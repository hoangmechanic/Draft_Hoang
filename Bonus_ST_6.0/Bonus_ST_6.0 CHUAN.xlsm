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03_Tools\03_linhtinh\02_Myself_\04_Private\ST_Bonus\"/>
    </mc:Choice>
  </mc:AlternateContent>
  <bookViews>
    <workbookView xWindow="0" yWindow="0" windowWidth="28800" windowHeight="14235"/>
  </bookViews>
  <sheets>
    <sheet name="Bonus" sheetId="1" r:id="rId1"/>
  </sheets>
  <functionGroups builtInGroupCount="18"/>
  <definedNames>
    <definedName name="_xlnm._FilterDatabase" localSheetId="0" hidden="1">Bonus!$A$11:$AN$3012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4" i="1" l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916" i="1"/>
  <c r="M2917" i="1"/>
  <c r="M2918" i="1"/>
  <c r="M2919" i="1"/>
  <c r="M2920" i="1"/>
  <c r="M2921" i="1"/>
  <c r="M2922" i="1"/>
  <c r="M2923" i="1"/>
  <c r="M2924" i="1"/>
  <c r="M2925" i="1"/>
  <c r="M2926" i="1"/>
  <c r="M2927" i="1"/>
  <c r="M2928" i="1"/>
  <c r="M2929" i="1"/>
  <c r="M2930" i="1"/>
  <c r="M2931" i="1"/>
  <c r="M2932" i="1"/>
  <c r="M2933" i="1"/>
  <c r="M2934" i="1"/>
  <c r="M2935" i="1"/>
  <c r="M2936" i="1"/>
  <c r="M2937" i="1"/>
  <c r="M2938" i="1"/>
  <c r="M2939" i="1"/>
  <c r="M2940" i="1"/>
  <c r="M2941" i="1"/>
  <c r="M2942" i="1"/>
  <c r="M2943" i="1"/>
  <c r="M2944" i="1"/>
  <c r="M2945" i="1"/>
  <c r="M2946" i="1"/>
  <c r="M2947" i="1"/>
  <c r="M2948" i="1"/>
  <c r="M2949" i="1"/>
  <c r="M2950" i="1"/>
  <c r="M2951" i="1"/>
  <c r="M2952" i="1"/>
  <c r="M2953" i="1"/>
  <c r="M2954" i="1"/>
  <c r="M2955" i="1"/>
  <c r="M2956" i="1"/>
  <c r="M2957" i="1"/>
  <c r="M2958" i="1"/>
  <c r="M2959" i="1"/>
  <c r="M2960" i="1"/>
  <c r="M2961" i="1"/>
  <c r="M2962" i="1"/>
  <c r="M2963" i="1"/>
  <c r="M2964" i="1"/>
  <c r="M2965" i="1"/>
  <c r="M2966" i="1"/>
  <c r="M2967" i="1"/>
  <c r="M2968" i="1"/>
  <c r="M2969" i="1"/>
  <c r="M2970" i="1"/>
  <c r="M2971" i="1"/>
  <c r="M2972" i="1"/>
  <c r="M2973" i="1"/>
  <c r="M2974" i="1"/>
  <c r="M2975" i="1"/>
  <c r="M2976" i="1"/>
  <c r="M2977" i="1"/>
  <c r="M2978" i="1"/>
  <c r="M2979" i="1"/>
  <c r="M2980" i="1"/>
  <c r="M2981" i="1"/>
  <c r="M2982" i="1"/>
  <c r="M2983" i="1"/>
  <c r="M2984" i="1"/>
  <c r="M2985" i="1"/>
  <c r="M2986" i="1"/>
  <c r="M2987" i="1"/>
  <c r="M2988" i="1"/>
  <c r="M2989" i="1"/>
  <c r="M2990" i="1"/>
  <c r="M2991" i="1"/>
  <c r="M2992" i="1"/>
  <c r="M2993" i="1"/>
  <c r="M2994" i="1"/>
  <c r="M2995" i="1"/>
  <c r="M2996" i="1"/>
  <c r="M2997" i="1"/>
  <c r="M2998" i="1"/>
  <c r="M2999" i="1"/>
  <c r="M3000" i="1"/>
  <c r="M3001" i="1"/>
  <c r="M3002" i="1"/>
  <c r="M3003" i="1"/>
  <c r="M3004" i="1"/>
  <c r="M3005" i="1"/>
  <c r="M3006" i="1"/>
  <c r="M3007" i="1"/>
  <c r="M3008" i="1"/>
  <c r="M3009" i="1"/>
  <c r="M3010" i="1"/>
  <c r="M3011" i="1"/>
  <c r="M3012" i="1"/>
  <c r="AO13" i="1"/>
  <c r="AP13" i="1"/>
  <c r="AO14" i="1"/>
  <c r="AP14" i="1"/>
  <c r="AO15" i="1"/>
  <c r="AP15" i="1"/>
  <c r="AO16" i="1"/>
  <c r="AP16" i="1"/>
  <c r="AO17" i="1"/>
  <c r="AP17" i="1"/>
  <c r="AO18" i="1"/>
  <c r="AP18" i="1"/>
  <c r="AO19" i="1"/>
  <c r="AP19" i="1"/>
  <c r="AO20" i="1"/>
  <c r="AP20" i="1"/>
  <c r="AO21" i="1"/>
  <c r="AP21" i="1"/>
  <c r="AO22" i="1"/>
  <c r="AP22" i="1"/>
  <c r="AO23" i="1"/>
  <c r="AP23" i="1"/>
  <c r="AO24" i="1"/>
  <c r="AP24" i="1"/>
  <c r="AO25" i="1"/>
  <c r="AP25" i="1"/>
  <c r="AO26" i="1"/>
  <c r="AP26" i="1"/>
  <c r="AO27" i="1"/>
  <c r="AP27" i="1"/>
  <c r="AO28" i="1"/>
  <c r="AP28" i="1"/>
  <c r="AO29" i="1"/>
  <c r="AP29" i="1"/>
  <c r="AO30" i="1"/>
  <c r="AP30" i="1"/>
  <c r="AO31" i="1"/>
  <c r="AP31" i="1"/>
  <c r="AO32" i="1"/>
  <c r="AP32" i="1"/>
  <c r="AO33" i="1"/>
  <c r="AP33" i="1"/>
  <c r="AO34" i="1"/>
  <c r="AP34" i="1"/>
  <c r="AO35" i="1"/>
  <c r="AP35" i="1"/>
  <c r="AO36" i="1"/>
  <c r="AP36" i="1"/>
  <c r="AO37" i="1"/>
  <c r="AP37" i="1"/>
  <c r="AO38" i="1"/>
  <c r="AP38" i="1"/>
  <c r="AO39" i="1"/>
  <c r="AP39" i="1"/>
  <c r="AO40" i="1"/>
  <c r="AP40" i="1"/>
  <c r="AO41" i="1"/>
  <c r="AP41" i="1"/>
  <c r="AO42" i="1"/>
  <c r="AP42" i="1"/>
  <c r="AO43" i="1"/>
  <c r="AP43" i="1"/>
  <c r="AO44" i="1"/>
  <c r="AP44" i="1"/>
  <c r="AO45" i="1"/>
  <c r="AP45" i="1"/>
  <c r="AO46" i="1"/>
  <c r="AP46" i="1"/>
  <c r="AO47" i="1"/>
  <c r="AP47" i="1"/>
  <c r="AO48" i="1"/>
  <c r="AP48" i="1"/>
  <c r="AO49" i="1"/>
  <c r="AP49" i="1"/>
  <c r="AO50" i="1"/>
  <c r="AP50" i="1"/>
  <c r="AO51" i="1"/>
  <c r="AP51" i="1"/>
  <c r="AO52" i="1"/>
  <c r="AP52" i="1"/>
  <c r="AO53" i="1"/>
  <c r="AP53" i="1"/>
  <c r="AO54" i="1"/>
  <c r="AP54" i="1"/>
  <c r="AO55" i="1"/>
  <c r="AP55" i="1"/>
  <c r="AO56" i="1"/>
  <c r="AP56" i="1"/>
  <c r="AO57" i="1"/>
  <c r="AP57" i="1"/>
  <c r="AO58" i="1"/>
  <c r="AP58" i="1"/>
  <c r="AO59" i="1"/>
  <c r="AP59" i="1"/>
  <c r="AO60" i="1"/>
  <c r="AP60" i="1"/>
  <c r="AO61" i="1"/>
  <c r="AP61" i="1"/>
  <c r="AO62" i="1"/>
  <c r="AP62" i="1"/>
  <c r="AO63" i="1"/>
  <c r="AP63" i="1"/>
  <c r="AO64" i="1"/>
  <c r="AP64" i="1"/>
  <c r="AO65" i="1"/>
  <c r="AP65" i="1"/>
  <c r="AO66" i="1"/>
  <c r="AP66" i="1"/>
  <c r="AO67" i="1"/>
  <c r="AP67" i="1"/>
  <c r="AO68" i="1"/>
  <c r="AP68" i="1"/>
  <c r="AO69" i="1"/>
  <c r="AP69" i="1"/>
  <c r="AO70" i="1"/>
  <c r="AP70" i="1"/>
  <c r="AO71" i="1"/>
  <c r="AP71" i="1"/>
  <c r="AO72" i="1"/>
  <c r="AP72" i="1"/>
  <c r="AO73" i="1"/>
  <c r="AP73" i="1"/>
  <c r="AO74" i="1"/>
  <c r="AP74" i="1"/>
  <c r="AO75" i="1"/>
  <c r="AP75" i="1"/>
  <c r="AO76" i="1"/>
  <c r="AP76" i="1"/>
  <c r="AO77" i="1"/>
  <c r="AP77" i="1"/>
  <c r="AO78" i="1"/>
  <c r="AP78" i="1"/>
  <c r="AO79" i="1"/>
  <c r="AP79" i="1"/>
  <c r="AO80" i="1"/>
  <c r="AP80" i="1"/>
  <c r="AO81" i="1"/>
  <c r="AP81" i="1"/>
  <c r="AO82" i="1"/>
  <c r="AP82" i="1"/>
  <c r="AO83" i="1"/>
  <c r="AP83" i="1"/>
  <c r="AO84" i="1"/>
  <c r="AP84" i="1"/>
  <c r="AO85" i="1"/>
  <c r="AP85" i="1"/>
  <c r="AO86" i="1"/>
  <c r="AP86" i="1"/>
  <c r="AO87" i="1"/>
  <c r="AP87" i="1"/>
  <c r="AO88" i="1"/>
  <c r="AP88" i="1"/>
  <c r="AO89" i="1"/>
  <c r="AP89" i="1"/>
  <c r="AO90" i="1"/>
  <c r="AP90" i="1"/>
  <c r="AO91" i="1"/>
  <c r="AP91" i="1"/>
  <c r="AO92" i="1"/>
  <c r="AP92" i="1"/>
  <c r="AO93" i="1"/>
  <c r="AP93" i="1"/>
  <c r="AO94" i="1"/>
  <c r="AP94" i="1"/>
  <c r="AO95" i="1"/>
  <c r="AP95" i="1"/>
  <c r="AO96" i="1"/>
  <c r="AP96" i="1"/>
  <c r="AO97" i="1"/>
  <c r="AP97" i="1"/>
  <c r="AO98" i="1"/>
  <c r="AP98" i="1"/>
  <c r="AO99" i="1"/>
  <c r="AP99" i="1"/>
  <c r="AO100" i="1"/>
  <c r="AP100" i="1"/>
  <c r="AO101" i="1"/>
  <c r="AP101" i="1"/>
  <c r="AO102" i="1"/>
  <c r="AP102" i="1"/>
  <c r="AO103" i="1"/>
  <c r="AP103" i="1"/>
  <c r="AO104" i="1"/>
  <c r="AP104" i="1"/>
  <c r="AO105" i="1"/>
  <c r="AP105" i="1"/>
  <c r="AO106" i="1"/>
  <c r="AP106" i="1"/>
  <c r="AO107" i="1"/>
  <c r="AP107" i="1"/>
  <c r="AO108" i="1"/>
  <c r="AP108" i="1"/>
  <c r="AO109" i="1"/>
  <c r="AP109" i="1"/>
  <c r="AO110" i="1"/>
  <c r="AP110" i="1"/>
  <c r="AO111" i="1"/>
  <c r="AP111" i="1"/>
  <c r="AO112" i="1"/>
  <c r="AP112" i="1"/>
  <c r="AO113" i="1"/>
  <c r="AP113" i="1"/>
  <c r="AO114" i="1"/>
  <c r="AP114" i="1"/>
  <c r="AO115" i="1"/>
  <c r="AP115" i="1"/>
  <c r="AO116" i="1"/>
  <c r="AP116" i="1"/>
  <c r="AO117" i="1"/>
  <c r="AP117" i="1"/>
  <c r="AO118" i="1"/>
  <c r="AP118" i="1"/>
  <c r="AO119" i="1"/>
  <c r="AP119" i="1"/>
  <c r="AO120" i="1"/>
  <c r="AP120" i="1"/>
  <c r="AO121" i="1"/>
  <c r="AP121" i="1"/>
  <c r="AO122" i="1"/>
  <c r="AP122" i="1"/>
  <c r="AO123" i="1"/>
  <c r="AP123" i="1"/>
  <c r="AO124" i="1"/>
  <c r="AP124" i="1"/>
  <c r="AO125" i="1"/>
  <c r="AP125" i="1"/>
  <c r="AO126" i="1"/>
  <c r="AP126" i="1"/>
  <c r="AO127" i="1"/>
  <c r="AP127" i="1"/>
  <c r="AO128" i="1"/>
  <c r="AP128" i="1"/>
  <c r="AO129" i="1"/>
  <c r="AP129" i="1"/>
  <c r="AO130" i="1"/>
  <c r="AP130" i="1"/>
  <c r="AO131" i="1"/>
  <c r="AP131" i="1"/>
  <c r="AO132" i="1"/>
  <c r="AP132" i="1"/>
  <c r="AO133" i="1"/>
  <c r="AP133" i="1"/>
  <c r="AO134" i="1"/>
  <c r="AP134" i="1"/>
  <c r="AO135" i="1"/>
  <c r="AP135" i="1"/>
  <c r="AO136" i="1"/>
  <c r="AP136" i="1"/>
  <c r="AO137" i="1"/>
  <c r="AP137" i="1"/>
  <c r="AO138" i="1"/>
  <c r="AP138" i="1"/>
  <c r="AO139" i="1"/>
  <c r="AP139" i="1"/>
  <c r="AO140" i="1"/>
  <c r="AP140" i="1"/>
  <c r="AO141" i="1"/>
  <c r="AP141" i="1"/>
  <c r="AO142" i="1"/>
  <c r="AP142" i="1"/>
  <c r="AO143" i="1"/>
  <c r="AP143" i="1"/>
  <c r="AO144" i="1"/>
  <c r="AP144" i="1"/>
  <c r="AO145" i="1"/>
  <c r="AP145" i="1"/>
  <c r="AO146" i="1"/>
  <c r="AP146" i="1"/>
  <c r="AO147" i="1"/>
  <c r="AP147" i="1"/>
  <c r="AO148" i="1"/>
  <c r="AP148" i="1"/>
  <c r="AO149" i="1"/>
  <c r="AP149" i="1"/>
  <c r="AO150" i="1"/>
  <c r="AP150" i="1"/>
  <c r="AO151" i="1"/>
  <c r="AP151" i="1"/>
  <c r="AO152" i="1"/>
  <c r="AP152" i="1"/>
  <c r="AO153" i="1"/>
  <c r="AP153" i="1"/>
  <c r="AO154" i="1"/>
  <c r="AP154" i="1"/>
  <c r="AO155" i="1"/>
  <c r="AP155" i="1"/>
  <c r="AO156" i="1"/>
  <c r="AP156" i="1"/>
  <c r="AO157" i="1"/>
  <c r="AP157" i="1"/>
  <c r="AO158" i="1"/>
  <c r="AP158" i="1"/>
  <c r="AO159" i="1"/>
  <c r="AP159" i="1"/>
  <c r="AO160" i="1"/>
  <c r="AP160" i="1"/>
  <c r="AO161" i="1"/>
  <c r="AP161" i="1"/>
  <c r="AO162" i="1"/>
  <c r="AP162" i="1"/>
  <c r="AO163" i="1"/>
  <c r="AP163" i="1"/>
  <c r="AO164" i="1"/>
  <c r="AP164" i="1"/>
  <c r="AO165" i="1"/>
  <c r="AP165" i="1"/>
  <c r="AO166" i="1"/>
  <c r="AP166" i="1"/>
  <c r="AO167" i="1"/>
  <c r="AP167" i="1"/>
  <c r="AO168" i="1"/>
  <c r="AP168" i="1"/>
  <c r="AO169" i="1"/>
  <c r="AP169" i="1"/>
  <c r="AO170" i="1"/>
  <c r="AP170" i="1"/>
  <c r="AO171" i="1"/>
  <c r="AP171" i="1"/>
  <c r="AO172" i="1"/>
  <c r="AP172" i="1"/>
  <c r="AO173" i="1"/>
  <c r="AP173" i="1"/>
  <c r="AO174" i="1"/>
  <c r="AP174" i="1"/>
  <c r="AO175" i="1"/>
  <c r="AP175" i="1"/>
  <c r="AO176" i="1"/>
  <c r="AP176" i="1"/>
  <c r="AO177" i="1"/>
  <c r="AP177" i="1"/>
  <c r="AO178" i="1"/>
  <c r="AP178" i="1"/>
  <c r="AO179" i="1"/>
  <c r="AP179" i="1"/>
  <c r="AO180" i="1"/>
  <c r="AP180" i="1"/>
  <c r="AO181" i="1"/>
  <c r="AP181" i="1"/>
  <c r="AO182" i="1"/>
  <c r="AP182" i="1"/>
  <c r="AO183" i="1"/>
  <c r="AP183" i="1"/>
  <c r="AO184" i="1"/>
  <c r="AP184" i="1"/>
  <c r="AO185" i="1"/>
  <c r="AP185" i="1"/>
  <c r="AO186" i="1"/>
  <c r="AP186" i="1"/>
  <c r="AO187" i="1"/>
  <c r="AP187" i="1"/>
  <c r="AO188" i="1"/>
  <c r="AP188" i="1"/>
  <c r="AO189" i="1"/>
  <c r="AP189" i="1"/>
  <c r="AO190" i="1"/>
  <c r="AP190" i="1"/>
  <c r="AO191" i="1"/>
  <c r="AP191" i="1"/>
  <c r="AO192" i="1"/>
  <c r="AP192" i="1"/>
  <c r="AO193" i="1"/>
  <c r="AP193" i="1"/>
  <c r="AO194" i="1"/>
  <c r="AP194" i="1"/>
  <c r="AO195" i="1"/>
  <c r="AP195" i="1"/>
  <c r="AO196" i="1"/>
  <c r="AP196" i="1"/>
  <c r="AO197" i="1"/>
  <c r="AP197" i="1"/>
  <c r="AO198" i="1"/>
  <c r="AP198" i="1"/>
  <c r="AO199" i="1"/>
  <c r="AP199" i="1"/>
  <c r="AO200" i="1"/>
  <c r="AP200" i="1"/>
  <c r="AO201" i="1"/>
  <c r="AP201" i="1"/>
  <c r="AO202" i="1"/>
  <c r="AP202" i="1"/>
  <c r="AO203" i="1"/>
  <c r="AP203" i="1"/>
  <c r="AO204" i="1"/>
  <c r="AP204" i="1"/>
  <c r="AO205" i="1"/>
  <c r="AP205" i="1"/>
  <c r="AO206" i="1"/>
  <c r="AP206" i="1"/>
  <c r="AO207" i="1"/>
  <c r="AP207" i="1"/>
  <c r="AO208" i="1"/>
  <c r="AP208" i="1"/>
  <c r="AO209" i="1"/>
  <c r="AP209" i="1"/>
  <c r="AO210" i="1"/>
  <c r="AP210" i="1"/>
  <c r="AO211" i="1"/>
  <c r="AP211" i="1"/>
  <c r="AO212" i="1"/>
  <c r="AP212" i="1"/>
  <c r="AO213" i="1"/>
  <c r="AP213" i="1"/>
  <c r="AO214" i="1"/>
  <c r="AP214" i="1"/>
  <c r="AO215" i="1"/>
  <c r="AP215" i="1"/>
  <c r="AO216" i="1"/>
  <c r="AP216" i="1"/>
  <c r="AO217" i="1"/>
  <c r="AP217" i="1"/>
  <c r="AO218" i="1"/>
  <c r="AP218" i="1"/>
  <c r="AO219" i="1"/>
  <c r="AP219" i="1"/>
  <c r="AO220" i="1"/>
  <c r="AP220" i="1"/>
  <c r="AO221" i="1"/>
  <c r="AP221" i="1"/>
  <c r="AO222" i="1"/>
  <c r="AP222" i="1"/>
  <c r="AO223" i="1"/>
  <c r="AP223" i="1"/>
  <c r="AO224" i="1"/>
  <c r="AP224" i="1"/>
  <c r="AO225" i="1"/>
  <c r="AP225" i="1"/>
  <c r="AO226" i="1"/>
  <c r="AP226" i="1"/>
  <c r="AO227" i="1"/>
  <c r="AP227" i="1"/>
  <c r="AO228" i="1"/>
  <c r="AP228" i="1"/>
  <c r="AO229" i="1"/>
  <c r="AP229" i="1"/>
  <c r="AO230" i="1"/>
  <c r="AP230" i="1"/>
  <c r="AO231" i="1"/>
  <c r="AP231" i="1"/>
  <c r="AO232" i="1"/>
  <c r="AP232" i="1"/>
  <c r="AO233" i="1"/>
  <c r="AP233" i="1"/>
  <c r="AO234" i="1"/>
  <c r="AP234" i="1"/>
  <c r="AO235" i="1"/>
  <c r="AP235" i="1"/>
  <c r="AO236" i="1"/>
  <c r="AP236" i="1"/>
  <c r="AO237" i="1"/>
  <c r="AP237" i="1"/>
  <c r="AO238" i="1"/>
  <c r="AP238" i="1"/>
  <c r="AO239" i="1"/>
  <c r="AP239" i="1"/>
  <c r="AO240" i="1"/>
  <c r="AP240" i="1"/>
  <c r="AO241" i="1"/>
  <c r="AP241" i="1"/>
  <c r="AO242" i="1"/>
  <c r="AP242" i="1"/>
  <c r="AO243" i="1"/>
  <c r="AP243" i="1"/>
  <c r="AO244" i="1"/>
  <c r="AP244" i="1"/>
  <c r="AO245" i="1"/>
  <c r="AP245" i="1"/>
  <c r="AO246" i="1"/>
  <c r="AP246" i="1"/>
  <c r="AO247" i="1"/>
  <c r="AP247" i="1"/>
  <c r="AO248" i="1"/>
  <c r="AP248" i="1"/>
  <c r="AO249" i="1"/>
  <c r="AP249" i="1"/>
  <c r="AO250" i="1"/>
  <c r="AP250" i="1"/>
  <c r="AO251" i="1"/>
  <c r="AP251" i="1"/>
  <c r="AO252" i="1"/>
  <c r="AP252" i="1"/>
  <c r="AO253" i="1"/>
  <c r="AP253" i="1"/>
  <c r="AO254" i="1"/>
  <c r="AP254" i="1"/>
  <c r="AO255" i="1"/>
  <c r="AP255" i="1"/>
  <c r="AO256" i="1"/>
  <c r="AP256" i="1"/>
  <c r="AO257" i="1"/>
  <c r="AP257" i="1"/>
  <c r="AO258" i="1"/>
  <c r="AP258" i="1"/>
  <c r="AO259" i="1"/>
  <c r="AP259" i="1"/>
  <c r="AO260" i="1"/>
  <c r="AP260" i="1"/>
  <c r="AO261" i="1"/>
  <c r="AP261" i="1"/>
  <c r="AO262" i="1"/>
  <c r="AP262" i="1"/>
  <c r="AO263" i="1"/>
  <c r="AP263" i="1"/>
  <c r="AO264" i="1"/>
  <c r="AP264" i="1"/>
  <c r="AO265" i="1"/>
  <c r="AP265" i="1"/>
  <c r="AO266" i="1"/>
  <c r="AP266" i="1"/>
  <c r="AO267" i="1"/>
  <c r="AP267" i="1"/>
  <c r="AO268" i="1"/>
  <c r="AP268" i="1"/>
  <c r="AO269" i="1"/>
  <c r="AP269" i="1"/>
  <c r="AO270" i="1"/>
  <c r="AP270" i="1"/>
  <c r="AO271" i="1"/>
  <c r="AP271" i="1"/>
  <c r="AO272" i="1"/>
  <c r="AP272" i="1"/>
  <c r="AO273" i="1"/>
  <c r="AP273" i="1"/>
  <c r="AO274" i="1"/>
  <c r="AP274" i="1"/>
  <c r="AO275" i="1"/>
  <c r="AP275" i="1"/>
  <c r="AO276" i="1"/>
  <c r="AP276" i="1"/>
  <c r="AO277" i="1"/>
  <c r="AP277" i="1"/>
  <c r="AO278" i="1"/>
  <c r="AP278" i="1"/>
  <c r="AO279" i="1"/>
  <c r="AP279" i="1"/>
  <c r="AO280" i="1"/>
  <c r="AP280" i="1"/>
  <c r="AO281" i="1"/>
  <c r="AP281" i="1"/>
  <c r="AO282" i="1"/>
  <c r="AP282" i="1"/>
  <c r="AO283" i="1"/>
  <c r="AP283" i="1"/>
  <c r="AO284" i="1"/>
  <c r="AP284" i="1"/>
  <c r="AO285" i="1"/>
  <c r="AP285" i="1"/>
  <c r="AO286" i="1"/>
  <c r="AP286" i="1"/>
  <c r="AO287" i="1"/>
  <c r="AP287" i="1"/>
  <c r="AO288" i="1"/>
  <c r="AP288" i="1"/>
  <c r="AO289" i="1"/>
  <c r="AP289" i="1"/>
  <c r="AO290" i="1"/>
  <c r="AP290" i="1"/>
  <c r="AO291" i="1"/>
  <c r="AP291" i="1"/>
  <c r="AO292" i="1"/>
  <c r="AP292" i="1"/>
  <c r="AO293" i="1"/>
  <c r="AP293" i="1"/>
  <c r="AO294" i="1"/>
  <c r="AP294" i="1"/>
  <c r="AO295" i="1"/>
  <c r="AP295" i="1"/>
  <c r="AO296" i="1"/>
  <c r="AP296" i="1"/>
  <c r="AO297" i="1"/>
  <c r="AP297" i="1"/>
  <c r="AO298" i="1"/>
  <c r="AP298" i="1"/>
  <c r="AO299" i="1"/>
  <c r="AP299" i="1"/>
  <c r="AO300" i="1"/>
  <c r="AP300" i="1"/>
  <c r="AO301" i="1"/>
  <c r="AP301" i="1"/>
  <c r="AO302" i="1"/>
  <c r="AP302" i="1"/>
  <c r="AO303" i="1"/>
  <c r="AP303" i="1"/>
  <c r="AO304" i="1"/>
  <c r="AP304" i="1"/>
  <c r="AO305" i="1"/>
  <c r="AP305" i="1"/>
  <c r="AO306" i="1"/>
  <c r="AP306" i="1"/>
  <c r="AO307" i="1"/>
  <c r="AP307" i="1"/>
  <c r="AO308" i="1"/>
  <c r="AP308" i="1"/>
  <c r="AO309" i="1"/>
  <c r="AP309" i="1"/>
  <c r="AO310" i="1"/>
  <c r="AP310" i="1"/>
  <c r="AO311" i="1"/>
  <c r="AP311" i="1"/>
  <c r="AO312" i="1"/>
  <c r="AP312" i="1"/>
  <c r="AO313" i="1"/>
  <c r="AP313" i="1"/>
  <c r="AO314" i="1"/>
  <c r="AP314" i="1"/>
  <c r="AO315" i="1"/>
  <c r="AP315" i="1"/>
  <c r="AO316" i="1"/>
  <c r="AP316" i="1"/>
  <c r="AO317" i="1"/>
  <c r="AP317" i="1"/>
  <c r="AO318" i="1"/>
  <c r="AP318" i="1"/>
  <c r="AO319" i="1"/>
  <c r="AP319" i="1"/>
  <c r="AO320" i="1"/>
  <c r="AP320" i="1"/>
  <c r="AO321" i="1"/>
  <c r="AP321" i="1"/>
  <c r="AO322" i="1"/>
  <c r="AP322" i="1"/>
  <c r="AO323" i="1"/>
  <c r="AP323" i="1"/>
  <c r="AO324" i="1"/>
  <c r="AP324" i="1"/>
  <c r="AO325" i="1"/>
  <c r="AP325" i="1"/>
  <c r="AO326" i="1"/>
  <c r="AP326" i="1"/>
  <c r="AO327" i="1"/>
  <c r="AP327" i="1"/>
  <c r="AO328" i="1"/>
  <c r="AP328" i="1"/>
  <c r="AO329" i="1"/>
  <c r="AP329" i="1"/>
  <c r="AO330" i="1"/>
  <c r="AP330" i="1"/>
  <c r="AO331" i="1"/>
  <c r="AP331" i="1"/>
  <c r="AO332" i="1"/>
  <c r="AP332" i="1"/>
  <c r="AO333" i="1"/>
  <c r="AP333" i="1"/>
  <c r="AO334" i="1"/>
  <c r="AP334" i="1"/>
  <c r="AO335" i="1"/>
  <c r="AP335" i="1"/>
  <c r="AO336" i="1"/>
  <c r="AP336" i="1"/>
  <c r="AO337" i="1"/>
  <c r="AP337" i="1"/>
  <c r="AO338" i="1"/>
  <c r="AP338" i="1"/>
  <c r="AO339" i="1"/>
  <c r="AP339" i="1"/>
  <c r="AO340" i="1"/>
  <c r="AP340" i="1"/>
  <c r="AO341" i="1"/>
  <c r="AP341" i="1"/>
  <c r="AO342" i="1"/>
  <c r="AP342" i="1"/>
  <c r="AO343" i="1"/>
  <c r="AP343" i="1"/>
  <c r="AO344" i="1"/>
  <c r="AP344" i="1"/>
  <c r="AO345" i="1"/>
  <c r="AP345" i="1"/>
  <c r="AO346" i="1"/>
  <c r="AP346" i="1"/>
  <c r="AO347" i="1"/>
  <c r="AP347" i="1"/>
  <c r="AO348" i="1"/>
  <c r="AP348" i="1"/>
  <c r="AO349" i="1"/>
  <c r="AP349" i="1"/>
  <c r="AO350" i="1"/>
  <c r="AP350" i="1"/>
  <c r="AO351" i="1"/>
  <c r="AP351" i="1"/>
  <c r="AO352" i="1"/>
  <c r="AP352" i="1"/>
  <c r="AO353" i="1"/>
  <c r="AP353" i="1"/>
  <c r="AO354" i="1"/>
  <c r="AP354" i="1"/>
  <c r="AO355" i="1"/>
  <c r="AP355" i="1"/>
  <c r="AO356" i="1"/>
  <c r="AP356" i="1"/>
  <c r="AO357" i="1"/>
  <c r="AP357" i="1"/>
  <c r="AO358" i="1"/>
  <c r="AP358" i="1"/>
  <c r="AO359" i="1"/>
  <c r="AP359" i="1"/>
  <c r="AO360" i="1"/>
  <c r="AP360" i="1"/>
  <c r="AO361" i="1"/>
  <c r="AP361" i="1"/>
  <c r="AO362" i="1"/>
  <c r="AP362" i="1"/>
  <c r="AO363" i="1"/>
  <c r="AP363" i="1"/>
  <c r="AO364" i="1"/>
  <c r="AP364" i="1"/>
  <c r="AO365" i="1"/>
  <c r="AP365" i="1"/>
  <c r="AO366" i="1"/>
  <c r="AP366" i="1"/>
  <c r="AO367" i="1"/>
  <c r="AP367" i="1"/>
  <c r="AO368" i="1"/>
  <c r="AP368" i="1"/>
  <c r="AO369" i="1"/>
  <c r="AP369" i="1"/>
  <c r="AO370" i="1"/>
  <c r="AP370" i="1"/>
  <c r="AO371" i="1"/>
  <c r="AP371" i="1"/>
  <c r="AO372" i="1"/>
  <c r="AP372" i="1"/>
  <c r="AO373" i="1"/>
  <c r="AP373" i="1"/>
  <c r="AO374" i="1"/>
  <c r="AP374" i="1"/>
  <c r="AO375" i="1"/>
  <c r="AP375" i="1"/>
  <c r="AO376" i="1"/>
  <c r="AP376" i="1"/>
  <c r="AO377" i="1"/>
  <c r="AP377" i="1"/>
  <c r="AO378" i="1"/>
  <c r="AP378" i="1"/>
  <c r="AO379" i="1"/>
  <c r="AP379" i="1"/>
  <c r="AO380" i="1"/>
  <c r="AP380" i="1"/>
  <c r="AO381" i="1"/>
  <c r="AP381" i="1"/>
  <c r="AO382" i="1"/>
  <c r="AP382" i="1"/>
  <c r="AO383" i="1"/>
  <c r="AP383" i="1"/>
  <c r="AO384" i="1"/>
  <c r="AP384" i="1"/>
  <c r="AO385" i="1"/>
  <c r="AP385" i="1"/>
  <c r="AO386" i="1"/>
  <c r="AP386" i="1"/>
  <c r="AO387" i="1"/>
  <c r="AP387" i="1"/>
  <c r="AO388" i="1"/>
  <c r="AP388" i="1"/>
  <c r="AO389" i="1"/>
  <c r="AP389" i="1"/>
  <c r="AO390" i="1"/>
  <c r="AP390" i="1"/>
  <c r="AO391" i="1"/>
  <c r="AP391" i="1"/>
  <c r="AO392" i="1"/>
  <c r="AP392" i="1"/>
  <c r="AO393" i="1"/>
  <c r="AP393" i="1"/>
  <c r="AO394" i="1"/>
  <c r="AP394" i="1"/>
  <c r="AO395" i="1"/>
  <c r="AP395" i="1"/>
  <c r="AO396" i="1"/>
  <c r="AP396" i="1"/>
  <c r="AO397" i="1"/>
  <c r="AP397" i="1"/>
  <c r="AO398" i="1"/>
  <c r="AP398" i="1"/>
  <c r="AO399" i="1"/>
  <c r="AP399" i="1"/>
  <c r="AO400" i="1"/>
  <c r="AP400" i="1"/>
  <c r="AO401" i="1"/>
  <c r="AP401" i="1"/>
  <c r="AO402" i="1"/>
  <c r="AP402" i="1"/>
  <c r="AO403" i="1"/>
  <c r="AP403" i="1"/>
  <c r="AO404" i="1"/>
  <c r="AP404" i="1"/>
  <c r="AO405" i="1"/>
  <c r="AP405" i="1"/>
  <c r="AO406" i="1"/>
  <c r="AP406" i="1"/>
  <c r="AO407" i="1"/>
  <c r="AP407" i="1"/>
  <c r="AO408" i="1"/>
  <c r="AP408" i="1"/>
  <c r="AO409" i="1"/>
  <c r="AP409" i="1"/>
  <c r="AO410" i="1"/>
  <c r="AP410" i="1"/>
  <c r="AO411" i="1"/>
  <c r="AP411" i="1"/>
  <c r="AO412" i="1"/>
  <c r="AP412" i="1"/>
  <c r="AO413" i="1"/>
  <c r="AP413" i="1"/>
  <c r="AO414" i="1"/>
  <c r="AP414" i="1"/>
  <c r="AO415" i="1"/>
  <c r="AP415" i="1"/>
  <c r="AO416" i="1"/>
  <c r="AP416" i="1"/>
  <c r="AO417" i="1"/>
  <c r="AP417" i="1"/>
  <c r="AO418" i="1"/>
  <c r="AP418" i="1"/>
  <c r="AO419" i="1"/>
  <c r="AP419" i="1"/>
  <c r="AO420" i="1"/>
  <c r="AP420" i="1"/>
  <c r="AO421" i="1"/>
  <c r="AP421" i="1"/>
  <c r="AO422" i="1"/>
  <c r="AP422" i="1"/>
  <c r="AO423" i="1"/>
  <c r="AP423" i="1"/>
  <c r="AO424" i="1"/>
  <c r="AP424" i="1"/>
  <c r="AO425" i="1"/>
  <c r="AP425" i="1"/>
  <c r="AO426" i="1"/>
  <c r="AP426" i="1"/>
  <c r="AO427" i="1"/>
  <c r="AP427" i="1"/>
  <c r="AO428" i="1"/>
  <c r="AP428" i="1"/>
  <c r="AO429" i="1"/>
  <c r="AP429" i="1"/>
  <c r="AO430" i="1"/>
  <c r="AP430" i="1"/>
  <c r="AO431" i="1"/>
  <c r="AP431" i="1"/>
  <c r="AO432" i="1"/>
  <c r="AP432" i="1"/>
  <c r="AO433" i="1"/>
  <c r="AP433" i="1"/>
  <c r="AO434" i="1"/>
  <c r="AP434" i="1"/>
  <c r="AO435" i="1"/>
  <c r="AP435" i="1"/>
  <c r="AO436" i="1"/>
  <c r="AP436" i="1"/>
  <c r="AO437" i="1"/>
  <c r="AP437" i="1"/>
  <c r="AO438" i="1"/>
  <c r="AP438" i="1"/>
  <c r="AO439" i="1"/>
  <c r="AP439" i="1"/>
  <c r="AO440" i="1"/>
  <c r="AP440" i="1"/>
  <c r="AO441" i="1"/>
  <c r="AP441" i="1"/>
  <c r="AO442" i="1"/>
  <c r="AP442" i="1"/>
  <c r="AO443" i="1"/>
  <c r="AP443" i="1"/>
  <c r="AO444" i="1"/>
  <c r="AP444" i="1"/>
  <c r="AO445" i="1"/>
  <c r="AP445" i="1"/>
  <c r="AO446" i="1"/>
  <c r="AP446" i="1"/>
  <c r="AO447" i="1"/>
  <c r="AP447" i="1"/>
  <c r="AO448" i="1"/>
  <c r="AP448" i="1"/>
  <c r="AO449" i="1"/>
  <c r="AP449" i="1"/>
  <c r="AO450" i="1"/>
  <c r="AP450" i="1"/>
  <c r="AO451" i="1"/>
  <c r="AP451" i="1"/>
  <c r="AO452" i="1"/>
  <c r="AP452" i="1"/>
  <c r="AO453" i="1"/>
  <c r="AP453" i="1"/>
  <c r="AO454" i="1"/>
  <c r="AP454" i="1"/>
  <c r="AO455" i="1"/>
  <c r="AP455" i="1"/>
  <c r="AO456" i="1"/>
  <c r="AP456" i="1"/>
  <c r="AO457" i="1"/>
  <c r="AP457" i="1"/>
  <c r="AO458" i="1"/>
  <c r="AP458" i="1"/>
  <c r="AO459" i="1"/>
  <c r="AP459" i="1"/>
  <c r="AO460" i="1"/>
  <c r="AP460" i="1"/>
  <c r="AO461" i="1"/>
  <c r="AP461" i="1"/>
  <c r="AO462" i="1"/>
  <c r="AP462" i="1"/>
  <c r="AO463" i="1"/>
  <c r="AP463" i="1"/>
  <c r="AO464" i="1"/>
  <c r="AP464" i="1"/>
  <c r="AO465" i="1"/>
  <c r="AP465" i="1"/>
  <c r="AO466" i="1"/>
  <c r="AP466" i="1"/>
  <c r="AO467" i="1"/>
  <c r="AP467" i="1"/>
  <c r="AO468" i="1"/>
  <c r="AP468" i="1"/>
  <c r="AO469" i="1"/>
  <c r="AP469" i="1"/>
  <c r="AO470" i="1"/>
  <c r="AP470" i="1"/>
  <c r="AO471" i="1"/>
  <c r="AP471" i="1"/>
  <c r="AO472" i="1"/>
  <c r="AP472" i="1"/>
  <c r="AO473" i="1"/>
  <c r="AP473" i="1"/>
  <c r="AO474" i="1"/>
  <c r="AP474" i="1"/>
  <c r="AO475" i="1"/>
  <c r="AP475" i="1"/>
  <c r="AO476" i="1"/>
  <c r="AP476" i="1"/>
  <c r="AO477" i="1"/>
  <c r="AP477" i="1"/>
  <c r="AO478" i="1"/>
  <c r="AP478" i="1"/>
  <c r="AO479" i="1"/>
  <c r="AP479" i="1"/>
  <c r="AO480" i="1"/>
  <c r="AP480" i="1"/>
  <c r="AO481" i="1"/>
  <c r="AP481" i="1"/>
  <c r="AO482" i="1"/>
  <c r="AP482" i="1"/>
  <c r="AO483" i="1"/>
  <c r="AP483" i="1"/>
  <c r="AO484" i="1"/>
  <c r="AP484" i="1"/>
  <c r="AO485" i="1"/>
  <c r="AP485" i="1"/>
  <c r="AO486" i="1"/>
  <c r="AP486" i="1"/>
  <c r="AO487" i="1"/>
  <c r="AP487" i="1"/>
  <c r="AO488" i="1"/>
  <c r="AP488" i="1"/>
  <c r="AO489" i="1"/>
  <c r="AP489" i="1"/>
  <c r="AO490" i="1"/>
  <c r="AP490" i="1"/>
  <c r="AO491" i="1"/>
  <c r="AP491" i="1"/>
  <c r="AO492" i="1"/>
  <c r="AP492" i="1"/>
  <c r="AO493" i="1"/>
  <c r="AP493" i="1"/>
  <c r="AO494" i="1"/>
  <c r="AP494" i="1"/>
  <c r="AO495" i="1"/>
  <c r="AP495" i="1"/>
  <c r="AO496" i="1"/>
  <c r="AP496" i="1"/>
  <c r="AO497" i="1"/>
  <c r="AP497" i="1"/>
  <c r="AO498" i="1"/>
  <c r="AP498" i="1"/>
  <c r="AO499" i="1"/>
  <c r="AP499" i="1"/>
  <c r="AO500" i="1"/>
  <c r="AP500" i="1"/>
  <c r="AO501" i="1"/>
  <c r="AP501" i="1"/>
  <c r="AO502" i="1"/>
  <c r="AP502" i="1"/>
  <c r="AO503" i="1"/>
  <c r="AP503" i="1"/>
  <c r="AO504" i="1"/>
  <c r="AP504" i="1"/>
  <c r="AO505" i="1"/>
  <c r="AP505" i="1"/>
  <c r="AO506" i="1"/>
  <c r="AP506" i="1"/>
  <c r="AO507" i="1"/>
  <c r="AP507" i="1"/>
  <c r="AO508" i="1"/>
  <c r="AP508" i="1"/>
  <c r="AO509" i="1"/>
  <c r="AP509" i="1"/>
  <c r="AO510" i="1"/>
  <c r="AP510" i="1"/>
  <c r="AO511" i="1"/>
  <c r="AP511" i="1"/>
  <c r="AO512" i="1"/>
  <c r="AP512" i="1"/>
  <c r="AO513" i="1"/>
  <c r="AP513" i="1"/>
  <c r="AO514" i="1"/>
  <c r="AP514" i="1"/>
  <c r="AO515" i="1"/>
  <c r="AP515" i="1"/>
  <c r="AO516" i="1"/>
  <c r="AP516" i="1"/>
  <c r="AO517" i="1"/>
  <c r="AP517" i="1"/>
  <c r="AO518" i="1"/>
  <c r="AP518" i="1"/>
  <c r="AO519" i="1"/>
  <c r="AP519" i="1"/>
  <c r="AO520" i="1"/>
  <c r="AP520" i="1"/>
  <c r="AO521" i="1"/>
  <c r="AP521" i="1"/>
  <c r="AO522" i="1"/>
  <c r="AP522" i="1"/>
  <c r="AO523" i="1"/>
  <c r="AP523" i="1"/>
  <c r="AO524" i="1"/>
  <c r="AP524" i="1"/>
  <c r="AO525" i="1"/>
  <c r="AP525" i="1"/>
  <c r="AO526" i="1"/>
  <c r="AP526" i="1"/>
  <c r="AO527" i="1"/>
  <c r="AP527" i="1"/>
  <c r="AO528" i="1"/>
  <c r="AP528" i="1"/>
  <c r="AO529" i="1"/>
  <c r="AP529" i="1"/>
  <c r="AO530" i="1"/>
  <c r="AP530" i="1"/>
  <c r="AO531" i="1"/>
  <c r="AP531" i="1"/>
  <c r="AO532" i="1"/>
  <c r="AP532" i="1"/>
  <c r="AO533" i="1"/>
  <c r="AP533" i="1"/>
  <c r="AO534" i="1"/>
  <c r="AP534" i="1"/>
  <c r="AO535" i="1"/>
  <c r="AP535" i="1"/>
  <c r="AO536" i="1"/>
  <c r="AP536" i="1"/>
  <c r="AO537" i="1"/>
  <c r="AP537" i="1"/>
  <c r="AO538" i="1"/>
  <c r="AP538" i="1"/>
  <c r="AO539" i="1"/>
  <c r="AP539" i="1"/>
  <c r="AO540" i="1"/>
  <c r="AP540" i="1"/>
  <c r="AO541" i="1"/>
  <c r="AP541" i="1"/>
  <c r="AO542" i="1"/>
  <c r="AP542" i="1"/>
  <c r="AO543" i="1"/>
  <c r="AP543" i="1"/>
  <c r="AO544" i="1"/>
  <c r="AP544" i="1"/>
  <c r="AO545" i="1"/>
  <c r="AP545" i="1"/>
  <c r="AO546" i="1"/>
  <c r="AP546" i="1"/>
  <c r="AO547" i="1"/>
  <c r="AP547" i="1"/>
  <c r="AO548" i="1"/>
  <c r="AP548" i="1"/>
  <c r="AO549" i="1"/>
  <c r="AP549" i="1"/>
  <c r="AO550" i="1"/>
  <c r="AP550" i="1"/>
  <c r="AO551" i="1"/>
  <c r="AP551" i="1"/>
  <c r="AO552" i="1"/>
  <c r="AP552" i="1"/>
  <c r="AO553" i="1"/>
  <c r="AP553" i="1"/>
  <c r="AO554" i="1"/>
  <c r="AP554" i="1"/>
  <c r="AO555" i="1"/>
  <c r="AP555" i="1"/>
  <c r="AO556" i="1"/>
  <c r="AP556" i="1"/>
  <c r="AO557" i="1"/>
  <c r="AP557" i="1"/>
  <c r="AO558" i="1"/>
  <c r="AP558" i="1"/>
  <c r="AO559" i="1"/>
  <c r="AP559" i="1"/>
  <c r="AO560" i="1"/>
  <c r="AP560" i="1"/>
  <c r="AO561" i="1"/>
  <c r="AP561" i="1"/>
  <c r="AO562" i="1"/>
  <c r="AP562" i="1"/>
  <c r="AO563" i="1"/>
  <c r="AP563" i="1"/>
  <c r="AO564" i="1"/>
  <c r="AP564" i="1"/>
  <c r="AO565" i="1"/>
  <c r="AP565" i="1"/>
  <c r="AO566" i="1"/>
  <c r="AP566" i="1"/>
  <c r="AO567" i="1"/>
  <c r="AP567" i="1"/>
  <c r="AO568" i="1"/>
  <c r="AP568" i="1"/>
  <c r="AO569" i="1"/>
  <c r="AP569" i="1"/>
  <c r="AO570" i="1"/>
  <c r="AP570" i="1"/>
  <c r="AO571" i="1"/>
  <c r="AP571" i="1"/>
  <c r="AO572" i="1"/>
  <c r="AP572" i="1"/>
  <c r="AO573" i="1"/>
  <c r="AP573" i="1"/>
  <c r="AO574" i="1"/>
  <c r="AP574" i="1"/>
  <c r="AO575" i="1"/>
  <c r="AP575" i="1"/>
  <c r="AO576" i="1"/>
  <c r="AP576" i="1"/>
  <c r="AO577" i="1"/>
  <c r="AP577" i="1"/>
  <c r="AO578" i="1"/>
  <c r="AP578" i="1"/>
  <c r="AO579" i="1"/>
  <c r="AP579" i="1"/>
  <c r="AO580" i="1"/>
  <c r="AP580" i="1"/>
  <c r="AO581" i="1"/>
  <c r="AP581" i="1"/>
  <c r="AO582" i="1"/>
  <c r="AP582" i="1"/>
  <c r="AO583" i="1"/>
  <c r="AP583" i="1"/>
  <c r="AO584" i="1"/>
  <c r="AP584" i="1"/>
  <c r="AO585" i="1"/>
  <c r="AP585" i="1"/>
  <c r="AO586" i="1"/>
  <c r="AP586" i="1"/>
  <c r="AO587" i="1"/>
  <c r="AP587" i="1"/>
  <c r="AO588" i="1"/>
  <c r="AP588" i="1"/>
  <c r="AO589" i="1"/>
  <c r="AP589" i="1"/>
  <c r="AO590" i="1"/>
  <c r="AP590" i="1"/>
  <c r="AO591" i="1"/>
  <c r="AP591" i="1"/>
  <c r="AO592" i="1"/>
  <c r="AP592" i="1"/>
  <c r="AO593" i="1"/>
  <c r="AP593" i="1"/>
  <c r="AO594" i="1"/>
  <c r="AP594" i="1"/>
  <c r="AO595" i="1"/>
  <c r="AP595" i="1"/>
  <c r="AO596" i="1"/>
  <c r="AP596" i="1"/>
  <c r="AO597" i="1"/>
  <c r="AP597" i="1"/>
  <c r="AO598" i="1"/>
  <c r="AP598" i="1"/>
  <c r="AO599" i="1"/>
  <c r="AP599" i="1"/>
  <c r="AO600" i="1"/>
  <c r="AP600" i="1"/>
  <c r="AO601" i="1"/>
  <c r="AP601" i="1"/>
  <c r="AO602" i="1"/>
  <c r="AP602" i="1"/>
  <c r="AO603" i="1"/>
  <c r="AP603" i="1"/>
  <c r="AO604" i="1"/>
  <c r="AP604" i="1"/>
  <c r="AO605" i="1"/>
  <c r="AP605" i="1"/>
  <c r="AO606" i="1"/>
  <c r="AP606" i="1"/>
  <c r="AO607" i="1"/>
  <c r="AP607" i="1"/>
  <c r="AO608" i="1"/>
  <c r="AP608" i="1"/>
  <c r="AO609" i="1"/>
  <c r="AP609" i="1"/>
  <c r="AO610" i="1"/>
  <c r="AP610" i="1"/>
  <c r="AO611" i="1"/>
  <c r="AP611" i="1"/>
  <c r="AO612" i="1"/>
  <c r="AP612" i="1"/>
  <c r="AO613" i="1"/>
  <c r="AP613" i="1"/>
  <c r="AO614" i="1"/>
  <c r="AP614" i="1"/>
  <c r="AO615" i="1"/>
  <c r="AP615" i="1"/>
  <c r="AO616" i="1"/>
  <c r="AP616" i="1"/>
  <c r="AO617" i="1"/>
  <c r="AP617" i="1"/>
  <c r="AO618" i="1"/>
  <c r="AP618" i="1"/>
  <c r="AO619" i="1"/>
  <c r="AP619" i="1"/>
  <c r="AO620" i="1"/>
  <c r="AP620" i="1"/>
  <c r="AO621" i="1"/>
  <c r="AP621" i="1"/>
  <c r="AO622" i="1"/>
  <c r="AP622" i="1"/>
  <c r="AO623" i="1"/>
  <c r="AP623" i="1"/>
  <c r="AO624" i="1"/>
  <c r="AP624" i="1"/>
  <c r="AO625" i="1"/>
  <c r="AP625" i="1"/>
  <c r="AO626" i="1"/>
  <c r="AP626" i="1"/>
  <c r="AO627" i="1"/>
  <c r="AP627" i="1"/>
  <c r="AO628" i="1"/>
  <c r="AP628" i="1"/>
  <c r="AO629" i="1"/>
  <c r="AP629" i="1"/>
  <c r="AO630" i="1"/>
  <c r="AP630" i="1"/>
  <c r="AO631" i="1"/>
  <c r="AP631" i="1"/>
  <c r="AO632" i="1"/>
  <c r="AP632" i="1"/>
  <c r="AO633" i="1"/>
  <c r="AP633" i="1"/>
  <c r="AO634" i="1"/>
  <c r="AP634" i="1"/>
  <c r="AO635" i="1"/>
  <c r="AP635" i="1"/>
  <c r="AO636" i="1"/>
  <c r="AP636" i="1"/>
  <c r="AO637" i="1"/>
  <c r="AP637" i="1"/>
  <c r="AO638" i="1"/>
  <c r="AP638" i="1"/>
  <c r="AO639" i="1"/>
  <c r="AP639" i="1"/>
  <c r="AO640" i="1"/>
  <c r="AP640" i="1"/>
  <c r="AO641" i="1"/>
  <c r="AP641" i="1"/>
  <c r="AO642" i="1"/>
  <c r="AP642" i="1"/>
  <c r="AO643" i="1"/>
  <c r="AP643" i="1"/>
  <c r="AO644" i="1"/>
  <c r="AP644" i="1"/>
  <c r="AO645" i="1"/>
  <c r="AP645" i="1"/>
  <c r="AO646" i="1"/>
  <c r="AP646" i="1"/>
  <c r="AO647" i="1"/>
  <c r="AP647" i="1"/>
  <c r="AO648" i="1"/>
  <c r="AP648" i="1"/>
  <c r="AO649" i="1"/>
  <c r="AP649" i="1"/>
  <c r="AO650" i="1"/>
  <c r="AP650" i="1"/>
  <c r="AO651" i="1"/>
  <c r="AP651" i="1"/>
  <c r="AO652" i="1"/>
  <c r="AP652" i="1"/>
  <c r="AO653" i="1"/>
  <c r="AP653" i="1"/>
  <c r="AO654" i="1"/>
  <c r="AP654" i="1"/>
  <c r="AO655" i="1"/>
  <c r="AP655" i="1"/>
  <c r="AO656" i="1"/>
  <c r="AP656" i="1"/>
  <c r="AO657" i="1"/>
  <c r="AP657" i="1"/>
  <c r="AO658" i="1"/>
  <c r="AP658" i="1"/>
  <c r="AO659" i="1"/>
  <c r="AP659" i="1"/>
  <c r="AO660" i="1"/>
  <c r="AP660" i="1"/>
  <c r="AO661" i="1"/>
  <c r="AP661" i="1"/>
  <c r="AO662" i="1"/>
  <c r="AP662" i="1"/>
  <c r="AO663" i="1"/>
  <c r="AP663" i="1"/>
  <c r="AO664" i="1"/>
  <c r="AP664" i="1"/>
  <c r="AO665" i="1"/>
  <c r="AP665" i="1"/>
  <c r="AO666" i="1"/>
  <c r="AP666" i="1"/>
  <c r="AO667" i="1"/>
  <c r="AP667" i="1"/>
  <c r="AO668" i="1"/>
  <c r="AP668" i="1"/>
  <c r="AO669" i="1"/>
  <c r="AP669" i="1"/>
  <c r="AO670" i="1"/>
  <c r="AP670" i="1"/>
  <c r="AO671" i="1"/>
  <c r="AP671" i="1"/>
  <c r="AO672" i="1"/>
  <c r="AP672" i="1"/>
  <c r="AO673" i="1"/>
  <c r="AP673" i="1"/>
  <c r="AO674" i="1"/>
  <c r="AP674" i="1"/>
  <c r="AO675" i="1"/>
  <c r="AP675" i="1"/>
  <c r="AO676" i="1"/>
  <c r="AP676" i="1"/>
  <c r="AO677" i="1"/>
  <c r="AP677" i="1"/>
  <c r="AO678" i="1"/>
  <c r="AP678" i="1"/>
  <c r="AO679" i="1"/>
  <c r="AP679" i="1"/>
  <c r="AO680" i="1"/>
  <c r="AP680" i="1"/>
  <c r="AO681" i="1"/>
  <c r="AP681" i="1"/>
  <c r="AO682" i="1"/>
  <c r="AP682" i="1"/>
  <c r="AO683" i="1"/>
  <c r="AP683" i="1"/>
  <c r="AO684" i="1"/>
  <c r="AP684" i="1"/>
  <c r="AO685" i="1"/>
  <c r="AP685" i="1"/>
  <c r="AO686" i="1"/>
  <c r="AP686" i="1"/>
  <c r="AO687" i="1"/>
  <c r="AP687" i="1"/>
  <c r="AO688" i="1"/>
  <c r="AP688" i="1"/>
  <c r="AO689" i="1"/>
  <c r="AP689" i="1"/>
  <c r="AO690" i="1"/>
  <c r="AP690" i="1"/>
  <c r="AO691" i="1"/>
  <c r="AP691" i="1"/>
  <c r="AO692" i="1"/>
  <c r="AP692" i="1"/>
  <c r="AO693" i="1"/>
  <c r="AP693" i="1"/>
  <c r="AO694" i="1"/>
  <c r="AP694" i="1"/>
  <c r="AO695" i="1"/>
  <c r="AP695" i="1"/>
  <c r="AO696" i="1"/>
  <c r="AP696" i="1"/>
  <c r="AO697" i="1"/>
  <c r="AP697" i="1"/>
  <c r="AO698" i="1"/>
  <c r="AP698" i="1"/>
  <c r="AO699" i="1"/>
  <c r="AP699" i="1"/>
  <c r="AO700" i="1"/>
  <c r="AP700" i="1"/>
  <c r="AO701" i="1"/>
  <c r="AP701" i="1"/>
  <c r="AO702" i="1"/>
  <c r="AP702" i="1"/>
  <c r="AO703" i="1"/>
  <c r="AP703" i="1"/>
  <c r="AO704" i="1"/>
  <c r="AP704" i="1"/>
  <c r="AO705" i="1"/>
  <c r="AP705" i="1"/>
  <c r="AO706" i="1"/>
  <c r="AP706" i="1"/>
  <c r="AO707" i="1"/>
  <c r="AP707" i="1"/>
  <c r="AO708" i="1"/>
  <c r="AP708" i="1"/>
  <c r="AO709" i="1"/>
  <c r="AP709" i="1"/>
  <c r="AO710" i="1"/>
  <c r="AP710" i="1"/>
  <c r="AO711" i="1"/>
  <c r="AP711" i="1"/>
  <c r="AO712" i="1"/>
  <c r="AP712" i="1"/>
  <c r="AO713" i="1"/>
  <c r="AP713" i="1"/>
  <c r="AO714" i="1"/>
  <c r="AP714" i="1"/>
  <c r="AO715" i="1"/>
  <c r="AP715" i="1"/>
  <c r="AO716" i="1"/>
  <c r="AP716" i="1"/>
  <c r="AO717" i="1"/>
  <c r="AP717" i="1"/>
  <c r="AO718" i="1"/>
  <c r="AP718" i="1"/>
  <c r="AO719" i="1"/>
  <c r="AP719" i="1"/>
  <c r="AO720" i="1"/>
  <c r="AP720" i="1"/>
  <c r="AO721" i="1"/>
  <c r="AP721" i="1"/>
  <c r="AO722" i="1"/>
  <c r="AP722" i="1"/>
  <c r="AO723" i="1"/>
  <c r="AP723" i="1"/>
  <c r="AO724" i="1"/>
  <c r="AP724" i="1"/>
  <c r="AO725" i="1"/>
  <c r="AP725" i="1"/>
  <c r="AO726" i="1"/>
  <c r="AP726" i="1"/>
  <c r="AO727" i="1"/>
  <c r="AP727" i="1"/>
  <c r="AO728" i="1"/>
  <c r="AP728" i="1"/>
  <c r="AO729" i="1"/>
  <c r="AP729" i="1"/>
  <c r="AO730" i="1"/>
  <c r="AP730" i="1"/>
  <c r="AO731" i="1"/>
  <c r="AP731" i="1"/>
  <c r="AO732" i="1"/>
  <c r="AP732" i="1"/>
  <c r="AO733" i="1"/>
  <c r="AP733" i="1"/>
  <c r="AO734" i="1"/>
  <c r="AP734" i="1"/>
  <c r="AO735" i="1"/>
  <c r="AP735" i="1"/>
  <c r="AO736" i="1"/>
  <c r="AP736" i="1"/>
  <c r="AO737" i="1"/>
  <c r="AP737" i="1"/>
  <c r="AO738" i="1"/>
  <c r="AP738" i="1"/>
  <c r="AO739" i="1"/>
  <c r="AP739" i="1"/>
  <c r="AO740" i="1"/>
  <c r="AP740" i="1"/>
  <c r="AO741" i="1"/>
  <c r="AP741" i="1"/>
  <c r="AO742" i="1"/>
  <c r="AP742" i="1"/>
  <c r="AO743" i="1"/>
  <c r="AP743" i="1"/>
  <c r="AO744" i="1"/>
  <c r="AP744" i="1"/>
  <c r="AO745" i="1"/>
  <c r="AP745" i="1"/>
  <c r="AO746" i="1"/>
  <c r="AP746" i="1"/>
  <c r="AO747" i="1"/>
  <c r="AP747" i="1"/>
  <c r="AO748" i="1"/>
  <c r="AP748" i="1"/>
  <c r="AO749" i="1"/>
  <c r="AP749" i="1"/>
  <c r="AO750" i="1"/>
  <c r="AP750" i="1"/>
  <c r="AO751" i="1"/>
  <c r="AP751" i="1"/>
  <c r="AO752" i="1"/>
  <c r="AP752" i="1"/>
  <c r="AO753" i="1"/>
  <c r="AP753" i="1"/>
  <c r="AO754" i="1"/>
  <c r="AP754" i="1"/>
  <c r="AO755" i="1"/>
  <c r="AP755" i="1"/>
  <c r="AO756" i="1"/>
  <c r="AP756" i="1"/>
  <c r="AO757" i="1"/>
  <c r="AP757" i="1"/>
  <c r="AO758" i="1"/>
  <c r="AP758" i="1"/>
  <c r="AO759" i="1"/>
  <c r="AP759" i="1"/>
  <c r="AO760" i="1"/>
  <c r="AP760" i="1"/>
  <c r="AO761" i="1"/>
  <c r="AP761" i="1"/>
  <c r="AO762" i="1"/>
  <c r="AP762" i="1"/>
  <c r="AO763" i="1"/>
  <c r="AP763" i="1"/>
  <c r="AO764" i="1"/>
  <c r="AP764" i="1"/>
  <c r="AO765" i="1"/>
  <c r="AP765" i="1"/>
  <c r="AO766" i="1"/>
  <c r="AP766" i="1"/>
  <c r="AO767" i="1"/>
  <c r="AP767" i="1"/>
  <c r="AO768" i="1"/>
  <c r="AP768" i="1"/>
  <c r="AO769" i="1"/>
  <c r="AP769" i="1"/>
  <c r="AO770" i="1"/>
  <c r="AP770" i="1"/>
  <c r="AO771" i="1"/>
  <c r="AP771" i="1"/>
  <c r="AO772" i="1"/>
  <c r="AP772" i="1"/>
  <c r="AO773" i="1"/>
  <c r="AP773" i="1"/>
  <c r="AO774" i="1"/>
  <c r="AP774" i="1"/>
  <c r="AO775" i="1"/>
  <c r="AP775" i="1"/>
  <c r="AO776" i="1"/>
  <c r="AP776" i="1"/>
  <c r="AO777" i="1"/>
  <c r="AP777" i="1"/>
  <c r="AO778" i="1"/>
  <c r="AP778" i="1"/>
  <c r="AO779" i="1"/>
  <c r="AP779" i="1"/>
  <c r="AO780" i="1"/>
  <c r="AP780" i="1"/>
  <c r="AO781" i="1"/>
  <c r="AP781" i="1"/>
  <c r="AO782" i="1"/>
  <c r="AP782" i="1"/>
  <c r="AO783" i="1"/>
  <c r="AP783" i="1"/>
  <c r="AO784" i="1"/>
  <c r="AP784" i="1"/>
  <c r="AO785" i="1"/>
  <c r="AP785" i="1"/>
  <c r="AO786" i="1"/>
  <c r="AP786" i="1"/>
  <c r="AO787" i="1"/>
  <c r="AP787" i="1"/>
  <c r="AO788" i="1"/>
  <c r="AP788" i="1"/>
  <c r="AO789" i="1"/>
  <c r="AP789" i="1"/>
  <c r="AO790" i="1"/>
  <c r="AP790" i="1"/>
  <c r="AO791" i="1"/>
  <c r="AP791" i="1"/>
  <c r="AO792" i="1"/>
  <c r="AP792" i="1"/>
  <c r="AO793" i="1"/>
  <c r="AP793" i="1"/>
  <c r="AO794" i="1"/>
  <c r="AP794" i="1"/>
  <c r="AO795" i="1"/>
  <c r="AP795" i="1"/>
  <c r="AO796" i="1"/>
  <c r="AP796" i="1"/>
  <c r="AO797" i="1"/>
  <c r="AP797" i="1"/>
  <c r="AO798" i="1"/>
  <c r="AP798" i="1"/>
  <c r="AO799" i="1"/>
  <c r="AP799" i="1"/>
  <c r="AO800" i="1"/>
  <c r="AP800" i="1"/>
  <c r="AO801" i="1"/>
  <c r="AP801" i="1"/>
  <c r="AO802" i="1"/>
  <c r="AP802" i="1"/>
  <c r="AO803" i="1"/>
  <c r="AP803" i="1"/>
  <c r="AO804" i="1"/>
  <c r="AP804" i="1"/>
  <c r="AO805" i="1"/>
  <c r="AP805" i="1"/>
  <c r="AO806" i="1"/>
  <c r="AP806" i="1"/>
  <c r="AO807" i="1"/>
  <c r="AP807" i="1"/>
  <c r="AO808" i="1"/>
  <c r="AP808" i="1"/>
  <c r="AO809" i="1"/>
  <c r="AP809" i="1"/>
  <c r="AO810" i="1"/>
  <c r="AP810" i="1"/>
  <c r="AO811" i="1"/>
  <c r="AP811" i="1"/>
  <c r="AO812" i="1"/>
  <c r="AP812" i="1"/>
  <c r="AO813" i="1"/>
  <c r="AP813" i="1"/>
  <c r="AO814" i="1"/>
  <c r="AP814" i="1"/>
  <c r="AO815" i="1"/>
  <c r="AP815" i="1"/>
  <c r="AO816" i="1"/>
  <c r="AP816" i="1"/>
  <c r="AO817" i="1"/>
  <c r="AP817" i="1"/>
  <c r="AO818" i="1"/>
  <c r="AP818" i="1"/>
  <c r="AO819" i="1"/>
  <c r="AP819" i="1"/>
  <c r="AO820" i="1"/>
  <c r="AP820" i="1"/>
  <c r="AO821" i="1"/>
  <c r="AP821" i="1"/>
  <c r="AO822" i="1"/>
  <c r="AP822" i="1"/>
  <c r="AO823" i="1"/>
  <c r="AP823" i="1"/>
  <c r="AO824" i="1"/>
  <c r="AP824" i="1"/>
  <c r="AO825" i="1"/>
  <c r="AP825" i="1"/>
  <c r="AO826" i="1"/>
  <c r="AP826" i="1"/>
  <c r="AO827" i="1"/>
  <c r="AP827" i="1"/>
  <c r="AO828" i="1"/>
  <c r="AP828" i="1"/>
  <c r="AO829" i="1"/>
  <c r="AP829" i="1"/>
  <c r="AO830" i="1"/>
  <c r="AP830" i="1"/>
  <c r="AO831" i="1"/>
  <c r="AP831" i="1"/>
  <c r="AO832" i="1"/>
  <c r="AP832" i="1"/>
  <c r="AO833" i="1"/>
  <c r="AP833" i="1"/>
  <c r="AO834" i="1"/>
  <c r="AP834" i="1"/>
  <c r="AO835" i="1"/>
  <c r="AP835" i="1"/>
  <c r="AO836" i="1"/>
  <c r="AP836" i="1"/>
  <c r="AO837" i="1"/>
  <c r="AP837" i="1"/>
  <c r="AO838" i="1"/>
  <c r="AP838" i="1"/>
  <c r="AO839" i="1"/>
  <c r="AP839" i="1"/>
  <c r="AO840" i="1"/>
  <c r="AP840" i="1"/>
  <c r="AO841" i="1"/>
  <c r="AP841" i="1"/>
  <c r="AO842" i="1"/>
  <c r="AP842" i="1"/>
  <c r="AO843" i="1"/>
  <c r="AP843" i="1"/>
  <c r="AO844" i="1"/>
  <c r="AP844" i="1"/>
  <c r="AO845" i="1"/>
  <c r="AP845" i="1"/>
  <c r="AO846" i="1"/>
  <c r="AP846" i="1"/>
  <c r="AO847" i="1"/>
  <c r="AP847" i="1"/>
  <c r="AO848" i="1"/>
  <c r="AP848" i="1"/>
  <c r="AO849" i="1"/>
  <c r="AP849" i="1"/>
  <c r="AO850" i="1"/>
  <c r="AP850" i="1"/>
  <c r="AO851" i="1"/>
  <c r="AP851" i="1"/>
  <c r="AO852" i="1"/>
  <c r="AP852" i="1"/>
  <c r="AO853" i="1"/>
  <c r="AP853" i="1"/>
  <c r="AO854" i="1"/>
  <c r="AP854" i="1"/>
  <c r="AO855" i="1"/>
  <c r="AP855" i="1"/>
  <c r="AO856" i="1"/>
  <c r="AP856" i="1"/>
  <c r="AO857" i="1"/>
  <c r="AP857" i="1"/>
  <c r="AO858" i="1"/>
  <c r="AP858" i="1"/>
  <c r="AO859" i="1"/>
  <c r="AP859" i="1"/>
  <c r="AO860" i="1"/>
  <c r="AP860" i="1"/>
  <c r="AO861" i="1"/>
  <c r="AP861" i="1"/>
  <c r="AO862" i="1"/>
  <c r="AP862" i="1"/>
  <c r="AO863" i="1"/>
  <c r="AP863" i="1"/>
  <c r="AO864" i="1"/>
  <c r="AP864" i="1"/>
  <c r="AO865" i="1"/>
  <c r="AP865" i="1"/>
  <c r="AO866" i="1"/>
  <c r="AP866" i="1"/>
  <c r="AO867" i="1"/>
  <c r="AP867" i="1"/>
  <c r="AO868" i="1"/>
  <c r="AP868" i="1"/>
  <c r="AO869" i="1"/>
  <c r="AP869" i="1"/>
  <c r="AO870" i="1"/>
  <c r="AP870" i="1"/>
  <c r="AO871" i="1"/>
  <c r="AP871" i="1"/>
  <c r="AO872" i="1"/>
  <c r="AP872" i="1"/>
  <c r="AO873" i="1"/>
  <c r="AP873" i="1"/>
  <c r="AO874" i="1"/>
  <c r="AP874" i="1"/>
  <c r="AO875" i="1"/>
  <c r="AP875" i="1"/>
  <c r="AO876" i="1"/>
  <c r="AP876" i="1"/>
  <c r="AO877" i="1"/>
  <c r="AP877" i="1"/>
  <c r="AO878" i="1"/>
  <c r="AP878" i="1"/>
  <c r="AO879" i="1"/>
  <c r="AP879" i="1"/>
  <c r="AO880" i="1"/>
  <c r="AP880" i="1"/>
  <c r="AO881" i="1"/>
  <c r="AP881" i="1"/>
  <c r="AO882" i="1"/>
  <c r="AP882" i="1"/>
  <c r="AO883" i="1"/>
  <c r="AP883" i="1"/>
  <c r="AO884" i="1"/>
  <c r="AP884" i="1"/>
  <c r="AO885" i="1"/>
  <c r="AP885" i="1"/>
  <c r="AO886" i="1"/>
  <c r="AP886" i="1"/>
  <c r="AO887" i="1"/>
  <c r="AP887" i="1"/>
  <c r="AO888" i="1"/>
  <c r="AP888" i="1"/>
  <c r="AO889" i="1"/>
  <c r="AP889" i="1"/>
  <c r="AO890" i="1"/>
  <c r="AP890" i="1"/>
  <c r="AO891" i="1"/>
  <c r="AP891" i="1"/>
  <c r="AO892" i="1"/>
  <c r="AP892" i="1"/>
  <c r="AO893" i="1"/>
  <c r="AP893" i="1"/>
  <c r="AO894" i="1"/>
  <c r="AP894" i="1"/>
  <c r="AO895" i="1"/>
  <c r="AP895" i="1"/>
  <c r="AO896" i="1"/>
  <c r="AP896" i="1"/>
  <c r="AO897" i="1"/>
  <c r="AP897" i="1"/>
  <c r="AO898" i="1"/>
  <c r="AP898" i="1"/>
  <c r="AO899" i="1"/>
  <c r="AP899" i="1"/>
  <c r="AO900" i="1"/>
  <c r="AP900" i="1"/>
  <c r="AO901" i="1"/>
  <c r="AP901" i="1"/>
  <c r="AO902" i="1"/>
  <c r="AP902" i="1"/>
  <c r="AO903" i="1"/>
  <c r="AP903" i="1"/>
  <c r="AO904" i="1"/>
  <c r="AP904" i="1"/>
  <c r="AO905" i="1"/>
  <c r="AP905" i="1"/>
  <c r="AO906" i="1"/>
  <c r="AP906" i="1"/>
  <c r="AO907" i="1"/>
  <c r="AP907" i="1"/>
  <c r="AO908" i="1"/>
  <c r="AP908" i="1"/>
  <c r="AO909" i="1"/>
  <c r="AP909" i="1"/>
  <c r="AO910" i="1"/>
  <c r="AP910" i="1"/>
  <c r="AO911" i="1"/>
  <c r="AP911" i="1"/>
  <c r="AO912" i="1"/>
  <c r="AP912" i="1"/>
  <c r="AO913" i="1"/>
  <c r="AP913" i="1"/>
  <c r="AO914" i="1"/>
  <c r="AP914" i="1"/>
  <c r="AO915" i="1"/>
  <c r="AP915" i="1"/>
  <c r="AO916" i="1"/>
  <c r="AP916" i="1"/>
  <c r="AO917" i="1"/>
  <c r="AP917" i="1"/>
  <c r="AO918" i="1"/>
  <c r="AP918" i="1"/>
  <c r="AO919" i="1"/>
  <c r="AP919" i="1"/>
  <c r="AO920" i="1"/>
  <c r="AP920" i="1"/>
  <c r="AO921" i="1"/>
  <c r="AP921" i="1"/>
  <c r="AO922" i="1"/>
  <c r="AP922" i="1"/>
  <c r="AO923" i="1"/>
  <c r="AP923" i="1"/>
  <c r="AO924" i="1"/>
  <c r="AP924" i="1"/>
  <c r="AO925" i="1"/>
  <c r="AP925" i="1"/>
  <c r="AO926" i="1"/>
  <c r="AP926" i="1"/>
  <c r="AO927" i="1"/>
  <c r="AP927" i="1"/>
  <c r="AO928" i="1"/>
  <c r="AP928" i="1"/>
  <c r="AO929" i="1"/>
  <c r="AP929" i="1"/>
  <c r="AO930" i="1"/>
  <c r="AP930" i="1"/>
  <c r="AO931" i="1"/>
  <c r="AP931" i="1"/>
  <c r="AO932" i="1"/>
  <c r="AP932" i="1"/>
  <c r="AO933" i="1"/>
  <c r="AP933" i="1"/>
  <c r="AO934" i="1"/>
  <c r="AP934" i="1"/>
  <c r="AO935" i="1"/>
  <c r="AP935" i="1"/>
  <c r="AO936" i="1"/>
  <c r="AP936" i="1"/>
  <c r="AO937" i="1"/>
  <c r="AP937" i="1"/>
  <c r="AO938" i="1"/>
  <c r="AP938" i="1"/>
  <c r="AO939" i="1"/>
  <c r="AP939" i="1"/>
  <c r="AO940" i="1"/>
  <c r="AP940" i="1"/>
  <c r="AO941" i="1"/>
  <c r="AP941" i="1"/>
  <c r="AO942" i="1"/>
  <c r="AP942" i="1"/>
  <c r="AO943" i="1"/>
  <c r="AP943" i="1"/>
  <c r="AO944" i="1"/>
  <c r="AP944" i="1"/>
  <c r="AO945" i="1"/>
  <c r="AP945" i="1"/>
  <c r="AO946" i="1"/>
  <c r="AP946" i="1"/>
  <c r="AO947" i="1"/>
  <c r="AP947" i="1"/>
  <c r="AO948" i="1"/>
  <c r="AP948" i="1"/>
  <c r="AO949" i="1"/>
  <c r="AP949" i="1"/>
  <c r="AO950" i="1"/>
  <c r="AP950" i="1"/>
  <c r="AO951" i="1"/>
  <c r="AP951" i="1"/>
  <c r="AO952" i="1"/>
  <c r="AP952" i="1"/>
  <c r="AO953" i="1"/>
  <c r="AP953" i="1"/>
  <c r="AO954" i="1"/>
  <c r="AP954" i="1"/>
  <c r="AO955" i="1"/>
  <c r="AP955" i="1"/>
  <c r="AO956" i="1"/>
  <c r="AP956" i="1"/>
  <c r="AO957" i="1"/>
  <c r="AP957" i="1"/>
  <c r="AO958" i="1"/>
  <c r="AP958" i="1"/>
  <c r="AO959" i="1"/>
  <c r="AP959" i="1"/>
  <c r="AO960" i="1"/>
  <c r="AP960" i="1"/>
  <c r="AO961" i="1"/>
  <c r="AP961" i="1"/>
  <c r="AO962" i="1"/>
  <c r="AP962" i="1"/>
  <c r="AO963" i="1"/>
  <c r="AP963" i="1"/>
  <c r="AO964" i="1"/>
  <c r="AP964" i="1"/>
  <c r="AO965" i="1"/>
  <c r="AP965" i="1"/>
  <c r="AO966" i="1"/>
  <c r="AP966" i="1"/>
  <c r="AO967" i="1"/>
  <c r="AP967" i="1"/>
  <c r="AO968" i="1"/>
  <c r="AP968" i="1"/>
  <c r="AO969" i="1"/>
  <c r="AP969" i="1"/>
  <c r="AO970" i="1"/>
  <c r="AP970" i="1"/>
  <c r="AO971" i="1"/>
  <c r="AP971" i="1"/>
  <c r="AO972" i="1"/>
  <c r="AP972" i="1"/>
  <c r="AO973" i="1"/>
  <c r="AP973" i="1"/>
  <c r="AO974" i="1"/>
  <c r="AP974" i="1"/>
  <c r="AO975" i="1"/>
  <c r="AP975" i="1"/>
  <c r="AO976" i="1"/>
  <c r="AP976" i="1"/>
  <c r="AO977" i="1"/>
  <c r="AP977" i="1"/>
  <c r="AO978" i="1"/>
  <c r="AP978" i="1"/>
  <c r="AO979" i="1"/>
  <c r="AP979" i="1"/>
  <c r="AO980" i="1"/>
  <c r="AP980" i="1"/>
  <c r="AO981" i="1"/>
  <c r="AP981" i="1"/>
  <c r="AO982" i="1"/>
  <c r="AP982" i="1"/>
  <c r="AO983" i="1"/>
  <c r="AP983" i="1"/>
  <c r="AO984" i="1"/>
  <c r="AP984" i="1"/>
  <c r="AO985" i="1"/>
  <c r="AP985" i="1"/>
  <c r="AO986" i="1"/>
  <c r="AP986" i="1"/>
  <c r="AO987" i="1"/>
  <c r="AP987" i="1"/>
  <c r="AO988" i="1"/>
  <c r="AP988" i="1"/>
  <c r="AO989" i="1"/>
  <c r="AP989" i="1"/>
  <c r="AO990" i="1"/>
  <c r="AP990" i="1"/>
  <c r="AO991" i="1"/>
  <c r="AP991" i="1"/>
  <c r="AO992" i="1"/>
  <c r="AP992" i="1"/>
  <c r="AO993" i="1"/>
  <c r="AP993" i="1"/>
  <c r="AO994" i="1"/>
  <c r="AP994" i="1"/>
  <c r="AO995" i="1"/>
  <c r="AP995" i="1"/>
  <c r="AO996" i="1"/>
  <c r="AP996" i="1"/>
  <c r="AO997" i="1"/>
  <c r="AP997" i="1"/>
  <c r="AO998" i="1"/>
  <c r="AP998" i="1"/>
  <c r="AO999" i="1"/>
  <c r="AP999" i="1"/>
  <c r="AO1000" i="1"/>
  <c r="AP1000" i="1"/>
  <c r="AO1001" i="1"/>
  <c r="AP1001" i="1"/>
  <c r="AO1002" i="1"/>
  <c r="AP1002" i="1"/>
  <c r="AO1003" i="1"/>
  <c r="AP1003" i="1"/>
  <c r="AO1004" i="1"/>
  <c r="AP1004" i="1"/>
  <c r="AO1005" i="1"/>
  <c r="AP1005" i="1"/>
  <c r="AO1006" i="1"/>
  <c r="AP1006" i="1"/>
  <c r="AO1007" i="1"/>
  <c r="AP1007" i="1"/>
  <c r="AO1008" i="1"/>
  <c r="AP1008" i="1"/>
  <c r="AO1009" i="1"/>
  <c r="AP1009" i="1"/>
  <c r="AO1010" i="1"/>
  <c r="AP1010" i="1"/>
  <c r="AO1011" i="1"/>
  <c r="AP1011" i="1"/>
  <c r="AO1012" i="1"/>
  <c r="AP1012" i="1"/>
  <c r="AO1013" i="1"/>
  <c r="AP1013" i="1"/>
  <c r="AO1014" i="1"/>
  <c r="AP1014" i="1"/>
  <c r="AO1015" i="1"/>
  <c r="AP1015" i="1"/>
  <c r="AO1016" i="1"/>
  <c r="AP1016" i="1"/>
  <c r="AO1017" i="1"/>
  <c r="AP1017" i="1"/>
  <c r="AO1018" i="1"/>
  <c r="AP1018" i="1"/>
  <c r="AO1019" i="1"/>
  <c r="AP1019" i="1"/>
  <c r="AO1020" i="1"/>
  <c r="AP1020" i="1"/>
  <c r="AO1021" i="1"/>
  <c r="AP1021" i="1"/>
  <c r="AO1022" i="1"/>
  <c r="AP1022" i="1"/>
  <c r="AO1023" i="1"/>
  <c r="AP1023" i="1"/>
  <c r="AO1024" i="1"/>
  <c r="AP1024" i="1"/>
  <c r="AO1025" i="1"/>
  <c r="AP1025" i="1"/>
  <c r="AO1026" i="1"/>
  <c r="AP1026" i="1"/>
  <c r="AO1027" i="1"/>
  <c r="AP1027" i="1"/>
  <c r="AO1028" i="1"/>
  <c r="AP1028" i="1"/>
  <c r="AO1029" i="1"/>
  <c r="AP1029" i="1"/>
  <c r="AO1030" i="1"/>
  <c r="AP1030" i="1"/>
  <c r="AO1031" i="1"/>
  <c r="AP1031" i="1"/>
  <c r="AO1032" i="1"/>
  <c r="AP1032" i="1"/>
  <c r="AO1033" i="1"/>
  <c r="AP1033" i="1"/>
  <c r="AO1034" i="1"/>
  <c r="AP1034" i="1"/>
  <c r="AO1035" i="1"/>
  <c r="AP1035" i="1"/>
  <c r="AO1036" i="1"/>
  <c r="AP1036" i="1"/>
  <c r="AO1037" i="1"/>
  <c r="AP1037" i="1"/>
  <c r="AO1038" i="1"/>
  <c r="AP1038" i="1"/>
  <c r="AO1039" i="1"/>
  <c r="AP1039" i="1"/>
  <c r="AO1040" i="1"/>
  <c r="AP1040" i="1"/>
  <c r="AO1041" i="1"/>
  <c r="AP1041" i="1"/>
  <c r="AO1042" i="1"/>
  <c r="AP1042" i="1"/>
  <c r="AO1043" i="1"/>
  <c r="AP1043" i="1"/>
  <c r="AO1044" i="1"/>
  <c r="AP1044" i="1"/>
  <c r="AO1045" i="1"/>
  <c r="AP1045" i="1"/>
  <c r="AO1046" i="1"/>
  <c r="AP1046" i="1"/>
  <c r="AO1047" i="1"/>
  <c r="AP1047" i="1"/>
  <c r="AO1048" i="1"/>
  <c r="AP1048" i="1"/>
  <c r="AO1049" i="1"/>
  <c r="AP1049" i="1"/>
  <c r="AO1050" i="1"/>
  <c r="AP1050" i="1"/>
  <c r="AO1051" i="1"/>
  <c r="AP1051" i="1"/>
  <c r="AO1052" i="1"/>
  <c r="AP1052" i="1"/>
  <c r="AO1053" i="1"/>
  <c r="AP1053" i="1"/>
  <c r="AO1054" i="1"/>
  <c r="AP1054" i="1"/>
  <c r="AO1055" i="1"/>
  <c r="AP1055" i="1"/>
  <c r="AO1056" i="1"/>
  <c r="AP1056" i="1"/>
  <c r="AO1057" i="1"/>
  <c r="AP1057" i="1"/>
  <c r="AO1058" i="1"/>
  <c r="AP1058" i="1"/>
  <c r="AO1059" i="1"/>
  <c r="AP1059" i="1"/>
  <c r="AO1060" i="1"/>
  <c r="AP1060" i="1"/>
  <c r="AO1061" i="1"/>
  <c r="AP1061" i="1"/>
  <c r="AO1062" i="1"/>
  <c r="AP1062" i="1"/>
  <c r="AO1063" i="1"/>
  <c r="AP1063" i="1"/>
  <c r="AO1064" i="1"/>
  <c r="AP1064" i="1"/>
  <c r="AO1065" i="1"/>
  <c r="AP1065" i="1"/>
  <c r="AO1066" i="1"/>
  <c r="AP1066" i="1"/>
  <c r="AO1067" i="1"/>
  <c r="AP1067" i="1"/>
  <c r="AO1068" i="1"/>
  <c r="AP1068" i="1"/>
  <c r="AO1069" i="1"/>
  <c r="AP1069" i="1"/>
  <c r="AO1070" i="1"/>
  <c r="AP1070" i="1"/>
  <c r="AO1071" i="1"/>
  <c r="AP1071" i="1"/>
  <c r="AO1072" i="1"/>
  <c r="AP1072" i="1"/>
  <c r="AO1073" i="1"/>
  <c r="AP1073" i="1"/>
  <c r="AO1074" i="1"/>
  <c r="AP1074" i="1"/>
  <c r="AO1075" i="1"/>
  <c r="AP1075" i="1"/>
  <c r="AO1076" i="1"/>
  <c r="AP1076" i="1"/>
  <c r="AO1077" i="1"/>
  <c r="AP1077" i="1"/>
  <c r="AO1078" i="1"/>
  <c r="AP1078" i="1"/>
  <c r="AO1079" i="1"/>
  <c r="AP1079" i="1"/>
  <c r="AO1080" i="1"/>
  <c r="AP1080" i="1"/>
  <c r="AO1081" i="1"/>
  <c r="AP1081" i="1"/>
  <c r="AO1082" i="1"/>
  <c r="AP1082" i="1"/>
  <c r="AO1083" i="1"/>
  <c r="AP1083" i="1"/>
  <c r="AO1084" i="1"/>
  <c r="AP1084" i="1"/>
  <c r="AO1085" i="1"/>
  <c r="AP1085" i="1"/>
  <c r="AO1086" i="1"/>
  <c r="AP1086" i="1"/>
  <c r="AO1087" i="1"/>
  <c r="AP1087" i="1"/>
  <c r="AO1088" i="1"/>
  <c r="AP1088" i="1"/>
  <c r="AO1089" i="1"/>
  <c r="AP1089" i="1"/>
  <c r="AO1090" i="1"/>
  <c r="AP1090" i="1"/>
  <c r="AO1091" i="1"/>
  <c r="AP1091" i="1"/>
  <c r="AO1092" i="1"/>
  <c r="AP1092" i="1"/>
  <c r="AO1093" i="1"/>
  <c r="AP1093" i="1"/>
  <c r="AO1094" i="1"/>
  <c r="AP1094" i="1"/>
  <c r="AO1095" i="1"/>
  <c r="AP1095" i="1"/>
  <c r="AO1096" i="1"/>
  <c r="AP1096" i="1"/>
  <c r="AO1097" i="1"/>
  <c r="AP1097" i="1"/>
  <c r="AO1098" i="1"/>
  <c r="AP1098" i="1"/>
  <c r="AO1099" i="1"/>
  <c r="AP1099" i="1"/>
  <c r="AO1100" i="1"/>
  <c r="AP1100" i="1"/>
  <c r="AO1101" i="1"/>
  <c r="AP1101" i="1"/>
  <c r="AO1102" i="1"/>
  <c r="AP1102" i="1"/>
  <c r="AO1103" i="1"/>
  <c r="AP1103" i="1"/>
  <c r="AO1104" i="1"/>
  <c r="AP1104" i="1"/>
  <c r="AO1105" i="1"/>
  <c r="AP1105" i="1"/>
  <c r="AO1106" i="1"/>
  <c r="AP1106" i="1"/>
  <c r="AO1107" i="1"/>
  <c r="AP1107" i="1"/>
  <c r="AO1108" i="1"/>
  <c r="AP1108" i="1"/>
  <c r="AO1109" i="1"/>
  <c r="AP1109" i="1"/>
  <c r="AO1110" i="1"/>
  <c r="AP1110" i="1"/>
  <c r="AO1111" i="1"/>
  <c r="AP1111" i="1"/>
  <c r="AO1112" i="1"/>
  <c r="AP1112" i="1"/>
  <c r="AO1113" i="1"/>
  <c r="AP1113" i="1"/>
  <c r="AO1114" i="1"/>
  <c r="AP1114" i="1"/>
  <c r="AO1115" i="1"/>
  <c r="AP1115" i="1"/>
  <c r="AO1116" i="1"/>
  <c r="AP1116" i="1"/>
  <c r="AO1117" i="1"/>
  <c r="AP1117" i="1"/>
  <c r="AO1118" i="1"/>
  <c r="AP1118" i="1"/>
  <c r="AO1119" i="1"/>
  <c r="AP1119" i="1"/>
  <c r="AO1120" i="1"/>
  <c r="AP1120" i="1"/>
  <c r="AO1121" i="1"/>
  <c r="AP1121" i="1"/>
  <c r="AO1122" i="1"/>
  <c r="AP1122" i="1"/>
  <c r="AO1123" i="1"/>
  <c r="AP1123" i="1"/>
  <c r="AO1124" i="1"/>
  <c r="AP1124" i="1"/>
  <c r="AO1125" i="1"/>
  <c r="AP1125" i="1"/>
  <c r="AO1126" i="1"/>
  <c r="AP1126" i="1"/>
  <c r="AO1127" i="1"/>
  <c r="AP1127" i="1"/>
  <c r="AO1128" i="1"/>
  <c r="AP1128" i="1"/>
  <c r="AO1129" i="1"/>
  <c r="AP1129" i="1"/>
  <c r="AO1130" i="1"/>
  <c r="AP1130" i="1"/>
  <c r="AO1131" i="1"/>
  <c r="AP1131" i="1"/>
  <c r="AO1132" i="1"/>
  <c r="AP1132" i="1"/>
  <c r="AO1133" i="1"/>
  <c r="AP1133" i="1"/>
  <c r="AO1134" i="1"/>
  <c r="AP1134" i="1"/>
  <c r="AO1135" i="1"/>
  <c r="AP1135" i="1"/>
  <c r="AO1136" i="1"/>
  <c r="AP1136" i="1"/>
  <c r="AO1137" i="1"/>
  <c r="AP1137" i="1"/>
  <c r="AO1138" i="1"/>
  <c r="AP1138" i="1"/>
  <c r="AO1139" i="1"/>
  <c r="AP1139" i="1"/>
  <c r="AO1140" i="1"/>
  <c r="AP1140" i="1"/>
  <c r="AO1141" i="1"/>
  <c r="AP1141" i="1"/>
  <c r="AO1142" i="1"/>
  <c r="AP1142" i="1"/>
  <c r="AO1143" i="1"/>
  <c r="AP1143" i="1"/>
  <c r="AO1144" i="1"/>
  <c r="AP1144" i="1"/>
  <c r="AO1145" i="1"/>
  <c r="AP1145" i="1"/>
  <c r="AO1146" i="1"/>
  <c r="AP1146" i="1"/>
  <c r="AO1147" i="1"/>
  <c r="AP1147" i="1"/>
  <c r="AO1148" i="1"/>
  <c r="AP1148" i="1"/>
  <c r="AO1149" i="1"/>
  <c r="AP1149" i="1"/>
  <c r="AO1150" i="1"/>
  <c r="AP1150" i="1"/>
  <c r="AO1151" i="1"/>
  <c r="AP1151" i="1"/>
  <c r="AO1152" i="1"/>
  <c r="AP1152" i="1"/>
  <c r="AO1153" i="1"/>
  <c r="AP1153" i="1"/>
  <c r="AO1154" i="1"/>
  <c r="AP1154" i="1"/>
  <c r="AO1155" i="1"/>
  <c r="AP1155" i="1"/>
  <c r="AO1156" i="1"/>
  <c r="AP1156" i="1"/>
  <c r="AO1157" i="1"/>
  <c r="AP1157" i="1"/>
  <c r="AO1158" i="1"/>
  <c r="AP1158" i="1"/>
  <c r="AO1159" i="1"/>
  <c r="AP1159" i="1"/>
  <c r="AO1160" i="1"/>
  <c r="AP1160" i="1"/>
  <c r="AO1161" i="1"/>
  <c r="AP1161" i="1"/>
  <c r="AO1162" i="1"/>
  <c r="AP1162" i="1"/>
  <c r="AO1163" i="1"/>
  <c r="AP1163" i="1"/>
  <c r="AO1164" i="1"/>
  <c r="AP1164" i="1"/>
  <c r="AO1165" i="1"/>
  <c r="AP1165" i="1"/>
  <c r="AO1166" i="1"/>
  <c r="AP1166" i="1"/>
  <c r="AO1167" i="1"/>
  <c r="AP1167" i="1"/>
  <c r="AO1168" i="1"/>
  <c r="AP1168" i="1"/>
  <c r="AO1169" i="1"/>
  <c r="AP1169" i="1"/>
  <c r="AO1170" i="1"/>
  <c r="AP1170" i="1"/>
  <c r="AO1171" i="1"/>
  <c r="AP1171" i="1"/>
  <c r="AO1172" i="1"/>
  <c r="AP1172" i="1"/>
  <c r="AO1173" i="1"/>
  <c r="AP1173" i="1"/>
  <c r="AO1174" i="1"/>
  <c r="AP1174" i="1"/>
  <c r="AO1175" i="1"/>
  <c r="AP1175" i="1"/>
  <c r="AO1176" i="1"/>
  <c r="AP1176" i="1"/>
  <c r="AO1177" i="1"/>
  <c r="AP1177" i="1"/>
  <c r="AO1178" i="1"/>
  <c r="AP1178" i="1"/>
  <c r="AO1179" i="1"/>
  <c r="AP1179" i="1"/>
  <c r="AO1180" i="1"/>
  <c r="AP1180" i="1"/>
  <c r="AO1181" i="1"/>
  <c r="AP1181" i="1"/>
  <c r="AO1182" i="1"/>
  <c r="AP1182" i="1"/>
  <c r="AO1183" i="1"/>
  <c r="AP1183" i="1"/>
  <c r="AO1184" i="1"/>
  <c r="AP1184" i="1"/>
  <c r="AO1185" i="1"/>
  <c r="AP1185" i="1"/>
  <c r="AO1186" i="1"/>
  <c r="AP1186" i="1"/>
  <c r="AO1187" i="1"/>
  <c r="AP1187" i="1"/>
  <c r="AO1188" i="1"/>
  <c r="AP1188" i="1"/>
  <c r="AO1189" i="1"/>
  <c r="AP1189" i="1"/>
  <c r="AO1190" i="1"/>
  <c r="AP1190" i="1"/>
  <c r="AO1191" i="1"/>
  <c r="AP1191" i="1"/>
  <c r="AO1192" i="1"/>
  <c r="AP1192" i="1"/>
  <c r="AO1193" i="1"/>
  <c r="AP1193" i="1"/>
  <c r="AO1194" i="1"/>
  <c r="AP1194" i="1"/>
  <c r="AO1195" i="1"/>
  <c r="AP1195" i="1"/>
  <c r="AO1196" i="1"/>
  <c r="AP1196" i="1"/>
  <c r="AO1197" i="1"/>
  <c r="AP1197" i="1"/>
  <c r="AO1198" i="1"/>
  <c r="AP1198" i="1"/>
  <c r="AO1199" i="1"/>
  <c r="AP1199" i="1"/>
  <c r="AO1200" i="1"/>
  <c r="AP1200" i="1"/>
  <c r="AO1201" i="1"/>
  <c r="AP1201" i="1"/>
  <c r="AO1202" i="1"/>
  <c r="AP1202" i="1"/>
  <c r="AO1203" i="1"/>
  <c r="AP1203" i="1"/>
  <c r="AO1204" i="1"/>
  <c r="AP1204" i="1"/>
  <c r="AO1205" i="1"/>
  <c r="AP1205" i="1"/>
  <c r="AO1206" i="1"/>
  <c r="AP1206" i="1"/>
  <c r="AO1207" i="1"/>
  <c r="AP1207" i="1"/>
  <c r="AO1208" i="1"/>
  <c r="AP1208" i="1"/>
  <c r="AO1209" i="1"/>
  <c r="AP1209" i="1"/>
  <c r="AO1210" i="1"/>
  <c r="AP1210" i="1"/>
  <c r="AO1211" i="1"/>
  <c r="AP1211" i="1"/>
  <c r="AO1212" i="1"/>
  <c r="AP1212" i="1"/>
  <c r="AO1213" i="1"/>
  <c r="AP1213" i="1"/>
  <c r="AO1214" i="1"/>
  <c r="AP1214" i="1"/>
  <c r="AO1215" i="1"/>
  <c r="AP1215" i="1"/>
  <c r="AO1216" i="1"/>
  <c r="AP1216" i="1"/>
  <c r="AO1217" i="1"/>
  <c r="AP1217" i="1"/>
  <c r="AO1218" i="1"/>
  <c r="AP1218" i="1"/>
  <c r="AO1219" i="1"/>
  <c r="AP1219" i="1"/>
  <c r="AO1220" i="1"/>
  <c r="AP1220" i="1"/>
  <c r="AO1221" i="1"/>
  <c r="AP1221" i="1"/>
  <c r="AO1222" i="1"/>
  <c r="AP1222" i="1"/>
  <c r="AO1223" i="1"/>
  <c r="AP1223" i="1"/>
  <c r="AO1224" i="1"/>
  <c r="AP1224" i="1"/>
  <c r="AO1225" i="1"/>
  <c r="AP1225" i="1"/>
  <c r="AO1226" i="1"/>
  <c r="AP1226" i="1"/>
  <c r="AO1227" i="1"/>
  <c r="AP1227" i="1"/>
  <c r="AO1228" i="1"/>
  <c r="AP1228" i="1"/>
  <c r="AO1229" i="1"/>
  <c r="AP1229" i="1"/>
  <c r="AO1230" i="1"/>
  <c r="AP1230" i="1"/>
  <c r="AO1231" i="1"/>
  <c r="AP1231" i="1"/>
  <c r="AO1232" i="1"/>
  <c r="AP1232" i="1"/>
  <c r="AO1233" i="1"/>
  <c r="AP1233" i="1"/>
  <c r="AO1234" i="1"/>
  <c r="AP1234" i="1"/>
  <c r="AO1235" i="1"/>
  <c r="AP1235" i="1"/>
  <c r="AO1236" i="1"/>
  <c r="AP1236" i="1"/>
  <c r="AO1237" i="1"/>
  <c r="AP1237" i="1"/>
  <c r="AO1238" i="1"/>
  <c r="AP1238" i="1"/>
  <c r="AO1239" i="1"/>
  <c r="AP1239" i="1"/>
  <c r="AO1240" i="1"/>
  <c r="AP1240" i="1"/>
  <c r="AO1241" i="1"/>
  <c r="AP1241" i="1"/>
  <c r="AO1242" i="1"/>
  <c r="AP1242" i="1"/>
  <c r="AO1243" i="1"/>
  <c r="AP1243" i="1"/>
  <c r="AO1244" i="1"/>
  <c r="AP1244" i="1"/>
  <c r="AO1245" i="1"/>
  <c r="AP1245" i="1"/>
  <c r="AO1246" i="1"/>
  <c r="AP1246" i="1"/>
  <c r="AO1247" i="1"/>
  <c r="AP1247" i="1"/>
  <c r="AO1248" i="1"/>
  <c r="AP1248" i="1"/>
  <c r="AO1249" i="1"/>
  <c r="AP1249" i="1"/>
  <c r="AO1250" i="1"/>
  <c r="AP1250" i="1"/>
  <c r="AO1251" i="1"/>
  <c r="AP1251" i="1"/>
  <c r="AO1252" i="1"/>
  <c r="AP1252" i="1"/>
  <c r="AO1253" i="1"/>
  <c r="AP1253" i="1"/>
  <c r="AO1254" i="1"/>
  <c r="AP1254" i="1"/>
  <c r="AO1255" i="1"/>
  <c r="AP1255" i="1"/>
  <c r="AO1256" i="1"/>
  <c r="AP1256" i="1"/>
  <c r="AO1257" i="1"/>
  <c r="AP1257" i="1"/>
  <c r="AO1258" i="1"/>
  <c r="AP1258" i="1"/>
  <c r="AO1259" i="1"/>
  <c r="AP1259" i="1"/>
  <c r="AO1260" i="1"/>
  <c r="AP1260" i="1"/>
  <c r="AO1261" i="1"/>
  <c r="AP1261" i="1"/>
  <c r="AO1262" i="1"/>
  <c r="AP1262" i="1"/>
  <c r="AO1263" i="1"/>
  <c r="AP1263" i="1"/>
  <c r="AO1264" i="1"/>
  <c r="AP1264" i="1"/>
  <c r="AO1265" i="1"/>
  <c r="AP1265" i="1"/>
  <c r="AO1266" i="1"/>
  <c r="AP1266" i="1"/>
  <c r="AO1267" i="1"/>
  <c r="AP1267" i="1"/>
  <c r="AO1268" i="1"/>
  <c r="AP1268" i="1"/>
  <c r="AO1269" i="1"/>
  <c r="AP1269" i="1"/>
  <c r="AO1270" i="1"/>
  <c r="AP1270" i="1"/>
  <c r="AO1271" i="1"/>
  <c r="AP1271" i="1"/>
  <c r="AO1272" i="1"/>
  <c r="AP1272" i="1"/>
  <c r="AO1273" i="1"/>
  <c r="AP1273" i="1"/>
  <c r="AO1274" i="1"/>
  <c r="AP1274" i="1"/>
  <c r="AO1275" i="1"/>
  <c r="AP1275" i="1"/>
  <c r="AO1276" i="1"/>
  <c r="AP1276" i="1"/>
  <c r="AO1277" i="1"/>
  <c r="AP1277" i="1"/>
  <c r="AO1278" i="1"/>
  <c r="AP1278" i="1"/>
  <c r="AO1279" i="1"/>
  <c r="AP1279" i="1"/>
  <c r="AO1280" i="1"/>
  <c r="AP1280" i="1"/>
  <c r="AO1281" i="1"/>
  <c r="AP1281" i="1"/>
  <c r="AO1282" i="1"/>
  <c r="AP1282" i="1"/>
  <c r="AO1283" i="1"/>
  <c r="AP1283" i="1"/>
  <c r="AO1284" i="1"/>
  <c r="AP1284" i="1"/>
  <c r="AO1285" i="1"/>
  <c r="AP1285" i="1"/>
  <c r="AO1286" i="1"/>
  <c r="AP1286" i="1"/>
  <c r="AO1287" i="1"/>
  <c r="AP1287" i="1"/>
  <c r="AO1288" i="1"/>
  <c r="AP1288" i="1"/>
  <c r="AO1289" i="1"/>
  <c r="AP1289" i="1"/>
  <c r="AO1290" i="1"/>
  <c r="AP1290" i="1"/>
  <c r="AO1291" i="1"/>
  <c r="AP1291" i="1"/>
  <c r="AO1292" i="1"/>
  <c r="AP1292" i="1"/>
  <c r="AO1293" i="1"/>
  <c r="AP1293" i="1"/>
  <c r="AO1294" i="1"/>
  <c r="AP1294" i="1"/>
  <c r="AO1295" i="1"/>
  <c r="AP1295" i="1"/>
  <c r="AO1296" i="1"/>
  <c r="AP1296" i="1"/>
  <c r="AO1297" i="1"/>
  <c r="AP1297" i="1"/>
  <c r="AO1298" i="1"/>
  <c r="AP1298" i="1"/>
  <c r="AO1299" i="1"/>
  <c r="AP1299" i="1"/>
  <c r="AO1300" i="1"/>
  <c r="AP1300" i="1"/>
  <c r="AO1301" i="1"/>
  <c r="AP1301" i="1"/>
  <c r="AO1302" i="1"/>
  <c r="AP1302" i="1"/>
  <c r="AO1303" i="1"/>
  <c r="AP1303" i="1"/>
  <c r="AO1304" i="1"/>
  <c r="AP1304" i="1"/>
  <c r="AO1305" i="1"/>
  <c r="AP1305" i="1"/>
  <c r="AO1306" i="1"/>
  <c r="AP1306" i="1"/>
  <c r="AO1307" i="1"/>
  <c r="AP1307" i="1"/>
  <c r="AO1308" i="1"/>
  <c r="AP1308" i="1"/>
  <c r="AO1309" i="1"/>
  <c r="AP1309" i="1"/>
  <c r="AO1310" i="1"/>
  <c r="AP1310" i="1"/>
  <c r="AO1311" i="1"/>
  <c r="AP1311" i="1"/>
  <c r="AO1312" i="1"/>
  <c r="AP1312" i="1"/>
  <c r="AO1313" i="1"/>
  <c r="AP1313" i="1"/>
  <c r="AO1314" i="1"/>
  <c r="AP1314" i="1"/>
  <c r="AO1315" i="1"/>
  <c r="AP1315" i="1"/>
  <c r="AO1316" i="1"/>
  <c r="AP1316" i="1"/>
  <c r="AO1317" i="1"/>
  <c r="AP1317" i="1"/>
  <c r="AO1318" i="1"/>
  <c r="AP1318" i="1"/>
  <c r="AO1319" i="1"/>
  <c r="AP1319" i="1"/>
  <c r="AO1320" i="1"/>
  <c r="AP1320" i="1"/>
  <c r="AO1321" i="1"/>
  <c r="AP1321" i="1"/>
  <c r="AO1322" i="1"/>
  <c r="AP1322" i="1"/>
  <c r="AO1323" i="1"/>
  <c r="AP1323" i="1"/>
  <c r="AO1324" i="1"/>
  <c r="AP1324" i="1"/>
  <c r="AO1325" i="1"/>
  <c r="AP1325" i="1"/>
  <c r="AO1326" i="1"/>
  <c r="AP1326" i="1"/>
  <c r="AO1327" i="1"/>
  <c r="AP1327" i="1"/>
  <c r="AO1328" i="1"/>
  <c r="AP1328" i="1"/>
  <c r="AO1329" i="1"/>
  <c r="AP1329" i="1"/>
  <c r="AO1330" i="1"/>
  <c r="AP1330" i="1"/>
  <c r="AO1331" i="1"/>
  <c r="AP1331" i="1"/>
  <c r="AO1332" i="1"/>
  <c r="AP1332" i="1"/>
  <c r="AO1333" i="1"/>
  <c r="AP1333" i="1"/>
  <c r="AO1334" i="1"/>
  <c r="AP1334" i="1"/>
  <c r="AO1335" i="1"/>
  <c r="AP1335" i="1"/>
  <c r="AO1336" i="1"/>
  <c r="AP1336" i="1"/>
  <c r="AO1337" i="1"/>
  <c r="AP1337" i="1"/>
  <c r="AO1338" i="1"/>
  <c r="AP1338" i="1"/>
  <c r="AO1339" i="1"/>
  <c r="AP1339" i="1"/>
  <c r="AO1340" i="1"/>
  <c r="AP1340" i="1"/>
  <c r="AO1341" i="1"/>
  <c r="AP1341" i="1"/>
  <c r="AO1342" i="1"/>
  <c r="AP1342" i="1"/>
  <c r="AO1343" i="1"/>
  <c r="AP1343" i="1"/>
  <c r="AO1344" i="1"/>
  <c r="AP1344" i="1"/>
  <c r="AO1345" i="1"/>
  <c r="AP1345" i="1"/>
  <c r="AO1346" i="1"/>
  <c r="AP1346" i="1"/>
  <c r="AO1347" i="1"/>
  <c r="AP1347" i="1"/>
  <c r="AO1348" i="1"/>
  <c r="AP1348" i="1"/>
  <c r="AO1349" i="1"/>
  <c r="AP1349" i="1"/>
  <c r="AO1350" i="1"/>
  <c r="AP1350" i="1"/>
  <c r="AO1351" i="1"/>
  <c r="AP1351" i="1"/>
  <c r="AO1352" i="1"/>
  <c r="AP1352" i="1"/>
  <c r="AO1353" i="1"/>
  <c r="AP1353" i="1"/>
  <c r="AO1354" i="1"/>
  <c r="AP1354" i="1"/>
  <c r="AO1355" i="1"/>
  <c r="AP1355" i="1"/>
  <c r="AO1356" i="1"/>
  <c r="AP1356" i="1"/>
  <c r="AO1357" i="1"/>
  <c r="AP1357" i="1"/>
  <c r="AO1358" i="1"/>
  <c r="AP1358" i="1"/>
  <c r="AO1359" i="1"/>
  <c r="AP1359" i="1"/>
  <c r="AO1360" i="1"/>
  <c r="AP1360" i="1"/>
  <c r="AO1361" i="1"/>
  <c r="AP1361" i="1"/>
  <c r="AO1362" i="1"/>
  <c r="AP1362" i="1"/>
  <c r="AO1363" i="1"/>
  <c r="AP1363" i="1"/>
  <c r="AO1364" i="1"/>
  <c r="AP1364" i="1"/>
  <c r="AO1365" i="1"/>
  <c r="AP1365" i="1"/>
  <c r="AO1366" i="1"/>
  <c r="AP1366" i="1"/>
  <c r="AO1367" i="1"/>
  <c r="AP1367" i="1"/>
  <c r="AO1368" i="1"/>
  <c r="AP1368" i="1"/>
  <c r="AO1369" i="1"/>
  <c r="AP1369" i="1"/>
  <c r="AO1370" i="1"/>
  <c r="AP1370" i="1"/>
  <c r="AO1371" i="1"/>
  <c r="AP1371" i="1"/>
  <c r="AO1372" i="1"/>
  <c r="AP1372" i="1"/>
  <c r="AO1373" i="1"/>
  <c r="AP1373" i="1"/>
  <c r="AO1374" i="1"/>
  <c r="AP1374" i="1"/>
  <c r="AO1375" i="1"/>
  <c r="AP1375" i="1"/>
  <c r="AO1376" i="1"/>
  <c r="AP1376" i="1"/>
  <c r="AO1377" i="1"/>
  <c r="AP1377" i="1"/>
  <c r="AO1378" i="1"/>
  <c r="AP1378" i="1"/>
  <c r="AO1379" i="1"/>
  <c r="AP1379" i="1"/>
  <c r="AO1380" i="1"/>
  <c r="AP1380" i="1"/>
  <c r="AO1381" i="1"/>
  <c r="AP1381" i="1"/>
  <c r="AO1382" i="1"/>
  <c r="AP1382" i="1"/>
  <c r="AO1383" i="1"/>
  <c r="AP1383" i="1"/>
  <c r="AO1384" i="1"/>
  <c r="AP1384" i="1"/>
  <c r="AO1385" i="1"/>
  <c r="AP1385" i="1"/>
  <c r="AO1386" i="1"/>
  <c r="AP1386" i="1"/>
  <c r="AO1387" i="1"/>
  <c r="AP1387" i="1"/>
  <c r="AO1388" i="1"/>
  <c r="AP1388" i="1"/>
  <c r="AO1389" i="1"/>
  <c r="AP1389" i="1"/>
  <c r="AO1390" i="1"/>
  <c r="AP1390" i="1"/>
  <c r="AO1391" i="1"/>
  <c r="AP1391" i="1"/>
  <c r="AO1392" i="1"/>
  <c r="AP1392" i="1"/>
  <c r="AO1393" i="1"/>
  <c r="AP1393" i="1"/>
  <c r="AO1394" i="1"/>
  <c r="AP1394" i="1"/>
  <c r="AO1395" i="1"/>
  <c r="AP1395" i="1"/>
  <c r="AO1396" i="1"/>
  <c r="AP1396" i="1"/>
  <c r="AO1397" i="1"/>
  <c r="AP1397" i="1"/>
  <c r="AO1398" i="1"/>
  <c r="AP1398" i="1"/>
  <c r="AO1399" i="1"/>
  <c r="AP1399" i="1"/>
  <c r="AO1400" i="1"/>
  <c r="AP1400" i="1"/>
  <c r="AO1401" i="1"/>
  <c r="AP1401" i="1"/>
  <c r="AO1402" i="1"/>
  <c r="AP1402" i="1"/>
  <c r="AO1403" i="1"/>
  <c r="AP1403" i="1"/>
  <c r="AO1404" i="1"/>
  <c r="AP1404" i="1"/>
  <c r="AO1405" i="1"/>
  <c r="AP1405" i="1"/>
  <c r="AO1406" i="1"/>
  <c r="AP1406" i="1"/>
  <c r="AO1407" i="1"/>
  <c r="AP1407" i="1"/>
  <c r="AO1408" i="1"/>
  <c r="AP1408" i="1"/>
  <c r="AO1409" i="1"/>
  <c r="AP1409" i="1"/>
  <c r="AO1410" i="1"/>
  <c r="AP1410" i="1"/>
  <c r="AO1411" i="1"/>
  <c r="AP1411" i="1"/>
  <c r="AO1412" i="1"/>
  <c r="AP1412" i="1"/>
  <c r="AO1413" i="1"/>
  <c r="AP1413" i="1"/>
  <c r="AO1414" i="1"/>
  <c r="AP1414" i="1"/>
  <c r="AO1415" i="1"/>
  <c r="AP1415" i="1"/>
  <c r="AO1416" i="1"/>
  <c r="AP1416" i="1"/>
  <c r="AO1417" i="1"/>
  <c r="AP1417" i="1"/>
  <c r="AO1418" i="1"/>
  <c r="AP1418" i="1"/>
  <c r="AO1419" i="1"/>
  <c r="AP1419" i="1"/>
  <c r="AO1420" i="1"/>
  <c r="AP1420" i="1"/>
  <c r="AO1421" i="1"/>
  <c r="AP1421" i="1"/>
  <c r="AO1422" i="1"/>
  <c r="AP1422" i="1"/>
  <c r="AO1423" i="1"/>
  <c r="AP1423" i="1"/>
  <c r="AO1424" i="1"/>
  <c r="AP1424" i="1"/>
  <c r="AO1425" i="1"/>
  <c r="AP1425" i="1"/>
  <c r="AO1426" i="1"/>
  <c r="AP1426" i="1"/>
  <c r="AO1427" i="1"/>
  <c r="AP1427" i="1"/>
  <c r="AO1428" i="1"/>
  <c r="AP1428" i="1"/>
  <c r="AO1429" i="1"/>
  <c r="AP1429" i="1"/>
  <c r="AO1430" i="1"/>
  <c r="AP1430" i="1"/>
  <c r="AO1431" i="1"/>
  <c r="AP1431" i="1"/>
  <c r="AO1432" i="1"/>
  <c r="AP1432" i="1"/>
  <c r="AO1433" i="1"/>
  <c r="AP1433" i="1"/>
  <c r="AO1434" i="1"/>
  <c r="AP1434" i="1"/>
  <c r="AO1435" i="1"/>
  <c r="AP1435" i="1"/>
  <c r="AO1436" i="1"/>
  <c r="AP1436" i="1"/>
  <c r="AO1437" i="1"/>
  <c r="AP1437" i="1"/>
  <c r="AO1438" i="1"/>
  <c r="AP1438" i="1"/>
  <c r="AO1439" i="1"/>
  <c r="AP1439" i="1"/>
  <c r="AO1440" i="1"/>
  <c r="AP1440" i="1"/>
  <c r="AO1441" i="1"/>
  <c r="AP1441" i="1"/>
  <c r="AO1442" i="1"/>
  <c r="AP1442" i="1"/>
  <c r="AO1443" i="1"/>
  <c r="AP1443" i="1"/>
  <c r="AO1444" i="1"/>
  <c r="AP1444" i="1"/>
  <c r="AO1445" i="1"/>
  <c r="AP1445" i="1"/>
  <c r="AO1446" i="1"/>
  <c r="AP1446" i="1"/>
  <c r="AO1447" i="1"/>
  <c r="AP1447" i="1"/>
  <c r="AO1448" i="1"/>
  <c r="AP1448" i="1"/>
  <c r="AO1449" i="1"/>
  <c r="AP1449" i="1"/>
  <c r="AO1450" i="1"/>
  <c r="AP1450" i="1"/>
  <c r="AO1451" i="1"/>
  <c r="AP1451" i="1"/>
  <c r="AO1452" i="1"/>
  <c r="AP1452" i="1"/>
  <c r="AO1453" i="1"/>
  <c r="AP1453" i="1"/>
  <c r="AO1454" i="1"/>
  <c r="AP1454" i="1"/>
  <c r="AO1455" i="1"/>
  <c r="AP1455" i="1"/>
  <c r="AO1456" i="1"/>
  <c r="AP1456" i="1"/>
  <c r="AO1457" i="1"/>
  <c r="AP1457" i="1"/>
  <c r="AO1458" i="1"/>
  <c r="AP1458" i="1"/>
  <c r="AO1459" i="1"/>
  <c r="AP1459" i="1"/>
  <c r="AO1460" i="1"/>
  <c r="AP1460" i="1"/>
  <c r="AO1461" i="1"/>
  <c r="AP1461" i="1"/>
  <c r="AO1462" i="1"/>
  <c r="AP1462" i="1"/>
  <c r="AO1463" i="1"/>
  <c r="AP1463" i="1"/>
  <c r="AO1464" i="1"/>
  <c r="AP1464" i="1"/>
  <c r="AO1465" i="1"/>
  <c r="AP1465" i="1"/>
  <c r="AO1466" i="1"/>
  <c r="AP1466" i="1"/>
  <c r="AO1467" i="1"/>
  <c r="AP1467" i="1"/>
  <c r="AO1468" i="1"/>
  <c r="AP1468" i="1"/>
  <c r="AO1469" i="1"/>
  <c r="AP1469" i="1"/>
  <c r="AO1470" i="1"/>
  <c r="AP1470" i="1"/>
  <c r="AO1471" i="1"/>
  <c r="AP1471" i="1"/>
  <c r="AO1472" i="1"/>
  <c r="AP1472" i="1"/>
  <c r="AO1473" i="1"/>
  <c r="AP1473" i="1"/>
  <c r="AO1474" i="1"/>
  <c r="AP1474" i="1"/>
  <c r="AO1475" i="1"/>
  <c r="AP1475" i="1"/>
  <c r="AO1476" i="1"/>
  <c r="AP1476" i="1"/>
  <c r="AO1477" i="1"/>
  <c r="AP1477" i="1"/>
  <c r="AO1478" i="1"/>
  <c r="AP1478" i="1"/>
  <c r="AO1479" i="1"/>
  <c r="AP1479" i="1"/>
  <c r="AO1480" i="1"/>
  <c r="AP1480" i="1"/>
  <c r="AO1481" i="1"/>
  <c r="AP1481" i="1"/>
  <c r="AO1482" i="1"/>
  <c r="AP1482" i="1"/>
  <c r="AO1483" i="1"/>
  <c r="AP1483" i="1"/>
  <c r="AO1484" i="1"/>
  <c r="AP1484" i="1"/>
  <c r="AO1485" i="1"/>
  <c r="AP1485" i="1"/>
  <c r="AO1486" i="1"/>
  <c r="AP1486" i="1"/>
  <c r="AO1487" i="1"/>
  <c r="AP1487" i="1"/>
  <c r="AO1488" i="1"/>
  <c r="AP1488" i="1"/>
  <c r="AO1489" i="1"/>
  <c r="AP1489" i="1"/>
  <c r="AO1490" i="1"/>
  <c r="AP1490" i="1"/>
  <c r="AO1491" i="1"/>
  <c r="AP1491" i="1"/>
  <c r="AO1492" i="1"/>
  <c r="AP1492" i="1"/>
  <c r="AO1493" i="1"/>
  <c r="AP1493" i="1"/>
  <c r="AO1494" i="1"/>
  <c r="AP1494" i="1"/>
  <c r="AO1495" i="1"/>
  <c r="AP1495" i="1"/>
  <c r="AO1496" i="1"/>
  <c r="AP1496" i="1"/>
  <c r="AO1497" i="1"/>
  <c r="AP1497" i="1"/>
  <c r="AO1498" i="1"/>
  <c r="AP1498" i="1"/>
  <c r="AO1499" i="1"/>
  <c r="AP1499" i="1"/>
  <c r="AO1500" i="1"/>
  <c r="AP1500" i="1"/>
  <c r="AO1501" i="1"/>
  <c r="AP1501" i="1"/>
  <c r="AO1502" i="1"/>
  <c r="AP1502" i="1"/>
  <c r="AO1503" i="1"/>
  <c r="AP1503" i="1"/>
  <c r="AO1504" i="1"/>
  <c r="AP1504" i="1"/>
  <c r="AO1505" i="1"/>
  <c r="AP1505" i="1"/>
  <c r="AO1506" i="1"/>
  <c r="AP1506" i="1"/>
  <c r="AO1507" i="1"/>
  <c r="AP1507" i="1"/>
  <c r="AO1508" i="1"/>
  <c r="AP1508" i="1"/>
  <c r="AO1509" i="1"/>
  <c r="AP1509" i="1"/>
  <c r="AO1510" i="1"/>
  <c r="AP1510" i="1"/>
  <c r="AO1511" i="1"/>
  <c r="AP1511" i="1"/>
  <c r="AO1512" i="1"/>
  <c r="AP1512" i="1"/>
  <c r="AO1513" i="1"/>
  <c r="AP1513" i="1"/>
  <c r="AO1514" i="1"/>
  <c r="AP1514" i="1"/>
  <c r="AO1515" i="1"/>
  <c r="AP1515" i="1"/>
  <c r="AO1516" i="1"/>
  <c r="AP1516" i="1"/>
  <c r="AO1517" i="1"/>
  <c r="AP1517" i="1"/>
  <c r="AO1518" i="1"/>
  <c r="AP1518" i="1"/>
  <c r="AO1519" i="1"/>
  <c r="AP1519" i="1"/>
  <c r="AO1520" i="1"/>
  <c r="AP1520" i="1"/>
  <c r="AO1521" i="1"/>
  <c r="AP1521" i="1"/>
  <c r="AO1522" i="1"/>
  <c r="AP1522" i="1"/>
  <c r="AO1523" i="1"/>
  <c r="AP1523" i="1"/>
  <c r="AO1524" i="1"/>
  <c r="AP1524" i="1"/>
  <c r="AO1525" i="1"/>
  <c r="AP1525" i="1"/>
  <c r="AO1526" i="1"/>
  <c r="AP1526" i="1"/>
  <c r="AO1527" i="1"/>
  <c r="AP1527" i="1"/>
  <c r="AO1528" i="1"/>
  <c r="AP1528" i="1"/>
  <c r="AO1529" i="1"/>
  <c r="AP1529" i="1"/>
  <c r="AO1530" i="1"/>
  <c r="AP1530" i="1"/>
  <c r="AO1531" i="1"/>
  <c r="AP1531" i="1"/>
  <c r="AO1532" i="1"/>
  <c r="AP1532" i="1"/>
  <c r="AO1533" i="1"/>
  <c r="AP1533" i="1"/>
  <c r="AO1534" i="1"/>
  <c r="AP1534" i="1"/>
  <c r="AO1535" i="1"/>
  <c r="AP1535" i="1"/>
  <c r="AO1536" i="1"/>
  <c r="AP1536" i="1"/>
  <c r="AO1537" i="1"/>
  <c r="AP1537" i="1"/>
  <c r="AO1538" i="1"/>
  <c r="AP1538" i="1"/>
  <c r="AO1539" i="1"/>
  <c r="AP1539" i="1"/>
  <c r="AO1540" i="1"/>
  <c r="AP1540" i="1"/>
  <c r="AO1541" i="1"/>
  <c r="AP1541" i="1"/>
  <c r="AO1542" i="1"/>
  <c r="AP1542" i="1"/>
  <c r="AO1543" i="1"/>
  <c r="AP1543" i="1"/>
  <c r="AO1544" i="1"/>
  <c r="AP1544" i="1"/>
  <c r="AO1545" i="1"/>
  <c r="AP1545" i="1"/>
  <c r="AO1546" i="1"/>
  <c r="AP1546" i="1"/>
  <c r="AO1547" i="1"/>
  <c r="AP1547" i="1"/>
  <c r="AO1548" i="1"/>
  <c r="AP1548" i="1"/>
  <c r="AO1549" i="1"/>
  <c r="AP1549" i="1"/>
  <c r="AO1550" i="1"/>
  <c r="AP1550" i="1"/>
  <c r="AO1551" i="1"/>
  <c r="AP1551" i="1"/>
  <c r="AO1552" i="1"/>
  <c r="AP1552" i="1"/>
  <c r="AO1553" i="1"/>
  <c r="AP1553" i="1"/>
  <c r="AO1554" i="1"/>
  <c r="AP1554" i="1"/>
  <c r="AO1555" i="1"/>
  <c r="AP1555" i="1"/>
  <c r="AO1556" i="1"/>
  <c r="AP1556" i="1"/>
  <c r="AO1557" i="1"/>
  <c r="AP1557" i="1"/>
  <c r="AO1558" i="1"/>
  <c r="AP1558" i="1"/>
  <c r="AO1559" i="1"/>
  <c r="AP1559" i="1"/>
  <c r="AO1560" i="1"/>
  <c r="AP1560" i="1"/>
  <c r="AO1561" i="1"/>
  <c r="AP1561" i="1"/>
  <c r="AO1562" i="1"/>
  <c r="AP1562" i="1"/>
  <c r="AO1563" i="1"/>
  <c r="AP1563" i="1"/>
  <c r="AO1564" i="1"/>
  <c r="AP1564" i="1"/>
  <c r="AO1565" i="1"/>
  <c r="AP1565" i="1"/>
  <c r="AO1566" i="1"/>
  <c r="AP1566" i="1"/>
  <c r="AO1567" i="1"/>
  <c r="AP1567" i="1"/>
  <c r="AO1568" i="1"/>
  <c r="AP1568" i="1"/>
  <c r="AO1569" i="1"/>
  <c r="AP1569" i="1"/>
  <c r="AO1570" i="1"/>
  <c r="AP1570" i="1"/>
  <c r="AO1571" i="1"/>
  <c r="AP1571" i="1"/>
  <c r="AO1572" i="1"/>
  <c r="AP1572" i="1"/>
  <c r="AO1573" i="1"/>
  <c r="AP1573" i="1"/>
  <c r="AO1574" i="1"/>
  <c r="AP1574" i="1"/>
  <c r="AO1575" i="1"/>
  <c r="AP1575" i="1"/>
  <c r="AO1576" i="1"/>
  <c r="AP1576" i="1"/>
  <c r="AO1577" i="1"/>
  <c r="AP1577" i="1"/>
  <c r="AO1578" i="1"/>
  <c r="AP1578" i="1"/>
  <c r="AO1579" i="1"/>
  <c r="AP1579" i="1"/>
  <c r="AO1580" i="1"/>
  <c r="AP1580" i="1"/>
  <c r="AO1581" i="1"/>
  <c r="AP1581" i="1"/>
  <c r="AO1582" i="1"/>
  <c r="AP1582" i="1"/>
  <c r="AO1583" i="1"/>
  <c r="AP1583" i="1"/>
  <c r="AO1584" i="1"/>
  <c r="AP1584" i="1"/>
  <c r="AO1585" i="1"/>
  <c r="AP1585" i="1"/>
  <c r="AO1586" i="1"/>
  <c r="AP1586" i="1"/>
  <c r="AO1587" i="1"/>
  <c r="AP1587" i="1"/>
  <c r="AO1588" i="1"/>
  <c r="AP1588" i="1"/>
  <c r="AO1589" i="1"/>
  <c r="AP1589" i="1"/>
  <c r="AO1590" i="1"/>
  <c r="AP1590" i="1"/>
  <c r="AO1591" i="1"/>
  <c r="AP1591" i="1"/>
  <c r="AO1592" i="1"/>
  <c r="AP1592" i="1"/>
  <c r="AO1593" i="1"/>
  <c r="AP1593" i="1"/>
  <c r="AO1594" i="1"/>
  <c r="AP1594" i="1"/>
  <c r="AO1595" i="1"/>
  <c r="AP1595" i="1"/>
  <c r="AO1596" i="1"/>
  <c r="AP1596" i="1"/>
  <c r="AO1597" i="1"/>
  <c r="AP1597" i="1"/>
  <c r="AO1598" i="1"/>
  <c r="AP1598" i="1"/>
  <c r="AO1599" i="1"/>
  <c r="AP1599" i="1"/>
  <c r="AO1600" i="1"/>
  <c r="AP1600" i="1"/>
  <c r="AO1601" i="1"/>
  <c r="AP1601" i="1"/>
  <c r="AO1602" i="1"/>
  <c r="AP1602" i="1"/>
  <c r="AO1603" i="1"/>
  <c r="AP1603" i="1"/>
  <c r="AO1604" i="1"/>
  <c r="AP1604" i="1"/>
  <c r="AO1605" i="1"/>
  <c r="AP1605" i="1"/>
  <c r="AO1606" i="1"/>
  <c r="AP1606" i="1"/>
  <c r="AO1607" i="1"/>
  <c r="AP1607" i="1"/>
  <c r="AO1608" i="1"/>
  <c r="AP1608" i="1"/>
  <c r="AO1609" i="1"/>
  <c r="AP1609" i="1"/>
  <c r="AO1610" i="1"/>
  <c r="AP1610" i="1"/>
  <c r="AO1611" i="1"/>
  <c r="AP1611" i="1"/>
  <c r="AO1612" i="1"/>
  <c r="AP1612" i="1"/>
  <c r="AO1613" i="1"/>
  <c r="AP1613" i="1"/>
  <c r="AO1614" i="1"/>
  <c r="AP1614" i="1"/>
  <c r="AO1615" i="1"/>
  <c r="AP1615" i="1"/>
  <c r="AO1616" i="1"/>
  <c r="AP1616" i="1"/>
  <c r="AO1617" i="1"/>
  <c r="AP1617" i="1"/>
  <c r="AO1618" i="1"/>
  <c r="AP1618" i="1"/>
  <c r="AO1619" i="1"/>
  <c r="AP1619" i="1"/>
  <c r="AO1620" i="1"/>
  <c r="AP1620" i="1"/>
  <c r="AO1621" i="1"/>
  <c r="AP1621" i="1"/>
  <c r="AO1622" i="1"/>
  <c r="AP1622" i="1"/>
  <c r="AO1623" i="1"/>
  <c r="AP1623" i="1"/>
  <c r="AO1624" i="1"/>
  <c r="AP1624" i="1"/>
  <c r="AO1625" i="1"/>
  <c r="AP1625" i="1"/>
  <c r="AO1626" i="1"/>
  <c r="AP1626" i="1"/>
  <c r="AO1627" i="1"/>
  <c r="AP1627" i="1"/>
  <c r="AO1628" i="1"/>
  <c r="AP1628" i="1"/>
  <c r="AO1629" i="1"/>
  <c r="AP1629" i="1"/>
  <c r="AO1630" i="1"/>
  <c r="AP1630" i="1"/>
  <c r="AO1631" i="1"/>
  <c r="AP1631" i="1"/>
  <c r="AO1632" i="1"/>
  <c r="AP1632" i="1"/>
  <c r="AO1633" i="1"/>
  <c r="AP1633" i="1"/>
  <c r="AO1634" i="1"/>
  <c r="AP1634" i="1"/>
  <c r="AO1635" i="1"/>
  <c r="AP1635" i="1"/>
  <c r="AO1636" i="1"/>
  <c r="AP1636" i="1"/>
  <c r="AO1637" i="1"/>
  <c r="AP1637" i="1"/>
  <c r="AO1638" i="1"/>
  <c r="AP1638" i="1"/>
  <c r="AO1639" i="1"/>
  <c r="AP1639" i="1"/>
  <c r="AO1640" i="1"/>
  <c r="AP1640" i="1"/>
  <c r="AO1641" i="1"/>
  <c r="AP1641" i="1"/>
  <c r="AO1642" i="1"/>
  <c r="AP1642" i="1"/>
  <c r="AO1643" i="1"/>
  <c r="AP1643" i="1"/>
  <c r="AO1644" i="1"/>
  <c r="AP1644" i="1"/>
  <c r="AO1645" i="1"/>
  <c r="AP1645" i="1"/>
  <c r="AO1646" i="1"/>
  <c r="AP1646" i="1"/>
  <c r="AO1647" i="1"/>
  <c r="AP1647" i="1"/>
  <c r="AO1648" i="1"/>
  <c r="AP1648" i="1"/>
  <c r="AO1649" i="1"/>
  <c r="AP1649" i="1"/>
  <c r="AO1650" i="1"/>
  <c r="AP1650" i="1"/>
  <c r="AO1651" i="1"/>
  <c r="AP1651" i="1"/>
  <c r="AO1652" i="1"/>
  <c r="AP1652" i="1"/>
  <c r="AO1653" i="1"/>
  <c r="AP1653" i="1"/>
  <c r="AO1654" i="1"/>
  <c r="AP1654" i="1"/>
  <c r="AO1655" i="1"/>
  <c r="AP1655" i="1"/>
  <c r="AO1656" i="1"/>
  <c r="AP1656" i="1"/>
  <c r="AO1657" i="1"/>
  <c r="AP1657" i="1"/>
  <c r="AO1658" i="1"/>
  <c r="AP1658" i="1"/>
  <c r="AO1659" i="1"/>
  <c r="AP1659" i="1"/>
  <c r="AO1660" i="1"/>
  <c r="AP1660" i="1"/>
  <c r="AO1661" i="1"/>
  <c r="AP1661" i="1"/>
  <c r="AO1662" i="1"/>
  <c r="AP1662" i="1"/>
  <c r="AO1663" i="1"/>
  <c r="AP1663" i="1"/>
  <c r="AO1664" i="1"/>
  <c r="AP1664" i="1"/>
  <c r="AO1665" i="1"/>
  <c r="AP1665" i="1"/>
  <c r="AO1666" i="1"/>
  <c r="AP1666" i="1"/>
  <c r="AO1667" i="1"/>
  <c r="AP1667" i="1"/>
  <c r="AO1668" i="1"/>
  <c r="AP1668" i="1"/>
  <c r="AO1669" i="1"/>
  <c r="AP1669" i="1"/>
  <c r="AO1670" i="1"/>
  <c r="AP1670" i="1"/>
  <c r="AO1671" i="1"/>
  <c r="AP1671" i="1"/>
  <c r="AO1672" i="1"/>
  <c r="AP1672" i="1"/>
  <c r="AO1673" i="1"/>
  <c r="AP1673" i="1"/>
  <c r="AO1674" i="1"/>
  <c r="AP1674" i="1"/>
  <c r="AO1675" i="1"/>
  <c r="AP1675" i="1"/>
  <c r="AO1676" i="1"/>
  <c r="AP1676" i="1"/>
  <c r="AO1677" i="1"/>
  <c r="AP1677" i="1"/>
  <c r="AO1678" i="1"/>
  <c r="AP1678" i="1"/>
  <c r="AO1679" i="1"/>
  <c r="AP1679" i="1"/>
  <c r="AO1680" i="1"/>
  <c r="AP1680" i="1"/>
  <c r="AO1681" i="1"/>
  <c r="AP1681" i="1"/>
  <c r="AO1682" i="1"/>
  <c r="AP1682" i="1"/>
  <c r="AO1683" i="1"/>
  <c r="AP1683" i="1"/>
  <c r="AO1684" i="1"/>
  <c r="AP1684" i="1"/>
  <c r="AO1685" i="1"/>
  <c r="AP1685" i="1"/>
  <c r="AO1686" i="1"/>
  <c r="AP1686" i="1"/>
  <c r="AO1687" i="1"/>
  <c r="AP1687" i="1"/>
  <c r="AO1688" i="1"/>
  <c r="AP1688" i="1"/>
  <c r="AO1689" i="1"/>
  <c r="AP1689" i="1"/>
  <c r="AO1690" i="1"/>
  <c r="AP1690" i="1"/>
  <c r="AO1691" i="1"/>
  <c r="AP1691" i="1"/>
  <c r="AO1692" i="1"/>
  <c r="AP1692" i="1"/>
  <c r="AO1693" i="1"/>
  <c r="AP1693" i="1"/>
  <c r="AO1694" i="1"/>
  <c r="AP1694" i="1"/>
  <c r="AO1695" i="1"/>
  <c r="AP1695" i="1"/>
  <c r="AO1696" i="1"/>
  <c r="AP1696" i="1"/>
  <c r="AO1697" i="1"/>
  <c r="AP1697" i="1"/>
  <c r="AO1698" i="1"/>
  <c r="AP1698" i="1"/>
  <c r="AO1699" i="1"/>
  <c r="AP1699" i="1"/>
  <c r="AO1700" i="1"/>
  <c r="AP1700" i="1"/>
  <c r="AO1701" i="1"/>
  <c r="AP1701" i="1"/>
  <c r="AO1702" i="1"/>
  <c r="AP1702" i="1"/>
  <c r="AO1703" i="1"/>
  <c r="AP1703" i="1"/>
  <c r="AO1704" i="1"/>
  <c r="AP1704" i="1"/>
  <c r="AO1705" i="1"/>
  <c r="AP1705" i="1"/>
  <c r="AO1706" i="1"/>
  <c r="AP1706" i="1"/>
  <c r="AO1707" i="1"/>
  <c r="AP1707" i="1"/>
  <c r="AO1708" i="1"/>
  <c r="AP1708" i="1"/>
  <c r="AO1709" i="1"/>
  <c r="AP1709" i="1"/>
  <c r="AO1710" i="1"/>
  <c r="AP1710" i="1"/>
  <c r="AO1711" i="1"/>
  <c r="AP1711" i="1"/>
  <c r="AO1712" i="1"/>
  <c r="AP1712" i="1"/>
  <c r="AO1713" i="1"/>
  <c r="AP1713" i="1"/>
  <c r="AO1714" i="1"/>
  <c r="AP1714" i="1"/>
  <c r="AO1715" i="1"/>
  <c r="AP1715" i="1"/>
  <c r="AO1716" i="1"/>
  <c r="AP1716" i="1"/>
  <c r="AO1717" i="1"/>
  <c r="AP1717" i="1"/>
  <c r="AO1718" i="1"/>
  <c r="AP1718" i="1"/>
  <c r="AO1719" i="1"/>
  <c r="AP1719" i="1"/>
  <c r="AO1720" i="1"/>
  <c r="AP1720" i="1"/>
  <c r="AO1721" i="1"/>
  <c r="AP1721" i="1"/>
  <c r="AO1722" i="1"/>
  <c r="AP1722" i="1"/>
  <c r="AO1723" i="1"/>
  <c r="AP1723" i="1"/>
  <c r="AO1724" i="1"/>
  <c r="AP1724" i="1"/>
  <c r="AO1725" i="1"/>
  <c r="AP1725" i="1"/>
  <c r="AO1726" i="1"/>
  <c r="AP1726" i="1"/>
  <c r="AO1727" i="1"/>
  <c r="AP1727" i="1"/>
  <c r="AO1728" i="1"/>
  <c r="AP1728" i="1"/>
  <c r="AO1729" i="1"/>
  <c r="AP1729" i="1"/>
  <c r="AO1730" i="1"/>
  <c r="AP1730" i="1"/>
  <c r="AO1731" i="1"/>
  <c r="AP1731" i="1"/>
  <c r="AO1732" i="1"/>
  <c r="AP1732" i="1"/>
  <c r="AO1733" i="1"/>
  <c r="AP1733" i="1"/>
  <c r="AO1734" i="1"/>
  <c r="AP1734" i="1"/>
  <c r="AO1735" i="1"/>
  <c r="AP1735" i="1"/>
  <c r="AO1736" i="1"/>
  <c r="AP1736" i="1"/>
  <c r="AO1737" i="1"/>
  <c r="AP1737" i="1"/>
  <c r="AO1738" i="1"/>
  <c r="AP1738" i="1"/>
  <c r="AO1739" i="1"/>
  <c r="AP1739" i="1"/>
  <c r="AO1740" i="1"/>
  <c r="AP1740" i="1"/>
  <c r="AO1741" i="1"/>
  <c r="AP1741" i="1"/>
  <c r="AO1742" i="1"/>
  <c r="AP1742" i="1"/>
  <c r="AO1743" i="1"/>
  <c r="AP1743" i="1"/>
  <c r="AO1744" i="1"/>
  <c r="AP1744" i="1"/>
  <c r="AO1745" i="1"/>
  <c r="AP1745" i="1"/>
  <c r="AO1746" i="1"/>
  <c r="AP1746" i="1"/>
  <c r="AO1747" i="1"/>
  <c r="AP1747" i="1"/>
  <c r="AO1748" i="1"/>
  <c r="AP1748" i="1"/>
  <c r="AO1749" i="1"/>
  <c r="AP1749" i="1"/>
  <c r="AO1750" i="1"/>
  <c r="AP1750" i="1"/>
  <c r="AO1751" i="1"/>
  <c r="AP1751" i="1"/>
  <c r="AO1752" i="1"/>
  <c r="AP1752" i="1"/>
  <c r="AO1753" i="1"/>
  <c r="AP1753" i="1"/>
  <c r="AO1754" i="1"/>
  <c r="AP1754" i="1"/>
  <c r="AO1755" i="1"/>
  <c r="AP1755" i="1"/>
  <c r="AO1756" i="1"/>
  <c r="AP1756" i="1"/>
  <c r="AO1757" i="1"/>
  <c r="AP1757" i="1"/>
  <c r="AO1758" i="1"/>
  <c r="AP1758" i="1"/>
  <c r="AO1759" i="1"/>
  <c r="AP1759" i="1"/>
  <c r="AO1760" i="1"/>
  <c r="AP1760" i="1"/>
  <c r="AO1761" i="1"/>
  <c r="AP1761" i="1"/>
  <c r="AO1762" i="1"/>
  <c r="AP1762" i="1"/>
  <c r="AO1763" i="1"/>
  <c r="AP1763" i="1"/>
  <c r="AO1764" i="1"/>
  <c r="AP1764" i="1"/>
  <c r="AO1765" i="1"/>
  <c r="AP1765" i="1"/>
  <c r="AO1766" i="1"/>
  <c r="AP1766" i="1"/>
  <c r="AO1767" i="1"/>
  <c r="AP1767" i="1"/>
  <c r="AO1768" i="1"/>
  <c r="AP1768" i="1"/>
  <c r="AO1769" i="1"/>
  <c r="AP1769" i="1"/>
  <c r="AO1770" i="1"/>
  <c r="AP1770" i="1"/>
  <c r="AO1771" i="1"/>
  <c r="AP1771" i="1"/>
  <c r="AO1772" i="1"/>
  <c r="AP1772" i="1"/>
  <c r="AO1773" i="1"/>
  <c r="AP1773" i="1"/>
  <c r="AO1774" i="1"/>
  <c r="AP1774" i="1"/>
  <c r="AO1775" i="1"/>
  <c r="AP1775" i="1"/>
  <c r="AO1776" i="1"/>
  <c r="AP1776" i="1"/>
  <c r="AO1777" i="1"/>
  <c r="AP1777" i="1"/>
  <c r="AO1778" i="1"/>
  <c r="AP1778" i="1"/>
  <c r="AO1779" i="1"/>
  <c r="AP1779" i="1"/>
  <c r="AO1780" i="1"/>
  <c r="AP1780" i="1"/>
  <c r="AO1781" i="1"/>
  <c r="AP1781" i="1"/>
  <c r="AO1782" i="1"/>
  <c r="AP1782" i="1"/>
  <c r="AO1783" i="1"/>
  <c r="AP1783" i="1"/>
  <c r="AO1784" i="1"/>
  <c r="AP1784" i="1"/>
  <c r="AO1785" i="1"/>
  <c r="AP1785" i="1"/>
  <c r="AO1786" i="1"/>
  <c r="AP1786" i="1"/>
  <c r="AO1787" i="1"/>
  <c r="AP1787" i="1"/>
  <c r="AO1788" i="1"/>
  <c r="AP1788" i="1"/>
  <c r="AO1789" i="1"/>
  <c r="AP1789" i="1"/>
  <c r="AO1790" i="1"/>
  <c r="AP1790" i="1"/>
  <c r="AO1791" i="1"/>
  <c r="AP1791" i="1"/>
  <c r="AO1792" i="1"/>
  <c r="AP1792" i="1"/>
  <c r="AO1793" i="1"/>
  <c r="AP1793" i="1"/>
  <c r="AO1794" i="1"/>
  <c r="AP1794" i="1"/>
  <c r="AO1795" i="1"/>
  <c r="AP1795" i="1"/>
  <c r="AO1796" i="1"/>
  <c r="AP1796" i="1"/>
  <c r="AO1797" i="1"/>
  <c r="AP1797" i="1"/>
  <c r="AO1798" i="1"/>
  <c r="AP1798" i="1"/>
  <c r="AO1799" i="1"/>
  <c r="AP1799" i="1"/>
  <c r="AO1800" i="1"/>
  <c r="AP1800" i="1"/>
  <c r="AO1801" i="1"/>
  <c r="AP1801" i="1"/>
  <c r="AO1802" i="1"/>
  <c r="AP1802" i="1"/>
  <c r="AO1803" i="1"/>
  <c r="AP1803" i="1"/>
  <c r="AO1804" i="1"/>
  <c r="AP1804" i="1"/>
  <c r="AO1805" i="1"/>
  <c r="AP1805" i="1"/>
  <c r="AO1806" i="1"/>
  <c r="AP1806" i="1"/>
  <c r="AO1807" i="1"/>
  <c r="AP1807" i="1"/>
  <c r="AO1808" i="1"/>
  <c r="AP1808" i="1"/>
  <c r="AO1809" i="1"/>
  <c r="AP1809" i="1"/>
  <c r="AO1810" i="1"/>
  <c r="AP1810" i="1"/>
  <c r="AO1811" i="1"/>
  <c r="AP1811" i="1"/>
  <c r="AO1812" i="1"/>
  <c r="AP1812" i="1"/>
  <c r="AO1813" i="1"/>
  <c r="AP1813" i="1"/>
  <c r="AO1814" i="1"/>
  <c r="AP1814" i="1"/>
  <c r="AO1815" i="1"/>
  <c r="AP1815" i="1"/>
  <c r="AO1816" i="1"/>
  <c r="AP1816" i="1"/>
  <c r="AO1817" i="1"/>
  <c r="AP1817" i="1"/>
  <c r="AO1818" i="1"/>
  <c r="AP1818" i="1"/>
  <c r="AO1819" i="1"/>
  <c r="AP1819" i="1"/>
  <c r="AO1820" i="1"/>
  <c r="AP1820" i="1"/>
  <c r="AO1821" i="1"/>
  <c r="AP1821" i="1"/>
  <c r="AO1822" i="1"/>
  <c r="AP1822" i="1"/>
  <c r="AO1823" i="1"/>
  <c r="AP1823" i="1"/>
  <c r="AO1824" i="1"/>
  <c r="AP1824" i="1"/>
  <c r="AO1825" i="1"/>
  <c r="AP1825" i="1"/>
  <c r="AO1826" i="1"/>
  <c r="AP1826" i="1"/>
  <c r="AO1827" i="1"/>
  <c r="AP1827" i="1"/>
  <c r="AO1828" i="1"/>
  <c r="AP1828" i="1"/>
  <c r="AO1829" i="1"/>
  <c r="AP1829" i="1"/>
  <c r="AO1830" i="1"/>
  <c r="AP1830" i="1"/>
  <c r="AO1831" i="1"/>
  <c r="AP1831" i="1"/>
  <c r="AO1832" i="1"/>
  <c r="AP1832" i="1"/>
  <c r="AO1833" i="1"/>
  <c r="AP1833" i="1"/>
  <c r="AO1834" i="1"/>
  <c r="AP1834" i="1"/>
  <c r="AO1835" i="1"/>
  <c r="AP1835" i="1"/>
  <c r="AO1836" i="1"/>
  <c r="AP1836" i="1"/>
  <c r="AO1837" i="1"/>
  <c r="AP1837" i="1"/>
  <c r="AO1838" i="1"/>
  <c r="AP1838" i="1"/>
  <c r="AO1839" i="1"/>
  <c r="AP1839" i="1"/>
  <c r="AO1840" i="1"/>
  <c r="AP1840" i="1"/>
  <c r="AO1841" i="1"/>
  <c r="AP1841" i="1"/>
  <c r="AO1842" i="1"/>
  <c r="AP1842" i="1"/>
  <c r="AO1843" i="1"/>
  <c r="AP1843" i="1"/>
  <c r="AO1844" i="1"/>
  <c r="AP1844" i="1"/>
  <c r="AO1845" i="1"/>
  <c r="AP1845" i="1"/>
  <c r="AO1846" i="1"/>
  <c r="AP1846" i="1"/>
  <c r="AO1847" i="1"/>
  <c r="AP1847" i="1"/>
  <c r="AO1848" i="1"/>
  <c r="AP1848" i="1"/>
  <c r="AO1849" i="1"/>
  <c r="AP1849" i="1"/>
  <c r="AO1850" i="1"/>
  <c r="AP1850" i="1"/>
  <c r="AO1851" i="1"/>
  <c r="AP1851" i="1"/>
  <c r="AO1852" i="1"/>
  <c r="AP1852" i="1"/>
  <c r="AO1853" i="1"/>
  <c r="AP1853" i="1"/>
  <c r="AO1854" i="1"/>
  <c r="AP1854" i="1"/>
  <c r="AO1855" i="1"/>
  <c r="AP1855" i="1"/>
  <c r="AO1856" i="1"/>
  <c r="AP1856" i="1"/>
  <c r="AO1857" i="1"/>
  <c r="AP1857" i="1"/>
  <c r="AO1858" i="1"/>
  <c r="AP1858" i="1"/>
  <c r="AO1859" i="1"/>
  <c r="AP1859" i="1"/>
  <c r="AO1860" i="1"/>
  <c r="AP1860" i="1"/>
  <c r="AO1861" i="1"/>
  <c r="AP1861" i="1"/>
  <c r="AO1862" i="1"/>
  <c r="AP1862" i="1"/>
  <c r="AO1863" i="1"/>
  <c r="AP1863" i="1"/>
  <c r="AO1864" i="1"/>
  <c r="AP1864" i="1"/>
  <c r="AO1865" i="1"/>
  <c r="AP1865" i="1"/>
  <c r="AO1866" i="1"/>
  <c r="AP1866" i="1"/>
  <c r="AO1867" i="1"/>
  <c r="AP1867" i="1"/>
  <c r="AO1868" i="1"/>
  <c r="AP1868" i="1"/>
  <c r="AO1869" i="1"/>
  <c r="AP1869" i="1"/>
  <c r="AO1870" i="1"/>
  <c r="AP1870" i="1"/>
  <c r="AO1871" i="1"/>
  <c r="AP1871" i="1"/>
  <c r="AO1872" i="1"/>
  <c r="AP1872" i="1"/>
  <c r="AO1873" i="1"/>
  <c r="AP1873" i="1"/>
  <c r="AO1874" i="1"/>
  <c r="AP1874" i="1"/>
  <c r="AO1875" i="1"/>
  <c r="AP1875" i="1"/>
  <c r="AO1876" i="1"/>
  <c r="AP1876" i="1"/>
  <c r="AO1877" i="1"/>
  <c r="AP1877" i="1"/>
  <c r="AO1878" i="1"/>
  <c r="AP1878" i="1"/>
  <c r="AO1879" i="1"/>
  <c r="AP1879" i="1"/>
  <c r="AO1880" i="1"/>
  <c r="AP1880" i="1"/>
  <c r="AO1881" i="1"/>
  <c r="AP1881" i="1"/>
  <c r="AO1882" i="1"/>
  <c r="AP1882" i="1"/>
  <c r="AO1883" i="1"/>
  <c r="AP1883" i="1"/>
  <c r="AO1884" i="1"/>
  <c r="AP1884" i="1"/>
  <c r="AO1885" i="1"/>
  <c r="AP1885" i="1"/>
  <c r="AO1886" i="1"/>
  <c r="AP1886" i="1"/>
  <c r="AO1887" i="1"/>
  <c r="AP1887" i="1"/>
  <c r="AO1888" i="1"/>
  <c r="AP1888" i="1"/>
  <c r="AO1889" i="1"/>
  <c r="AP1889" i="1"/>
  <c r="AO1890" i="1"/>
  <c r="AP1890" i="1"/>
  <c r="AO1891" i="1"/>
  <c r="AP1891" i="1"/>
  <c r="AO1892" i="1"/>
  <c r="AP1892" i="1"/>
  <c r="AO1893" i="1"/>
  <c r="AP1893" i="1"/>
  <c r="AO1894" i="1"/>
  <c r="AP1894" i="1"/>
  <c r="AO1895" i="1"/>
  <c r="AP1895" i="1"/>
  <c r="AO1896" i="1"/>
  <c r="AP1896" i="1"/>
  <c r="AO1897" i="1"/>
  <c r="AP1897" i="1"/>
  <c r="AO1898" i="1"/>
  <c r="AP1898" i="1"/>
  <c r="AO1899" i="1"/>
  <c r="AP1899" i="1"/>
  <c r="AO1900" i="1"/>
  <c r="AP1900" i="1"/>
  <c r="AO1901" i="1"/>
  <c r="AP1901" i="1"/>
  <c r="AO1902" i="1"/>
  <c r="AP1902" i="1"/>
  <c r="AO1903" i="1"/>
  <c r="AP1903" i="1"/>
  <c r="AO1904" i="1"/>
  <c r="AP1904" i="1"/>
  <c r="AO1905" i="1"/>
  <c r="AP1905" i="1"/>
  <c r="AO1906" i="1"/>
  <c r="AP1906" i="1"/>
  <c r="AO1907" i="1"/>
  <c r="AP1907" i="1"/>
  <c r="AO1908" i="1"/>
  <c r="AP1908" i="1"/>
  <c r="AO1909" i="1"/>
  <c r="AP1909" i="1"/>
  <c r="AO1910" i="1"/>
  <c r="AP1910" i="1"/>
  <c r="AO1911" i="1"/>
  <c r="AP1911" i="1"/>
  <c r="AO1912" i="1"/>
  <c r="AP1912" i="1"/>
  <c r="AO1913" i="1"/>
  <c r="AP1913" i="1"/>
  <c r="AO1914" i="1"/>
  <c r="AP1914" i="1"/>
  <c r="AO1915" i="1"/>
  <c r="AP1915" i="1"/>
  <c r="AO1916" i="1"/>
  <c r="AP1916" i="1"/>
  <c r="AO1917" i="1"/>
  <c r="AP1917" i="1"/>
  <c r="AO1918" i="1"/>
  <c r="AP1918" i="1"/>
  <c r="AO1919" i="1"/>
  <c r="AP1919" i="1"/>
  <c r="AO1920" i="1"/>
  <c r="AP1920" i="1"/>
  <c r="AO1921" i="1"/>
  <c r="AP1921" i="1"/>
  <c r="AO1922" i="1"/>
  <c r="AP1922" i="1"/>
  <c r="AO1923" i="1"/>
  <c r="AP1923" i="1"/>
  <c r="AO1924" i="1"/>
  <c r="AP1924" i="1"/>
  <c r="AO1925" i="1"/>
  <c r="AP1925" i="1"/>
  <c r="AO1926" i="1"/>
  <c r="AP1926" i="1"/>
  <c r="AO1927" i="1"/>
  <c r="AP1927" i="1"/>
  <c r="AO1928" i="1"/>
  <c r="AP1928" i="1"/>
  <c r="AO1929" i="1"/>
  <c r="AP1929" i="1"/>
  <c r="AO1930" i="1"/>
  <c r="AP1930" i="1"/>
  <c r="AO1931" i="1"/>
  <c r="AP1931" i="1"/>
  <c r="AO1932" i="1"/>
  <c r="AP1932" i="1"/>
  <c r="AO1933" i="1"/>
  <c r="AP1933" i="1"/>
  <c r="AO1934" i="1"/>
  <c r="AP1934" i="1"/>
  <c r="AO1935" i="1"/>
  <c r="AP1935" i="1"/>
  <c r="AO1936" i="1"/>
  <c r="AP1936" i="1"/>
  <c r="AO1937" i="1"/>
  <c r="AP1937" i="1"/>
  <c r="AO1938" i="1"/>
  <c r="AP1938" i="1"/>
  <c r="AO1939" i="1"/>
  <c r="AP1939" i="1"/>
  <c r="AO1940" i="1"/>
  <c r="AP1940" i="1"/>
  <c r="AO1941" i="1"/>
  <c r="AP1941" i="1"/>
  <c r="AO1942" i="1"/>
  <c r="AP1942" i="1"/>
  <c r="AO1943" i="1"/>
  <c r="AP1943" i="1"/>
  <c r="AO1944" i="1"/>
  <c r="AP1944" i="1"/>
  <c r="AO1945" i="1"/>
  <c r="AP1945" i="1"/>
  <c r="AO1946" i="1"/>
  <c r="AP1946" i="1"/>
  <c r="AO1947" i="1"/>
  <c r="AP1947" i="1"/>
  <c r="AO1948" i="1"/>
  <c r="AP1948" i="1"/>
  <c r="AO1949" i="1"/>
  <c r="AP1949" i="1"/>
  <c r="AO1950" i="1"/>
  <c r="AP1950" i="1"/>
  <c r="AO1951" i="1"/>
  <c r="AP1951" i="1"/>
  <c r="AO1952" i="1"/>
  <c r="AP1952" i="1"/>
  <c r="AO1953" i="1"/>
  <c r="AP1953" i="1"/>
  <c r="AO1954" i="1"/>
  <c r="AP1954" i="1"/>
  <c r="AO1955" i="1"/>
  <c r="AP1955" i="1"/>
  <c r="AO1956" i="1"/>
  <c r="AP1956" i="1"/>
  <c r="AO1957" i="1"/>
  <c r="AP1957" i="1"/>
  <c r="AO1958" i="1"/>
  <c r="AP1958" i="1"/>
  <c r="AO1959" i="1"/>
  <c r="AP1959" i="1"/>
  <c r="AO1960" i="1"/>
  <c r="AP1960" i="1"/>
  <c r="AO1961" i="1"/>
  <c r="AP1961" i="1"/>
  <c r="AO1962" i="1"/>
  <c r="AP1962" i="1"/>
  <c r="AO1963" i="1"/>
  <c r="AP1963" i="1"/>
  <c r="AO1964" i="1"/>
  <c r="AP1964" i="1"/>
  <c r="AO1965" i="1"/>
  <c r="AP1965" i="1"/>
  <c r="AO1966" i="1"/>
  <c r="AP1966" i="1"/>
  <c r="AO1967" i="1"/>
  <c r="AP1967" i="1"/>
  <c r="AO1968" i="1"/>
  <c r="AP1968" i="1"/>
  <c r="AO1969" i="1"/>
  <c r="AP1969" i="1"/>
  <c r="AO1970" i="1"/>
  <c r="AP1970" i="1"/>
  <c r="AO1971" i="1"/>
  <c r="AP1971" i="1"/>
  <c r="AO1972" i="1"/>
  <c r="AP1972" i="1"/>
  <c r="AO1973" i="1"/>
  <c r="AP1973" i="1"/>
  <c r="AO1974" i="1"/>
  <c r="AP1974" i="1"/>
  <c r="AO1975" i="1"/>
  <c r="AP1975" i="1"/>
  <c r="AO1976" i="1"/>
  <c r="AP1976" i="1"/>
  <c r="AO1977" i="1"/>
  <c r="AP1977" i="1"/>
  <c r="AO1978" i="1"/>
  <c r="AP1978" i="1"/>
  <c r="AO1979" i="1"/>
  <c r="AP1979" i="1"/>
  <c r="AO1980" i="1"/>
  <c r="AP1980" i="1"/>
  <c r="AO1981" i="1"/>
  <c r="AP1981" i="1"/>
  <c r="AO1982" i="1"/>
  <c r="AP1982" i="1"/>
  <c r="AO1983" i="1"/>
  <c r="AP1983" i="1"/>
  <c r="AO1984" i="1"/>
  <c r="AP1984" i="1"/>
  <c r="AO1985" i="1"/>
  <c r="AP1985" i="1"/>
  <c r="AO1986" i="1"/>
  <c r="AP1986" i="1"/>
  <c r="AO1987" i="1"/>
  <c r="AP1987" i="1"/>
  <c r="AO1988" i="1"/>
  <c r="AP1988" i="1"/>
  <c r="AO1989" i="1"/>
  <c r="AP1989" i="1"/>
  <c r="AO1990" i="1"/>
  <c r="AP1990" i="1"/>
  <c r="AO1991" i="1"/>
  <c r="AP1991" i="1"/>
  <c r="AO1992" i="1"/>
  <c r="AP1992" i="1"/>
  <c r="AO1993" i="1"/>
  <c r="AP1993" i="1"/>
  <c r="AO1994" i="1"/>
  <c r="AP1994" i="1"/>
  <c r="AO1995" i="1"/>
  <c r="AP1995" i="1"/>
  <c r="AO1996" i="1"/>
  <c r="AP1996" i="1"/>
  <c r="AO1997" i="1"/>
  <c r="AP1997" i="1"/>
  <c r="AO1998" i="1"/>
  <c r="AP1998" i="1"/>
  <c r="AO1999" i="1"/>
  <c r="AP1999" i="1"/>
  <c r="AO2000" i="1"/>
  <c r="AP2000" i="1"/>
  <c r="AO2001" i="1"/>
  <c r="AP2001" i="1"/>
  <c r="AO2002" i="1"/>
  <c r="AP2002" i="1"/>
  <c r="AO2003" i="1"/>
  <c r="AP2003" i="1"/>
  <c r="AO2004" i="1"/>
  <c r="AP2004" i="1"/>
  <c r="AO2005" i="1"/>
  <c r="AP2005" i="1"/>
  <c r="AO2006" i="1"/>
  <c r="AP2006" i="1"/>
  <c r="AO2007" i="1"/>
  <c r="AP2007" i="1"/>
  <c r="AO2008" i="1"/>
  <c r="AP2008" i="1"/>
  <c r="AO2009" i="1"/>
  <c r="AP2009" i="1"/>
  <c r="AO2010" i="1"/>
  <c r="AP2010" i="1"/>
  <c r="AO2011" i="1"/>
  <c r="AP2011" i="1"/>
  <c r="AO2012" i="1"/>
  <c r="AP2012" i="1"/>
  <c r="AO2013" i="1"/>
  <c r="AP2013" i="1"/>
  <c r="AO2014" i="1"/>
  <c r="AP2014" i="1"/>
  <c r="AO2015" i="1"/>
  <c r="AP2015" i="1"/>
  <c r="AO2016" i="1"/>
  <c r="AP2016" i="1"/>
  <c r="AO2017" i="1"/>
  <c r="AP2017" i="1"/>
  <c r="AO2018" i="1"/>
  <c r="AP2018" i="1"/>
  <c r="AO2019" i="1"/>
  <c r="AP2019" i="1"/>
  <c r="AO2020" i="1"/>
  <c r="AP2020" i="1"/>
  <c r="AO2021" i="1"/>
  <c r="AP2021" i="1"/>
  <c r="AO2022" i="1"/>
  <c r="AP2022" i="1"/>
  <c r="AO2023" i="1"/>
  <c r="AP2023" i="1"/>
  <c r="AO2024" i="1"/>
  <c r="AP2024" i="1"/>
  <c r="AO2025" i="1"/>
  <c r="AP2025" i="1"/>
  <c r="AO2026" i="1"/>
  <c r="AP2026" i="1"/>
  <c r="AO2027" i="1"/>
  <c r="AP2027" i="1"/>
  <c r="AO2028" i="1"/>
  <c r="AP2028" i="1"/>
  <c r="AO2029" i="1"/>
  <c r="AP2029" i="1"/>
  <c r="AO2030" i="1"/>
  <c r="AP2030" i="1"/>
  <c r="AO2031" i="1"/>
  <c r="AP2031" i="1"/>
  <c r="AO2032" i="1"/>
  <c r="AP2032" i="1"/>
  <c r="AO2033" i="1"/>
  <c r="AP2033" i="1"/>
  <c r="AO2034" i="1"/>
  <c r="AP2034" i="1"/>
  <c r="AO2035" i="1"/>
  <c r="AP2035" i="1"/>
  <c r="AO2036" i="1"/>
  <c r="AP2036" i="1"/>
  <c r="AO2037" i="1"/>
  <c r="AP2037" i="1"/>
  <c r="AO2038" i="1"/>
  <c r="AP2038" i="1"/>
  <c r="AO2039" i="1"/>
  <c r="AP2039" i="1"/>
  <c r="AO2040" i="1"/>
  <c r="AP2040" i="1"/>
  <c r="AO2041" i="1"/>
  <c r="AP2041" i="1"/>
  <c r="AO2042" i="1"/>
  <c r="AP2042" i="1"/>
  <c r="AO2043" i="1"/>
  <c r="AP2043" i="1"/>
  <c r="AO2044" i="1"/>
  <c r="AP2044" i="1"/>
  <c r="AO2045" i="1"/>
  <c r="AP2045" i="1"/>
  <c r="AO2046" i="1"/>
  <c r="AP2046" i="1"/>
  <c r="AO2047" i="1"/>
  <c r="AP2047" i="1"/>
  <c r="AO2048" i="1"/>
  <c r="AP2048" i="1"/>
  <c r="AO2049" i="1"/>
  <c r="AP2049" i="1"/>
  <c r="AO2050" i="1"/>
  <c r="AP2050" i="1"/>
  <c r="AO2051" i="1"/>
  <c r="AP2051" i="1"/>
  <c r="AO2052" i="1"/>
  <c r="AP2052" i="1"/>
  <c r="AO2053" i="1"/>
  <c r="AP2053" i="1"/>
  <c r="AO2054" i="1"/>
  <c r="AP2054" i="1"/>
  <c r="AO2055" i="1"/>
  <c r="AP2055" i="1"/>
  <c r="AO2056" i="1"/>
  <c r="AP2056" i="1"/>
  <c r="AO2057" i="1"/>
  <c r="AP2057" i="1"/>
  <c r="AO2058" i="1"/>
  <c r="AP2058" i="1"/>
  <c r="AO2059" i="1"/>
  <c r="AP2059" i="1"/>
  <c r="AO2060" i="1"/>
  <c r="AP2060" i="1"/>
  <c r="AO2061" i="1"/>
  <c r="AP2061" i="1"/>
  <c r="AO2062" i="1"/>
  <c r="AP2062" i="1"/>
  <c r="AO2063" i="1"/>
  <c r="AP2063" i="1"/>
  <c r="AO2064" i="1"/>
  <c r="AP2064" i="1"/>
  <c r="AO2065" i="1"/>
  <c r="AP2065" i="1"/>
  <c r="AO2066" i="1"/>
  <c r="AP2066" i="1"/>
  <c r="AO2067" i="1"/>
  <c r="AP2067" i="1"/>
  <c r="AO2068" i="1"/>
  <c r="AP2068" i="1"/>
  <c r="AO2069" i="1"/>
  <c r="AP2069" i="1"/>
  <c r="AO2070" i="1"/>
  <c r="AP2070" i="1"/>
  <c r="AO2071" i="1"/>
  <c r="AP2071" i="1"/>
  <c r="AO2072" i="1"/>
  <c r="AP2072" i="1"/>
  <c r="AO2073" i="1"/>
  <c r="AP2073" i="1"/>
  <c r="AO2074" i="1"/>
  <c r="AP2074" i="1"/>
  <c r="AO2075" i="1"/>
  <c r="AP2075" i="1"/>
  <c r="AO2076" i="1"/>
  <c r="AP2076" i="1"/>
  <c r="AO2077" i="1"/>
  <c r="AP2077" i="1"/>
  <c r="AO2078" i="1"/>
  <c r="AP2078" i="1"/>
  <c r="AO2079" i="1"/>
  <c r="AP2079" i="1"/>
  <c r="AO2080" i="1"/>
  <c r="AP2080" i="1"/>
  <c r="AO2081" i="1"/>
  <c r="AP2081" i="1"/>
  <c r="AO2082" i="1"/>
  <c r="AP2082" i="1"/>
  <c r="AO2083" i="1"/>
  <c r="AP2083" i="1"/>
  <c r="AO2084" i="1"/>
  <c r="AP2084" i="1"/>
  <c r="AO2085" i="1"/>
  <c r="AP2085" i="1"/>
  <c r="AO2086" i="1"/>
  <c r="AP2086" i="1"/>
  <c r="AO2087" i="1"/>
  <c r="AP2087" i="1"/>
  <c r="AO2088" i="1"/>
  <c r="AP2088" i="1"/>
  <c r="AO2089" i="1"/>
  <c r="AP2089" i="1"/>
  <c r="AO2090" i="1"/>
  <c r="AP2090" i="1"/>
  <c r="AO2091" i="1"/>
  <c r="AP2091" i="1"/>
  <c r="AO2092" i="1"/>
  <c r="AP2092" i="1"/>
  <c r="AO2093" i="1"/>
  <c r="AP2093" i="1"/>
  <c r="AO2094" i="1"/>
  <c r="AP2094" i="1"/>
  <c r="AO2095" i="1"/>
  <c r="AP2095" i="1"/>
  <c r="AO2096" i="1"/>
  <c r="AP2096" i="1"/>
  <c r="AO2097" i="1"/>
  <c r="AP2097" i="1"/>
  <c r="AO2098" i="1"/>
  <c r="AP2098" i="1"/>
  <c r="AO2099" i="1"/>
  <c r="AP2099" i="1"/>
  <c r="AO2100" i="1"/>
  <c r="AP2100" i="1"/>
  <c r="AO2101" i="1"/>
  <c r="AP2101" i="1"/>
  <c r="AO2102" i="1"/>
  <c r="AP2102" i="1"/>
  <c r="AO2103" i="1"/>
  <c r="AP2103" i="1"/>
  <c r="AO2104" i="1"/>
  <c r="AP2104" i="1"/>
  <c r="AO2105" i="1"/>
  <c r="AP2105" i="1"/>
  <c r="AO2106" i="1"/>
  <c r="AP2106" i="1"/>
  <c r="AO2107" i="1"/>
  <c r="AP2107" i="1"/>
  <c r="AO2108" i="1"/>
  <c r="AP2108" i="1"/>
  <c r="AO2109" i="1"/>
  <c r="AP2109" i="1"/>
  <c r="AO2110" i="1"/>
  <c r="AP2110" i="1"/>
  <c r="AO2111" i="1"/>
  <c r="AP2111" i="1"/>
  <c r="AO2112" i="1"/>
  <c r="AP2112" i="1"/>
  <c r="AO2113" i="1"/>
  <c r="AP2113" i="1"/>
  <c r="AO2114" i="1"/>
  <c r="AP2114" i="1"/>
  <c r="AO2115" i="1"/>
  <c r="AP2115" i="1"/>
  <c r="AO2116" i="1"/>
  <c r="AP2116" i="1"/>
  <c r="AO2117" i="1"/>
  <c r="AP2117" i="1"/>
  <c r="AO2118" i="1"/>
  <c r="AP2118" i="1"/>
  <c r="AO2119" i="1"/>
  <c r="AP2119" i="1"/>
  <c r="AO2120" i="1"/>
  <c r="AP2120" i="1"/>
  <c r="AO2121" i="1"/>
  <c r="AP2121" i="1"/>
  <c r="AO2122" i="1"/>
  <c r="AP2122" i="1"/>
  <c r="AO2123" i="1"/>
  <c r="AP2123" i="1"/>
  <c r="AO2124" i="1"/>
  <c r="AP2124" i="1"/>
  <c r="AO2125" i="1"/>
  <c r="AP2125" i="1"/>
  <c r="AO2126" i="1"/>
  <c r="AP2126" i="1"/>
  <c r="AO2127" i="1"/>
  <c r="AP2127" i="1"/>
  <c r="AO2128" i="1"/>
  <c r="AP2128" i="1"/>
  <c r="AO2129" i="1"/>
  <c r="AP2129" i="1"/>
  <c r="AO2130" i="1"/>
  <c r="AP2130" i="1"/>
  <c r="AO2131" i="1"/>
  <c r="AP2131" i="1"/>
  <c r="AO2132" i="1"/>
  <c r="AP2132" i="1"/>
  <c r="AO2133" i="1"/>
  <c r="AP2133" i="1"/>
  <c r="AO2134" i="1"/>
  <c r="AP2134" i="1"/>
  <c r="AO2135" i="1"/>
  <c r="AP2135" i="1"/>
  <c r="AO2136" i="1"/>
  <c r="AP2136" i="1"/>
  <c r="AO2137" i="1"/>
  <c r="AP2137" i="1"/>
  <c r="AO2138" i="1"/>
  <c r="AP2138" i="1"/>
  <c r="AO2139" i="1"/>
  <c r="AP2139" i="1"/>
  <c r="AO2140" i="1"/>
  <c r="AP2140" i="1"/>
  <c r="AO2141" i="1"/>
  <c r="AP2141" i="1"/>
  <c r="AO2142" i="1"/>
  <c r="AP2142" i="1"/>
  <c r="AO2143" i="1"/>
  <c r="AP2143" i="1"/>
  <c r="AO2144" i="1"/>
  <c r="AP2144" i="1"/>
  <c r="AO2145" i="1"/>
  <c r="AP2145" i="1"/>
  <c r="AO2146" i="1"/>
  <c r="AP2146" i="1"/>
  <c r="AO2147" i="1"/>
  <c r="AP2147" i="1"/>
  <c r="AO2148" i="1"/>
  <c r="AP2148" i="1"/>
  <c r="AO2149" i="1"/>
  <c r="AP2149" i="1"/>
  <c r="AO2150" i="1"/>
  <c r="AP2150" i="1"/>
  <c r="AO2151" i="1"/>
  <c r="AP2151" i="1"/>
  <c r="AO2152" i="1"/>
  <c r="AP2152" i="1"/>
  <c r="AO2153" i="1"/>
  <c r="AP2153" i="1"/>
  <c r="AO2154" i="1"/>
  <c r="AP2154" i="1"/>
  <c r="AO2155" i="1"/>
  <c r="AP2155" i="1"/>
  <c r="AO2156" i="1"/>
  <c r="AP2156" i="1"/>
  <c r="AO2157" i="1"/>
  <c r="AP2157" i="1"/>
  <c r="AO2158" i="1"/>
  <c r="AP2158" i="1"/>
  <c r="AO2159" i="1"/>
  <c r="AP2159" i="1"/>
  <c r="AO2160" i="1"/>
  <c r="AP2160" i="1"/>
  <c r="AO2161" i="1"/>
  <c r="AP2161" i="1"/>
  <c r="AO2162" i="1"/>
  <c r="AP2162" i="1"/>
  <c r="AO2163" i="1"/>
  <c r="AP2163" i="1"/>
  <c r="AO2164" i="1"/>
  <c r="AP2164" i="1"/>
  <c r="AO2165" i="1"/>
  <c r="AP2165" i="1"/>
  <c r="AO2166" i="1"/>
  <c r="AP2166" i="1"/>
  <c r="AO2167" i="1"/>
  <c r="AP2167" i="1"/>
  <c r="AO2168" i="1"/>
  <c r="AP2168" i="1"/>
  <c r="AO2169" i="1"/>
  <c r="AP2169" i="1"/>
  <c r="AO2170" i="1"/>
  <c r="AP2170" i="1"/>
  <c r="AO2171" i="1"/>
  <c r="AP2171" i="1"/>
  <c r="AO2172" i="1"/>
  <c r="AP2172" i="1"/>
  <c r="AO2173" i="1"/>
  <c r="AP2173" i="1"/>
  <c r="AO2174" i="1"/>
  <c r="AP2174" i="1"/>
  <c r="AO2175" i="1"/>
  <c r="AP2175" i="1"/>
  <c r="AO2176" i="1"/>
  <c r="AP2176" i="1"/>
  <c r="AO2177" i="1"/>
  <c r="AP2177" i="1"/>
  <c r="AO2178" i="1"/>
  <c r="AP2178" i="1"/>
  <c r="AO2179" i="1"/>
  <c r="AP2179" i="1"/>
  <c r="AO2180" i="1"/>
  <c r="AP2180" i="1"/>
  <c r="AO2181" i="1"/>
  <c r="AP2181" i="1"/>
  <c r="AO2182" i="1"/>
  <c r="AP2182" i="1"/>
  <c r="AO2183" i="1"/>
  <c r="AP2183" i="1"/>
  <c r="AO2184" i="1"/>
  <c r="AP2184" i="1"/>
  <c r="AO2185" i="1"/>
  <c r="AP2185" i="1"/>
  <c r="AO2186" i="1"/>
  <c r="AP2186" i="1"/>
  <c r="AO2187" i="1"/>
  <c r="AP2187" i="1"/>
  <c r="AO2188" i="1"/>
  <c r="AP2188" i="1"/>
  <c r="AO2189" i="1"/>
  <c r="AP2189" i="1"/>
  <c r="AO2190" i="1"/>
  <c r="AP2190" i="1"/>
  <c r="AO2191" i="1"/>
  <c r="AP2191" i="1"/>
  <c r="AO2192" i="1"/>
  <c r="AP2192" i="1"/>
  <c r="AO2193" i="1"/>
  <c r="AP2193" i="1"/>
  <c r="AO2194" i="1"/>
  <c r="AP2194" i="1"/>
  <c r="AO2195" i="1"/>
  <c r="AP2195" i="1"/>
  <c r="AO2196" i="1"/>
  <c r="AP2196" i="1"/>
  <c r="AO2197" i="1"/>
  <c r="AP2197" i="1"/>
  <c r="AO2198" i="1"/>
  <c r="AP2198" i="1"/>
  <c r="AO2199" i="1"/>
  <c r="AP2199" i="1"/>
  <c r="AO2200" i="1"/>
  <c r="AP2200" i="1"/>
  <c r="AO2201" i="1"/>
  <c r="AP2201" i="1"/>
  <c r="AO2202" i="1"/>
  <c r="AP2202" i="1"/>
  <c r="AO2203" i="1"/>
  <c r="AP2203" i="1"/>
  <c r="AO2204" i="1"/>
  <c r="AP2204" i="1"/>
  <c r="AO2205" i="1"/>
  <c r="AP2205" i="1"/>
  <c r="AO2206" i="1"/>
  <c r="AP2206" i="1"/>
  <c r="AO2207" i="1"/>
  <c r="AP2207" i="1"/>
  <c r="AO2208" i="1"/>
  <c r="AP2208" i="1"/>
  <c r="AO2209" i="1"/>
  <c r="AP2209" i="1"/>
  <c r="AO2210" i="1"/>
  <c r="AP2210" i="1"/>
  <c r="AO2211" i="1"/>
  <c r="AP2211" i="1"/>
  <c r="AO2212" i="1"/>
  <c r="AP2212" i="1"/>
  <c r="AO2213" i="1"/>
  <c r="AP2213" i="1"/>
  <c r="AO2214" i="1"/>
  <c r="AP2214" i="1"/>
  <c r="AO2215" i="1"/>
  <c r="AP2215" i="1"/>
  <c r="AO2216" i="1"/>
  <c r="AP2216" i="1"/>
  <c r="AO2217" i="1"/>
  <c r="AP2217" i="1"/>
  <c r="AO2218" i="1"/>
  <c r="AP2218" i="1"/>
  <c r="AO2219" i="1"/>
  <c r="AP2219" i="1"/>
  <c r="AO2220" i="1"/>
  <c r="AP2220" i="1"/>
  <c r="AO2221" i="1"/>
  <c r="AP2221" i="1"/>
  <c r="AO2222" i="1"/>
  <c r="AP2222" i="1"/>
  <c r="AO2223" i="1"/>
  <c r="AP2223" i="1"/>
  <c r="AO2224" i="1"/>
  <c r="AP2224" i="1"/>
  <c r="AO2225" i="1"/>
  <c r="AP2225" i="1"/>
  <c r="AO2226" i="1"/>
  <c r="AP2226" i="1"/>
  <c r="AO2227" i="1"/>
  <c r="AP2227" i="1"/>
  <c r="AO2228" i="1"/>
  <c r="AP2228" i="1"/>
  <c r="AO2229" i="1"/>
  <c r="AP2229" i="1"/>
  <c r="AO2230" i="1"/>
  <c r="AP2230" i="1"/>
  <c r="AO2231" i="1"/>
  <c r="AP2231" i="1"/>
  <c r="AO2232" i="1"/>
  <c r="AP2232" i="1"/>
  <c r="AO2233" i="1"/>
  <c r="AP2233" i="1"/>
  <c r="AO2234" i="1"/>
  <c r="AP2234" i="1"/>
  <c r="AO2235" i="1"/>
  <c r="AP2235" i="1"/>
  <c r="AO2236" i="1"/>
  <c r="AP2236" i="1"/>
  <c r="AO2237" i="1"/>
  <c r="AP2237" i="1"/>
  <c r="AO2238" i="1"/>
  <c r="AP2238" i="1"/>
  <c r="AO2239" i="1"/>
  <c r="AP2239" i="1"/>
  <c r="AO2240" i="1"/>
  <c r="AP2240" i="1"/>
  <c r="AO2241" i="1"/>
  <c r="AP2241" i="1"/>
  <c r="AO2242" i="1"/>
  <c r="AP2242" i="1"/>
  <c r="AO2243" i="1"/>
  <c r="AP2243" i="1"/>
  <c r="AO2244" i="1"/>
  <c r="AP2244" i="1"/>
  <c r="AO2245" i="1"/>
  <c r="AP2245" i="1"/>
  <c r="AO2246" i="1"/>
  <c r="AP2246" i="1"/>
  <c r="AO2247" i="1"/>
  <c r="AP2247" i="1"/>
  <c r="AO2248" i="1"/>
  <c r="AP2248" i="1"/>
  <c r="AO2249" i="1"/>
  <c r="AP2249" i="1"/>
  <c r="AO2250" i="1"/>
  <c r="AP2250" i="1"/>
  <c r="AO2251" i="1"/>
  <c r="AP2251" i="1"/>
  <c r="AO2252" i="1"/>
  <c r="AP2252" i="1"/>
  <c r="AO2253" i="1"/>
  <c r="AP2253" i="1"/>
  <c r="AO2254" i="1"/>
  <c r="AP2254" i="1"/>
  <c r="AO2255" i="1"/>
  <c r="AP2255" i="1"/>
  <c r="AO2256" i="1"/>
  <c r="AP2256" i="1"/>
  <c r="AO2257" i="1"/>
  <c r="AP2257" i="1"/>
  <c r="AO2258" i="1"/>
  <c r="AP2258" i="1"/>
  <c r="AO2259" i="1"/>
  <c r="AP2259" i="1"/>
  <c r="AO2260" i="1"/>
  <c r="AP2260" i="1"/>
  <c r="AO2261" i="1"/>
  <c r="AP2261" i="1"/>
  <c r="AO2262" i="1"/>
  <c r="AP2262" i="1"/>
  <c r="AO2263" i="1"/>
  <c r="AP2263" i="1"/>
  <c r="AO2264" i="1"/>
  <c r="AP2264" i="1"/>
  <c r="AO2265" i="1"/>
  <c r="AP2265" i="1"/>
  <c r="AO2266" i="1"/>
  <c r="AP2266" i="1"/>
  <c r="AO2267" i="1"/>
  <c r="AP2267" i="1"/>
  <c r="AO2268" i="1"/>
  <c r="AP2268" i="1"/>
  <c r="AO2269" i="1"/>
  <c r="AP2269" i="1"/>
  <c r="AO2270" i="1"/>
  <c r="AP2270" i="1"/>
  <c r="AO2271" i="1"/>
  <c r="AP2271" i="1"/>
  <c r="AO2272" i="1"/>
  <c r="AP2272" i="1"/>
  <c r="AO2273" i="1"/>
  <c r="AP2273" i="1"/>
  <c r="AO2274" i="1"/>
  <c r="AP2274" i="1"/>
  <c r="AO2275" i="1"/>
  <c r="AP2275" i="1"/>
  <c r="AO2276" i="1"/>
  <c r="AP2276" i="1"/>
  <c r="AO2277" i="1"/>
  <c r="AP2277" i="1"/>
  <c r="AO2278" i="1"/>
  <c r="AP2278" i="1"/>
  <c r="AO2279" i="1"/>
  <c r="AP2279" i="1"/>
  <c r="AO2280" i="1"/>
  <c r="AP2280" i="1"/>
  <c r="AO2281" i="1"/>
  <c r="AP2281" i="1"/>
  <c r="AO2282" i="1"/>
  <c r="AP2282" i="1"/>
  <c r="AO2283" i="1"/>
  <c r="AP2283" i="1"/>
  <c r="AO2284" i="1"/>
  <c r="AP2284" i="1"/>
  <c r="AO2285" i="1"/>
  <c r="AP2285" i="1"/>
  <c r="AO2286" i="1"/>
  <c r="AP2286" i="1"/>
  <c r="AO2287" i="1"/>
  <c r="AP2287" i="1"/>
  <c r="AO2288" i="1"/>
  <c r="AP2288" i="1"/>
  <c r="AO2289" i="1"/>
  <c r="AP2289" i="1"/>
  <c r="AO2290" i="1"/>
  <c r="AP2290" i="1"/>
  <c r="AO2291" i="1"/>
  <c r="AP2291" i="1"/>
  <c r="AO2292" i="1"/>
  <c r="AP2292" i="1"/>
  <c r="AO2293" i="1"/>
  <c r="AP2293" i="1"/>
  <c r="AO2294" i="1"/>
  <c r="AP2294" i="1"/>
  <c r="AO2295" i="1"/>
  <c r="AP2295" i="1"/>
  <c r="AO2296" i="1"/>
  <c r="AP2296" i="1"/>
  <c r="AO2297" i="1"/>
  <c r="AP2297" i="1"/>
  <c r="AO2298" i="1"/>
  <c r="AP2298" i="1"/>
  <c r="AO2299" i="1"/>
  <c r="AP2299" i="1"/>
  <c r="AO2300" i="1"/>
  <c r="AP2300" i="1"/>
  <c r="AO2301" i="1"/>
  <c r="AP2301" i="1"/>
  <c r="AO2302" i="1"/>
  <c r="AP2302" i="1"/>
  <c r="AO2303" i="1"/>
  <c r="AP2303" i="1"/>
  <c r="AO2304" i="1"/>
  <c r="AP2304" i="1"/>
  <c r="AO2305" i="1"/>
  <c r="AP2305" i="1"/>
  <c r="AO2306" i="1"/>
  <c r="AP2306" i="1"/>
  <c r="AO2307" i="1"/>
  <c r="AP2307" i="1"/>
  <c r="AO2308" i="1"/>
  <c r="AP2308" i="1"/>
  <c r="AO2309" i="1"/>
  <c r="AP2309" i="1"/>
  <c r="AO2310" i="1"/>
  <c r="AP2310" i="1"/>
  <c r="AO2311" i="1"/>
  <c r="AP2311" i="1"/>
  <c r="AO2312" i="1"/>
  <c r="AP2312" i="1"/>
  <c r="AO2313" i="1"/>
  <c r="AP2313" i="1"/>
  <c r="AO2314" i="1"/>
  <c r="AP2314" i="1"/>
  <c r="AO2315" i="1"/>
  <c r="AP2315" i="1"/>
  <c r="AO2316" i="1"/>
  <c r="AP2316" i="1"/>
  <c r="AO2317" i="1"/>
  <c r="AP2317" i="1"/>
  <c r="AO2318" i="1"/>
  <c r="AP2318" i="1"/>
  <c r="AO2319" i="1"/>
  <c r="AP2319" i="1"/>
  <c r="AO2320" i="1"/>
  <c r="AP2320" i="1"/>
  <c r="AO2321" i="1"/>
  <c r="AP2321" i="1"/>
  <c r="AO2322" i="1"/>
  <c r="AP2322" i="1"/>
  <c r="AO2323" i="1"/>
  <c r="AP2323" i="1"/>
  <c r="AO2324" i="1"/>
  <c r="AP2324" i="1"/>
  <c r="AO2325" i="1"/>
  <c r="AP2325" i="1"/>
  <c r="AO2326" i="1"/>
  <c r="AP2326" i="1"/>
  <c r="AO2327" i="1"/>
  <c r="AP2327" i="1"/>
  <c r="AO2328" i="1"/>
  <c r="AP2328" i="1"/>
  <c r="AO2329" i="1"/>
  <c r="AP2329" i="1"/>
  <c r="AO2330" i="1"/>
  <c r="AP2330" i="1"/>
  <c r="AO2331" i="1"/>
  <c r="AP2331" i="1"/>
  <c r="AO2332" i="1"/>
  <c r="AP2332" i="1"/>
  <c r="AO2333" i="1"/>
  <c r="AP2333" i="1"/>
  <c r="AO2334" i="1"/>
  <c r="AP2334" i="1"/>
  <c r="AO2335" i="1"/>
  <c r="AP2335" i="1"/>
  <c r="AO2336" i="1"/>
  <c r="AP2336" i="1"/>
  <c r="AO2337" i="1"/>
  <c r="AP2337" i="1"/>
  <c r="AO2338" i="1"/>
  <c r="AP2338" i="1"/>
  <c r="AO2339" i="1"/>
  <c r="AP2339" i="1"/>
  <c r="AO2340" i="1"/>
  <c r="AP2340" i="1"/>
  <c r="AO2341" i="1"/>
  <c r="AP2341" i="1"/>
  <c r="AO2342" i="1"/>
  <c r="AP2342" i="1"/>
  <c r="AO2343" i="1"/>
  <c r="AP2343" i="1"/>
  <c r="AO2344" i="1"/>
  <c r="AP2344" i="1"/>
  <c r="AO2345" i="1"/>
  <c r="AP2345" i="1"/>
  <c r="AO2346" i="1"/>
  <c r="AP2346" i="1"/>
  <c r="AO2347" i="1"/>
  <c r="AP2347" i="1"/>
  <c r="AO2348" i="1"/>
  <c r="AP2348" i="1"/>
  <c r="AO2349" i="1"/>
  <c r="AP2349" i="1"/>
  <c r="AO2350" i="1"/>
  <c r="AP2350" i="1"/>
  <c r="AO2351" i="1"/>
  <c r="AP2351" i="1"/>
  <c r="AO2352" i="1"/>
  <c r="AP2352" i="1"/>
  <c r="AO2353" i="1"/>
  <c r="AP2353" i="1"/>
  <c r="AO2354" i="1"/>
  <c r="AP2354" i="1"/>
  <c r="AO2355" i="1"/>
  <c r="AP2355" i="1"/>
  <c r="AO2356" i="1"/>
  <c r="AP2356" i="1"/>
  <c r="AO2357" i="1"/>
  <c r="AP2357" i="1"/>
  <c r="AO2358" i="1"/>
  <c r="AP2358" i="1"/>
  <c r="AO2359" i="1"/>
  <c r="AP2359" i="1"/>
  <c r="AO2360" i="1"/>
  <c r="AP2360" i="1"/>
  <c r="AO2361" i="1"/>
  <c r="AP2361" i="1"/>
  <c r="AO2362" i="1"/>
  <c r="AP2362" i="1"/>
  <c r="AO2363" i="1"/>
  <c r="AP2363" i="1"/>
  <c r="AO2364" i="1"/>
  <c r="AP2364" i="1"/>
  <c r="AO2365" i="1"/>
  <c r="AP2365" i="1"/>
  <c r="AO2366" i="1"/>
  <c r="AP2366" i="1"/>
  <c r="AO2367" i="1"/>
  <c r="AP2367" i="1"/>
  <c r="AO2368" i="1"/>
  <c r="AP2368" i="1"/>
  <c r="AO2369" i="1"/>
  <c r="AP2369" i="1"/>
  <c r="AO2370" i="1"/>
  <c r="AP2370" i="1"/>
  <c r="AO2371" i="1"/>
  <c r="AP2371" i="1"/>
  <c r="AO2372" i="1"/>
  <c r="AP2372" i="1"/>
  <c r="AO2373" i="1"/>
  <c r="AP2373" i="1"/>
  <c r="AO2374" i="1"/>
  <c r="AP2374" i="1"/>
  <c r="AO2375" i="1"/>
  <c r="AP2375" i="1"/>
  <c r="AO2376" i="1"/>
  <c r="AP2376" i="1"/>
  <c r="AO2377" i="1"/>
  <c r="AP2377" i="1"/>
  <c r="AO2378" i="1"/>
  <c r="AP2378" i="1"/>
  <c r="AO2379" i="1"/>
  <c r="AP2379" i="1"/>
  <c r="AO2380" i="1"/>
  <c r="AP2380" i="1"/>
  <c r="AO2381" i="1"/>
  <c r="AP2381" i="1"/>
  <c r="AO2382" i="1"/>
  <c r="AP2382" i="1"/>
  <c r="AO2383" i="1"/>
  <c r="AP2383" i="1"/>
  <c r="AO2384" i="1"/>
  <c r="AP2384" i="1"/>
  <c r="AO2385" i="1"/>
  <c r="AP2385" i="1"/>
  <c r="AO2386" i="1"/>
  <c r="AP2386" i="1"/>
  <c r="AO2387" i="1"/>
  <c r="AP2387" i="1"/>
  <c r="AO2388" i="1"/>
  <c r="AP2388" i="1"/>
  <c r="AO2389" i="1"/>
  <c r="AP2389" i="1"/>
  <c r="AO2390" i="1"/>
  <c r="AP2390" i="1"/>
  <c r="AO2391" i="1"/>
  <c r="AP2391" i="1"/>
  <c r="AO2392" i="1"/>
  <c r="AP2392" i="1"/>
  <c r="AO2393" i="1"/>
  <c r="AP2393" i="1"/>
  <c r="AO2394" i="1"/>
  <c r="AP2394" i="1"/>
  <c r="AO2395" i="1"/>
  <c r="AP2395" i="1"/>
  <c r="AO2396" i="1"/>
  <c r="AP2396" i="1"/>
  <c r="AO2397" i="1"/>
  <c r="AP2397" i="1"/>
  <c r="AO2398" i="1"/>
  <c r="AP2398" i="1"/>
  <c r="AO2399" i="1"/>
  <c r="AP2399" i="1"/>
  <c r="AO2400" i="1"/>
  <c r="AP2400" i="1"/>
  <c r="AO2401" i="1"/>
  <c r="AP2401" i="1"/>
  <c r="AO2402" i="1"/>
  <c r="AP2402" i="1"/>
  <c r="AO2403" i="1"/>
  <c r="AP2403" i="1"/>
  <c r="AO2404" i="1"/>
  <c r="AP2404" i="1"/>
  <c r="AO2405" i="1"/>
  <c r="AP2405" i="1"/>
  <c r="AO2406" i="1"/>
  <c r="AP2406" i="1"/>
  <c r="AO2407" i="1"/>
  <c r="AP2407" i="1"/>
  <c r="AO2408" i="1"/>
  <c r="AP2408" i="1"/>
  <c r="AO2409" i="1"/>
  <c r="AP2409" i="1"/>
  <c r="AO2410" i="1"/>
  <c r="AP2410" i="1"/>
  <c r="AO2411" i="1"/>
  <c r="AP2411" i="1"/>
  <c r="AO2412" i="1"/>
  <c r="AP2412" i="1"/>
  <c r="AO2413" i="1"/>
  <c r="AP2413" i="1"/>
  <c r="AO2414" i="1"/>
  <c r="AP2414" i="1"/>
  <c r="AO2415" i="1"/>
  <c r="AP2415" i="1"/>
  <c r="AO2416" i="1"/>
  <c r="AP2416" i="1"/>
  <c r="AO2417" i="1"/>
  <c r="AP2417" i="1"/>
  <c r="AO2418" i="1"/>
  <c r="AP2418" i="1"/>
  <c r="AO2419" i="1"/>
  <c r="AP2419" i="1"/>
  <c r="AO2420" i="1"/>
  <c r="AP2420" i="1"/>
  <c r="AO2421" i="1"/>
  <c r="AP2421" i="1"/>
  <c r="AO2422" i="1"/>
  <c r="AP2422" i="1"/>
  <c r="AO2423" i="1"/>
  <c r="AP2423" i="1"/>
  <c r="AO2424" i="1"/>
  <c r="AP2424" i="1"/>
  <c r="AO2425" i="1"/>
  <c r="AP2425" i="1"/>
  <c r="AO2426" i="1"/>
  <c r="AP2426" i="1"/>
  <c r="AO2427" i="1"/>
  <c r="AP2427" i="1"/>
  <c r="AO2428" i="1"/>
  <c r="AP2428" i="1"/>
  <c r="AO2429" i="1"/>
  <c r="AP2429" i="1"/>
  <c r="AO2430" i="1"/>
  <c r="AP2430" i="1"/>
  <c r="AO2431" i="1"/>
  <c r="AP2431" i="1"/>
  <c r="AO2432" i="1"/>
  <c r="AP2432" i="1"/>
  <c r="AO2433" i="1"/>
  <c r="AP2433" i="1"/>
  <c r="AO2434" i="1"/>
  <c r="AP2434" i="1"/>
  <c r="AO2435" i="1"/>
  <c r="AP2435" i="1"/>
  <c r="AO2436" i="1"/>
  <c r="AP2436" i="1"/>
  <c r="AO2437" i="1"/>
  <c r="AP2437" i="1"/>
  <c r="AO2438" i="1"/>
  <c r="AP2438" i="1"/>
  <c r="AO2439" i="1"/>
  <c r="AP2439" i="1"/>
  <c r="AO2440" i="1"/>
  <c r="AP2440" i="1"/>
  <c r="AO2441" i="1"/>
  <c r="AP2441" i="1"/>
  <c r="AO2442" i="1"/>
  <c r="AP2442" i="1"/>
  <c r="AO2443" i="1"/>
  <c r="AP2443" i="1"/>
  <c r="AO2444" i="1"/>
  <c r="AP2444" i="1"/>
  <c r="AO2445" i="1"/>
  <c r="AP2445" i="1"/>
  <c r="AO2446" i="1"/>
  <c r="AP2446" i="1"/>
  <c r="AO2447" i="1"/>
  <c r="AP2447" i="1"/>
  <c r="AO2448" i="1"/>
  <c r="AP2448" i="1"/>
  <c r="AO2449" i="1"/>
  <c r="AP2449" i="1"/>
  <c r="AO2450" i="1"/>
  <c r="AP2450" i="1"/>
  <c r="AO2451" i="1"/>
  <c r="AP2451" i="1"/>
  <c r="AO2452" i="1"/>
  <c r="AP2452" i="1"/>
  <c r="AO2453" i="1"/>
  <c r="AP2453" i="1"/>
  <c r="AO2454" i="1"/>
  <c r="AP2454" i="1"/>
  <c r="AO2455" i="1"/>
  <c r="AP2455" i="1"/>
  <c r="AO2456" i="1"/>
  <c r="AP2456" i="1"/>
  <c r="AO2457" i="1"/>
  <c r="AP2457" i="1"/>
  <c r="AO2458" i="1"/>
  <c r="AP2458" i="1"/>
  <c r="AO2459" i="1"/>
  <c r="AP2459" i="1"/>
  <c r="AO2460" i="1"/>
  <c r="AP2460" i="1"/>
  <c r="AO2461" i="1"/>
  <c r="AP2461" i="1"/>
  <c r="AO2462" i="1"/>
  <c r="AP2462" i="1"/>
  <c r="AO2463" i="1"/>
  <c r="AP2463" i="1"/>
  <c r="AO2464" i="1"/>
  <c r="AP2464" i="1"/>
  <c r="AO2465" i="1"/>
  <c r="AP2465" i="1"/>
  <c r="AO2466" i="1"/>
  <c r="AP2466" i="1"/>
  <c r="AO2467" i="1"/>
  <c r="AP2467" i="1"/>
  <c r="AO2468" i="1"/>
  <c r="AP2468" i="1"/>
  <c r="AO2469" i="1"/>
  <c r="AP2469" i="1"/>
  <c r="AO2470" i="1"/>
  <c r="AP2470" i="1"/>
  <c r="AO2471" i="1"/>
  <c r="AP2471" i="1"/>
  <c r="AO2472" i="1"/>
  <c r="AP2472" i="1"/>
  <c r="AO2473" i="1"/>
  <c r="AP2473" i="1"/>
  <c r="AO2474" i="1"/>
  <c r="AP2474" i="1"/>
  <c r="AO2475" i="1"/>
  <c r="AP2475" i="1"/>
  <c r="AO2476" i="1"/>
  <c r="AP2476" i="1"/>
  <c r="AO2477" i="1"/>
  <c r="AP2477" i="1"/>
  <c r="AO2478" i="1"/>
  <c r="AP2478" i="1"/>
  <c r="AO2479" i="1"/>
  <c r="AP2479" i="1"/>
  <c r="AO2480" i="1"/>
  <c r="AP2480" i="1"/>
  <c r="AO2481" i="1"/>
  <c r="AP2481" i="1"/>
  <c r="AO2482" i="1"/>
  <c r="AP2482" i="1"/>
  <c r="AO2483" i="1"/>
  <c r="AP2483" i="1"/>
  <c r="AO2484" i="1"/>
  <c r="AP2484" i="1"/>
  <c r="AO2485" i="1"/>
  <c r="AP2485" i="1"/>
  <c r="AO2486" i="1"/>
  <c r="AP2486" i="1"/>
  <c r="AO2487" i="1"/>
  <c r="AP2487" i="1"/>
  <c r="AO2488" i="1"/>
  <c r="AP2488" i="1"/>
  <c r="AO2489" i="1"/>
  <c r="AP2489" i="1"/>
  <c r="AO2490" i="1"/>
  <c r="AP2490" i="1"/>
  <c r="AO2491" i="1"/>
  <c r="AP2491" i="1"/>
  <c r="AO2492" i="1"/>
  <c r="AP2492" i="1"/>
  <c r="AO2493" i="1"/>
  <c r="AP2493" i="1"/>
  <c r="AO2494" i="1"/>
  <c r="AP2494" i="1"/>
  <c r="AO2495" i="1"/>
  <c r="AP2495" i="1"/>
  <c r="AO2496" i="1"/>
  <c r="AP2496" i="1"/>
  <c r="AO2497" i="1"/>
  <c r="AP2497" i="1"/>
  <c r="AO2498" i="1"/>
  <c r="AP2498" i="1"/>
  <c r="AO2499" i="1"/>
  <c r="AP2499" i="1"/>
  <c r="AO2500" i="1"/>
  <c r="AP2500" i="1"/>
  <c r="AO2501" i="1"/>
  <c r="AP2501" i="1"/>
  <c r="AO2502" i="1"/>
  <c r="AP2502" i="1"/>
  <c r="AO2503" i="1"/>
  <c r="AP2503" i="1"/>
  <c r="AO2504" i="1"/>
  <c r="AP2504" i="1"/>
  <c r="AO2505" i="1"/>
  <c r="AP2505" i="1"/>
  <c r="AO2506" i="1"/>
  <c r="AP2506" i="1"/>
  <c r="AO2507" i="1"/>
  <c r="AP2507" i="1"/>
  <c r="AO2508" i="1"/>
  <c r="AP2508" i="1"/>
  <c r="AO2509" i="1"/>
  <c r="AP2509" i="1"/>
  <c r="AO2510" i="1"/>
  <c r="AP2510" i="1"/>
  <c r="AO2511" i="1"/>
  <c r="AP2511" i="1"/>
  <c r="AO2512" i="1"/>
  <c r="AP2512" i="1"/>
  <c r="AO2513" i="1"/>
  <c r="AP2513" i="1"/>
  <c r="AO2514" i="1"/>
  <c r="AP2514" i="1"/>
  <c r="AO2515" i="1"/>
  <c r="AP2515" i="1"/>
  <c r="AO2516" i="1"/>
  <c r="AP2516" i="1"/>
  <c r="AO2517" i="1"/>
  <c r="AP2517" i="1"/>
  <c r="AO2518" i="1"/>
  <c r="AP2518" i="1"/>
  <c r="AO2519" i="1"/>
  <c r="AP2519" i="1"/>
  <c r="AO2520" i="1"/>
  <c r="AP2520" i="1"/>
  <c r="AO2521" i="1"/>
  <c r="AP2521" i="1"/>
  <c r="AO2522" i="1"/>
  <c r="AP2522" i="1"/>
  <c r="AO2523" i="1"/>
  <c r="AP2523" i="1"/>
  <c r="AO2524" i="1"/>
  <c r="AP2524" i="1"/>
  <c r="AO2525" i="1"/>
  <c r="AP2525" i="1"/>
  <c r="AO2526" i="1"/>
  <c r="AP2526" i="1"/>
  <c r="AO2527" i="1"/>
  <c r="AP2527" i="1"/>
  <c r="AO2528" i="1"/>
  <c r="AP2528" i="1"/>
  <c r="AO2529" i="1"/>
  <c r="AP2529" i="1"/>
  <c r="AO2530" i="1"/>
  <c r="AP2530" i="1"/>
  <c r="AO2531" i="1"/>
  <c r="AP2531" i="1"/>
  <c r="AO2532" i="1"/>
  <c r="AP2532" i="1"/>
  <c r="AO2533" i="1"/>
  <c r="AP2533" i="1"/>
  <c r="AO2534" i="1"/>
  <c r="AP2534" i="1"/>
  <c r="AO2535" i="1"/>
  <c r="AP2535" i="1"/>
  <c r="AO2536" i="1"/>
  <c r="AP2536" i="1"/>
  <c r="AO2537" i="1"/>
  <c r="AP2537" i="1"/>
  <c r="AO2538" i="1"/>
  <c r="AP2538" i="1"/>
  <c r="AO2539" i="1"/>
  <c r="AP2539" i="1"/>
  <c r="AO2540" i="1"/>
  <c r="AP2540" i="1"/>
  <c r="AO2541" i="1"/>
  <c r="AP2541" i="1"/>
  <c r="AO2542" i="1"/>
  <c r="AP2542" i="1"/>
  <c r="AO2543" i="1"/>
  <c r="AP2543" i="1"/>
  <c r="AO2544" i="1"/>
  <c r="AP2544" i="1"/>
  <c r="AO2545" i="1"/>
  <c r="AP2545" i="1"/>
  <c r="AO2546" i="1"/>
  <c r="AP2546" i="1"/>
  <c r="AO2547" i="1"/>
  <c r="AP2547" i="1"/>
  <c r="AO2548" i="1"/>
  <c r="AP2548" i="1"/>
  <c r="AO2549" i="1"/>
  <c r="AP2549" i="1"/>
  <c r="AO2550" i="1"/>
  <c r="AP2550" i="1"/>
  <c r="AO2551" i="1"/>
  <c r="AP2551" i="1"/>
  <c r="AO2552" i="1"/>
  <c r="AP2552" i="1"/>
  <c r="AO2553" i="1"/>
  <c r="AP2553" i="1"/>
  <c r="AO2554" i="1"/>
  <c r="AP2554" i="1"/>
  <c r="AO2555" i="1"/>
  <c r="AP2555" i="1"/>
  <c r="AO2556" i="1"/>
  <c r="AP2556" i="1"/>
  <c r="AO2557" i="1"/>
  <c r="AP2557" i="1"/>
  <c r="AO2558" i="1"/>
  <c r="AP2558" i="1"/>
  <c r="AO2559" i="1"/>
  <c r="AP2559" i="1"/>
  <c r="AO2560" i="1"/>
  <c r="AP2560" i="1"/>
  <c r="AO2561" i="1"/>
  <c r="AP2561" i="1"/>
  <c r="AO2562" i="1"/>
  <c r="AP2562" i="1"/>
  <c r="AO2563" i="1"/>
  <c r="AP2563" i="1"/>
  <c r="AO2564" i="1"/>
  <c r="AP2564" i="1"/>
  <c r="AO2565" i="1"/>
  <c r="AP2565" i="1"/>
  <c r="AO2566" i="1"/>
  <c r="AP2566" i="1"/>
  <c r="AO2567" i="1"/>
  <c r="AP2567" i="1"/>
  <c r="AO2568" i="1"/>
  <c r="AP2568" i="1"/>
  <c r="AO2569" i="1"/>
  <c r="AP2569" i="1"/>
  <c r="AO2570" i="1"/>
  <c r="AP2570" i="1"/>
  <c r="AO2571" i="1"/>
  <c r="AP2571" i="1"/>
  <c r="AO2572" i="1"/>
  <c r="AP2572" i="1"/>
  <c r="AO2573" i="1"/>
  <c r="AP2573" i="1"/>
  <c r="AO2574" i="1"/>
  <c r="AP2574" i="1"/>
  <c r="AO2575" i="1"/>
  <c r="AP2575" i="1"/>
  <c r="AO2576" i="1"/>
  <c r="AP2576" i="1"/>
  <c r="AO2577" i="1"/>
  <c r="AP2577" i="1"/>
  <c r="AO2578" i="1"/>
  <c r="AP2578" i="1"/>
  <c r="AO2579" i="1"/>
  <c r="AP2579" i="1"/>
  <c r="AO2580" i="1"/>
  <c r="AP2580" i="1"/>
  <c r="AO2581" i="1"/>
  <c r="AP2581" i="1"/>
  <c r="AO2582" i="1"/>
  <c r="AP2582" i="1"/>
  <c r="AO2583" i="1"/>
  <c r="AP2583" i="1"/>
  <c r="AO2584" i="1"/>
  <c r="AP2584" i="1"/>
  <c r="AO2585" i="1"/>
  <c r="AP2585" i="1"/>
  <c r="AO2586" i="1"/>
  <c r="AP2586" i="1"/>
  <c r="AO2587" i="1"/>
  <c r="AP2587" i="1"/>
  <c r="AO2588" i="1"/>
  <c r="AP2588" i="1"/>
  <c r="AO2589" i="1"/>
  <c r="AP2589" i="1"/>
  <c r="AO2590" i="1"/>
  <c r="AP2590" i="1"/>
  <c r="AO2591" i="1"/>
  <c r="AP2591" i="1"/>
  <c r="AO2592" i="1"/>
  <c r="AP2592" i="1"/>
  <c r="AO2593" i="1"/>
  <c r="AP2593" i="1"/>
  <c r="AO2594" i="1"/>
  <c r="AP2594" i="1"/>
  <c r="AO2595" i="1"/>
  <c r="AP2595" i="1"/>
  <c r="AO2596" i="1"/>
  <c r="AP2596" i="1"/>
  <c r="AO2597" i="1"/>
  <c r="AP2597" i="1"/>
  <c r="AO2598" i="1"/>
  <c r="AP2598" i="1"/>
  <c r="AO2599" i="1"/>
  <c r="AP2599" i="1"/>
  <c r="AO2600" i="1"/>
  <c r="AP2600" i="1"/>
  <c r="AO2601" i="1"/>
  <c r="AP2601" i="1"/>
  <c r="AO2602" i="1"/>
  <c r="AP2602" i="1"/>
  <c r="AO2603" i="1"/>
  <c r="AP2603" i="1"/>
  <c r="AO2604" i="1"/>
  <c r="AP2604" i="1"/>
  <c r="AO2605" i="1"/>
  <c r="AP2605" i="1"/>
  <c r="AO2606" i="1"/>
  <c r="AP2606" i="1"/>
  <c r="AO2607" i="1"/>
  <c r="AP2607" i="1"/>
  <c r="AO2608" i="1"/>
  <c r="AP2608" i="1"/>
  <c r="AO2609" i="1"/>
  <c r="AP2609" i="1"/>
  <c r="AO2610" i="1"/>
  <c r="AP2610" i="1"/>
  <c r="AO2611" i="1"/>
  <c r="AP2611" i="1"/>
  <c r="AO2612" i="1"/>
  <c r="AP2612" i="1"/>
  <c r="AO2613" i="1"/>
  <c r="AP2613" i="1"/>
  <c r="AO2614" i="1"/>
  <c r="AP2614" i="1"/>
  <c r="AO2615" i="1"/>
  <c r="AP2615" i="1"/>
  <c r="AO2616" i="1"/>
  <c r="AP2616" i="1"/>
  <c r="AO2617" i="1"/>
  <c r="AP2617" i="1"/>
  <c r="AO2618" i="1"/>
  <c r="AP2618" i="1"/>
  <c r="AO2619" i="1"/>
  <c r="AP2619" i="1"/>
  <c r="AO2620" i="1"/>
  <c r="AP2620" i="1"/>
  <c r="AO2621" i="1"/>
  <c r="AP2621" i="1"/>
  <c r="AO2622" i="1"/>
  <c r="AP2622" i="1"/>
  <c r="AO2623" i="1"/>
  <c r="AP2623" i="1"/>
  <c r="AO2624" i="1"/>
  <c r="AP2624" i="1"/>
  <c r="AO2625" i="1"/>
  <c r="AP2625" i="1"/>
  <c r="AO2626" i="1"/>
  <c r="AP2626" i="1"/>
  <c r="AO2627" i="1"/>
  <c r="AP2627" i="1"/>
  <c r="AO2628" i="1"/>
  <c r="AP2628" i="1"/>
  <c r="AO2629" i="1"/>
  <c r="AP2629" i="1"/>
  <c r="AO2630" i="1"/>
  <c r="AP2630" i="1"/>
  <c r="AO2631" i="1"/>
  <c r="AP2631" i="1"/>
  <c r="AO2632" i="1"/>
  <c r="AP2632" i="1"/>
  <c r="AO2633" i="1"/>
  <c r="AP2633" i="1"/>
  <c r="AO2634" i="1"/>
  <c r="AP2634" i="1"/>
  <c r="AO2635" i="1"/>
  <c r="AP2635" i="1"/>
  <c r="AO2636" i="1"/>
  <c r="AP2636" i="1"/>
  <c r="AO2637" i="1"/>
  <c r="AP2637" i="1"/>
  <c r="AO2638" i="1"/>
  <c r="AP2638" i="1"/>
  <c r="AO2639" i="1"/>
  <c r="AP2639" i="1"/>
  <c r="AO2640" i="1"/>
  <c r="AP2640" i="1"/>
  <c r="AO2641" i="1"/>
  <c r="AP2641" i="1"/>
  <c r="AO2642" i="1"/>
  <c r="AP2642" i="1"/>
  <c r="AO2643" i="1"/>
  <c r="AP2643" i="1"/>
  <c r="AO2644" i="1"/>
  <c r="AP2644" i="1"/>
  <c r="AO2645" i="1"/>
  <c r="AP2645" i="1"/>
  <c r="AO2646" i="1"/>
  <c r="AP2646" i="1"/>
  <c r="AO2647" i="1"/>
  <c r="AP2647" i="1"/>
  <c r="AO2648" i="1"/>
  <c r="AP2648" i="1"/>
  <c r="AO2649" i="1"/>
  <c r="AP2649" i="1"/>
  <c r="AO2650" i="1"/>
  <c r="AP2650" i="1"/>
  <c r="AO2651" i="1"/>
  <c r="AP2651" i="1"/>
  <c r="AO2652" i="1"/>
  <c r="AP2652" i="1"/>
  <c r="AO2653" i="1"/>
  <c r="AP2653" i="1"/>
  <c r="AO2654" i="1"/>
  <c r="AP2654" i="1"/>
  <c r="AO2655" i="1"/>
  <c r="AP2655" i="1"/>
  <c r="AO2656" i="1"/>
  <c r="AP2656" i="1"/>
  <c r="AO2657" i="1"/>
  <c r="AP2657" i="1"/>
  <c r="AO2658" i="1"/>
  <c r="AP2658" i="1"/>
  <c r="AO2659" i="1"/>
  <c r="AP2659" i="1"/>
  <c r="AO2660" i="1"/>
  <c r="AP2660" i="1"/>
  <c r="AO2661" i="1"/>
  <c r="AP2661" i="1"/>
  <c r="AO2662" i="1"/>
  <c r="AP2662" i="1"/>
  <c r="AO2663" i="1"/>
  <c r="AP2663" i="1"/>
  <c r="AO2664" i="1"/>
  <c r="AP2664" i="1"/>
  <c r="AO2665" i="1"/>
  <c r="AP2665" i="1"/>
  <c r="AO2666" i="1"/>
  <c r="AP2666" i="1"/>
  <c r="AO2667" i="1"/>
  <c r="AP2667" i="1"/>
  <c r="AO2668" i="1"/>
  <c r="AP2668" i="1"/>
  <c r="AO2669" i="1"/>
  <c r="AP2669" i="1"/>
  <c r="AO2670" i="1"/>
  <c r="AP2670" i="1"/>
  <c r="AO2671" i="1"/>
  <c r="AP2671" i="1"/>
  <c r="AO2672" i="1"/>
  <c r="AP2672" i="1"/>
  <c r="AO2673" i="1"/>
  <c r="AP2673" i="1"/>
  <c r="AO2674" i="1"/>
  <c r="AP2674" i="1"/>
  <c r="AO2675" i="1"/>
  <c r="AP2675" i="1"/>
  <c r="AO2676" i="1"/>
  <c r="AP2676" i="1"/>
  <c r="AO2677" i="1"/>
  <c r="AP2677" i="1"/>
  <c r="AO2678" i="1"/>
  <c r="AP2678" i="1"/>
  <c r="AO2679" i="1"/>
  <c r="AP2679" i="1"/>
  <c r="AO2680" i="1"/>
  <c r="AP2680" i="1"/>
  <c r="AO2681" i="1"/>
  <c r="AP2681" i="1"/>
  <c r="AO2682" i="1"/>
  <c r="AP2682" i="1"/>
  <c r="AO2683" i="1"/>
  <c r="AP2683" i="1"/>
  <c r="AO2684" i="1"/>
  <c r="AP2684" i="1"/>
  <c r="AO2685" i="1"/>
  <c r="AP2685" i="1"/>
  <c r="AO2686" i="1"/>
  <c r="AP2686" i="1"/>
  <c r="AO2687" i="1"/>
  <c r="AP2687" i="1"/>
  <c r="AO2688" i="1"/>
  <c r="AP2688" i="1"/>
  <c r="AO2689" i="1"/>
  <c r="AP2689" i="1"/>
  <c r="AO2690" i="1"/>
  <c r="AP2690" i="1"/>
  <c r="AO2691" i="1"/>
  <c r="AP2691" i="1"/>
  <c r="AO2692" i="1"/>
  <c r="AP2692" i="1"/>
  <c r="AO2693" i="1"/>
  <c r="AP2693" i="1"/>
  <c r="AO2694" i="1"/>
  <c r="AP2694" i="1"/>
  <c r="AO2695" i="1"/>
  <c r="AP2695" i="1"/>
  <c r="AO2696" i="1"/>
  <c r="AP2696" i="1"/>
  <c r="AO2697" i="1"/>
  <c r="AP2697" i="1"/>
  <c r="AO2698" i="1"/>
  <c r="AP2698" i="1"/>
  <c r="AO2699" i="1"/>
  <c r="AP2699" i="1"/>
  <c r="AO2700" i="1"/>
  <c r="AP2700" i="1"/>
  <c r="AO2701" i="1"/>
  <c r="AP2701" i="1"/>
  <c r="AO2702" i="1"/>
  <c r="AP2702" i="1"/>
  <c r="AO2703" i="1"/>
  <c r="AP2703" i="1"/>
  <c r="AO2704" i="1"/>
  <c r="AP2704" i="1"/>
  <c r="AO2705" i="1"/>
  <c r="AP2705" i="1"/>
  <c r="AO2706" i="1"/>
  <c r="AP2706" i="1"/>
  <c r="AO2707" i="1"/>
  <c r="AP2707" i="1"/>
  <c r="AO2708" i="1"/>
  <c r="AP2708" i="1"/>
  <c r="AO2709" i="1"/>
  <c r="AP2709" i="1"/>
  <c r="AO2710" i="1"/>
  <c r="AP2710" i="1"/>
  <c r="AO2711" i="1"/>
  <c r="AP2711" i="1"/>
  <c r="AO2712" i="1"/>
  <c r="AP2712" i="1"/>
  <c r="AO2713" i="1"/>
  <c r="AP2713" i="1"/>
  <c r="AO2714" i="1"/>
  <c r="AP2714" i="1"/>
  <c r="AO2715" i="1"/>
  <c r="AP2715" i="1"/>
  <c r="AO2716" i="1"/>
  <c r="AP2716" i="1"/>
  <c r="AO2717" i="1"/>
  <c r="AP2717" i="1"/>
  <c r="AO2718" i="1"/>
  <c r="AP2718" i="1"/>
  <c r="AO2719" i="1"/>
  <c r="AP2719" i="1"/>
  <c r="AO2720" i="1"/>
  <c r="AP2720" i="1"/>
  <c r="AO2721" i="1"/>
  <c r="AP2721" i="1"/>
  <c r="AO2722" i="1"/>
  <c r="AP2722" i="1"/>
  <c r="AO2723" i="1"/>
  <c r="AP2723" i="1"/>
  <c r="AO2724" i="1"/>
  <c r="AP2724" i="1"/>
  <c r="AO2725" i="1"/>
  <c r="AP2725" i="1"/>
  <c r="AO2726" i="1"/>
  <c r="AP2726" i="1"/>
  <c r="AO2727" i="1"/>
  <c r="AP2727" i="1"/>
  <c r="AO2728" i="1"/>
  <c r="AP2728" i="1"/>
  <c r="AO2729" i="1"/>
  <c r="AP2729" i="1"/>
  <c r="AO2730" i="1"/>
  <c r="AP2730" i="1"/>
  <c r="AO2731" i="1"/>
  <c r="AP2731" i="1"/>
  <c r="AO2732" i="1"/>
  <c r="AP2732" i="1"/>
  <c r="AO2733" i="1"/>
  <c r="AP2733" i="1"/>
  <c r="AO2734" i="1"/>
  <c r="AP2734" i="1"/>
  <c r="AO2735" i="1"/>
  <c r="AP2735" i="1"/>
  <c r="AO2736" i="1"/>
  <c r="AP2736" i="1"/>
  <c r="AO2737" i="1"/>
  <c r="AP2737" i="1"/>
  <c r="AO2738" i="1"/>
  <c r="AP2738" i="1"/>
  <c r="AO2739" i="1"/>
  <c r="AP2739" i="1"/>
  <c r="AO2740" i="1"/>
  <c r="AP2740" i="1"/>
  <c r="AO2741" i="1"/>
  <c r="AP2741" i="1"/>
  <c r="AO2742" i="1"/>
  <c r="AP2742" i="1"/>
  <c r="AO2743" i="1"/>
  <c r="AP2743" i="1"/>
  <c r="AO2744" i="1"/>
  <c r="AP2744" i="1"/>
  <c r="AO2745" i="1"/>
  <c r="AP2745" i="1"/>
  <c r="AO2746" i="1"/>
  <c r="AP2746" i="1"/>
  <c r="AO2747" i="1"/>
  <c r="AP2747" i="1"/>
  <c r="AO2748" i="1"/>
  <c r="AP2748" i="1"/>
  <c r="AO2749" i="1"/>
  <c r="AP2749" i="1"/>
  <c r="AO2750" i="1"/>
  <c r="AP2750" i="1"/>
  <c r="AO2751" i="1"/>
  <c r="AP2751" i="1"/>
  <c r="AO2752" i="1"/>
  <c r="AP2752" i="1"/>
  <c r="AO2753" i="1"/>
  <c r="AP2753" i="1"/>
  <c r="AO2754" i="1"/>
  <c r="AP2754" i="1"/>
  <c r="AO2755" i="1"/>
  <c r="AP2755" i="1"/>
  <c r="AO2756" i="1"/>
  <c r="AP2756" i="1"/>
  <c r="AO2757" i="1"/>
  <c r="AP2757" i="1"/>
  <c r="AO2758" i="1"/>
  <c r="AP2758" i="1"/>
  <c r="AO2759" i="1"/>
  <c r="AP2759" i="1"/>
  <c r="AO2760" i="1"/>
  <c r="AP2760" i="1"/>
  <c r="AO2761" i="1"/>
  <c r="AP2761" i="1"/>
  <c r="AO2762" i="1"/>
  <c r="AP2762" i="1"/>
  <c r="AO2763" i="1"/>
  <c r="AP2763" i="1"/>
  <c r="AO2764" i="1"/>
  <c r="AP2764" i="1"/>
  <c r="AO2765" i="1"/>
  <c r="AP2765" i="1"/>
  <c r="AO2766" i="1"/>
  <c r="AP2766" i="1"/>
  <c r="AO2767" i="1"/>
  <c r="AP2767" i="1"/>
  <c r="AO2768" i="1"/>
  <c r="AP2768" i="1"/>
  <c r="AO2769" i="1"/>
  <c r="AP2769" i="1"/>
  <c r="AO2770" i="1"/>
  <c r="AP2770" i="1"/>
  <c r="AO2771" i="1"/>
  <c r="AP2771" i="1"/>
  <c r="AO2772" i="1"/>
  <c r="AP2772" i="1"/>
  <c r="AO2773" i="1"/>
  <c r="AP2773" i="1"/>
  <c r="AO2774" i="1"/>
  <c r="AP2774" i="1"/>
  <c r="AO2775" i="1"/>
  <c r="AP2775" i="1"/>
  <c r="AO2776" i="1"/>
  <c r="AP2776" i="1"/>
  <c r="AO2777" i="1"/>
  <c r="AP2777" i="1"/>
  <c r="AO2778" i="1"/>
  <c r="AP2778" i="1"/>
  <c r="AO2779" i="1"/>
  <c r="AP2779" i="1"/>
  <c r="AO2780" i="1"/>
  <c r="AP2780" i="1"/>
  <c r="AO2781" i="1"/>
  <c r="AP2781" i="1"/>
  <c r="AO2782" i="1"/>
  <c r="AP2782" i="1"/>
  <c r="AO2783" i="1"/>
  <c r="AP2783" i="1"/>
  <c r="AO2784" i="1"/>
  <c r="AP2784" i="1"/>
  <c r="AO2785" i="1"/>
  <c r="AP2785" i="1"/>
  <c r="AO2786" i="1"/>
  <c r="AP2786" i="1"/>
  <c r="AO2787" i="1"/>
  <c r="AP2787" i="1"/>
  <c r="AO2788" i="1"/>
  <c r="AP2788" i="1"/>
  <c r="AO2789" i="1"/>
  <c r="AP2789" i="1"/>
  <c r="AO2790" i="1"/>
  <c r="AP2790" i="1"/>
  <c r="AO2791" i="1"/>
  <c r="AP2791" i="1"/>
  <c r="AO2792" i="1"/>
  <c r="AP2792" i="1"/>
  <c r="AO2793" i="1"/>
  <c r="AP2793" i="1"/>
  <c r="AO2794" i="1"/>
  <c r="AP2794" i="1"/>
  <c r="AO2795" i="1"/>
  <c r="AP2795" i="1"/>
  <c r="AO2796" i="1"/>
  <c r="AP2796" i="1"/>
  <c r="AO2797" i="1"/>
  <c r="AP2797" i="1"/>
  <c r="AO2798" i="1"/>
  <c r="AP2798" i="1"/>
  <c r="AO2799" i="1"/>
  <c r="AP2799" i="1"/>
  <c r="AO2800" i="1"/>
  <c r="AP2800" i="1"/>
  <c r="AO2801" i="1"/>
  <c r="AP2801" i="1"/>
  <c r="AO2802" i="1"/>
  <c r="AP2802" i="1"/>
  <c r="AO2803" i="1"/>
  <c r="AP2803" i="1"/>
  <c r="AO2804" i="1"/>
  <c r="AP2804" i="1"/>
  <c r="AO2805" i="1"/>
  <c r="AP2805" i="1"/>
  <c r="AO2806" i="1"/>
  <c r="AP2806" i="1"/>
  <c r="AO2807" i="1"/>
  <c r="AP2807" i="1"/>
  <c r="AO2808" i="1"/>
  <c r="AP2808" i="1"/>
  <c r="AO2809" i="1"/>
  <c r="AP2809" i="1"/>
  <c r="AO2810" i="1"/>
  <c r="AP2810" i="1"/>
  <c r="AO2811" i="1"/>
  <c r="AP2811" i="1"/>
  <c r="AO2812" i="1"/>
  <c r="AP2812" i="1"/>
  <c r="AO2813" i="1"/>
  <c r="AP2813" i="1"/>
  <c r="AO2814" i="1"/>
  <c r="AP2814" i="1"/>
  <c r="AO2815" i="1"/>
  <c r="AP2815" i="1"/>
  <c r="AO2816" i="1"/>
  <c r="AP2816" i="1"/>
  <c r="AO2817" i="1"/>
  <c r="AP2817" i="1"/>
  <c r="AO2818" i="1"/>
  <c r="AP2818" i="1"/>
  <c r="AO2819" i="1"/>
  <c r="AP2819" i="1"/>
  <c r="AO2820" i="1"/>
  <c r="AP2820" i="1"/>
  <c r="AO2821" i="1"/>
  <c r="AP2821" i="1"/>
  <c r="AO2822" i="1"/>
  <c r="AP2822" i="1"/>
  <c r="AO2823" i="1"/>
  <c r="AP2823" i="1"/>
  <c r="AO2824" i="1"/>
  <c r="AP2824" i="1"/>
  <c r="AO2825" i="1"/>
  <c r="AP2825" i="1"/>
  <c r="AO2826" i="1"/>
  <c r="AP2826" i="1"/>
  <c r="AO2827" i="1"/>
  <c r="AP2827" i="1"/>
  <c r="AO2828" i="1"/>
  <c r="AP2828" i="1"/>
  <c r="AO2829" i="1"/>
  <c r="AP2829" i="1"/>
  <c r="AO2830" i="1"/>
  <c r="AP2830" i="1"/>
  <c r="AO2831" i="1"/>
  <c r="AP2831" i="1"/>
  <c r="AO2832" i="1"/>
  <c r="AP2832" i="1"/>
  <c r="AO2833" i="1"/>
  <c r="AP2833" i="1"/>
  <c r="AO2834" i="1"/>
  <c r="AP2834" i="1"/>
  <c r="AO2835" i="1"/>
  <c r="AP2835" i="1"/>
  <c r="AO2836" i="1"/>
  <c r="AP2836" i="1"/>
  <c r="AO2837" i="1"/>
  <c r="AP2837" i="1"/>
  <c r="AO2838" i="1"/>
  <c r="AP2838" i="1"/>
  <c r="AO2839" i="1"/>
  <c r="AP2839" i="1"/>
  <c r="AO2840" i="1"/>
  <c r="AP2840" i="1"/>
  <c r="AO2841" i="1"/>
  <c r="AP2841" i="1"/>
  <c r="AO2842" i="1"/>
  <c r="AP2842" i="1"/>
  <c r="AO2843" i="1"/>
  <c r="AP2843" i="1"/>
  <c r="AO2844" i="1"/>
  <c r="AP2844" i="1"/>
  <c r="AO2845" i="1"/>
  <c r="AP2845" i="1"/>
  <c r="AO2846" i="1"/>
  <c r="AP2846" i="1"/>
  <c r="AO2847" i="1"/>
  <c r="AP2847" i="1"/>
  <c r="AO2848" i="1"/>
  <c r="AP2848" i="1"/>
  <c r="AO2849" i="1"/>
  <c r="AP2849" i="1"/>
  <c r="AO2850" i="1"/>
  <c r="AP2850" i="1"/>
  <c r="AO2851" i="1"/>
  <c r="AP2851" i="1"/>
  <c r="AO2852" i="1"/>
  <c r="AP2852" i="1"/>
  <c r="AO2853" i="1"/>
  <c r="AP2853" i="1"/>
  <c r="AO2854" i="1"/>
  <c r="AP2854" i="1"/>
  <c r="AO2855" i="1"/>
  <c r="AP2855" i="1"/>
  <c r="AO2856" i="1"/>
  <c r="AP2856" i="1"/>
  <c r="AO2857" i="1"/>
  <c r="AP2857" i="1"/>
  <c r="AO2858" i="1"/>
  <c r="AP2858" i="1"/>
  <c r="AO2859" i="1"/>
  <c r="AP2859" i="1"/>
  <c r="AO2860" i="1"/>
  <c r="AP2860" i="1"/>
  <c r="AO2861" i="1"/>
  <c r="AP2861" i="1"/>
  <c r="AO2862" i="1"/>
  <c r="AP2862" i="1"/>
  <c r="AO2863" i="1"/>
  <c r="AP2863" i="1"/>
  <c r="AO2864" i="1"/>
  <c r="AP2864" i="1"/>
  <c r="AO2865" i="1"/>
  <c r="AP2865" i="1"/>
  <c r="AO2866" i="1"/>
  <c r="AP2866" i="1"/>
  <c r="AO2867" i="1"/>
  <c r="AP2867" i="1"/>
  <c r="AO2868" i="1"/>
  <c r="AP2868" i="1"/>
  <c r="AO2869" i="1"/>
  <c r="AP2869" i="1"/>
  <c r="AO2870" i="1"/>
  <c r="AP2870" i="1"/>
  <c r="AO2871" i="1"/>
  <c r="AP2871" i="1"/>
  <c r="AO2872" i="1"/>
  <c r="AP2872" i="1"/>
  <c r="AO2873" i="1"/>
  <c r="AP2873" i="1"/>
  <c r="AO2874" i="1"/>
  <c r="AP2874" i="1"/>
  <c r="AO2875" i="1"/>
  <c r="AP2875" i="1"/>
  <c r="AO2876" i="1"/>
  <c r="AP2876" i="1"/>
  <c r="AO2877" i="1"/>
  <c r="AP2877" i="1"/>
  <c r="AO2878" i="1"/>
  <c r="AP2878" i="1"/>
  <c r="AO2879" i="1"/>
  <c r="AP2879" i="1"/>
  <c r="AO2880" i="1"/>
  <c r="AP2880" i="1"/>
  <c r="AO2881" i="1"/>
  <c r="AP2881" i="1"/>
  <c r="AO2882" i="1"/>
  <c r="AP2882" i="1"/>
  <c r="AO2883" i="1"/>
  <c r="AP2883" i="1"/>
  <c r="AO2884" i="1"/>
  <c r="AP2884" i="1"/>
  <c r="AO2885" i="1"/>
  <c r="AP2885" i="1"/>
  <c r="AO2886" i="1"/>
  <c r="AP2886" i="1"/>
  <c r="AO2887" i="1"/>
  <c r="AP2887" i="1"/>
  <c r="AO2888" i="1"/>
  <c r="AP2888" i="1"/>
  <c r="AO2889" i="1"/>
  <c r="AP2889" i="1"/>
  <c r="AO2890" i="1"/>
  <c r="AP2890" i="1"/>
  <c r="AO2891" i="1"/>
  <c r="AP2891" i="1"/>
  <c r="AO2892" i="1"/>
  <c r="AP2892" i="1"/>
  <c r="AO2893" i="1"/>
  <c r="AP2893" i="1"/>
  <c r="AO2894" i="1"/>
  <c r="AP2894" i="1"/>
  <c r="AO2895" i="1"/>
  <c r="AP2895" i="1"/>
  <c r="AO2896" i="1"/>
  <c r="AP2896" i="1"/>
  <c r="AO2897" i="1"/>
  <c r="AP2897" i="1"/>
  <c r="AO2898" i="1"/>
  <c r="AP2898" i="1"/>
  <c r="AO2899" i="1"/>
  <c r="AP2899" i="1"/>
  <c r="AO2900" i="1"/>
  <c r="AP2900" i="1"/>
  <c r="AO2901" i="1"/>
  <c r="AP2901" i="1"/>
  <c r="AO2902" i="1"/>
  <c r="AP2902" i="1"/>
  <c r="AO2903" i="1"/>
  <c r="AP2903" i="1"/>
  <c r="AO2904" i="1"/>
  <c r="AP2904" i="1"/>
  <c r="AO2905" i="1"/>
  <c r="AP2905" i="1"/>
  <c r="AO2906" i="1"/>
  <c r="AP2906" i="1"/>
  <c r="AO2907" i="1"/>
  <c r="AP2907" i="1"/>
  <c r="AO2908" i="1"/>
  <c r="AP2908" i="1"/>
  <c r="AO2909" i="1"/>
  <c r="AP2909" i="1"/>
  <c r="AO2910" i="1"/>
  <c r="AP2910" i="1"/>
  <c r="AO2911" i="1"/>
  <c r="AP2911" i="1"/>
  <c r="AO2912" i="1"/>
  <c r="AP2912" i="1"/>
  <c r="AO2913" i="1"/>
  <c r="AP2913" i="1"/>
  <c r="AO2914" i="1"/>
  <c r="AP2914" i="1"/>
  <c r="AO2915" i="1"/>
  <c r="AP2915" i="1"/>
  <c r="AO2916" i="1"/>
  <c r="AP2916" i="1"/>
  <c r="AO2917" i="1"/>
  <c r="AP2917" i="1"/>
  <c r="AO2918" i="1"/>
  <c r="AP2918" i="1"/>
  <c r="AO2919" i="1"/>
  <c r="AP2919" i="1"/>
  <c r="AO2920" i="1"/>
  <c r="AP2920" i="1"/>
  <c r="AO2921" i="1"/>
  <c r="AP2921" i="1"/>
  <c r="AO2922" i="1"/>
  <c r="AP2922" i="1"/>
  <c r="AO2923" i="1"/>
  <c r="AP2923" i="1"/>
  <c r="AO2924" i="1"/>
  <c r="AP2924" i="1"/>
  <c r="AO2925" i="1"/>
  <c r="AP2925" i="1"/>
  <c r="AO2926" i="1"/>
  <c r="AP2926" i="1"/>
  <c r="AO2927" i="1"/>
  <c r="AP2927" i="1"/>
  <c r="AO2928" i="1"/>
  <c r="AP2928" i="1"/>
  <c r="AO2929" i="1"/>
  <c r="AP2929" i="1"/>
  <c r="AO2930" i="1"/>
  <c r="AP2930" i="1"/>
  <c r="AO2931" i="1"/>
  <c r="AP2931" i="1"/>
  <c r="AO2932" i="1"/>
  <c r="AP2932" i="1"/>
  <c r="AO2933" i="1"/>
  <c r="AP2933" i="1"/>
  <c r="AO2934" i="1"/>
  <c r="AP2934" i="1"/>
  <c r="AO2935" i="1"/>
  <c r="AP2935" i="1"/>
  <c r="AO2936" i="1"/>
  <c r="AP2936" i="1"/>
  <c r="AO2937" i="1"/>
  <c r="AP2937" i="1"/>
  <c r="AO2938" i="1"/>
  <c r="AP2938" i="1"/>
  <c r="AO2939" i="1"/>
  <c r="AP2939" i="1"/>
  <c r="AO2940" i="1"/>
  <c r="AP2940" i="1"/>
  <c r="AO2941" i="1"/>
  <c r="AP2941" i="1"/>
  <c r="AO2942" i="1"/>
  <c r="AP2942" i="1"/>
  <c r="AO2943" i="1"/>
  <c r="AP2943" i="1"/>
  <c r="AO2944" i="1"/>
  <c r="AP2944" i="1"/>
  <c r="AO2945" i="1"/>
  <c r="AP2945" i="1"/>
  <c r="AO2946" i="1"/>
  <c r="AP2946" i="1"/>
  <c r="AO2947" i="1"/>
  <c r="AP2947" i="1"/>
  <c r="AO2948" i="1"/>
  <c r="AP2948" i="1"/>
  <c r="AO2949" i="1"/>
  <c r="AP2949" i="1"/>
  <c r="AO2950" i="1"/>
  <c r="AP2950" i="1"/>
  <c r="AO2951" i="1"/>
  <c r="AP2951" i="1"/>
  <c r="AO2952" i="1"/>
  <c r="AP2952" i="1"/>
  <c r="AO2953" i="1"/>
  <c r="AP2953" i="1"/>
  <c r="AO2954" i="1"/>
  <c r="AP2954" i="1"/>
  <c r="AO2955" i="1"/>
  <c r="AP2955" i="1"/>
  <c r="AO2956" i="1"/>
  <c r="AP2956" i="1"/>
  <c r="AO2957" i="1"/>
  <c r="AP2957" i="1"/>
  <c r="AO2958" i="1"/>
  <c r="AP2958" i="1"/>
  <c r="AO2959" i="1"/>
  <c r="AP2959" i="1"/>
  <c r="AO2960" i="1"/>
  <c r="AP2960" i="1"/>
  <c r="AO2961" i="1"/>
  <c r="AP2961" i="1"/>
  <c r="AO2962" i="1"/>
  <c r="AP2962" i="1"/>
  <c r="AO2963" i="1"/>
  <c r="AP2963" i="1"/>
  <c r="AO2964" i="1"/>
  <c r="AP2964" i="1"/>
  <c r="AO2965" i="1"/>
  <c r="AP2965" i="1"/>
  <c r="AO2966" i="1"/>
  <c r="AP2966" i="1"/>
  <c r="AO2967" i="1"/>
  <c r="AP2967" i="1"/>
  <c r="AO2968" i="1"/>
  <c r="AP2968" i="1"/>
  <c r="AO2969" i="1"/>
  <c r="AP2969" i="1"/>
  <c r="AO2970" i="1"/>
  <c r="AP2970" i="1"/>
  <c r="AO2971" i="1"/>
  <c r="AP2971" i="1"/>
  <c r="AO2972" i="1"/>
  <c r="AP2972" i="1"/>
  <c r="AO2973" i="1"/>
  <c r="AP2973" i="1"/>
  <c r="AO2974" i="1"/>
  <c r="AP2974" i="1"/>
  <c r="AO2975" i="1"/>
  <c r="AP2975" i="1"/>
  <c r="AO2976" i="1"/>
  <c r="AP2976" i="1"/>
  <c r="AO2977" i="1"/>
  <c r="AP2977" i="1"/>
  <c r="AO2978" i="1"/>
  <c r="AP2978" i="1"/>
  <c r="AO2979" i="1"/>
  <c r="AP2979" i="1"/>
  <c r="AO2980" i="1"/>
  <c r="AP2980" i="1"/>
  <c r="AO2981" i="1"/>
  <c r="AP2981" i="1"/>
  <c r="AO2982" i="1"/>
  <c r="AP2982" i="1"/>
  <c r="AO2983" i="1"/>
  <c r="AP2983" i="1"/>
  <c r="AO2984" i="1"/>
  <c r="AP2984" i="1"/>
  <c r="AO2985" i="1"/>
  <c r="AP2985" i="1"/>
  <c r="AO2986" i="1"/>
  <c r="AP2986" i="1"/>
  <c r="AO2987" i="1"/>
  <c r="AP2987" i="1"/>
  <c r="AO2988" i="1"/>
  <c r="AP2988" i="1"/>
  <c r="AO2989" i="1"/>
  <c r="AP2989" i="1"/>
  <c r="AO2990" i="1"/>
  <c r="AP2990" i="1"/>
  <c r="AO2991" i="1"/>
  <c r="AP2991" i="1"/>
  <c r="AO2992" i="1"/>
  <c r="AP2992" i="1"/>
  <c r="AO2993" i="1"/>
  <c r="AP2993" i="1"/>
  <c r="AO2994" i="1"/>
  <c r="AP2994" i="1"/>
  <c r="AO2995" i="1"/>
  <c r="AP2995" i="1"/>
  <c r="AO2996" i="1"/>
  <c r="AP2996" i="1"/>
  <c r="AO2997" i="1"/>
  <c r="AP2997" i="1"/>
  <c r="AO2998" i="1"/>
  <c r="AP2998" i="1"/>
  <c r="AO2999" i="1"/>
  <c r="AP2999" i="1"/>
  <c r="AO3000" i="1"/>
  <c r="AP3000" i="1"/>
  <c r="AO3001" i="1"/>
  <c r="AP3001" i="1"/>
  <c r="AO3002" i="1"/>
  <c r="AP3002" i="1"/>
  <c r="AO3003" i="1"/>
  <c r="AP3003" i="1"/>
  <c r="AO3004" i="1"/>
  <c r="AP3004" i="1"/>
  <c r="AO3005" i="1"/>
  <c r="AP3005" i="1"/>
  <c r="AO3006" i="1"/>
  <c r="AP3006" i="1"/>
  <c r="AO3007" i="1"/>
  <c r="AP3007" i="1"/>
  <c r="AO3008" i="1"/>
  <c r="AP3008" i="1"/>
  <c r="AO3009" i="1"/>
  <c r="AP3009" i="1"/>
  <c r="AO3010" i="1"/>
  <c r="AP3010" i="1"/>
  <c r="AO3011" i="1"/>
  <c r="AP3011" i="1"/>
  <c r="AO3012" i="1"/>
  <c r="AP3012" i="1"/>
  <c r="AO12" i="1"/>
  <c r="AP12" i="1"/>
  <c r="H1" i="1"/>
  <c r="W13" i="1"/>
  <c r="X13" i="1"/>
  <c r="Z13" i="1"/>
  <c r="AA13" i="1"/>
  <c r="AB13" i="1"/>
  <c r="AC13" i="1"/>
  <c r="AD13" i="1"/>
  <c r="AE13" i="1"/>
  <c r="W14" i="1"/>
  <c r="X14" i="1"/>
  <c r="Z14" i="1"/>
  <c r="AA14" i="1"/>
  <c r="AB14" i="1"/>
  <c r="AC14" i="1"/>
  <c r="AD14" i="1"/>
  <c r="AE14" i="1"/>
  <c r="W15" i="1"/>
  <c r="X15" i="1"/>
  <c r="Y15" i="1"/>
  <c r="Z15" i="1"/>
  <c r="AA15" i="1"/>
  <c r="AB15" i="1"/>
  <c r="AC15" i="1"/>
  <c r="AD15" i="1"/>
  <c r="AE15" i="1"/>
  <c r="W16" i="1"/>
  <c r="X16" i="1"/>
  <c r="Z16" i="1"/>
  <c r="AA16" i="1"/>
  <c r="AB16" i="1"/>
  <c r="AC16" i="1"/>
  <c r="AD16" i="1"/>
  <c r="AE16" i="1"/>
  <c r="W17" i="1"/>
  <c r="X17" i="1"/>
  <c r="Z17" i="1"/>
  <c r="AA17" i="1"/>
  <c r="AB17" i="1"/>
  <c r="AC17" i="1"/>
  <c r="AD17" i="1"/>
  <c r="AE17" i="1"/>
  <c r="W18" i="1"/>
  <c r="X18" i="1"/>
  <c r="Z18" i="1"/>
  <c r="AA18" i="1"/>
  <c r="AB18" i="1"/>
  <c r="AC18" i="1"/>
  <c r="AD18" i="1"/>
  <c r="AE18" i="1"/>
  <c r="W19" i="1"/>
  <c r="X19" i="1"/>
  <c r="Z19" i="1"/>
  <c r="AA19" i="1"/>
  <c r="AB19" i="1"/>
  <c r="AC19" i="1"/>
  <c r="AD19" i="1"/>
  <c r="AE19" i="1"/>
  <c r="W20" i="1"/>
  <c r="X20" i="1"/>
  <c r="Z20" i="1"/>
  <c r="AA20" i="1"/>
  <c r="AB20" i="1"/>
  <c r="AC20" i="1"/>
  <c r="AD20" i="1"/>
  <c r="AE20" i="1"/>
  <c r="W21" i="1"/>
  <c r="X21" i="1"/>
  <c r="Y21" i="1"/>
  <c r="Z21" i="1"/>
  <c r="AA21" i="1"/>
  <c r="AB21" i="1"/>
  <c r="AC21" i="1"/>
  <c r="AD21" i="1"/>
  <c r="AE21" i="1"/>
  <c r="W22" i="1"/>
  <c r="X22" i="1"/>
  <c r="Y22" i="1"/>
  <c r="Z22" i="1"/>
  <c r="AA22" i="1"/>
  <c r="AB22" i="1"/>
  <c r="AC22" i="1"/>
  <c r="AD22" i="1"/>
  <c r="AE22" i="1"/>
  <c r="W23" i="1"/>
  <c r="X23" i="1"/>
  <c r="Z23" i="1"/>
  <c r="AA23" i="1"/>
  <c r="AB23" i="1"/>
  <c r="AC23" i="1"/>
  <c r="AD23" i="1"/>
  <c r="AE23" i="1"/>
  <c r="W24" i="1"/>
  <c r="X24" i="1"/>
  <c r="Y24" i="1"/>
  <c r="Z24" i="1"/>
  <c r="AA24" i="1"/>
  <c r="AB24" i="1"/>
  <c r="AC24" i="1"/>
  <c r="AD24" i="1"/>
  <c r="AE24" i="1"/>
  <c r="W25" i="1"/>
  <c r="X25" i="1"/>
  <c r="Z25" i="1"/>
  <c r="AA25" i="1"/>
  <c r="AB25" i="1"/>
  <c r="AC25" i="1"/>
  <c r="AD25" i="1"/>
  <c r="AE25" i="1"/>
  <c r="W26" i="1"/>
  <c r="X26" i="1"/>
  <c r="Z26" i="1"/>
  <c r="AA26" i="1"/>
  <c r="AB26" i="1"/>
  <c r="AC26" i="1"/>
  <c r="AD26" i="1"/>
  <c r="AE26" i="1"/>
  <c r="W27" i="1"/>
  <c r="X27" i="1"/>
  <c r="Z27" i="1"/>
  <c r="AA27" i="1"/>
  <c r="AB27" i="1"/>
  <c r="AC27" i="1"/>
  <c r="AD27" i="1"/>
  <c r="AE27" i="1"/>
  <c r="W28" i="1"/>
  <c r="X28" i="1"/>
  <c r="Y28" i="1"/>
  <c r="Z28" i="1"/>
  <c r="AA28" i="1"/>
  <c r="AB28" i="1"/>
  <c r="AC28" i="1"/>
  <c r="AD28" i="1"/>
  <c r="AE28" i="1"/>
  <c r="W29" i="1"/>
  <c r="X29" i="1"/>
  <c r="Y29" i="1"/>
  <c r="Z29" i="1"/>
  <c r="AA29" i="1"/>
  <c r="AB29" i="1"/>
  <c r="AC29" i="1"/>
  <c r="AD29" i="1"/>
  <c r="AE29" i="1"/>
  <c r="W30" i="1"/>
  <c r="X30" i="1"/>
  <c r="Y30" i="1"/>
  <c r="Z30" i="1"/>
  <c r="AA30" i="1"/>
  <c r="AB30" i="1"/>
  <c r="AC30" i="1"/>
  <c r="AD30" i="1"/>
  <c r="AE30" i="1"/>
  <c r="W31" i="1"/>
  <c r="X31" i="1"/>
  <c r="Z31" i="1"/>
  <c r="AA31" i="1"/>
  <c r="AB31" i="1"/>
  <c r="AC31" i="1"/>
  <c r="AD31" i="1"/>
  <c r="AE31" i="1"/>
  <c r="W32" i="1"/>
  <c r="X32" i="1"/>
  <c r="Z32" i="1"/>
  <c r="AA32" i="1"/>
  <c r="AB32" i="1"/>
  <c r="AC32" i="1"/>
  <c r="AD32" i="1"/>
  <c r="AE32" i="1"/>
  <c r="W33" i="1"/>
  <c r="X33" i="1"/>
  <c r="Z33" i="1"/>
  <c r="AA33" i="1"/>
  <c r="AB33" i="1"/>
  <c r="AC33" i="1"/>
  <c r="AD33" i="1"/>
  <c r="AE33" i="1"/>
  <c r="W34" i="1"/>
  <c r="X34" i="1"/>
  <c r="Z34" i="1"/>
  <c r="AA34" i="1"/>
  <c r="AB34" i="1"/>
  <c r="AC34" i="1"/>
  <c r="AD34" i="1"/>
  <c r="AE34" i="1"/>
  <c r="W35" i="1"/>
  <c r="X35" i="1"/>
  <c r="Y35" i="1"/>
  <c r="Z35" i="1"/>
  <c r="AA35" i="1"/>
  <c r="AB35" i="1"/>
  <c r="AC35" i="1"/>
  <c r="AD35" i="1"/>
  <c r="AE35" i="1"/>
  <c r="W36" i="1"/>
  <c r="X36" i="1"/>
  <c r="Z36" i="1"/>
  <c r="AA36" i="1"/>
  <c r="AB36" i="1"/>
  <c r="AC36" i="1"/>
  <c r="AD36" i="1"/>
  <c r="AE36" i="1"/>
  <c r="W37" i="1"/>
  <c r="X37" i="1"/>
  <c r="Z37" i="1"/>
  <c r="AA37" i="1"/>
  <c r="AB37" i="1"/>
  <c r="AC37" i="1"/>
  <c r="AD37" i="1"/>
  <c r="AE37" i="1"/>
  <c r="W38" i="1"/>
  <c r="X38" i="1"/>
  <c r="Z38" i="1"/>
  <c r="AA38" i="1"/>
  <c r="AB38" i="1"/>
  <c r="AC38" i="1"/>
  <c r="AD38" i="1"/>
  <c r="AE38" i="1"/>
  <c r="W39" i="1"/>
  <c r="X39" i="1"/>
  <c r="Z39" i="1"/>
  <c r="AA39" i="1"/>
  <c r="AB39" i="1"/>
  <c r="AC39" i="1"/>
  <c r="AD39" i="1"/>
  <c r="AE39" i="1"/>
  <c r="W40" i="1"/>
  <c r="X40" i="1"/>
  <c r="Z40" i="1"/>
  <c r="AA40" i="1"/>
  <c r="AB40" i="1"/>
  <c r="AC40" i="1"/>
  <c r="AD40" i="1"/>
  <c r="AE40" i="1"/>
  <c r="W41" i="1"/>
  <c r="X41" i="1"/>
  <c r="Z41" i="1"/>
  <c r="AA41" i="1"/>
  <c r="AB41" i="1"/>
  <c r="AC41" i="1"/>
  <c r="AD41" i="1"/>
  <c r="AE41" i="1"/>
  <c r="W42" i="1"/>
  <c r="X42" i="1"/>
  <c r="Z42" i="1"/>
  <c r="AA42" i="1"/>
  <c r="AB42" i="1"/>
  <c r="AC42" i="1"/>
  <c r="AD42" i="1"/>
  <c r="AE42" i="1"/>
  <c r="W43" i="1"/>
  <c r="X43" i="1"/>
  <c r="Z43" i="1"/>
  <c r="AA43" i="1"/>
  <c r="AB43" i="1"/>
  <c r="AC43" i="1"/>
  <c r="AD43" i="1"/>
  <c r="AE43" i="1"/>
  <c r="W44" i="1"/>
  <c r="X44" i="1"/>
  <c r="Z44" i="1"/>
  <c r="AA44" i="1"/>
  <c r="AB44" i="1"/>
  <c r="AC44" i="1"/>
  <c r="AD44" i="1"/>
  <c r="AE44" i="1"/>
  <c r="W45" i="1"/>
  <c r="X45" i="1"/>
  <c r="Z45" i="1"/>
  <c r="AA45" i="1"/>
  <c r="AB45" i="1"/>
  <c r="AC45" i="1"/>
  <c r="AD45" i="1"/>
  <c r="AE45" i="1"/>
  <c r="W46" i="1"/>
  <c r="X46" i="1"/>
  <c r="Y46" i="1"/>
  <c r="Z46" i="1"/>
  <c r="AA46" i="1"/>
  <c r="AB46" i="1"/>
  <c r="AC46" i="1"/>
  <c r="AD46" i="1"/>
  <c r="AE46" i="1"/>
  <c r="W47" i="1"/>
  <c r="X47" i="1"/>
  <c r="Y47" i="1"/>
  <c r="Z47" i="1"/>
  <c r="AA47" i="1"/>
  <c r="AB47" i="1"/>
  <c r="AC47" i="1"/>
  <c r="AD47" i="1"/>
  <c r="AE47" i="1"/>
  <c r="W48" i="1"/>
  <c r="X48" i="1"/>
  <c r="Z48" i="1"/>
  <c r="AA48" i="1"/>
  <c r="AB48" i="1"/>
  <c r="AC48" i="1"/>
  <c r="AD48" i="1"/>
  <c r="AE48" i="1"/>
  <c r="W49" i="1"/>
  <c r="X49" i="1"/>
  <c r="Z49" i="1"/>
  <c r="AA49" i="1"/>
  <c r="AB49" i="1"/>
  <c r="AC49" i="1"/>
  <c r="AD49" i="1"/>
  <c r="AE49" i="1"/>
  <c r="W50" i="1"/>
  <c r="X50" i="1"/>
  <c r="Z50" i="1"/>
  <c r="AA50" i="1"/>
  <c r="AB50" i="1"/>
  <c r="AC50" i="1"/>
  <c r="AD50" i="1"/>
  <c r="AE50" i="1"/>
  <c r="W51" i="1"/>
  <c r="X51" i="1"/>
  <c r="Z51" i="1"/>
  <c r="AA51" i="1"/>
  <c r="AB51" i="1"/>
  <c r="AC51" i="1"/>
  <c r="AD51" i="1"/>
  <c r="AE51" i="1"/>
  <c r="W52" i="1"/>
  <c r="X52" i="1"/>
  <c r="Z52" i="1"/>
  <c r="AA52" i="1"/>
  <c r="AB52" i="1"/>
  <c r="AC52" i="1"/>
  <c r="AD52" i="1"/>
  <c r="AE52" i="1"/>
  <c r="W53" i="1"/>
  <c r="X53" i="1"/>
  <c r="Z53" i="1"/>
  <c r="AA53" i="1"/>
  <c r="AB53" i="1"/>
  <c r="AC53" i="1"/>
  <c r="AD53" i="1"/>
  <c r="AE53" i="1"/>
  <c r="W54" i="1"/>
  <c r="X54" i="1"/>
  <c r="Z54" i="1"/>
  <c r="AA54" i="1"/>
  <c r="AB54" i="1"/>
  <c r="AC54" i="1"/>
  <c r="AD54" i="1"/>
  <c r="AE54" i="1"/>
  <c r="W55" i="1"/>
  <c r="X55" i="1"/>
  <c r="Z55" i="1"/>
  <c r="AA55" i="1"/>
  <c r="AB55" i="1"/>
  <c r="AC55" i="1"/>
  <c r="AD55" i="1"/>
  <c r="AE55" i="1"/>
  <c r="W56" i="1"/>
  <c r="X56" i="1"/>
  <c r="Z56" i="1"/>
  <c r="AA56" i="1"/>
  <c r="AB56" i="1"/>
  <c r="AC56" i="1"/>
  <c r="AD56" i="1"/>
  <c r="AE56" i="1"/>
  <c r="W57" i="1"/>
  <c r="X57" i="1"/>
  <c r="Z57" i="1"/>
  <c r="AA57" i="1"/>
  <c r="AB57" i="1"/>
  <c r="AC57" i="1"/>
  <c r="AD57" i="1"/>
  <c r="AE57" i="1"/>
  <c r="W58" i="1"/>
  <c r="X58" i="1"/>
  <c r="Y58" i="1"/>
  <c r="Z58" i="1"/>
  <c r="AA58" i="1"/>
  <c r="AB58" i="1"/>
  <c r="AC58" i="1"/>
  <c r="AD58" i="1"/>
  <c r="AE58" i="1"/>
  <c r="W59" i="1"/>
  <c r="X59" i="1"/>
  <c r="Z59" i="1"/>
  <c r="AA59" i="1"/>
  <c r="AB59" i="1"/>
  <c r="AC59" i="1"/>
  <c r="AD59" i="1"/>
  <c r="AE59" i="1"/>
  <c r="W60" i="1"/>
  <c r="X60" i="1"/>
  <c r="Z60" i="1"/>
  <c r="AA60" i="1"/>
  <c r="AB60" i="1"/>
  <c r="AC60" i="1"/>
  <c r="AD60" i="1"/>
  <c r="AE60" i="1"/>
  <c r="W61" i="1"/>
  <c r="X61" i="1"/>
  <c r="Z61" i="1"/>
  <c r="AA61" i="1"/>
  <c r="AB61" i="1"/>
  <c r="AC61" i="1"/>
  <c r="AD61" i="1"/>
  <c r="AE61" i="1"/>
  <c r="W62" i="1"/>
  <c r="X62" i="1"/>
  <c r="Z62" i="1"/>
  <c r="AA62" i="1"/>
  <c r="AB62" i="1"/>
  <c r="AC62" i="1"/>
  <c r="AD62" i="1"/>
  <c r="AE62" i="1"/>
  <c r="W63" i="1"/>
  <c r="X63" i="1"/>
  <c r="Z63" i="1"/>
  <c r="AA63" i="1"/>
  <c r="AB63" i="1"/>
  <c r="AC63" i="1"/>
  <c r="AD63" i="1"/>
  <c r="AE63" i="1"/>
  <c r="W64" i="1"/>
  <c r="X64" i="1"/>
  <c r="Y64" i="1"/>
  <c r="Z64" i="1"/>
  <c r="AA64" i="1"/>
  <c r="AB64" i="1"/>
  <c r="AC64" i="1"/>
  <c r="AD64" i="1"/>
  <c r="AE64" i="1"/>
  <c r="W65" i="1"/>
  <c r="X65" i="1"/>
  <c r="Z65" i="1"/>
  <c r="AA65" i="1"/>
  <c r="AB65" i="1"/>
  <c r="AC65" i="1"/>
  <c r="AD65" i="1"/>
  <c r="AE65" i="1"/>
  <c r="W66" i="1"/>
  <c r="X66" i="1"/>
  <c r="Z66" i="1"/>
  <c r="AA66" i="1"/>
  <c r="AB66" i="1"/>
  <c r="AC66" i="1"/>
  <c r="AD66" i="1"/>
  <c r="AE66" i="1"/>
  <c r="W67" i="1"/>
  <c r="X67" i="1"/>
  <c r="Y67" i="1"/>
  <c r="Z67" i="1"/>
  <c r="AA67" i="1"/>
  <c r="AB67" i="1"/>
  <c r="AC67" i="1"/>
  <c r="AD67" i="1"/>
  <c r="AE67" i="1"/>
  <c r="W68" i="1"/>
  <c r="X68" i="1"/>
  <c r="Z68" i="1"/>
  <c r="AA68" i="1"/>
  <c r="AB68" i="1"/>
  <c r="AC68" i="1"/>
  <c r="AD68" i="1"/>
  <c r="AE68" i="1"/>
  <c r="W69" i="1"/>
  <c r="X69" i="1"/>
  <c r="Z69" i="1"/>
  <c r="AA69" i="1"/>
  <c r="AB69" i="1"/>
  <c r="AC69" i="1"/>
  <c r="AD69" i="1"/>
  <c r="AE69" i="1"/>
  <c r="W70" i="1"/>
  <c r="X70" i="1"/>
  <c r="Y70" i="1"/>
  <c r="Z70" i="1"/>
  <c r="AA70" i="1"/>
  <c r="AB70" i="1"/>
  <c r="AC70" i="1"/>
  <c r="AD70" i="1"/>
  <c r="AE70" i="1"/>
  <c r="W71" i="1"/>
  <c r="X71" i="1"/>
  <c r="Y71" i="1"/>
  <c r="Z71" i="1"/>
  <c r="AA71" i="1"/>
  <c r="AB71" i="1"/>
  <c r="AC71" i="1"/>
  <c r="AD71" i="1"/>
  <c r="AE71" i="1"/>
  <c r="W72" i="1"/>
  <c r="X72" i="1"/>
  <c r="Z72" i="1"/>
  <c r="AA72" i="1"/>
  <c r="AB72" i="1"/>
  <c r="AC72" i="1"/>
  <c r="AD72" i="1"/>
  <c r="AE72" i="1"/>
  <c r="W73" i="1"/>
  <c r="X73" i="1"/>
  <c r="Y73" i="1"/>
  <c r="Z73" i="1"/>
  <c r="AA73" i="1"/>
  <c r="AB73" i="1"/>
  <c r="AC73" i="1"/>
  <c r="AD73" i="1"/>
  <c r="AE73" i="1"/>
  <c r="W74" i="1"/>
  <c r="X74" i="1"/>
  <c r="Z74" i="1"/>
  <c r="AA74" i="1"/>
  <c r="AB74" i="1"/>
  <c r="AC74" i="1"/>
  <c r="AD74" i="1"/>
  <c r="AE74" i="1"/>
  <c r="W75" i="1"/>
  <c r="X75" i="1"/>
  <c r="Z75" i="1"/>
  <c r="AA75" i="1"/>
  <c r="AB75" i="1"/>
  <c r="AC75" i="1"/>
  <c r="AD75" i="1"/>
  <c r="AE75" i="1"/>
  <c r="W76" i="1"/>
  <c r="X76" i="1"/>
  <c r="Y76" i="1"/>
  <c r="Z76" i="1"/>
  <c r="AA76" i="1"/>
  <c r="AB76" i="1"/>
  <c r="AC76" i="1"/>
  <c r="AD76" i="1"/>
  <c r="AE76" i="1"/>
  <c r="W77" i="1"/>
  <c r="X77" i="1"/>
  <c r="Z77" i="1"/>
  <c r="AA77" i="1"/>
  <c r="AB77" i="1"/>
  <c r="AC77" i="1"/>
  <c r="AD77" i="1"/>
  <c r="AE77" i="1"/>
  <c r="W78" i="1"/>
  <c r="X78" i="1"/>
  <c r="Y78" i="1"/>
  <c r="Z78" i="1"/>
  <c r="AA78" i="1"/>
  <c r="AB78" i="1"/>
  <c r="AC78" i="1"/>
  <c r="AD78" i="1"/>
  <c r="AE78" i="1"/>
  <c r="W79" i="1"/>
  <c r="X79" i="1"/>
  <c r="Y79" i="1"/>
  <c r="Z79" i="1"/>
  <c r="AA79" i="1"/>
  <c r="AB79" i="1"/>
  <c r="AC79" i="1"/>
  <c r="AD79" i="1"/>
  <c r="AE79" i="1"/>
  <c r="W80" i="1"/>
  <c r="X80" i="1"/>
  <c r="Y80" i="1"/>
  <c r="Z80" i="1"/>
  <c r="AA80" i="1"/>
  <c r="AB80" i="1"/>
  <c r="AC80" i="1"/>
  <c r="AD80" i="1"/>
  <c r="AE80" i="1"/>
  <c r="W81" i="1"/>
  <c r="X81" i="1"/>
  <c r="Y81" i="1"/>
  <c r="Z81" i="1"/>
  <c r="AA81" i="1"/>
  <c r="AB81" i="1"/>
  <c r="AC81" i="1"/>
  <c r="AD81" i="1"/>
  <c r="AE81" i="1"/>
  <c r="W82" i="1"/>
  <c r="X82" i="1"/>
  <c r="Y82" i="1"/>
  <c r="Z82" i="1"/>
  <c r="AA82" i="1"/>
  <c r="AB82" i="1"/>
  <c r="AC82" i="1"/>
  <c r="AD82" i="1"/>
  <c r="AE82" i="1"/>
  <c r="W83" i="1"/>
  <c r="X83" i="1"/>
  <c r="Y83" i="1"/>
  <c r="Z83" i="1"/>
  <c r="AA83" i="1"/>
  <c r="AB83" i="1"/>
  <c r="AC83" i="1"/>
  <c r="AD83" i="1"/>
  <c r="AE83" i="1"/>
  <c r="W84" i="1"/>
  <c r="X84" i="1"/>
  <c r="Y84" i="1"/>
  <c r="Z84" i="1"/>
  <c r="AA84" i="1"/>
  <c r="AB84" i="1"/>
  <c r="AC84" i="1"/>
  <c r="AD84" i="1"/>
  <c r="AE84" i="1"/>
  <c r="W85" i="1"/>
  <c r="X85" i="1"/>
  <c r="Y85" i="1"/>
  <c r="Z85" i="1"/>
  <c r="AA85" i="1"/>
  <c r="AB85" i="1"/>
  <c r="AC85" i="1"/>
  <c r="AD85" i="1"/>
  <c r="AE85" i="1"/>
  <c r="W86" i="1"/>
  <c r="X86" i="1"/>
  <c r="Y86" i="1"/>
  <c r="Z86" i="1"/>
  <c r="AA86" i="1"/>
  <c r="AB86" i="1"/>
  <c r="AC86" i="1"/>
  <c r="AD86" i="1"/>
  <c r="AE86" i="1"/>
  <c r="W87" i="1"/>
  <c r="X87" i="1"/>
  <c r="Y87" i="1"/>
  <c r="Z87" i="1"/>
  <c r="AA87" i="1"/>
  <c r="AB87" i="1"/>
  <c r="AC87" i="1"/>
  <c r="AD87" i="1"/>
  <c r="AE87" i="1"/>
  <c r="W88" i="1"/>
  <c r="X88" i="1"/>
  <c r="Y88" i="1"/>
  <c r="Z88" i="1"/>
  <c r="AA88" i="1"/>
  <c r="AB88" i="1"/>
  <c r="AC88" i="1"/>
  <c r="AD88" i="1"/>
  <c r="AE88" i="1"/>
  <c r="W89" i="1"/>
  <c r="X89" i="1"/>
  <c r="Y89" i="1"/>
  <c r="Z89" i="1"/>
  <c r="AA89" i="1"/>
  <c r="AB89" i="1"/>
  <c r="AC89" i="1"/>
  <c r="AD89" i="1"/>
  <c r="AE89" i="1"/>
  <c r="W90" i="1"/>
  <c r="X90" i="1"/>
  <c r="Y90" i="1"/>
  <c r="Z90" i="1"/>
  <c r="AA90" i="1"/>
  <c r="AB90" i="1"/>
  <c r="AC90" i="1"/>
  <c r="AD90" i="1"/>
  <c r="AE90" i="1"/>
  <c r="W91" i="1"/>
  <c r="X91" i="1"/>
  <c r="Y91" i="1"/>
  <c r="Z91" i="1"/>
  <c r="AA91" i="1"/>
  <c r="AB91" i="1"/>
  <c r="AC91" i="1"/>
  <c r="AD91" i="1"/>
  <c r="AE91" i="1"/>
  <c r="W92" i="1"/>
  <c r="X92" i="1"/>
  <c r="Y92" i="1"/>
  <c r="Z92" i="1"/>
  <c r="AA92" i="1"/>
  <c r="AB92" i="1"/>
  <c r="AC92" i="1"/>
  <c r="AD92" i="1"/>
  <c r="AE92" i="1"/>
  <c r="W93" i="1"/>
  <c r="X93" i="1"/>
  <c r="Y93" i="1"/>
  <c r="Z93" i="1"/>
  <c r="AA93" i="1"/>
  <c r="AB93" i="1"/>
  <c r="AC93" i="1"/>
  <c r="AD93" i="1"/>
  <c r="AE93" i="1"/>
  <c r="W94" i="1"/>
  <c r="X94" i="1"/>
  <c r="Y94" i="1"/>
  <c r="Z94" i="1"/>
  <c r="AA94" i="1"/>
  <c r="AB94" i="1"/>
  <c r="AC94" i="1"/>
  <c r="AD94" i="1"/>
  <c r="AE94" i="1"/>
  <c r="W95" i="1"/>
  <c r="X95" i="1"/>
  <c r="Y95" i="1"/>
  <c r="Z95" i="1"/>
  <c r="AA95" i="1"/>
  <c r="AB95" i="1"/>
  <c r="AC95" i="1"/>
  <c r="AD95" i="1"/>
  <c r="AE95" i="1"/>
  <c r="W96" i="1"/>
  <c r="X96" i="1"/>
  <c r="Y96" i="1"/>
  <c r="Z96" i="1"/>
  <c r="AA96" i="1"/>
  <c r="AB96" i="1"/>
  <c r="AC96" i="1"/>
  <c r="AD96" i="1"/>
  <c r="AE96" i="1"/>
  <c r="W97" i="1"/>
  <c r="X97" i="1"/>
  <c r="Y97" i="1"/>
  <c r="Z97" i="1"/>
  <c r="AA97" i="1"/>
  <c r="AB97" i="1"/>
  <c r="AC97" i="1"/>
  <c r="AD97" i="1"/>
  <c r="AE97" i="1"/>
  <c r="W98" i="1"/>
  <c r="X98" i="1"/>
  <c r="Y98" i="1"/>
  <c r="Z98" i="1"/>
  <c r="AA98" i="1"/>
  <c r="AB98" i="1"/>
  <c r="AC98" i="1"/>
  <c r="AD98" i="1"/>
  <c r="AE98" i="1"/>
  <c r="W99" i="1"/>
  <c r="X99" i="1"/>
  <c r="Y99" i="1"/>
  <c r="Z99" i="1"/>
  <c r="AA99" i="1"/>
  <c r="AB99" i="1"/>
  <c r="AC99" i="1"/>
  <c r="AD99" i="1"/>
  <c r="AE99" i="1"/>
  <c r="W100" i="1"/>
  <c r="X100" i="1"/>
  <c r="Y100" i="1"/>
  <c r="Z100" i="1"/>
  <c r="AA100" i="1"/>
  <c r="AB100" i="1"/>
  <c r="AC100" i="1"/>
  <c r="AD100" i="1"/>
  <c r="AE100" i="1"/>
  <c r="W101" i="1"/>
  <c r="X101" i="1"/>
  <c r="Y101" i="1"/>
  <c r="Z101" i="1"/>
  <c r="AA101" i="1"/>
  <c r="AB101" i="1"/>
  <c r="AC101" i="1"/>
  <c r="AD101" i="1"/>
  <c r="AE101" i="1"/>
  <c r="W102" i="1"/>
  <c r="X102" i="1"/>
  <c r="Y102" i="1"/>
  <c r="Z102" i="1"/>
  <c r="AA102" i="1"/>
  <c r="AB102" i="1"/>
  <c r="AC102" i="1"/>
  <c r="AD102" i="1"/>
  <c r="AE102" i="1"/>
  <c r="W103" i="1"/>
  <c r="X103" i="1"/>
  <c r="Y103" i="1"/>
  <c r="Z103" i="1"/>
  <c r="AA103" i="1"/>
  <c r="AB103" i="1"/>
  <c r="AC103" i="1"/>
  <c r="AD103" i="1"/>
  <c r="AE103" i="1"/>
  <c r="W104" i="1"/>
  <c r="X104" i="1"/>
  <c r="Y104" i="1"/>
  <c r="Z104" i="1"/>
  <c r="AA104" i="1"/>
  <c r="AB104" i="1"/>
  <c r="AC104" i="1"/>
  <c r="AD104" i="1"/>
  <c r="AE104" i="1"/>
  <c r="W105" i="1"/>
  <c r="X105" i="1"/>
  <c r="Y105" i="1"/>
  <c r="Z105" i="1"/>
  <c r="AA105" i="1"/>
  <c r="AB105" i="1"/>
  <c r="AC105" i="1"/>
  <c r="AD105" i="1"/>
  <c r="AE105" i="1"/>
  <c r="W106" i="1"/>
  <c r="X106" i="1"/>
  <c r="Y106" i="1"/>
  <c r="Z106" i="1"/>
  <c r="AA106" i="1"/>
  <c r="AB106" i="1"/>
  <c r="AC106" i="1"/>
  <c r="AD106" i="1"/>
  <c r="AE106" i="1"/>
  <c r="W107" i="1"/>
  <c r="X107" i="1"/>
  <c r="Y107" i="1"/>
  <c r="Z107" i="1"/>
  <c r="AA107" i="1"/>
  <c r="AB107" i="1"/>
  <c r="AC107" i="1"/>
  <c r="AD107" i="1"/>
  <c r="AE107" i="1"/>
  <c r="W108" i="1"/>
  <c r="X108" i="1"/>
  <c r="Y108" i="1"/>
  <c r="Z108" i="1"/>
  <c r="AA108" i="1"/>
  <c r="AB108" i="1"/>
  <c r="AC108" i="1"/>
  <c r="AD108" i="1"/>
  <c r="AE108" i="1"/>
  <c r="W109" i="1"/>
  <c r="X109" i="1"/>
  <c r="Y109" i="1"/>
  <c r="Z109" i="1"/>
  <c r="AA109" i="1"/>
  <c r="AB109" i="1"/>
  <c r="AC109" i="1"/>
  <c r="AD109" i="1"/>
  <c r="AE109" i="1"/>
  <c r="W110" i="1"/>
  <c r="X110" i="1"/>
  <c r="Y110" i="1"/>
  <c r="Z110" i="1"/>
  <c r="AA110" i="1"/>
  <c r="AB110" i="1"/>
  <c r="AC110" i="1"/>
  <c r="AD110" i="1"/>
  <c r="AE110" i="1"/>
  <c r="W111" i="1"/>
  <c r="X111" i="1"/>
  <c r="Y111" i="1"/>
  <c r="Z111" i="1"/>
  <c r="AA111" i="1"/>
  <c r="AB111" i="1"/>
  <c r="AC111" i="1"/>
  <c r="AD111" i="1"/>
  <c r="AE111" i="1"/>
  <c r="W112" i="1"/>
  <c r="X112" i="1"/>
  <c r="Y112" i="1"/>
  <c r="Z112" i="1"/>
  <c r="AA112" i="1"/>
  <c r="AB112" i="1"/>
  <c r="AC112" i="1"/>
  <c r="AD112" i="1"/>
  <c r="AE112" i="1"/>
  <c r="W113" i="1"/>
  <c r="X113" i="1"/>
  <c r="Y113" i="1"/>
  <c r="Z113" i="1"/>
  <c r="AA113" i="1"/>
  <c r="AB113" i="1"/>
  <c r="AC113" i="1"/>
  <c r="AD113" i="1"/>
  <c r="AE113" i="1"/>
  <c r="W114" i="1"/>
  <c r="X114" i="1"/>
  <c r="Y114" i="1"/>
  <c r="Z114" i="1"/>
  <c r="AA114" i="1"/>
  <c r="AB114" i="1"/>
  <c r="AC114" i="1"/>
  <c r="AD114" i="1"/>
  <c r="AE114" i="1"/>
  <c r="W115" i="1"/>
  <c r="X115" i="1"/>
  <c r="Y115" i="1"/>
  <c r="Z115" i="1"/>
  <c r="AA115" i="1"/>
  <c r="AB115" i="1"/>
  <c r="AC115" i="1"/>
  <c r="AD115" i="1"/>
  <c r="AE115" i="1"/>
  <c r="W116" i="1"/>
  <c r="X116" i="1"/>
  <c r="Y116" i="1"/>
  <c r="Z116" i="1"/>
  <c r="AA116" i="1"/>
  <c r="AB116" i="1"/>
  <c r="AC116" i="1"/>
  <c r="AD116" i="1"/>
  <c r="AE116" i="1"/>
  <c r="W117" i="1"/>
  <c r="X117" i="1"/>
  <c r="Y117" i="1"/>
  <c r="Z117" i="1"/>
  <c r="AA117" i="1"/>
  <c r="AB117" i="1"/>
  <c r="AC117" i="1"/>
  <c r="AD117" i="1"/>
  <c r="AE117" i="1"/>
  <c r="W118" i="1"/>
  <c r="X118" i="1"/>
  <c r="Y118" i="1"/>
  <c r="Z118" i="1"/>
  <c r="AA118" i="1"/>
  <c r="AB118" i="1"/>
  <c r="AC118" i="1"/>
  <c r="AD118" i="1"/>
  <c r="AE118" i="1"/>
  <c r="W119" i="1"/>
  <c r="X119" i="1"/>
  <c r="Y119" i="1"/>
  <c r="Z119" i="1"/>
  <c r="AA119" i="1"/>
  <c r="AB119" i="1"/>
  <c r="AC119" i="1"/>
  <c r="AD119" i="1"/>
  <c r="AE119" i="1"/>
  <c r="W120" i="1"/>
  <c r="X120" i="1"/>
  <c r="Y120" i="1"/>
  <c r="Z120" i="1"/>
  <c r="AA120" i="1"/>
  <c r="AB120" i="1"/>
  <c r="AC120" i="1"/>
  <c r="AD120" i="1"/>
  <c r="AE120" i="1"/>
  <c r="W121" i="1"/>
  <c r="X121" i="1"/>
  <c r="Y121" i="1"/>
  <c r="Z121" i="1"/>
  <c r="AA121" i="1"/>
  <c r="AB121" i="1"/>
  <c r="AC121" i="1"/>
  <c r="AD121" i="1"/>
  <c r="AE121" i="1"/>
  <c r="W122" i="1"/>
  <c r="X122" i="1"/>
  <c r="Y122" i="1"/>
  <c r="Z122" i="1"/>
  <c r="AA122" i="1"/>
  <c r="AB122" i="1"/>
  <c r="AC122" i="1"/>
  <c r="AD122" i="1"/>
  <c r="AE122" i="1"/>
  <c r="W123" i="1"/>
  <c r="X123" i="1"/>
  <c r="Y123" i="1"/>
  <c r="Z123" i="1"/>
  <c r="AA123" i="1"/>
  <c r="AB123" i="1"/>
  <c r="AC123" i="1"/>
  <c r="AD123" i="1"/>
  <c r="AE123" i="1"/>
  <c r="W124" i="1"/>
  <c r="X124" i="1"/>
  <c r="Y124" i="1"/>
  <c r="Z124" i="1"/>
  <c r="AA124" i="1"/>
  <c r="AB124" i="1"/>
  <c r="AC124" i="1"/>
  <c r="AD124" i="1"/>
  <c r="AE124" i="1"/>
  <c r="W125" i="1"/>
  <c r="X125" i="1"/>
  <c r="Y125" i="1"/>
  <c r="Z125" i="1"/>
  <c r="AA125" i="1"/>
  <c r="AB125" i="1"/>
  <c r="AC125" i="1"/>
  <c r="AD125" i="1"/>
  <c r="AE125" i="1"/>
  <c r="W126" i="1"/>
  <c r="X126" i="1"/>
  <c r="Y126" i="1"/>
  <c r="Z126" i="1"/>
  <c r="AA126" i="1"/>
  <c r="AB126" i="1"/>
  <c r="AC126" i="1"/>
  <c r="AD126" i="1"/>
  <c r="AE126" i="1"/>
  <c r="W127" i="1"/>
  <c r="X127" i="1"/>
  <c r="Y127" i="1"/>
  <c r="Z127" i="1"/>
  <c r="AA127" i="1"/>
  <c r="AB127" i="1"/>
  <c r="AC127" i="1"/>
  <c r="AD127" i="1"/>
  <c r="AE127" i="1"/>
  <c r="W128" i="1"/>
  <c r="X128" i="1"/>
  <c r="Y128" i="1"/>
  <c r="Z128" i="1"/>
  <c r="AA128" i="1"/>
  <c r="AB128" i="1"/>
  <c r="AC128" i="1"/>
  <c r="AD128" i="1"/>
  <c r="AE128" i="1"/>
  <c r="W129" i="1"/>
  <c r="X129" i="1"/>
  <c r="Y129" i="1"/>
  <c r="Z129" i="1"/>
  <c r="AA129" i="1"/>
  <c r="AB129" i="1"/>
  <c r="AC129" i="1"/>
  <c r="AD129" i="1"/>
  <c r="AE129" i="1"/>
  <c r="W130" i="1"/>
  <c r="X130" i="1"/>
  <c r="Y130" i="1"/>
  <c r="Z130" i="1"/>
  <c r="AA130" i="1"/>
  <c r="AB130" i="1"/>
  <c r="AC130" i="1"/>
  <c r="AD130" i="1"/>
  <c r="AE130" i="1"/>
  <c r="W131" i="1"/>
  <c r="X131" i="1"/>
  <c r="Y131" i="1"/>
  <c r="Z131" i="1"/>
  <c r="AA131" i="1"/>
  <c r="AB131" i="1"/>
  <c r="AC131" i="1"/>
  <c r="AD131" i="1"/>
  <c r="AE131" i="1"/>
  <c r="W132" i="1"/>
  <c r="X132" i="1"/>
  <c r="Y132" i="1"/>
  <c r="Z132" i="1"/>
  <c r="AA132" i="1"/>
  <c r="AB132" i="1"/>
  <c r="AC132" i="1"/>
  <c r="AD132" i="1"/>
  <c r="AE132" i="1"/>
  <c r="W133" i="1"/>
  <c r="X133" i="1"/>
  <c r="Y133" i="1"/>
  <c r="Z133" i="1"/>
  <c r="AA133" i="1"/>
  <c r="AB133" i="1"/>
  <c r="AC133" i="1"/>
  <c r="AD133" i="1"/>
  <c r="AE133" i="1"/>
  <c r="W134" i="1"/>
  <c r="X134" i="1"/>
  <c r="Y134" i="1"/>
  <c r="Z134" i="1"/>
  <c r="AA134" i="1"/>
  <c r="AB134" i="1"/>
  <c r="AC134" i="1"/>
  <c r="AD134" i="1"/>
  <c r="AE134" i="1"/>
  <c r="W135" i="1"/>
  <c r="X135" i="1"/>
  <c r="Y135" i="1"/>
  <c r="Z135" i="1"/>
  <c r="AA135" i="1"/>
  <c r="AB135" i="1"/>
  <c r="AC135" i="1"/>
  <c r="AD135" i="1"/>
  <c r="AE135" i="1"/>
  <c r="W136" i="1"/>
  <c r="X136" i="1"/>
  <c r="Y136" i="1"/>
  <c r="Z136" i="1"/>
  <c r="AA136" i="1"/>
  <c r="AB136" i="1"/>
  <c r="AC136" i="1"/>
  <c r="AD136" i="1"/>
  <c r="AE136" i="1"/>
  <c r="W137" i="1"/>
  <c r="X137" i="1"/>
  <c r="Y137" i="1"/>
  <c r="Z137" i="1"/>
  <c r="AA137" i="1"/>
  <c r="AB137" i="1"/>
  <c r="AC137" i="1"/>
  <c r="AD137" i="1"/>
  <c r="AE137" i="1"/>
  <c r="W138" i="1"/>
  <c r="X138" i="1"/>
  <c r="Y138" i="1"/>
  <c r="Z138" i="1"/>
  <c r="AA138" i="1"/>
  <c r="AB138" i="1"/>
  <c r="AC138" i="1"/>
  <c r="AD138" i="1"/>
  <c r="AE138" i="1"/>
  <c r="W139" i="1"/>
  <c r="X139" i="1"/>
  <c r="Y139" i="1"/>
  <c r="Z139" i="1"/>
  <c r="AA139" i="1"/>
  <c r="AB139" i="1"/>
  <c r="AC139" i="1"/>
  <c r="AD139" i="1"/>
  <c r="AE139" i="1"/>
  <c r="W140" i="1"/>
  <c r="X140" i="1"/>
  <c r="Y140" i="1"/>
  <c r="Z140" i="1"/>
  <c r="AA140" i="1"/>
  <c r="AB140" i="1"/>
  <c r="AC140" i="1"/>
  <c r="AD140" i="1"/>
  <c r="AE140" i="1"/>
  <c r="W141" i="1"/>
  <c r="X141" i="1"/>
  <c r="Y141" i="1"/>
  <c r="Z141" i="1"/>
  <c r="AA141" i="1"/>
  <c r="AB141" i="1"/>
  <c r="AC141" i="1"/>
  <c r="AD141" i="1"/>
  <c r="AE141" i="1"/>
  <c r="W142" i="1"/>
  <c r="X142" i="1"/>
  <c r="Y142" i="1"/>
  <c r="Z142" i="1"/>
  <c r="AA142" i="1"/>
  <c r="AB142" i="1"/>
  <c r="AC142" i="1"/>
  <c r="AD142" i="1"/>
  <c r="AE142" i="1"/>
  <c r="W143" i="1"/>
  <c r="X143" i="1"/>
  <c r="Y143" i="1"/>
  <c r="Z143" i="1"/>
  <c r="AA143" i="1"/>
  <c r="AB143" i="1"/>
  <c r="AC143" i="1"/>
  <c r="AD143" i="1"/>
  <c r="AE143" i="1"/>
  <c r="W144" i="1"/>
  <c r="X144" i="1"/>
  <c r="Y144" i="1"/>
  <c r="Z144" i="1"/>
  <c r="AA144" i="1"/>
  <c r="AB144" i="1"/>
  <c r="AC144" i="1"/>
  <c r="AD144" i="1"/>
  <c r="AE144" i="1"/>
  <c r="W145" i="1"/>
  <c r="X145" i="1"/>
  <c r="Y145" i="1"/>
  <c r="Z145" i="1"/>
  <c r="AA145" i="1"/>
  <c r="AB145" i="1"/>
  <c r="AC145" i="1"/>
  <c r="AD145" i="1"/>
  <c r="AE145" i="1"/>
  <c r="W146" i="1"/>
  <c r="X146" i="1"/>
  <c r="Y146" i="1"/>
  <c r="Z146" i="1"/>
  <c r="AA146" i="1"/>
  <c r="AB146" i="1"/>
  <c r="AC146" i="1"/>
  <c r="AD146" i="1"/>
  <c r="AE146" i="1"/>
  <c r="W147" i="1"/>
  <c r="X147" i="1"/>
  <c r="Y147" i="1"/>
  <c r="Z147" i="1"/>
  <c r="AA147" i="1"/>
  <c r="AB147" i="1"/>
  <c r="AC147" i="1"/>
  <c r="AD147" i="1"/>
  <c r="AE147" i="1"/>
  <c r="W148" i="1"/>
  <c r="X148" i="1"/>
  <c r="Y148" i="1"/>
  <c r="Z148" i="1"/>
  <c r="AA148" i="1"/>
  <c r="AB148" i="1"/>
  <c r="AC148" i="1"/>
  <c r="AD148" i="1"/>
  <c r="AE148" i="1"/>
  <c r="W149" i="1"/>
  <c r="X149" i="1"/>
  <c r="Y149" i="1"/>
  <c r="Z149" i="1"/>
  <c r="AA149" i="1"/>
  <c r="AB149" i="1"/>
  <c r="AC149" i="1"/>
  <c r="AD149" i="1"/>
  <c r="AE149" i="1"/>
  <c r="W150" i="1"/>
  <c r="X150" i="1"/>
  <c r="Y150" i="1"/>
  <c r="Z150" i="1"/>
  <c r="AA150" i="1"/>
  <c r="AB150" i="1"/>
  <c r="AC150" i="1"/>
  <c r="AD150" i="1"/>
  <c r="AE150" i="1"/>
  <c r="W151" i="1"/>
  <c r="X151" i="1"/>
  <c r="Y151" i="1"/>
  <c r="Z151" i="1"/>
  <c r="AA151" i="1"/>
  <c r="AB151" i="1"/>
  <c r="AC151" i="1"/>
  <c r="AD151" i="1"/>
  <c r="AE151" i="1"/>
  <c r="W152" i="1"/>
  <c r="X152" i="1"/>
  <c r="Y152" i="1"/>
  <c r="Z152" i="1"/>
  <c r="AA152" i="1"/>
  <c r="AB152" i="1"/>
  <c r="AC152" i="1"/>
  <c r="AD152" i="1"/>
  <c r="AE152" i="1"/>
  <c r="W153" i="1"/>
  <c r="X153" i="1"/>
  <c r="Y153" i="1"/>
  <c r="Z153" i="1"/>
  <c r="AA153" i="1"/>
  <c r="AB153" i="1"/>
  <c r="AC153" i="1"/>
  <c r="AD153" i="1"/>
  <c r="AE153" i="1"/>
  <c r="W154" i="1"/>
  <c r="X154" i="1"/>
  <c r="Y154" i="1"/>
  <c r="Z154" i="1"/>
  <c r="AA154" i="1"/>
  <c r="AB154" i="1"/>
  <c r="AC154" i="1"/>
  <c r="AD154" i="1"/>
  <c r="AE154" i="1"/>
  <c r="W155" i="1"/>
  <c r="X155" i="1"/>
  <c r="Y155" i="1"/>
  <c r="Z155" i="1"/>
  <c r="AA155" i="1"/>
  <c r="AB155" i="1"/>
  <c r="AC155" i="1"/>
  <c r="AD155" i="1"/>
  <c r="AE155" i="1"/>
  <c r="W156" i="1"/>
  <c r="X156" i="1"/>
  <c r="Y156" i="1"/>
  <c r="Z156" i="1"/>
  <c r="AA156" i="1"/>
  <c r="AB156" i="1"/>
  <c r="AC156" i="1"/>
  <c r="AD156" i="1"/>
  <c r="AE156" i="1"/>
  <c r="W157" i="1"/>
  <c r="X157" i="1"/>
  <c r="Y157" i="1"/>
  <c r="Z157" i="1"/>
  <c r="AA157" i="1"/>
  <c r="AB157" i="1"/>
  <c r="AC157" i="1"/>
  <c r="AD157" i="1"/>
  <c r="AE157" i="1"/>
  <c r="W158" i="1"/>
  <c r="X158" i="1"/>
  <c r="Y158" i="1"/>
  <c r="Z158" i="1"/>
  <c r="AA158" i="1"/>
  <c r="AB158" i="1"/>
  <c r="AC158" i="1"/>
  <c r="AD158" i="1"/>
  <c r="AE158" i="1"/>
  <c r="W159" i="1"/>
  <c r="X159" i="1"/>
  <c r="Y159" i="1"/>
  <c r="Z159" i="1"/>
  <c r="AA159" i="1"/>
  <c r="AB159" i="1"/>
  <c r="AC159" i="1"/>
  <c r="AD159" i="1"/>
  <c r="AE159" i="1"/>
  <c r="W160" i="1"/>
  <c r="X160" i="1"/>
  <c r="Y160" i="1"/>
  <c r="Z160" i="1"/>
  <c r="AA160" i="1"/>
  <c r="AB160" i="1"/>
  <c r="AC160" i="1"/>
  <c r="AD160" i="1"/>
  <c r="AE160" i="1"/>
  <c r="W161" i="1"/>
  <c r="X161" i="1"/>
  <c r="Y161" i="1"/>
  <c r="Z161" i="1"/>
  <c r="AA161" i="1"/>
  <c r="AB161" i="1"/>
  <c r="AC161" i="1"/>
  <c r="AD161" i="1"/>
  <c r="AE161" i="1"/>
  <c r="W162" i="1"/>
  <c r="X162" i="1"/>
  <c r="Y162" i="1"/>
  <c r="Z162" i="1"/>
  <c r="AA162" i="1"/>
  <c r="AB162" i="1"/>
  <c r="AC162" i="1"/>
  <c r="AD162" i="1"/>
  <c r="AE162" i="1"/>
  <c r="W163" i="1"/>
  <c r="X163" i="1"/>
  <c r="Y163" i="1"/>
  <c r="Z163" i="1"/>
  <c r="AA163" i="1"/>
  <c r="AB163" i="1"/>
  <c r="AC163" i="1"/>
  <c r="AD163" i="1"/>
  <c r="AE163" i="1"/>
  <c r="W164" i="1"/>
  <c r="X164" i="1"/>
  <c r="Y164" i="1"/>
  <c r="Z164" i="1"/>
  <c r="AA164" i="1"/>
  <c r="AB164" i="1"/>
  <c r="AC164" i="1"/>
  <c r="AD164" i="1"/>
  <c r="AE164" i="1"/>
  <c r="W165" i="1"/>
  <c r="X165" i="1"/>
  <c r="Y165" i="1"/>
  <c r="Z165" i="1"/>
  <c r="AA165" i="1"/>
  <c r="AB165" i="1"/>
  <c r="AC165" i="1"/>
  <c r="AD165" i="1"/>
  <c r="AE165" i="1"/>
  <c r="W166" i="1"/>
  <c r="X166" i="1"/>
  <c r="Y166" i="1"/>
  <c r="Z166" i="1"/>
  <c r="AA166" i="1"/>
  <c r="AB166" i="1"/>
  <c r="AC166" i="1"/>
  <c r="AD166" i="1"/>
  <c r="AE166" i="1"/>
  <c r="W167" i="1"/>
  <c r="X167" i="1"/>
  <c r="Y167" i="1"/>
  <c r="Z167" i="1"/>
  <c r="AA167" i="1"/>
  <c r="AB167" i="1"/>
  <c r="AC167" i="1"/>
  <c r="AD167" i="1"/>
  <c r="AE167" i="1"/>
  <c r="W168" i="1"/>
  <c r="X168" i="1"/>
  <c r="Y168" i="1"/>
  <c r="Z168" i="1"/>
  <c r="AA168" i="1"/>
  <c r="AB168" i="1"/>
  <c r="AC168" i="1"/>
  <c r="AD168" i="1"/>
  <c r="AE168" i="1"/>
  <c r="W169" i="1"/>
  <c r="X169" i="1"/>
  <c r="Y169" i="1"/>
  <c r="Z169" i="1"/>
  <c r="AA169" i="1"/>
  <c r="AB169" i="1"/>
  <c r="AC169" i="1"/>
  <c r="AD169" i="1"/>
  <c r="AE169" i="1"/>
  <c r="W170" i="1"/>
  <c r="X170" i="1"/>
  <c r="Y170" i="1"/>
  <c r="Z170" i="1"/>
  <c r="AA170" i="1"/>
  <c r="AB170" i="1"/>
  <c r="AC170" i="1"/>
  <c r="AD170" i="1"/>
  <c r="AE170" i="1"/>
  <c r="W171" i="1"/>
  <c r="X171" i="1"/>
  <c r="Y171" i="1"/>
  <c r="Z171" i="1"/>
  <c r="AA171" i="1"/>
  <c r="AB171" i="1"/>
  <c r="AC171" i="1"/>
  <c r="AD171" i="1"/>
  <c r="AE171" i="1"/>
  <c r="W172" i="1"/>
  <c r="X172" i="1"/>
  <c r="Y172" i="1"/>
  <c r="Z172" i="1"/>
  <c r="AA172" i="1"/>
  <c r="AB172" i="1"/>
  <c r="AC172" i="1"/>
  <c r="AD172" i="1"/>
  <c r="AE172" i="1"/>
  <c r="W173" i="1"/>
  <c r="X173" i="1"/>
  <c r="Y173" i="1"/>
  <c r="Z173" i="1"/>
  <c r="AA173" i="1"/>
  <c r="AB173" i="1"/>
  <c r="AC173" i="1"/>
  <c r="AD173" i="1"/>
  <c r="AE173" i="1"/>
  <c r="W174" i="1"/>
  <c r="X174" i="1"/>
  <c r="Y174" i="1"/>
  <c r="Z174" i="1"/>
  <c r="AA174" i="1"/>
  <c r="AB174" i="1"/>
  <c r="AC174" i="1"/>
  <c r="AD174" i="1"/>
  <c r="AE174" i="1"/>
  <c r="W175" i="1"/>
  <c r="X175" i="1"/>
  <c r="Y175" i="1"/>
  <c r="Z175" i="1"/>
  <c r="AA175" i="1"/>
  <c r="AB175" i="1"/>
  <c r="AC175" i="1"/>
  <c r="AD175" i="1"/>
  <c r="AE175" i="1"/>
  <c r="W176" i="1"/>
  <c r="X176" i="1"/>
  <c r="Y176" i="1"/>
  <c r="Z176" i="1"/>
  <c r="AA176" i="1"/>
  <c r="AB176" i="1"/>
  <c r="AC176" i="1"/>
  <c r="AD176" i="1"/>
  <c r="AE176" i="1"/>
  <c r="W177" i="1"/>
  <c r="X177" i="1"/>
  <c r="Y177" i="1"/>
  <c r="Z177" i="1"/>
  <c r="AA177" i="1"/>
  <c r="AB177" i="1"/>
  <c r="AC177" i="1"/>
  <c r="AD177" i="1"/>
  <c r="AE177" i="1"/>
  <c r="W178" i="1"/>
  <c r="X178" i="1"/>
  <c r="Y178" i="1"/>
  <c r="Z178" i="1"/>
  <c r="AA178" i="1"/>
  <c r="AB178" i="1"/>
  <c r="AC178" i="1"/>
  <c r="AD178" i="1"/>
  <c r="AE178" i="1"/>
  <c r="W179" i="1"/>
  <c r="X179" i="1"/>
  <c r="Y179" i="1"/>
  <c r="Z179" i="1"/>
  <c r="AA179" i="1"/>
  <c r="AB179" i="1"/>
  <c r="AC179" i="1"/>
  <c r="AD179" i="1"/>
  <c r="AE179" i="1"/>
  <c r="W180" i="1"/>
  <c r="X180" i="1"/>
  <c r="Y180" i="1"/>
  <c r="Z180" i="1"/>
  <c r="AA180" i="1"/>
  <c r="AB180" i="1"/>
  <c r="AC180" i="1"/>
  <c r="AD180" i="1"/>
  <c r="AE180" i="1"/>
  <c r="W181" i="1"/>
  <c r="X181" i="1"/>
  <c r="Y181" i="1"/>
  <c r="Z181" i="1"/>
  <c r="AA181" i="1"/>
  <c r="AB181" i="1"/>
  <c r="AC181" i="1"/>
  <c r="AD181" i="1"/>
  <c r="AE181" i="1"/>
  <c r="W182" i="1"/>
  <c r="X182" i="1"/>
  <c r="Y182" i="1"/>
  <c r="Z182" i="1"/>
  <c r="AA182" i="1"/>
  <c r="AB182" i="1"/>
  <c r="AC182" i="1"/>
  <c r="AD182" i="1"/>
  <c r="AE182" i="1"/>
  <c r="W183" i="1"/>
  <c r="X183" i="1"/>
  <c r="Y183" i="1"/>
  <c r="Z183" i="1"/>
  <c r="AA183" i="1"/>
  <c r="AB183" i="1"/>
  <c r="AC183" i="1"/>
  <c r="AD183" i="1"/>
  <c r="AE183" i="1"/>
  <c r="W184" i="1"/>
  <c r="X184" i="1"/>
  <c r="Y184" i="1"/>
  <c r="Z184" i="1"/>
  <c r="AA184" i="1"/>
  <c r="AB184" i="1"/>
  <c r="AC184" i="1"/>
  <c r="AD184" i="1"/>
  <c r="AE184" i="1"/>
  <c r="W185" i="1"/>
  <c r="X185" i="1"/>
  <c r="Y185" i="1"/>
  <c r="Z185" i="1"/>
  <c r="AA185" i="1"/>
  <c r="AB185" i="1"/>
  <c r="AC185" i="1"/>
  <c r="AD185" i="1"/>
  <c r="AE185" i="1"/>
  <c r="W186" i="1"/>
  <c r="X186" i="1"/>
  <c r="Y186" i="1"/>
  <c r="Z186" i="1"/>
  <c r="AA186" i="1"/>
  <c r="AB186" i="1"/>
  <c r="AC186" i="1"/>
  <c r="AD186" i="1"/>
  <c r="AE186" i="1"/>
  <c r="W187" i="1"/>
  <c r="X187" i="1"/>
  <c r="Y187" i="1"/>
  <c r="Z187" i="1"/>
  <c r="AA187" i="1"/>
  <c r="AB187" i="1"/>
  <c r="AC187" i="1"/>
  <c r="AD187" i="1"/>
  <c r="AE187" i="1"/>
  <c r="W188" i="1"/>
  <c r="X188" i="1"/>
  <c r="Y188" i="1"/>
  <c r="Z188" i="1"/>
  <c r="AA188" i="1"/>
  <c r="AB188" i="1"/>
  <c r="AC188" i="1"/>
  <c r="AD188" i="1"/>
  <c r="AE188" i="1"/>
  <c r="W189" i="1"/>
  <c r="X189" i="1"/>
  <c r="Y189" i="1"/>
  <c r="Z189" i="1"/>
  <c r="AA189" i="1"/>
  <c r="AB189" i="1"/>
  <c r="AC189" i="1"/>
  <c r="AD189" i="1"/>
  <c r="AE189" i="1"/>
  <c r="W190" i="1"/>
  <c r="X190" i="1"/>
  <c r="Y190" i="1"/>
  <c r="Z190" i="1"/>
  <c r="AA190" i="1"/>
  <c r="AB190" i="1"/>
  <c r="AC190" i="1"/>
  <c r="AD190" i="1"/>
  <c r="AE190" i="1"/>
  <c r="W191" i="1"/>
  <c r="X191" i="1"/>
  <c r="Y191" i="1"/>
  <c r="Z191" i="1"/>
  <c r="AA191" i="1"/>
  <c r="AB191" i="1"/>
  <c r="AC191" i="1"/>
  <c r="AD191" i="1"/>
  <c r="AE191" i="1"/>
  <c r="W192" i="1"/>
  <c r="X192" i="1"/>
  <c r="Y192" i="1"/>
  <c r="Z192" i="1"/>
  <c r="AA192" i="1"/>
  <c r="AB192" i="1"/>
  <c r="AC192" i="1"/>
  <c r="AD192" i="1"/>
  <c r="AE192" i="1"/>
  <c r="W193" i="1"/>
  <c r="X193" i="1"/>
  <c r="Y193" i="1"/>
  <c r="Z193" i="1"/>
  <c r="AA193" i="1"/>
  <c r="AB193" i="1"/>
  <c r="AC193" i="1"/>
  <c r="AD193" i="1"/>
  <c r="AE193" i="1"/>
  <c r="W194" i="1"/>
  <c r="X194" i="1"/>
  <c r="Y194" i="1"/>
  <c r="Z194" i="1"/>
  <c r="AA194" i="1"/>
  <c r="AB194" i="1"/>
  <c r="AC194" i="1"/>
  <c r="AD194" i="1"/>
  <c r="AE194" i="1"/>
  <c r="W195" i="1"/>
  <c r="X195" i="1"/>
  <c r="Y195" i="1"/>
  <c r="Z195" i="1"/>
  <c r="AA195" i="1"/>
  <c r="AB195" i="1"/>
  <c r="AC195" i="1"/>
  <c r="AD195" i="1"/>
  <c r="AE195" i="1"/>
  <c r="W196" i="1"/>
  <c r="X196" i="1"/>
  <c r="Y196" i="1"/>
  <c r="Z196" i="1"/>
  <c r="AA196" i="1"/>
  <c r="AB196" i="1"/>
  <c r="AC196" i="1"/>
  <c r="AD196" i="1"/>
  <c r="AE196" i="1"/>
  <c r="W197" i="1"/>
  <c r="X197" i="1"/>
  <c r="Y197" i="1"/>
  <c r="Z197" i="1"/>
  <c r="AA197" i="1"/>
  <c r="AB197" i="1"/>
  <c r="AC197" i="1"/>
  <c r="AD197" i="1"/>
  <c r="AE197" i="1"/>
  <c r="W198" i="1"/>
  <c r="X198" i="1"/>
  <c r="Y198" i="1"/>
  <c r="Z198" i="1"/>
  <c r="AA198" i="1"/>
  <c r="AB198" i="1"/>
  <c r="AC198" i="1"/>
  <c r="AD198" i="1"/>
  <c r="AE198" i="1"/>
  <c r="W199" i="1"/>
  <c r="X199" i="1"/>
  <c r="Y199" i="1"/>
  <c r="Z199" i="1"/>
  <c r="AA199" i="1"/>
  <c r="AB199" i="1"/>
  <c r="AC199" i="1"/>
  <c r="AD199" i="1"/>
  <c r="AE199" i="1"/>
  <c r="W200" i="1"/>
  <c r="X200" i="1"/>
  <c r="Y200" i="1"/>
  <c r="Z200" i="1"/>
  <c r="AA200" i="1"/>
  <c r="AB200" i="1"/>
  <c r="AC200" i="1"/>
  <c r="AD200" i="1"/>
  <c r="AE200" i="1"/>
  <c r="W201" i="1"/>
  <c r="X201" i="1"/>
  <c r="Y201" i="1"/>
  <c r="Z201" i="1"/>
  <c r="AA201" i="1"/>
  <c r="AB201" i="1"/>
  <c r="AC201" i="1"/>
  <c r="AD201" i="1"/>
  <c r="AE201" i="1"/>
  <c r="W202" i="1"/>
  <c r="X202" i="1"/>
  <c r="Y202" i="1"/>
  <c r="Z202" i="1"/>
  <c r="AA202" i="1"/>
  <c r="AB202" i="1"/>
  <c r="AC202" i="1"/>
  <c r="AD202" i="1"/>
  <c r="AE202" i="1"/>
  <c r="W203" i="1"/>
  <c r="X203" i="1"/>
  <c r="Y203" i="1"/>
  <c r="Z203" i="1"/>
  <c r="AA203" i="1"/>
  <c r="AB203" i="1"/>
  <c r="AC203" i="1"/>
  <c r="AD203" i="1"/>
  <c r="AE203" i="1"/>
  <c r="W204" i="1"/>
  <c r="X204" i="1"/>
  <c r="Y204" i="1"/>
  <c r="Z204" i="1"/>
  <c r="AA204" i="1"/>
  <c r="AB204" i="1"/>
  <c r="AC204" i="1"/>
  <c r="AD204" i="1"/>
  <c r="AE204" i="1"/>
  <c r="W205" i="1"/>
  <c r="X205" i="1"/>
  <c r="Y205" i="1"/>
  <c r="Z205" i="1"/>
  <c r="AA205" i="1"/>
  <c r="AB205" i="1"/>
  <c r="AC205" i="1"/>
  <c r="AD205" i="1"/>
  <c r="AE205" i="1"/>
  <c r="W206" i="1"/>
  <c r="X206" i="1"/>
  <c r="Y206" i="1"/>
  <c r="Z206" i="1"/>
  <c r="AA206" i="1"/>
  <c r="AB206" i="1"/>
  <c r="AC206" i="1"/>
  <c r="AD206" i="1"/>
  <c r="AE206" i="1"/>
  <c r="W207" i="1"/>
  <c r="X207" i="1"/>
  <c r="Y207" i="1"/>
  <c r="Z207" i="1"/>
  <c r="AA207" i="1"/>
  <c r="AB207" i="1"/>
  <c r="AC207" i="1"/>
  <c r="AD207" i="1"/>
  <c r="AE207" i="1"/>
  <c r="W208" i="1"/>
  <c r="X208" i="1"/>
  <c r="Y208" i="1"/>
  <c r="Z208" i="1"/>
  <c r="AA208" i="1"/>
  <c r="AB208" i="1"/>
  <c r="AC208" i="1"/>
  <c r="AD208" i="1"/>
  <c r="AE208" i="1"/>
  <c r="W209" i="1"/>
  <c r="X209" i="1"/>
  <c r="Y209" i="1"/>
  <c r="Z209" i="1"/>
  <c r="AA209" i="1"/>
  <c r="AB209" i="1"/>
  <c r="AC209" i="1"/>
  <c r="AD209" i="1"/>
  <c r="AE209" i="1"/>
  <c r="W210" i="1"/>
  <c r="X210" i="1"/>
  <c r="Y210" i="1"/>
  <c r="Z210" i="1"/>
  <c r="AA210" i="1"/>
  <c r="AB210" i="1"/>
  <c r="AC210" i="1"/>
  <c r="AD210" i="1"/>
  <c r="AE210" i="1"/>
  <c r="W211" i="1"/>
  <c r="X211" i="1"/>
  <c r="Y211" i="1"/>
  <c r="Z211" i="1"/>
  <c r="AA211" i="1"/>
  <c r="AB211" i="1"/>
  <c r="AC211" i="1"/>
  <c r="AD211" i="1"/>
  <c r="AE211" i="1"/>
  <c r="W212" i="1"/>
  <c r="X212" i="1"/>
  <c r="Y212" i="1"/>
  <c r="Z212" i="1"/>
  <c r="AA212" i="1"/>
  <c r="AB212" i="1"/>
  <c r="AC212" i="1"/>
  <c r="AD212" i="1"/>
  <c r="AE212" i="1"/>
  <c r="W213" i="1"/>
  <c r="X213" i="1"/>
  <c r="Y213" i="1"/>
  <c r="Z213" i="1"/>
  <c r="AA213" i="1"/>
  <c r="AB213" i="1"/>
  <c r="AC213" i="1"/>
  <c r="AD213" i="1"/>
  <c r="AE213" i="1"/>
  <c r="W214" i="1"/>
  <c r="X214" i="1"/>
  <c r="Y214" i="1"/>
  <c r="Z214" i="1"/>
  <c r="AA214" i="1"/>
  <c r="AB214" i="1"/>
  <c r="AC214" i="1"/>
  <c r="AD214" i="1"/>
  <c r="AE214" i="1"/>
  <c r="W215" i="1"/>
  <c r="X215" i="1"/>
  <c r="Y215" i="1"/>
  <c r="Z215" i="1"/>
  <c r="AA215" i="1"/>
  <c r="AB215" i="1"/>
  <c r="AC215" i="1"/>
  <c r="AD215" i="1"/>
  <c r="AE215" i="1"/>
  <c r="W216" i="1"/>
  <c r="X216" i="1"/>
  <c r="Y216" i="1"/>
  <c r="Z216" i="1"/>
  <c r="AA216" i="1"/>
  <c r="AB216" i="1"/>
  <c r="AC216" i="1"/>
  <c r="AD216" i="1"/>
  <c r="AE216" i="1"/>
  <c r="W217" i="1"/>
  <c r="X217" i="1"/>
  <c r="Y217" i="1"/>
  <c r="Z217" i="1"/>
  <c r="AA217" i="1"/>
  <c r="AB217" i="1"/>
  <c r="AC217" i="1"/>
  <c r="AD217" i="1"/>
  <c r="AE217" i="1"/>
  <c r="W218" i="1"/>
  <c r="X218" i="1"/>
  <c r="Y218" i="1"/>
  <c r="Z218" i="1"/>
  <c r="AA218" i="1"/>
  <c r="AB218" i="1"/>
  <c r="AC218" i="1"/>
  <c r="AD218" i="1"/>
  <c r="AE218" i="1"/>
  <c r="W219" i="1"/>
  <c r="X219" i="1"/>
  <c r="Y219" i="1"/>
  <c r="Z219" i="1"/>
  <c r="AA219" i="1"/>
  <c r="AB219" i="1"/>
  <c r="AC219" i="1"/>
  <c r="AD219" i="1"/>
  <c r="AE219" i="1"/>
  <c r="W220" i="1"/>
  <c r="X220" i="1"/>
  <c r="Y220" i="1"/>
  <c r="Z220" i="1"/>
  <c r="AA220" i="1"/>
  <c r="AB220" i="1"/>
  <c r="AC220" i="1"/>
  <c r="AD220" i="1"/>
  <c r="AE220" i="1"/>
  <c r="W221" i="1"/>
  <c r="X221" i="1"/>
  <c r="Y221" i="1"/>
  <c r="Z221" i="1"/>
  <c r="AA221" i="1"/>
  <c r="AB221" i="1"/>
  <c r="AC221" i="1"/>
  <c r="AD221" i="1"/>
  <c r="AE221" i="1"/>
  <c r="W222" i="1"/>
  <c r="X222" i="1"/>
  <c r="Y222" i="1"/>
  <c r="Z222" i="1"/>
  <c r="AA222" i="1"/>
  <c r="AB222" i="1"/>
  <c r="AC222" i="1"/>
  <c r="AD222" i="1"/>
  <c r="AE222" i="1"/>
  <c r="W223" i="1"/>
  <c r="X223" i="1"/>
  <c r="Y223" i="1"/>
  <c r="Z223" i="1"/>
  <c r="AA223" i="1"/>
  <c r="AB223" i="1"/>
  <c r="AC223" i="1"/>
  <c r="AD223" i="1"/>
  <c r="AE223" i="1"/>
  <c r="W224" i="1"/>
  <c r="X224" i="1"/>
  <c r="Y224" i="1"/>
  <c r="Z224" i="1"/>
  <c r="AA224" i="1"/>
  <c r="AB224" i="1"/>
  <c r="AC224" i="1"/>
  <c r="AD224" i="1"/>
  <c r="AE224" i="1"/>
  <c r="W225" i="1"/>
  <c r="X225" i="1"/>
  <c r="Y225" i="1"/>
  <c r="Z225" i="1"/>
  <c r="AA225" i="1"/>
  <c r="AB225" i="1"/>
  <c r="AC225" i="1"/>
  <c r="AD225" i="1"/>
  <c r="AE225" i="1"/>
  <c r="W226" i="1"/>
  <c r="X226" i="1"/>
  <c r="Y226" i="1"/>
  <c r="Z226" i="1"/>
  <c r="AA226" i="1"/>
  <c r="AB226" i="1"/>
  <c r="AC226" i="1"/>
  <c r="AD226" i="1"/>
  <c r="AE226" i="1"/>
  <c r="W227" i="1"/>
  <c r="X227" i="1"/>
  <c r="Y227" i="1"/>
  <c r="Z227" i="1"/>
  <c r="AA227" i="1"/>
  <c r="AB227" i="1"/>
  <c r="AC227" i="1"/>
  <c r="AD227" i="1"/>
  <c r="AE227" i="1"/>
  <c r="W228" i="1"/>
  <c r="X228" i="1"/>
  <c r="Y228" i="1"/>
  <c r="Z228" i="1"/>
  <c r="AA228" i="1"/>
  <c r="AB228" i="1"/>
  <c r="AC228" i="1"/>
  <c r="AD228" i="1"/>
  <c r="AE228" i="1"/>
  <c r="W229" i="1"/>
  <c r="X229" i="1"/>
  <c r="Y229" i="1"/>
  <c r="Z229" i="1"/>
  <c r="AA229" i="1"/>
  <c r="AB229" i="1"/>
  <c r="AC229" i="1"/>
  <c r="AD229" i="1"/>
  <c r="AE229" i="1"/>
  <c r="W230" i="1"/>
  <c r="X230" i="1"/>
  <c r="Y230" i="1"/>
  <c r="Z230" i="1"/>
  <c r="AA230" i="1"/>
  <c r="AB230" i="1"/>
  <c r="AC230" i="1"/>
  <c r="AD230" i="1"/>
  <c r="AE230" i="1"/>
  <c r="W231" i="1"/>
  <c r="X231" i="1"/>
  <c r="Y231" i="1"/>
  <c r="Z231" i="1"/>
  <c r="AA231" i="1"/>
  <c r="AB231" i="1"/>
  <c r="AC231" i="1"/>
  <c r="AD231" i="1"/>
  <c r="AE231" i="1"/>
  <c r="W232" i="1"/>
  <c r="X232" i="1"/>
  <c r="Y232" i="1"/>
  <c r="Z232" i="1"/>
  <c r="AA232" i="1"/>
  <c r="AB232" i="1"/>
  <c r="AC232" i="1"/>
  <c r="AD232" i="1"/>
  <c r="AE232" i="1"/>
  <c r="W233" i="1"/>
  <c r="X233" i="1"/>
  <c r="Y233" i="1"/>
  <c r="Z233" i="1"/>
  <c r="AA233" i="1"/>
  <c r="AB233" i="1"/>
  <c r="AC233" i="1"/>
  <c r="AD233" i="1"/>
  <c r="AE233" i="1"/>
  <c r="W234" i="1"/>
  <c r="X234" i="1"/>
  <c r="Y234" i="1"/>
  <c r="Z234" i="1"/>
  <c r="AA234" i="1"/>
  <c r="AB234" i="1"/>
  <c r="AC234" i="1"/>
  <c r="AD234" i="1"/>
  <c r="AE234" i="1"/>
  <c r="W235" i="1"/>
  <c r="X235" i="1"/>
  <c r="Y235" i="1"/>
  <c r="Z235" i="1"/>
  <c r="AA235" i="1"/>
  <c r="AB235" i="1"/>
  <c r="AC235" i="1"/>
  <c r="AD235" i="1"/>
  <c r="AE235" i="1"/>
  <c r="W236" i="1"/>
  <c r="X236" i="1"/>
  <c r="Y236" i="1"/>
  <c r="Z236" i="1"/>
  <c r="AA236" i="1"/>
  <c r="AB236" i="1"/>
  <c r="AC236" i="1"/>
  <c r="AD236" i="1"/>
  <c r="AE236" i="1"/>
  <c r="W237" i="1"/>
  <c r="X237" i="1"/>
  <c r="Y237" i="1"/>
  <c r="Z237" i="1"/>
  <c r="AA237" i="1"/>
  <c r="AB237" i="1"/>
  <c r="AC237" i="1"/>
  <c r="AD237" i="1"/>
  <c r="AE237" i="1"/>
  <c r="W238" i="1"/>
  <c r="X238" i="1"/>
  <c r="Y238" i="1"/>
  <c r="Z238" i="1"/>
  <c r="AA238" i="1"/>
  <c r="AB238" i="1"/>
  <c r="AC238" i="1"/>
  <c r="AD238" i="1"/>
  <c r="AE238" i="1"/>
  <c r="W239" i="1"/>
  <c r="X239" i="1"/>
  <c r="Y239" i="1"/>
  <c r="Z239" i="1"/>
  <c r="AA239" i="1"/>
  <c r="AB239" i="1"/>
  <c r="AC239" i="1"/>
  <c r="AD239" i="1"/>
  <c r="AE239" i="1"/>
  <c r="W240" i="1"/>
  <c r="X240" i="1"/>
  <c r="Y240" i="1"/>
  <c r="Z240" i="1"/>
  <c r="AA240" i="1"/>
  <c r="AB240" i="1"/>
  <c r="AC240" i="1"/>
  <c r="AD240" i="1"/>
  <c r="AE240" i="1"/>
  <c r="W241" i="1"/>
  <c r="X241" i="1"/>
  <c r="Y241" i="1"/>
  <c r="Z241" i="1"/>
  <c r="AA241" i="1"/>
  <c r="AB241" i="1"/>
  <c r="AC241" i="1"/>
  <c r="AD241" i="1"/>
  <c r="AE241" i="1"/>
  <c r="W242" i="1"/>
  <c r="X242" i="1"/>
  <c r="Y242" i="1"/>
  <c r="Z242" i="1"/>
  <c r="AA242" i="1"/>
  <c r="AB242" i="1"/>
  <c r="AC242" i="1"/>
  <c r="AD242" i="1"/>
  <c r="AE242" i="1"/>
  <c r="W243" i="1"/>
  <c r="X243" i="1"/>
  <c r="Y243" i="1"/>
  <c r="Z243" i="1"/>
  <c r="AA243" i="1"/>
  <c r="AB243" i="1"/>
  <c r="AC243" i="1"/>
  <c r="AD243" i="1"/>
  <c r="AE243" i="1"/>
  <c r="W244" i="1"/>
  <c r="X244" i="1"/>
  <c r="Y244" i="1"/>
  <c r="Z244" i="1"/>
  <c r="AA244" i="1"/>
  <c r="AB244" i="1"/>
  <c r="AC244" i="1"/>
  <c r="AD244" i="1"/>
  <c r="AE244" i="1"/>
  <c r="W245" i="1"/>
  <c r="X245" i="1"/>
  <c r="Y245" i="1"/>
  <c r="Z245" i="1"/>
  <c r="AA245" i="1"/>
  <c r="AB245" i="1"/>
  <c r="AC245" i="1"/>
  <c r="AD245" i="1"/>
  <c r="AE245" i="1"/>
  <c r="W246" i="1"/>
  <c r="X246" i="1"/>
  <c r="Y246" i="1"/>
  <c r="Z246" i="1"/>
  <c r="AA246" i="1"/>
  <c r="AB246" i="1"/>
  <c r="AC246" i="1"/>
  <c r="AD246" i="1"/>
  <c r="AE246" i="1"/>
  <c r="W247" i="1"/>
  <c r="X247" i="1"/>
  <c r="Y247" i="1"/>
  <c r="Z247" i="1"/>
  <c r="AA247" i="1"/>
  <c r="AB247" i="1"/>
  <c r="AC247" i="1"/>
  <c r="AD247" i="1"/>
  <c r="AE247" i="1"/>
  <c r="W248" i="1"/>
  <c r="X248" i="1"/>
  <c r="Y248" i="1"/>
  <c r="Z248" i="1"/>
  <c r="AA248" i="1"/>
  <c r="AB248" i="1"/>
  <c r="AC248" i="1"/>
  <c r="AD248" i="1"/>
  <c r="AE248" i="1"/>
  <c r="W249" i="1"/>
  <c r="X249" i="1"/>
  <c r="Y249" i="1"/>
  <c r="Z249" i="1"/>
  <c r="AA249" i="1"/>
  <c r="AB249" i="1"/>
  <c r="AC249" i="1"/>
  <c r="AD249" i="1"/>
  <c r="AE249" i="1"/>
  <c r="W250" i="1"/>
  <c r="X250" i="1"/>
  <c r="Y250" i="1"/>
  <c r="Z250" i="1"/>
  <c r="AA250" i="1"/>
  <c r="AB250" i="1"/>
  <c r="AC250" i="1"/>
  <c r="AD250" i="1"/>
  <c r="AE250" i="1"/>
  <c r="W251" i="1"/>
  <c r="X251" i="1"/>
  <c r="Y251" i="1"/>
  <c r="Z251" i="1"/>
  <c r="AA251" i="1"/>
  <c r="AB251" i="1"/>
  <c r="AC251" i="1"/>
  <c r="AD251" i="1"/>
  <c r="AE251" i="1"/>
  <c r="W252" i="1"/>
  <c r="X252" i="1"/>
  <c r="Y252" i="1"/>
  <c r="Z252" i="1"/>
  <c r="AA252" i="1"/>
  <c r="AB252" i="1"/>
  <c r="AC252" i="1"/>
  <c r="AD252" i="1"/>
  <c r="AE252" i="1"/>
  <c r="W253" i="1"/>
  <c r="X253" i="1"/>
  <c r="Y253" i="1"/>
  <c r="Z253" i="1"/>
  <c r="AA253" i="1"/>
  <c r="AB253" i="1"/>
  <c r="AC253" i="1"/>
  <c r="AD253" i="1"/>
  <c r="AE253" i="1"/>
  <c r="W254" i="1"/>
  <c r="X254" i="1"/>
  <c r="Y254" i="1"/>
  <c r="Z254" i="1"/>
  <c r="AA254" i="1"/>
  <c r="AB254" i="1"/>
  <c r="AC254" i="1"/>
  <c r="AD254" i="1"/>
  <c r="AE254" i="1"/>
  <c r="W255" i="1"/>
  <c r="X255" i="1"/>
  <c r="Y255" i="1"/>
  <c r="Z255" i="1"/>
  <c r="AA255" i="1"/>
  <c r="AB255" i="1"/>
  <c r="AC255" i="1"/>
  <c r="AD255" i="1"/>
  <c r="AE255" i="1"/>
  <c r="W256" i="1"/>
  <c r="X256" i="1"/>
  <c r="Y256" i="1"/>
  <c r="Z256" i="1"/>
  <c r="AA256" i="1"/>
  <c r="AB256" i="1"/>
  <c r="AC256" i="1"/>
  <c r="AD256" i="1"/>
  <c r="AE256" i="1"/>
  <c r="W257" i="1"/>
  <c r="X257" i="1"/>
  <c r="Y257" i="1"/>
  <c r="Z257" i="1"/>
  <c r="AA257" i="1"/>
  <c r="AB257" i="1"/>
  <c r="AC257" i="1"/>
  <c r="AD257" i="1"/>
  <c r="AE257" i="1"/>
  <c r="W258" i="1"/>
  <c r="X258" i="1"/>
  <c r="Y258" i="1"/>
  <c r="Z258" i="1"/>
  <c r="AA258" i="1"/>
  <c r="AB258" i="1"/>
  <c r="AC258" i="1"/>
  <c r="AD258" i="1"/>
  <c r="AE258" i="1"/>
  <c r="W259" i="1"/>
  <c r="X259" i="1"/>
  <c r="Y259" i="1"/>
  <c r="Z259" i="1"/>
  <c r="AA259" i="1"/>
  <c r="AB259" i="1"/>
  <c r="AC259" i="1"/>
  <c r="AD259" i="1"/>
  <c r="AE259" i="1"/>
  <c r="W260" i="1"/>
  <c r="X260" i="1"/>
  <c r="Y260" i="1"/>
  <c r="Z260" i="1"/>
  <c r="AA260" i="1"/>
  <c r="AB260" i="1"/>
  <c r="AC260" i="1"/>
  <c r="AD260" i="1"/>
  <c r="AE260" i="1"/>
  <c r="W261" i="1"/>
  <c r="X261" i="1"/>
  <c r="Y261" i="1"/>
  <c r="Z261" i="1"/>
  <c r="AA261" i="1"/>
  <c r="AB261" i="1"/>
  <c r="AC261" i="1"/>
  <c r="AD261" i="1"/>
  <c r="AE261" i="1"/>
  <c r="W262" i="1"/>
  <c r="X262" i="1"/>
  <c r="Y262" i="1"/>
  <c r="Z262" i="1"/>
  <c r="AA262" i="1"/>
  <c r="AB262" i="1"/>
  <c r="AC262" i="1"/>
  <c r="AD262" i="1"/>
  <c r="AE262" i="1"/>
  <c r="W263" i="1"/>
  <c r="X263" i="1"/>
  <c r="Y263" i="1"/>
  <c r="Z263" i="1"/>
  <c r="AA263" i="1"/>
  <c r="AB263" i="1"/>
  <c r="AC263" i="1"/>
  <c r="AD263" i="1"/>
  <c r="AE263" i="1"/>
  <c r="W264" i="1"/>
  <c r="X264" i="1"/>
  <c r="Y264" i="1"/>
  <c r="Z264" i="1"/>
  <c r="AA264" i="1"/>
  <c r="AB264" i="1"/>
  <c r="AC264" i="1"/>
  <c r="AD264" i="1"/>
  <c r="AE264" i="1"/>
  <c r="W265" i="1"/>
  <c r="X265" i="1"/>
  <c r="Y265" i="1"/>
  <c r="Z265" i="1"/>
  <c r="AA265" i="1"/>
  <c r="AB265" i="1"/>
  <c r="AC265" i="1"/>
  <c r="AD265" i="1"/>
  <c r="AE265" i="1"/>
  <c r="W266" i="1"/>
  <c r="X266" i="1"/>
  <c r="Y266" i="1"/>
  <c r="Z266" i="1"/>
  <c r="AA266" i="1"/>
  <c r="AB266" i="1"/>
  <c r="AC266" i="1"/>
  <c r="AD266" i="1"/>
  <c r="AE266" i="1"/>
  <c r="W267" i="1"/>
  <c r="X267" i="1"/>
  <c r="Y267" i="1"/>
  <c r="Z267" i="1"/>
  <c r="AA267" i="1"/>
  <c r="AB267" i="1"/>
  <c r="AC267" i="1"/>
  <c r="AD267" i="1"/>
  <c r="AE267" i="1"/>
  <c r="W268" i="1"/>
  <c r="X268" i="1"/>
  <c r="Y268" i="1"/>
  <c r="Z268" i="1"/>
  <c r="AA268" i="1"/>
  <c r="AB268" i="1"/>
  <c r="AC268" i="1"/>
  <c r="AD268" i="1"/>
  <c r="AE268" i="1"/>
  <c r="W269" i="1"/>
  <c r="X269" i="1"/>
  <c r="Y269" i="1"/>
  <c r="Z269" i="1"/>
  <c r="AA269" i="1"/>
  <c r="AB269" i="1"/>
  <c r="AC269" i="1"/>
  <c r="AD269" i="1"/>
  <c r="AE269" i="1"/>
  <c r="W270" i="1"/>
  <c r="X270" i="1"/>
  <c r="Y270" i="1"/>
  <c r="Z270" i="1"/>
  <c r="AA270" i="1"/>
  <c r="AB270" i="1"/>
  <c r="AC270" i="1"/>
  <c r="AD270" i="1"/>
  <c r="AE270" i="1"/>
  <c r="W271" i="1"/>
  <c r="X271" i="1"/>
  <c r="Y271" i="1"/>
  <c r="Z271" i="1"/>
  <c r="AA271" i="1"/>
  <c r="AB271" i="1"/>
  <c r="AC271" i="1"/>
  <c r="AD271" i="1"/>
  <c r="AE271" i="1"/>
  <c r="W272" i="1"/>
  <c r="X272" i="1"/>
  <c r="Y272" i="1"/>
  <c r="Z272" i="1"/>
  <c r="AA272" i="1"/>
  <c r="AB272" i="1"/>
  <c r="AC272" i="1"/>
  <c r="AD272" i="1"/>
  <c r="AE272" i="1"/>
  <c r="W273" i="1"/>
  <c r="X273" i="1"/>
  <c r="Y273" i="1"/>
  <c r="Z273" i="1"/>
  <c r="AA273" i="1"/>
  <c r="AB273" i="1"/>
  <c r="AC273" i="1"/>
  <c r="AD273" i="1"/>
  <c r="AE273" i="1"/>
  <c r="W274" i="1"/>
  <c r="X274" i="1"/>
  <c r="Y274" i="1"/>
  <c r="Z274" i="1"/>
  <c r="AA274" i="1"/>
  <c r="AB274" i="1"/>
  <c r="AC274" i="1"/>
  <c r="AD274" i="1"/>
  <c r="AE274" i="1"/>
  <c r="W275" i="1"/>
  <c r="X275" i="1"/>
  <c r="Y275" i="1"/>
  <c r="Z275" i="1"/>
  <c r="AA275" i="1"/>
  <c r="AB275" i="1"/>
  <c r="AC275" i="1"/>
  <c r="AD275" i="1"/>
  <c r="AE275" i="1"/>
  <c r="W276" i="1"/>
  <c r="X276" i="1"/>
  <c r="Y276" i="1"/>
  <c r="Z276" i="1"/>
  <c r="AA276" i="1"/>
  <c r="AB276" i="1"/>
  <c r="AC276" i="1"/>
  <c r="AD276" i="1"/>
  <c r="AE276" i="1"/>
  <c r="W277" i="1"/>
  <c r="X277" i="1"/>
  <c r="Y277" i="1"/>
  <c r="Z277" i="1"/>
  <c r="AA277" i="1"/>
  <c r="AB277" i="1"/>
  <c r="AC277" i="1"/>
  <c r="AD277" i="1"/>
  <c r="AE277" i="1"/>
  <c r="W278" i="1"/>
  <c r="X278" i="1"/>
  <c r="Y278" i="1"/>
  <c r="Z278" i="1"/>
  <c r="AA278" i="1"/>
  <c r="AB278" i="1"/>
  <c r="AC278" i="1"/>
  <c r="AD278" i="1"/>
  <c r="AE278" i="1"/>
  <c r="W279" i="1"/>
  <c r="X279" i="1"/>
  <c r="Y279" i="1"/>
  <c r="Z279" i="1"/>
  <c r="AA279" i="1"/>
  <c r="AB279" i="1"/>
  <c r="AC279" i="1"/>
  <c r="AD279" i="1"/>
  <c r="AE279" i="1"/>
  <c r="W280" i="1"/>
  <c r="X280" i="1"/>
  <c r="Y280" i="1"/>
  <c r="Z280" i="1"/>
  <c r="AA280" i="1"/>
  <c r="AB280" i="1"/>
  <c r="AC280" i="1"/>
  <c r="AD280" i="1"/>
  <c r="AE280" i="1"/>
  <c r="W281" i="1"/>
  <c r="X281" i="1"/>
  <c r="Y281" i="1"/>
  <c r="Z281" i="1"/>
  <c r="AA281" i="1"/>
  <c r="AB281" i="1"/>
  <c r="AC281" i="1"/>
  <c r="AD281" i="1"/>
  <c r="AE281" i="1"/>
  <c r="W282" i="1"/>
  <c r="X282" i="1"/>
  <c r="Y282" i="1"/>
  <c r="Z282" i="1"/>
  <c r="AA282" i="1"/>
  <c r="AB282" i="1"/>
  <c r="AC282" i="1"/>
  <c r="AD282" i="1"/>
  <c r="AE282" i="1"/>
  <c r="W283" i="1"/>
  <c r="X283" i="1"/>
  <c r="Y283" i="1"/>
  <c r="Z283" i="1"/>
  <c r="AA283" i="1"/>
  <c r="AB283" i="1"/>
  <c r="AC283" i="1"/>
  <c r="AD283" i="1"/>
  <c r="AE283" i="1"/>
  <c r="W284" i="1"/>
  <c r="X284" i="1"/>
  <c r="Y284" i="1"/>
  <c r="Z284" i="1"/>
  <c r="AA284" i="1"/>
  <c r="AB284" i="1"/>
  <c r="AC284" i="1"/>
  <c r="AD284" i="1"/>
  <c r="AE284" i="1"/>
  <c r="W285" i="1"/>
  <c r="X285" i="1"/>
  <c r="Y285" i="1"/>
  <c r="Z285" i="1"/>
  <c r="AA285" i="1"/>
  <c r="AB285" i="1"/>
  <c r="AC285" i="1"/>
  <c r="AD285" i="1"/>
  <c r="AE285" i="1"/>
  <c r="W286" i="1"/>
  <c r="X286" i="1"/>
  <c r="Y286" i="1"/>
  <c r="Z286" i="1"/>
  <c r="AA286" i="1"/>
  <c r="AB286" i="1"/>
  <c r="AC286" i="1"/>
  <c r="AD286" i="1"/>
  <c r="AE286" i="1"/>
  <c r="W287" i="1"/>
  <c r="X287" i="1"/>
  <c r="Y287" i="1"/>
  <c r="Z287" i="1"/>
  <c r="AA287" i="1"/>
  <c r="AB287" i="1"/>
  <c r="AC287" i="1"/>
  <c r="AD287" i="1"/>
  <c r="AE287" i="1"/>
  <c r="W288" i="1"/>
  <c r="X288" i="1"/>
  <c r="Y288" i="1"/>
  <c r="Z288" i="1"/>
  <c r="AA288" i="1"/>
  <c r="AB288" i="1"/>
  <c r="AC288" i="1"/>
  <c r="AD288" i="1"/>
  <c r="AE288" i="1"/>
  <c r="W289" i="1"/>
  <c r="X289" i="1"/>
  <c r="Y289" i="1"/>
  <c r="Z289" i="1"/>
  <c r="AA289" i="1"/>
  <c r="AB289" i="1"/>
  <c r="AC289" i="1"/>
  <c r="AD289" i="1"/>
  <c r="AE289" i="1"/>
  <c r="W290" i="1"/>
  <c r="X290" i="1"/>
  <c r="Y290" i="1"/>
  <c r="Z290" i="1"/>
  <c r="AA290" i="1"/>
  <c r="AB290" i="1"/>
  <c r="AC290" i="1"/>
  <c r="AD290" i="1"/>
  <c r="AE290" i="1"/>
  <c r="W291" i="1"/>
  <c r="X291" i="1"/>
  <c r="Y291" i="1"/>
  <c r="Z291" i="1"/>
  <c r="AA291" i="1"/>
  <c r="AB291" i="1"/>
  <c r="AC291" i="1"/>
  <c r="AD291" i="1"/>
  <c r="AE291" i="1"/>
  <c r="W292" i="1"/>
  <c r="X292" i="1"/>
  <c r="Y292" i="1"/>
  <c r="Z292" i="1"/>
  <c r="AA292" i="1"/>
  <c r="AB292" i="1"/>
  <c r="AC292" i="1"/>
  <c r="AD292" i="1"/>
  <c r="AE292" i="1"/>
  <c r="W293" i="1"/>
  <c r="X293" i="1"/>
  <c r="Y293" i="1"/>
  <c r="Z293" i="1"/>
  <c r="AA293" i="1"/>
  <c r="AB293" i="1"/>
  <c r="AC293" i="1"/>
  <c r="AD293" i="1"/>
  <c r="AE293" i="1"/>
  <c r="W294" i="1"/>
  <c r="X294" i="1"/>
  <c r="Y294" i="1"/>
  <c r="Z294" i="1"/>
  <c r="AA294" i="1"/>
  <c r="AB294" i="1"/>
  <c r="AC294" i="1"/>
  <c r="AD294" i="1"/>
  <c r="AE294" i="1"/>
  <c r="W295" i="1"/>
  <c r="X295" i="1"/>
  <c r="Y295" i="1"/>
  <c r="Z295" i="1"/>
  <c r="AA295" i="1"/>
  <c r="AB295" i="1"/>
  <c r="AC295" i="1"/>
  <c r="AD295" i="1"/>
  <c r="AE295" i="1"/>
  <c r="W296" i="1"/>
  <c r="X296" i="1"/>
  <c r="Y296" i="1"/>
  <c r="Z296" i="1"/>
  <c r="AA296" i="1"/>
  <c r="AB296" i="1"/>
  <c r="AC296" i="1"/>
  <c r="AD296" i="1"/>
  <c r="AE296" i="1"/>
  <c r="W297" i="1"/>
  <c r="X297" i="1"/>
  <c r="Y297" i="1"/>
  <c r="Z297" i="1"/>
  <c r="AA297" i="1"/>
  <c r="AB297" i="1"/>
  <c r="AC297" i="1"/>
  <c r="AD297" i="1"/>
  <c r="AE297" i="1"/>
  <c r="W298" i="1"/>
  <c r="X298" i="1"/>
  <c r="Y298" i="1"/>
  <c r="Z298" i="1"/>
  <c r="AA298" i="1"/>
  <c r="AB298" i="1"/>
  <c r="AC298" i="1"/>
  <c r="AD298" i="1"/>
  <c r="AE298" i="1"/>
  <c r="W299" i="1"/>
  <c r="X299" i="1"/>
  <c r="Y299" i="1"/>
  <c r="Z299" i="1"/>
  <c r="AA299" i="1"/>
  <c r="AB299" i="1"/>
  <c r="AC299" i="1"/>
  <c r="AD299" i="1"/>
  <c r="AE299" i="1"/>
  <c r="W300" i="1"/>
  <c r="X300" i="1"/>
  <c r="Y300" i="1"/>
  <c r="Z300" i="1"/>
  <c r="AA300" i="1"/>
  <c r="AB300" i="1"/>
  <c r="AC300" i="1"/>
  <c r="AD300" i="1"/>
  <c r="AE300" i="1"/>
  <c r="W301" i="1"/>
  <c r="X301" i="1"/>
  <c r="Y301" i="1"/>
  <c r="Z301" i="1"/>
  <c r="AA301" i="1"/>
  <c r="AB301" i="1"/>
  <c r="AC301" i="1"/>
  <c r="AD301" i="1"/>
  <c r="AE301" i="1"/>
  <c r="W302" i="1"/>
  <c r="X302" i="1"/>
  <c r="Y302" i="1"/>
  <c r="Z302" i="1"/>
  <c r="AA302" i="1"/>
  <c r="AB302" i="1"/>
  <c r="AC302" i="1"/>
  <c r="AD302" i="1"/>
  <c r="AE302" i="1"/>
  <c r="W303" i="1"/>
  <c r="X303" i="1"/>
  <c r="Y303" i="1"/>
  <c r="Z303" i="1"/>
  <c r="AA303" i="1"/>
  <c r="AB303" i="1"/>
  <c r="AC303" i="1"/>
  <c r="AD303" i="1"/>
  <c r="AE303" i="1"/>
  <c r="W304" i="1"/>
  <c r="X304" i="1"/>
  <c r="Y304" i="1"/>
  <c r="Z304" i="1"/>
  <c r="AA304" i="1"/>
  <c r="AB304" i="1"/>
  <c r="AC304" i="1"/>
  <c r="AD304" i="1"/>
  <c r="AE304" i="1"/>
  <c r="W305" i="1"/>
  <c r="X305" i="1"/>
  <c r="Y305" i="1"/>
  <c r="Z305" i="1"/>
  <c r="AA305" i="1"/>
  <c r="AB305" i="1"/>
  <c r="AC305" i="1"/>
  <c r="AD305" i="1"/>
  <c r="AE305" i="1"/>
  <c r="W306" i="1"/>
  <c r="X306" i="1"/>
  <c r="Y306" i="1"/>
  <c r="Z306" i="1"/>
  <c r="AA306" i="1"/>
  <c r="AB306" i="1"/>
  <c r="AC306" i="1"/>
  <c r="AD306" i="1"/>
  <c r="AE306" i="1"/>
  <c r="W307" i="1"/>
  <c r="X307" i="1"/>
  <c r="Y307" i="1"/>
  <c r="Z307" i="1"/>
  <c r="AA307" i="1"/>
  <c r="AB307" i="1"/>
  <c r="AC307" i="1"/>
  <c r="AD307" i="1"/>
  <c r="AE307" i="1"/>
  <c r="W308" i="1"/>
  <c r="X308" i="1"/>
  <c r="Y308" i="1"/>
  <c r="Z308" i="1"/>
  <c r="AA308" i="1"/>
  <c r="AB308" i="1"/>
  <c r="AC308" i="1"/>
  <c r="AD308" i="1"/>
  <c r="AE308" i="1"/>
  <c r="W309" i="1"/>
  <c r="X309" i="1"/>
  <c r="Y309" i="1"/>
  <c r="Z309" i="1"/>
  <c r="AA309" i="1"/>
  <c r="AB309" i="1"/>
  <c r="AC309" i="1"/>
  <c r="AD309" i="1"/>
  <c r="AE309" i="1"/>
  <c r="W310" i="1"/>
  <c r="X310" i="1"/>
  <c r="Y310" i="1"/>
  <c r="Z310" i="1"/>
  <c r="AA310" i="1"/>
  <c r="AB310" i="1"/>
  <c r="AC310" i="1"/>
  <c r="AD310" i="1"/>
  <c r="AE310" i="1"/>
  <c r="W311" i="1"/>
  <c r="X311" i="1"/>
  <c r="Y311" i="1"/>
  <c r="Z311" i="1"/>
  <c r="AA311" i="1"/>
  <c r="AB311" i="1"/>
  <c r="AC311" i="1"/>
  <c r="AD311" i="1"/>
  <c r="AE311" i="1"/>
  <c r="W312" i="1"/>
  <c r="X312" i="1"/>
  <c r="Y312" i="1"/>
  <c r="Z312" i="1"/>
  <c r="AA312" i="1"/>
  <c r="AB312" i="1"/>
  <c r="AC312" i="1"/>
  <c r="AD312" i="1"/>
  <c r="AE312" i="1"/>
  <c r="W313" i="1"/>
  <c r="X313" i="1"/>
  <c r="Y313" i="1"/>
  <c r="Z313" i="1"/>
  <c r="AA313" i="1"/>
  <c r="AB313" i="1"/>
  <c r="AC313" i="1"/>
  <c r="AD313" i="1"/>
  <c r="AE313" i="1"/>
  <c r="W314" i="1"/>
  <c r="X314" i="1"/>
  <c r="Y314" i="1"/>
  <c r="Z314" i="1"/>
  <c r="AA314" i="1"/>
  <c r="AB314" i="1"/>
  <c r="AC314" i="1"/>
  <c r="AD314" i="1"/>
  <c r="AE314" i="1"/>
  <c r="W315" i="1"/>
  <c r="X315" i="1"/>
  <c r="Y315" i="1"/>
  <c r="Z315" i="1"/>
  <c r="AA315" i="1"/>
  <c r="AB315" i="1"/>
  <c r="AC315" i="1"/>
  <c r="AD315" i="1"/>
  <c r="AE315" i="1"/>
  <c r="W316" i="1"/>
  <c r="X316" i="1"/>
  <c r="Y316" i="1"/>
  <c r="Z316" i="1"/>
  <c r="AA316" i="1"/>
  <c r="AB316" i="1"/>
  <c r="AC316" i="1"/>
  <c r="AD316" i="1"/>
  <c r="AE316" i="1"/>
  <c r="W317" i="1"/>
  <c r="X317" i="1"/>
  <c r="Y317" i="1"/>
  <c r="Z317" i="1"/>
  <c r="AA317" i="1"/>
  <c r="AB317" i="1"/>
  <c r="AC317" i="1"/>
  <c r="AD317" i="1"/>
  <c r="AE317" i="1"/>
  <c r="W318" i="1"/>
  <c r="X318" i="1"/>
  <c r="Y318" i="1"/>
  <c r="Z318" i="1"/>
  <c r="AA318" i="1"/>
  <c r="AB318" i="1"/>
  <c r="AC318" i="1"/>
  <c r="AD318" i="1"/>
  <c r="AE318" i="1"/>
  <c r="W319" i="1"/>
  <c r="X319" i="1"/>
  <c r="Y319" i="1"/>
  <c r="Z319" i="1"/>
  <c r="AA319" i="1"/>
  <c r="AB319" i="1"/>
  <c r="AC319" i="1"/>
  <c r="AD319" i="1"/>
  <c r="AE319" i="1"/>
  <c r="W320" i="1"/>
  <c r="X320" i="1"/>
  <c r="Y320" i="1"/>
  <c r="Z320" i="1"/>
  <c r="AA320" i="1"/>
  <c r="AB320" i="1"/>
  <c r="AC320" i="1"/>
  <c r="AD320" i="1"/>
  <c r="AE320" i="1"/>
  <c r="W321" i="1"/>
  <c r="X321" i="1"/>
  <c r="Y321" i="1"/>
  <c r="Z321" i="1"/>
  <c r="AA321" i="1"/>
  <c r="AB321" i="1"/>
  <c r="AC321" i="1"/>
  <c r="AD321" i="1"/>
  <c r="AE321" i="1"/>
  <c r="W322" i="1"/>
  <c r="X322" i="1"/>
  <c r="Y322" i="1"/>
  <c r="Z322" i="1"/>
  <c r="AA322" i="1"/>
  <c r="AB322" i="1"/>
  <c r="AC322" i="1"/>
  <c r="AD322" i="1"/>
  <c r="AE322" i="1"/>
  <c r="W323" i="1"/>
  <c r="X323" i="1"/>
  <c r="Y323" i="1"/>
  <c r="Z323" i="1"/>
  <c r="AA323" i="1"/>
  <c r="AB323" i="1"/>
  <c r="AC323" i="1"/>
  <c r="AD323" i="1"/>
  <c r="AE323" i="1"/>
  <c r="W324" i="1"/>
  <c r="X324" i="1"/>
  <c r="Y324" i="1"/>
  <c r="Z324" i="1"/>
  <c r="AA324" i="1"/>
  <c r="AB324" i="1"/>
  <c r="AC324" i="1"/>
  <c r="AD324" i="1"/>
  <c r="AE324" i="1"/>
  <c r="W325" i="1"/>
  <c r="X325" i="1"/>
  <c r="Y325" i="1"/>
  <c r="Z325" i="1"/>
  <c r="AA325" i="1"/>
  <c r="AB325" i="1"/>
  <c r="AC325" i="1"/>
  <c r="AD325" i="1"/>
  <c r="AE325" i="1"/>
  <c r="W326" i="1"/>
  <c r="X326" i="1"/>
  <c r="Y326" i="1"/>
  <c r="Z326" i="1"/>
  <c r="AA326" i="1"/>
  <c r="AB326" i="1"/>
  <c r="AC326" i="1"/>
  <c r="AD326" i="1"/>
  <c r="AE326" i="1"/>
  <c r="W327" i="1"/>
  <c r="X327" i="1"/>
  <c r="Y327" i="1"/>
  <c r="Z327" i="1"/>
  <c r="AA327" i="1"/>
  <c r="AB327" i="1"/>
  <c r="AC327" i="1"/>
  <c r="AD327" i="1"/>
  <c r="AE327" i="1"/>
  <c r="W328" i="1"/>
  <c r="X328" i="1"/>
  <c r="Y328" i="1"/>
  <c r="Z328" i="1"/>
  <c r="AA328" i="1"/>
  <c r="AB328" i="1"/>
  <c r="AC328" i="1"/>
  <c r="AD328" i="1"/>
  <c r="AE328" i="1"/>
  <c r="W329" i="1"/>
  <c r="X329" i="1"/>
  <c r="Y329" i="1"/>
  <c r="Z329" i="1"/>
  <c r="AA329" i="1"/>
  <c r="AB329" i="1"/>
  <c r="AC329" i="1"/>
  <c r="AD329" i="1"/>
  <c r="AE329" i="1"/>
  <c r="W330" i="1"/>
  <c r="X330" i="1"/>
  <c r="Y330" i="1"/>
  <c r="Z330" i="1"/>
  <c r="AA330" i="1"/>
  <c r="AB330" i="1"/>
  <c r="AC330" i="1"/>
  <c r="AD330" i="1"/>
  <c r="AE330" i="1"/>
  <c r="W331" i="1"/>
  <c r="X331" i="1"/>
  <c r="Y331" i="1"/>
  <c r="Z331" i="1"/>
  <c r="AA331" i="1"/>
  <c r="AB331" i="1"/>
  <c r="AC331" i="1"/>
  <c r="AD331" i="1"/>
  <c r="AE331" i="1"/>
  <c r="W332" i="1"/>
  <c r="X332" i="1"/>
  <c r="Y332" i="1"/>
  <c r="Z332" i="1"/>
  <c r="AA332" i="1"/>
  <c r="AB332" i="1"/>
  <c r="AC332" i="1"/>
  <c r="AD332" i="1"/>
  <c r="AE332" i="1"/>
  <c r="W333" i="1"/>
  <c r="X333" i="1"/>
  <c r="Y333" i="1"/>
  <c r="Z333" i="1"/>
  <c r="AA333" i="1"/>
  <c r="AB333" i="1"/>
  <c r="AC333" i="1"/>
  <c r="AD333" i="1"/>
  <c r="AE333" i="1"/>
  <c r="W334" i="1"/>
  <c r="X334" i="1"/>
  <c r="Y334" i="1"/>
  <c r="Z334" i="1"/>
  <c r="AA334" i="1"/>
  <c r="AB334" i="1"/>
  <c r="AC334" i="1"/>
  <c r="AD334" i="1"/>
  <c r="AE334" i="1"/>
  <c r="W335" i="1"/>
  <c r="X335" i="1"/>
  <c r="Y335" i="1"/>
  <c r="Z335" i="1"/>
  <c r="AA335" i="1"/>
  <c r="AB335" i="1"/>
  <c r="AC335" i="1"/>
  <c r="AD335" i="1"/>
  <c r="AE335" i="1"/>
  <c r="W336" i="1"/>
  <c r="X336" i="1"/>
  <c r="Y336" i="1"/>
  <c r="Z336" i="1"/>
  <c r="AA336" i="1"/>
  <c r="AB336" i="1"/>
  <c r="AC336" i="1"/>
  <c r="AD336" i="1"/>
  <c r="AE336" i="1"/>
  <c r="W337" i="1"/>
  <c r="X337" i="1"/>
  <c r="Y337" i="1"/>
  <c r="Z337" i="1"/>
  <c r="AA337" i="1"/>
  <c r="AB337" i="1"/>
  <c r="AC337" i="1"/>
  <c r="AD337" i="1"/>
  <c r="AE337" i="1"/>
  <c r="W338" i="1"/>
  <c r="X338" i="1"/>
  <c r="Y338" i="1"/>
  <c r="Z338" i="1"/>
  <c r="AA338" i="1"/>
  <c r="AB338" i="1"/>
  <c r="AC338" i="1"/>
  <c r="AD338" i="1"/>
  <c r="AE338" i="1"/>
  <c r="W339" i="1"/>
  <c r="X339" i="1"/>
  <c r="Y339" i="1"/>
  <c r="Z339" i="1"/>
  <c r="AA339" i="1"/>
  <c r="AB339" i="1"/>
  <c r="AC339" i="1"/>
  <c r="AD339" i="1"/>
  <c r="AE339" i="1"/>
  <c r="W340" i="1"/>
  <c r="X340" i="1"/>
  <c r="Y340" i="1"/>
  <c r="Z340" i="1"/>
  <c r="AA340" i="1"/>
  <c r="AB340" i="1"/>
  <c r="AC340" i="1"/>
  <c r="AD340" i="1"/>
  <c r="AE340" i="1"/>
  <c r="W341" i="1"/>
  <c r="X341" i="1"/>
  <c r="Y341" i="1"/>
  <c r="Z341" i="1"/>
  <c r="AA341" i="1"/>
  <c r="AB341" i="1"/>
  <c r="AC341" i="1"/>
  <c r="AD341" i="1"/>
  <c r="AE341" i="1"/>
  <c r="W342" i="1"/>
  <c r="X342" i="1"/>
  <c r="Y342" i="1"/>
  <c r="Z342" i="1"/>
  <c r="AA342" i="1"/>
  <c r="AB342" i="1"/>
  <c r="AC342" i="1"/>
  <c r="AD342" i="1"/>
  <c r="AE342" i="1"/>
  <c r="W343" i="1"/>
  <c r="X343" i="1"/>
  <c r="Y343" i="1"/>
  <c r="Z343" i="1"/>
  <c r="AA343" i="1"/>
  <c r="AB343" i="1"/>
  <c r="AC343" i="1"/>
  <c r="AD343" i="1"/>
  <c r="AE343" i="1"/>
  <c r="W344" i="1"/>
  <c r="X344" i="1"/>
  <c r="Y344" i="1"/>
  <c r="Z344" i="1"/>
  <c r="AA344" i="1"/>
  <c r="AB344" i="1"/>
  <c r="AC344" i="1"/>
  <c r="AD344" i="1"/>
  <c r="AE344" i="1"/>
  <c r="W345" i="1"/>
  <c r="X345" i="1"/>
  <c r="Y345" i="1"/>
  <c r="Z345" i="1"/>
  <c r="AA345" i="1"/>
  <c r="AB345" i="1"/>
  <c r="AC345" i="1"/>
  <c r="AD345" i="1"/>
  <c r="AE345" i="1"/>
  <c r="W346" i="1"/>
  <c r="X346" i="1"/>
  <c r="Y346" i="1"/>
  <c r="Z346" i="1"/>
  <c r="AA346" i="1"/>
  <c r="AB346" i="1"/>
  <c r="AC346" i="1"/>
  <c r="AD346" i="1"/>
  <c r="AE346" i="1"/>
  <c r="W347" i="1"/>
  <c r="X347" i="1"/>
  <c r="Y347" i="1"/>
  <c r="Z347" i="1"/>
  <c r="AA347" i="1"/>
  <c r="AB347" i="1"/>
  <c r="AC347" i="1"/>
  <c r="AD347" i="1"/>
  <c r="AE347" i="1"/>
  <c r="W348" i="1"/>
  <c r="X348" i="1"/>
  <c r="Y348" i="1"/>
  <c r="Z348" i="1"/>
  <c r="AA348" i="1"/>
  <c r="AB348" i="1"/>
  <c r="AC348" i="1"/>
  <c r="AD348" i="1"/>
  <c r="AE348" i="1"/>
  <c r="W349" i="1"/>
  <c r="X349" i="1"/>
  <c r="Y349" i="1"/>
  <c r="Z349" i="1"/>
  <c r="AA349" i="1"/>
  <c r="AB349" i="1"/>
  <c r="AC349" i="1"/>
  <c r="AD349" i="1"/>
  <c r="AE349" i="1"/>
  <c r="W350" i="1"/>
  <c r="X350" i="1"/>
  <c r="Y350" i="1"/>
  <c r="Z350" i="1"/>
  <c r="AA350" i="1"/>
  <c r="AB350" i="1"/>
  <c r="AC350" i="1"/>
  <c r="AD350" i="1"/>
  <c r="AE350" i="1"/>
  <c r="W351" i="1"/>
  <c r="X351" i="1"/>
  <c r="Y351" i="1"/>
  <c r="Z351" i="1"/>
  <c r="AA351" i="1"/>
  <c r="AB351" i="1"/>
  <c r="AC351" i="1"/>
  <c r="AD351" i="1"/>
  <c r="AE351" i="1"/>
  <c r="W352" i="1"/>
  <c r="X352" i="1"/>
  <c r="Y352" i="1"/>
  <c r="Z352" i="1"/>
  <c r="AA352" i="1"/>
  <c r="AB352" i="1"/>
  <c r="AC352" i="1"/>
  <c r="AD352" i="1"/>
  <c r="AE352" i="1"/>
  <c r="W353" i="1"/>
  <c r="X353" i="1"/>
  <c r="Y353" i="1"/>
  <c r="Z353" i="1"/>
  <c r="AA353" i="1"/>
  <c r="AB353" i="1"/>
  <c r="AC353" i="1"/>
  <c r="AD353" i="1"/>
  <c r="AE353" i="1"/>
  <c r="W354" i="1"/>
  <c r="X354" i="1"/>
  <c r="Y354" i="1"/>
  <c r="Z354" i="1"/>
  <c r="AA354" i="1"/>
  <c r="AB354" i="1"/>
  <c r="AC354" i="1"/>
  <c r="AD354" i="1"/>
  <c r="AE354" i="1"/>
  <c r="W355" i="1"/>
  <c r="X355" i="1"/>
  <c r="Y355" i="1"/>
  <c r="Z355" i="1"/>
  <c r="AA355" i="1"/>
  <c r="AB355" i="1"/>
  <c r="AC355" i="1"/>
  <c r="AD355" i="1"/>
  <c r="AE355" i="1"/>
  <c r="W356" i="1"/>
  <c r="X356" i="1"/>
  <c r="Y356" i="1"/>
  <c r="Z356" i="1"/>
  <c r="AA356" i="1"/>
  <c r="AB356" i="1"/>
  <c r="AC356" i="1"/>
  <c r="AD356" i="1"/>
  <c r="AE356" i="1"/>
  <c r="W357" i="1"/>
  <c r="X357" i="1"/>
  <c r="Y357" i="1"/>
  <c r="Z357" i="1"/>
  <c r="AA357" i="1"/>
  <c r="AB357" i="1"/>
  <c r="AC357" i="1"/>
  <c r="AD357" i="1"/>
  <c r="AE357" i="1"/>
  <c r="W358" i="1"/>
  <c r="X358" i="1"/>
  <c r="Y358" i="1"/>
  <c r="Z358" i="1"/>
  <c r="AA358" i="1"/>
  <c r="AB358" i="1"/>
  <c r="AC358" i="1"/>
  <c r="AD358" i="1"/>
  <c r="AE358" i="1"/>
  <c r="W359" i="1"/>
  <c r="X359" i="1"/>
  <c r="Y359" i="1"/>
  <c r="Z359" i="1"/>
  <c r="AA359" i="1"/>
  <c r="AB359" i="1"/>
  <c r="AC359" i="1"/>
  <c r="AD359" i="1"/>
  <c r="AE359" i="1"/>
  <c r="W360" i="1"/>
  <c r="X360" i="1"/>
  <c r="Y360" i="1"/>
  <c r="Z360" i="1"/>
  <c r="AA360" i="1"/>
  <c r="AB360" i="1"/>
  <c r="AC360" i="1"/>
  <c r="AD360" i="1"/>
  <c r="AE360" i="1"/>
  <c r="W361" i="1"/>
  <c r="X361" i="1"/>
  <c r="Y361" i="1"/>
  <c r="Z361" i="1"/>
  <c r="AA361" i="1"/>
  <c r="AB361" i="1"/>
  <c r="AC361" i="1"/>
  <c r="AD361" i="1"/>
  <c r="AE361" i="1"/>
  <c r="W362" i="1"/>
  <c r="X362" i="1"/>
  <c r="Y362" i="1"/>
  <c r="Z362" i="1"/>
  <c r="AA362" i="1"/>
  <c r="AB362" i="1"/>
  <c r="AC362" i="1"/>
  <c r="AD362" i="1"/>
  <c r="AE362" i="1"/>
  <c r="W363" i="1"/>
  <c r="X363" i="1"/>
  <c r="Y363" i="1"/>
  <c r="Z363" i="1"/>
  <c r="AA363" i="1"/>
  <c r="AB363" i="1"/>
  <c r="AC363" i="1"/>
  <c r="AD363" i="1"/>
  <c r="AE363" i="1"/>
  <c r="W364" i="1"/>
  <c r="X364" i="1"/>
  <c r="Y364" i="1"/>
  <c r="Z364" i="1"/>
  <c r="AA364" i="1"/>
  <c r="AB364" i="1"/>
  <c r="AC364" i="1"/>
  <c r="AD364" i="1"/>
  <c r="AE364" i="1"/>
  <c r="W365" i="1"/>
  <c r="X365" i="1"/>
  <c r="Y365" i="1"/>
  <c r="Z365" i="1"/>
  <c r="AA365" i="1"/>
  <c r="AB365" i="1"/>
  <c r="AC365" i="1"/>
  <c r="AD365" i="1"/>
  <c r="AE365" i="1"/>
  <c r="W366" i="1"/>
  <c r="X366" i="1"/>
  <c r="Y366" i="1"/>
  <c r="Z366" i="1"/>
  <c r="AA366" i="1"/>
  <c r="AB366" i="1"/>
  <c r="AC366" i="1"/>
  <c r="AD366" i="1"/>
  <c r="AE366" i="1"/>
  <c r="W367" i="1"/>
  <c r="X367" i="1"/>
  <c r="Y367" i="1"/>
  <c r="Z367" i="1"/>
  <c r="AA367" i="1"/>
  <c r="AB367" i="1"/>
  <c r="AC367" i="1"/>
  <c r="AD367" i="1"/>
  <c r="AE367" i="1"/>
  <c r="W368" i="1"/>
  <c r="X368" i="1"/>
  <c r="Y368" i="1"/>
  <c r="Z368" i="1"/>
  <c r="AA368" i="1"/>
  <c r="AB368" i="1"/>
  <c r="AC368" i="1"/>
  <c r="AD368" i="1"/>
  <c r="AE368" i="1"/>
  <c r="W369" i="1"/>
  <c r="X369" i="1"/>
  <c r="Y369" i="1"/>
  <c r="Z369" i="1"/>
  <c r="AA369" i="1"/>
  <c r="AB369" i="1"/>
  <c r="AC369" i="1"/>
  <c r="AD369" i="1"/>
  <c r="AE369" i="1"/>
  <c r="W370" i="1"/>
  <c r="X370" i="1"/>
  <c r="Y370" i="1"/>
  <c r="Z370" i="1"/>
  <c r="AA370" i="1"/>
  <c r="AB370" i="1"/>
  <c r="AC370" i="1"/>
  <c r="AD370" i="1"/>
  <c r="AE370" i="1"/>
  <c r="W371" i="1"/>
  <c r="X371" i="1"/>
  <c r="Y371" i="1"/>
  <c r="Z371" i="1"/>
  <c r="AA371" i="1"/>
  <c r="AB371" i="1"/>
  <c r="AC371" i="1"/>
  <c r="AD371" i="1"/>
  <c r="AE371" i="1"/>
  <c r="W372" i="1"/>
  <c r="X372" i="1"/>
  <c r="Y372" i="1"/>
  <c r="Z372" i="1"/>
  <c r="AA372" i="1"/>
  <c r="AB372" i="1"/>
  <c r="AC372" i="1"/>
  <c r="AD372" i="1"/>
  <c r="AE372" i="1"/>
  <c r="W373" i="1"/>
  <c r="X373" i="1"/>
  <c r="Y373" i="1"/>
  <c r="Z373" i="1"/>
  <c r="AA373" i="1"/>
  <c r="AB373" i="1"/>
  <c r="AC373" i="1"/>
  <c r="AD373" i="1"/>
  <c r="AE373" i="1"/>
  <c r="W374" i="1"/>
  <c r="X374" i="1"/>
  <c r="Y374" i="1"/>
  <c r="Z374" i="1"/>
  <c r="AA374" i="1"/>
  <c r="AB374" i="1"/>
  <c r="AC374" i="1"/>
  <c r="AD374" i="1"/>
  <c r="AE374" i="1"/>
  <c r="W375" i="1"/>
  <c r="X375" i="1"/>
  <c r="Y375" i="1"/>
  <c r="Z375" i="1"/>
  <c r="AA375" i="1"/>
  <c r="AB375" i="1"/>
  <c r="AC375" i="1"/>
  <c r="AD375" i="1"/>
  <c r="AE375" i="1"/>
  <c r="W376" i="1"/>
  <c r="X376" i="1"/>
  <c r="Y376" i="1"/>
  <c r="Z376" i="1"/>
  <c r="AA376" i="1"/>
  <c r="AB376" i="1"/>
  <c r="AC376" i="1"/>
  <c r="AD376" i="1"/>
  <c r="AE376" i="1"/>
  <c r="W377" i="1"/>
  <c r="X377" i="1"/>
  <c r="Y377" i="1"/>
  <c r="Z377" i="1"/>
  <c r="AA377" i="1"/>
  <c r="AB377" i="1"/>
  <c r="AC377" i="1"/>
  <c r="AD377" i="1"/>
  <c r="AE377" i="1"/>
  <c r="W378" i="1"/>
  <c r="X378" i="1"/>
  <c r="Y378" i="1"/>
  <c r="Z378" i="1"/>
  <c r="AA378" i="1"/>
  <c r="AB378" i="1"/>
  <c r="AC378" i="1"/>
  <c r="AD378" i="1"/>
  <c r="AE378" i="1"/>
  <c r="W379" i="1"/>
  <c r="X379" i="1"/>
  <c r="Y379" i="1"/>
  <c r="Z379" i="1"/>
  <c r="AA379" i="1"/>
  <c r="AB379" i="1"/>
  <c r="AC379" i="1"/>
  <c r="AD379" i="1"/>
  <c r="AE379" i="1"/>
  <c r="W380" i="1"/>
  <c r="X380" i="1"/>
  <c r="Y380" i="1"/>
  <c r="Z380" i="1"/>
  <c r="AA380" i="1"/>
  <c r="AB380" i="1"/>
  <c r="AC380" i="1"/>
  <c r="AD380" i="1"/>
  <c r="AE380" i="1"/>
  <c r="W381" i="1"/>
  <c r="X381" i="1"/>
  <c r="Y381" i="1"/>
  <c r="Z381" i="1"/>
  <c r="AA381" i="1"/>
  <c r="AB381" i="1"/>
  <c r="AC381" i="1"/>
  <c r="AD381" i="1"/>
  <c r="AE381" i="1"/>
  <c r="W382" i="1"/>
  <c r="X382" i="1"/>
  <c r="Y382" i="1"/>
  <c r="Z382" i="1"/>
  <c r="AA382" i="1"/>
  <c r="AB382" i="1"/>
  <c r="AC382" i="1"/>
  <c r="AD382" i="1"/>
  <c r="AE382" i="1"/>
  <c r="W383" i="1"/>
  <c r="X383" i="1"/>
  <c r="Y383" i="1"/>
  <c r="Z383" i="1"/>
  <c r="AA383" i="1"/>
  <c r="AB383" i="1"/>
  <c r="AC383" i="1"/>
  <c r="AD383" i="1"/>
  <c r="AE383" i="1"/>
  <c r="W384" i="1"/>
  <c r="X384" i="1"/>
  <c r="Y384" i="1"/>
  <c r="Z384" i="1"/>
  <c r="AA384" i="1"/>
  <c r="AB384" i="1"/>
  <c r="AC384" i="1"/>
  <c r="AD384" i="1"/>
  <c r="AE384" i="1"/>
  <c r="W385" i="1"/>
  <c r="X385" i="1"/>
  <c r="Y385" i="1"/>
  <c r="Z385" i="1"/>
  <c r="AA385" i="1"/>
  <c r="AB385" i="1"/>
  <c r="AC385" i="1"/>
  <c r="AD385" i="1"/>
  <c r="AE385" i="1"/>
  <c r="W386" i="1"/>
  <c r="X386" i="1"/>
  <c r="Y386" i="1"/>
  <c r="Z386" i="1"/>
  <c r="AA386" i="1"/>
  <c r="AB386" i="1"/>
  <c r="AC386" i="1"/>
  <c r="AD386" i="1"/>
  <c r="AE386" i="1"/>
  <c r="W387" i="1"/>
  <c r="X387" i="1"/>
  <c r="Y387" i="1"/>
  <c r="Z387" i="1"/>
  <c r="AA387" i="1"/>
  <c r="AB387" i="1"/>
  <c r="AC387" i="1"/>
  <c r="AD387" i="1"/>
  <c r="AE387" i="1"/>
  <c r="W388" i="1"/>
  <c r="X388" i="1"/>
  <c r="Y388" i="1"/>
  <c r="Z388" i="1"/>
  <c r="AA388" i="1"/>
  <c r="AB388" i="1"/>
  <c r="AC388" i="1"/>
  <c r="AD388" i="1"/>
  <c r="AE388" i="1"/>
  <c r="W389" i="1"/>
  <c r="X389" i="1"/>
  <c r="Y389" i="1"/>
  <c r="Z389" i="1"/>
  <c r="AA389" i="1"/>
  <c r="AB389" i="1"/>
  <c r="AC389" i="1"/>
  <c r="AD389" i="1"/>
  <c r="AE389" i="1"/>
  <c r="W390" i="1"/>
  <c r="X390" i="1"/>
  <c r="Y390" i="1"/>
  <c r="Z390" i="1"/>
  <c r="AA390" i="1"/>
  <c r="AB390" i="1"/>
  <c r="AC390" i="1"/>
  <c r="AD390" i="1"/>
  <c r="AE390" i="1"/>
  <c r="W391" i="1"/>
  <c r="X391" i="1"/>
  <c r="Y391" i="1"/>
  <c r="Z391" i="1"/>
  <c r="AA391" i="1"/>
  <c r="AB391" i="1"/>
  <c r="AC391" i="1"/>
  <c r="AD391" i="1"/>
  <c r="AE391" i="1"/>
  <c r="W392" i="1"/>
  <c r="X392" i="1"/>
  <c r="Y392" i="1"/>
  <c r="Z392" i="1"/>
  <c r="AA392" i="1"/>
  <c r="AB392" i="1"/>
  <c r="AC392" i="1"/>
  <c r="AD392" i="1"/>
  <c r="AE392" i="1"/>
  <c r="W393" i="1"/>
  <c r="X393" i="1"/>
  <c r="Y393" i="1"/>
  <c r="Z393" i="1"/>
  <c r="AA393" i="1"/>
  <c r="AB393" i="1"/>
  <c r="AC393" i="1"/>
  <c r="AD393" i="1"/>
  <c r="AE393" i="1"/>
  <c r="W394" i="1"/>
  <c r="X394" i="1"/>
  <c r="Y394" i="1"/>
  <c r="Z394" i="1"/>
  <c r="AA394" i="1"/>
  <c r="AB394" i="1"/>
  <c r="AC394" i="1"/>
  <c r="AD394" i="1"/>
  <c r="AE394" i="1"/>
  <c r="W395" i="1"/>
  <c r="X395" i="1"/>
  <c r="Y395" i="1"/>
  <c r="Z395" i="1"/>
  <c r="AA395" i="1"/>
  <c r="AB395" i="1"/>
  <c r="AC395" i="1"/>
  <c r="AD395" i="1"/>
  <c r="AE395" i="1"/>
  <c r="W396" i="1"/>
  <c r="X396" i="1"/>
  <c r="Y396" i="1"/>
  <c r="Z396" i="1"/>
  <c r="AA396" i="1"/>
  <c r="AB396" i="1"/>
  <c r="AC396" i="1"/>
  <c r="AD396" i="1"/>
  <c r="AE396" i="1"/>
  <c r="W397" i="1"/>
  <c r="X397" i="1"/>
  <c r="Y397" i="1"/>
  <c r="Z397" i="1"/>
  <c r="AA397" i="1"/>
  <c r="AB397" i="1"/>
  <c r="AC397" i="1"/>
  <c r="AD397" i="1"/>
  <c r="AE397" i="1"/>
  <c r="W398" i="1"/>
  <c r="X398" i="1"/>
  <c r="Y398" i="1"/>
  <c r="Z398" i="1"/>
  <c r="AA398" i="1"/>
  <c r="AB398" i="1"/>
  <c r="AC398" i="1"/>
  <c r="AD398" i="1"/>
  <c r="AE398" i="1"/>
  <c r="W399" i="1"/>
  <c r="X399" i="1"/>
  <c r="Y399" i="1"/>
  <c r="Z399" i="1"/>
  <c r="AA399" i="1"/>
  <c r="AB399" i="1"/>
  <c r="AC399" i="1"/>
  <c r="AD399" i="1"/>
  <c r="AE399" i="1"/>
  <c r="W400" i="1"/>
  <c r="X400" i="1"/>
  <c r="Y400" i="1"/>
  <c r="Z400" i="1"/>
  <c r="AA400" i="1"/>
  <c r="AB400" i="1"/>
  <c r="AC400" i="1"/>
  <c r="AD400" i="1"/>
  <c r="AE400" i="1"/>
  <c r="W401" i="1"/>
  <c r="X401" i="1"/>
  <c r="Y401" i="1"/>
  <c r="Z401" i="1"/>
  <c r="AA401" i="1"/>
  <c r="AB401" i="1"/>
  <c r="AC401" i="1"/>
  <c r="AD401" i="1"/>
  <c r="AE401" i="1"/>
  <c r="W402" i="1"/>
  <c r="X402" i="1"/>
  <c r="Y402" i="1"/>
  <c r="Z402" i="1"/>
  <c r="AA402" i="1"/>
  <c r="AB402" i="1"/>
  <c r="AC402" i="1"/>
  <c r="AD402" i="1"/>
  <c r="AE402" i="1"/>
  <c r="W403" i="1"/>
  <c r="X403" i="1"/>
  <c r="Y403" i="1"/>
  <c r="Z403" i="1"/>
  <c r="AA403" i="1"/>
  <c r="AB403" i="1"/>
  <c r="AC403" i="1"/>
  <c r="AD403" i="1"/>
  <c r="AE403" i="1"/>
  <c r="W404" i="1"/>
  <c r="X404" i="1"/>
  <c r="Y404" i="1"/>
  <c r="Z404" i="1"/>
  <c r="AA404" i="1"/>
  <c r="AB404" i="1"/>
  <c r="AC404" i="1"/>
  <c r="AD404" i="1"/>
  <c r="AE404" i="1"/>
  <c r="W405" i="1"/>
  <c r="X405" i="1"/>
  <c r="Y405" i="1"/>
  <c r="Z405" i="1"/>
  <c r="AA405" i="1"/>
  <c r="AB405" i="1"/>
  <c r="AC405" i="1"/>
  <c r="AD405" i="1"/>
  <c r="AE405" i="1"/>
  <c r="W406" i="1"/>
  <c r="X406" i="1"/>
  <c r="Y406" i="1"/>
  <c r="Z406" i="1"/>
  <c r="AA406" i="1"/>
  <c r="AB406" i="1"/>
  <c r="AC406" i="1"/>
  <c r="AD406" i="1"/>
  <c r="AE406" i="1"/>
  <c r="W407" i="1"/>
  <c r="X407" i="1"/>
  <c r="Y407" i="1"/>
  <c r="Z407" i="1"/>
  <c r="AA407" i="1"/>
  <c r="AB407" i="1"/>
  <c r="AC407" i="1"/>
  <c r="AD407" i="1"/>
  <c r="AE407" i="1"/>
  <c r="W408" i="1"/>
  <c r="X408" i="1"/>
  <c r="Y408" i="1"/>
  <c r="Z408" i="1"/>
  <c r="AA408" i="1"/>
  <c r="AB408" i="1"/>
  <c r="AC408" i="1"/>
  <c r="AD408" i="1"/>
  <c r="AE408" i="1"/>
  <c r="W409" i="1"/>
  <c r="X409" i="1"/>
  <c r="Y409" i="1"/>
  <c r="Z409" i="1"/>
  <c r="AA409" i="1"/>
  <c r="AB409" i="1"/>
  <c r="AC409" i="1"/>
  <c r="AD409" i="1"/>
  <c r="AE409" i="1"/>
  <c r="W410" i="1"/>
  <c r="X410" i="1"/>
  <c r="Y410" i="1"/>
  <c r="Z410" i="1"/>
  <c r="AA410" i="1"/>
  <c r="AB410" i="1"/>
  <c r="AC410" i="1"/>
  <c r="AD410" i="1"/>
  <c r="AE410" i="1"/>
  <c r="W411" i="1"/>
  <c r="X411" i="1"/>
  <c r="Y411" i="1"/>
  <c r="Z411" i="1"/>
  <c r="AA411" i="1"/>
  <c r="AB411" i="1"/>
  <c r="AC411" i="1"/>
  <c r="AD411" i="1"/>
  <c r="AE411" i="1"/>
  <c r="W412" i="1"/>
  <c r="X412" i="1"/>
  <c r="Y412" i="1"/>
  <c r="Z412" i="1"/>
  <c r="AA412" i="1"/>
  <c r="AB412" i="1"/>
  <c r="AC412" i="1"/>
  <c r="AD412" i="1"/>
  <c r="AE412" i="1"/>
  <c r="W413" i="1"/>
  <c r="X413" i="1"/>
  <c r="Y413" i="1"/>
  <c r="Z413" i="1"/>
  <c r="AA413" i="1"/>
  <c r="AB413" i="1"/>
  <c r="AC413" i="1"/>
  <c r="AD413" i="1"/>
  <c r="AE413" i="1"/>
  <c r="W414" i="1"/>
  <c r="X414" i="1"/>
  <c r="Y414" i="1"/>
  <c r="Z414" i="1"/>
  <c r="AA414" i="1"/>
  <c r="AB414" i="1"/>
  <c r="AC414" i="1"/>
  <c r="AD414" i="1"/>
  <c r="AE414" i="1"/>
  <c r="W415" i="1"/>
  <c r="X415" i="1"/>
  <c r="Y415" i="1"/>
  <c r="Z415" i="1"/>
  <c r="AA415" i="1"/>
  <c r="AB415" i="1"/>
  <c r="AC415" i="1"/>
  <c r="AD415" i="1"/>
  <c r="AE415" i="1"/>
  <c r="W416" i="1"/>
  <c r="X416" i="1"/>
  <c r="Y416" i="1"/>
  <c r="Z416" i="1"/>
  <c r="AA416" i="1"/>
  <c r="AB416" i="1"/>
  <c r="AC416" i="1"/>
  <c r="AD416" i="1"/>
  <c r="AE416" i="1"/>
  <c r="W417" i="1"/>
  <c r="X417" i="1"/>
  <c r="Y417" i="1"/>
  <c r="Z417" i="1"/>
  <c r="AA417" i="1"/>
  <c r="AB417" i="1"/>
  <c r="AC417" i="1"/>
  <c r="AD417" i="1"/>
  <c r="AE417" i="1"/>
  <c r="W418" i="1"/>
  <c r="X418" i="1"/>
  <c r="Y418" i="1"/>
  <c r="Z418" i="1"/>
  <c r="AA418" i="1"/>
  <c r="AB418" i="1"/>
  <c r="AC418" i="1"/>
  <c r="AD418" i="1"/>
  <c r="AE418" i="1"/>
  <c r="W419" i="1"/>
  <c r="X419" i="1"/>
  <c r="Y419" i="1"/>
  <c r="Z419" i="1"/>
  <c r="AA419" i="1"/>
  <c r="AB419" i="1"/>
  <c r="AC419" i="1"/>
  <c r="AD419" i="1"/>
  <c r="AE419" i="1"/>
  <c r="W420" i="1"/>
  <c r="X420" i="1"/>
  <c r="Y420" i="1"/>
  <c r="Z420" i="1"/>
  <c r="AA420" i="1"/>
  <c r="AB420" i="1"/>
  <c r="AC420" i="1"/>
  <c r="AD420" i="1"/>
  <c r="AE420" i="1"/>
  <c r="W421" i="1"/>
  <c r="X421" i="1"/>
  <c r="Y421" i="1"/>
  <c r="Z421" i="1"/>
  <c r="AA421" i="1"/>
  <c r="AB421" i="1"/>
  <c r="AC421" i="1"/>
  <c r="AD421" i="1"/>
  <c r="AE421" i="1"/>
  <c r="W422" i="1"/>
  <c r="X422" i="1"/>
  <c r="Y422" i="1"/>
  <c r="Z422" i="1"/>
  <c r="AA422" i="1"/>
  <c r="AB422" i="1"/>
  <c r="AC422" i="1"/>
  <c r="AD422" i="1"/>
  <c r="AE422" i="1"/>
  <c r="W423" i="1"/>
  <c r="X423" i="1"/>
  <c r="Y423" i="1"/>
  <c r="Z423" i="1"/>
  <c r="AA423" i="1"/>
  <c r="AB423" i="1"/>
  <c r="AC423" i="1"/>
  <c r="AD423" i="1"/>
  <c r="AE423" i="1"/>
  <c r="W424" i="1"/>
  <c r="X424" i="1"/>
  <c r="Y424" i="1"/>
  <c r="Z424" i="1"/>
  <c r="AA424" i="1"/>
  <c r="AB424" i="1"/>
  <c r="AC424" i="1"/>
  <c r="AD424" i="1"/>
  <c r="AE424" i="1"/>
  <c r="W425" i="1"/>
  <c r="X425" i="1"/>
  <c r="Y425" i="1"/>
  <c r="Z425" i="1"/>
  <c r="AA425" i="1"/>
  <c r="AB425" i="1"/>
  <c r="AC425" i="1"/>
  <c r="AD425" i="1"/>
  <c r="AE425" i="1"/>
  <c r="W426" i="1"/>
  <c r="X426" i="1"/>
  <c r="Y426" i="1"/>
  <c r="Z426" i="1"/>
  <c r="AA426" i="1"/>
  <c r="AB426" i="1"/>
  <c r="AC426" i="1"/>
  <c r="AD426" i="1"/>
  <c r="AE426" i="1"/>
  <c r="W427" i="1"/>
  <c r="X427" i="1"/>
  <c r="Y427" i="1"/>
  <c r="Z427" i="1"/>
  <c r="AA427" i="1"/>
  <c r="AB427" i="1"/>
  <c r="AC427" i="1"/>
  <c r="AD427" i="1"/>
  <c r="AE427" i="1"/>
  <c r="W428" i="1"/>
  <c r="X428" i="1"/>
  <c r="Y428" i="1"/>
  <c r="Z428" i="1"/>
  <c r="AA428" i="1"/>
  <c r="AB428" i="1"/>
  <c r="AC428" i="1"/>
  <c r="AD428" i="1"/>
  <c r="AE428" i="1"/>
  <c r="W429" i="1"/>
  <c r="X429" i="1"/>
  <c r="Y429" i="1"/>
  <c r="Z429" i="1"/>
  <c r="AA429" i="1"/>
  <c r="AB429" i="1"/>
  <c r="AC429" i="1"/>
  <c r="AD429" i="1"/>
  <c r="AE429" i="1"/>
  <c r="W430" i="1"/>
  <c r="X430" i="1"/>
  <c r="Y430" i="1"/>
  <c r="Z430" i="1"/>
  <c r="AA430" i="1"/>
  <c r="AB430" i="1"/>
  <c r="AC430" i="1"/>
  <c r="AD430" i="1"/>
  <c r="AE430" i="1"/>
  <c r="W431" i="1"/>
  <c r="X431" i="1"/>
  <c r="Y431" i="1"/>
  <c r="Z431" i="1"/>
  <c r="AA431" i="1"/>
  <c r="AB431" i="1"/>
  <c r="AC431" i="1"/>
  <c r="AD431" i="1"/>
  <c r="AE431" i="1"/>
  <c r="W432" i="1"/>
  <c r="X432" i="1"/>
  <c r="Y432" i="1"/>
  <c r="Z432" i="1"/>
  <c r="AA432" i="1"/>
  <c r="AB432" i="1"/>
  <c r="AC432" i="1"/>
  <c r="AD432" i="1"/>
  <c r="AE432" i="1"/>
  <c r="W433" i="1"/>
  <c r="X433" i="1"/>
  <c r="Y433" i="1"/>
  <c r="Z433" i="1"/>
  <c r="AA433" i="1"/>
  <c r="AB433" i="1"/>
  <c r="AC433" i="1"/>
  <c r="AD433" i="1"/>
  <c r="AE433" i="1"/>
  <c r="W434" i="1"/>
  <c r="X434" i="1"/>
  <c r="Y434" i="1"/>
  <c r="Z434" i="1"/>
  <c r="AA434" i="1"/>
  <c r="AB434" i="1"/>
  <c r="AC434" i="1"/>
  <c r="AD434" i="1"/>
  <c r="AE434" i="1"/>
  <c r="W435" i="1"/>
  <c r="X435" i="1"/>
  <c r="Y435" i="1"/>
  <c r="Z435" i="1"/>
  <c r="AA435" i="1"/>
  <c r="AB435" i="1"/>
  <c r="AC435" i="1"/>
  <c r="AD435" i="1"/>
  <c r="AE435" i="1"/>
  <c r="W436" i="1"/>
  <c r="X436" i="1"/>
  <c r="Y436" i="1"/>
  <c r="Z436" i="1"/>
  <c r="AA436" i="1"/>
  <c r="AB436" i="1"/>
  <c r="AC436" i="1"/>
  <c r="AD436" i="1"/>
  <c r="AE436" i="1"/>
  <c r="W437" i="1"/>
  <c r="X437" i="1"/>
  <c r="Y437" i="1"/>
  <c r="Z437" i="1"/>
  <c r="AA437" i="1"/>
  <c r="AB437" i="1"/>
  <c r="AC437" i="1"/>
  <c r="AD437" i="1"/>
  <c r="AE437" i="1"/>
  <c r="W438" i="1"/>
  <c r="X438" i="1"/>
  <c r="Y438" i="1"/>
  <c r="Z438" i="1"/>
  <c r="AA438" i="1"/>
  <c r="AB438" i="1"/>
  <c r="AC438" i="1"/>
  <c r="AD438" i="1"/>
  <c r="AE438" i="1"/>
  <c r="W439" i="1"/>
  <c r="X439" i="1"/>
  <c r="Y439" i="1"/>
  <c r="Z439" i="1"/>
  <c r="AA439" i="1"/>
  <c r="AB439" i="1"/>
  <c r="AC439" i="1"/>
  <c r="AD439" i="1"/>
  <c r="AE439" i="1"/>
  <c r="W440" i="1"/>
  <c r="X440" i="1"/>
  <c r="Y440" i="1"/>
  <c r="Z440" i="1"/>
  <c r="AA440" i="1"/>
  <c r="AB440" i="1"/>
  <c r="AC440" i="1"/>
  <c r="AD440" i="1"/>
  <c r="AE440" i="1"/>
  <c r="W441" i="1"/>
  <c r="X441" i="1"/>
  <c r="Y441" i="1"/>
  <c r="Z441" i="1"/>
  <c r="AA441" i="1"/>
  <c r="AB441" i="1"/>
  <c r="AC441" i="1"/>
  <c r="AD441" i="1"/>
  <c r="AE441" i="1"/>
  <c r="W442" i="1"/>
  <c r="X442" i="1"/>
  <c r="Y442" i="1"/>
  <c r="Z442" i="1"/>
  <c r="AA442" i="1"/>
  <c r="AB442" i="1"/>
  <c r="AC442" i="1"/>
  <c r="AD442" i="1"/>
  <c r="AE442" i="1"/>
  <c r="W443" i="1"/>
  <c r="X443" i="1"/>
  <c r="Y443" i="1"/>
  <c r="Z443" i="1"/>
  <c r="AA443" i="1"/>
  <c r="AB443" i="1"/>
  <c r="AC443" i="1"/>
  <c r="AD443" i="1"/>
  <c r="AE443" i="1"/>
  <c r="W444" i="1"/>
  <c r="X444" i="1"/>
  <c r="Y444" i="1"/>
  <c r="Z444" i="1"/>
  <c r="AA444" i="1"/>
  <c r="AB444" i="1"/>
  <c r="AC444" i="1"/>
  <c r="AD444" i="1"/>
  <c r="AE444" i="1"/>
  <c r="W445" i="1"/>
  <c r="X445" i="1"/>
  <c r="Y445" i="1"/>
  <c r="Z445" i="1"/>
  <c r="AA445" i="1"/>
  <c r="AB445" i="1"/>
  <c r="AC445" i="1"/>
  <c r="AD445" i="1"/>
  <c r="AE445" i="1"/>
  <c r="W446" i="1"/>
  <c r="X446" i="1"/>
  <c r="Y446" i="1"/>
  <c r="Z446" i="1"/>
  <c r="AA446" i="1"/>
  <c r="AB446" i="1"/>
  <c r="AC446" i="1"/>
  <c r="AD446" i="1"/>
  <c r="AE446" i="1"/>
  <c r="W447" i="1"/>
  <c r="X447" i="1"/>
  <c r="Y447" i="1"/>
  <c r="Z447" i="1"/>
  <c r="AA447" i="1"/>
  <c r="AB447" i="1"/>
  <c r="AC447" i="1"/>
  <c r="AD447" i="1"/>
  <c r="AE447" i="1"/>
  <c r="W448" i="1"/>
  <c r="X448" i="1"/>
  <c r="Y448" i="1"/>
  <c r="Z448" i="1"/>
  <c r="AA448" i="1"/>
  <c r="AB448" i="1"/>
  <c r="AC448" i="1"/>
  <c r="AD448" i="1"/>
  <c r="AE448" i="1"/>
  <c r="W449" i="1"/>
  <c r="X449" i="1"/>
  <c r="Y449" i="1"/>
  <c r="Z449" i="1"/>
  <c r="AA449" i="1"/>
  <c r="AB449" i="1"/>
  <c r="AC449" i="1"/>
  <c r="AD449" i="1"/>
  <c r="AE449" i="1"/>
  <c r="W450" i="1"/>
  <c r="X450" i="1"/>
  <c r="Y450" i="1"/>
  <c r="Z450" i="1"/>
  <c r="AA450" i="1"/>
  <c r="AB450" i="1"/>
  <c r="AC450" i="1"/>
  <c r="AD450" i="1"/>
  <c r="AE450" i="1"/>
  <c r="W451" i="1"/>
  <c r="X451" i="1"/>
  <c r="Y451" i="1"/>
  <c r="Z451" i="1"/>
  <c r="AA451" i="1"/>
  <c r="AB451" i="1"/>
  <c r="AC451" i="1"/>
  <c r="AD451" i="1"/>
  <c r="AE451" i="1"/>
  <c r="W452" i="1"/>
  <c r="X452" i="1"/>
  <c r="Y452" i="1"/>
  <c r="Z452" i="1"/>
  <c r="AA452" i="1"/>
  <c r="AB452" i="1"/>
  <c r="AC452" i="1"/>
  <c r="AD452" i="1"/>
  <c r="AE452" i="1"/>
  <c r="W453" i="1"/>
  <c r="X453" i="1"/>
  <c r="Y453" i="1"/>
  <c r="Z453" i="1"/>
  <c r="AA453" i="1"/>
  <c r="AB453" i="1"/>
  <c r="AC453" i="1"/>
  <c r="AD453" i="1"/>
  <c r="AE453" i="1"/>
  <c r="W454" i="1"/>
  <c r="X454" i="1"/>
  <c r="Y454" i="1"/>
  <c r="Z454" i="1"/>
  <c r="AA454" i="1"/>
  <c r="AB454" i="1"/>
  <c r="AC454" i="1"/>
  <c r="AD454" i="1"/>
  <c r="AE454" i="1"/>
  <c r="W455" i="1"/>
  <c r="X455" i="1"/>
  <c r="Y455" i="1"/>
  <c r="Z455" i="1"/>
  <c r="AA455" i="1"/>
  <c r="AB455" i="1"/>
  <c r="AC455" i="1"/>
  <c r="AD455" i="1"/>
  <c r="AE455" i="1"/>
  <c r="W456" i="1"/>
  <c r="X456" i="1"/>
  <c r="Y456" i="1"/>
  <c r="Z456" i="1"/>
  <c r="AA456" i="1"/>
  <c r="AB456" i="1"/>
  <c r="AC456" i="1"/>
  <c r="AD456" i="1"/>
  <c r="AE456" i="1"/>
  <c r="W457" i="1"/>
  <c r="X457" i="1"/>
  <c r="Y457" i="1"/>
  <c r="Z457" i="1"/>
  <c r="AA457" i="1"/>
  <c r="AB457" i="1"/>
  <c r="AC457" i="1"/>
  <c r="AD457" i="1"/>
  <c r="AE457" i="1"/>
  <c r="W458" i="1"/>
  <c r="X458" i="1"/>
  <c r="Y458" i="1"/>
  <c r="Z458" i="1"/>
  <c r="AA458" i="1"/>
  <c r="AB458" i="1"/>
  <c r="AC458" i="1"/>
  <c r="AD458" i="1"/>
  <c r="AE458" i="1"/>
  <c r="W459" i="1"/>
  <c r="X459" i="1"/>
  <c r="Y459" i="1"/>
  <c r="Z459" i="1"/>
  <c r="AA459" i="1"/>
  <c r="AB459" i="1"/>
  <c r="AC459" i="1"/>
  <c r="AD459" i="1"/>
  <c r="AE459" i="1"/>
  <c r="W460" i="1"/>
  <c r="X460" i="1"/>
  <c r="Y460" i="1"/>
  <c r="Z460" i="1"/>
  <c r="AA460" i="1"/>
  <c r="AB460" i="1"/>
  <c r="AC460" i="1"/>
  <c r="AD460" i="1"/>
  <c r="AE460" i="1"/>
  <c r="W461" i="1"/>
  <c r="X461" i="1"/>
  <c r="Y461" i="1"/>
  <c r="Z461" i="1"/>
  <c r="AA461" i="1"/>
  <c r="AB461" i="1"/>
  <c r="AC461" i="1"/>
  <c r="AD461" i="1"/>
  <c r="AE461" i="1"/>
  <c r="W462" i="1"/>
  <c r="X462" i="1"/>
  <c r="Y462" i="1"/>
  <c r="Z462" i="1"/>
  <c r="AA462" i="1"/>
  <c r="AB462" i="1"/>
  <c r="AC462" i="1"/>
  <c r="AD462" i="1"/>
  <c r="AE462" i="1"/>
  <c r="W463" i="1"/>
  <c r="X463" i="1"/>
  <c r="Y463" i="1"/>
  <c r="Z463" i="1"/>
  <c r="AA463" i="1"/>
  <c r="AB463" i="1"/>
  <c r="AC463" i="1"/>
  <c r="AD463" i="1"/>
  <c r="AE463" i="1"/>
  <c r="W464" i="1"/>
  <c r="X464" i="1"/>
  <c r="Y464" i="1"/>
  <c r="Z464" i="1"/>
  <c r="AA464" i="1"/>
  <c r="AB464" i="1"/>
  <c r="AC464" i="1"/>
  <c r="AD464" i="1"/>
  <c r="AE464" i="1"/>
  <c r="W465" i="1"/>
  <c r="X465" i="1"/>
  <c r="Y465" i="1"/>
  <c r="Z465" i="1"/>
  <c r="AA465" i="1"/>
  <c r="AB465" i="1"/>
  <c r="AC465" i="1"/>
  <c r="AD465" i="1"/>
  <c r="AE465" i="1"/>
  <c r="W466" i="1"/>
  <c r="X466" i="1"/>
  <c r="Y466" i="1"/>
  <c r="Z466" i="1"/>
  <c r="AA466" i="1"/>
  <c r="AB466" i="1"/>
  <c r="AC466" i="1"/>
  <c r="AD466" i="1"/>
  <c r="AE466" i="1"/>
  <c r="W467" i="1"/>
  <c r="X467" i="1"/>
  <c r="Y467" i="1"/>
  <c r="Z467" i="1"/>
  <c r="AA467" i="1"/>
  <c r="AB467" i="1"/>
  <c r="AC467" i="1"/>
  <c r="AD467" i="1"/>
  <c r="AE467" i="1"/>
  <c r="W468" i="1"/>
  <c r="X468" i="1"/>
  <c r="Y468" i="1"/>
  <c r="Z468" i="1"/>
  <c r="AA468" i="1"/>
  <c r="AB468" i="1"/>
  <c r="AC468" i="1"/>
  <c r="AD468" i="1"/>
  <c r="AE468" i="1"/>
  <c r="W469" i="1"/>
  <c r="X469" i="1"/>
  <c r="Y469" i="1"/>
  <c r="Z469" i="1"/>
  <c r="AA469" i="1"/>
  <c r="AB469" i="1"/>
  <c r="AC469" i="1"/>
  <c r="AD469" i="1"/>
  <c r="AE469" i="1"/>
  <c r="W470" i="1"/>
  <c r="X470" i="1"/>
  <c r="Y470" i="1"/>
  <c r="Z470" i="1"/>
  <c r="AA470" i="1"/>
  <c r="AB470" i="1"/>
  <c r="AC470" i="1"/>
  <c r="AD470" i="1"/>
  <c r="AE470" i="1"/>
  <c r="W471" i="1"/>
  <c r="X471" i="1"/>
  <c r="Y471" i="1"/>
  <c r="Z471" i="1"/>
  <c r="AA471" i="1"/>
  <c r="AB471" i="1"/>
  <c r="AC471" i="1"/>
  <c r="AD471" i="1"/>
  <c r="AE471" i="1"/>
  <c r="W472" i="1"/>
  <c r="X472" i="1"/>
  <c r="Y472" i="1"/>
  <c r="Z472" i="1"/>
  <c r="AA472" i="1"/>
  <c r="AB472" i="1"/>
  <c r="AC472" i="1"/>
  <c r="AD472" i="1"/>
  <c r="AE472" i="1"/>
  <c r="W473" i="1"/>
  <c r="X473" i="1"/>
  <c r="Y473" i="1"/>
  <c r="Z473" i="1"/>
  <c r="AA473" i="1"/>
  <c r="AB473" i="1"/>
  <c r="AC473" i="1"/>
  <c r="AD473" i="1"/>
  <c r="AE473" i="1"/>
  <c r="W474" i="1"/>
  <c r="X474" i="1"/>
  <c r="Y474" i="1"/>
  <c r="Z474" i="1"/>
  <c r="AA474" i="1"/>
  <c r="AB474" i="1"/>
  <c r="AC474" i="1"/>
  <c r="AD474" i="1"/>
  <c r="AE474" i="1"/>
  <c r="W475" i="1"/>
  <c r="X475" i="1"/>
  <c r="Y475" i="1"/>
  <c r="Z475" i="1"/>
  <c r="AA475" i="1"/>
  <c r="AB475" i="1"/>
  <c r="AC475" i="1"/>
  <c r="AD475" i="1"/>
  <c r="AE475" i="1"/>
  <c r="W476" i="1"/>
  <c r="X476" i="1"/>
  <c r="Y476" i="1"/>
  <c r="Z476" i="1"/>
  <c r="AA476" i="1"/>
  <c r="AB476" i="1"/>
  <c r="AC476" i="1"/>
  <c r="AD476" i="1"/>
  <c r="AE476" i="1"/>
  <c r="W477" i="1"/>
  <c r="X477" i="1"/>
  <c r="Y477" i="1"/>
  <c r="Z477" i="1"/>
  <c r="AA477" i="1"/>
  <c r="AB477" i="1"/>
  <c r="AC477" i="1"/>
  <c r="AD477" i="1"/>
  <c r="AE477" i="1"/>
  <c r="W478" i="1"/>
  <c r="X478" i="1"/>
  <c r="Y478" i="1"/>
  <c r="Z478" i="1"/>
  <c r="AA478" i="1"/>
  <c r="AB478" i="1"/>
  <c r="AC478" i="1"/>
  <c r="AD478" i="1"/>
  <c r="AE478" i="1"/>
  <c r="W479" i="1"/>
  <c r="X479" i="1"/>
  <c r="Y479" i="1"/>
  <c r="Z479" i="1"/>
  <c r="AA479" i="1"/>
  <c r="AB479" i="1"/>
  <c r="AC479" i="1"/>
  <c r="AD479" i="1"/>
  <c r="AE479" i="1"/>
  <c r="W480" i="1"/>
  <c r="X480" i="1"/>
  <c r="Y480" i="1"/>
  <c r="Z480" i="1"/>
  <c r="AA480" i="1"/>
  <c r="AB480" i="1"/>
  <c r="AC480" i="1"/>
  <c r="AD480" i="1"/>
  <c r="AE480" i="1"/>
  <c r="W481" i="1"/>
  <c r="X481" i="1"/>
  <c r="Y481" i="1"/>
  <c r="Z481" i="1"/>
  <c r="AA481" i="1"/>
  <c r="AB481" i="1"/>
  <c r="AC481" i="1"/>
  <c r="AD481" i="1"/>
  <c r="AE481" i="1"/>
  <c r="W482" i="1"/>
  <c r="X482" i="1"/>
  <c r="Y482" i="1"/>
  <c r="Z482" i="1"/>
  <c r="AA482" i="1"/>
  <c r="AB482" i="1"/>
  <c r="AC482" i="1"/>
  <c r="AD482" i="1"/>
  <c r="AE482" i="1"/>
  <c r="W483" i="1"/>
  <c r="X483" i="1"/>
  <c r="Y483" i="1"/>
  <c r="Z483" i="1"/>
  <c r="AA483" i="1"/>
  <c r="AB483" i="1"/>
  <c r="AC483" i="1"/>
  <c r="AD483" i="1"/>
  <c r="AE483" i="1"/>
  <c r="W484" i="1"/>
  <c r="X484" i="1"/>
  <c r="Y484" i="1"/>
  <c r="Z484" i="1"/>
  <c r="AA484" i="1"/>
  <c r="AB484" i="1"/>
  <c r="AC484" i="1"/>
  <c r="AD484" i="1"/>
  <c r="AE484" i="1"/>
  <c r="W485" i="1"/>
  <c r="X485" i="1"/>
  <c r="Y485" i="1"/>
  <c r="Z485" i="1"/>
  <c r="AA485" i="1"/>
  <c r="AB485" i="1"/>
  <c r="AC485" i="1"/>
  <c r="AD485" i="1"/>
  <c r="AE485" i="1"/>
  <c r="W486" i="1"/>
  <c r="X486" i="1"/>
  <c r="Y486" i="1"/>
  <c r="Z486" i="1"/>
  <c r="AA486" i="1"/>
  <c r="AB486" i="1"/>
  <c r="AC486" i="1"/>
  <c r="AD486" i="1"/>
  <c r="AE486" i="1"/>
  <c r="W487" i="1"/>
  <c r="X487" i="1"/>
  <c r="Y487" i="1"/>
  <c r="Z487" i="1"/>
  <c r="AA487" i="1"/>
  <c r="AB487" i="1"/>
  <c r="AC487" i="1"/>
  <c r="AD487" i="1"/>
  <c r="AE487" i="1"/>
  <c r="W488" i="1"/>
  <c r="X488" i="1"/>
  <c r="Y488" i="1"/>
  <c r="Z488" i="1"/>
  <c r="AA488" i="1"/>
  <c r="AB488" i="1"/>
  <c r="AC488" i="1"/>
  <c r="AD488" i="1"/>
  <c r="AE488" i="1"/>
  <c r="W489" i="1"/>
  <c r="X489" i="1"/>
  <c r="Y489" i="1"/>
  <c r="Z489" i="1"/>
  <c r="AA489" i="1"/>
  <c r="AB489" i="1"/>
  <c r="AC489" i="1"/>
  <c r="AD489" i="1"/>
  <c r="AE489" i="1"/>
  <c r="W490" i="1"/>
  <c r="X490" i="1"/>
  <c r="Y490" i="1"/>
  <c r="Z490" i="1"/>
  <c r="AA490" i="1"/>
  <c r="AB490" i="1"/>
  <c r="AC490" i="1"/>
  <c r="AD490" i="1"/>
  <c r="AE490" i="1"/>
  <c r="W491" i="1"/>
  <c r="X491" i="1"/>
  <c r="Y491" i="1"/>
  <c r="Z491" i="1"/>
  <c r="AA491" i="1"/>
  <c r="AB491" i="1"/>
  <c r="AC491" i="1"/>
  <c r="AD491" i="1"/>
  <c r="AE491" i="1"/>
  <c r="W492" i="1"/>
  <c r="X492" i="1"/>
  <c r="Y492" i="1"/>
  <c r="Z492" i="1"/>
  <c r="AA492" i="1"/>
  <c r="AB492" i="1"/>
  <c r="AC492" i="1"/>
  <c r="AD492" i="1"/>
  <c r="AE492" i="1"/>
  <c r="W493" i="1"/>
  <c r="X493" i="1"/>
  <c r="Y493" i="1"/>
  <c r="Z493" i="1"/>
  <c r="AA493" i="1"/>
  <c r="AB493" i="1"/>
  <c r="AC493" i="1"/>
  <c r="AD493" i="1"/>
  <c r="AE493" i="1"/>
  <c r="W494" i="1"/>
  <c r="X494" i="1"/>
  <c r="Y494" i="1"/>
  <c r="Z494" i="1"/>
  <c r="AA494" i="1"/>
  <c r="AB494" i="1"/>
  <c r="AC494" i="1"/>
  <c r="AD494" i="1"/>
  <c r="AE494" i="1"/>
  <c r="W495" i="1"/>
  <c r="X495" i="1"/>
  <c r="Y495" i="1"/>
  <c r="Z495" i="1"/>
  <c r="AA495" i="1"/>
  <c r="AB495" i="1"/>
  <c r="AC495" i="1"/>
  <c r="AD495" i="1"/>
  <c r="AE495" i="1"/>
  <c r="W496" i="1"/>
  <c r="X496" i="1"/>
  <c r="Y496" i="1"/>
  <c r="Z496" i="1"/>
  <c r="AA496" i="1"/>
  <c r="AB496" i="1"/>
  <c r="AC496" i="1"/>
  <c r="AD496" i="1"/>
  <c r="AE496" i="1"/>
  <c r="W497" i="1"/>
  <c r="X497" i="1"/>
  <c r="Y497" i="1"/>
  <c r="Z497" i="1"/>
  <c r="AA497" i="1"/>
  <c r="AB497" i="1"/>
  <c r="AC497" i="1"/>
  <c r="AD497" i="1"/>
  <c r="AE497" i="1"/>
  <c r="W498" i="1"/>
  <c r="X498" i="1"/>
  <c r="Y498" i="1"/>
  <c r="Z498" i="1"/>
  <c r="AA498" i="1"/>
  <c r="AB498" i="1"/>
  <c r="AC498" i="1"/>
  <c r="AD498" i="1"/>
  <c r="AE498" i="1"/>
  <c r="W499" i="1"/>
  <c r="X499" i="1"/>
  <c r="Y499" i="1"/>
  <c r="Z499" i="1"/>
  <c r="AA499" i="1"/>
  <c r="AB499" i="1"/>
  <c r="AC499" i="1"/>
  <c r="AD499" i="1"/>
  <c r="AE499" i="1"/>
  <c r="W500" i="1"/>
  <c r="X500" i="1"/>
  <c r="Y500" i="1"/>
  <c r="Z500" i="1"/>
  <c r="AA500" i="1"/>
  <c r="AB500" i="1"/>
  <c r="AC500" i="1"/>
  <c r="AD500" i="1"/>
  <c r="AE500" i="1"/>
  <c r="W501" i="1"/>
  <c r="X501" i="1"/>
  <c r="Y501" i="1"/>
  <c r="Z501" i="1"/>
  <c r="AA501" i="1"/>
  <c r="AB501" i="1"/>
  <c r="AC501" i="1"/>
  <c r="AD501" i="1"/>
  <c r="AE501" i="1"/>
  <c r="W502" i="1"/>
  <c r="X502" i="1"/>
  <c r="Y502" i="1"/>
  <c r="Z502" i="1"/>
  <c r="AA502" i="1"/>
  <c r="AB502" i="1"/>
  <c r="AC502" i="1"/>
  <c r="AD502" i="1"/>
  <c r="AE502" i="1"/>
  <c r="W503" i="1"/>
  <c r="X503" i="1"/>
  <c r="Y503" i="1"/>
  <c r="Z503" i="1"/>
  <c r="AA503" i="1"/>
  <c r="AB503" i="1"/>
  <c r="AC503" i="1"/>
  <c r="AD503" i="1"/>
  <c r="AE503" i="1"/>
  <c r="W504" i="1"/>
  <c r="X504" i="1"/>
  <c r="Y504" i="1"/>
  <c r="Z504" i="1"/>
  <c r="AA504" i="1"/>
  <c r="AB504" i="1"/>
  <c r="AC504" i="1"/>
  <c r="AD504" i="1"/>
  <c r="AE504" i="1"/>
  <c r="W505" i="1"/>
  <c r="X505" i="1"/>
  <c r="Y505" i="1"/>
  <c r="Z505" i="1"/>
  <c r="AA505" i="1"/>
  <c r="AB505" i="1"/>
  <c r="AC505" i="1"/>
  <c r="AD505" i="1"/>
  <c r="AE505" i="1"/>
  <c r="W506" i="1"/>
  <c r="X506" i="1"/>
  <c r="Y506" i="1"/>
  <c r="Z506" i="1"/>
  <c r="AA506" i="1"/>
  <c r="AB506" i="1"/>
  <c r="AC506" i="1"/>
  <c r="AD506" i="1"/>
  <c r="AE506" i="1"/>
  <c r="W507" i="1"/>
  <c r="X507" i="1"/>
  <c r="Y507" i="1"/>
  <c r="Z507" i="1"/>
  <c r="AA507" i="1"/>
  <c r="AB507" i="1"/>
  <c r="AC507" i="1"/>
  <c r="AD507" i="1"/>
  <c r="AE507" i="1"/>
  <c r="W508" i="1"/>
  <c r="X508" i="1"/>
  <c r="Y508" i="1"/>
  <c r="Z508" i="1"/>
  <c r="AA508" i="1"/>
  <c r="AB508" i="1"/>
  <c r="AC508" i="1"/>
  <c r="AD508" i="1"/>
  <c r="AE508" i="1"/>
  <c r="W509" i="1"/>
  <c r="X509" i="1"/>
  <c r="Y509" i="1"/>
  <c r="Z509" i="1"/>
  <c r="AA509" i="1"/>
  <c r="AB509" i="1"/>
  <c r="AC509" i="1"/>
  <c r="AD509" i="1"/>
  <c r="AE509" i="1"/>
  <c r="W510" i="1"/>
  <c r="X510" i="1"/>
  <c r="Y510" i="1"/>
  <c r="Z510" i="1"/>
  <c r="AA510" i="1"/>
  <c r="AB510" i="1"/>
  <c r="AC510" i="1"/>
  <c r="AD510" i="1"/>
  <c r="AE510" i="1"/>
  <c r="W511" i="1"/>
  <c r="X511" i="1"/>
  <c r="Y511" i="1"/>
  <c r="Z511" i="1"/>
  <c r="AA511" i="1"/>
  <c r="AB511" i="1"/>
  <c r="AC511" i="1"/>
  <c r="AD511" i="1"/>
  <c r="AE511" i="1"/>
  <c r="W512" i="1"/>
  <c r="X512" i="1"/>
  <c r="Y512" i="1"/>
  <c r="Z512" i="1"/>
  <c r="AA512" i="1"/>
  <c r="AB512" i="1"/>
  <c r="AC512" i="1"/>
  <c r="AD512" i="1"/>
  <c r="AE512" i="1"/>
  <c r="W513" i="1"/>
  <c r="X513" i="1"/>
  <c r="Y513" i="1"/>
  <c r="Z513" i="1"/>
  <c r="AA513" i="1"/>
  <c r="AB513" i="1"/>
  <c r="AC513" i="1"/>
  <c r="AD513" i="1"/>
  <c r="AE513" i="1"/>
  <c r="W514" i="1"/>
  <c r="X514" i="1"/>
  <c r="Y514" i="1"/>
  <c r="Z514" i="1"/>
  <c r="AA514" i="1"/>
  <c r="AB514" i="1"/>
  <c r="AC514" i="1"/>
  <c r="AD514" i="1"/>
  <c r="AE514" i="1"/>
  <c r="W515" i="1"/>
  <c r="X515" i="1"/>
  <c r="Y515" i="1"/>
  <c r="Z515" i="1"/>
  <c r="AA515" i="1"/>
  <c r="AB515" i="1"/>
  <c r="AC515" i="1"/>
  <c r="AD515" i="1"/>
  <c r="AE515" i="1"/>
  <c r="W516" i="1"/>
  <c r="X516" i="1"/>
  <c r="Y516" i="1"/>
  <c r="Z516" i="1"/>
  <c r="AA516" i="1"/>
  <c r="AB516" i="1"/>
  <c r="AC516" i="1"/>
  <c r="AD516" i="1"/>
  <c r="AE516" i="1"/>
  <c r="W517" i="1"/>
  <c r="X517" i="1"/>
  <c r="Y517" i="1"/>
  <c r="Z517" i="1"/>
  <c r="AA517" i="1"/>
  <c r="AB517" i="1"/>
  <c r="AC517" i="1"/>
  <c r="AD517" i="1"/>
  <c r="AE517" i="1"/>
  <c r="W518" i="1"/>
  <c r="X518" i="1"/>
  <c r="Y518" i="1"/>
  <c r="Z518" i="1"/>
  <c r="AA518" i="1"/>
  <c r="AB518" i="1"/>
  <c r="AC518" i="1"/>
  <c r="AD518" i="1"/>
  <c r="AE518" i="1"/>
  <c r="W519" i="1"/>
  <c r="X519" i="1"/>
  <c r="Y519" i="1"/>
  <c r="Z519" i="1"/>
  <c r="AA519" i="1"/>
  <c r="AB519" i="1"/>
  <c r="AC519" i="1"/>
  <c r="AD519" i="1"/>
  <c r="AE519" i="1"/>
  <c r="W520" i="1"/>
  <c r="X520" i="1"/>
  <c r="Y520" i="1"/>
  <c r="Z520" i="1"/>
  <c r="AA520" i="1"/>
  <c r="AB520" i="1"/>
  <c r="AC520" i="1"/>
  <c r="AD520" i="1"/>
  <c r="AE520" i="1"/>
  <c r="W521" i="1"/>
  <c r="X521" i="1"/>
  <c r="Y521" i="1"/>
  <c r="Z521" i="1"/>
  <c r="AA521" i="1"/>
  <c r="AB521" i="1"/>
  <c r="AC521" i="1"/>
  <c r="AD521" i="1"/>
  <c r="AE521" i="1"/>
  <c r="W522" i="1"/>
  <c r="X522" i="1"/>
  <c r="Y522" i="1"/>
  <c r="Z522" i="1"/>
  <c r="AA522" i="1"/>
  <c r="AB522" i="1"/>
  <c r="AC522" i="1"/>
  <c r="AD522" i="1"/>
  <c r="AE522" i="1"/>
  <c r="W523" i="1"/>
  <c r="X523" i="1"/>
  <c r="Y523" i="1"/>
  <c r="Z523" i="1"/>
  <c r="AA523" i="1"/>
  <c r="AB523" i="1"/>
  <c r="AC523" i="1"/>
  <c r="AD523" i="1"/>
  <c r="AE523" i="1"/>
  <c r="W524" i="1"/>
  <c r="X524" i="1"/>
  <c r="Y524" i="1"/>
  <c r="Z524" i="1"/>
  <c r="AA524" i="1"/>
  <c r="AB524" i="1"/>
  <c r="AC524" i="1"/>
  <c r="AD524" i="1"/>
  <c r="AE524" i="1"/>
  <c r="W525" i="1"/>
  <c r="X525" i="1"/>
  <c r="Y525" i="1"/>
  <c r="Z525" i="1"/>
  <c r="AA525" i="1"/>
  <c r="AB525" i="1"/>
  <c r="AC525" i="1"/>
  <c r="AD525" i="1"/>
  <c r="AE525" i="1"/>
  <c r="W526" i="1"/>
  <c r="X526" i="1"/>
  <c r="Y526" i="1"/>
  <c r="Z526" i="1"/>
  <c r="AA526" i="1"/>
  <c r="AB526" i="1"/>
  <c r="AC526" i="1"/>
  <c r="AD526" i="1"/>
  <c r="AE526" i="1"/>
  <c r="W527" i="1"/>
  <c r="X527" i="1"/>
  <c r="Y527" i="1"/>
  <c r="Z527" i="1"/>
  <c r="AA527" i="1"/>
  <c r="AB527" i="1"/>
  <c r="AC527" i="1"/>
  <c r="AD527" i="1"/>
  <c r="AE527" i="1"/>
  <c r="W528" i="1"/>
  <c r="X528" i="1"/>
  <c r="Y528" i="1"/>
  <c r="Z528" i="1"/>
  <c r="AA528" i="1"/>
  <c r="AB528" i="1"/>
  <c r="AC528" i="1"/>
  <c r="AD528" i="1"/>
  <c r="AE528" i="1"/>
  <c r="W529" i="1"/>
  <c r="X529" i="1"/>
  <c r="Y529" i="1"/>
  <c r="Z529" i="1"/>
  <c r="AA529" i="1"/>
  <c r="AB529" i="1"/>
  <c r="AC529" i="1"/>
  <c r="AD529" i="1"/>
  <c r="AE529" i="1"/>
  <c r="W530" i="1"/>
  <c r="X530" i="1"/>
  <c r="Y530" i="1"/>
  <c r="Z530" i="1"/>
  <c r="AA530" i="1"/>
  <c r="AB530" i="1"/>
  <c r="AC530" i="1"/>
  <c r="AD530" i="1"/>
  <c r="AE530" i="1"/>
  <c r="W531" i="1"/>
  <c r="X531" i="1"/>
  <c r="Y531" i="1"/>
  <c r="Z531" i="1"/>
  <c r="AA531" i="1"/>
  <c r="AB531" i="1"/>
  <c r="AC531" i="1"/>
  <c r="AD531" i="1"/>
  <c r="AE531" i="1"/>
  <c r="W532" i="1"/>
  <c r="X532" i="1"/>
  <c r="Y532" i="1"/>
  <c r="Z532" i="1"/>
  <c r="AA532" i="1"/>
  <c r="AB532" i="1"/>
  <c r="AC532" i="1"/>
  <c r="AD532" i="1"/>
  <c r="AE532" i="1"/>
  <c r="W533" i="1"/>
  <c r="X533" i="1"/>
  <c r="Y533" i="1"/>
  <c r="Z533" i="1"/>
  <c r="AA533" i="1"/>
  <c r="AB533" i="1"/>
  <c r="AC533" i="1"/>
  <c r="AD533" i="1"/>
  <c r="AE533" i="1"/>
  <c r="W534" i="1"/>
  <c r="X534" i="1"/>
  <c r="Y534" i="1"/>
  <c r="Z534" i="1"/>
  <c r="AA534" i="1"/>
  <c r="AB534" i="1"/>
  <c r="AC534" i="1"/>
  <c r="AD534" i="1"/>
  <c r="AE534" i="1"/>
  <c r="W535" i="1"/>
  <c r="X535" i="1"/>
  <c r="Y535" i="1"/>
  <c r="Z535" i="1"/>
  <c r="AA535" i="1"/>
  <c r="AB535" i="1"/>
  <c r="AC535" i="1"/>
  <c r="AD535" i="1"/>
  <c r="AE535" i="1"/>
  <c r="W536" i="1"/>
  <c r="X536" i="1"/>
  <c r="Y536" i="1"/>
  <c r="Z536" i="1"/>
  <c r="AA536" i="1"/>
  <c r="AB536" i="1"/>
  <c r="AC536" i="1"/>
  <c r="AD536" i="1"/>
  <c r="AE536" i="1"/>
  <c r="W537" i="1"/>
  <c r="X537" i="1"/>
  <c r="Y537" i="1"/>
  <c r="Z537" i="1"/>
  <c r="AA537" i="1"/>
  <c r="AB537" i="1"/>
  <c r="AC537" i="1"/>
  <c r="AD537" i="1"/>
  <c r="AE537" i="1"/>
  <c r="W538" i="1"/>
  <c r="X538" i="1"/>
  <c r="Y538" i="1"/>
  <c r="Z538" i="1"/>
  <c r="AA538" i="1"/>
  <c r="AB538" i="1"/>
  <c r="AC538" i="1"/>
  <c r="AD538" i="1"/>
  <c r="AE538" i="1"/>
  <c r="W539" i="1"/>
  <c r="X539" i="1"/>
  <c r="Y539" i="1"/>
  <c r="Z539" i="1"/>
  <c r="AA539" i="1"/>
  <c r="AB539" i="1"/>
  <c r="AC539" i="1"/>
  <c r="AD539" i="1"/>
  <c r="AE539" i="1"/>
  <c r="W540" i="1"/>
  <c r="X540" i="1"/>
  <c r="Y540" i="1"/>
  <c r="Z540" i="1"/>
  <c r="AA540" i="1"/>
  <c r="AB540" i="1"/>
  <c r="AC540" i="1"/>
  <c r="AD540" i="1"/>
  <c r="AE540" i="1"/>
  <c r="W541" i="1"/>
  <c r="X541" i="1"/>
  <c r="Y541" i="1"/>
  <c r="Z541" i="1"/>
  <c r="AA541" i="1"/>
  <c r="AB541" i="1"/>
  <c r="AC541" i="1"/>
  <c r="AD541" i="1"/>
  <c r="AE541" i="1"/>
  <c r="W542" i="1"/>
  <c r="X542" i="1"/>
  <c r="Y542" i="1"/>
  <c r="Z542" i="1"/>
  <c r="AA542" i="1"/>
  <c r="AB542" i="1"/>
  <c r="AC542" i="1"/>
  <c r="AD542" i="1"/>
  <c r="AE542" i="1"/>
  <c r="W543" i="1"/>
  <c r="X543" i="1"/>
  <c r="Y543" i="1"/>
  <c r="Z543" i="1"/>
  <c r="AA543" i="1"/>
  <c r="AB543" i="1"/>
  <c r="AC543" i="1"/>
  <c r="AD543" i="1"/>
  <c r="AE543" i="1"/>
  <c r="W544" i="1"/>
  <c r="X544" i="1"/>
  <c r="Y544" i="1"/>
  <c r="Z544" i="1"/>
  <c r="AA544" i="1"/>
  <c r="AB544" i="1"/>
  <c r="AC544" i="1"/>
  <c r="AD544" i="1"/>
  <c r="AE544" i="1"/>
  <c r="W545" i="1"/>
  <c r="X545" i="1"/>
  <c r="Y545" i="1"/>
  <c r="Z545" i="1"/>
  <c r="AA545" i="1"/>
  <c r="AB545" i="1"/>
  <c r="AC545" i="1"/>
  <c r="AD545" i="1"/>
  <c r="AE545" i="1"/>
  <c r="W546" i="1"/>
  <c r="X546" i="1"/>
  <c r="Y546" i="1"/>
  <c r="Z546" i="1"/>
  <c r="AA546" i="1"/>
  <c r="AB546" i="1"/>
  <c r="AC546" i="1"/>
  <c r="AD546" i="1"/>
  <c r="AE546" i="1"/>
  <c r="W547" i="1"/>
  <c r="X547" i="1"/>
  <c r="Y547" i="1"/>
  <c r="Z547" i="1"/>
  <c r="AA547" i="1"/>
  <c r="AB547" i="1"/>
  <c r="AC547" i="1"/>
  <c r="AD547" i="1"/>
  <c r="AE547" i="1"/>
  <c r="W548" i="1"/>
  <c r="X548" i="1"/>
  <c r="Y548" i="1"/>
  <c r="Z548" i="1"/>
  <c r="AA548" i="1"/>
  <c r="AB548" i="1"/>
  <c r="AC548" i="1"/>
  <c r="AD548" i="1"/>
  <c r="AE548" i="1"/>
  <c r="W549" i="1"/>
  <c r="X549" i="1"/>
  <c r="Y549" i="1"/>
  <c r="Z549" i="1"/>
  <c r="AA549" i="1"/>
  <c r="AB549" i="1"/>
  <c r="AC549" i="1"/>
  <c r="AD549" i="1"/>
  <c r="AE549" i="1"/>
  <c r="W550" i="1"/>
  <c r="X550" i="1"/>
  <c r="Y550" i="1"/>
  <c r="Z550" i="1"/>
  <c r="AA550" i="1"/>
  <c r="AB550" i="1"/>
  <c r="AC550" i="1"/>
  <c r="AD550" i="1"/>
  <c r="AE550" i="1"/>
  <c r="W551" i="1"/>
  <c r="X551" i="1"/>
  <c r="Y551" i="1"/>
  <c r="Z551" i="1"/>
  <c r="AA551" i="1"/>
  <c r="AB551" i="1"/>
  <c r="AC551" i="1"/>
  <c r="AD551" i="1"/>
  <c r="AE551" i="1"/>
  <c r="W552" i="1"/>
  <c r="X552" i="1"/>
  <c r="Y552" i="1"/>
  <c r="Z552" i="1"/>
  <c r="AA552" i="1"/>
  <c r="AB552" i="1"/>
  <c r="AC552" i="1"/>
  <c r="AD552" i="1"/>
  <c r="AE552" i="1"/>
  <c r="W553" i="1"/>
  <c r="X553" i="1"/>
  <c r="Y553" i="1"/>
  <c r="Z553" i="1"/>
  <c r="AA553" i="1"/>
  <c r="AB553" i="1"/>
  <c r="AC553" i="1"/>
  <c r="AD553" i="1"/>
  <c r="AE553" i="1"/>
  <c r="W554" i="1"/>
  <c r="X554" i="1"/>
  <c r="Y554" i="1"/>
  <c r="Z554" i="1"/>
  <c r="AA554" i="1"/>
  <c r="AB554" i="1"/>
  <c r="AC554" i="1"/>
  <c r="AD554" i="1"/>
  <c r="AE554" i="1"/>
  <c r="W555" i="1"/>
  <c r="X555" i="1"/>
  <c r="Y555" i="1"/>
  <c r="Z555" i="1"/>
  <c r="AA555" i="1"/>
  <c r="AB555" i="1"/>
  <c r="AC555" i="1"/>
  <c r="AD555" i="1"/>
  <c r="AE555" i="1"/>
  <c r="W556" i="1"/>
  <c r="X556" i="1"/>
  <c r="Y556" i="1"/>
  <c r="Z556" i="1"/>
  <c r="AA556" i="1"/>
  <c r="AB556" i="1"/>
  <c r="AC556" i="1"/>
  <c r="AD556" i="1"/>
  <c r="AE556" i="1"/>
  <c r="W557" i="1"/>
  <c r="X557" i="1"/>
  <c r="Y557" i="1"/>
  <c r="Z557" i="1"/>
  <c r="AA557" i="1"/>
  <c r="AB557" i="1"/>
  <c r="AC557" i="1"/>
  <c r="AD557" i="1"/>
  <c r="AE557" i="1"/>
  <c r="W558" i="1"/>
  <c r="X558" i="1"/>
  <c r="Y558" i="1"/>
  <c r="Z558" i="1"/>
  <c r="AA558" i="1"/>
  <c r="AB558" i="1"/>
  <c r="AC558" i="1"/>
  <c r="AD558" i="1"/>
  <c r="AE558" i="1"/>
  <c r="W559" i="1"/>
  <c r="X559" i="1"/>
  <c r="Y559" i="1"/>
  <c r="Z559" i="1"/>
  <c r="AA559" i="1"/>
  <c r="AB559" i="1"/>
  <c r="AC559" i="1"/>
  <c r="AD559" i="1"/>
  <c r="AE559" i="1"/>
  <c r="W560" i="1"/>
  <c r="X560" i="1"/>
  <c r="Y560" i="1"/>
  <c r="Z560" i="1"/>
  <c r="AA560" i="1"/>
  <c r="AB560" i="1"/>
  <c r="AC560" i="1"/>
  <c r="AD560" i="1"/>
  <c r="AE560" i="1"/>
  <c r="W561" i="1"/>
  <c r="X561" i="1"/>
  <c r="Y561" i="1"/>
  <c r="Z561" i="1"/>
  <c r="AA561" i="1"/>
  <c r="AB561" i="1"/>
  <c r="AC561" i="1"/>
  <c r="AD561" i="1"/>
  <c r="AE561" i="1"/>
  <c r="W562" i="1"/>
  <c r="X562" i="1"/>
  <c r="Y562" i="1"/>
  <c r="Z562" i="1"/>
  <c r="AA562" i="1"/>
  <c r="AB562" i="1"/>
  <c r="AC562" i="1"/>
  <c r="AD562" i="1"/>
  <c r="AE562" i="1"/>
  <c r="W563" i="1"/>
  <c r="X563" i="1"/>
  <c r="Y563" i="1"/>
  <c r="Z563" i="1"/>
  <c r="AA563" i="1"/>
  <c r="AB563" i="1"/>
  <c r="AC563" i="1"/>
  <c r="AD563" i="1"/>
  <c r="AE563" i="1"/>
  <c r="W564" i="1"/>
  <c r="X564" i="1"/>
  <c r="Y564" i="1"/>
  <c r="Z564" i="1"/>
  <c r="AA564" i="1"/>
  <c r="AB564" i="1"/>
  <c r="AC564" i="1"/>
  <c r="AD564" i="1"/>
  <c r="AE564" i="1"/>
  <c r="W565" i="1"/>
  <c r="X565" i="1"/>
  <c r="Y565" i="1"/>
  <c r="Z565" i="1"/>
  <c r="AA565" i="1"/>
  <c r="AB565" i="1"/>
  <c r="AC565" i="1"/>
  <c r="AD565" i="1"/>
  <c r="AE565" i="1"/>
  <c r="W566" i="1"/>
  <c r="X566" i="1"/>
  <c r="Y566" i="1"/>
  <c r="Z566" i="1"/>
  <c r="AA566" i="1"/>
  <c r="AB566" i="1"/>
  <c r="AC566" i="1"/>
  <c r="AD566" i="1"/>
  <c r="AE566" i="1"/>
  <c r="W567" i="1"/>
  <c r="X567" i="1"/>
  <c r="Y567" i="1"/>
  <c r="Z567" i="1"/>
  <c r="AA567" i="1"/>
  <c r="AB567" i="1"/>
  <c r="AC567" i="1"/>
  <c r="AD567" i="1"/>
  <c r="AE567" i="1"/>
  <c r="W568" i="1"/>
  <c r="X568" i="1"/>
  <c r="Y568" i="1"/>
  <c r="Z568" i="1"/>
  <c r="AA568" i="1"/>
  <c r="AB568" i="1"/>
  <c r="AC568" i="1"/>
  <c r="AD568" i="1"/>
  <c r="AE568" i="1"/>
  <c r="W569" i="1"/>
  <c r="X569" i="1"/>
  <c r="Y569" i="1"/>
  <c r="Z569" i="1"/>
  <c r="AA569" i="1"/>
  <c r="AB569" i="1"/>
  <c r="AC569" i="1"/>
  <c r="AD569" i="1"/>
  <c r="AE569" i="1"/>
  <c r="W570" i="1"/>
  <c r="X570" i="1"/>
  <c r="Y570" i="1"/>
  <c r="Z570" i="1"/>
  <c r="AA570" i="1"/>
  <c r="AB570" i="1"/>
  <c r="AC570" i="1"/>
  <c r="AD570" i="1"/>
  <c r="AE570" i="1"/>
  <c r="W571" i="1"/>
  <c r="X571" i="1"/>
  <c r="Y571" i="1"/>
  <c r="Z571" i="1"/>
  <c r="AA571" i="1"/>
  <c r="AB571" i="1"/>
  <c r="AC571" i="1"/>
  <c r="AD571" i="1"/>
  <c r="AE571" i="1"/>
  <c r="W572" i="1"/>
  <c r="X572" i="1"/>
  <c r="Y572" i="1"/>
  <c r="Z572" i="1"/>
  <c r="AA572" i="1"/>
  <c r="AB572" i="1"/>
  <c r="AC572" i="1"/>
  <c r="AD572" i="1"/>
  <c r="AE572" i="1"/>
  <c r="W573" i="1"/>
  <c r="X573" i="1"/>
  <c r="Y573" i="1"/>
  <c r="Z573" i="1"/>
  <c r="AA573" i="1"/>
  <c r="AB573" i="1"/>
  <c r="AC573" i="1"/>
  <c r="AD573" i="1"/>
  <c r="AE573" i="1"/>
  <c r="W574" i="1"/>
  <c r="X574" i="1"/>
  <c r="Y574" i="1"/>
  <c r="Z574" i="1"/>
  <c r="AA574" i="1"/>
  <c r="AB574" i="1"/>
  <c r="AC574" i="1"/>
  <c r="AD574" i="1"/>
  <c r="AE574" i="1"/>
  <c r="W575" i="1"/>
  <c r="X575" i="1"/>
  <c r="Y575" i="1"/>
  <c r="Z575" i="1"/>
  <c r="AA575" i="1"/>
  <c r="AB575" i="1"/>
  <c r="AC575" i="1"/>
  <c r="AD575" i="1"/>
  <c r="AE575" i="1"/>
  <c r="W576" i="1"/>
  <c r="X576" i="1"/>
  <c r="Y576" i="1"/>
  <c r="Z576" i="1"/>
  <c r="AA576" i="1"/>
  <c r="AB576" i="1"/>
  <c r="AC576" i="1"/>
  <c r="AD576" i="1"/>
  <c r="AE576" i="1"/>
  <c r="W577" i="1"/>
  <c r="X577" i="1"/>
  <c r="Y577" i="1"/>
  <c r="Z577" i="1"/>
  <c r="AA577" i="1"/>
  <c r="AB577" i="1"/>
  <c r="AC577" i="1"/>
  <c r="AD577" i="1"/>
  <c r="AE577" i="1"/>
  <c r="W578" i="1"/>
  <c r="X578" i="1"/>
  <c r="Y578" i="1"/>
  <c r="Z578" i="1"/>
  <c r="AA578" i="1"/>
  <c r="AB578" i="1"/>
  <c r="AC578" i="1"/>
  <c r="AD578" i="1"/>
  <c r="AE578" i="1"/>
  <c r="W579" i="1"/>
  <c r="X579" i="1"/>
  <c r="Y579" i="1"/>
  <c r="Z579" i="1"/>
  <c r="AA579" i="1"/>
  <c r="AB579" i="1"/>
  <c r="AC579" i="1"/>
  <c r="AD579" i="1"/>
  <c r="AE579" i="1"/>
  <c r="W580" i="1"/>
  <c r="X580" i="1"/>
  <c r="Y580" i="1"/>
  <c r="Z580" i="1"/>
  <c r="AA580" i="1"/>
  <c r="AB580" i="1"/>
  <c r="AC580" i="1"/>
  <c r="AD580" i="1"/>
  <c r="AE580" i="1"/>
  <c r="W581" i="1"/>
  <c r="X581" i="1"/>
  <c r="Y581" i="1"/>
  <c r="Z581" i="1"/>
  <c r="AA581" i="1"/>
  <c r="AB581" i="1"/>
  <c r="AC581" i="1"/>
  <c r="AD581" i="1"/>
  <c r="AE581" i="1"/>
  <c r="W582" i="1"/>
  <c r="X582" i="1"/>
  <c r="Y582" i="1"/>
  <c r="Z582" i="1"/>
  <c r="AA582" i="1"/>
  <c r="AB582" i="1"/>
  <c r="AC582" i="1"/>
  <c r="AD582" i="1"/>
  <c r="AE582" i="1"/>
  <c r="W583" i="1"/>
  <c r="X583" i="1"/>
  <c r="Y583" i="1"/>
  <c r="Z583" i="1"/>
  <c r="AA583" i="1"/>
  <c r="AB583" i="1"/>
  <c r="AC583" i="1"/>
  <c r="AD583" i="1"/>
  <c r="AE583" i="1"/>
  <c r="W584" i="1"/>
  <c r="X584" i="1"/>
  <c r="Y584" i="1"/>
  <c r="Z584" i="1"/>
  <c r="AA584" i="1"/>
  <c r="AB584" i="1"/>
  <c r="AC584" i="1"/>
  <c r="AD584" i="1"/>
  <c r="AE584" i="1"/>
  <c r="W585" i="1"/>
  <c r="X585" i="1"/>
  <c r="Y585" i="1"/>
  <c r="Z585" i="1"/>
  <c r="AA585" i="1"/>
  <c r="AB585" i="1"/>
  <c r="AC585" i="1"/>
  <c r="AD585" i="1"/>
  <c r="AE585" i="1"/>
  <c r="W586" i="1"/>
  <c r="X586" i="1"/>
  <c r="Y586" i="1"/>
  <c r="Z586" i="1"/>
  <c r="AA586" i="1"/>
  <c r="AB586" i="1"/>
  <c r="AC586" i="1"/>
  <c r="AD586" i="1"/>
  <c r="AE586" i="1"/>
  <c r="W587" i="1"/>
  <c r="X587" i="1"/>
  <c r="Y587" i="1"/>
  <c r="Z587" i="1"/>
  <c r="AA587" i="1"/>
  <c r="AB587" i="1"/>
  <c r="AC587" i="1"/>
  <c r="AD587" i="1"/>
  <c r="AE587" i="1"/>
  <c r="W588" i="1"/>
  <c r="X588" i="1"/>
  <c r="Y588" i="1"/>
  <c r="Z588" i="1"/>
  <c r="AA588" i="1"/>
  <c r="AB588" i="1"/>
  <c r="AC588" i="1"/>
  <c r="AD588" i="1"/>
  <c r="AE588" i="1"/>
  <c r="W589" i="1"/>
  <c r="X589" i="1"/>
  <c r="Y589" i="1"/>
  <c r="Z589" i="1"/>
  <c r="AA589" i="1"/>
  <c r="AB589" i="1"/>
  <c r="AC589" i="1"/>
  <c r="AD589" i="1"/>
  <c r="AE589" i="1"/>
  <c r="W590" i="1"/>
  <c r="X590" i="1"/>
  <c r="Y590" i="1"/>
  <c r="Z590" i="1"/>
  <c r="AA590" i="1"/>
  <c r="AB590" i="1"/>
  <c r="AC590" i="1"/>
  <c r="AD590" i="1"/>
  <c r="AE590" i="1"/>
  <c r="W591" i="1"/>
  <c r="X591" i="1"/>
  <c r="Y591" i="1"/>
  <c r="Z591" i="1"/>
  <c r="AA591" i="1"/>
  <c r="AB591" i="1"/>
  <c r="AC591" i="1"/>
  <c r="AD591" i="1"/>
  <c r="AE591" i="1"/>
  <c r="W592" i="1"/>
  <c r="X592" i="1"/>
  <c r="Y592" i="1"/>
  <c r="Z592" i="1"/>
  <c r="AA592" i="1"/>
  <c r="AB592" i="1"/>
  <c r="AC592" i="1"/>
  <c r="AD592" i="1"/>
  <c r="AE592" i="1"/>
  <c r="W593" i="1"/>
  <c r="X593" i="1"/>
  <c r="Y593" i="1"/>
  <c r="Z593" i="1"/>
  <c r="AA593" i="1"/>
  <c r="AB593" i="1"/>
  <c r="AC593" i="1"/>
  <c r="AD593" i="1"/>
  <c r="AE593" i="1"/>
  <c r="W594" i="1"/>
  <c r="X594" i="1"/>
  <c r="Y594" i="1"/>
  <c r="Z594" i="1"/>
  <c r="AA594" i="1"/>
  <c r="AB594" i="1"/>
  <c r="AC594" i="1"/>
  <c r="AD594" i="1"/>
  <c r="AE594" i="1"/>
  <c r="W595" i="1"/>
  <c r="X595" i="1"/>
  <c r="Y595" i="1"/>
  <c r="Z595" i="1"/>
  <c r="AA595" i="1"/>
  <c r="AB595" i="1"/>
  <c r="AC595" i="1"/>
  <c r="AD595" i="1"/>
  <c r="AE595" i="1"/>
  <c r="W596" i="1"/>
  <c r="X596" i="1"/>
  <c r="Y596" i="1"/>
  <c r="Z596" i="1"/>
  <c r="AA596" i="1"/>
  <c r="AB596" i="1"/>
  <c r="AC596" i="1"/>
  <c r="AD596" i="1"/>
  <c r="AE596" i="1"/>
  <c r="W597" i="1"/>
  <c r="X597" i="1"/>
  <c r="Y597" i="1"/>
  <c r="Z597" i="1"/>
  <c r="AA597" i="1"/>
  <c r="AB597" i="1"/>
  <c r="AC597" i="1"/>
  <c r="AD597" i="1"/>
  <c r="AE597" i="1"/>
  <c r="W598" i="1"/>
  <c r="X598" i="1"/>
  <c r="Y598" i="1"/>
  <c r="Z598" i="1"/>
  <c r="AA598" i="1"/>
  <c r="AB598" i="1"/>
  <c r="AC598" i="1"/>
  <c r="AD598" i="1"/>
  <c r="AE598" i="1"/>
  <c r="W599" i="1"/>
  <c r="X599" i="1"/>
  <c r="Y599" i="1"/>
  <c r="Z599" i="1"/>
  <c r="AA599" i="1"/>
  <c r="AB599" i="1"/>
  <c r="AC599" i="1"/>
  <c r="AD599" i="1"/>
  <c r="AE599" i="1"/>
  <c r="W600" i="1"/>
  <c r="X600" i="1"/>
  <c r="Y600" i="1"/>
  <c r="Z600" i="1"/>
  <c r="AA600" i="1"/>
  <c r="AB600" i="1"/>
  <c r="AC600" i="1"/>
  <c r="AD600" i="1"/>
  <c r="AE600" i="1"/>
  <c r="W601" i="1"/>
  <c r="X601" i="1"/>
  <c r="Y601" i="1"/>
  <c r="Z601" i="1"/>
  <c r="AA601" i="1"/>
  <c r="AB601" i="1"/>
  <c r="AC601" i="1"/>
  <c r="AD601" i="1"/>
  <c r="AE601" i="1"/>
  <c r="W602" i="1"/>
  <c r="X602" i="1"/>
  <c r="Y602" i="1"/>
  <c r="Z602" i="1"/>
  <c r="AA602" i="1"/>
  <c r="AB602" i="1"/>
  <c r="AC602" i="1"/>
  <c r="AD602" i="1"/>
  <c r="AE602" i="1"/>
  <c r="W603" i="1"/>
  <c r="X603" i="1"/>
  <c r="Y603" i="1"/>
  <c r="Z603" i="1"/>
  <c r="AA603" i="1"/>
  <c r="AB603" i="1"/>
  <c r="AC603" i="1"/>
  <c r="AD603" i="1"/>
  <c r="AE603" i="1"/>
  <c r="W604" i="1"/>
  <c r="X604" i="1"/>
  <c r="Y604" i="1"/>
  <c r="Z604" i="1"/>
  <c r="AA604" i="1"/>
  <c r="AB604" i="1"/>
  <c r="AC604" i="1"/>
  <c r="AD604" i="1"/>
  <c r="AE604" i="1"/>
  <c r="W605" i="1"/>
  <c r="X605" i="1"/>
  <c r="Y605" i="1"/>
  <c r="Z605" i="1"/>
  <c r="AA605" i="1"/>
  <c r="AB605" i="1"/>
  <c r="AC605" i="1"/>
  <c r="AD605" i="1"/>
  <c r="AE605" i="1"/>
  <c r="W606" i="1"/>
  <c r="X606" i="1"/>
  <c r="Y606" i="1"/>
  <c r="Z606" i="1"/>
  <c r="AA606" i="1"/>
  <c r="AB606" i="1"/>
  <c r="AC606" i="1"/>
  <c r="AD606" i="1"/>
  <c r="AE606" i="1"/>
  <c r="W607" i="1"/>
  <c r="X607" i="1"/>
  <c r="Y607" i="1"/>
  <c r="Z607" i="1"/>
  <c r="AA607" i="1"/>
  <c r="AB607" i="1"/>
  <c r="AC607" i="1"/>
  <c r="AD607" i="1"/>
  <c r="AE607" i="1"/>
  <c r="W608" i="1"/>
  <c r="X608" i="1"/>
  <c r="Y608" i="1"/>
  <c r="Z608" i="1"/>
  <c r="AA608" i="1"/>
  <c r="AB608" i="1"/>
  <c r="AC608" i="1"/>
  <c r="AD608" i="1"/>
  <c r="AE608" i="1"/>
  <c r="W609" i="1"/>
  <c r="X609" i="1"/>
  <c r="Y609" i="1"/>
  <c r="Z609" i="1"/>
  <c r="AA609" i="1"/>
  <c r="AB609" i="1"/>
  <c r="AC609" i="1"/>
  <c r="AD609" i="1"/>
  <c r="AE609" i="1"/>
  <c r="W610" i="1"/>
  <c r="X610" i="1"/>
  <c r="Y610" i="1"/>
  <c r="Z610" i="1"/>
  <c r="AA610" i="1"/>
  <c r="AB610" i="1"/>
  <c r="AC610" i="1"/>
  <c r="AD610" i="1"/>
  <c r="AE610" i="1"/>
  <c r="W611" i="1"/>
  <c r="X611" i="1"/>
  <c r="Y611" i="1"/>
  <c r="Z611" i="1"/>
  <c r="AA611" i="1"/>
  <c r="AB611" i="1"/>
  <c r="AC611" i="1"/>
  <c r="AD611" i="1"/>
  <c r="AE611" i="1"/>
  <c r="W612" i="1"/>
  <c r="X612" i="1"/>
  <c r="Y612" i="1"/>
  <c r="Z612" i="1"/>
  <c r="AA612" i="1"/>
  <c r="AB612" i="1"/>
  <c r="AC612" i="1"/>
  <c r="AD612" i="1"/>
  <c r="AE612" i="1"/>
  <c r="W613" i="1"/>
  <c r="X613" i="1"/>
  <c r="Y613" i="1"/>
  <c r="Z613" i="1"/>
  <c r="AA613" i="1"/>
  <c r="AB613" i="1"/>
  <c r="AC613" i="1"/>
  <c r="AD613" i="1"/>
  <c r="AE613" i="1"/>
  <c r="W614" i="1"/>
  <c r="X614" i="1"/>
  <c r="Y614" i="1"/>
  <c r="Z614" i="1"/>
  <c r="AA614" i="1"/>
  <c r="AB614" i="1"/>
  <c r="AC614" i="1"/>
  <c r="AD614" i="1"/>
  <c r="AE614" i="1"/>
  <c r="W615" i="1"/>
  <c r="X615" i="1"/>
  <c r="Y615" i="1"/>
  <c r="Z615" i="1"/>
  <c r="AA615" i="1"/>
  <c r="AB615" i="1"/>
  <c r="AC615" i="1"/>
  <c r="AD615" i="1"/>
  <c r="AE615" i="1"/>
  <c r="W616" i="1"/>
  <c r="X616" i="1"/>
  <c r="Y616" i="1"/>
  <c r="Z616" i="1"/>
  <c r="AA616" i="1"/>
  <c r="AB616" i="1"/>
  <c r="AC616" i="1"/>
  <c r="AD616" i="1"/>
  <c r="AE616" i="1"/>
  <c r="W617" i="1"/>
  <c r="X617" i="1"/>
  <c r="Y617" i="1"/>
  <c r="Z617" i="1"/>
  <c r="AA617" i="1"/>
  <c r="AB617" i="1"/>
  <c r="AC617" i="1"/>
  <c r="AD617" i="1"/>
  <c r="AE617" i="1"/>
  <c r="W618" i="1"/>
  <c r="X618" i="1"/>
  <c r="Y618" i="1"/>
  <c r="Z618" i="1"/>
  <c r="AA618" i="1"/>
  <c r="AB618" i="1"/>
  <c r="AC618" i="1"/>
  <c r="AD618" i="1"/>
  <c r="AE618" i="1"/>
  <c r="W619" i="1"/>
  <c r="X619" i="1"/>
  <c r="Y619" i="1"/>
  <c r="Z619" i="1"/>
  <c r="AA619" i="1"/>
  <c r="AB619" i="1"/>
  <c r="AC619" i="1"/>
  <c r="AD619" i="1"/>
  <c r="AE619" i="1"/>
  <c r="W620" i="1"/>
  <c r="X620" i="1"/>
  <c r="Y620" i="1"/>
  <c r="Z620" i="1"/>
  <c r="AA620" i="1"/>
  <c r="AB620" i="1"/>
  <c r="AC620" i="1"/>
  <c r="AD620" i="1"/>
  <c r="AE620" i="1"/>
  <c r="W621" i="1"/>
  <c r="X621" i="1"/>
  <c r="Y621" i="1"/>
  <c r="Z621" i="1"/>
  <c r="AA621" i="1"/>
  <c r="AB621" i="1"/>
  <c r="AC621" i="1"/>
  <c r="AD621" i="1"/>
  <c r="AE621" i="1"/>
  <c r="W622" i="1"/>
  <c r="X622" i="1"/>
  <c r="Y622" i="1"/>
  <c r="Z622" i="1"/>
  <c r="AA622" i="1"/>
  <c r="AB622" i="1"/>
  <c r="AC622" i="1"/>
  <c r="AD622" i="1"/>
  <c r="AE622" i="1"/>
  <c r="W623" i="1"/>
  <c r="X623" i="1"/>
  <c r="Y623" i="1"/>
  <c r="Z623" i="1"/>
  <c r="AA623" i="1"/>
  <c r="AB623" i="1"/>
  <c r="AC623" i="1"/>
  <c r="AD623" i="1"/>
  <c r="AE623" i="1"/>
  <c r="W624" i="1"/>
  <c r="X624" i="1"/>
  <c r="Y624" i="1"/>
  <c r="Z624" i="1"/>
  <c r="AA624" i="1"/>
  <c r="AB624" i="1"/>
  <c r="AC624" i="1"/>
  <c r="AD624" i="1"/>
  <c r="AE624" i="1"/>
  <c r="W625" i="1"/>
  <c r="X625" i="1"/>
  <c r="Y625" i="1"/>
  <c r="Z625" i="1"/>
  <c r="AA625" i="1"/>
  <c r="AB625" i="1"/>
  <c r="AC625" i="1"/>
  <c r="AD625" i="1"/>
  <c r="AE625" i="1"/>
  <c r="W626" i="1"/>
  <c r="X626" i="1"/>
  <c r="Y626" i="1"/>
  <c r="Z626" i="1"/>
  <c r="AA626" i="1"/>
  <c r="AB626" i="1"/>
  <c r="AC626" i="1"/>
  <c r="AD626" i="1"/>
  <c r="AE626" i="1"/>
  <c r="W627" i="1"/>
  <c r="X627" i="1"/>
  <c r="Y627" i="1"/>
  <c r="Z627" i="1"/>
  <c r="AA627" i="1"/>
  <c r="AB627" i="1"/>
  <c r="AC627" i="1"/>
  <c r="AD627" i="1"/>
  <c r="AE627" i="1"/>
  <c r="W628" i="1"/>
  <c r="X628" i="1"/>
  <c r="Y628" i="1"/>
  <c r="Z628" i="1"/>
  <c r="AA628" i="1"/>
  <c r="AB628" i="1"/>
  <c r="AC628" i="1"/>
  <c r="AD628" i="1"/>
  <c r="AE628" i="1"/>
  <c r="W629" i="1"/>
  <c r="X629" i="1"/>
  <c r="Y629" i="1"/>
  <c r="Z629" i="1"/>
  <c r="AA629" i="1"/>
  <c r="AB629" i="1"/>
  <c r="AC629" i="1"/>
  <c r="AD629" i="1"/>
  <c r="AE629" i="1"/>
  <c r="W630" i="1"/>
  <c r="X630" i="1"/>
  <c r="Y630" i="1"/>
  <c r="Z630" i="1"/>
  <c r="AA630" i="1"/>
  <c r="AB630" i="1"/>
  <c r="AC630" i="1"/>
  <c r="AD630" i="1"/>
  <c r="AE630" i="1"/>
  <c r="W631" i="1"/>
  <c r="X631" i="1"/>
  <c r="Y631" i="1"/>
  <c r="Z631" i="1"/>
  <c r="AA631" i="1"/>
  <c r="AB631" i="1"/>
  <c r="AC631" i="1"/>
  <c r="AD631" i="1"/>
  <c r="AE631" i="1"/>
  <c r="W632" i="1"/>
  <c r="X632" i="1"/>
  <c r="Y632" i="1"/>
  <c r="Z632" i="1"/>
  <c r="AA632" i="1"/>
  <c r="AB632" i="1"/>
  <c r="AC632" i="1"/>
  <c r="AD632" i="1"/>
  <c r="AE632" i="1"/>
  <c r="W633" i="1"/>
  <c r="X633" i="1"/>
  <c r="Y633" i="1"/>
  <c r="Z633" i="1"/>
  <c r="AA633" i="1"/>
  <c r="AB633" i="1"/>
  <c r="AC633" i="1"/>
  <c r="AD633" i="1"/>
  <c r="AE633" i="1"/>
  <c r="W634" i="1"/>
  <c r="X634" i="1"/>
  <c r="Y634" i="1"/>
  <c r="Z634" i="1"/>
  <c r="AA634" i="1"/>
  <c r="AB634" i="1"/>
  <c r="AC634" i="1"/>
  <c r="AD634" i="1"/>
  <c r="AE634" i="1"/>
  <c r="W635" i="1"/>
  <c r="X635" i="1"/>
  <c r="Y635" i="1"/>
  <c r="Z635" i="1"/>
  <c r="AA635" i="1"/>
  <c r="AB635" i="1"/>
  <c r="AC635" i="1"/>
  <c r="AD635" i="1"/>
  <c r="AE635" i="1"/>
  <c r="W636" i="1"/>
  <c r="X636" i="1"/>
  <c r="Y636" i="1"/>
  <c r="Z636" i="1"/>
  <c r="AA636" i="1"/>
  <c r="AB636" i="1"/>
  <c r="AC636" i="1"/>
  <c r="AD636" i="1"/>
  <c r="AE636" i="1"/>
  <c r="W637" i="1"/>
  <c r="X637" i="1"/>
  <c r="Y637" i="1"/>
  <c r="Z637" i="1"/>
  <c r="AA637" i="1"/>
  <c r="AB637" i="1"/>
  <c r="AC637" i="1"/>
  <c r="AD637" i="1"/>
  <c r="AE637" i="1"/>
  <c r="W638" i="1"/>
  <c r="X638" i="1"/>
  <c r="Y638" i="1"/>
  <c r="Z638" i="1"/>
  <c r="AA638" i="1"/>
  <c r="AB638" i="1"/>
  <c r="AC638" i="1"/>
  <c r="AD638" i="1"/>
  <c r="AE638" i="1"/>
  <c r="W639" i="1"/>
  <c r="X639" i="1"/>
  <c r="Y639" i="1"/>
  <c r="Z639" i="1"/>
  <c r="AA639" i="1"/>
  <c r="AB639" i="1"/>
  <c r="AC639" i="1"/>
  <c r="AD639" i="1"/>
  <c r="AE639" i="1"/>
  <c r="W640" i="1"/>
  <c r="X640" i="1"/>
  <c r="Y640" i="1"/>
  <c r="Z640" i="1"/>
  <c r="AA640" i="1"/>
  <c r="AB640" i="1"/>
  <c r="AC640" i="1"/>
  <c r="AD640" i="1"/>
  <c r="AE640" i="1"/>
  <c r="W641" i="1"/>
  <c r="X641" i="1"/>
  <c r="Y641" i="1"/>
  <c r="Z641" i="1"/>
  <c r="AA641" i="1"/>
  <c r="AB641" i="1"/>
  <c r="AC641" i="1"/>
  <c r="AD641" i="1"/>
  <c r="AE641" i="1"/>
  <c r="W642" i="1"/>
  <c r="X642" i="1"/>
  <c r="Y642" i="1"/>
  <c r="Z642" i="1"/>
  <c r="AA642" i="1"/>
  <c r="AB642" i="1"/>
  <c r="AC642" i="1"/>
  <c r="AD642" i="1"/>
  <c r="AE642" i="1"/>
  <c r="W643" i="1"/>
  <c r="X643" i="1"/>
  <c r="Y643" i="1"/>
  <c r="Z643" i="1"/>
  <c r="AA643" i="1"/>
  <c r="AB643" i="1"/>
  <c r="AC643" i="1"/>
  <c r="AD643" i="1"/>
  <c r="AE643" i="1"/>
  <c r="W644" i="1"/>
  <c r="X644" i="1"/>
  <c r="Y644" i="1"/>
  <c r="Z644" i="1"/>
  <c r="AA644" i="1"/>
  <c r="AB644" i="1"/>
  <c r="AC644" i="1"/>
  <c r="AD644" i="1"/>
  <c r="AE644" i="1"/>
  <c r="W645" i="1"/>
  <c r="X645" i="1"/>
  <c r="Y645" i="1"/>
  <c r="Z645" i="1"/>
  <c r="AA645" i="1"/>
  <c r="AB645" i="1"/>
  <c r="AC645" i="1"/>
  <c r="AD645" i="1"/>
  <c r="AE645" i="1"/>
  <c r="W646" i="1"/>
  <c r="X646" i="1"/>
  <c r="Y646" i="1"/>
  <c r="Z646" i="1"/>
  <c r="AA646" i="1"/>
  <c r="AB646" i="1"/>
  <c r="AC646" i="1"/>
  <c r="AD646" i="1"/>
  <c r="AE646" i="1"/>
  <c r="W647" i="1"/>
  <c r="X647" i="1"/>
  <c r="Y647" i="1"/>
  <c r="Z647" i="1"/>
  <c r="AA647" i="1"/>
  <c r="AB647" i="1"/>
  <c r="AC647" i="1"/>
  <c r="AD647" i="1"/>
  <c r="AE647" i="1"/>
  <c r="W648" i="1"/>
  <c r="X648" i="1"/>
  <c r="Y648" i="1"/>
  <c r="Z648" i="1"/>
  <c r="AA648" i="1"/>
  <c r="AB648" i="1"/>
  <c r="AC648" i="1"/>
  <c r="AD648" i="1"/>
  <c r="AE648" i="1"/>
  <c r="W649" i="1"/>
  <c r="X649" i="1"/>
  <c r="Y649" i="1"/>
  <c r="Z649" i="1"/>
  <c r="AA649" i="1"/>
  <c r="AB649" i="1"/>
  <c r="AC649" i="1"/>
  <c r="AD649" i="1"/>
  <c r="AE649" i="1"/>
  <c r="W650" i="1"/>
  <c r="X650" i="1"/>
  <c r="Y650" i="1"/>
  <c r="Z650" i="1"/>
  <c r="AA650" i="1"/>
  <c r="AB650" i="1"/>
  <c r="AC650" i="1"/>
  <c r="AD650" i="1"/>
  <c r="AE650" i="1"/>
  <c r="W651" i="1"/>
  <c r="X651" i="1"/>
  <c r="Y651" i="1"/>
  <c r="Z651" i="1"/>
  <c r="AA651" i="1"/>
  <c r="AB651" i="1"/>
  <c r="AC651" i="1"/>
  <c r="AD651" i="1"/>
  <c r="AE651" i="1"/>
  <c r="W652" i="1"/>
  <c r="X652" i="1"/>
  <c r="Y652" i="1"/>
  <c r="Z652" i="1"/>
  <c r="AA652" i="1"/>
  <c r="AB652" i="1"/>
  <c r="AC652" i="1"/>
  <c r="AD652" i="1"/>
  <c r="AE652" i="1"/>
  <c r="W653" i="1"/>
  <c r="X653" i="1"/>
  <c r="Y653" i="1"/>
  <c r="Z653" i="1"/>
  <c r="AA653" i="1"/>
  <c r="AB653" i="1"/>
  <c r="AC653" i="1"/>
  <c r="AD653" i="1"/>
  <c r="AE653" i="1"/>
  <c r="W654" i="1"/>
  <c r="X654" i="1"/>
  <c r="Y654" i="1"/>
  <c r="Z654" i="1"/>
  <c r="AA654" i="1"/>
  <c r="AB654" i="1"/>
  <c r="AC654" i="1"/>
  <c r="AD654" i="1"/>
  <c r="AE654" i="1"/>
  <c r="W655" i="1"/>
  <c r="X655" i="1"/>
  <c r="Y655" i="1"/>
  <c r="Z655" i="1"/>
  <c r="AA655" i="1"/>
  <c r="AB655" i="1"/>
  <c r="AC655" i="1"/>
  <c r="AD655" i="1"/>
  <c r="AE655" i="1"/>
  <c r="W656" i="1"/>
  <c r="X656" i="1"/>
  <c r="Y656" i="1"/>
  <c r="Z656" i="1"/>
  <c r="AA656" i="1"/>
  <c r="AB656" i="1"/>
  <c r="AC656" i="1"/>
  <c r="AD656" i="1"/>
  <c r="AE656" i="1"/>
  <c r="W657" i="1"/>
  <c r="X657" i="1"/>
  <c r="Y657" i="1"/>
  <c r="Z657" i="1"/>
  <c r="AA657" i="1"/>
  <c r="AB657" i="1"/>
  <c r="AC657" i="1"/>
  <c r="AD657" i="1"/>
  <c r="AE657" i="1"/>
  <c r="W658" i="1"/>
  <c r="X658" i="1"/>
  <c r="Y658" i="1"/>
  <c r="Z658" i="1"/>
  <c r="AA658" i="1"/>
  <c r="AB658" i="1"/>
  <c r="AC658" i="1"/>
  <c r="AD658" i="1"/>
  <c r="AE658" i="1"/>
  <c r="W659" i="1"/>
  <c r="X659" i="1"/>
  <c r="Y659" i="1"/>
  <c r="Z659" i="1"/>
  <c r="AA659" i="1"/>
  <c r="AB659" i="1"/>
  <c r="AC659" i="1"/>
  <c r="AD659" i="1"/>
  <c r="AE659" i="1"/>
  <c r="W660" i="1"/>
  <c r="X660" i="1"/>
  <c r="Y660" i="1"/>
  <c r="Z660" i="1"/>
  <c r="AA660" i="1"/>
  <c r="AB660" i="1"/>
  <c r="AC660" i="1"/>
  <c r="AD660" i="1"/>
  <c r="AE660" i="1"/>
  <c r="W661" i="1"/>
  <c r="X661" i="1"/>
  <c r="Y661" i="1"/>
  <c r="Z661" i="1"/>
  <c r="AA661" i="1"/>
  <c r="AB661" i="1"/>
  <c r="AC661" i="1"/>
  <c r="AD661" i="1"/>
  <c r="AE661" i="1"/>
  <c r="W662" i="1"/>
  <c r="X662" i="1"/>
  <c r="Y662" i="1"/>
  <c r="Z662" i="1"/>
  <c r="AA662" i="1"/>
  <c r="AB662" i="1"/>
  <c r="AC662" i="1"/>
  <c r="AD662" i="1"/>
  <c r="AE662" i="1"/>
  <c r="W663" i="1"/>
  <c r="X663" i="1"/>
  <c r="Y663" i="1"/>
  <c r="Z663" i="1"/>
  <c r="AA663" i="1"/>
  <c r="AB663" i="1"/>
  <c r="AC663" i="1"/>
  <c r="AD663" i="1"/>
  <c r="AE663" i="1"/>
  <c r="W664" i="1"/>
  <c r="X664" i="1"/>
  <c r="Y664" i="1"/>
  <c r="Z664" i="1"/>
  <c r="AA664" i="1"/>
  <c r="AB664" i="1"/>
  <c r="AC664" i="1"/>
  <c r="AD664" i="1"/>
  <c r="AE664" i="1"/>
  <c r="W665" i="1"/>
  <c r="X665" i="1"/>
  <c r="Y665" i="1"/>
  <c r="Z665" i="1"/>
  <c r="AA665" i="1"/>
  <c r="AB665" i="1"/>
  <c r="AC665" i="1"/>
  <c r="AD665" i="1"/>
  <c r="AE665" i="1"/>
  <c r="W666" i="1"/>
  <c r="X666" i="1"/>
  <c r="Y666" i="1"/>
  <c r="Z666" i="1"/>
  <c r="AA666" i="1"/>
  <c r="AB666" i="1"/>
  <c r="AC666" i="1"/>
  <c r="AD666" i="1"/>
  <c r="AE666" i="1"/>
  <c r="W667" i="1"/>
  <c r="X667" i="1"/>
  <c r="Y667" i="1"/>
  <c r="Z667" i="1"/>
  <c r="AA667" i="1"/>
  <c r="AB667" i="1"/>
  <c r="AC667" i="1"/>
  <c r="AD667" i="1"/>
  <c r="AE667" i="1"/>
  <c r="W668" i="1"/>
  <c r="X668" i="1"/>
  <c r="Y668" i="1"/>
  <c r="Z668" i="1"/>
  <c r="AA668" i="1"/>
  <c r="AB668" i="1"/>
  <c r="AC668" i="1"/>
  <c r="AD668" i="1"/>
  <c r="AE668" i="1"/>
  <c r="W669" i="1"/>
  <c r="X669" i="1"/>
  <c r="Y669" i="1"/>
  <c r="Z669" i="1"/>
  <c r="AA669" i="1"/>
  <c r="AB669" i="1"/>
  <c r="AC669" i="1"/>
  <c r="AD669" i="1"/>
  <c r="AE669" i="1"/>
  <c r="W670" i="1"/>
  <c r="X670" i="1"/>
  <c r="Y670" i="1"/>
  <c r="Z670" i="1"/>
  <c r="AA670" i="1"/>
  <c r="AB670" i="1"/>
  <c r="AC670" i="1"/>
  <c r="AD670" i="1"/>
  <c r="AE670" i="1"/>
  <c r="W671" i="1"/>
  <c r="X671" i="1"/>
  <c r="Y671" i="1"/>
  <c r="Z671" i="1"/>
  <c r="AA671" i="1"/>
  <c r="AB671" i="1"/>
  <c r="AC671" i="1"/>
  <c r="AD671" i="1"/>
  <c r="AE671" i="1"/>
  <c r="W672" i="1"/>
  <c r="X672" i="1"/>
  <c r="Y672" i="1"/>
  <c r="Z672" i="1"/>
  <c r="AA672" i="1"/>
  <c r="AB672" i="1"/>
  <c r="AC672" i="1"/>
  <c r="AD672" i="1"/>
  <c r="AE672" i="1"/>
  <c r="W673" i="1"/>
  <c r="X673" i="1"/>
  <c r="Y673" i="1"/>
  <c r="Z673" i="1"/>
  <c r="AA673" i="1"/>
  <c r="AB673" i="1"/>
  <c r="AC673" i="1"/>
  <c r="AD673" i="1"/>
  <c r="AE673" i="1"/>
  <c r="W674" i="1"/>
  <c r="X674" i="1"/>
  <c r="Y674" i="1"/>
  <c r="Z674" i="1"/>
  <c r="AA674" i="1"/>
  <c r="AB674" i="1"/>
  <c r="AC674" i="1"/>
  <c r="AD674" i="1"/>
  <c r="AE674" i="1"/>
  <c r="W675" i="1"/>
  <c r="X675" i="1"/>
  <c r="Y675" i="1"/>
  <c r="Z675" i="1"/>
  <c r="AA675" i="1"/>
  <c r="AB675" i="1"/>
  <c r="AC675" i="1"/>
  <c r="AD675" i="1"/>
  <c r="AE675" i="1"/>
  <c r="W676" i="1"/>
  <c r="X676" i="1"/>
  <c r="Y676" i="1"/>
  <c r="Z676" i="1"/>
  <c r="AA676" i="1"/>
  <c r="AB676" i="1"/>
  <c r="AC676" i="1"/>
  <c r="AD676" i="1"/>
  <c r="AE676" i="1"/>
  <c r="W677" i="1"/>
  <c r="X677" i="1"/>
  <c r="Y677" i="1"/>
  <c r="Z677" i="1"/>
  <c r="AA677" i="1"/>
  <c r="AB677" i="1"/>
  <c r="AC677" i="1"/>
  <c r="AD677" i="1"/>
  <c r="AE677" i="1"/>
  <c r="W678" i="1"/>
  <c r="X678" i="1"/>
  <c r="Y678" i="1"/>
  <c r="Z678" i="1"/>
  <c r="AA678" i="1"/>
  <c r="AB678" i="1"/>
  <c r="AC678" i="1"/>
  <c r="AD678" i="1"/>
  <c r="AE678" i="1"/>
  <c r="W679" i="1"/>
  <c r="X679" i="1"/>
  <c r="Y679" i="1"/>
  <c r="Z679" i="1"/>
  <c r="AA679" i="1"/>
  <c r="AB679" i="1"/>
  <c r="AC679" i="1"/>
  <c r="AD679" i="1"/>
  <c r="AE679" i="1"/>
  <c r="W680" i="1"/>
  <c r="X680" i="1"/>
  <c r="Y680" i="1"/>
  <c r="Z680" i="1"/>
  <c r="AA680" i="1"/>
  <c r="AB680" i="1"/>
  <c r="AC680" i="1"/>
  <c r="AD680" i="1"/>
  <c r="AE680" i="1"/>
  <c r="W681" i="1"/>
  <c r="X681" i="1"/>
  <c r="Y681" i="1"/>
  <c r="Z681" i="1"/>
  <c r="AA681" i="1"/>
  <c r="AB681" i="1"/>
  <c r="AC681" i="1"/>
  <c r="AD681" i="1"/>
  <c r="AE681" i="1"/>
  <c r="W682" i="1"/>
  <c r="X682" i="1"/>
  <c r="Y682" i="1"/>
  <c r="Z682" i="1"/>
  <c r="AA682" i="1"/>
  <c r="AB682" i="1"/>
  <c r="AC682" i="1"/>
  <c r="AD682" i="1"/>
  <c r="AE682" i="1"/>
  <c r="W683" i="1"/>
  <c r="X683" i="1"/>
  <c r="Y683" i="1"/>
  <c r="Z683" i="1"/>
  <c r="AA683" i="1"/>
  <c r="AB683" i="1"/>
  <c r="AC683" i="1"/>
  <c r="AD683" i="1"/>
  <c r="AE683" i="1"/>
  <c r="W684" i="1"/>
  <c r="X684" i="1"/>
  <c r="Y684" i="1"/>
  <c r="Z684" i="1"/>
  <c r="AA684" i="1"/>
  <c r="AB684" i="1"/>
  <c r="AC684" i="1"/>
  <c r="AD684" i="1"/>
  <c r="AE684" i="1"/>
  <c r="W685" i="1"/>
  <c r="X685" i="1"/>
  <c r="Y685" i="1"/>
  <c r="Z685" i="1"/>
  <c r="AA685" i="1"/>
  <c r="AB685" i="1"/>
  <c r="AC685" i="1"/>
  <c r="AD685" i="1"/>
  <c r="AE685" i="1"/>
  <c r="W686" i="1"/>
  <c r="X686" i="1"/>
  <c r="Y686" i="1"/>
  <c r="Z686" i="1"/>
  <c r="AA686" i="1"/>
  <c r="AB686" i="1"/>
  <c r="AC686" i="1"/>
  <c r="AD686" i="1"/>
  <c r="AE686" i="1"/>
  <c r="W687" i="1"/>
  <c r="X687" i="1"/>
  <c r="Y687" i="1"/>
  <c r="Z687" i="1"/>
  <c r="AA687" i="1"/>
  <c r="AB687" i="1"/>
  <c r="AC687" i="1"/>
  <c r="AD687" i="1"/>
  <c r="AE687" i="1"/>
  <c r="W688" i="1"/>
  <c r="X688" i="1"/>
  <c r="Y688" i="1"/>
  <c r="Z688" i="1"/>
  <c r="AA688" i="1"/>
  <c r="AB688" i="1"/>
  <c r="AC688" i="1"/>
  <c r="AD688" i="1"/>
  <c r="AE688" i="1"/>
  <c r="W689" i="1"/>
  <c r="X689" i="1"/>
  <c r="Y689" i="1"/>
  <c r="Z689" i="1"/>
  <c r="AA689" i="1"/>
  <c r="AB689" i="1"/>
  <c r="AC689" i="1"/>
  <c r="AD689" i="1"/>
  <c r="AE689" i="1"/>
  <c r="W690" i="1"/>
  <c r="X690" i="1"/>
  <c r="Y690" i="1"/>
  <c r="Z690" i="1"/>
  <c r="AA690" i="1"/>
  <c r="AB690" i="1"/>
  <c r="AC690" i="1"/>
  <c r="AD690" i="1"/>
  <c r="AE690" i="1"/>
  <c r="W691" i="1"/>
  <c r="X691" i="1"/>
  <c r="Y691" i="1"/>
  <c r="Z691" i="1"/>
  <c r="AA691" i="1"/>
  <c r="AB691" i="1"/>
  <c r="AC691" i="1"/>
  <c r="AD691" i="1"/>
  <c r="AE691" i="1"/>
  <c r="W692" i="1"/>
  <c r="X692" i="1"/>
  <c r="Y692" i="1"/>
  <c r="Z692" i="1"/>
  <c r="AA692" i="1"/>
  <c r="AB692" i="1"/>
  <c r="AC692" i="1"/>
  <c r="AD692" i="1"/>
  <c r="AE692" i="1"/>
  <c r="W693" i="1"/>
  <c r="X693" i="1"/>
  <c r="Y693" i="1"/>
  <c r="Z693" i="1"/>
  <c r="AA693" i="1"/>
  <c r="AB693" i="1"/>
  <c r="AC693" i="1"/>
  <c r="AD693" i="1"/>
  <c r="AE693" i="1"/>
  <c r="W694" i="1"/>
  <c r="X694" i="1"/>
  <c r="Y694" i="1"/>
  <c r="Z694" i="1"/>
  <c r="AA694" i="1"/>
  <c r="AB694" i="1"/>
  <c r="AC694" i="1"/>
  <c r="AD694" i="1"/>
  <c r="AE694" i="1"/>
  <c r="W695" i="1"/>
  <c r="X695" i="1"/>
  <c r="Y695" i="1"/>
  <c r="Z695" i="1"/>
  <c r="AA695" i="1"/>
  <c r="AB695" i="1"/>
  <c r="AC695" i="1"/>
  <c r="AD695" i="1"/>
  <c r="AE695" i="1"/>
  <c r="W696" i="1"/>
  <c r="X696" i="1"/>
  <c r="Y696" i="1"/>
  <c r="Z696" i="1"/>
  <c r="AA696" i="1"/>
  <c r="AB696" i="1"/>
  <c r="AC696" i="1"/>
  <c r="AD696" i="1"/>
  <c r="AE696" i="1"/>
  <c r="W697" i="1"/>
  <c r="X697" i="1"/>
  <c r="Y697" i="1"/>
  <c r="Z697" i="1"/>
  <c r="AA697" i="1"/>
  <c r="AB697" i="1"/>
  <c r="AC697" i="1"/>
  <c r="AD697" i="1"/>
  <c r="AE697" i="1"/>
  <c r="W698" i="1"/>
  <c r="X698" i="1"/>
  <c r="Y698" i="1"/>
  <c r="Z698" i="1"/>
  <c r="AA698" i="1"/>
  <c r="AB698" i="1"/>
  <c r="AC698" i="1"/>
  <c r="AD698" i="1"/>
  <c r="AE698" i="1"/>
  <c r="W699" i="1"/>
  <c r="X699" i="1"/>
  <c r="Y699" i="1"/>
  <c r="Z699" i="1"/>
  <c r="AA699" i="1"/>
  <c r="AB699" i="1"/>
  <c r="AC699" i="1"/>
  <c r="AD699" i="1"/>
  <c r="AE699" i="1"/>
  <c r="W700" i="1"/>
  <c r="X700" i="1"/>
  <c r="Y700" i="1"/>
  <c r="Z700" i="1"/>
  <c r="AA700" i="1"/>
  <c r="AB700" i="1"/>
  <c r="AC700" i="1"/>
  <c r="AD700" i="1"/>
  <c r="AE700" i="1"/>
  <c r="W701" i="1"/>
  <c r="X701" i="1"/>
  <c r="Y701" i="1"/>
  <c r="Z701" i="1"/>
  <c r="AA701" i="1"/>
  <c r="AB701" i="1"/>
  <c r="AC701" i="1"/>
  <c r="AD701" i="1"/>
  <c r="AE701" i="1"/>
  <c r="W702" i="1"/>
  <c r="X702" i="1"/>
  <c r="Y702" i="1"/>
  <c r="Z702" i="1"/>
  <c r="AA702" i="1"/>
  <c r="AB702" i="1"/>
  <c r="AC702" i="1"/>
  <c r="AD702" i="1"/>
  <c r="AE702" i="1"/>
  <c r="W703" i="1"/>
  <c r="X703" i="1"/>
  <c r="Y703" i="1"/>
  <c r="Z703" i="1"/>
  <c r="AA703" i="1"/>
  <c r="AB703" i="1"/>
  <c r="AC703" i="1"/>
  <c r="AD703" i="1"/>
  <c r="AE703" i="1"/>
  <c r="W704" i="1"/>
  <c r="X704" i="1"/>
  <c r="Y704" i="1"/>
  <c r="Z704" i="1"/>
  <c r="AA704" i="1"/>
  <c r="AB704" i="1"/>
  <c r="AC704" i="1"/>
  <c r="AD704" i="1"/>
  <c r="AE704" i="1"/>
  <c r="W705" i="1"/>
  <c r="X705" i="1"/>
  <c r="Y705" i="1"/>
  <c r="Z705" i="1"/>
  <c r="AA705" i="1"/>
  <c r="AB705" i="1"/>
  <c r="AC705" i="1"/>
  <c r="AD705" i="1"/>
  <c r="AE705" i="1"/>
  <c r="W706" i="1"/>
  <c r="X706" i="1"/>
  <c r="Y706" i="1"/>
  <c r="Z706" i="1"/>
  <c r="AA706" i="1"/>
  <c r="AB706" i="1"/>
  <c r="AC706" i="1"/>
  <c r="AD706" i="1"/>
  <c r="AE706" i="1"/>
  <c r="W707" i="1"/>
  <c r="X707" i="1"/>
  <c r="Y707" i="1"/>
  <c r="Z707" i="1"/>
  <c r="AA707" i="1"/>
  <c r="AB707" i="1"/>
  <c r="AC707" i="1"/>
  <c r="AD707" i="1"/>
  <c r="AE707" i="1"/>
  <c r="W708" i="1"/>
  <c r="X708" i="1"/>
  <c r="Y708" i="1"/>
  <c r="Z708" i="1"/>
  <c r="AA708" i="1"/>
  <c r="AB708" i="1"/>
  <c r="AC708" i="1"/>
  <c r="AD708" i="1"/>
  <c r="AE708" i="1"/>
  <c r="W709" i="1"/>
  <c r="X709" i="1"/>
  <c r="Y709" i="1"/>
  <c r="Z709" i="1"/>
  <c r="AA709" i="1"/>
  <c r="AB709" i="1"/>
  <c r="AC709" i="1"/>
  <c r="AD709" i="1"/>
  <c r="AE709" i="1"/>
  <c r="W710" i="1"/>
  <c r="X710" i="1"/>
  <c r="Y710" i="1"/>
  <c r="Z710" i="1"/>
  <c r="AA710" i="1"/>
  <c r="AB710" i="1"/>
  <c r="AC710" i="1"/>
  <c r="AD710" i="1"/>
  <c r="AE710" i="1"/>
  <c r="W711" i="1"/>
  <c r="X711" i="1"/>
  <c r="Y711" i="1"/>
  <c r="Z711" i="1"/>
  <c r="AA711" i="1"/>
  <c r="AB711" i="1"/>
  <c r="AC711" i="1"/>
  <c r="AD711" i="1"/>
  <c r="AE711" i="1"/>
  <c r="W712" i="1"/>
  <c r="X712" i="1"/>
  <c r="Y712" i="1"/>
  <c r="Z712" i="1"/>
  <c r="AA712" i="1"/>
  <c r="AB712" i="1"/>
  <c r="AC712" i="1"/>
  <c r="AD712" i="1"/>
  <c r="AE712" i="1"/>
  <c r="W713" i="1"/>
  <c r="X713" i="1"/>
  <c r="Y713" i="1"/>
  <c r="Z713" i="1"/>
  <c r="AA713" i="1"/>
  <c r="AB713" i="1"/>
  <c r="AC713" i="1"/>
  <c r="AD713" i="1"/>
  <c r="AE713" i="1"/>
  <c r="W714" i="1"/>
  <c r="X714" i="1"/>
  <c r="Y714" i="1"/>
  <c r="Z714" i="1"/>
  <c r="AA714" i="1"/>
  <c r="AB714" i="1"/>
  <c r="AC714" i="1"/>
  <c r="AD714" i="1"/>
  <c r="AE714" i="1"/>
  <c r="W715" i="1"/>
  <c r="X715" i="1"/>
  <c r="Y715" i="1"/>
  <c r="Z715" i="1"/>
  <c r="AA715" i="1"/>
  <c r="AB715" i="1"/>
  <c r="AC715" i="1"/>
  <c r="AD715" i="1"/>
  <c r="AE715" i="1"/>
  <c r="W716" i="1"/>
  <c r="X716" i="1"/>
  <c r="Y716" i="1"/>
  <c r="Z716" i="1"/>
  <c r="AA716" i="1"/>
  <c r="AB716" i="1"/>
  <c r="AC716" i="1"/>
  <c r="AD716" i="1"/>
  <c r="AE716" i="1"/>
  <c r="W717" i="1"/>
  <c r="X717" i="1"/>
  <c r="Y717" i="1"/>
  <c r="Z717" i="1"/>
  <c r="AA717" i="1"/>
  <c r="AB717" i="1"/>
  <c r="AC717" i="1"/>
  <c r="AD717" i="1"/>
  <c r="AE717" i="1"/>
  <c r="W718" i="1"/>
  <c r="X718" i="1"/>
  <c r="Y718" i="1"/>
  <c r="Z718" i="1"/>
  <c r="AA718" i="1"/>
  <c r="AB718" i="1"/>
  <c r="AC718" i="1"/>
  <c r="AD718" i="1"/>
  <c r="AE718" i="1"/>
  <c r="W719" i="1"/>
  <c r="X719" i="1"/>
  <c r="Y719" i="1"/>
  <c r="Z719" i="1"/>
  <c r="AA719" i="1"/>
  <c r="AB719" i="1"/>
  <c r="AC719" i="1"/>
  <c r="AD719" i="1"/>
  <c r="AE719" i="1"/>
  <c r="W720" i="1"/>
  <c r="X720" i="1"/>
  <c r="Y720" i="1"/>
  <c r="Z720" i="1"/>
  <c r="AA720" i="1"/>
  <c r="AB720" i="1"/>
  <c r="AC720" i="1"/>
  <c r="AD720" i="1"/>
  <c r="AE720" i="1"/>
  <c r="W721" i="1"/>
  <c r="X721" i="1"/>
  <c r="Y721" i="1"/>
  <c r="Z721" i="1"/>
  <c r="AA721" i="1"/>
  <c r="AB721" i="1"/>
  <c r="AC721" i="1"/>
  <c r="AD721" i="1"/>
  <c r="AE721" i="1"/>
  <c r="W722" i="1"/>
  <c r="X722" i="1"/>
  <c r="Y722" i="1"/>
  <c r="Z722" i="1"/>
  <c r="AA722" i="1"/>
  <c r="AB722" i="1"/>
  <c r="AC722" i="1"/>
  <c r="AD722" i="1"/>
  <c r="AE722" i="1"/>
  <c r="W723" i="1"/>
  <c r="X723" i="1"/>
  <c r="Y723" i="1"/>
  <c r="Z723" i="1"/>
  <c r="AA723" i="1"/>
  <c r="AB723" i="1"/>
  <c r="AC723" i="1"/>
  <c r="AD723" i="1"/>
  <c r="AE723" i="1"/>
  <c r="W724" i="1"/>
  <c r="X724" i="1"/>
  <c r="Y724" i="1"/>
  <c r="Z724" i="1"/>
  <c r="AA724" i="1"/>
  <c r="AB724" i="1"/>
  <c r="AC724" i="1"/>
  <c r="AD724" i="1"/>
  <c r="AE724" i="1"/>
  <c r="W725" i="1"/>
  <c r="X725" i="1"/>
  <c r="Y725" i="1"/>
  <c r="Z725" i="1"/>
  <c r="AA725" i="1"/>
  <c r="AB725" i="1"/>
  <c r="AC725" i="1"/>
  <c r="AD725" i="1"/>
  <c r="AE725" i="1"/>
  <c r="W726" i="1"/>
  <c r="X726" i="1"/>
  <c r="Y726" i="1"/>
  <c r="Z726" i="1"/>
  <c r="AA726" i="1"/>
  <c r="AB726" i="1"/>
  <c r="AC726" i="1"/>
  <c r="AD726" i="1"/>
  <c r="AE726" i="1"/>
  <c r="W727" i="1"/>
  <c r="X727" i="1"/>
  <c r="Y727" i="1"/>
  <c r="Z727" i="1"/>
  <c r="AA727" i="1"/>
  <c r="AB727" i="1"/>
  <c r="AC727" i="1"/>
  <c r="AD727" i="1"/>
  <c r="AE727" i="1"/>
  <c r="W728" i="1"/>
  <c r="X728" i="1"/>
  <c r="Y728" i="1"/>
  <c r="Z728" i="1"/>
  <c r="AA728" i="1"/>
  <c r="AB728" i="1"/>
  <c r="AC728" i="1"/>
  <c r="AD728" i="1"/>
  <c r="AE728" i="1"/>
  <c r="W729" i="1"/>
  <c r="X729" i="1"/>
  <c r="Y729" i="1"/>
  <c r="Z729" i="1"/>
  <c r="AA729" i="1"/>
  <c r="AB729" i="1"/>
  <c r="AC729" i="1"/>
  <c r="AD729" i="1"/>
  <c r="AE729" i="1"/>
  <c r="W730" i="1"/>
  <c r="X730" i="1"/>
  <c r="Y730" i="1"/>
  <c r="Z730" i="1"/>
  <c r="AA730" i="1"/>
  <c r="AB730" i="1"/>
  <c r="AC730" i="1"/>
  <c r="AD730" i="1"/>
  <c r="AE730" i="1"/>
  <c r="W731" i="1"/>
  <c r="X731" i="1"/>
  <c r="Y731" i="1"/>
  <c r="Z731" i="1"/>
  <c r="AA731" i="1"/>
  <c r="AB731" i="1"/>
  <c r="AC731" i="1"/>
  <c r="AD731" i="1"/>
  <c r="AE731" i="1"/>
  <c r="W732" i="1"/>
  <c r="X732" i="1"/>
  <c r="Y732" i="1"/>
  <c r="Z732" i="1"/>
  <c r="AA732" i="1"/>
  <c r="AB732" i="1"/>
  <c r="AC732" i="1"/>
  <c r="AD732" i="1"/>
  <c r="AE732" i="1"/>
  <c r="W733" i="1"/>
  <c r="X733" i="1"/>
  <c r="Y733" i="1"/>
  <c r="Z733" i="1"/>
  <c r="AA733" i="1"/>
  <c r="AB733" i="1"/>
  <c r="AC733" i="1"/>
  <c r="AD733" i="1"/>
  <c r="AE733" i="1"/>
  <c r="W734" i="1"/>
  <c r="X734" i="1"/>
  <c r="Y734" i="1"/>
  <c r="Z734" i="1"/>
  <c r="AA734" i="1"/>
  <c r="AB734" i="1"/>
  <c r="AC734" i="1"/>
  <c r="AD734" i="1"/>
  <c r="AE734" i="1"/>
  <c r="W735" i="1"/>
  <c r="X735" i="1"/>
  <c r="Y735" i="1"/>
  <c r="Z735" i="1"/>
  <c r="AA735" i="1"/>
  <c r="AB735" i="1"/>
  <c r="AC735" i="1"/>
  <c r="AD735" i="1"/>
  <c r="AE735" i="1"/>
  <c r="W736" i="1"/>
  <c r="X736" i="1"/>
  <c r="Y736" i="1"/>
  <c r="Z736" i="1"/>
  <c r="AA736" i="1"/>
  <c r="AB736" i="1"/>
  <c r="AC736" i="1"/>
  <c r="AD736" i="1"/>
  <c r="AE736" i="1"/>
  <c r="W737" i="1"/>
  <c r="X737" i="1"/>
  <c r="Y737" i="1"/>
  <c r="Z737" i="1"/>
  <c r="AA737" i="1"/>
  <c r="AB737" i="1"/>
  <c r="AC737" i="1"/>
  <c r="AD737" i="1"/>
  <c r="AE737" i="1"/>
  <c r="W738" i="1"/>
  <c r="X738" i="1"/>
  <c r="Y738" i="1"/>
  <c r="Z738" i="1"/>
  <c r="AA738" i="1"/>
  <c r="AB738" i="1"/>
  <c r="AC738" i="1"/>
  <c r="AD738" i="1"/>
  <c r="AE738" i="1"/>
  <c r="W739" i="1"/>
  <c r="X739" i="1"/>
  <c r="Y739" i="1"/>
  <c r="Z739" i="1"/>
  <c r="AA739" i="1"/>
  <c r="AB739" i="1"/>
  <c r="AC739" i="1"/>
  <c r="AD739" i="1"/>
  <c r="AE739" i="1"/>
  <c r="W740" i="1"/>
  <c r="X740" i="1"/>
  <c r="Y740" i="1"/>
  <c r="Z740" i="1"/>
  <c r="AA740" i="1"/>
  <c r="AB740" i="1"/>
  <c r="AC740" i="1"/>
  <c r="AD740" i="1"/>
  <c r="AE740" i="1"/>
  <c r="W741" i="1"/>
  <c r="X741" i="1"/>
  <c r="Y741" i="1"/>
  <c r="Z741" i="1"/>
  <c r="AA741" i="1"/>
  <c r="AB741" i="1"/>
  <c r="AC741" i="1"/>
  <c r="AD741" i="1"/>
  <c r="AE741" i="1"/>
  <c r="W742" i="1"/>
  <c r="X742" i="1"/>
  <c r="Y742" i="1"/>
  <c r="Z742" i="1"/>
  <c r="AA742" i="1"/>
  <c r="AB742" i="1"/>
  <c r="AC742" i="1"/>
  <c r="AD742" i="1"/>
  <c r="AE742" i="1"/>
  <c r="W743" i="1"/>
  <c r="X743" i="1"/>
  <c r="Y743" i="1"/>
  <c r="Z743" i="1"/>
  <c r="AA743" i="1"/>
  <c r="AB743" i="1"/>
  <c r="AC743" i="1"/>
  <c r="AD743" i="1"/>
  <c r="AE743" i="1"/>
  <c r="W744" i="1"/>
  <c r="X744" i="1"/>
  <c r="Y744" i="1"/>
  <c r="Z744" i="1"/>
  <c r="AA744" i="1"/>
  <c r="AB744" i="1"/>
  <c r="AC744" i="1"/>
  <c r="AD744" i="1"/>
  <c r="AE744" i="1"/>
  <c r="W745" i="1"/>
  <c r="X745" i="1"/>
  <c r="Y745" i="1"/>
  <c r="Z745" i="1"/>
  <c r="AA745" i="1"/>
  <c r="AB745" i="1"/>
  <c r="AC745" i="1"/>
  <c r="AD745" i="1"/>
  <c r="AE745" i="1"/>
  <c r="W746" i="1"/>
  <c r="X746" i="1"/>
  <c r="Y746" i="1"/>
  <c r="Z746" i="1"/>
  <c r="AA746" i="1"/>
  <c r="AB746" i="1"/>
  <c r="AC746" i="1"/>
  <c r="AD746" i="1"/>
  <c r="AE746" i="1"/>
  <c r="W747" i="1"/>
  <c r="X747" i="1"/>
  <c r="Y747" i="1"/>
  <c r="Z747" i="1"/>
  <c r="AA747" i="1"/>
  <c r="AB747" i="1"/>
  <c r="AC747" i="1"/>
  <c r="AD747" i="1"/>
  <c r="AE747" i="1"/>
  <c r="W748" i="1"/>
  <c r="X748" i="1"/>
  <c r="Y748" i="1"/>
  <c r="Z748" i="1"/>
  <c r="AA748" i="1"/>
  <c r="AB748" i="1"/>
  <c r="AC748" i="1"/>
  <c r="AD748" i="1"/>
  <c r="AE748" i="1"/>
  <c r="W749" i="1"/>
  <c r="X749" i="1"/>
  <c r="Y749" i="1"/>
  <c r="Z749" i="1"/>
  <c r="AA749" i="1"/>
  <c r="AB749" i="1"/>
  <c r="AC749" i="1"/>
  <c r="AD749" i="1"/>
  <c r="AE749" i="1"/>
  <c r="W750" i="1"/>
  <c r="X750" i="1"/>
  <c r="Y750" i="1"/>
  <c r="Z750" i="1"/>
  <c r="AA750" i="1"/>
  <c r="AB750" i="1"/>
  <c r="AC750" i="1"/>
  <c r="AD750" i="1"/>
  <c r="AE750" i="1"/>
  <c r="W751" i="1"/>
  <c r="X751" i="1"/>
  <c r="Y751" i="1"/>
  <c r="Z751" i="1"/>
  <c r="AA751" i="1"/>
  <c r="AB751" i="1"/>
  <c r="AC751" i="1"/>
  <c r="AD751" i="1"/>
  <c r="AE751" i="1"/>
  <c r="W752" i="1"/>
  <c r="X752" i="1"/>
  <c r="Y752" i="1"/>
  <c r="Z752" i="1"/>
  <c r="AA752" i="1"/>
  <c r="AB752" i="1"/>
  <c r="AC752" i="1"/>
  <c r="AD752" i="1"/>
  <c r="AE752" i="1"/>
  <c r="W753" i="1"/>
  <c r="X753" i="1"/>
  <c r="Y753" i="1"/>
  <c r="Z753" i="1"/>
  <c r="AA753" i="1"/>
  <c r="AB753" i="1"/>
  <c r="AC753" i="1"/>
  <c r="AD753" i="1"/>
  <c r="AE753" i="1"/>
  <c r="W754" i="1"/>
  <c r="X754" i="1"/>
  <c r="Y754" i="1"/>
  <c r="Z754" i="1"/>
  <c r="AA754" i="1"/>
  <c r="AB754" i="1"/>
  <c r="AC754" i="1"/>
  <c r="AD754" i="1"/>
  <c r="AE754" i="1"/>
  <c r="W755" i="1"/>
  <c r="X755" i="1"/>
  <c r="Y755" i="1"/>
  <c r="Z755" i="1"/>
  <c r="AA755" i="1"/>
  <c r="AB755" i="1"/>
  <c r="AC755" i="1"/>
  <c r="AD755" i="1"/>
  <c r="AE755" i="1"/>
  <c r="W756" i="1"/>
  <c r="X756" i="1"/>
  <c r="Y756" i="1"/>
  <c r="Z756" i="1"/>
  <c r="AA756" i="1"/>
  <c r="AB756" i="1"/>
  <c r="AC756" i="1"/>
  <c r="AD756" i="1"/>
  <c r="AE756" i="1"/>
  <c r="W757" i="1"/>
  <c r="X757" i="1"/>
  <c r="Y757" i="1"/>
  <c r="Z757" i="1"/>
  <c r="AA757" i="1"/>
  <c r="AB757" i="1"/>
  <c r="AC757" i="1"/>
  <c r="AD757" i="1"/>
  <c r="AE757" i="1"/>
  <c r="W758" i="1"/>
  <c r="X758" i="1"/>
  <c r="Y758" i="1"/>
  <c r="Z758" i="1"/>
  <c r="AA758" i="1"/>
  <c r="AB758" i="1"/>
  <c r="AC758" i="1"/>
  <c r="AD758" i="1"/>
  <c r="AE758" i="1"/>
  <c r="W759" i="1"/>
  <c r="X759" i="1"/>
  <c r="Y759" i="1"/>
  <c r="Z759" i="1"/>
  <c r="AA759" i="1"/>
  <c r="AB759" i="1"/>
  <c r="AC759" i="1"/>
  <c r="AD759" i="1"/>
  <c r="AE759" i="1"/>
  <c r="W760" i="1"/>
  <c r="X760" i="1"/>
  <c r="Y760" i="1"/>
  <c r="Z760" i="1"/>
  <c r="AA760" i="1"/>
  <c r="AB760" i="1"/>
  <c r="AC760" i="1"/>
  <c r="AD760" i="1"/>
  <c r="AE760" i="1"/>
  <c r="W761" i="1"/>
  <c r="X761" i="1"/>
  <c r="Y761" i="1"/>
  <c r="Z761" i="1"/>
  <c r="AA761" i="1"/>
  <c r="AB761" i="1"/>
  <c r="AC761" i="1"/>
  <c r="AD761" i="1"/>
  <c r="AE761" i="1"/>
  <c r="W762" i="1"/>
  <c r="X762" i="1"/>
  <c r="Y762" i="1"/>
  <c r="Z762" i="1"/>
  <c r="AA762" i="1"/>
  <c r="AB762" i="1"/>
  <c r="AC762" i="1"/>
  <c r="AD762" i="1"/>
  <c r="AE762" i="1"/>
  <c r="W763" i="1"/>
  <c r="X763" i="1"/>
  <c r="Y763" i="1"/>
  <c r="Z763" i="1"/>
  <c r="AA763" i="1"/>
  <c r="AB763" i="1"/>
  <c r="AC763" i="1"/>
  <c r="AD763" i="1"/>
  <c r="AE763" i="1"/>
  <c r="W764" i="1"/>
  <c r="X764" i="1"/>
  <c r="Y764" i="1"/>
  <c r="Z764" i="1"/>
  <c r="AA764" i="1"/>
  <c r="AB764" i="1"/>
  <c r="AC764" i="1"/>
  <c r="AD764" i="1"/>
  <c r="AE764" i="1"/>
  <c r="W765" i="1"/>
  <c r="X765" i="1"/>
  <c r="Y765" i="1"/>
  <c r="Z765" i="1"/>
  <c r="AA765" i="1"/>
  <c r="AB765" i="1"/>
  <c r="AC765" i="1"/>
  <c r="AD765" i="1"/>
  <c r="AE765" i="1"/>
  <c r="W766" i="1"/>
  <c r="X766" i="1"/>
  <c r="Y766" i="1"/>
  <c r="Z766" i="1"/>
  <c r="AA766" i="1"/>
  <c r="AB766" i="1"/>
  <c r="AC766" i="1"/>
  <c r="AD766" i="1"/>
  <c r="AE766" i="1"/>
  <c r="W767" i="1"/>
  <c r="X767" i="1"/>
  <c r="Y767" i="1"/>
  <c r="Z767" i="1"/>
  <c r="AA767" i="1"/>
  <c r="AB767" i="1"/>
  <c r="AC767" i="1"/>
  <c r="AD767" i="1"/>
  <c r="AE767" i="1"/>
  <c r="W768" i="1"/>
  <c r="X768" i="1"/>
  <c r="Y768" i="1"/>
  <c r="Z768" i="1"/>
  <c r="AA768" i="1"/>
  <c r="AB768" i="1"/>
  <c r="AC768" i="1"/>
  <c r="AD768" i="1"/>
  <c r="AE768" i="1"/>
  <c r="W769" i="1"/>
  <c r="X769" i="1"/>
  <c r="Y769" i="1"/>
  <c r="Z769" i="1"/>
  <c r="AA769" i="1"/>
  <c r="AB769" i="1"/>
  <c r="AC769" i="1"/>
  <c r="AD769" i="1"/>
  <c r="AE769" i="1"/>
  <c r="W770" i="1"/>
  <c r="X770" i="1"/>
  <c r="Y770" i="1"/>
  <c r="Z770" i="1"/>
  <c r="AA770" i="1"/>
  <c r="AB770" i="1"/>
  <c r="AC770" i="1"/>
  <c r="AD770" i="1"/>
  <c r="AE770" i="1"/>
  <c r="W771" i="1"/>
  <c r="X771" i="1"/>
  <c r="Y771" i="1"/>
  <c r="Z771" i="1"/>
  <c r="AA771" i="1"/>
  <c r="AB771" i="1"/>
  <c r="AC771" i="1"/>
  <c r="AD771" i="1"/>
  <c r="AE771" i="1"/>
  <c r="W772" i="1"/>
  <c r="X772" i="1"/>
  <c r="Y772" i="1"/>
  <c r="Z772" i="1"/>
  <c r="AA772" i="1"/>
  <c r="AB772" i="1"/>
  <c r="AC772" i="1"/>
  <c r="AD772" i="1"/>
  <c r="AE772" i="1"/>
  <c r="W773" i="1"/>
  <c r="X773" i="1"/>
  <c r="Y773" i="1"/>
  <c r="Z773" i="1"/>
  <c r="AA773" i="1"/>
  <c r="AB773" i="1"/>
  <c r="AC773" i="1"/>
  <c r="AD773" i="1"/>
  <c r="AE773" i="1"/>
  <c r="W774" i="1"/>
  <c r="X774" i="1"/>
  <c r="Y774" i="1"/>
  <c r="Z774" i="1"/>
  <c r="AA774" i="1"/>
  <c r="AB774" i="1"/>
  <c r="AC774" i="1"/>
  <c r="AD774" i="1"/>
  <c r="AE774" i="1"/>
  <c r="W775" i="1"/>
  <c r="X775" i="1"/>
  <c r="Y775" i="1"/>
  <c r="Z775" i="1"/>
  <c r="AA775" i="1"/>
  <c r="AB775" i="1"/>
  <c r="AC775" i="1"/>
  <c r="AD775" i="1"/>
  <c r="AE775" i="1"/>
  <c r="W776" i="1"/>
  <c r="X776" i="1"/>
  <c r="Y776" i="1"/>
  <c r="Z776" i="1"/>
  <c r="AA776" i="1"/>
  <c r="AB776" i="1"/>
  <c r="AC776" i="1"/>
  <c r="AD776" i="1"/>
  <c r="AE776" i="1"/>
  <c r="W777" i="1"/>
  <c r="X777" i="1"/>
  <c r="Y777" i="1"/>
  <c r="Z777" i="1"/>
  <c r="AA777" i="1"/>
  <c r="AB777" i="1"/>
  <c r="AC777" i="1"/>
  <c r="AD777" i="1"/>
  <c r="AE777" i="1"/>
  <c r="W778" i="1"/>
  <c r="X778" i="1"/>
  <c r="Y778" i="1"/>
  <c r="Z778" i="1"/>
  <c r="AA778" i="1"/>
  <c r="AB778" i="1"/>
  <c r="AC778" i="1"/>
  <c r="AD778" i="1"/>
  <c r="AE778" i="1"/>
  <c r="W779" i="1"/>
  <c r="X779" i="1"/>
  <c r="Y779" i="1"/>
  <c r="Z779" i="1"/>
  <c r="AA779" i="1"/>
  <c r="AB779" i="1"/>
  <c r="AC779" i="1"/>
  <c r="AD779" i="1"/>
  <c r="AE779" i="1"/>
  <c r="W780" i="1"/>
  <c r="X780" i="1"/>
  <c r="Y780" i="1"/>
  <c r="Z780" i="1"/>
  <c r="AA780" i="1"/>
  <c r="AB780" i="1"/>
  <c r="AC780" i="1"/>
  <c r="AD780" i="1"/>
  <c r="AE780" i="1"/>
  <c r="W781" i="1"/>
  <c r="X781" i="1"/>
  <c r="Y781" i="1"/>
  <c r="Z781" i="1"/>
  <c r="AA781" i="1"/>
  <c r="AB781" i="1"/>
  <c r="AC781" i="1"/>
  <c r="AD781" i="1"/>
  <c r="AE781" i="1"/>
  <c r="W782" i="1"/>
  <c r="X782" i="1"/>
  <c r="Y782" i="1"/>
  <c r="Z782" i="1"/>
  <c r="AA782" i="1"/>
  <c r="AB782" i="1"/>
  <c r="AC782" i="1"/>
  <c r="AD782" i="1"/>
  <c r="AE782" i="1"/>
  <c r="W783" i="1"/>
  <c r="X783" i="1"/>
  <c r="Y783" i="1"/>
  <c r="Z783" i="1"/>
  <c r="AA783" i="1"/>
  <c r="AB783" i="1"/>
  <c r="AC783" i="1"/>
  <c r="AD783" i="1"/>
  <c r="AE783" i="1"/>
  <c r="W784" i="1"/>
  <c r="X784" i="1"/>
  <c r="Y784" i="1"/>
  <c r="Z784" i="1"/>
  <c r="AA784" i="1"/>
  <c r="AB784" i="1"/>
  <c r="AC784" i="1"/>
  <c r="AD784" i="1"/>
  <c r="AE784" i="1"/>
  <c r="W785" i="1"/>
  <c r="X785" i="1"/>
  <c r="Y785" i="1"/>
  <c r="Z785" i="1"/>
  <c r="AA785" i="1"/>
  <c r="AB785" i="1"/>
  <c r="AC785" i="1"/>
  <c r="AD785" i="1"/>
  <c r="AE785" i="1"/>
  <c r="W786" i="1"/>
  <c r="X786" i="1"/>
  <c r="Y786" i="1"/>
  <c r="Z786" i="1"/>
  <c r="AA786" i="1"/>
  <c r="AB786" i="1"/>
  <c r="AC786" i="1"/>
  <c r="AD786" i="1"/>
  <c r="AE786" i="1"/>
  <c r="W787" i="1"/>
  <c r="X787" i="1"/>
  <c r="Y787" i="1"/>
  <c r="Z787" i="1"/>
  <c r="AA787" i="1"/>
  <c r="AB787" i="1"/>
  <c r="AC787" i="1"/>
  <c r="AD787" i="1"/>
  <c r="AE787" i="1"/>
  <c r="W788" i="1"/>
  <c r="X788" i="1"/>
  <c r="Y788" i="1"/>
  <c r="Z788" i="1"/>
  <c r="AA788" i="1"/>
  <c r="AB788" i="1"/>
  <c r="AC788" i="1"/>
  <c r="AD788" i="1"/>
  <c r="AE788" i="1"/>
  <c r="W789" i="1"/>
  <c r="X789" i="1"/>
  <c r="Y789" i="1"/>
  <c r="Z789" i="1"/>
  <c r="AA789" i="1"/>
  <c r="AB789" i="1"/>
  <c r="AC789" i="1"/>
  <c r="AD789" i="1"/>
  <c r="AE789" i="1"/>
  <c r="W790" i="1"/>
  <c r="X790" i="1"/>
  <c r="Y790" i="1"/>
  <c r="Z790" i="1"/>
  <c r="AA790" i="1"/>
  <c r="AB790" i="1"/>
  <c r="AC790" i="1"/>
  <c r="AD790" i="1"/>
  <c r="AE790" i="1"/>
  <c r="W791" i="1"/>
  <c r="X791" i="1"/>
  <c r="Y791" i="1"/>
  <c r="Z791" i="1"/>
  <c r="AA791" i="1"/>
  <c r="AB791" i="1"/>
  <c r="AC791" i="1"/>
  <c r="AD791" i="1"/>
  <c r="AE791" i="1"/>
  <c r="W792" i="1"/>
  <c r="X792" i="1"/>
  <c r="Y792" i="1"/>
  <c r="Z792" i="1"/>
  <c r="AA792" i="1"/>
  <c r="AB792" i="1"/>
  <c r="AC792" i="1"/>
  <c r="AD792" i="1"/>
  <c r="AE792" i="1"/>
  <c r="W793" i="1"/>
  <c r="X793" i="1"/>
  <c r="Y793" i="1"/>
  <c r="Z793" i="1"/>
  <c r="AA793" i="1"/>
  <c r="AB793" i="1"/>
  <c r="AC793" i="1"/>
  <c r="AD793" i="1"/>
  <c r="AE793" i="1"/>
  <c r="W794" i="1"/>
  <c r="X794" i="1"/>
  <c r="Y794" i="1"/>
  <c r="Z794" i="1"/>
  <c r="AA794" i="1"/>
  <c r="AB794" i="1"/>
  <c r="AC794" i="1"/>
  <c r="AD794" i="1"/>
  <c r="AE794" i="1"/>
  <c r="W795" i="1"/>
  <c r="X795" i="1"/>
  <c r="Y795" i="1"/>
  <c r="Z795" i="1"/>
  <c r="AA795" i="1"/>
  <c r="AB795" i="1"/>
  <c r="AC795" i="1"/>
  <c r="AD795" i="1"/>
  <c r="AE795" i="1"/>
  <c r="W796" i="1"/>
  <c r="X796" i="1"/>
  <c r="Y796" i="1"/>
  <c r="Z796" i="1"/>
  <c r="AA796" i="1"/>
  <c r="AB796" i="1"/>
  <c r="AC796" i="1"/>
  <c r="AD796" i="1"/>
  <c r="AE796" i="1"/>
  <c r="W797" i="1"/>
  <c r="X797" i="1"/>
  <c r="Y797" i="1"/>
  <c r="Z797" i="1"/>
  <c r="AA797" i="1"/>
  <c r="AB797" i="1"/>
  <c r="AC797" i="1"/>
  <c r="AD797" i="1"/>
  <c r="AE797" i="1"/>
  <c r="W798" i="1"/>
  <c r="X798" i="1"/>
  <c r="Y798" i="1"/>
  <c r="Z798" i="1"/>
  <c r="AA798" i="1"/>
  <c r="AB798" i="1"/>
  <c r="AC798" i="1"/>
  <c r="AD798" i="1"/>
  <c r="AE798" i="1"/>
  <c r="W799" i="1"/>
  <c r="X799" i="1"/>
  <c r="Y799" i="1"/>
  <c r="Z799" i="1"/>
  <c r="AA799" i="1"/>
  <c r="AB799" i="1"/>
  <c r="AC799" i="1"/>
  <c r="AD799" i="1"/>
  <c r="AE799" i="1"/>
  <c r="W800" i="1"/>
  <c r="X800" i="1"/>
  <c r="Y800" i="1"/>
  <c r="Z800" i="1"/>
  <c r="AA800" i="1"/>
  <c r="AB800" i="1"/>
  <c r="AC800" i="1"/>
  <c r="AD800" i="1"/>
  <c r="AE800" i="1"/>
  <c r="W801" i="1"/>
  <c r="X801" i="1"/>
  <c r="Y801" i="1"/>
  <c r="Z801" i="1"/>
  <c r="AA801" i="1"/>
  <c r="AB801" i="1"/>
  <c r="AC801" i="1"/>
  <c r="AD801" i="1"/>
  <c r="AE801" i="1"/>
  <c r="W802" i="1"/>
  <c r="X802" i="1"/>
  <c r="Y802" i="1"/>
  <c r="Z802" i="1"/>
  <c r="AA802" i="1"/>
  <c r="AB802" i="1"/>
  <c r="AC802" i="1"/>
  <c r="AD802" i="1"/>
  <c r="AE802" i="1"/>
  <c r="W803" i="1"/>
  <c r="X803" i="1"/>
  <c r="Y803" i="1"/>
  <c r="Z803" i="1"/>
  <c r="AA803" i="1"/>
  <c r="AB803" i="1"/>
  <c r="AC803" i="1"/>
  <c r="AD803" i="1"/>
  <c r="AE803" i="1"/>
  <c r="W804" i="1"/>
  <c r="X804" i="1"/>
  <c r="Y804" i="1"/>
  <c r="Z804" i="1"/>
  <c r="AA804" i="1"/>
  <c r="AB804" i="1"/>
  <c r="AC804" i="1"/>
  <c r="AD804" i="1"/>
  <c r="AE804" i="1"/>
  <c r="W805" i="1"/>
  <c r="X805" i="1"/>
  <c r="Y805" i="1"/>
  <c r="Z805" i="1"/>
  <c r="AA805" i="1"/>
  <c r="AB805" i="1"/>
  <c r="AC805" i="1"/>
  <c r="AD805" i="1"/>
  <c r="AE805" i="1"/>
  <c r="W806" i="1"/>
  <c r="X806" i="1"/>
  <c r="Y806" i="1"/>
  <c r="Z806" i="1"/>
  <c r="AA806" i="1"/>
  <c r="AB806" i="1"/>
  <c r="AC806" i="1"/>
  <c r="AD806" i="1"/>
  <c r="AE806" i="1"/>
  <c r="W807" i="1"/>
  <c r="X807" i="1"/>
  <c r="Y807" i="1"/>
  <c r="Z807" i="1"/>
  <c r="AA807" i="1"/>
  <c r="AB807" i="1"/>
  <c r="AC807" i="1"/>
  <c r="AD807" i="1"/>
  <c r="AE807" i="1"/>
  <c r="W808" i="1"/>
  <c r="X808" i="1"/>
  <c r="Y808" i="1"/>
  <c r="Z808" i="1"/>
  <c r="AA808" i="1"/>
  <c r="AB808" i="1"/>
  <c r="AC808" i="1"/>
  <c r="AD808" i="1"/>
  <c r="AE808" i="1"/>
  <c r="W809" i="1"/>
  <c r="X809" i="1"/>
  <c r="Y809" i="1"/>
  <c r="Z809" i="1"/>
  <c r="AA809" i="1"/>
  <c r="AB809" i="1"/>
  <c r="AC809" i="1"/>
  <c r="AD809" i="1"/>
  <c r="AE809" i="1"/>
  <c r="W810" i="1"/>
  <c r="X810" i="1"/>
  <c r="Y810" i="1"/>
  <c r="Z810" i="1"/>
  <c r="AA810" i="1"/>
  <c r="AB810" i="1"/>
  <c r="AC810" i="1"/>
  <c r="AD810" i="1"/>
  <c r="AE810" i="1"/>
  <c r="W811" i="1"/>
  <c r="X811" i="1"/>
  <c r="Y811" i="1"/>
  <c r="Z811" i="1"/>
  <c r="AA811" i="1"/>
  <c r="AB811" i="1"/>
  <c r="AC811" i="1"/>
  <c r="AD811" i="1"/>
  <c r="AE811" i="1"/>
  <c r="W812" i="1"/>
  <c r="X812" i="1"/>
  <c r="Y812" i="1"/>
  <c r="Z812" i="1"/>
  <c r="AA812" i="1"/>
  <c r="AB812" i="1"/>
  <c r="AC812" i="1"/>
  <c r="AD812" i="1"/>
  <c r="AE812" i="1"/>
  <c r="W813" i="1"/>
  <c r="X813" i="1"/>
  <c r="Y813" i="1"/>
  <c r="Z813" i="1"/>
  <c r="AA813" i="1"/>
  <c r="AB813" i="1"/>
  <c r="AC813" i="1"/>
  <c r="AD813" i="1"/>
  <c r="AE813" i="1"/>
  <c r="W814" i="1"/>
  <c r="X814" i="1"/>
  <c r="Y814" i="1"/>
  <c r="Z814" i="1"/>
  <c r="AA814" i="1"/>
  <c r="AB814" i="1"/>
  <c r="AC814" i="1"/>
  <c r="AD814" i="1"/>
  <c r="AE814" i="1"/>
  <c r="W815" i="1"/>
  <c r="X815" i="1"/>
  <c r="Y815" i="1"/>
  <c r="Z815" i="1"/>
  <c r="AA815" i="1"/>
  <c r="AB815" i="1"/>
  <c r="AC815" i="1"/>
  <c r="AD815" i="1"/>
  <c r="AE815" i="1"/>
  <c r="W816" i="1"/>
  <c r="X816" i="1"/>
  <c r="Y816" i="1"/>
  <c r="Z816" i="1"/>
  <c r="AA816" i="1"/>
  <c r="AB816" i="1"/>
  <c r="AC816" i="1"/>
  <c r="AD816" i="1"/>
  <c r="AE816" i="1"/>
  <c r="W817" i="1"/>
  <c r="X817" i="1"/>
  <c r="Y817" i="1"/>
  <c r="Z817" i="1"/>
  <c r="AA817" i="1"/>
  <c r="AB817" i="1"/>
  <c r="AC817" i="1"/>
  <c r="AD817" i="1"/>
  <c r="AE817" i="1"/>
  <c r="W818" i="1"/>
  <c r="X818" i="1"/>
  <c r="Y818" i="1"/>
  <c r="Z818" i="1"/>
  <c r="AA818" i="1"/>
  <c r="AB818" i="1"/>
  <c r="AC818" i="1"/>
  <c r="AD818" i="1"/>
  <c r="AE818" i="1"/>
  <c r="W819" i="1"/>
  <c r="X819" i="1"/>
  <c r="Y819" i="1"/>
  <c r="Z819" i="1"/>
  <c r="AA819" i="1"/>
  <c r="AB819" i="1"/>
  <c r="AC819" i="1"/>
  <c r="AD819" i="1"/>
  <c r="AE819" i="1"/>
  <c r="W820" i="1"/>
  <c r="X820" i="1"/>
  <c r="Y820" i="1"/>
  <c r="Z820" i="1"/>
  <c r="AA820" i="1"/>
  <c r="AB820" i="1"/>
  <c r="AC820" i="1"/>
  <c r="AD820" i="1"/>
  <c r="AE820" i="1"/>
  <c r="W821" i="1"/>
  <c r="X821" i="1"/>
  <c r="Y821" i="1"/>
  <c r="Z821" i="1"/>
  <c r="AA821" i="1"/>
  <c r="AB821" i="1"/>
  <c r="AC821" i="1"/>
  <c r="AD821" i="1"/>
  <c r="AE821" i="1"/>
  <c r="W822" i="1"/>
  <c r="X822" i="1"/>
  <c r="Y822" i="1"/>
  <c r="Z822" i="1"/>
  <c r="AA822" i="1"/>
  <c r="AB822" i="1"/>
  <c r="AC822" i="1"/>
  <c r="AD822" i="1"/>
  <c r="AE822" i="1"/>
  <c r="W823" i="1"/>
  <c r="X823" i="1"/>
  <c r="Y823" i="1"/>
  <c r="Z823" i="1"/>
  <c r="AA823" i="1"/>
  <c r="AB823" i="1"/>
  <c r="AC823" i="1"/>
  <c r="AD823" i="1"/>
  <c r="AE823" i="1"/>
  <c r="W824" i="1"/>
  <c r="X824" i="1"/>
  <c r="Y824" i="1"/>
  <c r="Z824" i="1"/>
  <c r="AA824" i="1"/>
  <c r="AB824" i="1"/>
  <c r="AC824" i="1"/>
  <c r="AD824" i="1"/>
  <c r="AE824" i="1"/>
  <c r="W825" i="1"/>
  <c r="X825" i="1"/>
  <c r="Y825" i="1"/>
  <c r="Z825" i="1"/>
  <c r="AA825" i="1"/>
  <c r="AB825" i="1"/>
  <c r="AC825" i="1"/>
  <c r="AD825" i="1"/>
  <c r="AE825" i="1"/>
  <c r="W826" i="1"/>
  <c r="X826" i="1"/>
  <c r="Y826" i="1"/>
  <c r="Z826" i="1"/>
  <c r="AA826" i="1"/>
  <c r="AB826" i="1"/>
  <c r="AC826" i="1"/>
  <c r="AD826" i="1"/>
  <c r="AE826" i="1"/>
  <c r="W827" i="1"/>
  <c r="X827" i="1"/>
  <c r="Y827" i="1"/>
  <c r="Z827" i="1"/>
  <c r="AA827" i="1"/>
  <c r="AB827" i="1"/>
  <c r="AC827" i="1"/>
  <c r="AD827" i="1"/>
  <c r="AE827" i="1"/>
  <c r="W828" i="1"/>
  <c r="X828" i="1"/>
  <c r="Y828" i="1"/>
  <c r="Z828" i="1"/>
  <c r="AA828" i="1"/>
  <c r="AB828" i="1"/>
  <c r="AC828" i="1"/>
  <c r="AD828" i="1"/>
  <c r="AE828" i="1"/>
  <c r="W829" i="1"/>
  <c r="X829" i="1"/>
  <c r="Y829" i="1"/>
  <c r="Z829" i="1"/>
  <c r="AA829" i="1"/>
  <c r="AB829" i="1"/>
  <c r="AC829" i="1"/>
  <c r="AD829" i="1"/>
  <c r="AE829" i="1"/>
  <c r="W830" i="1"/>
  <c r="X830" i="1"/>
  <c r="Y830" i="1"/>
  <c r="Z830" i="1"/>
  <c r="AA830" i="1"/>
  <c r="AB830" i="1"/>
  <c r="AC830" i="1"/>
  <c r="AD830" i="1"/>
  <c r="AE830" i="1"/>
  <c r="W831" i="1"/>
  <c r="X831" i="1"/>
  <c r="Y831" i="1"/>
  <c r="Z831" i="1"/>
  <c r="AA831" i="1"/>
  <c r="AB831" i="1"/>
  <c r="AC831" i="1"/>
  <c r="AD831" i="1"/>
  <c r="AE831" i="1"/>
  <c r="W832" i="1"/>
  <c r="X832" i="1"/>
  <c r="Y832" i="1"/>
  <c r="Z832" i="1"/>
  <c r="AA832" i="1"/>
  <c r="AB832" i="1"/>
  <c r="AC832" i="1"/>
  <c r="AD832" i="1"/>
  <c r="AE832" i="1"/>
  <c r="W833" i="1"/>
  <c r="X833" i="1"/>
  <c r="Y833" i="1"/>
  <c r="Z833" i="1"/>
  <c r="AA833" i="1"/>
  <c r="AB833" i="1"/>
  <c r="AC833" i="1"/>
  <c r="AD833" i="1"/>
  <c r="AE833" i="1"/>
  <c r="W834" i="1"/>
  <c r="X834" i="1"/>
  <c r="Y834" i="1"/>
  <c r="Z834" i="1"/>
  <c r="AA834" i="1"/>
  <c r="AB834" i="1"/>
  <c r="AC834" i="1"/>
  <c r="AD834" i="1"/>
  <c r="AE834" i="1"/>
  <c r="W835" i="1"/>
  <c r="X835" i="1"/>
  <c r="Y835" i="1"/>
  <c r="Z835" i="1"/>
  <c r="AA835" i="1"/>
  <c r="AB835" i="1"/>
  <c r="AC835" i="1"/>
  <c r="AD835" i="1"/>
  <c r="AE835" i="1"/>
  <c r="W836" i="1"/>
  <c r="X836" i="1"/>
  <c r="Y836" i="1"/>
  <c r="Z836" i="1"/>
  <c r="AA836" i="1"/>
  <c r="AB836" i="1"/>
  <c r="AC836" i="1"/>
  <c r="AD836" i="1"/>
  <c r="AE836" i="1"/>
  <c r="W837" i="1"/>
  <c r="X837" i="1"/>
  <c r="Y837" i="1"/>
  <c r="Z837" i="1"/>
  <c r="AA837" i="1"/>
  <c r="AB837" i="1"/>
  <c r="AC837" i="1"/>
  <c r="AD837" i="1"/>
  <c r="AE837" i="1"/>
  <c r="W838" i="1"/>
  <c r="X838" i="1"/>
  <c r="Y838" i="1"/>
  <c r="Z838" i="1"/>
  <c r="AA838" i="1"/>
  <c r="AB838" i="1"/>
  <c r="AC838" i="1"/>
  <c r="AD838" i="1"/>
  <c r="AE838" i="1"/>
  <c r="W839" i="1"/>
  <c r="X839" i="1"/>
  <c r="Y839" i="1"/>
  <c r="Z839" i="1"/>
  <c r="AA839" i="1"/>
  <c r="AB839" i="1"/>
  <c r="AC839" i="1"/>
  <c r="AD839" i="1"/>
  <c r="AE839" i="1"/>
  <c r="W840" i="1"/>
  <c r="X840" i="1"/>
  <c r="Y840" i="1"/>
  <c r="Z840" i="1"/>
  <c r="AA840" i="1"/>
  <c r="AB840" i="1"/>
  <c r="AC840" i="1"/>
  <c r="AD840" i="1"/>
  <c r="AE840" i="1"/>
  <c r="W841" i="1"/>
  <c r="X841" i="1"/>
  <c r="Y841" i="1"/>
  <c r="Z841" i="1"/>
  <c r="AA841" i="1"/>
  <c r="AB841" i="1"/>
  <c r="AC841" i="1"/>
  <c r="AD841" i="1"/>
  <c r="AE841" i="1"/>
  <c r="W842" i="1"/>
  <c r="X842" i="1"/>
  <c r="Y842" i="1"/>
  <c r="Z842" i="1"/>
  <c r="AA842" i="1"/>
  <c r="AB842" i="1"/>
  <c r="AC842" i="1"/>
  <c r="AD842" i="1"/>
  <c r="AE842" i="1"/>
  <c r="W843" i="1"/>
  <c r="X843" i="1"/>
  <c r="Y843" i="1"/>
  <c r="Z843" i="1"/>
  <c r="AA843" i="1"/>
  <c r="AB843" i="1"/>
  <c r="AC843" i="1"/>
  <c r="AD843" i="1"/>
  <c r="AE843" i="1"/>
  <c r="W844" i="1"/>
  <c r="X844" i="1"/>
  <c r="Y844" i="1"/>
  <c r="Z844" i="1"/>
  <c r="AA844" i="1"/>
  <c r="AB844" i="1"/>
  <c r="AC844" i="1"/>
  <c r="AD844" i="1"/>
  <c r="AE844" i="1"/>
  <c r="W845" i="1"/>
  <c r="X845" i="1"/>
  <c r="Y845" i="1"/>
  <c r="Z845" i="1"/>
  <c r="AA845" i="1"/>
  <c r="AB845" i="1"/>
  <c r="AC845" i="1"/>
  <c r="AD845" i="1"/>
  <c r="AE845" i="1"/>
  <c r="W846" i="1"/>
  <c r="X846" i="1"/>
  <c r="Y846" i="1"/>
  <c r="Z846" i="1"/>
  <c r="AA846" i="1"/>
  <c r="AB846" i="1"/>
  <c r="AC846" i="1"/>
  <c r="AD846" i="1"/>
  <c r="AE846" i="1"/>
  <c r="W847" i="1"/>
  <c r="X847" i="1"/>
  <c r="Y847" i="1"/>
  <c r="Z847" i="1"/>
  <c r="AA847" i="1"/>
  <c r="AB847" i="1"/>
  <c r="AC847" i="1"/>
  <c r="AD847" i="1"/>
  <c r="AE847" i="1"/>
  <c r="W848" i="1"/>
  <c r="X848" i="1"/>
  <c r="Y848" i="1"/>
  <c r="Z848" i="1"/>
  <c r="AA848" i="1"/>
  <c r="AB848" i="1"/>
  <c r="AC848" i="1"/>
  <c r="AD848" i="1"/>
  <c r="AE848" i="1"/>
  <c r="W849" i="1"/>
  <c r="X849" i="1"/>
  <c r="Y849" i="1"/>
  <c r="Z849" i="1"/>
  <c r="AA849" i="1"/>
  <c r="AB849" i="1"/>
  <c r="AC849" i="1"/>
  <c r="AD849" i="1"/>
  <c r="AE849" i="1"/>
  <c r="W850" i="1"/>
  <c r="X850" i="1"/>
  <c r="Y850" i="1"/>
  <c r="Z850" i="1"/>
  <c r="AA850" i="1"/>
  <c r="AB850" i="1"/>
  <c r="AC850" i="1"/>
  <c r="AD850" i="1"/>
  <c r="AE850" i="1"/>
  <c r="W851" i="1"/>
  <c r="X851" i="1"/>
  <c r="Y851" i="1"/>
  <c r="Z851" i="1"/>
  <c r="AA851" i="1"/>
  <c r="AB851" i="1"/>
  <c r="AC851" i="1"/>
  <c r="AD851" i="1"/>
  <c r="AE851" i="1"/>
  <c r="W852" i="1"/>
  <c r="X852" i="1"/>
  <c r="Y852" i="1"/>
  <c r="Z852" i="1"/>
  <c r="AA852" i="1"/>
  <c r="AB852" i="1"/>
  <c r="AC852" i="1"/>
  <c r="AD852" i="1"/>
  <c r="AE852" i="1"/>
  <c r="W853" i="1"/>
  <c r="X853" i="1"/>
  <c r="Y853" i="1"/>
  <c r="Z853" i="1"/>
  <c r="AA853" i="1"/>
  <c r="AB853" i="1"/>
  <c r="AC853" i="1"/>
  <c r="AD853" i="1"/>
  <c r="AE853" i="1"/>
  <c r="W854" i="1"/>
  <c r="X854" i="1"/>
  <c r="Y854" i="1"/>
  <c r="Z854" i="1"/>
  <c r="AA854" i="1"/>
  <c r="AB854" i="1"/>
  <c r="AC854" i="1"/>
  <c r="AD854" i="1"/>
  <c r="AE854" i="1"/>
  <c r="W855" i="1"/>
  <c r="X855" i="1"/>
  <c r="Y855" i="1"/>
  <c r="Z855" i="1"/>
  <c r="AA855" i="1"/>
  <c r="AB855" i="1"/>
  <c r="AC855" i="1"/>
  <c r="AD855" i="1"/>
  <c r="AE855" i="1"/>
  <c r="W856" i="1"/>
  <c r="X856" i="1"/>
  <c r="Y856" i="1"/>
  <c r="Z856" i="1"/>
  <c r="AA856" i="1"/>
  <c r="AB856" i="1"/>
  <c r="AC856" i="1"/>
  <c r="AD856" i="1"/>
  <c r="AE856" i="1"/>
  <c r="W857" i="1"/>
  <c r="X857" i="1"/>
  <c r="Y857" i="1"/>
  <c r="Z857" i="1"/>
  <c r="AA857" i="1"/>
  <c r="AB857" i="1"/>
  <c r="AC857" i="1"/>
  <c r="AD857" i="1"/>
  <c r="AE857" i="1"/>
  <c r="W858" i="1"/>
  <c r="X858" i="1"/>
  <c r="Y858" i="1"/>
  <c r="Z858" i="1"/>
  <c r="AA858" i="1"/>
  <c r="AB858" i="1"/>
  <c r="AC858" i="1"/>
  <c r="AD858" i="1"/>
  <c r="AE858" i="1"/>
  <c r="W859" i="1"/>
  <c r="X859" i="1"/>
  <c r="Y859" i="1"/>
  <c r="Z859" i="1"/>
  <c r="AA859" i="1"/>
  <c r="AB859" i="1"/>
  <c r="AC859" i="1"/>
  <c r="AD859" i="1"/>
  <c r="AE859" i="1"/>
  <c r="W860" i="1"/>
  <c r="X860" i="1"/>
  <c r="Y860" i="1"/>
  <c r="Z860" i="1"/>
  <c r="AA860" i="1"/>
  <c r="AB860" i="1"/>
  <c r="AC860" i="1"/>
  <c r="AD860" i="1"/>
  <c r="AE860" i="1"/>
  <c r="W861" i="1"/>
  <c r="X861" i="1"/>
  <c r="Y861" i="1"/>
  <c r="Z861" i="1"/>
  <c r="AA861" i="1"/>
  <c r="AB861" i="1"/>
  <c r="AC861" i="1"/>
  <c r="AD861" i="1"/>
  <c r="AE861" i="1"/>
  <c r="W862" i="1"/>
  <c r="X862" i="1"/>
  <c r="Y862" i="1"/>
  <c r="Z862" i="1"/>
  <c r="AA862" i="1"/>
  <c r="AB862" i="1"/>
  <c r="AC862" i="1"/>
  <c r="AD862" i="1"/>
  <c r="AE862" i="1"/>
  <c r="W863" i="1"/>
  <c r="X863" i="1"/>
  <c r="Y863" i="1"/>
  <c r="Z863" i="1"/>
  <c r="AA863" i="1"/>
  <c r="AB863" i="1"/>
  <c r="AC863" i="1"/>
  <c r="AD863" i="1"/>
  <c r="AE863" i="1"/>
  <c r="W864" i="1"/>
  <c r="X864" i="1"/>
  <c r="Y864" i="1"/>
  <c r="Z864" i="1"/>
  <c r="AA864" i="1"/>
  <c r="AB864" i="1"/>
  <c r="AC864" i="1"/>
  <c r="AD864" i="1"/>
  <c r="AE864" i="1"/>
  <c r="W865" i="1"/>
  <c r="X865" i="1"/>
  <c r="Y865" i="1"/>
  <c r="Z865" i="1"/>
  <c r="AA865" i="1"/>
  <c r="AB865" i="1"/>
  <c r="AC865" i="1"/>
  <c r="AD865" i="1"/>
  <c r="AE865" i="1"/>
  <c r="W866" i="1"/>
  <c r="X866" i="1"/>
  <c r="Y866" i="1"/>
  <c r="Z866" i="1"/>
  <c r="AA866" i="1"/>
  <c r="AB866" i="1"/>
  <c r="AC866" i="1"/>
  <c r="AD866" i="1"/>
  <c r="AE866" i="1"/>
  <c r="W867" i="1"/>
  <c r="X867" i="1"/>
  <c r="Y867" i="1"/>
  <c r="Z867" i="1"/>
  <c r="AA867" i="1"/>
  <c r="AB867" i="1"/>
  <c r="AC867" i="1"/>
  <c r="AD867" i="1"/>
  <c r="AE867" i="1"/>
  <c r="W868" i="1"/>
  <c r="X868" i="1"/>
  <c r="Y868" i="1"/>
  <c r="Z868" i="1"/>
  <c r="AA868" i="1"/>
  <c r="AB868" i="1"/>
  <c r="AC868" i="1"/>
  <c r="AD868" i="1"/>
  <c r="AE868" i="1"/>
  <c r="W869" i="1"/>
  <c r="X869" i="1"/>
  <c r="Y869" i="1"/>
  <c r="Z869" i="1"/>
  <c r="AA869" i="1"/>
  <c r="AB869" i="1"/>
  <c r="AC869" i="1"/>
  <c r="AD869" i="1"/>
  <c r="AE869" i="1"/>
  <c r="W870" i="1"/>
  <c r="X870" i="1"/>
  <c r="Y870" i="1"/>
  <c r="Z870" i="1"/>
  <c r="AA870" i="1"/>
  <c r="AB870" i="1"/>
  <c r="AC870" i="1"/>
  <c r="AD870" i="1"/>
  <c r="AE870" i="1"/>
  <c r="W871" i="1"/>
  <c r="X871" i="1"/>
  <c r="Y871" i="1"/>
  <c r="Z871" i="1"/>
  <c r="AA871" i="1"/>
  <c r="AB871" i="1"/>
  <c r="AC871" i="1"/>
  <c r="AD871" i="1"/>
  <c r="AE871" i="1"/>
  <c r="W872" i="1"/>
  <c r="X872" i="1"/>
  <c r="Y872" i="1"/>
  <c r="Z872" i="1"/>
  <c r="AA872" i="1"/>
  <c r="AB872" i="1"/>
  <c r="AC872" i="1"/>
  <c r="AD872" i="1"/>
  <c r="AE872" i="1"/>
  <c r="W873" i="1"/>
  <c r="X873" i="1"/>
  <c r="Y873" i="1"/>
  <c r="Z873" i="1"/>
  <c r="AA873" i="1"/>
  <c r="AB873" i="1"/>
  <c r="AC873" i="1"/>
  <c r="AD873" i="1"/>
  <c r="AE873" i="1"/>
  <c r="W874" i="1"/>
  <c r="X874" i="1"/>
  <c r="Y874" i="1"/>
  <c r="Z874" i="1"/>
  <c r="AA874" i="1"/>
  <c r="AB874" i="1"/>
  <c r="AC874" i="1"/>
  <c r="AD874" i="1"/>
  <c r="AE874" i="1"/>
  <c r="W875" i="1"/>
  <c r="X875" i="1"/>
  <c r="Y875" i="1"/>
  <c r="Z875" i="1"/>
  <c r="AA875" i="1"/>
  <c r="AB875" i="1"/>
  <c r="AC875" i="1"/>
  <c r="AD875" i="1"/>
  <c r="AE875" i="1"/>
  <c r="W876" i="1"/>
  <c r="X876" i="1"/>
  <c r="Y876" i="1"/>
  <c r="Z876" i="1"/>
  <c r="AA876" i="1"/>
  <c r="AB876" i="1"/>
  <c r="AC876" i="1"/>
  <c r="AD876" i="1"/>
  <c r="AE876" i="1"/>
  <c r="W877" i="1"/>
  <c r="X877" i="1"/>
  <c r="Y877" i="1"/>
  <c r="Z877" i="1"/>
  <c r="AA877" i="1"/>
  <c r="AB877" i="1"/>
  <c r="AC877" i="1"/>
  <c r="AD877" i="1"/>
  <c r="AE877" i="1"/>
  <c r="W878" i="1"/>
  <c r="X878" i="1"/>
  <c r="Y878" i="1"/>
  <c r="Z878" i="1"/>
  <c r="AA878" i="1"/>
  <c r="AB878" i="1"/>
  <c r="AC878" i="1"/>
  <c r="AD878" i="1"/>
  <c r="AE878" i="1"/>
  <c r="W879" i="1"/>
  <c r="X879" i="1"/>
  <c r="Y879" i="1"/>
  <c r="Z879" i="1"/>
  <c r="AA879" i="1"/>
  <c r="AB879" i="1"/>
  <c r="AC879" i="1"/>
  <c r="AD879" i="1"/>
  <c r="AE879" i="1"/>
  <c r="W880" i="1"/>
  <c r="X880" i="1"/>
  <c r="Y880" i="1"/>
  <c r="Z880" i="1"/>
  <c r="AA880" i="1"/>
  <c r="AB880" i="1"/>
  <c r="AC880" i="1"/>
  <c r="AD880" i="1"/>
  <c r="AE880" i="1"/>
  <c r="W881" i="1"/>
  <c r="X881" i="1"/>
  <c r="Y881" i="1"/>
  <c r="Z881" i="1"/>
  <c r="AA881" i="1"/>
  <c r="AB881" i="1"/>
  <c r="AC881" i="1"/>
  <c r="AD881" i="1"/>
  <c r="AE881" i="1"/>
  <c r="W882" i="1"/>
  <c r="X882" i="1"/>
  <c r="Y882" i="1"/>
  <c r="Z882" i="1"/>
  <c r="AA882" i="1"/>
  <c r="AB882" i="1"/>
  <c r="AC882" i="1"/>
  <c r="AD882" i="1"/>
  <c r="AE882" i="1"/>
  <c r="W883" i="1"/>
  <c r="X883" i="1"/>
  <c r="Y883" i="1"/>
  <c r="Z883" i="1"/>
  <c r="AA883" i="1"/>
  <c r="AB883" i="1"/>
  <c r="AC883" i="1"/>
  <c r="AD883" i="1"/>
  <c r="AE883" i="1"/>
  <c r="W884" i="1"/>
  <c r="X884" i="1"/>
  <c r="Y884" i="1"/>
  <c r="Z884" i="1"/>
  <c r="AA884" i="1"/>
  <c r="AB884" i="1"/>
  <c r="AC884" i="1"/>
  <c r="AD884" i="1"/>
  <c r="AE884" i="1"/>
  <c r="W885" i="1"/>
  <c r="X885" i="1"/>
  <c r="Y885" i="1"/>
  <c r="Z885" i="1"/>
  <c r="AA885" i="1"/>
  <c r="AB885" i="1"/>
  <c r="AC885" i="1"/>
  <c r="AD885" i="1"/>
  <c r="AE885" i="1"/>
  <c r="W886" i="1"/>
  <c r="X886" i="1"/>
  <c r="Y886" i="1"/>
  <c r="Z886" i="1"/>
  <c r="AA886" i="1"/>
  <c r="AB886" i="1"/>
  <c r="AC886" i="1"/>
  <c r="AD886" i="1"/>
  <c r="AE886" i="1"/>
  <c r="W887" i="1"/>
  <c r="X887" i="1"/>
  <c r="Y887" i="1"/>
  <c r="Z887" i="1"/>
  <c r="AA887" i="1"/>
  <c r="AB887" i="1"/>
  <c r="AC887" i="1"/>
  <c r="AD887" i="1"/>
  <c r="AE887" i="1"/>
  <c r="W888" i="1"/>
  <c r="X888" i="1"/>
  <c r="Y888" i="1"/>
  <c r="Z888" i="1"/>
  <c r="AA888" i="1"/>
  <c r="AB888" i="1"/>
  <c r="AC888" i="1"/>
  <c r="AD888" i="1"/>
  <c r="AE888" i="1"/>
  <c r="W889" i="1"/>
  <c r="X889" i="1"/>
  <c r="Y889" i="1"/>
  <c r="Z889" i="1"/>
  <c r="AA889" i="1"/>
  <c r="AB889" i="1"/>
  <c r="AC889" i="1"/>
  <c r="AD889" i="1"/>
  <c r="AE889" i="1"/>
  <c r="W890" i="1"/>
  <c r="X890" i="1"/>
  <c r="Y890" i="1"/>
  <c r="Z890" i="1"/>
  <c r="AA890" i="1"/>
  <c r="AB890" i="1"/>
  <c r="AC890" i="1"/>
  <c r="AD890" i="1"/>
  <c r="AE890" i="1"/>
  <c r="W891" i="1"/>
  <c r="X891" i="1"/>
  <c r="Y891" i="1"/>
  <c r="Z891" i="1"/>
  <c r="AA891" i="1"/>
  <c r="AB891" i="1"/>
  <c r="AC891" i="1"/>
  <c r="AD891" i="1"/>
  <c r="AE891" i="1"/>
  <c r="W892" i="1"/>
  <c r="X892" i="1"/>
  <c r="Y892" i="1"/>
  <c r="Z892" i="1"/>
  <c r="AA892" i="1"/>
  <c r="AB892" i="1"/>
  <c r="AC892" i="1"/>
  <c r="AD892" i="1"/>
  <c r="AE892" i="1"/>
  <c r="W893" i="1"/>
  <c r="X893" i="1"/>
  <c r="Y893" i="1"/>
  <c r="Z893" i="1"/>
  <c r="AA893" i="1"/>
  <c r="AB893" i="1"/>
  <c r="AC893" i="1"/>
  <c r="AD893" i="1"/>
  <c r="AE893" i="1"/>
  <c r="W894" i="1"/>
  <c r="X894" i="1"/>
  <c r="Y894" i="1"/>
  <c r="Z894" i="1"/>
  <c r="AA894" i="1"/>
  <c r="AB894" i="1"/>
  <c r="AC894" i="1"/>
  <c r="AD894" i="1"/>
  <c r="AE894" i="1"/>
  <c r="W895" i="1"/>
  <c r="X895" i="1"/>
  <c r="Y895" i="1"/>
  <c r="Z895" i="1"/>
  <c r="AA895" i="1"/>
  <c r="AB895" i="1"/>
  <c r="AC895" i="1"/>
  <c r="AD895" i="1"/>
  <c r="AE895" i="1"/>
  <c r="W896" i="1"/>
  <c r="X896" i="1"/>
  <c r="Y896" i="1"/>
  <c r="Z896" i="1"/>
  <c r="AA896" i="1"/>
  <c r="AB896" i="1"/>
  <c r="AC896" i="1"/>
  <c r="AD896" i="1"/>
  <c r="AE896" i="1"/>
  <c r="W897" i="1"/>
  <c r="X897" i="1"/>
  <c r="Y897" i="1"/>
  <c r="Z897" i="1"/>
  <c r="AA897" i="1"/>
  <c r="AB897" i="1"/>
  <c r="AC897" i="1"/>
  <c r="AD897" i="1"/>
  <c r="AE897" i="1"/>
  <c r="W898" i="1"/>
  <c r="X898" i="1"/>
  <c r="Y898" i="1"/>
  <c r="Z898" i="1"/>
  <c r="AA898" i="1"/>
  <c r="AB898" i="1"/>
  <c r="AC898" i="1"/>
  <c r="AD898" i="1"/>
  <c r="AE898" i="1"/>
  <c r="W899" i="1"/>
  <c r="X899" i="1"/>
  <c r="Y899" i="1"/>
  <c r="Z899" i="1"/>
  <c r="AA899" i="1"/>
  <c r="AB899" i="1"/>
  <c r="AC899" i="1"/>
  <c r="AD899" i="1"/>
  <c r="AE899" i="1"/>
  <c r="W900" i="1"/>
  <c r="X900" i="1"/>
  <c r="Y900" i="1"/>
  <c r="Z900" i="1"/>
  <c r="AA900" i="1"/>
  <c r="AB900" i="1"/>
  <c r="AC900" i="1"/>
  <c r="AD900" i="1"/>
  <c r="AE900" i="1"/>
  <c r="W901" i="1"/>
  <c r="X901" i="1"/>
  <c r="Y901" i="1"/>
  <c r="Z901" i="1"/>
  <c r="AA901" i="1"/>
  <c r="AB901" i="1"/>
  <c r="AC901" i="1"/>
  <c r="AD901" i="1"/>
  <c r="AE901" i="1"/>
  <c r="W902" i="1"/>
  <c r="X902" i="1"/>
  <c r="Y902" i="1"/>
  <c r="Z902" i="1"/>
  <c r="AA902" i="1"/>
  <c r="AB902" i="1"/>
  <c r="AC902" i="1"/>
  <c r="AD902" i="1"/>
  <c r="AE902" i="1"/>
  <c r="W903" i="1"/>
  <c r="X903" i="1"/>
  <c r="Y903" i="1"/>
  <c r="Z903" i="1"/>
  <c r="AA903" i="1"/>
  <c r="AB903" i="1"/>
  <c r="AC903" i="1"/>
  <c r="AD903" i="1"/>
  <c r="AE903" i="1"/>
  <c r="W904" i="1"/>
  <c r="X904" i="1"/>
  <c r="Y904" i="1"/>
  <c r="Z904" i="1"/>
  <c r="AA904" i="1"/>
  <c r="AB904" i="1"/>
  <c r="AC904" i="1"/>
  <c r="AD904" i="1"/>
  <c r="AE904" i="1"/>
  <c r="W905" i="1"/>
  <c r="X905" i="1"/>
  <c r="Y905" i="1"/>
  <c r="Z905" i="1"/>
  <c r="AA905" i="1"/>
  <c r="AB905" i="1"/>
  <c r="AC905" i="1"/>
  <c r="AD905" i="1"/>
  <c r="AE905" i="1"/>
  <c r="W906" i="1"/>
  <c r="X906" i="1"/>
  <c r="Y906" i="1"/>
  <c r="Z906" i="1"/>
  <c r="AA906" i="1"/>
  <c r="AB906" i="1"/>
  <c r="AC906" i="1"/>
  <c r="AD906" i="1"/>
  <c r="AE906" i="1"/>
  <c r="W907" i="1"/>
  <c r="X907" i="1"/>
  <c r="Y907" i="1"/>
  <c r="Z907" i="1"/>
  <c r="AA907" i="1"/>
  <c r="AB907" i="1"/>
  <c r="AC907" i="1"/>
  <c r="AD907" i="1"/>
  <c r="AE907" i="1"/>
  <c r="W908" i="1"/>
  <c r="X908" i="1"/>
  <c r="Y908" i="1"/>
  <c r="Z908" i="1"/>
  <c r="AA908" i="1"/>
  <c r="AB908" i="1"/>
  <c r="AC908" i="1"/>
  <c r="AD908" i="1"/>
  <c r="AE908" i="1"/>
  <c r="W909" i="1"/>
  <c r="X909" i="1"/>
  <c r="Y909" i="1"/>
  <c r="Z909" i="1"/>
  <c r="AA909" i="1"/>
  <c r="AB909" i="1"/>
  <c r="AC909" i="1"/>
  <c r="AD909" i="1"/>
  <c r="AE909" i="1"/>
  <c r="W910" i="1"/>
  <c r="X910" i="1"/>
  <c r="Y910" i="1"/>
  <c r="Z910" i="1"/>
  <c r="AA910" i="1"/>
  <c r="AB910" i="1"/>
  <c r="AC910" i="1"/>
  <c r="AD910" i="1"/>
  <c r="AE910" i="1"/>
  <c r="W911" i="1"/>
  <c r="X911" i="1"/>
  <c r="Y911" i="1"/>
  <c r="Z911" i="1"/>
  <c r="AA911" i="1"/>
  <c r="AB911" i="1"/>
  <c r="AC911" i="1"/>
  <c r="AD911" i="1"/>
  <c r="AE911" i="1"/>
  <c r="W912" i="1"/>
  <c r="X912" i="1"/>
  <c r="Y912" i="1"/>
  <c r="Z912" i="1"/>
  <c r="AA912" i="1"/>
  <c r="AB912" i="1"/>
  <c r="AC912" i="1"/>
  <c r="AD912" i="1"/>
  <c r="AE912" i="1"/>
  <c r="W913" i="1"/>
  <c r="X913" i="1"/>
  <c r="Y913" i="1"/>
  <c r="Z913" i="1"/>
  <c r="AA913" i="1"/>
  <c r="AB913" i="1"/>
  <c r="AC913" i="1"/>
  <c r="AD913" i="1"/>
  <c r="AE913" i="1"/>
  <c r="W914" i="1"/>
  <c r="X914" i="1"/>
  <c r="Y914" i="1"/>
  <c r="Z914" i="1"/>
  <c r="AA914" i="1"/>
  <c r="AB914" i="1"/>
  <c r="AC914" i="1"/>
  <c r="AD914" i="1"/>
  <c r="AE914" i="1"/>
  <c r="W915" i="1"/>
  <c r="X915" i="1"/>
  <c r="Y915" i="1"/>
  <c r="Z915" i="1"/>
  <c r="AA915" i="1"/>
  <c r="AB915" i="1"/>
  <c r="AC915" i="1"/>
  <c r="AD915" i="1"/>
  <c r="AE915" i="1"/>
  <c r="W916" i="1"/>
  <c r="X916" i="1"/>
  <c r="Y916" i="1"/>
  <c r="Z916" i="1"/>
  <c r="AA916" i="1"/>
  <c r="AB916" i="1"/>
  <c r="AC916" i="1"/>
  <c r="AD916" i="1"/>
  <c r="AE916" i="1"/>
  <c r="W917" i="1"/>
  <c r="X917" i="1"/>
  <c r="Y917" i="1"/>
  <c r="Z917" i="1"/>
  <c r="AA917" i="1"/>
  <c r="AB917" i="1"/>
  <c r="AC917" i="1"/>
  <c r="AD917" i="1"/>
  <c r="AE917" i="1"/>
  <c r="W918" i="1"/>
  <c r="X918" i="1"/>
  <c r="Y918" i="1"/>
  <c r="Z918" i="1"/>
  <c r="AA918" i="1"/>
  <c r="AB918" i="1"/>
  <c r="AC918" i="1"/>
  <c r="AD918" i="1"/>
  <c r="AE918" i="1"/>
  <c r="W919" i="1"/>
  <c r="X919" i="1"/>
  <c r="Y919" i="1"/>
  <c r="Z919" i="1"/>
  <c r="AA919" i="1"/>
  <c r="AB919" i="1"/>
  <c r="AC919" i="1"/>
  <c r="AD919" i="1"/>
  <c r="AE919" i="1"/>
  <c r="W920" i="1"/>
  <c r="X920" i="1"/>
  <c r="Y920" i="1"/>
  <c r="Z920" i="1"/>
  <c r="AA920" i="1"/>
  <c r="AB920" i="1"/>
  <c r="AC920" i="1"/>
  <c r="AD920" i="1"/>
  <c r="AE920" i="1"/>
  <c r="W921" i="1"/>
  <c r="X921" i="1"/>
  <c r="Y921" i="1"/>
  <c r="Z921" i="1"/>
  <c r="AA921" i="1"/>
  <c r="AB921" i="1"/>
  <c r="AC921" i="1"/>
  <c r="AD921" i="1"/>
  <c r="AE921" i="1"/>
  <c r="W922" i="1"/>
  <c r="X922" i="1"/>
  <c r="Y922" i="1"/>
  <c r="Z922" i="1"/>
  <c r="AA922" i="1"/>
  <c r="AB922" i="1"/>
  <c r="AC922" i="1"/>
  <c r="AD922" i="1"/>
  <c r="AE922" i="1"/>
  <c r="W923" i="1"/>
  <c r="X923" i="1"/>
  <c r="Y923" i="1"/>
  <c r="Z923" i="1"/>
  <c r="AA923" i="1"/>
  <c r="AB923" i="1"/>
  <c r="AC923" i="1"/>
  <c r="AD923" i="1"/>
  <c r="AE923" i="1"/>
  <c r="W924" i="1"/>
  <c r="X924" i="1"/>
  <c r="Y924" i="1"/>
  <c r="Z924" i="1"/>
  <c r="AA924" i="1"/>
  <c r="AB924" i="1"/>
  <c r="AC924" i="1"/>
  <c r="AD924" i="1"/>
  <c r="AE924" i="1"/>
  <c r="W925" i="1"/>
  <c r="X925" i="1"/>
  <c r="Y925" i="1"/>
  <c r="Z925" i="1"/>
  <c r="AA925" i="1"/>
  <c r="AB925" i="1"/>
  <c r="AC925" i="1"/>
  <c r="AD925" i="1"/>
  <c r="AE925" i="1"/>
  <c r="W926" i="1"/>
  <c r="X926" i="1"/>
  <c r="Y926" i="1"/>
  <c r="Z926" i="1"/>
  <c r="AA926" i="1"/>
  <c r="AB926" i="1"/>
  <c r="AC926" i="1"/>
  <c r="AD926" i="1"/>
  <c r="AE926" i="1"/>
  <c r="W927" i="1"/>
  <c r="X927" i="1"/>
  <c r="Y927" i="1"/>
  <c r="Z927" i="1"/>
  <c r="AA927" i="1"/>
  <c r="AB927" i="1"/>
  <c r="AC927" i="1"/>
  <c r="AD927" i="1"/>
  <c r="AE927" i="1"/>
  <c r="W928" i="1"/>
  <c r="X928" i="1"/>
  <c r="Y928" i="1"/>
  <c r="Z928" i="1"/>
  <c r="AA928" i="1"/>
  <c r="AB928" i="1"/>
  <c r="AC928" i="1"/>
  <c r="AD928" i="1"/>
  <c r="AE928" i="1"/>
  <c r="W929" i="1"/>
  <c r="X929" i="1"/>
  <c r="Y929" i="1"/>
  <c r="Z929" i="1"/>
  <c r="AA929" i="1"/>
  <c r="AB929" i="1"/>
  <c r="AC929" i="1"/>
  <c r="AD929" i="1"/>
  <c r="AE929" i="1"/>
  <c r="W930" i="1"/>
  <c r="X930" i="1"/>
  <c r="Y930" i="1"/>
  <c r="Z930" i="1"/>
  <c r="AA930" i="1"/>
  <c r="AB930" i="1"/>
  <c r="AC930" i="1"/>
  <c r="AD930" i="1"/>
  <c r="AE930" i="1"/>
  <c r="W931" i="1"/>
  <c r="X931" i="1"/>
  <c r="Y931" i="1"/>
  <c r="Z931" i="1"/>
  <c r="AA931" i="1"/>
  <c r="AB931" i="1"/>
  <c r="AC931" i="1"/>
  <c r="AD931" i="1"/>
  <c r="AE931" i="1"/>
  <c r="W932" i="1"/>
  <c r="X932" i="1"/>
  <c r="Y932" i="1"/>
  <c r="Z932" i="1"/>
  <c r="AA932" i="1"/>
  <c r="AB932" i="1"/>
  <c r="AC932" i="1"/>
  <c r="AD932" i="1"/>
  <c r="AE932" i="1"/>
  <c r="W933" i="1"/>
  <c r="X933" i="1"/>
  <c r="Y933" i="1"/>
  <c r="Z933" i="1"/>
  <c r="AA933" i="1"/>
  <c r="AB933" i="1"/>
  <c r="AC933" i="1"/>
  <c r="AD933" i="1"/>
  <c r="AE933" i="1"/>
  <c r="W934" i="1"/>
  <c r="X934" i="1"/>
  <c r="Y934" i="1"/>
  <c r="Z934" i="1"/>
  <c r="AA934" i="1"/>
  <c r="AB934" i="1"/>
  <c r="AC934" i="1"/>
  <c r="AD934" i="1"/>
  <c r="AE934" i="1"/>
  <c r="W935" i="1"/>
  <c r="X935" i="1"/>
  <c r="Y935" i="1"/>
  <c r="Z935" i="1"/>
  <c r="AA935" i="1"/>
  <c r="AB935" i="1"/>
  <c r="AC935" i="1"/>
  <c r="AD935" i="1"/>
  <c r="AE935" i="1"/>
  <c r="W936" i="1"/>
  <c r="X936" i="1"/>
  <c r="Y936" i="1"/>
  <c r="Z936" i="1"/>
  <c r="AA936" i="1"/>
  <c r="AB936" i="1"/>
  <c r="AC936" i="1"/>
  <c r="AD936" i="1"/>
  <c r="AE936" i="1"/>
  <c r="W937" i="1"/>
  <c r="X937" i="1"/>
  <c r="Y937" i="1"/>
  <c r="Z937" i="1"/>
  <c r="AA937" i="1"/>
  <c r="AB937" i="1"/>
  <c r="AC937" i="1"/>
  <c r="AD937" i="1"/>
  <c r="AE937" i="1"/>
  <c r="W938" i="1"/>
  <c r="X938" i="1"/>
  <c r="Y938" i="1"/>
  <c r="Z938" i="1"/>
  <c r="AA938" i="1"/>
  <c r="AB938" i="1"/>
  <c r="AC938" i="1"/>
  <c r="AD938" i="1"/>
  <c r="AE938" i="1"/>
  <c r="W939" i="1"/>
  <c r="X939" i="1"/>
  <c r="Y939" i="1"/>
  <c r="Z939" i="1"/>
  <c r="AA939" i="1"/>
  <c r="AB939" i="1"/>
  <c r="AC939" i="1"/>
  <c r="AD939" i="1"/>
  <c r="AE939" i="1"/>
  <c r="W940" i="1"/>
  <c r="X940" i="1"/>
  <c r="Y940" i="1"/>
  <c r="Z940" i="1"/>
  <c r="AA940" i="1"/>
  <c r="AB940" i="1"/>
  <c r="AC940" i="1"/>
  <c r="AD940" i="1"/>
  <c r="AE940" i="1"/>
  <c r="W941" i="1"/>
  <c r="X941" i="1"/>
  <c r="Y941" i="1"/>
  <c r="Z941" i="1"/>
  <c r="AA941" i="1"/>
  <c r="AB941" i="1"/>
  <c r="AC941" i="1"/>
  <c r="AD941" i="1"/>
  <c r="AE941" i="1"/>
  <c r="W942" i="1"/>
  <c r="X942" i="1"/>
  <c r="Y942" i="1"/>
  <c r="Z942" i="1"/>
  <c r="AA942" i="1"/>
  <c r="AB942" i="1"/>
  <c r="AC942" i="1"/>
  <c r="AD942" i="1"/>
  <c r="AE942" i="1"/>
  <c r="W943" i="1"/>
  <c r="X943" i="1"/>
  <c r="Y943" i="1"/>
  <c r="Z943" i="1"/>
  <c r="AA943" i="1"/>
  <c r="AB943" i="1"/>
  <c r="AC943" i="1"/>
  <c r="AD943" i="1"/>
  <c r="AE943" i="1"/>
  <c r="W944" i="1"/>
  <c r="X944" i="1"/>
  <c r="Y944" i="1"/>
  <c r="Z944" i="1"/>
  <c r="AA944" i="1"/>
  <c r="AB944" i="1"/>
  <c r="AC944" i="1"/>
  <c r="AD944" i="1"/>
  <c r="AE944" i="1"/>
  <c r="W945" i="1"/>
  <c r="X945" i="1"/>
  <c r="Y945" i="1"/>
  <c r="Z945" i="1"/>
  <c r="AA945" i="1"/>
  <c r="AB945" i="1"/>
  <c r="AC945" i="1"/>
  <c r="AD945" i="1"/>
  <c r="AE945" i="1"/>
  <c r="W946" i="1"/>
  <c r="X946" i="1"/>
  <c r="Y946" i="1"/>
  <c r="Z946" i="1"/>
  <c r="AA946" i="1"/>
  <c r="AB946" i="1"/>
  <c r="AC946" i="1"/>
  <c r="AD946" i="1"/>
  <c r="AE946" i="1"/>
  <c r="W947" i="1"/>
  <c r="X947" i="1"/>
  <c r="Y947" i="1"/>
  <c r="Z947" i="1"/>
  <c r="AA947" i="1"/>
  <c r="AB947" i="1"/>
  <c r="AC947" i="1"/>
  <c r="AD947" i="1"/>
  <c r="AE947" i="1"/>
  <c r="W948" i="1"/>
  <c r="X948" i="1"/>
  <c r="Y948" i="1"/>
  <c r="Z948" i="1"/>
  <c r="AA948" i="1"/>
  <c r="AB948" i="1"/>
  <c r="AC948" i="1"/>
  <c r="AD948" i="1"/>
  <c r="AE948" i="1"/>
  <c r="W949" i="1"/>
  <c r="X949" i="1"/>
  <c r="Y949" i="1"/>
  <c r="Z949" i="1"/>
  <c r="AA949" i="1"/>
  <c r="AB949" i="1"/>
  <c r="AC949" i="1"/>
  <c r="AD949" i="1"/>
  <c r="AE949" i="1"/>
  <c r="W950" i="1"/>
  <c r="X950" i="1"/>
  <c r="Y950" i="1"/>
  <c r="Z950" i="1"/>
  <c r="AA950" i="1"/>
  <c r="AB950" i="1"/>
  <c r="AC950" i="1"/>
  <c r="AD950" i="1"/>
  <c r="AE950" i="1"/>
  <c r="W951" i="1"/>
  <c r="X951" i="1"/>
  <c r="Y951" i="1"/>
  <c r="Z951" i="1"/>
  <c r="AA951" i="1"/>
  <c r="AB951" i="1"/>
  <c r="AC951" i="1"/>
  <c r="AD951" i="1"/>
  <c r="AE951" i="1"/>
  <c r="W952" i="1"/>
  <c r="X952" i="1"/>
  <c r="Y952" i="1"/>
  <c r="Z952" i="1"/>
  <c r="AA952" i="1"/>
  <c r="AB952" i="1"/>
  <c r="AC952" i="1"/>
  <c r="AD952" i="1"/>
  <c r="AE952" i="1"/>
  <c r="W953" i="1"/>
  <c r="X953" i="1"/>
  <c r="Y953" i="1"/>
  <c r="Z953" i="1"/>
  <c r="AA953" i="1"/>
  <c r="AB953" i="1"/>
  <c r="AC953" i="1"/>
  <c r="AD953" i="1"/>
  <c r="AE953" i="1"/>
  <c r="W954" i="1"/>
  <c r="X954" i="1"/>
  <c r="Y954" i="1"/>
  <c r="Z954" i="1"/>
  <c r="AA954" i="1"/>
  <c r="AB954" i="1"/>
  <c r="AC954" i="1"/>
  <c r="AD954" i="1"/>
  <c r="AE954" i="1"/>
  <c r="W955" i="1"/>
  <c r="X955" i="1"/>
  <c r="Y955" i="1"/>
  <c r="Z955" i="1"/>
  <c r="AA955" i="1"/>
  <c r="AB955" i="1"/>
  <c r="AC955" i="1"/>
  <c r="AD955" i="1"/>
  <c r="AE955" i="1"/>
  <c r="W956" i="1"/>
  <c r="X956" i="1"/>
  <c r="Y956" i="1"/>
  <c r="Z956" i="1"/>
  <c r="AA956" i="1"/>
  <c r="AB956" i="1"/>
  <c r="AC956" i="1"/>
  <c r="AD956" i="1"/>
  <c r="AE956" i="1"/>
  <c r="W957" i="1"/>
  <c r="X957" i="1"/>
  <c r="Y957" i="1"/>
  <c r="Z957" i="1"/>
  <c r="AA957" i="1"/>
  <c r="AB957" i="1"/>
  <c r="AC957" i="1"/>
  <c r="AD957" i="1"/>
  <c r="AE957" i="1"/>
  <c r="W958" i="1"/>
  <c r="X958" i="1"/>
  <c r="Y958" i="1"/>
  <c r="Z958" i="1"/>
  <c r="AA958" i="1"/>
  <c r="AB958" i="1"/>
  <c r="AC958" i="1"/>
  <c r="AD958" i="1"/>
  <c r="AE958" i="1"/>
  <c r="W959" i="1"/>
  <c r="X959" i="1"/>
  <c r="Y959" i="1"/>
  <c r="Z959" i="1"/>
  <c r="AA959" i="1"/>
  <c r="AB959" i="1"/>
  <c r="AC959" i="1"/>
  <c r="AD959" i="1"/>
  <c r="AE959" i="1"/>
  <c r="W960" i="1"/>
  <c r="X960" i="1"/>
  <c r="Y960" i="1"/>
  <c r="Z960" i="1"/>
  <c r="AA960" i="1"/>
  <c r="AB960" i="1"/>
  <c r="AC960" i="1"/>
  <c r="AD960" i="1"/>
  <c r="AE960" i="1"/>
  <c r="W961" i="1"/>
  <c r="X961" i="1"/>
  <c r="Y961" i="1"/>
  <c r="Z961" i="1"/>
  <c r="AA961" i="1"/>
  <c r="AB961" i="1"/>
  <c r="AC961" i="1"/>
  <c r="AD961" i="1"/>
  <c r="AE961" i="1"/>
  <c r="W962" i="1"/>
  <c r="X962" i="1"/>
  <c r="Y962" i="1"/>
  <c r="Z962" i="1"/>
  <c r="AA962" i="1"/>
  <c r="AB962" i="1"/>
  <c r="AC962" i="1"/>
  <c r="AD962" i="1"/>
  <c r="AE962" i="1"/>
  <c r="W963" i="1"/>
  <c r="X963" i="1"/>
  <c r="Y963" i="1"/>
  <c r="Z963" i="1"/>
  <c r="AA963" i="1"/>
  <c r="AB963" i="1"/>
  <c r="AC963" i="1"/>
  <c r="AD963" i="1"/>
  <c r="AE963" i="1"/>
  <c r="W964" i="1"/>
  <c r="X964" i="1"/>
  <c r="Y964" i="1"/>
  <c r="Z964" i="1"/>
  <c r="AA964" i="1"/>
  <c r="AB964" i="1"/>
  <c r="AC964" i="1"/>
  <c r="AD964" i="1"/>
  <c r="AE964" i="1"/>
  <c r="W965" i="1"/>
  <c r="X965" i="1"/>
  <c r="Y965" i="1"/>
  <c r="Z965" i="1"/>
  <c r="AA965" i="1"/>
  <c r="AB965" i="1"/>
  <c r="AC965" i="1"/>
  <c r="AD965" i="1"/>
  <c r="AE965" i="1"/>
  <c r="W966" i="1"/>
  <c r="X966" i="1"/>
  <c r="Y966" i="1"/>
  <c r="Z966" i="1"/>
  <c r="AA966" i="1"/>
  <c r="AB966" i="1"/>
  <c r="AC966" i="1"/>
  <c r="AD966" i="1"/>
  <c r="AE966" i="1"/>
  <c r="W967" i="1"/>
  <c r="X967" i="1"/>
  <c r="Y967" i="1"/>
  <c r="Z967" i="1"/>
  <c r="AA967" i="1"/>
  <c r="AB967" i="1"/>
  <c r="AC967" i="1"/>
  <c r="AD967" i="1"/>
  <c r="AE967" i="1"/>
  <c r="W968" i="1"/>
  <c r="X968" i="1"/>
  <c r="Y968" i="1"/>
  <c r="Z968" i="1"/>
  <c r="AA968" i="1"/>
  <c r="AB968" i="1"/>
  <c r="AC968" i="1"/>
  <c r="AD968" i="1"/>
  <c r="AE968" i="1"/>
  <c r="W969" i="1"/>
  <c r="X969" i="1"/>
  <c r="Y969" i="1"/>
  <c r="Z969" i="1"/>
  <c r="AA969" i="1"/>
  <c r="AB969" i="1"/>
  <c r="AC969" i="1"/>
  <c r="AD969" i="1"/>
  <c r="AE969" i="1"/>
  <c r="W970" i="1"/>
  <c r="X970" i="1"/>
  <c r="Y970" i="1"/>
  <c r="Z970" i="1"/>
  <c r="AA970" i="1"/>
  <c r="AB970" i="1"/>
  <c r="AC970" i="1"/>
  <c r="AD970" i="1"/>
  <c r="AE970" i="1"/>
  <c r="W971" i="1"/>
  <c r="X971" i="1"/>
  <c r="Y971" i="1"/>
  <c r="Z971" i="1"/>
  <c r="AA971" i="1"/>
  <c r="AB971" i="1"/>
  <c r="AC971" i="1"/>
  <c r="AD971" i="1"/>
  <c r="AE971" i="1"/>
  <c r="W972" i="1"/>
  <c r="X972" i="1"/>
  <c r="Y972" i="1"/>
  <c r="Z972" i="1"/>
  <c r="AA972" i="1"/>
  <c r="AB972" i="1"/>
  <c r="AC972" i="1"/>
  <c r="AD972" i="1"/>
  <c r="AE972" i="1"/>
  <c r="W973" i="1"/>
  <c r="X973" i="1"/>
  <c r="Y973" i="1"/>
  <c r="Z973" i="1"/>
  <c r="AA973" i="1"/>
  <c r="AB973" i="1"/>
  <c r="AC973" i="1"/>
  <c r="AD973" i="1"/>
  <c r="AE973" i="1"/>
  <c r="W974" i="1"/>
  <c r="X974" i="1"/>
  <c r="Y974" i="1"/>
  <c r="Z974" i="1"/>
  <c r="AA974" i="1"/>
  <c r="AB974" i="1"/>
  <c r="AC974" i="1"/>
  <c r="AD974" i="1"/>
  <c r="AE974" i="1"/>
  <c r="W975" i="1"/>
  <c r="X975" i="1"/>
  <c r="Y975" i="1"/>
  <c r="Z975" i="1"/>
  <c r="AA975" i="1"/>
  <c r="AB975" i="1"/>
  <c r="AC975" i="1"/>
  <c r="AD975" i="1"/>
  <c r="AE975" i="1"/>
  <c r="W976" i="1"/>
  <c r="X976" i="1"/>
  <c r="Y976" i="1"/>
  <c r="Z976" i="1"/>
  <c r="AA976" i="1"/>
  <c r="AB976" i="1"/>
  <c r="AC976" i="1"/>
  <c r="AD976" i="1"/>
  <c r="AE976" i="1"/>
  <c r="W977" i="1"/>
  <c r="X977" i="1"/>
  <c r="Y977" i="1"/>
  <c r="Z977" i="1"/>
  <c r="AA977" i="1"/>
  <c r="AB977" i="1"/>
  <c r="AC977" i="1"/>
  <c r="AD977" i="1"/>
  <c r="AE977" i="1"/>
  <c r="W978" i="1"/>
  <c r="X978" i="1"/>
  <c r="Y978" i="1"/>
  <c r="Z978" i="1"/>
  <c r="AA978" i="1"/>
  <c r="AB978" i="1"/>
  <c r="AC978" i="1"/>
  <c r="AD978" i="1"/>
  <c r="AE978" i="1"/>
  <c r="W979" i="1"/>
  <c r="X979" i="1"/>
  <c r="Y979" i="1"/>
  <c r="Z979" i="1"/>
  <c r="AA979" i="1"/>
  <c r="AB979" i="1"/>
  <c r="AC979" i="1"/>
  <c r="AD979" i="1"/>
  <c r="AE979" i="1"/>
  <c r="W980" i="1"/>
  <c r="X980" i="1"/>
  <c r="Y980" i="1"/>
  <c r="Z980" i="1"/>
  <c r="AA980" i="1"/>
  <c r="AB980" i="1"/>
  <c r="AC980" i="1"/>
  <c r="AD980" i="1"/>
  <c r="AE980" i="1"/>
  <c r="W981" i="1"/>
  <c r="X981" i="1"/>
  <c r="Y981" i="1"/>
  <c r="Z981" i="1"/>
  <c r="AA981" i="1"/>
  <c r="AB981" i="1"/>
  <c r="AC981" i="1"/>
  <c r="AD981" i="1"/>
  <c r="AE981" i="1"/>
  <c r="W982" i="1"/>
  <c r="X982" i="1"/>
  <c r="Y982" i="1"/>
  <c r="Z982" i="1"/>
  <c r="AA982" i="1"/>
  <c r="AB982" i="1"/>
  <c r="AC982" i="1"/>
  <c r="AD982" i="1"/>
  <c r="AE982" i="1"/>
  <c r="W983" i="1"/>
  <c r="X983" i="1"/>
  <c r="Y983" i="1"/>
  <c r="Z983" i="1"/>
  <c r="AA983" i="1"/>
  <c r="AB983" i="1"/>
  <c r="AC983" i="1"/>
  <c r="AD983" i="1"/>
  <c r="AE983" i="1"/>
  <c r="W984" i="1"/>
  <c r="X984" i="1"/>
  <c r="Y984" i="1"/>
  <c r="Z984" i="1"/>
  <c r="AA984" i="1"/>
  <c r="AB984" i="1"/>
  <c r="AC984" i="1"/>
  <c r="AD984" i="1"/>
  <c r="AE984" i="1"/>
  <c r="W985" i="1"/>
  <c r="X985" i="1"/>
  <c r="Y985" i="1"/>
  <c r="Z985" i="1"/>
  <c r="AA985" i="1"/>
  <c r="AB985" i="1"/>
  <c r="AC985" i="1"/>
  <c r="AD985" i="1"/>
  <c r="AE985" i="1"/>
  <c r="W986" i="1"/>
  <c r="X986" i="1"/>
  <c r="Y986" i="1"/>
  <c r="Z986" i="1"/>
  <c r="AA986" i="1"/>
  <c r="AB986" i="1"/>
  <c r="AC986" i="1"/>
  <c r="AD986" i="1"/>
  <c r="AE986" i="1"/>
  <c r="W987" i="1"/>
  <c r="X987" i="1"/>
  <c r="Y987" i="1"/>
  <c r="Z987" i="1"/>
  <c r="AA987" i="1"/>
  <c r="AB987" i="1"/>
  <c r="AC987" i="1"/>
  <c r="AD987" i="1"/>
  <c r="AE987" i="1"/>
  <c r="W988" i="1"/>
  <c r="X988" i="1"/>
  <c r="Y988" i="1"/>
  <c r="Z988" i="1"/>
  <c r="AA988" i="1"/>
  <c r="AB988" i="1"/>
  <c r="AC988" i="1"/>
  <c r="AD988" i="1"/>
  <c r="AE988" i="1"/>
  <c r="W989" i="1"/>
  <c r="X989" i="1"/>
  <c r="Y989" i="1"/>
  <c r="Z989" i="1"/>
  <c r="AA989" i="1"/>
  <c r="AB989" i="1"/>
  <c r="AC989" i="1"/>
  <c r="AD989" i="1"/>
  <c r="AE989" i="1"/>
  <c r="W990" i="1"/>
  <c r="X990" i="1"/>
  <c r="Y990" i="1"/>
  <c r="Z990" i="1"/>
  <c r="AA990" i="1"/>
  <c r="AB990" i="1"/>
  <c r="AC990" i="1"/>
  <c r="AD990" i="1"/>
  <c r="AE990" i="1"/>
  <c r="W991" i="1"/>
  <c r="X991" i="1"/>
  <c r="Y991" i="1"/>
  <c r="Z991" i="1"/>
  <c r="AA991" i="1"/>
  <c r="AB991" i="1"/>
  <c r="AC991" i="1"/>
  <c r="AD991" i="1"/>
  <c r="AE991" i="1"/>
  <c r="W992" i="1"/>
  <c r="X992" i="1"/>
  <c r="Y992" i="1"/>
  <c r="Z992" i="1"/>
  <c r="AA992" i="1"/>
  <c r="AB992" i="1"/>
  <c r="AC992" i="1"/>
  <c r="AD992" i="1"/>
  <c r="AE992" i="1"/>
  <c r="W993" i="1"/>
  <c r="X993" i="1"/>
  <c r="Y993" i="1"/>
  <c r="Z993" i="1"/>
  <c r="AA993" i="1"/>
  <c r="AB993" i="1"/>
  <c r="AC993" i="1"/>
  <c r="AD993" i="1"/>
  <c r="AE993" i="1"/>
  <c r="W994" i="1"/>
  <c r="X994" i="1"/>
  <c r="Y994" i="1"/>
  <c r="Z994" i="1"/>
  <c r="AA994" i="1"/>
  <c r="AB994" i="1"/>
  <c r="AC994" i="1"/>
  <c r="AD994" i="1"/>
  <c r="AE994" i="1"/>
  <c r="W995" i="1"/>
  <c r="X995" i="1"/>
  <c r="Y995" i="1"/>
  <c r="Z995" i="1"/>
  <c r="AA995" i="1"/>
  <c r="AB995" i="1"/>
  <c r="AC995" i="1"/>
  <c r="AD995" i="1"/>
  <c r="AE995" i="1"/>
  <c r="W996" i="1"/>
  <c r="X996" i="1"/>
  <c r="Y996" i="1"/>
  <c r="Z996" i="1"/>
  <c r="AA996" i="1"/>
  <c r="AB996" i="1"/>
  <c r="AC996" i="1"/>
  <c r="AD996" i="1"/>
  <c r="AE996" i="1"/>
  <c r="W997" i="1"/>
  <c r="X997" i="1"/>
  <c r="Y997" i="1"/>
  <c r="Z997" i="1"/>
  <c r="AA997" i="1"/>
  <c r="AB997" i="1"/>
  <c r="AC997" i="1"/>
  <c r="AD997" i="1"/>
  <c r="AE997" i="1"/>
  <c r="W998" i="1"/>
  <c r="X998" i="1"/>
  <c r="Y998" i="1"/>
  <c r="Z998" i="1"/>
  <c r="AA998" i="1"/>
  <c r="AB998" i="1"/>
  <c r="AC998" i="1"/>
  <c r="AD998" i="1"/>
  <c r="AE998" i="1"/>
  <c r="W999" i="1"/>
  <c r="X999" i="1"/>
  <c r="Y999" i="1"/>
  <c r="Z999" i="1"/>
  <c r="AA999" i="1"/>
  <c r="AB999" i="1"/>
  <c r="AC999" i="1"/>
  <c r="AD999" i="1"/>
  <c r="AE999" i="1"/>
  <c r="W1000" i="1"/>
  <c r="X1000" i="1"/>
  <c r="Y1000" i="1"/>
  <c r="Z1000" i="1"/>
  <c r="AA1000" i="1"/>
  <c r="AB1000" i="1"/>
  <c r="AC1000" i="1"/>
  <c r="AD1000" i="1"/>
  <c r="AE1000" i="1"/>
  <c r="W1001" i="1"/>
  <c r="X1001" i="1"/>
  <c r="Y1001" i="1"/>
  <c r="Z1001" i="1"/>
  <c r="AA1001" i="1"/>
  <c r="AB1001" i="1"/>
  <c r="AC1001" i="1"/>
  <c r="AD1001" i="1"/>
  <c r="AE1001" i="1"/>
  <c r="W1002" i="1"/>
  <c r="X1002" i="1"/>
  <c r="Y1002" i="1"/>
  <c r="Z1002" i="1"/>
  <c r="AA1002" i="1"/>
  <c r="AB1002" i="1"/>
  <c r="AC1002" i="1"/>
  <c r="AD1002" i="1"/>
  <c r="AE1002" i="1"/>
  <c r="W1003" i="1"/>
  <c r="X1003" i="1"/>
  <c r="Y1003" i="1"/>
  <c r="Z1003" i="1"/>
  <c r="AA1003" i="1"/>
  <c r="AB1003" i="1"/>
  <c r="AC1003" i="1"/>
  <c r="AD1003" i="1"/>
  <c r="AE1003" i="1"/>
  <c r="W1004" i="1"/>
  <c r="X1004" i="1"/>
  <c r="Y1004" i="1"/>
  <c r="Z1004" i="1"/>
  <c r="AA1004" i="1"/>
  <c r="AB1004" i="1"/>
  <c r="AC1004" i="1"/>
  <c r="AD1004" i="1"/>
  <c r="AE1004" i="1"/>
  <c r="W1005" i="1"/>
  <c r="X1005" i="1"/>
  <c r="Y1005" i="1"/>
  <c r="Z1005" i="1"/>
  <c r="AA1005" i="1"/>
  <c r="AB1005" i="1"/>
  <c r="AC1005" i="1"/>
  <c r="AD1005" i="1"/>
  <c r="AE1005" i="1"/>
  <c r="W1006" i="1"/>
  <c r="X1006" i="1"/>
  <c r="Y1006" i="1"/>
  <c r="Z1006" i="1"/>
  <c r="AA1006" i="1"/>
  <c r="AB1006" i="1"/>
  <c r="AC1006" i="1"/>
  <c r="AD1006" i="1"/>
  <c r="AE1006" i="1"/>
  <c r="W1007" i="1"/>
  <c r="X1007" i="1"/>
  <c r="Y1007" i="1"/>
  <c r="Z1007" i="1"/>
  <c r="AA1007" i="1"/>
  <c r="AB1007" i="1"/>
  <c r="AC1007" i="1"/>
  <c r="AD1007" i="1"/>
  <c r="AE1007" i="1"/>
  <c r="W1008" i="1"/>
  <c r="X1008" i="1"/>
  <c r="Y1008" i="1"/>
  <c r="Z1008" i="1"/>
  <c r="AA1008" i="1"/>
  <c r="AB1008" i="1"/>
  <c r="AC1008" i="1"/>
  <c r="AD1008" i="1"/>
  <c r="AE1008" i="1"/>
  <c r="W1009" i="1"/>
  <c r="X1009" i="1"/>
  <c r="Y1009" i="1"/>
  <c r="Z1009" i="1"/>
  <c r="AA1009" i="1"/>
  <c r="AB1009" i="1"/>
  <c r="AC1009" i="1"/>
  <c r="AD1009" i="1"/>
  <c r="AE1009" i="1"/>
  <c r="W1010" i="1"/>
  <c r="X1010" i="1"/>
  <c r="Y1010" i="1"/>
  <c r="Z1010" i="1"/>
  <c r="AA1010" i="1"/>
  <c r="AB1010" i="1"/>
  <c r="AC1010" i="1"/>
  <c r="AD1010" i="1"/>
  <c r="AE1010" i="1"/>
  <c r="W1011" i="1"/>
  <c r="X1011" i="1"/>
  <c r="Y1011" i="1"/>
  <c r="Z1011" i="1"/>
  <c r="AA1011" i="1"/>
  <c r="AB1011" i="1"/>
  <c r="AC1011" i="1"/>
  <c r="AD1011" i="1"/>
  <c r="AE1011" i="1"/>
  <c r="W1012" i="1"/>
  <c r="X1012" i="1"/>
  <c r="Y1012" i="1"/>
  <c r="Z1012" i="1"/>
  <c r="AA1012" i="1"/>
  <c r="AB1012" i="1"/>
  <c r="AC1012" i="1"/>
  <c r="AD1012" i="1"/>
  <c r="AE1012" i="1"/>
  <c r="W1013" i="1"/>
  <c r="X1013" i="1"/>
  <c r="Y1013" i="1"/>
  <c r="Z1013" i="1"/>
  <c r="AA1013" i="1"/>
  <c r="AB1013" i="1"/>
  <c r="AC1013" i="1"/>
  <c r="AD1013" i="1"/>
  <c r="AE1013" i="1"/>
  <c r="W1014" i="1"/>
  <c r="X1014" i="1"/>
  <c r="Y1014" i="1"/>
  <c r="Z1014" i="1"/>
  <c r="AA1014" i="1"/>
  <c r="AB1014" i="1"/>
  <c r="AC1014" i="1"/>
  <c r="AD1014" i="1"/>
  <c r="AE1014" i="1"/>
  <c r="W1015" i="1"/>
  <c r="X1015" i="1"/>
  <c r="Y1015" i="1"/>
  <c r="Z1015" i="1"/>
  <c r="AA1015" i="1"/>
  <c r="AB1015" i="1"/>
  <c r="AC1015" i="1"/>
  <c r="AD1015" i="1"/>
  <c r="AE1015" i="1"/>
  <c r="W1016" i="1"/>
  <c r="X1016" i="1"/>
  <c r="Y1016" i="1"/>
  <c r="Z1016" i="1"/>
  <c r="AA1016" i="1"/>
  <c r="AB1016" i="1"/>
  <c r="AC1016" i="1"/>
  <c r="AD1016" i="1"/>
  <c r="AE1016" i="1"/>
  <c r="W1017" i="1"/>
  <c r="X1017" i="1"/>
  <c r="Y1017" i="1"/>
  <c r="Z1017" i="1"/>
  <c r="AA1017" i="1"/>
  <c r="AB1017" i="1"/>
  <c r="AC1017" i="1"/>
  <c r="AD1017" i="1"/>
  <c r="AE1017" i="1"/>
  <c r="W1018" i="1"/>
  <c r="X1018" i="1"/>
  <c r="Y1018" i="1"/>
  <c r="Z1018" i="1"/>
  <c r="AA1018" i="1"/>
  <c r="AB1018" i="1"/>
  <c r="AC1018" i="1"/>
  <c r="AD1018" i="1"/>
  <c r="AE1018" i="1"/>
  <c r="W1019" i="1"/>
  <c r="X1019" i="1"/>
  <c r="Y1019" i="1"/>
  <c r="Z1019" i="1"/>
  <c r="AA1019" i="1"/>
  <c r="AB1019" i="1"/>
  <c r="AC1019" i="1"/>
  <c r="AD1019" i="1"/>
  <c r="AE1019" i="1"/>
  <c r="W1020" i="1"/>
  <c r="X1020" i="1"/>
  <c r="Y1020" i="1"/>
  <c r="Z1020" i="1"/>
  <c r="AA1020" i="1"/>
  <c r="AB1020" i="1"/>
  <c r="AC1020" i="1"/>
  <c r="AD1020" i="1"/>
  <c r="AE1020" i="1"/>
  <c r="W1021" i="1"/>
  <c r="X1021" i="1"/>
  <c r="Y1021" i="1"/>
  <c r="Z1021" i="1"/>
  <c r="AA1021" i="1"/>
  <c r="AB1021" i="1"/>
  <c r="AC1021" i="1"/>
  <c r="AD1021" i="1"/>
  <c r="AE1021" i="1"/>
  <c r="W1022" i="1"/>
  <c r="X1022" i="1"/>
  <c r="Y1022" i="1"/>
  <c r="Z1022" i="1"/>
  <c r="AA1022" i="1"/>
  <c r="AB1022" i="1"/>
  <c r="AC1022" i="1"/>
  <c r="AD1022" i="1"/>
  <c r="AE1022" i="1"/>
  <c r="W1023" i="1"/>
  <c r="X1023" i="1"/>
  <c r="Y1023" i="1"/>
  <c r="Z1023" i="1"/>
  <c r="AA1023" i="1"/>
  <c r="AB1023" i="1"/>
  <c r="AC1023" i="1"/>
  <c r="AD1023" i="1"/>
  <c r="AE1023" i="1"/>
  <c r="W1024" i="1"/>
  <c r="X1024" i="1"/>
  <c r="Y1024" i="1"/>
  <c r="Z1024" i="1"/>
  <c r="AA1024" i="1"/>
  <c r="AB1024" i="1"/>
  <c r="AC1024" i="1"/>
  <c r="AD1024" i="1"/>
  <c r="AE1024" i="1"/>
  <c r="W1025" i="1"/>
  <c r="X1025" i="1"/>
  <c r="Y1025" i="1"/>
  <c r="Z1025" i="1"/>
  <c r="AA1025" i="1"/>
  <c r="AB1025" i="1"/>
  <c r="AC1025" i="1"/>
  <c r="AD1025" i="1"/>
  <c r="AE1025" i="1"/>
  <c r="W1026" i="1"/>
  <c r="X1026" i="1"/>
  <c r="Y1026" i="1"/>
  <c r="Z1026" i="1"/>
  <c r="AA1026" i="1"/>
  <c r="AB1026" i="1"/>
  <c r="AC1026" i="1"/>
  <c r="AD1026" i="1"/>
  <c r="AE1026" i="1"/>
  <c r="W1027" i="1"/>
  <c r="X1027" i="1"/>
  <c r="Y1027" i="1"/>
  <c r="Z1027" i="1"/>
  <c r="AA1027" i="1"/>
  <c r="AB1027" i="1"/>
  <c r="AC1027" i="1"/>
  <c r="AD1027" i="1"/>
  <c r="AE1027" i="1"/>
  <c r="W1028" i="1"/>
  <c r="X1028" i="1"/>
  <c r="Y1028" i="1"/>
  <c r="Z1028" i="1"/>
  <c r="AA1028" i="1"/>
  <c r="AB1028" i="1"/>
  <c r="AC1028" i="1"/>
  <c r="AD1028" i="1"/>
  <c r="AE1028" i="1"/>
  <c r="W1029" i="1"/>
  <c r="X1029" i="1"/>
  <c r="Y1029" i="1"/>
  <c r="Z1029" i="1"/>
  <c r="AA1029" i="1"/>
  <c r="AB1029" i="1"/>
  <c r="AC1029" i="1"/>
  <c r="AD1029" i="1"/>
  <c r="AE1029" i="1"/>
  <c r="W1030" i="1"/>
  <c r="X1030" i="1"/>
  <c r="Y1030" i="1"/>
  <c r="Z1030" i="1"/>
  <c r="AA1030" i="1"/>
  <c r="AB1030" i="1"/>
  <c r="AC1030" i="1"/>
  <c r="AD1030" i="1"/>
  <c r="AE1030" i="1"/>
  <c r="W1031" i="1"/>
  <c r="X1031" i="1"/>
  <c r="Y1031" i="1"/>
  <c r="Z1031" i="1"/>
  <c r="AA1031" i="1"/>
  <c r="AB1031" i="1"/>
  <c r="AC1031" i="1"/>
  <c r="AD1031" i="1"/>
  <c r="AE1031" i="1"/>
  <c r="W1032" i="1"/>
  <c r="X1032" i="1"/>
  <c r="Y1032" i="1"/>
  <c r="Z1032" i="1"/>
  <c r="AA1032" i="1"/>
  <c r="AB1032" i="1"/>
  <c r="AC1032" i="1"/>
  <c r="AD1032" i="1"/>
  <c r="AE1032" i="1"/>
  <c r="W1033" i="1"/>
  <c r="X1033" i="1"/>
  <c r="Y1033" i="1"/>
  <c r="Z1033" i="1"/>
  <c r="AA1033" i="1"/>
  <c r="AB1033" i="1"/>
  <c r="AC1033" i="1"/>
  <c r="AD1033" i="1"/>
  <c r="AE1033" i="1"/>
  <c r="W1034" i="1"/>
  <c r="X1034" i="1"/>
  <c r="Y1034" i="1"/>
  <c r="Z1034" i="1"/>
  <c r="AA1034" i="1"/>
  <c r="AB1034" i="1"/>
  <c r="AC1034" i="1"/>
  <c r="AD1034" i="1"/>
  <c r="AE1034" i="1"/>
  <c r="W1035" i="1"/>
  <c r="X1035" i="1"/>
  <c r="Y1035" i="1"/>
  <c r="Z1035" i="1"/>
  <c r="AA1035" i="1"/>
  <c r="AB1035" i="1"/>
  <c r="AC1035" i="1"/>
  <c r="AD1035" i="1"/>
  <c r="AE1035" i="1"/>
  <c r="W1036" i="1"/>
  <c r="X1036" i="1"/>
  <c r="Y1036" i="1"/>
  <c r="Z1036" i="1"/>
  <c r="AA1036" i="1"/>
  <c r="AB1036" i="1"/>
  <c r="AC1036" i="1"/>
  <c r="AD1036" i="1"/>
  <c r="AE1036" i="1"/>
  <c r="W1037" i="1"/>
  <c r="X1037" i="1"/>
  <c r="Y1037" i="1"/>
  <c r="Z1037" i="1"/>
  <c r="AA1037" i="1"/>
  <c r="AB1037" i="1"/>
  <c r="AC1037" i="1"/>
  <c r="AD1037" i="1"/>
  <c r="AE1037" i="1"/>
  <c r="W1038" i="1"/>
  <c r="X1038" i="1"/>
  <c r="Y1038" i="1"/>
  <c r="Z1038" i="1"/>
  <c r="AA1038" i="1"/>
  <c r="AB1038" i="1"/>
  <c r="AC1038" i="1"/>
  <c r="AD1038" i="1"/>
  <c r="AE1038" i="1"/>
  <c r="W1039" i="1"/>
  <c r="X1039" i="1"/>
  <c r="Y1039" i="1"/>
  <c r="Z1039" i="1"/>
  <c r="AA1039" i="1"/>
  <c r="AB1039" i="1"/>
  <c r="AC1039" i="1"/>
  <c r="AD1039" i="1"/>
  <c r="AE1039" i="1"/>
  <c r="W1040" i="1"/>
  <c r="X1040" i="1"/>
  <c r="Y1040" i="1"/>
  <c r="Z1040" i="1"/>
  <c r="AA1040" i="1"/>
  <c r="AB1040" i="1"/>
  <c r="AC1040" i="1"/>
  <c r="AD1040" i="1"/>
  <c r="AE1040" i="1"/>
  <c r="W1041" i="1"/>
  <c r="X1041" i="1"/>
  <c r="Y1041" i="1"/>
  <c r="Z1041" i="1"/>
  <c r="AA1041" i="1"/>
  <c r="AB1041" i="1"/>
  <c r="AC1041" i="1"/>
  <c r="AD1041" i="1"/>
  <c r="AE1041" i="1"/>
  <c r="W1042" i="1"/>
  <c r="X1042" i="1"/>
  <c r="Y1042" i="1"/>
  <c r="Z1042" i="1"/>
  <c r="AA1042" i="1"/>
  <c r="AB1042" i="1"/>
  <c r="AC1042" i="1"/>
  <c r="AD1042" i="1"/>
  <c r="AE1042" i="1"/>
  <c r="W1043" i="1"/>
  <c r="X1043" i="1"/>
  <c r="Y1043" i="1"/>
  <c r="Z1043" i="1"/>
  <c r="AA1043" i="1"/>
  <c r="AB1043" i="1"/>
  <c r="AC1043" i="1"/>
  <c r="AD1043" i="1"/>
  <c r="AE1043" i="1"/>
  <c r="W1044" i="1"/>
  <c r="X1044" i="1"/>
  <c r="Y1044" i="1"/>
  <c r="Z1044" i="1"/>
  <c r="AA1044" i="1"/>
  <c r="AB1044" i="1"/>
  <c r="AC1044" i="1"/>
  <c r="AD1044" i="1"/>
  <c r="AE1044" i="1"/>
  <c r="W1045" i="1"/>
  <c r="X1045" i="1"/>
  <c r="Y1045" i="1"/>
  <c r="Z1045" i="1"/>
  <c r="AA1045" i="1"/>
  <c r="AB1045" i="1"/>
  <c r="AC1045" i="1"/>
  <c r="AD1045" i="1"/>
  <c r="AE1045" i="1"/>
  <c r="W1046" i="1"/>
  <c r="X1046" i="1"/>
  <c r="Y1046" i="1"/>
  <c r="Z1046" i="1"/>
  <c r="AA1046" i="1"/>
  <c r="AB1046" i="1"/>
  <c r="AC1046" i="1"/>
  <c r="AD1046" i="1"/>
  <c r="AE1046" i="1"/>
  <c r="W1047" i="1"/>
  <c r="X1047" i="1"/>
  <c r="Y1047" i="1"/>
  <c r="Z1047" i="1"/>
  <c r="AA1047" i="1"/>
  <c r="AB1047" i="1"/>
  <c r="AC1047" i="1"/>
  <c r="AD1047" i="1"/>
  <c r="AE1047" i="1"/>
  <c r="W1048" i="1"/>
  <c r="X1048" i="1"/>
  <c r="Y1048" i="1"/>
  <c r="Z1048" i="1"/>
  <c r="AA1048" i="1"/>
  <c r="AB1048" i="1"/>
  <c r="AC1048" i="1"/>
  <c r="AD1048" i="1"/>
  <c r="AE1048" i="1"/>
  <c r="W1049" i="1"/>
  <c r="X1049" i="1"/>
  <c r="Y1049" i="1"/>
  <c r="Z1049" i="1"/>
  <c r="AA1049" i="1"/>
  <c r="AB1049" i="1"/>
  <c r="AC1049" i="1"/>
  <c r="AD1049" i="1"/>
  <c r="AE1049" i="1"/>
  <c r="W1050" i="1"/>
  <c r="X1050" i="1"/>
  <c r="Y1050" i="1"/>
  <c r="Z1050" i="1"/>
  <c r="AA1050" i="1"/>
  <c r="AB1050" i="1"/>
  <c r="AC1050" i="1"/>
  <c r="AD1050" i="1"/>
  <c r="AE1050" i="1"/>
  <c r="W1051" i="1"/>
  <c r="X1051" i="1"/>
  <c r="Y1051" i="1"/>
  <c r="Z1051" i="1"/>
  <c r="AA1051" i="1"/>
  <c r="AB1051" i="1"/>
  <c r="AC1051" i="1"/>
  <c r="AD1051" i="1"/>
  <c r="AE1051" i="1"/>
  <c r="W1052" i="1"/>
  <c r="X1052" i="1"/>
  <c r="Y1052" i="1"/>
  <c r="Z1052" i="1"/>
  <c r="AA1052" i="1"/>
  <c r="AB1052" i="1"/>
  <c r="AC1052" i="1"/>
  <c r="AD1052" i="1"/>
  <c r="AE1052" i="1"/>
  <c r="W1053" i="1"/>
  <c r="X1053" i="1"/>
  <c r="Y1053" i="1"/>
  <c r="Z1053" i="1"/>
  <c r="AA1053" i="1"/>
  <c r="AB1053" i="1"/>
  <c r="AC1053" i="1"/>
  <c r="AD1053" i="1"/>
  <c r="AE1053" i="1"/>
  <c r="W1054" i="1"/>
  <c r="X1054" i="1"/>
  <c r="Y1054" i="1"/>
  <c r="Z1054" i="1"/>
  <c r="AA1054" i="1"/>
  <c r="AB1054" i="1"/>
  <c r="AC1054" i="1"/>
  <c r="AD1054" i="1"/>
  <c r="AE1054" i="1"/>
  <c r="W1055" i="1"/>
  <c r="X1055" i="1"/>
  <c r="Y1055" i="1"/>
  <c r="Z1055" i="1"/>
  <c r="AA1055" i="1"/>
  <c r="AB1055" i="1"/>
  <c r="AC1055" i="1"/>
  <c r="AD1055" i="1"/>
  <c r="AE1055" i="1"/>
  <c r="W1056" i="1"/>
  <c r="X1056" i="1"/>
  <c r="Y1056" i="1"/>
  <c r="Z1056" i="1"/>
  <c r="AA1056" i="1"/>
  <c r="AB1056" i="1"/>
  <c r="AC1056" i="1"/>
  <c r="AD1056" i="1"/>
  <c r="AE1056" i="1"/>
  <c r="W1057" i="1"/>
  <c r="X1057" i="1"/>
  <c r="Y1057" i="1"/>
  <c r="Z1057" i="1"/>
  <c r="AA1057" i="1"/>
  <c r="AB1057" i="1"/>
  <c r="AC1057" i="1"/>
  <c r="AD1057" i="1"/>
  <c r="AE1057" i="1"/>
  <c r="W1058" i="1"/>
  <c r="X1058" i="1"/>
  <c r="Y1058" i="1"/>
  <c r="Z1058" i="1"/>
  <c r="AA1058" i="1"/>
  <c r="AB1058" i="1"/>
  <c r="AC1058" i="1"/>
  <c r="AD1058" i="1"/>
  <c r="AE1058" i="1"/>
  <c r="W1059" i="1"/>
  <c r="X1059" i="1"/>
  <c r="Y1059" i="1"/>
  <c r="Z1059" i="1"/>
  <c r="AA1059" i="1"/>
  <c r="AB1059" i="1"/>
  <c r="AC1059" i="1"/>
  <c r="AD1059" i="1"/>
  <c r="AE1059" i="1"/>
  <c r="W1060" i="1"/>
  <c r="X1060" i="1"/>
  <c r="Y1060" i="1"/>
  <c r="Z1060" i="1"/>
  <c r="AA1060" i="1"/>
  <c r="AB1060" i="1"/>
  <c r="AC1060" i="1"/>
  <c r="AD1060" i="1"/>
  <c r="AE1060" i="1"/>
  <c r="W1061" i="1"/>
  <c r="X1061" i="1"/>
  <c r="Y1061" i="1"/>
  <c r="Z1061" i="1"/>
  <c r="AA1061" i="1"/>
  <c r="AB1061" i="1"/>
  <c r="AC1061" i="1"/>
  <c r="AD1061" i="1"/>
  <c r="AE1061" i="1"/>
  <c r="W1062" i="1"/>
  <c r="X1062" i="1"/>
  <c r="Y1062" i="1"/>
  <c r="Z1062" i="1"/>
  <c r="AA1062" i="1"/>
  <c r="AB1062" i="1"/>
  <c r="AC1062" i="1"/>
  <c r="AD1062" i="1"/>
  <c r="AE1062" i="1"/>
  <c r="W1063" i="1"/>
  <c r="X1063" i="1"/>
  <c r="Y1063" i="1"/>
  <c r="Z1063" i="1"/>
  <c r="AA1063" i="1"/>
  <c r="AB1063" i="1"/>
  <c r="AC1063" i="1"/>
  <c r="AD1063" i="1"/>
  <c r="AE1063" i="1"/>
  <c r="W1064" i="1"/>
  <c r="X1064" i="1"/>
  <c r="Y1064" i="1"/>
  <c r="Z1064" i="1"/>
  <c r="AA1064" i="1"/>
  <c r="AB1064" i="1"/>
  <c r="AC1064" i="1"/>
  <c r="AD1064" i="1"/>
  <c r="AE1064" i="1"/>
  <c r="W1065" i="1"/>
  <c r="X1065" i="1"/>
  <c r="Y1065" i="1"/>
  <c r="Z1065" i="1"/>
  <c r="AA1065" i="1"/>
  <c r="AB1065" i="1"/>
  <c r="AC1065" i="1"/>
  <c r="AD1065" i="1"/>
  <c r="AE1065" i="1"/>
  <c r="W1066" i="1"/>
  <c r="X1066" i="1"/>
  <c r="Y1066" i="1"/>
  <c r="Z1066" i="1"/>
  <c r="AA1066" i="1"/>
  <c r="AB1066" i="1"/>
  <c r="AC1066" i="1"/>
  <c r="AD1066" i="1"/>
  <c r="AE1066" i="1"/>
  <c r="W1067" i="1"/>
  <c r="X1067" i="1"/>
  <c r="Y1067" i="1"/>
  <c r="Z1067" i="1"/>
  <c r="AA1067" i="1"/>
  <c r="AB1067" i="1"/>
  <c r="AC1067" i="1"/>
  <c r="AD1067" i="1"/>
  <c r="AE1067" i="1"/>
  <c r="W1068" i="1"/>
  <c r="X1068" i="1"/>
  <c r="Y1068" i="1"/>
  <c r="Z1068" i="1"/>
  <c r="AA1068" i="1"/>
  <c r="AB1068" i="1"/>
  <c r="AC1068" i="1"/>
  <c r="AD1068" i="1"/>
  <c r="AE1068" i="1"/>
  <c r="W1069" i="1"/>
  <c r="X1069" i="1"/>
  <c r="Y1069" i="1"/>
  <c r="Z1069" i="1"/>
  <c r="AA1069" i="1"/>
  <c r="AB1069" i="1"/>
  <c r="AC1069" i="1"/>
  <c r="AD1069" i="1"/>
  <c r="AE1069" i="1"/>
  <c r="W1070" i="1"/>
  <c r="X1070" i="1"/>
  <c r="Y1070" i="1"/>
  <c r="Z1070" i="1"/>
  <c r="AA1070" i="1"/>
  <c r="AB1070" i="1"/>
  <c r="AC1070" i="1"/>
  <c r="AD1070" i="1"/>
  <c r="AE1070" i="1"/>
  <c r="W1071" i="1"/>
  <c r="X1071" i="1"/>
  <c r="Y1071" i="1"/>
  <c r="Z1071" i="1"/>
  <c r="AA1071" i="1"/>
  <c r="AB1071" i="1"/>
  <c r="AC1071" i="1"/>
  <c r="AD1071" i="1"/>
  <c r="AE1071" i="1"/>
  <c r="W1072" i="1"/>
  <c r="X1072" i="1"/>
  <c r="Y1072" i="1"/>
  <c r="Z1072" i="1"/>
  <c r="AA1072" i="1"/>
  <c r="AB1072" i="1"/>
  <c r="AC1072" i="1"/>
  <c r="AD1072" i="1"/>
  <c r="AE1072" i="1"/>
  <c r="W1073" i="1"/>
  <c r="X1073" i="1"/>
  <c r="Y1073" i="1"/>
  <c r="Z1073" i="1"/>
  <c r="AA1073" i="1"/>
  <c r="AB1073" i="1"/>
  <c r="AC1073" i="1"/>
  <c r="AD1073" i="1"/>
  <c r="AE1073" i="1"/>
  <c r="W1074" i="1"/>
  <c r="X1074" i="1"/>
  <c r="Y1074" i="1"/>
  <c r="Z1074" i="1"/>
  <c r="AA1074" i="1"/>
  <c r="AB1074" i="1"/>
  <c r="AC1074" i="1"/>
  <c r="AD1074" i="1"/>
  <c r="AE1074" i="1"/>
  <c r="W1075" i="1"/>
  <c r="X1075" i="1"/>
  <c r="Y1075" i="1"/>
  <c r="Z1075" i="1"/>
  <c r="AA1075" i="1"/>
  <c r="AB1075" i="1"/>
  <c r="AC1075" i="1"/>
  <c r="AD1075" i="1"/>
  <c r="AE1075" i="1"/>
  <c r="W1076" i="1"/>
  <c r="X1076" i="1"/>
  <c r="Y1076" i="1"/>
  <c r="Z1076" i="1"/>
  <c r="AA1076" i="1"/>
  <c r="AB1076" i="1"/>
  <c r="AC1076" i="1"/>
  <c r="AD1076" i="1"/>
  <c r="AE1076" i="1"/>
  <c r="W1077" i="1"/>
  <c r="X1077" i="1"/>
  <c r="Y1077" i="1"/>
  <c r="Z1077" i="1"/>
  <c r="AA1077" i="1"/>
  <c r="AB1077" i="1"/>
  <c r="AC1077" i="1"/>
  <c r="AD1077" i="1"/>
  <c r="AE1077" i="1"/>
  <c r="W1078" i="1"/>
  <c r="X1078" i="1"/>
  <c r="Y1078" i="1"/>
  <c r="Z1078" i="1"/>
  <c r="AA1078" i="1"/>
  <c r="AB1078" i="1"/>
  <c r="AC1078" i="1"/>
  <c r="AD1078" i="1"/>
  <c r="AE1078" i="1"/>
  <c r="W1079" i="1"/>
  <c r="X1079" i="1"/>
  <c r="Y1079" i="1"/>
  <c r="Z1079" i="1"/>
  <c r="AA1079" i="1"/>
  <c r="AB1079" i="1"/>
  <c r="AC1079" i="1"/>
  <c r="AD1079" i="1"/>
  <c r="AE1079" i="1"/>
  <c r="W1080" i="1"/>
  <c r="X1080" i="1"/>
  <c r="Y1080" i="1"/>
  <c r="Z1080" i="1"/>
  <c r="AA1080" i="1"/>
  <c r="AB1080" i="1"/>
  <c r="AC1080" i="1"/>
  <c r="AD1080" i="1"/>
  <c r="AE1080" i="1"/>
  <c r="W1081" i="1"/>
  <c r="X1081" i="1"/>
  <c r="Y1081" i="1"/>
  <c r="Z1081" i="1"/>
  <c r="AA1081" i="1"/>
  <c r="AB1081" i="1"/>
  <c r="AC1081" i="1"/>
  <c r="AD1081" i="1"/>
  <c r="AE1081" i="1"/>
  <c r="W1082" i="1"/>
  <c r="X1082" i="1"/>
  <c r="Y1082" i="1"/>
  <c r="Z1082" i="1"/>
  <c r="AA1082" i="1"/>
  <c r="AB1082" i="1"/>
  <c r="AC1082" i="1"/>
  <c r="AD1082" i="1"/>
  <c r="AE1082" i="1"/>
  <c r="W1083" i="1"/>
  <c r="X1083" i="1"/>
  <c r="Y1083" i="1"/>
  <c r="Z1083" i="1"/>
  <c r="AA1083" i="1"/>
  <c r="AB1083" i="1"/>
  <c r="AC1083" i="1"/>
  <c r="AD1083" i="1"/>
  <c r="AE1083" i="1"/>
  <c r="W1084" i="1"/>
  <c r="X1084" i="1"/>
  <c r="Y1084" i="1"/>
  <c r="Z1084" i="1"/>
  <c r="AA1084" i="1"/>
  <c r="AB1084" i="1"/>
  <c r="AC1084" i="1"/>
  <c r="AD1084" i="1"/>
  <c r="AE1084" i="1"/>
  <c r="W1085" i="1"/>
  <c r="X1085" i="1"/>
  <c r="Y1085" i="1"/>
  <c r="Z1085" i="1"/>
  <c r="AA1085" i="1"/>
  <c r="AB1085" i="1"/>
  <c r="AC1085" i="1"/>
  <c r="AD1085" i="1"/>
  <c r="AE1085" i="1"/>
  <c r="W1086" i="1"/>
  <c r="X1086" i="1"/>
  <c r="Y1086" i="1"/>
  <c r="Z1086" i="1"/>
  <c r="AA1086" i="1"/>
  <c r="AB1086" i="1"/>
  <c r="AC1086" i="1"/>
  <c r="AD1086" i="1"/>
  <c r="AE1086" i="1"/>
  <c r="W1087" i="1"/>
  <c r="X1087" i="1"/>
  <c r="Y1087" i="1"/>
  <c r="Z1087" i="1"/>
  <c r="AA1087" i="1"/>
  <c r="AB1087" i="1"/>
  <c r="AC1087" i="1"/>
  <c r="AD1087" i="1"/>
  <c r="AE1087" i="1"/>
  <c r="W1088" i="1"/>
  <c r="X1088" i="1"/>
  <c r="Y1088" i="1"/>
  <c r="Z1088" i="1"/>
  <c r="AA1088" i="1"/>
  <c r="AB1088" i="1"/>
  <c r="AC1088" i="1"/>
  <c r="AD1088" i="1"/>
  <c r="AE1088" i="1"/>
  <c r="W1089" i="1"/>
  <c r="X1089" i="1"/>
  <c r="Y1089" i="1"/>
  <c r="Z1089" i="1"/>
  <c r="AA1089" i="1"/>
  <c r="AB1089" i="1"/>
  <c r="AC1089" i="1"/>
  <c r="AD1089" i="1"/>
  <c r="AE1089" i="1"/>
  <c r="W1090" i="1"/>
  <c r="X1090" i="1"/>
  <c r="Y1090" i="1"/>
  <c r="Z1090" i="1"/>
  <c r="AA1090" i="1"/>
  <c r="AB1090" i="1"/>
  <c r="AC1090" i="1"/>
  <c r="AD1090" i="1"/>
  <c r="AE1090" i="1"/>
  <c r="W1091" i="1"/>
  <c r="X1091" i="1"/>
  <c r="Y1091" i="1"/>
  <c r="Z1091" i="1"/>
  <c r="AA1091" i="1"/>
  <c r="AB1091" i="1"/>
  <c r="AC1091" i="1"/>
  <c r="AD1091" i="1"/>
  <c r="AE1091" i="1"/>
  <c r="W1092" i="1"/>
  <c r="X1092" i="1"/>
  <c r="Y1092" i="1"/>
  <c r="Z1092" i="1"/>
  <c r="AA1092" i="1"/>
  <c r="AB1092" i="1"/>
  <c r="AC1092" i="1"/>
  <c r="AD1092" i="1"/>
  <c r="AE1092" i="1"/>
  <c r="W1093" i="1"/>
  <c r="X1093" i="1"/>
  <c r="Y1093" i="1"/>
  <c r="Z1093" i="1"/>
  <c r="AA1093" i="1"/>
  <c r="AB1093" i="1"/>
  <c r="AC1093" i="1"/>
  <c r="AD1093" i="1"/>
  <c r="AE1093" i="1"/>
  <c r="W1094" i="1"/>
  <c r="X1094" i="1"/>
  <c r="Y1094" i="1"/>
  <c r="Z1094" i="1"/>
  <c r="AA1094" i="1"/>
  <c r="AB1094" i="1"/>
  <c r="AC1094" i="1"/>
  <c r="AD1094" i="1"/>
  <c r="AE1094" i="1"/>
  <c r="W1095" i="1"/>
  <c r="X1095" i="1"/>
  <c r="Y1095" i="1"/>
  <c r="Z1095" i="1"/>
  <c r="AA1095" i="1"/>
  <c r="AB1095" i="1"/>
  <c r="AC1095" i="1"/>
  <c r="AD1095" i="1"/>
  <c r="AE1095" i="1"/>
  <c r="W1096" i="1"/>
  <c r="X1096" i="1"/>
  <c r="Y1096" i="1"/>
  <c r="Z1096" i="1"/>
  <c r="AA1096" i="1"/>
  <c r="AB1096" i="1"/>
  <c r="AC1096" i="1"/>
  <c r="AD1096" i="1"/>
  <c r="AE1096" i="1"/>
  <c r="W1097" i="1"/>
  <c r="X1097" i="1"/>
  <c r="Y1097" i="1"/>
  <c r="Z1097" i="1"/>
  <c r="AA1097" i="1"/>
  <c r="AB1097" i="1"/>
  <c r="AC1097" i="1"/>
  <c r="AD1097" i="1"/>
  <c r="AE1097" i="1"/>
  <c r="W1098" i="1"/>
  <c r="X1098" i="1"/>
  <c r="Y1098" i="1"/>
  <c r="Z1098" i="1"/>
  <c r="AA1098" i="1"/>
  <c r="AB1098" i="1"/>
  <c r="AC1098" i="1"/>
  <c r="AD1098" i="1"/>
  <c r="AE1098" i="1"/>
  <c r="W1099" i="1"/>
  <c r="X1099" i="1"/>
  <c r="Y1099" i="1"/>
  <c r="Z1099" i="1"/>
  <c r="AA1099" i="1"/>
  <c r="AB1099" i="1"/>
  <c r="AC1099" i="1"/>
  <c r="AD1099" i="1"/>
  <c r="AE1099" i="1"/>
  <c r="W1100" i="1"/>
  <c r="X1100" i="1"/>
  <c r="Y1100" i="1"/>
  <c r="Z1100" i="1"/>
  <c r="AA1100" i="1"/>
  <c r="AB1100" i="1"/>
  <c r="AC1100" i="1"/>
  <c r="AD1100" i="1"/>
  <c r="AE1100" i="1"/>
  <c r="W1101" i="1"/>
  <c r="X1101" i="1"/>
  <c r="Y1101" i="1"/>
  <c r="Z1101" i="1"/>
  <c r="AA1101" i="1"/>
  <c r="AB1101" i="1"/>
  <c r="AC1101" i="1"/>
  <c r="AD1101" i="1"/>
  <c r="AE1101" i="1"/>
  <c r="W1102" i="1"/>
  <c r="X1102" i="1"/>
  <c r="Y1102" i="1"/>
  <c r="Z1102" i="1"/>
  <c r="AA1102" i="1"/>
  <c r="AB1102" i="1"/>
  <c r="AC1102" i="1"/>
  <c r="AD1102" i="1"/>
  <c r="AE1102" i="1"/>
  <c r="W1103" i="1"/>
  <c r="X1103" i="1"/>
  <c r="Y1103" i="1"/>
  <c r="Z1103" i="1"/>
  <c r="AA1103" i="1"/>
  <c r="AB1103" i="1"/>
  <c r="AC1103" i="1"/>
  <c r="AD1103" i="1"/>
  <c r="AE1103" i="1"/>
  <c r="W1104" i="1"/>
  <c r="X1104" i="1"/>
  <c r="Y1104" i="1"/>
  <c r="Z1104" i="1"/>
  <c r="AA1104" i="1"/>
  <c r="AB1104" i="1"/>
  <c r="AC1104" i="1"/>
  <c r="AD1104" i="1"/>
  <c r="AE1104" i="1"/>
  <c r="W1105" i="1"/>
  <c r="X1105" i="1"/>
  <c r="Y1105" i="1"/>
  <c r="Z1105" i="1"/>
  <c r="AA1105" i="1"/>
  <c r="AB1105" i="1"/>
  <c r="AC1105" i="1"/>
  <c r="AD1105" i="1"/>
  <c r="AE1105" i="1"/>
  <c r="W1106" i="1"/>
  <c r="X1106" i="1"/>
  <c r="Y1106" i="1"/>
  <c r="Z1106" i="1"/>
  <c r="AA1106" i="1"/>
  <c r="AB1106" i="1"/>
  <c r="AC1106" i="1"/>
  <c r="AD1106" i="1"/>
  <c r="AE1106" i="1"/>
  <c r="W1107" i="1"/>
  <c r="X1107" i="1"/>
  <c r="Y1107" i="1"/>
  <c r="Z1107" i="1"/>
  <c r="AA1107" i="1"/>
  <c r="AB1107" i="1"/>
  <c r="AC1107" i="1"/>
  <c r="AD1107" i="1"/>
  <c r="AE1107" i="1"/>
  <c r="W1108" i="1"/>
  <c r="X1108" i="1"/>
  <c r="Y1108" i="1"/>
  <c r="Z1108" i="1"/>
  <c r="AA1108" i="1"/>
  <c r="AB1108" i="1"/>
  <c r="AC1108" i="1"/>
  <c r="AD1108" i="1"/>
  <c r="AE1108" i="1"/>
  <c r="W1109" i="1"/>
  <c r="X1109" i="1"/>
  <c r="Y1109" i="1"/>
  <c r="Z1109" i="1"/>
  <c r="AA1109" i="1"/>
  <c r="AB1109" i="1"/>
  <c r="AC1109" i="1"/>
  <c r="AD1109" i="1"/>
  <c r="AE1109" i="1"/>
  <c r="W1110" i="1"/>
  <c r="X1110" i="1"/>
  <c r="Y1110" i="1"/>
  <c r="Z1110" i="1"/>
  <c r="AA1110" i="1"/>
  <c r="AB1110" i="1"/>
  <c r="AC1110" i="1"/>
  <c r="AD1110" i="1"/>
  <c r="AE1110" i="1"/>
  <c r="W1111" i="1"/>
  <c r="X1111" i="1"/>
  <c r="Y1111" i="1"/>
  <c r="Z1111" i="1"/>
  <c r="AA1111" i="1"/>
  <c r="AB1111" i="1"/>
  <c r="AC1111" i="1"/>
  <c r="AD1111" i="1"/>
  <c r="AE1111" i="1"/>
  <c r="W1112" i="1"/>
  <c r="X1112" i="1"/>
  <c r="Y1112" i="1"/>
  <c r="Z1112" i="1"/>
  <c r="AA1112" i="1"/>
  <c r="AB1112" i="1"/>
  <c r="AC1112" i="1"/>
  <c r="AD1112" i="1"/>
  <c r="AE1112" i="1"/>
  <c r="W1113" i="1"/>
  <c r="X1113" i="1"/>
  <c r="Y1113" i="1"/>
  <c r="Z1113" i="1"/>
  <c r="AA1113" i="1"/>
  <c r="AB1113" i="1"/>
  <c r="AC1113" i="1"/>
  <c r="AD1113" i="1"/>
  <c r="AE1113" i="1"/>
  <c r="W1114" i="1"/>
  <c r="X1114" i="1"/>
  <c r="Y1114" i="1"/>
  <c r="Z1114" i="1"/>
  <c r="AA1114" i="1"/>
  <c r="AB1114" i="1"/>
  <c r="AC1114" i="1"/>
  <c r="AD1114" i="1"/>
  <c r="AE1114" i="1"/>
  <c r="W1115" i="1"/>
  <c r="X1115" i="1"/>
  <c r="Y1115" i="1"/>
  <c r="Z1115" i="1"/>
  <c r="AA1115" i="1"/>
  <c r="AB1115" i="1"/>
  <c r="AC1115" i="1"/>
  <c r="AD1115" i="1"/>
  <c r="AE1115" i="1"/>
  <c r="W1116" i="1"/>
  <c r="X1116" i="1"/>
  <c r="Y1116" i="1"/>
  <c r="Z1116" i="1"/>
  <c r="AA1116" i="1"/>
  <c r="AB1116" i="1"/>
  <c r="AC1116" i="1"/>
  <c r="AD1116" i="1"/>
  <c r="AE1116" i="1"/>
  <c r="W1117" i="1"/>
  <c r="X1117" i="1"/>
  <c r="Y1117" i="1"/>
  <c r="Z1117" i="1"/>
  <c r="AA1117" i="1"/>
  <c r="AB1117" i="1"/>
  <c r="AC1117" i="1"/>
  <c r="AD1117" i="1"/>
  <c r="AE1117" i="1"/>
  <c r="W1118" i="1"/>
  <c r="X1118" i="1"/>
  <c r="Y1118" i="1"/>
  <c r="Z1118" i="1"/>
  <c r="AA1118" i="1"/>
  <c r="AB1118" i="1"/>
  <c r="AC1118" i="1"/>
  <c r="AD1118" i="1"/>
  <c r="AE1118" i="1"/>
  <c r="W1119" i="1"/>
  <c r="X1119" i="1"/>
  <c r="Y1119" i="1"/>
  <c r="Z1119" i="1"/>
  <c r="AA1119" i="1"/>
  <c r="AB1119" i="1"/>
  <c r="AC1119" i="1"/>
  <c r="AD1119" i="1"/>
  <c r="AE1119" i="1"/>
  <c r="W1120" i="1"/>
  <c r="X1120" i="1"/>
  <c r="Y1120" i="1"/>
  <c r="Z1120" i="1"/>
  <c r="AA1120" i="1"/>
  <c r="AB1120" i="1"/>
  <c r="AC1120" i="1"/>
  <c r="AD1120" i="1"/>
  <c r="AE1120" i="1"/>
  <c r="W1121" i="1"/>
  <c r="X1121" i="1"/>
  <c r="Y1121" i="1"/>
  <c r="Z1121" i="1"/>
  <c r="AA1121" i="1"/>
  <c r="AB1121" i="1"/>
  <c r="AC1121" i="1"/>
  <c r="AD1121" i="1"/>
  <c r="AE1121" i="1"/>
  <c r="W1122" i="1"/>
  <c r="X1122" i="1"/>
  <c r="Y1122" i="1"/>
  <c r="Z1122" i="1"/>
  <c r="AA1122" i="1"/>
  <c r="AB1122" i="1"/>
  <c r="AC1122" i="1"/>
  <c r="AD1122" i="1"/>
  <c r="AE1122" i="1"/>
  <c r="W1123" i="1"/>
  <c r="X1123" i="1"/>
  <c r="Y1123" i="1"/>
  <c r="Z1123" i="1"/>
  <c r="AA1123" i="1"/>
  <c r="AB1123" i="1"/>
  <c r="AC1123" i="1"/>
  <c r="AD1123" i="1"/>
  <c r="AE1123" i="1"/>
  <c r="W1124" i="1"/>
  <c r="X1124" i="1"/>
  <c r="Y1124" i="1"/>
  <c r="Z1124" i="1"/>
  <c r="AA1124" i="1"/>
  <c r="AB1124" i="1"/>
  <c r="AC1124" i="1"/>
  <c r="AD1124" i="1"/>
  <c r="AE1124" i="1"/>
  <c r="W1125" i="1"/>
  <c r="X1125" i="1"/>
  <c r="Y1125" i="1"/>
  <c r="Z1125" i="1"/>
  <c r="AA1125" i="1"/>
  <c r="AB1125" i="1"/>
  <c r="AC1125" i="1"/>
  <c r="AD1125" i="1"/>
  <c r="AE1125" i="1"/>
  <c r="W1126" i="1"/>
  <c r="X1126" i="1"/>
  <c r="Y1126" i="1"/>
  <c r="Z1126" i="1"/>
  <c r="AA1126" i="1"/>
  <c r="AB1126" i="1"/>
  <c r="AC1126" i="1"/>
  <c r="AD1126" i="1"/>
  <c r="AE1126" i="1"/>
  <c r="W1127" i="1"/>
  <c r="X1127" i="1"/>
  <c r="Y1127" i="1"/>
  <c r="Z1127" i="1"/>
  <c r="AA1127" i="1"/>
  <c r="AB1127" i="1"/>
  <c r="AC1127" i="1"/>
  <c r="AD1127" i="1"/>
  <c r="AE1127" i="1"/>
  <c r="W1128" i="1"/>
  <c r="X1128" i="1"/>
  <c r="Y1128" i="1"/>
  <c r="Z1128" i="1"/>
  <c r="AA1128" i="1"/>
  <c r="AB1128" i="1"/>
  <c r="AC1128" i="1"/>
  <c r="AD1128" i="1"/>
  <c r="AE1128" i="1"/>
  <c r="W1129" i="1"/>
  <c r="X1129" i="1"/>
  <c r="Y1129" i="1"/>
  <c r="Z1129" i="1"/>
  <c r="AA1129" i="1"/>
  <c r="AB1129" i="1"/>
  <c r="AC1129" i="1"/>
  <c r="AD1129" i="1"/>
  <c r="AE1129" i="1"/>
  <c r="W1130" i="1"/>
  <c r="X1130" i="1"/>
  <c r="Y1130" i="1"/>
  <c r="Z1130" i="1"/>
  <c r="AA1130" i="1"/>
  <c r="AB1130" i="1"/>
  <c r="AC1130" i="1"/>
  <c r="AD1130" i="1"/>
  <c r="AE1130" i="1"/>
  <c r="W1131" i="1"/>
  <c r="X1131" i="1"/>
  <c r="Y1131" i="1"/>
  <c r="Z1131" i="1"/>
  <c r="AA1131" i="1"/>
  <c r="AB1131" i="1"/>
  <c r="AC1131" i="1"/>
  <c r="AD1131" i="1"/>
  <c r="AE1131" i="1"/>
  <c r="W1132" i="1"/>
  <c r="X1132" i="1"/>
  <c r="Y1132" i="1"/>
  <c r="Z1132" i="1"/>
  <c r="AA1132" i="1"/>
  <c r="AB1132" i="1"/>
  <c r="AC1132" i="1"/>
  <c r="AD1132" i="1"/>
  <c r="AE1132" i="1"/>
  <c r="W1133" i="1"/>
  <c r="X1133" i="1"/>
  <c r="Y1133" i="1"/>
  <c r="Z1133" i="1"/>
  <c r="AA1133" i="1"/>
  <c r="AB1133" i="1"/>
  <c r="AC1133" i="1"/>
  <c r="AD1133" i="1"/>
  <c r="AE1133" i="1"/>
  <c r="W1134" i="1"/>
  <c r="X1134" i="1"/>
  <c r="Y1134" i="1"/>
  <c r="Z1134" i="1"/>
  <c r="AA1134" i="1"/>
  <c r="AB1134" i="1"/>
  <c r="AC1134" i="1"/>
  <c r="AD1134" i="1"/>
  <c r="AE1134" i="1"/>
  <c r="W1135" i="1"/>
  <c r="X1135" i="1"/>
  <c r="Y1135" i="1"/>
  <c r="Z1135" i="1"/>
  <c r="AA1135" i="1"/>
  <c r="AB1135" i="1"/>
  <c r="AC1135" i="1"/>
  <c r="AD1135" i="1"/>
  <c r="AE1135" i="1"/>
  <c r="W1136" i="1"/>
  <c r="X1136" i="1"/>
  <c r="Y1136" i="1"/>
  <c r="Z1136" i="1"/>
  <c r="AA1136" i="1"/>
  <c r="AB1136" i="1"/>
  <c r="AC1136" i="1"/>
  <c r="AD1136" i="1"/>
  <c r="AE1136" i="1"/>
  <c r="W1137" i="1"/>
  <c r="X1137" i="1"/>
  <c r="Y1137" i="1"/>
  <c r="Z1137" i="1"/>
  <c r="AA1137" i="1"/>
  <c r="AB1137" i="1"/>
  <c r="AC1137" i="1"/>
  <c r="AD1137" i="1"/>
  <c r="AE1137" i="1"/>
  <c r="W1138" i="1"/>
  <c r="X1138" i="1"/>
  <c r="Y1138" i="1"/>
  <c r="Z1138" i="1"/>
  <c r="AA1138" i="1"/>
  <c r="AB1138" i="1"/>
  <c r="AC1138" i="1"/>
  <c r="AD1138" i="1"/>
  <c r="AE1138" i="1"/>
  <c r="W1139" i="1"/>
  <c r="X1139" i="1"/>
  <c r="Y1139" i="1"/>
  <c r="Z1139" i="1"/>
  <c r="AA1139" i="1"/>
  <c r="AB1139" i="1"/>
  <c r="AC1139" i="1"/>
  <c r="AD1139" i="1"/>
  <c r="AE1139" i="1"/>
  <c r="W1140" i="1"/>
  <c r="X1140" i="1"/>
  <c r="Y1140" i="1"/>
  <c r="Z1140" i="1"/>
  <c r="AA1140" i="1"/>
  <c r="AB1140" i="1"/>
  <c r="AC1140" i="1"/>
  <c r="AD1140" i="1"/>
  <c r="AE1140" i="1"/>
  <c r="W1141" i="1"/>
  <c r="X1141" i="1"/>
  <c r="Y1141" i="1"/>
  <c r="Z1141" i="1"/>
  <c r="AA1141" i="1"/>
  <c r="AB1141" i="1"/>
  <c r="AC1141" i="1"/>
  <c r="AD1141" i="1"/>
  <c r="AE1141" i="1"/>
  <c r="W1142" i="1"/>
  <c r="X1142" i="1"/>
  <c r="Y1142" i="1"/>
  <c r="Z1142" i="1"/>
  <c r="AA1142" i="1"/>
  <c r="AB1142" i="1"/>
  <c r="AC1142" i="1"/>
  <c r="AD1142" i="1"/>
  <c r="AE1142" i="1"/>
  <c r="W1143" i="1"/>
  <c r="X1143" i="1"/>
  <c r="Y1143" i="1"/>
  <c r="Z1143" i="1"/>
  <c r="AA1143" i="1"/>
  <c r="AB1143" i="1"/>
  <c r="AC1143" i="1"/>
  <c r="AD1143" i="1"/>
  <c r="AE1143" i="1"/>
  <c r="W1144" i="1"/>
  <c r="X1144" i="1"/>
  <c r="Y1144" i="1"/>
  <c r="Z1144" i="1"/>
  <c r="AA1144" i="1"/>
  <c r="AB1144" i="1"/>
  <c r="AC1144" i="1"/>
  <c r="AD1144" i="1"/>
  <c r="AE1144" i="1"/>
  <c r="W1145" i="1"/>
  <c r="X1145" i="1"/>
  <c r="Y1145" i="1"/>
  <c r="Z1145" i="1"/>
  <c r="AA1145" i="1"/>
  <c r="AB1145" i="1"/>
  <c r="AC1145" i="1"/>
  <c r="AD1145" i="1"/>
  <c r="AE1145" i="1"/>
  <c r="W1146" i="1"/>
  <c r="X1146" i="1"/>
  <c r="Y1146" i="1"/>
  <c r="Z1146" i="1"/>
  <c r="AA1146" i="1"/>
  <c r="AB1146" i="1"/>
  <c r="AC1146" i="1"/>
  <c r="AD1146" i="1"/>
  <c r="AE1146" i="1"/>
  <c r="W1147" i="1"/>
  <c r="X1147" i="1"/>
  <c r="Y1147" i="1"/>
  <c r="Z1147" i="1"/>
  <c r="AA1147" i="1"/>
  <c r="AB1147" i="1"/>
  <c r="AC1147" i="1"/>
  <c r="AD1147" i="1"/>
  <c r="AE1147" i="1"/>
  <c r="W1148" i="1"/>
  <c r="X1148" i="1"/>
  <c r="Y1148" i="1"/>
  <c r="Z1148" i="1"/>
  <c r="AA1148" i="1"/>
  <c r="AB1148" i="1"/>
  <c r="AC1148" i="1"/>
  <c r="AD1148" i="1"/>
  <c r="AE1148" i="1"/>
  <c r="W1149" i="1"/>
  <c r="X1149" i="1"/>
  <c r="Y1149" i="1"/>
  <c r="Z1149" i="1"/>
  <c r="AA1149" i="1"/>
  <c r="AB1149" i="1"/>
  <c r="AC1149" i="1"/>
  <c r="AD1149" i="1"/>
  <c r="AE1149" i="1"/>
  <c r="W1150" i="1"/>
  <c r="X1150" i="1"/>
  <c r="Y1150" i="1"/>
  <c r="Z1150" i="1"/>
  <c r="AA1150" i="1"/>
  <c r="AB1150" i="1"/>
  <c r="AC1150" i="1"/>
  <c r="AD1150" i="1"/>
  <c r="AE1150" i="1"/>
  <c r="W1151" i="1"/>
  <c r="X1151" i="1"/>
  <c r="Y1151" i="1"/>
  <c r="Z1151" i="1"/>
  <c r="AA1151" i="1"/>
  <c r="AB1151" i="1"/>
  <c r="AC1151" i="1"/>
  <c r="AD1151" i="1"/>
  <c r="AE1151" i="1"/>
  <c r="W1152" i="1"/>
  <c r="X1152" i="1"/>
  <c r="Y1152" i="1"/>
  <c r="Z1152" i="1"/>
  <c r="AA1152" i="1"/>
  <c r="AB1152" i="1"/>
  <c r="AC1152" i="1"/>
  <c r="AD1152" i="1"/>
  <c r="AE1152" i="1"/>
  <c r="W1153" i="1"/>
  <c r="X1153" i="1"/>
  <c r="Y1153" i="1"/>
  <c r="Z1153" i="1"/>
  <c r="AA1153" i="1"/>
  <c r="AB1153" i="1"/>
  <c r="AC1153" i="1"/>
  <c r="AD1153" i="1"/>
  <c r="AE1153" i="1"/>
  <c r="W1154" i="1"/>
  <c r="X1154" i="1"/>
  <c r="Y1154" i="1"/>
  <c r="Z1154" i="1"/>
  <c r="AA1154" i="1"/>
  <c r="AB1154" i="1"/>
  <c r="AC1154" i="1"/>
  <c r="AD1154" i="1"/>
  <c r="AE1154" i="1"/>
  <c r="W1155" i="1"/>
  <c r="X1155" i="1"/>
  <c r="Y1155" i="1"/>
  <c r="Z1155" i="1"/>
  <c r="AA1155" i="1"/>
  <c r="AB1155" i="1"/>
  <c r="AC1155" i="1"/>
  <c r="AD1155" i="1"/>
  <c r="AE1155" i="1"/>
  <c r="W1156" i="1"/>
  <c r="X1156" i="1"/>
  <c r="Y1156" i="1"/>
  <c r="Z1156" i="1"/>
  <c r="AA1156" i="1"/>
  <c r="AB1156" i="1"/>
  <c r="AC1156" i="1"/>
  <c r="AD1156" i="1"/>
  <c r="AE1156" i="1"/>
  <c r="W1157" i="1"/>
  <c r="X1157" i="1"/>
  <c r="Y1157" i="1"/>
  <c r="Z1157" i="1"/>
  <c r="AA1157" i="1"/>
  <c r="AB1157" i="1"/>
  <c r="AC1157" i="1"/>
  <c r="AD1157" i="1"/>
  <c r="AE1157" i="1"/>
  <c r="W1158" i="1"/>
  <c r="X1158" i="1"/>
  <c r="Y1158" i="1"/>
  <c r="Z1158" i="1"/>
  <c r="AA1158" i="1"/>
  <c r="AB1158" i="1"/>
  <c r="AC1158" i="1"/>
  <c r="AD1158" i="1"/>
  <c r="AE1158" i="1"/>
  <c r="W1159" i="1"/>
  <c r="X1159" i="1"/>
  <c r="Y1159" i="1"/>
  <c r="Z1159" i="1"/>
  <c r="AA1159" i="1"/>
  <c r="AB1159" i="1"/>
  <c r="AC1159" i="1"/>
  <c r="AD1159" i="1"/>
  <c r="AE1159" i="1"/>
  <c r="W1160" i="1"/>
  <c r="X1160" i="1"/>
  <c r="Y1160" i="1"/>
  <c r="Z1160" i="1"/>
  <c r="AA1160" i="1"/>
  <c r="AB1160" i="1"/>
  <c r="AC1160" i="1"/>
  <c r="AD1160" i="1"/>
  <c r="AE1160" i="1"/>
  <c r="W1161" i="1"/>
  <c r="X1161" i="1"/>
  <c r="Y1161" i="1"/>
  <c r="Z1161" i="1"/>
  <c r="AA1161" i="1"/>
  <c r="AB1161" i="1"/>
  <c r="AC1161" i="1"/>
  <c r="AD1161" i="1"/>
  <c r="AE1161" i="1"/>
  <c r="W1162" i="1"/>
  <c r="X1162" i="1"/>
  <c r="Y1162" i="1"/>
  <c r="Z1162" i="1"/>
  <c r="AA1162" i="1"/>
  <c r="AB1162" i="1"/>
  <c r="AC1162" i="1"/>
  <c r="AD1162" i="1"/>
  <c r="AE1162" i="1"/>
  <c r="W1163" i="1"/>
  <c r="X1163" i="1"/>
  <c r="Y1163" i="1"/>
  <c r="Z1163" i="1"/>
  <c r="AA1163" i="1"/>
  <c r="AB1163" i="1"/>
  <c r="AC1163" i="1"/>
  <c r="AD1163" i="1"/>
  <c r="AE1163" i="1"/>
  <c r="W1164" i="1"/>
  <c r="X1164" i="1"/>
  <c r="Y1164" i="1"/>
  <c r="Z1164" i="1"/>
  <c r="AA1164" i="1"/>
  <c r="AB1164" i="1"/>
  <c r="AC1164" i="1"/>
  <c r="AD1164" i="1"/>
  <c r="AE1164" i="1"/>
  <c r="W1165" i="1"/>
  <c r="X1165" i="1"/>
  <c r="Y1165" i="1"/>
  <c r="Z1165" i="1"/>
  <c r="AA1165" i="1"/>
  <c r="AB1165" i="1"/>
  <c r="AC1165" i="1"/>
  <c r="AD1165" i="1"/>
  <c r="AE1165" i="1"/>
  <c r="W1166" i="1"/>
  <c r="X1166" i="1"/>
  <c r="Y1166" i="1"/>
  <c r="Z1166" i="1"/>
  <c r="AA1166" i="1"/>
  <c r="AB1166" i="1"/>
  <c r="AC1166" i="1"/>
  <c r="AD1166" i="1"/>
  <c r="AE1166" i="1"/>
  <c r="W1167" i="1"/>
  <c r="X1167" i="1"/>
  <c r="Y1167" i="1"/>
  <c r="Z1167" i="1"/>
  <c r="AA1167" i="1"/>
  <c r="AB1167" i="1"/>
  <c r="AC1167" i="1"/>
  <c r="AD1167" i="1"/>
  <c r="AE1167" i="1"/>
  <c r="W1168" i="1"/>
  <c r="X1168" i="1"/>
  <c r="Y1168" i="1"/>
  <c r="Z1168" i="1"/>
  <c r="AA1168" i="1"/>
  <c r="AB1168" i="1"/>
  <c r="AC1168" i="1"/>
  <c r="AD1168" i="1"/>
  <c r="AE1168" i="1"/>
  <c r="W1169" i="1"/>
  <c r="X1169" i="1"/>
  <c r="Y1169" i="1"/>
  <c r="Z1169" i="1"/>
  <c r="AA1169" i="1"/>
  <c r="AB1169" i="1"/>
  <c r="AC1169" i="1"/>
  <c r="AD1169" i="1"/>
  <c r="AE1169" i="1"/>
  <c r="W1170" i="1"/>
  <c r="X1170" i="1"/>
  <c r="Y1170" i="1"/>
  <c r="Z1170" i="1"/>
  <c r="AA1170" i="1"/>
  <c r="AB1170" i="1"/>
  <c r="AC1170" i="1"/>
  <c r="AD1170" i="1"/>
  <c r="AE1170" i="1"/>
  <c r="W1171" i="1"/>
  <c r="X1171" i="1"/>
  <c r="Y1171" i="1"/>
  <c r="Z1171" i="1"/>
  <c r="AA1171" i="1"/>
  <c r="AB1171" i="1"/>
  <c r="AC1171" i="1"/>
  <c r="AD1171" i="1"/>
  <c r="AE1171" i="1"/>
  <c r="W1172" i="1"/>
  <c r="X1172" i="1"/>
  <c r="Y1172" i="1"/>
  <c r="Z1172" i="1"/>
  <c r="AA1172" i="1"/>
  <c r="AB1172" i="1"/>
  <c r="AC1172" i="1"/>
  <c r="AD1172" i="1"/>
  <c r="AE1172" i="1"/>
  <c r="W1173" i="1"/>
  <c r="X1173" i="1"/>
  <c r="Y1173" i="1"/>
  <c r="Z1173" i="1"/>
  <c r="AA1173" i="1"/>
  <c r="AB1173" i="1"/>
  <c r="AC1173" i="1"/>
  <c r="AD1173" i="1"/>
  <c r="AE1173" i="1"/>
  <c r="W1174" i="1"/>
  <c r="X1174" i="1"/>
  <c r="Y1174" i="1"/>
  <c r="Z1174" i="1"/>
  <c r="AA1174" i="1"/>
  <c r="AB1174" i="1"/>
  <c r="AC1174" i="1"/>
  <c r="AD1174" i="1"/>
  <c r="AE1174" i="1"/>
  <c r="W1175" i="1"/>
  <c r="X1175" i="1"/>
  <c r="Y1175" i="1"/>
  <c r="Z1175" i="1"/>
  <c r="AA1175" i="1"/>
  <c r="AB1175" i="1"/>
  <c r="AC1175" i="1"/>
  <c r="AD1175" i="1"/>
  <c r="AE1175" i="1"/>
  <c r="W1176" i="1"/>
  <c r="X1176" i="1"/>
  <c r="Y1176" i="1"/>
  <c r="Z1176" i="1"/>
  <c r="AA1176" i="1"/>
  <c r="AB1176" i="1"/>
  <c r="AC1176" i="1"/>
  <c r="AD1176" i="1"/>
  <c r="AE1176" i="1"/>
  <c r="W1177" i="1"/>
  <c r="X1177" i="1"/>
  <c r="Y1177" i="1"/>
  <c r="Z1177" i="1"/>
  <c r="AA1177" i="1"/>
  <c r="AB1177" i="1"/>
  <c r="AC1177" i="1"/>
  <c r="AD1177" i="1"/>
  <c r="AE1177" i="1"/>
  <c r="W1178" i="1"/>
  <c r="X1178" i="1"/>
  <c r="Y1178" i="1"/>
  <c r="Z1178" i="1"/>
  <c r="AA1178" i="1"/>
  <c r="AB1178" i="1"/>
  <c r="AC1178" i="1"/>
  <c r="AD1178" i="1"/>
  <c r="AE1178" i="1"/>
  <c r="W1179" i="1"/>
  <c r="X1179" i="1"/>
  <c r="Y1179" i="1"/>
  <c r="Z1179" i="1"/>
  <c r="AA1179" i="1"/>
  <c r="AB1179" i="1"/>
  <c r="AC1179" i="1"/>
  <c r="AD1179" i="1"/>
  <c r="AE1179" i="1"/>
  <c r="W1180" i="1"/>
  <c r="X1180" i="1"/>
  <c r="Y1180" i="1"/>
  <c r="Z1180" i="1"/>
  <c r="AA1180" i="1"/>
  <c r="AB1180" i="1"/>
  <c r="AC1180" i="1"/>
  <c r="AD1180" i="1"/>
  <c r="AE1180" i="1"/>
  <c r="W1181" i="1"/>
  <c r="X1181" i="1"/>
  <c r="Y1181" i="1"/>
  <c r="Z1181" i="1"/>
  <c r="AA1181" i="1"/>
  <c r="AB1181" i="1"/>
  <c r="AC1181" i="1"/>
  <c r="AD1181" i="1"/>
  <c r="AE1181" i="1"/>
  <c r="W1182" i="1"/>
  <c r="X1182" i="1"/>
  <c r="Y1182" i="1"/>
  <c r="Z1182" i="1"/>
  <c r="AA1182" i="1"/>
  <c r="AB1182" i="1"/>
  <c r="AC1182" i="1"/>
  <c r="AD1182" i="1"/>
  <c r="AE1182" i="1"/>
  <c r="W1183" i="1"/>
  <c r="X1183" i="1"/>
  <c r="Y1183" i="1"/>
  <c r="Z1183" i="1"/>
  <c r="AA1183" i="1"/>
  <c r="AB1183" i="1"/>
  <c r="AC1183" i="1"/>
  <c r="AD1183" i="1"/>
  <c r="AE1183" i="1"/>
  <c r="W1184" i="1"/>
  <c r="X1184" i="1"/>
  <c r="Y1184" i="1"/>
  <c r="Z1184" i="1"/>
  <c r="AA1184" i="1"/>
  <c r="AB1184" i="1"/>
  <c r="AC1184" i="1"/>
  <c r="AD1184" i="1"/>
  <c r="AE1184" i="1"/>
  <c r="W1185" i="1"/>
  <c r="X1185" i="1"/>
  <c r="Y1185" i="1"/>
  <c r="Z1185" i="1"/>
  <c r="AA1185" i="1"/>
  <c r="AB1185" i="1"/>
  <c r="AC1185" i="1"/>
  <c r="AD1185" i="1"/>
  <c r="AE1185" i="1"/>
  <c r="W1186" i="1"/>
  <c r="X1186" i="1"/>
  <c r="Y1186" i="1"/>
  <c r="Z1186" i="1"/>
  <c r="AA1186" i="1"/>
  <c r="AB1186" i="1"/>
  <c r="AC1186" i="1"/>
  <c r="AD1186" i="1"/>
  <c r="AE1186" i="1"/>
  <c r="W1187" i="1"/>
  <c r="X1187" i="1"/>
  <c r="Y1187" i="1"/>
  <c r="Z1187" i="1"/>
  <c r="AA1187" i="1"/>
  <c r="AB1187" i="1"/>
  <c r="AC1187" i="1"/>
  <c r="AD1187" i="1"/>
  <c r="AE1187" i="1"/>
  <c r="W1188" i="1"/>
  <c r="X1188" i="1"/>
  <c r="Y1188" i="1"/>
  <c r="Z1188" i="1"/>
  <c r="AA1188" i="1"/>
  <c r="AB1188" i="1"/>
  <c r="AC1188" i="1"/>
  <c r="AD1188" i="1"/>
  <c r="AE1188" i="1"/>
  <c r="W1189" i="1"/>
  <c r="X1189" i="1"/>
  <c r="Y1189" i="1"/>
  <c r="Z1189" i="1"/>
  <c r="AA1189" i="1"/>
  <c r="AB1189" i="1"/>
  <c r="AC1189" i="1"/>
  <c r="AD1189" i="1"/>
  <c r="AE1189" i="1"/>
  <c r="W1190" i="1"/>
  <c r="X1190" i="1"/>
  <c r="Y1190" i="1"/>
  <c r="Z1190" i="1"/>
  <c r="AA1190" i="1"/>
  <c r="AB1190" i="1"/>
  <c r="AC1190" i="1"/>
  <c r="AD1190" i="1"/>
  <c r="AE1190" i="1"/>
  <c r="W1191" i="1"/>
  <c r="X1191" i="1"/>
  <c r="Y1191" i="1"/>
  <c r="Z1191" i="1"/>
  <c r="AA1191" i="1"/>
  <c r="AB1191" i="1"/>
  <c r="AC1191" i="1"/>
  <c r="AD1191" i="1"/>
  <c r="AE1191" i="1"/>
  <c r="W1192" i="1"/>
  <c r="X1192" i="1"/>
  <c r="Y1192" i="1"/>
  <c r="Z1192" i="1"/>
  <c r="AA1192" i="1"/>
  <c r="AB1192" i="1"/>
  <c r="AC1192" i="1"/>
  <c r="AD1192" i="1"/>
  <c r="AE1192" i="1"/>
  <c r="W1193" i="1"/>
  <c r="X1193" i="1"/>
  <c r="Y1193" i="1"/>
  <c r="Z1193" i="1"/>
  <c r="AA1193" i="1"/>
  <c r="AB1193" i="1"/>
  <c r="AC1193" i="1"/>
  <c r="AD1193" i="1"/>
  <c r="AE1193" i="1"/>
  <c r="W1194" i="1"/>
  <c r="X1194" i="1"/>
  <c r="Y1194" i="1"/>
  <c r="Z1194" i="1"/>
  <c r="AA1194" i="1"/>
  <c r="AB1194" i="1"/>
  <c r="AC1194" i="1"/>
  <c r="AD1194" i="1"/>
  <c r="AE1194" i="1"/>
  <c r="W1195" i="1"/>
  <c r="X1195" i="1"/>
  <c r="Y1195" i="1"/>
  <c r="Z1195" i="1"/>
  <c r="AA1195" i="1"/>
  <c r="AB1195" i="1"/>
  <c r="AC1195" i="1"/>
  <c r="AD1195" i="1"/>
  <c r="AE1195" i="1"/>
  <c r="W1196" i="1"/>
  <c r="X1196" i="1"/>
  <c r="Y1196" i="1"/>
  <c r="Z1196" i="1"/>
  <c r="AA1196" i="1"/>
  <c r="AB1196" i="1"/>
  <c r="AC1196" i="1"/>
  <c r="AD1196" i="1"/>
  <c r="AE1196" i="1"/>
  <c r="W1197" i="1"/>
  <c r="X1197" i="1"/>
  <c r="Y1197" i="1"/>
  <c r="Z1197" i="1"/>
  <c r="AA1197" i="1"/>
  <c r="AB1197" i="1"/>
  <c r="AC1197" i="1"/>
  <c r="AD1197" i="1"/>
  <c r="AE1197" i="1"/>
  <c r="W1198" i="1"/>
  <c r="X1198" i="1"/>
  <c r="Y1198" i="1"/>
  <c r="Z1198" i="1"/>
  <c r="AA1198" i="1"/>
  <c r="AB1198" i="1"/>
  <c r="AC1198" i="1"/>
  <c r="AD1198" i="1"/>
  <c r="AE1198" i="1"/>
  <c r="W1199" i="1"/>
  <c r="X1199" i="1"/>
  <c r="Y1199" i="1"/>
  <c r="Z1199" i="1"/>
  <c r="AA1199" i="1"/>
  <c r="AB1199" i="1"/>
  <c r="AC1199" i="1"/>
  <c r="AD1199" i="1"/>
  <c r="AE1199" i="1"/>
  <c r="W1200" i="1"/>
  <c r="X1200" i="1"/>
  <c r="Y1200" i="1"/>
  <c r="Z1200" i="1"/>
  <c r="AA1200" i="1"/>
  <c r="AB1200" i="1"/>
  <c r="AC1200" i="1"/>
  <c r="AD1200" i="1"/>
  <c r="AE1200" i="1"/>
  <c r="W1201" i="1"/>
  <c r="X1201" i="1"/>
  <c r="Y1201" i="1"/>
  <c r="Z1201" i="1"/>
  <c r="AA1201" i="1"/>
  <c r="AB1201" i="1"/>
  <c r="AC1201" i="1"/>
  <c r="AD1201" i="1"/>
  <c r="AE1201" i="1"/>
  <c r="W1202" i="1"/>
  <c r="X1202" i="1"/>
  <c r="Y1202" i="1"/>
  <c r="Z1202" i="1"/>
  <c r="AA1202" i="1"/>
  <c r="AB1202" i="1"/>
  <c r="AC1202" i="1"/>
  <c r="AD1202" i="1"/>
  <c r="AE1202" i="1"/>
  <c r="W1203" i="1"/>
  <c r="X1203" i="1"/>
  <c r="Y1203" i="1"/>
  <c r="Z1203" i="1"/>
  <c r="AA1203" i="1"/>
  <c r="AB1203" i="1"/>
  <c r="AC1203" i="1"/>
  <c r="AD1203" i="1"/>
  <c r="AE1203" i="1"/>
  <c r="W1204" i="1"/>
  <c r="X1204" i="1"/>
  <c r="Y1204" i="1"/>
  <c r="Z1204" i="1"/>
  <c r="AA1204" i="1"/>
  <c r="AB1204" i="1"/>
  <c r="AC1204" i="1"/>
  <c r="AD1204" i="1"/>
  <c r="AE1204" i="1"/>
  <c r="W1205" i="1"/>
  <c r="X1205" i="1"/>
  <c r="Y1205" i="1"/>
  <c r="Z1205" i="1"/>
  <c r="AA1205" i="1"/>
  <c r="AB1205" i="1"/>
  <c r="AC1205" i="1"/>
  <c r="AD1205" i="1"/>
  <c r="AE1205" i="1"/>
  <c r="W1206" i="1"/>
  <c r="X1206" i="1"/>
  <c r="Y1206" i="1"/>
  <c r="Z1206" i="1"/>
  <c r="AA1206" i="1"/>
  <c r="AB1206" i="1"/>
  <c r="AC1206" i="1"/>
  <c r="AD1206" i="1"/>
  <c r="AE1206" i="1"/>
  <c r="W1207" i="1"/>
  <c r="X1207" i="1"/>
  <c r="Y1207" i="1"/>
  <c r="Z1207" i="1"/>
  <c r="AA1207" i="1"/>
  <c r="AB1207" i="1"/>
  <c r="AC1207" i="1"/>
  <c r="AD1207" i="1"/>
  <c r="AE1207" i="1"/>
  <c r="W1208" i="1"/>
  <c r="X1208" i="1"/>
  <c r="Y1208" i="1"/>
  <c r="Z1208" i="1"/>
  <c r="AA1208" i="1"/>
  <c r="AB1208" i="1"/>
  <c r="AC1208" i="1"/>
  <c r="AD1208" i="1"/>
  <c r="AE1208" i="1"/>
  <c r="W1209" i="1"/>
  <c r="X1209" i="1"/>
  <c r="Y1209" i="1"/>
  <c r="Z1209" i="1"/>
  <c r="AA1209" i="1"/>
  <c r="AB1209" i="1"/>
  <c r="AC1209" i="1"/>
  <c r="AD1209" i="1"/>
  <c r="AE1209" i="1"/>
  <c r="W1210" i="1"/>
  <c r="X1210" i="1"/>
  <c r="Y1210" i="1"/>
  <c r="Z1210" i="1"/>
  <c r="AA1210" i="1"/>
  <c r="AB1210" i="1"/>
  <c r="AC1210" i="1"/>
  <c r="AD1210" i="1"/>
  <c r="AE1210" i="1"/>
  <c r="W1211" i="1"/>
  <c r="X1211" i="1"/>
  <c r="Y1211" i="1"/>
  <c r="Z1211" i="1"/>
  <c r="AA1211" i="1"/>
  <c r="AB1211" i="1"/>
  <c r="AC1211" i="1"/>
  <c r="AD1211" i="1"/>
  <c r="AE1211" i="1"/>
  <c r="W1212" i="1"/>
  <c r="X1212" i="1"/>
  <c r="Y1212" i="1"/>
  <c r="Z1212" i="1"/>
  <c r="AA1212" i="1"/>
  <c r="AB1212" i="1"/>
  <c r="AC1212" i="1"/>
  <c r="AD1212" i="1"/>
  <c r="AE1212" i="1"/>
  <c r="W1213" i="1"/>
  <c r="X1213" i="1"/>
  <c r="Y1213" i="1"/>
  <c r="Z1213" i="1"/>
  <c r="AA1213" i="1"/>
  <c r="AB1213" i="1"/>
  <c r="AC1213" i="1"/>
  <c r="AD1213" i="1"/>
  <c r="AE1213" i="1"/>
  <c r="W1214" i="1"/>
  <c r="X1214" i="1"/>
  <c r="Y1214" i="1"/>
  <c r="Z1214" i="1"/>
  <c r="AA1214" i="1"/>
  <c r="AB1214" i="1"/>
  <c r="AC1214" i="1"/>
  <c r="AD1214" i="1"/>
  <c r="AE1214" i="1"/>
  <c r="W1215" i="1"/>
  <c r="X1215" i="1"/>
  <c r="Y1215" i="1"/>
  <c r="Z1215" i="1"/>
  <c r="AA1215" i="1"/>
  <c r="AB1215" i="1"/>
  <c r="AC1215" i="1"/>
  <c r="AD1215" i="1"/>
  <c r="AE1215" i="1"/>
  <c r="W1216" i="1"/>
  <c r="X1216" i="1"/>
  <c r="Y1216" i="1"/>
  <c r="Z1216" i="1"/>
  <c r="AA1216" i="1"/>
  <c r="AB1216" i="1"/>
  <c r="AC1216" i="1"/>
  <c r="AD1216" i="1"/>
  <c r="AE1216" i="1"/>
  <c r="W1217" i="1"/>
  <c r="X1217" i="1"/>
  <c r="Y1217" i="1"/>
  <c r="Z1217" i="1"/>
  <c r="AA1217" i="1"/>
  <c r="AB1217" i="1"/>
  <c r="AC1217" i="1"/>
  <c r="AD1217" i="1"/>
  <c r="AE1217" i="1"/>
  <c r="W1218" i="1"/>
  <c r="X1218" i="1"/>
  <c r="Y1218" i="1"/>
  <c r="Z1218" i="1"/>
  <c r="AA1218" i="1"/>
  <c r="AB1218" i="1"/>
  <c r="AC1218" i="1"/>
  <c r="AD1218" i="1"/>
  <c r="AE1218" i="1"/>
  <c r="W1219" i="1"/>
  <c r="X1219" i="1"/>
  <c r="Y1219" i="1"/>
  <c r="Z1219" i="1"/>
  <c r="AA1219" i="1"/>
  <c r="AB1219" i="1"/>
  <c r="AC1219" i="1"/>
  <c r="AD1219" i="1"/>
  <c r="AE1219" i="1"/>
  <c r="W1220" i="1"/>
  <c r="X1220" i="1"/>
  <c r="Y1220" i="1"/>
  <c r="Z1220" i="1"/>
  <c r="AA1220" i="1"/>
  <c r="AB1220" i="1"/>
  <c r="AC1220" i="1"/>
  <c r="AD1220" i="1"/>
  <c r="AE1220" i="1"/>
  <c r="W1221" i="1"/>
  <c r="X1221" i="1"/>
  <c r="Y1221" i="1"/>
  <c r="Z1221" i="1"/>
  <c r="AA1221" i="1"/>
  <c r="AB1221" i="1"/>
  <c r="AC1221" i="1"/>
  <c r="AD1221" i="1"/>
  <c r="AE1221" i="1"/>
  <c r="W1222" i="1"/>
  <c r="X1222" i="1"/>
  <c r="Y1222" i="1"/>
  <c r="Z1222" i="1"/>
  <c r="AA1222" i="1"/>
  <c r="AB1222" i="1"/>
  <c r="AC1222" i="1"/>
  <c r="AD1222" i="1"/>
  <c r="AE1222" i="1"/>
  <c r="W1223" i="1"/>
  <c r="X1223" i="1"/>
  <c r="Y1223" i="1"/>
  <c r="Z1223" i="1"/>
  <c r="AA1223" i="1"/>
  <c r="AB1223" i="1"/>
  <c r="AC1223" i="1"/>
  <c r="AD1223" i="1"/>
  <c r="AE1223" i="1"/>
  <c r="W1224" i="1"/>
  <c r="X1224" i="1"/>
  <c r="Y1224" i="1"/>
  <c r="Z1224" i="1"/>
  <c r="AA1224" i="1"/>
  <c r="AB1224" i="1"/>
  <c r="AC1224" i="1"/>
  <c r="AD1224" i="1"/>
  <c r="AE1224" i="1"/>
  <c r="W1225" i="1"/>
  <c r="X1225" i="1"/>
  <c r="Y1225" i="1"/>
  <c r="Z1225" i="1"/>
  <c r="AA1225" i="1"/>
  <c r="AB1225" i="1"/>
  <c r="AC1225" i="1"/>
  <c r="AD1225" i="1"/>
  <c r="AE1225" i="1"/>
  <c r="W1226" i="1"/>
  <c r="X1226" i="1"/>
  <c r="Y1226" i="1"/>
  <c r="Z1226" i="1"/>
  <c r="AA1226" i="1"/>
  <c r="AB1226" i="1"/>
  <c r="AC1226" i="1"/>
  <c r="AD1226" i="1"/>
  <c r="AE1226" i="1"/>
  <c r="W1227" i="1"/>
  <c r="X1227" i="1"/>
  <c r="Y1227" i="1"/>
  <c r="Z1227" i="1"/>
  <c r="AA1227" i="1"/>
  <c r="AB1227" i="1"/>
  <c r="AC1227" i="1"/>
  <c r="AD1227" i="1"/>
  <c r="AE1227" i="1"/>
  <c r="W1228" i="1"/>
  <c r="X1228" i="1"/>
  <c r="Y1228" i="1"/>
  <c r="Z1228" i="1"/>
  <c r="AA1228" i="1"/>
  <c r="AB1228" i="1"/>
  <c r="AC1228" i="1"/>
  <c r="AD1228" i="1"/>
  <c r="AE1228" i="1"/>
  <c r="W1229" i="1"/>
  <c r="X1229" i="1"/>
  <c r="Y1229" i="1"/>
  <c r="Z1229" i="1"/>
  <c r="AA1229" i="1"/>
  <c r="AB1229" i="1"/>
  <c r="AC1229" i="1"/>
  <c r="AD1229" i="1"/>
  <c r="AE1229" i="1"/>
  <c r="W1230" i="1"/>
  <c r="X1230" i="1"/>
  <c r="Y1230" i="1"/>
  <c r="Z1230" i="1"/>
  <c r="AA1230" i="1"/>
  <c r="AB1230" i="1"/>
  <c r="AC1230" i="1"/>
  <c r="AD1230" i="1"/>
  <c r="AE1230" i="1"/>
  <c r="W1231" i="1"/>
  <c r="X1231" i="1"/>
  <c r="Y1231" i="1"/>
  <c r="Z1231" i="1"/>
  <c r="AA1231" i="1"/>
  <c r="AB1231" i="1"/>
  <c r="AC1231" i="1"/>
  <c r="AD1231" i="1"/>
  <c r="AE1231" i="1"/>
  <c r="W1232" i="1"/>
  <c r="X1232" i="1"/>
  <c r="Y1232" i="1"/>
  <c r="Z1232" i="1"/>
  <c r="AA1232" i="1"/>
  <c r="AB1232" i="1"/>
  <c r="AC1232" i="1"/>
  <c r="AD1232" i="1"/>
  <c r="AE1232" i="1"/>
  <c r="W1233" i="1"/>
  <c r="X1233" i="1"/>
  <c r="Y1233" i="1"/>
  <c r="Z1233" i="1"/>
  <c r="AA1233" i="1"/>
  <c r="AB1233" i="1"/>
  <c r="AC1233" i="1"/>
  <c r="AD1233" i="1"/>
  <c r="AE1233" i="1"/>
  <c r="W1234" i="1"/>
  <c r="X1234" i="1"/>
  <c r="Y1234" i="1"/>
  <c r="Z1234" i="1"/>
  <c r="AA1234" i="1"/>
  <c r="AB1234" i="1"/>
  <c r="AC1234" i="1"/>
  <c r="AD1234" i="1"/>
  <c r="AE1234" i="1"/>
  <c r="W1235" i="1"/>
  <c r="X1235" i="1"/>
  <c r="Y1235" i="1"/>
  <c r="Z1235" i="1"/>
  <c r="AA1235" i="1"/>
  <c r="AB1235" i="1"/>
  <c r="AC1235" i="1"/>
  <c r="AD1235" i="1"/>
  <c r="AE1235" i="1"/>
  <c r="W1236" i="1"/>
  <c r="X1236" i="1"/>
  <c r="Y1236" i="1"/>
  <c r="Z1236" i="1"/>
  <c r="AA1236" i="1"/>
  <c r="AB1236" i="1"/>
  <c r="AC1236" i="1"/>
  <c r="AD1236" i="1"/>
  <c r="AE1236" i="1"/>
  <c r="W1237" i="1"/>
  <c r="X1237" i="1"/>
  <c r="Y1237" i="1"/>
  <c r="Z1237" i="1"/>
  <c r="AA1237" i="1"/>
  <c r="AB1237" i="1"/>
  <c r="AC1237" i="1"/>
  <c r="AD1237" i="1"/>
  <c r="AE1237" i="1"/>
  <c r="W1238" i="1"/>
  <c r="X1238" i="1"/>
  <c r="Y1238" i="1"/>
  <c r="Z1238" i="1"/>
  <c r="AA1238" i="1"/>
  <c r="AB1238" i="1"/>
  <c r="AC1238" i="1"/>
  <c r="AD1238" i="1"/>
  <c r="AE1238" i="1"/>
  <c r="W1239" i="1"/>
  <c r="X1239" i="1"/>
  <c r="Y1239" i="1"/>
  <c r="Z1239" i="1"/>
  <c r="AA1239" i="1"/>
  <c r="AB1239" i="1"/>
  <c r="AC1239" i="1"/>
  <c r="AD1239" i="1"/>
  <c r="AE1239" i="1"/>
  <c r="W1240" i="1"/>
  <c r="X1240" i="1"/>
  <c r="Y1240" i="1"/>
  <c r="Z1240" i="1"/>
  <c r="AA1240" i="1"/>
  <c r="AB1240" i="1"/>
  <c r="AC1240" i="1"/>
  <c r="AD1240" i="1"/>
  <c r="AE1240" i="1"/>
  <c r="W1241" i="1"/>
  <c r="X1241" i="1"/>
  <c r="Y1241" i="1"/>
  <c r="Z1241" i="1"/>
  <c r="AA1241" i="1"/>
  <c r="AB1241" i="1"/>
  <c r="AC1241" i="1"/>
  <c r="AD1241" i="1"/>
  <c r="AE1241" i="1"/>
  <c r="W1242" i="1"/>
  <c r="X1242" i="1"/>
  <c r="Y1242" i="1"/>
  <c r="Z1242" i="1"/>
  <c r="AA1242" i="1"/>
  <c r="AB1242" i="1"/>
  <c r="AC1242" i="1"/>
  <c r="AD1242" i="1"/>
  <c r="AE1242" i="1"/>
  <c r="W1243" i="1"/>
  <c r="X1243" i="1"/>
  <c r="Y1243" i="1"/>
  <c r="Z1243" i="1"/>
  <c r="AA1243" i="1"/>
  <c r="AB1243" i="1"/>
  <c r="AC1243" i="1"/>
  <c r="AD1243" i="1"/>
  <c r="AE1243" i="1"/>
  <c r="W1244" i="1"/>
  <c r="X1244" i="1"/>
  <c r="Y1244" i="1"/>
  <c r="Z1244" i="1"/>
  <c r="AA1244" i="1"/>
  <c r="AB1244" i="1"/>
  <c r="AC1244" i="1"/>
  <c r="AD1244" i="1"/>
  <c r="AE1244" i="1"/>
  <c r="W1245" i="1"/>
  <c r="X1245" i="1"/>
  <c r="Y1245" i="1"/>
  <c r="Z1245" i="1"/>
  <c r="AA1245" i="1"/>
  <c r="AB1245" i="1"/>
  <c r="AC1245" i="1"/>
  <c r="AD1245" i="1"/>
  <c r="AE1245" i="1"/>
  <c r="W1246" i="1"/>
  <c r="X1246" i="1"/>
  <c r="Y1246" i="1"/>
  <c r="Z1246" i="1"/>
  <c r="AA1246" i="1"/>
  <c r="AB1246" i="1"/>
  <c r="AC1246" i="1"/>
  <c r="AD1246" i="1"/>
  <c r="AE1246" i="1"/>
  <c r="W1247" i="1"/>
  <c r="X1247" i="1"/>
  <c r="Y1247" i="1"/>
  <c r="Z1247" i="1"/>
  <c r="AA1247" i="1"/>
  <c r="AB1247" i="1"/>
  <c r="AC1247" i="1"/>
  <c r="AD1247" i="1"/>
  <c r="AE1247" i="1"/>
  <c r="W1248" i="1"/>
  <c r="X1248" i="1"/>
  <c r="Y1248" i="1"/>
  <c r="Z1248" i="1"/>
  <c r="AA1248" i="1"/>
  <c r="AB1248" i="1"/>
  <c r="AC1248" i="1"/>
  <c r="AD1248" i="1"/>
  <c r="AE1248" i="1"/>
  <c r="W1249" i="1"/>
  <c r="X1249" i="1"/>
  <c r="Y1249" i="1"/>
  <c r="Z1249" i="1"/>
  <c r="AA1249" i="1"/>
  <c r="AB1249" i="1"/>
  <c r="AC1249" i="1"/>
  <c r="AD1249" i="1"/>
  <c r="AE1249" i="1"/>
  <c r="W1250" i="1"/>
  <c r="X1250" i="1"/>
  <c r="Y1250" i="1"/>
  <c r="Z1250" i="1"/>
  <c r="AA1250" i="1"/>
  <c r="AB1250" i="1"/>
  <c r="AC1250" i="1"/>
  <c r="AD1250" i="1"/>
  <c r="AE1250" i="1"/>
  <c r="W1251" i="1"/>
  <c r="X1251" i="1"/>
  <c r="Y1251" i="1"/>
  <c r="Z1251" i="1"/>
  <c r="AA1251" i="1"/>
  <c r="AB1251" i="1"/>
  <c r="AC1251" i="1"/>
  <c r="AD1251" i="1"/>
  <c r="AE1251" i="1"/>
  <c r="W1252" i="1"/>
  <c r="X1252" i="1"/>
  <c r="Y1252" i="1"/>
  <c r="Z1252" i="1"/>
  <c r="AA1252" i="1"/>
  <c r="AB1252" i="1"/>
  <c r="AC1252" i="1"/>
  <c r="AD1252" i="1"/>
  <c r="AE1252" i="1"/>
  <c r="W1253" i="1"/>
  <c r="X1253" i="1"/>
  <c r="Y1253" i="1"/>
  <c r="Z1253" i="1"/>
  <c r="AA1253" i="1"/>
  <c r="AB1253" i="1"/>
  <c r="AC1253" i="1"/>
  <c r="AD1253" i="1"/>
  <c r="AE1253" i="1"/>
  <c r="W1254" i="1"/>
  <c r="X1254" i="1"/>
  <c r="Y1254" i="1"/>
  <c r="Z1254" i="1"/>
  <c r="AA1254" i="1"/>
  <c r="AB1254" i="1"/>
  <c r="AC1254" i="1"/>
  <c r="AD1254" i="1"/>
  <c r="AE1254" i="1"/>
  <c r="W1255" i="1"/>
  <c r="X1255" i="1"/>
  <c r="Y1255" i="1"/>
  <c r="Z1255" i="1"/>
  <c r="AA1255" i="1"/>
  <c r="AB1255" i="1"/>
  <c r="AC1255" i="1"/>
  <c r="AD1255" i="1"/>
  <c r="AE1255" i="1"/>
  <c r="W1256" i="1"/>
  <c r="X1256" i="1"/>
  <c r="Y1256" i="1"/>
  <c r="Z1256" i="1"/>
  <c r="AA1256" i="1"/>
  <c r="AB1256" i="1"/>
  <c r="AC1256" i="1"/>
  <c r="AD1256" i="1"/>
  <c r="AE1256" i="1"/>
  <c r="W1257" i="1"/>
  <c r="X1257" i="1"/>
  <c r="Y1257" i="1"/>
  <c r="Z1257" i="1"/>
  <c r="AA1257" i="1"/>
  <c r="AB1257" i="1"/>
  <c r="AC1257" i="1"/>
  <c r="AD1257" i="1"/>
  <c r="AE1257" i="1"/>
  <c r="W1258" i="1"/>
  <c r="X1258" i="1"/>
  <c r="Y1258" i="1"/>
  <c r="Z1258" i="1"/>
  <c r="AA1258" i="1"/>
  <c r="AB1258" i="1"/>
  <c r="AC1258" i="1"/>
  <c r="AD1258" i="1"/>
  <c r="AE1258" i="1"/>
  <c r="W1259" i="1"/>
  <c r="X1259" i="1"/>
  <c r="Y1259" i="1"/>
  <c r="Z1259" i="1"/>
  <c r="AA1259" i="1"/>
  <c r="AB1259" i="1"/>
  <c r="AC1259" i="1"/>
  <c r="AD1259" i="1"/>
  <c r="AE1259" i="1"/>
  <c r="W1260" i="1"/>
  <c r="X1260" i="1"/>
  <c r="Y1260" i="1"/>
  <c r="Z1260" i="1"/>
  <c r="AA1260" i="1"/>
  <c r="AB1260" i="1"/>
  <c r="AC1260" i="1"/>
  <c r="AD1260" i="1"/>
  <c r="AE1260" i="1"/>
  <c r="W1261" i="1"/>
  <c r="X1261" i="1"/>
  <c r="Y1261" i="1"/>
  <c r="Z1261" i="1"/>
  <c r="AA1261" i="1"/>
  <c r="AB1261" i="1"/>
  <c r="AC1261" i="1"/>
  <c r="AD1261" i="1"/>
  <c r="AE1261" i="1"/>
  <c r="W1262" i="1"/>
  <c r="X1262" i="1"/>
  <c r="Y1262" i="1"/>
  <c r="Z1262" i="1"/>
  <c r="AA1262" i="1"/>
  <c r="AB1262" i="1"/>
  <c r="AC1262" i="1"/>
  <c r="AD1262" i="1"/>
  <c r="AE1262" i="1"/>
  <c r="W1263" i="1"/>
  <c r="X1263" i="1"/>
  <c r="Y1263" i="1"/>
  <c r="Z1263" i="1"/>
  <c r="AA1263" i="1"/>
  <c r="AB1263" i="1"/>
  <c r="AC1263" i="1"/>
  <c r="AD1263" i="1"/>
  <c r="AE1263" i="1"/>
  <c r="W1264" i="1"/>
  <c r="X1264" i="1"/>
  <c r="Y1264" i="1"/>
  <c r="Z1264" i="1"/>
  <c r="AA1264" i="1"/>
  <c r="AB1264" i="1"/>
  <c r="AC1264" i="1"/>
  <c r="AD1264" i="1"/>
  <c r="AE1264" i="1"/>
  <c r="W1265" i="1"/>
  <c r="X1265" i="1"/>
  <c r="Y1265" i="1"/>
  <c r="Z1265" i="1"/>
  <c r="AA1265" i="1"/>
  <c r="AB1265" i="1"/>
  <c r="AC1265" i="1"/>
  <c r="AD1265" i="1"/>
  <c r="AE1265" i="1"/>
  <c r="W1266" i="1"/>
  <c r="X1266" i="1"/>
  <c r="Y1266" i="1"/>
  <c r="Z1266" i="1"/>
  <c r="AA1266" i="1"/>
  <c r="AB1266" i="1"/>
  <c r="AC1266" i="1"/>
  <c r="AD1266" i="1"/>
  <c r="AE1266" i="1"/>
  <c r="W1267" i="1"/>
  <c r="X1267" i="1"/>
  <c r="Y1267" i="1"/>
  <c r="Z1267" i="1"/>
  <c r="AA1267" i="1"/>
  <c r="AB1267" i="1"/>
  <c r="AC1267" i="1"/>
  <c r="AD1267" i="1"/>
  <c r="AE1267" i="1"/>
  <c r="W1268" i="1"/>
  <c r="X1268" i="1"/>
  <c r="Y1268" i="1"/>
  <c r="Z1268" i="1"/>
  <c r="AA1268" i="1"/>
  <c r="AB1268" i="1"/>
  <c r="AC1268" i="1"/>
  <c r="AD1268" i="1"/>
  <c r="AE1268" i="1"/>
  <c r="W1269" i="1"/>
  <c r="X1269" i="1"/>
  <c r="Y1269" i="1"/>
  <c r="Z1269" i="1"/>
  <c r="AA1269" i="1"/>
  <c r="AB1269" i="1"/>
  <c r="AC1269" i="1"/>
  <c r="AD1269" i="1"/>
  <c r="AE1269" i="1"/>
  <c r="W1270" i="1"/>
  <c r="X1270" i="1"/>
  <c r="Y1270" i="1"/>
  <c r="Z1270" i="1"/>
  <c r="AA1270" i="1"/>
  <c r="AB1270" i="1"/>
  <c r="AC1270" i="1"/>
  <c r="AD1270" i="1"/>
  <c r="AE1270" i="1"/>
  <c r="W1271" i="1"/>
  <c r="X1271" i="1"/>
  <c r="Y1271" i="1"/>
  <c r="Z1271" i="1"/>
  <c r="AA1271" i="1"/>
  <c r="AB1271" i="1"/>
  <c r="AC1271" i="1"/>
  <c r="AD1271" i="1"/>
  <c r="AE1271" i="1"/>
  <c r="W1272" i="1"/>
  <c r="X1272" i="1"/>
  <c r="Y1272" i="1"/>
  <c r="Z1272" i="1"/>
  <c r="AA1272" i="1"/>
  <c r="AB1272" i="1"/>
  <c r="AC1272" i="1"/>
  <c r="AD1272" i="1"/>
  <c r="AE1272" i="1"/>
  <c r="W1273" i="1"/>
  <c r="X1273" i="1"/>
  <c r="Y1273" i="1"/>
  <c r="Z1273" i="1"/>
  <c r="AA1273" i="1"/>
  <c r="AB1273" i="1"/>
  <c r="AC1273" i="1"/>
  <c r="AD1273" i="1"/>
  <c r="AE1273" i="1"/>
  <c r="W1274" i="1"/>
  <c r="X1274" i="1"/>
  <c r="Y1274" i="1"/>
  <c r="Z1274" i="1"/>
  <c r="AA1274" i="1"/>
  <c r="AB1274" i="1"/>
  <c r="AC1274" i="1"/>
  <c r="AD1274" i="1"/>
  <c r="AE1274" i="1"/>
  <c r="W1275" i="1"/>
  <c r="X1275" i="1"/>
  <c r="Y1275" i="1"/>
  <c r="Z1275" i="1"/>
  <c r="AA1275" i="1"/>
  <c r="AB1275" i="1"/>
  <c r="AC1275" i="1"/>
  <c r="AD1275" i="1"/>
  <c r="AE1275" i="1"/>
  <c r="W1276" i="1"/>
  <c r="X1276" i="1"/>
  <c r="Y1276" i="1"/>
  <c r="Z1276" i="1"/>
  <c r="AA1276" i="1"/>
  <c r="AB1276" i="1"/>
  <c r="AC1276" i="1"/>
  <c r="AD1276" i="1"/>
  <c r="AE1276" i="1"/>
  <c r="W1277" i="1"/>
  <c r="X1277" i="1"/>
  <c r="Y1277" i="1"/>
  <c r="Z1277" i="1"/>
  <c r="AA1277" i="1"/>
  <c r="AB1277" i="1"/>
  <c r="AC1277" i="1"/>
  <c r="AD1277" i="1"/>
  <c r="AE1277" i="1"/>
  <c r="W1278" i="1"/>
  <c r="X1278" i="1"/>
  <c r="Y1278" i="1"/>
  <c r="Z1278" i="1"/>
  <c r="AA1278" i="1"/>
  <c r="AB1278" i="1"/>
  <c r="AC1278" i="1"/>
  <c r="AD1278" i="1"/>
  <c r="AE1278" i="1"/>
  <c r="W1279" i="1"/>
  <c r="X1279" i="1"/>
  <c r="Y1279" i="1"/>
  <c r="Z1279" i="1"/>
  <c r="AA1279" i="1"/>
  <c r="AB1279" i="1"/>
  <c r="AC1279" i="1"/>
  <c r="AD1279" i="1"/>
  <c r="AE1279" i="1"/>
  <c r="W1280" i="1"/>
  <c r="X1280" i="1"/>
  <c r="Y1280" i="1"/>
  <c r="Z1280" i="1"/>
  <c r="AA1280" i="1"/>
  <c r="AB1280" i="1"/>
  <c r="AC1280" i="1"/>
  <c r="AD1280" i="1"/>
  <c r="AE1280" i="1"/>
  <c r="W1281" i="1"/>
  <c r="X1281" i="1"/>
  <c r="Y1281" i="1"/>
  <c r="Z1281" i="1"/>
  <c r="AA1281" i="1"/>
  <c r="AB1281" i="1"/>
  <c r="AC1281" i="1"/>
  <c r="AD1281" i="1"/>
  <c r="AE1281" i="1"/>
  <c r="W1282" i="1"/>
  <c r="X1282" i="1"/>
  <c r="Y1282" i="1"/>
  <c r="Z1282" i="1"/>
  <c r="AA1282" i="1"/>
  <c r="AB1282" i="1"/>
  <c r="AC1282" i="1"/>
  <c r="AD1282" i="1"/>
  <c r="AE1282" i="1"/>
  <c r="W1283" i="1"/>
  <c r="X1283" i="1"/>
  <c r="Y1283" i="1"/>
  <c r="Z1283" i="1"/>
  <c r="AA1283" i="1"/>
  <c r="AB1283" i="1"/>
  <c r="AC1283" i="1"/>
  <c r="AD1283" i="1"/>
  <c r="AE1283" i="1"/>
  <c r="W1284" i="1"/>
  <c r="X1284" i="1"/>
  <c r="Y1284" i="1"/>
  <c r="Z1284" i="1"/>
  <c r="AA1284" i="1"/>
  <c r="AB1284" i="1"/>
  <c r="AC1284" i="1"/>
  <c r="AD1284" i="1"/>
  <c r="AE1284" i="1"/>
  <c r="W1285" i="1"/>
  <c r="X1285" i="1"/>
  <c r="Y1285" i="1"/>
  <c r="Z1285" i="1"/>
  <c r="AA1285" i="1"/>
  <c r="AB1285" i="1"/>
  <c r="AC1285" i="1"/>
  <c r="AD1285" i="1"/>
  <c r="AE1285" i="1"/>
  <c r="W1286" i="1"/>
  <c r="X1286" i="1"/>
  <c r="Y1286" i="1"/>
  <c r="Z1286" i="1"/>
  <c r="AA1286" i="1"/>
  <c r="AB1286" i="1"/>
  <c r="AC1286" i="1"/>
  <c r="AD1286" i="1"/>
  <c r="AE1286" i="1"/>
  <c r="W1287" i="1"/>
  <c r="X1287" i="1"/>
  <c r="Y1287" i="1"/>
  <c r="Z1287" i="1"/>
  <c r="AA1287" i="1"/>
  <c r="AB1287" i="1"/>
  <c r="AC1287" i="1"/>
  <c r="AD1287" i="1"/>
  <c r="AE1287" i="1"/>
  <c r="W1288" i="1"/>
  <c r="X1288" i="1"/>
  <c r="Y1288" i="1"/>
  <c r="Z1288" i="1"/>
  <c r="AA1288" i="1"/>
  <c r="AB1288" i="1"/>
  <c r="AC1288" i="1"/>
  <c r="AD1288" i="1"/>
  <c r="AE1288" i="1"/>
  <c r="W1289" i="1"/>
  <c r="X1289" i="1"/>
  <c r="Y1289" i="1"/>
  <c r="Z1289" i="1"/>
  <c r="AA1289" i="1"/>
  <c r="AB1289" i="1"/>
  <c r="AC1289" i="1"/>
  <c r="AD1289" i="1"/>
  <c r="AE1289" i="1"/>
  <c r="W1290" i="1"/>
  <c r="X1290" i="1"/>
  <c r="Y1290" i="1"/>
  <c r="Z1290" i="1"/>
  <c r="AA1290" i="1"/>
  <c r="AB1290" i="1"/>
  <c r="AC1290" i="1"/>
  <c r="AD1290" i="1"/>
  <c r="AE1290" i="1"/>
  <c r="W1291" i="1"/>
  <c r="X1291" i="1"/>
  <c r="Y1291" i="1"/>
  <c r="Z1291" i="1"/>
  <c r="AA1291" i="1"/>
  <c r="AB1291" i="1"/>
  <c r="AC1291" i="1"/>
  <c r="AD1291" i="1"/>
  <c r="AE1291" i="1"/>
  <c r="W1292" i="1"/>
  <c r="X1292" i="1"/>
  <c r="Y1292" i="1"/>
  <c r="Z1292" i="1"/>
  <c r="AA1292" i="1"/>
  <c r="AB1292" i="1"/>
  <c r="AC1292" i="1"/>
  <c r="AD1292" i="1"/>
  <c r="AE1292" i="1"/>
  <c r="W1293" i="1"/>
  <c r="X1293" i="1"/>
  <c r="Y1293" i="1"/>
  <c r="Z1293" i="1"/>
  <c r="AA1293" i="1"/>
  <c r="AB1293" i="1"/>
  <c r="AC1293" i="1"/>
  <c r="AD1293" i="1"/>
  <c r="AE1293" i="1"/>
  <c r="W1294" i="1"/>
  <c r="X1294" i="1"/>
  <c r="Y1294" i="1"/>
  <c r="Z1294" i="1"/>
  <c r="AA1294" i="1"/>
  <c r="AB1294" i="1"/>
  <c r="AC1294" i="1"/>
  <c r="AD1294" i="1"/>
  <c r="AE1294" i="1"/>
  <c r="W1295" i="1"/>
  <c r="X1295" i="1"/>
  <c r="Y1295" i="1"/>
  <c r="Z1295" i="1"/>
  <c r="AA1295" i="1"/>
  <c r="AB1295" i="1"/>
  <c r="AC1295" i="1"/>
  <c r="AD1295" i="1"/>
  <c r="AE1295" i="1"/>
  <c r="W1296" i="1"/>
  <c r="X1296" i="1"/>
  <c r="Y1296" i="1"/>
  <c r="Z1296" i="1"/>
  <c r="AA1296" i="1"/>
  <c r="AB1296" i="1"/>
  <c r="AC1296" i="1"/>
  <c r="AD1296" i="1"/>
  <c r="AE1296" i="1"/>
  <c r="W1297" i="1"/>
  <c r="X1297" i="1"/>
  <c r="Y1297" i="1"/>
  <c r="Z1297" i="1"/>
  <c r="AA1297" i="1"/>
  <c r="AB1297" i="1"/>
  <c r="AC1297" i="1"/>
  <c r="AD1297" i="1"/>
  <c r="AE1297" i="1"/>
  <c r="W1298" i="1"/>
  <c r="X1298" i="1"/>
  <c r="Y1298" i="1"/>
  <c r="Z1298" i="1"/>
  <c r="AA1298" i="1"/>
  <c r="AB1298" i="1"/>
  <c r="AC1298" i="1"/>
  <c r="AD1298" i="1"/>
  <c r="AE1298" i="1"/>
  <c r="W1299" i="1"/>
  <c r="X1299" i="1"/>
  <c r="Y1299" i="1"/>
  <c r="Z1299" i="1"/>
  <c r="AA1299" i="1"/>
  <c r="AB1299" i="1"/>
  <c r="AC1299" i="1"/>
  <c r="AD1299" i="1"/>
  <c r="AE1299" i="1"/>
  <c r="W1300" i="1"/>
  <c r="X1300" i="1"/>
  <c r="Y1300" i="1"/>
  <c r="Z1300" i="1"/>
  <c r="AA1300" i="1"/>
  <c r="AB1300" i="1"/>
  <c r="AC1300" i="1"/>
  <c r="AD1300" i="1"/>
  <c r="AE1300" i="1"/>
  <c r="W1301" i="1"/>
  <c r="X1301" i="1"/>
  <c r="Y1301" i="1"/>
  <c r="Z1301" i="1"/>
  <c r="AA1301" i="1"/>
  <c r="AB1301" i="1"/>
  <c r="AC1301" i="1"/>
  <c r="AD1301" i="1"/>
  <c r="AE1301" i="1"/>
  <c r="W1302" i="1"/>
  <c r="X1302" i="1"/>
  <c r="Y1302" i="1"/>
  <c r="Z1302" i="1"/>
  <c r="AA1302" i="1"/>
  <c r="AB1302" i="1"/>
  <c r="AC1302" i="1"/>
  <c r="AD1302" i="1"/>
  <c r="AE1302" i="1"/>
  <c r="W1303" i="1"/>
  <c r="X1303" i="1"/>
  <c r="Y1303" i="1"/>
  <c r="Z1303" i="1"/>
  <c r="AA1303" i="1"/>
  <c r="AB1303" i="1"/>
  <c r="AC1303" i="1"/>
  <c r="AD1303" i="1"/>
  <c r="AE1303" i="1"/>
  <c r="W1304" i="1"/>
  <c r="X1304" i="1"/>
  <c r="Y1304" i="1"/>
  <c r="Z1304" i="1"/>
  <c r="AA1304" i="1"/>
  <c r="AB1304" i="1"/>
  <c r="AC1304" i="1"/>
  <c r="AD1304" i="1"/>
  <c r="AE1304" i="1"/>
  <c r="W1305" i="1"/>
  <c r="X1305" i="1"/>
  <c r="Y1305" i="1"/>
  <c r="Z1305" i="1"/>
  <c r="AA1305" i="1"/>
  <c r="AB1305" i="1"/>
  <c r="AC1305" i="1"/>
  <c r="AD1305" i="1"/>
  <c r="AE1305" i="1"/>
  <c r="W1306" i="1"/>
  <c r="X1306" i="1"/>
  <c r="Y1306" i="1"/>
  <c r="Z1306" i="1"/>
  <c r="AA1306" i="1"/>
  <c r="AB1306" i="1"/>
  <c r="AC1306" i="1"/>
  <c r="AD1306" i="1"/>
  <c r="AE1306" i="1"/>
  <c r="W1307" i="1"/>
  <c r="X1307" i="1"/>
  <c r="Y1307" i="1"/>
  <c r="Z1307" i="1"/>
  <c r="AA1307" i="1"/>
  <c r="AB1307" i="1"/>
  <c r="AC1307" i="1"/>
  <c r="AD1307" i="1"/>
  <c r="AE1307" i="1"/>
  <c r="W1308" i="1"/>
  <c r="X1308" i="1"/>
  <c r="Y1308" i="1"/>
  <c r="Z1308" i="1"/>
  <c r="AA1308" i="1"/>
  <c r="AB1308" i="1"/>
  <c r="AC1308" i="1"/>
  <c r="AD1308" i="1"/>
  <c r="AE1308" i="1"/>
  <c r="W1309" i="1"/>
  <c r="X1309" i="1"/>
  <c r="Y1309" i="1"/>
  <c r="Z1309" i="1"/>
  <c r="AA1309" i="1"/>
  <c r="AB1309" i="1"/>
  <c r="AC1309" i="1"/>
  <c r="AD1309" i="1"/>
  <c r="AE1309" i="1"/>
  <c r="W1310" i="1"/>
  <c r="X1310" i="1"/>
  <c r="Y1310" i="1"/>
  <c r="Z1310" i="1"/>
  <c r="AA1310" i="1"/>
  <c r="AB1310" i="1"/>
  <c r="AC1310" i="1"/>
  <c r="AD1310" i="1"/>
  <c r="AE1310" i="1"/>
  <c r="W1311" i="1"/>
  <c r="X1311" i="1"/>
  <c r="Y1311" i="1"/>
  <c r="Z1311" i="1"/>
  <c r="AA1311" i="1"/>
  <c r="AB1311" i="1"/>
  <c r="AC1311" i="1"/>
  <c r="AD1311" i="1"/>
  <c r="AE1311" i="1"/>
  <c r="W1312" i="1"/>
  <c r="X1312" i="1"/>
  <c r="Y1312" i="1"/>
  <c r="Z1312" i="1"/>
  <c r="AA1312" i="1"/>
  <c r="AB1312" i="1"/>
  <c r="AC1312" i="1"/>
  <c r="AD1312" i="1"/>
  <c r="AE1312" i="1"/>
  <c r="W1313" i="1"/>
  <c r="X1313" i="1"/>
  <c r="Y1313" i="1"/>
  <c r="Z1313" i="1"/>
  <c r="AA1313" i="1"/>
  <c r="AB1313" i="1"/>
  <c r="AC1313" i="1"/>
  <c r="AD1313" i="1"/>
  <c r="AE1313" i="1"/>
  <c r="W1314" i="1"/>
  <c r="X1314" i="1"/>
  <c r="Y1314" i="1"/>
  <c r="Z1314" i="1"/>
  <c r="AA1314" i="1"/>
  <c r="AB1314" i="1"/>
  <c r="AC1314" i="1"/>
  <c r="AD1314" i="1"/>
  <c r="AE1314" i="1"/>
  <c r="W1315" i="1"/>
  <c r="X1315" i="1"/>
  <c r="Y1315" i="1"/>
  <c r="Z1315" i="1"/>
  <c r="AA1315" i="1"/>
  <c r="AB1315" i="1"/>
  <c r="AC1315" i="1"/>
  <c r="AD1315" i="1"/>
  <c r="AE1315" i="1"/>
  <c r="W1316" i="1"/>
  <c r="X1316" i="1"/>
  <c r="Y1316" i="1"/>
  <c r="Z1316" i="1"/>
  <c r="AA1316" i="1"/>
  <c r="AB1316" i="1"/>
  <c r="AC1316" i="1"/>
  <c r="AD1316" i="1"/>
  <c r="AE1316" i="1"/>
  <c r="W1317" i="1"/>
  <c r="X1317" i="1"/>
  <c r="Y1317" i="1"/>
  <c r="Z1317" i="1"/>
  <c r="AA1317" i="1"/>
  <c r="AB1317" i="1"/>
  <c r="AC1317" i="1"/>
  <c r="AD1317" i="1"/>
  <c r="AE1317" i="1"/>
  <c r="W1318" i="1"/>
  <c r="X1318" i="1"/>
  <c r="Y1318" i="1"/>
  <c r="Z1318" i="1"/>
  <c r="AA1318" i="1"/>
  <c r="AB1318" i="1"/>
  <c r="AC1318" i="1"/>
  <c r="AD1318" i="1"/>
  <c r="AE1318" i="1"/>
  <c r="W1319" i="1"/>
  <c r="X1319" i="1"/>
  <c r="Y1319" i="1"/>
  <c r="Z1319" i="1"/>
  <c r="AA1319" i="1"/>
  <c r="AB1319" i="1"/>
  <c r="AC1319" i="1"/>
  <c r="AD1319" i="1"/>
  <c r="AE1319" i="1"/>
  <c r="W1320" i="1"/>
  <c r="X1320" i="1"/>
  <c r="Y1320" i="1"/>
  <c r="Z1320" i="1"/>
  <c r="AA1320" i="1"/>
  <c r="AB1320" i="1"/>
  <c r="AC1320" i="1"/>
  <c r="AD1320" i="1"/>
  <c r="AE1320" i="1"/>
  <c r="W1321" i="1"/>
  <c r="X1321" i="1"/>
  <c r="Y1321" i="1"/>
  <c r="Z1321" i="1"/>
  <c r="AA1321" i="1"/>
  <c r="AB1321" i="1"/>
  <c r="AC1321" i="1"/>
  <c r="AD1321" i="1"/>
  <c r="AE1321" i="1"/>
  <c r="W1322" i="1"/>
  <c r="X1322" i="1"/>
  <c r="Y1322" i="1"/>
  <c r="Z1322" i="1"/>
  <c r="AA1322" i="1"/>
  <c r="AB1322" i="1"/>
  <c r="AC1322" i="1"/>
  <c r="AD1322" i="1"/>
  <c r="AE1322" i="1"/>
  <c r="W1323" i="1"/>
  <c r="X1323" i="1"/>
  <c r="Y1323" i="1"/>
  <c r="Z1323" i="1"/>
  <c r="AA1323" i="1"/>
  <c r="AB1323" i="1"/>
  <c r="AC1323" i="1"/>
  <c r="AD1323" i="1"/>
  <c r="AE1323" i="1"/>
  <c r="W1324" i="1"/>
  <c r="X1324" i="1"/>
  <c r="Y1324" i="1"/>
  <c r="Z1324" i="1"/>
  <c r="AA1324" i="1"/>
  <c r="AB1324" i="1"/>
  <c r="AC1324" i="1"/>
  <c r="AD1324" i="1"/>
  <c r="AE1324" i="1"/>
  <c r="W1325" i="1"/>
  <c r="X1325" i="1"/>
  <c r="Y1325" i="1"/>
  <c r="Z1325" i="1"/>
  <c r="AA1325" i="1"/>
  <c r="AB1325" i="1"/>
  <c r="AC1325" i="1"/>
  <c r="AD1325" i="1"/>
  <c r="AE1325" i="1"/>
  <c r="W1326" i="1"/>
  <c r="X1326" i="1"/>
  <c r="Y1326" i="1"/>
  <c r="Z1326" i="1"/>
  <c r="AA1326" i="1"/>
  <c r="AB1326" i="1"/>
  <c r="AC1326" i="1"/>
  <c r="AD1326" i="1"/>
  <c r="AE1326" i="1"/>
  <c r="W1327" i="1"/>
  <c r="X1327" i="1"/>
  <c r="Y1327" i="1"/>
  <c r="Z1327" i="1"/>
  <c r="AA1327" i="1"/>
  <c r="AB1327" i="1"/>
  <c r="AC1327" i="1"/>
  <c r="AD1327" i="1"/>
  <c r="AE1327" i="1"/>
  <c r="W1328" i="1"/>
  <c r="X1328" i="1"/>
  <c r="Y1328" i="1"/>
  <c r="Z1328" i="1"/>
  <c r="AA1328" i="1"/>
  <c r="AB1328" i="1"/>
  <c r="AC1328" i="1"/>
  <c r="AD1328" i="1"/>
  <c r="AE1328" i="1"/>
  <c r="W1329" i="1"/>
  <c r="X1329" i="1"/>
  <c r="Y1329" i="1"/>
  <c r="Z1329" i="1"/>
  <c r="AA1329" i="1"/>
  <c r="AB1329" i="1"/>
  <c r="AC1329" i="1"/>
  <c r="AD1329" i="1"/>
  <c r="AE1329" i="1"/>
  <c r="W1330" i="1"/>
  <c r="X1330" i="1"/>
  <c r="Y1330" i="1"/>
  <c r="Z1330" i="1"/>
  <c r="AA1330" i="1"/>
  <c r="AB1330" i="1"/>
  <c r="AC1330" i="1"/>
  <c r="AD1330" i="1"/>
  <c r="AE1330" i="1"/>
  <c r="W1331" i="1"/>
  <c r="X1331" i="1"/>
  <c r="Y1331" i="1"/>
  <c r="Z1331" i="1"/>
  <c r="AA1331" i="1"/>
  <c r="AB1331" i="1"/>
  <c r="AC1331" i="1"/>
  <c r="AD1331" i="1"/>
  <c r="AE1331" i="1"/>
  <c r="W1332" i="1"/>
  <c r="X1332" i="1"/>
  <c r="Y1332" i="1"/>
  <c r="Z1332" i="1"/>
  <c r="AA1332" i="1"/>
  <c r="AB1332" i="1"/>
  <c r="AC1332" i="1"/>
  <c r="AD1332" i="1"/>
  <c r="AE1332" i="1"/>
  <c r="W1333" i="1"/>
  <c r="X1333" i="1"/>
  <c r="Y1333" i="1"/>
  <c r="Z1333" i="1"/>
  <c r="AA1333" i="1"/>
  <c r="AB1333" i="1"/>
  <c r="AC1333" i="1"/>
  <c r="AD1333" i="1"/>
  <c r="AE1333" i="1"/>
  <c r="W1334" i="1"/>
  <c r="X1334" i="1"/>
  <c r="Y1334" i="1"/>
  <c r="Z1334" i="1"/>
  <c r="AA1334" i="1"/>
  <c r="AB1334" i="1"/>
  <c r="AC1334" i="1"/>
  <c r="AD1334" i="1"/>
  <c r="AE1334" i="1"/>
  <c r="W1335" i="1"/>
  <c r="X1335" i="1"/>
  <c r="Y1335" i="1"/>
  <c r="Z1335" i="1"/>
  <c r="AA1335" i="1"/>
  <c r="AB1335" i="1"/>
  <c r="AC1335" i="1"/>
  <c r="AD1335" i="1"/>
  <c r="AE1335" i="1"/>
  <c r="W1336" i="1"/>
  <c r="X1336" i="1"/>
  <c r="Y1336" i="1"/>
  <c r="Z1336" i="1"/>
  <c r="AA1336" i="1"/>
  <c r="AB1336" i="1"/>
  <c r="AC1336" i="1"/>
  <c r="AD1336" i="1"/>
  <c r="AE1336" i="1"/>
  <c r="W1337" i="1"/>
  <c r="X1337" i="1"/>
  <c r="Y1337" i="1"/>
  <c r="Z1337" i="1"/>
  <c r="AA1337" i="1"/>
  <c r="AB1337" i="1"/>
  <c r="AC1337" i="1"/>
  <c r="AD1337" i="1"/>
  <c r="AE1337" i="1"/>
  <c r="W1338" i="1"/>
  <c r="X1338" i="1"/>
  <c r="Y1338" i="1"/>
  <c r="Z1338" i="1"/>
  <c r="AA1338" i="1"/>
  <c r="AB1338" i="1"/>
  <c r="AC1338" i="1"/>
  <c r="AD1338" i="1"/>
  <c r="AE1338" i="1"/>
  <c r="W1339" i="1"/>
  <c r="X1339" i="1"/>
  <c r="Y1339" i="1"/>
  <c r="Z1339" i="1"/>
  <c r="AA1339" i="1"/>
  <c r="AB1339" i="1"/>
  <c r="AC1339" i="1"/>
  <c r="AD1339" i="1"/>
  <c r="AE1339" i="1"/>
  <c r="W1340" i="1"/>
  <c r="X1340" i="1"/>
  <c r="Y1340" i="1"/>
  <c r="Z1340" i="1"/>
  <c r="AA1340" i="1"/>
  <c r="AB1340" i="1"/>
  <c r="AC1340" i="1"/>
  <c r="AD1340" i="1"/>
  <c r="AE1340" i="1"/>
  <c r="W1341" i="1"/>
  <c r="X1341" i="1"/>
  <c r="Y1341" i="1"/>
  <c r="Z1341" i="1"/>
  <c r="AA1341" i="1"/>
  <c r="AB1341" i="1"/>
  <c r="AC1341" i="1"/>
  <c r="AD1341" i="1"/>
  <c r="AE1341" i="1"/>
  <c r="W1342" i="1"/>
  <c r="X1342" i="1"/>
  <c r="Y1342" i="1"/>
  <c r="Z1342" i="1"/>
  <c r="AA1342" i="1"/>
  <c r="AB1342" i="1"/>
  <c r="AC1342" i="1"/>
  <c r="AD1342" i="1"/>
  <c r="AE1342" i="1"/>
  <c r="W1343" i="1"/>
  <c r="X1343" i="1"/>
  <c r="Y1343" i="1"/>
  <c r="Z1343" i="1"/>
  <c r="AA1343" i="1"/>
  <c r="AB1343" i="1"/>
  <c r="AC1343" i="1"/>
  <c r="AD1343" i="1"/>
  <c r="AE1343" i="1"/>
  <c r="W1344" i="1"/>
  <c r="X1344" i="1"/>
  <c r="Y1344" i="1"/>
  <c r="Z1344" i="1"/>
  <c r="AA1344" i="1"/>
  <c r="AB1344" i="1"/>
  <c r="AC1344" i="1"/>
  <c r="AD1344" i="1"/>
  <c r="AE1344" i="1"/>
  <c r="W1345" i="1"/>
  <c r="X1345" i="1"/>
  <c r="Y1345" i="1"/>
  <c r="Z1345" i="1"/>
  <c r="AA1345" i="1"/>
  <c r="AB1345" i="1"/>
  <c r="AC1345" i="1"/>
  <c r="AD1345" i="1"/>
  <c r="AE1345" i="1"/>
  <c r="W1346" i="1"/>
  <c r="X1346" i="1"/>
  <c r="Y1346" i="1"/>
  <c r="Z1346" i="1"/>
  <c r="AA1346" i="1"/>
  <c r="AB1346" i="1"/>
  <c r="AC1346" i="1"/>
  <c r="AD1346" i="1"/>
  <c r="AE1346" i="1"/>
  <c r="W1347" i="1"/>
  <c r="X1347" i="1"/>
  <c r="Y1347" i="1"/>
  <c r="Z1347" i="1"/>
  <c r="AA1347" i="1"/>
  <c r="AB1347" i="1"/>
  <c r="AC1347" i="1"/>
  <c r="AD1347" i="1"/>
  <c r="AE1347" i="1"/>
  <c r="W1348" i="1"/>
  <c r="X1348" i="1"/>
  <c r="Y1348" i="1"/>
  <c r="Z1348" i="1"/>
  <c r="AA1348" i="1"/>
  <c r="AB1348" i="1"/>
  <c r="AC1348" i="1"/>
  <c r="AD1348" i="1"/>
  <c r="AE1348" i="1"/>
  <c r="W1349" i="1"/>
  <c r="X1349" i="1"/>
  <c r="Y1349" i="1"/>
  <c r="Z1349" i="1"/>
  <c r="AA1349" i="1"/>
  <c r="AB1349" i="1"/>
  <c r="AC1349" i="1"/>
  <c r="AD1349" i="1"/>
  <c r="AE1349" i="1"/>
  <c r="W1350" i="1"/>
  <c r="X1350" i="1"/>
  <c r="Y1350" i="1"/>
  <c r="Z1350" i="1"/>
  <c r="AA1350" i="1"/>
  <c r="AB1350" i="1"/>
  <c r="AC1350" i="1"/>
  <c r="AD1350" i="1"/>
  <c r="AE1350" i="1"/>
  <c r="W1351" i="1"/>
  <c r="X1351" i="1"/>
  <c r="Y1351" i="1"/>
  <c r="Z1351" i="1"/>
  <c r="AA1351" i="1"/>
  <c r="AB1351" i="1"/>
  <c r="AC1351" i="1"/>
  <c r="AD1351" i="1"/>
  <c r="AE1351" i="1"/>
  <c r="W1352" i="1"/>
  <c r="X1352" i="1"/>
  <c r="Y1352" i="1"/>
  <c r="Z1352" i="1"/>
  <c r="AA1352" i="1"/>
  <c r="AB1352" i="1"/>
  <c r="AC1352" i="1"/>
  <c r="AD1352" i="1"/>
  <c r="AE1352" i="1"/>
  <c r="W1353" i="1"/>
  <c r="X1353" i="1"/>
  <c r="Y1353" i="1"/>
  <c r="Z1353" i="1"/>
  <c r="AA1353" i="1"/>
  <c r="AB1353" i="1"/>
  <c r="AC1353" i="1"/>
  <c r="AD1353" i="1"/>
  <c r="AE1353" i="1"/>
  <c r="W1354" i="1"/>
  <c r="X1354" i="1"/>
  <c r="Y1354" i="1"/>
  <c r="Z1354" i="1"/>
  <c r="AA1354" i="1"/>
  <c r="AB1354" i="1"/>
  <c r="AC1354" i="1"/>
  <c r="AD1354" i="1"/>
  <c r="AE1354" i="1"/>
  <c r="W1355" i="1"/>
  <c r="X1355" i="1"/>
  <c r="Y1355" i="1"/>
  <c r="Z1355" i="1"/>
  <c r="AA1355" i="1"/>
  <c r="AB1355" i="1"/>
  <c r="AC1355" i="1"/>
  <c r="AD1355" i="1"/>
  <c r="AE1355" i="1"/>
  <c r="W1356" i="1"/>
  <c r="X1356" i="1"/>
  <c r="Y1356" i="1"/>
  <c r="Z1356" i="1"/>
  <c r="AA1356" i="1"/>
  <c r="AB1356" i="1"/>
  <c r="AC1356" i="1"/>
  <c r="AD1356" i="1"/>
  <c r="AE1356" i="1"/>
  <c r="W1357" i="1"/>
  <c r="X1357" i="1"/>
  <c r="Y1357" i="1"/>
  <c r="Z1357" i="1"/>
  <c r="AA1357" i="1"/>
  <c r="AB1357" i="1"/>
  <c r="AC1357" i="1"/>
  <c r="AD1357" i="1"/>
  <c r="AE1357" i="1"/>
  <c r="W1358" i="1"/>
  <c r="X1358" i="1"/>
  <c r="Y1358" i="1"/>
  <c r="Z1358" i="1"/>
  <c r="AA1358" i="1"/>
  <c r="AB1358" i="1"/>
  <c r="AC1358" i="1"/>
  <c r="AD1358" i="1"/>
  <c r="AE1358" i="1"/>
  <c r="W1359" i="1"/>
  <c r="X1359" i="1"/>
  <c r="Y1359" i="1"/>
  <c r="Z1359" i="1"/>
  <c r="AA1359" i="1"/>
  <c r="AB1359" i="1"/>
  <c r="AC1359" i="1"/>
  <c r="AD1359" i="1"/>
  <c r="AE1359" i="1"/>
  <c r="W1360" i="1"/>
  <c r="X1360" i="1"/>
  <c r="Y1360" i="1"/>
  <c r="Z1360" i="1"/>
  <c r="AA1360" i="1"/>
  <c r="AB1360" i="1"/>
  <c r="AC1360" i="1"/>
  <c r="AD1360" i="1"/>
  <c r="AE1360" i="1"/>
  <c r="W1361" i="1"/>
  <c r="X1361" i="1"/>
  <c r="Y1361" i="1"/>
  <c r="Z1361" i="1"/>
  <c r="AA1361" i="1"/>
  <c r="AB1361" i="1"/>
  <c r="AC1361" i="1"/>
  <c r="AD1361" i="1"/>
  <c r="AE1361" i="1"/>
  <c r="W1362" i="1"/>
  <c r="X1362" i="1"/>
  <c r="Y1362" i="1"/>
  <c r="Z1362" i="1"/>
  <c r="AA1362" i="1"/>
  <c r="AB1362" i="1"/>
  <c r="AC1362" i="1"/>
  <c r="AD1362" i="1"/>
  <c r="AE1362" i="1"/>
  <c r="W1363" i="1"/>
  <c r="X1363" i="1"/>
  <c r="Y1363" i="1"/>
  <c r="Z1363" i="1"/>
  <c r="AA1363" i="1"/>
  <c r="AB1363" i="1"/>
  <c r="AC1363" i="1"/>
  <c r="AD1363" i="1"/>
  <c r="AE1363" i="1"/>
  <c r="W1364" i="1"/>
  <c r="X1364" i="1"/>
  <c r="Y1364" i="1"/>
  <c r="Z1364" i="1"/>
  <c r="AA1364" i="1"/>
  <c r="AB1364" i="1"/>
  <c r="AC1364" i="1"/>
  <c r="AD1364" i="1"/>
  <c r="AE1364" i="1"/>
  <c r="W1365" i="1"/>
  <c r="X1365" i="1"/>
  <c r="Y1365" i="1"/>
  <c r="Z1365" i="1"/>
  <c r="AA1365" i="1"/>
  <c r="AB1365" i="1"/>
  <c r="AC1365" i="1"/>
  <c r="AD1365" i="1"/>
  <c r="AE1365" i="1"/>
  <c r="W1366" i="1"/>
  <c r="X1366" i="1"/>
  <c r="Y1366" i="1"/>
  <c r="Z1366" i="1"/>
  <c r="AA1366" i="1"/>
  <c r="AB1366" i="1"/>
  <c r="AC1366" i="1"/>
  <c r="AD1366" i="1"/>
  <c r="AE1366" i="1"/>
  <c r="W1367" i="1"/>
  <c r="X1367" i="1"/>
  <c r="Y1367" i="1"/>
  <c r="Z1367" i="1"/>
  <c r="AA1367" i="1"/>
  <c r="AB1367" i="1"/>
  <c r="AC1367" i="1"/>
  <c r="AD1367" i="1"/>
  <c r="AE1367" i="1"/>
  <c r="W1368" i="1"/>
  <c r="X1368" i="1"/>
  <c r="Y1368" i="1"/>
  <c r="Z1368" i="1"/>
  <c r="AA1368" i="1"/>
  <c r="AB1368" i="1"/>
  <c r="AC1368" i="1"/>
  <c r="AD1368" i="1"/>
  <c r="AE1368" i="1"/>
  <c r="W1369" i="1"/>
  <c r="X1369" i="1"/>
  <c r="Y1369" i="1"/>
  <c r="Z1369" i="1"/>
  <c r="AA1369" i="1"/>
  <c r="AB1369" i="1"/>
  <c r="AC1369" i="1"/>
  <c r="AD1369" i="1"/>
  <c r="AE1369" i="1"/>
  <c r="W1370" i="1"/>
  <c r="X1370" i="1"/>
  <c r="Y1370" i="1"/>
  <c r="Z1370" i="1"/>
  <c r="AA1370" i="1"/>
  <c r="AB1370" i="1"/>
  <c r="AC1370" i="1"/>
  <c r="AD1370" i="1"/>
  <c r="AE1370" i="1"/>
  <c r="W1371" i="1"/>
  <c r="X1371" i="1"/>
  <c r="Y1371" i="1"/>
  <c r="Z1371" i="1"/>
  <c r="AA1371" i="1"/>
  <c r="AB1371" i="1"/>
  <c r="AC1371" i="1"/>
  <c r="AD1371" i="1"/>
  <c r="AE1371" i="1"/>
  <c r="W1372" i="1"/>
  <c r="X1372" i="1"/>
  <c r="Y1372" i="1"/>
  <c r="Z1372" i="1"/>
  <c r="AA1372" i="1"/>
  <c r="AB1372" i="1"/>
  <c r="AC1372" i="1"/>
  <c r="AD1372" i="1"/>
  <c r="AE1372" i="1"/>
  <c r="W1373" i="1"/>
  <c r="X1373" i="1"/>
  <c r="Y1373" i="1"/>
  <c r="Z1373" i="1"/>
  <c r="AA1373" i="1"/>
  <c r="AB1373" i="1"/>
  <c r="AC1373" i="1"/>
  <c r="AD1373" i="1"/>
  <c r="AE1373" i="1"/>
  <c r="W1374" i="1"/>
  <c r="X1374" i="1"/>
  <c r="Y1374" i="1"/>
  <c r="Z1374" i="1"/>
  <c r="AA1374" i="1"/>
  <c r="AB1374" i="1"/>
  <c r="AC1374" i="1"/>
  <c r="AD1374" i="1"/>
  <c r="AE1374" i="1"/>
  <c r="W1375" i="1"/>
  <c r="X1375" i="1"/>
  <c r="Y1375" i="1"/>
  <c r="Z1375" i="1"/>
  <c r="AA1375" i="1"/>
  <c r="AB1375" i="1"/>
  <c r="AC1375" i="1"/>
  <c r="AD1375" i="1"/>
  <c r="AE1375" i="1"/>
  <c r="W1376" i="1"/>
  <c r="X1376" i="1"/>
  <c r="Y1376" i="1"/>
  <c r="Z1376" i="1"/>
  <c r="AA1376" i="1"/>
  <c r="AB1376" i="1"/>
  <c r="AC1376" i="1"/>
  <c r="AD1376" i="1"/>
  <c r="AE1376" i="1"/>
  <c r="W1377" i="1"/>
  <c r="X1377" i="1"/>
  <c r="Y1377" i="1"/>
  <c r="Z1377" i="1"/>
  <c r="AA1377" i="1"/>
  <c r="AB1377" i="1"/>
  <c r="AC1377" i="1"/>
  <c r="AD1377" i="1"/>
  <c r="AE1377" i="1"/>
  <c r="W1378" i="1"/>
  <c r="X1378" i="1"/>
  <c r="Y1378" i="1"/>
  <c r="Z1378" i="1"/>
  <c r="AA1378" i="1"/>
  <c r="AB1378" i="1"/>
  <c r="AC1378" i="1"/>
  <c r="AD1378" i="1"/>
  <c r="AE1378" i="1"/>
  <c r="W1379" i="1"/>
  <c r="X1379" i="1"/>
  <c r="Y1379" i="1"/>
  <c r="Z1379" i="1"/>
  <c r="AA1379" i="1"/>
  <c r="AB1379" i="1"/>
  <c r="AC1379" i="1"/>
  <c r="AD1379" i="1"/>
  <c r="AE1379" i="1"/>
  <c r="W1380" i="1"/>
  <c r="X1380" i="1"/>
  <c r="Y1380" i="1"/>
  <c r="Z1380" i="1"/>
  <c r="AA1380" i="1"/>
  <c r="AB1380" i="1"/>
  <c r="AC1380" i="1"/>
  <c r="AD1380" i="1"/>
  <c r="AE1380" i="1"/>
  <c r="W1381" i="1"/>
  <c r="X1381" i="1"/>
  <c r="Y1381" i="1"/>
  <c r="Z1381" i="1"/>
  <c r="AA1381" i="1"/>
  <c r="AB1381" i="1"/>
  <c r="AC1381" i="1"/>
  <c r="AD1381" i="1"/>
  <c r="AE1381" i="1"/>
  <c r="W1382" i="1"/>
  <c r="X1382" i="1"/>
  <c r="Y1382" i="1"/>
  <c r="Z1382" i="1"/>
  <c r="AA1382" i="1"/>
  <c r="AB1382" i="1"/>
  <c r="AC1382" i="1"/>
  <c r="AD1382" i="1"/>
  <c r="AE1382" i="1"/>
  <c r="W1383" i="1"/>
  <c r="X1383" i="1"/>
  <c r="Y1383" i="1"/>
  <c r="Z1383" i="1"/>
  <c r="AA1383" i="1"/>
  <c r="AB1383" i="1"/>
  <c r="AC1383" i="1"/>
  <c r="AD1383" i="1"/>
  <c r="AE1383" i="1"/>
  <c r="W1384" i="1"/>
  <c r="X1384" i="1"/>
  <c r="Y1384" i="1"/>
  <c r="Z1384" i="1"/>
  <c r="AA1384" i="1"/>
  <c r="AB1384" i="1"/>
  <c r="AC1384" i="1"/>
  <c r="AD1384" i="1"/>
  <c r="AE1384" i="1"/>
  <c r="W1385" i="1"/>
  <c r="X1385" i="1"/>
  <c r="Y1385" i="1"/>
  <c r="Z1385" i="1"/>
  <c r="AA1385" i="1"/>
  <c r="AB1385" i="1"/>
  <c r="AC1385" i="1"/>
  <c r="AD1385" i="1"/>
  <c r="AE1385" i="1"/>
  <c r="W1386" i="1"/>
  <c r="X1386" i="1"/>
  <c r="Y1386" i="1"/>
  <c r="Z1386" i="1"/>
  <c r="AA1386" i="1"/>
  <c r="AB1386" i="1"/>
  <c r="AC1386" i="1"/>
  <c r="AD1386" i="1"/>
  <c r="AE1386" i="1"/>
  <c r="W1387" i="1"/>
  <c r="X1387" i="1"/>
  <c r="Y1387" i="1"/>
  <c r="Z1387" i="1"/>
  <c r="AA1387" i="1"/>
  <c r="AB1387" i="1"/>
  <c r="AC1387" i="1"/>
  <c r="AD1387" i="1"/>
  <c r="AE1387" i="1"/>
  <c r="W1388" i="1"/>
  <c r="X1388" i="1"/>
  <c r="Y1388" i="1"/>
  <c r="Z1388" i="1"/>
  <c r="AA1388" i="1"/>
  <c r="AB1388" i="1"/>
  <c r="AC1388" i="1"/>
  <c r="AD1388" i="1"/>
  <c r="AE1388" i="1"/>
  <c r="W1389" i="1"/>
  <c r="X1389" i="1"/>
  <c r="Y1389" i="1"/>
  <c r="Z1389" i="1"/>
  <c r="AA1389" i="1"/>
  <c r="AB1389" i="1"/>
  <c r="AC1389" i="1"/>
  <c r="AD1389" i="1"/>
  <c r="AE1389" i="1"/>
  <c r="W1390" i="1"/>
  <c r="X1390" i="1"/>
  <c r="Y1390" i="1"/>
  <c r="Z1390" i="1"/>
  <c r="AA1390" i="1"/>
  <c r="AB1390" i="1"/>
  <c r="AC1390" i="1"/>
  <c r="AD1390" i="1"/>
  <c r="AE1390" i="1"/>
  <c r="W1391" i="1"/>
  <c r="X1391" i="1"/>
  <c r="Y1391" i="1"/>
  <c r="Z1391" i="1"/>
  <c r="AA1391" i="1"/>
  <c r="AB1391" i="1"/>
  <c r="AC1391" i="1"/>
  <c r="AD1391" i="1"/>
  <c r="AE1391" i="1"/>
  <c r="W1392" i="1"/>
  <c r="X1392" i="1"/>
  <c r="Y1392" i="1"/>
  <c r="Z1392" i="1"/>
  <c r="AA1392" i="1"/>
  <c r="AB1392" i="1"/>
  <c r="AC1392" i="1"/>
  <c r="AD1392" i="1"/>
  <c r="AE1392" i="1"/>
  <c r="W1393" i="1"/>
  <c r="X1393" i="1"/>
  <c r="Y1393" i="1"/>
  <c r="Z1393" i="1"/>
  <c r="AA1393" i="1"/>
  <c r="AB1393" i="1"/>
  <c r="AC1393" i="1"/>
  <c r="AD1393" i="1"/>
  <c r="AE1393" i="1"/>
  <c r="W1394" i="1"/>
  <c r="X1394" i="1"/>
  <c r="Y1394" i="1"/>
  <c r="Z1394" i="1"/>
  <c r="AA1394" i="1"/>
  <c r="AB1394" i="1"/>
  <c r="AC1394" i="1"/>
  <c r="AD1394" i="1"/>
  <c r="AE1394" i="1"/>
  <c r="W1395" i="1"/>
  <c r="X1395" i="1"/>
  <c r="Y1395" i="1"/>
  <c r="Z1395" i="1"/>
  <c r="AA1395" i="1"/>
  <c r="AB1395" i="1"/>
  <c r="AC1395" i="1"/>
  <c r="AD1395" i="1"/>
  <c r="AE1395" i="1"/>
  <c r="W1396" i="1"/>
  <c r="X1396" i="1"/>
  <c r="Y1396" i="1"/>
  <c r="Z1396" i="1"/>
  <c r="AA1396" i="1"/>
  <c r="AB1396" i="1"/>
  <c r="AC1396" i="1"/>
  <c r="AD1396" i="1"/>
  <c r="AE1396" i="1"/>
  <c r="W1397" i="1"/>
  <c r="X1397" i="1"/>
  <c r="Y1397" i="1"/>
  <c r="Z1397" i="1"/>
  <c r="AA1397" i="1"/>
  <c r="AB1397" i="1"/>
  <c r="AC1397" i="1"/>
  <c r="AD1397" i="1"/>
  <c r="AE1397" i="1"/>
  <c r="W1398" i="1"/>
  <c r="X1398" i="1"/>
  <c r="Y1398" i="1"/>
  <c r="Z1398" i="1"/>
  <c r="AA1398" i="1"/>
  <c r="AB1398" i="1"/>
  <c r="AC1398" i="1"/>
  <c r="AD1398" i="1"/>
  <c r="AE1398" i="1"/>
  <c r="W1399" i="1"/>
  <c r="X1399" i="1"/>
  <c r="Y1399" i="1"/>
  <c r="Z1399" i="1"/>
  <c r="AA1399" i="1"/>
  <c r="AB1399" i="1"/>
  <c r="AC1399" i="1"/>
  <c r="AD1399" i="1"/>
  <c r="AE1399" i="1"/>
  <c r="W1400" i="1"/>
  <c r="X1400" i="1"/>
  <c r="Y1400" i="1"/>
  <c r="Z1400" i="1"/>
  <c r="AA1400" i="1"/>
  <c r="AB1400" i="1"/>
  <c r="AC1400" i="1"/>
  <c r="AD1400" i="1"/>
  <c r="AE1400" i="1"/>
  <c r="W1401" i="1"/>
  <c r="X1401" i="1"/>
  <c r="Y1401" i="1"/>
  <c r="Z1401" i="1"/>
  <c r="AA1401" i="1"/>
  <c r="AB1401" i="1"/>
  <c r="AC1401" i="1"/>
  <c r="AD1401" i="1"/>
  <c r="AE1401" i="1"/>
  <c r="W1402" i="1"/>
  <c r="X1402" i="1"/>
  <c r="Y1402" i="1"/>
  <c r="Z1402" i="1"/>
  <c r="AA1402" i="1"/>
  <c r="AB1402" i="1"/>
  <c r="AC1402" i="1"/>
  <c r="AD1402" i="1"/>
  <c r="AE1402" i="1"/>
  <c r="W1403" i="1"/>
  <c r="X1403" i="1"/>
  <c r="Y1403" i="1"/>
  <c r="Z1403" i="1"/>
  <c r="AA1403" i="1"/>
  <c r="AB1403" i="1"/>
  <c r="AC1403" i="1"/>
  <c r="AD1403" i="1"/>
  <c r="AE1403" i="1"/>
  <c r="W1404" i="1"/>
  <c r="X1404" i="1"/>
  <c r="Y1404" i="1"/>
  <c r="Z1404" i="1"/>
  <c r="AA1404" i="1"/>
  <c r="AB1404" i="1"/>
  <c r="AC1404" i="1"/>
  <c r="AD1404" i="1"/>
  <c r="AE1404" i="1"/>
  <c r="W1405" i="1"/>
  <c r="X1405" i="1"/>
  <c r="Y1405" i="1"/>
  <c r="Z1405" i="1"/>
  <c r="AA1405" i="1"/>
  <c r="AB1405" i="1"/>
  <c r="AC1405" i="1"/>
  <c r="AD1405" i="1"/>
  <c r="AE1405" i="1"/>
  <c r="W1406" i="1"/>
  <c r="X1406" i="1"/>
  <c r="Y1406" i="1"/>
  <c r="Z1406" i="1"/>
  <c r="AA1406" i="1"/>
  <c r="AB1406" i="1"/>
  <c r="AC1406" i="1"/>
  <c r="AD1406" i="1"/>
  <c r="AE1406" i="1"/>
  <c r="W1407" i="1"/>
  <c r="X1407" i="1"/>
  <c r="Y1407" i="1"/>
  <c r="Z1407" i="1"/>
  <c r="AA1407" i="1"/>
  <c r="AB1407" i="1"/>
  <c r="AC1407" i="1"/>
  <c r="AD1407" i="1"/>
  <c r="AE1407" i="1"/>
  <c r="W1408" i="1"/>
  <c r="X1408" i="1"/>
  <c r="Y1408" i="1"/>
  <c r="Z1408" i="1"/>
  <c r="AA1408" i="1"/>
  <c r="AB1408" i="1"/>
  <c r="AC1408" i="1"/>
  <c r="AD1408" i="1"/>
  <c r="AE1408" i="1"/>
  <c r="W1409" i="1"/>
  <c r="X1409" i="1"/>
  <c r="Y1409" i="1"/>
  <c r="Z1409" i="1"/>
  <c r="AA1409" i="1"/>
  <c r="AB1409" i="1"/>
  <c r="AC1409" i="1"/>
  <c r="AD1409" i="1"/>
  <c r="AE1409" i="1"/>
  <c r="W1410" i="1"/>
  <c r="X1410" i="1"/>
  <c r="Y1410" i="1"/>
  <c r="Z1410" i="1"/>
  <c r="AA1410" i="1"/>
  <c r="AB1410" i="1"/>
  <c r="AC1410" i="1"/>
  <c r="AD1410" i="1"/>
  <c r="AE1410" i="1"/>
  <c r="W1411" i="1"/>
  <c r="X1411" i="1"/>
  <c r="Y1411" i="1"/>
  <c r="Z1411" i="1"/>
  <c r="AA1411" i="1"/>
  <c r="AB1411" i="1"/>
  <c r="AC1411" i="1"/>
  <c r="AD1411" i="1"/>
  <c r="AE1411" i="1"/>
  <c r="W1412" i="1"/>
  <c r="X1412" i="1"/>
  <c r="Y1412" i="1"/>
  <c r="Z1412" i="1"/>
  <c r="AA1412" i="1"/>
  <c r="AB1412" i="1"/>
  <c r="AC1412" i="1"/>
  <c r="AD1412" i="1"/>
  <c r="AE1412" i="1"/>
  <c r="W1413" i="1"/>
  <c r="X1413" i="1"/>
  <c r="Y1413" i="1"/>
  <c r="Z1413" i="1"/>
  <c r="AA1413" i="1"/>
  <c r="AB1413" i="1"/>
  <c r="AC1413" i="1"/>
  <c r="AD1413" i="1"/>
  <c r="AE1413" i="1"/>
  <c r="W1414" i="1"/>
  <c r="X1414" i="1"/>
  <c r="Y1414" i="1"/>
  <c r="Z1414" i="1"/>
  <c r="AA1414" i="1"/>
  <c r="AB1414" i="1"/>
  <c r="AC1414" i="1"/>
  <c r="AD1414" i="1"/>
  <c r="AE1414" i="1"/>
  <c r="W1415" i="1"/>
  <c r="X1415" i="1"/>
  <c r="Y1415" i="1"/>
  <c r="Z1415" i="1"/>
  <c r="AA1415" i="1"/>
  <c r="AB1415" i="1"/>
  <c r="AC1415" i="1"/>
  <c r="AD1415" i="1"/>
  <c r="AE1415" i="1"/>
  <c r="W1416" i="1"/>
  <c r="X1416" i="1"/>
  <c r="Y1416" i="1"/>
  <c r="Z1416" i="1"/>
  <c r="AA1416" i="1"/>
  <c r="AB1416" i="1"/>
  <c r="AC1416" i="1"/>
  <c r="AD1416" i="1"/>
  <c r="AE1416" i="1"/>
  <c r="W1417" i="1"/>
  <c r="X1417" i="1"/>
  <c r="Y1417" i="1"/>
  <c r="Z1417" i="1"/>
  <c r="AA1417" i="1"/>
  <c r="AB1417" i="1"/>
  <c r="AC1417" i="1"/>
  <c r="AD1417" i="1"/>
  <c r="AE1417" i="1"/>
  <c r="W1418" i="1"/>
  <c r="X1418" i="1"/>
  <c r="Y1418" i="1"/>
  <c r="Z1418" i="1"/>
  <c r="AA1418" i="1"/>
  <c r="AB1418" i="1"/>
  <c r="AC1418" i="1"/>
  <c r="AD1418" i="1"/>
  <c r="AE1418" i="1"/>
  <c r="W1419" i="1"/>
  <c r="X1419" i="1"/>
  <c r="Y1419" i="1"/>
  <c r="Z1419" i="1"/>
  <c r="AA1419" i="1"/>
  <c r="AB1419" i="1"/>
  <c r="AC1419" i="1"/>
  <c r="AD1419" i="1"/>
  <c r="AE1419" i="1"/>
  <c r="W1420" i="1"/>
  <c r="X1420" i="1"/>
  <c r="Y1420" i="1"/>
  <c r="Z1420" i="1"/>
  <c r="AA1420" i="1"/>
  <c r="AB1420" i="1"/>
  <c r="AC1420" i="1"/>
  <c r="AD1420" i="1"/>
  <c r="AE1420" i="1"/>
  <c r="W1421" i="1"/>
  <c r="X1421" i="1"/>
  <c r="Y1421" i="1"/>
  <c r="Z1421" i="1"/>
  <c r="AA1421" i="1"/>
  <c r="AB1421" i="1"/>
  <c r="AC1421" i="1"/>
  <c r="AD1421" i="1"/>
  <c r="AE1421" i="1"/>
  <c r="W1422" i="1"/>
  <c r="X1422" i="1"/>
  <c r="Y1422" i="1"/>
  <c r="Z1422" i="1"/>
  <c r="AA1422" i="1"/>
  <c r="AB1422" i="1"/>
  <c r="AC1422" i="1"/>
  <c r="AD1422" i="1"/>
  <c r="AE1422" i="1"/>
  <c r="W1423" i="1"/>
  <c r="X1423" i="1"/>
  <c r="Y1423" i="1"/>
  <c r="Z1423" i="1"/>
  <c r="AA1423" i="1"/>
  <c r="AB1423" i="1"/>
  <c r="AC1423" i="1"/>
  <c r="AD1423" i="1"/>
  <c r="AE1423" i="1"/>
  <c r="W1424" i="1"/>
  <c r="X1424" i="1"/>
  <c r="Y1424" i="1"/>
  <c r="Z1424" i="1"/>
  <c r="AA1424" i="1"/>
  <c r="AB1424" i="1"/>
  <c r="AC1424" i="1"/>
  <c r="AD1424" i="1"/>
  <c r="AE1424" i="1"/>
  <c r="W1425" i="1"/>
  <c r="X1425" i="1"/>
  <c r="Y1425" i="1"/>
  <c r="Z1425" i="1"/>
  <c r="AA1425" i="1"/>
  <c r="AB1425" i="1"/>
  <c r="AC1425" i="1"/>
  <c r="AD1425" i="1"/>
  <c r="AE1425" i="1"/>
  <c r="W1426" i="1"/>
  <c r="X1426" i="1"/>
  <c r="Y1426" i="1"/>
  <c r="Z1426" i="1"/>
  <c r="AA1426" i="1"/>
  <c r="AB1426" i="1"/>
  <c r="AC1426" i="1"/>
  <c r="AD1426" i="1"/>
  <c r="AE1426" i="1"/>
  <c r="W1427" i="1"/>
  <c r="X1427" i="1"/>
  <c r="Y1427" i="1"/>
  <c r="Z1427" i="1"/>
  <c r="AA1427" i="1"/>
  <c r="AB1427" i="1"/>
  <c r="AC1427" i="1"/>
  <c r="AD1427" i="1"/>
  <c r="AE1427" i="1"/>
  <c r="W1428" i="1"/>
  <c r="X1428" i="1"/>
  <c r="Y1428" i="1"/>
  <c r="Z1428" i="1"/>
  <c r="AA1428" i="1"/>
  <c r="AB1428" i="1"/>
  <c r="AC1428" i="1"/>
  <c r="AD1428" i="1"/>
  <c r="AE1428" i="1"/>
  <c r="W1429" i="1"/>
  <c r="X1429" i="1"/>
  <c r="Y1429" i="1"/>
  <c r="Z1429" i="1"/>
  <c r="AA1429" i="1"/>
  <c r="AB1429" i="1"/>
  <c r="AC1429" i="1"/>
  <c r="AD1429" i="1"/>
  <c r="AE1429" i="1"/>
  <c r="W1430" i="1"/>
  <c r="X1430" i="1"/>
  <c r="Y1430" i="1"/>
  <c r="Z1430" i="1"/>
  <c r="AA1430" i="1"/>
  <c r="AB1430" i="1"/>
  <c r="AC1430" i="1"/>
  <c r="AD1430" i="1"/>
  <c r="AE1430" i="1"/>
  <c r="W1431" i="1"/>
  <c r="X1431" i="1"/>
  <c r="Y1431" i="1"/>
  <c r="Z1431" i="1"/>
  <c r="AA1431" i="1"/>
  <c r="AB1431" i="1"/>
  <c r="AC1431" i="1"/>
  <c r="AD1431" i="1"/>
  <c r="AE1431" i="1"/>
  <c r="W1432" i="1"/>
  <c r="X1432" i="1"/>
  <c r="Y1432" i="1"/>
  <c r="Z1432" i="1"/>
  <c r="AA1432" i="1"/>
  <c r="AB1432" i="1"/>
  <c r="AC1432" i="1"/>
  <c r="AD1432" i="1"/>
  <c r="AE1432" i="1"/>
  <c r="W1433" i="1"/>
  <c r="X1433" i="1"/>
  <c r="Y1433" i="1"/>
  <c r="Z1433" i="1"/>
  <c r="AA1433" i="1"/>
  <c r="AB1433" i="1"/>
  <c r="AC1433" i="1"/>
  <c r="AD1433" i="1"/>
  <c r="AE1433" i="1"/>
  <c r="W1434" i="1"/>
  <c r="X1434" i="1"/>
  <c r="Y1434" i="1"/>
  <c r="Z1434" i="1"/>
  <c r="AA1434" i="1"/>
  <c r="AB1434" i="1"/>
  <c r="AC1434" i="1"/>
  <c r="AD1434" i="1"/>
  <c r="AE1434" i="1"/>
  <c r="W1435" i="1"/>
  <c r="X1435" i="1"/>
  <c r="Y1435" i="1"/>
  <c r="Z1435" i="1"/>
  <c r="AA1435" i="1"/>
  <c r="AB1435" i="1"/>
  <c r="AC1435" i="1"/>
  <c r="AD1435" i="1"/>
  <c r="AE1435" i="1"/>
  <c r="W1436" i="1"/>
  <c r="X1436" i="1"/>
  <c r="Y1436" i="1"/>
  <c r="Z1436" i="1"/>
  <c r="AA1436" i="1"/>
  <c r="AB1436" i="1"/>
  <c r="AC1436" i="1"/>
  <c r="AD1436" i="1"/>
  <c r="AE1436" i="1"/>
  <c r="W1437" i="1"/>
  <c r="X1437" i="1"/>
  <c r="Y1437" i="1"/>
  <c r="Z1437" i="1"/>
  <c r="AA1437" i="1"/>
  <c r="AB1437" i="1"/>
  <c r="AC1437" i="1"/>
  <c r="AD1437" i="1"/>
  <c r="AE1437" i="1"/>
  <c r="W1438" i="1"/>
  <c r="X1438" i="1"/>
  <c r="Y1438" i="1"/>
  <c r="Z1438" i="1"/>
  <c r="AA1438" i="1"/>
  <c r="AB1438" i="1"/>
  <c r="AC1438" i="1"/>
  <c r="AD1438" i="1"/>
  <c r="AE1438" i="1"/>
  <c r="W1439" i="1"/>
  <c r="X1439" i="1"/>
  <c r="Y1439" i="1"/>
  <c r="Z1439" i="1"/>
  <c r="AA1439" i="1"/>
  <c r="AB1439" i="1"/>
  <c r="AC1439" i="1"/>
  <c r="AD1439" i="1"/>
  <c r="AE1439" i="1"/>
  <c r="W1440" i="1"/>
  <c r="X1440" i="1"/>
  <c r="Y1440" i="1"/>
  <c r="Z1440" i="1"/>
  <c r="AA1440" i="1"/>
  <c r="AB1440" i="1"/>
  <c r="AC1440" i="1"/>
  <c r="AD1440" i="1"/>
  <c r="AE1440" i="1"/>
  <c r="W1441" i="1"/>
  <c r="X1441" i="1"/>
  <c r="Y1441" i="1"/>
  <c r="Z1441" i="1"/>
  <c r="AA1441" i="1"/>
  <c r="AB1441" i="1"/>
  <c r="AC1441" i="1"/>
  <c r="AD1441" i="1"/>
  <c r="AE1441" i="1"/>
  <c r="W1442" i="1"/>
  <c r="X1442" i="1"/>
  <c r="Y1442" i="1"/>
  <c r="Z1442" i="1"/>
  <c r="AA1442" i="1"/>
  <c r="AB1442" i="1"/>
  <c r="AC1442" i="1"/>
  <c r="AD1442" i="1"/>
  <c r="AE1442" i="1"/>
  <c r="W1443" i="1"/>
  <c r="X1443" i="1"/>
  <c r="Y1443" i="1"/>
  <c r="Z1443" i="1"/>
  <c r="AA1443" i="1"/>
  <c r="AB1443" i="1"/>
  <c r="AC1443" i="1"/>
  <c r="AD1443" i="1"/>
  <c r="AE1443" i="1"/>
  <c r="W1444" i="1"/>
  <c r="X1444" i="1"/>
  <c r="Y1444" i="1"/>
  <c r="Z1444" i="1"/>
  <c r="AA1444" i="1"/>
  <c r="AB1444" i="1"/>
  <c r="AC1444" i="1"/>
  <c r="AD1444" i="1"/>
  <c r="AE1444" i="1"/>
  <c r="W1445" i="1"/>
  <c r="X1445" i="1"/>
  <c r="Y1445" i="1"/>
  <c r="Z1445" i="1"/>
  <c r="AA1445" i="1"/>
  <c r="AB1445" i="1"/>
  <c r="AC1445" i="1"/>
  <c r="AD1445" i="1"/>
  <c r="AE1445" i="1"/>
  <c r="W1446" i="1"/>
  <c r="X1446" i="1"/>
  <c r="Y1446" i="1"/>
  <c r="Z1446" i="1"/>
  <c r="AA1446" i="1"/>
  <c r="AB1446" i="1"/>
  <c r="AC1446" i="1"/>
  <c r="AD1446" i="1"/>
  <c r="AE1446" i="1"/>
  <c r="W1447" i="1"/>
  <c r="X1447" i="1"/>
  <c r="Y1447" i="1"/>
  <c r="Z1447" i="1"/>
  <c r="AA1447" i="1"/>
  <c r="AB1447" i="1"/>
  <c r="AC1447" i="1"/>
  <c r="AD1447" i="1"/>
  <c r="AE1447" i="1"/>
  <c r="W1448" i="1"/>
  <c r="X1448" i="1"/>
  <c r="Y1448" i="1"/>
  <c r="Z1448" i="1"/>
  <c r="AA1448" i="1"/>
  <c r="AB1448" i="1"/>
  <c r="AC1448" i="1"/>
  <c r="AD1448" i="1"/>
  <c r="AE1448" i="1"/>
  <c r="W1449" i="1"/>
  <c r="X1449" i="1"/>
  <c r="Y1449" i="1"/>
  <c r="Z1449" i="1"/>
  <c r="AA1449" i="1"/>
  <c r="AB1449" i="1"/>
  <c r="AC1449" i="1"/>
  <c r="AD1449" i="1"/>
  <c r="AE1449" i="1"/>
  <c r="W1450" i="1"/>
  <c r="X1450" i="1"/>
  <c r="Y1450" i="1"/>
  <c r="Z1450" i="1"/>
  <c r="AA1450" i="1"/>
  <c r="AB1450" i="1"/>
  <c r="AC1450" i="1"/>
  <c r="AD1450" i="1"/>
  <c r="AE1450" i="1"/>
  <c r="W1451" i="1"/>
  <c r="X1451" i="1"/>
  <c r="Y1451" i="1"/>
  <c r="Z1451" i="1"/>
  <c r="AA1451" i="1"/>
  <c r="AB1451" i="1"/>
  <c r="AC1451" i="1"/>
  <c r="AD1451" i="1"/>
  <c r="AE1451" i="1"/>
  <c r="W1452" i="1"/>
  <c r="X1452" i="1"/>
  <c r="Y1452" i="1"/>
  <c r="Z1452" i="1"/>
  <c r="AA1452" i="1"/>
  <c r="AB1452" i="1"/>
  <c r="AC1452" i="1"/>
  <c r="AD1452" i="1"/>
  <c r="AE1452" i="1"/>
  <c r="W1453" i="1"/>
  <c r="X1453" i="1"/>
  <c r="Y1453" i="1"/>
  <c r="Z1453" i="1"/>
  <c r="AA1453" i="1"/>
  <c r="AB1453" i="1"/>
  <c r="AC1453" i="1"/>
  <c r="AD1453" i="1"/>
  <c r="AE1453" i="1"/>
  <c r="W1454" i="1"/>
  <c r="X1454" i="1"/>
  <c r="Y1454" i="1"/>
  <c r="Z1454" i="1"/>
  <c r="AA1454" i="1"/>
  <c r="AB1454" i="1"/>
  <c r="AC1454" i="1"/>
  <c r="AD1454" i="1"/>
  <c r="AE1454" i="1"/>
  <c r="W1455" i="1"/>
  <c r="X1455" i="1"/>
  <c r="Y1455" i="1"/>
  <c r="Z1455" i="1"/>
  <c r="AA1455" i="1"/>
  <c r="AB1455" i="1"/>
  <c r="AC1455" i="1"/>
  <c r="AD1455" i="1"/>
  <c r="AE1455" i="1"/>
  <c r="W1456" i="1"/>
  <c r="X1456" i="1"/>
  <c r="Y1456" i="1"/>
  <c r="Z1456" i="1"/>
  <c r="AA1456" i="1"/>
  <c r="AB1456" i="1"/>
  <c r="AC1456" i="1"/>
  <c r="AD1456" i="1"/>
  <c r="AE1456" i="1"/>
  <c r="W1457" i="1"/>
  <c r="X1457" i="1"/>
  <c r="Y1457" i="1"/>
  <c r="Z1457" i="1"/>
  <c r="AA1457" i="1"/>
  <c r="AB1457" i="1"/>
  <c r="AC1457" i="1"/>
  <c r="AD1457" i="1"/>
  <c r="AE1457" i="1"/>
  <c r="W1458" i="1"/>
  <c r="X1458" i="1"/>
  <c r="Y1458" i="1"/>
  <c r="Z1458" i="1"/>
  <c r="AA1458" i="1"/>
  <c r="AB1458" i="1"/>
  <c r="AC1458" i="1"/>
  <c r="AD1458" i="1"/>
  <c r="AE1458" i="1"/>
  <c r="W1459" i="1"/>
  <c r="X1459" i="1"/>
  <c r="Y1459" i="1"/>
  <c r="Z1459" i="1"/>
  <c r="AA1459" i="1"/>
  <c r="AB1459" i="1"/>
  <c r="AC1459" i="1"/>
  <c r="AD1459" i="1"/>
  <c r="AE1459" i="1"/>
  <c r="W1460" i="1"/>
  <c r="X1460" i="1"/>
  <c r="Y1460" i="1"/>
  <c r="Z1460" i="1"/>
  <c r="AA1460" i="1"/>
  <c r="AB1460" i="1"/>
  <c r="AC1460" i="1"/>
  <c r="AD1460" i="1"/>
  <c r="AE1460" i="1"/>
  <c r="W1461" i="1"/>
  <c r="X1461" i="1"/>
  <c r="Y1461" i="1"/>
  <c r="Z1461" i="1"/>
  <c r="AA1461" i="1"/>
  <c r="AB1461" i="1"/>
  <c r="AC1461" i="1"/>
  <c r="AD1461" i="1"/>
  <c r="AE1461" i="1"/>
  <c r="W1462" i="1"/>
  <c r="X1462" i="1"/>
  <c r="Y1462" i="1"/>
  <c r="Z1462" i="1"/>
  <c r="AA1462" i="1"/>
  <c r="AB1462" i="1"/>
  <c r="AC1462" i="1"/>
  <c r="AD1462" i="1"/>
  <c r="AE1462" i="1"/>
  <c r="W1463" i="1"/>
  <c r="X1463" i="1"/>
  <c r="Y1463" i="1"/>
  <c r="Z1463" i="1"/>
  <c r="AA1463" i="1"/>
  <c r="AB1463" i="1"/>
  <c r="AC1463" i="1"/>
  <c r="AD1463" i="1"/>
  <c r="AE1463" i="1"/>
  <c r="W1464" i="1"/>
  <c r="X1464" i="1"/>
  <c r="Y1464" i="1"/>
  <c r="Z1464" i="1"/>
  <c r="AA1464" i="1"/>
  <c r="AB1464" i="1"/>
  <c r="AC1464" i="1"/>
  <c r="AD1464" i="1"/>
  <c r="AE1464" i="1"/>
  <c r="W1465" i="1"/>
  <c r="X1465" i="1"/>
  <c r="Y1465" i="1"/>
  <c r="Z1465" i="1"/>
  <c r="AA1465" i="1"/>
  <c r="AB1465" i="1"/>
  <c r="AC1465" i="1"/>
  <c r="AD1465" i="1"/>
  <c r="AE1465" i="1"/>
  <c r="W1466" i="1"/>
  <c r="X1466" i="1"/>
  <c r="Y1466" i="1"/>
  <c r="Z1466" i="1"/>
  <c r="AA1466" i="1"/>
  <c r="AB1466" i="1"/>
  <c r="AC1466" i="1"/>
  <c r="AD1466" i="1"/>
  <c r="AE1466" i="1"/>
  <c r="W1467" i="1"/>
  <c r="X1467" i="1"/>
  <c r="Y1467" i="1"/>
  <c r="Z1467" i="1"/>
  <c r="AA1467" i="1"/>
  <c r="AB1467" i="1"/>
  <c r="AC1467" i="1"/>
  <c r="AD1467" i="1"/>
  <c r="AE1467" i="1"/>
  <c r="W1468" i="1"/>
  <c r="X1468" i="1"/>
  <c r="Y1468" i="1"/>
  <c r="Z1468" i="1"/>
  <c r="AA1468" i="1"/>
  <c r="AB1468" i="1"/>
  <c r="AC1468" i="1"/>
  <c r="AD1468" i="1"/>
  <c r="AE1468" i="1"/>
  <c r="W1469" i="1"/>
  <c r="X1469" i="1"/>
  <c r="Y1469" i="1"/>
  <c r="Z1469" i="1"/>
  <c r="AA1469" i="1"/>
  <c r="AB1469" i="1"/>
  <c r="AC1469" i="1"/>
  <c r="AD1469" i="1"/>
  <c r="AE1469" i="1"/>
  <c r="W1470" i="1"/>
  <c r="X1470" i="1"/>
  <c r="Y1470" i="1"/>
  <c r="Z1470" i="1"/>
  <c r="AA1470" i="1"/>
  <c r="AB1470" i="1"/>
  <c r="AC1470" i="1"/>
  <c r="AD1470" i="1"/>
  <c r="AE1470" i="1"/>
  <c r="W1471" i="1"/>
  <c r="X1471" i="1"/>
  <c r="Y1471" i="1"/>
  <c r="Z1471" i="1"/>
  <c r="AA1471" i="1"/>
  <c r="AB1471" i="1"/>
  <c r="AC1471" i="1"/>
  <c r="AD1471" i="1"/>
  <c r="AE1471" i="1"/>
  <c r="W1472" i="1"/>
  <c r="X1472" i="1"/>
  <c r="Y1472" i="1"/>
  <c r="Z1472" i="1"/>
  <c r="AA1472" i="1"/>
  <c r="AB1472" i="1"/>
  <c r="AC1472" i="1"/>
  <c r="AD1472" i="1"/>
  <c r="AE1472" i="1"/>
  <c r="W1473" i="1"/>
  <c r="X1473" i="1"/>
  <c r="Y1473" i="1"/>
  <c r="Z1473" i="1"/>
  <c r="AA1473" i="1"/>
  <c r="AB1473" i="1"/>
  <c r="AC1473" i="1"/>
  <c r="AD1473" i="1"/>
  <c r="AE1473" i="1"/>
  <c r="W1474" i="1"/>
  <c r="X1474" i="1"/>
  <c r="Y1474" i="1"/>
  <c r="Z1474" i="1"/>
  <c r="AA1474" i="1"/>
  <c r="AB1474" i="1"/>
  <c r="AC1474" i="1"/>
  <c r="AD1474" i="1"/>
  <c r="AE1474" i="1"/>
  <c r="W1475" i="1"/>
  <c r="X1475" i="1"/>
  <c r="Y1475" i="1"/>
  <c r="Z1475" i="1"/>
  <c r="AA1475" i="1"/>
  <c r="AB1475" i="1"/>
  <c r="AC1475" i="1"/>
  <c r="AD1475" i="1"/>
  <c r="AE1475" i="1"/>
  <c r="W1476" i="1"/>
  <c r="X1476" i="1"/>
  <c r="Y1476" i="1"/>
  <c r="Z1476" i="1"/>
  <c r="AA1476" i="1"/>
  <c r="AB1476" i="1"/>
  <c r="AC1476" i="1"/>
  <c r="AD1476" i="1"/>
  <c r="AE1476" i="1"/>
  <c r="W1477" i="1"/>
  <c r="X1477" i="1"/>
  <c r="Y1477" i="1"/>
  <c r="Z1477" i="1"/>
  <c r="AA1477" i="1"/>
  <c r="AB1477" i="1"/>
  <c r="AC1477" i="1"/>
  <c r="AD1477" i="1"/>
  <c r="AE1477" i="1"/>
  <c r="W1478" i="1"/>
  <c r="X1478" i="1"/>
  <c r="Y1478" i="1"/>
  <c r="Z1478" i="1"/>
  <c r="AA1478" i="1"/>
  <c r="AB1478" i="1"/>
  <c r="AC1478" i="1"/>
  <c r="AD1478" i="1"/>
  <c r="AE1478" i="1"/>
  <c r="W1479" i="1"/>
  <c r="X1479" i="1"/>
  <c r="Y1479" i="1"/>
  <c r="Z1479" i="1"/>
  <c r="AA1479" i="1"/>
  <c r="AB1479" i="1"/>
  <c r="AC1479" i="1"/>
  <c r="AD1479" i="1"/>
  <c r="AE1479" i="1"/>
  <c r="W1480" i="1"/>
  <c r="X1480" i="1"/>
  <c r="Y1480" i="1"/>
  <c r="Z1480" i="1"/>
  <c r="AA1480" i="1"/>
  <c r="AB1480" i="1"/>
  <c r="AC1480" i="1"/>
  <c r="AD1480" i="1"/>
  <c r="AE1480" i="1"/>
  <c r="W1481" i="1"/>
  <c r="X1481" i="1"/>
  <c r="Y1481" i="1"/>
  <c r="Z1481" i="1"/>
  <c r="AA1481" i="1"/>
  <c r="AB1481" i="1"/>
  <c r="AC1481" i="1"/>
  <c r="AD1481" i="1"/>
  <c r="AE1481" i="1"/>
  <c r="W1482" i="1"/>
  <c r="X1482" i="1"/>
  <c r="Y1482" i="1"/>
  <c r="Z1482" i="1"/>
  <c r="AA1482" i="1"/>
  <c r="AB1482" i="1"/>
  <c r="AC1482" i="1"/>
  <c r="AD1482" i="1"/>
  <c r="AE1482" i="1"/>
  <c r="W1483" i="1"/>
  <c r="X1483" i="1"/>
  <c r="Y1483" i="1"/>
  <c r="Z1483" i="1"/>
  <c r="AA1483" i="1"/>
  <c r="AB1483" i="1"/>
  <c r="AC1483" i="1"/>
  <c r="AD1483" i="1"/>
  <c r="AE1483" i="1"/>
  <c r="W1484" i="1"/>
  <c r="X1484" i="1"/>
  <c r="Y1484" i="1"/>
  <c r="Z1484" i="1"/>
  <c r="AA1484" i="1"/>
  <c r="AB1484" i="1"/>
  <c r="AC1484" i="1"/>
  <c r="AD1484" i="1"/>
  <c r="AE1484" i="1"/>
  <c r="W1485" i="1"/>
  <c r="X1485" i="1"/>
  <c r="Y1485" i="1"/>
  <c r="Z1485" i="1"/>
  <c r="AA1485" i="1"/>
  <c r="AB1485" i="1"/>
  <c r="AC1485" i="1"/>
  <c r="AD1485" i="1"/>
  <c r="AE1485" i="1"/>
  <c r="W1486" i="1"/>
  <c r="X1486" i="1"/>
  <c r="Y1486" i="1"/>
  <c r="Z1486" i="1"/>
  <c r="AA1486" i="1"/>
  <c r="AB1486" i="1"/>
  <c r="AC1486" i="1"/>
  <c r="AD1486" i="1"/>
  <c r="AE1486" i="1"/>
  <c r="W1487" i="1"/>
  <c r="X1487" i="1"/>
  <c r="Y1487" i="1"/>
  <c r="Z1487" i="1"/>
  <c r="AA1487" i="1"/>
  <c r="AB1487" i="1"/>
  <c r="AC1487" i="1"/>
  <c r="AD1487" i="1"/>
  <c r="AE1487" i="1"/>
  <c r="W1488" i="1"/>
  <c r="X1488" i="1"/>
  <c r="Y1488" i="1"/>
  <c r="Z1488" i="1"/>
  <c r="AA1488" i="1"/>
  <c r="AB1488" i="1"/>
  <c r="AC1488" i="1"/>
  <c r="AD1488" i="1"/>
  <c r="AE1488" i="1"/>
  <c r="W1489" i="1"/>
  <c r="X1489" i="1"/>
  <c r="Y1489" i="1"/>
  <c r="Z1489" i="1"/>
  <c r="AA1489" i="1"/>
  <c r="AB1489" i="1"/>
  <c r="AC1489" i="1"/>
  <c r="AD1489" i="1"/>
  <c r="AE1489" i="1"/>
  <c r="W1490" i="1"/>
  <c r="X1490" i="1"/>
  <c r="Y1490" i="1"/>
  <c r="Z1490" i="1"/>
  <c r="AA1490" i="1"/>
  <c r="AB1490" i="1"/>
  <c r="AC1490" i="1"/>
  <c r="AD1490" i="1"/>
  <c r="AE1490" i="1"/>
  <c r="W1491" i="1"/>
  <c r="X1491" i="1"/>
  <c r="Y1491" i="1"/>
  <c r="Z1491" i="1"/>
  <c r="AA1491" i="1"/>
  <c r="AB1491" i="1"/>
  <c r="AC1491" i="1"/>
  <c r="AD1491" i="1"/>
  <c r="AE1491" i="1"/>
  <c r="W1492" i="1"/>
  <c r="X1492" i="1"/>
  <c r="Y1492" i="1"/>
  <c r="Z1492" i="1"/>
  <c r="AA1492" i="1"/>
  <c r="AB1492" i="1"/>
  <c r="AC1492" i="1"/>
  <c r="AD1492" i="1"/>
  <c r="AE1492" i="1"/>
  <c r="W1493" i="1"/>
  <c r="X1493" i="1"/>
  <c r="Y1493" i="1"/>
  <c r="Z1493" i="1"/>
  <c r="AA1493" i="1"/>
  <c r="AB1493" i="1"/>
  <c r="AC1493" i="1"/>
  <c r="AD1493" i="1"/>
  <c r="AE1493" i="1"/>
  <c r="W1494" i="1"/>
  <c r="X1494" i="1"/>
  <c r="Y1494" i="1"/>
  <c r="Z1494" i="1"/>
  <c r="AA1494" i="1"/>
  <c r="AB1494" i="1"/>
  <c r="AC1494" i="1"/>
  <c r="AD1494" i="1"/>
  <c r="AE1494" i="1"/>
  <c r="W1495" i="1"/>
  <c r="X1495" i="1"/>
  <c r="Y1495" i="1"/>
  <c r="Z1495" i="1"/>
  <c r="AA1495" i="1"/>
  <c r="AB1495" i="1"/>
  <c r="AC1495" i="1"/>
  <c r="AD1495" i="1"/>
  <c r="AE1495" i="1"/>
  <c r="W1496" i="1"/>
  <c r="X1496" i="1"/>
  <c r="Y1496" i="1"/>
  <c r="Z1496" i="1"/>
  <c r="AA1496" i="1"/>
  <c r="AB1496" i="1"/>
  <c r="AC1496" i="1"/>
  <c r="AD1496" i="1"/>
  <c r="AE1496" i="1"/>
  <c r="W1497" i="1"/>
  <c r="X1497" i="1"/>
  <c r="Y1497" i="1"/>
  <c r="Z1497" i="1"/>
  <c r="AA1497" i="1"/>
  <c r="AB1497" i="1"/>
  <c r="AC1497" i="1"/>
  <c r="AD1497" i="1"/>
  <c r="AE1497" i="1"/>
  <c r="W1498" i="1"/>
  <c r="X1498" i="1"/>
  <c r="Y1498" i="1"/>
  <c r="Z1498" i="1"/>
  <c r="AA1498" i="1"/>
  <c r="AB1498" i="1"/>
  <c r="AC1498" i="1"/>
  <c r="AD1498" i="1"/>
  <c r="AE1498" i="1"/>
  <c r="W1499" i="1"/>
  <c r="X1499" i="1"/>
  <c r="Y1499" i="1"/>
  <c r="Z1499" i="1"/>
  <c r="AA1499" i="1"/>
  <c r="AB1499" i="1"/>
  <c r="AC1499" i="1"/>
  <c r="AD1499" i="1"/>
  <c r="AE1499" i="1"/>
  <c r="W1500" i="1"/>
  <c r="X1500" i="1"/>
  <c r="Y1500" i="1"/>
  <c r="Z1500" i="1"/>
  <c r="AA1500" i="1"/>
  <c r="AB1500" i="1"/>
  <c r="AC1500" i="1"/>
  <c r="AD1500" i="1"/>
  <c r="AE1500" i="1"/>
  <c r="W1501" i="1"/>
  <c r="X1501" i="1"/>
  <c r="Y1501" i="1"/>
  <c r="Z1501" i="1"/>
  <c r="AA1501" i="1"/>
  <c r="AB1501" i="1"/>
  <c r="AC1501" i="1"/>
  <c r="AD1501" i="1"/>
  <c r="AE1501" i="1"/>
  <c r="W1502" i="1"/>
  <c r="X1502" i="1"/>
  <c r="Y1502" i="1"/>
  <c r="Z1502" i="1"/>
  <c r="AA1502" i="1"/>
  <c r="AB1502" i="1"/>
  <c r="AC1502" i="1"/>
  <c r="AD1502" i="1"/>
  <c r="AE1502" i="1"/>
  <c r="W1503" i="1"/>
  <c r="X1503" i="1"/>
  <c r="Y1503" i="1"/>
  <c r="Z1503" i="1"/>
  <c r="AA1503" i="1"/>
  <c r="AB1503" i="1"/>
  <c r="AC1503" i="1"/>
  <c r="AD1503" i="1"/>
  <c r="AE1503" i="1"/>
  <c r="W1504" i="1"/>
  <c r="X1504" i="1"/>
  <c r="Y1504" i="1"/>
  <c r="Z1504" i="1"/>
  <c r="AA1504" i="1"/>
  <c r="AB1504" i="1"/>
  <c r="AC1504" i="1"/>
  <c r="AD1504" i="1"/>
  <c r="AE1504" i="1"/>
  <c r="W1505" i="1"/>
  <c r="X1505" i="1"/>
  <c r="Y1505" i="1"/>
  <c r="Z1505" i="1"/>
  <c r="AA1505" i="1"/>
  <c r="AB1505" i="1"/>
  <c r="AC1505" i="1"/>
  <c r="AD1505" i="1"/>
  <c r="AE1505" i="1"/>
  <c r="W1506" i="1"/>
  <c r="X1506" i="1"/>
  <c r="Y1506" i="1"/>
  <c r="Z1506" i="1"/>
  <c r="AA1506" i="1"/>
  <c r="AB1506" i="1"/>
  <c r="AC1506" i="1"/>
  <c r="AD1506" i="1"/>
  <c r="AE1506" i="1"/>
  <c r="W1507" i="1"/>
  <c r="X1507" i="1"/>
  <c r="Y1507" i="1"/>
  <c r="Z1507" i="1"/>
  <c r="AA1507" i="1"/>
  <c r="AB1507" i="1"/>
  <c r="AC1507" i="1"/>
  <c r="AD1507" i="1"/>
  <c r="AE1507" i="1"/>
  <c r="W1508" i="1"/>
  <c r="X1508" i="1"/>
  <c r="Y1508" i="1"/>
  <c r="Z1508" i="1"/>
  <c r="AA1508" i="1"/>
  <c r="AB1508" i="1"/>
  <c r="AC1508" i="1"/>
  <c r="AD1508" i="1"/>
  <c r="AE1508" i="1"/>
  <c r="W1509" i="1"/>
  <c r="X1509" i="1"/>
  <c r="Y1509" i="1"/>
  <c r="Z1509" i="1"/>
  <c r="AA1509" i="1"/>
  <c r="AB1509" i="1"/>
  <c r="AC1509" i="1"/>
  <c r="AD1509" i="1"/>
  <c r="AE1509" i="1"/>
  <c r="W1510" i="1"/>
  <c r="X1510" i="1"/>
  <c r="Y1510" i="1"/>
  <c r="Z1510" i="1"/>
  <c r="AA1510" i="1"/>
  <c r="AB1510" i="1"/>
  <c r="AC1510" i="1"/>
  <c r="AD1510" i="1"/>
  <c r="AE1510" i="1"/>
  <c r="W1511" i="1"/>
  <c r="X1511" i="1"/>
  <c r="Y1511" i="1"/>
  <c r="Z1511" i="1"/>
  <c r="AA1511" i="1"/>
  <c r="AB1511" i="1"/>
  <c r="AC1511" i="1"/>
  <c r="AD1511" i="1"/>
  <c r="AE1511" i="1"/>
  <c r="W1512" i="1"/>
  <c r="X1512" i="1"/>
  <c r="Y1512" i="1"/>
  <c r="Z1512" i="1"/>
  <c r="AA1512" i="1"/>
  <c r="AB1512" i="1"/>
  <c r="AC1512" i="1"/>
  <c r="AD1512" i="1"/>
  <c r="AE1512" i="1"/>
  <c r="W1513" i="1"/>
  <c r="X1513" i="1"/>
  <c r="Y1513" i="1"/>
  <c r="Z1513" i="1"/>
  <c r="AA1513" i="1"/>
  <c r="AB1513" i="1"/>
  <c r="AC1513" i="1"/>
  <c r="AD1513" i="1"/>
  <c r="AE1513" i="1"/>
  <c r="W1514" i="1"/>
  <c r="X1514" i="1"/>
  <c r="Y1514" i="1"/>
  <c r="Z1514" i="1"/>
  <c r="AA1514" i="1"/>
  <c r="AB1514" i="1"/>
  <c r="AC1514" i="1"/>
  <c r="AD1514" i="1"/>
  <c r="AE1514" i="1"/>
  <c r="W1515" i="1"/>
  <c r="X1515" i="1"/>
  <c r="Y1515" i="1"/>
  <c r="Z1515" i="1"/>
  <c r="AA1515" i="1"/>
  <c r="AB1515" i="1"/>
  <c r="AC1515" i="1"/>
  <c r="AD1515" i="1"/>
  <c r="AE1515" i="1"/>
  <c r="W1516" i="1"/>
  <c r="X1516" i="1"/>
  <c r="Y1516" i="1"/>
  <c r="Z1516" i="1"/>
  <c r="AA1516" i="1"/>
  <c r="AB1516" i="1"/>
  <c r="AC1516" i="1"/>
  <c r="AD1516" i="1"/>
  <c r="AE1516" i="1"/>
  <c r="W1517" i="1"/>
  <c r="X1517" i="1"/>
  <c r="Y1517" i="1"/>
  <c r="Z1517" i="1"/>
  <c r="AA1517" i="1"/>
  <c r="AB1517" i="1"/>
  <c r="AC1517" i="1"/>
  <c r="AD1517" i="1"/>
  <c r="AE1517" i="1"/>
  <c r="W1518" i="1"/>
  <c r="X1518" i="1"/>
  <c r="Y1518" i="1"/>
  <c r="Z1518" i="1"/>
  <c r="AA1518" i="1"/>
  <c r="AB1518" i="1"/>
  <c r="AC1518" i="1"/>
  <c r="AD1518" i="1"/>
  <c r="AE1518" i="1"/>
  <c r="W1519" i="1"/>
  <c r="X1519" i="1"/>
  <c r="Y1519" i="1"/>
  <c r="Z1519" i="1"/>
  <c r="AA1519" i="1"/>
  <c r="AB1519" i="1"/>
  <c r="AC1519" i="1"/>
  <c r="AD1519" i="1"/>
  <c r="AE1519" i="1"/>
  <c r="W1520" i="1"/>
  <c r="X1520" i="1"/>
  <c r="Y1520" i="1"/>
  <c r="Z1520" i="1"/>
  <c r="AA1520" i="1"/>
  <c r="AB1520" i="1"/>
  <c r="AC1520" i="1"/>
  <c r="AD1520" i="1"/>
  <c r="AE1520" i="1"/>
  <c r="W1521" i="1"/>
  <c r="X1521" i="1"/>
  <c r="Y1521" i="1"/>
  <c r="Z1521" i="1"/>
  <c r="AA1521" i="1"/>
  <c r="AB1521" i="1"/>
  <c r="AC1521" i="1"/>
  <c r="AD1521" i="1"/>
  <c r="AE1521" i="1"/>
  <c r="W1522" i="1"/>
  <c r="X1522" i="1"/>
  <c r="Y1522" i="1"/>
  <c r="Z1522" i="1"/>
  <c r="AA1522" i="1"/>
  <c r="AB1522" i="1"/>
  <c r="AC1522" i="1"/>
  <c r="AD1522" i="1"/>
  <c r="AE1522" i="1"/>
  <c r="W1523" i="1"/>
  <c r="X1523" i="1"/>
  <c r="Y1523" i="1"/>
  <c r="Z1523" i="1"/>
  <c r="AA1523" i="1"/>
  <c r="AB1523" i="1"/>
  <c r="AC1523" i="1"/>
  <c r="AD1523" i="1"/>
  <c r="AE1523" i="1"/>
  <c r="W1524" i="1"/>
  <c r="X1524" i="1"/>
  <c r="Y1524" i="1"/>
  <c r="Z1524" i="1"/>
  <c r="AA1524" i="1"/>
  <c r="AB1524" i="1"/>
  <c r="AC1524" i="1"/>
  <c r="AD1524" i="1"/>
  <c r="AE1524" i="1"/>
  <c r="W1525" i="1"/>
  <c r="X1525" i="1"/>
  <c r="Y1525" i="1"/>
  <c r="Z1525" i="1"/>
  <c r="AA1525" i="1"/>
  <c r="AB1525" i="1"/>
  <c r="AC1525" i="1"/>
  <c r="AD1525" i="1"/>
  <c r="AE1525" i="1"/>
  <c r="W1526" i="1"/>
  <c r="X1526" i="1"/>
  <c r="Y1526" i="1"/>
  <c r="Z1526" i="1"/>
  <c r="AA1526" i="1"/>
  <c r="AB1526" i="1"/>
  <c r="AC1526" i="1"/>
  <c r="AD1526" i="1"/>
  <c r="AE1526" i="1"/>
  <c r="W1527" i="1"/>
  <c r="X1527" i="1"/>
  <c r="Y1527" i="1"/>
  <c r="Z1527" i="1"/>
  <c r="AA1527" i="1"/>
  <c r="AB1527" i="1"/>
  <c r="AC1527" i="1"/>
  <c r="AD1527" i="1"/>
  <c r="AE1527" i="1"/>
  <c r="W1528" i="1"/>
  <c r="X1528" i="1"/>
  <c r="Y1528" i="1"/>
  <c r="Z1528" i="1"/>
  <c r="AA1528" i="1"/>
  <c r="AB1528" i="1"/>
  <c r="AC1528" i="1"/>
  <c r="AD1528" i="1"/>
  <c r="AE1528" i="1"/>
  <c r="W1529" i="1"/>
  <c r="X1529" i="1"/>
  <c r="Y1529" i="1"/>
  <c r="Z1529" i="1"/>
  <c r="AA1529" i="1"/>
  <c r="AB1529" i="1"/>
  <c r="AC1529" i="1"/>
  <c r="AD1529" i="1"/>
  <c r="AE1529" i="1"/>
  <c r="W1530" i="1"/>
  <c r="X1530" i="1"/>
  <c r="Y1530" i="1"/>
  <c r="Z1530" i="1"/>
  <c r="AA1530" i="1"/>
  <c r="AB1530" i="1"/>
  <c r="AC1530" i="1"/>
  <c r="AD1530" i="1"/>
  <c r="AE1530" i="1"/>
  <c r="W1531" i="1"/>
  <c r="X1531" i="1"/>
  <c r="Y1531" i="1"/>
  <c r="Z1531" i="1"/>
  <c r="AA1531" i="1"/>
  <c r="AB1531" i="1"/>
  <c r="AC1531" i="1"/>
  <c r="AD1531" i="1"/>
  <c r="AE1531" i="1"/>
  <c r="W1532" i="1"/>
  <c r="X1532" i="1"/>
  <c r="Y1532" i="1"/>
  <c r="Z1532" i="1"/>
  <c r="AA1532" i="1"/>
  <c r="AB1532" i="1"/>
  <c r="AC1532" i="1"/>
  <c r="AD1532" i="1"/>
  <c r="AE1532" i="1"/>
  <c r="W1533" i="1"/>
  <c r="X1533" i="1"/>
  <c r="Y1533" i="1"/>
  <c r="Z1533" i="1"/>
  <c r="AA1533" i="1"/>
  <c r="AB1533" i="1"/>
  <c r="AC1533" i="1"/>
  <c r="AD1533" i="1"/>
  <c r="AE1533" i="1"/>
  <c r="W1534" i="1"/>
  <c r="X1534" i="1"/>
  <c r="Y1534" i="1"/>
  <c r="Z1534" i="1"/>
  <c r="AA1534" i="1"/>
  <c r="AB1534" i="1"/>
  <c r="AC1534" i="1"/>
  <c r="AD1534" i="1"/>
  <c r="AE1534" i="1"/>
  <c r="W1535" i="1"/>
  <c r="X1535" i="1"/>
  <c r="Y1535" i="1"/>
  <c r="Z1535" i="1"/>
  <c r="AA1535" i="1"/>
  <c r="AB1535" i="1"/>
  <c r="AC1535" i="1"/>
  <c r="AD1535" i="1"/>
  <c r="AE1535" i="1"/>
  <c r="W1536" i="1"/>
  <c r="X1536" i="1"/>
  <c r="Y1536" i="1"/>
  <c r="Z1536" i="1"/>
  <c r="AA1536" i="1"/>
  <c r="AB1536" i="1"/>
  <c r="AC1536" i="1"/>
  <c r="AD1536" i="1"/>
  <c r="AE1536" i="1"/>
  <c r="W1537" i="1"/>
  <c r="X1537" i="1"/>
  <c r="Y1537" i="1"/>
  <c r="Z1537" i="1"/>
  <c r="AA1537" i="1"/>
  <c r="AB1537" i="1"/>
  <c r="AC1537" i="1"/>
  <c r="AD1537" i="1"/>
  <c r="AE1537" i="1"/>
  <c r="W1538" i="1"/>
  <c r="X1538" i="1"/>
  <c r="Y1538" i="1"/>
  <c r="Z1538" i="1"/>
  <c r="AA1538" i="1"/>
  <c r="AB1538" i="1"/>
  <c r="AC1538" i="1"/>
  <c r="AD1538" i="1"/>
  <c r="AE1538" i="1"/>
  <c r="W1539" i="1"/>
  <c r="X1539" i="1"/>
  <c r="Y1539" i="1"/>
  <c r="Z1539" i="1"/>
  <c r="AA1539" i="1"/>
  <c r="AB1539" i="1"/>
  <c r="AC1539" i="1"/>
  <c r="AD1539" i="1"/>
  <c r="AE1539" i="1"/>
  <c r="W1540" i="1"/>
  <c r="X1540" i="1"/>
  <c r="Y1540" i="1"/>
  <c r="Z1540" i="1"/>
  <c r="AA1540" i="1"/>
  <c r="AB1540" i="1"/>
  <c r="AC1540" i="1"/>
  <c r="AD1540" i="1"/>
  <c r="AE1540" i="1"/>
  <c r="W1541" i="1"/>
  <c r="X1541" i="1"/>
  <c r="Y1541" i="1"/>
  <c r="Z1541" i="1"/>
  <c r="AA1541" i="1"/>
  <c r="AB1541" i="1"/>
  <c r="AC1541" i="1"/>
  <c r="AD1541" i="1"/>
  <c r="AE1541" i="1"/>
  <c r="W1542" i="1"/>
  <c r="X1542" i="1"/>
  <c r="Y1542" i="1"/>
  <c r="Z1542" i="1"/>
  <c r="AA1542" i="1"/>
  <c r="AB1542" i="1"/>
  <c r="AC1542" i="1"/>
  <c r="AD1542" i="1"/>
  <c r="AE1542" i="1"/>
  <c r="W1543" i="1"/>
  <c r="X1543" i="1"/>
  <c r="Y1543" i="1"/>
  <c r="Z1543" i="1"/>
  <c r="AA1543" i="1"/>
  <c r="AB1543" i="1"/>
  <c r="AC1543" i="1"/>
  <c r="AD1543" i="1"/>
  <c r="AE1543" i="1"/>
  <c r="W1544" i="1"/>
  <c r="X1544" i="1"/>
  <c r="Y1544" i="1"/>
  <c r="Z1544" i="1"/>
  <c r="AA1544" i="1"/>
  <c r="AB1544" i="1"/>
  <c r="AC1544" i="1"/>
  <c r="AD1544" i="1"/>
  <c r="AE1544" i="1"/>
  <c r="W1545" i="1"/>
  <c r="X1545" i="1"/>
  <c r="Y1545" i="1"/>
  <c r="Z1545" i="1"/>
  <c r="AA1545" i="1"/>
  <c r="AB1545" i="1"/>
  <c r="AC1545" i="1"/>
  <c r="AD1545" i="1"/>
  <c r="AE1545" i="1"/>
  <c r="W1546" i="1"/>
  <c r="X1546" i="1"/>
  <c r="Y1546" i="1"/>
  <c r="Z1546" i="1"/>
  <c r="AA1546" i="1"/>
  <c r="AB1546" i="1"/>
  <c r="AC1546" i="1"/>
  <c r="AD1546" i="1"/>
  <c r="AE1546" i="1"/>
  <c r="W1547" i="1"/>
  <c r="X1547" i="1"/>
  <c r="Y1547" i="1"/>
  <c r="Z1547" i="1"/>
  <c r="AA1547" i="1"/>
  <c r="AB1547" i="1"/>
  <c r="AC1547" i="1"/>
  <c r="AD1547" i="1"/>
  <c r="AE1547" i="1"/>
  <c r="W1548" i="1"/>
  <c r="X1548" i="1"/>
  <c r="Y1548" i="1"/>
  <c r="Z1548" i="1"/>
  <c r="AA1548" i="1"/>
  <c r="AB1548" i="1"/>
  <c r="AC1548" i="1"/>
  <c r="AD1548" i="1"/>
  <c r="AE1548" i="1"/>
  <c r="W1549" i="1"/>
  <c r="X1549" i="1"/>
  <c r="Y1549" i="1"/>
  <c r="Z1549" i="1"/>
  <c r="AA1549" i="1"/>
  <c r="AB1549" i="1"/>
  <c r="AC1549" i="1"/>
  <c r="AD1549" i="1"/>
  <c r="AE1549" i="1"/>
  <c r="W1550" i="1"/>
  <c r="X1550" i="1"/>
  <c r="Y1550" i="1"/>
  <c r="Z1550" i="1"/>
  <c r="AA1550" i="1"/>
  <c r="AB1550" i="1"/>
  <c r="AC1550" i="1"/>
  <c r="AD1550" i="1"/>
  <c r="AE1550" i="1"/>
  <c r="W1551" i="1"/>
  <c r="X1551" i="1"/>
  <c r="Y1551" i="1"/>
  <c r="Z1551" i="1"/>
  <c r="AA1551" i="1"/>
  <c r="AB1551" i="1"/>
  <c r="AC1551" i="1"/>
  <c r="AD1551" i="1"/>
  <c r="AE1551" i="1"/>
  <c r="W1552" i="1"/>
  <c r="X1552" i="1"/>
  <c r="Y1552" i="1"/>
  <c r="Z1552" i="1"/>
  <c r="AA1552" i="1"/>
  <c r="AB1552" i="1"/>
  <c r="AC1552" i="1"/>
  <c r="AD1552" i="1"/>
  <c r="AE1552" i="1"/>
  <c r="W1553" i="1"/>
  <c r="X1553" i="1"/>
  <c r="Y1553" i="1"/>
  <c r="Z1553" i="1"/>
  <c r="AA1553" i="1"/>
  <c r="AB1553" i="1"/>
  <c r="AC1553" i="1"/>
  <c r="AD1553" i="1"/>
  <c r="AE1553" i="1"/>
  <c r="W1554" i="1"/>
  <c r="X1554" i="1"/>
  <c r="Y1554" i="1"/>
  <c r="Z1554" i="1"/>
  <c r="AA1554" i="1"/>
  <c r="AB1554" i="1"/>
  <c r="AC1554" i="1"/>
  <c r="AD1554" i="1"/>
  <c r="AE1554" i="1"/>
  <c r="W1555" i="1"/>
  <c r="X1555" i="1"/>
  <c r="Y1555" i="1"/>
  <c r="Z1555" i="1"/>
  <c r="AA1555" i="1"/>
  <c r="AB1555" i="1"/>
  <c r="AC1555" i="1"/>
  <c r="AD1555" i="1"/>
  <c r="AE1555" i="1"/>
  <c r="W1556" i="1"/>
  <c r="X1556" i="1"/>
  <c r="Y1556" i="1"/>
  <c r="Z1556" i="1"/>
  <c r="AA1556" i="1"/>
  <c r="AB1556" i="1"/>
  <c r="AC1556" i="1"/>
  <c r="AD1556" i="1"/>
  <c r="AE1556" i="1"/>
  <c r="W1557" i="1"/>
  <c r="X1557" i="1"/>
  <c r="Y1557" i="1"/>
  <c r="Z1557" i="1"/>
  <c r="AA1557" i="1"/>
  <c r="AB1557" i="1"/>
  <c r="AC1557" i="1"/>
  <c r="AD1557" i="1"/>
  <c r="AE1557" i="1"/>
  <c r="W1558" i="1"/>
  <c r="X1558" i="1"/>
  <c r="Y1558" i="1"/>
  <c r="Z1558" i="1"/>
  <c r="AA1558" i="1"/>
  <c r="AB1558" i="1"/>
  <c r="AC1558" i="1"/>
  <c r="AD1558" i="1"/>
  <c r="AE1558" i="1"/>
  <c r="W1559" i="1"/>
  <c r="X1559" i="1"/>
  <c r="Y1559" i="1"/>
  <c r="Z1559" i="1"/>
  <c r="AA1559" i="1"/>
  <c r="AB1559" i="1"/>
  <c r="AC1559" i="1"/>
  <c r="AD1559" i="1"/>
  <c r="AE1559" i="1"/>
  <c r="W1560" i="1"/>
  <c r="X1560" i="1"/>
  <c r="Y1560" i="1"/>
  <c r="Z1560" i="1"/>
  <c r="AA1560" i="1"/>
  <c r="AB1560" i="1"/>
  <c r="AC1560" i="1"/>
  <c r="AD1560" i="1"/>
  <c r="AE1560" i="1"/>
  <c r="W1561" i="1"/>
  <c r="X1561" i="1"/>
  <c r="Y1561" i="1"/>
  <c r="Z1561" i="1"/>
  <c r="AA1561" i="1"/>
  <c r="AB1561" i="1"/>
  <c r="AC1561" i="1"/>
  <c r="AD1561" i="1"/>
  <c r="AE1561" i="1"/>
  <c r="W1562" i="1"/>
  <c r="X1562" i="1"/>
  <c r="Y1562" i="1"/>
  <c r="Z1562" i="1"/>
  <c r="AA1562" i="1"/>
  <c r="AB1562" i="1"/>
  <c r="AC1562" i="1"/>
  <c r="AD1562" i="1"/>
  <c r="AE1562" i="1"/>
  <c r="W1563" i="1"/>
  <c r="X1563" i="1"/>
  <c r="Y1563" i="1"/>
  <c r="Z1563" i="1"/>
  <c r="AA1563" i="1"/>
  <c r="AB1563" i="1"/>
  <c r="AC1563" i="1"/>
  <c r="AD1563" i="1"/>
  <c r="AE1563" i="1"/>
  <c r="W1564" i="1"/>
  <c r="X1564" i="1"/>
  <c r="Y1564" i="1"/>
  <c r="Z1564" i="1"/>
  <c r="AA1564" i="1"/>
  <c r="AB1564" i="1"/>
  <c r="AC1564" i="1"/>
  <c r="AD1564" i="1"/>
  <c r="AE1564" i="1"/>
  <c r="W1565" i="1"/>
  <c r="X1565" i="1"/>
  <c r="Y1565" i="1"/>
  <c r="Z1565" i="1"/>
  <c r="AA1565" i="1"/>
  <c r="AB1565" i="1"/>
  <c r="AC1565" i="1"/>
  <c r="AD1565" i="1"/>
  <c r="AE1565" i="1"/>
  <c r="W1566" i="1"/>
  <c r="X1566" i="1"/>
  <c r="Y1566" i="1"/>
  <c r="Z1566" i="1"/>
  <c r="AA1566" i="1"/>
  <c r="AB1566" i="1"/>
  <c r="AC1566" i="1"/>
  <c r="AD1566" i="1"/>
  <c r="AE1566" i="1"/>
  <c r="W1567" i="1"/>
  <c r="X1567" i="1"/>
  <c r="Y1567" i="1"/>
  <c r="Z1567" i="1"/>
  <c r="AA1567" i="1"/>
  <c r="AB1567" i="1"/>
  <c r="AC1567" i="1"/>
  <c r="AD1567" i="1"/>
  <c r="AE1567" i="1"/>
  <c r="W1568" i="1"/>
  <c r="X1568" i="1"/>
  <c r="Y1568" i="1"/>
  <c r="Z1568" i="1"/>
  <c r="AA1568" i="1"/>
  <c r="AB1568" i="1"/>
  <c r="AC1568" i="1"/>
  <c r="AD1568" i="1"/>
  <c r="AE1568" i="1"/>
  <c r="W1569" i="1"/>
  <c r="X1569" i="1"/>
  <c r="Y1569" i="1"/>
  <c r="Z1569" i="1"/>
  <c r="AA1569" i="1"/>
  <c r="AB1569" i="1"/>
  <c r="AC1569" i="1"/>
  <c r="AD1569" i="1"/>
  <c r="AE1569" i="1"/>
  <c r="W1570" i="1"/>
  <c r="X1570" i="1"/>
  <c r="Y1570" i="1"/>
  <c r="Z1570" i="1"/>
  <c r="AA1570" i="1"/>
  <c r="AB1570" i="1"/>
  <c r="AC1570" i="1"/>
  <c r="AD1570" i="1"/>
  <c r="AE1570" i="1"/>
  <c r="W1571" i="1"/>
  <c r="X1571" i="1"/>
  <c r="Y1571" i="1"/>
  <c r="Z1571" i="1"/>
  <c r="AA1571" i="1"/>
  <c r="AB1571" i="1"/>
  <c r="AC1571" i="1"/>
  <c r="AD1571" i="1"/>
  <c r="AE1571" i="1"/>
  <c r="W1572" i="1"/>
  <c r="X1572" i="1"/>
  <c r="Y1572" i="1"/>
  <c r="Z1572" i="1"/>
  <c r="AA1572" i="1"/>
  <c r="AB1572" i="1"/>
  <c r="AC1572" i="1"/>
  <c r="AD1572" i="1"/>
  <c r="AE1572" i="1"/>
  <c r="W1573" i="1"/>
  <c r="X1573" i="1"/>
  <c r="Y1573" i="1"/>
  <c r="Z1573" i="1"/>
  <c r="AA1573" i="1"/>
  <c r="AB1573" i="1"/>
  <c r="AC1573" i="1"/>
  <c r="AD1573" i="1"/>
  <c r="AE1573" i="1"/>
  <c r="W1574" i="1"/>
  <c r="X1574" i="1"/>
  <c r="Y1574" i="1"/>
  <c r="Z1574" i="1"/>
  <c r="AA1574" i="1"/>
  <c r="AB1574" i="1"/>
  <c r="AC1574" i="1"/>
  <c r="AD1574" i="1"/>
  <c r="AE1574" i="1"/>
  <c r="W1575" i="1"/>
  <c r="X1575" i="1"/>
  <c r="Y1575" i="1"/>
  <c r="Z1575" i="1"/>
  <c r="AA1575" i="1"/>
  <c r="AB1575" i="1"/>
  <c r="AC1575" i="1"/>
  <c r="AD1575" i="1"/>
  <c r="AE1575" i="1"/>
  <c r="W1576" i="1"/>
  <c r="X1576" i="1"/>
  <c r="Y1576" i="1"/>
  <c r="Z1576" i="1"/>
  <c r="AA1576" i="1"/>
  <c r="AB1576" i="1"/>
  <c r="AC1576" i="1"/>
  <c r="AD1576" i="1"/>
  <c r="AE1576" i="1"/>
  <c r="W1577" i="1"/>
  <c r="X1577" i="1"/>
  <c r="Y1577" i="1"/>
  <c r="Z1577" i="1"/>
  <c r="AA1577" i="1"/>
  <c r="AB1577" i="1"/>
  <c r="AC1577" i="1"/>
  <c r="AD1577" i="1"/>
  <c r="AE1577" i="1"/>
  <c r="W1578" i="1"/>
  <c r="X1578" i="1"/>
  <c r="Y1578" i="1"/>
  <c r="Z1578" i="1"/>
  <c r="AA1578" i="1"/>
  <c r="AB1578" i="1"/>
  <c r="AC1578" i="1"/>
  <c r="AD1578" i="1"/>
  <c r="AE1578" i="1"/>
  <c r="W1579" i="1"/>
  <c r="X1579" i="1"/>
  <c r="Y1579" i="1"/>
  <c r="Z1579" i="1"/>
  <c r="AA1579" i="1"/>
  <c r="AB1579" i="1"/>
  <c r="AC1579" i="1"/>
  <c r="AD1579" i="1"/>
  <c r="AE1579" i="1"/>
  <c r="W1580" i="1"/>
  <c r="X1580" i="1"/>
  <c r="Y1580" i="1"/>
  <c r="Z1580" i="1"/>
  <c r="AA1580" i="1"/>
  <c r="AB1580" i="1"/>
  <c r="AC1580" i="1"/>
  <c r="AD1580" i="1"/>
  <c r="AE1580" i="1"/>
  <c r="W1581" i="1"/>
  <c r="X1581" i="1"/>
  <c r="Y1581" i="1"/>
  <c r="Z1581" i="1"/>
  <c r="AA1581" i="1"/>
  <c r="AB1581" i="1"/>
  <c r="AC1581" i="1"/>
  <c r="AD1581" i="1"/>
  <c r="AE1581" i="1"/>
  <c r="W1582" i="1"/>
  <c r="X1582" i="1"/>
  <c r="Y1582" i="1"/>
  <c r="Z1582" i="1"/>
  <c r="AA1582" i="1"/>
  <c r="AB1582" i="1"/>
  <c r="AC1582" i="1"/>
  <c r="AD1582" i="1"/>
  <c r="AE1582" i="1"/>
  <c r="W1583" i="1"/>
  <c r="X1583" i="1"/>
  <c r="Y1583" i="1"/>
  <c r="Z1583" i="1"/>
  <c r="AA1583" i="1"/>
  <c r="AB1583" i="1"/>
  <c r="AC1583" i="1"/>
  <c r="AD1583" i="1"/>
  <c r="AE1583" i="1"/>
  <c r="W1584" i="1"/>
  <c r="X1584" i="1"/>
  <c r="Y1584" i="1"/>
  <c r="Z1584" i="1"/>
  <c r="AA1584" i="1"/>
  <c r="AB1584" i="1"/>
  <c r="AC1584" i="1"/>
  <c r="AD1584" i="1"/>
  <c r="AE1584" i="1"/>
  <c r="W1585" i="1"/>
  <c r="X1585" i="1"/>
  <c r="Y1585" i="1"/>
  <c r="Z1585" i="1"/>
  <c r="AA1585" i="1"/>
  <c r="AB1585" i="1"/>
  <c r="AC1585" i="1"/>
  <c r="AD1585" i="1"/>
  <c r="AE1585" i="1"/>
  <c r="W1586" i="1"/>
  <c r="X1586" i="1"/>
  <c r="Y1586" i="1"/>
  <c r="Z1586" i="1"/>
  <c r="AA1586" i="1"/>
  <c r="AB1586" i="1"/>
  <c r="AC1586" i="1"/>
  <c r="AD1586" i="1"/>
  <c r="AE1586" i="1"/>
  <c r="W1587" i="1"/>
  <c r="X1587" i="1"/>
  <c r="Y1587" i="1"/>
  <c r="Z1587" i="1"/>
  <c r="AA1587" i="1"/>
  <c r="AB1587" i="1"/>
  <c r="AC1587" i="1"/>
  <c r="AD1587" i="1"/>
  <c r="AE1587" i="1"/>
  <c r="W1588" i="1"/>
  <c r="X1588" i="1"/>
  <c r="Y1588" i="1"/>
  <c r="Z1588" i="1"/>
  <c r="AA1588" i="1"/>
  <c r="AB1588" i="1"/>
  <c r="AC1588" i="1"/>
  <c r="AD1588" i="1"/>
  <c r="AE1588" i="1"/>
  <c r="W1589" i="1"/>
  <c r="X1589" i="1"/>
  <c r="Y1589" i="1"/>
  <c r="Z1589" i="1"/>
  <c r="AA1589" i="1"/>
  <c r="AB1589" i="1"/>
  <c r="AC1589" i="1"/>
  <c r="AD1589" i="1"/>
  <c r="AE1589" i="1"/>
  <c r="W1590" i="1"/>
  <c r="X1590" i="1"/>
  <c r="Y1590" i="1"/>
  <c r="Z1590" i="1"/>
  <c r="AA1590" i="1"/>
  <c r="AB1590" i="1"/>
  <c r="AC1590" i="1"/>
  <c r="AD1590" i="1"/>
  <c r="AE1590" i="1"/>
  <c r="W1591" i="1"/>
  <c r="X1591" i="1"/>
  <c r="Y1591" i="1"/>
  <c r="Z1591" i="1"/>
  <c r="AA1591" i="1"/>
  <c r="AB1591" i="1"/>
  <c r="AC1591" i="1"/>
  <c r="AD1591" i="1"/>
  <c r="AE1591" i="1"/>
  <c r="W1592" i="1"/>
  <c r="X1592" i="1"/>
  <c r="Y1592" i="1"/>
  <c r="Z1592" i="1"/>
  <c r="AA1592" i="1"/>
  <c r="AB1592" i="1"/>
  <c r="AC1592" i="1"/>
  <c r="AD1592" i="1"/>
  <c r="AE1592" i="1"/>
  <c r="W1593" i="1"/>
  <c r="X1593" i="1"/>
  <c r="Y1593" i="1"/>
  <c r="Z1593" i="1"/>
  <c r="AA1593" i="1"/>
  <c r="AB1593" i="1"/>
  <c r="AC1593" i="1"/>
  <c r="AD1593" i="1"/>
  <c r="AE1593" i="1"/>
  <c r="W1594" i="1"/>
  <c r="X1594" i="1"/>
  <c r="Y1594" i="1"/>
  <c r="Z1594" i="1"/>
  <c r="AA1594" i="1"/>
  <c r="AB1594" i="1"/>
  <c r="AC1594" i="1"/>
  <c r="AD1594" i="1"/>
  <c r="AE1594" i="1"/>
  <c r="W1595" i="1"/>
  <c r="X1595" i="1"/>
  <c r="Y1595" i="1"/>
  <c r="Z1595" i="1"/>
  <c r="AA1595" i="1"/>
  <c r="AB1595" i="1"/>
  <c r="AC1595" i="1"/>
  <c r="AD1595" i="1"/>
  <c r="AE1595" i="1"/>
  <c r="W1596" i="1"/>
  <c r="X1596" i="1"/>
  <c r="Y1596" i="1"/>
  <c r="Z1596" i="1"/>
  <c r="AA1596" i="1"/>
  <c r="AB1596" i="1"/>
  <c r="AC1596" i="1"/>
  <c r="AD1596" i="1"/>
  <c r="AE1596" i="1"/>
  <c r="W1597" i="1"/>
  <c r="X1597" i="1"/>
  <c r="Y1597" i="1"/>
  <c r="Z1597" i="1"/>
  <c r="AA1597" i="1"/>
  <c r="AB1597" i="1"/>
  <c r="AC1597" i="1"/>
  <c r="AD1597" i="1"/>
  <c r="AE1597" i="1"/>
  <c r="W1598" i="1"/>
  <c r="X1598" i="1"/>
  <c r="Y1598" i="1"/>
  <c r="Z1598" i="1"/>
  <c r="AA1598" i="1"/>
  <c r="AB1598" i="1"/>
  <c r="AC1598" i="1"/>
  <c r="AD1598" i="1"/>
  <c r="AE1598" i="1"/>
  <c r="W1599" i="1"/>
  <c r="X1599" i="1"/>
  <c r="Y1599" i="1"/>
  <c r="Z1599" i="1"/>
  <c r="AA1599" i="1"/>
  <c r="AB1599" i="1"/>
  <c r="AC1599" i="1"/>
  <c r="AD1599" i="1"/>
  <c r="AE1599" i="1"/>
  <c r="W1600" i="1"/>
  <c r="X1600" i="1"/>
  <c r="Y1600" i="1"/>
  <c r="Z1600" i="1"/>
  <c r="AA1600" i="1"/>
  <c r="AB1600" i="1"/>
  <c r="AC1600" i="1"/>
  <c r="AD1600" i="1"/>
  <c r="AE1600" i="1"/>
  <c r="W1601" i="1"/>
  <c r="X1601" i="1"/>
  <c r="Y1601" i="1"/>
  <c r="Z1601" i="1"/>
  <c r="AA1601" i="1"/>
  <c r="AB1601" i="1"/>
  <c r="AC1601" i="1"/>
  <c r="AD1601" i="1"/>
  <c r="AE1601" i="1"/>
  <c r="W1602" i="1"/>
  <c r="X1602" i="1"/>
  <c r="Y1602" i="1"/>
  <c r="Z1602" i="1"/>
  <c r="AA1602" i="1"/>
  <c r="AB1602" i="1"/>
  <c r="AC1602" i="1"/>
  <c r="AD1602" i="1"/>
  <c r="AE1602" i="1"/>
  <c r="W1603" i="1"/>
  <c r="X1603" i="1"/>
  <c r="Y1603" i="1"/>
  <c r="Z1603" i="1"/>
  <c r="AA1603" i="1"/>
  <c r="AB1603" i="1"/>
  <c r="AC1603" i="1"/>
  <c r="AD1603" i="1"/>
  <c r="AE1603" i="1"/>
  <c r="W1604" i="1"/>
  <c r="X1604" i="1"/>
  <c r="Y1604" i="1"/>
  <c r="Z1604" i="1"/>
  <c r="AA1604" i="1"/>
  <c r="AB1604" i="1"/>
  <c r="AC1604" i="1"/>
  <c r="AD1604" i="1"/>
  <c r="AE1604" i="1"/>
  <c r="W1605" i="1"/>
  <c r="X1605" i="1"/>
  <c r="Y1605" i="1"/>
  <c r="Z1605" i="1"/>
  <c r="AA1605" i="1"/>
  <c r="AB1605" i="1"/>
  <c r="AC1605" i="1"/>
  <c r="AD1605" i="1"/>
  <c r="AE1605" i="1"/>
  <c r="W1606" i="1"/>
  <c r="X1606" i="1"/>
  <c r="Y1606" i="1"/>
  <c r="Z1606" i="1"/>
  <c r="AA1606" i="1"/>
  <c r="AB1606" i="1"/>
  <c r="AC1606" i="1"/>
  <c r="AD1606" i="1"/>
  <c r="AE1606" i="1"/>
  <c r="W1607" i="1"/>
  <c r="X1607" i="1"/>
  <c r="Y1607" i="1"/>
  <c r="Z1607" i="1"/>
  <c r="AA1607" i="1"/>
  <c r="AB1607" i="1"/>
  <c r="AC1607" i="1"/>
  <c r="AD1607" i="1"/>
  <c r="AE1607" i="1"/>
  <c r="W1608" i="1"/>
  <c r="X1608" i="1"/>
  <c r="Y1608" i="1"/>
  <c r="Z1608" i="1"/>
  <c r="AA1608" i="1"/>
  <c r="AB1608" i="1"/>
  <c r="AC1608" i="1"/>
  <c r="AD1608" i="1"/>
  <c r="AE1608" i="1"/>
  <c r="W1609" i="1"/>
  <c r="X1609" i="1"/>
  <c r="Y1609" i="1"/>
  <c r="Z1609" i="1"/>
  <c r="AA1609" i="1"/>
  <c r="AB1609" i="1"/>
  <c r="AC1609" i="1"/>
  <c r="AD1609" i="1"/>
  <c r="AE1609" i="1"/>
  <c r="W1610" i="1"/>
  <c r="X1610" i="1"/>
  <c r="Y1610" i="1"/>
  <c r="Z1610" i="1"/>
  <c r="AA1610" i="1"/>
  <c r="AB1610" i="1"/>
  <c r="AC1610" i="1"/>
  <c r="AD1610" i="1"/>
  <c r="AE1610" i="1"/>
  <c r="W1611" i="1"/>
  <c r="X1611" i="1"/>
  <c r="Y1611" i="1"/>
  <c r="Z1611" i="1"/>
  <c r="AA1611" i="1"/>
  <c r="AB1611" i="1"/>
  <c r="AC1611" i="1"/>
  <c r="AD1611" i="1"/>
  <c r="AE1611" i="1"/>
  <c r="W1612" i="1"/>
  <c r="X1612" i="1"/>
  <c r="Y1612" i="1"/>
  <c r="Z1612" i="1"/>
  <c r="AA1612" i="1"/>
  <c r="AB1612" i="1"/>
  <c r="AC1612" i="1"/>
  <c r="AD1612" i="1"/>
  <c r="AE1612" i="1"/>
  <c r="W1613" i="1"/>
  <c r="X1613" i="1"/>
  <c r="Y1613" i="1"/>
  <c r="Z1613" i="1"/>
  <c r="AA1613" i="1"/>
  <c r="AB1613" i="1"/>
  <c r="AC1613" i="1"/>
  <c r="AD1613" i="1"/>
  <c r="AE1613" i="1"/>
  <c r="W1614" i="1"/>
  <c r="X1614" i="1"/>
  <c r="Y1614" i="1"/>
  <c r="Z1614" i="1"/>
  <c r="AA1614" i="1"/>
  <c r="AB1614" i="1"/>
  <c r="AC1614" i="1"/>
  <c r="AD1614" i="1"/>
  <c r="AE1614" i="1"/>
  <c r="W1615" i="1"/>
  <c r="X1615" i="1"/>
  <c r="Y1615" i="1"/>
  <c r="Z1615" i="1"/>
  <c r="AA1615" i="1"/>
  <c r="AB1615" i="1"/>
  <c r="AC1615" i="1"/>
  <c r="AD1615" i="1"/>
  <c r="AE1615" i="1"/>
  <c r="W1616" i="1"/>
  <c r="X1616" i="1"/>
  <c r="Y1616" i="1"/>
  <c r="Z1616" i="1"/>
  <c r="AA1616" i="1"/>
  <c r="AB1616" i="1"/>
  <c r="AC1616" i="1"/>
  <c r="AD1616" i="1"/>
  <c r="AE1616" i="1"/>
  <c r="W1617" i="1"/>
  <c r="X1617" i="1"/>
  <c r="Y1617" i="1"/>
  <c r="Z1617" i="1"/>
  <c r="AA1617" i="1"/>
  <c r="AB1617" i="1"/>
  <c r="AC1617" i="1"/>
  <c r="AD1617" i="1"/>
  <c r="AE1617" i="1"/>
  <c r="W1618" i="1"/>
  <c r="X1618" i="1"/>
  <c r="Y1618" i="1"/>
  <c r="Z1618" i="1"/>
  <c r="AA1618" i="1"/>
  <c r="AB1618" i="1"/>
  <c r="AC1618" i="1"/>
  <c r="AD1618" i="1"/>
  <c r="AE1618" i="1"/>
  <c r="W1619" i="1"/>
  <c r="X1619" i="1"/>
  <c r="Y1619" i="1"/>
  <c r="Z1619" i="1"/>
  <c r="AA1619" i="1"/>
  <c r="AB1619" i="1"/>
  <c r="AC1619" i="1"/>
  <c r="AD1619" i="1"/>
  <c r="AE1619" i="1"/>
  <c r="W1620" i="1"/>
  <c r="X1620" i="1"/>
  <c r="Y1620" i="1"/>
  <c r="Z1620" i="1"/>
  <c r="AA1620" i="1"/>
  <c r="AB1620" i="1"/>
  <c r="AC1620" i="1"/>
  <c r="AD1620" i="1"/>
  <c r="AE1620" i="1"/>
  <c r="W1621" i="1"/>
  <c r="X1621" i="1"/>
  <c r="Y1621" i="1"/>
  <c r="Z1621" i="1"/>
  <c r="AA1621" i="1"/>
  <c r="AB1621" i="1"/>
  <c r="AC1621" i="1"/>
  <c r="AD1621" i="1"/>
  <c r="AE1621" i="1"/>
  <c r="W1622" i="1"/>
  <c r="X1622" i="1"/>
  <c r="Y1622" i="1"/>
  <c r="Z1622" i="1"/>
  <c r="AA1622" i="1"/>
  <c r="AB1622" i="1"/>
  <c r="AC1622" i="1"/>
  <c r="AD1622" i="1"/>
  <c r="AE1622" i="1"/>
  <c r="W1623" i="1"/>
  <c r="X1623" i="1"/>
  <c r="Y1623" i="1"/>
  <c r="Z1623" i="1"/>
  <c r="AA1623" i="1"/>
  <c r="AB1623" i="1"/>
  <c r="AC1623" i="1"/>
  <c r="AD1623" i="1"/>
  <c r="AE1623" i="1"/>
  <c r="W1624" i="1"/>
  <c r="X1624" i="1"/>
  <c r="Y1624" i="1"/>
  <c r="Z1624" i="1"/>
  <c r="AA1624" i="1"/>
  <c r="AB1624" i="1"/>
  <c r="AC1624" i="1"/>
  <c r="AD1624" i="1"/>
  <c r="AE1624" i="1"/>
  <c r="W1625" i="1"/>
  <c r="X1625" i="1"/>
  <c r="Y1625" i="1"/>
  <c r="Z1625" i="1"/>
  <c r="AA1625" i="1"/>
  <c r="AB1625" i="1"/>
  <c r="AC1625" i="1"/>
  <c r="AD1625" i="1"/>
  <c r="AE1625" i="1"/>
  <c r="W1626" i="1"/>
  <c r="X1626" i="1"/>
  <c r="Y1626" i="1"/>
  <c r="Z1626" i="1"/>
  <c r="AA1626" i="1"/>
  <c r="AB1626" i="1"/>
  <c r="AC1626" i="1"/>
  <c r="AD1626" i="1"/>
  <c r="AE1626" i="1"/>
  <c r="W1627" i="1"/>
  <c r="X1627" i="1"/>
  <c r="Y1627" i="1"/>
  <c r="Z1627" i="1"/>
  <c r="AA1627" i="1"/>
  <c r="AB1627" i="1"/>
  <c r="AC1627" i="1"/>
  <c r="AD1627" i="1"/>
  <c r="AE1627" i="1"/>
  <c r="W1628" i="1"/>
  <c r="X1628" i="1"/>
  <c r="Y1628" i="1"/>
  <c r="Z1628" i="1"/>
  <c r="AA1628" i="1"/>
  <c r="AB1628" i="1"/>
  <c r="AC1628" i="1"/>
  <c r="AD1628" i="1"/>
  <c r="AE1628" i="1"/>
  <c r="W1629" i="1"/>
  <c r="X1629" i="1"/>
  <c r="Y1629" i="1"/>
  <c r="Z1629" i="1"/>
  <c r="AA1629" i="1"/>
  <c r="AB1629" i="1"/>
  <c r="AC1629" i="1"/>
  <c r="AD1629" i="1"/>
  <c r="AE1629" i="1"/>
  <c r="W1630" i="1"/>
  <c r="X1630" i="1"/>
  <c r="Y1630" i="1"/>
  <c r="Z1630" i="1"/>
  <c r="AA1630" i="1"/>
  <c r="AB1630" i="1"/>
  <c r="AC1630" i="1"/>
  <c r="AD1630" i="1"/>
  <c r="AE1630" i="1"/>
  <c r="W1631" i="1"/>
  <c r="X1631" i="1"/>
  <c r="Y1631" i="1"/>
  <c r="Z1631" i="1"/>
  <c r="AA1631" i="1"/>
  <c r="AB1631" i="1"/>
  <c r="AC1631" i="1"/>
  <c r="AD1631" i="1"/>
  <c r="AE1631" i="1"/>
  <c r="W1632" i="1"/>
  <c r="X1632" i="1"/>
  <c r="Y1632" i="1"/>
  <c r="Z1632" i="1"/>
  <c r="AA1632" i="1"/>
  <c r="AB1632" i="1"/>
  <c r="AC1632" i="1"/>
  <c r="AD1632" i="1"/>
  <c r="AE1632" i="1"/>
  <c r="W1633" i="1"/>
  <c r="X1633" i="1"/>
  <c r="Y1633" i="1"/>
  <c r="Z1633" i="1"/>
  <c r="AA1633" i="1"/>
  <c r="AB1633" i="1"/>
  <c r="AC1633" i="1"/>
  <c r="AD1633" i="1"/>
  <c r="AE1633" i="1"/>
  <c r="W1634" i="1"/>
  <c r="X1634" i="1"/>
  <c r="Y1634" i="1"/>
  <c r="Z1634" i="1"/>
  <c r="AA1634" i="1"/>
  <c r="AB1634" i="1"/>
  <c r="AC1634" i="1"/>
  <c r="AD1634" i="1"/>
  <c r="AE1634" i="1"/>
  <c r="W1635" i="1"/>
  <c r="X1635" i="1"/>
  <c r="Y1635" i="1"/>
  <c r="Z1635" i="1"/>
  <c r="AA1635" i="1"/>
  <c r="AB1635" i="1"/>
  <c r="AC1635" i="1"/>
  <c r="AD1635" i="1"/>
  <c r="AE1635" i="1"/>
  <c r="W1636" i="1"/>
  <c r="X1636" i="1"/>
  <c r="Y1636" i="1"/>
  <c r="Z1636" i="1"/>
  <c r="AA1636" i="1"/>
  <c r="AB1636" i="1"/>
  <c r="AC1636" i="1"/>
  <c r="AD1636" i="1"/>
  <c r="AE1636" i="1"/>
  <c r="W1637" i="1"/>
  <c r="X1637" i="1"/>
  <c r="Y1637" i="1"/>
  <c r="Z1637" i="1"/>
  <c r="AA1637" i="1"/>
  <c r="AB1637" i="1"/>
  <c r="AC1637" i="1"/>
  <c r="AD1637" i="1"/>
  <c r="AE1637" i="1"/>
  <c r="W1638" i="1"/>
  <c r="X1638" i="1"/>
  <c r="Y1638" i="1"/>
  <c r="Z1638" i="1"/>
  <c r="AA1638" i="1"/>
  <c r="AB1638" i="1"/>
  <c r="AC1638" i="1"/>
  <c r="AD1638" i="1"/>
  <c r="AE1638" i="1"/>
  <c r="W1639" i="1"/>
  <c r="X1639" i="1"/>
  <c r="Y1639" i="1"/>
  <c r="Z1639" i="1"/>
  <c r="AA1639" i="1"/>
  <c r="AB1639" i="1"/>
  <c r="AC1639" i="1"/>
  <c r="AD1639" i="1"/>
  <c r="AE1639" i="1"/>
  <c r="W1640" i="1"/>
  <c r="X1640" i="1"/>
  <c r="Y1640" i="1"/>
  <c r="Z1640" i="1"/>
  <c r="AA1640" i="1"/>
  <c r="AB1640" i="1"/>
  <c r="AC1640" i="1"/>
  <c r="AD1640" i="1"/>
  <c r="AE1640" i="1"/>
  <c r="W1641" i="1"/>
  <c r="X1641" i="1"/>
  <c r="Y1641" i="1"/>
  <c r="Z1641" i="1"/>
  <c r="AA1641" i="1"/>
  <c r="AB1641" i="1"/>
  <c r="AC1641" i="1"/>
  <c r="AD1641" i="1"/>
  <c r="AE1641" i="1"/>
  <c r="W1642" i="1"/>
  <c r="X1642" i="1"/>
  <c r="Y1642" i="1"/>
  <c r="Z1642" i="1"/>
  <c r="AA1642" i="1"/>
  <c r="AB1642" i="1"/>
  <c r="AC1642" i="1"/>
  <c r="AD1642" i="1"/>
  <c r="AE1642" i="1"/>
  <c r="W1643" i="1"/>
  <c r="X1643" i="1"/>
  <c r="Y1643" i="1"/>
  <c r="Z1643" i="1"/>
  <c r="AA1643" i="1"/>
  <c r="AB1643" i="1"/>
  <c r="AC1643" i="1"/>
  <c r="AD1643" i="1"/>
  <c r="AE1643" i="1"/>
  <c r="W1644" i="1"/>
  <c r="X1644" i="1"/>
  <c r="Y1644" i="1"/>
  <c r="Z1644" i="1"/>
  <c r="AA1644" i="1"/>
  <c r="AB1644" i="1"/>
  <c r="AC1644" i="1"/>
  <c r="AD1644" i="1"/>
  <c r="AE1644" i="1"/>
  <c r="W1645" i="1"/>
  <c r="X1645" i="1"/>
  <c r="Y1645" i="1"/>
  <c r="Z1645" i="1"/>
  <c r="AA1645" i="1"/>
  <c r="AB1645" i="1"/>
  <c r="AC1645" i="1"/>
  <c r="AD1645" i="1"/>
  <c r="AE1645" i="1"/>
  <c r="W1646" i="1"/>
  <c r="X1646" i="1"/>
  <c r="Y1646" i="1"/>
  <c r="Z1646" i="1"/>
  <c r="AA1646" i="1"/>
  <c r="AB1646" i="1"/>
  <c r="AC1646" i="1"/>
  <c r="AD1646" i="1"/>
  <c r="AE1646" i="1"/>
  <c r="W1647" i="1"/>
  <c r="X1647" i="1"/>
  <c r="Y1647" i="1"/>
  <c r="Z1647" i="1"/>
  <c r="AA1647" i="1"/>
  <c r="AB1647" i="1"/>
  <c r="AC1647" i="1"/>
  <c r="AD1647" i="1"/>
  <c r="AE1647" i="1"/>
  <c r="W1648" i="1"/>
  <c r="X1648" i="1"/>
  <c r="Y1648" i="1"/>
  <c r="Z1648" i="1"/>
  <c r="AA1648" i="1"/>
  <c r="AB1648" i="1"/>
  <c r="AC1648" i="1"/>
  <c r="AD1648" i="1"/>
  <c r="AE1648" i="1"/>
  <c r="W1649" i="1"/>
  <c r="X1649" i="1"/>
  <c r="Y1649" i="1"/>
  <c r="Z1649" i="1"/>
  <c r="AA1649" i="1"/>
  <c r="AB1649" i="1"/>
  <c r="AC1649" i="1"/>
  <c r="AD1649" i="1"/>
  <c r="AE1649" i="1"/>
  <c r="W1650" i="1"/>
  <c r="X1650" i="1"/>
  <c r="Y1650" i="1"/>
  <c r="Z1650" i="1"/>
  <c r="AA1650" i="1"/>
  <c r="AB1650" i="1"/>
  <c r="AC1650" i="1"/>
  <c r="AD1650" i="1"/>
  <c r="AE1650" i="1"/>
  <c r="W1651" i="1"/>
  <c r="X1651" i="1"/>
  <c r="Y1651" i="1"/>
  <c r="Z1651" i="1"/>
  <c r="AA1651" i="1"/>
  <c r="AB1651" i="1"/>
  <c r="AC1651" i="1"/>
  <c r="AD1651" i="1"/>
  <c r="AE1651" i="1"/>
  <c r="W1652" i="1"/>
  <c r="X1652" i="1"/>
  <c r="Y1652" i="1"/>
  <c r="Z1652" i="1"/>
  <c r="AA1652" i="1"/>
  <c r="AB1652" i="1"/>
  <c r="AC1652" i="1"/>
  <c r="AD1652" i="1"/>
  <c r="AE1652" i="1"/>
  <c r="W1653" i="1"/>
  <c r="X1653" i="1"/>
  <c r="Y1653" i="1"/>
  <c r="Z1653" i="1"/>
  <c r="AA1653" i="1"/>
  <c r="AB1653" i="1"/>
  <c r="AC1653" i="1"/>
  <c r="AD1653" i="1"/>
  <c r="AE1653" i="1"/>
  <c r="W1654" i="1"/>
  <c r="X1654" i="1"/>
  <c r="Y1654" i="1"/>
  <c r="Z1654" i="1"/>
  <c r="AA1654" i="1"/>
  <c r="AB1654" i="1"/>
  <c r="AC1654" i="1"/>
  <c r="AD1654" i="1"/>
  <c r="AE1654" i="1"/>
  <c r="W1655" i="1"/>
  <c r="X1655" i="1"/>
  <c r="Y1655" i="1"/>
  <c r="Z1655" i="1"/>
  <c r="AA1655" i="1"/>
  <c r="AB1655" i="1"/>
  <c r="AC1655" i="1"/>
  <c r="AD1655" i="1"/>
  <c r="AE1655" i="1"/>
  <c r="W1656" i="1"/>
  <c r="X1656" i="1"/>
  <c r="Y1656" i="1"/>
  <c r="Z1656" i="1"/>
  <c r="AA1656" i="1"/>
  <c r="AB1656" i="1"/>
  <c r="AC1656" i="1"/>
  <c r="AD1656" i="1"/>
  <c r="AE1656" i="1"/>
  <c r="W1657" i="1"/>
  <c r="X1657" i="1"/>
  <c r="Y1657" i="1"/>
  <c r="Z1657" i="1"/>
  <c r="AA1657" i="1"/>
  <c r="AB1657" i="1"/>
  <c r="AC1657" i="1"/>
  <c r="AD1657" i="1"/>
  <c r="AE1657" i="1"/>
  <c r="W1658" i="1"/>
  <c r="X1658" i="1"/>
  <c r="Y1658" i="1"/>
  <c r="Z1658" i="1"/>
  <c r="AA1658" i="1"/>
  <c r="AB1658" i="1"/>
  <c r="AC1658" i="1"/>
  <c r="AD1658" i="1"/>
  <c r="AE1658" i="1"/>
  <c r="W1659" i="1"/>
  <c r="X1659" i="1"/>
  <c r="Y1659" i="1"/>
  <c r="Z1659" i="1"/>
  <c r="AA1659" i="1"/>
  <c r="AB1659" i="1"/>
  <c r="AC1659" i="1"/>
  <c r="AD1659" i="1"/>
  <c r="AE1659" i="1"/>
  <c r="W1660" i="1"/>
  <c r="X1660" i="1"/>
  <c r="Y1660" i="1"/>
  <c r="Z1660" i="1"/>
  <c r="AA1660" i="1"/>
  <c r="AB1660" i="1"/>
  <c r="AC1660" i="1"/>
  <c r="AD1660" i="1"/>
  <c r="AE1660" i="1"/>
  <c r="W1661" i="1"/>
  <c r="X1661" i="1"/>
  <c r="Y1661" i="1"/>
  <c r="Z1661" i="1"/>
  <c r="AA1661" i="1"/>
  <c r="AB1661" i="1"/>
  <c r="AC1661" i="1"/>
  <c r="AD1661" i="1"/>
  <c r="AE1661" i="1"/>
  <c r="W1662" i="1"/>
  <c r="X1662" i="1"/>
  <c r="Y1662" i="1"/>
  <c r="Z1662" i="1"/>
  <c r="AA1662" i="1"/>
  <c r="AB1662" i="1"/>
  <c r="AC1662" i="1"/>
  <c r="AD1662" i="1"/>
  <c r="AE1662" i="1"/>
  <c r="W1663" i="1"/>
  <c r="X1663" i="1"/>
  <c r="Y1663" i="1"/>
  <c r="Z1663" i="1"/>
  <c r="AA1663" i="1"/>
  <c r="AB1663" i="1"/>
  <c r="AC1663" i="1"/>
  <c r="AD1663" i="1"/>
  <c r="AE1663" i="1"/>
  <c r="W1664" i="1"/>
  <c r="X1664" i="1"/>
  <c r="Y1664" i="1"/>
  <c r="Z1664" i="1"/>
  <c r="AA1664" i="1"/>
  <c r="AB1664" i="1"/>
  <c r="AC1664" i="1"/>
  <c r="AD1664" i="1"/>
  <c r="AE1664" i="1"/>
  <c r="W1665" i="1"/>
  <c r="X1665" i="1"/>
  <c r="Y1665" i="1"/>
  <c r="Z1665" i="1"/>
  <c r="AA1665" i="1"/>
  <c r="AB1665" i="1"/>
  <c r="AC1665" i="1"/>
  <c r="AD1665" i="1"/>
  <c r="AE1665" i="1"/>
  <c r="W1666" i="1"/>
  <c r="X1666" i="1"/>
  <c r="Y1666" i="1"/>
  <c r="Z1666" i="1"/>
  <c r="AA1666" i="1"/>
  <c r="AB1666" i="1"/>
  <c r="AC1666" i="1"/>
  <c r="AD1666" i="1"/>
  <c r="AE1666" i="1"/>
  <c r="W1667" i="1"/>
  <c r="X1667" i="1"/>
  <c r="Y1667" i="1"/>
  <c r="Z1667" i="1"/>
  <c r="AA1667" i="1"/>
  <c r="AB1667" i="1"/>
  <c r="AC1667" i="1"/>
  <c r="AD1667" i="1"/>
  <c r="AE1667" i="1"/>
  <c r="W1668" i="1"/>
  <c r="X1668" i="1"/>
  <c r="Y1668" i="1"/>
  <c r="Z1668" i="1"/>
  <c r="AA1668" i="1"/>
  <c r="AB1668" i="1"/>
  <c r="AC1668" i="1"/>
  <c r="AD1668" i="1"/>
  <c r="AE1668" i="1"/>
  <c r="W1669" i="1"/>
  <c r="X1669" i="1"/>
  <c r="Y1669" i="1"/>
  <c r="Z1669" i="1"/>
  <c r="AA1669" i="1"/>
  <c r="AB1669" i="1"/>
  <c r="AC1669" i="1"/>
  <c r="AD1669" i="1"/>
  <c r="AE1669" i="1"/>
  <c r="W1670" i="1"/>
  <c r="X1670" i="1"/>
  <c r="Y1670" i="1"/>
  <c r="Z1670" i="1"/>
  <c r="AA1670" i="1"/>
  <c r="AB1670" i="1"/>
  <c r="AC1670" i="1"/>
  <c r="AD1670" i="1"/>
  <c r="AE1670" i="1"/>
  <c r="W1671" i="1"/>
  <c r="X1671" i="1"/>
  <c r="Y1671" i="1"/>
  <c r="Z1671" i="1"/>
  <c r="AA1671" i="1"/>
  <c r="AB1671" i="1"/>
  <c r="AC1671" i="1"/>
  <c r="AD1671" i="1"/>
  <c r="AE1671" i="1"/>
  <c r="W1672" i="1"/>
  <c r="X1672" i="1"/>
  <c r="Y1672" i="1"/>
  <c r="Z1672" i="1"/>
  <c r="AA1672" i="1"/>
  <c r="AB1672" i="1"/>
  <c r="AC1672" i="1"/>
  <c r="AD1672" i="1"/>
  <c r="AE1672" i="1"/>
  <c r="W1673" i="1"/>
  <c r="X1673" i="1"/>
  <c r="Y1673" i="1"/>
  <c r="Z1673" i="1"/>
  <c r="AA1673" i="1"/>
  <c r="AB1673" i="1"/>
  <c r="AC1673" i="1"/>
  <c r="AD1673" i="1"/>
  <c r="AE1673" i="1"/>
  <c r="W1674" i="1"/>
  <c r="X1674" i="1"/>
  <c r="Y1674" i="1"/>
  <c r="Z1674" i="1"/>
  <c r="AA1674" i="1"/>
  <c r="AB1674" i="1"/>
  <c r="AC1674" i="1"/>
  <c r="AD1674" i="1"/>
  <c r="AE1674" i="1"/>
  <c r="W1675" i="1"/>
  <c r="X1675" i="1"/>
  <c r="Y1675" i="1"/>
  <c r="Z1675" i="1"/>
  <c r="AA1675" i="1"/>
  <c r="AB1675" i="1"/>
  <c r="AC1675" i="1"/>
  <c r="AD1675" i="1"/>
  <c r="AE1675" i="1"/>
  <c r="W1676" i="1"/>
  <c r="X1676" i="1"/>
  <c r="Y1676" i="1"/>
  <c r="Z1676" i="1"/>
  <c r="AA1676" i="1"/>
  <c r="AB1676" i="1"/>
  <c r="AC1676" i="1"/>
  <c r="AD1676" i="1"/>
  <c r="AE1676" i="1"/>
  <c r="W1677" i="1"/>
  <c r="X1677" i="1"/>
  <c r="Y1677" i="1"/>
  <c r="Z1677" i="1"/>
  <c r="AA1677" i="1"/>
  <c r="AB1677" i="1"/>
  <c r="AC1677" i="1"/>
  <c r="AD1677" i="1"/>
  <c r="AE1677" i="1"/>
  <c r="W1678" i="1"/>
  <c r="X1678" i="1"/>
  <c r="Y1678" i="1"/>
  <c r="Z1678" i="1"/>
  <c r="AA1678" i="1"/>
  <c r="AB1678" i="1"/>
  <c r="AC1678" i="1"/>
  <c r="AD1678" i="1"/>
  <c r="AE1678" i="1"/>
  <c r="W1679" i="1"/>
  <c r="X1679" i="1"/>
  <c r="Y1679" i="1"/>
  <c r="Z1679" i="1"/>
  <c r="AA1679" i="1"/>
  <c r="AB1679" i="1"/>
  <c r="AC1679" i="1"/>
  <c r="AD1679" i="1"/>
  <c r="AE1679" i="1"/>
  <c r="W1680" i="1"/>
  <c r="X1680" i="1"/>
  <c r="Y1680" i="1"/>
  <c r="Z1680" i="1"/>
  <c r="AA1680" i="1"/>
  <c r="AB1680" i="1"/>
  <c r="AC1680" i="1"/>
  <c r="AD1680" i="1"/>
  <c r="AE1680" i="1"/>
  <c r="W1681" i="1"/>
  <c r="X1681" i="1"/>
  <c r="Y1681" i="1"/>
  <c r="Z1681" i="1"/>
  <c r="AA1681" i="1"/>
  <c r="AB1681" i="1"/>
  <c r="AC1681" i="1"/>
  <c r="AD1681" i="1"/>
  <c r="AE1681" i="1"/>
  <c r="W1682" i="1"/>
  <c r="X1682" i="1"/>
  <c r="Y1682" i="1"/>
  <c r="Z1682" i="1"/>
  <c r="AA1682" i="1"/>
  <c r="AB1682" i="1"/>
  <c r="AC1682" i="1"/>
  <c r="AD1682" i="1"/>
  <c r="AE1682" i="1"/>
  <c r="W1683" i="1"/>
  <c r="X1683" i="1"/>
  <c r="Y1683" i="1"/>
  <c r="Z1683" i="1"/>
  <c r="AA1683" i="1"/>
  <c r="AB1683" i="1"/>
  <c r="AC1683" i="1"/>
  <c r="AD1683" i="1"/>
  <c r="AE1683" i="1"/>
  <c r="W1684" i="1"/>
  <c r="X1684" i="1"/>
  <c r="Y1684" i="1"/>
  <c r="Z1684" i="1"/>
  <c r="AA1684" i="1"/>
  <c r="AB1684" i="1"/>
  <c r="AC1684" i="1"/>
  <c r="AD1684" i="1"/>
  <c r="AE1684" i="1"/>
  <c r="W1685" i="1"/>
  <c r="X1685" i="1"/>
  <c r="Y1685" i="1"/>
  <c r="Z1685" i="1"/>
  <c r="AA1685" i="1"/>
  <c r="AB1685" i="1"/>
  <c r="AC1685" i="1"/>
  <c r="AD1685" i="1"/>
  <c r="AE1685" i="1"/>
  <c r="W1686" i="1"/>
  <c r="X1686" i="1"/>
  <c r="Y1686" i="1"/>
  <c r="Z1686" i="1"/>
  <c r="AA1686" i="1"/>
  <c r="AB1686" i="1"/>
  <c r="AC1686" i="1"/>
  <c r="AD1686" i="1"/>
  <c r="AE1686" i="1"/>
  <c r="W1687" i="1"/>
  <c r="X1687" i="1"/>
  <c r="Y1687" i="1"/>
  <c r="Z1687" i="1"/>
  <c r="AA1687" i="1"/>
  <c r="AB1687" i="1"/>
  <c r="AC1687" i="1"/>
  <c r="AD1687" i="1"/>
  <c r="AE1687" i="1"/>
  <c r="W1688" i="1"/>
  <c r="X1688" i="1"/>
  <c r="Y1688" i="1"/>
  <c r="Z1688" i="1"/>
  <c r="AA1688" i="1"/>
  <c r="AB1688" i="1"/>
  <c r="AC1688" i="1"/>
  <c r="AD1688" i="1"/>
  <c r="AE1688" i="1"/>
  <c r="W1689" i="1"/>
  <c r="X1689" i="1"/>
  <c r="Y1689" i="1"/>
  <c r="Z1689" i="1"/>
  <c r="AA1689" i="1"/>
  <c r="AB1689" i="1"/>
  <c r="AC1689" i="1"/>
  <c r="AD1689" i="1"/>
  <c r="AE1689" i="1"/>
  <c r="W1690" i="1"/>
  <c r="X1690" i="1"/>
  <c r="Y1690" i="1"/>
  <c r="Z1690" i="1"/>
  <c r="AA1690" i="1"/>
  <c r="AB1690" i="1"/>
  <c r="AC1690" i="1"/>
  <c r="AD1690" i="1"/>
  <c r="AE1690" i="1"/>
  <c r="W1691" i="1"/>
  <c r="X1691" i="1"/>
  <c r="Y1691" i="1"/>
  <c r="Z1691" i="1"/>
  <c r="AA1691" i="1"/>
  <c r="AB1691" i="1"/>
  <c r="AC1691" i="1"/>
  <c r="AD1691" i="1"/>
  <c r="AE1691" i="1"/>
  <c r="W1692" i="1"/>
  <c r="X1692" i="1"/>
  <c r="Y1692" i="1"/>
  <c r="Z1692" i="1"/>
  <c r="AA1692" i="1"/>
  <c r="AB1692" i="1"/>
  <c r="AC1692" i="1"/>
  <c r="AD1692" i="1"/>
  <c r="AE1692" i="1"/>
  <c r="W1693" i="1"/>
  <c r="X1693" i="1"/>
  <c r="Y1693" i="1"/>
  <c r="Z1693" i="1"/>
  <c r="AA1693" i="1"/>
  <c r="AB1693" i="1"/>
  <c r="AC1693" i="1"/>
  <c r="AD1693" i="1"/>
  <c r="AE1693" i="1"/>
  <c r="W1694" i="1"/>
  <c r="X1694" i="1"/>
  <c r="Y1694" i="1"/>
  <c r="Z1694" i="1"/>
  <c r="AA1694" i="1"/>
  <c r="AB1694" i="1"/>
  <c r="AC1694" i="1"/>
  <c r="AD1694" i="1"/>
  <c r="AE1694" i="1"/>
  <c r="W1695" i="1"/>
  <c r="X1695" i="1"/>
  <c r="Y1695" i="1"/>
  <c r="Z1695" i="1"/>
  <c r="AA1695" i="1"/>
  <c r="AB1695" i="1"/>
  <c r="AC1695" i="1"/>
  <c r="AD1695" i="1"/>
  <c r="AE1695" i="1"/>
  <c r="W1696" i="1"/>
  <c r="X1696" i="1"/>
  <c r="Y1696" i="1"/>
  <c r="Z1696" i="1"/>
  <c r="AA1696" i="1"/>
  <c r="AB1696" i="1"/>
  <c r="AC1696" i="1"/>
  <c r="AD1696" i="1"/>
  <c r="AE1696" i="1"/>
  <c r="W1697" i="1"/>
  <c r="X1697" i="1"/>
  <c r="Y1697" i="1"/>
  <c r="Z1697" i="1"/>
  <c r="AA1697" i="1"/>
  <c r="AB1697" i="1"/>
  <c r="AC1697" i="1"/>
  <c r="AD1697" i="1"/>
  <c r="AE1697" i="1"/>
  <c r="W1698" i="1"/>
  <c r="X1698" i="1"/>
  <c r="Y1698" i="1"/>
  <c r="Z1698" i="1"/>
  <c r="AA1698" i="1"/>
  <c r="AB1698" i="1"/>
  <c r="AC1698" i="1"/>
  <c r="AD1698" i="1"/>
  <c r="AE1698" i="1"/>
  <c r="W1699" i="1"/>
  <c r="X1699" i="1"/>
  <c r="Y1699" i="1"/>
  <c r="Z1699" i="1"/>
  <c r="AA1699" i="1"/>
  <c r="AB1699" i="1"/>
  <c r="AC1699" i="1"/>
  <c r="AD1699" i="1"/>
  <c r="AE1699" i="1"/>
  <c r="W1700" i="1"/>
  <c r="X1700" i="1"/>
  <c r="Y1700" i="1"/>
  <c r="Z1700" i="1"/>
  <c r="AA1700" i="1"/>
  <c r="AB1700" i="1"/>
  <c r="AC1700" i="1"/>
  <c r="AD1700" i="1"/>
  <c r="AE1700" i="1"/>
  <c r="W1701" i="1"/>
  <c r="X1701" i="1"/>
  <c r="Y1701" i="1"/>
  <c r="Z1701" i="1"/>
  <c r="AA1701" i="1"/>
  <c r="AB1701" i="1"/>
  <c r="AC1701" i="1"/>
  <c r="AD1701" i="1"/>
  <c r="AE1701" i="1"/>
  <c r="W1702" i="1"/>
  <c r="X1702" i="1"/>
  <c r="Y1702" i="1"/>
  <c r="Z1702" i="1"/>
  <c r="AA1702" i="1"/>
  <c r="AB1702" i="1"/>
  <c r="AC1702" i="1"/>
  <c r="AD1702" i="1"/>
  <c r="AE1702" i="1"/>
  <c r="W1703" i="1"/>
  <c r="X1703" i="1"/>
  <c r="Y1703" i="1"/>
  <c r="Z1703" i="1"/>
  <c r="AA1703" i="1"/>
  <c r="AB1703" i="1"/>
  <c r="AC1703" i="1"/>
  <c r="AD1703" i="1"/>
  <c r="AE1703" i="1"/>
  <c r="W1704" i="1"/>
  <c r="X1704" i="1"/>
  <c r="Y1704" i="1"/>
  <c r="Z1704" i="1"/>
  <c r="AA1704" i="1"/>
  <c r="AB1704" i="1"/>
  <c r="AC1704" i="1"/>
  <c r="AD1704" i="1"/>
  <c r="AE1704" i="1"/>
  <c r="W1705" i="1"/>
  <c r="X1705" i="1"/>
  <c r="Y1705" i="1"/>
  <c r="Z1705" i="1"/>
  <c r="AA1705" i="1"/>
  <c r="AB1705" i="1"/>
  <c r="AC1705" i="1"/>
  <c r="AD1705" i="1"/>
  <c r="AE1705" i="1"/>
  <c r="W1706" i="1"/>
  <c r="X1706" i="1"/>
  <c r="Y1706" i="1"/>
  <c r="Z1706" i="1"/>
  <c r="AA1706" i="1"/>
  <c r="AB1706" i="1"/>
  <c r="AC1706" i="1"/>
  <c r="AD1706" i="1"/>
  <c r="AE1706" i="1"/>
  <c r="W1707" i="1"/>
  <c r="X1707" i="1"/>
  <c r="Y1707" i="1"/>
  <c r="Z1707" i="1"/>
  <c r="AA1707" i="1"/>
  <c r="AB1707" i="1"/>
  <c r="AC1707" i="1"/>
  <c r="AD1707" i="1"/>
  <c r="AE1707" i="1"/>
  <c r="W1708" i="1"/>
  <c r="X1708" i="1"/>
  <c r="Y1708" i="1"/>
  <c r="Z1708" i="1"/>
  <c r="AA1708" i="1"/>
  <c r="AB1708" i="1"/>
  <c r="AC1708" i="1"/>
  <c r="AD1708" i="1"/>
  <c r="AE1708" i="1"/>
  <c r="W1709" i="1"/>
  <c r="X1709" i="1"/>
  <c r="Y1709" i="1"/>
  <c r="Z1709" i="1"/>
  <c r="AA1709" i="1"/>
  <c r="AB1709" i="1"/>
  <c r="AC1709" i="1"/>
  <c r="AD1709" i="1"/>
  <c r="AE1709" i="1"/>
  <c r="W1710" i="1"/>
  <c r="X1710" i="1"/>
  <c r="Y1710" i="1"/>
  <c r="Z1710" i="1"/>
  <c r="AA1710" i="1"/>
  <c r="AB1710" i="1"/>
  <c r="AC1710" i="1"/>
  <c r="AD1710" i="1"/>
  <c r="AE1710" i="1"/>
  <c r="W1711" i="1"/>
  <c r="X1711" i="1"/>
  <c r="Y1711" i="1"/>
  <c r="Z1711" i="1"/>
  <c r="AA1711" i="1"/>
  <c r="AB1711" i="1"/>
  <c r="AC1711" i="1"/>
  <c r="AD1711" i="1"/>
  <c r="AE1711" i="1"/>
  <c r="W1712" i="1"/>
  <c r="X1712" i="1"/>
  <c r="Y1712" i="1"/>
  <c r="Z1712" i="1"/>
  <c r="AA1712" i="1"/>
  <c r="AB1712" i="1"/>
  <c r="AC1712" i="1"/>
  <c r="AD1712" i="1"/>
  <c r="AE1712" i="1"/>
  <c r="W1713" i="1"/>
  <c r="X1713" i="1"/>
  <c r="Y1713" i="1"/>
  <c r="Z1713" i="1"/>
  <c r="AA1713" i="1"/>
  <c r="AB1713" i="1"/>
  <c r="AC1713" i="1"/>
  <c r="AD1713" i="1"/>
  <c r="AE1713" i="1"/>
  <c r="W1714" i="1"/>
  <c r="X1714" i="1"/>
  <c r="Y1714" i="1"/>
  <c r="Z1714" i="1"/>
  <c r="AA1714" i="1"/>
  <c r="AB1714" i="1"/>
  <c r="AC1714" i="1"/>
  <c r="AD1714" i="1"/>
  <c r="AE1714" i="1"/>
  <c r="W1715" i="1"/>
  <c r="X1715" i="1"/>
  <c r="Y1715" i="1"/>
  <c r="Z1715" i="1"/>
  <c r="AA1715" i="1"/>
  <c r="AB1715" i="1"/>
  <c r="AC1715" i="1"/>
  <c r="AD1715" i="1"/>
  <c r="AE1715" i="1"/>
  <c r="W1716" i="1"/>
  <c r="X1716" i="1"/>
  <c r="Y1716" i="1"/>
  <c r="Z1716" i="1"/>
  <c r="AA1716" i="1"/>
  <c r="AB1716" i="1"/>
  <c r="AC1716" i="1"/>
  <c r="AD1716" i="1"/>
  <c r="AE1716" i="1"/>
  <c r="W1717" i="1"/>
  <c r="X1717" i="1"/>
  <c r="Y1717" i="1"/>
  <c r="Z1717" i="1"/>
  <c r="AA1717" i="1"/>
  <c r="AB1717" i="1"/>
  <c r="AC1717" i="1"/>
  <c r="AD1717" i="1"/>
  <c r="AE1717" i="1"/>
  <c r="W1718" i="1"/>
  <c r="X1718" i="1"/>
  <c r="Y1718" i="1"/>
  <c r="Z1718" i="1"/>
  <c r="AA1718" i="1"/>
  <c r="AB1718" i="1"/>
  <c r="AC1718" i="1"/>
  <c r="AD1718" i="1"/>
  <c r="AE1718" i="1"/>
  <c r="W1719" i="1"/>
  <c r="X1719" i="1"/>
  <c r="Y1719" i="1"/>
  <c r="Z1719" i="1"/>
  <c r="AA1719" i="1"/>
  <c r="AB1719" i="1"/>
  <c r="AC1719" i="1"/>
  <c r="AD1719" i="1"/>
  <c r="AE1719" i="1"/>
  <c r="W1720" i="1"/>
  <c r="X1720" i="1"/>
  <c r="Y1720" i="1"/>
  <c r="Z1720" i="1"/>
  <c r="AA1720" i="1"/>
  <c r="AB1720" i="1"/>
  <c r="AC1720" i="1"/>
  <c r="AD1720" i="1"/>
  <c r="AE1720" i="1"/>
  <c r="W1721" i="1"/>
  <c r="X1721" i="1"/>
  <c r="Y1721" i="1"/>
  <c r="Z1721" i="1"/>
  <c r="AA1721" i="1"/>
  <c r="AB1721" i="1"/>
  <c r="AC1721" i="1"/>
  <c r="AD1721" i="1"/>
  <c r="AE1721" i="1"/>
  <c r="W1722" i="1"/>
  <c r="X1722" i="1"/>
  <c r="Y1722" i="1"/>
  <c r="Z1722" i="1"/>
  <c r="AA1722" i="1"/>
  <c r="AB1722" i="1"/>
  <c r="AC1722" i="1"/>
  <c r="AD1722" i="1"/>
  <c r="AE1722" i="1"/>
  <c r="W1723" i="1"/>
  <c r="X1723" i="1"/>
  <c r="Y1723" i="1"/>
  <c r="Z1723" i="1"/>
  <c r="AA1723" i="1"/>
  <c r="AB1723" i="1"/>
  <c r="AC1723" i="1"/>
  <c r="AD1723" i="1"/>
  <c r="AE1723" i="1"/>
  <c r="W1724" i="1"/>
  <c r="X1724" i="1"/>
  <c r="Y1724" i="1"/>
  <c r="Z1724" i="1"/>
  <c r="AA1724" i="1"/>
  <c r="AB1724" i="1"/>
  <c r="AC1724" i="1"/>
  <c r="AD1724" i="1"/>
  <c r="AE1724" i="1"/>
  <c r="W1725" i="1"/>
  <c r="X1725" i="1"/>
  <c r="Y1725" i="1"/>
  <c r="Z1725" i="1"/>
  <c r="AA1725" i="1"/>
  <c r="AB1725" i="1"/>
  <c r="AC1725" i="1"/>
  <c r="AD1725" i="1"/>
  <c r="AE1725" i="1"/>
  <c r="W1726" i="1"/>
  <c r="X1726" i="1"/>
  <c r="Y1726" i="1"/>
  <c r="Z1726" i="1"/>
  <c r="AA1726" i="1"/>
  <c r="AB1726" i="1"/>
  <c r="AC1726" i="1"/>
  <c r="AD1726" i="1"/>
  <c r="AE1726" i="1"/>
  <c r="W1727" i="1"/>
  <c r="X1727" i="1"/>
  <c r="Y1727" i="1"/>
  <c r="Z1727" i="1"/>
  <c r="AA1727" i="1"/>
  <c r="AB1727" i="1"/>
  <c r="AC1727" i="1"/>
  <c r="AD1727" i="1"/>
  <c r="AE1727" i="1"/>
  <c r="W1728" i="1"/>
  <c r="X1728" i="1"/>
  <c r="Y1728" i="1"/>
  <c r="Z1728" i="1"/>
  <c r="AA1728" i="1"/>
  <c r="AB1728" i="1"/>
  <c r="AC1728" i="1"/>
  <c r="AD1728" i="1"/>
  <c r="AE1728" i="1"/>
  <c r="W1729" i="1"/>
  <c r="X1729" i="1"/>
  <c r="Y1729" i="1"/>
  <c r="Z1729" i="1"/>
  <c r="AA1729" i="1"/>
  <c r="AB1729" i="1"/>
  <c r="AC1729" i="1"/>
  <c r="AD1729" i="1"/>
  <c r="AE1729" i="1"/>
  <c r="W1730" i="1"/>
  <c r="X1730" i="1"/>
  <c r="Y1730" i="1"/>
  <c r="Z1730" i="1"/>
  <c r="AA1730" i="1"/>
  <c r="AB1730" i="1"/>
  <c r="AC1730" i="1"/>
  <c r="AD1730" i="1"/>
  <c r="AE1730" i="1"/>
  <c r="W1731" i="1"/>
  <c r="X1731" i="1"/>
  <c r="Y1731" i="1"/>
  <c r="Z1731" i="1"/>
  <c r="AA1731" i="1"/>
  <c r="AB1731" i="1"/>
  <c r="AC1731" i="1"/>
  <c r="AD1731" i="1"/>
  <c r="AE1731" i="1"/>
  <c r="W1732" i="1"/>
  <c r="X1732" i="1"/>
  <c r="Y1732" i="1"/>
  <c r="Z1732" i="1"/>
  <c r="AA1732" i="1"/>
  <c r="AB1732" i="1"/>
  <c r="AC1732" i="1"/>
  <c r="AD1732" i="1"/>
  <c r="AE1732" i="1"/>
  <c r="W1733" i="1"/>
  <c r="X1733" i="1"/>
  <c r="Y1733" i="1"/>
  <c r="Z1733" i="1"/>
  <c r="AA1733" i="1"/>
  <c r="AB1733" i="1"/>
  <c r="AC1733" i="1"/>
  <c r="AD1733" i="1"/>
  <c r="AE1733" i="1"/>
  <c r="W1734" i="1"/>
  <c r="X1734" i="1"/>
  <c r="Y1734" i="1"/>
  <c r="Z1734" i="1"/>
  <c r="AA1734" i="1"/>
  <c r="AB1734" i="1"/>
  <c r="AC1734" i="1"/>
  <c r="AD1734" i="1"/>
  <c r="AE1734" i="1"/>
  <c r="W1735" i="1"/>
  <c r="X1735" i="1"/>
  <c r="Y1735" i="1"/>
  <c r="Z1735" i="1"/>
  <c r="AA1735" i="1"/>
  <c r="AB1735" i="1"/>
  <c r="AC1735" i="1"/>
  <c r="AD1735" i="1"/>
  <c r="AE1735" i="1"/>
  <c r="W1736" i="1"/>
  <c r="X1736" i="1"/>
  <c r="Y1736" i="1"/>
  <c r="Z1736" i="1"/>
  <c r="AA1736" i="1"/>
  <c r="AB1736" i="1"/>
  <c r="AC1736" i="1"/>
  <c r="AD1736" i="1"/>
  <c r="AE1736" i="1"/>
  <c r="W1737" i="1"/>
  <c r="X1737" i="1"/>
  <c r="Y1737" i="1"/>
  <c r="Z1737" i="1"/>
  <c r="AA1737" i="1"/>
  <c r="AB1737" i="1"/>
  <c r="AC1737" i="1"/>
  <c r="AD1737" i="1"/>
  <c r="AE1737" i="1"/>
  <c r="W1738" i="1"/>
  <c r="X1738" i="1"/>
  <c r="Y1738" i="1"/>
  <c r="Z1738" i="1"/>
  <c r="AA1738" i="1"/>
  <c r="AB1738" i="1"/>
  <c r="AC1738" i="1"/>
  <c r="AD1738" i="1"/>
  <c r="AE1738" i="1"/>
  <c r="W1739" i="1"/>
  <c r="X1739" i="1"/>
  <c r="Y1739" i="1"/>
  <c r="Z1739" i="1"/>
  <c r="AA1739" i="1"/>
  <c r="AB1739" i="1"/>
  <c r="AC1739" i="1"/>
  <c r="AD1739" i="1"/>
  <c r="AE1739" i="1"/>
  <c r="W1740" i="1"/>
  <c r="X1740" i="1"/>
  <c r="Y1740" i="1"/>
  <c r="Z1740" i="1"/>
  <c r="AA1740" i="1"/>
  <c r="AB1740" i="1"/>
  <c r="AC1740" i="1"/>
  <c r="AD1740" i="1"/>
  <c r="AE1740" i="1"/>
  <c r="W1741" i="1"/>
  <c r="X1741" i="1"/>
  <c r="Y1741" i="1"/>
  <c r="Z1741" i="1"/>
  <c r="AA1741" i="1"/>
  <c r="AB1741" i="1"/>
  <c r="AC1741" i="1"/>
  <c r="AD1741" i="1"/>
  <c r="AE1741" i="1"/>
  <c r="W1742" i="1"/>
  <c r="X1742" i="1"/>
  <c r="Y1742" i="1"/>
  <c r="Z1742" i="1"/>
  <c r="AA1742" i="1"/>
  <c r="AB1742" i="1"/>
  <c r="AC1742" i="1"/>
  <c r="AD1742" i="1"/>
  <c r="AE1742" i="1"/>
  <c r="W1743" i="1"/>
  <c r="X1743" i="1"/>
  <c r="Y1743" i="1"/>
  <c r="Z1743" i="1"/>
  <c r="AA1743" i="1"/>
  <c r="AB1743" i="1"/>
  <c r="AC1743" i="1"/>
  <c r="AD1743" i="1"/>
  <c r="AE1743" i="1"/>
  <c r="W1744" i="1"/>
  <c r="X1744" i="1"/>
  <c r="Y1744" i="1"/>
  <c r="Z1744" i="1"/>
  <c r="AA1744" i="1"/>
  <c r="AB1744" i="1"/>
  <c r="AC1744" i="1"/>
  <c r="AD1744" i="1"/>
  <c r="AE1744" i="1"/>
  <c r="W1745" i="1"/>
  <c r="X1745" i="1"/>
  <c r="Y1745" i="1"/>
  <c r="Z1745" i="1"/>
  <c r="AA1745" i="1"/>
  <c r="AB1745" i="1"/>
  <c r="AC1745" i="1"/>
  <c r="AD1745" i="1"/>
  <c r="AE1745" i="1"/>
  <c r="W1746" i="1"/>
  <c r="X1746" i="1"/>
  <c r="Y1746" i="1"/>
  <c r="Z1746" i="1"/>
  <c r="AA1746" i="1"/>
  <c r="AB1746" i="1"/>
  <c r="AC1746" i="1"/>
  <c r="AD1746" i="1"/>
  <c r="AE1746" i="1"/>
  <c r="W1747" i="1"/>
  <c r="X1747" i="1"/>
  <c r="Y1747" i="1"/>
  <c r="Z1747" i="1"/>
  <c r="AA1747" i="1"/>
  <c r="AB1747" i="1"/>
  <c r="AC1747" i="1"/>
  <c r="AD1747" i="1"/>
  <c r="AE1747" i="1"/>
  <c r="W1748" i="1"/>
  <c r="X1748" i="1"/>
  <c r="Y1748" i="1"/>
  <c r="Z1748" i="1"/>
  <c r="AA1748" i="1"/>
  <c r="AB1748" i="1"/>
  <c r="AC1748" i="1"/>
  <c r="AD1748" i="1"/>
  <c r="AE1748" i="1"/>
  <c r="W1749" i="1"/>
  <c r="X1749" i="1"/>
  <c r="Y1749" i="1"/>
  <c r="Z1749" i="1"/>
  <c r="AA1749" i="1"/>
  <c r="AB1749" i="1"/>
  <c r="AC1749" i="1"/>
  <c r="AD1749" i="1"/>
  <c r="AE1749" i="1"/>
  <c r="W1750" i="1"/>
  <c r="X1750" i="1"/>
  <c r="Y1750" i="1"/>
  <c r="Z1750" i="1"/>
  <c r="AA1750" i="1"/>
  <c r="AB1750" i="1"/>
  <c r="AC1750" i="1"/>
  <c r="AD1750" i="1"/>
  <c r="AE1750" i="1"/>
  <c r="W1751" i="1"/>
  <c r="X1751" i="1"/>
  <c r="Y1751" i="1"/>
  <c r="Z1751" i="1"/>
  <c r="AA1751" i="1"/>
  <c r="AB1751" i="1"/>
  <c r="AC1751" i="1"/>
  <c r="AD1751" i="1"/>
  <c r="AE1751" i="1"/>
  <c r="W1752" i="1"/>
  <c r="X1752" i="1"/>
  <c r="Y1752" i="1"/>
  <c r="Z1752" i="1"/>
  <c r="AA1752" i="1"/>
  <c r="AB1752" i="1"/>
  <c r="AC1752" i="1"/>
  <c r="AD1752" i="1"/>
  <c r="AE1752" i="1"/>
  <c r="W1753" i="1"/>
  <c r="X1753" i="1"/>
  <c r="Y1753" i="1"/>
  <c r="Z1753" i="1"/>
  <c r="AA1753" i="1"/>
  <c r="AB1753" i="1"/>
  <c r="AC1753" i="1"/>
  <c r="AD1753" i="1"/>
  <c r="AE1753" i="1"/>
  <c r="W1754" i="1"/>
  <c r="X1754" i="1"/>
  <c r="Y1754" i="1"/>
  <c r="Z1754" i="1"/>
  <c r="AA1754" i="1"/>
  <c r="AB1754" i="1"/>
  <c r="AC1754" i="1"/>
  <c r="AD1754" i="1"/>
  <c r="AE1754" i="1"/>
  <c r="W1755" i="1"/>
  <c r="X1755" i="1"/>
  <c r="Y1755" i="1"/>
  <c r="Z1755" i="1"/>
  <c r="AA1755" i="1"/>
  <c r="AB1755" i="1"/>
  <c r="AC1755" i="1"/>
  <c r="AD1755" i="1"/>
  <c r="AE1755" i="1"/>
  <c r="W1756" i="1"/>
  <c r="X1756" i="1"/>
  <c r="Y1756" i="1"/>
  <c r="Z1756" i="1"/>
  <c r="AA1756" i="1"/>
  <c r="AB1756" i="1"/>
  <c r="AC1756" i="1"/>
  <c r="AD1756" i="1"/>
  <c r="AE1756" i="1"/>
  <c r="W1757" i="1"/>
  <c r="X1757" i="1"/>
  <c r="Y1757" i="1"/>
  <c r="Z1757" i="1"/>
  <c r="AA1757" i="1"/>
  <c r="AB1757" i="1"/>
  <c r="AC1757" i="1"/>
  <c r="AD1757" i="1"/>
  <c r="AE1757" i="1"/>
  <c r="W1758" i="1"/>
  <c r="X1758" i="1"/>
  <c r="Y1758" i="1"/>
  <c r="Z1758" i="1"/>
  <c r="AA1758" i="1"/>
  <c r="AB1758" i="1"/>
  <c r="AC1758" i="1"/>
  <c r="AD1758" i="1"/>
  <c r="AE1758" i="1"/>
  <c r="W1759" i="1"/>
  <c r="X1759" i="1"/>
  <c r="Y1759" i="1"/>
  <c r="Z1759" i="1"/>
  <c r="AA1759" i="1"/>
  <c r="AB1759" i="1"/>
  <c r="AC1759" i="1"/>
  <c r="AD1759" i="1"/>
  <c r="AE1759" i="1"/>
  <c r="W1760" i="1"/>
  <c r="X1760" i="1"/>
  <c r="Y1760" i="1"/>
  <c r="Z1760" i="1"/>
  <c r="AA1760" i="1"/>
  <c r="AB1760" i="1"/>
  <c r="AC1760" i="1"/>
  <c r="AD1760" i="1"/>
  <c r="AE1760" i="1"/>
  <c r="W1761" i="1"/>
  <c r="X1761" i="1"/>
  <c r="Y1761" i="1"/>
  <c r="Z1761" i="1"/>
  <c r="AA1761" i="1"/>
  <c r="AB1761" i="1"/>
  <c r="AC1761" i="1"/>
  <c r="AD1761" i="1"/>
  <c r="AE1761" i="1"/>
  <c r="W1762" i="1"/>
  <c r="X1762" i="1"/>
  <c r="Y1762" i="1"/>
  <c r="Z1762" i="1"/>
  <c r="AA1762" i="1"/>
  <c r="AB1762" i="1"/>
  <c r="AC1762" i="1"/>
  <c r="AD1762" i="1"/>
  <c r="AE1762" i="1"/>
  <c r="W1763" i="1"/>
  <c r="X1763" i="1"/>
  <c r="Y1763" i="1"/>
  <c r="Z1763" i="1"/>
  <c r="AA1763" i="1"/>
  <c r="AB1763" i="1"/>
  <c r="AC1763" i="1"/>
  <c r="AD1763" i="1"/>
  <c r="AE1763" i="1"/>
  <c r="W1764" i="1"/>
  <c r="X1764" i="1"/>
  <c r="Y1764" i="1"/>
  <c r="Z1764" i="1"/>
  <c r="AA1764" i="1"/>
  <c r="AB1764" i="1"/>
  <c r="AC1764" i="1"/>
  <c r="AD1764" i="1"/>
  <c r="AE1764" i="1"/>
  <c r="W1765" i="1"/>
  <c r="X1765" i="1"/>
  <c r="Y1765" i="1"/>
  <c r="Z1765" i="1"/>
  <c r="AA1765" i="1"/>
  <c r="AB1765" i="1"/>
  <c r="AC1765" i="1"/>
  <c r="AD1765" i="1"/>
  <c r="AE1765" i="1"/>
  <c r="W1766" i="1"/>
  <c r="X1766" i="1"/>
  <c r="Y1766" i="1"/>
  <c r="Z1766" i="1"/>
  <c r="AA1766" i="1"/>
  <c r="AB1766" i="1"/>
  <c r="AC1766" i="1"/>
  <c r="AD1766" i="1"/>
  <c r="AE1766" i="1"/>
  <c r="W1767" i="1"/>
  <c r="X1767" i="1"/>
  <c r="Y1767" i="1"/>
  <c r="Z1767" i="1"/>
  <c r="AA1767" i="1"/>
  <c r="AB1767" i="1"/>
  <c r="AC1767" i="1"/>
  <c r="AD1767" i="1"/>
  <c r="AE1767" i="1"/>
  <c r="W1768" i="1"/>
  <c r="X1768" i="1"/>
  <c r="Y1768" i="1"/>
  <c r="Z1768" i="1"/>
  <c r="AA1768" i="1"/>
  <c r="AB1768" i="1"/>
  <c r="AC1768" i="1"/>
  <c r="AD1768" i="1"/>
  <c r="AE1768" i="1"/>
  <c r="W1769" i="1"/>
  <c r="X1769" i="1"/>
  <c r="Y1769" i="1"/>
  <c r="Z1769" i="1"/>
  <c r="AA1769" i="1"/>
  <c r="AB1769" i="1"/>
  <c r="AC1769" i="1"/>
  <c r="AD1769" i="1"/>
  <c r="AE1769" i="1"/>
  <c r="W1770" i="1"/>
  <c r="X1770" i="1"/>
  <c r="Y1770" i="1"/>
  <c r="Z1770" i="1"/>
  <c r="AA1770" i="1"/>
  <c r="AB1770" i="1"/>
  <c r="AC1770" i="1"/>
  <c r="AD1770" i="1"/>
  <c r="AE1770" i="1"/>
  <c r="W1771" i="1"/>
  <c r="X1771" i="1"/>
  <c r="Y1771" i="1"/>
  <c r="Z1771" i="1"/>
  <c r="AA1771" i="1"/>
  <c r="AB1771" i="1"/>
  <c r="AC1771" i="1"/>
  <c r="AD1771" i="1"/>
  <c r="AE1771" i="1"/>
  <c r="W1772" i="1"/>
  <c r="X1772" i="1"/>
  <c r="Y1772" i="1"/>
  <c r="Z1772" i="1"/>
  <c r="AA1772" i="1"/>
  <c r="AB1772" i="1"/>
  <c r="AC1772" i="1"/>
  <c r="AD1772" i="1"/>
  <c r="AE1772" i="1"/>
  <c r="W1773" i="1"/>
  <c r="X1773" i="1"/>
  <c r="Y1773" i="1"/>
  <c r="Z1773" i="1"/>
  <c r="AA1773" i="1"/>
  <c r="AB1773" i="1"/>
  <c r="AC1773" i="1"/>
  <c r="AD1773" i="1"/>
  <c r="AE1773" i="1"/>
  <c r="W1774" i="1"/>
  <c r="X1774" i="1"/>
  <c r="Y1774" i="1"/>
  <c r="Z1774" i="1"/>
  <c r="AA1774" i="1"/>
  <c r="AB1774" i="1"/>
  <c r="AC1774" i="1"/>
  <c r="AD1774" i="1"/>
  <c r="AE1774" i="1"/>
  <c r="W1775" i="1"/>
  <c r="X1775" i="1"/>
  <c r="Y1775" i="1"/>
  <c r="Z1775" i="1"/>
  <c r="AA1775" i="1"/>
  <c r="AB1775" i="1"/>
  <c r="AC1775" i="1"/>
  <c r="AD1775" i="1"/>
  <c r="AE1775" i="1"/>
  <c r="W1776" i="1"/>
  <c r="X1776" i="1"/>
  <c r="Y1776" i="1"/>
  <c r="Z1776" i="1"/>
  <c r="AA1776" i="1"/>
  <c r="AB1776" i="1"/>
  <c r="AC1776" i="1"/>
  <c r="AD1776" i="1"/>
  <c r="AE1776" i="1"/>
  <c r="W1777" i="1"/>
  <c r="X1777" i="1"/>
  <c r="Y1777" i="1"/>
  <c r="Z1777" i="1"/>
  <c r="AA1777" i="1"/>
  <c r="AB1777" i="1"/>
  <c r="AC1777" i="1"/>
  <c r="AD1777" i="1"/>
  <c r="AE1777" i="1"/>
  <c r="W1778" i="1"/>
  <c r="X1778" i="1"/>
  <c r="Y1778" i="1"/>
  <c r="Z1778" i="1"/>
  <c r="AA1778" i="1"/>
  <c r="AB1778" i="1"/>
  <c r="AC1778" i="1"/>
  <c r="AD1778" i="1"/>
  <c r="AE1778" i="1"/>
  <c r="W1779" i="1"/>
  <c r="X1779" i="1"/>
  <c r="Y1779" i="1"/>
  <c r="Z1779" i="1"/>
  <c r="AA1779" i="1"/>
  <c r="AB1779" i="1"/>
  <c r="AC1779" i="1"/>
  <c r="AD1779" i="1"/>
  <c r="AE1779" i="1"/>
  <c r="W1780" i="1"/>
  <c r="X1780" i="1"/>
  <c r="Y1780" i="1"/>
  <c r="Z1780" i="1"/>
  <c r="AA1780" i="1"/>
  <c r="AB1780" i="1"/>
  <c r="AC1780" i="1"/>
  <c r="AD1780" i="1"/>
  <c r="AE1780" i="1"/>
  <c r="W1781" i="1"/>
  <c r="X1781" i="1"/>
  <c r="Y1781" i="1"/>
  <c r="Z1781" i="1"/>
  <c r="AA1781" i="1"/>
  <c r="AB1781" i="1"/>
  <c r="AC1781" i="1"/>
  <c r="AD1781" i="1"/>
  <c r="AE1781" i="1"/>
  <c r="W1782" i="1"/>
  <c r="X1782" i="1"/>
  <c r="Y1782" i="1"/>
  <c r="Z1782" i="1"/>
  <c r="AA1782" i="1"/>
  <c r="AB1782" i="1"/>
  <c r="AC1782" i="1"/>
  <c r="AD1782" i="1"/>
  <c r="AE1782" i="1"/>
  <c r="W1783" i="1"/>
  <c r="X1783" i="1"/>
  <c r="Y1783" i="1"/>
  <c r="Z1783" i="1"/>
  <c r="AA1783" i="1"/>
  <c r="AB1783" i="1"/>
  <c r="AC1783" i="1"/>
  <c r="AD1783" i="1"/>
  <c r="AE1783" i="1"/>
  <c r="W1784" i="1"/>
  <c r="X1784" i="1"/>
  <c r="Y1784" i="1"/>
  <c r="Z1784" i="1"/>
  <c r="AA1784" i="1"/>
  <c r="AB1784" i="1"/>
  <c r="AC1784" i="1"/>
  <c r="AD1784" i="1"/>
  <c r="AE1784" i="1"/>
  <c r="W1785" i="1"/>
  <c r="X1785" i="1"/>
  <c r="Y1785" i="1"/>
  <c r="Z1785" i="1"/>
  <c r="AA1785" i="1"/>
  <c r="AB1785" i="1"/>
  <c r="AC1785" i="1"/>
  <c r="AD1785" i="1"/>
  <c r="AE1785" i="1"/>
  <c r="W1786" i="1"/>
  <c r="X1786" i="1"/>
  <c r="Y1786" i="1"/>
  <c r="Z1786" i="1"/>
  <c r="AA1786" i="1"/>
  <c r="AB1786" i="1"/>
  <c r="AC1786" i="1"/>
  <c r="AD1786" i="1"/>
  <c r="AE1786" i="1"/>
  <c r="W1787" i="1"/>
  <c r="X1787" i="1"/>
  <c r="Y1787" i="1"/>
  <c r="Z1787" i="1"/>
  <c r="AA1787" i="1"/>
  <c r="AB1787" i="1"/>
  <c r="AC1787" i="1"/>
  <c r="AD1787" i="1"/>
  <c r="AE1787" i="1"/>
  <c r="W1788" i="1"/>
  <c r="X1788" i="1"/>
  <c r="Y1788" i="1"/>
  <c r="Z1788" i="1"/>
  <c r="AA1788" i="1"/>
  <c r="AB1788" i="1"/>
  <c r="AC1788" i="1"/>
  <c r="AD1788" i="1"/>
  <c r="AE1788" i="1"/>
  <c r="W1789" i="1"/>
  <c r="X1789" i="1"/>
  <c r="Y1789" i="1"/>
  <c r="Z1789" i="1"/>
  <c r="AA1789" i="1"/>
  <c r="AB1789" i="1"/>
  <c r="AC1789" i="1"/>
  <c r="AD1789" i="1"/>
  <c r="AE1789" i="1"/>
  <c r="W1790" i="1"/>
  <c r="X1790" i="1"/>
  <c r="Y1790" i="1"/>
  <c r="Z1790" i="1"/>
  <c r="AA1790" i="1"/>
  <c r="AB1790" i="1"/>
  <c r="AC1790" i="1"/>
  <c r="AD1790" i="1"/>
  <c r="AE1790" i="1"/>
  <c r="W1791" i="1"/>
  <c r="X1791" i="1"/>
  <c r="Y1791" i="1"/>
  <c r="Z1791" i="1"/>
  <c r="AA1791" i="1"/>
  <c r="AB1791" i="1"/>
  <c r="AC1791" i="1"/>
  <c r="AD1791" i="1"/>
  <c r="AE1791" i="1"/>
  <c r="W1792" i="1"/>
  <c r="X1792" i="1"/>
  <c r="Y1792" i="1"/>
  <c r="Z1792" i="1"/>
  <c r="AA1792" i="1"/>
  <c r="AB1792" i="1"/>
  <c r="AC1792" i="1"/>
  <c r="AD1792" i="1"/>
  <c r="AE1792" i="1"/>
  <c r="W1793" i="1"/>
  <c r="X1793" i="1"/>
  <c r="Y1793" i="1"/>
  <c r="Z1793" i="1"/>
  <c r="AA1793" i="1"/>
  <c r="AB1793" i="1"/>
  <c r="AC1793" i="1"/>
  <c r="AD1793" i="1"/>
  <c r="AE1793" i="1"/>
  <c r="W1794" i="1"/>
  <c r="X1794" i="1"/>
  <c r="Y1794" i="1"/>
  <c r="Z1794" i="1"/>
  <c r="AA1794" i="1"/>
  <c r="AB1794" i="1"/>
  <c r="AC1794" i="1"/>
  <c r="AD1794" i="1"/>
  <c r="AE1794" i="1"/>
  <c r="W1795" i="1"/>
  <c r="X1795" i="1"/>
  <c r="Y1795" i="1"/>
  <c r="Z1795" i="1"/>
  <c r="AA1795" i="1"/>
  <c r="AB1795" i="1"/>
  <c r="AC1795" i="1"/>
  <c r="AD1795" i="1"/>
  <c r="AE1795" i="1"/>
  <c r="W1796" i="1"/>
  <c r="X1796" i="1"/>
  <c r="Y1796" i="1"/>
  <c r="Z1796" i="1"/>
  <c r="AA1796" i="1"/>
  <c r="AB1796" i="1"/>
  <c r="AC1796" i="1"/>
  <c r="AD1796" i="1"/>
  <c r="AE1796" i="1"/>
  <c r="W1797" i="1"/>
  <c r="X1797" i="1"/>
  <c r="Y1797" i="1"/>
  <c r="Z1797" i="1"/>
  <c r="AA1797" i="1"/>
  <c r="AB1797" i="1"/>
  <c r="AC1797" i="1"/>
  <c r="AD1797" i="1"/>
  <c r="AE1797" i="1"/>
  <c r="W1798" i="1"/>
  <c r="X1798" i="1"/>
  <c r="Y1798" i="1"/>
  <c r="Z1798" i="1"/>
  <c r="AA1798" i="1"/>
  <c r="AB1798" i="1"/>
  <c r="AC1798" i="1"/>
  <c r="AD1798" i="1"/>
  <c r="AE1798" i="1"/>
  <c r="W1799" i="1"/>
  <c r="X1799" i="1"/>
  <c r="Y1799" i="1"/>
  <c r="Z1799" i="1"/>
  <c r="AA1799" i="1"/>
  <c r="AB1799" i="1"/>
  <c r="AC1799" i="1"/>
  <c r="AD1799" i="1"/>
  <c r="AE1799" i="1"/>
  <c r="W1800" i="1"/>
  <c r="X1800" i="1"/>
  <c r="Y1800" i="1"/>
  <c r="Z1800" i="1"/>
  <c r="AA1800" i="1"/>
  <c r="AB1800" i="1"/>
  <c r="AC1800" i="1"/>
  <c r="AD1800" i="1"/>
  <c r="AE1800" i="1"/>
  <c r="W1801" i="1"/>
  <c r="X1801" i="1"/>
  <c r="Y1801" i="1"/>
  <c r="Z1801" i="1"/>
  <c r="AA1801" i="1"/>
  <c r="AB1801" i="1"/>
  <c r="AC1801" i="1"/>
  <c r="AD1801" i="1"/>
  <c r="AE1801" i="1"/>
  <c r="W1802" i="1"/>
  <c r="X1802" i="1"/>
  <c r="Y1802" i="1"/>
  <c r="Z1802" i="1"/>
  <c r="AA1802" i="1"/>
  <c r="AB1802" i="1"/>
  <c r="AC1802" i="1"/>
  <c r="AD1802" i="1"/>
  <c r="AE1802" i="1"/>
  <c r="W1803" i="1"/>
  <c r="X1803" i="1"/>
  <c r="Y1803" i="1"/>
  <c r="Z1803" i="1"/>
  <c r="AA1803" i="1"/>
  <c r="AB1803" i="1"/>
  <c r="AC1803" i="1"/>
  <c r="AD1803" i="1"/>
  <c r="AE1803" i="1"/>
  <c r="W1804" i="1"/>
  <c r="X1804" i="1"/>
  <c r="Y1804" i="1"/>
  <c r="Z1804" i="1"/>
  <c r="AA1804" i="1"/>
  <c r="AB1804" i="1"/>
  <c r="AC1804" i="1"/>
  <c r="AD1804" i="1"/>
  <c r="AE1804" i="1"/>
  <c r="W1805" i="1"/>
  <c r="X1805" i="1"/>
  <c r="Y1805" i="1"/>
  <c r="Z1805" i="1"/>
  <c r="AA1805" i="1"/>
  <c r="AB1805" i="1"/>
  <c r="AC1805" i="1"/>
  <c r="AD1805" i="1"/>
  <c r="AE1805" i="1"/>
  <c r="W1806" i="1"/>
  <c r="X1806" i="1"/>
  <c r="Y1806" i="1"/>
  <c r="Z1806" i="1"/>
  <c r="AA1806" i="1"/>
  <c r="AB1806" i="1"/>
  <c r="AC1806" i="1"/>
  <c r="AD1806" i="1"/>
  <c r="AE1806" i="1"/>
  <c r="W1807" i="1"/>
  <c r="X1807" i="1"/>
  <c r="Y1807" i="1"/>
  <c r="Z1807" i="1"/>
  <c r="AA1807" i="1"/>
  <c r="AB1807" i="1"/>
  <c r="AC1807" i="1"/>
  <c r="AD1807" i="1"/>
  <c r="AE1807" i="1"/>
  <c r="W1808" i="1"/>
  <c r="X1808" i="1"/>
  <c r="Y1808" i="1"/>
  <c r="Z1808" i="1"/>
  <c r="AA1808" i="1"/>
  <c r="AB1808" i="1"/>
  <c r="AC1808" i="1"/>
  <c r="AD1808" i="1"/>
  <c r="AE1808" i="1"/>
  <c r="W1809" i="1"/>
  <c r="X1809" i="1"/>
  <c r="Y1809" i="1"/>
  <c r="Z1809" i="1"/>
  <c r="AA1809" i="1"/>
  <c r="AB1809" i="1"/>
  <c r="AC1809" i="1"/>
  <c r="AD1809" i="1"/>
  <c r="AE1809" i="1"/>
  <c r="W1810" i="1"/>
  <c r="X1810" i="1"/>
  <c r="Y1810" i="1"/>
  <c r="Z1810" i="1"/>
  <c r="AA1810" i="1"/>
  <c r="AB1810" i="1"/>
  <c r="AC1810" i="1"/>
  <c r="AD1810" i="1"/>
  <c r="AE1810" i="1"/>
  <c r="W1811" i="1"/>
  <c r="X1811" i="1"/>
  <c r="Y1811" i="1"/>
  <c r="Z1811" i="1"/>
  <c r="AA1811" i="1"/>
  <c r="AB1811" i="1"/>
  <c r="AC1811" i="1"/>
  <c r="AD1811" i="1"/>
  <c r="AE1811" i="1"/>
  <c r="W1812" i="1"/>
  <c r="X1812" i="1"/>
  <c r="Y1812" i="1"/>
  <c r="Z1812" i="1"/>
  <c r="AA1812" i="1"/>
  <c r="AB1812" i="1"/>
  <c r="AC1812" i="1"/>
  <c r="AD1812" i="1"/>
  <c r="AE1812" i="1"/>
  <c r="W1813" i="1"/>
  <c r="X1813" i="1"/>
  <c r="Y1813" i="1"/>
  <c r="Z1813" i="1"/>
  <c r="AA1813" i="1"/>
  <c r="AB1813" i="1"/>
  <c r="AC1813" i="1"/>
  <c r="AD1813" i="1"/>
  <c r="AE1813" i="1"/>
  <c r="W1814" i="1"/>
  <c r="X1814" i="1"/>
  <c r="Y1814" i="1"/>
  <c r="Z1814" i="1"/>
  <c r="AA1814" i="1"/>
  <c r="AB1814" i="1"/>
  <c r="AC1814" i="1"/>
  <c r="AD1814" i="1"/>
  <c r="AE1814" i="1"/>
  <c r="W1815" i="1"/>
  <c r="X1815" i="1"/>
  <c r="Y1815" i="1"/>
  <c r="Z1815" i="1"/>
  <c r="AA1815" i="1"/>
  <c r="AB1815" i="1"/>
  <c r="AC1815" i="1"/>
  <c r="AD1815" i="1"/>
  <c r="AE1815" i="1"/>
  <c r="W1816" i="1"/>
  <c r="X1816" i="1"/>
  <c r="Y1816" i="1"/>
  <c r="Z1816" i="1"/>
  <c r="AA1816" i="1"/>
  <c r="AB1816" i="1"/>
  <c r="AC1816" i="1"/>
  <c r="AD1816" i="1"/>
  <c r="AE1816" i="1"/>
  <c r="W1817" i="1"/>
  <c r="X1817" i="1"/>
  <c r="Y1817" i="1"/>
  <c r="Z1817" i="1"/>
  <c r="AA1817" i="1"/>
  <c r="AB1817" i="1"/>
  <c r="AC1817" i="1"/>
  <c r="AD1817" i="1"/>
  <c r="AE1817" i="1"/>
  <c r="W1818" i="1"/>
  <c r="X1818" i="1"/>
  <c r="Y1818" i="1"/>
  <c r="Z1818" i="1"/>
  <c r="AA1818" i="1"/>
  <c r="AB1818" i="1"/>
  <c r="AC1818" i="1"/>
  <c r="AD1818" i="1"/>
  <c r="AE1818" i="1"/>
  <c r="W1819" i="1"/>
  <c r="X1819" i="1"/>
  <c r="Y1819" i="1"/>
  <c r="Z1819" i="1"/>
  <c r="AA1819" i="1"/>
  <c r="AB1819" i="1"/>
  <c r="AC1819" i="1"/>
  <c r="AD1819" i="1"/>
  <c r="AE1819" i="1"/>
  <c r="W1820" i="1"/>
  <c r="X1820" i="1"/>
  <c r="Y1820" i="1"/>
  <c r="Z1820" i="1"/>
  <c r="AA1820" i="1"/>
  <c r="AB1820" i="1"/>
  <c r="AC1820" i="1"/>
  <c r="AD1820" i="1"/>
  <c r="AE1820" i="1"/>
  <c r="W1821" i="1"/>
  <c r="X1821" i="1"/>
  <c r="Y1821" i="1"/>
  <c r="Z1821" i="1"/>
  <c r="AA1821" i="1"/>
  <c r="AB1821" i="1"/>
  <c r="AC1821" i="1"/>
  <c r="AD1821" i="1"/>
  <c r="AE1821" i="1"/>
  <c r="W1822" i="1"/>
  <c r="X1822" i="1"/>
  <c r="Y1822" i="1"/>
  <c r="Z1822" i="1"/>
  <c r="AA1822" i="1"/>
  <c r="AB1822" i="1"/>
  <c r="AC1822" i="1"/>
  <c r="AD1822" i="1"/>
  <c r="AE1822" i="1"/>
  <c r="W1823" i="1"/>
  <c r="X1823" i="1"/>
  <c r="Y1823" i="1"/>
  <c r="Z1823" i="1"/>
  <c r="AA1823" i="1"/>
  <c r="AB1823" i="1"/>
  <c r="AC1823" i="1"/>
  <c r="AD1823" i="1"/>
  <c r="AE1823" i="1"/>
  <c r="W1824" i="1"/>
  <c r="X1824" i="1"/>
  <c r="Y1824" i="1"/>
  <c r="Z1824" i="1"/>
  <c r="AA1824" i="1"/>
  <c r="AB1824" i="1"/>
  <c r="AC1824" i="1"/>
  <c r="AD1824" i="1"/>
  <c r="AE1824" i="1"/>
  <c r="W1825" i="1"/>
  <c r="X1825" i="1"/>
  <c r="Y1825" i="1"/>
  <c r="Z1825" i="1"/>
  <c r="AA1825" i="1"/>
  <c r="AB1825" i="1"/>
  <c r="AC1825" i="1"/>
  <c r="AD1825" i="1"/>
  <c r="AE1825" i="1"/>
  <c r="W1826" i="1"/>
  <c r="X1826" i="1"/>
  <c r="Y1826" i="1"/>
  <c r="Z1826" i="1"/>
  <c r="AA1826" i="1"/>
  <c r="AB1826" i="1"/>
  <c r="AC1826" i="1"/>
  <c r="AD1826" i="1"/>
  <c r="AE1826" i="1"/>
  <c r="W1827" i="1"/>
  <c r="X1827" i="1"/>
  <c r="Y1827" i="1"/>
  <c r="Z1827" i="1"/>
  <c r="AA1827" i="1"/>
  <c r="AB1827" i="1"/>
  <c r="AC1827" i="1"/>
  <c r="AD1827" i="1"/>
  <c r="AE1827" i="1"/>
  <c r="W1828" i="1"/>
  <c r="X1828" i="1"/>
  <c r="Y1828" i="1"/>
  <c r="Z1828" i="1"/>
  <c r="AA1828" i="1"/>
  <c r="AB1828" i="1"/>
  <c r="AC1828" i="1"/>
  <c r="AD1828" i="1"/>
  <c r="AE1828" i="1"/>
  <c r="W1829" i="1"/>
  <c r="X1829" i="1"/>
  <c r="Y1829" i="1"/>
  <c r="Z1829" i="1"/>
  <c r="AA1829" i="1"/>
  <c r="AB1829" i="1"/>
  <c r="AC1829" i="1"/>
  <c r="AD1829" i="1"/>
  <c r="AE1829" i="1"/>
  <c r="W1830" i="1"/>
  <c r="X1830" i="1"/>
  <c r="Y1830" i="1"/>
  <c r="Z1830" i="1"/>
  <c r="AA1830" i="1"/>
  <c r="AB1830" i="1"/>
  <c r="AC1830" i="1"/>
  <c r="AD1830" i="1"/>
  <c r="AE1830" i="1"/>
  <c r="W1831" i="1"/>
  <c r="X1831" i="1"/>
  <c r="Y1831" i="1"/>
  <c r="Z1831" i="1"/>
  <c r="AA1831" i="1"/>
  <c r="AB1831" i="1"/>
  <c r="AC1831" i="1"/>
  <c r="AD1831" i="1"/>
  <c r="AE1831" i="1"/>
  <c r="W1832" i="1"/>
  <c r="X1832" i="1"/>
  <c r="Y1832" i="1"/>
  <c r="Z1832" i="1"/>
  <c r="AA1832" i="1"/>
  <c r="AB1832" i="1"/>
  <c r="AC1832" i="1"/>
  <c r="AD1832" i="1"/>
  <c r="AE1832" i="1"/>
  <c r="W1833" i="1"/>
  <c r="X1833" i="1"/>
  <c r="Y1833" i="1"/>
  <c r="Z1833" i="1"/>
  <c r="AA1833" i="1"/>
  <c r="AB1833" i="1"/>
  <c r="AC1833" i="1"/>
  <c r="AD1833" i="1"/>
  <c r="AE1833" i="1"/>
  <c r="W1834" i="1"/>
  <c r="X1834" i="1"/>
  <c r="Y1834" i="1"/>
  <c r="Z1834" i="1"/>
  <c r="AA1834" i="1"/>
  <c r="AB1834" i="1"/>
  <c r="AC1834" i="1"/>
  <c r="AD1834" i="1"/>
  <c r="AE1834" i="1"/>
  <c r="W1835" i="1"/>
  <c r="X1835" i="1"/>
  <c r="Y1835" i="1"/>
  <c r="Z1835" i="1"/>
  <c r="AA1835" i="1"/>
  <c r="AB1835" i="1"/>
  <c r="AC1835" i="1"/>
  <c r="AD1835" i="1"/>
  <c r="AE1835" i="1"/>
  <c r="W1836" i="1"/>
  <c r="X1836" i="1"/>
  <c r="Y1836" i="1"/>
  <c r="Z1836" i="1"/>
  <c r="AA1836" i="1"/>
  <c r="AB1836" i="1"/>
  <c r="AC1836" i="1"/>
  <c r="AD1836" i="1"/>
  <c r="AE1836" i="1"/>
  <c r="W1837" i="1"/>
  <c r="X1837" i="1"/>
  <c r="Y1837" i="1"/>
  <c r="Z1837" i="1"/>
  <c r="AA1837" i="1"/>
  <c r="AB1837" i="1"/>
  <c r="AC1837" i="1"/>
  <c r="AD1837" i="1"/>
  <c r="AE1837" i="1"/>
  <c r="W1838" i="1"/>
  <c r="X1838" i="1"/>
  <c r="Y1838" i="1"/>
  <c r="Z1838" i="1"/>
  <c r="AA1838" i="1"/>
  <c r="AB1838" i="1"/>
  <c r="AC1838" i="1"/>
  <c r="AD1838" i="1"/>
  <c r="AE1838" i="1"/>
  <c r="W1839" i="1"/>
  <c r="X1839" i="1"/>
  <c r="Y1839" i="1"/>
  <c r="Z1839" i="1"/>
  <c r="AA1839" i="1"/>
  <c r="AB1839" i="1"/>
  <c r="AC1839" i="1"/>
  <c r="AD1839" i="1"/>
  <c r="AE1839" i="1"/>
  <c r="W1840" i="1"/>
  <c r="X1840" i="1"/>
  <c r="Y1840" i="1"/>
  <c r="Z1840" i="1"/>
  <c r="AA1840" i="1"/>
  <c r="AB1840" i="1"/>
  <c r="AC1840" i="1"/>
  <c r="AD1840" i="1"/>
  <c r="AE1840" i="1"/>
  <c r="W1841" i="1"/>
  <c r="X1841" i="1"/>
  <c r="Y1841" i="1"/>
  <c r="Z1841" i="1"/>
  <c r="AA1841" i="1"/>
  <c r="AB1841" i="1"/>
  <c r="AC1841" i="1"/>
  <c r="AD1841" i="1"/>
  <c r="AE1841" i="1"/>
  <c r="W1842" i="1"/>
  <c r="X1842" i="1"/>
  <c r="Y1842" i="1"/>
  <c r="Z1842" i="1"/>
  <c r="AA1842" i="1"/>
  <c r="AB1842" i="1"/>
  <c r="AC1842" i="1"/>
  <c r="AD1842" i="1"/>
  <c r="AE1842" i="1"/>
  <c r="W1843" i="1"/>
  <c r="X1843" i="1"/>
  <c r="Y1843" i="1"/>
  <c r="Z1843" i="1"/>
  <c r="AA1843" i="1"/>
  <c r="AB1843" i="1"/>
  <c r="AC1843" i="1"/>
  <c r="AD1843" i="1"/>
  <c r="AE1843" i="1"/>
  <c r="W1844" i="1"/>
  <c r="X1844" i="1"/>
  <c r="Y1844" i="1"/>
  <c r="Z1844" i="1"/>
  <c r="AA1844" i="1"/>
  <c r="AB1844" i="1"/>
  <c r="AC1844" i="1"/>
  <c r="AD1844" i="1"/>
  <c r="AE1844" i="1"/>
  <c r="W1845" i="1"/>
  <c r="X1845" i="1"/>
  <c r="Y1845" i="1"/>
  <c r="Z1845" i="1"/>
  <c r="AA1845" i="1"/>
  <c r="AB1845" i="1"/>
  <c r="AC1845" i="1"/>
  <c r="AD1845" i="1"/>
  <c r="AE1845" i="1"/>
  <c r="W1846" i="1"/>
  <c r="X1846" i="1"/>
  <c r="Y1846" i="1"/>
  <c r="Z1846" i="1"/>
  <c r="AA1846" i="1"/>
  <c r="AB1846" i="1"/>
  <c r="AC1846" i="1"/>
  <c r="AD1846" i="1"/>
  <c r="AE1846" i="1"/>
  <c r="W1847" i="1"/>
  <c r="X1847" i="1"/>
  <c r="Y1847" i="1"/>
  <c r="Z1847" i="1"/>
  <c r="AA1847" i="1"/>
  <c r="AB1847" i="1"/>
  <c r="AC1847" i="1"/>
  <c r="AD1847" i="1"/>
  <c r="AE1847" i="1"/>
  <c r="W1848" i="1"/>
  <c r="X1848" i="1"/>
  <c r="Y1848" i="1"/>
  <c r="Z1848" i="1"/>
  <c r="AA1848" i="1"/>
  <c r="AB1848" i="1"/>
  <c r="AC1848" i="1"/>
  <c r="AD1848" i="1"/>
  <c r="AE1848" i="1"/>
  <c r="W1849" i="1"/>
  <c r="X1849" i="1"/>
  <c r="Y1849" i="1"/>
  <c r="Z1849" i="1"/>
  <c r="AA1849" i="1"/>
  <c r="AB1849" i="1"/>
  <c r="AC1849" i="1"/>
  <c r="AD1849" i="1"/>
  <c r="AE1849" i="1"/>
  <c r="W1850" i="1"/>
  <c r="X1850" i="1"/>
  <c r="Y1850" i="1"/>
  <c r="Z1850" i="1"/>
  <c r="AA1850" i="1"/>
  <c r="AB1850" i="1"/>
  <c r="AC1850" i="1"/>
  <c r="AD1850" i="1"/>
  <c r="AE1850" i="1"/>
  <c r="W1851" i="1"/>
  <c r="X1851" i="1"/>
  <c r="Y1851" i="1"/>
  <c r="Z1851" i="1"/>
  <c r="AA1851" i="1"/>
  <c r="AB1851" i="1"/>
  <c r="AC1851" i="1"/>
  <c r="AD1851" i="1"/>
  <c r="AE1851" i="1"/>
  <c r="W1852" i="1"/>
  <c r="X1852" i="1"/>
  <c r="Y1852" i="1"/>
  <c r="Z1852" i="1"/>
  <c r="AA1852" i="1"/>
  <c r="AB1852" i="1"/>
  <c r="AC1852" i="1"/>
  <c r="AD1852" i="1"/>
  <c r="AE1852" i="1"/>
  <c r="W1853" i="1"/>
  <c r="X1853" i="1"/>
  <c r="Y1853" i="1"/>
  <c r="Z1853" i="1"/>
  <c r="AA1853" i="1"/>
  <c r="AB1853" i="1"/>
  <c r="AC1853" i="1"/>
  <c r="AD1853" i="1"/>
  <c r="AE1853" i="1"/>
  <c r="W1854" i="1"/>
  <c r="X1854" i="1"/>
  <c r="Y1854" i="1"/>
  <c r="Z1854" i="1"/>
  <c r="AA1854" i="1"/>
  <c r="AB1854" i="1"/>
  <c r="AC1854" i="1"/>
  <c r="AD1854" i="1"/>
  <c r="AE1854" i="1"/>
  <c r="W1855" i="1"/>
  <c r="X1855" i="1"/>
  <c r="Y1855" i="1"/>
  <c r="Z1855" i="1"/>
  <c r="AA1855" i="1"/>
  <c r="AB1855" i="1"/>
  <c r="AC1855" i="1"/>
  <c r="AD1855" i="1"/>
  <c r="AE1855" i="1"/>
  <c r="W1856" i="1"/>
  <c r="X1856" i="1"/>
  <c r="Y1856" i="1"/>
  <c r="Z1856" i="1"/>
  <c r="AA1856" i="1"/>
  <c r="AB1856" i="1"/>
  <c r="AC1856" i="1"/>
  <c r="AD1856" i="1"/>
  <c r="AE1856" i="1"/>
  <c r="W1857" i="1"/>
  <c r="X1857" i="1"/>
  <c r="Y1857" i="1"/>
  <c r="Z1857" i="1"/>
  <c r="AA1857" i="1"/>
  <c r="AB1857" i="1"/>
  <c r="AC1857" i="1"/>
  <c r="AD1857" i="1"/>
  <c r="AE1857" i="1"/>
  <c r="W1858" i="1"/>
  <c r="X1858" i="1"/>
  <c r="Y1858" i="1"/>
  <c r="Z1858" i="1"/>
  <c r="AA1858" i="1"/>
  <c r="AB1858" i="1"/>
  <c r="AC1858" i="1"/>
  <c r="AD1858" i="1"/>
  <c r="AE1858" i="1"/>
  <c r="W1859" i="1"/>
  <c r="X1859" i="1"/>
  <c r="Y1859" i="1"/>
  <c r="Z1859" i="1"/>
  <c r="AA1859" i="1"/>
  <c r="AB1859" i="1"/>
  <c r="AC1859" i="1"/>
  <c r="AD1859" i="1"/>
  <c r="AE1859" i="1"/>
  <c r="W1860" i="1"/>
  <c r="X1860" i="1"/>
  <c r="Y1860" i="1"/>
  <c r="Z1860" i="1"/>
  <c r="AA1860" i="1"/>
  <c r="AB1860" i="1"/>
  <c r="AC1860" i="1"/>
  <c r="AD1860" i="1"/>
  <c r="AE1860" i="1"/>
  <c r="W1861" i="1"/>
  <c r="X1861" i="1"/>
  <c r="Y1861" i="1"/>
  <c r="Z1861" i="1"/>
  <c r="AA1861" i="1"/>
  <c r="AB1861" i="1"/>
  <c r="AC1861" i="1"/>
  <c r="AD1861" i="1"/>
  <c r="AE1861" i="1"/>
  <c r="W1862" i="1"/>
  <c r="X1862" i="1"/>
  <c r="Y1862" i="1"/>
  <c r="Z1862" i="1"/>
  <c r="AA1862" i="1"/>
  <c r="AB1862" i="1"/>
  <c r="AC1862" i="1"/>
  <c r="AD1862" i="1"/>
  <c r="AE1862" i="1"/>
  <c r="W1863" i="1"/>
  <c r="X1863" i="1"/>
  <c r="Y1863" i="1"/>
  <c r="Z1863" i="1"/>
  <c r="AA1863" i="1"/>
  <c r="AB1863" i="1"/>
  <c r="AC1863" i="1"/>
  <c r="AD1863" i="1"/>
  <c r="AE1863" i="1"/>
  <c r="W1864" i="1"/>
  <c r="X1864" i="1"/>
  <c r="Y1864" i="1"/>
  <c r="Z1864" i="1"/>
  <c r="AA1864" i="1"/>
  <c r="AB1864" i="1"/>
  <c r="AC1864" i="1"/>
  <c r="AD1864" i="1"/>
  <c r="AE1864" i="1"/>
  <c r="W1865" i="1"/>
  <c r="X1865" i="1"/>
  <c r="Y1865" i="1"/>
  <c r="Z1865" i="1"/>
  <c r="AA1865" i="1"/>
  <c r="AB1865" i="1"/>
  <c r="AC1865" i="1"/>
  <c r="AD1865" i="1"/>
  <c r="AE1865" i="1"/>
  <c r="W1866" i="1"/>
  <c r="X1866" i="1"/>
  <c r="Y1866" i="1"/>
  <c r="Z1866" i="1"/>
  <c r="AA1866" i="1"/>
  <c r="AB1866" i="1"/>
  <c r="AC1866" i="1"/>
  <c r="AD1866" i="1"/>
  <c r="AE1866" i="1"/>
  <c r="W1867" i="1"/>
  <c r="X1867" i="1"/>
  <c r="Y1867" i="1"/>
  <c r="Z1867" i="1"/>
  <c r="AA1867" i="1"/>
  <c r="AB1867" i="1"/>
  <c r="AC1867" i="1"/>
  <c r="AD1867" i="1"/>
  <c r="AE1867" i="1"/>
  <c r="W1868" i="1"/>
  <c r="X1868" i="1"/>
  <c r="Y1868" i="1"/>
  <c r="Z1868" i="1"/>
  <c r="AA1868" i="1"/>
  <c r="AB1868" i="1"/>
  <c r="AC1868" i="1"/>
  <c r="AD1868" i="1"/>
  <c r="AE1868" i="1"/>
  <c r="W1869" i="1"/>
  <c r="X1869" i="1"/>
  <c r="Y1869" i="1"/>
  <c r="Z1869" i="1"/>
  <c r="AA1869" i="1"/>
  <c r="AB1869" i="1"/>
  <c r="AC1869" i="1"/>
  <c r="AD1869" i="1"/>
  <c r="AE1869" i="1"/>
  <c r="W1870" i="1"/>
  <c r="X1870" i="1"/>
  <c r="Y1870" i="1"/>
  <c r="Z1870" i="1"/>
  <c r="AA1870" i="1"/>
  <c r="AB1870" i="1"/>
  <c r="AC1870" i="1"/>
  <c r="AD1870" i="1"/>
  <c r="AE1870" i="1"/>
  <c r="W1871" i="1"/>
  <c r="X1871" i="1"/>
  <c r="Y1871" i="1"/>
  <c r="Z1871" i="1"/>
  <c r="AA1871" i="1"/>
  <c r="AB1871" i="1"/>
  <c r="AC1871" i="1"/>
  <c r="AD1871" i="1"/>
  <c r="AE1871" i="1"/>
  <c r="W1872" i="1"/>
  <c r="X1872" i="1"/>
  <c r="Y1872" i="1"/>
  <c r="Z1872" i="1"/>
  <c r="AA1872" i="1"/>
  <c r="AB1872" i="1"/>
  <c r="AC1872" i="1"/>
  <c r="AD1872" i="1"/>
  <c r="AE1872" i="1"/>
  <c r="W1873" i="1"/>
  <c r="X1873" i="1"/>
  <c r="Y1873" i="1"/>
  <c r="Z1873" i="1"/>
  <c r="AA1873" i="1"/>
  <c r="AB1873" i="1"/>
  <c r="AC1873" i="1"/>
  <c r="AD1873" i="1"/>
  <c r="AE1873" i="1"/>
  <c r="W1874" i="1"/>
  <c r="X1874" i="1"/>
  <c r="Y1874" i="1"/>
  <c r="Z1874" i="1"/>
  <c r="AA1874" i="1"/>
  <c r="AB1874" i="1"/>
  <c r="AC1874" i="1"/>
  <c r="AD1874" i="1"/>
  <c r="AE1874" i="1"/>
  <c r="W1875" i="1"/>
  <c r="X1875" i="1"/>
  <c r="Y1875" i="1"/>
  <c r="Z1875" i="1"/>
  <c r="AA1875" i="1"/>
  <c r="AB1875" i="1"/>
  <c r="AC1875" i="1"/>
  <c r="AD1875" i="1"/>
  <c r="AE1875" i="1"/>
  <c r="W1876" i="1"/>
  <c r="X1876" i="1"/>
  <c r="Y1876" i="1"/>
  <c r="Z1876" i="1"/>
  <c r="AA1876" i="1"/>
  <c r="AB1876" i="1"/>
  <c r="AC1876" i="1"/>
  <c r="AD1876" i="1"/>
  <c r="AE1876" i="1"/>
  <c r="W1877" i="1"/>
  <c r="X1877" i="1"/>
  <c r="Y1877" i="1"/>
  <c r="Z1877" i="1"/>
  <c r="AA1877" i="1"/>
  <c r="AB1877" i="1"/>
  <c r="AC1877" i="1"/>
  <c r="AD1877" i="1"/>
  <c r="AE1877" i="1"/>
  <c r="W1878" i="1"/>
  <c r="X1878" i="1"/>
  <c r="Y1878" i="1"/>
  <c r="Z1878" i="1"/>
  <c r="AA1878" i="1"/>
  <c r="AB1878" i="1"/>
  <c r="AC1878" i="1"/>
  <c r="AD1878" i="1"/>
  <c r="AE1878" i="1"/>
  <c r="W1879" i="1"/>
  <c r="X1879" i="1"/>
  <c r="Y1879" i="1"/>
  <c r="Z1879" i="1"/>
  <c r="AA1879" i="1"/>
  <c r="AB1879" i="1"/>
  <c r="AC1879" i="1"/>
  <c r="AD1879" i="1"/>
  <c r="AE1879" i="1"/>
  <c r="W1880" i="1"/>
  <c r="X1880" i="1"/>
  <c r="Y1880" i="1"/>
  <c r="Z1880" i="1"/>
  <c r="AA1880" i="1"/>
  <c r="AB1880" i="1"/>
  <c r="AC1880" i="1"/>
  <c r="AD1880" i="1"/>
  <c r="AE1880" i="1"/>
  <c r="W1881" i="1"/>
  <c r="X1881" i="1"/>
  <c r="Y1881" i="1"/>
  <c r="Z1881" i="1"/>
  <c r="AA1881" i="1"/>
  <c r="AB1881" i="1"/>
  <c r="AC1881" i="1"/>
  <c r="AD1881" i="1"/>
  <c r="AE1881" i="1"/>
  <c r="W1882" i="1"/>
  <c r="X1882" i="1"/>
  <c r="Y1882" i="1"/>
  <c r="Z1882" i="1"/>
  <c r="AA1882" i="1"/>
  <c r="AB1882" i="1"/>
  <c r="AC1882" i="1"/>
  <c r="AD1882" i="1"/>
  <c r="AE1882" i="1"/>
  <c r="W1883" i="1"/>
  <c r="X1883" i="1"/>
  <c r="Y1883" i="1"/>
  <c r="Z1883" i="1"/>
  <c r="AA1883" i="1"/>
  <c r="AB1883" i="1"/>
  <c r="AC1883" i="1"/>
  <c r="AD1883" i="1"/>
  <c r="AE1883" i="1"/>
  <c r="W1884" i="1"/>
  <c r="X1884" i="1"/>
  <c r="Y1884" i="1"/>
  <c r="Z1884" i="1"/>
  <c r="AA1884" i="1"/>
  <c r="AB1884" i="1"/>
  <c r="AC1884" i="1"/>
  <c r="AD1884" i="1"/>
  <c r="AE1884" i="1"/>
  <c r="W1885" i="1"/>
  <c r="X1885" i="1"/>
  <c r="Y1885" i="1"/>
  <c r="Z1885" i="1"/>
  <c r="AA1885" i="1"/>
  <c r="AB1885" i="1"/>
  <c r="AC1885" i="1"/>
  <c r="AD1885" i="1"/>
  <c r="AE1885" i="1"/>
  <c r="W1886" i="1"/>
  <c r="X1886" i="1"/>
  <c r="Y1886" i="1"/>
  <c r="Z1886" i="1"/>
  <c r="AA1886" i="1"/>
  <c r="AB1886" i="1"/>
  <c r="AC1886" i="1"/>
  <c r="AD1886" i="1"/>
  <c r="AE1886" i="1"/>
  <c r="W1887" i="1"/>
  <c r="X1887" i="1"/>
  <c r="Y1887" i="1"/>
  <c r="Z1887" i="1"/>
  <c r="AA1887" i="1"/>
  <c r="AB1887" i="1"/>
  <c r="AC1887" i="1"/>
  <c r="AD1887" i="1"/>
  <c r="AE1887" i="1"/>
  <c r="W1888" i="1"/>
  <c r="X1888" i="1"/>
  <c r="Y1888" i="1"/>
  <c r="Z1888" i="1"/>
  <c r="AA1888" i="1"/>
  <c r="AB1888" i="1"/>
  <c r="AC1888" i="1"/>
  <c r="AD1888" i="1"/>
  <c r="AE1888" i="1"/>
  <c r="W1889" i="1"/>
  <c r="X1889" i="1"/>
  <c r="Y1889" i="1"/>
  <c r="Z1889" i="1"/>
  <c r="AA1889" i="1"/>
  <c r="AB1889" i="1"/>
  <c r="AC1889" i="1"/>
  <c r="AD1889" i="1"/>
  <c r="AE1889" i="1"/>
  <c r="W1890" i="1"/>
  <c r="X1890" i="1"/>
  <c r="Y1890" i="1"/>
  <c r="Z1890" i="1"/>
  <c r="AA1890" i="1"/>
  <c r="AB1890" i="1"/>
  <c r="AC1890" i="1"/>
  <c r="AD1890" i="1"/>
  <c r="AE1890" i="1"/>
  <c r="W1891" i="1"/>
  <c r="X1891" i="1"/>
  <c r="Y1891" i="1"/>
  <c r="Z1891" i="1"/>
  <c r="AA1891" i="1"/>
  <c r="AB1891" i="1"/>
  <c r="AC1891" i="1"/>
  <c r="AD1891" i="1"/>
  <c r="AE1891" i="1"/>
  <c r="W1892" i="1"/>
  <c r="X1892" i="1"/>
  <c r="Y1892" i="1"/>
  <c r="Z1892" i="1"/>
  <c r="AA1892" i="1"/>
  <c r="AB1892" i="1"/>
  <c r="AC1892" i="1"/>
  <c r="AD1892" i="1"/>
  <c r="AE1892" i="1"/>
  <c r="W1893" i="1"/>
  <c r="X1893" i="1"/>
  <c r="Y1893" i="1"/>
  <c r="Z1893" i="1"/>
  <c r="AA1893" i="1"/>
  <c r="AB1893" i="1"/>
  <c r="AC1893" i="1"/>
  <c r="AD1893" i="1"/>
  <c r="AE1893" i="1"/>
  <c r="W1894" i="1"/>
  <c r="X1894" i="1"/>
  <c r="Y1894" i="1"/>
  <c r="Z1894" i="1"/>
  <c r="AA1894" i="1"/>
  <c r="AB1894" i="1"/>
  <c r="AC1894" i="1"/>
  <c r="AD1894" i="1"/>
  <c r="AE1894" i="1"/>
  <c r="W1895" i="1"/>
  <c r="X1895" i="1"/>
  <c r="Y1895" i="1"/>
  <c r="Z1895" i="1"/>
  <c r="AA1895" i="1"/>
  <c r="AB1895" i="1"/>
  <c r="AC1895" i="1"/>
  <c r="AD1895" i="1"/>
  <c r="AE1895" i="1"/>
  <c r="W1896" i="1"/>
  <c r="X1896" i="1"/>
  <c r="Y1896" i="1"/>
  <c r="Z1896" i="1"/>
  <c r="AA1896" i="1"/>
  <c r="AB1896" i="1"/>
  <c r="AC1896" i="1"/>
  <c r="AD1896" i="1"/>
  <c r="AE1896" i="1"/>
  <c r="W1897" i="1"/>
  <c r="X1897" i="1"/>
  <c r="Y1897" i="1"/>
  <c r="Z1897" i="1"/>
  <c r="AA1897" i="1"/>
  <c r="AB1897" i="1"/>
  <c r="AC1897" i="1"/>
  <c r="AD1897" i="1"/>
  <c r="AE1897" i="1"/>
  <c r="W1898" i="1"/>
  <c r="X1898" i="1"/>
  <c r="Y1898" i="1"/>
  <c r="Z1898" i="1"/>
  <c r="AA1898" i="1"/>
  <c r="AB1898" i="1"/>
  <c r="AC1898" i="1"/>
  <c r="AD1898" i="1"/>
  <c r="AE1898" i="1"/>
  <c r="W1899" i="1"/>
  <c r="X1899" i="1"/>
  <c r="Y1899" i="1"/>
  <c r="Z1899" i="1"/>
  <c r="AA1899" i="1"/>
  <c r="AB1899" i="1"/>
  <c r="AC1899" i="1"/>
  <c r="AD1899" i="1"/>
  <c r="AE1899" i="1"/>
  <c r="W1900" i="1"/>
  <c r="X1900" i="1"/>
  <c r="Y1900" i="1"/>
  <c r="Z1900" i="1"/>
  <c r="AA1900" i="1"/>
  <c r="AB1900" i="1"/>
  <c r="AC1900" i="1"/>
  <c r="AD1900" i="1"/>
  <c r="AE1900" i="1"/>
  <c r="W1901" i="1"/>
  <c r="X1901" i="1"/>
  <c r="Y1901" i="1"/>
  <c r="Z1901" i="1"/>
  <c r="AA1901" i="1"/>
  <c r="AB1901" i="1"/>
  <c r="AC1901" i="1"/>
  <c r="AD1901" i="1"/>
  <c r="AE1901" i="1"/>
  <c r="W1902" i="1"/>
  <c r="X1902" i="1"/>
  <c r="Y1902" i="1"/>
  <c r="Z1902" i="1"/>
  <c r="AA1902" i="1"/>
  <c r="AB1902" i="1"/>
  <c r="AC1902" i="1"/>
  <c r="AD1902" i="1"/>
  <c r="AE1902" i="1"/>
  <c r="W1903" i="1"/>
  <c r="X1903" i="1"/>
  <c r="Y1903" i="1"/>
  <c r="Z1903" i="1"/>
  <c r="AA1903" i="1"/>
  <c r="AB1903" i="1"/>
  <c r="AC1903" i="1"/>
  <c r="AD1903" i="1"/>
  <c r="AE1903" i="1"/>
  <c r="W1904" i="1"/>
  <c r="X1904" i="1"/>
  <c r="Y1904" i="1"/>
  <c r="Z1904" i="1"/>
  <c r="AA1904" i="1"/>
  <c r="AB1904" i="1"/>
  <c r="AC1904" i="1"/>
  <c r="AD1904" i="1"/>
  <c r="AE1904" i="1"/>
  <c r="W1905" i="1"/>
  <c r="X1905" i="1"/>
  <c r="Y1905" i="1"/>
  <c r="Z1905" i="1"/>
  <c r="AA1905" i="1"/>
  <c r="AB1905" i="1"/>
  <c r="AC1905" i="1"/>
  <c r="AD1905" i="1"/>
  <c r="AE1905" i="1"/>
  <c r="W1906" i="1"/>
  <c r="X1906" i="1"/>
  <c r="Y1906" i="1"/>
  <c r="Z1906" i="1"/>
  <c r="AA1906" i="1"/>
  <c r="AB1906" i="1"/>
  <c r="AC1906" i="1"/>
  <c r="AD1906" i="1"/>
  <c r="AE1906" i="1"/>
  <c r="W1907" i="1"/>
  <c r="X1907" i="1"/>
  <c r="Y1907" i="1"/>
  <c r="Z1907" i="1"/>
  <c r="AA1907" i="1"/>
  <c r="AB1907" i="1"/>
  <c r="AC1907" i="1"/>
  <c r="AD1907" i="1"/>
  <c r="AE1907" i="1"/>
  <c r="W1908" i="1"/>
  <c r="X1908" i="1"/>
  <c r="Y1908" i="1"/>
  <c r="Z1908" i="1"/>
  <c r="AA1908" i="1"/>
  <c r="AB1908" i="1"/>
  <c r="AC1908" i="1"/>
  <c r="AD1908" i="1"/>
  <c r="AE1908" i="1"/>
  <c r="W1909" i="1"/>
  <c r="X1909" i="1"/>
  <c r="Y1909" i="1"/>
  <c r="Z1909" i="1"/>
  <c r="AA1909" i="1"/>
  <c r="AB1909" i="1"/>
  <c r="AC1909" i="1"/>
  <c r="AD1909" i="1"/>
  <c r="AE1909" i="1"/>
  <c r="W1910" i="1"/>
  <c r="X1910" i="1"/>
  <c r="Y1910" i="1"/>
  <c r="Z1910" i="1"/>
  <c r="AA1910" i="1"/>
  <c r="AB1910" i="1"/>
  <c r="AC1910" i="1"/>
  <c r="AD1910" i="1"/>
  <c r="AE1910" i="1"/>
  <c r="W1911" i="1"/>
  <c r="X1911" i="1"/>
  <c r="Y1911" i="1"/>
  <c r="Z1911" i="1"/>
  <c r="AA1911" i="1"/>
  <c r="AB1911" i="1"/>
  <c r="AC1911" i="1"/>
  <c r="AD1911" i="1"/>
  <c r="AE1911" i="1"/>
  <c r="W1912" i="1"/>
  <c r="X1912" i="1"/>
  <c r="Y1912" i="1"/>
  <c r="Z1912" i="1"/>
  <c r="AA1912" i="1"/>
  <c r="AB1912" i="1"/>
  <c r="AC1912" i="1"/>
  <c r="AD1912" i="1"/>
  <c r="AE1912" i="1"/>
  <c r="W1913" i="1"/>
  <c r="X1913" i="1"/>
  <c r="Y1913" i="1"/>
  <c r="Z1913" i="1"/>
  <c r="AA1913" i="1"/>
  <c r="AB1913" i="1"/>
  <c r="AC1913" i="1"/>
  <c r="AD1913" i="1"/>
  <c r="AE1913" i="1"/>
  <c r="W1914" i="1"/>
  <c r="X1914" i="1"/>
  <c r="Y1914" i="1"/>
  <c r="Z1914" i="1"/>
  <c r="AA1914" i="1"/>
  <c r="AB1914" i="1"/>
  <c r="AC1914" i="1"/>
  <c r="AD1914" i="1"/>
  <c r="AE1914" i="1"/>
  <c r="W1915" i="1"/>
  <c r="X1915" i="1"/>
  <c r="Y1915" i="1"/>
  <c r="Z1915" i="1"/>
  <c r="AA1915" i="1"/>
  <c r="AB1915" i="1"/>
  <c r="AC1915" i="1"/>
  <c r="AD1915" i="1"/>
  <c r="AE1915" i="1"/>
  <c r="W1916" i="1"/>
  <c r="X1916" i="1"/>
  <c r="Y1916" i="1"/>
  <c r="Z1916" i="1"/>
  <c r="AA1916" i="1"/>
  <c r="AB1916" i="1"/>
  <c r="AC1916" i="1"/>
  <c r="AD1916" i="1"/>
  <c r="AE1916" i="1"/>
  <c r="W1917" i="1"/>
  <c r="X1917" i="1"/>
  <c r="Y1917" i="1"/>
  <c r="Z1917" i="1"/>
  <c r="AA1917" i="1"/>
  <c r="AB1917" i="1"/>
  <c r="AC1917" i="1"/>
  <c r="AD1917" i="1"/>
  <c r="AE1917" i="1"/>
  <c r="W1918" i="1"/>
  <c r="X1918" i="1"/>
  <c r="Y1918" i="1"/>
  <c r="Z1918" i="1"/>
  <c r="AA1918" i="1"/>
  <c r="AB1918" i="1"/>
  <c r="AC1918" i="1"/>
  <c r="AD1918" i="1"/>
  <c r="AE1918" i="1"/>
  <c r="W1919" i="1"/>
  <c r="X1919" i="1"/>
  <c r="Y1919" i="1"/>
  <c r="Z1919" i="1"/>
  <c r="AA1919" i="1"/>
  <c r="AB1919" i="1"/>
  <c r="AC1919" i="1"/>
  <c r="AD1919" i="1"/>
  <c r="AE1919" i="1"/>
  <c r="W1920" i="1"/>
  <c r="X1920" i="1"/>
  <c r="Y1920" i="1"/>
  <c r="Z1920" i="1"/>
  <c r="AA1920" i="1"/>
  <c r="AB1920" i="1"/>
  <c r="AC1920" i="1"/>
  <c r="AD1920" i="1"/>
  <c r="AE1920" i="1"/>
  <c r="W1921" i="1"/>
  <c r="X1921" i="1"/>
  <c r="Y1921" i="1"/>
  <c r="Z1921" i="1"/>
  <c r="AA1921" i="1"/>
  <c r="AB1921" i="1"/>
  <c r="AC1921" i="1"/>
  <c r="AD1921" i="1"/>
  <c r="AE1921" i="1"/>
  <c r="W1922" i="1"/>
  <c r="X1922" i="1"/>
  <c r="Y1922" i="1"/>
  <c r="Z1922" i="1"/>
  <c r="AA1922" i="1"/>
  <c r="AB1922" i="1"/>
  <c r="AC1922" i="1"/>
  <c r="AD1922" i="1"/>
  <c r="AE1922" i="1"/>
  <c r="W1923" i="1"/>
  <c r="X1923" i="1"/>
  <c r="Y1923" i="1"/>
  <c r="Z1923" i="1"/>
  <c r="AA1923" i="1"/>
  <c r="AB1923" i="1"/>
  <c r="AC1923" i="1"/>
  <c r="AD1923" i="1"/>
  <c r="AE1923" i="1"/>
  <c r="W1924" i="1"/>
  <c r="X1924" i="1"/>
  <c r="Y1924" i="1"/>
  <c r="Z1924" i="1"/>
  <c r="AA1924" i="1"/>
  <c r="AB1924" i="1"/>
  <c r="AC1924" i="1"/>
  <c r="AD1924" i="1"/>
  <c r="AE1924" i="1"/>
  <c r="W1925" i="1"/>
  <c r="X1925" i="1"/>
  <c r="Y1925" i="1"/>
  <c r="Z1925" i="1"/>
  <c r="AA1925" i="1"/>
  <c r="AB1925" i="1"/>
  <c r="AC1925" i="1"/>
  <c r="AD1925" i="1"/>
  <c r="AE1925" i="1"/>
  <c r="W1926" i="1"/>
  <c r="X1926" i="1"/>
  <c r="Y1926" i="1"/>
  <c r="Z1926" i="1"/>
  <c r="AA1926" i="1"/>
  <c r="AB1926" i="1"/>
  <c r="AC1926" i="1"/>
  <c r="AD1926" i="1"/>
  <c r="AE1926" i="1"/>
  <c r="W1927" i="1"/>
  <c r="X1927" i="1"/>
  <c r="Y1927" i="1"/>
  <c r="Z1927" i="1"/>
  <c r="AA1927" i="1"/>
  <c r="AB1927" i="1"/>
  <c r="AC1927" i="1"/>
  <c r="AD1927" i="1"/>
  <c r="AE1927" i="1"/>
  <c r="W1928" i="1"/>
  <c r="X1928" i="1"/>
  <c r="Y1928" i="1"/>
  <c r="Z1928" i="1"/>
  <c r="AA1928" i="1"/>
  <c r="AB1928" i="1"/>
  <c r="AC1928" i="1"/>
  <c r="AD1928" i="1"/>
  <c r="AE1928" i="1"/>
  <c r="W1929" i="1"/>
  <c r="X1929" i="1"/>
  <c r="Y1929" i="1"/>
  <c r="Z1929" i="1"/>
  <c r="AA1929" i="1"/>
  <c r="AB1929" i="1"/>
  <c r="AC1929" i="1"/>
  <c r="AD1929" i="1"/>
  <c r="AE1929" i="1"/>
  <c r="W1930" i="1"/>
  <c r="X1930" i="1"/>
  <c r="Y1930" i="1"/>
  <c r="Z1930" i="1"/>
  <c r="AA1930" i="1"/>
  <c r="AB1930" i="1"/>
  <c r="AC1930" i="1"/>
  <c r="AD1930" i="1"/>
  <c r="AE1930" i="1"/>
  <c r="W1931" i="1"/>
  <c r="X1931" i="1"/>
  <c r="Y1931" i="1"/>
  <c r="Z1931" i="1"/>
  <c r="AA1931" i="1"/>
  <c r="AB1931" i="1"/>
  <c r="AC1931" i="1"/>
  <c r="AD1931" i="1"/>
  <c r="AE1931" i="1"/>
  <c r="W1932" i="1"/>
  <c r="X1932" i="1"/>
  <c r="Y1932" i="1"/>
  <c r="Z1932" i="1"/>
  <c r="AA1932" i="1"/>
  <c r="AB1932" i="1"/>
  <c r="AC1932" i="1"/>
  <c r="AD1932" i="1"/>
  <c r="AE1932" i="1"/>
  <c r="W1933" i="1"/>
  <c r="X1933" i="1"/>
  <c r="Y1933" i="1"/>
  <c r="Z1933" i="1"/>
  <c r="AA1933" i="1"/>
  <c r="AB1933" i="1"/>
  <c r="AC1933" i="1"/>
  <c r="AD1933" i="1"/>
  <c r="AE1933" i="1"/>
  <c r="W1934" i="1"/>
  <c r="X1934" i="1"/>
  <c r="Y1934" i="1"/>
  <c r="Z1934" i="1"/>
  <c r="AA1934" i="1"/>
  <c r="AB1934" i="1"/>
  <c r="AC1934" i="1"/>
  <c r="AD1934" i="1"/>
  <c r="AE1934" i="1"/>
  <c r="W1935" i="1"/>
  <c r="X1935" i="1"/>
  <c r="Y1935" i="1"/>
  <c r="Z1935" i="1"/>
  <c r="AA1935" i="1"/>
  <c r="AB1935" i="1"/>
  <c r="AC1935" i="1"/>
  <c r="AD1935" i="1"/>
  <c r="AE1935" i="1"/>
  <c r="W1936" i="1"/>
  <c r="X1936" i="1"/>
  <c r="Y1936" i="1"/>
  <c r="Z1936" i="1"/>
  <c r="AA1936" i="1"/>
  <c r="AB1936" i="1"/>
  <c r="AC1936" i="1"/>
  <c r="AD1936" i="1"/>
  <c r="AE1936" i="1"/>
  <c r="W1937" i="1"/>
  <c r="X1937" i="1"/>
  <c r="Y1937" i="1"/>
  <c r="Z1937" i="1"/>
  <c r="AA1937" i="1"/>
  <c r="AB1937" i="1"/>
  <c r="AC1937" i="1"/>
  <c r="AD1937" i="1"/>
  <c r="AE1937" i="1"/>
  <c r="W1938" i="1"/>
  <c r="X1938" i="1"/>
  <c r="Y1938" i="1"/>
  <c r="Z1938" i="1"/>
  <c r="AA1938" i="1"/>
  <c r="AB1938" i="1"/>
  <c r="AC1938" i="1"/>
  <c r="AD1938" i="1"/>
  <c r="AE1938" i="1"/>
  <c r="W1939" i="1"/>
  <c r="X1939" i="1"/>
  <c r="Y1939" i="1"/>
  <c r="Z1939" i="1"/>
  <c r="AA1939" i="1"/>
  <c r="AB1939" i="1"/>
  <c r="AC1939" i="1"/>
  <c r="AD1939" i="1"/>
  <c r="AE1939" i="1"/>
  <c r="W1940" i="1"/>
  <c r="X1940" i="1"/>
  <c r="Y1940" i="1"/>
  <c r="Z1940" i="1"/>
  <c r="AA1940" i="1"/>
  <c r="AB1940" i="1"/>
  <c r="AC1940" i="1"/>
  <c r="AD1940" i="1"/>
  <c r="AE1940" i="1"/>
  <c r="W1941" i="1"/>
  <c r="X1941" i="1"/>
  <c r="Y1941" i="1"/>
  <c r="Z1941" i="1"/>
  <c r="AA1941" i="1"/>
  <c r="AB1941" i="1"/>
  <c r="AC1941" i="1"/>
  <c r="AD1941" i="1"/>
  <c r="AE1941" i="1"/>
  <c r="W1942" i="1"/>
  <c r="X1942" i="1"/>
  <c r="Y1942" i="1"/>
  <c r="Z1942" i="1"/>
  <c r="AA1942" i="1"/>
  <c r="AB1942" i="1"/>
  <c r="AC1942" i="1"/>
  <c r="AD1942" i="1"/>
  <c r="AE1942" i="1"/>
  <c r="W1943" i="1"/>
  <c r="X1943" i="1"/>
  <c r="Y1943" i="1"/>
  <c r="Z1943" i="1"/>
  <c r="AA1943" i="1"/>
  <c r="AB1943" i="1"/>
  <c r="AC1943" i="1"/>
  <c r="AD1943" i="1"/>
  <c r="AE1943" i="1"/>
  <c r="W1944" i="1"/>
  <c r="X1944" i="1"/>
  <c r="Y1944" i="1"/>
  <c r="Z1944" i="1"/>
  <c r="AA1944" i="1"/>
  <c r="AB1944" i="1"/>
  <c r="AC1944" i="1"/>
  <c r="AD1944" i="1"/>
  <c r="AE1944" i="1"/>
  <c r="W1945" i="1"/>
  <c r="X1945" i="1"/>
  <c r="Y1945" i="1"/>
  <c r="Z1945" i="1"/>
  <c r="AA1945" i="1"/>
  <c r="AB1945" i="1"/>
  <c r="AC1945" i="1"/>
  <c r="AD1945" i="1"/>
  <c r="AE1945" i="1"/>
  <c r="W1946" i="1"/>
  <c r="X1946" i="1"/>
  <c r="Y1946" i="1"/>
  <c r="Z1946" i="1"/>
  <c r="AA1946" i="1"/>
  <c r="AB1946" i="1"/>
  <c r="AC1946" i="1"/>
  <c r="AD1946" i="1"/>
  <c r="AE1946" i="1"/>
  <c r="W1947" i="1"/>
  <c r="X1947" i="1"/>
  <c r="Y1947" i="1"/>
  <c r="Z1947" i="1"/>
  <c r="AA1947" i="1"/>
  <c r="AB1947" i="1"/>
  <c r="AC1947" i="1"/>
  <c r="AD1947" i="1"/>
  <c r="AE1947" i="1"/>
  <c r="W1948" i="1"/>
  <c r="X1948" i="1"/>
  <c r="Y1948" i="1"/>
  <c r="Z1948" i="1"/>
  <c r="AA1948" i="1"/>
  <c r="AB1948" i="1"/>
  <c r="AC1948" i="1"/>
  <c r="AD1948" i="1"/>
  <c r="AE1948" i="1"/>
  <c r="W1949" i="1"/>
  <c r="X1949" i="1"/>
  <c r="Y1949" i="1"/>
  <c r="Z1949" i="1"/>
  <c r="AA1949" i="1"/>
  <c r="AB1949" i="1"/>
  <c r="AC1949" i="1"/>
  <c r="AD1949" i="1"/>
  <c r="AE1949" i="1"/>
  <c r="W1950" i="1"/>
  <c r="X1950" i="1"/>
  <c r="Y1950" i="1"/>
  <c r="Z1950" i="1"/>
  <c r="AA1950" i="1"/>
  <c r="AB1950" i="1"/>
  <c r="AC1950" i="1"/>
  <c r="AD1950" i="1"/>
  <c r="AE1950" i="1"/>
  <c r="W1951" i="1"/>
  <c r="X1951" i="1"/>
  <c r="Y1951" i="1"/>
  <c r="Z1951" i="1"/>
  <c r="AA1951" i="1"/>
  <c r="AB1951" i="1"/>
  <c r="AC1951" i="1"/>
  <c r="AD1951" i="1"/>
  <c r="AE1951" i="1"/>
  <c r="W1952" i="1"/>
  <c r="X1952" i="1"/>
  <c r="Y1952" i="1"/>
  <c r="Z1952" i="1"/>
  <c r="AA1952" i="1"/>
  <c r="AB1952" i="1"/>
  <c r="AC1952" i="1"/>
  <c r="AD1952" i="1"/>
  <c r="AE1952" i="1"/>
  <c r="W1953" i="1"/>
  <c r="X1953" i="1"/>
  <c r="Y1953" i="1"/>
  <c r="Z1953" i="1"/>
  <c r="AA1953" i="1"/>
  <c r="AB1953" i="1"/>
  <c r="AC1953" i="1"/>
  <c r="AD1953" i="1"/>
  <c r="AE1953" i="1"/>
  <c r="W1954" i="1"/>
  <c r="X1954" i="1"/>
  <c r="Y1954" i="1"/>
  <c r="Z1954" i="1"/>
  <c r="AA1954" i="1"/>
  <c r="AB1954" i="1"/>
  <c r="AC1954" i="1"/>
  <c r="AD1954" i="1"/>
  <c r="AE1954" i="1"/>
  <c r="W1955" i="1"/>
  <c r="X1955" i="1"/>
  <c r="Y1955" i="1"/>
  <c r="Z1955" i="1"/>
  <c r="AA1955" i="1"/>
  <c r="AB1955" i="1"/>
  <c r="AC1955" i="1"/>
  <c r="AD1955" i="1"/>
  <c r="AE1955" i="1"/>
  <c r="W1956" i="1"/>
  <c r="X1956" i="1"/>
  <c r="Y1956" i="1"/>
  <c r="Z1956" i="1"/>
  <c r="AA1956" i="1"/>
  <c r="AB1956" i="1"/>
  <c r="AC1956" i="1"/>
  <c r="AD1956" i="1"/>
  <c r="AE1956" i="1"/>
  <c r="W1957" i="1"/>
  <c r="X1957" i="1"/>
  <c r="Y1957" i="1"/>
  <c r="Z1957" i="1"/>
  <c r="AA1957" i="1"/>
  <c r="AB1957" i="1"/>
  <c r="AC1957" i="1"/>
  <c r="AD1957" i="1"/>
  <c r="AE1957" i="1"/>
  <c r="W1958" i="1"/>
  <c r="X1958" i="1"/>
  <c r="Y1958" i="1"/>
  <c r="Z1958" i="1"/>
  <c r="AA1958" i="1"/>
  <c r="AB1958" i="1"/>
  <c r="AC1958" i="1"/>
  <c r="AD1958" i="1"/>
  <c r="AE1958" i="1"/>
  <c r="W1959" i="1"/>
  <c r="X1959" i="1"/>
  <c r="Y1959" i="1"/>
  <c r="Z1959" i="1"/>
  <c r="AA1959" i="1"/>
  <c r="AB1959" i="1"/>
  <c r="AC1959" i="1"/>
  <c r="AD1959" i="1"/>
  <c r="AE1959" i="1"/>
  <c r="W1960" i="1"/>
  <c r="X1960" i="1"/>
  <c r="Y1960" i="1"/>
  <c r="Z1960" i="1"/>
  <c r="AA1960" i="1"/>
  <c r="AB1960" i="1"/>
  <c r="AC1960" i="1"/>
  <c r="AD1960" i="1"/>
  <c r="AE1960" i="1"/>
  <c r="W1961" i="1"/>
  <c r="X1961" i="1"/>
  <c r="Y1961" i="1"/>
  <c r="Z1961" i="1"/>
  <c r="AA1961" i="1"/>
  <c r="AB1961" i="1"/>
  <c r="AC1961" i="1"/>
  <c r="AD1961" i="1"/>
  <c r="AE1961" i="1"/>
  <c r="W1962" i="1"/>
  <c r="X1962" i="1"/>
  <c r="Y1962" i="1"/>
  <c r="Z1962" i="1"/>
  <c r="AA1962" i="1"/>
  <c r="AB1962" i="1"/>
  <c r="AC1962" i="1"/>
  <c r="AD1962" i="1"/>
  <c r="AE1962" i="1"/>
  <c r="W1963" i="1"/>
  <c r="X1963" i="1"/>
  <c r="Y1963" i="1"/>
  <c r="Z1963" i="1"/>
  <c r="AA1963" i="1"/>
  <c r="AB1963" i="1"/>
  <c r="AC1963" i="1"/>
  <c r="AD1963" i="1"/>
  <c r="AE1963" i="1"/>
  <c r="W1964" i="1"/>
  <c r="X1964" i="1"/>
  <c r="Y1964" i="1"/>
  <c r="Z1964" i="1"/>
  <c r="AA1964" i="1"/>
  <c r="AB1964" i="1"/>
  <c r="AC1964" i="1"/>
  <c r="AD1964" i="1"/>
  <c r="AE1964" i="1"/>
  <c r="W1965" i="1"/>
  <c r="X1965" i="1"/>
  <c r="Y1965" i="1"/>
  <c r="Z1965" i="1"/>
  <c r="AA1965" i="1"/>
  <c r="AB1965" i="1"/>
  <c r="AC1965" i="1"/>
  <c r="AD1965" i="1"/>
  <c r="AE1965" i="1"/>
  <c r="W1966" i="1"/>
  <c r="X1966" i="1"/>
  <c r="Y1966" i="1"/>
  <c r="Z1966" i="1"/>
  <c r="AA1966" i="1"/>
  <c r="AB1966" i="1"/>
  <c r="AC1966" i="1"/>
  <c r="AD1966" i="1"/>
  <c r="AE1966" i="1"/>
  <c r="W1967" i="1"/>
  <c r="X1967" i="1"/>
  <c r="Y1967" i="1"/>
  <c r="Z1967" i="1"/>
  <c r="AA1967" i="1"/>
  <c r="AB1967" i="1"/>
  <c r="AC1967" i="1"/>
  <c r="AD1967" i="1"/>
  <c r="AE1967" i="1"/>
  <c r="W1968" i="1"/>
  <c r="X1968" i="1"/>
  <c r="Y1968" i="1"/>
  <c r="Z1968" i="1"/>
  <c r="AA1968" i="1"/>
  <c r="AB1968" i="1"/>
  <c r="AC1968" i="1"/>
  <c r="AD1968" i="1"/>
  <c r="AE1968" i="1"/>
  <c r="W1969" i="1"/>
  <c r="X1969" i="1"/>
  <c r="Y1969" i="1"/>
  <c r="Z1969" i="1"/>
  <c r="AA1969" i="1"/>
  <c r="AB1969" i="1"/>
  <c r="AC1969" i="1"/>
  <c r="AD1969" i="1"/>
  <c r="AE1969" i="1"/>
  <c r="W1970" i="1"/>
  <c r="X1970" i="1"/>
  <c r="Y1970" i="1"/>
  <c r="Z1970" i="1"/>
  <c r="AA1970" i="1"/>
  <c r="AB1970" i="1"/>
  <c r="AC1970" i="1"/>
  <c r="AD1970" i="1"/>
  <c r="AE1970" i="1"/>
  <c r="W1971" i="1"/>
  <c r="X1971" i="1"/>
  <c r="Y1971" i="1"/>
  <c r="Z1971" i="1"/>
  <c r="AA1971" i="1"/>
  <c r="AB1971" i="1"/>
  <c r="AC1971" i="1"/>
  <c r="AD1971" i="1"/>
  <c r="AE1971" i="1"/>
  <c r="W1972" i="1"/>
  <c r="X1972" i="1"/>
  <c r="Y1972" i="1"/>
  <c r="Z1972" i="1"/>
  <c r="AA1972" i="1"/>
  <c r="AB1972" i="1"/>
  <c r="AC1972" i="1"/>
  <c r="AD1972" i="1"/>
  <c r="AE1972" i="1"/>
  <c r="W1973" i="1"/>
  <c r="X1973" i="1"/>
  <c r="Y1973" i="1"/>
  <c r="Z1973" i="1"/>
  <c r="AA1973" i="1"/>
  <c r="AB1973" i="1"/>
  <c r="AC1973" i="1"/>
  <c r="AD1973" i="1"/>
  <c r="AE1973" i="1"/>
  <c r="W1974" i="1"/>
  <c r="X1974" i="1"/>
  <c r="Y1974" i="1"/>
  <c r="Z1974" i="1"/>
  <c r="AA1974" i="1"/>
  <c r="AB1974" i="1"/>
  <c r="AC1974" i="1"/>
  <c r="AD1974" i="1"/>
  <c r="AE1974" i="1"/>
  <c r="W1975" i="1"/>
  <c r="X1975" i="1"/>
  <c r="Y1975" i="1"/>
  <c r="Z1975" i="1"/>
  <c r="AA1975" i="1"/>
  <c r="AB1975" i="1"/>
  <c r="AC1975" i="1"/>
  <c r="AD1975" i="1"/>
  <c r="AE1975" i="1"/>
  <c r="W1976" i="1"/>
  <c r="X1976" i="1"/>
  <c r="Y1976" i="1"/>
  <c r="Z1976" i="1"/>
  <c r="AA1976" i="1"/>
  <c r="AB1976" i="1"/>
  <c r="AC1976" i="1"/>
  <c r="AD1976" i="1"/>
  <c r="AE1976" i="1"/>
  <c r="W1977" i="1"/>
  <c r="X1977" i="1"/>
  <c r="Y1977" i="1"/>
  <c r="Z1977" i="1"/>
  <c r="AA1977" i="1"/>
  <c r="AB1977" i="1"/>
  <c r="AC1977" i="1"/>
  <c r="AD1977" i="1"/>
  <c r="AE1977" i="1"/>
  <c r="W1978" i="1"/>
  <c r="X1978" i="1"/>
  <c r="Y1978" i="1"/>
  <c r="Z1978" i="1"/>
  <c r="AA1978" i="1"/>
  <c r="AB1978" i="1"/>
  <c r="AC1978" i="1"/>
  <c r="AD1978" i="1"/>
  <c r="AE1978" i="1"/>
  <c r="W1979" i="1"/>
  <c r="X1979" i="1"/>
  <c r="Y1979" i="1"/>
  <c r="Z1979" i="1"/>
  <c r="AA1979" i="1"/>
  <c r="AB1979" i="1"/>
  <c r="AC1979" i="1"/>
  <c r="AD1979" i="1"/>
  <c r="AE1979" i="1"/>
  <c r="W1980" i="1"/>
  <c r="X1980" i="1"/>
  <c r="Y1980" i="1"/>
  <c r="Z1980" i="1"/>
  <c r="AA1980" i="1"/>
  <c r="AB1980" i="1"/>
  <c r="AC1980" i="1"/>
  <c r="AD1980" i="1"/>
  <c r="AE1980" i="1"/>
  <c r="W1981" i="1"/>
  <c r="X1981" i="1"/>
  <c r="Y1981" i="1"/>
  <c r="Z1981" i="1"/>
  <c r="AA1981" i="1"/>
  <c r="AB1981" i="1"/>
  <c r="AC1981" i="1"/>
  <c r="AD1981" i="1"/>
  <c r="AE1981" i="1"/>
  <c r="W1982" i="1"/>
  <c r="X1982" i="1"/>
  <c r="Y1982" i="1"/>
  <c r="Z1982" i="1"/>
  <c r="AA1982" i="1"/>
  <c r="AB1982" i="1"/>
  <c r="AC1982" i="1"/>
  <c r="AD1982" i="1"/>
  <c r="AE1982" i="1"/>
  <c r="W1983" i="1"/>
  <c r="X1983" i="1"/>
  <c r="Y1983" i="1"/>
  <c r="Z1983" i="1"/>
  <c r="AA1983" i="1"/>
  <c r="AB1983" i="1"/>
  <c r="AC1983" i="1"/>
  <c r="AD1983" i="1"/>
  <c r="AE1983" i="1"/>
  <c r="W1984" i="1"/>
  <c r="X1984" i="1"/>
  <c r="Y1984" i="1"/>
  <c r="Z1984" i="1"/>
  <c r="AA1984" i="1"/>
  <c r="AB1984" i="1"/>
  <c r="AC1984" i="1"/>
  <c r="AD1984" i="1"/>
  <c r="AE1984" i="1"/>
  <c r="W1985" i="1"/>
  <c r="X1985" i="1"/>
  <c r="Y1985" i="1"/>
  <c r="Z1985" i="1"/>
  <c r="AA1985" i="1"/>
  <c r="AB1985" i="1"/>
  <c r="AC1985" i="1"/>
  <c r="AD1985" i="1"/>
  <c r="AE1985" i="1"/>
  <c r="W1986" i="1"/>
  <c r="X1986" i="1"/>
  <c r="Y1986" i="1"/>
  <c r="Z1986" i="1"/>
  <c r="AA1986" i="1"/>
  <c r="AB1986" i="1"/>
  <c r="AC1986" i="1"/>
  <c r="AD1986" i="1"/>
  <c r="AE1986" i="1"/>
  <c r="W1987" i="1"/>
  <c r="X1987" i="1"/>
  <c r="Y1987" i="1"/>
  <c r="Z1987" i="1"/>
  <c r="AA1987" i="1"/>
  <c r="AB1987" i="1"/>
  <c r="AC1987" i="1"/>
  <c r="AD1987" i="1"/>
  <c r="AE1987" i="1"/>
  <c r="W1988" i="1"/>
  <c r="X1988" i="1"/>
  <c r="Y1988" i="1"/>
  <c r="Z1988" i="1"/>
  <c r="AA1988" i="1"/>
  <c r="AB1988" i="1"/>
  <c r="AC1988" i="1"/>
  <c r="AD1988" i="1"/>
  <c r="AE1988" i="1"/>
  <c r="W1989" i="1"/>
  <c r="X1989" i="1"/>
  <c r="Y1989" i="1"/>
  <c r="Z1989" i="1"/>
  <c r="AA1989" i="1"/>
  <c r="AB1989" i="1"/>
  <c r="AC1989" i="1"/>
  <c r="AD1989" i="1"/>
  <c r="AE1989" i="1"/>
  <c r="W1990" i="1"/>
  <c r="X1990" i="1"/>
  <c r="Y1990" i="1"/>
  <c r="Z1990" i="1"/>
  <c r="AA1990" i="1"/>
  <c r="AB1990" i="1"/>
  <c r="AC1990" i="1"/>
  <c r="AD1990" i="1"/>
  <c r="AE1990" i="1"/>
  <c r="W1991" i="1"/>
  <c r="X1991" i="1"/>
  <c r="Y1991" i="1"/>
  <c r="Z1991" i="1"/>
  <c r="AA1991" i="1"/>
  <c r="AB1991" i="1"/>
  <c r="AC1991" i="1"/>
  <c r="AD1991" i="1"/>
  <c r="AE1991" i="1"/>
  <c r="W1992" i="1"/>
  <c r="X1992" i="1"/>
  <c r="Y1992" i="1"/>
  <c r="Z1992" i="1"/>
  <c r="AA1992" i="1"/>
  <c r="AB1992" i="1"/>
  <c r="AC1992" i="1"/>
  <c r="AD1992" i="1"/>
  <c r="AE1992" i="1"/>
  <c r="W1993" i="1"/>
  <c r="X1993" i="1"/>
  <c r="Y1993" i="1"/>
  <c r="Z1993" i="1"/>
  <c r="AA1993" i="1"/>
  <c r="AB1993" i="1"/>
  <c r="AC1993" i="1"/>
  <c r="AD1993" i="1"/>
  <c r="AE1993" i="1"/>
  <c r="W1994" i="1"/>
  <c r="X1994" i="1"/>
  <c r="Y1994" i="1"/>
  <c r="Z1994" i="1"/>
  <c r="AA1994" i="1"/>
  <c r="AB1994" i="1"/>
  <c r="AC1994" i="1"/>
  <c r="AD1994" i="1"/>
  <c r="AE1994" i="1"/>
  <c r="W1995" i="1"/>
  <c r="X1995" i="1"/>
  <c r="Y1995" i="1"/>
  <c r="Z1995" i="1"/>
  <c r="AA1995" i="1"/>
  <c r="AB1995" i="1"/>
  <c r="AC1995" i="1"/>
  <c r="AD1995" i="1"/>
  <c r="AE1995" i="1"/>
  <c r="W1996" i="1"/>
  <c r="X1996" i="1"/>
  <c r="Y1996" i="1"/>
  <c r="Z1996" i="1"/>
  <c r="AA1996" i="1"/>
  <c r="AB1996" i="1"/>
  <c r="AC1996" i="1"/>
  <c r="AD1996" i="1"/>
  <c r="AE1996" i="1"/>
  <c r="W1997" i="1"/>
  <c r="X1997" i="1"/>
  <c r="Y1997" i="1"/>
  <c r="Z1997" i="1"/>
  <c r="AA1997" i="1"/>
  <c r="AB1997" i="1"/>
  <c r="AC1997" i="1"/>
  <c r="AD1997" i="1"/>
  <c r="AE1997" i="1"/>
  <c r="W1998" i="1"/>
  <c r="X1998" i="1"/>
  <c r="Y1998" i="1"/>
  <c r="Z1998" i="1"/>
  <c r="AA1998" i="1"/>
  <c r="AB1998" i="1"/>
  <c r="AC1998" i="1"/>
  <c r="AD1998" i="1"/>
  <c r="AE1998" i="1"/>
  <c r="W1999" i="1"/>
  <c r="X1999" i="1"/>
  <c r="Y1999" i="1"/>
  <c r="Z1999" i="1"/>
  <c r="AA1999" i="1"/>
  <c r="AB1999" i="1"/>
  <c r="AC1999" i="1"/>
  <c r="AD1999" i="1"/>
  <c r="AE1999" i="1"/>
  <c r="W2000" i="1"/>
  <c r="X2000" i="1"/>
  <c r="Y2000" i="1"/>
  <c r="Z2000" i="1"/>
  <c r="AA2000" i="1"/>
  <c r="AB2000" i="1"/>
  <c r="AC2000" i="1"/>
  <c r="AD2000" i="1"/>
  <c r="AE2000" i="1"/>
  <c r="W2001" i="1"/>
  <c r="X2001" i="1"/>
  <c r="Y2001" i="1"/>
  <c r="Z2001" i="1"/>
  <c r="AA2001" i="1"/>
  <c r="AB2001" i="1"/>
  <c r="AC2001" i="1"/>
  <c r="AD2001" i="1"/>
  <c r="AE2001" i="1"/>
  <c r="W2002" i="1"/>
  <c r="X2002" i="1"/>
  <c r="Y2002" i="1"/>
  <c r="Z2002" i="1"/>
  <c r="AA2002" i="1"/>
  <c r="AB2002" i="1"/>
  <c r="AC2002" i="1"/>
  <c r="AD2002" i="1"/>
  <c r="AE2002" i="1"/>
  <c r="W2003" i="1"/>
  <c r="X2003" i="1"/>
  <c r="Y2003" i="1"/>
  <c r="Z2003" i="1"/>
  <c r="AA2003" i="1"/>
  <c r="AB2003" i="1"/>
  <c r="AC2003" i="1"/>
  <c r="AD2003" i="1"/>
  <c r="AE2003" i="1"/>
  <c r="W2004" i="1"/>
  <c r="X2004" i="1"/>
  <c r="Y2004" i="1"/>
  <c r="Z2004" i="1"/>
  <c r="AA2004" i="1"/>
  <c r="AB2004" i="1"/>
  <c r="AC2004" i="1"/>
  <c r="AD2004" i="1"/>
  <c r="AE2004" i="1"/>
  <c r="W2005" i="1"/>
  <c r="X2005" i="1"/>
  <c r="Y2005" i="1"/>
  <c r="Z2005" i="1"/>
  <c r="AA2005" i="1"/>
  <c r="AB2005" i="1"/>
  <c r="AC2005" i="1"/>
  <c r="AD2005" i="1"/>
  <c r="AE2005" i="1"/>
  <c r="W2006" i="1"/>
  <c r="X2006" i="1"/>
  <c r="Y2006" i="1"/>
  <c r="Z2006" i="1"/>
  <c r="AA2006" i="1"/>
  <c r="AB2006" i="1"/>
  <c r="AC2006" i="1"/>
  <c r="AD2006" i="1"/>
  <c r="AE2006" i="1"/>
  <c r="W2007" i="1"/>
  <c r="X2007" i="1"/>
  <c r="Y2007" i="1"/>
  <c r="Z2007" i="1"/>
  <c r="AA2007" i="1"/>
  <c r="AB2007" i="1"/>
  <c r="AC2007" i="1"/>
  <c r="AD2007" i="1"/>
  <c r="AE2007" i="1"/>
  <c r="W2008" i="1"/>
  <c r="X2008" i="1"/>
  <c r="Y2008" i="1"/>
  <c r="Z2008" i="1"/>
  <c r="AA2008" i="1"/>
  <c r="AB2008" i="1"/>
  <c r="AC2008" i="1"/>
  <c r="AD2008" i="1"/>
  <c r="AE2008" i="1"/>
  <c r="W2009" i="1"/>
  <c r="X2009" i="1"/>
  <c r="Y2009" i="1"/>
  <c r="Z2009" i="1"/>
  <c r="AA2009" i="1"/>
  <c r="AB2009" i="1"/>
  <c r="AC2009" i="1"/>
  <c r="AD2009" i="1"/>
  <c r="AE2009" i="1"/>
  <c r="W2010" i="1"/>
  <c r="X2010" i="1"/>
  <c r="Y2010" i="1"/>
  <c r="Z2010" i="1"/>
  <c r="AA2010" i="1"/>
  <c r="AB2010" i="1"/>
  <c r="AC2010" i="1"/>
  <c r="AD2010" i="1"/>
  <c r="AE2010" i="1"/>
  <c r="W2011" i="1"/>
  <c r="X2011" i="1"/>
  <c r="Y2011" i="1"/>
  <c r="Z2011" i="1"/>
  <c r="AA2011" i="1"/>
  <c r="AB2011" i="1"/>
  <c r="AC2011" i="1"/>
  <c r="AD2011" i="1"/>
  <c r="AE2011" i="1"/>
  <c r="W2012" i="1"/>
  <c r="X2012" i="1"/>
  <c r="Y2012" i="1"/>
  <c r="Z2012" i="1"/>
  <c r="AA2012" i="1"/>
  <c r="AB2012" i="1"/>
  <c r="AC2012" i="1"/>
  <c r="AD2012" i="1"/>
  <c r="AE2012" i="1"/>
  <c r="W2013" i="1"/>
  <c r="X2013" i="1"/>
  <c r="Y2013" i="1"/>
  <c r="Z2013" i="1"/>
  <c r="AA2013" i="1"/>
  <c r="AB2013" i="1"/>
  <c r="AC2013" i="1"/>
  <c r="AD2013" i="1"/>
  <c r="AE2013" i="1"/>
  <c r="W2014" i="1"/>
  <c r="X2014" i="1"/>
  <c r="Y2014" i="1"/>
  <c r="Z2014" i="1"/>
  <c r="AA2014" i="1"/>
  <c r="AB2014" i="1"/>
  <c r="AC2014" i="1"/>
  <c r="AD2014" i="1"/>
  <c r="AE2014" i="1"/>
  <c r="W2015" i="1"/>
  <c r="X2015" i="1"/>
  <c r="Y2015" i="1"/>
  <c r="Z2015" i="1"/>
  <c r="AA2015" i="1"/>
  <c r="AB2015" i="1"/>
  <c r="AC2015" i="1"/>
  <c r="AD2015" i="1"/>
  <c r="AE2015" i="1"/>
  <c r="W2016" i="1"/>
  <c r="X2016" i="1"/>
  <c r="Y2016" i="1"/>
  <c r="Z2016" i="1"/>
  <c r="AA2016" i="1"/>
  <c r="AB2016" i="1"/>
  <c r="AC2016" i="1"/>
  <c r="AD2016" i="1"/>
  <c r="AE2016" i="1"/>
  <c r="W2017" i="1"/>
  <c r="X2017" i="1"/>
  <c r="Y2017" i="1"/>
  <c r="Z2017" i="1"/>
  <c r="AA2017" i="1"/>
  <c r="AB2017" i="1"/>
  <c r="AC2017" i="1"/>
  <c r="AD2017" i="1"/>
  <c r="AE2017" i="1"/>
  <c r="W2018" i="1"/>
  <c r="X2018" i="1"/>
  <c r="Y2018" i="1"/>
  <c r="Z2018" i="1"/>
  <c r="AA2018" i="1"/>
  <c r="AB2018" i="1"/>
  <c r="AC2018" i="1"/>
  <c r="AD2018" i="1"/>
  <c r="AE2018" i="1"/>
  <c r="W2019" i="1"/>
  <c r="X2019" i="1"/>
  <c r="Y2019" i="1"/>
  <c r="Z2019" i="1"/>
  <c r="AA2019" i="1"/>
  <c r="AB2019" i="1"/>
  <c r="AC2019" i="1"/>
  <c r="AD2019" i="1"/>
  <c r="AE2019" i="1"/>
  <c r="W2020" i="1"/>
  <c r="X2020" i="1"/>
  <c r="Y2020" i="1"/>
  <c r="Z2020" i="1"/>
  <c r="AA2020" i="1"/>
  <c r="AB2020" i="1"/>
  <c r="AC2020" i="1"/>
  <c r="AD2020" i="1"/>
  <c r="AE2020" i="1"/>
  <c r="W2021" i="1"/>
  <c r="X2021" i="1"/>
  <c r="Y2021" i="1"/>
  <c r="Z2021" i="1"/>
  <c r="AA2021" i="1"/>
  <c r="AB2021" i="1"/>
  <c r="AC2021" i="1"/>
  <c r="AD2021" i="1"/>
  <c r="AE2021" i="1"/>
  <c r="W2022" i="1"/>
  <c r="X2022" i="1"/>
  <c r="Y2022" i="1"/>
  <c r="Z2022" i="1"/>
  <c r="AA2022" i="1"/>
  <c r="AB2022" i="1"/>
  <c r="AC2022" i="1"/>
  <c r="AD2022" i="1"/>
  <c r="AE2022" i="1"/>
  <c r="W2023" i="1"/>
  <c r="X2023" i="1"/>
  <c r="Y2023" i="1"/>
  <c r="Z2023" i="1"/>
  <c r="AA2023" i="1"/>
  <c r="AB2023" i="1"/>
  <c r="AC2023" i="1"/>
  <c r="AD2023" i="1"/>
  <c r="AE2023" i="1"/>
  <c r="W2024" i="1"/>
  <c r="X2024" i="1"/>
  <c r="Y2024" i="1"/>
  <c r="Z2024" i="1"/>
  <c r="AA2024" i="1"/>
  <c r="AB2024" i="1"/>
  <c r="AC2024" i="1"/>
  <c r="AD2024" i="1"/>
  <c r="AE2024" i="1"/>
  <c r="W2025" i="1"/>
  <c r="X2025" i="1"/>
  <c r="Y2025" i="1"/>
  <c r="Z2025" i="1"/>
  <c r="AA2025" i="1"/>
  <c r="AB2025" i="1"/>
  <c r="AC2025" i="1"/>
  <c r="AD2025" i="1"/>
  <c r="AE2025" i="1"/>
  <c r="W2026" i="1"/>
  <c r="X2026" i="1"/>
  <c r="Y2026" i="1"/>
  <c r="Z2026" i="1"/>
  <c r="AA2026" i="1"/>
  <c r="AB2026" i="1"/>
  <c r="AC2026" i="1"/>
  <c r="AD2026" i="1"/>
  <c r="AE2026" i="1"/>
  <c r="W2027" i="1"/>
  <c r="X2027" i="1"/>
  <c r="Y2027" i="1"/>
  <c r="Z2027" i="1"/>
  <c r="AA2027" i="1"/>
  <c r="AB2027" i="1"/>
  <c r="AC2027" i="1"/>
  <c r="AD2027" i="1"/>
  <c r="AE2027" i="1"/>
  <c r="W2028" i="1"/>
  <c r="X2028" i="1"/>
  <c r="Y2028" i="1"/>
  <c r="Z2028" i="1"/>
  <c r="AA2028" i="1"/>
  <c r="AB2028" i="1"/>
  <c r="AC2028" i="1"/>
  <c r="AD2028" i="1"/>
  <c r="AE2028" i="1"/>
  <c r="W2029" i="1"/>
  <c r="X2029" i="1"/>
  <c r="Y2029" i="1"/>
  <c r="Z2029" i="1"/>
  <c r="AA2029" i="1"/>
  <c r="AB2029" i="1"/>
  <c r="AC2029" i="1"/>
  <c r="AD2029" i="1"/>
  <c r="AE2029" i="1"/>
  <c r="W2030" i="1"/>
  <c r="X2030" i="1"/>
  <c r="Y2030" i="1"/>
  <c r="Z2030" i="1"/>
  <c r="AA2030" i="1"/>
  <c r="AB2030" i="1"/>
  <c r="AC2030" i="1"/>
  <c r="AD2030" i="1"/>
  <c r="AE2030" i="1"/>
  <c r="W2031" i="1"/>
  <c r="X2031" i="1"/>
  <c r="Y2031" i="1"/>
  <c r="Z2031" i="1"/>
  <c r="AA2031" i="1"/>
  <c r="AB2031" i="1"/>
  <c r="AC2031" i="1"/>
  <c r="AD2031" i="1"/>
  <c r="AE2031" i="1"/>
  <c r="W2032" i="1"/>
  <c r="X2032" i="1"/>
  <c r="Y2032" i="1"/>
  <c r="Z2032" i="1"/>
  <c r="AA2032" i="1"/>
  <c r="AB2032" i="1"/>
  <c r="AC2032" i="1"/>
  <c r="AD2032" i="1"/>
  <c r="AE2032" i="1"/>
  <c r="W2033" i="1"/>
  <c r="X2033" i="1"/>
  <c r="Y2033" i="1"/>
  <c r="Z2033" i="1"/>
  <c r="AA2033" i="1"/>
  <c r="AB2033" i="1"/>
  <c r="AC2033" i="1"/>
  <c r="AD2033" i="1"/>
  <c r="AE2033" i="1"/>
  <c r="W2034" i="1"/>
  <c r="X2034" i="1"/>
  <c r="Y2034" i="1"/>
  <c r="Z2034" i="1"/>
  <c r="AA2034" i="1"/>
  <c r="AB2034" i="1"/>
  <c r="AC2034" i="1"/>
  <c r="AD2034" i="1"/>
  <c r="AE2034" i="1"/>
  <c r="W2035" i="1"/>
  <c r="X2035" i="1"/>
  <c r="Y2035" i="1"/>
  <c r="Z2035" i="1"/>
  <c r="AA2035" i="1"/>
  <c r="AB2035" i="1"/>
  <c r="AC2035" i="1"/>
  <c r="AD2035" i="1"/>
  <c r="AE2035" i="1"/>
  <c r="W2036" i="1"/>
  <c r="X2036" i="1"/>
  <c r="Y2036" i="1"/>
  <c r="Z2036" i="1"/>
  <c r="AA2036" i="1"/>
  <c r="AB2036" i="1"/>
  <c r="AC2036" i="1"/>
  <c r="AD2036" i="1"/>
  <c r="AE2036" i="1"/>
  <c r="W2037" i="1"/>
  <c r="X2037" i="1"/>
  <c r="Y2037" i="1"/>
  <c r="Z2037" i="1"/>
  <c r="AA2037" i="1"/>
  <c r="AB2037" i="1"/>
  <c r="AC2037" i="1"/>
  <c r="AD2037" i="1"/>
  <c r="AE2037" i="1"/>
  <c r="W2038" i="1"/>
  <c r="X2038" i="1"/>
  <c r="Y2038" i="1"/>
  <c r="Z2038" i="1"/>
  <c r="AA2038" i="1"/>
  <c r="AB2038" i="1"/>
  <c r="AC2038" i="1"/>
  <c r="AD2038" i="1"/>
  <c r="AE2038" i="1"/>
  <c r="W2039" i="1"/>
  <c r="X2039" i="1"/>
  <c r="Y2039" i="1"/>
  <c r="Z2039" i="1"/>
  <c r="AA2039" i="1"/>
  <c r="AB2039" i="1"/>
  <c r="AC2039" i="1"/>
  <c r="AD2039" i="1"/>
  <c r="AE2039" i="1"/>
  <c r="W2040" i="1"/>
  <c r="X2040" i="1"/>
  <c r="Y2040" i="1"/>
  <c r="Z2040" i="1"/>
  <c r="AA2040" i="1"/>
  <c r="AB2040" i="1"/>
  <c r="AC2040" i="1"/>
  <c r="AD2040" i="1"/>
  <c r="AE2040" i="1"/>
  <c r="W2041" i="1"/>
  <c r="X2041" i="1"/>
  <c r="Y2041" i="1"/>
  <c r="Z2041" i="1"/>
  <c r="AA2041" i="1"/>
  <c r="AB2041" i="1"/>
  <c r="AC2041" i="1"/>
  <c r="AD2041" i="1"/>
  <c r="AE2041" i="1"/>
  <c r="W2042" i="1"/>
  <c r="X2042" i="1"/>
  <c r="Y2042" i="1"/>
  <c r="Z2042" i="1"/>
  <c r="AA2042" i="1"/>
  <c r="AB2042" i="1"/>
  <c r="AC2042" i="1"/>
  <c r="AD2042" i="1"/>
  <c r="AE2042" i="1"/>
  <c r="W2043" i="1"/>
  <c r="X2043" i="1"/>
  <c r="Y2043" i="1"/>
  <c r="Z2043" i="1"/>
  <c r="AA2043" i="1"/>
  <c r="AB2043" i="1"/>
  <c r="AC2043" i="1"/>
  <c r="AD2043" i="1"/>
  <c r="AE2043" i="1"/>
  <c r="W2044" i="1"/>
  <c r="X2044" i="1"/>
  <c r="Y2044" i="1"/>
  <c r="Z2044" i="1"/>
  <c r="AA2044" i="1"/>
  <c r="AB2044" i="1"/>
  <c r="AC2044" i="1"/>
  <c r="AD2044" i="1"/>
  <c r="AE2044" i="1"/>
  <c r="W2045" i="1"/>
  <c r="X2045" i="1"/>
  <c r="Y2045" i="1"/>
  <c r="Z2045" i="1"/>
  <c r="AA2045" i="1"/>
  <c r="AB2045" i="1"/>
  <c r="AC2045" i="1"/>
  <c r="AD2045" i="1"/>
  <c r="AE2045" i="1"/>
  <c r="W2046" i="1"/>
  <c r="X2046" i="1"/>
  <c r="Y2046" i="1"/>
  <c r="Z2046" i="1"/>
  <c r="AA2046" i="1"/>
  <c r="AB2046" i="1"/>
  <c r="AC2046" i="1"/>
  <c r="AD2046" i="1"/>
  <c r="AE2046" i="1"/>
  <c r="W2047" i="1"/>
  <c r="X2047" i="1"/>
  <c r="Y2047" i="1"/>
  <c r="Z2047" i="1"/>
  <c r="AA2047" i="1"/>
  <c r="AB2047" i="1"/>
  <c r="AC2047" i="1"/>
  <c r="AD2047" i="1"/>
  <c r="AE2047" i="1"/>
  <c r="W2048" i="1"/>
  <c r="X2048" i="1"/>
  <c r="Y2048" i="1"/>
  <c r="Z2048" i="1"/>
  <c r="AA2048" i="1"/>
  <c r="AB2048" i="1"/>
  <c r="AC2048" i="1"/>
  <c r="AD2048" i="1"/>
  <c r="AE2048" i="1"/>
  <c r="W2049" i="1"/>
  <c r="X2049" i="1"/>
  <c r="Y2049" i="1"/>
  <c r="Z2049" i="1"/>
  <c r="AA2049" i="1"/>
  <c r="AB2049" i="1"/>
  <c r="AC2049" i="1"/>
  <c r="AD2049" i="1"/>
  <c r="AE2049" i="1"/>
  <c r="W2050" i="1"/>
  <c r="X2050" i="1"/>
  <c r="Y2050" i="1"/>
  <c r="Z2050" i="1"/>
  <c r="AA2050" i="1"/>
  <c r="AB2050" i="1"/>
  <c r="AC2050" i="1"/>
  <c r="AD2050" i="1"/>
  <c r="AE2050" i="1"/>
  <c r="W2051" i="1"/>
  <c r="X2051" i="1"/>
  <c r="Y2051" i="1"/>
  <c r="Z2051" i="1"/>
  <c r="AA2051" i="1"/>
  <c r="AB2051" i="1"/>
  <c r="AC2051" i="1"/>
  <c r="AD2051" i="1"/>
  <c r="AE2051" i="1"/>
  <c r="W2052" i="1"/>
  <c r="X2052" i="1"/>
  <c r="Y2052" i="1"/>
  <c r="Z2052" i="1"/>
  <c r="AA2052" i="1"/>
  <c r="AB2052" i="1"/>
  <c r="AC2052" i="1"/>
  <c r="AD2052" i="1"/>
  <c r="AE2052" i="1"/>
  <c r="W2053" i="1"/>
  <c r="X2053" i="1"/>
  <c r="Y2053" i="1"/>
  <c r="Z2053" i="1"/>
  <c r="AA2053" i="1"/>
  <c r="AB2053" i="1"/>
  <c r="AC2053" i="1"/>
  <c r="AD2053" i="1"/>
  <c r="AE2053" i="1"/>
  <c r="W2054" i="1"/>
  <c r="X2054" i="1"/>
  <c r="Y2054" i="1"/>
  <c r="Z2054" i="1"/>
  <c r="AA2054" i="1"/>
  <c r="AB2054" i="1"/>
  <c r="AC2054" i="1"/>
  <c r="AD2054" i="1"/>
  <c r="AE2054" i="1"/>
  <c r="W2055" i="1"/>
  <c r="X2055" i="1"/>
  <c r="Y2055" i="1"/>
  <c r="Z2055" i="1"/>
  <c r="AA2055" i="1"/>
  <c r="AB2055" i="1"/>
  <c r="AC2055" i="1"/>
  <c r="AD2055" i="1"/>
  <c r="AE2055" i="1"/>
  <c r="W2056" i="1"/>
  <c r="X2056" i="1"/>
  <c r="Y2056" i="1"/>
  <c r="Z2056" i="1"/>
  <c r="AA2056" i="1"/>
  <c r="AB2056" i="1"/>
  <c r="AC2056" i="1"/>
  <c r="AD2056" i="1"/>
  <c r="AE2056" i="1"/>
  <c r="W2057" i="1"/>
  <c r="X2057" i="1"/>
  <c r="Y2057" i="1"/>
  <c r="Z2057" i="1"/>
  <c r="AA2057" i="1"/>
  <c r="AB2057" i="1"/>
  <c r="AC2057" i="1"/>
  <c r="AD2057" i="1"/>
  <c r="AE2057" i="1"/>
  <c r="W2058" i="1"/>
  <c r="X2058" i="1"/>
  <c r="Y2058" i="1"/>
  <c r="Z2058" i="1"/>
  <c r="AA2058" i="1"/>
  <c r="AB2058" i="1"/>
  <c r="AC2058" i="1"/>
  <c r="AD2058" i="1"/>
  <c r="AE2058" i="1"/>
  <c r="W2059" i="1"/>
  <c r="X2059" i="1"/>
  <c r="Y2059" i="1"/>
  <c r="Z2059" i="1"/>
  <c r="AA2059" i="1"/>
  <c r="AB2059" i="1"/>
  <c r="AC2059" i="1"/>
  <c r="AD2059" i="1"/>
  <c r="AE2059" i="1"/>
  <c r="W2060" i="1"/>
  <c r="X2060" i="1"/>
  <c r="Y2060" i="1"/>
  <c r="Z2060" i="1"/>
  <c r="AA2060" i="1"/>
  <c r="AB2060" i="1"/>
  <c r="AC2060" i="1"/>
  <c r="AD2060" i="1"/>
  <c r="AE2060" i="1"/>
  <c r="W2061" i="1"/>
  <c r="X2061" i="1"/>
  <c r="Y2061" i="1"/>
  <c r="Z2061" i="1"/>
  <c r="AA2061" i="1"/>
  <c r="AB2061" i="1"/>
  <c r="AC2061" i="1"/>
  <c r="AD2061" i="1"/>
  <c r="AE2061" i="1"/>
  <c r="W2062" i="1"/>
  <c r="X2062" i="1"/>
  <c r="Y2062" i="1"/>
  <c r="Z2062" i="1"/>
  <c r="AA2062" i="1"/>
  <c r="AB2062" i="1"/>
  <c r="AC2062" i="1"/>
  <c r="AD2062" i="1"/>
  <c r="AE2062" i="1"/>
  <c r="W2063" i="1"/>
  <c r="X2063" i="1"/>
  <c r="Y2063" i="1"/>
  <c r="Z2063" i="1"/>
  <c r="AA2063" i="1"/>
  <c r="AB2063" i="1"/>
  <c r="AC2063" i="1"/>
  <c r="AD2063" i="1"/>
  <c r="AE2063" i="1"/>
  <c r="W2064" i="1"/>
  <c r="X2064" i="1"/>
  <c r="Y2064" i="1"/>
  <c r="Z2064" i="1"/>
  <c r="AA2064" i="1"/>
  <c r="AB2064" i="1"/>
  <c r="AC2064" i="1"/>
  <c r="AD2064" i="1"/>
  <c r="AE2064" i="1"/>
  <c r="W2065" i="1"/>
  <c r="X2065" i="1"/>
  <c r="Y2065" i="1"/>
  <c r="Z2065" i="1"/>
  <c r="AA2065" i="1"/>
  <c r="AB2065" i="1"/>
  <c r="AC2065" i="1"/>
  <c r="AD2065" i="1"/>
  <c r="AE2065" i="1"/>
  <c r="W2066" i="1"/>
  <c r="X2066" i="1"/>
  <c r="Y2066" i="1"/>
  <c r="Z2066" i="1"/>
  <c r="AA2066" i="1"/>
  <c r="AB2066" i="1"/>
  <c r="AC2066" i="1"/>
  <c r="AD2066" i="1"/>
  <c r="AE2066" i="1"/>
  <c r="W2067" i="1"/>
  <c r="X2067" i="1"/>
  <c r="Y2067" i="1"/>
  <c r="Z2067" i="1"/>
  <c r="AA2067" i="1"/>
  <c r="AB2067" i="1"/>
  <c r="AC2067" i="1"/>
  <c r="AD2067" i="1"/>
  <c r="AE2067" i="1"/>
  <c r="W2068" i="1"/>
  <c r="X2068" i="1"/>
  <c r="Y2068" i="1"/>
  <c r="Z2068" i="1"/>
  <c r="AA2068" i="1"/>
  <c r="AB2068" i="1"/>
  <c r="AC2068" i="1"/>
  <c r="AD2068" i="1"/>
  <c r="AE2068" i="1"/>
  <c r="W2069" i="1"/>
  <c r="X2069" i="1"/>
  <c r="Y2069" i="1"/>
  <c r="Z2069" i="1"/>
  <c r="AA2069" i="1"/>
  <c r="AB2069" i="1"/>
  <c r="AC2069" i="1"/>
  <c r="AD2069" i="1"/>
  <c r="AE2069" i="1"/>
  <c r="W2070" i="1"/>
  <c r="X2070" i="1"/>
  <c r="Y2070" i="1"/>
  <c r="Z2070" i="1"/>
  <c r="AA2070" i="1"/>
  <c r="AB2070" i="1"/>
  <c r="AC2070" i="1"/>
  <c r="AD2070" i="1"/>
  <c r="AE2070" i="1"/>
  <c r="W2071" i="1"/>
  <c r="X2071" i="1"/>
  <c r="Y2071" i="1"/>
  <c r="Z2071" i="1"/>
  <c r="AA2071" i="1"/>
  <c r="AB2071" i="1"/>
  <c r="AC2071" i="1"/>
  <c r="AD2071" i="1"/>
  <c r="AE2071" i="1"/>
  <c r="W2072" i="1"/>
  <c r="X2072" i="1"/>
  <c r="Y2072" i="1"/>
  <c r="Z2072" i="1"/>
  <c r="AA2072" i="1"/>
  <c r="AB2072" i="1"/>
  <c r="AC2072" i="1"/>
  <c r="AD2072" i="1"/>
  <c r="AE2072" i="1"/>
  <c r="W2073" i="1"/>
  <c r="X2073" i="1"/>
  <c r="Y2073" i="1"/>
  <c r="Z2073" i="1"/>
  <c r="AA2073" i="1"/>
  <c r="AB2073" i="1"/>
  <c r="AC2073" i="1"/>
  <c r="AD2073" i="1"/>
  <c r="AE2073" i="1"/>
  <c r="W2074" i="1"/>
  <c r="X2074" i="1"/>
  <c r="Y2074" i="1"/>
  <c r="Z2074" i="1"/>
  <c r="AA2074" i="1"/>
  <c r="AB2074" i="1"/>
  <c r="AC2074" i="1"/>
  <c r="AD2074" i="1"/>
  <c r="AE2074" i="1"/>
  <c r="W2075" i="1"/>
  <c r="X2075" i="1"/>
  <c r="Y2075" i="1"/>
  <c r="Z2075" i="1"/>
  <c r="AA2075" i="1"/>
  <c r="AB2075" i="1"/>
  <c r="AC2075" i="1"/>
  <c r="AD2075" i="1"/>
  <c r="AE2075" i="1"/>
  <c r="W2076" i="1"/>
  <c r="X2076" i="1"/>
  <c r="Y2076" i="1"/>
  <c r="Z2076" i="1"/>
  <c r="AA2076" i="1"/>
  <c r="AB2076" i="1"/>
  <c r="AC2076" i="1"/>
  <c r="AD2076" i="1"/>
  <c r="AE2076" i="1"/>
  <c r="W2077" i="1"/>
  <c r="X2077" i="1"/>
  <c r="Y2077" i="1"/>
  <c r="Z2077" i="1"/>
  <c r="AA2077" i="1"/>
  <c r="AB2077" i="1"/>
  <c r="AC2077" i="1"/>
  <c r="AD2077" i="1"/>
  <c r="AE2077" i="1"/>
  <c r="W2078" i="1"/>
  <c r="X2078" i="1"/>
  <c r="Y2078" i="1"/>
  <c r="Z2078" i="1"/>
  <c r="AA2078" i="1"/>
  <c r="AB2078" i="1"/>
  <c r="AC2078" i="1"/>
  <c r="AD2078" i="1"/>
  <c r="AE2078" i="1"/>
  <c r="W2079" i="1"/>
  <c r="X2079" i="1"/>
  <c r="Y2079" i="1"/>
  <c r="Z2079" i="1"/>
  <c r="AA2079" i="1"/>
  <c r="AB2079" i="1"/>
  <c r="AC2079" i="1"/>
  <c r="AD2079" i="1"/>
  <c r="AE2079" i="1"/>
  <c r="W2080" i="1"/>
  <c r="X2080" i="1"/>
  <c r="Y2080" i="1"/>
  <c r="Z2080" i="1"/>
  <c r="AA2080" i="1"/>
  <c r="AB2080" i="1"/>
  <c r="AC2080" i="1"/>
  <c r="AD2080" i="1"/>
  <c r="AE2080" i="1"/>
  <c r="W2081" i="1"/>
  <c r="X2081" i="1"/>
  <c r="Y2081" i="1"/>
  <c r="Z2081" i="1"/>
  <c r="AA2081" i="1"/>
  <c r="AB2081" i="1"/>
  <c r="AC2081" i="1"/>
  <c r="AD2081" i="1"/>
  <c r="AE2081" i="1"/>
  <c r="W2082" i="1"/>
  <c r="X2082" i="1"/>
  <c r="Y2082" i="1"/>
  <c r="Z2082" i="1"/>
  <c r="AA2082" i="1"/>
  <c r="AB2082" i="1"/>
  <c r="AC2082" i="1"/>
  <c r="AD2082" i="1"/>
  <c r="AE2082" i="1"/>
  <c r="W2083" i="1"/>
  <c r="X2083" i="1"/>
  <c r="Y2083" i="1"/>
  <c r="Z2083" i="1"/>
  <c r="AA2083" i="1"/>
  <c r="AB2083" i="1"/>
  <c r="AC2083" i="1"/>
  <c r="AD2083" i="1"/>
  <c r="AE2083" i="1"/>
  <c r="W2084" i="1"/>
  <c r="X2084" i="1"/>
  <c r="Y2084" i="1"/>
  <c r="Z2084" i="1"/>
  <c r="AA2084" i="1"/>
  <c r="AB2084" i="1"/>
  <c r="AC2084" i="1"/>
  <c r="AD2084" i="1"/>
  <c r="AE2084" i="1"/>
  <c r="W2085" i="1"/>
  <c r="X2085" i="1"/>
  <c r="Y2085" i="1"/>
  <c r="Z2085" i="1"/>
  <c r="AA2085" i="1"/>
  <c r="AB2085" i="1"/>
  <c r="AC2085" i="1"/>
  <c r="AD2085" i="1"/>
  <c r="AE2085" i="1"/>
  <c r="W2086" i="1"/>
  <c r="X2086" i="1"/>
  <c r="Y2086" i="1"/>
  <c r="Z2086" i="1"/>
  <c r="AA2086" i="1"/>
  <c r="AB2086" i="1"/>
  <c r="AC2086" i="1"/>
  <c r="AD2086" i="1"/>
  <c r="AE2086" i="1"/>
  <c r="W2087" i="1"/>
  <c r="X2087" i="1"/>
  <c r="Y2087" i="1"/>
  <c r="Z2087" i="1"/>
  <c r="AA2087" i="1"/>
  <c r="AB2087" i="1"/>
  <c r="AC2087" i="1"/>
  <c r="AD2087" i="1"/>
  <c r="AE2087" i="1"/>
  <c r="W2088" i="1"/>
  <c r="X2088" i="1"/>
  <c r="Y2088" i="1"/>
  <c r="Z2088" i="1"/>
  <c r="AA2088" i="1"/>
  <c r="AB2088" i="1"/>
  <c r="AC2088" i="1"/>
  <c r="AD2088" i="1"/>
  <c r="AE2088" i="1"/>
  <c r="W2089" i="1"/>
  <c r="X2089" i="1"/>
  <c r="Y2089" i="1"/>
  <c r="Z2089" i="1"/>
  <c r="AA2089" i="1"/>
  <c r="AB2089" i="1"/>
  <c r="AC2089" i="1"/>
  <c r="AD2089" i="1"/>
  <c r="AE2089" i="1"/>
  <c r="W2090" i="1"/>
  <c r="X2090" i="1"/>
  <c r="Y2090" i="1"/>
  <c r="Z2090" i="1"/>
  <c r="AA2090" i="1"/>
  <c r="AB2090" i="1"/>
  <c r="AC2090" i="1"/>
  <c r="AD2090" i="1"/>
  <c r="AE2090" i="1"/>
  <c r="W2091" i="1"/>
  <c r="X2091" i="1"/>
  <c r="Y2091" i="1"/>
  <c r="Z2091" i="1"/>
  <c r="AA2091" i="1"/>
  <c r="AB2091" i="1"/>
  <c r="AC2091" i="1"/>
  <c r="AD2091" i="1"/>
  <c r="AE2091" i="1"/>
  <c r="W2092" i="1"/>
  <c r="X2092" i="1"/>
  <c r="Y2092" i="1"/>
  <c r="Z2092" i="1"/>
  <c r="AA2092" i="1"/>
  <c r="AB2092" i="1"/>
  <c r="AC2092" i="1"/>
  <c r="AD2092" i="1"/>
  <c r="AE2092" i="1"/>
  <c r="W2093" i="1"/>
  <c r="X2093" i="1"/>
  <c r="Y2093" i="1"/>
  <c r="Z2093" i="1"/>
  <c r="AA2093" i="1"/>
  <c r="AB2093" i="1"/>
  <c r="AC2093" i="1"/>
  <c r="AD2093" i="1"/>
  <c r="AE2093" i="1"/>
  <c r="W2094" i="1"/>
  <c r="X2094" i="1"/>
  <c r="Y2094" i="1"/>
  <c r="Z2094" i="1"/>
  <c r="AA2094" i="1"/>
  <c r="AB2094" i="1"/>
  <c r="AC2094" i="1"/>
  <c r="AD2094" i="1"/>
  <c r="AE2094" i="1"/>
  <c r="W2095" i="1"/>
  <c r="X2095" i="1"/>
  <c r="Y2095" i="1"/>
  <c r="Z2095" i="1"/>
  <c r="AA2095" i="1"/>
  <c r="AB2095" i="1"/>
  <c r="AC2095" i="1"/>
  <c r="AD2095" i="1"/>
  <c r="AE2095" i="1"/>
  <c r="W2096" i="1"/>
  <c r="X2096" i="1"/>
  <c r="Y2096" i="1"/>
  <c r="Z2096" i="1"/>
  <c r="AA2096" i="1"/>
  <c r="AB2096" i="1"/>
  <c r="AC2096" i="1"/>
  <c r="AD2096" i="1"/>
  <c r="AE2096" i="1"/>
  <c r="W2097" i="1"/>
  <c r="X2097" i="1"/>
  <c r="Y2097" i="1"/>
  <c r="Z2097" i="1"/>
  <c r="AA2097" i="1"/>
  <c r="AB2097" i="1"/>
  <c r="AC2097" i="1"/>
  <c r="AD2097" i="1"/>
  <c r="AE2097" i="1"/>
  <c r="W2098" i="1"/>
  <c r="X2098" i="1"/>
  <c r="Y2098" i="1"/>
  <c r="Z2098" i="1"/>
  <c r="AA2098" i="1"/>
  <c r="AB2098" i="1"/>
  <c r="AC2098" i="1"/>
  <c r="AD2098" i="1"/>
  <c r="AE2098" i="1"/>
  <c r="W2099" i="1"/>
  <c r="X2099" i="1"/>
  <c r="Y2099" i="1"/>
  <c r="Z2099" i="1"/>
  <c r="AA2099" i="1"/>
  <c r="AB2099" i="1"/>
  <c r="AC2099" i="1"/>
  <c r="AD2099" i="1"/>
  <c r="AE2099" i="1"/>
  <c r="W2100" i="1"/>
  <c r="X2100" i="1"/>
  <c r="Y2100" i="1"/>
  <c r="Z2100" i="1"/>
  <c r="AA2100" i="1"/>
  <c r="AB2100" i="1"/>
  <c r="AC2100" i="1"/>
  <c r="AD2100" i="1"/>
  <c r="AE2100" i="1"/>
  <c r="W2101" i="1"/>
  <c r="X2101" i="1"/>
  <c r="Y2101" i="1"/>
  <c r="Z2101" i="1"/>
  <c r="AA2101" i="1"/>
  <c r="AB2101" i="1"/>
  <c r="AC2101" i="1"/>
  <c r="AD2101" i="1"/>
  <c r="AE2101" i="1"/>
  <c r="W2102" i="1"/>
  <c r="X2102" i="1"/>
  <c r="Y2102" i="1"/>
  <c r="Z2102" i="1"/>
  <c r="AA2102" i="1"/>
  <c r="AB2102" i="1"/>
  <c r="AC2102" i="1"/>
  <c r="AD2102" i="1"/>
  <c r="AE2102" i="1"/>
  <c r="W2103" i="1"/>
  <c r="X2103" i="1"/>
  <c r="Y2103" i="1"/>
  <c r="Z2103" i="1"/>
  <c r="AA2103" i="1"/>
  <c r="AB2103" i="1"/>
  <c r="AC2103" i="1"/>
  <c r="AD2103" i="1"/>
  <c r="AE2103" i="1"/>
  <c r="W2104" i="1"/>
  <c r="X2104" i="1"/>
  <c r="Y2104" i="1"/>
  <c r="Z2104" i="1"/>
  <c r="AA2104" i="1"/>
  <c r="AB2104" i="1"/>
  <c r="AC2104" i="1"/>
  <c r="AD2104" i="1"/>
  <c r="AE2104" i="1"/>
  <c r="W2105" i="1"/>
  <c r="X2105" i="1"/>
  <c r="Y2105" i="1"/>
  <c r="Z2105" i="1"/>
  <c r="AA2105" i="1"/>
  <c r="AB2105" i="1"/>
  <c r="AC2105" i="1"/>
  <c r="AD2105" i="1"/>
  <c r="AE2105" i="1"/>
  <c r="W2106" i="1"/>
  <c r="X2106" i="1"/>
  <c r="Y2106" i="1"/>
  <c r="Z2106" i="1"/>
  <c r="AA2106" i="1"/>
  <c r="AB2106" i="1"/>
  <c r="AC2106" i="1"/>
  <c r="AD2106" i="1"/>
  <c r="AE2106" i="1"/>
  <c r="W2107" i="1"/>
  <c r="X2107" i="1"/>
  <c r="Y2107" i="1"/>
  <c r="Z2107" i="1"/>
  <c r="AA2107" i="1"/>
  <c r="AB2107" i="1"/>
  <c r="AC2107" i="1"/>
  <c r="AD2107" i="1"/>
  <c r="AE2107" i="1"/>
  <c r="W2108" i="1"/>
  <c r="X2108" i="1"/>
  <c r="Y2108" i="1"/>
  <c r="Z2108" i="1"/>
  <c r="AA2108" i="1"/>
  <c r="AB2108" i="1"/>
  <c r="AC2108" i="1"/>
  <c r="AD2108" i="1"/>
  <c r="AE2108" i="1"/>
  <c r="W2109" i="1"/>
  <c r="X2109" i="1"/>
  <c r="Y2109" i="1"/>
  <c r="Z2109" i="1"/>
  <c r="AA2109" i="1"/>
  <c r="AB2109" i="1"/>
  <c r="AC2109" i="1"/>
  <c r="AD2109" i="1"/>
  <c r="AE2109" i="1"/>
  <c r="W2110" i="1"/>
  <c r="X2110" i="1"/>
  <c r="Y2110" i="1"/>
  <c r="Z2110" i="1"/>
  <c r="AA2110" i="1"/>
  <c r="AB2110" i="1"/>
  <c r="AC2110" i="1"/>
  <c r="AD2110" i="1"/>
  <c r="AE2110" i="1"/>
  <c r="W2111" i="1"/>
  <c r="X2111" i="1"/>
  <c r="Y2111" i="1"/>
  <c r="Z2111" i="1"/>
  <c r="AA2111" i="1"/>
  <c r="AB2111" i="1"/>
  <c r="AC2111" i="1"/>
  <c r="AD2111" i="1"/>
  <c r="AE2111" i="1"/>
  <c r="W2112" i="1"/>
  <c r="X2112" i="1"/>
  <c r="Y2112" i="1"/>
  <c r="Z2112" i="1"/>
  <c r="AA2112" i="1"/>
  <c r="AB2112" i="1"/>
  <c r="AC2112" i="1"/>
  <c r="AD2112" i="1"/>
  <c r="AE2112" i="1"/>
  <c r="W2113" i="1"/>
  <c r="X2113" i="1"/>
  <c r="Y2113" i="1"/>
  <c r="Z2113" i="1"/>
  <c r="AA2113" i="1"/>
  <c r="AB2113" i="1"/>
  <c r="AC2113" i="1"/>
  <c r="AD2113" i="1"/>
  <c r="AE2113" i="1"/>
  <c r="W2114" i="1"/>
  <c r="X2114" i="1"/>
  <c r="Y2114" i="1"/>
  <c r="Z2114" i="1"/>
  <c r="AA2114" i="1"/>
  <c r="AB2114" i="1"/>
  <c r="AC2114" i="1"/>
  <c r="AD2114" i="1"/>
  <c r="AE2114" i="1"/>
  <c r="W2115" i="1"/>
  <c r="X2115" i="1"/>
  <c r="Y2115" i="1"/>
  <c r="Z2115" i="1"/>
  <c r="AA2115" i="1"/>
  <c r="AB2115" i="1"/>
  <c r="AC2115" i="1"/>
  <c r="AD2115" i="1"/>
  <c r="AE2115" i="1"/>
  <c r="W2116" i="1"/>
  <c r="X2116" i="1"/>
  <c r="Y2116" i="1"/>
  <c r="Z2116" i="1"/>
  <c r="AA2116" i="1"/>
  <c r="AB2116" i="1"/>
  <c r="AC2116" i="1"/>
  <c r="AD2116" i="1"/>
  <c r="AE2116" i="1"/>
  <c r="W2117" i="1"/>
  <c r="X2117" i="1"/>
  <c r="Y2117" i="1"/>
  <c r="Z2117" i="1"/>
  <c r="AA2117" i="1"/>
  <c r="AB2117" i="1"/>
  <c r="AC2117" i="1"/>
  <c r="AD2117" i="1"/>
  <c r="AE2117" i="1"/>
  <c r="W2118" i="1"/>
  <c r="X2118" i="1"/>
  <c r="Y2118" i="1"/>
  <c r="Z2118" i="1"/>
  <c r="AA2118" i="1"/>
  <c r="AB2118" i="1"/>
  <c r="AC2118" i="1"/>
  <c r="AD2118" i="1"/>
  <c r="AE2118" i="1"/>
  <c r="W2119" i="1"/>
  <c r="X2119" i="1"/>
  <c r="Y2119" i="1"/>
  <c r="Z2119" i="1"/>
  <c r="AA2119" i="1"/>
  <c r="AB2119" i="1"/>
  <c r="AC2119" i="1"/>
  <c r="AD2119" i="1"/>
  <c r="AE2119" i="1"/>
  <c r="W2120" i="1"/>
  <c r="X2120" i="1"/>
  <c r="Y2120" i="1"/>
  <c r="Z2120" i="1"/>
  <c r="AA2120" i="1"/>
  <c r="AB2120" i="1"/>
  <c r="AC2120" i="1"/>
  <c r="AD2120" i="1"/>
  <c r="AE2120" i="1"/>
  <c r="W2121" i="1"/>
  <c r="X2121" i="1"/>
  <c r="Y2121" i="1"/>
  <c r="Z2121" i="1"/>
  <c r="AA2121" i="1"/>
  <c r="AB2121" i="1"/>
  <c r="AC2121" i="1"/>
  <c r="AD2121" i="1"/>
  <c r="AE2121" i="1"/>
  <c r="W2122" i="1"/>
  <c r="X2122" i="1"/>
  <c r="Y2122" i="1"/>
  <c r="Z2122" i="1"/>
  <c r="AA2122" i="1"/>
  <c r="AB2122" i="1"/>
  <c r="AC2122" i="1"/>
  <c r="AD2122" i="1"/>
  <c r="AE2122" i="1"/>
  <c r="W2123" i="1"/>
  <c r="X2123" i="1"/>
  <c r="Y2123" i="1"/>
  <c r="Z2123" i="1"/>
  <c r="AA2123" i="1"/>
  <c r="AB2123" i="1"/>
  <c r="AC2123" i="1"/>
  <c r="AD2123" i="1"/>
  <c r="AE2123" i="1"/>
  <c r="W2124" i="1"/>
  <c r="X2124" i="1"/>
  <c r="Y2124" i="1"/>
  <c r="Z2124" i="1"/>
  <c r="AA2124" i="1"/>
  <c r="AB2124" i="1"/>
  <c r="AC2124" i="1"/>
  <c r="AD2124" i="1"/>
  <c r="AE2124" i="1"/>
  <c r="W2125" i="1"/>
  <c r="X2125" i="1"/>
  <c r="Y2125" i="1"/>
  <c r="Z2125" i="1"/>
  <c r="AA2125" i="1"/>
  <c r="AB2125" i="1"/>
  <c r="AC2125" i="1"/>
  <c r="AD2125" i="1"/>
  <c r="AE2125" i="1"/>
  <c r="W2126" i="1"/>
  <c r="X2126" i="1"/>
  <c r="Y2126" i="1"/>
  <c r="Z2126" i="1"/>
  <c r="AA2126" i="1"/>
  <c r="AB2126" i="1"/>
  <c r="AC2126" i="1"/>
  <c r="AD2126" i="1"/>
  <c r="AE2126" i="1"/>
  <c r="W2127" i="1"/>
  <c r="X2127" i="1"/>
  <c r="Y2127" i="1"/>
  <c r="Z2127" i="1"/>
  <c r="AA2127" i="1"/>
  <c r="AB2127" i="1"/>
  <c r="AC2127" i="1"/>
  <c r="AD2127" i="1"/>
  <c r="AE2127" i="1"/>
  <c r="W2128" i="1"/>
  <c r="X2128" i="1"/>
  <c r="Y2128" i="1"/>
  <c r="Z2128" i="1"/>
  <c r="AA2128" i="1"/>
  <c r="AB2128" i="1"/>
  <c r="AC2128" i="1"/>
  <c r="AD2128" i="1"/>
  <c r="AE2128" i="1"/>
  <c r="W2129" i="1"/>
  <c r="X2129" i="1"/>
  <c r="Y2129" i="1"/>
  <c r="Z2129" i="1"/>
  <c r="AA2129" i="1"/>
  <c r="AB2129" i="1"/>
  <c r="AC2129" i="1"/>
  <c r="AD2129" i="1"/>
  <c r="AE2129" i="1"/>
  <c r="W2130" i="1"/>
  <c r="X2130" i="1"/>
  <c r="Y2130" i="1"/>
  <c r="Z2130" i="1"/>
  <c r="AA2130" i="1"/>
  <c r="AB2130" i="1"/>
  <c r="AC2130" i="1"/>
  <c r="AD2130" i="1"/>
  <c r="AE2130" i="1"/>
  <c r="W2131" i="1"/>
  <c r="X2131" i="1"/>
  <c r="Y2131" i="1"/>
  <c r="Z2131" i="1"/>
  <c r="AA2131" i="1"/>
  <c r="AB2131" i="1"/>
  <c r="AC2131" i="1"/>
  <c r="AD2131" i="1"/>
  <c r="AE2131" i="1"/>
  <c r="W2132" i="1"/>
  <c r="X2132" i="1"/>
  <c r="Y2132" i="1"/>
  <c r="Z2132" i="1"/>
  <c r="AA2132" i="1"/>
  <c r="AB2132" i="1"/>
  <c r="AC2132" i="1"/>
  <c r="AD2132" i="1"/>
  <c r="AE2132" i="1"/>
  <c r="W2133" i="1"/>
  <c r="X2133" i="1"/>
  <c r="Y2133" i="1"/>
  <c r="Z2133" i="1"/>
  <c r="AA2133" i="1"/>
  <c r="AB2133" i="1"/>
  <c r="AC2133" i="1"/>
  <c r="AD2133" i="1"/>
  <c r="AE2133" i="1"/>
  <c r="W2134" i="1"/>
  <c r="X2134" i="1"/>
  <c r="Y2134" i="1"/>
  <c r="Z2134" i="1"/>
  <c r="AA2134" i="1"/>
  <c r="AB2134" i="1"/>
  <c r="AC2134" i="1"/>
  <c r="AD2134" i="1"/>
  <c r="AE2134" i="1"/>
  <c r="W2135" i="1"/>
  <c r="X2135" i="1"/>
  <c r="Y2135" i="1"/>
  <c r="Z2135" i="1"/>
  <c r="AA2135" i="1"/>
  <c r="AB2135" i="1"/>
  <c r="AC2135" i="1"/>
  <c r="AD2135" i="1"/>
  <c r="AE2135" i="1"/>
  <c r="W2136" i="1"/>
  <c r="X2136" i="1"/>
  <c r="Y2136" i="1"/>
  <c r="Z2136" i="1"/>
  <c r="AA2136" i="1"/>
  <c r="AB2136" i="1"/>
  <c r="AC2136" i="1"/>
  <c r="AD2136" i="1"/>
  <c r="AE2136" i="1"/>
  <c r="W2137" i="1"/>
  <c r="X2137" i="1"/>
  <c r="Y2137" i="1"/>
  <c r="Z2137" i="1"/>
  <c r="AA2137" i="1"/>
  <c r="AB2137" i="1"/>
  <c r="AC2137" i="1"/>
  <c r="AD2137" i="1"/>
  <c r="AE2137" i="1"/>
  <c r="W2138" i="1"/>
  <c r="X2138" i="1"/>
  <c r="Y2138" i="1"/>
  <c r="Z2138" i="1"/>
  <c r="AA2138" i="1"/>
  <c r="AB2138" i="1"/>
  <c r="AC2138" i="1"/>
  <c r="AD2138" i="1"/>
  <c r="AE2138" i="1"/>
  <c r="W2139" i="1"/>
  <c r="X2139" i="1"/>
  <c r="Y2139" i="1"/>
  <c r="Z2139" i="1"/>
  <c r="AA2139" i="1"/>
  <c r="AB2139" i="1"/>
  <c r="AC2139" i="1"/>
  <c r="AD2139" i="1"/>
  <c r="AE2139" i="1"/>
  <c r="W2140" i="1"/>
  <c r="X2140" i="1"/>
  <c r="Y2140" i="1"/>
  <c r="Z2140" i="1"/>
  <c r="AA2140" i="1"/>
  <c r="AB2140" i="1"/>
  <c r="AC2140" i="1"/>
  <c r="AD2140" i="1"/>
  <c r="AE2140" i="1"/>
  <c r="W2141" i="1"/>
  <c r="X2141" i="1"/>
  <c r="Y2141" i="1"/>
  <c r="Z2141" i="1"/>
  <c r="AA2141" i="1"/>
  <c r="AB2141" i="1"/>
  <c r="AC2141" i="1"/>
  <c r="AD2141" i="1"/>
  <c r="AE2141" i="1"/>
  <c r="W2142" i="1"/>
  <c r="X2142" i="1"/>
  <c r="Y2142" i="1"/>
  <c r="Z2142" i="1"/>
  <c r="AA2142" i="1"/>
  <c r="AB2142" i="1"/>
  <c r="AC2142" i="1"/>
  <c r="AD2142" i="1"/>
  <c r="AE2142" i="1"/>
  <c r="W2143" i="1"/>
  <c r="X2143" i="1"/>
  <c r="Y2143" i="1"/>
  <c r="Z2143" i="1"/>
  <c r="AA2143" i="1"/>
  <c r="AB2143" i="1"/>
  <c r="AC2143" i="1"/>
  <c r="AD2143" i="1"/>
  <c r="AE2143" i="1"/>
  <c r="W2144" i="1"/>
  <c r="X2144" i="1"/>
  <c r="Y2144" i="1"/>
  <c r="Z2144" i="1"/>
  <c r="AA2144" i="1"/>
  <c r="AB2144" i="1"/>
  <c r="AC2144" i="1"/>
  <c r="AD2144" i="1"/>
  <c r="AE2144" i="1"/>
  <c r="W2145" i="1"/>
  <c r="X2145" i="1"/>
  <c r="Y2145" i="1"/>
  <c r="Z2145" i="1"/>
  <c r="AA2145" i="1"/>
  <c r="AB2145" i="1"/>
  <c r="AC2145" i="1"/>
  <c r="AD2145" i="1"/>
  <c r="AE2145" i="1"/>
  <c r="W2146" i="1"/>
  <c r="X2146" i="1"/>
  <c r="Y2146" i="1"/>
  <c r="Z2146" i="1"/>
  <c r="AA2146" i="1"/>
  <c r="AB2146" i="1"/>
  <c r="AC2146" i="1"/>
  <c r="AD2146" i="1"/>
  <c r="AE2146" i="1"/>
  <c r="W2147" i="1"/>
  <c r="X2147" i="1"/>
  <c r="Y2147" i="1"/>
  <c r="Z2147" i="1"/>
  <c r="AA2147" i="1"/>
  <c r="AB2147" i="1"/>
  <c r="AC2147" i="1"/>
  <c r="AD2147" i="1"/>
  <c r="AE2147" i="1"/>
  <c r="W2148" i="1"/>
  <c r="X2148" i="1"/>
  <c r="Y2148" i="1"/>
  <c r="Z2148" i="1"/>
  <c r="AA2148" i="1"/>
  <c r="AB2148" i="1"/>
  <c r="AC2148" i="1"/>
  <c r="AD2148" i="1"/>
  <c r="AE2148" i="1"/>
  <c r="W2149" i="1"/>
  <c r="X2149" i="1"/>
  <c r="Y2149" i="1"/>
  <c r="Z2149" i="1"/>
  <c r="AA2149" i="1"/>
  <c r="AB2149" i="1"/>
  <c r="AC2149" i="1"/>
  <c r="AD2149" i="1"/>
  <c r="AE2149" i="1"/>
  <c r="W2150" i="1"/>
  <c r="X2150" i="1"/>
  <c r="Y2150" i="1"/>
  <c r="Z2150" i="1"/>
  <c r="AA2150" i="1"/>
  <c r="AB2150" i="1"/>
  <c r="AC2150" i="1"/>
  <c r="AD2150" i="1"/>
  <c r="AE2150" i="1"/>
  <c r="W2151" i="1"/>
  <c r="X2151" i="1"/>
  <c r="Y2151" i="1"/>
  <c r="Z2151" i="1"/>
  <c r="AA2151" i="1"/>
  <c r="AB2151" i="1"/>
  <c r="AC2151" i="1"/>
  <c r="AD2151" i="1"/>
  <c r="AE2151" i="1"/>
  <c r="W2152" i="1"/>
  <c r="X2152" i="1"/>
  <c r="Y2152" i="1"/>
  <c r="Z2152" i="1"/>
  <c r="AA2152" i="1"/>
  <c r="AB2152" i="1"/>
  <c r="AC2152" i="1"/>
  <c r="AD2152" i="1"/>
  <c r="AE2152" i="1"/>
  <c r="W2153" i="1"/>
  <c r="X2153" i="1"/>
  <c r="Y2153" i="1"/>
  <c r="Z2153" i="1"/>
  <c r="AA2153" i="1"/>
  <c r="AB2153" i="1"/>
  <c r="AC2153" i="1"/>
  <c r="AD2153" i="1"/>
  <c r="AE2153" i="1"/>
  <c r="W2154" i="1"/>
  <c r="X2154" i="1"/>
  <c r="Y2154" i="1"/>
  <c r="Z2154" i="1"/>
  <c r="AA2154" i="1"/>
  <c r="AB2154" i="1"/>
  <c r="AC2154" i="1"/>
  <c r="AD2154" i="1"/>
  <c r="AE2154" i="1"/>
  <c r="W2155" i="1"/>
  <c r="X2155" i="1"/>
  <c r="Y2155" i="1"/>
  <c r="Z2155" i="1"/>
  <c r="AA2155" i="1"/>
  <c r="AB2155" i="1"/>
  <c r="AC2155" i="1"/>
  <c r="AD2155" i="1"/>
  <c r="AE2155" i="1"/>
  <c r="W2156" i="1"/>
  <c r="X2156" i="1"/>
  <c r="Y2156" i="1"/>
  <c r="Z2156" i="1"/>
  <c r="AA2156" i="1"/>
  <c r="AB2156" i="1"/>
  <c r="AC2156" i="1"/>
  <c r="AD2156" i="1"/>
  <c r="AE2156" i="1"/>
  <c r="W2157" i="1"/>
  <c r="X2157" i="1"/>
  <c r="Y2157" i="1"/>
  <c r="Z2157" i="1"/>
  <c r="AA2157" i="1"/>
  <c r="AB2157" i="1"/>
  <c r="AC2157" i="1"/>
  <c r="AD2157" i="1"/>
  <c r="AE2157" i="1"/>
  <c r="W2158" i="1"/>
  <c r="X2158" i="1"/>
  <c r="Y2158" i="1"/>
  <c r="Z2158" i="1"/>
  <c r="AA2158" i="1"/>
  <c r="AB2158" i="1"/>
  <c r="AC2158" i="1"/>
  <c r="AD2158" i="1"/>
  <c r="AE2158" i="1"/>
  <c r="W2159" i="1"/>
  <c r="X2159" i="1"/>
  <c r="Y2159" i="1"/>
  <c r="Z2159" i="1"/>
  <c r="AA2159" i="1"/>
  <c r="AB2159" i="1"/>
  <c r="AC2159" i="1"/>
  <c r="AD2159" i="1"/>
  <c r="AE2159" i="1"/>
  <c r="W2160" i="1"/>
  <c r="X2160" i="1"/>
  <c r="Y2160" i="1"/>
  <c r="Z2160" i="1"/>
  <c r="AA2160" i="1"/>
  <c r="AB2160" i="1"/>
  <c r="AC2160" i="1"/>
  <c r="AD2160" i="1"/>
  <c r="AE2160" i="1"/>
  <c r="W2161" i="1"/>
  <c r="X2161" i="1"/>
  <c r="Y2161" i="1"/>
  <c r="Z2161" i="1"/>
  <c r="AA2161" i="1"/>
  <c r="AB2161" i="1"/>
  <c r="AC2161" i="1"/>
  <c r="AD2161" i="1"/>
  <c r="AE2161" i="1"/>
  <c r="W2162" i="1"/>
  <c r="X2162" i="1"/>
  <c r="Y2162" i="1"/>
  <c r="Z2162" i="1"/>
  <c r="AA2162" i="1"/>
  <c r="AB2162" i="1"/>
  <c r="AC2162" i="1"/>
  <c r="AD2162" i="1"/>
  <c r="AE2162" i="1"/>
  <c r="W2163" i="1"/>
  <c r="X2163" i="1"/>
  <c r="Y2163" i="1"/>
  <c r="Z2163" i="1"/>
  <c r="AA2163" i="1"/>
  <c r="AB2163" i="1"/>
  <c r="AC2163" i="1"/>
  <c r="AD2163" i="1"/>
  <c r="AE2163" i="1"/>
  <c r="W2164" i="1"/>
  <c r="X2164" i="1"/>
  <c r="Y2164" i="1"/>
  <c r="Z2164" i="1"/>
  <c r="AA2164" i="1"/>
  <c r="AB2164" i="1"/>
  <c r="AC2164" i="1"/>
  <c r="AD2164" i="1"/>
  <c r="AE2164" i="1"/>
  <c r="W2165" i="1"/>
  <c r="X2165" i="1"/>
  <c r="Y2165" i="1"/>
  <c r="Z2165" i="1"/>
  <c r="AA2165" i="1"/>
  <c r="AB2165" i="1"/>
  <c r="AC2165" i="1"/>
  <c r="AD2165" i="1"/>
  <c r="AE2165" i="1"/>
  <c r="W2166" i="1"/>
  <c r="X2166" i="1"/>
  <c r="Y2166" i="1"/>
  <c r="Z2166" i="1"/>
  <c r="AA2166" i="1"/>
  <c r="AB2166" i="1"/>
  <c r="AC2166" i="1"/>
  <c r="AD2166" i="1"/>
  <c r="AE2166" i="1"/>
  <c r="W2167" i="1"/>
  <c r="X2167" i="1"/>
  <c r="Y2167" i="1"/>
  <c r="Z2167" i="1"/>
  <c r="AA2167" i="1"/>
  <c r="AB2167" i="1"/>
  <c r="AC2167" i="1"/>
  <c r="AD2167" i="1"/>
  <c r="AE2167" i="1"/>
  <c r="W2168" i="1"/>
  <c r="X2168" i="1"/>
  <c r="Y2168" i="1"/>
  <c r="Z2168" i="1"/>
  <c r="AA2168" i="1"/>
  <c r="AB2168" i="1"/>
  <c r="AC2168" i="1"/>
  <c r="AD2168" i="1"/>
  <c r="AE2168" i="1"/>
  <c r="W2169" i="1"/>
  <c r="X2169" i="1"/>
  <c r="Y2169" i="1"/>
  <c r="Z2169" i="1"/>
  <c r="AA2169" i="1"/>
  <c r="AB2169" i="1"/>
  <c r="AC2169" i="1"/>
  <c r="AD2169" i="1"/>
  <c r="AE2169" i="1"/>
  <c r="W2170" i="1"/>
  <c r="X2170" i="1"/>
  <c r="Y2170" i="1"/>
  <c r="Z2170" i="1"/>
  <c r="AA2170" i="1"/>
  <c r="AB2170" i="1"/>
  <c r="AC2170" i="1"/>
  <c r="AD2170" i="1"/>
  <c r="AE2170" i="1"/>
  <c r="W2171" i="1"/>
  <c r="X2171" i="1"/>
  <c r="Y2171" i="1"/>
  <c r="Z2171" i="1"/>
  <c r="AA2171" i="1"/>
  <c r="AB2171" i="1"/>
  <c r="AC2171" i="1"/>
  <c r="AD2171" i="1"/>
  <c r="AE2171" i="1"/>
  <c r="W2172" i="1"/>
  <c r="X2172" i="1"/>
  <c r="Y2172" i="1"/>
  <c r="Z2172" i="1"/>
  <c r="AA2172" i="1"/>
  <c r="AB2172" i="1"/>
  <c r="AC2172" i="1"/>
  <c r="AD2172" i="1"/>
  <c r="AE2172" i="1"/>
  <c r="W2173" i="1"/>
  <c r="X2173" i="1"/>
  <c r="Y2173" i="1"/>
  <c r="Z2173" i="1"/>
  <c r="AA2173" i="1"/>
  <c r="AB2173" i="1"/>
  <c r="AC2173" i="1"/>
  <c r="AD2173" i="1"/>
  <c r="AE2173" i="1"/>
  <c r="W2174" i="1"/>
  <c r="X2174" i="1"/>
  <c r="Y2174" i="1"/>
  <c r="Z2174" i="1"/>
  <c r="AA2174" i="1"/>
  <c r="AB2174" i="1"/>
  <c r="AC2174" i="1"/>
  <c r="AD2174" i="1"/>
  <c r="AE2174" i="1"/>
  <c r="W2175" i="1"/>
  <c r="X2175" i="1"/>
  <c r="Y2175" i="1"/>
  <c r="Z2175" i="1"/>
  <c r="AA2175" i="1"/>
  <c r="AB2175" i="1"/>
  <c r="AC2175" i="1"/>
  <c r="AD2175" i="1"/>
  <c r="AE2175" i="1"/>
  <c r="W2176" i="1"/>
  <c r="X2176" i="1"/>
  <c r="Y2176" i="1"/>
  <c r="Z2176" i="1"/>
  <c r="AA2176" i="1"/>
  <c r="AB2176" i="1"/>
  <c r="AC2176" i="1"/>
  <c r="AD2176" i="1"/>
  <c r="AE2176" i="1"/>
  <c r="W2177" i="1"/>
  <c r="X2177" i="1"/>
  <c r="Y2177" i="1"/>
  <c r="Z2177" i="1"/>
  <c r="AA2177" i="1"/>
  <c r="AB2177" i="1"/>
  <c r="AC2177" i="1"/>
  <c r="AD2177" i="1"/>
  <c r="AE2177" i="1"/>
  <c r="W2178" i="1"/>
  <c r="X2178" i="1"/>
  <c r="Y2178" i="1"/>
  <c r="Z2178" i="1"/>
  <c r="AA2178" i="1"/>
  <c r="AB2178" i="1"/>
  <c r="AC2178" i="1"/>
  <c r="AD2178" i="1"/>
  <c r="AE2178" i="1"/>
  <c r="W2179" i="1"/>
  <c r="X2179" i="1"/>
  <c r="Y2179" i="1"/>
  <c r="Z2179" i="1"/>
  <c r="AA2179" i="1"/>
  <c r="AB2179" i="1"/>
  <c r="AC2179" i="1"/>
  <c r="AD2179" i="1"/>
  <c r="AE2179" i="1"/>
  <c r="W2180" i="1"/>
  <c r="X2180" i="1"/>
  <c r="Y2180" i="1"/>
  <c r="Z2180" i="1"/>
  <c r="AA2180" i="1"/>
  <c r="AB2180" i="1"/>
  <c r="AC2180" i="1"/>
  <c r="AD2180" i="1"/>
  <c r="AE2180" i="1"/>
  <c r="W2181" i="1"/>
  <c r="X2181" i="1"/>
  <c r="Y2181" i="1"/>
  <c r="Z2181" i="1"/>
  <c r="AA2181" i="1"/>
  <c r="AB2181" i="1"/>
  <c r="AC2181" i="1"/>
  <c r="AD2181" i="1"/>
  <c r="AE2181" i="1"/>
  <c r="W2182" i="1"/>
  <c r="X2182" i="1"/>
  <c r="Y2182" i="1"/>
  <c r="Z2182" i="1"/>
  <c r="AA2182" i="1"/>
  <c r="AB2182" i="1"/>
  <c r="AC2182" i="1"/>
  <c r="AD2182" i="1"/>
  <c r="AE2182" i="1"/>
  <c r="W2183" i="1"/>
  <c r="X2183" i="1"/>
  <c r="Y2183" i="1"/>
  <c r="Z2183" i="1"/>
  <c r="AA2183" i="1"/>
  <c r="AB2183" i="1"/>
  <c r="AC2183" i="1"/>
  <c r="AD2183" i="1"/>
  <c r="AE2183" i="1"/>
  <c r="W2184" i="1"/>
  <c r="X2184" i="1"/>
  <c r="Y2184" i="1"/>
  <c r="Z2184" i="1"/>
  <c r="AA2184" i="1"/>
  <c r="AB2184" i="1"/>
  <c r="AC2184" i="1"/>
  <c r="AD2184" i="1"/>
  <c r="AE2184" i="1"/>
  <c r="W2185" i="1"/>
  <c r="X2185" i="1"/>
  <c r="Y2185" i="1"/>
  <c r="Z2185" i="1"/>
  <c r="AA2185" i="1"/>
  <c r="AB2185" i="1"/>
  <c r="AC2185" i="1"/>
  <c r="AD2185" i="1"/>
  <c r="AE2185" i="1"/>
  <c r="W2186" i="1"/>
  <c r="X2186" i="1"/>
  <c r="Y2186" i="1"/>
  <c r="Z2186" i="1"/>
  <c r="AA2186" i="1"/>
  <c r="AB2186" i="1"/>
  <c r="AC2186" i="1"/>
  <c r="AD2186" i="1"/>
  <c r="AE2186" i="1"/>
  <c r="W2187" i="1"/>
  <c r="X2187" i="1"/>
  <c r="Y2187" i="1"/>
  <c r="Z2187" i="1"/>
  <c r="AA2187" i="1"/>
  <c r="AB2187" i="1"/>
  <c r="AC2187" i="1"/>
  <c r="AD2187" i="1"/>
  <c r="AE2187" i="1"/>
  <c r="W2188" i="1"/>
  <c r="X2188" i="1"/>
  <c r="Y2188" i="1"/>
  <c r="Z2188" i="1"/>
  <c r="AA2188" i="1"/>
  <c r="AB2188" i="1"/>
  <c r="AC2188" i="1"/>
  <c r="AD2188" i="1"/>
  <c r="AE2188" i="1"/>
  <c r="W2189" i="1"/>
  <c r="X2189" i="1"/>
  <c r="Y2189" i="1"/>
  <c r="Z2189" i="1"/>
  <c r="AA2189" i="1"/>
  <c r="AB2189" i="1"/>
  <c r="AC2189" i="1"/>
  <c r="AD2189" i="1"/>
  <c r="AE2189" i="1"/>
  <c r="W2190" i="1"/>
  <c r="X2190" i="1"/>
  <c r="Y2190" i="1"/>
  <c r="Z2190" i="1"/>
  <c r="AA2190" i="1"/>
  <c r="AB2190" i="1"/>
  <c r="AC2190" i="1"/>
  <c r="AD2190" i="1"/>
  <c r="AE2190" i="1"/>
  <c r="W2191" i="1"/>
  <c r="X2191" i="1"/>
  <c r="Y2191" i="1"/>
  <c r="Z2191" i="1"/>
  <c r="AA2191" i="1"/>
  <c r="AB2191" i="1"/>
  <c r="AC2191" i="1"/>
  <c r="AD2191" i="1"/>
  <c r="AE2191" i="1"/>
  <c r="W2192" i="1"/>
  <c r="X2192" i="1"/>
  <c r="Y2192" i="1"/>
  <c r="Z2192" i="1"/>
  <c r="AA2192" i="1"/>
  <c r="AB2192" i="1"/>
  <c r="AC2192" i="1"/>
  <c r="AD2192" i="1"/>
  <c r="AE2192" i="1"/>
  <c r="W2193" i="1"/>
  <c r="X2193" i="1"/>
  <c r="Y2193" i="1"/>
  <c r="Z2193" i="1"/>
  <c r="AA2193" i="1"/>
  <c r="AB2193" i="1"/>
  <c r="AC2193" i="1"/>
  <c r="AD2193" i="1"/>
  <c r="AE2193" i="1"/>
  <c r="W2194" i="1"/>
  <c r="X2194" i="1"/>
  <c r="Y2194" i="1"/>
  <c r="Z2194" i="1"/>
  <c r="AA2194" i="1"/>
  <c r="AB2194" i="1"/>
  <c r="AC2194" i="1"/>
  <c r="AD2194" i="1"/>
  <c r="AE2194" i="1"/>
  <c r="W2195" i="1"/>
  <c r="X2195" i="1"/>
  <c r="Y2195" i="1"/>
  <c r="Z2195" i="1"/>
  <c r="AA2195" i="1"/>
  <c r="AB2195" i="1"/>
  <c r="AC2195" i="1"/>
  <c r="AD2195" i="1"/>
  <c r="AE2195" i="1"/>
  <c r="W2196" i="1"/>
  <c r="X2196" i="1"/>
  <c r="Y2196" i="1"/>
  <c r="Z2196" i="1"/>
  <c r="AA2196" i="1"/>
  <c r="AB2196" i="1"/>
  <c r="AC2196" i="1"/>
  <c r="AD2196" i="1"/>
  <c r="AE2196" i="1"/>
  <c r="W2197" i="1"/>
  <c r="X2197" i="1"/>
  <c r="Y2197" i="1"/>
  <c r="Z2197" i="1"/>
  <c r="AA2197" i="1"/>
  <c r="AB2197" i="1"/>
  <c r="AC2197" i="1"/>
  <c r="AD2197" i="1"/>
  <c r="AE2197" i="1"/>
  <c r="W2198" i="1"/>
  <c r="X2198" i="1"/>
  <c r="Y2198" i="1"/>
  <c r="Z2198" i="1"/>
  <c r="AA2198" i="1"/>
  <c r="AB2198" i="1"/>
  <c r="AC2198" i="1"/>
  <c r="AD2198" i="1"/>
  <c r="AE2198" i="1"/>
  <c r="W2199" i="1"/>
  <c r="X2199" i="1"/>
  <c r="Y2199" i="1"/>
  <c r="Z2199" i="1"/>
  <c r="AA2199" i="1"/>
  <c r="AB2199" i="1"/>
  <c r="AC2199" i="1"/>
  <c r="AD2199" i="1"/>
  <c r="AE2199" i="1"/>
  <c r="W2200" i="1"/>
  <c r="X2200" i="1"/>
  <c r="Y2200" i="1"/>
  <c r="Z2200" i="1"/>
  <c r="AA2200" i="1"/>
  <c r="AB2200" i="1"/>
  <c r="AC2200" i="1"/>
  <c r="AD2200" i="1"/>
  <c r="AE2200" i="1"/>
  <c r="W2201" i="1"/>
  <c r="X2201" i="1"/>
  <c r="Y2201" i="1"/>
  <c r="Z2201" i="1"/>
  <c r="AA2201" i="1"/>
  <c r="AB2201" i="1"/>
  <c r="AC2201" i="1"/>
  <c r="AD2201" i="1"/>
  <c r="AE2201" i="1"/>
  <c r="W2202" i="1"/>
  <c r="X2202" i="1"/>
  <c r="Y2202" i="1"/>
  <c r="Z2202" i="1"/>
  <c r="AA2202" i="1"/>
  <c r="AB2202" i="1"/>
  <c r="AC2202" i="1"/>
  <c r="AD2202" i="1"/>
  <c r="AE2202" i="1"/>
  <c r="W2203" i="1"/>
  <c r="X2203" i="1"/>
  <c r="Y2203" i="1"/>
  <c r="Z2203" i="1"/>
  <c r="AA2203" i="1"/>
  <c r="AB2203" i="1"/>
  <c r="AC2203" i="1"/>
  <c r="AD2203" i="1"/>
  <c r="AE2203" i="1"/>
  <c r="W2204" i="1"/>
  <c r="X2204" i="1"/>
  <c r="Y2204" i="1"/>
  <c r="Z2204" i="1"/>
  <c r="AA2204" i="1"/>
  <c r="AB2204" i="1"/>
  <c r="AC2204" i="1"/>
  <c r="AD2204" i="1"/>
  <c r="AE2204" i="1"/>
  <c r="W2205" i="1"/>
  <c r="X2205" i="1"/>
  <c r="Y2205" i="1"/>
  <c r="Z2205" i="1"/>
  <c r="AA2205" i="1"/>
  <c r="AB2205" i="1"/>
  <c r="AC2205" i="1"/>
  <c r="AD2205" i="1"/>
  <c r="AE2205" i="1"/>
  <c r="W2206" i="1"/>
  <c r="X2206" i="1"/>
  <c r="Y2206" i="1"/>
  <c r="Z2206" i="1"/>
  <c r="AA2206" i="1"/>
  <c r="AB2206" i="1"/>
  <c r="AC2206" i="1"/>
  <c r="AD2206" i="1"/>
  <c r="AE2206" i="1"/>
  <c r="W2207" i="1"/>
  <c r="X2207" i="1"/>
  <c r="Y2207" i="1"/>
  <c r="Z2207" i="1"/>
  <c r="AA2207" i="1"/>
  <c r="AB2207" i="1"/>
  <c r="AC2207" i="1"/>
  <c r="AD2207" i="1"/>
  <c r="AE2207" i="1"/>
  <c r="W2208" i="1"/>
  <c r="X2208" i="1"/>
  <c r="Y2208" i="1"/>
  <c r="Z2208" i="1"/>
  <c r="AA2208" i="1"/>
  <c r="AB2208" i="1"/>
  <c r="AC2208" i="1"/>
  <c r="AD2208" i="1"/>
  <c r="AE2208" i="1"/>
  <c r="W2209" i="1"/>
  <c r="X2209" i="1"/>
  <c r="Y2209" i="1"/>
  <c r="Z2209" i="1"/>
  <c r="AA2209" i="1"/>
  <c r="AB2209" i="1"/>
  <c r="AC2209" i="1"/>
  <c r="AD2209" i="1"/>
  <c r="AE2209" i="1"/>
  <c r="W2210" i="1"/>
  <c r="X2210" i="1"/>
  <c r="Y2210" i="1"/>
  <c r="Z2210" i="1"/>
  <c r="AA2210" i="1"/>
  <c r="AB2210" i="1"/>
  <c r="AC2210" i="1"/>
  <c r="AD2210" i="1"/>
  <c r="AE2210" i="1"/>
  <c r="W2211" i="1"/>
  <c r="X2211" i="1"/>
  <c r="Y2211" i="1"/>
  <c r="Z2211" i="1"/>
  <c r="AA2211" i="1"/>
  <c r="AB2211" i="1"/>
  <c r="AC2211" i="1"/>
  <c r="AD2211" i="1"/>
  <c r="AE2211" i="1"/>
  <c r="W2212" i="1"/>
  <c r="X2212" i="1"/>
  <c r="Y2212" i="1"/>
  <c r="Z2212" i="1"/>
  <c r="AA2212" i="1"/>
  <c r="AB2212" i="1"/>
  <c r="AC2212" i="1"/>
  <c r="AD2212" i="1"/>
  <c r="AE2212" i="1"/>
  <c r="W2213" i="1"/>
  <c r="X2213" i="1"/>
  <c r="Y2213" i="1"/>
  <c r="Z2213" i="1"/>
  <c r="AA2213" i="1"/>
  <c r="AB2213" i="1"/>
  <c r="AC2213" i="1"/>
  <c r="AD2213" i="1"/>
  <c r="AE2213" i="1"/>
  <c r="W2214" i="1"/>
  <c r="X2214" i="1"/>
  <c r="Y2214" i="1"/>
  <c r="Z2214" i="1"/>
  <c r="AA2214" i="1"/>
  <c r="AB2214" i="1"/>
  <c r="AC2214" i="1"/>
  <c r="AD2214" i="1"/>
  <c r="AE2214" i="1"/>
  <c r="W2215" i="1"/>
  <c r="X2215" i="1"/>
  <c r="Y2215" i="1"/>
  <c r="Z2215" i="1"/>
  <c r="AA2215" i="1"/>
  <c r="AB2215" i="1"/>
  <c r="AC2215" i="1"/>
  <c r="AD2215" i="1"/>
  <c r="AE2215" i="1"/>
  <c r="W2216" i="1"/>
  <c r="X2216" i="1"/>
  <c r="Y2216" i="1"/>
  <c r="Z2216" i="1"/>
  <c r="AA2216" i="1"/>
  <c r="AB2216" i="1"/>
  <c r="AC2216" i="1"/>
  <c r="AD2216" i="1"/>
  <c r="AE2216" i="1"/>
  <c r="W2217" i="1"/>
  <c r="X2217" i="1"/>
  <c r="Y2217" i="1"/>
  <c r="Z2217" i="1"/>
  <c r="AA2217" i="1"/>
  <c r="AB2217" i="1"/>
  <c r="AC2217" i="1"/>
  <c r="AD2217" i="1"/>
  <c r="AE2217" i="1"/>
  <c r="W2218" i="1"/>
  <c r="X2218" i="1"/>
  <c r="Y2218" i="1"/>
  <c r="Z2218" i="1"/>
  <c r="AA2218" i="1"/>
  <c r="AB2218" i="1"/>
  <c r="AC2218" i="1"/>
  <c r="AD2218" i="1"/>
  <c r="AE2218" i="1"/>
  <c r="W2219" i="1"/>
  <c r="X2219" i="1"/>
  <c r="Y2219" i="1"/>
  <c r="Z2219" i="1"/>
  <c r="AA2219" i="1"/>
  <c r="AB2219" i="1"/>
  <c r="AC2219" i="1"/>
  <c r="AD2219" i="1"/>
  <c r="AE2219" i="1"/>
  <c r="W2220" i="1"/>
  <c r="X2220" i="1"/>
  <c r="Y2220" i="1"/>
  <c r="Z2220" i="1"/>
  <c r="AA2220" i="1"/>
  <c r="AB2220" i="1"/>
  <c r="AC2220" i="1"/>
  <c r="AD2220" i="1"/>
  <c r="AE2220" i="1"/>
  <c r="W2221" i="1"/>
  <c r="X2221" i="1"/>
  <c r="Y2221" i="1"/>
  <c r="Z2221" i="1"/>
  <c r="AA2221" i="1"/>
  <c r="AB2221" i="1"/>
  <c r="AC2221" i="1"/>
  <c r="AD2221" i="1"/>
  <c r="AE2221" i="1"/>
  <c r="W2222" i="1"/>
  <c r="X2222" i="1"/>
  <c r="Y2222" i="1"/>
  <c r="Z2222" i="1"/>
  <c r="AA2222" i="1"/>
  <c r="AB2222" i="1"/>
  <c r="AC2222" i="1"/>
  <c r="AD2222" i="1"/>
  <c r="AE2222" i="1"/>
  <c r="W2223" i="1"/>
  <c r="X2223" i="1"/>
  <c r="Y2223" i="1"/>
  <c r="Z2223" i="1"/>
  <c r="AA2223" i="1"/>
  <c r="AB2223" i="1"/>
  <c r="AC2223" i="1"/>
  <c r="AD2223" i="1"/>
  <c r="AE2223" i="1"/>
  <c r="W2224" i="1"/>
  <c r="X2224" i="1"/>
  <c r="Y2224" i="1"/>
  <c r="Z2224" i="1"/>
  <c r="AA2224" i="1"/>
  <c r="AB2224" i="1"/>
  <c r="AC2224" i="1"/>
  <c r="AD2224" i="1"/>
  <c r="AE2224" i="1"/>
  <c r="W2225" i="1"/>
  <c r="X2225" i="1"/>
  <c r="Y2225" i="1"/>
  <c r="Z2225" i="1"/>
  <c r="AA2225" i="1"/>
  <c r="AB2225" i="1"/>
  <c r="AC2225" i="1"/>
  <c r="AD2225" i="1"/>
  <c r="AE2225" i="1"/>
  <c r="W2226" i="1"/>
  <c r="X2226" i="1"/>
  <c r="Y2226" i="1"/>
  <c r="Z2226" i="1"/>
  <c r="AA2226" i="1"/>
  <c r="AB2226" i="1"/>
  <c r="AC2226" i="1"/>
  <c r="AD2226" i="1"/>
  <c r="AE2226" i="1"/>
  <c r="W2227" i="1"/>
  <c r="X2227" i="1"/>
  <c r="Y2227" i="1"/>
  <c r="Z2227" i="1"/>
  <c r="AA2227" i="1"/>
  <c r="AB2227" i="1"/>
  <c r="AC2227" i="1"/>
  <c r="AD2227" i="1"/>
  <c r="AE2227" i="1"/>
  <c r="W2228" i="1"/>
  <c r="X2228" i="1"/>
  <c r="Y2228" i="1"/>
  <c r="Z2228" i="1"/>
  <c r="AA2228" i="1"/>
  <c r="AB2228" i="1"/>
  <c r="AC2228" i="1"/>
  <c r="AD2228" i="1"/>
  <c r="AE2228" i="1"/>
  <c r="W2229" i="1"/>
  <c r="X2229" i="1"/>
  <c r="Y2229" i="1"/>
  <c r="Z2229" i="1"/>
  <c r="AA2229" i="1"/>
  <c r="AB2229" i="1"/>
  <c r="AC2229" i="1"/>
  <c r="AD2229" i="1"/>
  <c r="AE2229" i="1"/>
  <c r="W2230" i="1"/>
  <c r="X2230" i="1"/>
  <c r="Y2230" i="1"/>
  <c r="Z2230" i="1"/>
  <c r="AA2230" i="1"/>
  <c r="AB2230" i="1"/>
  <c r="AC2230" i="1"/>
  <c r="AD2230" i="1"/>
  <c r="AE2230" i="1"/>
  <c r="W2231" i="1"/>
  <c r="X2231" i="1"/>
  <c r="Y2231" i="1"/>
  <c r="Z2231" i="1"/>
  <c r="AA2231" i="1"/>
  <c r="AB2231" i="1"/>
  <c r="AC2231" i="1"/>
  <c r="AD2231" i="1"/>
  <c r="AE2231" i="1"/>
  <c r="W2232" i="1"/>
  <c r="X2232" i="1"/>
  <c r="Y2232" i="1"/>
  <c r="Z2232" i="1"/>
  <c r="AA2232" i="1"/>
  <c r="AB2232" i="1"/>
  <c r="AC2232" i="1"/>
  <c r="AD2232" i="1"/>
  <c r="AE2232" i="1"/>
  <c r="W2233" i="1"/>
  <c r="X2233" i="1"/>
  <c r="Y2233" i="1"/>
  <c r="Z2233" i="1"/>
  <c r="AA2233" i="1"/>
  <c r="AB2233" i="1"/>
  <c r="AC2233" i="1"/>
  <c r="AD2233" i="1"/>
  <c r="AE2233" i="1"/>
  <c r="W2234" i="1"/>
  <c r="X2234" i="1"/>
  <c r="Y2234" i="1"/>
  <c r="Z2234" i="1"/>
  <c r="AA2234" i="1"/>
  <c r="AB2234" i="1"/>
  <c r="AC2234" i="1"/>
  <c r="AD2234" i="1"/>
  <c r="AE2234" i="1"/>
  <c r="W2235" i="1"/>
  <c r="X2235" i="1"/>
  <c r="Y2235" i="1"/>
  <c r="Z2235" i="1"/>
  <c r="AA2235" i="1"/>
  <c r="AB2235" i="1"/>
  <c r="AC2235" i="1"/>
  <c r="AD2235" i="1"/>
  <c r="AE2235" i="1"/>
  <c r="W2236" i="1"/>
  <c r="X2236" i="1"/>
  <c r="Y2236" i="1"/>
  <c r="Z2236" i="1"/>
  <c r="AA2236" i="1"/>
  <c r="AB2236" i="1"/>
  <c r="AC2236" i="1"/>
  <c r="AD2236" i="1"/>
  <c r="AE2236" i="1"/>
  <c r="W2237" i="1"/>
  <c r="X2237" i="1"/>
  <c r="Y2237" i="1"/>
  <c r="Z2237" i="1"/>
  <c r="AA2237" i="1"/>
  <c r="AB2237" i="1"/>
  <c r="AC2237" i="1"/>
  <c r="AD2237" i="1"/>
  <c r="AE2237" i="1"/>
  <c r="W2238" i="1"/>
  <c r="X2238" i="1"/>
  <c r="Y2238" i="1"/>
  <c r="Z2238" i="1"/>
  <c r="AA2238" i="1"/>
  <c r="AB2238" i="1"/>
  <c r="AC2238" i="1"/>
  <c r="AD2238" i="1"/>
  <c r="AE2238" i="1"/>
  <c r="W2239" i="1"/>
  <c r="X2239" i="1"/>
  <c r="Y2239" i="1"/>
  <c r="Z2239" i="1"/>
  <c r="AA2239" i="1"/>
  <c r="AB2239" i="1"/>
  <c r="AC2239" i="1"/>
  <c r="AD2239" i="1"/>
  <c r="AE2239" i="1"/>
  <c r="W2240" i="1"/>
  <c r="X2240" i="1"/>
  <c r="Y2240" i="1"/>
  <c r="Z2240" i="1"/>
  <c r="AA2240" i="1"/>
  <c r="AB2240" i="1"/>
  <c r="AC2240" i="1"/>
  <c r="AD2240" i="1"/>
  <c r="AE2240" i="1"/>
  <c r="W2241" i="1"/>
  <c r="X2241" i="1"/>
  <c r="Y2241" i="1"/>
  <c r="Z2241" i="1"/>
  <c r="AA2241" i="1"/>
  <c r="AB2241" i="1"/>
  <c r="AC2241" i="1"/>
  <c r="AD2241" i="1"/>
  <c r="AE2241" i="1"/>
  <c r="W2242" i="1"/>
  <c r="X2242" i="1"/>
  <c r="Y2242" i="1"/>
  <c r="Z2242" i="1"/>
  <c r="AA2242" i="1"/>
  <c r="AB2242" i="1"/>
  <c r="AC2242" i="1"/>
  <c r="AD2242" i="1"/>
  <c r="AE2242" i="1"/>
  <c r="W2243" i="1"/>
  <c r="X2243" i="1"/>
  <c r="Y2243" i="1"/>
  <c r="Z2243" i="1"/>
  <c r="AA2243" i="1"/>
  <c r="AB2243" i="1"/>
  <c r="AC2243" i="1"/>
  <c r="AD2243" i="1"/>
  <c r="AE2243" i="1"/>
  <c r="W2244" i="1"/>
  <c r="X2244" i="1"/>
  <c r="Y2244" i="1"/>
  <c r="Z2244" i="1"/>
  <c r="AA2244" i="1"/>
  <c r="AB2244" i="1"/>
  <c r="AC2244" i="1"/>
  <c r="AD2244" i="1"/>
  <c r="AE2244" i="1"/>
  <c r="W2245" i="1"/>
  <c r="X2245" i="1"/>
  <c r="Y2245" i="1"/>
  <c r="Z2245" i="1"/>
  <c r="AA2245" i="1"/>
  <c r="AB2245" i="1"/>
  <c r="AC2245" i="1"/>
  <c r="AD2245" i="1"/>
  <c r="AE2245" i="1"/>
  <c r="W2246" i="1"/>
  <c r="X2246" i="1"/>
  <c r="Y2246" i="1"/>
  <c r="Z2246" i="1"/>
  <c r="AA2246" i="1"/>
  <c r="AB2246" i="1"/>
  <c r="AC2246" i="1"/>
  <c r="AD2246" i="1"/>
  <c r="AE2246" i="1"/>
  <c r="W2247" i="1"/>
  <c r="X2247" i="1"/>
  <c r="Y2247" i="1"/>
  <c r="Z2247" i="1"/>
  <c r="AA2247" i="1"/>
  <c r="AB2247" i="1"/>
  <c r="AC2247" i="1"/>
  <c r="AD2247" i="1"/>
  <c r="AE2247" i="1"/>
  <c r="W2248" i="1"/>
  <c r="X2248" i="1"/>
  <c r="Y2248" i="1"/>
  <c r="Z2248" i="1"/>
  <c r="AA2248" i="1"/>
  <c r="AB2248" i="1"/>
  <c r="AC2248" i="1"/>
  <c r="AD2248" i="1"/>
  <c r="AE2248" i="1"/>
  <c r="W2249" i="1"/>
  <c r="X2249" i="1"/>
  <c r="Y2249" i="1"/>
  <c r="Z2249" i="1"/>
  <c r="AA2249" i="1"/>
  <c r="AB2249" i="1"/>
  <c r="AC2249" i="1"/>
  <c r="AD2249" i="1"/>
  <c r="AE2249" i="1"/>
  <c r="W2250" i="1"/>
  <c r="X2250" i="1"/>
  <c r="Y2250" i="1"/>
  <c r="Z2250" i="1"/>
  <c r="AA2250" i="1"/>
  <c r="AB2250" i="1"/>
  <c r="AC2250" i="1"/>
  <c r="AD2250" i="1"/>
  <c r="AE2250" i="1"/>
  <c r="W2251" i="1"/>
  <c r="X2251" i="1"/>
  <c r="Y2251" i="1"/>
  <c r="Z2251" i="1"/>
  <c r="AA2251" i="1"/>
  <c r="AB2251" i="1"/>
  <c r="AC2251" i="1"/>
  <c r="AD2251" i="1"/>
  <c r="AE2251" i="1"/>
  <c r="W2252" i="1"/>
  <c r="X2252" i="1"/>
  <c r="Y2252" i="1"/>
  <c r="Z2252" i="1"/>
  <c r="AA2252" i="1"/>
  <c r="AB2252" i="1"/>
  <c r="AC2252" i="1"/>
  <c r="AD2252" i="1"/>
  <c r="AE2252" i="1"/>
  <c r="W2253" i="1"/>
  <c r="X2253" i="1"/>
  <c r="Y2253" i="1"/>
  <c r="Z2253" i="1"/>
  <c r="AA2253" i="1"/>
  <c r="AB2253" i="1"/>
  <c r="AC2253" i="1"/>
  <c r="AD2253" i="1"/>
  <c r="AE2253" i="1"/>
  <c r="W2254" i="1"/>
  <c r="X2254" i="1"/>
  <c r="Y2254" i="1"/>
  <c r="Z2254" i="1"/>
  <c r="AA2254" i="1"/>
  <c r="AB2254" i="1"/>
  <c r="AC2254" i="1"/>
  <c r="AD2254" i="1"/>
  <c r="AE2254" i="1"/>
  <c r="W2255" i="1"/>
  <c r="X2255" i="1"/>
  <c r="Y2255" i="1"/>
  <c r="Z2255" i="1"/>
  <c r="AA2255" i="1"/>
  <c r="AB2255" i="1"/>
  <c r="AC2255" i="1"/>
  <c r="AD2255" i="1"/>
  <c r="AE2255" i="1"/>
  <c r="W2256" i="1"/>
  <c r="X2256" i="1"/>
  <c r="Y2256" i="1"/>
  <c r="Z2256" i="1"/>
  <c r="AA2256" i="1"/>
  <c r="AB2256" i="1"/>
  <c r="AC2256" i="1"/>
  <c r="AD2256" i="1"/>
  <c r="AE2256" i="1"/>
  <c r="W2257" i="1"/>
  <c r="X2257" i="1"/>
  <c r="Y2257" i="1"/>
  <c r="Z2257" i="1"/>
  <c r="AA2257" i="1"/>
  <c r="AB2257" i="1"/>
  <c r="AC2257" i="1"/>
  <c r="AD2257" i="1"/>
  <c r="AE2257" i="1"/>
  <c r="W2258" i="1"/>
  <c r="X2258" i="1"/>
  <c r="Y2258" i="1"/>
  <c r="Z2258" i="1"/>
  <c r="AA2258" i="1"/>
  <c r="AB2258" i="1"/>
  <c r="AC2258" i="1"/>
  <c r="AD2258" i="1"/>
  <c r="AE2258" i="1"/>
  <c r="W2259" i="1"/>
  <c r="X2259" i="1"/>
  <c r="Y2259" i="1"/>
  <c r="Z2259" i="1"/>
  <c r="AA2259" i="1"/>
  <c r="AB2259" i="1"/>
  <c r="AC2259" i="1"/>
  <c r="AD2259" i="1"/>
  <c r="AE2259" i="1"/>
  <c r="W2260" i="1"/>
  <c r="X2260" i="1"/>
  <c r="Y2260" i="1"/>
  <c r="Z2260" i="1"/>
  <c r="AA2260" i="1"/>
  <c r="AB2260" i="1"/>
  <c r="AC2260" i="1"/>
  <c r="AD2260" i="1"/>
  <c r="AE2260" i="1"/>
  <c r="W2261" i="1"/>
  <c r="X2261" i="1"/>
  <c r="Y2261" i="1"/>
  <c r="Z2261" i="1"/>
  <c r="AA2261" i="1"/>
  <c r="AB2261" i="1"/>
  <c r="AC2261" i="1"/>
  <c r="AD2261" i="1"/>
  <c r="AE2261" i="1"/>
  <c r="W2262" i="1"/>
  <c r="X2262" i="1"/>
  <c r="Y2262" i="1"/>
  <c r="Z2262" i="1"/>
  <c r="AA2262" i="1"/>
  <c r="AB2262" i="1"/>
  <c r="AC2262" i="1"/>
  <c r="AD2262" i="1"/>
  <c r="AE2262" i="1"/>
  <c r="W2263" i="1"/>
  <c r="X2263" i="1"/>
  <c r="Y2263" i="1"/>
  <c r="Z2263" i="1"/>
  <c r="AA2263" i="1"/>
  <c r="AB2263" i="1"/>
  <c r="AC2263" i="1"/>
  <c r="AD2263" i="1"/>
  <c r="AE2263" i="1"/>
  <c r="W2264" i="1"/>
  <c r="X2264" i="1"/>
  <c r="Y2264" i="1"/>
  <c r="Z2264" i="1"/>
  <c r="AA2264" i="1"/>
  <c r="AB2264" i="1"/>
  <c r="AC2264" i="1"/>
  <c r="AD2264" i="1"/>
  <c r="AE2264" i="1"/>
  <c r="W2265" i="1"/>
  <c r="X2265" i="1"/>
  <c r="Y2265" i="1"/>
  <c r="Z2265" i="1"/>
  <c r="AA2265" i="1"/>
  <c r="AB2265" i="1"/>
  <c r="AC2265" i="1"/>
  <c r="AD2265" i="1"/>
  <c r="AE2265" i="1"/>
  <c r="W2266" i="1"/>
  <c r="X2266" i="1"/>
  <c r="Y2266" i="1"/>
  <c r="Z2266" i="1"/>
  <c r="AA2266" i="1"/>
  <c r="AB2266" i="1"/>
  <c r="AC2266" i="1"/>
  <c r="AD2266" i="1"/>
  <c r="AE2266" i="1"/>
  <c r="W2267" i="1"/>
  <c r="X2267" i="1"/>
  <c r="Y2267" i="1"/>
  <c r="Z2267" i="1"/>
  <c r="AA2267" i="1"/>
  <c r="AB2267" i="1"/>
  <c r="AC2267" i="1"/>
  <c r="AD2267" i="1"/>
  <c r="AE2267" i="1"/>
  <c r="W2268" i="1"/>
  <c r="X2268" i="1"/>
  <c r="Y2268" i="1"/>
  <c r="Z2268" i="1"/>
  <c r="AA2268" i="1"/>
  <c r="AB2268" i="1"/>
  <c r="AC2268" i="1"/>
  <c r="AD2268" i="1"/>
  <c r="AE2268" i="1"/>
  <c r="W2269" i="1"/>
  <c r="X2269" i="1"/>
  <c r="Y2269" i="1"/>
  <c r="Z2269" i="1"/>
  <c r="AA2269" i="1"/>
  <c r="AB2269" i="1"/>
  <c r="AC2269" i="1"/>
  <c r="AD2269" i="1"/>
  <c r="AE2269" i="1"/>
  <c r="W2270" i="1"/>
  <c r="X2270" i="1"/>
  <c r="Y2270" i="1"/>
  <c r="Z2270" i="1"/>
  <c r="AA2270" i="1"/>
  <c r="AB2270" i="1"/>
  <c r="AC2270" i="1"/>
  <c r="AD2270" i="1"/>
  <c r="AE2270" i="1"/>
  <c r="W2271" i="1"/>
  <c r="X2271" i="1"/>
  <c r="Y2271" i="1"/>
  <c r="Z2271" i="1"/>
  <c r="AA2271" i="1"/>
  <c r="AB2271" i="1"/>
  <c r="AC2271" i="1"/>
  <c r="AD2271" i="1"/>
  <c r="AE2271" i="1"/>
  <c r="W2272" i="1"/>
  <c r="X2272" i="1"/>
  <c r="Y2272" i="1"/>
  <c r="Z2272" i="1"/>
  <c r="AA2272" i="1"/>
  <c r="AB2272" i="1"/>
  <c r="AC2272" i="1"/>
  <c r="AD2272" i="1"/>
  <c r="AE2272" i="1"/>
  <c r="W2273" i="1"/>
  <c r="X2273" i="1"/>
  <c r="Y2273" i="1"/>
  <c r="Z2273" i="1"/>
  <c r="AA2273" i="1"/>
  <c r="AB2273" i="1"/>
  <c r="AC2273" i="1"/>
  <c r="AD2273" i="1"/>
  <c r="AE2273" i="1"/>
  <c r="W2274" i="1"/>
  <c r="X2274" i="1"/>
  <c r="Y2274" i="1"/>
  <c r="Z2274" i="1"/>
  <c r="AA2274" i="1"/>
  <c r="AB2274" i="1"/>
  <c r="AC2274" i="1"/>
  <c r="AD2274" i="1"/>
  <c r="AE2274" i="1"/>
  <c r="W2275" i="1"/>
  <c r="X2275" i="1"/>
  <c r="Y2275" i="1"/>
  <c r="Z2275" i="1"/>
  <c r="AA2275" i="1"/>
  <c r="AB2275" i="1"/>
  <c r="AC2275" i="1"/>
  <c r="AD2275" i="1"/>
  <c r="AE2275" i="1"/>
  <c r="W2276" i="1"/>
  <c r="X2276" i="1"/>
  <c r="Y2276" i="1"/>
  <c r="Z2276" i="1"/>
  <c r="AA2276" i="1"/>
  <c r="AB2276" i="1"/>
  <c r="AC2276" i="1"/>
  <c r="AD2276" i="1"/>
  <c r="AE2276" i="1"/>
  <c r="W2277" i="1"/>
  <c r="X2277" i="1"/>
  <c r="Y2277" i="1"/>
  <c r="Z2277" i="1"/>
  <c r="AA2277" i="1"/>
  <c r="AB2277" i="1"/>
  <c r="AC2277" i="1"/>
  <c r="AD2277" i="1"/>
  <c r="AE2277" i="1"/>
  <c r="W2278" i="1"/>
  <c r="X2278" i="1"/>
  <c r="Y2278" i="1"/>
  <c r="Z2278" i="1"/>
  <c r="AA2278" i="1"/>
  <c r="AB2278" i="1"/>
  <c r="AC2278" i="1"/>
  <c r="AD2278" i="1"/>
  <c r="AE2278" i="1"/>
  <c r="W2279" i="1"/>
  <c r="X2279" i="1"/>
  <c r="Y2279" i="1"/>
  <c r="Z2279" i="1"/>
  <c r="AA2279" i="1"/>
  <c r="AB2279" i="1"/>
  <c r="AC2279" i="1"/>
  <c r="AD2279" i="1"/>
  <c r="AE2279" i="1"/>
  <c r="W2280" i="1"/>
  <c r="X2280" i="1"/>
  <c r="Y2280" i="1"/>
  <c r="Z2280" i="1"/>
  <c r="AA2280" i="1"/>
  <c r="AB2280" i="1"/>
  <c r="AC2280" i="1"/>
  <c r="AD2280" i="1"/>
  <c r="AE2280" i="1"/>
  <c r="W2281" i="1"/>
  <c r="X2281" i="1"/>
  <c r="Y2281" i="1"/>
  <c r="Z2281" i="1"/>
  <c r="AA2281" i="1"/>
  <c r="AB2281" i="1"/>
  <c r="AC2281" i="1"/>
  <c r="AD2281" i="1"/>
  <c r="AE2281" i="1"/>
  <c r="W2282" i="1"/>
  <c r="X2282" i="1"/>
  <c r="Y2282" i="1"/>
  <c r="Z2282" i="1"/>
  <c r="AA2282" i="1"/>
  <c r="AB2282" i="1"/>
  <c r="AC2282" i="1"/>
  <c r="AD2282" i="1"/>
  <c r="AE2282" i="1"/>
  <c r="W2283" i="1"/>
  <c r="X2283" i="1"/>
  <c r="Y2283" i="1"/>
  <c r="Z2283" i="1"/>
  <c r="AA2283" i="1"/>
  <c r="AB2283" i="1"/>
  <c r="AC2283" i="1"/>
  <c r="AD2283" i="1"/>
  <c r="AE2283" i="1"/>
  <c r="W2284" i="1"/>
  <c r="X2284" i="1"/>
  <c r="Y2284" i="1"/>
  <c r="Z2284" i="1"/>
  <c r="AA2284" i="1"/>
  <c r="AB2284" i="1"/>
  <c r="AC2284" i="1"/>
  <c r="AD2284" i="1"/>
  <c r="AE2284" i="1"/>
  <c r="W2285" i="1"/>
  <c r="X2285" i="1"/>
  <c r="Y2285" i="1"/>
  <c r="Z2285" i="1"/>
  <c r="AA2285" i="1"/>
  <c r="AB2285" i="1"/>
  <c r="AC2285" i="1"/>
  <c r="AD2285" i="1"/>
  <c r="AE2285" i="1"/>
  <c r="W2286" i="1"/>
  <c r="X2286" i="1"/>
  <c r="Y2286" i="1"/>
  <c r="Z2286" i="1"/>
  <c r="AA2286" i="1"/>
  <c r="AB2286" i="1"/>
  <c r="AC2286" i="1"/>
  <c r="AD2286" i="1"/>
  <c r="AE2286" i="1"/>
  <c r="W2287" i="1"/>
  <c r="X2287" i="1"/>
  <c r="Y2287" i="1"/>
  <c r="Z2287" i="1"/>
  <c r="AA2287" i="1"/>
  <c r="AB2287" i="1"/>
  <c r="AC2287" i="1"/>
  <c r="AD2287" i="1"/>
  <c r="AE2287" i="1"/>
  <c r="W2288" i="1"/>
  <c r="X2288" i="1"/>
  <c r="Y2288" i="1"/>
  <c r="Z2288" i="1"/>
  <c r="AA2288" i="1"/>
  <c r="AB2288" i="1"/>
  <c r="AC2288" i="1"/>
  <c r="AD2288" i="1"/>
  <c r="AE2288" i="1"/>
  <c r="W2289" i="1"/>
  <c r="X2289" i="1"/>
  <c r="Y2289" i="1"/>
  <c r="Z2289" i="1"/>
  <c r="AA2289" i="1"/>
  <c r="AB2289" i="1"/>
  <c r="AC2289" i="1"/>
  <c r="AD2289" i="1"/>
  <c r="AE2289" i="1"/>
  <c r="W2290" i="1"/>
  <c r="X2290" i="1"/>
  <c r="Y2290" i="1"/>
  <c r="Z2290" i="1"/>
  <c r="AA2290" i="1"/>
  <c r="AB2290" i="1"/>
  <c r="AC2290" i="1"/>
  <c r="AD2290" i="1"/>
  <c r="AE2290" i="1"/>
  <c r="W2291" i="1"/>
  <c r="X2291" i="1"/>
  <c r="Y2291" i="1"/>
  <c r="Z2291" i="1"/>
  <c r="AA2291" i="1"/>
  <c r="AB2291" i="1"/>
  <c r="AC2291" i="1"/>
  <c r="AD2291" i="1"/>
  <c r="AE2291" i="1"/>
  <c r="W2292" i="1"/>
  <c r="X2292" i="1"/>
  <c r="Y2292" i="1"/>
  <c r="Z2292" i="1"/>
  <c r="AA2292" i="1"/>
  <c r="AB2292" i="1"/>
  <c r="AC2292" i="1"/>
  <c r="AD2292" i="1"/>
  <c r="AE2292" i="1"/>
  <c r="W2293" i="1"/>
  <c r="X2293" i="1"/>
  <c r="Y2293" i="1"/>
  <c r="Z2293" i="1"/>
  <c r="AA2293" i="1"/>
  <c r="AB2293" i="1"/>
  <c r="AC2293" i="1"/>
  <c r="AD2293" i="1"/>
  <c r="AE2293" i="1"/>
  <c r="W2294" i="1"/>
  <c r="X2294" i="1"/>
  <c r="Y2294" i="1"/>
  <c r="Z2294" i="1"/>
  <c r="AA2294" i="1"/>
  <c r="AB2294" i="1"/>
  <c r="AC2294" i="1"/>
  <c r="AD2294" i="1"/>
  <c r="AE2294" i="1"/>
  <c r="W2295" i="1"/>
  <c r="X2295" i="1"/>
  <c r="Y2295" i="1"/>
  <c r="Z2295" i="1"/>
  <c r="AA2295" i="1"/>
  <c r="AB2295" i="1"/>
  <c r="AC2295" i="1"/>
  <c r="AD2295" i="1"/>
  <c r="AE2295" i="1"/>
  <c r="W2296" i="1"/>
  <c r="X2296" i="1"/>
  <c r="Y2296" i="1"/>
  <c r="Z2296" i="1"/>
  <c r="AA2296" i="1"/>
  <c r="AB2296" i="1"/>
  <c r="AC2296" i="1"/>
  <c r="AD2296" i="1"/>
  <c r="AE2296" i="1"/>
  <c r="W2297" i="1"/>
  <c r="X2297" i="1"/>
  <c r="Y2297" i="1"/>
  <c r="Z2297" i="1"/>
  <c r="AA2297" i="1"/>
  <c r="AB2297" i="1"/>
  <c r="AC2297" i="1"/>
  <c r="AD2297" i="1"/>
  <c r="AE2297" i="1"/>
  <c r="W2298" i="1"/>
  <c r="X2298" i="1"/>
  <c r="Y2298" i="1"/>
  <c r="Z2298" i="1"/>
  <c r="AA2298" i="1"/>
  <c r="AB2298" i="1"/>
  <c r="AC2298" i="1"/>
  <c r="AD2298" i="1"/>
  <c r="AE2298" i="1"/>
  <c r="W2299" i="1"/>
  <c r="X2299" i="1"/>
  <c r="Y2299" i="1"/>
  <c r="Z2299" i="1"/>
  <c r="AA2299" i="1"/>
  <c r="AB2299" i="1"/>
  <c r="AC2299" i="1"/>
  <c r="AD2299" i="1"/>
  <c r="AE2299" i="1"/>
  <c r="W2300" i="1"/>
  <c r="X2300" i="1"/>
  <c r="Y2300" i="1"/>
  <c r="Z2300" i="1"/>
  <c r="AA2300" i="1"/>
  <c r="AB2300" i="1"/>
  <c r="AC2300" i="1"/>
  <c r="AD2300" i="1"/>
  <c r="AE2300" i="1"/>
  <c r="W2301" i="1"/>
  <c r="X2301" i="1"/>
  <c r="Y2301" i="1"/>
  <c r="Z2301" i="1"/>
  <c r="AA2301" i="1"/>
  <c r="AB2301" i="1"/>
  <c r="AC2301" i="1"/>
  <c r="AD2301" i="1"/>
  <c r="AE2301" i="1"/>
  <c r="W2302" i="1"/>
  <c r="X2302" i="1"/>
  <c r="Y2302" i="1"/>
  <c r="Z2302" i="1"/>
  <c r="AA2302" i="1"/>
  <c r="AB2302" i="1"/>
  <c r="AC2302" i="1"/>
  <c r="AD2302" i="1"/>
  <c r="AE2302" i="1"/>
  <c r="W2303" i="1"/>
  <c r="X2303" i="1"/>
  <c r="Y2303" i="1"/>
  <c r="Z2303" i="1"/>
  <c r="AA2303" i="1"/>
  <c r="AB2303" i="1"/>
  <c r="AC2303" i="1"/>
  <c r="AD2303" i="1"/>
  <c r="AE2303" i="1"/>
  <c r="W2304" i="1"/>
  <c r="X2304" i="1"/>
  <c r="Y2304" i="1"/>
  <c r="Z2304" i="1"/>
  <c r="AA2304" i="1"/>
  <c r="AB2304" i="1"/>
  <c r="AC2304" i="1"/>
  <c r="AD2304" i="1"/>
  <c r="AE2304" i="1"/>
  <c r="W2305" i="1"/>
  <c r="X2305" i="1"/>
  <c r="Y2305" i="1"/>
  <c r="Z2305" i="1"/>
  <c r="AA2305" i="1"/>
  <c r="AB2305" i="1"/>
  <c r="AC2305" i="1"/>
  <c r="AD2305" i="1"/>
  <c r="AE2305" i="1"/>
  <c r="W2306" i="1"/>
  <c r="X2306" i="1"/>
  <c r="Y2306" i="1"/>
  <c r="Z2306" i="1"/>
  <c r="AA2306" i="1"/>
  <c r="AB2306" i="1"/>
  <c r="AC2306" i="1"/>
  <c r="AD2306" i="1"/>
  <c r="AE2306" i="1"/>
  <c r="W2307" i="1"/>
  <c r="X2307" i="1"/>
  <c r="Y2307" i="1"/>
  <c r="Z2307" i="1"/>
  <c r="AA2307" i="1"/>
  <c r="AB2307" i="1"/>
  <c r="AC2307" i="1"/>
  <c r="AD2307" i="1"/>
  <c r="AE2307" i="1"/>
  <c r="W2308" i="1"/>
  <c r="X2308" i="1"/>
  <c r="Y2308" i="1"/>
  <c r="Z2308" i="1"/>
  <c r="AA2308" i="1"/>
  <c r="AB2308" i="1"/>
  <c r="AC2308" i="1"/>
  <c r="AD2308" i="1"/>
  <c r="AE2308" i="1"/>
  <c r="W2309" i="1"/>
  <c r="X2309" i="1"/>
  <c r="Y2309" i="1"/>
  <c r="Z2309" i="1"/>
  <c r="AA2309" i="1"/>
  <c r="AB2309" i="1"/>
  <c r="AC2309" i="1"/>
  <c r="AD2309" i="1"/>
  <c r="AE2309" i="1"/>
  <c r="W2310" i="1"/>
  <c r="X2310" i="1"/>
  <c r="Y2310" i="1"/>
  <c r="Z2310" i="1"/>
  <c r="AA2310" i="1"/>
  <c r="AB2310" i="1"/>
  <c r="AC2310" i="1"/>
  <c r="AD2310" i="1"/>
  <c r="AE2310" i="1"/>
  <c r="W2311" i="1"/>
  <c r="X2311" i="1"/>
  <c r="Y2311" i="1"/>
  <c r="Z2311" i="1"/>
  <c r="AA2311" i="1"/>
  <c r="AB2311" i="1"/>
  <c r="AC2311" i="1"/>
  <c r="AD2311" i="1"/>
  <c r="AE2311" i="1"/>
  <c r="W2312" i="1"/>
  <c r="X2312" i="1"/>
  <c r="Y2312" i="1"/>
  <c r="Z2312" i="1"/>
  <c r="AA2312" i="1"/>
  <c r="AB2312" i="1"/>
  <c r="AC2312" i="1"/>
  <c r="AD2312" i="1"/>
  <c r="AE2312" i="1"/>
  <c r="W2313" i="1"/>
  <c r="X2313" i="1"/>
  <c r="Y2313" i="1"/>
  <c r="Z2313" i="1"/>
  <c r="AA2313" i="1"/>
  <c r="AB2313" i="1"/>
  <c r="AC2313" i="1"/>
  <c r="AD2313" i="1"/>
  <c r="AE2313" i="1"/>
  <c r="W2314" i="1"/>
  <c r="X2314" i="1"/>
  <c r="Y2314" i="1"/>
  <c r="Z2314" i="1"/>
  <c r="AA2314" i="1"/>
  <c r="AB2314" i="1"/>
  <c r="AC2314" i="1"/>
  <c r="AD2314" i="1"/>
  <c r="AE2314" i="1"/>
  <c r="W2315" i="1"/>
  <c r="X2315" i="1"/>
  <c r="Y2315" i="1"/>
  <c r="Z2315" i="1"/>
  <c r="AA2315" i="1"/>
  <c r="AB2315" i="1"/>
  <c r="AC2315" i="1"/>
  <c r="AD2315" i="1"/>
  <c r="AE2315" i="1"/>
  <c r="W2316" i="1"/>
  <c r="X2316" i="1"/>
  <c r="Y2316" i="1"/>
  <c r="Z2316" i="1"/>
  <c r="AA2316" i="1"/>
  <c r="AB2316" i="1"/>
  <c r="AC2316" i="1"/>
  <c r="AD2316" i="1"/>
  <c r="AE2316" i="1"/>
  <c r="W2317" i="1"/>
  <c r="X2317" i="1"/>
  <c r="Y2317" i="1"/>
  <c r="Z2317" i="1"/>
  <c r="AA2317" i="1"/>
  <c r="AB2317" i="1"/>
  <c r="AC2317" i="1"/>
  <c r="AD2317" i="1"/>
  <c r="AE2317" i="1"/>
  <c r="W2318" i="1"/>
  <c r="X2318" i="1"/>
  <c r="Y2318" i="1"/>
  <c r="Z2318" i="1"/>
  <c r="AA2318" i="1"/>
  <c r="AB2318" i="1"/>
  <c r="AC2318" i="1"/>
  <c r="AD2318" i="1"/>
  <c r="AE2318" i="1"/>
  <c r="W2319" i="1"/>
  <c r="X2319" i="1"/>
  <c r="Y2319" i="1"/>
  <c r="Z2319" i="1"/>
  <c r="AA2319" i="1"/>
  <c r="AB2319" i="1"/>
  <c r="AC2319" i="1"/>
  <c r="AD2319" i="1"/>
  <c r="AE2319" i="1"/>
  <c r="W2320" i="1"/>
  <c r="X2320" i="1"/>
  <c r="Y2320" i="1"/>
  <c r="Z2320" i="1"/>
  <c r="AA2320" i="1"/>
  <c r="AB2320" i="1"/>
  <c r="AC2320" i="1"/>
  <c r="AD2320" i="1"/>
  <c r="AE2320" i="1"/>
  <c r="W2321" i="1"/>
  <c r="X2321" i="1"/>
  <c r="Y2321" i="1"/>
  <c r="Z2321" i="1"/>
  <c r="AA2321" i="1"/>
  <c r="AB2321" i="1"/>
  <c r="AC2321" i="1"/>
  <c r="AD2321" i="1"/>
  <c r="AE2321" i="1"/>
  <c r="W2322" i="1"/>
  <c r="X2322" i="1"/>
  <c r="Y2322" i="1"/>
  <c r="Z2322" i="1"/>
  <c r="AA2322" i="1"/>
  <c r="AB2322" i="1"/>
  <c r="AC2322" i="1"/>
  <c r="AD2322" i="1"/>
  <c r="AE2322" i="1"/>
  <c r="W2323" i="1"/>
  <c r="X2323" i="1"/>
  <c r="Y2323" i="1"/>
  <c r="Z2323" i="1"/>
  <c r="AA2323" i="1"/>
  <c r="AB2323" i="1"/>
  <c r="AC2323" i="1"/>
  <c r="AD2323" i="1"/>
  <c r="AE2323" i="1"/>
  <c r="W2324" i="1"/>
  <c r="X2324" i="1"/>
  <c r="Y2324" i="1"/>
  <c r="Z2324" i="1"/>
  <c r="AA2324" i="1"/>
  <c r="AB2324" i="1"/>
  <c r="AC2324" i="1"/>
  <c r="AD2324" i="1"/>
  <c r="AE2324" i="1"/>
  <c r="W2325" i="1"/>
  <c r="X2325" i="1"/>
  <c r="Y2325" i="1"/>
  <c r="Z2325" i="1"/>
  <c r="AA2325" i="1"/>
  <c r="AB2325" i="1"/>
  <c r="AC2325" i="1"/>
  <c r="AD2325" i="1"/>
  <c r="AE2325" i="1"/>
  <c r="W2326" i="1"/>
  <c r="X2326" i="1"/>
  <c r="Y2326" i="1"/>
  <c r="Z2326" i="1"/>
  <c r="AA2326" i="1"/>
  <c r="AB2326" i="1"/>
  <c r="AC2326" i="1"/>
  <c r="AD2326" i="1"/>
  <c r="AE2326" i="1"/>
  <c r="W2327" i="1"/>
  <c r="X2327" i="1"/>
  <c r="Y2327" i="1"/>
  <c r="Z2327" i="1"/>
  <c r="AA2327" i="1"/>
  <c r="AB2327" i="1"/>
  <c r="AC2327" i="1"/>
  <c r="AD2327" i="1"/>
  <c r="AE2327" i="1"/>
  <c r="W2328" i="1"/>
  <c r="X2328" i="1"/>
  <c r="Y2328" i="1"/>
  <c r="Z2328" i="1"/>
  <c r="AA2328" i="1"/>
  <c r="AB2328" i="1"/>
  <c r="AC2328" i="1"/>
  <c r="AD2328" i="1"/>
  <c r="AE2328" i="1"/>
  <c r="W2329" i="1"/>
  <c r="X2329" i="1"/>
  <c r="Y2329" i="1"/>
  <c r="Z2329" i="1"/>
  <c r="AA2329" i="1"/>
  <c r="AB2329" i="1"/>
  <c r="AC2329" i="1"/>
  <c r="AD2329" i="1"/>
  <c r="AE2329" i="1"/>
  <c r="W2330" i="1"/>
  <c r="X2330" i="1"/>
  <c r="Y2330" i="1"/>
  <c r="Z2330" i="1"/>
  <c r="AA2330" i="1"/>
  <c r="AB2330" i="1"/>
  <c r="AC2330" i="1"/>
  <c r="AD2330" i="1"/>
  <c r="AE2330" i="1"/>
  <c r="W2331" i="1"/>
  <c r="X2331" i="1"/>
  <c r="Y2331" i="1"/>
  <c r="Z2331" i="1"/>
  <c r="AA2331" i="1"/>
  <c r="AB2331" i="1"/>
  <c r="AC2331" i="1"/>
  <c r="AD2331" i="1"/>
  <c r="AE2331" i="1"/>
  <c r="W2332" i="1"/>
  <c r="X2332" i="1"/>
  <c r="Y2332" i="1"/>
  <c r="Z2332" i="1"/>
  <c r="AA2332" i="1"/>
  <c r="AB2332" i="1"/>
  <c r="AC2332" i="1"/>
  <c r="AD2332" i="1"/>
  <c r="AE2332" i="1"/>
  <c r="W2333" i="1"/>
  <c r="X2333" i="1"/>
  <c r="Y2333" i="1"/>
  <c r="Z2333" i="1"/>
  <c r="AA2333" i="1"/>
  <c r="AB2333" i="1"/>
  <c r="AC2333" i="1"/>
  <c r="AD2333" i="1"/>
  <c r="AE2333" i="1"/>
  <c r="W2334" i="1"/>
  <c r="X2334" i="1"/>
  <c r="Y2334" i="1"/>
  <c r="Z2334" i="1"/>
  <c r="AA2334" i="1"/>
  <c r="AB2334" i="1"/>
  <c r="AC2334" i="1"/>
  <c r="AD2334" i="1"/>
  <c r="AE2334" i="1"/>
  <c r="W2335" i="1"/>
  <c r="X2335" i="1"/>
  <c r="Y2335" i="1"/>
  <c r="Z2335" i="1"/>
  <c r="AA2335" i="1"/>
  <c r="AB2335" i="1"/>
  <c r="AC2335" i="1"/>
  <c r="AD2335" i="1"/>
  <c r="AE2335" i="1"/>
  <c r="W2336" i="1"/>
  <c r="X2336" i="1"/>
  <c r="Y2336" i="1"/>
  <c r="Z2336" i="1"/>
  <c r="AA2336" i="1"/>
  <c r="AB2336" i="1"/>
  <c r="AC2336" i="1"/>
  <c r="AD2336" i="1"/>
  <c r="AE2336" i="1"/>
  <c r="W2337" i="1"/>
  <c r="X2337" i="1"/>
  <c r="Y2337" i="1"/>
  <c r="Z2337" i="1"/>
  <c r="AA2337" i="1"/>
  <c r="AB2337" i="1"/>
  <c r="AC2337" i="1"/>
  <c r="AD2337" i="1"/>
  <c r="AE2337" i="1"/>
  <c r="W2338" i="1"/>
  <c r="X2338" i="1"/>
  <c r="Y2338" i="1"/>
  <c r="Z2338" i="1"/>
  <c r="AA2338" i="1"/>
  <c r="AB2338" i="1"/>
  <c r="AC2338" i="1"/>
  <c r="AD2338" i="1"/>
  <c r="AE2338" i="1"/>
  <c r="W2339" i="1"/>
  <c r="X2339" i="1"/>
  <c r="Y2339" i="1"/>
  <c r="Z2339" i="1"/>
  <c r="AA2339" i="1"/>
  <c r="AB2339" i="1"/>
  <c r="AC2339" i="1"/>
  <c r="AD2339" i="1"/>
  <c r="AE2339" i="1"/>
  <c r="W2340" i="1"/>
  <c r="X2340" i="1"/>
  <c r="Y2340" i="1"/>
  <c r="Z2340" i="1"/>
  <c r="AA2340" i="1"/>
  <c r="AB2340" i="1"/>
  <c r="AC2340" i="1"/>
  <c r="AD2340" i="1"/>
  <c r="AE2340" i="1"/>
  <c r="W2341" i="1"/>
  <c r="X2341" i="1"/>
  <c r="Y2341" i="1"/>
  <c r="Z2341" i="1"/>
  <c r="AA2341" i="1"/>
  <c r="AB2341" i="1"/>
  <c r="AC2341" i="1"/>
  <c r="AD2341" i="1"/>
  <c r="AE2341" i="1"/>
  <c r="W2342" i="1"/>
  <c r="X2342" i="1"/>
  <c r="Y2342" i="1"/>
  <c r="Z2342" i="1"/>
  <c r="AA2342" i="1"/>
  <c r="AB2342" i="1"/>
  <c r="AC2342" i="1"/>
  <c r="AD2342" i="1"/>
  <c r="AE2342" i="1"/>
  <c r="W2343" i="1"/>
  <c r="X2343" i="1"/>
  <c r="Y2343" i="1"/>
  <c r="Z2343" i="1"/>
  <c r="AA2343" i="1"/>
  <c r="AB2343" i="1"/>
  <c r="AC2343" i="1"/>
  <c r="AD2343" i="1"/>
  <c r="AE2343" i="1"/>
  <c r="W2344" i="1"/>
  <c r="X2344" i="1"/>
  <c r="Y2344" i="1"/>
  <c r="Z2344" i="1"/>
  <c r="AA2344" i="1"/>
  <c r="AB2344" i="1"/>
  <c r="AC2344" i="1"/>
  <c r="AD2344" i="1"/>
  <c r="AE2344" i="1"/>
  <c r="W2345" i="1"/>
  <c r="X2345" i="1"/>
  <c r="Y2345" i="1"/>
  <c r="Z2345" i="1"/>
  <c r="AA2345" i="1"/>
  <c r="AB2345" i="1"/>
  <c r="AC2345" i="1"/>
  <c r="AD2345" i="1"/>
  <c r="AE2345" i="1"/>
  <c r="W2346" i="1"/>
  <c r="X2346" i="1"/>
  <c r="Y2346" i="1"/>
  <c r="Z2346" i="1"/>
  <c r="AA2346" i="1"/>
  <c r="AB2346" i="1"/>
  <c r="AC2346" i="1"/>
  <c r="AD2346" i="1"/>
  <c r="AE2346" i="1"/>
  <c r="W2347" i="1"/>
  <c r="X2347" i="1"/>
  <c r="Y2347" i="1"/>
  <c r="Z2347" i="1"/>
  <c r="AA2347" i="1"/>
  <c r="AB2347" i="1"/>
  <c r="AC2347" i="1"/>
  <c r="AD2347" i="1"/>
  <c r="AE2347" i="1"/>
  <c r="W2348" i="1"/>
  <c r="X2348" i="1"/>
  <c r="Y2348" i="1"/>
  <c r="Z2348" i="1"/>
  <c r="AA2348" i="1"/>
  <c r="AB2348" i="1"/>
  <c r="AC2348" i="1"/>
  <c r="AD2348" i="1"/>
  <c r="AE2348" i="1"/>
  <c r="W2349" i="1"/>
  <c r="X2349" i="1"/>
  <c r="Y2349" i="1"/>
  <c r="Z2349" i="1"/>
  <c r="AA2349" i="1"/>
  <c r="AB2349" i="1"/>
  <c r="AC2349" i="1"/>
  <c r="AD2349" i="1"/>
  <c r="AE2349" i="1"/>
  <c r="W2350" i="1"/>
  <c r="X2350" i="1"/>
  <c r="Y2350" i="1"/>
  <c r="Z2350" i="1"/>
  <c r="AA2350" i="1"/>
  <c r="AB2350" i="1"/>
  <c r="AC2350" i="1"/>
  <c r="AD2350" i="1"/>
  <c r="AE2350" i="1"/>
  <c r="W2351" i="1"/>
  <c r="X2351" i="1"/>
  <c r="Y2351" i="1"/>
  <c r="Z2351" i="1"/>
  <c r="AA2351" i="1"/>
  <c r="AB2351" i="1"/>
  <c r="AC2351" i="1"/>
  <c r="AD2351" i="1"/>
  <c r="AE2351" i="1"/>
  <c r="W2352" i="1"/>
  <c r="X2352" i="1"/>
  <c r="Y2352" i="1"/>
  <c r="Z2352" i="1"/>
  <c r="AA2352" i="1"/>
  <c r="AB2352" i="1"/>
  <c r="AC2352" i="1"/>
  <c r="AD2352" i="1"/>
  <c r="AE2352" i="1"/>
  <c r="W2353" i="1"/>
  <c r="X2353" i="1"/>
  <c r="Y2353" i="1"/>
  <c r="Z2353" i="1"/>
  <c r="AA2353" i="1"/>
  <c r="AB2353" i="1"/>
  <c r="AC2353" i="1"/>
  <c r="AD2353" i="1"/>
  <c r="AE2353" i="1"/>
  <c r="W2354" i="1"/>
  <c r="X2354" i="1"/>
  <c r="Y2354" i="1"/>
  <c r="Z2354" i="1"/>
  <c r="AA2354" i="1"/>
  <c r="AB2354" i="1"/>
  <c r="AC2354" i="1"/>
  <c r="AD2354" i="1"/>
  <c r="AE2354" i="1"/>
  <c r="W2355" i="1"/>
  <c r="X2355" i="1"/>
  <c r="Y2355" i="1"/>
  <c r="Z2355" i="1"/>
  <c r="AA2355" i="1"/>
  <c r="AB2355" i="1"/>
  <c r="AC2355" i="1"/>
  <c r="AD2355" i="1"/>
  <c r="AE2355" i="1"/>
  <c r="W2356" i="1"/>
  <c r="X2356" i="1"/>
  <c r="Y2356" i="1"/>
  <c r="Z2356" i="1"/>
  <c r="AA2356" i="1"/>
  <c r="AB2356" i="1"/>
  <c r="AC2356" i="1"/>
  <c r="AD2356" i="1"/>
  <c r="AE2356" i="1"/>
  <c r="W2357" i="1"/>
  <c r="X2357" i="1"/>
  <c r="Y2357" i="1"/>
  <c r="Z2357" i="1"/>
  <c r="AA2357" i="1"/>
  <c r="AB2357" i="1"/>
  <c r="AC2357" i="1"/>
  <c r="AD2357" i="1"/>
  <c r="AE2357" i="1"/>
  <c r="W2358" i="1"/>
  <c r="X2358" i="1"/>
  <c r="Y2358" i="1"/>
  <c r="Z2358" i="1"/>
  <c r="AA2358" i="1"/>
  <c r="AB2358" i="1"/>
  <c r="AC2358" i="1"/>
  <c r="AD2358" i="1"/>
  <c r="AE2358" i="1"/>
  <c r="W2359" i="1"/>
  <c r="X2359" i="1"/>
  <c r="Y2359" i="1"/>
  <c r="Z2359" i="1"/>
  <c r="AA2359" i="1"/>
  <c r="AB2359" i="1"/>
  <c r="AC2359" i="1"/>
  <c r="AD2359" i="1"/>
  <c r="AE2359" i="1"/>
  <c r="W2360" i="1"/>
  <c r="X2360" i="1"/>
  <c r="Y2360" i="1"/>
  <c r="Z2360" i="1"/>
  <c r="AA2360" i="1"/>
  <c r="AB2360" i="1"/>
  <c r="AC2360" i="1"/>
  <c r="AD2360" i="1"/>
  <c r="AE2360" i="1"/>
  <c r="W2361" i="1"/>
  <c r="X2361" i="1"/>
  <c r="Y2361" i="1"/>
  <c r="Z2361" i="1"/>
  <c r="AA2361" i="1"/>
  <c r="AB2361" i="1"/>
  <c r="AC2361" i="1"/>
  <c r="AD2361" i="1"/>
  <c r="AE2361" i="1"/>
  <c r="W2362" i="1"/>
  <c r="X2362" i="1"/>
  <c r="Y2362" i="1"/>
  <c r="Z2362" i="1"/>
  <c r="AA2362" i="1"/>
  <c r="AB2362" i="1"/>
  <c r="AC2362" i="1"/>
  <c r="AD2362" i="1"/>
  <c r="AE2362" i="1"/>
  <c r="W2363" i="1"/>
  <c r="X2363" i="1"/>
  <c r="Y2363" i="1"/>
  <c r="Z2363" i="1"/>
  <c r="AA2363" i="1"/>
  <c r="AB2363" i="1"/>
  <c r="AC2363" i="1"/>
  <c r="AD2363" i="1"/>
  <c r="AE2363" i="1"/>
  <c r="W2364" i="1"/>
  <c r="X2364" i="1"/>
  <c r="Y2364" i="1"/>
  <c r="Z2364" i="1"/>
  <c r="AA2364" i="1"/>
  <c r="AB2364" i="1"/>
  <c r="AC2364" i="1"/>
  <c r="AD2364" i="1"/>
  <c r="AE2364" i="1"/>
  <c r="W2365" i="1"/>
  <c r="X2365" i="1"/>
  <c r="Y2365" i="1"/>
  <c r="Z2365" i="1"/>
  <c r="AA2365" i="1"/>
  <c r="AB2365" i="1"/>
  <c r="AC2365" i="1"/>
  <c r="AD2365" i="1"/>
  <c r="AE2365" i="1"/>
  <c r="W2366" i="1"/>
  <c r="X2366" i="1"/>
  <c r="Y2366" i="1"/>
  <c r="Z2366" i="1"/>
  <c r="AA2366" i="1"/>
  <c r="AB2366" i="1"/>
  <c r="AC2366" i="1"/>
  <c r="AD2366" i="1"/>
  <c r="AE2366" i="1"/>
  <c r="W2367" i="1"/>
  <c r="X2367" i="1"/>
  <c r="Y2367" i="1"/>
  <c r="Z2367" i="1"/>
  <c r="AA2367" i="1"/>
  <c r="AB2367" i="1"/>
  <c r="AC2367" i="1"/>
  <c r="AD2367" i="1"/>
  <c r="AE2367" i="1"/>
  <c r="W2368" i="1"/>
  <c r="X2368" i="1"/>
  <c r="Y2368" i="1"/>
  <c r="Z2368" i="1"/>
  <c r="AA2368" i="1"/>
  <c r="AB2368" i="1"/>
  <c r="AC2368" i="1"/>
  <c r="AD2368" i="1"/>
  <c r="AE2368" i="1"/>
  <c r="W2369" i="1"/>
  <c r="X2369" i="1"/>
  <c r="Y2369" i="1"/>
  <c r="Z2369" i="1"/>
  <c r="AA2369" i="1"/>
  <c r="AB2369" i="1"/>
  <c r="AC2369" i="1"/>
  <c r="AD2369" i="1"/>
  <c r="AE2369" i="1"/>
  <c r="W2370" i="1"/>
  <c r="X2370" i="1"/>
  <c r="Y2370" i="1"/>
  <c r="Z2370" i="1"/>
  <c r="AA2370" i="1"/>
  <c r="AB2370" i="1"/>
  <c r="AC2370" i="1"/>
  <c r="AD2370" i="1"/>
  <c r="AE2370" i="1"/>
  <c r="W2371" i="1"/>
  <c r="X2371" i="1"/>
  <c r="Y2371" i="1"/>
  <c r="Z2371" i="1"/>
  <c r="AA2371" i="1"/>
  <c r="AB2371" i="1"/>
  <c r="AC2371" i="1"/>
  <c r="AD2371" i="1"/>
  <c r="AE2371" i="1"/>
  <c r="W2372" i="1"/>
  <c r="X2372" i="1"/>
  <c r="Y2372" i="1"/>
  <c r="Z2372" i="1"/>
  <c r="AA2372" i="1"/>
  <c r="AB2372" i="1"/>
  <c r="AC2372" i="1"/>
  <c r="AD2372" i="1"/>
  <c r="AE2372" i="1"/>
  <c r="W2373" i="1"/>
  <c r="X2373" i="1"/>
  <c r="Y2373" i="1"/>
  <c r="Z2373" i="1"/>
  <c r="AA2373" i="1"/>
  <c r="AB2373" i="1"/>
  <c r="AC2373" i="1"/>
  <c r="AD2373" i="1"/>
  <c r="AE2373" i="1"/>
  <c r="W2374" i="1"/>
  <c r="X2374" i="1"/>
  <c r="Y2374" i="1"/>
  <c r="Z2374" i="1"/>
  <c r="AA2374" i="1"/>
  <c r="AB2374" i="1"/>
  <c r="AC2374" i="1"/>
  <c r="AD2374" i="1"/>
  <c r="AE2374" i="1"/>
  <c r="W2375" i="1"/>
  <c r="X2375" i="1"/>
  <c r="Y2375" i="1"/>
  <c r="Z2375" i="1"/>
  <c r="AA2375" i="1"/>
  <c r="AB2375" i="1"/>
  <c r="AC2375" i="1"/>
  <c r="AD2375" i="1"/>
  <c r="AE2375" i="1"/>
  <c r="W2376" i="1"/>
  <c r="X2376" i="1"/>
  <c r="Y2376" i="1"/>
  <c r="Z2376" i="1"/>
  <c r="AA2376" i="1"/>
  <c r="AB2376" i="1"/>
  <c r="AC2376" i="1"/>
  <c r="AD2376" i="1"/>
  <c r="AE2376" i="1"/>
  <c r="W2377" i="1"/>
  <c r="X2377" i="1"/>
  <c r="Y2377" i="1"/>
  <c r="Z2377" i="1"/>
  <c r="AA2377" i="1"/>
  <c r="AB2377" i="1"/>
  <c r="AC2377" i="1"/>
  <c r="AD2377" i="1"/>
  <c r="AE2377" i="1"/>
  <c r="W2378" i="1"/>
  <c r="X2378" i="1"/>
  <c r="Y2378" i="1"/>
  <c r="Z2378" i="1"/>
  <c r="AA2378" i="1"/>
  <c r="AB2378" i="1"/>
  <c r="AC2378" i="1"/>
  <c r="AD2378" i="1"/>
  <c r="AE2378" i="1"/>
  <c r="W2379" i="1"/>
  <c r="X2379" i="1"/>
  <c r="Y2379" i="1"/>
  <c r="Z2379" i="1"/>
  <c r="AA2379" i="1"/>
  <c r="AB2379" i="1"/>
  <c r="AC2379" i="1"/>
  <c r="AD2379" i="1"/>
  <c r="AE2379" i="1"/>
  <c r="W2380" i="1"/>
  <c r="X2380" i="1"/>
  <c r="Y2380" i="1"/>
  <c r="Z2380" i="1"/>
  <c r="AA2380" i="1"/>
  <c r="AB2380" i="1"/>
  <c r="AC2380" i="1"/>
  <c r="AD2380" i="1"/>
  <c r="AE2380" i="1"/>
  <c r="W2381" i="1"/>
  <c r="X2381" i="1"/>
  <c r="Y2381" i="1"/>
  <c r="Z2381" i="1"/>
  <c r="AA2381" i="1"/>
  <c r="AB2381" i="1"/>
  <c r="AC2381" i="1"/>
  <c r="AD2381" i="1"/>
  <c r="AE2381" i="1"/>
  <c r="W2382" i="1"/>
  <c r="X2382" i="1"/>
  <c r="Y2382" i="1"/>
  <c r="Z2382" i="1"/>
  <c r="AA2382" i="1"/>
  <c r="AB2382" i="1"/>
  <c r="AC2382" i="1"/>
  <c r="AD2382" i="1"/>
  <c r="AE2382" i="1"/>
  <c r="W2383" i="1"/>
  <c r="X2383" i="1"/>
  <c r="Y2383" i="1"/>
  <c r="Z2383" i="1"/>
  <c r="AA2383" i="1"/>
  <c r="AB2383" i="1"/>
  <c r="AC2383" i="1"/>
  <c r="AD2383" i="1"/>
  <c r="AE2383" i="1"/>
  <c r="W2384" i="1"/>
  <c r="X2384" i="1"/>
  <c r="Y2384" i="1"/>
  <c r="Z2384" i="1"/>
  <c r="AA2384" i="1"/>
  <c r="AB2384" i="1"/>
  <c r="AC2384" i="1"/>
  <c r="AD2384" i="1"/>
  <c r="AE2384" i="1"/>
  <c r="W2385" i="1"/>
  <c r="X2385" i="1"/>
  <c r="Y2385" i="1"/>
  <c r="Z2385" i="1"/>
  <c r="AA2385" i="1"/>
  <c r="AB2385" i="1"/>
  <c r="AC2385" i="1"/>
  <c r="AD2385" i="1"/>
  <c r="AE2385" i="1"/>
  <c r="W2386" i="1"/>
  <c r="X2386" i="1"/>
  <c r="Y2386" i="1"/>
  <c r="Z2386" i="1"/>
  <c r="AA2386" i="1"/>
  <c r="AB2386" i="1"/>
  <c r="AC2386" i="1"/>
  <c r="AD2386" i="1"/>
  <c r="AE2386" i="1"/>
  <c r="W2387" i="1"/>
  <c r="X2387" i="1"/>
  <c r="Y2387" i="1"/>
  <c r="Z2387" i="1"/>
  <c r="AA2387" i="1"/>
  <c r="AB2387" i="1"/>
  <c r="AC2387" i="1"/>
  <c r="AD2387" i="1"/>
  <c r="AE2387" i="1"/>
  <c r="W2388" i="1"/>
  <c r="X2388" i="1"/>
  <c r="Y2388" i="1"/>
  <c r="Z2388" i="1"/>
  <c r="AA2388" i="1"/>
  <c r="AB2388" i="1"/>
  <c r="AC2388" i="1"/>
  <c r="AD2388" i="1"/>
  <c r="AE2388" i="1"/>
  <c r="W2389" i="1"/>
  <c r="X2389" i="1"/>
  <c r="Y2389" i="1"/>
  <c r="Z2389" i="1"/>
  <c r="AA2389" i="1"/>
  <c r="AB2389" i="1"/>
  <c r="AC2389" i="1"/>
  <c r="AD2389" i="1"/>
  <c r="AE2389" i="1"/>
  <c r="W2390" i="1"/>
  <c r="X2390" i="1"/>
  <c r="Y2390" i="1"/>
  <c r="Z2390" i="1"/>
  <c r="AA2390" i="1"/>
  <c r="AB2390" i="1"/>
  <c r="AC2390" i="1"/>
  <c r="AD2390" i="1"/>
  <c r="AE2390" i="1"/>
  <c r="W2391" i="1"/>
  <c r="X2391" i="1"/>
  <c r="Y2391" i="1"/>
  <c r="Z2391" i="1"/>
  <c r="AA2391" i="1"/>
  <c r="AB2391" i="1"/>
  <c r="AC2391" i="1"/>
  <c r="AD2391" i="1"/>
  <c r="AE2391" i="1"/>
  <c r="W2392" i="1"/>
  <c r="X2392" i="1"/>
  <c r="Y2392" i="1"/>
  <c r="Z2392" i="1"/>
  <c r="AA2392" i="1"/>
  <c r="AB2392" i="1"/>
  <c r="AC2392" i="1"/>
  <c r="AD2392" i="1"/>
  <c r="AE2392" i="1"/>
  <c r="W2393" i="1"/>
  <c r="X2393" i="1"/>
  <c r="Y2393" i="1"/>
  <c r="Z2393" i="1"/>
  <c r="AA2393" i="1"/>
  <c r="AB2393" i="1"/>
  <c r="AC2393" i="1"/>
  <c r="AD2393" i="1"/>
  <c r="AE2393" i="1"/>
  <c r="W2394" i="1"/>
  <c r="X2394" i="1"/>
  <c r="Y2394" i="1"/>
  <c r="Z2394" i="1"/>
  <c r="AA2394" i="1"/>
  <c r="AB2394" i="1"/>
  <c r="AC2394" i="1"/>
  <c r="AD2394" i="1"/>
  <c r="AE2394" i="1"/>
  <c r="W2395" i="1"/>
  <c r="X2395" i="1"/>
  <c r="Y2395" i="1"/>
  <c r="Z2395" i="1"/>
  <c r="AA2395" i="1"/>
  <c r="AB2395" i="1"/>
  <c r="AC2395" i="1"/>
  <c r="AD2395" i="1"/>
  <c r="AE2395" i="1"/>
  <c r="W2396" i="1"/>
  <c r="X2396" i="1"/>
  <c r="Y2396" i="1"/>
  <c r="Z2396" i="1"/>
  <c r="AA2396" i="1"/>
  <c r="AB2396" i="1"/>
  <c r="AC2396" i="1"/>
  <c r="AD2396" i="1"/>
  <c r="AE2396" i="1"/>
  <c r="W2397" i="1"/>
  <c r="X2397" i="1"/>
  <c r="Y2397" i="1"/>
  <c r="Z2397" i="1"/>
  <c r="AA2397" i="1"/>
  <c r="AB2397" i="1"/>
  <c r="AC2397" i="1"/>
  <c r="AD2397" i="1"/>
  <c r="AE2397" i="1"/>
  <c r="W2398" i="1"/>
  <c r="X2398" i="1"/>
  <c r="Y2398" i="1"/>
  <c r="Z2398" i="1"/>
  <c r="AA2398" i="1"/>
  <c r="AB2398" i="1"/>
  <c r="AC2398" i="1"/>
  <c r="AD2398" i="1"/>
  <c r="AE2398" i="1"/>
  <c r="W2399" i="1"/>
  <c r="X2399" i="1"/>
  <c r="Y2399" i="1"/>
  <c r="Z2399" i="1"/>
  <c r="AA2399" i="1"/>
  <c r="AB2399" i="1"/>
  <c r="AC2399" i="1"/>
  <c r="AD2399" i="1"/>
  <c r="AE2399" i="1"/>
  <c r="W2400" i="1"/>
  <c r="X2400" i="1"/>
  <c r="Y2400" i="1"/>
  <c r="Z2400" i="1"/>
  <c r="AA2400" i="1"/>
  <c r="AB2400" i="1"/>
  <c r="AC2400" i="1"/>
  <c r="AD2400" i="1"/>
  <c r="AE2400" i="1"/>
  <c r="W2401" i="1"/>
  <c r="X2401" i="1"/>
  <c r="Y2401" i="1"/>
  <c r="Z2401" i="1"/>
  <c r="AA2401" i="1"/>
  <c r="AB2401" i="1"/>
  <c r="AC2401" i="1"/>
  <c r="AD2401" i="1"/>
  <c r="AE2401" i="1"/>
  <c r="W2402" i="1"/>
  <c r="X2402" i="1"/>
  <c r="Y2402" i="1"/>
  <c r="Z2402" i="1"/>
  <c r="AA2402" i="1"/>
  <c r="AB2402" i="1"/>
  <c r="AC2402" i="1"/>
  <c r="AD2402" i="1"/>
  <c r="AE2402" i="1"/>
  <c r="W2403" i="1"/>
  <c r="X2403" i="1"/>
  <c r="Y2403" i="1"/>
  <c r="Z2403" i="1"/>
  <c r="AA2403" i="1"/>
  <c r="AB2403" i="1"/>
  <c r="AC2403" i="1"/>
  <c r="AD2403" i="1"/>
  <c r="AE2403" i="1"/>
  <c r="W2404" i="1"/>
  <c r="X2404" i="1"/>
  <c r="Y2404" i="1"/>
  <c r="Z2404" i="1"/>
  <c r="AA2404" i="1"/>
  <c r="AB2404" i="1"/>
  <c r="AC2404" i="1"/>
  <c r="AD2404" i="1"/>
  <c r="AE2404" i="1"/>
  <c r="W2405" i="1"/>
  <c r="X2405" i="1"/>
  <c r="Y2405" i="1"/>
  <c r="Z2405" i="1"/>
  <c r="AA2405" i="1"/>
  <c r="AB2405" i="1"/>
  <c r="AC2405" i="1"/>
  <c r="AD2405" i="1"/>
  <c r="AE2405" i="1"/>
  <c r="W2406" i="1"/>
  <c r="X2406" i="1"/>
  <c r="Y2406" i="1"/>
  <c r="Z2406" i="1"/>
  <c r="AA2406" i="1"/>
  <c r="AB2406" i="1"/>
  <c r="AC2406" i="1"/>
  <c r="AD2406" i="1"/>
  <c r="AE2406" i="1"/>
  <c r="W2407" i="1"/>
  <c r="X2407" i="1"/>
  <c r="Y2407" i="1"/>
  <c r="Z2407" i="1"/>
  <c r="AA2407" i="1"/>
  <c r="AB2407" i="1"/>
  <c r="AC2407" i="1"/>
  <c r="AD2407" i="1"/>
  <c r="AE2407" i="1"/>
  <c r="W2408" i="1"/>
  <c r="X2408" i="1"/>
  <c r="Y2408" i="1"/>
  <c r="Z2408" i="1"/>
  <c r="AA2408" i="1"/>
  <c r="AB2408" i="1"/>
  <c r="AC2408" i="1"/>
  <c r="AD2408" i="1"/>
  <c r="AE2408" i="1"/>
  <c r="W2409" i="1"/>
  <c r="X2409" i="1"/>
  <c r="Y2409" i="1"/>
  <c r="Z2409" i="1"/>
  <c r="AA2409" i="1"/>
  <c r="AB2409" i="1"/>
  <c r="AC2409" i="1"/>
  <c r="AD2409" i="1"/>
  <c r="AE2409" i="1"/>
  <c r="W2410" i="1"/>
  <c r="X2410" i="1"/>
  <c r="Y2410" i="1"/>
  <c r="Z2410" i="1"/>
  <c r="AA2410" i="1"/>
  <c r="AB2410" i="1"/>
  <c r="AC2410" i="1"/>
  <c r="AD2410" i="1"/>
  <c r="AE2410" i="1"/>
  <c r="W2411" i="1"/>
  <c r="X2411" i="1"/>
  <c r="Y2411" i="1"/>
  <c r="Z2411" i="1"/>
  <c r="AA2411" i="1"/>
  <c r="AB2411" i="1"/>
  <c r="AC2411" i="1"/>
  <c r="AD2411" i="1"/>
  <c r="AE2411" i="1"/>
  <c r="W2412" i="1"/>
  <c r="X2412" i="1"/>
  <c r="Y2412" i="1"/>
  <c r="Z2412" i="1"/>
  <c r="AA2412" i="1"/>
  <c r="AB2412" i="1"/>
  <c r="AC2412" i="1"/>
  <c r="AD2412" i="1"/>
  <c r="AE2412" i="1"/>
  <c r="W2413" i="1"/>
  <c r="X2413" i="1"/>
  <c r="Y2413" i="1"/>
  <c r="Z2413" i="1"/>
  <c r="AA2413" i="1"/>
  <c r="AB2413" i="1"/>
  <c r="AC2413" i="1"/>
  <c r="AD2413" i="1"/>
  <c r="AE2413" i="1"/>
  <c r="W2414" i="1"/>
  <c r="X2414" i="1"/>
  <c r="Y2414" i="1"/>
  <c r="Z2414" i="1"/>
  <c r="AA2414" i="1"/>
  <c r="AB2414" i="1"/>
  <c r="AC2414" i="1"/>
  <c r="AD2414" i="1"/>
  <c r="AE2414" i="1"/>
  <c r="W2415" i="1"/>
  <c r="X2415" i="1"/>
  <c r="Y2415" i="1"/>
  <c r="Z2415" i="1"/>
  <c r="AA2415" i="1"/>
  <c r="AB2415" i="1"/>
  <c r="AC2415" i="1"/>
  <c r="AD2415" i="1"/>
  <c r="AE2415" i="1"/>
  <c r="W2416" i="1"/>
  <c r="X2416" i="1"/>
  <c r="Y2416" i="1"/>
  <c r="Z2416" i="1"/>
  <c r="AA2416" i="1"/>
  <c r="AB2416" i="1"/>
  <c r="AC2416" i="1"/>
  <c r="AD2416" i="1"/>
  <c r="AE2416" i="1"/>
  <c r="W2417" i="1"/>
  <c r="X2417" i="1"/>
  <c r="Y2417" i="1"/>
  <c r="Z2417" i="1"/>
  <c r="AA2417" i="1"/>
  <c r="AB2417" i="1"/>
  <c r="AC2417" i="1"/>
  <c r="AD2417" i="1"/>
  <c r="AE2417" i="1"/>
  <c r="W2418" i="1"/>
  <c r="X2418" i="1"/>
  <c r="Y2418" i="1"/>
  <c r="Z2418" i="1"/>
  <c r="AA2418" i="1"/>
  <c r="AB2418" i="1"/>
  <c r="AC2418" i="1"/>
  <c r="AD2418" i="1"/>
  <c r="AE2418" i="1"/>
  <c r="W2419" i="1"/>
  <c r="X2419" i="1"/>
  <c r="Y2419" i="1"/>
  <c r="Z2419" i="1"/>
  <c r="AA2419" i="1"/>
  <c r="AB2419" i="1"/>
  <c r="AC2419" i="1"/>
  <c r="AD2419" i="1"/>
  <c r="AE2419" i="1"/>
  <c r="W2420" i="1"/>
  <c r="X2420" i="1"/>
  <c r="Y2420" i="1"/>
  <c r="Z2420" i="1"/>
  <c r="AA2420" i="1"/>
  <c r="AB2420" i="1"/>
  <c r="AC2420" i="1"/>
  <c r="AD2420" i="1"/>
  <c r="AE2420" i="1"/>
  <c r="W2421" i="1"/>
  <c r="X2421" i="1"/>
  <c r="Y2421" i="1"/>
  <c r="Z2421" i="1"/>
  <c r="AA2421" i="1"/>
  <c r="AB2421" i="1"/>
  <c r="AC2421" i="1"/>
  <c r="AD2421" i="1"/>
  <c r="AE2421" i="1"/>
  <c r="W2422" i="1"/>
  <c r="X2422" i="1"/>
  <c r="Y2422" i="1"/>
  <c r="Z2422" i="1"/>
  <c r="AA2422" i="1"/>
  <c r="AB2422" i="1"/>
  <c r="AC2422" i="1"/>
  <c r="AD2422" i="1"/>
  <c r="AE2422" i="1"/>
  <c r="W2423" i="1"/>
  <c r="X2423" i="1"/>
  <c r="Y2423" i="1"/>
  <c r="Z2423" i="1"/>
  <c r="AA2423" i="1"/>
  <c r="AB2423" i="1"/>
  <c r="AC2423" i="1"/>
  <c r="AD2423" i="1"/>
  <c r="AE2423" i="1"/>
  <c r="W2424" i="1"/>
  <c r="X2424" i="1"/>
  <c r="Y2424" i="1"/>
  <c r="Z2424" i="1"/>
  <c r="AA2424" i="1"/>
  <c r="AB2424" i="1"/>
  <c r="AC2424" i="1"/>
  <c r="AD2424" i="1"/>
  <c r="AE2424" i="1"/>
  <c r="W2425" i="1"/>
  <c r="X2425" i="1"/>
  <c r="Y2425" i="1"/>
  <c r="Z2425" i="1"/>
  <c r="AA2425" i="1"/>
  <c r="AB2425" i="1"/>
  <c r="AC2425" i="1"/>
  <c r="AD2425" i="1"/>
  <c r="AE2425" i="1"/>
  <c r="W2426" i="1"/>
  <c r="X2426" i="1"/>
  <c r="Y2426" i="1"/>
  <c r="Z2426" i="1"/>
  <c r="AA2426" i="1"/>
  <c r="AB2426" i="1"/>
  <c r="AC2426" i="1"/>
  <c r="AD2426" i="1"/>
  <c r="AE2426" i="1"/>
  <c r="W2427" i="1"/>
  <c r="X2427" i="1"/>
  <c r="Y2427" i="1"/>
  <c r="Z2427" i="1"/>
  <c r="AA2427" i="1"/>
  <c r="AB2427" i="1"/>
  <c r="AC2427" i="1"/>
  <c r="AD2427" i="1"/>
  <c r="AE2427" i="1"/>
  <c r="W2428" i="1"/>
  <c r="X2428" i="1"/>
  <c r="Y2428" i="1"/>
  <c r="Z2428" i="1"/>
  <c r="AA2428" i="1"/>
  <c r="AB2428" i="1"/>
  <c r="AC2428" i="1"/>
  <c r="AD2428" i="1"/>
  <c r="AE2428" i="1"/>
  <c r="W2429" i="1"/>
  <c r="X2429" i="1"/>
  <c r="Y2429" i="1"/>
  <c r="Z2429" i="1"/>
  <c r="AA2429" i="1"/>
  <c r="AB2429" i="1"/>
  <c r="AC2429" i="1"/>
  <c r="AD2429" i="1"/>
  <c r="AE2429" i="1"/>
  <c r="W2430" i="1"/>
  <c r="X2430" i="1"/>
  <c r="Y2430" i="1"/>
  <c r="Z2430" i="1"/>
  <c r="AA2430" i="1"/>
  <c r="AB2430" i="1"/>
  <c r="AC2430" i="1"/>
  <c r="AD2430" i="1"/>
  <c r="AE2430" i="1"/>
  <c r="W2431" i="1"/>
  <c r="X2431" i="1"/>
  <c r="Y2431" i="1"/>
  <c r="Z2431" i="1"/>
  <c r="AA2431" i="1"/>
  <c r="AB2431" i="1"/>
  <c r="AC2431" i="1"/>
  <c r="AD2431" i="1"/>
  <c r="AE2431" i="1"/>
  <c r="W2432" i="1"/>
  <c r="X2432" i="1"/>
  <c r="Y2432" i="1"/>
  <c r="Z2432" i="1"/>
  <c r="AA2432" i="1"/>
  <c r="AB2432" i="1"/>
  <c r="AC2432" i="1"/>
  <c r="AD2432" i="1"/>
  <c r="AE2432" i="1"/>
  <c r="W2433" i="1"/>
  <c r="X2433" i="1"/>
  <c r="Y2433" i="1"/>
  <c r="Z2433" i="1"/>
  <c r="AA2433" i="1"/>
  <c r="AB2433" i="1"/>
  <c r="AC2433" i="1"/>
  <c r="AD2433" i="1"/>
  <c r="AE2433" i="1"/>
  <c r="W2434" i="1"/>
  <c r="X2434" i="1"/>
  <c r="Y2434" i="1"/>
  <c r="Z2434" i="1"/>
  <c r="AA2434" i="1"/>
  <c r="AB2434" i="1"/>
  <c r="AC2434" i="1"/>
  <c r="AD2434" i="1"/>
  <c r="AE2434" i="1"/>
  <c r="W2435" i="1"/>
  <c r="X2435" i="1"/>
  <c r="Y2435" i="1"/>
  <c r="Z2435" i="1"/>
  <c r="AA2435" i="1"/>
  <c r="AB2435" i="1"/>
  <c r="AC2435" i="1"/>
  <c r="AD2435" i="1"/>
  <c r="AE2435" i="1"/>
  <c r="W2436" i="1"/>
  <c r="X2436" i="1"/>
  <c r="Y2436" i="1"/>
  <c r="Z2436" i="1"/>
  <c r="AA2436" i="1"/>
  <c r="AB2436" i="1"/>
  <c r="AC2436" i="1"/>
  <c r="AD2436" i="1"/>
  <c r="AE2436" i="1"/>
  <c r="W2437" i="1"/>
  <c r="X2437" i="1"/>
  <c r="Y2437" i="1"/>
  <c r="Z2437" i="1"/>
  <c r="AA2437" i="1"/>
  <c r="AB2437" i="1"/>
  <c r="AC2437" i="1"/>
  <c r="AD2437" i="1"/>
  <c r="AE2437" i="1"/>
  <c r="W2438" i="1"/>
  <c r="X2438" i="1"/>
  <c r="Y2438" i="1"/>
  <c r="Z2438" i="1"/>
  <c r="AA2438" i="1"/>
  <c r="AB2438" i="1"/>
  <c r="AC2438" i="1"/>
  <c r="AD2438" i="1"/>
  <c r="AE2438" i="1"/>
  <c r="W2439" i="1"/>
  <c r="X2439" i="1"/>
  <c r="Y2439" i="1"/>
  <c r="Z2439" i="1"/>
  <c r="AA2439" i="1"/>
  <c r="AB2439" i="1"/>
  <c r="AC2439" i="1"/>
  <c r="AD2439" i="1"/>
  <c r="AE2439" i="1"/>
  <c r="W2440" i="1"/>
  <c r="X2440" i="1"/>
  <c r="Y2440" i="1"/>
  <c r="Z2440" i="1"/>
  <c r="AA2440" i="1"/>
  <c r="AB2440" i="1"/>
  <c r="AC2440" i="1"/>
  <c r="AD2440" i="1"/>
  <c r="AE2440" i="1"/>
  <c r="W2441" i="1"/>
  <c r="X2441" i="1"/>
  <c r="Y2441" i="1"/>
  <c r="Z2441" i="1"/>
  <c r="AA2441" i="1"/>
  <c r="AB2441" i="1"/>
  <c r="AC2441" i="1"/>
  <c r="AD2441" i="1"/>
  <c r="AE2441" i="1"/>
  <c r="W2442" i="1"/>
  <c r="X2442" i="1"/>
  <c r="Y2442" i="1"/>
  <c r="Z2442" i="1"/>
  <c r="AA2442" i="1"/>
  <c r="AB2442" i="1"/>
  <c r="AC2442" i="1"/>
  <c r="AD2442" i="1"/>
  <c r="AE2442" i="1"/>
  <c r="W2443" i="1"/>
  <c r="X2443" i="1"/>
  <c r="Y2443" i="1"/>
  <c r="Z2443" i="1"/>
  <c r="AA2443" i="1"/>
  <c r="AB2443" i="1"/>
  <c r="AC2443" i="1"/>
  <c r="AD2443" i="1"/>
  <c r="AE2443" i="1"/>
  <c r="W2444" i="1"/>
  <c r="X2444" i="1"/>
  <c r="Y2444" i="1"/>
  <c r="Z2444" i="1"/>
  <c r="AA2444" i="1"/>
  <c r="AB2444" i="1"/>
  <c r="AC2444" i="1"/>
  <c r="AD2444" i="1"/>
  <c r="AE2444" i="1"/>
  <c r="W2445" i="1"/>
  <c r="X2445" i="1"/>
  <c r="Y2445" i="1"/>
  <c r="Z2445" i="1"/>
  <c r="AA2445" i="1"/>
  <c r="AB2445" i="1"/>
  <c r="AC2445" i="1"/>
  <c r="AD2445" i="1"/>
  <c r="AE2445" i="1"/>
  <c r="W2446" i="1"/>
  <c r="X2446" i="1"/>
  <c r="Y2446" i="1"/>
  <c r="Z2446" i="1"/>
  <c r="AA2446" i="1"/>
  <c r="AB2446" i="1"/>
  <c r="AC2446" i="1"/>
  <c r="AD2446" i="1"/>
  <c r="AE2446" i="1"/>
  <c r="W2447" i="1"/>
  <c r="X2447" i="1"/>
  <c r="Y2447" i="1"/>
  <c r="Z2447" i="1"/>
  <c r="AA2447" i="1"/>
  <c r="AB2447" i="1"/>
  <c r="AC2447" i="1"/>
  <c r="AD2447" i="1"/>
  <c r="AE2447" i="1"/>
  <c r="W2448" i="1"/>
  <c r="X2448" i="1"/>
  <c r="Y2448" i="1"/>
  <c r="Z2448" i="1"/>
  <c r="AA2448" i="1"/>
  <c r="AB2448" i="1"/>
  <c r="AC2448" i="1"/>
  <c r="AD2448" i="1"/>
  <c r="AE2448" i="1"/>
  <c r="W2449" i="1"/>
  <c r="X2449" i="1"/>
  <c r="Y2449" i="1"/>
  <c r="Z2449" i="1"/>
  <c r="AA2449" i="1"/>
  <c r="AB2449" i="1"/>
  <c r="AC2449" i="1"/>
  <c r="AD2449" i="1"/>
  <c r="AE2449" i="1"/>
  <c r="W2450" i="1"/>
  <c r="X2450" i="1"/>
  <c r="Y2450" i="1"/>
  <c r="Z2450" i="1"/>
  <c r="AA2450" i="1"/>
  <c r="AB2450" i="1"/>
  <c r="AC2450" i="1"/>
  <c r="AD2450" i="1"/>
  <c r="AE2450" i="1"/>
  <c r="W2451" i="1"/>
  <c r="X2451" i="1"/>
  <c r="Y2451" i="1"/>
  <c r="Z2451" i="1"/>
  <c r="AA2451" i="1"/>
  <c r="AB2451" i="1"/>
  <c r="AC2451" i="1"/>
  <c r="AD2451" i="1"/>
  <c r="AE2451" i="1"/>
  <c r="W2452" i="1"/>
  <c r="X2452" i="1"/>
  <c r="Y2452" i="1"/>
  <c r="Z2452" i="1"/>
  <c r="AA2452" i="1"/>
  <c r="AB2452" i="1"/>
  <c r="AC2452" i="1"/>
  <c r="AD2452" i="1"/>
  <c r="AE2452" i="1"/>
  <c r="W2453" i="1"/>
  <c r="X2453" i="1"/>
  <c r="Y2453" i="1"/>
  <c r="Z2453" i="1"/>
  <c r="AA2453" i="1"/>
  <c r="AB2453" i="1"/>
  <c r="AC2453" i="1"/>
  <c r="AD2453" i="1"/>
  <c r="AE2453" i="1"/>
  <c r="W2454" i="1"/>
  <c r="X2454" i="1"/>
  <c r="Y2454" i="1"/>
  <c r="Z2454" i="1"/>
  <c r="AA2454" i="1"/>
  <c r="AB2454" i="1"/>
  <c r="AC2454" i="1"/>
  <c r="AD2454" i="1"/>
  <c r="AE2454" i="1"/>
  <c r="W2455" i="1"/>
  <c r="X2455" i="1"/>
  <c r="Y2455" i="1"/>
  <c r="Z2455" i="1"/>
  <c r="AA2455" i="1"/>
  <c r="AB2455" i="1"/>
  <c r="AC2455" i="1"/>
  <c r="AD2455" i="1"/>
  <c r="AE2455" i="1"/>
  <c r="W2456" i="1"/>
  <c r="X2456" i="1"/>
  <c r="Y2456" i="1"/>
  <c r="Z2456" i="1"/>
  <c r="AA2456" i="1"/>
  <c r="AB2456" i="1"/>
  <c r="AC2456" i="1"/>
  <c r="AD2456" i="1"/>
  <c r="AE2456" i="1"/>
  <c r="W2457" i="1"/>
  <c r="X2457" i="1"/>
  <c r="Y2457" i="1"/>
  <c r="Z2457" i="1"/>
  <c r="AA2457" i="1"/>
  <c r="AB2457" i="1"/>
  <c r="AC2457" i="1"/>
  <c r="AD2457" i="1"/>
  <c r="AE2457" i="1"/>
  <c r="W2458" i="1"/>
  <c r="X2458" i="1"/>
  <c r="Y2458" i="1"/>
  <c r="Z2458" i="1"/>
  <c r="AA2458" i="1"/>
  <c r="AB2458" i="1"/>
  <c r="AC2458" i="1"/>
  <c r="AD2458" i="1"/>
  <c r="AE2458" i="1"/>
  <c r="W2459" i="1"/>
  <c r="X2459" i="1"/>
  <c r="Y2459" i="1"/>
  <c r="Z2459" i="1"/>
  <c r="AA2459" i="1"/>
  <c r="AB2459" i="1"/>
  <c r="AC2459" i="1"/>
  <c r="AD2459" i="1"/>
  <c r="AE2459" i="1"/>
  <c r="W2460" i="1"/>
  <c r="X2460" i="1"/>
  <c r="Y2460" i="1"/>
  <c r="Z2460" i="1"/>
  <c r="AA2460" i="1"/>
  <c r="AB2460" i="1"/>
  <c r="AC2460" i="1"/>
  <c r="AD2460" i="1"/>
  <c r="AE2460" i="1"/>
  <c r="W2461" i="1"/>
  <c r="X2461" i="1"/>
  <c r="Y2461" i="1"/>
  <c r="Z2461" i="1"/>
  <c r="AA2461" i="1"/>
  <c r="AB2461" i="1"/>
  <c r="AC2461" i="1"/>
  <c r="AD2461" i="1"/>
  <c r="AE2461" i="1"/>
  <c r="W2462" i="1"/>
  <c r="X2462" i="1"/>
  <c r="Y2462" i="1"/>
  <c r="Z2462" i="1"/>
  <c r="AA2462" i="1"/>
  <c r="AB2462" i="1"/>
  <c r="AC2462" i="1"/>
  <c r="AD2462" i="1"/>
  <c r="AE2462" i="1"/>
  <c r="W2463" i="1"/>
  <c r="X2463" i="1"/>
  <c r="Y2463" i="1"/>
  <c r="Z2463" i="1"/>
  <c r="AA2463" i="1"/>
  <c r="AB2463" i="1"/>
  <c r="AC2463" i="1"/>
  <c r="AD2463" i="1"/>
  <c r="AE2463" i="1"/>
  <c r="W2464" i="1"/>
  <c r="X2464" i="1"/>
  <c r="Y2464" i="1"/>
  <c r="Z2464" i="1"/>
  <c r="AA2464" i="1"/>
  <c r="AB2464" i="1"/>
  <c r="AC2464" i="1"/>
  <c r="AD2464" i="1"/>
  <c r="AE2464" i="1"/>
  <c r="W2465" i="1"/>
  <c r="X2465" i="1"/>
  <c r="Y2465" i="1"/>
  <c r="Z2465" i="1"/>
  <c r="AA2465" i="1"/>
  <c r="AB2465" i="1"/>
  <c r="AC2465" i="1"/>
  <c r="AD2465" i="1"/>
  <c r="AE2465" i="1"/>
  <c r="W2466" i="1"/>
  <c r="X2466" i="1"/>
  <c r="Y2466" i="1"/>
  <c r="Z2466" i="1"/>
  <c r="AA2466" i="1"/>
  <c r="AB2466" i="1"/>
  <c r="AC2466" i="1"/>
  <c r="AD2466" i="1"/>
  <c r="AE2466" i="1"/>
  <c r="W2467" i="1"/>
  <c r="X2467" i="1"/>
  <c r="Y2467" i="1"/>
  <c r="Z2467" i="1"/>
  <c r="AA2467" i="1"/>
  <c r="AB2467" i="1"/>
  <c r="AC2467" i="1"/>
  <c r="AD2467" i="1"/>
  <c r="AE2467" i="1"/>
  <c r="W2468" i="1"/>
  <c r="X2468" i="1"/>
  <c r="Y2468" i="1"/>
  <c r="Z2468" i="1"/>
  <c r="AA2468" i="1"/>
  <c r="AB2468" i="1"/>
  <c r="AC2468" i="1"/>
  <c r="AD2468" i="1"/>
  <c r="AE2468" i="1"/>
  <c r="W2469" i="1"/>
  <c r="X2469" i="1"/>
  <c r="Y2469" i="1"/>
  <c r="Z2469" i="1"/>
  <c r="AA2469" i="1"/>
  <c r="AB2469" i="1"/>
  <c r="AC2469" i="1"/>
  <c r="AD2469" i="1"/>
  <c r="AE2469" i="1"/>
  <c r="W2470" i="1"/>
  <c r="X2470" i="1"/>
  <c r="Y2470" i="1"/>
  <c r="Z2470" i="1"/>
  <c r="AA2470" i="1"/>
  <c r="AB2470" i="1"/>
  <c r="AC2470" i="1"/>
  <c r="AD2470" i="1"/>
  <c r="AE2470" i="1"/>
  <c r="W2471" i="1"/>
  <c r="X2471" i="1"/>
  <c r="Y2471" i="1"/>
  <c r="Z2471" i="1"/>
  <c r="AA2471" i="1"/>
  <c r="AB2471" i="1"/>
  <c r="AC2471" i="1"/>
  <c r="AD2471" i="1"/>
  <c r="AE2471" i="1"/>
  <c r="W2472" i="1"/>
  <c r="X2472" i="1"/>
  <c r="Y2472" i="1"/>
  <c r="Z2472" i="1"/>
  <c r="AA2472" i="1"/>
  <c r="AB2472" i="1"/>
  <c r="AC2472" i="1"/>
  <c r="AD2472" i="1"/>
  <c r="AE2472" i="1"/>
  <c r="W2473" i="1"/>
  <c r="X2473" i="1"/>
  <c r="Y2473" i="1"/>
  <c r="Z2473" i="1"/>
  <c r="AA2473" i="1"/>
  <c r="AB2473" i="1"/>
  <c r="AC2473" i="1"/>
  <c r="AD2473" i="1"/>
  <c r="AE2473" i="1"/>
  <c r="W2474" i="1"/>
  <c r="X2474" i="1"/>
  <c r="Y2474" i="1"/>
  <c r="Z2474" i="1"/>
  <c r="AA2474" i="1"/>
  <c r="AB2474" i="1"/>
  <c r="AC2474" i="1"/>
  <c r="AD2474" i="1"/>
  <c r="AE2474" i="1"/>
  <c r="W2475" i="1"/>
  <c r="X2475" i="1"/>
  <c r="Y2475" i="1"/>
  <c r="Z2475" i="1"/>
  <c r="AA2475" i="1"/>
  <c r="AB2475" i="1"/>
  <c r="AC2475" i="1"/>
  <c r="AD2475" i="1"/>
  <c r="AE2475" i="1"/>
  <c r="W2476" i="1"/>
  <c r="X2476" i="1"/>
  <c r="Y2476" i="1"/>
  <c r="Z2476" i="1"/>
  <c r="AA2476" i="1"/>
  <c r="AB2476" i="1"/>
  <c r="AC2476" i="1"/>
  <c r="AD2476" i="1"/>
  <c r="AE2476" i="1"/>
  <c r="W2477" i="1"/>
  <c r="X2477" i="1"/>
  <c r="Y2477" i="1"/>
  <c r="Z2477" i="1"/>
  <c r="AA2477" i="1"/>
  <c r="AB2477" i="1"/>
  <c r="AC2477" i="1"/>
  <c r="AD2477" i="1"/>
  <c r="AE2477" i="1"/>
  <c r="W2478" i="1"/>
  <c r="X2478" i="1"/>
  <c r="Y2478" i="1"/>
  <c r="Z2478" i="1"/>
  <c r="AA2478" i="1"/>
  <c r="AB2478" i="1"/>
  <c r="AC2478" i="1"/>
  <c r="AD2478" i="1"/>
  <c r="AE2478" i="1"/>
  <c r="W2479" i="1"/>
  <c r="X2479" i="1"/>
  <c r="Y2479" i="1"/>
  <c r="Z2479" i="1"/>
  <c r="AA2479" i="1"/>
  <c r="AB2479" i="1"/>
  <c r="AC2479" i="1"/>
  <c r="AD2479" i="1"/>
  <c r="AE2479" i="1"/>
  <c r="W2480" i="1"/>
  <c r="X2480" i="1"/>
  <c r="Y2480" i="1"/>
  <c r="Z2480" i="1"/>
  <c r="AA2480" i="1"/>
  <c r="AB2480" i="1"/>
  <c r="AC2480" i="1"/>
  <c r="AD2480" i="1"/>
  <c r="AE2480" i="1"/>
  <c r="W2481" i="1"/>
  <c r="X2481" i="1"/>
  <c r="Y2481" i="1"/>
  <c r="Z2481" i="1"/>
  <c r="AA2481" i="1"/>
  <c r="AB2481" i="1"/>
  <c r="AC2481" i="1"/>
  <c r="AD2481" i="1"/>
  <c r="AE2481" i="1"/>
  <c r="W2482" i="1"/>
  <c r="X2482" i="1"/>
  <c r="Y2482" i="1"/>
  <c r="Z2482" i="1"/>
  <c r="AA2482" i="1"/>
  <c r="AB2482" i="1"/>
  <c r="AC2482" i="1"/>
  <c r="AD2482" i="1"/>
  <c r="AE2482" i="1"/>
  <c r="W2483" i="1"/>
  <c r="X2483" i="1"/>
  <c r="Y2483" i="1"/>
  <c r="Z2483" i="1"/>
  <c r="AA2483" i="1"/>
  <c r="AB2483" i="1"/>
  <c r="AC2483" i="1"/>
  <c r="AD2483" i="1"/>
  <c r="AE2483" i="1"/>
  <c r="W2484" i="1"/>
  <c r="X2484" i="1"/>
  <c r="Y2484" i="1"/>
  <c r="Z2484" i="1"/>
  <c r="AA2484" i="1"/>
  <c r="AB2484" i="1"/>
  <c r="AC2484" i="1"/>
  <c r="AD2484" i="1"/>
  <c r="AE2484" i="1"/>
  <c r="W2485" i="1"/>
  <c r="X2485" i="1"/>
  <c r="Y2485" i="1"/>
  <c r="Z2485" i="1"/>
  <c r="AA2485" i="1"/>
  <c r="AB2485" i="1"/>
  <c r="AC2485" i="1"/>
  <c r="AD2485" i="1"/>
  <c r="AE2485" i="1"/>
  <c r="W2486" i="1"/>
  <c r="X2486" i="1"/>
  <c r="Y2486" i="1"/>
  <c r="Z2486" i="1"/>
  <c r="AA2486" i="1"/>
  <c r="AB2486" i="1"/>
  <c r="AC2486" i="1"/>
  <c r="AD2486" i="1"/>
  <c r="AE2486" i="1"/>
  <c r="W2487" i="1"/>
  <c r="X2487" i="1"/>
  <c r="Y2487" i="1"/>
  <c r="Z2487" i="1"/>
  <c r="AA2487" i="1"/>
  <c r="AB2487" i="1"/>
  <c r="AC2487" i="1"/>
  <c r="AD2487" i="1"/>
  <c r="AE2487" i="1"/>
  <c r="W2488" i="1"/>
  <c r="X2488" i="1"/>
  <c r="Y2488" i="1"/>
  <c r="Z2488" i="1"/>
  <c r="AA2488" i="1"/>
  <c r="AB2488" i="1"/>
  <c r="AC2488" i="1"/>
  <c r="AD2488" i="1"/>
  <c r="AE2488" i="1"/>
  <c r="W2489" i="1"/>
  <c r="X2489" i="1"/>
  <c r="Y2489" i="1"/>
  <c r="Z2489" i="1"/>
  <c r="AA2489" i="1"/>
  <c r="AB2489" i="1"/>
  <c r="AC2489" i="1"/>
  <c r="AD2489" i="1"/>
  <c r="AE2489" i="1"/>
  <c r="W2490" i="1"/>
  <c r="X2490" i="1"/>
  <c r="Y2490" i="1"/>
  <c r="Z2490" i="1"/>
  <c r="AA2490" i="1"/>
  <c r="AB2490" i="1"/>
  <c r="AC2490" i="1"/>
  <c r="AD2490" i="1"/>
  <c r="AE2490" i="1"/>
  <c r="W2491" i="1"/>
  <c r="X2491" i="1"/>
  <c r="Y2491" i="1"/>
  <c r="Z2491" i="1"/>
  <c r="AA2491" i="1"/>
  <c r="AB2491" i="1"/>
  <c r="AC2491" i="1"/>
  <c r="AD2491" i="1"/>
  <c r="AE2491" i="1"/>
  <c r="W2492" i="1"/>
  <c r="X2492" i="1"/>
  <c r="Y2492" i="1"/>
  <c r="Z2492" i="1"/>
  <c r="AA2492" i="1"/>
  <c r="AB2492" i="1"/>
  <c r="AC2492" i="1"/>
  <c r="AD2492" i="1"/>
  <c r="AE2492" i="1"/>
  <c r="W2493" i="1"/>
  <c r="X2493" i="1"/>
  <c r="Y2493" i="1"/>
  <c r="Z2493" i="1"/>
  <c r="AA2493" i="1"/>
  <c r="AB2493" i="1"/>
  <c r="AC2493" i="1"/>
  <c r="AD2493" i="1"/>
  <c r="AE2493" i="1"/>
  <c r="W2494" i="1"/>
  <c r="X2494" i="1"/>
  <c r="Y2494" i="1"/>
  <c r="Z2494" i="1"/>
  <c r="AA2494" i="1"/>
  <c r="AB2494" i="1"/>
  <c r="AC2494" i="1"/>
  <c r="AD2494" i="1"/>
  <c r="AE2494" i="1"/>
  <c r="W2495" i="1"/>
  <c r="X2495" i="1"/>
  <c r="Y2495" i="1"/>
  <c r="Z2495" i="1"/>
  <c r="AA2495" i="1"/>
  <c r="AB2495" i="1"/>
  <c r="AC2495" i="1"/>
  <c r="AD2495" i="1"/>
  <c r="AE2495" i="1"/>
  <c r="W2496" i="1"/>
  <c r="X2496" i="1"/>
  <c r="Y2496" i="1"/>
  <c r="Z2496" i="1"/>
  <c r="AA2496" i="1"/>
  <c r="AB2496" i="1"/>
  <c r="AC2496" i="1"/>
  <c r="AD2496" i="1"/>
  <c r="AE2496" i="1"/>
  <c r="W2497" i="1"/>
  <c r="X2497" i="1"/>
  <c r="Y2497" i="1"/>
  <c r="Z2497" i="1"/>
  <c r="AA2497" i="1"/>
  <c r="AB2497" i="1"/>
  <c r="AC2497" i="1"/>
  <c r="AD2497" i="1"/>
  <c r="AE2497" i="1"/>
  <c r="W2498" i="1"/>
  <c r="X2498" i="1"/>
  <c r="Y2498" i="1"/>
  <c r="Z2498" i="1"/>
  <c r="AA2498" i="1"/>
  <c r="AB2498" i="1"/>
  <c r="AC2498" i="1"/>
  <c r="AD2498" i="1"/>
  <c r="AE2498" i="1"/>
  <c r="W2499" i="1"/>
  <c r="X2499" i="1"/>
  <c r="Y2499" i="1"/>
  <c r="Z2499" i="1"/>
  <c r="AA2499" i="1"/>
  <c r="AB2499" i="1"/>
  <c r="AC2499" i="1"/>
  <c r="AD2499" i="1"/>
  <c r="AE2499" i="1"/>
  <c r="W2500" i="1"/>
  <c r="X2500" i="1"/>
  <c r="Y2500" i="1"/>
  <c r="Z2500" i="1"/>
  <c r="AA2500" i="1"/>
  <c r="AB2500" i="1"/>
  <c r="AC2500" i="1"/>
  <c r="AD2500" i="1"/>
  <c r="AE2500" i="1"/>
  <c r="W2501" i="1"/>
  <c r="X2501" i="1"/>
  <c r="Y2501" i="1"/>
  <c r="Z2501" i="1"/>
  <c r="AA2501" i="1"/>
  <c r="AB2501" i="1"/>
  <c r="AC2501" i="1"/>
  <c r="AD2501" i="1"/>
  <c r="AE2501" i="1"/>
  <c r="W2502" i="1"/>
  <c r="X2502" i="1"/>
  <c r="Y2502" i="1"/>
  <c r="Z2502" i="1"/>
  <c r="AA2502" i="1"/>
  <c r="AB2502" i="1"/>
  <c r="AC2502" i="1"/>
  <c r="AD2502" i="1"/>
  <c r="AE2502" i="1"/>
  <c r="W2503" i="1"/>
  <c r="X2503" i="1"/>
  <c r="Y2503" i="1"/>
  <c r="Z2503" i="1"/>
  <c r="AA2503" i="1"/>
  <c r="AB2503" i="1"/>
  <c r="AC2503" i="1"/>
  <c r="AD2503" i="1"/>
  <c r="AE2503" i="1"/>
  <c r="W2504" i="1"/>
  <c r="X2504" i="1"/>
  <c r="Y2504" i="1"/>
  <c r="Z2504" i="1"/>
  <c r="AA2504" i="1"/>
  <c r="AB2504" i="1"/>
  <c r="AC2504" i="1"/>
  <c r="AD2504" i="1"/>
  <c r="AE2504" i="1"/>
  <c r="W2505" i="1"/>
  <c r="X2505" i="1"/>
  <c r="Y2505" i="1"/>
  <c r="Z2505" i="1"/>
  <c r="AA2505" i="1"/>
  <c r="AB2505" i="1"/>
  <c r="AC2505" i="1"/>
  <c r="AD2505" i="1"/>
  <c r="AE2505" i="1"/>
  <c r="W2506" i="1"/>
  <c r="X2506" i="1"/>
  <c r="Y2506" i="1"/>
  <c r="Z2506" i="1"/>
  <c r="AA2506" i="1"/>
  <c r="AB2506" i="1"/>
  <c r="AC2506" i="1"/>
  <c r="AD2506" i="1"/>
  <c r="AE2506" i="1"/>
  <c r="W2507" i="1"/>
  <c r="X2507" i="1"/>
  <c r="Y2507" i="1"/>
  <c r="Z2507" i="1"/>
  <c r="AA2507" i="1"/>
  <c r="AB2507" i="1"/>
  <c r="AC2507" i="1"/>
  <c r="AD2507" i="1"/>
  <c r="AE2507" i="1"/>
  <c r="W2508" i="1"/>
  <c r="X2508" i="1"/>
  <c r="Y2508" i="1"/>
  <c r="Z2508" i="1"/>
  <c r="AA2508" i="1"/>
  <c r="AB2508" i="1"/>
  <c r="AC2508" i="1"/>
  <c r="AD2508" i="1"/>
  <c r="AE2508" i="1"/>
  <c r="W2509" i="1"/>
  <c r="X2509" i="1"/>
  <c r="Y2509" i="1"/>
  <c r="Z2509" i="1"/>
  <c r="AA2509" i="1"/>
  <c r="AB2509" i="1"/>
  <c r="AC2509" i="1"/>
  <c r="AD2509" i="1"/>
  <c r="AE2509" i="1"/>
  <c r="W2510" i="1"/>
  <c r="X2510" i="1"/>
  <c r="Y2510" i="1"/>
  <c r="Z2510" i="1"/>
  <c r="AA2510" i="1"/>
  <c r="AB2510" i="1"/>
  <c r="AC2510" i="1"/>
  <c r="AD2510" i="1"/>
  <c r="AE2510" i="1"/>
  <c r="W2511" i="1"/>
  <c r="X2511" i="1"/>
  <c r="Y2511" i="1"/>
  <c r="Z2511" i="1"/>
  <c r="AA2511" i="1"/>
  <c r="AB2511" i="1"/>
  <c r="AC2511" i="1"/>
  <c r="AD2511" i="1"/>
  <c r="AE2511" i="1"/>
  <c r="W2512" i="1"/>
  <c r="X2512" i="1"/>
  <c r="Y2512" i="1"/>
  <c r="Z2512" i="1"/>
  <c r="AA2512" i="1"/>
  <c r="AB2512" i="1"/>
  <c r="AC2512" i="1"/>
  <c r="AD2512" i="1"/>
  <c r="AE2512" i="1"/>
  <c r="W2513" i="1"/>
  <c r="X2513" i="1"/>
  <c r="Y2513" i="1"/>
  <c r="Z2513" i="1"/>
  <c r="AA2513" i="1"/>
  <c r="AB2513" i="1"/>
  <c r="AC2513" i="1"/>
  <c r="AD2513" i="1"/>
  <c r="AE2513" i="1"/>
  <c r="W2514" i="1"/>
  <c r="X2514" i="1"/>
  <c r="Y2514" i="1"/>
  <c r="Z2514" i="1"/>
  <c r="AA2514" i="1"/>
  <c r="AB2514" i="1"/>
  <c r="AC2514" i="1"/>
  <c r="AD2514" i="1"/>
  <c r="AE2514" i="1"/>
  <c r="W2515" i="1"/>
  <c r="X2515" i="1"/>
  <c r="Y2515" i="1"/>
  <c r="Z2515" i="1"/>
  <c r="AA2515" i="1"/>
  <c r="AB2515" i="1"/>
  <c r="AC2515" i="1"/>
  <c r="AD2515" i="1"/>
  <c r="AE2515" i="1"/>
  <c r="W2516" i="1"/>
  <c r="X2516" i="1"/>
  <c r="Y2516" i="1"/>
  <c r="Z2516" i="1"/>
  <c r="AA2516" i="1"/>
  <c r="AB2516" i="1"/>
  <c r="AC2516" i="1"/>
  <c r="AD2516" i="1"/>
  <c r="AE2516" i="1"/>
  <c r="W2517" i="1"/>
  <c r="X2517" i="1"/>
  <c r="Y2517" i="1"/>
  <c r="Z2517" i="1"/>
  <c r="AA2517" i="1"/>
  <c r="AB2517" i="1"/>
  <c r="AC2517" i="1"/>
  <c r="AD2517" i="1"/>
  <c r="AE2517" i="1"/>
  <c r="W2518" i="1"/>
  <c r="X2518" i="1"/>
  <c r="Y2518" i="1"/>
  <c r="Z2518" i="1"/>
  <c r="AA2518" i="1"/>
  <c r="AB2518" i="1"/>
  <c r="AC2518" i="1"/>
  <c r="AD2518" i="1"/>
  <c r="AE2518" i="1"/>
  <c r="W2519" i="1"/>
  <c r="X2519" i="1"/>
  <c r="Y2519" i="1"/>
  <c r="Z2519" i="1"/>
  <c r="AA2519" i="1"/>
  <c r="AB2519" i="1"/>
  <c r="AC2519" i="1"/>
  <c r="AD2519" i="1"/>
  <c r="AE2519" i="1"/>
  <c r="W2520" i="1"/>
  <c r="X2520" i="1"/>
  <c r="Y2520" i="1"/>
  <c r="Z2520" i="1"/>
  <c r="AA2520" i="1"/>
  <c r="AB2520" i="1"/>
  <c r="AC2520" i="1"/>
  <c r="AD2520" i="1"/>
  <c r="AE2520" i="1"/>
  <c r="W2521" i="1"/>
  <c r="X2521" i="1"/>
  <c r="Y2521" i="1"/>
  <c r="Z2521" i="1"/>
  <c r="AA2521" i="1"/>
  <c r="AB2521" i="1"/>
  <c r="AC2521" i="1"/>
  <c r="AD2521" i="1"/>
  <c r="AE2521" i="1"/>
  <c r="W2522" i="1"/>
  <c r="X2522" i="1"/>
  <c r="Y2522" i="1"/>
  <c r="Z2522" i="1"/>
  <c r="AA2522" i="1"/>
  <c r="AB2522" i="1"/>
  <c r="AC2522" i="1"/>
  <c r="AD2522" i="1"/>
  <c r="AE2522" i="1"/>
  <c r="W2523" i="1"/>
  <c r="X2523" i="1"/>
  <c r="Y2523" i="1"/>
  <c r="Z2523" i="1"/>
  <c r="AA2523" i="1"/>
  <c r="AB2523" i="1"/>
  <c r="AC2523" i="1"/>
  <c r="AD2523" i="1"/>
  <c r="AE2523" i="1"/>
  <c r="W2524" i="1"/>
  <c r="X2524" i="1"/>
  <c r="Y2524" i="1"/>
  <c r="Z2524" i="1"/>
  <c r="AA2524" i="1"/>
  <c r="AB2524" i="1"/>
  <c r="AC2524" i="1"/>
  <c r="AD2524" i="1"/>
  <c r="AE2524" i="1"/>
  <c r="W2525" i="1"/>
  <c r="X2525" i="1"/>
  <c r="Y2525" i="1"/>
  <c r="Z2525" i="1"/>
  <c r="AA2525" i="1"/>
  <c r="AB2525" i="1"/>
  <c r="AC2525" i="1"/>
  <c r="AD2525" i="1"/>
  <c r="AE2525" i="1"/>
  <c r="W2526" i="1"/>
  <c r="X2526" i="1"/>
  <c r="Y2526" i="1"/>
  <c r="Z2526" i="1"/>
  <c r="AA2526" i="1"/>
  <c r="AB2526" i="1"/>
  <c r="AC2526" i="1"/>
  <c r="AD2526" i="1"/>
  <c r="AE2526" i="1"/>
  <c r="W2527" i="1"/>
  <c r="X2527" i="1"/>
  <c r="Y2527" i="1"/>
  <c r="Z2527" i="1"/>
  <c r="AA2527" i="1"/>
  <c r="AB2527" i="1"/>
  <c r="AC2527" i="1"/>
  <c r="AD2527" i="1"/>
  <c r="AE2527" i="1"/>
  <c r="W2528" i="1"/>
  <c r="X2528" i="1"/>
  <c r="Y2528" i="1"/>
  <c r="Z2528" i="1"/>
  <c r="AA2528" i="1"/>
  <c r="AB2528" i="1"/>
  <c r="AC2528" i="1"/>
  <c r="AD2528" i="1"/>
  <c r="AE2528" i="1"/>
  <c r="W2529" i="1"/>
  <c r="X2529" i="1"/>
  <c r="Y2529" i="1"/>
  <c r="Z2529" i="1"/>
  <c r="AA2529" i="1"/>
  <c r="AB2529" i="1"/>
  <c r="AC2529" i="1"/>
  <c r="AD2529" i="1"/>
  <c r="AE2529" i="1"/>
  <c r="W2530" i="1"/>
  <c r="X2530" i="1"/>
  <c r="Y2530" i="1"/>
  <c r="Z2530" i="1"/>
  <c r="AA2530" i="1"/>
  <c r="AB2530" i="1"/>
  <c r="AC2530" i="1"/>
  <c r="AD2530" i="1"/>
  <c r="AE2530" i="1"/>
  <c r="W2531" i="1"/>
  <c r="X2531" i="1"/>
  <c r="Y2531" i="1"/>
  <c r="Z2531" i="1"/>
  <c r="AA2531" i="1"/>
  <c r="AB2531" i="1"/>
  <c r="AC2531" i="1"/>
  <c r="AD2531" i="1"/>
  <c r="AE2531" i="1"/>
  <c r="W2532" i="1"/>
  <c r="X2532" i="1"/>
  <c r="Y2532" i="1"/>
  <c r="Z2532" i="1"/>
  <c r="AA2532" i="1"/>
  <c r="AB2532" i="1"/>
  <c r="AC2532" i="1"/>
  <c r="AD2532" i="1"/>
  <c r="AE2532" i="1"/>
  <c r="W2533" i="1"/>
  <c r="X2533" i="1"/>
  <c r="Y2533" i="1"/>
  <c r="Z2533" i="1"/>
  <c r="AA2533" i="1"/>
  <c r="AB2533" i="1"/>
  <c r="AC2533" i="1"/>
  <c r="AD2533" i="1"/>
  <c r="AE2533" i="1"/>
  <c r="W2534" i="1"/>
  <c r="X2534" i="1"/>
  <c r="Y2534" i="1"/>
  <c r="Z2534" i="1"/>
  <c r="AA2534" i="1"/>
  <c r="AB2534" i="1"/>
  <c r="AC2534" i="1"/>
  <c r="AD2534" i="1"/>
  <c r="AE2534" i="1"/>
  <c r="W2535" i="1"/>
  <c r="X2535" i="1"/>
  <c r="Y2535" i="1"/>
  <c r="Z2535" i="1"/>
  <c r="AA2535" i="1"/>
  <c r="AB2535" i="1"/>
  <c r="AC2535" i="1"/>
  <c r="AD2535" i="1"/>
  <c r="AE2535" i="1"/>
  <c r="W2536" i="1"/>
  <c r="X2536" i="1"/>
  <c r="Y2536" i="1"/>
  <c r="Z2536" i="1"/>
  <c r="AA2536" i="1"/>
  <c r="AB2536" i="1"/>
  <c r="AC2536" i="1"/>
  <c r="AD2536" i="1"/>
  <c r="AE2536" i="1"/>
  <c r="W2537" i="1"/>
  <c r="X2537" i="1"/>
  <c r="Y2537" i="1"/>
  <c r="Z2537" i="1"/>
  <c r="AA2537" i="1"/>
  <c r="AB2537" i="1"/>
  <c r="AC2537" i="1"/>
  <c r="AD2537" i="1"/>
  <c r="AE2537" i="1"/>
  <c r="W2538" i="1"/>
  <c r="X2538" i="1"/>
  <c r="Y2538" i="1"/>
  <c r="Z2538" i="1"/>
  <c r="AA2538" i="1"/>
  <c r="AB2538" i="1"/>
  <c r="AC2538" i="1"/>
  <c r="AD2538" i="1"/>
  <c r="AE2538" i="1"/>
  <c r="W2539" i="1"/>
  <c r="X2539" i="1"/>
  <c r="Y2539" i="1"/>
  <c r="Z2539" i="1"/>
  <c r="AA2539" i="1"/>
  <c r="AB2539" i="1"/>
  <c r="AC2539" i="1"/>
  <c r="AD2539" i="1"/>
  <c r="AE2539" i="1"/>
  <c r="W2540" i="1"/>
  <c r="X2540" i="1"/>
  <c r="Y2540" i="1"/>
  <c r="Z2540" i="1"/>
  <c r="AA2540" i="1"/>
  <c r="AB2540" i="1"/>
  <c r="AC2540" i="1"/>
  <c r="AD2540" i="1"/>
  <c r="AE2540" i="1"/>
  <c r="W2541" i="1"/>
  <c r="X2541" i="1"/>
  <c r="Y2541" i="1"/>
  <c r="Z2541" i="1"/>
  <c r="AA2541" i="1"/>
  <c r="AB2541" i="1"/>
  <c r="AC2541" i="1"/>
  <c r="AD2541" i="1"/>
  <c r="AE2541" i="1"/>
  <c r="W2542" i="1"/>
  <c r="X2542" i="1"/>
  <c r="Y2542" i="1"/>
  <c r="Z2542" i="1"/>
  <c r="AA2542" i="1"/>
  <c r="AB2542" i="1"/>
  <c r="AC2542" i="1"/>
  <c r="AD2542" i="1"/>
  <c r="AE2542" i="1"/>
  <c r="W2543" i="1"/>
  <c r="X2543" i="1"/>
  <c r="Y2543" i="1"/>
  <c r="Z2543" i="1"/>
  <c r="AA2543" i="1"/>
  <c r="AB2543" i="1"/>
  <c r="AC2543" i="1"/>
  <c r="AD2543" i="1"/>
  <c r="AE2543" i="1"/>
  <c r="W2544" i="1"/>
  <c r="X2544" i="1"/>
  <c r="Y2544" i="1"/>
  <c r="Z2544" i="1"/>
  <c r="AA2544" i="1"/>
  <c r="AB2544" i="1"/>
  <c r="AC2544" i="1"/>
  <c r="AD2544" i="1"/>
  <c r="AE2544" i="1"/>
  <c r="W2545" i="1"/>
  <c r="X2545" i="1"/>
  <c r="Y2545" i="1"/>
  <c r="Z2545" i="1"/>
  <c r="AA2545" i="1"/>
  <c r="AB2545" i="1"/>
  <c r="AC2545" i="1"/>
  <c r="AD2545" i="1"/>
  <c r="AE2545" i="1"/>
  <c r="W2546" i="1"/>
  <c r="X2546" i="1"/>
  <c r="Y2546" i="1"/>
  <c r="Z2546" i="1"/>
  <c r="AA2546" i="1"/>
  <c r="AB2546" i="1"/>
  <c r="AC2546" i="1"/>
  <c r="AD2546" i="1"/>
  <c r="AE2546" i="1"/>
  <c r="W2547" i="1"/>
  <c r="X2547" i="1"/>
  <c r="Y2547" i="1"/>
  <c r="Z2547" i="1"/>
  <c r="AA2547" i="1"/>
  <c r="AB2547" i="1"/>
  <c r="AC2547" i="1"/>
  <c r="AD2547" i="1"/>
  <c r="AE2547" i="1"/>
  <c r="W2548" i="1"/>
  <c r="X2548" i="1"/>
  <c r="Y2548" i="1"/>
  <c r="Z2548" i="1"/>
  <c r="AA2548" i="1"/>
  <c r="AB2548" i="1"/>
  <c r="AC2548" i="1"/>
  <c r="AD2548" i="1"/>
  <c r="AE2548" i="1"/>
  <c r="W2549" i="1"/>
  <c r="X2549" i="1"/>
  <c r="Y2549" i="1"/>
  <c r="Z2549" i="1"/>
  <c r="AA2549" i="1"/>
  <c r="AB2549" i="1"/>
  <c r="AC2549" i="1"/>
  <c r="AD2549" i="1"/>
  <c r="AE2549" i="1"/>
  <c r="W2550" i="1"/>
  <c r="X2550" i="1"/>
  <c r="Y2550" i="1"/>
  <c r="Z2550" i="1"/>
  <c r="AA2550" i="1"/>
  <c r="AB2550" i="1"/>
  <c r="AC2550" i="1"/>
  <c r="AD2550" i="1"/>
  <c r="AE2550" i="1"/>
  <c r="W2551" i="1"/>
  <c r="X2551" i="1"/>
  <c r="Y2551" i="1"/>
  <c r="Z2551" i="1"/>
  <c r="AA2551" i="1"/>
  <c r="AB2551" i="1"/>
  <c r="AC2551" i="1"/>
  <c r="AD2551" i="1"/>
  <c r="AE2551" i="1"/>
  <c r="W2552" i="1"/>
  <c r="X2552" i="1"/>
  <c r="Y2552" i="1"/>
  <c r="Z2552" i="1"/>
  <c r="AA2552" i="1"/>
  <c r="AB2552" i="1"/>
  <c r="AC2552" i="1"/>
  <c r="AD2552" i="1"/>
  <c r="AE2552" i="1"/>
  <c r="W2553" i="1"/>
  <c r="X2553" i="1"/>
  <c r="Y2553" i="1"/>
  <c r="Z2553" i="1"/>
  <c r="AA2553" i="1"/>
  <c r="AB2553" i="1"/>
  <c r="AC2553" i="1"/>
  <c r="AD2553" i="1"/>
  <c r="AE2553" i="1"/>
  <c r="W2554" i="1"/>
  <c r="X2554" i="1"/>
  <c r="Y2554" i="1"/>
  <c r="Z2554" i="1"/>
  <c r="AA2554" i="1"/>
  <c r="AB2554" i="1"/>
  <c r="AC2554" i="1"/>
  <c r="AD2554" i="1"/>
  <c r="AE2554" i="1"/>
  <c r="W2555" i="1"/>
  <c r="X2555" i="1"/>
  <c r="Y2555" i="1"/>
  <c r="Z2555" i="1"/>
  <c r="AA2555" i="1"/>
  <c r="AB2555" i="1"/>
  <c r="AC2555" i="1"/>
  <c r="AD2555" i="1"/>
  <c r="AE2555" i="1"/>
  <c r="W2556" i="1"/>
  <c r="X2556" i="1"/>
  <c r="Y2556" i="1"/>
  <c r="Z2556" i="1"/>
  <c r="AA2556" i="1"/>
  <c r="AB2556" i="1"/>
  <c r="AC2556" i="1"/>
  <c r="AD2556" i="1"/>
  <c r="AE2556" i="1"/>
  <c r="W2557" i="1"/>
  <c r="X2557" i="1"/>
  <c r="Y2557" i="1"/>
  <c r="Z2557" i="1"/>
  <c r="AA2557" i="1"/>
  <c r="AB2557" i="1"/>
  <c r="AC2557" i="1"/>
  <c r="AD2557" i="1"/>
  <c r="AE2557" i="1"/>
  <c r="W2558" i="1"/>
  <c r="X2558" i="1"/>
  <c r="Y2558" i="1"/>
  <c r="Z2558" i="1"/>
  <c r="AA2558" i="1"/>
  <c r="AB2558" i="1"/>
  <c r="AC2558" i="1"/>
  <c r="AD2558" i="1"/>
  <c r="AE2558" i="1"/>
  <c r="W2559" i="1"/>
  <c r="X2559" i="1"/>
  <c r="Y2559" i="1"/>
  <c r="Z2559" i="1"/>
  <c r="AA2559" i="1"/>
  <c r="AB2559" i="1"/>
  <c r="AC2559" i="1"/>
  <c r="AD2559" i="1"/>
  <c r="AE2559" i="1"/>
  <c r="W2560" i="1"/>
  <c r="X2560" i="1"/>
  <c r="Y2560" i="1"/>
  <c r="Z2560" i="1"/>
  <c r="AA2560" i="1"/>
  <c r="AB2560" i="1"/>
  <c r="AC2560" i="1"/>
  <c r="AD2560" i="1"/>
  <c r="AE2560" i="1"/>
  <c r="W2561" i="1"/>
  <c r="X2561" i="1"/>
  <c r="Y2561" i="1"/>
  <c r="Z2561" i="1"/>
  <c r="AA2561" i="1"/>
  <c r="AB2561" i="1"/>
  <c r="AC2561" i="1"/>
  <c r="AD2561" i="1"/>
  <c r="AE2561" i="1"/>
  <c r="W2562" i="1"/>
  <c r="X2562" i="1"/>
  <c r="Y2562" i="1"/>
  <c r="Z2562" i="1"/>
  <c r="AA2562" i="1"/>
  <c r="AB2562" i="1"/>
  <c r="AC2562" i="1"/>
  <c r="AD2562" i="1"/>
  <c r="AE2562" i="1"/>
  <c r="W2563" i="1"/>
  <c r="X2563" i="1"/>
  <c r="Y2563" i="1"/>
  <c r="Z2563" i="1"/>
  <c r="AA2563" i="1"/>
  <c r="AB2563" i="1"/>
  <c r="AC2563" i="1"/>
  <c r="AD2563" i="1"/>
  <c r="AE2563" i="1"/>
  <c r="W2564" i="1"/>
  <c r="X2564" i="1"/>
  <c r="Y2564" i="1"/>
  <c r="Z2564" i="1"/>
  <c r="AA2564" i="1"/>
  <c r="AB2564" i="1"/>
  <c r="AC2564" i="1"/>
  <c r="AD2564" i="1"/>
  <c r="AE2564" i="1"/>
  <c r="W2565" i="1"/>
  <c r="X2565" i="1"/>
  <c r="Y2565" i="1"/>
  <c r="Z2565" i="1"/>
  <c r="AA2565" i="1"/>
  <c r="AB2565" i="1"/>
  <c r="AC2565" i="1"/>
  <c r="AD2565" i="1"/>
  <c r="AE2565" i="1"/>
  <c r="W2566" i="1"/>
  <c r="X2566" i="1"/>
  <c r="Y2566" i="1"/>
  <c r="Z2566" i="1"/>
  <c r="AA2566" i="1"/>
  <c r="AB2566" i="1"/>
  <c r="AC2566" i="1"/>
  <c r="AD2566" i="1"/>
  <c r="AE2566" i="1"/>
  <c r="W2567" i="1"/>
  <c r="X2567" i="1"/>
  <c r="Y2567" i="1"/>
  <c r="Z2567" i="1"/>
  <c r="AA2567" i="1"/>
  <c r="AB2567" i="1"/>
  <c r="AC2567" i="1"/>
  <c r="AD2567" i="1"/>
  <c r="AE2567" i="1"/>
  <c r="W2568" i="1"/>
  <c r="X2568" i="1"/>
  <c r="Y2568" i="1"/>
  <c r="Z2568" i="1"/>
  <c r="AA2568" i="1"/>
  <c r="AB2568" i="1"/>
  <c r="AC2568" i="1"/>
  <c r="AD2568" i="1"/>
  <c r="AE2568" i="1"/>
  <c r="W2569" i="1"/>
  <c r="X2569" i="1"/>
  <c r="Y2569" i="1"/>
  <c r="Z2569" i="1"/>
  <c r="AA2569" i="1"/>
  <c r="AB2569" i="1"/>
  <c r="AC2569" i="1"/>
  <c r="AD2569" i="1"/>
  <c r="AE2569" i="1"/>
  <c r="W2570" i="1"/>
  <c r="X2570" i="1"/>
  <c r="Y2570" i="1"/>
  <c r="Z2570" i="1"/>
  <c r="AA2570" i="1"/>
  <c r="AB2570" i="1"/>
  <c r="AC2570" i="1"/>
  <c r="AD2570" i="1"/>
  <c r="AE2570" i="1"/>
  <c r="W2571" i="1"/>
  <c r="X2571" i="1"/>
  <c r="Y2571" i="1"/>
  <c r="Z2571" i="1"/>
  <c r="AA2571" i="1"/>
  <c r="AB2571" i="1"/>
  <c r="AC2571" i="1"/>
  <c r="AD2571" i="1"/>
  <c r="AE2571" i="1"/>
  <c r="W2572" i="1"/>
  <c r="X2572" i="1"/>
  <c r="Y2572" i="1"/>
  <c r="Z2572" i="1"/>
  <c r="AA2572" i="1"/>
  <c r="AB2572" i="1"/>
  <c r="AC2572" i="1"/>
  <c r="AD2572" i="1"/>
  <c r="AE2572" i="1"/>
  <c r="W2573" i="1"/>
  <c r="X2573" i="1"/>
  <c r="Y2573" i="1"/>
  <c r="Z2573" i="1"/>
  <c r="AA2573" i="1"/>
  <c r="AB2573" i="1"/>
  <c r="AC2573" i="1"/>
  <c r="AD2573" i="1"/>
  <c r="AE2573" i="1"/>
  <c r="W2574" i="1"/>
  <c r="X2574" i="1"/>
  <c r="Y2574" i="1"/>
  <c r="Z2574" i="1"/>
  <c r="AA2574" i="1"/>
  <c r="AB2574" i="1"/>
  <c r="AC2574" i="1"/>
  <c r="AD2574" i="1"/>
  <c r="AE2574" i="1"/>
  <c r="W2575" i="1"/>
  <c r="X2575" i="1"/>
  <c r="Y2575" i="1"/>
  <c r="Z2575" i="1"/>
  <c r="AA2575" i="1"/>
  <c r="AB2575" i="1"/>
  <c r="AC2575" i="1"/>
  <c r="AD2575" i="1"/>
  <c r="AE2575" i="1"/>
  <c r="W2576" i="1"/>
  <c r="X2576" i="1"/>
  <c r="Y2576" i="1"/>
  <c r="Z2576" i="1"/>
  <c r="AA2576" i="1"/>
  <c r="AB2576" i="1"/>
  <c r="AC2576" i="1"/>
  <c r="AD2576" i="1"/>
  <c r="AE2576" i="1"/>
  <c r="W2577" i="1"/>
  <c r="X2577" i="1"/>
  <c r="Y2577" i="1"/>
  <c r="Z2577" i="1"/>
  <c r="AA2577" i="1"/>
  <c r="AB2577" i="1"/>
  <c r="AC2577" i="1"/>
  <c r="AD2577" i="1"/>
  <c r="AE2577" i="1"/>
  <c r="W2578" i="1"/>
  <c r="X2578" i="1"/>
  <c r="Y2578" i="1"/>
  <c r="Z2578" i="1"/>
  <c r="AA2578" i="1"/>
  <c r="AB2578" i="1"/>
  <c r="AC2578" i="1"/>
  <c r="AD2578" i="1"/>
  <c r="AE2578" i="1"/>
  <c r="W2579" i="1"/>
  <c r="X2579" i="1"/>
  <c r="Y2579" i="1"/>
  <c r="Z2579" i="1"/>
  <c r="AA2579" i="1"/>
  <c r="AB2579" i="1"/>
  <c r="AC2579" i="1"/>
  <c r="AD2579" i="1"/>
  <c r="AE2579" i="1"/>
  <c r="W2580" i="1"/>
  <c r="X2580" i="1"/>
  <c r="Y2580" i="1"/>
  <c r="Z2580" i="1"/>
  <c r="AA2580" i="1"/>
  <c r="AB2580" i="1"/>
  <c r="AC2580" i="1"/>
  <c r="AD2580" i="1"/>
  <c r="AE2580" i="1"/>
  <c r="W2581" i="1"/>
  <c r="X2581" i="1"/>
  <c r="Y2581" i="1"/>
  <c r="Z2581" i="1"/>
  <c r="AA2581" i="1"/>
  <c r="AB2581" i="1"/>
  <c r="AC2581" i="1"/>
  <c r="AD2581" i="1"/>
  <c r="AE2581" i="1"/>
  <c r="W2582" i="1"/>
  <c r="X2582" i="1"/>
  <c r="Y2582" i="1"/>
  <c r="Z2582" i="1"/>
  <c r="AA2582" i="1"/>
  <c r="AB2582" i="1"/>
  <c r="AC2582" i="1"/>
  <c r="AD2582" i="1"/>
  <c r="AE2582" i="1"/>
  <c r="W2583" i="1"/>
  <c r="X2583" i="1"/>
  <c r="Y2583" i="1"/>
  <c r="Z2583" i="1"/>
  <c r="AA2583" i="1"/>
  <c r="AB2583" i="1"/>
  <c r="AC2583" i="1"/>
  <c r="AD2583" i="1"/>
  <c r="AE2583" i="1"/>
  <c r="W2584" i="1"/>
  <c r="X2584" i="1"/>
  <c r="Y2584" i="1"/>
  <c r="Z2584" i="1"/>
  <c r="AA2584" i="1"/>
  <c r="AB2584" i="1"/>
  <c r="AC2584" i="1"/>
  <c r="AD2584" i="1"/>
  <c r="AE2584" i="1"/>
  <c r="W2585" i="1"/>
  <c r="X2585" i="1"/>
  <c r="Y2585" i="1"/>
  <c r="Z2585" i="1"/>
  <c r="AA2585" i="1"/>
  <c r="AB2585" i="1"/>
  <c r="AC2585" i="1"/>
  <c r="AD2585" i="1"/>
  <c r="AE2585" i="1"/>
  <c r="W2586" i="1"/>
  <c r="X2586" i="1"/>
  <c r="Y2586" i="1"/>
  <c r="Z2586" i="1"/>
  <c r="AA2586" i="1"/>
  <c r="AB2586" i="1"/>
  <c r="AC2586" i="1"/>
  <c r="AD2586" i="1"/>
  <c r="AE2586" i="1"/>
  <c r="W2587" i="1"/>
  <c r="X2587" i="1"/>
  <c r="Y2587" i="1"/>
  <c r="Z2587" i="1"/>
  <c r="AA2587" i="1"/>
  <c r="AB2587" i="1"/>
  <c r="AC2587" i="1"/>
  <c r="AD2587" i="1"/>
  <c r="AE2587" i="1"/>
  <c r="W2588" i="1"/>
  <c r="X2588" i="1"/>
  <c r="Y2588" i="1"/>
  <c r="Z2588" i="1"/>
  <c r="AA2588" i="1"/>
  <c r="AB2588" i="1"/>
  <c r="AC2588" i="1"/>
  <c r="AD2588" i="1"/>
  <c r="AE2588" i="1"/>
  <c r="W2589" i="1"/>
  <c r="X2589" i="1"/>
  <c r="Y2589" i="1"/>
  <c r="Z2589" i="1"/>
  <c r="AA2589" i="1"/>
  <c r="AB2589" i="1"/>
  <c r="AC2589" i="1"/>
  <c r="AD2589" i="1"/>
  <c r="AE2589" i="1"/>
  <c r="W2590" i="1"/>
  <c r="X2590" i="1"/>
  <c r="Y2590" i="1"/>
  <c r="Z2590" i="1"/>
  <c r="AA2590" i="1"/>
  <c r="AB2590" i="1"/>
  <c r="AC2590" i="1"/>
  <c r="AD2590" i="1"/>
  <c r="AE2590" i="1"/>
  <c r="W2591" i="1"/>
  <c r="X2591" i="1"/>
  <c r="Y2591" i="1"/>
  <c r="Z2591" i="1"/>
  <c r="AA2591" i="1"/>
  <c r="AB2591" i="1"/>
  <c r="AC2591" i="1"/>
  <c r="AD2591" i="1"/>
  <c r="AE2591" i="1"/>
  <c r="W2592" i="1"/>
  <c r="X2592" i="1"/>
  <c r="Y2592" i="1"/>
  <c r="Z2592" i="1"/>
  <c r="AA2592" i="1"/>
  <c r="AB2592" i="1"/>
  <c r="AC2592" i="1"/>
  <c r="AD2592" i="1"/>
  <c r="AE2592" i="1"/>
  <c r="W2593" i="1"/>
  <c r="X2593" i="1"/>
  <c r="Y2593" i="1"/>
  <c r="Z2593" i="1"/>
  <c r="AA2593" i="1"/>
  <c r="AB2593" i="1"/>
  <c r="AC2593" i="1"/>
  <c r="AD2593" i="1"/>
  <c r="AE2593" i="1"/>
  <c r="W2594" i="1"/>
  <c r="X2594" i="1"/>
  <c r="Y2594" i="1"/>
  <c r="Z2594" i="1"/>
  <c r="AA2594" i="1"/>
  <c r="AB2594" i="1"/>
  <c r="AC2594" i="1"/>
  <c r="AD2594" i="1"/>
  <c r="AE2594" i="1"/>
  <c r="W2595" i="1"/>
  <c r="X2595" i="1"/>
  <c r="Y2595" i="1"/>
  <c r="Z2595" i="1"/>
  <c r="AA2595" i="1"/>
  <c r="AB2595" i="1"/>
  <c r="AC2595" i="1"/>
  <c r="AD2595" i="1"/>
  <c r="AE2595" i="1"/>
  <c r="W2596" i="1"/>
  <c r="X2596" i="1"/>
  <c r="Y2596" i="1"/>
  <c r="Z2596" i="1"/>
  <c r="AA2596" i="1"/>
  <c r="AB2596" i="1"/>
  <c r="AC2596" i="1"/>
  <c r="AD2596" i="1"/>
  <c r="AE2596" i="1"/>
  <c r="W2597" i="1"/>
  <c r="X2597" i="1"/>
  <c r="Y2597" i="1"/>
  <c r="Z2597" i="1"/>
  <c r="AA2597" i="1"/>
  <c r="AB2597" i="1"/>
  <c r="AC2597" i="1"/>
  <c r="AD2597" i="1"/>
  <c r="AE2597" i="1"/>
  <c r="W2598" i="1"/>
  <c r="X2598" i="1"/>
  <c r="Y2598" i="1"/>
  <c r="Z2598" i="1"/>
  <c r="AA2598" i="1"/>
  <c r="AB2598" i="1"/>
  <c r="AC2598" i="1"/>
  <c r="AD2598" i="1"/>
  <c r="AE2598" i="1"/>
  <c r="W2599" i="1"/>
  <c r="X2599" i="1"/>
  <c r="Y2599" i="1"/>
  <c r="Z2599" i="1"/>
  <c r="AA2599" i="1"/>
  <c r="AB2599" i="1"/>
  <c r="AC2599" i="1"/>
  <c r="AD2599" i="1"/>
  <c r="AE2599" i="1"/>
  <c r="W2600" i="1"/>
  <c r="X2600" i="1"/>
  <c r="Y2600" i="1"/>
  <c r="Z2600" i="1"/>
  <c r="AA2600" i="1"/>
  <c r="AB2600" i="1"/>
  <c r="AC2600" i="1"/>
  <c r="AD2600" i="1"/>
  <c r="AE2600" i="1"/>
  <c r="W2601" i="1"/>
  <c r="X2601" i="1"/>
  <c r="Y2601" i="1"/>
  <c r="Z2601" i="1"/>
  <c r="AA2601" i="1"/>
  <c r="AB2601" i="1"/>
  <c r="AC2601" i="1"/>
  <c r="AD2601" i="1"/>
  <c r="AE2601" i="1"/>
  <c r="W2602" i="1"/>
  <c r="X2602" i="1"/>
  <c r="Y2602" i="1"/>
  <c r="Z2602" i="1"/>
  <c r="AA2602" i="1"/>
  <c r="AB2602" i="1"/>
  <c r="AC2602" i="1"/>
  <c r="AD2602" i="1"/>
  <c r="AE2602" i="1"/>
  <c r="W2603" i="1"/>
  <c r="X2603" i="1"/>
  <c r="Y2603" i="1"/>
  <c r="Z2603" i="1"/>
  <c r="AA2603" i="1"/>
  <c r="AB2603" i="1"/>
  <c r="AC2603" i="1"/>
  <c r="AD2603" i="1"/>
  <c r="AE2603" i="1"/>
  <c r="W2604" i="1"/>
  <c r="X2604" i="1"/>
  <c r="Y2604" i="1"/>
  <c r="Z2604" i="1"/>
  <c r="AA2604" i="1"/>
  <c r="AB2604" i="1"/>
  <c r="AC2604" i="1"/>
  <c r="AD2604" i="1"/>
  <c r="AE2604" i="1"/>
  <c r="W2605" i="1"/>
  <c r="X2605" i="1"/>
  <c r="Y2605" i="1"/>
  <c r="Z2605" i="1"/>
  <c r="AA2605" i="1"/>
  <c r="AB2605" i="1"/>
  <c r="AC2605" i="1"/>
  <c r="AD2605" i="1"/>
  <c r="AE2605" i="1"/>
  <c r="W2606" i="1"/>
  <c r="X2606" i="1"/>
  <c r="Y2606" i="1"/>
  <c r="Z2606" i="1"/>
  <c r="AA2606" i="1"/>
  <c r="AB2606" i="1"/>
  <c r="AC2606" i="1"/>
  <c r="AD2606" i="1"/>
  <c r="AE2606" i="1"/>
  <c r="W2607" i="1"/>
  <c r="X2607" i="1"/>
  <c r="Y2607" i="1"/>
  <c r="Z2607" i="1"/>
  <c r="AA2607" i="1"/>
  <c r="AB2607" i="1"/>
  <c r="AC2607" i="1"/>
  <c r="AD2607" i="1"/>
  <c r="AE2607" i="1"/>
  <c r="W2608" i="1"/>
  <c r="X2608" i="1"/>
  <c r="Y2608" i="1"/>
  <c r="Z2608" i="1"/>
  <c r="AA2608" i="1"/>
  <c r="AB2608" i="1"/>
  <c r="AC2608" i="1"/>
  <c r="AD2608" i="1"/>
  <c r="AE2608" i="1"/>
  <c r="W2609" i="1"/>
  <c r="X2609" i="1"/>
  <c r="Y2609" i="1"/>
  <c r="Z2609" i="1"/>
  <c r="AA2609" i="1"/>
  <c r="AB2609" i="1"/>
  <c r="AC2609" i="1"/>
  <c r="AD2609" i="1"/>
  <c r="AE2609" i="1"/>
  <c r="W2610" i="1"/>
  <c r="X2610" i="1"/>
  <c r="Y2610" i="1"/>
  <c r="Z2610" i="1"/>
  <c r="AA2610" i="1"/>
  <c r="AB2610" i="1"/>
  <c r="AC2610" i="1"/>
  <c r="AD2610" i="1"/>
  <c r="AE2610" i="1"/>
  <c r="W2611" i="1"/>
  <c r="X2611" i="1"/>
  <c r="Y2611" i="1"/>
  <c r="Z2611" i="1"/>
  <c r="AA2611" i="1"/>
  <c r="AB2611" i="1"/>
  <c r="AC2611" i="1"/>
  <c r="AD2611" i="1"/>
  <c r="AE2611" i="1"/>
  <c r="W2612" i="1"/>
  <c r="X2612" i="1"/>
  <c r="Y2612" i="1"/>
  <c r="Z2612" i="1"/>
  <c r="AA2612" i="1"/>
  <c r="AB2612" i="1"/>
  <c r="AC2612" i="1"/>
  <c r="AD2612" i="1"/>
  <c r="AE2612" i="1"/>
  <c r="W2613" i="1"/>
  <c r="X2613" i="1"/>
  <c r="Y2613" i="1"/>
  <c r="Z2613" i="1"/>
  <c r="AA2613" i="1"/>
  <c r="AB2613" i="1"/>
  <c r="AC2613" i="1"/>
  <c r="AD2613" i="1"/>
  <c r="AE2613" i="1"/>
  <c r="W2614" i="1"/>
  <c r="X2614" i="1"/>
  <c r="Y2614" i="1"/>
  <c r="Z2614" i="1"/>
  <c r="AA2614" i="1"/>
  <c r="AB2614" i="1"/>
  <c r="AC2614" i="1"/>
  <c r="AD2614" i="1"/>
  <c r="AE2614" i="1"/>
  <c r="W2615" i="1"/>
  <c r="X2615" i="1"/>
  <c r="Y2615" i="1"/>
  <c r="Z2615" i="1"/>
  <c r="AA2615" i="1"/>
  <c r="AB2615" i="1"/>
  <c r="AC2615" i="1"/>
  <c r="AD2615" i="1"/>
  <c r="AE2615" i="1"/>
  <c r="W2616" i="1"/>
  <c r="X2616" i="1"/>
  <c r="Y2616" i="1"/>
  <c r="Z2616" i="1"/>
  <c r="AA2616" i="1"/>
  <c r="AB2616" i="1"/>
  <c r="AC2616" i="1"/>
  <c r="AD2616" i="1"/>
  <c r="AE2616" i="1"/>
  <c r="W2617" i="1"/>
  <c r="X2617" i="1"/>
  <c r="Y2617" i="1"/>
  <c r="Z2617" i="1"/>
  <c r="AA2617" i="1"/>
  <c r="AB2617" i="1"/>
  <c r="AC2617" i="1"/>
  <c r="AD2617" i="1"/>
  <c r="AE2617" i="1"/>
  <c r="W2618" i="1"/>
  <c r="X2618" i="1"/>
  <c r="Y2618" i="1"/>
  <c r="Z2618" i="1"/>
  <c r="AA2618" i="1"/>
  <c r="AB2618" i="1"/>
  <c r="AC2618" i="1"/>
  <c r="AD2618" i="1"/>
  <c r="AE2618" i="1"/>
  <c r="W2619" i="1"/>
  <c r="X2619" i="1"/>
  <c r="Y2619" i="1"/>
  <c r="Z2619" i="1"/>
  <c r="AA2619" i="1"/>
  <c r="AB2619" i="1"/>
  <c r="AC2619" i="1"/>
  <c r="AD2619" i="1"/>
  <c r="AE2619" i="1"/>
  <c r="W2620" i="1"/>
  <c r="X2620" i="1"/>
  <c r="Y2620" i="1"/>
  <c r="Z2620" i="1"/>
  <c r="AA2620" i="1"/>
  <c r="AB2620" i="1"/>
  <c r="AC2620" i="1"/>
  <c r="AD2620" i="1"/>
  <c r="AE2620" i="1"/>
  <c r="W2621" i="1"/>
  <c r="X2621" i="1"/>
  <c r="Y2621" i="1"/>
  <c r="Z2621" i="1"/>
  <c r="AA2621" i="1"/>
  <c r="AB2621" i="1"/>
  <c r="AC2621" i="1"/>
  <c r="AD2621" i="1"/>
  <c r="AE2621" i="1"/>
  <c r="W2622" i="1"/>
  <c r="X2622" i="1"/>
  <c r="Y2622" i="1"/>
  <c r="Z2622" i="1"/>
  <c r="AA2622" i="1"/>
  <c r="AB2622" i="1"/>
  <c r="AC2622" i="1"/>
  <c r="AD2622" i="1"/>
  <c r="AE2622" i="1"/>
  <c r="W2623" i="1"/>
  <c r="X2623" i="1"/>
  <c r="Y2623" i="1"/>
  <c r="Z2623" i="1"/>
  <c r="AA2623" i="1"/>
  <c r="AB2623" i="1"/>
  <c r="AC2623" i="1"/>
  <c r="AD2623" i="1"/>
  <c r="AE2623" i="1"/>
  <c r="W2624" i="1"/>
  <c r="X2624" i="1"/>
  <c r="Y2624" i="1"/>
  <c r="Z2624" i="1"/>
  <c r="AA2624" i="1"/>
  <c r="AB2624" i="1"/>
  <c r="AC2624" i="1"/>
  <c r="AD2624" i="1"/>
  <c r="AE2624" i="1"/>
  <c r="W2625" i="1"/>
  <c r="X2625" i="1"/>
  <c r="Y2625" i="1"/>
  <c r="Z2625" i="1"/>
  <c r="AA2625" i="1"/>
  <c r="AB2625" i="1"/>
  <c r="AC2625" i="1"/>
  <c r="AD2625" i="1"/>
  <c r="AE2625" i="1"/>
  <c r="W2626" i="1"/>
  <c r="X2626" i="1"/>
  <c r="Y2626" i="1"/>
  <c r="Z2626" i="1"/>
  <c r="AA2626" i="1"/>
  <c r="AB2626" i="1"/>
  <c r="AC2626" i="1"/>
  <c r="AD2626" i="1"/>
  <c r="AE2626" i="1"/>
  <c r="W2627" i="1"/>
  <c r="X2627" i="1"/>
  <c r="Y2627" i="1"/>
  <c r="Z2627" i="1"/>
  <c r="AA2627" i="1"/>
  <c r="AB2627" i="1"/>
  <c r="AC2627" i="1"/>
  <c r="AD2627" i="1"/>
  <c r="AE2627" i="1"/>
  <c r="W2628" i="1"/>
  <c r="X2628" i="1"/>
  <c r="Y2628" i="1"/>
  <c r="Z2628" i="1"/>
  <c r="AA2628" i="1"/>
  <c r="AB2628" i="1"/>
  <c r="AC2628" i="1"/>
  <c r="AD2628" i="1"/>
  <c r="AE2628" i="1"/>
  <c r="W2629" i="1"/>
  <c r="X2629" i="1"/>
  <c r="Y2629" i="1"/>
  <c r="Z2629" i="1"/>
  <c r="AA2629" i="1"/>
  <c r="AB2629" i="1"/>
  <c r="AC2629" i="1"/>
  <c r="AD2629" i="1"/>
  <c r="AE2629" i="1"/>
  <c r="W2630" i="1"/>
  <c r="X2630" i="1"/>
  <c r="Y2630" i="1"/>
  <c r="Z2630" i="1"/>
  <c r="AA2630" i="1"/>
  <c r="AB2630" i="1"/>
  <c r="AC2630" i="1"/>
  <c r="AD2630" i="1"/>
  <c r="AE2630" i="1"/>
  <c r="W2631" i="1"/>
  <c r="X2631" i="1"/>
  <c r="Y2631" i="1"/>
  <c r="Z2631" i="1"/>
  <c r="AA2631" i="1"/>
  <c r="AB2631" i="1"/>
  <c r="AC2631" i="1"/>
  <c r="AD2631" i="1"/>
  <c r="AE2631" i="1"/>
  <c r="W2632" i="1"/>
  <c r="X2632" i="1"/>
  <c r="Y2632" i="1"/>
  <c r="Z2632" i="1"/>
  <c r="AA2632" i="1"/>
  <c r="AB2632" i="1"/>
  <c r="AC2632" i="1"/>
  <c r="AD2632" i="1"/>
  <c r="AE2632" i="1"/>
  <c r="W2633" i="1"/>
  <c r="X2633" i="1"/>
  <c r="Y2633" i="1"/>
  <c r="Z2633" i="1"/>
  <c r="AA2633" i="1"/>
  <c r="AB2633" i="1"/>
  <c r="AC2633" i="1"/>
  <c r="AD2633" i="1"/>
  <c r="AE2633" i="1"/>
  <c r="W2634" i="1"/>
  <c r="X2634" i="1"/>
  <c r="Y2634" i="1"/>
  <c r="Z2634" i="1"/>
  <c r="AA2634" i="1"/>
  <c r="AB2634" i="1"/>
  <c r="AC2634" i="1"/>
  <c r="AD2634" i="1"/>
  <c r="AE2634" i="1"/>
  <c r="W2635" i="1"/>
  <c r="X2635" i="1"/>
  <c r="Y2635" i="1"/>
  <c r="Z2635" i="1"/>
  <c r="AA2635" i="1"/>
  <c r="AB2635" i="1"/>
  <c r="AC2635" i="1"/>
  <c r="AD2635" i="1"/>
  <c r="AE2635" i="1"/>
  <c r="W2636" i="1"/>
  <c r="X2636" i="1"/>
  <c r="Y2636" i="1"/>
  <c r="Z2636" i="1"/>
  <c r="AA2636" i="1"/>
  <c r="AB2636" i="1"/>
  <c r="AC2636" i="1"/>
  <c r="AD2636" i="1"/>
  <c r="AE2636" i="1"/>
  <c r="W2637" i="1"/>
  <c r="X2637" i="1"/>
  <c r="Y2637" i="1"/>
  <c r="Z2637" i="1"/>
  <c r="AA2637" i="1"/>
  <c r="AB2637" i="1"/>
  <c r="AC2637" i="1"/>
  <c r="AD2637" i="1"/>
  <c r="AE2637" i="1"/>
  <c r="W2638" i="1"/>
  <c r="X2638" i="1"/>
  <c r="Y2638" i="1"/>
  <c r="Z2638" i="1"/>
  <c r="AA2638" i="1"/>
  <c r="AB2638" i="1"/>
  <c r="AC2638" i="1"/>
  <c r="AD2638" i="1"/>
  <c r="AE2638" i="1"/>
  <c r="W2639" i="1"/>
  <c r="X2639" i="1"/>
  <c r="Y2639" i="1"/>
  <c r="Z2639" i="1"/>
  <c r="AA2639" i="1"/>
  <c r="AB2639" i="1"/>
  <c r="AC2639" i="1"/>
  <c r="AD2639" i="1"/>
  <c r="AE2639" i="1"/>
  <c r="W2640" i="1"/>
  <c r="X2640" i="1"/>
  <c r="Y2640" i="1"/>
  <c r="Z2640" i="1"/>
  <c r="AA2640" i="1"/>
  <c r="AB2640" i="1"/>
  <c r="AC2640" i="1"/>
  <c r="AD2640" i="1"/>
  <c r="AE2640" i="1"/>
  <c r="W2641" i="1"/>
  <c r="X2641" i="1"/>
  <c r="Y2641" i="1"/>
  <c r="Z2641" i="1"/>
  <c r="AA2641" i="1"/>
  <c r="AB2641" i="1"/>
  <c r="AC2641" i="1"/>
  <c r="AD2641" i="1"/>
  <c r="AE2641" i="1"/>
  <c r="W2642" i="1"/>
  <c r="X2642" i="1"/>
  <c r="Y2642" i="1"/>
  <c r="Z2642" i="1"/>
  <c r="AA2642" i="1"/>
  <c r="AB2642" i="1"/>
  <c r="AC2642" i="1"/>
  <c r="AD2642" i="1"/>
  <c r="AE2642" i="1"/>
  <c r="W2643" i="1"/>
  <c r="X2643" i="1"/>
  <c r="Y2643" i="1"/>
  <c r="Z2643" i="1"/>
  <c r="AA2643" i="1"/>
  <c r="AB2643" i="1"/>
  <c r="AC2643" i="1"/>
  <c r="AD2643" i="1"/>
  <c r="AE2643" i="1"/>
  <c r="W2644" i="1"/>
  <c r="X2644" i="1"/>
  <c r="Y2644" i="1"/>
  <c r="Z2644" i="1"/>
  <c r="AA2644" i="1"/>
  <c r="AB2644" i="1"/>
  <c r="AC2644" i="1"/>
  <c r="AD2644" i="1"/>
  <c r="AE2644" i="1"/>
  <c r="W2645" i="1"/>
  <c r="X2645" i="1"/>
  <c r="Y2645" i="1"/>
  <c r="Z2645" i="1"/>
  <c r="AA2645" i="1"/>
  <c r="AB2645" i="1"/>
  <c r="AC2645" i="1"/>
  <c r="AD2645" i="1"/>
  <c r="AE2645" i="1"/>
  <c r="W2646" i="1"/>
  <c r="X2646" i="1"/>
  <c r="Y2646" i="1"/>
  <c r="Z2646" i="1"/>
  <c r="AA2646" i="1"/>
  <c r="AB2646" i="1"/>
  <c r="AC2646" i="1"/>
  <c r="AD2646" i="1"/>
  <c r="AE2646" i="1"/>
  <c r="W2647" i="1"/>
  <c r="X2647" i="1"/>
  <c r="Y2647" i="1"/>
  <c r="Z2647" i="1"/>
  <c r="AA2647" i="1"/>
  <c r="AB2647" i="1"/>
  <c r="AC2647" i="1"/>
  <c r="AD2647" i="1"/>
  <c r="AE2647" i="1"/>
  <c r="W2648" i="1"/>
  <c r="X2648" i="1"/>
  <c r="Y2648" i="1"/>
  <c r="Z2648" i="1"/>
  <c r="AA2648" i="1"/>
  <c r="AB2648" i="1"/>
  <c r="AC2648" i="1"/>
  <c r="AD2648" i="1"/>
  <c r="AE2648" i="1"/>
  <c r="W2649" i="1"/>
  <c r="X2649" i="1"/>
  <c r="Y2649" i="1"/>
  <c r="Z2649" i="1"/>
  <c r="AA2649" i="1"/>
  <c r="AB2649" i="1"/>
  <c r="AC2649" i="1"/>
  <c r="AD2649" i="1"/>
  <c r="AE2649" i="1"/>
  <c r="W2650" i="1"/>
  <c r="X2650" i="1"/>
  <c r="Y2650" i="1"/>
  <c r="Z2650" i="1"/>
  <c r="AA2650" i="1"/>
  <c r="AB2650" i="1"/>
  <c r="AC2650" i="1"/>
  <c r="AD2650" i="1"/>
  <c r="AE2650" i="1"/>
  <c r="W2651" i="1"/>
  <c r="X2651" i="1"/>
  <c r="Y2651" i="1"/>
  <c r="Z2651" i="1"/>
  <c r="AA2651" i="1"/>
  <c r="AB2651" i="1"/>
  <c r="AC2651" i="1"/>
  <c r="AD2651" i="1"/>
  <c r="AE2651" i="1"/>
  <c r="W2652" i="1"/>
  <c r="X2652" i="1"/>
  <c r="Y2652" i="1"/>
  <c r="Z2652" i="1"/>
  <c r="AA2652" i="1"/>
  <c r="AB2652" i="1"/>
  <c r="AC2652" i="1"/>
  <c r="AD2652" i="1"/>
  <c r="AE2652" i="1"/>
  <c r="W2653" i="1"/>
  <c r="X2653" i="1"/>
  <c r="Y2653" i="1"/>
  <c r="Z2653" i="1"/>
  <c r="AA2653" i="1"/>
  <c r="AB2653" i="1"/>
  <c r="AC2653" i="1"/>
  <c r="AD2653" i="1"/>
  <c r="AE2653" i="1"/>
  <c r="W2654" i="1"/>
  <c r="X2654" i="1"/>
  <c r="Y2654" i="1"/>
  <c r="Z2654" i="1"/>
  <c r="AA2654" i="1"/>
  <c r="AB2654" i="1"/>
  <c r="AC2654" i="1"/>
  <c r="AD2654" i="1"/>
  <c r="AE2654" i="1"/>
  <c r="W2655" i="1"/>
  <c r="X2655" i="1"/>
  <c r="Y2655" i="1"/>
  <c r="Z2655" i="1"/>
  <c r="AA2655" i="1"/>
  <c r="AB2655" i="1"/>
  <c r="AC2655" i="1"/>
  <c r="AD2655" i="1"/>
  <c r="AE2655" i="1"/>
  <c r="W2656" i="1"/>
  <c r="X2656" i="1"/>
  <c r="Y2656" i="1"/>
  <c r="Z2656" i="1"/>
  <c r="AA2656" i="1"/>
  <c r="AB2656" i="1"/>
  <c r="AC2656" i="1"/>
  <c r="AD2656" i="1"/>
  <c r="AE2656" i="1"/>
  <c r="W2657" i="1"/>
  <c r="X2657" i="1"/>
  <c r="Y2657" i="1"/>
  <c r="Z2657" i="1"/>
  <c r="AA2657" i="1"/>
  <c r="AB2657" i="1"/>
  <c r="AC2657" i="1"/>
  <c r="AD2657" i="1"/>
  <c r="AE2657" i="1"/>
  <c r="W2658" i="1"/>
  <c r="X2658" i="1"/>
  <c r="Y2658" i="1"/>
  <c r="Z2658" i="1"/>
  <c r="AA2658" i="1"/>
  <c r="AB2658" i="1"/>
  <c r="AC2658" i="1"/>
  <c r="AD2658" i="1"/>
  <c r="AE2658" i="1"/>
  <c r="W2659" i="1"/>
  <c r="X2659" i="1"/>
  <c r="Y2659" i="1"/>
  <c r="Z2659" i="1"/>
  <c r="AA2659" i="1"/>
  <c r="AB2659" i="1"/>
  <c r="AC2659" i="1"/>
  <c r="AD2659" i="1"/>
  <c r="AE2659" i="1"/>
  <c r="W2660" i="1"/>
  <c r="X2660" i="1"/>
  <c r="Y2660" i="1"/>
  <c r="Z2660" i="1"/>
  <c r="AA2660" i="1"/>
  <c r="AB2660" i="1"/>
  <c r="AC2660" i="1"/>
  <c r="AD2660" i="1"/>
  <c r="AE2660" i="1"/>
  <c r="W2661" i="1"/>
  <c r="X2661" i="1"/>
  <c r="Y2661" i="1"/>
  <c r="Z2661" i="1"/>
  <c r="AA2661" i="1"/>
  <c r="AB2661" i="1"/>
  <c r="AC2661" i="1"/>
  <c r="AD2661" i="1"/>
  <c r="AE2661" i="1"/>
  <c r="W2662" i="1"/>
  <c r="X2662" i="1"/>
  <c r="Y2662" i="1"/>
  <c r="Z2662" i="1"/>
  <c r="AA2662" i="1"/>
  <c r="AB2662" i="1"/>
  <c r="AC2662" i="1"/>
  <c r="AD2662" i="1"/>
  <c r="AE2662" i="1"/>
  <c r="W2663" i="1"/>
  <c r="X2663" i="1"/>
  <c r="Y2663" i="1"/>
  <c r="Z2663" i="1"/>
  <c r="AA2663" i="1"/>
  <c r="AB2663" i="1"/>
  <c r="AC2663" i="1"/>
  <c r="AD2663" i="1"/>
  <c r="AE2663" i="1"/>
  <c r="W2664" i="1"/>
  <c r="X2664" i="1"/>
  <c r="Y2664" i="1"/>
  <c r="Z2664" i="1"/>
  <c r="AA2664" i="1"/>
  <c r="AB2664" i="1"/>
  <c r="AC2664" i="1"/>
  <c r="AD2664" i="1"/>
  <c r="AE2664" i="1"/>
  <c r="W2665" i="1"/>
  <c r="X2665" i="1"/>
  <c r="Y2665" i="1"/>
  <c r="Z2665" i="1"/>
  <c r="AA2665" i="1"/>
  <c r="AB2665" i="1"/>
  <c r="AC2665" i="1"/>
  <c r="AD2665" i="1"/>
  <c r="AE2665" i="1"/>
  <c r="W2666" i="1"/>
  <c r="X2666" i="1"/>
  <c r="Y2666" i="1"/>
  <c r="Z2666" i="1"/>
  <c r="AA2666" i="1"/>
  <c r="AB2666" i="1"/>
  <c r="AC2666" i="1"/>
  <c r="AD2666" i="1"/>
  <c r="AE2666" i="1"/>
  <c r="W2667" i="1"/>
  <c r="X2667" i="1"/>
  <c r="Y2667" i="1"/>
  <c r="Z2667" i="1"/>
  <c r="AA2667" i="1"/>
  <c r="AB2667" i="1"/>
  <c r="AC2667" i="1"/>
  <c r="AD2667" i="1"/>
  <c r="AE2667" i="1"/>
  <c r="W2668" i="1"/>
  <c r="X2668" i="1"/>
  <c r="Y2668" i="1"/>
  <c r="Z2668" i="1"/>
  <c r="AA2668" i="1"/>
  <c r="AB2668" i="1"/>
  <c r="AC2668" i="1"/>
  <c r="AD2668" i="1"/>
  <c r="AE2668" i="1"/>
  <c r="W2669" i="1"/>
  <c r="X2669" i="1"/>
  <c r="Y2669" i="1"/>
  <c r="Z2669" i="1"/>
  <c r="AA2669" i="1"/>
  <c r="AB2669" i="1"/>
  <c r="AC2669" i="1"/>
  <c r="AD2669" i="1"/>
  <c r="AE2669" i="1"/>
  <c r="W2670" i="1"/>
  <c r="X2670" i="1"/>
  <c r="Y2670" i="1"/>
  <c r="Z2670" i="1"/>
  <c r="AA2670" i="1"/>
  <c r="AB2670" i="1"/>
  <c r="AC2670" i="1"/>
  <c r="AD2670" i="1"/>
  <c r="AE2670" i="1"/>
  <c r="W2671" i="1"/>
  <c r="X2671" i="1"/>
  <c r="Y2671" i="1"/>
  <c r="Z2671" i="1"/>
  <c r="AA2671" i="1"/>
  <c r="AB2671" i="1"/>
  <c r="AC2671" i="1"/>
  <c r="AD2671" i="1"/>
  <c r="AE2671" i="1"/>
  <c r="W2672" i="1"/>
  <c r="X2672" i="1"/>
  <c r="Y2672" i="1"/>
  <c r="Z2672" i="1"/>
  <c r="AA2672" i="1"/>
  <c r="AB2672" i="1"/>
  <c r="AC2672" i="1"/>
  <c r="AD2672" i="1"/>
  <c r="AE2672" i="1"/>
  <c r="W2673" i="1"/>
  <c r="X2673" i="1"/>
  <c r="Y2673" i="1"/>
  <c r="Z2673" i="1"/>
  <c r="AA2673" i="1"/>
  <c r="AB2673" i="1"/>
  <c r="AC2673" i="1"/>
  <c r="AD2673" i="1"/>
  <c r="AE2673" i="1"/>
  <c r="W2674" i="1"/>
  <c r="X2674" i="1"/>
  <c r="Y2674" i="1"/>
  <c r="Z2674" i="1"/>
  <c r="AA2674" i="1"/>
  <c r="AB2674" i="1"/>
  <c r="AC2674" i="1"/>
  <c r="AD2674" i="1"/>
  <c r="AE2674" i="1"/>
  <c r="W2675" i="1"/>
  <c r="X2675" i="1"/>
  <c r="Y2675" i="1"/>
  <c r="Z2675" i="1"/>
  <c r="AA2675" i="1"/>
  <c r="AB2675" i="1"/>
  <c r="AC2675" i="1"/>
  <c r="AD2675" i="1"/>
  <c r="AE2675" i="1"/>
  <c r="W2676" i="1"/>
  <c r="X2676" i="1"/>
  <c r="Y2676" i="1"/>
  <c r="Z2676" i="1"/>
  <c r="AA2676" i="1"/>
  <c r="AB2676" i="1"/>
  <c r="AC2676" i="1"/>
  <c r="AD2676" i="1"/>
  <c r="AE2676" i="1"/>
  <c r="W2677" i="1"/>
  <c r="X2677" i="1"/>
  <c r="Y2677" i="1"/>
  <c r="Z2677" i="1"/>
  <c r="AA2677" i="1"/>
  <c r="AB2677" i="1"/>
  <c r="AC2677" i="1"/>
  <c r="AD2677" i="1"/>
  <c r="AE2677" i="1"/>
  <c r="W2678" i="1"/>
  <c r="X2678" i="1"/>
  <c r="Y2678" i="1"/>
  <c r="Z2678" i="1"/>
  <c r="AA2678" i="1"/>
  <c r="AB2678" i="1"/>
  <c r="AC2678" i="1"/>
  <c r="AD2678" i="1"/>
  <c r="AE2678" i="1"/>
  <c r="W2679" i="1"/>
  <c r="X2679" i="1"/>
  <c r="Y2679" i="1"/>
  <c r="Z2679" i="1"/>
  <c r="AA2679" i="1"/>
  <c r="AB2679" i="1"/>
  <c r="AC2679" i="1"/>
  <c r="AD2679" i="1"/>
  <c r="AE2679" i="1"/>
  <c r="W2680" i="1"/>
  <c r="X2680" i="1"/>
  <c r="Y2680" i="1"/>
  <c r="Z2680" i="1"/>
  <c r="AA2680" i="1"/>
  <c r="AB2680" i="1"/>
  <c r="AC2680" i="1"/>
  <c r="AD2680" i="1"/>
  <c r="AE2680" i="1"/>
  <c r="W2681" i="1"/>
  <c r="X2681" i="1"/>
  <c r="Y2681" i="1"/>
  <c r="Z2681" i="1"/>
  <c r="AA2681" i="1"/>
  <c r="AB2681" i="1"/>
  <c r="AC2681" i="1"/>
  <c r="AD2681" i="1"/>
  <c r="AE2681" i="1"/>
  <c r="W2682" i="1"/>
  <c r="X2682" i="1"/>
  <c r="Y2682" i="1"/>
  <c r="Z2682" i="1"/>
  <c r="AA2682" i="1"/>
  <c r="AB2682" i="1"/>
  <c r="AC2682" i="1"/>
  <c r="AD2682" i="1"/>
  <c r="AE2682" i="1"/>
  <c r="W2683" i="1"/>
  <c r="X2683" i="1"/>
  <c r="Y2683" i="1"/>
  <c r="Z2683" i="1"/>
  <c r="AA2683" i="1"/>
  <c r="AB2683" i="1"/>
  <c r="AC2683" i="1"/>
  <c r="AD2683" i="1"/>
  <c r="AE2683" i="1"/>
  <c r="W2684" i="1"/>
  <c r="X2684" i="1"/>
  <c r="Y2684" i="1"/>
  <c r="Z2684" i="1"/>
  <c r="AA2684" i="1"/>
  <c r="AB2684" i="1"/>
  <c r="AC2684" i="1"/>
  <c r="AD2684" i="1"/>
  <c r="AE2684" i="1"/>
  <c r="W2685" i="1"/>
  <c r="X2685" i="1"/>
  <c r="Y2685" i="1"/>
  <c r="Z2685" i="1"/>
  <c r="AA2685" i="1"/>
  <c r="AB2685" i="1"/>
  <c r="AC2685" i="1"/>
  <c r="AD2685" i="1"/>
  <c r="AE2685" i="1"/>
  <c r="W2686" i="1"/>
  <c r="X2686" i="1"/>
  <c r="Y2686" i="1"/>
  <c r="Z2686" i="1"/>
  <c r="AA2686" i="1"/>
  <c r="AB2686" i="1"/>
  <c r="AC2686" i="1"/>
  <c r="AD2686" i="1"/>
  <c r="AE2686" i="1"/>
  <c r="W2687" i="1"/>
  <c r="X2687" i="1"/>
  <c r="Y2687" i="1"/>
  <c r="Z2687" i="1"/>
  <c r="AA2687" i="1"/>
  <c r="AB2687" i="1"/>
  <c r="AC2687" i="1"/>
  <c r="AD2687" i="1"/>
  <c r="AE2687" i="1"/>
  <c r="W2688" i="1"/>
  <c r="X2688" i="1"/>
  <c r="Y2688" i="1"/>
  <c r="Z2688" i="1"/>
  <c r="AA2688" i="1"/>
  <c r="AB2688" i="1"/>
  <c r="AC2688" i="1"/>
  <c r="AD2688" i="1"/>
  <c r="AE2688" i="1"/>
  <c r="W2689" i="1"/>
  <c r="X2689" i="1"/>
  <c r="Y2689" i="1"/>
  <c r="Z2689" i="1"/>
  <c r="AA2689" i="1"/>
  <c r="AB2689" i="1"/>
  <c r="AC2689" i="1"/>
  <c r="AD2689" i="1"/>
  <c r="AE2689" i="1"/>
  <c r="W2690" i="1"/>
  <c r="X2690" i="1"/>
  <c r="Y2690" i="1"/>
  <c r="Z2690" i="1"/>
  <c r="AA2690" i="1"/>
  <c r="AB2690" i="1"/>
  <c r="AC2690" i="1"/>
  <c r="AD2690" i="1"/>
  <c r="AE2690" i="1"/>
  <c r="W2691" i="1"/>
  <c r="X2691" i="1"/>
  <c r="Y2691" i="1"/>
  <c r="Z2691" i="1"/>
  <c r="AA2691" i="1"/>
  <c r="AB2691" i="1"/>
  <c r="AC2691" i="1"/>
  <c r="AD2691" i="1"/>
  <c r="AE2691" i="1"/>
  <c r="W2692" i="1"/>
  <c r="X2692" i="1"/>
  <c r="Y2692" i="1"/>
  <c r="Z2692" i="1"/>
  <c r="AA2692" i="1"/>
  <c r="AB2692" i="1"/>
  <c r="AC2692" i="1"/>
  <c r="AD2692" i="1"/>
  <c r="AE2692" i="1"/>
  <c r="W2693" i="1"/>
  <c r="X2693" i="1"/>
  <c r="Y2693" i="1"/>
  <c r="Z2693" i="1"/>
  <c r="AA2693" i="1"/>
  <c r="AB2693" i="1"/>
  <c r="AC2693" i="1"/>
  <c r="AD2693" i="1"/>
  <c r="AE2693" i="1"/>
  <c r="W2694" i="1"/>
  <c r="X2694" i="1"/>
  <c r="Y2694" i="1"/>
  <c r="Z2694" i="1"/>
  <c r="AA2694" i="1"/>
  <c r="AB2694" i="1"/>
  <c r="AC2694" i="1"/>
  <c r="AD2694" i="1"/>
  <c r="AE2694" i="1"/>
  <c r="W2695" i="1"/>
  <c r="X2695" i="1"/>
  <c r="Y2695" i="1"/>
  <c r="Z2695" i="1"/>
  <c r="AA2695" i="1"/>
  <c r="AB2695" i="1"/>
  <c r="AC2695" i="1"/>
  <c r="AD2695" i="1"/>
  <c r="AE2695" i="1"/>
  <c r="W2696" i="1"/>
  <c r="X2696" i="1"/>
  <c r="Y2696" i="1"/>
  <c r="Z2696" i="1"/>
  <c r="AA2696" i="1"/>
  <c r="AB2696" i="1"/>
  <c r="AC2696" i="1"/>
  <c r="AD2696" i="1"/>
  <c r="AE2696" i="1"/>
  <c r="W2697" i="1"/>
  <c r="X2697" i="1"/>
  <c r="Y2697" i="1"/>
  <c r="Z2697" i="1"/>
  <c r="AA2697" i="1"/>
  <c r="AB2697" i="1"/>
  <c r="AC2697" i="1"/>
  <c r="AD2697" i="1"/>
  <c r="AE2697" i="1"/>
  <c r="W2698" i="1"/>
  <c r="X2698" i="1"/>
  <c r="Y2698" i="1"/>
  <c r="Z2698" i="1"/>
  <c r="AA2698" i="1"/>
  <c r="AB2698" i="1"/>
  <c r="AC2698" i="1"/>
  <c r="AD2698" i="1"/>
  <c r="AE2698" i="1"/>
  <c r="W2699" i="1"/>
  <c r="X2699" i="1"/>
  <c r="Y2699" i="1"/>
  <c r="Z2699" i="1"/>
  <c r="AA2699" i="1"/>
  <c r="AB2699" i="1"/>
  <c r="AC2699" i="1"/>
  <c r="AD2699" i="1"/>
  <c r="AE2699" i="1"/>
  <c r="W2700" i="1"/>
  <c r="X2700" i="1"/>
  <c r="Y2700" i="1"/>
  <c r="Z2700" i="1"/>
  <c r="AA2700" i="1"/>
  <c r="AB2700" i="1"/>
  <c r="AC2700" i="1"/>
  <c r="AD2700" i="1"/>
  <c r="AE2700" i="1"/>
  <c r="W2701" i="1"/>
  <c r="X2701" i="1"/>
  <c r="Y2701" i="1"/>
  <c r="Z2701" i="1"/>
  <c r="AA2701" i="1"/>
  <c r="AB2701" i="1"/>
  <c r="AC2701" i="1"/>
  <c r="AD2701" i="1"/>
  <c r="AE2701" i="1"/>
  <c r="W2702" i="1"/>
  <c r="X2702" i="1"/>
  <c r="Y2702" i="1"/>
  <c r="Z2702" i="1"/>
  <c r="AA2702" i="1"/>
  <c r="AB2702" i="1"/>
  <c r="AC2702" i="1"/>
  <c r="AD2702" i="1"/>
  <c r="AE2702" i="1"/>
  <c r="W2703" i="1"/>
  <c r="X2703" i="1"/>
  <c r="Y2703" i="1"/>
  <c r="Z2703" i="1"/>
  <c r="AA2703" i="1"/>
  <c r="AB2703" i="1"/>
  <c r="AC2703" i="1"/>
  <c r="AD2703" i="1"/>
  <c r="AE2703" i="1"/>
  <c r="W2704" i="1"/>
  <c r="X2704" i="1"/>
  <c r="Y2704" i="1"/>
  <c r="Z2704" i="1"/>
  <c r="AA2704" i="1"/>
  <c r="AB2704" i="1"/>
  <c r="AC2704" i="1"/>
  <c r="AD2704" i="1"/>
  <c r="AE2704" i="1"/>
  <c r="W2705" i="1"/>
  <c r="X2705" i="1"/>
  <c r="Y2705" i="1"/>
  <c r="Z2705" i="1"/>
  <c r="AA2705" i="1"/>
  <c r="AB2705" i="1"/>
  <c r="AC2705" i="1"/>
  <c r="AD2705" i="1"/>
  <c r="AE2705" i="1"/>
  <c r="W2706" i="1"/>
  <c r="X2706" i="1"/>
  <c r="Y2706" i="1"/>
  <c r="Z2706" i="1"/>
  <c r="AA2706" i="1"/>
  <c r="AB2706" i="1"/>
  <c r="AC2706" i="1"/>
  <c r="AD2706" i="1"/>
  <c r="AE2706" i="1"/>
  <c r="W2707" i="1"/>
  <c r="X2707" i="1"/>
  <c r="Y2707" i="1"/>
  <c r="Z2707" i="1"/>
  <c r="AA2707" i="1"/>
  <c r="AB2707" i="1"/>
  <c r="AC2707" i="1"/>
  <c r="AD2707" i="1"/>
  <c r="AE2707" i="1"/>
  <c r="W2708" i="1"/>
  <c r="X2708" i="1"/>
  <c r="Y2708" i="1"/>
  <c r="Z2708" i="1"/>
  <c r="AA2708" i="1"/>
  <c r="AB2708" i="1"/>
  <c r="AC2708" i="1"/>
  <c r="AD2708" i="1"/>
  <c r="AE2708" i="1"/>
  <c r="W2709" i="1"/>
  <c r="X2709" i="1"/>
  <c r="Y2709" i="1"/>
  <c r="Z2709" i="1"/>
  <c r="AA2709" i="1"/>
  <c r="AB2709" i="1"/>
  <c r="AC2709" i="1"/>
  <c r="AD2709" i="1"/>
  <c r="AE2709" i="1"/>
  <c r="W2710" i="1"/>
  <c r="X2710" i="1"/>
  <c r="Y2710" i="1"/>
  <c r="Z2710" i="1"/>
  <c r="AA2710" i="1"/>
  <c r="AB2710" i="1"/>
  <c r="AC2710" i="1"/>
  <c r="AD2710" i="1"/>
  <c r="AE2710" i="1"/>
  <c r="W2711" i="1"/>
  <c r="X2711" i="1"/>
  <c r="Y2711" i="1"/>
  <c r="Z2711" i="1"/>
  <c r="AA2711" i="1"/>
  <c r="AB2711" i="1"/>
  <c r="AC2711" i="1"/>
  <c r="AD2711" i="1"/>
  <c r="AE2711" i="1"/>
  <c r="W2712" i="1"/>
  <c r="X2712" i="1"/>
  <c r="Y2712" i="1"/>
  <c r="Z2712" i="1"/>
  <c r="AA2712" i="1"/>
  <c r="AB2712" i="1"/>
  <c r="AC2712" i="1"/>
  <c r="AD2712" i="1"/>
  <c r="AE2712" i="1"/>
  <c r="W2713" i="1"/>
  <c r="X2713" i="1"/>
  <c r="Y2713" i="1"/>
  <c r="Z2713" i="1"/>
  <c r="AA2713" i="1"/>
  <c r="AB2713" i="1"/>
  <c r="AC2713" i="1"/>
  <c r="AD2713" i="1"/>
  <c r="AE2713" i="1"/>
  <c r="W2714" i="1"/>
  <c r="X2714" i="1"/>
  <c r="Y2714" i="1"/>
  <c r="Z2714" i="1"/>
  <c r="AA2714" i="1"/>
  <c r="AB2714" i="1"/>
  <c r="AC2714" i="1"/>
  <c r="AD2714" i="1"/>
  <c r="AE2714" i="1"/>
  <c r="W2715" i="1"/>
  <c r="X2715" i="1"/>
  <c r="Y2715" i="1"/>
  <c r="Z2715" i="1"/>
  <c r="AA2715" i="1"/>
  <c r="AB2715" i="1"/>
  <c r="AC2715" i="1"/>
  <c r="AD2715" i="1"/>
  <c r="AE2715" i="1"/>
  <c r="W2716" i="1"/>
  <c r="X2716" i="1"/>
  <c r="Y2716" i="1"/>
  <c r="Z2716" i="1"/>
  <c r="AA2716" i="1"/>
  <c r="AB2716" i="1"/>
  <c r="AC2716" i="1"/>
  <c r="AD2716" i="1"/>
  <c r="AE2716" i="1"/>
  <c r="W2717" i="1"/>
  <c r="X2717" i="1"/>
  <c r="Y2717" i="1"/>
  <c r="Z2717" i="1"/>
  <c r="AA2717" i="1"/>
  <c r="AB2717" i="1"/>
  <c r="AC2717" i="1"/>
  <c r="AD2717" i="1"/>
  <c r="AE2717" i="1"/>
  <c r="W2718" i="1"/>
  <c r="X2718" i="1"/>
  <c r="Y2718" i="1"/>
  <c r="Z2718" i="1"/>
  <c r="AA2718" i="1"/>
  <c r="AB2718" i="1"/>
  <c r="AC2718" i="1"/>
  <c r="AD2718" i="1"/>
  <c r="AE2718" i="1"/>
  <c r="W2719" i="1"/>
  <c r="X2719" i="1"/>
  <c r="Y2719" i="1"/>
  <c r="Z2719" i="1"/>
  <c r="AA2719" i="1"/>
  <c r="AB2719" i="1"/>
  <c r="AC2719" i="1"/>
  <c r="AD2719" i="1"/>
  <c r="AE2719" i="1"/>
  <c r="W2720" i="1"/>
  <c r="X2720" i="1"/>
  <c r="Y2720" i="1"/>
  <c r="Z2720" i="1"/>
  <c r="AA2720" i="1"/>
  <c r="AB2720" i="1"/>
  <c r="AC2720" i="1"/>
  <c r="AD2720" i="1"/>
  <c r="AE2720" i="1"/>
  <c r="W2721" i="1"/>
  <c r="X2721" i="1"/>
  <c r="Y2721" i="1"/>
  <c r="Z2721" i="1"/>
  <c r="AA2721" i="1"/>
  <c r="AB2721" i="1"/>
  <c r="AC2721" i="1"/>
  <c r="AD2721" i="1"/>
  <c r="AE2721" i="1"/>
  <c r="W2722" i="1"/>
  <c r="X2722" i="1"/>
  <c r="Y2722" i="1"/>
  <c r="Z2722" i="1"/>
  <c r="AA2722" i="1"/>
  <c r="AB2722" i="1"/>
  <c r="AC2722" i="1"/>
  <c r="AD2722" i="1"/>
  <c r="AE2722" i="1"/>
  <c r="W2723" i="1"/>
  <c r="X2723" i="1"/>
  <c r="Y2723" i="1"/>
  <c r="Z2723" i="1"/>
  <c r="AA2723" i="1"/>
  <c r="AB2723" i="1"/>
  <c r="AC2723" i="1"/>
  <c r="AD2723" i="1"/>
  <c r="AE2723" i="1"/>
  <c r="W2724" i="1"/>
  <c r="X2724" i="1"/>
  <c r="Y2724" i="1"/>
  <c r="Z2724" i="1"/>
  <c r="AA2724" i="1"/>
  <c r="AB2724" i="1"/>
  <c r="AC2724" i="1"/>
  <c r="AD2724" i="1"/>
  <c r="AE2724" i="1"/>
  <c r="W2725" i="1"/>
  <c r="X2725" i="1"/>
  <c r="Y2725" i="1"/>
  <c r="Z2725" i="1"/>
  <c r="AA2725" i="1"/>
  <c r="AB2725" i="1"/>
  <c r="AC2725" i="1"/>
  <c r="AD2725" i="1"/>
  <c r="AE2725" i="1"/>
  <c r="W2726" i="1"/>
  <c r="X2726" i="1"/>
  <c r="Y2726" i="1"/>
  <c r="Z2726" i="1"/>
  <c r="AA2726" i="1"/>
  <c r="AB2726" i="1"/>
  <c r="AC2726" i="1"/>
  <c r="AD2726" i="1"/>
  <c r="AE2726" i="1"/>
  <c r="W2727" i="1"/>
  <c r="X2727" i="1"/>
  <c r="Y2727" i="1"/>
  <c r="Z2727" i="1"/>
  <c r="AA2727" i="1"/>
  <c r="AB2727" i="1"/>
  <c r="AC2727" i="1"/>
  <c r="AD2727" i="1"/>
  <c r="AE2727" i="1"/>
  <c r="W2728" i="1"/>
  <c r="X2728" i="1"/>
  <c r="Y2728" i="1"/>
  <c r="Z2728" i="1"/>
  <c r="AA2728" i="1"/>
  <c r="AB2728" i="1"/>
  <c r="AC2728" i="1"/>
  <c r="AD2728" i="1"/>
  <c r="AE2728" i="1"/>
  <c r="W2729" i="1"/>
  <c r="X2729" i="1"/>
  <c r="Y2729" i="1"/>
  <c r="Z2729" i="1"/>
  <c r="AA2729" i="1"/>
  <c r="AB2729" i="1"/>
  <c r="AC2729" i="1"/>
  <c r="AD2729" i="1"/>
  <c r="AE2729" i="1"/>
  <c r="W2730" i="1"/>
  <c r="X2730" i="1"/>
  <c r="Y2730" i="1"/>
  <c r="Z2730" i="1"/>
  <c r="AA2730" i="1"/>
  <c r="AB2730" i="1"/>
  <c r="AC2730" i="1"/>
  <c r="AD2730" i="1"/>
  <c r="AE2730" i="1"/>
  <c r="W2731" i="1"/>
  <c r="X2731" i="1"/>
  <c r="Y2731" i="1"/>
  <c r="Z2731" i="1"/>
  <c r="AA2731" i="1"/>
  <c r="AB2731" i="1"/>
  <c r="AC2731" i="1"/>
  <c r="AD2731" i="1"/>
  <c r="AE2731" i="1"/>
  <c r="W2732" i="1"/>
  <c r="X2732" i="1"/>
  <c r="Y2732" i="1"/>
  <c r="Z2732" i="1"/>
  <c r="AA2732" i="1"/>
  <c r="AB2732" i="1"/>
  <c r="AC2732" i="1"/>
  <c r="AD2732" i="1"/>
  <c r="AE2732" i="1"/>
  <c r="W2733" i="1"/>
  <c r="X2733" i="1"/>
  <c r="Y2733" i="1"/>
  <c r="Z2733" i="1"/>
  <c r="AA2733" i="1"/>
  <c r="AB2733" i="1"/>
  <c r="AC2733" i="1"/>
  <c r="AD2733" i="1"/>
  <c r="AE2733" i="1"/>
  <c r="W2734" i="1"/>
  <c r="X2734" i="1"/>
  <c r="Y2734" i="1"/>
  <c r="Z2734" i="1"/>
  <c r="AA2734" i="1"/>
  <c r="AB2734" i="1"/>
  <c r="AC2734" i="1"/>
  <c r="AD2734" i="1"/>
  <c r="AE2734" i="1"/>
  <c r="W2735" i="1"/>
  <c r="X2735" i="1"/>
  <c r="Y2735" i="1"/>
  <c r="Z2735" i="1"/>
  <c r="AA2735" i="1"/>
  <c r="AB2735" i="1"/>
  <c r="AC2735" i="1"/>
  <c r="AD2735" i="1"/>
  <c r="AE2735" i="1"/>
  <c r="W2736" i="1"/>
  <c r="X2736" i="1"/>
  <c r="Y2736" i="1"/>
  <c r="Z2736" i="1"/>
  <c r="AA2736" i="1"/>
  <c r="AB2736" i="1"/>
  <c r="AC2736" i="1"/>
  <c r="AD2736" i="1"/>
  <c r="AE2736" i="1"/>
  <c r="W2737" i="1"/>
  <c r="X2737" i="1"/>
  <c r="Y2737" i="1"/>
  <c r="Z2737" i="1"/>
  <c r="AA2737" i="1"/>
  <c r="AB2737" i="1"/>
  <c r="AC2737" i="1"/>
  <c r="AD2737" i="1"/>
  <c r="AE2737" i="1"/>
  <c r="W2738" i="1"/>
  <c r="X2738" i="1"/>
  <c r="Y2738" i="1"/>
  <c r="Z2738" i="1"/>
  <c r="AA2738" i="1"/>
  <c r="AB2738" i="1"/>
  <c r="AC2738" i="1"/>
  <c r="AD2738" i="1"/>
  <c r="AE2738" i="1"/>
  <c r="W2739" i="1"/>
  <c r="X2739" i="1"/>
  <c r="Y2739" i="1"/>
  <c r="Z2739" i="1"/>
  <c r="AA2739" i="1"/>
  <c r="AB2739" i="1"/>
  <c r="AC2739" i="1"/>
  <c r="AD2739" i="1"/>
  <c r="AE2739" i="1"/>
  <c r="W2740" i="1"/>
  <c r="X2740" i="1"/>
  <c r="Y2740" i="1"/>
  <c r="Z2740" i="1"/>
  <c r="AA2740" i="1"/>
  <c r="AB2740" i="1"/>
  <c r="AC2740" i="1"/>
  <c r="AD2740" i="1"/>
  <c r="AE2740" i="1"/>
  <c r="W2741" i="1"/>
  <c r="X2741" i="1"/>
  <c r="Y2741" i="1"/>
  <c r="Z2741" i="1"/>
  <c r="AA2741" i="1"/>
  <c r="AB2741" i="1"/>
  <c r="AC2741" i="1"/>
  <c r="AD2741" i="1"/>
  <c r="AE2741" i="1"/>
  <c r="W2742" i="1"/>
  <c r="X2742" i="1"/>
  <c r="Y2742" i="1"/>
  <c r="Z2742" i="1"/>
  <c r="AA2742" i="1"/>
  <c r="AB2742" i="1"/>
  <c r="AC2742" i="1"/>
  <c r="AD2742" i="1"/>
  <c r="AE2742" i="1"/>
  <c r="W2743" i="1"/>
  <c r="X2743" i="1"/>
  <c r="Y2743" i="1"/>
  <c r="Z2743" i="1"/>
  <c r="AA2743" i="1"/>
  <c r="AB2743" i="1"/>
  <c r="AC2743" i="1"/>
  <c r="AD2743" i="1"/>
  <c r="AE2743" i="1"/>
  <c r="W2744" i="1"/>
  <c r="X2744" i="1"/>
  <c r="Y2744" i="1"/>
  <c r="Z2744" i="1"/>
  <c r="AA2744" i="1"/>
  <c r="AB2744" i="1"/>
  <c r="AC2744" i="1"/>
  <c r="AD2744" i="1"/>
  <c r="AE2744" i="1"/>
  <c r="W2745" i="1"/>
  <c r="X2745" i="1"/>
  <c r="Y2745" i="1"/>
  <c r="Z2745" i="1"/>
  <c r="AA2745" i="1"/>
  <c r="AB2745" i="1"/>
  <c r="AC2745" i="1"/>
  <c r="AD2745" i="1"/>
  <c r="AE2745" i="1"/>
  <c r="W2746" i="1"/>
  <c r="X2746" i="1"/>
  <c r="Y2746" i="1"/>
  <c r="Z2746" i="1"/>
  <c r="AA2746" i="1"/>
  <c r="AB2746" i="1"/>
  <c r="AC2746" i="1"/>
  <c r="AD2746" i="1"/>
  <c r="AE2746" i="1"/>
  <c r="W2747" i="1"/>
  <c r="X2747" i="1"/>
  <c r="Y2747" i="1"/>
  <c r="Z2747" i="1"/>
  <c r="AA2747" i="1"/>
  <c r="AB2747" i="1"/>
  <c r="AC2747" i="1"/>
  <c r="AD2747" i="1"/>
  <c r="AE2747" i="1"/>
  <c r="W2748" i="1"/>
  <c r="X2748" i="1"/>
  <c r="Y2748" i="1"/>
  <c r="Z2748" i="1"/>
  <c r="AA2748" i="1"/>
  <c r="AB2748" i="1"/>
  <c r="AC2748" i="1"/>
  <c r="AD2748" i="1"/>
  <c r="AE2748" i="1"/>
  <c r="W2749" i="1"/>
  <c r="X2749" i="1"/>
  <c r="Y2749" i="1"/>
  <c r="Z2749" i="1"/>
  <c r="AA2749" i="1"/>
  <c r="AB2749" i="1"/>
  <c r="AC2749" i="1"/>
  <c r="AD2749" i="1"/>
  <c r="AE2749" i="1"/>
  <c r="W2750" i="1"/>
  <c r="X2750" i="1"/>
  <c r="Y2750" i="1"/>
  <c r="Z2750" i="1"/>
  <c r="AA2750" i="1"/>
  <c r="AB2750" i="1"/>
  <c r="AC2750" i="1"/>
  <c r="AD2750" i="1"/>
  <c r="AE2750" i="1"/>
  <c r="W2751" i="1"/>
  <c r="X2751" i="1"/>
  <c r="Y2751" i="1"/>
  <c r="Z2751" i="1"/>
  <c r="AA2751" i="1"/>
  <c r="AB2751" i="1"/>
  <c r="AC2751" i="1"/>
  <c r="AD2751" i="1"/>
  <c r="AE2751" i="1"/>
  <c r="W2752" i="1"/>
  <c r="X2752" i="1"/>
  <c r="Y2752" i="1"/>
  <c r="Z2752" i="1"/>
  <c r="AA2752" i="1"/>
  <c r="AB2752" i="1"/>
  <c r="AC2752" i="1"/>
  <c r="AD2752" i="1"/>
  <c r="AE2752" i="1"/>
  <c r="W2753" i="1"/>
  <c r="X2753" i="1"/>
  <c r="Y2753" i="1"/>
  <c r="Z2753" i="1"/>
  <c r="AA2753" i="1"/>
  <c r="AB2753" i="1"/>
  <c r="AC2753" i="1"/>
  <c r="AD2753" i="1"/>
  <c r="AE2753" i="1"/>
  <c r="W2754" i="1"/>
  <c r="X2754" i="1"/>
  <c r="Y2754" i="1"/>
  <c r="Z2754" i="1"/>
  <c r="AA2754" i="1"/>
  <c r="AB2754" i="1"/>
  <c r="AC2754" i="1"/>
  <c r="AD2754" i="1"/>
  <c r="AE2754" i="1"/>
  <c r="W2755" i="1"/>
  <c r="X2755" i="1"/>
  <c r="Y2755" i="1"/>
  <c r="Z2755" i="1"/>
  <c r="AA2755" i="1"/>
  <c r="AB2755" i="1"/>
  <c r="AC2755" i="1"/>
  <c r="AD2755" i="1"/>
  <c r="AE2755" i="1"/>
  <c r="W2756" i="1"/>
  <c r="X2756" i="1"/>
  <c r="Y2756" i="1"/>
  <c r="Z2756" i="1"/>
  <c r="AA2756" i="1"/>
  <c r="AB2756" i="1"/>
  <c r="AC2756" i="1"/>
  <c r="AD2756" i="1"/>
  <c r="AE2756" i="1"/>
  <c r="W2757" i="1"/>
  <c r="X2757" i="1"/>
  <c r="Y2757" i="1"/>
  <c r="Z2757" i="1"/>
  <c r="AA2757" i="1"/>
  <c r="AB2757" i="1"/>
  <c r="AC2757" i="1"/>
  <c r="AD2757" i="1"/>
  <c r="AE2757" i="1"/>
  <c r="W2758" i="1"/>
  <c r="X2758" i="1"/>
  <c r="Y2758" i="1"/>
  <c r="Z2758" i="1"/>
  <c r="AA2758" i="1"/>
  <c r="AB2758" i="1"/>
  <c r="AC2758" i="1"/>
  <c r="AD2758" i="1"/>
  <c r="AE2758" i="1"/>
  <c r="W2759" i="1"/>
  <c r="X2759" i="1"/>
  <c r="Y2759" i="1"/>
  <c r="Z2759" i="1"/>
  <c r="AA2759" i="1"/>
  <c r="AB2759" i="1"/>
  <c r="AC2759" i="1"/>
  <c r="AD2759" i="1"/>
  <c r="AE2759" i="1"/>
  <c r="W2760" i="1"/>
  <c r="X2760" i="1"/>
  <c r="Y2760" i="1"/>
  <c r="Z2760" i="1"/>
  <c r="AA2760" i="1"/>
  <c r="AB2760" i="1"/>
  <c r="AC2760" i="1"/>
  <c r="AD2760" i="1"/>
  <c r="AE2760" i="1"/>
  <c r="W2761" i="1"/>
  <c r="X2761" i="1"/>
  <c r="Y2761" i="1"/>
  <c r="Z2761" i="1"/>
  <c r="AA2761" i="1"/>
  <c r="AB2761" i="1"/>
  <c r="AC2761" i="1"/>
  <c r="AD2761" i="1"/>
  <c r="AE2761" i="1"/>
  <c r="W2762" i="1"/>
  <c r="X2762" i="1"/>
  <c r="Y2762" i="1"/>
  <c r="Z2762" i="1"/>
  <c r="AA2762" i="1"/>
  <c r="AB2762" i="1"/>
  <c r="AC2762" i="1"/>
  <c r="AD2762" i="1"/>
  <c r="AE2762" i="1"/>
  <c r="W2763" i="1"/>
  <c r="X2763" i="1"/>
  <c r="Y2763" i="1"/>
  <c r="Z2763" i="1"/>
  <c r="AA2763" i="1"/>
  <c r="AB2763" i="1"/>
  <c r="AC2763" i="1"/>
  <c r="AD2763" i="1"/>
  <c r="AE2763" i="1"/>
  <c r="W2764" i="1"/>
  <c r="X2764" i="1"/>
  <c r="Y2764" i="1"/>
  <c r="Z2764" i="1"/>
  <c r="AA2764" i="1"/>
  <c r="AB2764" i="1"/>
  <c r="AC2764" i="1"/>
  <c r="AD2764" i="1"/>
  <c r="AE2764" i="1"/>
  <c r="W2765" i="1"/>
  <c r="X2765" i="1"/>
  <c r="Y2765" i="1"/>
  <c r="Z2765" i="1"/>
  <c r="AA2765" i="1"/>
  <c r="AB2765" i="1"/>
  <c r="AC2765" i="1"/>
  <c r="AD2765" i="1"/>
  <c r="AE2765" i="1"/>
  <c r="W2766" i="1"/>
  <c r="X2766" i="1"/>
  <c r="Y2766" i="1"/>
  <c r="Z2766" i="1"/>
  <c r="AA2766" i="1"/>
  <c r="AB2766" i="1"/>
  <c r="AC2766" i="1"/>
  <c r="AD2766" i="1"/>
  <c r="AE2766" i="1"/>
  <c r="W2767" i="1"/>
  <c r="X2767" i="1"/>
  <c r="Y2767" i="1"/>
  <c r="Z2767" i="1"/>
  <c r="AA2767" i="1"/>
  <c r="AB2767" i="1"/>
  <c r="AC2767" i="1"/>
  <c r="AD2767" i="1"/>
  <c r="AE2767" i="1"/>
  <c r="W2768" i="1"/>
  <c r="X2768" i="1"/>
  <c r="Y2768" i="1"/>
  <c r="Z2768" i="1"/>
  <c r="AA2768" i="1"/>
  <c r="AB2768" i="1"/>
  <c r="AC2768" i="1"/>
  <c r="AD2768" i="1"/>
  <c r="AE2768" i="1"/>
  <c r="W2769" i="1"/>
  <c r="X2769" i="1"/>
  <c r="Y2769" i="1"/>
  <c r="Z2769" i="1"/>
  <c r="AA2769" i="1"/>
  <c r="AB2769" i="1"/>
  <c r="AC2769" i="1"/>
  <c r="AD2769" i="1"/>
  <c r="AE2769" i="1"/>
  <c r="W2770" i="1"/>
  <c r="X2770" i="1"/>
  <c r="Y2770" i="1"/>
  <c r="Z2770" i="1"/>
  <c r="AA2770" i="1"/>
  <c r="AB2770" i="1"/>
  <c r="AC2770" i="1"/>
  <c r="AD2770" i="1"/>
  <c r="AE2770" i="1"/>
  <c r="W2771" i="1"/>
  <c r="X2771" i="1"/>
  <c r="Y2771" i="1"/>
  <c r="Z2771" i="1"/>
  <c r="AA2771" i="1"/>
  <c r="AB2771" i="1"/>
  <c r="AC2771" i="1"/>
  <c r="AD2771" i="1"/>
  <c r="AE2771" i="1"/>
  <c r="W2772" i="1"/>
  <c r="X2772" i="1"/>
  <c r="Y2772" i="1"/>
  <c r="Z2772" i="1"/>
  <c r="AA2772" i="1"/>
  <c r="AB2772" i="1"/>
  <c r="AC2772" i="1"/>
  <c r="AD2772" i="1"/>
  <c r="AE2772" i="1"/>
  <c r="W2773" i="1"/>
  <c r="X2773" i="1"/>
  <c r="Y2773" i="1"/>
  <c r="Z2773" i="1"/>
  <c r="AA2773" i="1"/>
  <c r="AB2773" i="1"/>
  <c r="AC2773" i="1"/>
  <c r="AD2773" i="1"/>
  <c r="AE2773" i="1"/>
  <c r="W2774" i="1"/>
  <c r="X2774" i="1"/>
  <c r="Y2774" i="1"/>
  <c r="Z2774" i="1"/>
  <c r="AA2774" i="1"/>
  <c r="AB2774" i="1"/>
  <c r="AC2774" i="1"/>
  <c r="AD2774" i="1"/>
  <c r="AE2774" i="1"/>
  <c r="W2775" i="1"/>
  <c r="X2775" i="1"/>
  <c r="Y2775" i="1"/>
  <c r="Z2775" i="1"/>
  <c r="AA2775" i="1"/>
  <c r="AB2775" i="1"/>
  <c r="AC2775" i="1"/>
  <c r="AD2775" i="1"/>
  <c r="AE2775" i="1"/>
  <c r="W2776" i="1"/>
  <c r="X2776" i="1"/>
  <c r="Y2776" i="1"/>
  <c r="Z2776" i="1"/>
  <c r="AA2776" i="1"/>
  <c r="AB2776" i="1"/>
  <c r="AC2776" i="1"/>
  <c r="AD2776" i="1"/>
  <c r="AE2776" i="1"/>
  <c r="W2777" i="1"/>
  <c r="X2777" i="1"/>
  <c r="Y2777" i="1"/>
  <c r="Z2777" i="1"/>
  <c r="AA2777" i="1"/>
  <c r="AB2777" i="1"/>
  <c r="AC2777" i="1"/>
  <c r="AD2777" i="1"/>
  <c r="AE2777" i="1"/>
  <c r="W2778" i="1"/>
  <c r="X2778" i="1"/>
  <c r="Y2778" i="1"/>
  <c r="Z2778" i="1"/>
  <c r="AA2778" i="1"/>
  <c r="AB2778" i="1"/>
  <c r="AC2778" i="1"/>
  <c r="AD2778" i="1"/>
  <c r="AE2778" i="1"/>
  <c r="W2779" i="1"/>
  <c r="X2779" i="1"/>
  <c r="Y2779" i="1"/>
  <c r="Z2779" i="1"/>
  <c r="AA2779" i="1"/>
  <c r="AB2779" i="1"/>
  <c r="AC2779" i="1"/>
  <c r="AD2779" i="1"/>
  <c r="AE2779" i="1"/>
  <c r="W2780" i="1"/>
  <c r="X2780" i="1"/>
  <c r="Y2780" i="1"/>
  <c r="Z2780" i="1"/>
  <c r="AA2780" i="1"/>
  <c r="AB2780" i="1"/>
  <c r="AC2780" i="1"/>
  <c r="AD2780" i="1"/>
  <c r="AE2780" i="1"/>
  <c r="W2781" i="1"/>
  <c r="X2781" i="1"/>
  <c r="Y2781" i="1"/>
  <c r="Z2781" i="1"/>
  <c r="AA2781" i="1"/>
  <c r="AB2781" i="1"/>
  <c r="AC2781" i="1"/>
  <c r="AD2781" i="1"/>
  <c r="AE2781" i="1"/>
  <c r="W2782" i="1"/>
  <c r="X2782" i="1"/>
  <c r="Y2782" i="1"/>
  <c r="Z2782" i="1"/>
  <c r="AA2782" i="1"/>
  <c r="AB2782" i="1"/>
  <c r="AC2782" i="1"/>
  <c r="AD2782" i="1"/>
  <c r="AE2782" i="1"/>
  <c r="W2783" i="1"/>
  <c r="X2783" i="1"/>
  <c r="Y2783" i="1"/>
  <c r="Z2783" i="1"/>
  <c r="AA2783" i="1"/>
  <c r="AB2783" i="1"/>
  <c r="AC2783" i="1"/>
  <c r="AD2783" i="1"/>
  <c r="AE2783" i="1"/>
  <c r="W2784" i="1"/>
  <c r="X2784" i="1"/>
  <c r="Y2784" i="1"/>
  <c r="Z2784" i="1"/>
  <c r="AA2784" i="1"/>
  <c r="AB2784" i="1"/>
  <c r="AC2784" i="1"/>
  <c r="AD2784" i="1"/>
  <c r="AE2784" i="1"/>
  <c r="W2785" i="1"/>
  <c r="X2785" i="1"/>
  <c r="Y2785" i="1"/>
  <c r="Z2785" i="1"/>
  <c r="AA2785" i="1"/>
  <c r="AB2785" i="1"/>
  <c r="AC2785" i="1"/>
  <c r="AD2785" i="1"/>
  <c r="AE2785" i="1"/>
  <c r="W2786" i="1"/>
  <c r="X2786" i="1"/>
  <c r="Y2786" i="1"/>
  <c r="Z2786" i="1"/>
  <c r="AA2786" i="1"/>
  <c r="AB2786" i="1"/>
  <c r="AC2786" i="1"/>
  <c r="AD2786" i="1"/>
  <c r="AE2786" i="1"/>
  <c r="W2787" i="1"/>
  <c r="X2787" i="1"/>
  <c r="Y2787" i="1"/>
  <c r="Z2787" i="1"/>
  <c r="AA2787" i="1"/>
  <c r="AB2787" i="1"/>
  <c r="AC2787" i="1"/>
  <c r="AD2787" i="1"/>
  <c r="AE2787" i="1"/>
  <c r="W2788" i="1"/>
  <c r="X2788" i="1"/>
  <c r="Y2788" i="1"/>
  <c r="Z2788" i="1"/>
  <c r="AA2788" i="1"/>
  <c r="AB2788" i="1"/>
  <c r="AC2788" i="1"/>
  <c r="AD2788" i="1"/>
  <c r="AE2788" i="1"/>
  <c r="W2789" i="1"/>
  <c r="X2789" i="1"/>
  <c r="Y2789" i="1"/>
  <c r="Z2789" i="1"/>
  <c r="AA2789" i="1"/>
  <c r="AB2789" i="1"/>
  <c r="AC2789" i="1"/>
  <c r="AD2789" i="1"/>
  <c r="AE2789" i="1"/>
  <c r="W2790" i="1"/>
  <c r="X2790" i="1"/>
  <c r="Y2790" i="1"/>
  <c r="Z2790" i="1"/>
  <c r="AA2790" i="1"/>
  <c r="AB2790" i="1"/>
  <c r="AC2790" i="1"/>
  <c r="AD2790" i="1"/>
  <c r="AE2790" i="1"/>
  <c r="W2791" i="1"/>
  <c r="X2791" i="1"/>
  <c r="Y2791" i="1"/>
  <c r="Z2791" i="1"/>
  <c r="AA2791" i="1"/>
  <c r="AB2791" i="1"/>
  <c r="AC2791" i="1"/>
  <c r="AD2791" i="1"/>
  <c r="AE2791" i="1"/>
  <c r="W2792" i="1"/>
  <c r="X2792" i="1"/>
  <c r="Y2792" i="1"/>
  <c r="Z2792" i="1"/>
  <c r="AA2792" i="1"/>
  <c r="AB2792" i="1"/>
  <c r="AC2792" i="1"/>
  <c r="AD2792" i="1"/>
  <c r="AE2792" i="1"/>
  <c r="W2793" i="1"/>
  <c r="X2793" i="1"/>
  <c r="Y2793" i="1"/>
  <c r="Z2793" i="1"/>
  <c r="AA2793" i="1"/>
  <c r="AB2793" i="1"/>
  <c r="AC2793" i="1"/>
  <c r="AD2793" i="1"/>
  <c r="AE2793" i="1"/>
  <c r="W2794" i="1"/>
  <c r="X2794" i="1"/>
  <c r="Y2794" i="1"/>
  <c r="Z2794" i="1"/>
  <c r="AA2794" i="1"/>
  <c r="AB2794" i="1"/>
  <c r="AC2794" i="1"/>
  <c r="AD2794" i="1"/>
  <c r="AE2794" i="1"/>
  <c r="W2795" i="1"/>
  <c r="X2795" i="1"/>
  <c r="Y2795" i="1"/>
  <c r="Z2795" i="1"/>
  <c r="AA2795" i="1"/>
  <c r="AB2795" i="1"/>
  <c r="AC2795" i="1"/>
  <c r="AD2795" i="1"/>
  <c r="AE2795" i="1"/>
  <c r="W2796" i="1"/>
  <c r="X2796" i="1"/>
  <c r="Y2796" i="1"/>
  <c r="Z2796" i="1"/>
  <c r="AA2796" i="1"/>
  <c r="AB2796" i="1"/>
  <c r="AC2796" i="1"/>
  <c r="AD2796" i="1"/>
  <c r="AE2796" i="1"/>
  <c r="W2797" i="1"/>
  <c r="X2797" i="1"/>
  <c r="Y2797" i="1"/>
  <c r="Z2797" i="1"/>
  <c r="AA2797" i="1"/>
  <c r="AB2797" i="1"/>
  <c r="AC2797" i="1"/>
  <c r="AD2797" i="1"/>
  <c r="AE2797" i="1"/>
  <c r="W2798" i="1"/>
  <c r="X2798" i="1"/>
  <c r="Y2798" i="1"/>
  <c r="Z2798" i="1"/>
  <c r="AA2798" i="1"/>
  <c r="AB2798" i="1"/>
  <c r="AC2798" i="1"/>
  <c r="AD2798" i="1"/>
  <c r="AE2798" i="1"/>
  <c r="W2799" i="1"/>
  <c r="X2799" i="1"/>
  <c r="Y2799" i="1"/>
  <c r="Z2799" i="1"/>
  <c r="AA2799" i="1"/>
  <c r="AB2799" i="1"/>
  <c r="AC2799" i="1"/>
  <c r="AD2799" i="1"/>
  <c r="AE2799" i="1"/>
  <c r="W2800" i="1"/>
  <c r="X2800" i="1"/>
  <c r="Y2800" i="1"/>
  <c r="Z2800" i="1"/>
  <c r="AA2800" i="1"/>
  <c r="AB2800" i="1"/>
  <c r="AC2800" i="1"/>
  <c r="AD2800" i="1"/>
  <c r="AE2800" i="1"/>
  <c r="W2801" i="1"/>
  <c r="X2801" i="1"/>
  <c r="Y2801" i="1"/>
  <c r="Z2801" i="1"/>
  <c r="AA2801" i="1"/>
  <c r="AB2801" i="1"/>
  <c r="AC2801" i="1"/>
  <c r="AD2801" i="1"/>
  <c r="AE2801" i="1"/>
  <c r="W2802" i="1"/>
  <c r="X2802" i="1"/>
  <c r="Y2802" i="1"/>
  <c r="Z2802" i="1"/>
  <c r="AA2802" i="1"/>
  <c r="AB2802" i="1"/>
  <c r="AC2802" i="1"/>
  <c r="AD2802" i="1"/>
  <c r="AE2802" i="1"/>
  <c r="W2803" i="1"/>
  <c r="X2803" i="1"/>
  <c r="Y2803" i="1"/>
  <c r="Z2803" i="1"/>
  <c r="AA2803" i="1"/>
  <c r="AB2803" i="1"/>
  <c r="AC2803" i="1"/>
  <c r="AD2803" i="1"/>
  <c r="AE2803" i="1"/>
  <c r="W2804" i="1"/>
  <c r="X2804" i="1"/>
  <c r="Y2804" i="1"/>
  <c r="Z2804" i="1"/>
  <c r="AA2804" i="1"/>
  <c r="AB2804" i="1"/>
  <c r="AC2804" i="1"/>
  <c r="AD2804" i="1"/>
  <c r="AE2804" i="1"/>
  <c r="W2805" i="1"/>
  <c r="X2805" i="1"/>
  <c r="Y2805" i="1"/>
  <c r="Z2805" i="1"/>
  <c r="AA2805" i="1"/>
  <c r="AB2805" i="1"/>
  <c r="AC2805" i="1"/>
  <c r="AD2805" i="1"/>
  <c r="AE2805" i="1"/>
  <c r="W2806" i="1"/>
  <c r="X2806" i="1"/>
  <c r="Y2806" i="1"/>
  <c r="Z2806" i="1"/>
  <c r="AA2806" i="1"/>
  <c r="AB2806" i="1"/>
  <c r="AC2806" i="1"/>
  <c r="AD2806" i="1"/>
  <c r="AE2806" i="1"/>
  <c r="W2807" i="1"/>
  <c r="X2807" i="1"/>
  <c r="Y2807" i="1"/>
  <c r="Z2807" i="1"/>
  <c r="AA2807" i="1"/>
  <c r="AB2807" i="1"/>
  <c r="AC2807" i="1"/>
  <c r="AD2807" i="1"/>
  <c r="AE2807" i="1"/>
  <c r="W2808" i="1"/>
  <c r="X2808" i="1"/>
  <c r="Y2808" i="1"/>
  <c r="Z2808" i="1"/>
  <c r="AA2808" i="1"/>
  <c r="AB2808" i="1"/>
  <c r="AC2808" i="1"/>
  <c r="AD2808" i="1"/>
  <c r="AE2808" i="1"/>
  <c r="W2809" i="1"/>
  <c r="X2809" i="1"/>
  <c r="Y2809" i="1"/>
  <c r="Z2809" i="1"/>
  <c r="AA2809" i="1"/>
  <c r="AB2809" i="1"/>
  <c r="AC2809" i="1"/>
  <c r="AD2809" i="1"/>
  <c r="AE2809" i="1"/>
  <c r="W2810" i="1"/>
  <c r="X2810" i="1"/>
  <c r="Y2810" i="1"/>
  <c r="Z2810" i="1"/>
  <c r="AA2810" i="1"/>
  <c r="AB2810" i="1"/>
  <c r="AC2810" i="1"/>
  <c r="AD2810" i="1"/>
  <c r="AE2810" i="1"/>
  <c r="W2811" i="1"/>
  <c r="X2811" i="1"/>
  <c r="Y2811" i="1"/>
  <c r="Z2811" i="1"/>
  <c r="AA2811" i="1"/>
  <c r="AB2811" i="1"/>
  <c r="AC2811" i="1"/>
  <c r="AD2811" i="1"/>
  <c r="AE2811" i="1"/>
  <c r="W2812" i="1"/>
  <c r="X2812" i="1"/>
  <c r="Y2812" i="1"/>
  <c r="Z2812" i="1"/>
  <c r="AA2812" i="1"/>
  <c r="AB2812" i="1"/>
  <c r="AC2812" i="1"/>
  <c r="AD2812" i="1"/>
  <c r="AE2812" i="1"/>
  <c r="W2813" i="1"/>
  <c r="X2813" i="1"/>
  <c r="Y2813" i="1"/>
  <c r="Z2813" i="1"/>
  <c r="AA2813" i="1"/>
  <c r="AB2813" i="1"/>
  <c r="AC2813" i="1"/>
  <c r="AD2813" i="1"/>
  <c r="AE2813" i="1"/>
  <c r="W2814" i="1"/>
  <c r="X2814" i="1"/>
  <c r="Y2814" i="1"/>
  <c r="Z2814" i="1"/>
  <c r="AA2814" i="1"/>
  <c r="AB2814" i="1"/>
  <c r="AC2814" i="1"/>
  <c r="AD2814" i="1"/>
  <c r="AE2814" i="1"/>
  <c r="W2815" i="1"/>
  <c r="X2815" i="1"/>
  <c r="Y2815" i="1"/>
  <c r="Z2815" i="1"/>
  <c r="AA2815" i="1"/>
  <c r="AB2815" i="1"/>
  <c r="AC2815" i="1"/>
  <c r="AD2815" i="1"/>
  <c r="AE2815" i="1"/>
  <c r="W2816" i="1"/>
  <c r="X2816" i="1"/>
  <c r="Y2816" i="1"/>
  <c r="Z2816" i="1"/>
  <c r="AA2816" i="1"/>
  <c r="AB2816" i="1"/>
  <c r="AC2816" i="1"/>
  <c r="AD2816" i="1"/>
  <c r="AE2816" i="1"/>
  <c r="W2817" i="1"/>
  <c r="X2817" i="1"/>
  <c r="Y2817" i="1"/>
  <c r="Z2817" i="1"/>
  <c r="AA2817" i="1"/>
  <c r="AB2817" i="1"/>
  <c r="AC2817" i="1"/>
  <c r="AD2817" i="1"/>
  <c r="AE2817" i="1"/>
  <c r="W2818" i="1"/>
  <c r="X2818" i="1"/>
  <c r="Y2818" i="1"/>
  <c r="Z2818" i="1"/>
  <c r="AA2818" i="1"/>
  <c r="AB2818" i="1"/>
  <c r="AC2818" i="1"/>
  <c r="AD2818" i="1"/>
  <c r="AE2818" i="1"/>
  <c r="W2819" i="1"/>
  <c r="X2819" i="1"/>
  <c r="Y2819" i="1"/>
  <c r="Z2819" i="1"/>
  <c r="AA2819" i="1"/>
  <c r="AB2819" i="1"/>
  <c r="AC2819" i="1"/>
  <c r="AD2819" i="1"/>
  <c r="AE2819" i="1"/>
  <c r="W2820" i="1"/>
  <c r="X2820" i="1"/>
  <c r="Y2820" i="1"/>
  <c r="Z2820" i="1"/>
  <c r="AA2820" i="1"/>
  <c r="AB2820" i="1"/>
  <c r="AC2820" i="1"/>
  <c r="AD2820" i="1"/>
  <c r="AE2820" i="1"/>
  <c r="W2821" i="1"/>
  <c r="X2821" i="1"/>
  <c r="Y2821" i="1"/>
  <c r="Z2821" i="1"/>
  <c r="AA2821" i="1"/>
  <c r="AB2821" i="1"/>
  <c r="AC2821" i="1"/>
  <c r="AD2821" i="1"/>
  <c r="AE2821" i="1"/>
  <c r="W2822" i="1"/>
  <c r="X2822" i="1"/>
  <c r="Y2822" i="1"/>
  <c r="Z2822" i="1"/>
  <c r="AA2822" i="1"/>
  <c r="AB2822" i="1"/>
  <c r="AC2822" i="1"/>
  <c r="AD2822" i="1"/>
  <c r="AE2822" i="1"/>
  <c r="W2823" i="1"/>
  <c r="X2823" i="1"/>
  <c r="Y2823" i="1"/>
  <c r="Z2823" i="1"/>
  <c r="AA2823" i="1"/>
  <c r="AB2823" i="1"/>
  <c r="AC2823" i="1"/>
  <c r="AD2823" i="1"/>
  <c r="AE2823" i="1"/>
  <c r="W2824" i="1"/>
  <c r="X2824" i="1"/>
  <c r="Y2824" i="1"/>
  <c r="Z2824" i="1"/>
  <c r="AA2824" i="1"/>
  <c r="AB2824" i="1"/>
  <c r="AC2824" i="1"/>
  <c r="AD2824" i="1"/>
  <c r="AE2824" i="1"/>
  <c r="W2825" i="1"/>
  <c r="X2825" i="1"/>
  <c r="Y2825" i="1"/>
  <c r="Z2825" i="1"/>
  <c r="AA2825" i="1"/>
  <c r="AB2825" i="1"/>
  <c r="AC2825" i="1"/>
  <c r="AD2825" i="1"/>
  <c r="AE2825" i="1"/>
  <c r="W2826" i="1"/>
  <c r="X2826" i="1"/>
  <c r="Y2826" i="1"/>
  <c r="Z2826" i="1"/>
  <c r="AA2826" i="1"/>
  <c r="AB2826" i="1"/>
  <c r="AC2826" i="1"/>
  <c r="AD2826" i="1"/>
  <c r="AE2826" i="1"/>
  <c r="W2827" i="1"/>
  <c r="X2827" i="1"/>
  <c r="Y2827" i="1"/>
  <c r="Z2827" i="1"/>
  <c r="AA2827" i="1"/>
  <c r="AB2827" i="1"/>
  <c r="AC2827" i="1"/>
  <c r="AD2827" i="1"/>
  <c r="AE2827" i="1"/>
  <c r="W2828" i="1"/>
  <c r="X2828" i="1"/>
  <c r="Y2828" i="1"/>
  <c r="Z2828" i="1"/>
  <c r="AA2828" i="1"/>
  <c r="AB2828" i="1"/>
  <c r="AC2828" i="1"/>
  <c r="AD2828" i="1"/>
  <c r="AE2828" i="1"/>
  <c r="W2829" i="1"/>
  <c r="X2829" i="1"/>
  <c r="Y2829" i="1"/>
  <c r="Z2829" i="1"/>
  <c r="AA2829" i="1"/>
  <c r="AB2829" i="1"/>
  <c r="AC2829" i="1"/>
  <c r="AD2829" i="1"/>
  <c r="AE2829" i="1"/>
  <c r="W2830" i="1"/>
  <c r="X2830" i="1"/>
  <c r="Y2830" i="1"/>
  <c r="Z2830" i="1"/>
  <c r="AA2830" i="1"/>
  <c r="AB2830" i="1"/>
  <c r="AC2830" i="1"/>
  <c r="AD2830" i="1"/>
  <c r="AE2830" i="1"/>
  <c r="W2831" i="1"/>
  <c r="X2831" i="1"/>
  <c r="Y2831" i="1"/>
  <c r="Z2831" i="1"/>
  <c r="AA2831" i="1"/>
  <c r="AB2831" i="1"/>
  <c r="AC2831" i="1"/>
  <c r="AD2831" i="1"/>
  <c r="AE2831" i="1"/>
  <c r="W2832" i="1"/>
  <c r="X2832" i="1"/>
  <c r="Y2832" i="1"/>
  <c r="Z2832" i="1"/>
  <c r="AA2832" i="1"/>
  <c r="AB2832" i="1"/>
  <c r="AC2832" i="1"/>
  <c r="AD2832" i="1"/>
  <c r="AE2832" i="1"/>
  <c r="W2833" i="1"/>
  <c r="X2833" i="1"/>
  <c r="Y2833" i="1"/>
  <c r="Z2833" i="1"/>
  <c r="AA2833" i="1"/>
  <c r="AB2833" i="1"/>
  <c r="AC2833" i="1"/>
  <c r="AD2833" i="1"/>
  <c r="AE2833" i="1"/>
  <c r="W2834" i="1"/>
  <c r="X2834" i="1"/>
  <c r="Y2834" i="1"/>
  <c r="Z2834" i="1"/>
  <c r="AA2834" i="1"/>
  <c r="AB2834" i="1"/>
  <c r="AC2834" i="1"/>
  <c r="AD2834" i="1"/>
  <c r="AE2834" i="1"/>
  <c r="W2835" i="1"/>
  <c r="X2835" i="1"/>
  <c r="Y2835" i="1"/>
  <c r="Z2835" i="1"/>
  <c r="AA2835" i="1"/>
  <c r="AB2835" i="1"/>
  <c r="AC2835" i="1"/>
  <c r="AD2835" i="1"/>
  <c r="AE2835" i="1"/>
  <c r="W2836" i="1"/>
  <c r="X2836" i="1"/>
  <c r="Y2836" i="1"/>
  <c r="Z2836" i="1"/>
  <c r="AA2836" i="1"/>
  <c r="AB2836" i="1"/>
  <c r="AC2836" i="1"/>
  <c r="AD2836" i="1"/>
  <c r="AE2836" i="1"/>
  <c r="W2837" i="1"/>
  <c r="X2837" i="1"/>
  <c r="Y2837" i="1"/>
  <c r="Z2837" i="1"/>
  <c r="AA2837" i="1"/>
  <c r="AB2837" i="1"/>
  <c r="AC2837" i="1"/>
  <c r="AD2837" i="1"/>
  <c r="AE2837" i="1"/>
  <c r="W2838" i="1"/>
  <c r="X2838" i="1"/>
  <c r="Y2838" i="1"/>
  <c r="Z2838" i="1"/>
  <c r="AA2838" i="1"/>
  <c r="AB2838" i="1"/>
  <c r="AC2838" i="1"/>
  <c r="AD2838" i="1"/>
  <c r="AE2838" i="1"/>
  <c r="W2839" i="1"/>
  <c r="X2839" i="1"/>
  <c r="Y2839" i="1"/>
  <c r="Z2839" i="1"/>
  <c r="AA2839" i="1"/>
  <c r="AB2839" i="1"/>
  <c r="AC2839" i="1"/>
  <c r="AD2839" i="1"/>
  <c r="AE2839" i="1"/>
  <c r="W2840" i="1"/>
  <c r="X2840" i="1"/>
  <c r="Y2840" i="1"/>
  <c r="Z2840" i="1"/>
  <c r="AA2840" i="1"/>
  <c r="AB2840" i="1"/>
  <c r="AC2840" i="1"/>
  <c r="AD2840" i="1"/>
  <c r="AE2840" i="1"/>
  <c r="W2841" i="1"/>
  <c r="X2841" i="1"/>
  <c r="Y2841" i="1"/>
  <c r="Z2841" i="1"/>
  <c r="AA2841" i="1"/>
  <c r="AB2841" i="1"/>
  <c r="AC2841" i="1"/>
  <c r="AD2841" i="1"/>
  <c r="AE2841" i="1"/>
  <c r="W2842" i="1"/>
  <c r="X2842" i="1"/>
  <c r="Y2842" i="1"/>
  <c r="Z2842" i="1"/>
  <c r="AA2842" i="1"/>
  <c r="AB2842" i="1"/>
  <c r="AC2842" i="1"/>
  <c r="AD2842" i="1"/>
  <c r="AE2842" i="1"/>
  <c r="W2843" i="1"/>
  <c r="X2843" i="1"/>
  <c r="Y2843" i="1"/>
  <c r="Z2843" i="1"/>
  <c r="AA2843" i="1"/>
  <c r="AB2843" i="1"/>
  <c r="AC2843" i="1"/>
  <c r="AD2843" i="1"/>
  <c r="AE2843" i="1"/>
  <c r="W2844" i="1"/>
  <c r="X2844" i="1"/>
  <c r="Y2844" i="1"/>
  <c r="Z2844" i="1"/>
  <c r="AA2844" i="1"/>
  <c r="AB2844" i="1"/>
  <c r="AC2844" i="1"/>
  <c r="AD2844" i="1"/>
  <c r="AE2844" i="1"/>
  <c r="W2845" i="1"/>
  <c r="X2845" i="1"/>
  <c r="Y2845" i="1"/>
  <c r="Z2845" i="1"/>
  <c r="AA2845" i="1"/>
  <c r="AB2845" i="1"/>
  <c r="AC2845" i="1"/>
  <c r="AD2845" i="1"/>
  <c r="AE2845" i="1"/>
  <c r="W2846" i="1"/>
  <c r="X2846" i="1"/>
  <c r="Y2846" i="1"/>
  <c r="Z2846" i="1"/>
  <c r="AA2846" i="1"/>
  <c r="AB2846" i="1"/>
  <c r="AC2846" i="1"/>
  <c r="AD2846" i="1"/>
  <c r="AE2846" i="1"/>
  <c r="W2847" i="1"/>
  <c r="X2847" i="1"/>
  <c r="Y2847" i="1"/>
  <c r="Z2847" i="1"/>
  <c r="AA2847" i="1"/>
  <c r="AB2847" i="1"/>
  <c r="AC2847" i="1"/>
  <c r="AD2847" i="1"/>
  <c r="AE2847" i="1"/>
  <c r="W2848" i="1"/>
  <c r="X2848" i="1"/>
  <c r="Y2848" i="1"/>
  <c r="Z2848" i="1"/>
  <c r="AA2848" i="1"/>
  <c r="AB2848" i="1"/>
  <c r="AC2848" i="1"/>
  <c r="AD2848" i="1"/>
  <c r="AE2848" i="1"/>
  <c r="W2849" i="1"/>
  <c r="X2849" i="1"/>
  <c r="Y2849" i="1"/>
  <c r="Z2849" i="1"/>
  <c r="AA2849" i="1"/>
  <c r="AB2849" i="1"/>
  <c r="AC2849" i="1"/>
  <c r="AD2849" i="1"/>
  <c r="AE2849" i="1"/>
  <c r="W2850" i="1"/>
  <c r="X2850" i="1"/>
  <c r="Y2850" i="1"/>
  <c r="Z2850" i="1"/>
  <c r="AA2850" i="1"/>
  <c r="AB2850" i="1"/>
  <c r="AC2850" i="1"/>
  <c r="AD2850" i="1"/>
  <c r="AE2850" i="1"/>
  <c r="W2851" i="1"/>
  <c r="X2851" i="1"/>
  <c r="Y2851" i="1"/>
  <c r="Z2851" i="1"/>
  <c r="AA2851" i="1"/>
  <c r="AB2851" i="1"/>
  <c r="AC2851" i="1"/>
  <c r="AD2851" i="1"/>
  <c r="AE2851" i="1"/>
  <c r="W2852" i="1"/>
  <c r="X2852" i="1"/>
  <c r="Y2852" i="1"/>
  <c r="Z2852" i="1"/>
  <c r="AA2852" i="1"/>
  <c r="AB2852" i="1"/>
  <c r="AC2852" i="1"/>
  <c r="AD2852" i="1"/>
  <c r="AE2852" i="1"/>
  <c r="W2853" i="1"/>
  <c r="X2853" i="1"/>
  <c r="Y2853" i="1"/>
  <c r="Z2853" i="1"/>
  <c r="AA2853" i="1"/>
  <c r="AB2853" i="1"/>
  <c r="AC2853" i="1"/>
  <c r="AD2853" i="1"/>
  <c r="AE2853" i="1"/>
  <c r="W2854" i="1"/>
  <c r="X2854" i="1"/>
  <c r="Y2854" i="1"/>
  <c r="Z2854" i="1"/>
  <c r="AA2854" i="1"/>
  <c r="AB2854" i="1"/>
  <c r="AC2854" i="1"/>
  <c r="AD2854" i="1"/>
  <c r="AE2854" i="1"/>
  <c r="W2855" i="1"/>
  <c r="X2855" i="1"/>
  <c r="Y2855" i="1"/>
  <c r="Z2855" i="1"/>
  <c r="AA2855" i="1"/>
  <c r="AB2855" i="1"/>
  <c r="AC2855" i="1"/>
  <c r="AD2855" i="1"/>
  <c r="AE2855" i="1"/>
  <c r="W2856" i="1"/>
  <c r="X2856" i="1"/>
  <c r="Y2856" i="1"/>
  <c r="Z2856" i="1"/>
  <c r="AA2856" i="1"/>
  <c r="AB2856" i="1"/>
  <c r="AC2856" i="1"/>
  <c r="AD2856" i="1"/>
  <c r="AE2856" i="1"/>
  <c r="W2857" i="1"/>
  <c r="X2857" i="1"/>
  <c r="Y2857" i="1"/>
  <c r="Z2857" i="1"/>
  <c r="AA2857" i="1"/>
  <c r="AB2857" i="1"/>
  <c r="AC2857" i="1"/>
  <c r="AD2857" i="1"/>
  <c r="AE2857" i="1"/>
  <c r="W2858" i="1"/>
  <c r="X2858" i="1"/>
  <c r="Y2858" i="1"/>
  <c r="Z2858" i="1"/>
  <c r="AA2858" i="1"/>
  <c r="AB2858" i="1"/>
  <c r="AC2858" i="1"/>
  <c r="AD2858" i="1"/>
  <c r="AE2858" i="1"/>
  <c r="W2859" i="1"/>
  <c r="X2859" i="1"/>
  <c r="Y2859" i="1"/>
  <c r="Z2859" i="1"/>
  <c r="AA2859" i="1"/>
  <c r="AB2859" i="1"/>
  <c r="AC2859" i="1"/>
  <c r="AD2859" i="1"/>
  <c r="AE2859" i="1"/>
  <c r="W2860" i="1"/>
  <c r="X2860" i="1"/>
  <c r="Y2860" i="1"/>
  <c r="Z2860" i="1"/>
  <c r="AA2860" i="1"/>
  <c r="AB2860" i="1"/>
  <c r="AC2860" i="1"/>
  <c r="AD2860" i="1"/>
  <c r="AE2860" i="1"/>
  <c r="W2861" i="1"/>
  <c r="X2861" i="1"/>
  <c r="Y2861" i="1"/>
  <c r="Z2861" i="1"/>
  <c r="AA2861" i="1"/>
  <c r="AB2861" i="1"/>
  <c r="AC2861" i="1"/>
  <c r="AD2861" i="1"/>
  <c r="AE2861" i="1"/>
  <c r="W2862" i="1"/>
  <c r="X2862" i="1"/>
  <c r="Y2862" i="1"/>
  <c r="Z2862" i="1"/>
  <c r="AA2862" i="1"/>
  <c r="AB2862" i="1"/>
  <c r="AC2862" i="1"/>
  <c r="AD2862" i="1"/>
  <c r="AE2862" i="1"/>
  <c r="W2863" i="1"/>
  <c r="X2863" i="1"/>
  <c r="Y2863" i="1"/>
  <c r="Z2863" i="1"/>
  <c r="AA2863" i="1"/>
  <c r="AB2863" i="1"/>
  <c r="AC2863" i="1"/>
  <c r="AD2863" i="1"/>
  <c r="AE2863" i="1"/>
  <c r="W2864" i="1"/>
  <c r="X2864" i="1"/>
  <c r="Y2864" i="1"/>
  <c r="Z2864" i="1"/>
  <c r="AA2864" i="1"/>
  <c r="AB2864" i="1"/>
  <c r="AC2864" i="1"/>
  <c r="AD2864" i="1"/>
  <c r="AE2864" i="1"/>
  <c r="W2865" i="1"/>
  <c r="X2865" i="1"/>
  <c r="Y2865" i="1"/>
  <c r="Z2865" i="1"/>
  <c r="AA2865" i="1"/>
  <c r="AB2865" i="1"/>
  <c r="AC2865" i="1"/>
  <c r="AD2865" i="1"/>
  <c r="AE2865" i="1"/>
  <c r="W2866" i="1"/>
  <c r="X2866" i="1"/>
  <c r="Y2866" i="1"/>
  <c r="Z2866" i="1"/>
  <c r="AA2866" i="1"/>
  <c r="AB2866" i="1"/>
  <c r="AC2866" i="1"/>
  <c r="AD2866" i="1"/>
  <c r="AE2866" i="1"/>
  <c r="W2867" i="1"/>
  <c r="X2867" i="1"/>
  <c r="Y2867" i="1"/>
  <c r="Z2867" i="1"/>
  <c r="AA2867" i="1"/>
  <c r="AB2867" i="1"/>
  <c r="AC2867" i="1"/>
  <c r="AD2867" i="1"/>
  <c r="AE2867" i="1"/>
  <c r="W2868" i="1"/>
  <c r="X2868" i="1"/>
  <c r="Y2868" i="1"/>
  <c r="Z2868" i="1"/>
  <c r="AA2868" i="1"/>
  <c r="AB2868" i="1"/>
  <c r="AC2868" i="1"/>
  <c r="AD2868" i="1"/>
  <c r="AE2868" i="1"/>
  <c r="W2869" i="1"/>
  <c r="X2869" i="1"/>
  <c r="Y2869" i="1"/>
  <c r="Z2869" i="1"/>
  <c r="AA2869" i="1"/>
  <c r="AB2869" i="1"/>
  <c r="AC2869" i="1"/>
  <c r="AD2869" i="1"/>
  <c r="AE2869" i="1"/>
  <c r="W2870" i="1"/>
  <c r="X2870" i="1"/>
  <c r="Y2870" i="1"/>
  <c r="Z2870" i="1"/>
  <c r="AA2870" i="1"/>
  <c r="AB2870" i="1"/>
  <c r="AC2870" i="1"/>
  <c r="AD2870" i="1"/>
  <c r="AE2870" i="1"/>
  <c r="W2871" i="1"/>
  <c r="X2871" i="1"/>
  <c r="Y2871" i="1"/>
  <c r="Z2871" i="1"/>
  <c r="AA2871" i="1"/>
  <c r="AB2871" i="1"/>
  <c r="AC2871" i="1"/>
  <c r="AD2871" i="1"/>
  <c r="AE2871" i="1"/>
  <c r="W2872" i="1"/>
  <c r="X2872" i="1"/>
  <c r="Y2872" i="1"/>
  <c r="Z2872" i="1"/>
  <c r="AA2872" i="1"/>
  <c r="AB2872" i="1"/>
  <c r="AC2872" i="1"/>
  <c r="AD2872" i="1"/>
  <c r="AE2872" i="1"/>
  <c r="W2873" i="1"/>
  <c r="X2873" i="1"/>
  <c r="Y2873" i="1"/>
  <c r="Z2873" i="1"/>
  <c r="AA2873" i="1"/>
  <c r="AB2873" i="1"/>
  <c r="AC2873" i="1"/>
  <c r="AD2873" i="1"/>
  <c r="AE2873" i="1"/>
  <c r="W2874" i="1"/>
  <c r="X2874" i="1"/>
  <c r="Y2874" i="1"/>
  <c r="Z2874" i="1"/>
  <c r="AA2874" i="1"/>
  <c r="AB2874" i="1"/>
  <c r="AC2874" i="1"/>
  <c r="AD2874" i="1"/>
  <c r="AE2874" i="1"/>
  <c r="W2875" i="1"/>
  <c r="X2875" i="1"/>
  <c r="Y2875" i="1"/>
  <c r="Z2875" i="1"/>
  <c r="AA2875" i="1"/>
  <c r="AB2875" i="1"/>
  <c r="AC2875" i="1"/>
  <c r="AD2875" i="1"/>
  <c r="AE2875" i="1"/>
  <c r="W2876" i="1"/>
  <c r="X2876" i="1"/>
  <c r="Y2876" i="1"/>
  <c r="Z2876" i="1"/>
  <c r="AA2876" i="1"/>
  <c r="AB2876" i="1"/>
  <c r="AC2876" i="1"/>
  <c r="AD2876" i="1"/>
  <c r="AE2876" i="1"/>
  <c r="W2877" i="1"/>
  <c r="X2877" i="1"/>
  <c r="Y2877" i="1"/>
  <c r="Z2877" i="1"/>
  <c r="AA2877" i="1"/>
  <c r="AB2877" i="1"/>
  <c r="AC2877" i="1"/>
  <c r="AD2877" i="1"/>
  <c r="AE2877" i="1"/>
  <c r="W2878" i="1"/>
  <c r="X2878" i="1"/>
  <c r="Y2878" i="1"/>
  <c r="Z2878" i="1"/>
  <c r="AA2878" i="1"/>
  <c r="AB2878" i="1"/>
  <c r="AC2878" i="1"/>
  <c r="AD2878" i="1"/>
  <c r="AE2878" i="1"/>
  <c r="W2879" i="1"/>
  <c r="X2879" i="1"/>
  <c r="Y2879" i="1"/>
  <c r="Z2879" i="1"/>
  <c r="AA2879" i="1"/>
  <c r="AB2879" i="1"/>
  <c r="AC2879" i="1"/>
  <c r="AD2879" i="1"/>
  <c r="AE2879" i="1"/>
  <c r="W2880" i="1"/>
  <c r="X2880" i="1"/>
  <c r="Y2880" i="1"/>
  <c r="Z2880" i="1"/>
  <c r="AA2880" i="1"/>
  <c r="AB2880" i="1"/>
  <c r="AC2880" i="1"/>
  <c r="AD2880" i="1"/>
  <c r="AE2880" i="1"/>
  <c r="W2881" i="1"/>
  <c r="X2881" i="1"/>
  <c r="Y2881" i="1"/>
  <c r="Z2881" i="1"/>
  <c r="AA2881" i="1"/>
  <c r="AB2881" i="1"/>
  <c r="AC2881" i="1"/>
  <c r="AD2881" i="1"/>
  <c r="AE2881" i="1"/>
  <c r="W2882" i="1"/>
  <c r="X2882" i="1"/>
  <c r="Y2882" i="1"/>
  <c r="Z2882" i="1"/>
  <c r="AA2882" i="1"/>
  <c r="AB2882" i="1"/>
  <c r="AC2882" i="1"/>
  <c r="AD2882" i="1"/>
  <c r="AE2882" i="1"/>
  <c r="W2883" i="1"/>
  <c r="X2883" i="1"/>
  <c r="Y2883" i="1"/>
  <c r="Z2883" i="1"/>
  <c r="AA2883" i="1"/>
  <c r="AB2883" i="1"/>
  <c r="AC2883" i="1"/>
  <c r="AD2883" i="1"/>
  <c r="AE2883" i="1"/>
  <c r="W2884" i="1"/>
  <c r="X2884" i="1"/>
  <c r="Y2884" i="1"/>
  <c r="Z2884" i="1"/>
  <c r="AA2884" i="1"/>
  <c r="AB2884" i="1"/>
  <c r="AC2884" i="1"/>
  <c r="AD2884" i="1"/>
  <c r="AE2884" i="1"/>
  <c r="W2885" i="1"/>
  <c r="X2885" i="1"/>
  <c r="Y2885" i="1"/>
  <c r="Z2885" i="1"/>
  <c r="AA2885" i="1"/>
  <c r="AB2885" i="1"/>
  <c r="AC2885" i="1"/>
  <c r="AD2885" i="1"/>
  <c r="AE2885" i="1"/>
  <c r="W2886" i="1"/>
  <c r="X2886" i="1"/>
  <c r="Y2886" i="1"/>
  <c r="Z2886" i="1"/>
  <c r="AA2886" i="1"/>
  <c r="AB2886" i="1"/>
  <c r="AC2886" i="1"/>
  <c r="AD2886" i="1"/>
  <c r="AE2886" i="1"/>
  <c r="W2887" i="1"/>
  <c r="X2887" i="1"/>
  <c r="Y2887" i="1"/>
  <c r="Z2887" i="1"/>
  <c r="AA2887" i="1"/>
  <c r="AB2887" i="1"/>
  <c r="AC2887" i="1"/>
  <c r="AD2887" i="1"/>
  <c r="AE2887" i="1"/>
  <c r="W2888" i="1"/>
  <c r="X2888" i="1"/>
  <c r="Y2888" i="1"/>
  <c r="Z2888" i="1"/>
  <c r="AA2888" i="1"/>
  <c r="AB2888" i="1"/>
  <c r="AC2888" i="1"/>
  <c r="AD2888" i="1"/>
  <c r="AE2888" i="1"/>
  <c r="W2889" i="1"/>
  <c r="X2889" i="1"/>
  <c r="Y2889" i="1"/>
  <c r="Z2889" i="1"/>
  <c r="AA2889" i="1"/>
  <c r="AB2889" i="1"/>
  <c r="AC2889" i="1"/>
  <c r="AD2889" i="1"/>
  <c r="AE2889" i="1"/>
  <c r="W2890" i="1"/>
  <c r="X2890" i="1"/>
  <c r="Y2890" i="1"/>
  <c r="Z2890" i="1"/>
  <c r="AA2890" i="1"/>
  <c r="AB2890" i="1"/>
  <c r="AC2890" i="1"/>
  <c r="AD2890" i="1"/>
  <c r="AE2890" i="1"/>
  <c r="W2891" i="1"/>
  <c r="X2891" i="1"/>
  <c r="Y2891" i="1"/>
  <c r="Z2891" i="1"/>
  <c r="AA2891" i="1"/>
  <c r="AB2891" i="1"/>
  <c r="AC2891" i="1"/>
  <c r="AD2891" i="1"/>
  <c r="AE2891" i="1"/>
  <c r="W2892" i="1"/>
  <c r="X2892" i="1"/>
  <c r="Y2892" i="1"/>
  <c r="Z2892" i="1"/>
  <c r="AA2892" i="1"/>
  <c r="AB2892" i="1"/>
  <c r="AC2892" i="1"/>
  <c r="AD2892" i="1"/>
  <c r="AE2892" i="1"/>
  <c r="W2893" i="1"/>
  <c r="X2893" i="1"/>
  <c r="Y2893" i="1"/>
  <c r="Z2893" i="1"/>
  <c r="AA2893" i="1"/>
  <c r="AB2893" i="1"/>
  <c r="AC2893" i="1"/>
  <c r="AD2893" i="1"/>
  <c r="AE2893" i="1"/>
  <c r="W2894" i="1"/>
  <c r="X2894" i="1"/>
  <c r="Y2894" i="1"/>
  <c r="Z2894" i="1"/>
  <c r="AA2894" i="1"/>
  <c r="AB2894" i="1"/>
  <c r="AC2894" i="1"/>
  <c r="AD2894" i="1"/>
  <c r="AE2894" i="1"/>
  <c r="W2895" i="1"/>
  <c r="X2895" i="1"/>
  <c r="Y2895" i="1"/>
  <c r="Z2895" i="1"/>
  <c r="AA2895" i="1"/>
  <c r="AB2895" i="1"/>
  <c r="AC2895" i="1"/>
  <c r="AD2895" i="1"/>
  <c r="AE2895" i="1"/>
  <c r="W2896" i="1"/>
  <c r="X2896" i="1"/>
  <c r="Y2896" i="1"/>
  <c r="Z2896" i="1"/>
  <c r="AA2896" i="1"/>
  <c r="AB2896" i="1"/>
  <c r="AC2896" i="1"/>
  <c r="AD2896" i="1"/>
  <c r="AE2896" i="1"/>
  <c r="W2897" i="1"/>
  <c r="X2897" i="1"/>
  <c r="Y2897" i="1"/>
  <c r="Z2897" i="1"/>
  <c r="AA2897" i="1"/>
  <c r="AB2897" i="1"/>
  <c r="AC2897" i="1"/>
  <c r="AD2897" i="1"/>
  <c r="AE2897" i="1"/>
  <c r="W2898" i="1"/>
  <c r="X2898" i="1"/>
  <c r="Y2898" i="1"/>
  <c r="Z2898" i="1"/>
  <c r="AA2898" i="1"/>
  <c r="AB2898" i="1"/>
  <c r="AC2898" i="1"/>
  <c r="AD2898" i="1"/>
  <c r="AE2898" i="1"/>
  <c r="W2899" i="1"/>
  <c r="X2899" i="1"/>
  <c r="Y2899" i="1"/>
  <c r="Z2899" i="1"/>
  <c r="AA2899" i="1"/>
  <c r="AB2899" i="1"/>
  <c r="AC2899" i="1"/>
  <c r="AD2899" i="1"/>
  <c r="AE2899" i="1"/>
  <c r="W2900" i="1"/>
  <c r="X2900" i="1"/>
  <c r="Y2900" i="1"/>
  <c r="Z2900" i="1"/>
  <c r="AA2900" i="1"/>
  <c r="AB2900" i="1"/>
  <c r="AC2900" i="1"/>
  <c r="AD2900" i="1"/>
  <c r="AE2900" i="1"/>
  <c r="W2901" i="1"/>
  <c r="X2901" i="1"/>
  <c r="Y2901" i="1"/>
  <c r="Z2901" i="1"/>
  <c r="AA2901" i="1"/>
  <c r="AB2901" i="1"/>
  <c r="AC2901" i="1"/>
  <c r="AD2901" i="1"/>
  <c r="AE2901" i="1"/>
  <c r="W2902" i="1"/>
  <c r="X2902" i="1"/>
  <c r="Y2902" i="1"/>
  <c r="Z2902" i="1"/>
  <c r="AA2902" i="1"/>
  <c r="AB2902" i="1"/>
  <c r="AC2902" i="1"/>
  <c r="AD2902" i="1"/>
  <c r="AE2902" i="1"/>
  <c r="W2903" i="1"/>
  <c r="X2903" i="1"/>
  <c r="Y2903" i="1"/>
  <c r="Z2903" i="1"/>
  <c r="AA2903" i="1"/>
  <c r="AB2903" i="1"/>
  <c r="AC2903" i="1"/>
  <c r="AD2903" i="1"/>
  <c r="AE2903" i="1"/>
  <c r="W2904" i="1"/>
  <c r="X2904" i="1"/>
  <c r="Y2904" i="1"/>
  <c r="Z2904" i="1"/>
  <c r="AA2904" i="1"/>
  <c r="AB2904" i="1"/>
  <c r="AC2904" i="1"/>
  <c r="AD2904" i="1"/>
  <c r="AE2904" i="1"/>
  <c r="W2905" i="1"/>
  <c r="X2905" i="1"/>
  <c r="Y2905" i="1"/>
  <c r="Z2905" i="1"/>
  <c r="AA2905" i="1"/>
  <c r="AB2905" i="1"/>
  <c r="AC2905" i="1"/>
  <c r="AD2905" i="1"/>
  <c r="AE2905" i="1"/>
  <c r="W2906" i="1"/>
  <c r="X2906" i="1"/>
  <c r="Y2906" i="1"/>
  <c r="Z2906" i="1"/>
  <c r="AA2906" i="1"/>
  <c r="AB2906" i="1"/>
  <c r="AC2906" i="1"/>
  <c r="AD2906" i="1"/>
  <c r="AE2906" i="1"/>
  <c r="W2907" i="1"/>
  <c r="X2907" i="1"/>
  <c r="Y2907" i="1"/>
  <c r="Z2907" i="1"/>
  <c r="AA2907" i="1"/>
  <c r="AB2907" i="1"/>
  <c r="AC2907" i="1"/>
  <c r="AD2907" i="1"/>
  <c r="AE2907" i="1"/>
  <c r="W2908" i="1"/>
  <c r="X2908" i="1"/>
  <c r="Y2908" i="1"/>
  <c r="Z2908" i="1"/>
  <c r="AA2908" i="1"/>
  <c r="AB2908" i="1"/>
  <c r="AC2908" i="1"/>
  <c r="AD2908" i="1"/>
  <c r="AE2908" i="1"/>
  <c r="W2909" i="1"/>
  <c r="X2909" i="1"/>
  <c r="Y2909" i="1"/>
  <c r="Z2909" i="1"/>
  <c r="AA2909" i="1"/>
  <c r="AB2909" i="1"/>
  <c r="AC2909" i="1"/>
  <c r="AD2909" i="1"/>
  <c r="AE2909" i="1"/>
  <c r="W2910" i="1"/>
  <c r="X2910" i="1"/>
  <c r="Y2910" i="1"/>
  <c r="Z2910" i="1"/>
  <c r="AA2910" i="1"/>
  <c r="AB2910" i="1"/>
  <c r="AC2910" i="1"/>
  <c r="AD2910" i="1"/>
  <c r="AE2910" i="1"/>
  <c r="W2911" i="1"/>
  <c r="X2911" i="1"/>
  <c r="Y2911" i="1"/>
  <c r="Z2911" i="1"/>
  <c r="AA2911" i="1"/>
  <c r="AB2911" i="1"/>
  <c r="AC2911" i="1"/>
  <c r="AD2911" i="1"/>
  <c r="AE2911" i="1"/>
  <c r="W2912" i="1"/>
  <c r="X2912" i="1"/>
  <c r="Y2912" i="1"/>
  <c r="Z2912" i="1"/>
  <c r="AA2912" i="1"/>
  <c r="AB2912" i="1"/>
  <c r="AC2912" i="1"/>
  <c r="AD2912" i="1"/>
  <c r="AE2912" i="1"/>
  <c r="W2913" i="1"/>
  <c r="X2913" i="1"/>
  <c r="Y2913" i="1"/>
  <c r="Z2913" i="1"/>
  <c r="AA2913" i="1"/>
  <c r="AB2913" i="1"/>
  <c r="AC2913" i="1"/>
  <c r="AD2913" i="1"/>
  <c r="AE2913" i="1"/>
  <c r="W2914" i="1"/>
  <c r="X2914" i="1"/>
  <c r="Y2914" i="1"/>
  <c r="Z2914" i="1"/>
  <c r="AA2914" i="1"/>
  <c r="AB2914" i="1"/>
  <c r="AC2914" i="1"/>
  <c r="AD2914" i="1"/>
  <c r="AE2914" i="1"/>
  <c r="W2915" i="1"/>
  <c r="X2915" i="1"/>
  <c r="Y2915" i="1"/>
  <c r="Z2915" i="1"/>
  <c r="AA2915" i="1"/>
  <c r="AB2915" i="1"/>
  <c r="AC2915" i="1"/>
  <c r="AD2915" i="1"/>
  <c r="AE2915" i="1"/>
  <c r="W2916" i="1"/>
  <c r="X2916" i="1"/>
  <c r="Y2916" i="1"/>
  <c r="Z2916" i="1"/>
  <c r="AA2916" i="1"/>
  <c r="AB2916" i="1"/>
  <c r="AC2916" i="1"/>
  <c r="AD2916" i="1"/>
  <c r="AE2916" i="1"/>
  <c r="W2917" i="1"/>
  <c r="X2917" i="1"/>
  <c r="Y2917" i="1"/>
  <c r="Z2917" i="1"/>
  <c r="AA2917" i="1"/>
  <c r="AB2917" i="1"/>
  <c r="AC2917" i="1"/>
  <c r="AD2917" i="1"/>
  <c r="AE2917" i="1"/>
  <c r="W2918" i="1"/>
  <c r="X2918" i="1"/>
  <c r="Y2918" i="1"/>
  <c r="Z2918" i="1"/>
  <c r="AA2918" i="1"/>
  <c r="AB2918" i="1"/>
  <c r="AC2918" i="1"/>
  <c r="AD2918" i="1"/>
  <c r="AE2918" i="1"/>
  <c r="W2919" i="1"/>
  <c r="X2919" i="1"/>
  <c r="Y2919" i="1"/>
  <c r="Z2919" i="1"/>
  <c r="AA2919" i="1"/>
  <c r="AB2919" i="1"/>
  <c r="AC2919" i="1"/>
  <c r="AD2919" i="1"/>
  <c r="AE2919" i="1"/>
  <c r="W2920" i="1"/>
  <c r="X2920" i="1"/>
  <c r="Y2920" i="1"/>
  <c r="Z2920" i="1"/>
  <c r="AA2920" i="1"/>
  <c r="AB2920" i="1"/>
  <c r="AC2920" i="1"/>
  <c r="AD2920" i="1"/>
  <c r="AE2920" i="1"/>
  <c r="W2921" i="1"/>
  <c r="X2921" i="1"/>
  <c r="Y2921" i="1"/>
  <c r="Z2921" i="1"/>
  <c r="AA2921" i="1"/>
  <c r="AB2921" i="1"/>
  <c r="AC2921" i="1"/>
  <c r="AD2921" i="1"/>
  <c r="AE2921" i="1"/>
  <c r="W2922" i="1"/>
  <c r="X2922" i="1"/>
  <c r="Y2922" i="1"/>
  <c r="Z2922" i="1"/>
  <c r="AA2922" i="1"/>
  <c r="AB2922" i="1"/>
  <c r="AC2922" i="1"/>
  <c r="AD2922" i="1"/>
  <c r="AE2922" i="1"/>
  <c r="W2923" i="1"/>
  <c r="X2923" i="1"/>
  <c r="Y2923" i="1"/>
  <c r="Z2923" i="1"/>
  <c r="AA2923" i="1"/>
  <c r="AB2923" i="1"/>
  <c r="AC2923" i="1"/>
  <c r="AD2923" i="1"/>
  <c r="AE2923" i="1"/>
  <c r="W2924" i="1"/>
  <c r="X2924" i="1"/>
  <c r="Y2924" i="1"/>
  <c r="Z2924" i="1"/>
  <c r="AA2924" i="1"/>
  <c r="AB2924" i="1"/>
  <c r="AC2924" i="1"/>
  <c r="AD2924" i="1"/>
  <c r="AE2924" i="1"/>
  <c r="W2925" i="1"/>
  <c r="X2925" i="1"/>
  <c r="Y2925" i="1"/>
  <c r="Z2925" i="1"/>
  <c r="AA2925" i="1"/>
  <c r="AB2925" i="1"/>
  <c r="AC2925" i="1"/>
  <c r="AD2925" i="1"/>
  <c r="AE2925" i="1"/>
  <c r="W2926" i="1"/>
  <c r="X2926" i="1"/>
  <c r="Y2926" i="1"/>
  <c r="Z2926" i="1"/>
  <c r="AA2926" i="1"/>
  <c r="AB2926" i="1"/>
  <c r="AC2926" i="1"/>
  <c r="AD2926" i="1"/>
  <c r="AE2926" i="1"/>
  <c r="W2927" i="1"/>
  <c r="X2927" i="1"/>
  <c r="Y2927" i="1"/>
  <c r="Z2927" i="1"/>
  <c r="AA2927" i="1"/>
  <c r="AB2927" i="1"/>
  <c r="AC2927" i="1"/>
  <c r="AD2927" i="1"/>
  <c r="AE2927" i="1"/>
  <c r="W2928" i="1"/>
  <c r="X2928" i="1"/>
  <c r="Y2928" i="1"/>
  <c r="Z2928" i="1"/>
  <c r="AA2928" i="1"/>
  <c r="AB2928" i="1"/>
  <c r="AC2928" i="1"/>
  <c r="AD2928" i="1"/>
  <c r="AE2928" i="1"/>
  <c r="W2929" i="1"/>
  <c r="X2929" i="1"/>
  <c r="Y2929" i="1"/>
  <c r="Z2929" i="1"/>
  <c r="AA2929" i="1"/>
  <c r="AB2929" i="1"/>
  <c r="AC2929" i="1"/>
  <c r="AD2929" i="1"/>
  <c r="AE2929" i="1"/>
  <c r="W2930" i="1"/>
  <c r="X2930" i="1"/>
  <c r="Y2930" i="1"/>
  <c r="Z2930" i="1"/>
  <c r="AA2930" i="1"/>
  <c r="AB2930" i="1"/>
  <c r="AC2930" i="1"/>
  <c r="AD2930" i="1"/>
  <c r="AE2930" i="1"/>
  <c r="W2931" i="1"/>
  <c r="X2931" i="1"/>
  <c r="Y2931" i="1"/>
  <c r="Z2931" i="1"/>
  <c r="AA2931" i="1"/>
  <c r="AB2931" i="1"/>
  <c r="AC2931" i="1"/>
  <c r="AD2931" i="1"/>
  <c r="AE2931" i="1"/>
  <c r="W2932" i="1"/>
  <c r="X2932" i="1"/>
  <c r="Y2932" i="1"/>
  <c r="Z2932" i="1"/>
  <c r="AA2932" i="1"/>
  <c r="AB2932" i="1"/>
  <c r="AC2932" i="1"/>
  <c r="AD2932" i="1"/>
  <c r="AE2932" i="1"/>
  <c r="W2933" i="1"/>
  <c r="X2933" i="1"/>
  <c r="Y2933" i="1"/>
  <c r="Z2933" i="1"/>
  <c r="AA2933" i="1"/>
  <c r="AB2933" i="1"/>
  <c r="AC2933" i="1"/>
  <c r="AD2933" i="1"/>
  <c r="AE2933" i="1"/>
  <c r="W2934" i="1"/>
  <c r="X2934" i="1"/>
  <c r="Y2934" i="1"/>
  <c r="Z2934" i="1"/>
  <c r="AA2934" i="1"/>
  <c r="AB2934" i="1"/>
  <c r="AC2934" i="1"/>
  <c r="AD2934" i="1"/>
  <c r="AE2934" i="1"/>
  <c r="W2935" i="1"/>
  <c r="X2935" i="1"/>
  <c r="Y2935" i="1"/>
  <c r="Z2935" i="1"/>
  <c r="AA2935" i="1"/>
  <c r="AB2935" i="1"/>
  <c r="AC2935" i="1"/>
  <c r="AD2935" i="1"/>
  <c r="AE2935" i="1"/>
  <c r="W2936" i="1"/>
  <c r="X2936" i="1"/>
  <c r="Y2936" i="1"/>
  <c r="Z2936" i="1"/>
  <c r="AA2936" i="1"/>
  <c r="AB2936" i="1"/>
  <c r="AC2936" i="1"/>
  <c r="AD2936" i="1"/>
  <c r="AE2936" i="1"/>
  <c r="W2937" i="1"/>
  <c r="X2937" i="1"/>
  <c r="Y2937" i="1"/>
  <c r="Z2937" i="1"/>
  <c r="AA2937" i="1"/>
  <c r="AB2937" i="1"/>
  <c r="AC2937" i="1"/>
  <c r="AD2937" i="1"/>
  <c r="AE2937" i="1"/>
  <c r="W2938" i="1"/>
  <c r="X2938" i="1"/>
  <c r="Y2938" i="1"/>
  <c r="Z2938" i="1"/>
  <c r="AA2938" i="1"/>
  <c r="AB2938" i="1"/>
  <c r="AC2938" i="1"/>
  <c r="AD2938" i="1"/>
  <c r="AE2938" i="1"/>
  <c r="W2939" i="1"/>
  <c r="X2939" i="1"/>
  <c r="Y2939" i="1"/>
  <c r="Z2939" i="1"/>
  <c r="AA2939" i="1"/>
  <c r="AB2939" i="1"/>
  <c r="AC2939" i="1"/>
  <c r="AD2939" i="1"/>
  <c r="AE2939" i="1"/>
  <c r="W2940" i="1"/>
  <c r="X2940" i="1"/>
  <c r="Y2940" i="1"/>
  <c r="Z2940" i="1"/>
  <c r="AA2940" i="1"/>
  <c r="AB2940" i="1"/>
  <c r="AC2940" i="1"/>
  <c r="AD2940" i="1"/>
  <c r="AE2940" i="1"/>
  <c r="W2941" i="1"/>
  <c r="X2941" i="1"/>
  <c r="Y2941" i="1"/>
  <c r="Z2941" i="1"/>
  <c r="AA2941" i="1"/>
  <c r="AB2941" i="1"/>
  <c r="AC2941" i="1"/>
  <c r="AD2941" i="1"/>
  <c r="AE2941" i="1"/>
  <c r="W2942" i="1"/>
  <c r="X2942" i="1"/>
  <c r="Y2942" i="1"/>
  <c r="Z2942" i="1"/>
  <c r="AA2942" i="1"/>
  <c r="AB2942" i="1"/>
  <c r="AC2942" i="1"/>
  <c r="AD2942" i="1"/>
  <c r="AE2942" i="1"/>
  <c r="W2943" i="1"/>
  <c r="X2943" i="1"/>
  <c r="Y2943" i="1"/>
  <c r="Z2943" i="1"/>
  <c r="AA2943" i="1"/>
  <c r="AB2943" i="1"/>
  <c r="AC2943" i="1"/>
  <c r="AD2943" i="1"/>
  <c r="AE2943" i="1"/>
  <c r="W2944" i="1"/>
  <c r="X2944" i="1"/>
  <c r="Y2944" i="1"/>
  <c r="Z2944" i="1"/>
  <c r="AA2944" i="1"/>
  <c r="AB2944" i="1"/>
  <c r="AC2944" i="1"/>
  <c r="AD2944" i="1"/>
  <c r="AE2944" i="1"/>
  <c r="W2945" i="1"/>
  <c r="X2945" i="1"/>
  <c r="Y2945" i="1"/>
  <c r="Z2945" i="1"/>
  <c r="AA2945" i="1"/>
  <c r="AB2945" i="1"/>
  <c r="AC2945" i="1"/>
  <c r="AD2945" i="1"/>
  <c r="AE2945" i="1"/>
  <c r="W2946" i="1"/>
  <c r="X2946" i="1"/>
  <c r="Y2946" i="1"/>
  <c r="Z2946" i="1"/>
  <c r="AA2946" i="1"/>
  <c r="AB2946" i="1"/>
  <c r="AC2946" i="1"/>
  <c r="AD2946" i="1"/>
  <c r="AE2946" i="1"/>
  <c r="W2947" i="1"/>
  <c r="X2947" i="1"/>
  <c r="Y2947" i="1"/>
  <c r="Z2947" i="1"/>
  <c r="AA2947" i="1"/>
  <c r="AB2947" i="1"/>
  <c r="AC2947" i="1"/>
  <c r="AD2947" i="1"/>
  <c r="AE2947" i="1"/>
  <c r="W2948" i="1"/>
  <c r="X2948" i="1"/>
  <c r="Y2948" i="1"/>
  <c r="Z2948" i="1"/>
  <c r="AA2948" i="1"/>
  <c r="AB2948" i="1"/>
  <c r="AC2948" i="1"/>
  <c r="AD2948" i="1"/>
  <c r="AE2948" i="1"/>
  <c r="W2949" i="1"/>
  <c r="X2949" i="1"/>
  <c r="Y2949" i="1"/>
  <c r="Z2949" i="1"/>
  <c r="AA2949" i="1"/>
  <c r="AB2949" i="1"/>
  <c r="AC2949" i="1"/>
  <c r="AD2949" i="1"/>
  <c r="AE2949" i="1"/>
  <c r="W2950" i="1"/>
  <c r="X2950" i="1"/>
  <c r="Y2950" i="1"/>
  <c r="Z2950" i="1"/>
  <c r="AA2950" i="1"/>
  <c r="AB2950" i="1"/>
  <c r="AC2950" i="1"/>
  <c r="AD2950" i="1"/>
  <c r="AE2950" i="1"/>
  <c r="W2951" i="1"/>
  <c r="X2951" i="1"/>
  <c r="Y2951" i="1"/>
  <c r="Z2951" i="1"/>
  <c r="AA2951" i="1"/>
  <c r="AB2951" i="1"/>
  <c r="AC2951" i="1"/>
  <c r="AD2951" i="1"/>
  <c r="AE2951" i="1"/>
  <c r="W2952" i="1"/>
  <c r="X2952" i="1"/>
  <c r="Y2952" i="1"/>
  <c r="Z2952" i="1"/>
  <c r="AA2952" i="1"/>
  <c r="AB2952" i="1"/>
  <c r="AC2952" i="1"/>
  <c r="AD2952" i="1"/>
  <c r="AE2952" i="1"/>
  <c r="W2953" i="1"/>
  <c r="X2953" i="1"/>
  <c r="Y2953" i="1"/>
  <c r="Z2953" i="1"/>
  <c r="AA2953" i="1"/>
  <c r="AB2953" i="1"/>
  <c r="AC2953" i="1"/>
  <c r="AD2953" i="1"/>
  <c r="AE2953" i="1"/>
  <c r="W2954" i="1"/>
  <c r="X2954" i="1"/>
  <c r="Y2954" i="1"/>
  <c r="Z2954" i="1"/>
  <c r="AA2954" i="1"/>
  <c r="AB2954" i="1"/>
  <c r="AC2954" i="1"/>
  <c r="AD2954" i="1"/>
  <c r="AE2954" i="1"/>
  <c r="W2955" i="1"/>
  <c r="X2955" i="1"/>
  <c r="Y2955" i="1"/>
  <c r="Z2955" i="1"/>
  <c r="AA2955" i="1"/>
  <c r="AB2955" i="1"/>
  <c r="AC2955" i="1"/>
  <c r="AD2955" i="1"/>
  <c r="AE2955" i="1"/>
  <c r="W2956" i="1"/>
  <c r="X2956" i="1"/>
  <c r="Y2956" i="1"/>
  <c r="Z2956" i="1"/>
  <c r="AA2956" i="1"/>
  <c r="AB2956" i="1"/>
  <c r="AC2956" i="1"/>
  <c r="AD2956" i="1"/>
  <c r="AE2956" i="1"/>
  <c r="W2957" i="1"/>
  <c r="X2957" i="1"/>
  <c r="Y2957" i="1"/>
  <c r="Z2957" i="1"/>
  <c r="AA2957" i="1"/>
  <c r="AB2957" i="1"/>
  <c r="AC2957" i="1"/>
  <c r="AD2957" i="1"/>
  <c r="AE2957" i="1"/>
  <c r="W2958" i="1"/>
  <c r="X2958" i="1"/>
  <c r="Y2958" i="1"/>
  <c r="Z2958" i="1"/>
  <c r="AA2958" i="1"/>
  <c r="AB2958" i="1"/>
  <c r="AC2958" i="1"/>
  <c r="AD2958" i="1"/>
  <c r="AE2958" i="1"/>
  <c r="W2959" i="1"/>
  <c r="X2959" i="1"/>
  <c r="Y2959" i="1"/>
  <c r="Z2959" i="1"/>
  <c r="AA2959" i="1"/>
  <c r="AB2959" i="1"/>
  <c r="AC2959" i="1"/>
  <c r="AD2959" i="1"/>
  <c r="AE2959" i="1"/>
  <c r="W2960" i="1"/>
  <c r="X2960" i="1"/>
  <c r="Y2960" i="1"/>
  <c r="Z2960" i="1"/>
  <c r="AA2960" i="1"/>
  <c r="AB2960" i="1"/>
  <c r="AC2960" i="1"/>
  <c r="AD2960" i="1"/>
  <c r="AE2960" i="1"/>
  <c r="W2961" i="1"/>
  <c r="X2961" i="1"/>
  <c r="Y2961" i="1"/>
  <c r="Z2961" i="1"/>
  <c r="AA2961" i="1"/>
  <c r="AB2961" i="1"/>
  <c r="AC2961" i="1"/>
  <c r="AD2961" i="1"/>
  <c r="AE2961" i="1"/>
  <c r="W2962" i="1"/>
  <c r="X2962" i="1"/>
  <c r="Y2962" i="1"/>
  <c r="Z2962" i="1"/>
  <c r="AA2962" i="1"/>
  <c r="AB2962" i="1"/>
  <c r="AC2962" i="1"/>
  <c r="AD2962" i="1"/>
  <c r="AE2962" i="1"/>
  <c r="W2963" i="1"/>
  <c r="X2963" i="1"/>
  <c r="Y2963" i="1"/>
  <c r="Z2963" i="1"/>
  <c r="AA2963" i="1"/>
  <c r="AB2963" i="1"/>
  <c r="AC2963" i="1"/>
  <c r="AD2963" i="1"/>
  <c r="AE2963" i="1"/>
  <c r="W2964" i="1"/>
  <c r="X2964" i="1"/>
  <c r="Y2964" i="1"/>
  <c r="Z2964" i="1"/>
  <c r="AA2964" i="1"/>
  <c r="AB2964" i="1"/>
  <c r="AC2964" i="1"/>
  <c r="AD2964" i="1"/>
  <c r="AE2964" i="1"/>
  <c r="W2965" i="1"/>
  <c r="X2965" i="1"/>
  <c r="Y2965" i="1"/>
  <c r="Z2965" i="1"/>
  <c r="AA2965" i="1"/>
  <c r="AB2965" i="1"/>
  <c r="AC2965" i="1"/>
  <c r="AD2965" i="1"/>
  <c r="AE2965" i="1"/>
  <c r="W2966" i="1"/>
  <c r="X2966" i="1"/>
  <c r="Y2966" i="1"/>
  <c r="Z2966" i="1"/>
  <c r="AA2966" i="1"/>
  <c r="AB2966" i="1"/>
  <c r="AC2966" i="1"/>
  <c r="AD2966" i="1"/>
  <c r="AE2966" i="1"/>
  <c r="W2967" i="1"/>
  <c r="X2967" i="1"/>
  <c r="Y2967" i="1"/>
  <c r="Z2967" i="1"/>
  <c r="AA2967" i="1"/>
  <c r="AB2967" i="1"/>
  <c r="AC2967" i="1"/>
  <c r="AD2967" i="1"/>
  <c r="AE2967" i="1"/>
  <c r="W2968" i="1"/>
  <c r="X2968" i="1"/>
  <c r="Y2968" i="1"/>
  <c r="Z2968" i="1"/>
  <c r="AA2968" i="1"/>
  <c r="AB2968" i="1"/>
  <c r="AC2968" i="1"/>
  <c r="AD2968" i="1"/>
  <c r="AE2968" i="1"/>
  <c r="W2969" i="1"/>
  <c r="X2969" i="1"/>
  <c r="Y2969" i="1"/>
  <c r="Z2969" i="1"/>
  <c r="AA2969" i="1"/>
  <c r="AB2969" i="1"/>
  <c r="AC2969" i="1"/>
  <c r="AD2969" i="1"/>
  <c r="AE2969" i="1"/>
  <c r="W2970" i="1"/>
  <c r="X2970" i="1"/>
  <c r="Y2970" i="1"/>
  <c r="Z2970" i="1"/>
  <c r="AA2970" i="1"/>
  <c r="AB2970" i="1"/>
  <c r="AC2970" i="1"/>
  <c r="AD2970" i="1"/>
  <c r="AE2970" i="1"/>
  <c r="W2971" i="1"/>
  <c r="X2971" i="1"/>
  <c r="Y2971" i="1"/>
  <c r="Z2971" i="1"/>
  <c r="AA2971" i="1"/>
  <c r="AB2971" i="1"/>
  <c r="AC2971" i="1"/>
  <c r="AD2971" i="1"/>
  <c r="AE2971" i="1"/>
  <c r="W2972" i="1"/>
  <c r="X2972" i="1"/>
  <c r="Y2972" i="1"/>
  <c r="Z2972" i="1"/>
  <c r="AA2972" i="1"/>
  <c r="AB2972" i="1"/>
  <c r="AC2972" i="1"/>
  <c r="AD2972" i="1"/>
  <c r="AE2972" i="1"/>
  <c r="W2973" i="1"/>
  <c r="X2973" i="1"/>
  <c r="Y2973" i="1"/>
  <c r="Z2973" i="1"/>
  <c r="AA2973" i="1"/>
  <c r="AB2973" i="1"/>
  <c r="AC2973" i="1"/>
  <c r="AD2973" i="1"/>
  <c r="AE2973" i="1"/>
  <c r="W2974" i="1"/>
  <c r="X2974" i="1"/>
  <c r="Y2974" i="1"/>
  <c r="Z2974" i="1"/>
  <c r="AA2974" i="1"/>
  <c r="AB2974" i="1"/>
  <c r="AC2974" i="1"/>
  <c r="AD2974" i="1"/>
  <c r="AE2974" i="1"/>
  <c r="W2975" i="1"/>
  <c r="X2975" i="1"/>
  <c r="Y2975" i="1"/>
  <c r="Z2975" i="1"/>
  <c r="AA2975" i="1"/>
  <c r="AB2975" i="1"/>
  <c r="AC2975" i="1"/>
  <c r="AD2975" i="1"/>
  <c r="AE2975" i="1"/>
  <c r="W2976" i="1"/>
  <c r="X2976" i="1"/>
  <c r="Y2976" i="1"/>
  <c r="Z2976" i="1"/>
  <c r="AA2976" i="1"/>
  <c r="AB2976" i="1"/>
  <c r="AC2976" i="1"/>
  <c r="AD2976" i="1"/>
  <c r="AE2976" i="1"/>
  <c r="W2977" i="1"/>
  <c r="X2977" i="1"/>
  <c r="Y2977" i="1"/>
  <c r="Z2977" i="1"/>
  <c r="AA2977" i="1"/>
  <c r="AB2977" i="1"/>
  <c r="AC2977" i="1"/>
  <c r="AD2977" i="1"/>
  <c r="AE2977" i="1"/>
  <c r="W2978" i="1"/>
  <c r="X2978" i="1"/>
  <c r="Y2978" i="1"/>
  <c r="Z2978" i="1"/>
  <c r="AA2978" i="1"/>
  <c r="AB2978" i="1"/>
  <c r="AC2978" i="1"/>
  <c r="AD2978" i="1"/>
  <c r="AE2978" i="1"/>
  <c r="W2979" i="1"/>
  <c r="X2979" i="1"/>
  <c r="Y2979" i="1"/>
  <c r="Z2979" i="1"/>
  <c r="AA2979" i="1"/>
  <c r="AB2979" i="1"/>
  <c r="AC2979" i="1"/>
  <c r="AD2979" i="1"/>
  <c r="AE2979" i="1"/>
  <c r="W2980" i="1"/>
  <c r="X2980" i="1"/>
  <c r="Y2980" i="1"/>
  <c r="Z2980" i="1"/>
  <c r="AA2980" i="1"/>
  <c r="AB2980" i="1"/>
  <c r="AC2980" i="1"/>
  <c r="AD2980" i="1"/>
  <c r="AE2980" i="1"/>
  <c r="W2981" i="1"/>
  <c r="X2981" i="1"/>
  <c r="Y2981" i="1"/>
  <c r="Z2981" i="1"/>
  <c r="AA2981" i="1"/>
  <c r="AB2981" i="1"/>
  <c r="AC2981" i="1"/>
  <c r="AD2981" i="1"/>
  <c r="AE2981" i="1"/>
  <c r="W2982" i="1"/>
  <c r="X2982" i="1"/>
  <c r="Y2982" i="1"/>
  <c r="Z2982" i="1"/>
  <c r="AA2982" i="1"/>
  <c r="AB2982" i="1"/>
  <c r="AC2982" i="1"/>
  <c r="AD2982" i="1"/>
  <c r="AE2982" i="1"/>
  <c r="W2983" i="1"/>
  <c r="X2983" i="1"/>
  <c r="Y2983" i="1"/>
  <c r="Z2983" i="1"/>
  <c r="AA2983" i="1"/>
  <c r="AB2983" i="1"/>
  <c r="AC2983" i="1"/>
  <c r="AD2983" i="1"/>
  <c r="AE2983" i="1"/>
  <c r="W2984" i="1"/>
  <c r="X2984" i="1"/>
  <c r="Y2984" i="1"/>
  <c r="Z2984" i="1"/>
  <c r="AA2984" i="1"/>
  <c r="AB2984" i="1"/>
  <c r="AC2984" i="1"/>
  <c r="AD2984" i="1"/>
  <c r="AE2984" i="1"/>
  <c r="W2985" i="1"/>
  <c r="X2985" i="1"/>
  <c r="Y2985" i="1"/>
  <c r="Z2985" i="1"/>
  <c r="AA2985" i="1"/>
  <c r="AB2985" i="1"/>
  <c r="AC2985" i="1"/>
  <c r="AD2985" i="1"/>
  <c r="AE2985" i="1"/>
  <c r="W2986" i="1"/>
  <c r="X2986" i="1"/>
  <c r="Y2986" i="1"/>
  <c r="Z2986" i="1"/>
  <c r="AA2986" i="1"/>
  <c r="AB2986" i="1"/>
  <c r="AC2986" i="1"/>
  <c r="AD2986" i="1"/>
  <c r="AE2986" i="1"/>
  <c r="W2987" i="1"/>
  <c r="X2987" i="1"/>
  <c r="Y2987" i="1"/>
  <c r="Z2987" i="1"/>
  <c r="AA2987" i="1"/>
  <c r="AB2987" i="1"/>
  <c r="AC2987" i="1"/>
  <c r="AD2987" i="1"/>
  <c r="AE2987" i="1"/>
  <c r="W2988" i="1"/>
  <c r="X2988" i="1"/>
  <c r="Y2988" i="1"/>
  <c r="Z2988" i="1"/>
  <c r="AA2988" i="1"/>
  <c r="AB2988" i="1"/>
  <c r="AC2988" i="1"/>
  <c r="AD2988" i="1"/>
  <c r="AE2988" i="1"/>
  <c r="W2989" i="1"/>
  <c r="X2989" i="1"/>
  <c r="Y2989" i="1"/>
  <c r="Z2989" i="1"/>
  <c r="AA2989" i="1"/>
  <c r="AB2989" i="1"/>
  <c r="AC2989" i="1"/>
  <c r="AD2989" i="1"/>
  <c r="AE2989" i="1"/>
  <c r="W2990" i="1"/>
  <c r="X2990" i="1"/>
  <c r="Y2990" i="1"/>
  <c r="Z2990" i="1"/>
  <c r="AA2990" i="1"/>
  <c r="AB2990" i="1"/>
  <c r="AC2990" i="1"/>
  <c r="AD2990" i="1"/>
  <c r="AE2990" i="1"/>
  <c r="W2991" i="1"/>
  <c r="X2991" i="1"/>
  <c r="Y2991" i="1"/>
  <c r="Z2991" i="1"/>
  <c r="AA2991" i="1"/>
  <c r="AB2991" i="1"/>
  <c r="AC2991" i="1"/>
  <c r="AD2991" i="1"/>
  <c r="AE2991" i="1"/>
  <c r="W2992" i="1"/>
  <c r="X2992" i="1"/>
  <c r="Y2992" i="1"/>
  <c r="Z2992" i="1"/>
  <c r="AA2992" i="1"/>
  <c r="AB2992" i="1"/>
  <c r="AC2992" i="1"/>
  <c r="AD2992" i="1"/>
  <c r="AE2992" i="1"/>
  <c r="W2993" i="1"/>
  <c r="X2993" i="1"/>
  <c r="Y2993" i="1"/>
  <c r="Z2993" i="1"/>
  <c r="AA2993" i="1"/>
  <c r="AB2993" i="1"/>
  <c r="AC2993" i="1"/>
  <c r="AD2993" i="1"/>
  <c r="AE2993" i="1"/>
  <c r="W2994" i="1"/>
  <c r="X2994" i="1"/>
  <c r="Y2994" i="1"/>
  <c r="Z2994" i="1"/>
  <c r="AA2994" i="1"/>
  <c r="AB2994" i="1"/>
  <c r="AC2994" i="1"/>
  <c r="AD2994" i="1"/>
  <c r="AE2994" i="1"/>
  <c r="W2995" i="1"/>
  <c r="X2995" i="1"/>
  <c r="Y2995" i="1"/>
  <c r="Z2995" i="1"/>
  <c r="AA2995" i="1"/>
  <c r="AB2995" i="1"/>
  <c r="AC2995" i="1"/>
  <c r="AD2995" i="1"/>
  <c r="AE2995" i="1"/>
  <c r="W2996" i="1"/>
  <c r="X2996" i="1"/>
  <c r="Y2996" i="1"/>
  <c r="Z2996" i="1"/>
  <c r="AA2996" i="1"/>
  <c r="AB2996" i="1"/>
  <c r="AC2996" i="1"/>
  <c r="AD2996" i="1"/>
  <c r="AE2996" i="1"/>
  <c r="W2997" i="1"/>
  <c r="X2997" i="1"/>
  <c r="Y2997" i="1"/>
  <c r="Z2997" i="1"/>
  <c r="AA2997" i="1"/>
  <c r="AB2997" i="1"/>
  <c r="AC2997" i="1"/>
  <c r="AD2997" i="1"/>
  <c r="AE2997" i="1"/>
  <c r="W2998" i="1"/>
  <c r="X2998" i="1"/>
  <c r="Y2998" i="1"/>
  <c r="Z2998" i="1"/>
  <c r="AA2998" i="1"/>
  <c r="AB2998" i="1"/>
  <c r="AC2998" i="1"/>
  <c r="AD2998" i="1"/>
  <c r="AE2998" i="1"/>
  <c r="W2999" i="1"/>
  <c r="X2999" i="1"/>
  <c r="Y2999" i="1"/>
  <c r="Z2999" i="1"/>
  <c r="AA2999" i="1"/>
  <c r="AB2999" i="1"/>
  <c r="AC2999" i="1"/>
  <c r="AD2999" i="1"/>
  <c r="AE2999" i="1"/>
  <c r="W3000" i="1"/>
  <c r="X3000" i="1"/>
  <c r="Y3000" i="1"/>
  <c r="Z3000" i="1"/>
  <c r="AA3000" i="1"/>
  <c r="AB3000" i="1"/>
  <c r="AC3000" i="1"/>
  <c r="AD3000" i="1"/>
  <c r="AE3000" i="1"/>
  <c r="W3001" i="1"/>
  <c r="X3001" i="1"/>
  <c r="Y3001" i="1"/>
  <c r="Z3001" i="1"/>
  <c r="AA3001" i="1"/>
  <c r="AB3001" i="1"/>
  <c r="AC3001" i="1"/>
  <c r="AD3001" i="1"/>
  <c r="AE3001" i="1"/>
  <c r="W3002" i="1"/>
  <c r="X3002" i="1"/>
  <c r="Y3002" i="1"/>
  <c r="Z3002" i="1"/>
  <c r="AA3002" i="1"/>
  <c r="AB3002" i="1"/>
  <c r="AC3002" i="1"/>
  <c r="AD3002" i="1"/>
  <c r="AE3002" i="1"/>
  <c r="W3003" i="1"/>
  <c r="X3003" i="1"/>
  <c r="Y3003" i="1"/>
  <c r="Z3003" i="1"/>
  <c r="AA3003" i="1"/>
  <c r="AB3003" i="1"/>
  <c r="AC3003" i="1"/>
  <c r="AD3003" i="1"/>
  <c r="AE3003" i="1"/>
  <c r="W3004" i="1"/>
  <c r="X3004" i="1"/>
  <c r="Y3004" i="1"/>
  <c r="Z3004" i="1"/>
  <c r="AA3004" i="1"/>
  <c r="AB3004" i="1"/>
  <c r="AC3004" i="1"/>
  <c r="AD3004" i="1"/>
  <c r="AE3004" i="1"/>
  <c r="W3005" i="1"/>
  <c r="X3005" i="1"/>
  <c r="Y3005" i="1"/>
  <c r="Z3005" i="1"/>
  <c r="AA3005" i="1"/>
  <c r="AB3005" i="1"/>
  <c r="AC3005" i="1"/>
  <c r="AD3005" i="1"/>
  <c r="AE3005" i="1"/>
  <c r="W3006" i="1"/>
  <c r="X3006" i="1"/>
  <c r="Y3006" i="1"/>
  <c r="Z3006" i="1"/>
  <c r="AA3006" i="1"/>
  <c r="AB3006" i="1"/>
  <c r="AC3006" i="1"/>
  <c r="AD3006" i="1"/>
  <c r="AE3006" i="1"/>
  <c r="W3007" i="1"/>
  <c r="X3007" i="1"/>
  <c r="Y3007" i="1"/>
  <c r="Z3007" i="1"/>
  <c r="AA3007" i="1"/>
  <c r="AB3007" i="1"/>
  <c r="AC3007" i="1"/>
  <c r="AD3007" i="1"/>
  <c r="AE3007" i="1"/>
  <c r="W3008" i="1"/>
  <c r="X3008" i="1"/>
  <c r="Y3008" i="1"/>
  <c r="Z3008" i="1"/>
  <c r="AA3008" i="1"/>
  <c r="AB3008" i="1"/>
  <c r="AC3008" i="1"/>
  <c r="AD3008" i="1"/>
  <c r="AE3008" i="1"/>
  <c r="W3009" i="1"/>
  <c r="X3009" i="1"/>
  <c r="Y3009" i="1"/>
  <c r="Z3009" i="1"/>
  <c r="AA3009" i="1"/>
  <c r="AB3009" i="1"/>
  <c r="AC3009" i="1"/>
  <c r="AD3009" i="1"/>
  <c r="AE3009" i="1"/>
  <c r="W3010" i="1"/>
  <c r="X3010" i="1"/>
  <c r="Y3010" i="1"/>
  <c r="Z3010" i="1"/>
  <c r="AA3010" i="1"/>
  <c r="AB3010" i="1"/>
  <c r="AC3010" i="1"/>
  <c r="AD3010" i="1"/>
  <c r="AE3010" i="1"/>
  <c r="W3011" i="1"/>
  <c r="X3011" i="1"/>
  <c r="Y3011" i="1"/>
  <c r="Z3011" i="1"/>
  <c r="AA3011" i="1"/>
  <c r="AB3011" i="1"/>
  <c r="AC3011" i="1"/>
  <c r="AD3011" i="1"/>
  <c r="AE3011" i="1"/>
  <c r="W3012" i="1"/>
  <c r="X3012" i="1"/>
  <c r="Y3012" i="1"/>
  <c r="Z3012" i="1"/>
  <c r="AA3012" i="1"/>
  <c r="AB3012" i="1"/>
  <c r="AC3012" i="1"/>
  <c r="AD3012" i="1"/>
  <c r="AE3012" i="1"/>
  <c r="AE12" i="1"/>
  <c r="AD12" i="1"/>
  <c r="AC12" i="1"/>
  <c r="AB12" i="1"/>
  <c r="AA12" i="1"/>
  <c r="Z12" i="1"/>
  <c r="X12" i="1"/>
  <c r="W12" i="1"/>
  <c r="Z3016" i="1"/>
  <c r="Z3018" i="1"/>
  <c r="Z3020" i="1"/>
  <c r="O13" i="1"/>
  <c r="P13" i="1"/>
  <c r="Q13" i="1"/>
  <c r="R13" i="1"/>
  <c r="S13" i="1"/>
  <c r="T13" i="1"/>
  <c r="U13" i="1"/>
  <c r="V13" i="1"/>
  <c r="O14" i="1"/>
  <c r="P14" i="1"/>
  <c r="Q14" i="1"/>
  <c r="R14" i="1"/>
  <c r="S14" i="1"/>
  <c r="T14" i="1"/>
  <c r="U14" i="1"/>
  <c r="V14" i="1"/>
  <c r="O15" i="1"/>
  <c r="P15" i="1"/>
  <c r="Q15" i="1"/>
  <c r="R15" i="1"/>
  <c r="S15" i="1"/>
  <c r="T15" i="1"/>
  <c r="U15" i="1"/>
  <c r="V15" i="1"/>
  <c r="O16" i="1"/>
  <c r="P16" i="1"/>
  <c r="Q16" i="1"/>
  <c r="R16" i="1"/>
  <c r="S16" i="1"/>
  <c r="T16" i="1"/>
  <c r="U16" i="1"/>
  <c r="V16" i="1"/>
  <c r="O17" i="1"/>
  <c r="P17" i="1"/>
  <c r="Q17" i="1"/>
  <c r="R17" i="1"/>
  <c r="S17" i="1"/>
  <c r="T17" i="1"/>
  <c r="U17" i="1"/>
  <c r="V17" i="1"/>
  <c r="O18" i="1"/>
  <c r="P18" i="1"/>
  <c r="Q18" i="1"/>
  <c r="R18" i="1"/>
  <c r="S18" i="1"/>
  <c r="T18" i="1"/>
  <c r="U18" i="1"/>
  <c r="V18" i="1"/>
  <c r="O19" i="1"/>
  <c r="P19" i="1"/>
  <c r="Q19" i="1"/>
  <c r="R19" i="1"/>
  <c r="S19" i="1"/>
  <c r="T19" i="1"/>
  <c r="U19" i="1"/>
  <c r="V19" i="1"/>
  <c r="O20" i="1"/>
  <c r="P20" i="1"/>
  <c r="Q20" i="1"/>
  <c r="R20" i="1"/>
  <c r="S20" i="1"/>
  <c r="T20" i="1"/>
  <c r="U20" i="1"/>
  <c r="V20" i="1"/>
  <c r="O21" i="1"/>
  <c r="P21" i="1"/>
  <c r="Q21" i="1"/>
  <c r="R21" i="1"/>
  <c r="S21" i="1"/>
  <c r="T21" i="1"/>
  <c r="U21" i="1"/>
  <c r="V21" i="1"/>
  <c r="O22" i="1"/>
  <c r="P22" i="1"/>
  <c r="Q22" i="1"/>
  <c r="R22" i="1"/>
  <c r="S22" i="1"/>
  <c r="T22" i="1"/>
  <c r="U22" i="1"/>
  <c r="V22" i="1"/>
  <c r="O23" i="1"/>
  <c r="P23" i="1"/>
  <c r="Q23" i="1"/>
  <c r="R23" i="1"/>
  <c r="S23" i="1"/>
  <c r="T23" i="1"/>
  <c r="U23" i="1"/>
  <c r="V23" i="1"/>
  <c r="O24" i="1"/>
  <c r="P24" i="1"/>
  <c r="Q24" i="1"/>
  <c r="R24" i="1"/>
  <c r="S24" i="1"/>
  <c r="T24" i="1"/>
  <c r="U24" i="1"/>
  <c r="V24" i="1"/>
  <c r="O25" i="1"/>
  <c r="P25" i="1"/>
  <c r="Q25" i="1"/>
  <c r="R25" i="1"/>
  <c r="S25" i="1"/>
  <c r="T25" i="1"/>
  <c r="U25" i="1"/>
  <c r="V25" i="1"/>
  <c r="O26" i="1"/>
  <c r="P26" i="1"/>
  <c r="Q26" i="1"/>
  <c r="R26" i="1"/>
  <c r="S26" i="1"/>
  <c r="T26" i="1"/>
  <c r="U26" i="1"/>
  <c r="V26" i="1"/>
  <c r="O27" i="1"/>
  <c r="P27" i="1"/>
  <c r="Q27" i="1"/>
  <c r="R27" i="1"/>
  <c r="S27" i="1"/>
  <c r="T27" i="1"/>
  <c r="U27" i="1"/>
  <c r="V27" i="1"/>
  <c r="O28" i="1"/>
  <c r="P28" i="1"/>
  <c r="Q28" i="1"/>
  <c r="R28" i="1"/>
  <c r="S28" i="1"/>
  <c r="T28" i="1"/>
  <c r="U28" i="1"/>
  <c r="V28" i="1"/>
  <c r="O29" i="1"/>
  <c r="P29" i="1"/>
  <c r="Q29" i="1"/>
  <c r="R29" i="1"/>
  <c r="S29" i="1"/>
  <c r="T29" i="1"/>
  <c r="U29" i="1"/>
  <c r="V29" i="1"/>
  <c r="O30" i="1"/>
  <c r="P30" i="1"/>
  <c r="Q30" i="1"/>
  <c r="R30" i="1"/>
  <c r="S30" i="1"/>
  <c r="T30" i="1"/>
  <c r="U30" i="1"/>
  <c r="V30" i="1"/>
  <c r="O31" i="1"/>
  <c r="P31" i="1"/>
  <c r="Q31" i="1"/>
  <c r="R31" i="1"/>
  <c r="S31" i="1"/>
  <c r="T31" i="1"/>
  <c r="U31" i="1"/>
  <c r="V31" i="1"/>
  <c r="O32" i="1"/>
  <c r="P32" i="1"/>
  <c r="Q32" i="1"/>
  <c r="R32" i="1"/>
  <c r="S32" i="1"/>
  <c r="T32" i="1"/>
  <c r="U32" i="1"/>
  <c r="V32" i="1"/>
  <c r="O33" i="1"/>
  <c r="P33" i="1"/>
  <c r="Q33" i="1"/>
  <c r="R33" i="1"/>
  <c r="S33" i="1"/>
  <c r="T33" i="1"/>
  <c r="U33" i="1"/>
  <c r="V33" i="1"/>
  <c r="O34" i="1"/>
  <c r="P34" i="1"/>
  <c r="Q34" i="1"/>
  <c r="R34" i="1"/>
  <c r="S34" i="1"/>
  <c r="T34" i="1"/>
  <c r="U34" i="1"/>
  <c r="V34" i="1"/>
  <c r="O35" i="1"/>
  <c r="P35" i="1"/>
  <c r="Q35" i="1"/>
  <c r="R35" i="1"/>
  <c r="S35" i="1"/>
  <c r="T35" i="1"/>
  <c r="U35" i="1"/>
  <c r="V35" i="1"/>
  <c r="O36" i="1"/>
  <c r="P36" i="1"/>
  <c r="Q36" i="1"/>
  <c r="R36" i="1"/>
  <c r="S36" i="1"/>
  <c r="T36" i="1"/>
  <c r="U36" i="1"/>
  <c r="V36" i="1"/>
  <c r="O37" i="1"/>
  <c r="P37" i="1"/>
  <c r="Q37" i="1"/>
  <c r="R37" i="1"/>
  <c r="S37" i="1"/>
  <c r="T37" i="1"/>
  <c r="U37" i="1"/>
  <c r="V37" i="1"/>
  <c r="O38" i="1"/>
  <c r="P38" i="1"/>
  <c r="Q38" i="1"/>
  <c r="R38" i="1"/>
  <c r="S38" i="1"/>
  <c r="T38" i="1"/>
  <c r="U38" i="1"/>
  <c r="V38" i="1"/>
  <c r="O39" i="1"/>
  <c r="P39" i="1"/>
  <c r="Q39" i="1"/>
  <c r="R39" i="1"/>
  <c r="S39" i="1"/>
  <c r="T39" i="1"/>
  <c r="U39" i="1"/>
  <c r="V39" i="1"/>
  <c r="O40" i="1"/>
  <c r="P40" i="1"/>
  <c r="Q40" i="1"/>
  <c r="R40" i="1"/>
  <c r="S40" i="1"/>
  <c r="T40" i="1"/>
  <c r="U40" i="1"/>
  <c r="V40" i="1"/>
  <c r="O41" i="1"/>
  <c r="P41" i="1"/>
  <c r="Q41" i="1"/>
  <c r="R41" i="1"/>
  <c r="S41" i="1"/>
  <c r="T41" i="1"/>
  <c r="U41" i="1"/>
  <c r="V41" i="1"/>
  <c r="O42" i="1"/>
  <c r="P42" i="1"/>
  <c r="Q42" i="1"/>
  <c r="R42" i="1"/>
  <c r="S42" i="1"/>
  <c r="T42" i="1"/>
  <c r="U42" i="1"/>
  <c r="V42" i="1"/>
  <c r="O43" i="1"/>
  <c r="P43" i="1"/>
  <c r="Q43" i="1"/>
  <c r="R43" i="1"/>
  <c r="S43" i="1"/>
  <c r="T43" i="1"/>
  <c r="U43" i="1"/>
  <c r="V43" i="1"/>
  <c r="O44" i="1"/>
  <c r="P44" i="1"/>
  <c r="Q44" i="1"/>
  <c r="R44" i="1"/>
  <c r="S44" i="1"/>
  <c r="T44" i="1"/>
  <c r="U44" i="1"/>
  <c r="V44" i="1"/>
  <c r="O45" i="1"/>
  <c r="P45" i="1"/>
  <c r="Q45" i="1"/>
  <c r="R45" i="1"/>
  <c r="S45" i="1"/>
  <c r="T45" i="1"/>
  <c r="U45" i="1"/>
  <c r="V45" i="1"/>
  <c r="O46" i="1"/>
  <c r="P46" i="1"/>
  <c r="Q46" i="1"/>
  <c r="R46" i="1"/>
  <c r="S46" i="1"/>
  <c r="T46" i="1"/>
  <c r="U46" i="1"/>
  <c r="V46" i="1"/>
  <c r="O47" i="1"/>
  <c r="P47" i="1"/>
  <c r="Q47" i="1"/>
  <c r="R47" i="1"/>
  <c r="S47" i="1"/>
  <c r="T47" i="1"/>
  <c r="U47" i="1"/>
  <c r="V47" i="1"/>
  <c r="O48" i="1"/>
  <c r="P48" i="1"/>
  <c r="Q48" i="1"/>
  <c r="R48" i="1"/>
  <c r="S48" i="1"/>
  <c r="T48" i="1"/>
  <c r="U48" i="1"/>
  <c r="V48" i="1"/>
  <c r="O49" i="1"/>
  <c r="P49" i="1"/>
  <c r="Q49" i="1"/>
  <c r="R49" i="1"/>
  <c r="S49" i="1"/>
  <c r="T49" i="1"/>
  <c r="U49" i="1"/>
  <c r="V49" i="1"/>
  <c r="O50" i="1"/>
  <c r="P50" i="1"/>
  <c r="Q50" i="1"/>
  <c r="R50" i="1"/>
  <c r="S50" i="1"/>
  <c r="T50" i="1"/>
  <c r="U50" i="1"/>
  <c r="V50" i="1"/>
  <c r="O51" i="1"/>
  <c r="P51" i="1"/>
  <c r="Q51" i="1"/>
  <c r="R51" i="1"/>
  <c r="S51" i="1"/>
  <c r="T51" i="1"/>
  <c r="U51" i="1"/>
  <c r="V51" i="1"/>
  <c r="O52" i="1"/>
  <c r="P52" i="1"/>
  <c r="Q52" i="1"/>
  <c r="R52" i="1"/>
  <c r="S52" i="1"/>
  <c r="T52" i="1"/>
  <c r="U52" i="1"/>
  <c r="V52" i="1"/>
  <c r="O53" i="1"/>
  <c r="P53" i="1"/>
  <c r="Q53" i="1"/>
  <c r="R53" i="1"/>
  <c r="S53" i="1"/>
  <c r="T53" i="1"/>
  <c r="U53" i="1"/>
  <c r="V53" i="1"/>
  <c r="O54" i="1"/>
  <c r="P54" i="1"/>
  <c r="Q54" i="1"/>
  <c r="R54" i="1"/>
  <c r="S54" i="1"/>
  <c r="T54" i="1"/>
  <c r="U54" i="1"/>
  <c r="V54" i="1"/>
  <c r="O55" i="1"/>
  <c r="P55" i="1"/>
  <c r="Q55" i="1"/>
  <c r="R55" i="1"/>
  <c r="S55" i="1"/>
  <c r="T55" i="1"/>
  <c r="U55" i="1"/>
  <c r="V55" i="1"/>
  <c r="O56" i="1"/>
  <c r="P56" i="1"/>
  <c r="Q56" i="1"/>
  <c r="R56" i="1"/>
  <c r="S56" i="1"/>
  <c r="T56" i="1"/>
  <c r="U56" i="1"/>
  <c r="V56" i="1"/>
  <c r="O57" i="1"/>
  <c r="P57" i="1"/>
  <c r="Q57" i="1"/>
  <c r="R57" i="1"/>
  <c r="S57" i="1"/>
  <c r="T57" i="1"/>
  <c r="U57" i="1"/>
  <c r="V57" i="1"/>
  <c r="O58" i="1"/>
  <c r="P58" i="1"/>
  <c r="Q58" i="1"/>
  <c r="R58" i="1"/>
  <c r="S58" i="1"/>
  <c r="T58" i="1"/>
  <c r="U58" i="1"/>
  <c r="V58" i="1"/>
  <c r="O59" i="1"/>
  <c r="P59" i="1"/>
  <c r="Q59" i="1"/>
  <c r="R59" i="1"/>
  <c r="S59" i="1"/>
  <c r="T59" i="1"/>
  <c r="U59" i="1"/>
  <c r="V59" i="1"/>
  <c r="O60" i="1"/>
  <c r="P60" i="1"/>
  <c r="Q60" i="1"/>
  <c r="R60" i="1"/>
  <c r="S60" i="1"/>
  <c r="T60" i="1"/>
  <c r="U60" i="1"/>
  <c r="V60" i="1"/>
  <c r="O61" i="1"/>
  <c r="P61" i="1"/>
  <c r="Q61" i="1"/>
  <c r="R61" i="1"/>
  <c r="S61" i="1"/>
  <c r="T61" i="1"/>
  <c r="U61" i="1"/>
  <c r="V61" i="1"/>
  <c r="O62" i="1"/>
  <c r="P62" i="1"/>
  <c r="Q62" i="1"/>
  <c r="R62" i="1"/>
  <c r="S62" i="1"/>
  <c r="T62" i="1"/>
  <c r="U62" i="1"/>
  <c r="V62" i="1"/>
  <c r="O63" i="1"/>
  <c r="P63" i="1"/>
  <c r="Q63" i="1"/>
  <c r="R63" i="1"/>
  <c r="S63" i="1"/>
  <c r="T63" i="1"/>
  <c r="U63" i="1"/>
  <c r="V63" i="1"/>
  <c r="O64" i="1"/>
  <c r="P64" i="1"/>
  <c r="Q64" i="1"/>
  <c r="R64" i="1"/>
  <c r="S64" i="1"/>
  <c r="T64" i="1"/>
  <c r="U64" i="1"/>
  <c r="V64" i="1"/>
  <c r="O65" i="1"/>
  <c r="P65" i="1"/>
  <c r="Q65" i="1"/>
  <c r="R65" i="1"/>
  <c r="S65" i="1"/>
  <c r="T65" i="1"/>
  <c r="U65" i="1"/>
  <c r="V65" i="1"/>
  <c r="O66" i="1"/>
  <c r="P66" i="1"/>
  <c r="Q66" i="1"/>
  <c r="R66" i="1"/>
  <c r="S66" i="1"/>
  <c r="T66" i="1"/>
  <c r="U66" i="1"/>
  <c r="V66" i="1"/>
  <c r="O67" i="1"/>
  <c r="P67" i="1"/>
  <c r="Q67" i="1"/>
  <c r="R67" i="1"/>
  <c r="S67" i="1"/>
  <c r="T67" i="1"/>
  <c r="U67" i="1"/>
  <c r="V67" i="1"/>
  <c r="O68" i="1"/>
  <c r="P68" i="1"/>
  <c r="Q68" i="1"/>
  <c r="R68" i="1"/>
  <c r="S68" i="1"/>
  <c r="T68" i="1"/>
  <c r="U68" i="1"/>
  <c r="V68" i="1"/>
  <c r="O69" i="1"/>
  <c r="P69" i="1"/>
  <c r="Q69" i="1"/>
  <c r="R69" i="1"/>
  <c r="S69" i="1"/>
  <c r="T69" i="1"/>
  <c r="U69" i="1"/>
  <c r="V69" i="1"/>
  <c r="O70" i="1"/>
  <c r="P70" i="1"/>
  <c r="Q70" i="1"/>
  <c r="R70" i="1"/>
  <c r="S70" i="1"/>
  <c r="T70" i="1"/>
  <c r="U70" i="1"/>
  <c r="V70" i="1"/>
  <c r="O71" i="1"/>
  <c r="P71" i="1"/>
  <c r="Q71" i="1"/>
  <c r="R71" i="1"/>
  <c r="S71" i="1"/>
  <c r="T71" i="1"/>
  <c r="U71" i="1"/>
  <c r="V71" i="1"/>
  <c r="O72" i="1"/>
  <c r="P72" i="1"/>
  <c r="Q72" i="1"/>
  <c r="R72" i="1"/>
  <c r="S72" i="1"/>
  <c r="T72" i="1"/>
  <c r="U72" i="1"/>
  <c r="V72" i="1"/>
  <c r="O73" i="1"/>
  <c r="P73" i="1"/>
  <c r="Q73" i="1"/>
  <c r="R73" i="1"/>
  <c r="S73" i="1"/>
  <c r="T73" i="1"/>
  <c r="U73" i="1"/>
  <c r="V73" i="1"/>
  <c r="O74" i="1"/>
  <c r="P74" i="1"/>
  <c r="Q74" i="1"/>
  <c r="R74" i="1"/>
  <c r="S74" i="1"/>
  <c r="T74" i="1"/>
  <c r="U74" i="1"/>
  <c r="V74" i="1"/>
  <c r="O75" i="1"/>
  <c r="P75" i="1"/>
  <c r="Q75" i="1"/>
  <c r="R75" i="1"/>
  <c r="S75" i="1"/>
  <c r="T75" i="1"/>
  <c r="U75" i="1"/>
  <c r="V75" i="1"/>
  <c r="O76" i="1"/>
  <c r="P76" i="1"/>
  <c r="Q76" i="1"/>
  <c r="R76" i="1"/>
  <c r="S76" i="1"/>
  <c r="T76" i="1"/>
  <c r="U76" i="1"/>
  <c r="V76" i="1"/>
  <c r="O77" i="1"/>
  <c r="P77" i="1"/>
  <c r="Q77" i="1"/>
  <c r="R77" i="1"/>
  <c r="S77" i="1"/>
  <c r="T77" i="1"/>
  <c r="U77" i="1"/>
  <c r="V77" i="1"/>
  <c r="O78" i="1"/>
  <c r="P78" i="1"/>
  <c r="Q78" i="1"/>
  <c r="R78" i="1"/>
  <c r="S78" i="1"/>
  <c r="T78" i="1"/>
  <c r="U78" i="1"/>
  <c r="V78" i="1"/>
  <c r="O79" i="1"/>
  <c r="P79" i="1"/>
  <c r="Q79" i="1"/>
  <c r="R79" i="1"/>
  <c r="S79" i="1"/>
  <c r="T79" i="1"/>
  <c r="U79" i="1"/>
  <c r="V79" i="1"/>
  <c r="O80" i="1"/>
  <c r="P80" i="1"/>
  <c r="Q80" i="1"/>
  <c r="R80" i="1"/>
  <c r="S80" i="1"/>
  <c r="T80" i="1"/>
  <c r="U80" i="1"/>
  <c r="V80" i="1"/>
  <c r="O81" i="1"/>
  <c r="P81" i="1"/>
  <c r="Q81" i="1"/>
  <c r="R81" i="1"/>
  <c r="S81" i="1"/>
  <c r="T81" i="1"/>
  <c r="U81" i="1"/>
  <c r="V81" i="1"/>
  <c r="O82" i="1"/>
  <c r="P82" i="1"/>
  <c r="Q82" i="1"/>
  <c r="R82" i="1"/>
  <c r="S82" i="1"/>
  <c r="T82" i="1"/>
  <c r="U82" i="1"/>
  <c r="V82" i="1"/>
  <c r="O83" i="1"/>
  <c r="P83" i="1"/>
  <c r="Q83" i="1"/>
  <c r="R83" i="1"/>
  <c r="S83" i="1"/>
  <c r="T83" i="1"/>
  <c r="U83" i="1"/>
  <c r="V83" i="1"/>
  <c r="O84" i="1"/>
  <c r="P84" i="1"/>
  <c r="Q84" i="1"/>
  <c r="R84" i="1"/>
  <c r="S84" i="1"/>
  <c r="T84" i="1"/>
  <c r="U84" i="1"/>
  <c r="V84" i="1"/>
  <c r="O85" i="1"/>
  <c r="P85" i="1"/>
  <c r="Q85" i="1"/>
  <c r="R85" i="1"/>
  <c r="S85" i="1"/>
  <c r="T85" i="1"/>
  <c r="U85" i="1"/>
  <c r="V85" i="1"/>
  <c r="O86" i="1"/>
  <c r="P86" i="1"/>
  <c r="Q86" i="1"/>
  <c r="R86" i="1"/>
  <c r="S86" i="1"/>
  <c r="T86" i="1"/>
  <c r="U86" i="1"/>
  <c r="V86" i="1"/>
  <c r="O87" i="1"/>
  <c r="P87" i="1"/>
  <c r="Q87" i="1"/>
  <c r="R87" i="1"/>
  <c r="S87" i="1"/>
  <c r="T87" i="1"/>
  <c r="U87" i="1"/>
  <c r="V87" i="1"/>
  <c r="O88" i="1"/>
  <c r="P88" i="1"/>
  <c r="Q88" i="1"/>
  <c r="R88" i="1"/>
  <c r="S88" i="1"/>
  <c r="T88" i="1"/>
  <c r="U88" i="1"/>
  <c r="V88" i="1"/>
  <c r="O89" i="1"/>
  <c r="P89" i="1"/>
  <c r="Q89" i="1"/>
  <c r="R89" i="1"/>
  <c r="S89" i="1"/>
  <c r="T89" i="1"/>
  <c r="U89" i="1"/>
  <c r="V89" i="1"/>
  <c r="O90" i="1"/>
  <c r="P90" i="1"/>
  <c r="Q90" i="1"/>
  <c r="R90" i="1"/>
  <c r="S90" i="1"/>
  <c r="T90" i="1"/>
  <c r="U90" i="1"/>
  <c r="V90" i="1"/>
  <c r="O91" i="1"/>
  <c r="P91" i="1"/>
  <c r="Q91" i="1"/>
  <c r="R91" i="1"/>
  <c r="S91" i="1"/>
  <c r="T91" i="1"/>
  <c r="U91" i="1"/>
  <c r="V91" i="1"/>
  <c r="O92" i="1"/>
  <c r="P92" i="1"/>
  <c r="Q92" i="1"/>
  <c r="R92" i="1"/>
  <c r="S92" i="1"/>
  <c r="T92" i="1"/>
  <c r="U92" i="1"/>
  <c r="V92" i="1"/>
  <c r="O93" i="1"/>
  <c r="P93" i="1"/>
  <c r="Q93" i="1"/>
  <c r="R93" i="1"/>
  <c r="S93" i="1"/>
  <c r="T93" i="1"/>
  <c r="U93" i="1"/>
  <c r="V93" i="1"/>
  <c r="O94" i="1"/>
  <c r="P94" i="1"/>
  <c r="Q94" i="1"/>
  <c r="R94" i="1"/>
  <c r="S94" i="1"/>
  <c r="T94" i="1"/>
  <c r="U94" i="1"/>
  <c r="V94" i="1"/>
  <c r="O95" i="1"/>
  <c r="P95" i="1"/>
  <c r="Q95" i="1"/>
  <c r="R95" i="1"/>
  <c r="S95" i="1"/>
  <c r="T95" i="1"/>
  <c r="U95" i="1"/>
  <c r="V95" i="1"/>
  <c r="O96" i="1"/>
  <c r="P96" i="1"/>
  <c r="Q96" i="1"/>
  <c r="R96" i="1"/>
  <c r="S96" i="1"/>
  <c r="T96" i="1"/>
  <c r="U96" i="1"/>
  <c r="V96" i="1"/>
  <c r="O97" i="1"/>
  <c r="P97" i="1"/>
  <c r="Q97" i="1"/>
  <c r="R97" i="1"/>
  <c r="S97" i="1"/>
  <c r="T97" i="1"/>
  <c r="U97" i="1"/>
  <c r="V97" i="1"/>
  <c r="O98" i="1"/>
  <c r="P98" i="1"/>
  <c r="Q98" i="1"/>
  <c r="R98" i="1"/>
  <c r="S98" i="1"/>
  <c r="T98" i="1"/>
  <c r="U98" i="1"/>
  <c r="V98" i="1"/>
  <c r="O99" i="1"/>
  <c r="P99" i="1"/>
  <c r="Q99" i="1"/>
  <c r="R99" i="1"/>
  <c r="S99" i="1"/>
  <c r="T99" i="1"/>
  <c r="U99" i="1"/>
  <c r="V99" i="1"/>
  <c r="O100" i="1"/>
  <c r="P100" i="1"/>
  <c r="Q100" i="1"/>
  <c r="R100" i="1"/>
  <c r="S100" i="1"/>
  <c r="T100" i="1"/>
  <c r="U100" i="1"/>
  <c r="V100" i="1"/>
  <c r="O101" i="1"/>
  <c r="P101" i="1"/>
  <c r="Q101" i="1"/>
  <c r="R101" i="1"/>
  <c r="S101" i="1"/>
  <c r="T101" i="1"/>
  <c r="U101" i="1"/>
  <c r="V101" i="1"/>
  <c r="O102" i="1"/>
  <c r="P102" i="1"/>
  <c r="Q102" i="1"/>
  <c r="R102" i="1"/>
  <c r="S102" i="1"/>
  <c r="T102" i="1"/>
  <c r="U102" i="1"/>
  <c r="V102" i="1"/>
  <c r="O103" i="1"/>
  <c r="P103" i="1"/>
  <c r="Q103" i="1"/>
  <c r="R103" i="1"/>
  <c r="S103" i="1"/>
  <c r="T103" i="1"/>
  <c r="U103" i="1"/>
  <c r="V103" i="1"/>
  <c r="O104" i="1"/>
  <c r="P104" i="1"/>
  <c r="Q104" i="1"/>
  <c r="R104" i="1"/>
  <c r="S104" i="1"/>
  <c r="T104" i="1"/>
  <c r="U104" i="1"/>
  <c r="V104" i="1"/>
  <c r="O105" i="1"/>
  <c r="P105" i="1"/>
  <c r="Q105" i="1"/>
  <c r="R105" i="1"/>
  <c r="S105" i="1"/>
  <c r="T105" i="1"/>
  <c r="U105" i="1"/>
  <c r="V105" i="1"/>
  <c r="O106" i="1"/>
  <c r="P106" i="1"/>
  <c r="Q106" i="1"/>
  <c r="R106" i="1"/>
  <c r="S106" i="1"/>
  <c r="T106" i="1"/>
  <c r="U106" i="1"/>
  <c r="V106" i="1"/>
  <c r="O107" i="1"/>
  <c r="P107" i="1"/>
  <c r="Q107" i="1"/>
  <c r="R107" i="1"/>
  <c r="S107" i="1"/>
  <c r="T107" i="1"/>
  <c r="U107" i="1"/>
  <c r="V107" i="1"/>
  <c r="O108" i="1"/>
  <c r="P108" i="1"/>
  <c r="Q108" i="1"/>
  <c r="R108" i="1"/>
  <c r="S108" i="1"/>
  <c r="T108" i="1"/>
  <c r="U108" i="1"/>
  <c r="V108" i="1"/>
  <c r="O109" i="1"/>
  <c r="P109" i="1"/>
  <c r="Q109" i="1"/>
  <c r="R109" i="1"/>
  <c r="S109" i="1"/>
  <c r="T109" i="1"/>
  <c r="U109" i="1"/>
  <c r="V109" i="1"/>
  <c r="O110" i="1"/>
  <c r="P110" i="1"/>
  <c r="Q110" i="1"/>
  <c r="R110" i="1"/>
  <c r="S110" i="1"/>
  <c r="T110" i="1"/>
  <c r="U110" i="1"/>
  <c r="V110" i="1"/>
  <c r="O111" i="1"/>
  <c r="P111" i="1"/>
  <c r="Q111" i="1"/>
  <c r="R111" i="1"/>
  <c r="S111" i="1"/>
  <c r="T111" i="1"/>
  <c r="U111" i="1"/>
  <c r="V111" i="1"/>
  <c r="O112" i="1"/>
  <c r="P112" i="1"/>
  <c r="Q112" i="1"/>
  <c r="R112" i="1"/>
  <c r="S112" i="1"/>
  <c r="T112" i="1"/>
  <c r="U112" i="1"/>
  <c r="V112" i="1"/>
  <c r="O113" i="1"/>
  <c r="P113" i="1"/>
  <c r="Q113" i="1"/>
  <c r="R113" i="1"/>
  <c r="S113" i="1"/>
  <c r="T113" i="1"/>
  <c r="U113" i="1"/>
  <c r="V113" i="1"/>
  <c r="O114" i="1"/>
  <c r="P114" i="1"/>
  <c r="Q114" i="1"/>
  <c r="R114" i="1"/>
  <c r="S114" i="1"/>
  <c r="T114" i="1"/>
  <c r="U114" i="1"/>
  <c r="V114" i="1"/>
  <c r="O115" i="1"/>
  <c r="P115" i="1"/>
  <c r="Q115" i="1"/>
  <c r="R115" i="1"/>
  <c r="S115" i="1"/>
  <c r="T115" i="1"/>
  <c r="U115" i="1"/>
  <c r="V115" i="1"/>
  <c r="O116" i="1"/>
  <c r="P116" i="1"/>
  <c r="Q116" i="1"/>
  <c r="R116" i="1"/>
  <c r="S116" i="1"/>
  <c r="T116" i="1"/>
  <c r="U116" i="1"/>
  <c r="V116" i="1"/>
  <c r="O117" i="1"/>
  <c r="P117" i="1"/>
  <c r="Q117" i="1"/>
  <c r="R117" i="1"/>
  <c r="S117" i="1"/>
  <c r="T117" i="1"/>
  <c r="U117" i="1"/>
  <c r="V117" i="1"/>
  <c r="O118" i="1"/>
  <c r="P118" i="1"/>
  <c r="Q118" i="1"/>
  <c r="R118" i="1"/>
  <c r="S118" i="1"/>
  <c r="T118" i="1"/>
  <c r="U118" i="1"/>
  <c r="V118" i="1"/>
  <c r="O119" i="1"/>
  <c r="P119" i="1"/>
  <c r="Q119" i="1"/>
  <c r="R119" i="1"/>
  <c r="S119" i="1"/>
  <c r="T119" i="1"/>
  <c r="U119" i="1"/>
  <c r="V119" i="1"/>
  <c r="O120" i="1"/>
  <c r="P120" i="1"/>
  <c r="Q120" i="1"/>
  <c r="R120" i="1"/>
  <c r="S120" i="1"/>
  <c r="T120" i="1"/>
  <c r="U120" i="1"/>
  <c r="V120" i="1"/>
  <c r="O121" i="1"/>
  <c r="P121" i="1"/>
  <c r="Q121" i="1"/>
  <c r="R121" i="1"/>
  <c r="S121" i="1"/>
  <c r="T121" i="1"/>
  <c r="U121" i="1"/>
  <c r="V121" i="1"/>
  <c r="O122" i="1"/>
  <c r="P122" i="1"/>
  <c r="Q122" i="1"/>
  <c r="R122" i="1"/>
  <c r="S122" i="1"/>
  <c r="T122" i="1"/>
  <c r="U122" i="1"/>
  <c r="V122" i="1"/>
  <c r="O123" i="1"/>
  <c r="P123" i="1"/>
  <c r="Q123" i="1"/>
  <c r="R123" i="1"/>
  <c r="S123" i="1"/>
  <c r="T123" i="1"/>
  <c r="U123" i="1"/>
  <c r="V123" i="1"/>
  <c r="O124" i="1"/>
  <c r="P124" i="1"/>
  <c r="Q124" i="1"/>
  <c r="R124" i="1"/>
  <c r="S124" i="1"/>
  <c r="T124" i="1"/>
  <c r="U124" i="1"/>
  <c r="V124" i="1"/>
  <c r="O125" i="1"/>
  <c r="P125" i="1"/>
  <c r="Q125" i="1"/>
  <c r="R125" i="1"/>
  <c r="S125" i="1"/>
  <c r="T125" i="1"/>
  <c r="U125" i="1"/>
  <c r="V125" i="1"/>
  <c r="O126" i="1"/>
  <c r="P126" i="1"/>
  <c r="Q126" i="1"/>
  <c r="R126" i="1"/>
  <c r="S126" i="1"/>
  <c r="T126" i="1"/>
  <c r="U126" i="1"/>
  <c r="V126" i="1"/>
  <c r="O127" i="1"/>
  <c r="P127" i="1"/>
  <c r="Q127" i="1"/>
  <c r="R127" i="1"/>
  <c r="S127" i="1"/>
  <c r="T127" i="1"/>
  <c r="U127" i="1"/>
  <c r="V127" i="1"/>
  <c r="O128" i="1"/>
  <c r="P128" i="1"/>
  <c r="Q128" i="1"/>
  <c r="R128" i="1"/>
  <c r="S128" i="1"/>
  <c r="T128" i="1"/>
  <c r="U128" i="1"/>
  <c r="V128" i="1"/>
  <c r="O129" i="1"/>
  <c r="P129" i="1"/>
  <c r="Q129" i="1"/>
  <c r="R129" i="1"/>
  <c r="S129" i="1"/>
  <c r="T129" i="1"/>
  <c r="U129" i="1"/>
  <c r="V129" i="1"/>
  <c r="O130" i="1"/>
  <c r="P130" i="1"/>
  <c r="Q130" i="1"/>
  <c r="R130" i="1"/>
  <c r="S130" i="1"/>
  <c r="T130" i="1"/>
  <c r="U130" i="1"/>
  <c r="V130" i="1"/>
  <c r="O131" i="1"/>
  <c r="P131" i="1"/>
  <c r="Q131" i="1"/>
  <c r="R131" i="1"/>
  <c r="S131" i="1"/>
  <c r="T131" i="1"/>
  <c r="U131" i="1"/>
  <c r="V131" i="1"/>
  <c r="O132" i="1"/>
  <c r="P132" i="1"/>
  <c r="Q132" i="1"/>
  <c r="R132" i="1"/>
  <c r="S132" i="1"/>
  <c r="T132" i="1"/>
  <c r="U132" i="1"/>
  <c r="V132" i="1"/>
  <c r="O133" i="1"/>
  <c r="P133" i="1"/>
  <c r="Q133" i="1"/>
  <c r="R133" i="1"/>
  <c r="S133" i="1"/>
  <c r="T133" i="1"/>
  <c r="U133" i="1"/>
  <c r="V133" i="1"/>
  <c r="O134" i="1"/>
  <c r="P134" i="1"/>
  <c r="Q134" i="1"/>
  <c r="R134" i="1"/>
  <c r="S134" i="1"/>
  <c r="T134" i="1"/>
  <c r="U134" i="1"/>
  <c r="V134" i="1"/>
  <c r="O135" i="1"/>
  <c r="P135" i="1"/>
  <c r="Q135" i="1"/>
  <c r="R135" i="1"/>
  <c r="S135" i="1"/>
  <c r="T135" i="1"/>
  <c r="U135" i="1"/>
  <c r="V135" i="1"/>
  <c r="O136" i="1"/>
  <c r="P136" i="1"/>
  <c r="Q136" i="1"/>
  <c r="R136" i="1"/>
  <c r="S136" i="1"/>
  <c r="T136" i="1"/>
  <c r="U136" i="1"/>
  <c r="V136" i="1"/>
  <c r="O137" i="1"/>
  <c r="P137" i="1"/>
  <c r="Q137" i="1"/>
  <c r="R137" i="1"/>
  <c r="S137" i="1"/>
  <c r="T137" i="1"/>
  <c r="U137" i="1"/>
  <c r="V137" i="1"/>
  <c r="O138" i="1"/>
  <c r="P138" i="1"/>
  <c r="Q138" i="1"/>
  <c r="R138" i="1"/>
  <c r="S138" i="1"/>
  <c r="T138" i="1"/>
  <c r="U138" i="1"/>
  <c r="V138" i="1"/>
  <c r="O139" i="1"/>
  <c r="P139" i="1"/>
  <c r="Q139" i="1"/>
  <c r="R139" i="1"/>
  <c r="S139" i="1"/>
  <c r="T139" i="1"/>
  <c r="U139" i="1"/>
  <c r="V139" i="1"/>
  <c r="O140" i="1"/>
  <c r="P140" i="1"/>
  <c r="Q140" i="1"/>
  <c r="R140" i="1"/>
  <c r="S140" i="1"/>
  <c r="T140" i="1"/>
  <c r="U140" i="1"/>
  <c r="V140" i="1"/>
  <c r="O141" i="1"/>
  <c r="P141" i="1"/>
  <c r="Q141" i="1"/>
  <c r="R141" i="1"/>
  <c r="S141" i="1"/>
  <c r="T141" i="1"/>
  <c r="U141" i="1"/>
  <c r="V141" i="1"/>
  <c r="O142" i="1"/>
  <c r="P142" i="1"/>
  <c r="Q142" i="1"/>
  <c r="R142" i="1"/>
  <c r="S142" i="1"/>
  <c r="T142" i="1"/>
  <c r="U142" i="1"/>
  <c r="V142" i="1"/>
  <c r="O143" i="1"/>
  <c r="P143" i="1"/>
  <c r="Q143" i="1"/>
  <c r="R143" i="1"/>
  <c r="S143" i="1"/>
  <c r="T143" i="1"/>
  <c r="U143" i="1"/>
  <c r="V143" i="1"/>
  <c r="O144" i="1"/>
  <c r="P144" i="1"/>
  <c r="Q144" i="1"/>
  <c r="R144" i="1"/>
  <c r="S144" i="1"/>
  <c r="T144" i="1"/>
  <c r="U144" i="1"/>
  <c r="V144" i="1"/>
  <c r="O145" i="1"/>
  <c r="P145" i="1"/>
  <c r="Q145" i="1"/>
  <c r="R145" i="1"/>
  <c r="S145" i="1"/>
  <c r="T145" i="1"/>
  <c r="U145" i="1"/>
  <c r="V145" i="1"/>
  <c r="O146" i="1"/>
  <c r="P146" i="1"/>
  <c r="Q146" i="1"/>
  <c r="R146" i="1"/>
  <c r="S146" i="1"/>
  <c r="T146" i="1"/>
  <c r="U146" i="1"/>
  <c r="V146" i="1"/>
  <c r="O147" i="1"/>
  <c r="P147" i="1"/>
  <c r="Q147" i="1"/>
  <c r="R147" i="1"/>
  <c r="S147" i="1"/>
  <c r="T147" i="1"/>
  <c r="U147" i="1"/>
  <c r="V147" i="1"/>
  <c r="O148" i="1"/>
  <c r="P148" i="1"/>
  <c r="Q148" i="1"/>
  <c r="R148" i="1"/>
  <c r="S148" i="1"/>
  <c r="T148" i="1"/>
  <c r="U148" i="1"/>
  <c r="V148" i="1"/>
  <c r="O149" i="1"/>
  <c r="P149" i="1"/>
  <c r="Q149" i="1"/>
  <c r="R149" i="1"/>
  <c r="S149" i="1"/>
  <c r="T149" i="1"/>
  <c r="U149" i="1"/>
  <c r="V149" i="1"/>
  <c r="O150" i="1"/>
  <c r="P150" i="1"/>
  <c r="Q150" i="1"/>
  <c r="R150" i="1"/>
  <c r="S150" i="1"/>
  <c r="T150" i="1"/>
  <c r="U150" i="1"/>
  <c r="V150" i="1"/>
  <c r="O151" i="1"/>
  <c r="P151" i="1"/>
  <c r="Q151" i="1"/>
  <c r="R151" i="1"/>
  <c r="S151" i="1"/>
  <c r="T151" i="1"/>
  <c r="U151" i="1"/>
  <c r="V151" i="1"/>
  <c r="O152" i="1"/>
  <c r="P152" i="1"/>
  <c r="Q152" i="1"/>
  <c r="R152" i="1"/>
  <c r="S152" i="1"/>
  <c r="T152" i="1"/>
  <c r="U152" i="1"/>
  <c r="V152" i="1"/>
  <c r="O153" i="1"/>
  <c r="P153" i="1"/>
  <c r="Q153" i="1"/>
  <c r="R153" i="1"/>
  <c r="S153" i="1"/>
  <c r="T153" i="1"/>
  <c r="U153" i="1"/>
  <c r="V153" i="1"/>
  <c r="O154" i="1"/>
  <c r="P154" i="1"/>
  <c r="Q154" i="1"/>
  <c r="R154" i="1"/>
  <c r="S154" i="1"/>
  <c r="T154" i="1"/>
  <c r="U154" i="1"/>
  <c r="V154" i="1"/>
  <c r="O155" i="1"/>
  <c r="P155" i="1"/>
  <c r="Q155" i="1"/>
  <c r="R155" i="1"/>
  <c r="S155" i="1"/>
  <c r="T155" i="1"/>
  <c r="U155" i="1"/>
  <c r="V155" i="1"/>
  <c r="O156" i="1"/>
  <c r="P156" i="1"/>
  <c r="Q156" i="1"/>
  <c r="R156" i="1"/>
  <c r="S156" i="1"/>
  <c r="T156" i="1"/>
  <c r="U156" i="1"/>
  <c r="V156" i="1"/>
  <c r="O157" i="1"/>
  <c r="P157" i="1"/>
  <c r="Q157" i="1"/>
  <c r="R157" i="1"/>
  <c r="S157" i="1"/>
  <c r="T157" i="1"/>
  <c r="U157" i="1"/>
  <c r="V157" i="1"/>
  <c r="O158" i="1"/>
  <c r="P158" i="1"/>
  <c r="Q158" i="1"/>
  <c r="R158" i="1"/>
  <c r="S158" i="1"/>
  <c r="T158" i="1"/>
  <c r="U158" i="1"/>
  <c r="V158" i="1"/>
  <c r="O159" i="1"/>
  <c r="P159" i="1"/>
  <c r="Q159" i="1"/>
  <c r="R159" i="1"/>
  <c r="S159" i="1"/>
  <c r="T159" i="1"/>
  <c r="U159" i="1"/>
  <c r="V159" i="1"/>
  <c r="O160" i="1"/>
  <c r="P160" i="1"/>
  <c r="Q160" i="1"/>
  <c r="R160" i="1"/>
  <c r="S160" i="1"/>
  <c r="T160" i="1"/>
  <c r="U160" i="1"/>
  <c r="V160" i="1"/>
  <c r="O161" i="1"/>
  <c r="P161" i="1"/>
  <c r="Q161" i="1"/>
  <c r="R161" i="1"/>
  <c r="S161" i="1"/>
  <c r="T161" i="1"/>
  <c r="U161" i="1"/>
  <c r="V161" i="1"/>
  <c r="O162" i="1"/>
  <c r="P162" i="1"/>
  <c r="Q162" i="1"/>
  <c r="R162" i="1"/>
  <c r="S162" i="1"/>
  <c r="T162" i="1"/>
  <c r="U162" i="1"/>
  <c r="V162" i="1"/>
  <c r="O163" i="1"/>
  <c r="P163" i="1"/>
  <c r="Q163" i="1"/>
  <c r="R163" i="1"/>
  <c r="S163" i="1"/>
  <c r="T163" i="1"/>
  <c r="U163" i="1"/>
  <c r="V163" i="1"/>
  <c r="O164" i="1"/>
  <c r="P164" i="1"/>
  <c r="Q164" i="1"/>
  <c r="R164" i="1"/>
  <c r="S164" i="1"/>
  <c r="T164" i="1"/>
  <c r="U164" i="1"/>
  <c r="V164" i="1"/>
  <c r="O165" i="1"/>
  <c r="P165" i="1"/>
  <c r="Q165" i="1"/>
  <c r="R165" i="1"/>
  <c r="S165" i="1"/>
  <c r="T165" i="1"/>
  <c r="U165" i="1"/>
  <c r="V165" i="1"/>
  <c r="O166" i="1"/>
  <c r="P166" i="1"/>
  <c r="Q166" i="1"/>
  <c r="R166" i="1"/>
  <c r="S166" i="1"/>
  <c r="T166" i="1"/>
  <c r="U166" i="1"/>
  <c r="V166" i="1"/>
  <c r="O167" i="1"/>
  <c r="P167" i="1"/>
  <c r="Q167" i="1"/>
  <c r="R167" i="1"/>
  <c r="S167" i="1"/>
  <c r="T167" i="1"/>
  <c r="U167" i="1"/>
  <c r="V167" i="1"/>
  <c r="O168" i="1"/>
  <c r="P168" i="1"/>
  <c r="Q168" i="1"/>
  <c r="R168" i="1"/>
  <c r="S168" i="1"/>
  <c r="T168" i="1"/>
  <c r="U168" i="1"/>
  <c r="V168" i="1"/>
  <c r="O169" i="1"/>
  <c r="P169" i="1"/>
  <c r="Q169" i="1"/>
  <c r="R169" i="1"/>
  <c r="S169" i="1"/>
  <c r="T169" i="1"/>
  <c r="U169" i="1"/>
  <c r="V169" i="1"/>
  <c r="O170" i="1"/>
  <c r="P170" i="1"/>
  <c r="Q170" i="1"/>
  <c r="R170" i="1"/>
  <c r="S170" i="1"/>
  <c r="T170" i="1"/>
  <c r="U170" i="1"/>
  <c r="V170" i="1"/>
  <c r="O171" i="1"/>
  <c r="P171" i="1"/>
  <c r="Q171" i="1"/>
  <c r="R171" i="1"/>
  <c r="S171" i="1"/>
  <c r="T171" i="1"/>
  <c r="U171" i="1"/>
  <c r="V171" i="1"/>
  <c r="O172" i="1"/>
  <c r="P172" i="1"/>
  <c r="Q172" i="1"/>
  <c r="R172" i="1"/>
  <c r="S172" i="1"/>
  <c r="T172" i="1"/>
  <c r="U172" i="1"/>
  <c r="V172" i="1"/>
  <c r="O173" i="1"/>
  <c r="P173" i="1"/>
  <c r="Q173" i="1"/>
  <c r="R173" i="1"/>
  <c r="S173" i="1"/>
  <c r="T173" i="1"/>
  <c r="U173" i="1"/>
  <c r="V173" i="1"/>
  <c r="O174" i="1"/>
  <c r="P174" i="1"/>
  <c r="Q174" i="1"/>
  <c r="R174" i="1"/>
  <c r="S174" i="1"/>
  <c r="T174" i="1"/>
  <c r="U174" i="1"/>
  <c r="V174" i="1"/>
  <c r="O175" i="1"/>
  <c r="P175" i="1"/>
  <c r="Q175" i="1"/>
  <c r="R175" i="1"/>
  <c r="S175" i="1"/>
  <c r="T175" i="1"/>
  <c r="U175" i="1"/>
  <c r="V175" i="1"/>
  <c r="O176" i="1"/>
  <c r="P176" i="1"/>
  <c r="Q176" i="1"/>
  <c r="R176" i="1"/>
  <c r="S176" i="1"/>
  <c r="T176" i="1"/>
  <c r="U176" i="1"/>
  <c r="V176" i="1"/>
  <c r="O177" i="1"/>
  <c r="P177" i="1"/>
  <c r="Q177" i="1"/>
  <c r="R177" i="1"/>
  <c r="S177" i="1"/>
  <c r="T177" i="1"/>
  <c r="U177" i="1"/>
  <c r="V177" i="1"/>
  <c r="O178" i="1"/>
  <c r="P178" i="1"/>
  <c r="Q178" i="1"/>
  <c r="R178" i="1"/>
  <c r="S178" i="1"/>
  <c r="T178" i="1"/>
  <c r="U178" i="1"/>
  <c r="V178" i="1"/>
  <c r="O179" i="1"/>
  <c r="P179" i="1"/>
  <c r="Q179" i="1"/>
  <c r="R179" i="1"/>
  <c r="S179" i="1"/>
  <c r="T179" i="1"/>
  <c r="U179" i="1"/>
  <c r="V179" i="1"/>
  <c r="O180" i="1"/>
  <c r="P180" i="1"/>
  <c r="Q180" i="1"/>
  <c r="R180" i="1"/>
  <c r="S180" i="1"/>
  <c r="T180" i="1"/>
  <c r="U180" i="1"/>
  <c r="V180" i="1"/>
  <c r="O181" i="1"/>
  <c r="P181" i="1"/>
  <c r="Q181" i="1"/>
  <c r="R181" i="1"/>
  <c r="S181" i="1"/>
  <c r="T181" i="1"/>
  <c r="U181" i="1"/>
  <c r="V181" i="1"/>
  <c r="O182" i="1"/>
  <c r="P182" i="1"/>
  <c r="Q182" i="1"/>
  <c r="R182" i="1"/>
  <c r="S182" i="1"/>
  <c r="T182" i="1"/>
  <c r="U182" i="1"/>
  <c r="V182" i="1"/>
  <c r="O183" i="1"/>
  <c r="P183" i="1"/>
  <c r="Q183" i="1"/>
  <c r="R183" i="1"/>
  <c r="S183" i="1"/>
  <c r="T183" i="1"/>
  <c r="U183" i="1"/>
  <c r="V183" i="1"/>
  <c r="O184" i="1"/>
  <c r="P184" i="1"/>
  <c r="Q184" i="1"/>
  <c r="R184" i="1"/>
  <c r="S184" i="1"/>
  <c r="T184" i="1"/>
  <c r="U184" i="1"/>
  <c r="V184" i="1"/>
  <c r="O185" i="1"/>
  <c r="P185" i="1"/>
  <c r="Q185" i="1"/>
  <c r="R185" i="1"/>
  <c r="S185" i="1"/>
  <c r="T185" i="1"/>
  <c r="U185" i="1"/>
  <c r="V185" i="1"/>
  <c r="O186" i="1"/>
  <c r="P186" i="1"/>
  <c r="Q186" i="1"/>
  <c r="R186" i="1"/>
  <c r="S186" i="1"/>
  <c r="T186" i="1"/>
  <c r="U186" i="1"/>
  <c r="V186" i="1"/>
  <c r="O187" i="1"/>
  <c r="P187" i="1"/>
  <c r="Q187" i="1"/>
  <c r="R187" i="1"/>
  <c r="S187" i="1"/>
  <c r="T187" i="1"/>
  <c r="U187" i="1"/>
  <c r="V187" i="1"/>
  <c r="O188" i="1"/>
  <c r="P188" i="1"/>
  <c r="Q188" i="1"/>
  <c r="R188" i="1"/>
  <c r="S188" i="1"/>
  <c r="T188" i="1"/>
  <c r="U188" i="1"/>
  <c r="V188" i="1"/>
  <c r="O189" i="1"/>
  <c r="P189" i="1"/>
  <c r="Q189" i="1"/>
  <c r="R189" i="1"/>
  <c r="S189" i="1"/>
  <c r="T189" i="1"/>
  <c r="U189" i="1"/>
  <c r="V189" i="1"/>
  <c r="O190" i="1"/>
  <c r="P190" i="1"/>
  <c r="Q190" i="1"/>
  <c r="R190" i="1"/>
  <c r="S190" i="1"/>
  <c r="T190" i="1"/>
  <c r="U190" i="1"/>
  <c r="V190" i="1"/>
  <c r="O191" i="1"/>
  <c r="P191" i="1"/>
  <c r="Q191" i="1"/>
  <c r="R191" i="1"/>
  <c r="S191" i="1"/>
  <c r="T191" i="1"/>
  <c r="U191" i="1"/>
  <c r="V191" i="1"/>
  <c r="O192" i="1"/>
  <c r="P192" i="1"/>
  <c r="Q192" i="1"/>
  <c r="R192" i="1"/>
  <c r="S192" i="1"/>
  <c r="T192" i="1"/>
  <c r="U192" i="1"/>
  <c r="V192" i="1"/>
  <c r="O193" i="1"/>
  <c r="P193" i="1"/>
  <c r="Q193" i="1"/>
  <c r="R193" i="1"/>
  <c r="S193" i="1"/>
  <c r="T193" i="1"/>
  <c r="U193" i="1"/>
  <c r="V193" i="1"/>
  <c r="O194" i="1"/>
  <c r="P194" i="1"/>
  <c r="Q194" i="1"/>
  <c r="R194" i="1"/>
  <c r="S194" i="1"/>
  <c r="T194" i="1"/>
  <c r="U194" i="1"/>
  <c r="V194" i="1"/>
  <c r="O195" i="1"/>
  <c r="P195" i="1"/>
  <c r="Q195" i="1"/>
  <c r="R195" i="1"/>
  <c r="S195" i="1"/>
  <c r="T195" i="1"/>
  <c r="U195" i="1"/>
  <c r="V195" i="1"/>
  <c r="O196" i="1"/>
  <c r="P196" i="1"/>
  <c r="Q196" i="1"/>
  <c r="R196" i="1"/>
  <c r="S196" i="1"/>
  <c r="T196" i="1"/>
  <c r="U196" i="1"/>
  <c r="V196" i="1"/>
  <c r="O197" i="1"/>
  <c r="P197" i="1"/>
  <c r="Q197" i="1"/>
  <c r="R197" i="1"/>
  <c r="S197" i="1"/>
  <c r="T197" i="1"/>
  <c r="U197" i="1"/>
  <c r="V197" i="1"/>
  <c r="O198" i="1"/>
  <c r="P198" i="1"/>
  <c r="Q198" i="1"/>
  <c r="R198" i="1"/>
  <c r="S198" i="1"/>
  <c r="T198" i="1"/>
  <c r="U198" i="1"/>
  <c r="V198" i="1"/>
  <c r="O199" i="1"/>
  <c r="P199" i="1"/>
  <c r="Q199" i="1"/>
  <c r="R199" i="1"/>
  <c r="S199" i="1"/>
  <c r="T199" i="1"/>
  <c r="U199" i="1"/>
  <c r="V199" i="1"/>
  <c r="O200" i="1"/>
  <c r="P200" i="1"/>
  <c r="Q200" i="1"/>
  <c r="R200" i="1"/>
  <c r="S200" i="1"/>
  <c r="T200" i="1"/>
  <c r="U200" i="1"/>
  <c r="V200" i="1"/>
  <c r="O201" i="1"/>
  <c r="P201" i="1"/>
  <c r="Q201" i="1"/>
  <c r="R201" i="1"/>
  <c r="S201" i="1"/>
  <c r="T201" i="1"/>
  <c r="U201" i="1"/>
  <c r="V201" i="1"/>
  <c r="O202" i="1"/>
  <c r="P202" i="1"/>
  <c r="Q202" i="1"/>
  <c r="R202" i="1"/>
  <c r="S202" i="1"/>
  <c r="T202" i="1"/>
  <c r="U202" i="1"/>
  <c r="V202" i="1"/>
  <c r="O203" i="1"/>
  <c r="P203" i="1"/>
  <c r="Q203" i="1"/>
  <c r="R203" i="1"/>
  <c r="S203" i="1"/>
  <c r="T203" i="1"/>
  <c r="U203" i="1"/>
  <c r="V203" i="1"/>
  <c r="O204" i="1"/>
  <c r="P204" i="1"/>
  <c r="Q204" i="1"/>
  <c r="R204" i="1"/>
  <c r="S204" i="1"/>
  <c r="T204" i="1"/>
  <c r="U204" i="1"/>
  <c r="V204" i="1"/>
  <c r="O205" i="1"/>
  <c r="P205" i="1"/>
  <c r="Q205" i="1"/>
  <c r="R205" i="1"/>
  <c r="S205" i="1"/>
  <c r="T205" i="1"/>
  <c r="U205" i="1"/>
  <c r="V205" i="1"/>
  <c r="O206" i="1"/>
  <c r="P206" i="1"/>
  <c r="Q206" i="1"/>
  <c r="R206" i="1"/>
  <c r="S206" i="1"/>
  <c r="T206" i="1"/>
  <c r="U206" i="1"/>
  <c r="V206" i="1"/>
  <c r="O207" i="1"/>
  <c r="P207" i="1"/>
  <c r="Q207" i="1"/>
  <c r="R207" i="1"/>
  <c r="S207" i="1"/>
  <c r="T207" i="1"/>
  <c r="U207" i="1"/>
  <c r="V207" i="1"/>
  <c r="O208" i="1"/>
  <c r="P208" i="1"/>
  <c r="Q208" i="1"/>
  <c r="R208" i="1"/>
  <c r="S208" i="1"/>
  <c r="T208" i="1"/>
  <c r="U208" i="1"/>
  <c r="V208" i="1"/>
  <c r="O209" i="1"/>
  <c r="P209" i="1"/>
  <c r="Q209" i="1"/>
  <c r="R209" i="1"/>
  <c r="S209" i="1"/>
  <c r="T209" i="1"/>
  <c r="U209" i="1"/>
  <c r="V209" i="1"/>
  <c r="O210" i="1"/>
  <c r="P210" i="1"/>
  <c r="Q210" i="1"/>
  <c r="R210" i="1"/>
  <c r="S210" i="1"/>
  <c r="T210" i="1"/>
  <c r="U210" i="1"/>
  <c r="V210" i="1"/>
  <c r="O211" i="1"/>
  <c r="P211" i="1"/>
  <c r="Q211" i="1"/>
  <c r="R211" i="1"/>
  <c r="S211" i="1"/>
  <c r="T211" i="1"/>
  <c r="U211" i="1"/>
  <c r="V211" i="1"/>
  <c r="O212" i="1"/>
  <c r="P212" i="1"/>
  <c r="Q212" i="1"/>
  <c r="R212" i="1"/>
  <c r="S212" i="1"/>
  <c r="T212" i="1"/>
  <c r="U212" i="1"/>
  <c r="V212" i="1"/>
  <c r="O213" i="1"/>
  <c r="P213" i="1"/>
  <c r="Q213" i="1"/>
  <c r="R213" i="1"/>
  <c r="S213" i="1"/>
  <c r="T213" i="1"/>
  <c r="U213" i="1"/>
  <c r="V213" i="1"/>
  <c r="O214" i="1"/>
  <c r="P214" i="1"/>
  <c r="Q214" i="1"/>
  <c r="R214" i="1"/>
  <c r="S214" i="1"/>
  <c r="T214" i="1"/>
  <c r="U214" i="1"/>
  <c r="V214" i="1"/>
  <c r="O215" i="1"/>
  <c r="P215" i="1"/>
  <c r="Q215" i="1"/>
  <c r="R215" i="1"/>
  <c r="S215" i="1"/>
  <c r="T215" i="1"/>
  <c r="U215" i="1"/>
  <c r="V215" i="1"/>
  <c r="O216" i="1"/>
  <c r="P216" i="1"/>
  <c r="Q216" i="1"/>
  <c r="R216" i="1"/>
  <c r="S216" i="1"/>
  <c r="T216" i="1"/>
  <c r="U216" i="1"/>
  <c r="V216" i="1"/>
  <c r="O217" i="1"/>
  <c r="P217" i="1"/>
  <c r="Q217" i="1"/>
  <c r="R217" i="1"/>
  <c r="S217" i="1"/>
  <c r="T217" i="1"/>
  <c r="U217" i="1"/>
  <c r="V217" i="1"/>
  <c r="O218" i="1"/>
  <c r="P218" i="1"/>
  <c r="Q218" i="1"/>
  <c r="R218" i="1"/>
  <c r="S218" i="1"/>
  <c r="T218" i="1"/>
  <c r="U218" i="1"/>
  <c r="V218" i="1"/>
  <c r="O219" i="1"/>
  <c r="P219" i="1"/>
  <c r="Q219" i="1"/>
  <c r="R219" i="1"/>
  <c r="S219" i="1"/>
  <c r="T219" i="1"/>
  <c r="U219" i="1"/>
  <c r="V219" i="1"/>
  <c r="O220" i="1"/>
  <c r="P220" i="1"/>
  <c r="Q220" i="1"/>
  <c r="R220" i="1"/>
  <c r="S220" i="1"/>
  <c r="T220" i="1"/>
  <c r="U220" i="1"/>
  <c r="V220" i="1"/>
  <c r="O221" i="1"/>
  <c r="P221" i="1"/>
  <c r="Q221" i="1"/>
  <c r="R221" i="1"/>
  <c r="S221" i="1"/>
  <c r="T221" i="1"/>
  <c r="U221" i="1"/>
  <c r="V221" i="1"/>
  <c r="O222" i="1"/>
  <c r="P222" i="1"/>
  <c r="Q222" i="1"/>
  <c r="R222" i="1"/>
  <c r="S222" i="1"/>
  <c r="T222" i="1"/>
  <c r="U222" i="1"/>
  <c r="V222" i="1"/>
  <c r="O223" i="1"/>
  <c r="P223" i="1"/>
  <c r="Q223" i="1"/>
  <c r="R223" i="1"/>
  <c r="S223" i="1"/>
  <c r="T223" i="1"/>
  <c r="U223" i="1"/>
  <c r="V223" i="1"/>
  <c r="O224" i="1"/>
  <c r="P224" i="1"/>
  <c r="Q224" i="1"/>
  <c r="R224" i="1"/>
  <c r="S224" i="1"/>
  <c r="T224" i="1"/>
  <c r="U224" i="1"/>
  <c r="V224" i="1"/>
  <c r="O225" i="1"/>
  <c r="P225" i="1"/>
  <c r="Q225" i="1"/>
  <c r="R225" i="1"/>
  <c r="S225" i="1"/>
  <c r="T225" i="1"/>
  <c r="U225" i="1"/>
  <c r="V225" i="1"/>
  <c r="O226" i="1"/>
  <c r="P226" i="1"/>
  <c r="Q226" i="1"/>
  <c r="R226" i="1"/>
  <c r="S226" i="1"/>
  <c r="T226" i="1"/>
  <c r="U226" i="1"/>
  <c r="V226" i="1"/>
  <c r="O227" i="1"/>
  <c r="P227" i="1"/>
  <c r="Q227" i="1"/>
  <c r="R227" i="1"/>
  <c r="S227" i="1"/>
  <c r="T227" i="1"/>
  <c r="U227" i="1"/>
  <c r="V227" i="1"/>
  <c r="O228" i="1"/>
  <c r="P228" i="1"/>
  <c r="Q228" i="1"/>
  <c r="R228" i="1"/>
  <c r="S228" i="1"/>
  <c r="T228" i="1"/>
  <c r="U228" i="1"/>
  <c r="V228" i="1"/>
  <c r="O229" i="1"/>
  <c r="P229" i="1"/>
  <c r="Q229" i="1"/>
  <c r="R229" i="1"/>
  <c r="S229" i="1"/>
  <c r="T229" i="1"/>
  <c r="U229" i="1"/>
  <c r="V229" i="1"/>
  <c r="O230" i="1"/>
  <c r="P230" i="1"/>
  <c r="Q230" i="1"/>
  <c r="R230" i="1"/>
  <c r="S230" i="1"/>
  <c r="T230" i="1"/>
  <c r="U230" i="1"/>
  <c r="V230" i="1"/>
  <c r="O231" i="1"/>
  <c r="P231" i="1"/>
  <c r="Q231" i="1"/>
  <c r="R231" i="1"/>
  <c r="S231" i="1"/>
  <c r="T231" i="1"/>
  <c r="U231" i="1"/>
  <c r="V231" i="1"/>
  <c r="O232" i="1"/>
  <c r="P232" i="1"/>
  <c r="Q232" i="1"/>
  <c r="R232" i="1"/>
  <c r="S232" i="1"/>
  <c r="T232" i="1"/>
  <c r="U232" i="1"/>
  <c r="V232" i="1"/>
  <c r="O233" i="1"/>
  <c r="P233" i="1"/>
  <c r="Q233" i="1"/>
  <c r="R233" i="1"/>
  <c r="S233" i="1"/>
  <c r="T233" i="1"/>
  <c r="U233" i="1"/>
  <c r="V233" i="1"/>
  <c r="O234" i="1"/>
  <c r="P234" i="1"/>
  <c r="Q234" i="1"/>
  <c r="R234" i="1"/>
  <c r="S234" i="1"/>
  <c r="T234" i="1"/>
  <c r="U234" i="1"/>
  <c r="V234" i="1"/>
  <c r="O235" i="1"/>
  <c r="P235" i="1"/>
  <c r="Q235" i="1"/>
  <c r="R235" i="1"/>
  <c r="S235" i="1"/>
  <c r="T235" i="1"/>
  <c r="U235" i="1"/>
  <c r="V235" i="1"/>
  <c r="O236" i="1"/>
  <c r="P236" i="1"/>
  <c r="Q236" i="1"/>
  <c r="R236" i="1"/>
  <c r="S236" i="1"/>
  <c r="T236" i="1"/>
  <c r="U236" i="1"/>
  <c r="V236" i="1"/>
  <c r="O237" i="1"/>
  <c r="P237" i="1"/>
  <c r="Q237" i="1"/>
  <c r="R237" i="1"/>
  <c r="S237" i="1"/>
  <c r="T237" i="1"/>
  <c r="U237" i="1"/>
  <c r="V237" i="1"/>
  <c r="O238" i="1"/>
  <c r="P238" i="1"/>
  <c r="Q238" i="1"/>
  <c r="R238" i="1"/>
  <c r="S238" i="1"/>
  <c r="T238" i="1"/>
  <c r="U238" i="1"/>
  <c r="V238" i="1"/>
  <c r="O239" i="1"/>
  <c r="P239" i="1"/>
  <c r="Q239" i="1"/>
  <c r="R239" i="1"/>
  <c r="S239" i="1"/>
  <c r="T239" i="1"/>
  <c r="U239" i="1"/>
  <c r="V239" i="1"/>
  <c r="O240" i="1"/>
  <c r="P240" i="1"/>
  <c r="Q240" i="1"/>
  <c r="R240" i="1"/>
  <c r="S240" i="1"/>
  <c r="T240" i="1"/>
  <c r="U240" i="1"/>
  <c r="V240" i="1"/>
  <c r="O241" i="1"/>
  <c r="P241" i="1"/>
  <c r="Q241" i="1"/>
  <c r="R241" i="1"/>
  <c r="S241" i="1"/>
  <c r="T241" i="1"/>
  <c r="U241" i="1"/>
  <c r="V241" i="1"/>
  <c r="O242" i="1"/>
  <c r="P242" i="1"/>
  <c r="Q242" i="1"/>
  <c r="R242" i="1"/>
  <c r="S242" i="1"/>
  <c r="T242" i="1"/>
  <c r="U242" i="1"/>
  <c r="V242" i="1"/>
  <c r="O243" i="1"/>
  <c r="P243" i="1"/>
  <c r="Q243" i="1"/>
  <c r="R243" i="1"/>
  <c r="S243" i="1"/>
  <c r="T243" i="1"/>
  <c r="U243" i="1"/>
  <c r="V243" i="1"/>
  <c r="O244" i="1"/>
  <c r="P244" i="1"/>
  <c r="Q244" i="1"/>
  <c r="R244" i="1"/>
  <c r="S244" i="1"/>
  <c r="T244" i="1"/>
  <c r="U244" i="1"/>
  <c r="V244" i="1"/>
  <c r="O245" i="1"/>
  <c r="P245" i="1"/>
  <c r="Q245" i="1"/>
  <c r="R245" i="1"/>
  <c r="S245" i="1"/>
  <c r="T245" i="1"/>
  <c r="U245" i="1"/>
  <c r="V245" i="1"/>
  <c r="O246" i="1"/>
  <c r="P246" i="1"/>
  <c r="Q246" i="1"/>
  <c r="R246" i="1"/>
  <c r="S246" i="1"/>
  <c r="T246" i="1"/>
  <c r="U246" i="1"/>
  <c r="V246" i="1"/>
  <c r="O247" i="1"/>
  <c r="P247" i="1"/>
  <c r="Q247" i="1"/>
  <c r="R247" i="1"/>
  <c r="S247" i="1"/>
  <c r="T247" i="1"/>
  <c r="U247" i="1"/>
  <c r="V247" i="1"/>
  <c r="O248" i="1"/>
  <c r="P248" i="1"/>
  <c r="Q248" i="1"/>
  <c r="R248" i="1"/>
  <c r="S248" i="1"/>
  <c r="T248" i="1"/>
  <c r="U248" i="1"/>
  <c r="V248" i="1"/>
  <c r="O249" i="1"/>
  <c r="P249" i="1"/>
  <c r="Q249" i="1"/>
  <c r="R249" i="1"/>
  <c r="S249" i="1"/>
  <c r="T249" i="1"/>
  <c r="U249" i="1"/>
  <c r="V249" i="1"/>
  <c r="O250" i="1"/>
  <c r="P250" i="1"/>
  <c r="Q250" i="1"/>
  <c r="R250" i="1"/>
  <c r="S250" i="1"/>
  <c r="T250" i="1"/>
  <c r="U250" i="1"/>
  <c r="V250" i="1"/>
  <c r="O251" i="1"/>
  <c r="P251" i="1"/>
  <c r="Q251" i="1"/>
  <c r="R251" i="1"/>
  <c r="S251" i="1"/>
  <c r="T251" i="1"/>
  <c r="U251" i="1"/>
  <c r="V251" i="1"/>
  <c r="O252" i="1"/>
  <c r="P252" i="1"/>
  <c r="Q252" i="1"/>
  <c r="R252" i="1"/>
  <c r="S252" i="1"/>
  <c r="T252" i="1"/>
  <c r="U252" i="1"/>
  <c r="V252" i="1"/>
  <c r="O253" i="1"/>
  <c r="P253" i="1"/>
  <c r="Q253" i="1"/>
  <c r="R253" i="1"/>
  <c r="S253" i="1"/>
  <c r="T253" i="1"/>
  <c r="U253" i="1"/>
  <c r="V253" i="1"/>
  <c r="O254" i="1"/>
  <c r="P254" i="1"/>
  <c r="Q254" i="1"/>
  <c r="R254" i="1"/>
  <c r="S254" i="1"/>
  <c r="T254" i="1"/>
  <c r="U254" i="1"/>
  <c r="V254" i="1"/>
  <c r="O255" i="1"/>
  <c r="P255" i="1"/>
  <c r="Q255" i="1"/>
  <c r="R255" i="1"/>
  <c r="S255" i="1"/>
  <c r="T255" i="1"/>
  <c r="U255" i="1"/>
  <c r="V255" i="1"/>
  <c r="O256" i="1"/>
  <c r="P256" i="1"/>
  <c r="Q256" i="1"/>
  <c r="R256" i="1"/>
  <c r="S256" i="1"/>
  <c r="T256" i="1"/>
  <c r="U256" i="1"/>
  <c r="V256" i="1"/>
  <c r="O257" i="1"/>
  <c r="P257" i="1"/>
  <c r="Q257" i="1"/>
  <c r="R257" i="1"/>
  <c r="S257" i="1"/>
  <c r="T257" i="1"/>
  <c r="U257" i="1"/>
  <c r="V257" i="1"/>
  <c r="O258" i="1"/>
  <c r="P258" i="1"/>
  <c r="Q258" i="1"/>
  <c r="R258" i="1"/>
  <c r="S258" i="1"/>
  <c r="T258" i="1"/>
  <c r="U258" i="1"/>
  <c r="V258" i="1"/>
  <c r="O259" i="1"/>
  <c r="P259" i="1"/>
  <c r="Q259" i="1"/>
  <c r="R259" i="1"/>
  <c r="S259" i="1"/>
  <c r="T259" i="1"/>
  <c r="U259" i="1"/>
  <c r="V259" i="1"/>
  <c r="O260" i="1"/>
  <c r="P260" i="1"/>
  <c r="Q260" i="1"/>
  <c r="R260" i="1"/>
  <c r="S260" i="1"/>
  <c r="T260" i="1"/>
  <c r="U260" i="1"/>
  <c r="V260" i="1"/>
  <c r="O261" i="1"/>
  <c r="P261" i="1"/>
  <c r="Q261" i="1"/>
  <c r="R261" i="1"/>
  <c r="S261" i="1"/>
  <c r="T261" i="1"/>
  <c r="U261" i="1"/>
  <c r="V261" i="1"/>
  <c r="O262" i="1"/>
  <c r="P262" i="1"/>
  <c r="Q262" i="1"/>
  <c r="R262" i="1"/>
  <c r="S262" i="1"/>
  <c r="T262" i="1"/>
  <c r="U262" i="1"/>
  <c r="V262" i="1"/>
  <c r="O263" i="1"/>
  <c r="P263" i="1"/>
  <c r="Q263" i="1"/>
  <c r="R263" i="1"/>
  <c r="S263" i="1"/>
  <c r="T263" i="1"/>
  <c r="U263" i="1"/>
  <c r="V263" i="1"/>
  <c r="O264" i="1"/>
  <c r="P264" i="1"/>
  <c r="Q264" i="1"/>
  <c r="R264" i="1"/>
  <c r="S264" i="1"/>
  <c r="T264" i="1"/>
  <c r="U264" i="1"/>
  <c r="V264" i="1"/>
  <c r="O265" i="1"/>
  <c r="P265" i="1"/>
  <c r="Q265" i="1"/>
  <c r="R265" i="1"/>
  <c r="S265" i="1"/>
  <c r="T265" i="1"/>
  <c r="U265" i="1"/>
  <c r="V265" i="1"/>
  <c r="O266" i="1"/>
  <c r="P266" i="1"/>
  <c r="Q266" i="1"/>
  <c r="R266" i="1"/>
  <c r="S266" i="1"/>
  <c r="T266" i="1"/>
  <c r="U266" i="1"/>
  <c r="V266" i="1"/>
  <c r="O267" i="1"/>
  <c r="P267" i="1"/>
  <c r="Q267" i="1"/>
  <c r="R267" i="1"/>
  <c r="S267" i="1"/>
  <c r="T267" i="1"/>
  <c r="U267" i="1"/>
  <c r="V267" i="1"/>
  <c r="O268" i="1"/>
  <c r="P268" i="1"/>
  <c r="Q268" i="1"/>
  <c r="R268" i="1"/>
  <c r="S268" i="1"/>
  <c r="T268" i="1"/>
  <c r="U268" i="1"/>
  <c r="V268" i="1"/>
  <c r="O269" i="1"/>
  <c r="P269" i="1"/>
  <c r="Q269" i="1"/>
  <c r="R269" i="1"/>
  <c r="S269" i="1"/>
  <c r="T269" i="1"/>
  <c r="U269" i="1"/>
  <c r="V269" i="1"/>
  <c r="O270" i="1"/>
  <c r="P270" i="1"/>
  <c r="Q270" i="1"/>
  <c r="R270" i="1"/>
  <c r="S270" i="1"/>
  <c r="T270" i="1"/>
  <c r="U270" i="1"/>
  <c r="V270" i="1"/>
  <c r="O271" i="1"/>
  <c r="P271" i="1"/>
  <c r="Q271" i="1"/>
  <c r="R271" i="1"/>
  <c r="S271" i="1"/>
  <c r="T271" i="1"/>
  <c r="U271" i="1"/>
  <c r="V271" i="1"/>
  <c r="O272" i="1"/>
  <c r="P272" i="1"/>
  <c r="Q272" i="1"/>
  <c r="R272" i="1"/>
  <c r="S272" i="1"/>
  <c r="T272" i="1"/>
  <c r="U272" i="1"/>
  <c r="V272" i="1"/>
  <c r="O273" i="1"/>
  <c r="P273" i="1"/>
  <c r="Q273" i="1"/>
  <c r="R273" i="1"/>
  <c r="S273" i="1"/>
  <c r="T273" i="1"/>
  <c r="U273" i="1"/>
  <c r="V273" i="1"/>
  <c r="O274" i="1"/>
  <c r="P274" i="1"/>
  <c r="Q274" i="1"/>
  <c r="R274" i="1"/>
  <c r="S274" i="1"/>
  <c r="T274" i="1"/>
  <c r="U274" i="1"/>
  <c r="V274" i="1"/>
  <c r="O275" i="1"/>
  <c r="P275" i="1"/>
  <c r="Q275" i="1"/>
  <c r="R275" i="1"/>
  <c r="S275" i="1"/>
  <c r="T275" i="1"/>
  <c r="U275" i="1"/>
  <c r="V275" i="1"/>
  <c r="O276" i="1"/>
  <c r="P276" i="1"/>
  <c r="Q276" i="1"/>
  <c r="R276" i="1"/>
  <c r="S276" i="1"/>
  <c r="T276" i="1"/>
  <c r="U276" i="1"/>
  <c r="V276" i="1"/>
  <c r="O277" i="1"/>
  <c r="P277" i="1"/>
  <c r="Q277" i="1"/>
  <c r="R277" i="1"/>
  <c r="S277" i="1"/>
  <c r="T277" i="1"/>
  <c r="U277" i="1"/>
  <c r="V277" i="1"/>
  <c r="O278" i="1"/>
  <c r="P278" i="1"/>
  <c r="Q278" i="1"/>
  <c r="R278" i="1"/>
  <c r="S278" i="1"/>
  <c r="T278" i="1"/>
  <c r="U278" i="1"/>
  <c r="V278" i="1"/>
  <c r="O279" i="1"/>
  <c r="P279" i="1"/>
  <c r="Q279" i="1"/>
  <c r="R279" i="1"/>
  <c r="S279" i="1"/>
  <c r="T279" i="1"/>
  <c r="U279" i="1"/>
  <c r="V279" i="1"/>
  <c r="O280" i="1"/>
  <c r="P280" i="1"/>
  <c r="Q280" i="1"/>
  <c r="R280" i="1"/>
  <c r="S280" i="1"/>
  <c r="T280" i="1"/>
  <c r="U280" i="1"/>
  <c r="V280" i="1"/>
  <c r="O281" i="1"/>
  <c r="P281" i="1"/>
  <c r="Q281" i="1"/>
  <c r="R281" i="1"/>
  <c r="S281" i="1"/>
  <c r="T281" i="1"/>
  <c r="U281" i="1"/>
  <c r="V281" i="1"/>
  <c r="O282" i="1"/>
  <c r="P282" i="1"/>
  <c r="Q282" i="1"/>
  <c r="R282" i="1"/>
  <c r="S282" i="1"/>
  <c r="T282" i="1"/>
  <c r="U282" i="1"/>
  <c r="V282" i="1"/>
  <c r="O283" i="1"/>
  <c r="P283" i="1"/>
  <c r="Q283" i="1"/>
  <c r="R283" i="1"/>
  <c r="S283" i="1"/>
  <c r="T283" i="1"/>
  <c r="U283" i="1"/>
  <c r="V283" i="1"/>
  <c r="O284" i="1"/>
  <c r="P284" i="1"/>
  <c r="Q284" i="1"/>
  <c r="R284" i="1"/>
  <c r="S284" i="1"/>
  <c r="T284" i="1"/>
  <c r="U284" i="1"/>
  <c r="V284" i="1"/>
  <c r="O285" i="1"/>
  <c r="P285" i="1"/>
  <c r="Q285" i="1"/>
  <c r="R285" i="1"/>
  <c r="S285" i="1"/>
  <c r="T285" i="1"/>
  <c r="U285" i="1"/>
  <c r="V285" i="1"/>
  <c r="O286" i="1"/>
  <c r="P286" i="1"/>
  <c r="Q286" i="1"/>
  <c r="R286" i="1"/>
  <c r="S286" i="1"/>
  <c r="T286" i="1"/>
  <c r="U286" i="1"/>
  <c r="V286" i="1"/>
  <c r="O287" i="1"/>
  <c r="P287" i="1"/>
  <c r="Q287" i="1"/>
  <c r="R287" i="1"/>
  <c r="S287" i="1"/>
  <c r="T287" i="1"/>
  <c r="U287" i="1"/>
  <c r="V287" i="1"/>
  <c r="O288" i="1"/>
  <c r="P288" i="1"/>
  <c r="Q288" i="1"/>
  <c r="R288" i="1"/>
  <c r="S288" i="1"/>
  <c r="T288" i="1"/>
  <c r="U288" i="1"/>
  <c r="V288" i="1"/>
  <c r="O289" i="1"/>
  <c r="P289" i="1"/>
  <c r="Q289" i="1"/>
  <c r="R289" i="1"/>
  <c r="S289" i="1"/>
  <c r="T289" i="1"/>
  <c r="U289" i="1"/>
  <c r="V289" i="1"/>
  <c r="O290" i="1"/>
  <c r="P290" i="1"/>
  <c r="Q290" i="1"/>
  <c r="R290" i="1"/>
  <c r="S290" i="1"/>
  <c r="T290" i="1"/>
  <c r="U290" i="1"/>
  <c r="V290" i="1"/>
  <c r="O291" i="1"/>
  <c r="P291" i="1"/>
  <c r="Q291" i="1"/>
  <c r="R291" i="1"/>
  <c r="S291" i="1"/>
  <c r="T291" i="1"/>
  <c r="U291" i="1"/>
  <c r="V291" i="1"/>
  <c r="O292" i="1"/>
  <c r="P292" i="1"/>
  <c r="Q292" i="1"/>
  <c r="R292" i="1"/>
  <c r="S292" i="1"/>
  <c r="T292" i="1"/>
  <c r="U292" i="1"/>
  <c r="V292" i="1"/>
  <c r="O293" i="1"/>
  <c r="P293" i="1"/>
  <c r="Q293" i="1"/>
  <c r="R293" i="1"/>
  <c r="S293" i="1"/>
  <c r="T293" i="1"/>
  <c r="U293" i="1"/>
  <c r="V293" i="1"/>
  <c r="O294" i="1"/>
  <c r="P294" i="1"/>
  <c r="Q294" i="1"/>
  <c r="R294" i="1"/>
  <c r="S294" i="1"/>
  <c r="T294" i="1"/>
  <c r="U294" i="1"/>
  <c r="V294" i="1"/>
  <c r="O295" i="1"/>
  <c r="P295" i="1"/>
  <c r="Q295" i="1"/>
  <c r="R295" i="1"/>
  <c r="S295" i="1"/>
  <c r="T295" i="1"/>
  <c r="U295" i="1"/>
  <c r="V295" i="1"/>
  <c r="O296" i="1"/>
  <c r="P296" i="1"/>
  <c r="Q296" i="1"/>
  <c r="R296" i="1"/>
  <c r="S296" i="1"/>
  <c r="T296" i="1"/>
  <c r="U296" i="1"/>
  <c r="V296" i="1"/>
  <c r="O297" i="1"/>
  <c r="P297" i="1"/>
  <c r="Q297" i="1"/>
  <c r="R297" i="1"/>
  <c r="S297" i="1"/>
  <c r="T297" i="1"/>
  <c r="U297" i="1"/>
  <c r="V297" i="1"/>
  <c r="O298" i="1"/>
  <c r="P298" i="1"/>
  <c r="Q298" i="1"/>
  <c r="R298" i="1"/>
  <c r="S298" i="1"/>
  <c r="T298" i="1"/>
  <c r="U298" i="1"/>
  <c r="V298" i="1"/>
  <c r="O299" i="1"/>
  <c r="P299" i="1"/>
  <c r="Q299" i="1"/>
  <c r="R299" i="1"/>
  <c r="S299" i="1"/>
  <c r="T299" i="1"/>
  <c r="U299" i="1"/>
  <c r="V299" i="1"/>
  <c r="O300" i="1"/>
  <c r="P300" i="1"/>
  <c r="Q300" i="1"/>
  <c r="R300" i="1"/>
  <c r="S300" i="1"/>
  <c r="T300" i="1"/>
  <c r="U300" i="1"/>
  <c r="V300" i="1"/>
  <c r="O301" i="1"/>
  <c r="P301" i="1"/>
  <c r="Q301" i="1"/>
  <c r="R301" i="1"/>
  <c r="S301" i="1"/>
  <c r="T301" i="1"/>
  <c r="U301" i="1"/>
  <c r="V301" i="1"/>
  <c r="O302" i="1"/>
  <c r="P302" i="1"/>
  <c r="Q302" i="1"/>
  <c r="R302" i="1"/>
  <c r="S302" i="1"/>
  <c r="T302" i="1"/>
  <c r="U302" i="1"/>
  <c r="V302" i="1"/>
  <c r="O303" i="1"/>
  <c r="P303" i="1"/>
  <c r="Q303" i="1"/>
  <c r="R303" i="1"/>
  <c r="S303" i="1"/>
  <c r="T303" i="1"/>
  <c r="U303" i="1"/>
  <c r="V303" i="1"/>
  <c r="O304" i="1"/>
  <c r="P304" i="1"/>
  <c r="Q304" i="1"/>
  <c r="R304" i="1"/>
  <c r="S304" i="1"/>
  <c r="T304" i="1"/>
  <c r="U304" i="1"/>
  <c r="V304" i="1"/>
  <c r="O305" i="1"/>
  <c r="P305" i="1"/>
  <c r="Q305" i="1"/>
  <c r="R305" i="1"/>
  <c r="S305" i="1"/>
  <c r="T305" i="1"/>
  <c r="U305" i="1"/>
  <c r="V305" i="1"/>
  <c r="O306" i="1"/>
  <c r="P306" i="1"/>
  <c r="Q306" i="1"/>
  <c r="R306" i="1"/>
  <c r="S306" i="1"/>
  <c r="T306" i="1"/>
  <c r="U306" i="1"/>
  <c r="V306" i="1"/>
  <c r="O307" i="1"/>
  <c r="P307" i="1"/>
  <c r="Q307" i="1"/>
  <c r="R307" i="1"/>
  <c r="S307" i="1"/>
  <c r="T307" i="1"/>
  <c r="U307" i="1"/>
  <c r="V307" i="1"/>
  <c r="O308" i="1"/>
  <c r="P308" i="1"/>
  <c r="Q308" i="1"/>
  <c r="R308" i="1"/>
  <c r="S308" i="1"/>
  <c r="T308" i="1"/>
  <c r="U308" i="1"/>
  <c r="V308" i="1"/>
  <c r="O309" i="1"/>
  <c r="P309" i="1"/>
  <c r="Q309" i="1"/>
  <c r="R309" i="1"/>
  <c r="S309" i="1"/>
  <c r="T309" i="1"/>
  <c r="U309" i="1"/>
  <c r="V309" i="1"/>
  <c r="O310" i="1"/>
  <c r="P310" i="1"/>
  <c r="Q310" i="1"/>
  <c r="R310" i="1"/>
  <c r="S310" i="1"/>
  <c r="T310" i="1"/>
  <c r="U310" i="1"/>
  <c r="V310" i="1"/>
  <c r="O311" i="1"/>
  <c r="P311" i="1"/>
  <c r="Q311" i="1"/>
  <c r="R311" i="1"/>
  <c r="S311" i="1"/>
  <c r="T311" i="1"/>
  <c r="U311" i="1"/>
  <c r="V311" i="1"/>
  <c r="O312" i="1"/>
  <c r="P312" i="1"/>
  <c r="Q312" i="1"/>
  <c r="R312" i="1"/>
  <c r="S312" i="1"/>
  <c r="T312" i="1"/>
  <c r="U312" i="1"/>
  <c r="V312" i="1"/>
  <c r="O313" i="1"/>
  <c r="P313" i="1"/>
  <c r="Q313" i="1"/>
  <c r="R313" i="1"/>
  <c r="S313" i="1"/>
  <c r="T313" i="1"/>
  <c r="U313" i="1"/>
  <c r="V313" i="1"/>
  <c r="O314" i="1"/>
  <c r="P314" i="1"/>
  <c r="Q314" i="1"/>
  <c r="R314" i="1"/>
  <c r="S314" i="1"/>
  <c r="T314" i="1"/>
  <c r="U314" i="1"/>
  <c r="V314" i="1"/>
  <c r="O315" i="1"/>
  <c r="P315" i="1"/>
  <c r="Q315" i="1"/>
  <c r="R315" i="1"/>
  <c r="S315" i="1"/>
  <c r="T315" i="1"/>
  <c r="U315" i="1"/>
  <c r="V315" i="1"/>
  <c r="O316" i="1"/>
  <c r="P316" i="1"/>
  <c r="Q316" i="1"/>
  <c r="R316" i="1"/>
  <c r="S316" i="1"/>
  <c r="T316" i="1"/>
  <c r="U316" i="1"/>
  <c r="V316" i="1"/>
  <c r="O317" i="1"/>
  <c r="P317" i="1"/>
  <c r="Q317" i="1"/>
  <c r="R317" i="1"/>
  <c r="S317" i="1"/>
  <c r="T317" i="1"/>
  <c r="U317" i="1"/>
  <c r="V317" i="1"/>
  <c r="O318" i="1"/>
  <c r="P318" i="1"/>
  <c r="Q318" i="1"/>
  <c r="R318" i="1"/>
  <c r="S318" i="1"/>
  <c r="T318" i="1"/>
  <c r="U318" i="1"/>
  <c r="V318" i="1"/>
  <c r="O319" i="1"/>
  <c r="P319" i="1"/>
  <c r="Q319" i="1"/>
  <c r="R319" i="1"/>
  <c r="S319" i="1"/>
  <c r="T319" i="1"/>
  <c r="U319" i="1"/>
  <c r="V319" i="1"/>
  <c r="O320" i="1"/>
  <c r="P320" i="1"/>
  <c r="Q320" i="1"/>
  <c r="R320" i="1"/>
  <c r="S320" i="1"/>
  <c r="T320" i="1"/>
  <c r="U320" i="1"/>
  <c r="V320" i="1"/>
  <c r="O321" i="1"/>
  <c r="P321" i="1"/>
  <c r="Q321" i="1"/>
  <c r="R321" i="1"/>
  <c r="S321" i="1"/>
  <c r="T321" i="1"/>
  <c r="U321" i="1"/>
  <c r="V321" i="1"/>
  <c r="O322" i="1"/>
  <c r="P322" i="1"/>
  <c r="Q322" i="1"/>
  <c r="R322" i="1"/>
  <c r="S322" i="1"/>
  <c r="T322" i="1"/>
  <c r="U322" i="1"/>
  <c r="V322" i="1"/>
  <c r="O323" i="1"/>
  <c r="P323" i="1"/>
  <c r="Q323" i="1"/>
  <c r="R323" i="1"/>
  <c r="S323" i="1"/>
  <c r="T323" i="1"/>
  <c r="U323" i="1"/>
  <c r="V323" i="1"/>
  <c r="O324" i="1"/>
  <c r="P324" i="1"/>
  <c r="Q324" i="1"/>
  <c r="R324" i="1"/>
  <c r="S324" i="1"/>
  <c r="T324" i="1"/>
  <c r="U324" i="1"/>
  <c r="V324" i="1"/>
  <c r="O325" i="1"/>
  <c r="P325" i="1"/>
  <c r="Q325" i="1"/>
  <c r="R325" i="1"/>
  <c r="S325" i="1"/>
  <c r="T325" i="1"/>
  <c r="U325" i="1"/>
  <c r="V325" i="1"/>
  <c r="O326" i="1"/>
  <c r="P326" i="1"/>
  <c r="Q326" i="1"/>
  <c r="R326" i="1"/>
  <c r="S326" i="1"/>
  <c r="T326" i="1"/>
  <c r="U326" i="1"/>
  <c r="V326" i="1"/>
  <c r="O327" i="1"/>
  <c r="P327" i="1"/>
  <c r="Q327" i="1"/>
  <c r="R327" i="1"/>
  <c r="S327" i="1"/>
  <c r="T327" i="1"/>
  <c r="U327" i="1"/>
  <c r="V327" i="1"/>
  <c r="O328" i="1"/>
  <c r="P328" i="1"/>
  <c r="Q328" i="1"/>
  <c r="R328" i="1"/>
  <c r="S328" i="1"/>
  <c r="T328" i="1"/>
  <c r="U328" i="1"/>
  <c r="V328" i="1"/>
  <c r="O329" i="1"/>
  <c r="P329" i="1"/>
  <c r="Q329" i="1"/>
  <c r="R329" i="1"/>
  <c r="S329" i="1"/>
  <c r="T329" i="1"/>
  <c r="U329" i="1"/>
  <c r="V329" i="1"/>
  <c r="O330" i="1"/>
  <c r="P330" i="1"/>
  <c r="Q330" i="1"/>
  <c r="R330" i="1"/>
  <c r="S330" i="1"/>
  <c r="T330" i="1"/>
  <c r="U330" i="1"/>
  <c r="V330" i="1"/>
  <c r="O331" i="1"/>
  <c r="P331" i="1"/>
  <c r="Q331" i="1"/>
  <c r="R331" i="1"/>
  <c r="S331" i="1"/>
  <c r="T331" i="1"/>
  <c r="U331" i="1"/>
  <c r="V331" i="1"/>
  <c r="O332" i="1"/>
  <c r="P332" i="1"/>
  <c r="Q332" i="1"/>
  <c r="R332" i="1"/>
  <c r="S332" i="1"/>
  <c r="T332" i="1"/>
  <c r="U332" i="1"/>
  <c r="V332" i="1"/>
  <c r="O333" i="1"/>
  <c r="P333" i="1"/>
  <c r="Q333" i="1"/>
  <c r="R333" i="1"/>
  <c r="S333" i="1"/>
  <c r="T333" i="1"/>
  <c r="U333" i="1"/>
  <c r="V333" i="1"/>
  <c r="O334" i="1"/>
  <c r="P334" i="1"/>
  <c r="Q334" i="1"/>
  <c r="R334" i="1"/>
  <c r="S334" i="1"/>
  <c r="T334" i="1"/>
  <c r="U334" i="1"/>
  <c r="V334" i="1"/>
  <c r="O335" i="1"/>
  <c r="P335" i="1"/>
  <c r="Q335" i="1"/>
  <c r="R335" i="1"/>
  <c r="S335" i="1"/>
  <c r="T335" i="1"/>
  <c r="U335" i="1"/>
  <c r="V335" i="1"/>
  <c r="O336" i="1"/>
  <c r="P336" i="1"/>
  <c r="Q336" i="1"/>
  <c r="R336" i="1"/>
  <c r="S336" i="1"/>
  <c r="T336" i="1"/>
  <c r="U336" i="1"/>
  <c r="V336" i="1"/>
  <c r="O337" i="1"/>
  <c r="P337" i="1"/>
  <c r="Q337" i="1"/>
  <c r="R337" i="1"/>
  <c r="S337" i="1"/>
  <c r="T337" i="1"/>
  <c r="U337" i="1"/>
  <c r="V337" i="1"/>
  <c r="O338" i="1"/>
  <c r="P338" i="1"/>
  <c r="Q338" i="1"/>
  <c r="R338" i="1"/>
  <c r="S338" i="1"/>
  <c r="T338" i="1"/>
  <c r="U338" i="1"/>
  <c r="V338" i="1"/>
  <c r="O339" i="1"/>
  <c r="P339" i="1"/>
  <c r="Q339" i="1"/>
  <c r="R339" i="1"/>
  <c r="S339" i="1"/>
  <c r="T339" i="1"/>
  <c r="U339" i="1"/>
  <c r="V339" i="1"/>
  <c r="O340" i="1"/>
  <c r="P340" i="1"/>
  <c r="Q340" i="1"/>
  <c r="R340" i="1"/>
  <c r="S340" i="1"/>
  <c r="T340" i="1"/>
  <c r="U340" i="1"/>
  <c r="V340" i="1"/>
  <c r="O341" i="1"/>
  <c r="P341" i="1"/>
  <c r="Q341" i="1"/>
  <c r="R341" i="1"/>
  <c r="S341" i="1"/>
  <c r="T341" i="1"/>
  <c r="U341" i="1"/>
  <c r="V341" i="1"/>
  <c r="O342" i="1"/>
  <c r="P342" i="1"/>
  <c r="Q342" i="1"/>
  <c r="R342" i="1"/>
  <c r="S342" i="1"/>
  <c r="T342" i="1"/>
  <c r="U342" i="1"/>
  <c r="V342" i="1"/>
  <c r="O343" i="1"/>
  <c r="P343" i="1"/>
  <c r="Q343" i="1"/>
  <c r="R343" i="1"/>
  <c r="S343" i="1"/>
  <c r="T343" i="1"/>
  <c r="U343" i="1"/>
  <c r="V343" i="1"/>
  <c r="O344" i="1"/>
  <c r="P344" i="1"/>
  <c r="Q344" i="1"/>
  <c r="R344" i="1"/>
  <c r="S344" i="1"/>
  <c r="T344" i="1"/>
  <c r="U344" i="1"/>
  <c r="V344" i="1"/>
  <c r="O345" i="1"/>
  <c r="P345" i="1"/>
  <c r="Q345" i="1"/>
  <c r="R345" i="1"/>
  <c r="S345" i="1"/>
  <c r="T345" i="1"/>
  <c r="U345" i="1"/>
  <c r="V345" i="1"/>
  <c r="O346" i="1"/>
  <c r="P346" i="1"/>
  <c r="Q346" i="1"/>
  <c r="R346" i="1"/>
  <c r="S346" i="1"/>
  <c r="T346" i="1"/>
  <c r="U346" i="1"/>
  <c r="V346" i="1"/>
  <c r="O347" i="1"/>
  <c r="P347" i="1"/>
  <c r="Q347" i="1"/>
  <c r="R347" i="1"/>
  <c r="S347" i="1"/>
  <c r="T347" i="1"/>
  <c r="U347" i="1"/>
  <c r="V347" i="1"/>
  <c r="O348" i="1"/>
  <c r="P348" i="1"/>
  <c r="Q348" i="1"/>
  <c r="R348" i="1"/>
  <c r="S348" i="1"/>
  <c r="T348" i="1"/>
  <c r="U348" i="1"/>
  <c r="V348" i="1"/>
  <c r="O349" i="1"/>
  <c r="P349" i="1"/>
  <c r="Q349" i="1"/>
  <c r="R349" i="1"/>
  <c r="S349" i="1"/>
  <c r="T349" i="1"/>
  <c r="U349" i="1"/>
  <c r="V349" i="1"/>
  <c r="O350" i="1"/>
  <c r="P350" i="1"/>
  <c r="Q350" i="1"/>
  <c r="R350" i="1"/>
  <c r="S350" i="1"/>
  <c r="T350" i="1"/>
  <c r="U350" i="1"/>
  <c r="V350" i="1"/>
  <c r="O351" i="1"/>
  <c r="P351" i="1"/>
  <c r="Q351" i="1"/>
  <c r="R351" i="1"/>
  <c r="S351" i="1"/>
  <c r="T351" i="1"/>
  <c r="U351" i="1"/>
  <c r="V351" i="1"/>
  <c r="O352" i="1"/>
  <c r="P352" i="1"/>
  <c r="Q352" i="1"/>
  <c r="R352" i="1"/>
  <c r="S352" i="1"/>
  <c r="T352" i="1"/>
  <c r="U352" i="1"/>
  <c r="V352" i="1"/>
  <c r="O353" i="1"/>
  <c r="P353" i="1"/>
  <c r="Q353" i="1"/>
  <c r="R353" i="1"/>
  <c r="S353" i="1"/>
  <c r="T353" i="1"/>
  <c r="U353" i="1"/>
  <c r="V353" i="1"/>
  <c r="O354" i="1"/>
  <c r="P354" i="1"/>
  <c r="Q354" i="1"/>
  <c r="R354" i="1"/>
  <c r="S354" i="1"/>
  <c r="T354" i="1"/>
  <c r="U354" i="1"/>
  <c r="V354" i="1"/>
  <c r="O355" i="1"/>
  <c r="P355" i="1"/>
  <c r="Q355" i="1"/>
  <c r="R355" i="1"/>
  <c r="S355" i="1"/>
  <c r="T355" i="1"/>
  <c r="U355" i="1"/>
  <c r="V355" i="1"/>
  <c r="O356" i="1"/>
  <c r="P356" i="1"/>
  <c r="Q356" i="1"/>
  <c r="R356" i="1"/>
  <c r="S356" i="1"/>
  <c r="T356" i="1"/>
  <c r="U356" i="1"/>
  <c r="V356" i="1"/>
  <c r="O357" i="1"/>
  <c r="P357" i="1"/>
  <c r="Q357" i="1"/>
  <c r="R357" i="1"/>
  <c r="S357" i="1"/>
  <c r="T357" i="1"/>
  <c r="U357" i="1"/>
  <c r="V357" i="1"/>
  <c r="O358" i="1"/>
  <c r="P358" i="1"/>
  <c r="Q358" i="1"/>
  <c r="R358" i="1"/>
  <c r="S358" i="1"/>
  <c r="T358" i="1"/>
  <c r="U358" i="1"/>
  <c r="V358" i="1"/>
  <c r="O359" i="1"/>
  <c r="P359" i="1"/>
  <c r="Q359" i="1"/>
  <c r="R359" i="1"/>
  <c r="S359" i="1"/>
  <c r="T359" i="1"/>
  <c r="U359" i="1"/>
  <c r="V359" i="1"/>
  <c r="O360" i="1"/>
  <c r="P360" i="1"/>
  <c r="Q360" i="1"/>
  <c r="R360" i="1"/>
  <c r="S360" i="1"/>
  <c r="T360" i="1"/>
  <c r="U360" i="1"/>
  <c r="V360" i="1"/>
  <c r="O361" i="1"/>
  <c r="P361" i="1"/>
  <c r="Q361" i="1"/>
  <c r="R361" i="1"/>
  <c r="S361" i="1"/>
  <c r="T361" i="1"/>
  <c r="U361" i="1"/>
  <c r="V361" i="1"/>
  <c r="O362" i="1"/>
  <c r="P362" i="1"/>
  <c r="Q362" i="1"/>
  <c r="R362" i="1"/>
  <c r="S362" i="1"/>
  <c r="T362" i="1"/>
  <c r="U362" i="1"/>
  <c r="V362" i="1"/>
  <c r="O363" i="1"/>
  <c r="P363" i="1"/>
  <c r="Q363" i="1"/>
  <c r="R363" i="1"/>
  <c r="S363" i="1"/>
  <c r="T363" i="1"/>
  <c r="U363" i="1"/>
  <c r="V363" i="1"/>
  <c r="O364" i="1"/>
  <c r="P364" i="1"/>
  <c r="Q364" i="1"/>
  <c r="R364" i="1"/>
  <c r="S364" i="1"/>
  <c r="T364" i="1"/>
  <c r="U364" i="1"/>
  <c r="V364" i="1"/>
  <c r="O365" i="1"/>
  <c r="P365" i="1"/>
  <c r="Q365" i="1"/>
  <c r="R365" i="1"/>
  <c r="S365" i="1"/>
  <c r="T365" i="1"/>
  <c r="U365" i="1"/>
  <c r="V365" i="1"/>
  <c r="O366" i="1"/>
  <c r="P366" i="1"/>
  <c r="Q366" i="1"/>
  <c r="R366" i="1"/>
  <c r="S366" i="1"/>
  <c r="T366" i="1"/>
  <c r="U366" i="1"/>
  <c r="V366" i="1"/>
  <c r="O367" i="1"/>
  <c r="P367" i="1"/>
  <c r="Q367" i="1"/>
  <c r="R367" i="1"/>
  <c r="S367" i="1"/>
  <c r="T367" i="1"/>
  <c r="U367" i="1"/>
  <c r="V367" i="1"/>
  <c r="O368" i="1"/>
  <c r="P368" i="1"/>
  <c r="Q368" i="1"/>
  <c r="R368" i="1"/>
  <c r="S368" i="1"/>
  <c r="T368" i="1"/>
  <c r="U368" i="1"/>
  <c r="V368" i="1"/>
  <c r="O369" i="1"/>
  <c r="P369" i="1"/>
  <c r="Q369" i="1"/>
  <c r="R369" i="1"/>
  <c r="S369" i="1"/>
  <c r="T369" i="1"/>
  <c r="U369" i="1"/>
  <c r="V369" i="1"/>
  <c r="O370" i="1"/>
  <c r="P370" i="1"/>
  <c r="Q370" i="1"/>
  <c r="R370" i="1"/>
  <c r="S370" i="1"/>
  <c r="T370" i="1"/>
  <c r="U370" i="1"/>
  <c r="V370" i="1"/>
  <c r="O371" i="1"/>
  <c r="P371" i="1"/>
  <c r="Q371" i="1"/>
  <c r="R371" i="1"/>
  <c r="S371" i="1"/>
  <c r="T371" i="1"/>
  <c r="U371" i="1"/>
  <c r="V371" i="1"/>
  <c r="O372" i="1"/>
  <c r="P372" i="1"/>
  <c r="Q372" i="1"/>
  <c r="R372" i="1"/>
  <c r="S372" i="1"/>
  <c r="T372" i="1"/>
  <c r="U372" i="1"/>
  <c r="V372" i="1"/>
  <c r="O373" i="1"/>
  <c r="P373" i="1"/>
  <c r="Q373" i="1"/>
  <c r="R373" i="1"/>
  <c r="S373" i="1"/>
  <c r="T373" i="1"/>
  <c r="U373" i="1"/>
  <c r="V373" i="1"/>
  <c r="O374" i="1"/>
  <c r="P374" i="1"/>
  <c r="Q374" i="1"/>
  <c r="R374" i="1"/>
  <c r="S374" i="1"/>
  <c r="T374" i="1"/>
  <c r="U374" i="1"/>
  <c r="V374" i="1"/>
  <c r="O375" i="1"/>
  <c r="P375" i="1"/>
  <c r="Q375" i="1"/>
  <c r="R375" i="1"/>
  <c r="S375" i="1"/>
  <c r="T375" i="1"/>
  <c r="U375" i="1"/>
  <c r="V375" i="1"/>
  <c r="O376" i="1"/>
  <c r="P376" i="1"/>
  <c r="Q376" i="1"/>
  <c r="R376" i="1"/>
  <c r="S376" i="1"/>
  <c r="T376" i="1"/>
  <c r="U376" i="1"/>
  <c r="V376" i="1"/>
  <c r="O377" i="1"/>
  <c r="P377" i="1"/>
  <c r="Q377" i="1"/>
  <c r="R377" i="1"/>
  <c r="S377" i="1"/>
  <c r="T377" i="1"/>
  <c r="U377" i="1"/>
  <c r="V377" i="1"/>
  <c r="O378" i="1"/>
  <c r="P378" i="1"/>
  <c r="Q378" i="1"/>
  <c r="R378" i="1"/>
  <c r="S378" i="1"/>
  <c r="T378" i="1"/>
  <c r="U378" i="1"/>
  <c r="V378" i="1"/>
  <c r="O379" i="1"/>
  <c r="P379" i="1"/>
  <c r="Q379" i="1"/>
  <c r="R379" i="1"/>
  <c r="S379" i="1"/>
  <c r="T379" i="1"/>
  <c r="U379" i="1"/>
  <c r="V379" i="1"/>
  <c r="O380" i="1"/>
  <c r="P380" i="1"/>
  <c r="Q380" i="1"/>
  <c r="R380" i="1"/>
  <c r="S380" i="1"/>
  <c r="T380" i="1"/>
  <c r="U380" i="1"/>
  <c r="V380" i="1"/>
  <c r="O381" i="1"/>
  <c r="P381" i="1"/>
  <c r="Q381" i="1"/>
  <c r="R381" i="1"/>
  <c r="S381" i="1"/>
  <c r="T381" i="1"/>
  <c r="U381" i="1"/>
  <c r="V381" i="1"/>
  <c r="O382" i="1"/>
  <c r="P382" i="1"/>
  <c r="Q382" i="1"/>
  <c r="R382" i="1"/>
  <c r="S382" i="1"/>
  <c r="T382" i="1"/>
  <c r="U382" i="1"/>
  <c r="V382" i="1"/>
  <c r="O383" i="1"/>
  <c r="P383" i="1"/>
  <c r="Q383" i="1"/>
  <c r="R383" i="1"/>
  <c r="S383" i="1"/>
  <c r="T383" i="1"/>
  <c r="U383" i="1"/>
  <c r="V383" i="1"/>
  <c r="O384" i="1"/>
  <c r="P384" i="1"/>
  <c r="Q384" i="1"/>
  <c r="R384" i="1"/>
  <c r="S384" i="1"/>
  <c r="T384" i="1"/>
  <c r="U384" i="1"/>
  <c r="V384" i="1"/>
  <c r="O385" i="1"/>
  <c r="P385" i="1"/>
  <c r="Q385" i="1"/>
  <c r="R385" i="1"/>
  <c r="S385" i="1"/>
  <c r="T385" i="1"/>
  <c r="U385" i="1"/>
  <c r="V385" i="1"/>
  <c r="O386" i="1"/>
  <c r="P386" i="1"/>
  <c r="Q386" i="1"/>
  <c r="R386" i="1"/>
  <c r="S386" i="1"/>
  <c r="T386" i="1"/>
  <c r="U386" i="1"/>
  <c r="V386" i="1"/>
  <c r="O387" i="1"/>
  <c r="P387" i="1"/>
  <c r="Q387" i="1"/>
  <c r="R387" i="1"/>
  <c r="S387" i="1"/>
  <c r="T387" i="1"/>
  <c r="U387" i="1"/>
  <c r="V387" i="1"/>
  <c r="O388" i="1"/>
  <c r="P388" i="1"/>
  <c r="Q388" i="1"/>
  <c r="R388" i="1"/>
  <c r="S388" i="1"/>
  <c r="T388" i="1"/>
  <c r="U388" i="1"/>
  <c r="V388" i="1"/>
  <c r="O389" i="1"/>
  <c r="P389" i="1"/>
  <c r="Q389" i="1"/>
  <c r="R389" i="1"/>
  <c r="S389" i="1"/>
  <c r="T389" i="1"/>
  <c r="U389" i="1"/>
  <c r="V389" i="1"/>
  <c r="O390" i="1"/>
  <c r="P390" i="1"/>
  <c r="Q390" i="1"/>
  <c r="R390" i="1"/>
  <c r="S390" i="1"/>
  <c r="T390" i="1"/>
  <c r="U390" i="1"/>
  <c r="V390" i="1"/>
  <c r="O391" i="1"/>
  <c r="P391" i="1"/>
  <c r="Q391" i="1"/>
  <c r="R391" i="1"/>
  <c r="S391" i="1"/>
  <c r="T391" i="1"/>
  <c r="U391" i="1"/>
  <c r="V391" i="1"/>
  <c r="O392" i="1"/>
  <c r="P392" i="1"/>
  <c r="Q392" i="1"/>
  <c r="R392" i="1"/>
  <c r="S392" i="1"/>
  <c r="T392" i="1"/>
  <c r="U392" i="1"/>
  <c r="V392" i="1"/>
  <c r="O393" i="1"/>
  <c r="P393" i="1"/>
  <c r="Q393" i="1"/>
  <c r="R393" i="1"/>
  <c r="S393" i="1"/>
  <c r="T393" i="1"/>
  <c r="U393" i="1"/>
  <c r="V393" i="1"/>
  <c r="O394" i="1"/>
  <c r="P394" i="1"/>
  <c r="Q394" i="1"/>
  <c r="R394" i="1"/>
  <c r="S394" i="1"/>
  <c r="T394" i="1"/>
  <c r="U394" i="1"/>
  <c r="V394" i="1"/>
  <c r="O395" i="1"/>
  <c r="P395" i="1"/>
  <c r="Q395" i="1"/>
  <c r="R395" i="1"/>
  <c r="S395" i="1"/>
  <c r="T395" i="1"/>
  <c r="U395" i="1"/>
  <c r="V395" i="1"/>
  <c r="O396" i="1"/>
  <c r="P396" i="1"/>
  <c r="Q396" i="1"/>
  <c r="R396" i="1"/>
  <c r="S396" i="1"/>
  <c r="T396" i="1"/>
  <c r="U396" i="1"/>
  <c r="V396" i="1"/>
  <c r="O397" i="1"/>
  <c r="P397" i="1"/>
  <c r="Q397" i="1"/>
  <c r="R397" i="1"/>
  <c r="S397" i="1"/>
  <c r="T397" i="1"/>
  <c r="U397" i="1"/>
  <c r="V397" i="1"/>
  <c r="O398" i="1"/>
  <c r="P398" i="1"/>
  <c r="Q398" i="1"/>
  <c r="R398" i="1"/>
  <c r="S398" i="1"/>
  <c r="T398" i="1"/>
  <c r="U398" i="1"/>
  <c r="V398" i="1"/>
  <c r="O399" i="1"/>
  <c r="P399" i="1"/>
  <c r="Q399" i="1"/>
  <c r="R399" i="1"/>
  <c r="S399" i="1"/>
  <c r="T399" i="1"/>
  <c r="U399" i="1"/>
  <c r="V399" i="1"/>
  <c r="O400" i="1"/>
  <c r="P400" i="1"/>
  <c r="Q400" i="1"/>
  <c r="R400" i="1"/>
  <c r="S400" i="1"/>
  <c r="T400" i="1"/>
  <c r="U400" i="1"/>
  <c r="V400" i="1"/>
  <c r="O401" i="1"/>
  <c r="P401" i="1"/>
  <c r="Q401" i="1"/>
  <c r="R401" i="1"/>
  <c r="S401" i="1"/>
  <c r="T401" i="1"/>
  <c r="U401" i="1"/>
  <c r="V401" i="1"/>
  <c r="O402" i="1"/>
  <c r="P402" i="1"/>
  <c r="Q402" i="1"/>
  <c r="R402" i="1"/>
  <c r="S402" i="1"/>
  <c r="T402" i="1"/>
  <c r="U402" i="1"/>
  <c r="V402" i="1"/>
  <c r="O403" i="1"/>
  <c r="P403" i="1"/>
  <c r="Q403" i="1"/>
  <c r="R403" i="1"/>
  <c r="S403" i="1"/>
  <c r="T403" i="1"/>
  <c r="U403" i="1"/>
  <c r="V403" i="1"/>
  <c r="O404" i="1"/>
  <c r="P404" i="1"/>
  <c r="Q404" i="1"/>
  <c r="R404" i="1"/>
  <c r="S404" i="1"/>
  <c r="T404" i="1"/>
  <c r="U404" i="1"/>
  <c r="V404" i="1"/>
  <c r="O405" i="1"/>
  <c r="P405" i="1"/>
  <c r="Q405" i="1"/>
  <c r="R405" i="1"/>
  <c r="S405" i="1"/>
  <c r="T405" i="1"/>
  <c r="U405" i="1"/>
  <c r="V405" i="1"/>
  <c r="O406" i="1"/>
  <c r="P406" i="1"/>
  <c r="Q406" i="1"/>
  <c r="R406" i="1"/>
  <c r="S406" i="1"/>
  <c r="T406" i="1"/>
  <c r="U406" i="1"/>
  <c r="V406" i="1"/>
  <c r="O407" i="1"/>
  <c r="P407" i="1"/>
  <c r="Q407" i="1"/>
  <c r="R407" i="1"/>
  <c r="S407" i="1"/>
  <c r="T407" i="1"/>
  <c r="U407" i="1"/>
  <c r="V407" i="1"/>
  <c r="O408" i="1"/>
  <c r="P408" i="1"/>
  <c r="Q408" i="1"/>
  <c r="R408" i="1"/>
  <c r="S408" i="1"/>
  <c r="T408" i="1"/>
  <c r="U408" i="1"/>
  <c r="V408" i="1"/>
  <c r="O409" i="1"/>
  <c r="P409" i="1"/>
  <c r="Q409" i="1"/>
  <c r="R409" i="1"/>
  <c r="S409" i="1"/>
  <c r="T409" i="1"/>
  <c r="U409" i="1"/>
  <c r="V409" i="1"/>
  <c r="O410" i="1"/>
  <c r="P410" i="1"/>
  <c r="Q410" i="1"/>
  <c r="R410" i="1"/>
  <c r="S410" i="1"/>
  <c r="T410" i="1"/>
  <c r="U410" i="1"/>
  <c r="V410" i="1"/>
  <c r="O411" i="1"/>
  <c r="P411" i="1"/>
  <c r="Q411" i="1"/>
  <c r="R411" i="1"/>
  <c r="S411" i="1"/>
  <c r="T411" i="1"/>
  <c r="U411" i="1"/>
  <c r="V411" i="1"/>
  <c r="O412" i="1"/>
  <c r="P412" i="1"/>
  <c r="Q412" i="1"/>
  <c r="R412" i="1"/>
  <c r="S412" i="1"/>
  <c r="T412" i="1"/>
  <c r="U412" i="1"/>
  <c r="V412" i="1"/>
  <c r="O413" i="1"/>
  <c r="P413" i="1"/>
  <c r="Q413" i="1"/>
  <c r="R413" i="1"/>
  <c r="S413" i="1"/>
  <c r="T413" i="1"/>
  <c r="U413" i="1"/>
  <c r="V413" i="1"/>
  <c r="O414" i="1"/>
  <c r="P414" i="1"/>
  <c r="Q414" i="1"/>
  <c r="R414" i="1"/>
  <c r="S414" i="1"/>
  <c r="T414" i="1"/>
  <c r="U414" i="1"/>
  <c r="V414" i="1"/>
  <c r="O415" i="1"/>
  <c r="P415" i="1"/>
  <c r="Q415" i="1"/>
  <c r="R415" i="1"/>
  <c r="S415" i="1"/>
  <c r="T415" i="1"/>
  <c r="U415" i="1"/>
  <c r="V415" i="1"/>
  <c r="O416" i="1"/>
  <c r="P416" i="1"/>
  <c r="Q416" i="1"/>
  <c r="R416" i="1"/>
  <c r="S416" i="1"/>
  <c r="T416" i="1"/>
  <c r="U416" i="1"/>
  <c r="V416" i="1"/>
  <c r="O417" i="1"/>
  <c r="P417" i="1"/>
  <c r="Q417" i="1"/>
  <c r="R417" i="1"/>
  <c r="S417" i="1"/>
  <c r="T417" i="1"/>
  <c r="U417" i="1"/>
  <c r="V417" i="1"/>
  <c r="O418" i="1"/>
  <c r="P418" i="1"/>
  <c r="Q418" i="1"/>
  <c r="R418" i="1"/>
  <c r="S418" i="1"/>
  <c r="T418" i="1"/>
  <c r="U418" i="1"/>
  <c r="V418" i="1"/>
  <c r="O419" i="1"/>
  <c r="P419" i="1"/>
  <c r="Q419" i="1"/>
  <c r="R419" i="1"/>
  <c r="S419" i="1"/>
  <c r="T419" i="1"/>
  <c r="U419" i="1"/>
  <c r="V419" i="1"/>
  <c r="O420" i="1"/>
  <c r="P420" i="1"/>
  <c r="Q420" i="1"/>
  <c r="R420" i="1"/>
  <c r="S420" i="1"/>
  <c r="T420" i="1"/>
  <c r="U420" i="1"/>
  <c r="V420" i="1"/>
  <c r="O421" i="1"/>
  <c r="P421" i="1"/>
  <c r="Q421" i="1"/>
  <c r="R421" i="1"/>
  <c r="S421" i="1"/>
  <c r="T421" i="1"/>
  <c r="U421" i="1"/>
  <c r="V421" i="1"/>
  <c r="O422" i="1"/>
  <c r="P422" i="1"/>
  <c r="Q422" i="1"/>
  <c r="R422" i="1"/>
  <c r="S422" i="1"/>
  <c r="T422" i="1"/>
  <c r="U422" i="1"/>
  <c r="V422" i="1"/>
  <c r="O423" i="1"/>
  <c r="P423" i="1"/>
  <c r="Q423" i="1"/>
  <c r="R423" i="1"/>
  <c r="S423" i="1"/>
  <c r="T423" i="1"/>
  <c r="U423" i="1"/>
  <c r="V423" i="1"/>
  <c r="O424" i="1"/>
  <c r="P424" i="1"/>
  <c r="Q424" i="1"/>
  <c r="R424" i="1"/>
  <c r="S424" i="1"/>
  <c r="T424" i="1"/>
  <c r="U424" i="1"/>
  <c r="V424" i="1"/>
  <c r="O425" i="1"/>
  <c r="P425" i="1"/>
  <c r="Q425" i="1"/>
  <c r="R425" i="1"/>
  <c r="S425" i="1"/>
  <c r="T425" i="1"/>
  <c r="U425" i="1"/>
  <c r="V425" i="1"/>
  <c r="O426" i="1"/>
  <c r="P426" i="1"/>
  <c r="Q426" i="1"/>
  <c r="R426" i="1"/>
  <c r="S426" i="1"/>
  <c r="T426" i="1"/>
  <c r="U426" i="1"/>
  <c r="V426" i="1"/>
  <c r="O427" i="1"/>
  <c r="P427" i="1"/>
  <c r="Q427" i="1"/>
  <c r="R427" i="1"/>
  <c r="S427" i="1"/>
  <c r="T427" i="1"/>
  <c r="U427" i="1"/>
  <c r="V427" i="1"/>
  <c r="O428" i="1"/>
  <c r="P428" i="1"/>
  <c r="Q428" i="1"/>
  <c r="R428" i="1"/>
  <c r="S428" i="1"/>
  <c r="T428" i="1"/>
  <c r="U428" i="1"/>
  <c r="V428" i="1"/>
  <c r="O429" i="1"/>
  <c r="P429" i="1"/>
  <c r="Q429" i="1"/>
  <c r="R429" i="1"/>
  <c r="S429" i="1"/>
  <c r="T429" i="1"/>
  <c r="U429" i="1"/>
  <c r="V429" i="1"/>
  <c r="O430" i="1"/>
  <c r="P430" i="1"/>
  <c r="Q430" i="1"/>
  <c r="R430" i="1"/>
  <c r="S430" i="1"/>
  <c r="T430" i="1"/>
  <c r="U430" i="1"/>
  <c r="V430" i="1"/>
  <c r="O431" i="1"/>
  <c r="P431" i="1"/>
  <c r="Q431" i="1"/>
  <c r="R431" i="1"/>
  <c r="S431" i="1"/>
  <c r="T431" i="1"/>
  <c r="U431" i="1"/>
  <c r="V431" i="1"/>
  <c r="O432" i="1"/>
  <c r="P432" i="1"/>
  <c r="Q432" i="1"/>
  <c r="R432" i="1"/>
  <c r="S432" i="1"/>
  <c r="T432" i="1"/>
  <c r="U432" i="1"/>
  <c r="V432" i="1"/>
  <c r="O433" i="1"/>
  <c r="P433" i="1"/>
  <c r="Q433" i="1"/>
  <c r="R433" i="1"/>
  <c r="S433" i="1"/>
  <c r="T433" i="1"/>
  <c r="U433" i="1"/>
  <c r="V433" i="1"/>
  <c r="O434" i="1"/>
  <c r="P434" i="1"/>
  <c r="Q434" i="1"/>
  <c r="R434" i="1"/>
  <c r="S434" i="1"/>
  <c r="T434" i="1"/>
  <c r="U434" i="1"/>
  <c r="V434" i="1"/>
  <c r="O435" i="1"/>
  <c r="P435" i="1"/>
  <c r="Q435" i="1"/>
  <c r="R435" i="1"/>
  <c r="S435" i="1"/>
  <c r="T435" i="1"/>
  <c r="U435" i="1"/>
  <c r="V435" i="1"/>
  <c r="O436" i="1"/>
  <c r="P436" i="1"/>
  <c r="Q436" i="1"/>
  <c r="R436" i="1"/>
  <c r="S436" i="1"/>
  <c r="T436" i="1"/>
  <c r="U436" i="1"/>
  <c r="V436" i="1"/>
  <c r="O437" i="1"/>
  <c r="P437" i="1"/>
  <c r="Q437" i="1"/>
  <c r="R437" i="1"/>
  <c r="S437" i="1"/>
  <c r="T437" i="1"/>
  <c r="U437" i="1"/>
  <c r="V437" i="1"/>
  <c r="O438" i="1"/>
  <c r="P438" i="1"/>
  <c r="Q438" i="1"/>
  <c r="R438" i="1"/>
  <c r="S438" i="1"/>
  <c r="T438" i="1"/>
  <c r="U438" i="1"/>
  <c r="V438" i="1"/>
  <c r="O439" i="1"/>
  <c r="P439" i="1"/>
  <c r="Q439" i="1"/>
  <c r="R439" i="1"/>
  <c r="S439" i="1"/>
  <c r="T439" i="1"/>
  <c r="U439" i="1"/>
  <c r="V439" i="1"/>
  <c r="O440" i="1"/>
  <c r="P440" i="1"/>
  <c r="Q440" i="1"/>
  <c r="R440" i="1"/>
  <c r="S440" i="1"/>
  <c r="T440" i="1"/>
  <c r="U440" i="1"/>
  <c r="V440" i="1"/>
  <c r="O441" i="1"/>
  <c r="P441" i="1"/>
  <c r="Q441" i="1"/>
  <c r="R441" i="1"/>
  <c r="S441" i="1"/>
  <c r="T441" i="1"/>
  <c r="U441" i="1"/>
  <c r="V441" i="1"/>
  <c r="O442" i="1"/>
  <c r="P442" i="1"/>
  <c r="Q442" i="1"/>
  <c r="R442" i="1"/>
  <c r="S442" i="1"/>
  <c r="T442" i="1"/>
  <c r="U442" i="1"/>
  <c r="V442" i="1"/>
  <c r="O443" i="1"/>
  <c r="P443" i="1"/>
  <c r="Q443" i="1"/>
  <c r="R443" i="1"/>
  <c r="S443" i="1"/>
  <c r="T443" i="1"/>
  <c r="U443" i="1"/>
  <c r="V443" i="1"/>
  <c r="O444" i="1"/>
  <c r="P444" i="1"/>
  <c r="Q444" i="1"/>
  <c r="R444" i="1"/>
  <c r="S444" i="1"/>
  <c r="T444" i="1"/>
  <c r="U444" i="1"/>
  <c r="V444" i="1"/>
  <c r="O445" i="1"/>
  <c r="P445" i="1"/>
  <c r="Q445" i="1"/>
  <c r="R445" i="1"/>
  <c r="S445" i="1"/>
  <c r="T445" i="1"/>
  <c r="U445" i="1"/>
  <c r="V445" i="1"/>
  <c r="O446" i="1"/>
  <c r="P446" i="1"/>
  <c r="Q446" i="1"/>
  <c r="R446" i="1"/>
  <c r="S446" i="1"/>
  <c r="T446" i="1"/>
  <c r="U446" i="1"/>
  <c r="V446" i="1"/>
  <c r="O447" i="1"/>
  <c r="P447" i="1"/>
  <c r="Q447" i="1"/>
  <c r="R447" i="1"/>
  <c r="S447" i="1"/>
  <c r="T447" i="1"/>
  <c r="U447" i="1"/>
  <c r="V447" i="1"/>
  <c r="O448" i="1"/>
  <c r="P448" i="1"/>
  <c r="Q448" i="1"/>
  <c r="R448" i="1"/>
  <c r="S448" i="1"/>
  <c r="T448" i="1"/>
  <c r="U448" i="1"/>
  <c r="V448" i="1"/>
  <c r="O449" i="1"/>
  <c r="P449" i="1"/>
  <c r="Q449" i="1"/>
  <c r="R449" i="1"/>
  <c r="S449" i="1"/>
  <c r="T449" i="1"/>
  <c r="U449" i="1"/>
  <c r="V449" i="1"/>
  <c r="O450" i="1"/>
  <c r="P450" i="1"/>
  <c r="Q450" i="1"/>
  <c r="R450" i="1"/>
  <c r="S450" i="1"/>
  <c r="T450" i="1"/>
  <c r="U450" i="1"/>
  <c r="V450" i="1"/>
  <c r="O451" i="1"/>
  <c r="P451" i="1"/>
  <c r="Q451" i="1"/>
  <c r="R451" i="1"/>
  <c r="S451" i="1"/>
  <c r="T451" i="1"/>
  <c r="U451" i="1"/>
  <c r="V451" i="1"/>
  <c r="O452" i="1"/>
  <c r="P452" i="1"/>
  <c r="Q452" i="1"/>
  <c r="R452" i="1"/>
  <c r="S452" i="1"/>
  <c r="T452" i="1"/>
  <c r="U452" i="1"/>
  <c r="V452" i="1"/>
  <c r="O453" i="1"/>
  <c r="P453" i="1"/>
  <c r="Q453" i="1"/>
  <c r="R453" i="1"/>
  <c r="S453" i="1"/>
  <c r="T453" i="1"/>
  <c r="U453" i="1"/>
  <c r="V453" i="1"/>
  <c r="O454" i="1"/>
  <c r="P454" i="1"/>
  <c r="Q454" i="1"/>
  <c r="R454" i="1"/>
  <c r="S454" i="1"/>
  <c r="T454" i="1"/>
  <c r="U454" i="1"/>
  <c r="V454" i="1"/>
  <c r="O455" i="1"/>
  <c r="P455" i="1"/>
  <c r="Q455" i="1"/>
  <c r="R455" i="1"/>
  <c r="S455" i="1"/>
  <c r="T455" i="1"/>
  <c r="U455" i="1"/>
  <c r="V455" i="1"/>
  <c r="O456" i="1"/>
  <c r="P456" i="1"/>
  <c r="Q456" i="1"/>
  <c r="R456" i="1"/>
  <c r="S456" i="1"/>
  <c r="T456" i="1"/>
  <c r="U456" i="1"/>
  <c r="V456" i="1"/>
  <c r="O457" i="1"/>
  <c r="P457" i="1"/>
  <c r="Q457" i="1"/>
  <c r="R457" i="1"/>
  <c r="S457" i="1"/>
  <c r="T457" i="1"/>
  <c r="U457" i="1"/>
  <c r="V457" i="1"/>
  <c r="O458" i="1"/>
  <c r="P458" i="1"/>
  <c r="Q458" i="1"/>
  <c r="R458" i="1"/>
  <c r="S458" i="1"/>
  <c r="T458" i="1"/>
  <c r="U458" i="1"/>
  <c r="V458" i="1"/>
  <c r="O459" i="1"/>
  <c r="P459" i="1"/>
  <c r="Q459" i="1"/>
  <c r="R459" i="1"/>
  <c r="S459" i="1"/>
  <c r="T459" i="1"/>
  <c r="U459" i="1"/>
  <c r="V459" i="1"/>
  <c r="O460" i="1"/>
  <c r="P460" i="1"/>
  <c r="Q460" i="1"/>
  <c r="R460" i="1"/>
  <c r="S460" i="1"/>
  <c r="T460" i="1"/>
  <c r="U460" i="1"/>
  <c r="V460" i="1"/>
  <c r="O461" i="1"/>
  <c r="P461" i="1"/>
  <c r="Q461" i="1"/>
  <c r="R461" i="1"/>
  <c r="S461" i="1"/>
  <c r="T461" i="1"/>
  <c r="U461" i="1"/>
  <c r="V461" i="1"/>
  <c r="O462" i="1"/>
  <c r="P462" i="1"/>
  <c r="Q462" i="1"/>
  <c r="R462" i="1"/>
  <c r="S462" i="1"/>
  <c r="T462" i="1"/>
  <c r="U462" i="1"/>
  <c r="V462" i="1"/>
  <c r="O463" i="1"/>
  <c r="P463" i="1"/>
  <c r="Q463" i="1"/>
  <c r="R463" i="1"/>
  <c r="S463" i="1"/>
  <c r="T463" i="1"/>
  <c r="U463" i="1"/>
  <c r="V463" i="1"/>
  <c r="O464" i="1"/>
  <c r="P464" i="1"/>
  <c r="Q464" i="1"/>
  <c r="R464" i="1"/>
  <c r="S464" i="1"/>
  <c r="T464" i="1"/>
  <c r="U464" i="1"/>
  <c r="V464" i="1"/>
  <c r="O465" i="1"/>
  <c r="P465" i="1"/>
  <c r="Q465" i="1"/>
  <c r="R465" i="1"/>
  <c r="S465" i="1"/>
  <c r="T465" i="1"/>
  <c r="U465" i="1"/>
  <c r="V465" i="1"/>
  <c r="O466" i="1"/>
  <c r="P466" i="1"/>
  <c r="Q466" i="1"/>
  <c r="R466" i="1"/>
  <c r="S466" i="1"/>
  <c r="T466" i="1"/>
  <c r="U466" i="1"/>
  <c r="V466" i="1"/>
  <c r="O467" i="1"/>
  <c r="P467" i="1"/>
  <c r="Q467" i="1"/>
  <c r="R467" i="1"/>
  <c r="S467" i="1"/>
  <c r="T467" i="1"/>
  <c r="U467" i="1"/>
  <c r="V467" i="1"/>
  <c r="O468" i="1"/>
  <c r="P468" i="1"/>
  <c r="Q468" i="1"/>
  <c r="R468" i="1"/>
  <c r="S468" i="1"/>
  <c r="T468" i="1"/>
  <c r="U468" i="1"/>
  <c r="V468" i="1"/>
  <c r="O469" i="1"/>
  <c r="P469" i="1"/>
  <c r="Q469" i="1"/>
  <c r="R469" i="1"/>
  <c r="S469" i="1"/>
  <c r="T469" i="1"/>
  <c r="U469" i="1"/>
  <c r="V469" i="1"/>
  <c r="O470" i="1"/>
  <c r="P470" i="1"/>
  <c r="Q470" i="1"/>
  <c r="R470" i="1"/>
  <c r="S470" i="1"/>
  <c r="T470" i="1"/>
  <c r="U470" i="1"/>
  <c r="V470" i="1"/>
  <c r="O471" i="1"/>
  <c r="P471" i="1"/>
  <c r="Q471" i="1"/>
  <c r="R471" i="1"/>
  <c r="S471" i="1"/>
  <c r="T471" i="1"/>
  <c r="U471" i="1"/>
  <c r="V471" i="1"/>
  <c r="O472" i="1"/>
  <c r="P472" i="1"/>
  <c r="Q472" i="1"/>
  <c r="R472" i="1"/>
  <c r="S472" i="1"/>
  <c r="T472" i="1"/>
  <c r="U472" i="1"/>
  <c r="V472" i="1"/>
  <c r="O473" i="1"/>
  <c r="P473" i="1"/>
  <c r="Q473" i="1"/>
  <c r="R473" i="1"/>
  <c r="S473" i="1"/>
  <c r="T473" i="1"/>
  <c r="U473" i="1"/>
  <c r="V473" i="1"/>
  <c r="O474" i="1"/>
  <c r="P474" i="1"/>
  <c r="Q474" i="1"/>
  <c r="R474" i="1"/>
  <c r="S474" i="1"/>
  <c r="T474" i="1"/>
  <c r="U474" i="1"/>
  <c r="V474" i="1"/>
  <c r="O475" i="1"/>
  <c r="P475" i="1"/>
  <c r="Q475" i="1"/>
  <c r="R475" i="1"/>
  <c r="S475" i="1"/>
  <c r="T475" i="1"/>
  <c r="U475" i="1"/>
  <c r="V475" i="1"/>
  <c r="O476" i="1"/>
  <c r="P476" i="1"/>
  <c r="Q476" i="1"/>
  <c r="R476" i="1"/>
  <c r="S476" i="1"/>
  <c r="T476" i="1"/>
  <c r="U476" i="1"/>
  <c r="V476" i="1"/>
  <c r="O477" i="1"/>
  <c r="P477" i="1"/>
  <c r="Q477" i="1"/>
  <c r="R477" i="1"/>
  <c r="S477" i="1"/>
  <c r="T477" i="1"/>
  <c r="U477" i="1"/>
  <c r="V477" i="1"/>
  <c r="O478" i="1"/>
  <c r="P478" i="1"/>
  <c r="Q478" i="1"/>
  <c r="R478" i="1"/>
  <c r="S478" i="1"/>
  <c r="T478" i="1"/>
  <c r="U478" i="1"/>
  <c r="V478" i="1"/>
  <c r="O479" i="1"/>
  <c r="P479" i="1"/>
  <c r="Q479" i="1"/>
  <c r="R479" i="1"/>
  <c r="S479" i="1"/>
  <c r="T479" i="1"/>
  <c r="U479" i="1"/>
  <c r="V479" i="1"/>
  <c r="O480" i="1"/>
  <c r="P480" i="1"/>
  <c r="Q480" i="1"/>
  <c r="R480" i="1"/>
  <c r="S480" i="1"/>
  <c r="T480" i="1"/>
  <c r="U480" i="1"/>
  <c r="V480" i="1"/>
  <c r="O481" i="1"/>
  <c r="P481" i="1"/>
  <c r="Q481" i="1"/>
  <c r="R481" i="1"/>
  <c r="S481" i="1"/>
  <c r="T481" i="1"/>
  <c r="U481" i="1"/>
  <c r="V481" i="1"/>
  <c r="O482" i="1"/>
  <c r="P482" i="1"/>
  <c r="Q482" i="1"/>
  <c r="R482" i="1"/>
  <c r="S482" i="1"/>
  <c r="T482" i="1"/>
  <c r="U482" i="1"/>
  <c r="V482" i="1"/>
  <c r="O483" i="1"/>
  <c r="P483" i="1"/>
  <c r="Q483" i="1"/>
  <c r="R483" i="1"/>
  <c r="S483" i="1"/>
  <c r="T483" i="1"/>
  <c r="U483" i="1"/>
  <c r="V483" i="1"/>
  <c r="O484" i="1"/>
  <c r="P484" i="1"/>
  <c r="Q484" i="1"/>
  <c r="R484" i="1"/>
  <c r="S484" i="1"/>
  <c r="T484" i="1"/>
  <c r="U484" i="1"/>
  <c r="V484" i="1"/>
  <c r="O485" i="1"/>
  <c r="P485" i="1"/>
  <c r="Q485" i="1"/>
  <c r="R485" i="1"/>
  <c r="S485" i="1"/>
  <c r="T485" i="1"/>
  <c r="U485" i="1"/>
  <c r="V485" i="1"/>
  <c r="O486" i="1"/>
  <c r="P486" i="1"/>
  <c r="Q486" i="1"/>
  <c r="R486" i="1"/>
  <c r="S486" i="1"/>
  <c r="T486" i="1"/>
  <c r="U486" i="1"/>
  <c r="V486" i="1"/>
  <c r="O487" i="1"/>
  <c r="P487" i="1"/>
  <c r="Q487" i="1"/>
  <c r="R487" i="1"/>
  <c r="S487" i="1"/>
  <c r="T487" i="1"/>
  <c r="U487" i="1"/>
  <c r="V487" i="1"/>
  <c r="O488" i="1"/>
  <c r="P488" i="1"/>
  <c r="Q488" i="1"/>
  <c r="R488" i="1"/>
  <c r="S488" i="1"/>
  <c r="T488" i="1"/>
  <c r="U488" i="1"/>
  <c r="V488" i="1"/>
  <c r="O489" i="1"/>
  <c r="P489" i="1"/>
  <c r="Q489" i="1"/>
  <c r="R489" i="1"/>
  <c r="S489" i="1"/>
  <c r="T489" i="1"/>
  <c r="U489" i="1"/>
  <c r="V489" i="1"/>
  <c r="O490" i="1"/>
  <c r="P490" i="1"/>
  <c r="Q490" i="1"/>
  <c r="R490" i="1"/>
  <c r="S490" i="1"/>
  <c r="T490" i="1"/>
  <c r="U490" i="1"/>
  <c r="V490" i="1"/>
  <c r="O491" i="1"/>
  <c r="P491" i="1"/>
  <c r="Q491" i="1"/>
  <c r="R491" i="1"/>
  <c r="S491" i="1"/>
  <c r="T491" i="1"/>
  <c r="U491" i="1"/>
  <c r="V491" i="1"/>
  <c r="O492" i="1"/>
  <c r="P492" i="1"/>
  <c r="Q492" i="1"/>
  <c r="R492" i="1"/>
  <c r="S492" i="1"/>
  <c r="T492" i="1"/>
  <c r="U492" i="1"/>
  <c r="V492" i="1"/>
  <c r="O493" i="1"/>
  <c r="P493" i="1"/>
  <c r="Q493" i="1"/>
  <c r="R493" i="1"/>
  <c r="S493" i="1"/>
  <c r="T493" i="1"/>
  <c r="U493" i="1"/>
  <c r="V493" i="1"/>
  <c r="O494" i="1"/>
  <c r="P494" i="1"/>
  <c r="Q494" i="1"/>
  <c r="R494" i="1"/>
  <c r="S494" i="1"/>
  <c r="T494" i="1"/>
  <c r="U494" i="1"/>
  <c r="V494" i="1"/>
  <c r="O495" i="1"/>
  <c r="P495" i="1"/>
  <c r="Q495" i="1"/>
  <c r="R495" i="1"/>
  <c r="S495" i="1"/>
  <c r="T495" i="1"/>
  <c r="U495" i="1"/>
  <c r="V495" i="1"/>
  <c r="O496" i="1"/>
  <c r="P496" i="1"/>
  <c r="Q496" i="1"/>
  <c r="R496" i="1"/>
  <c r="S496" i="1"/>
  <c r="T496" i="1"/>
  <c r="U496" i="1"/>
  <c r="V496" i="1"/>
  <c r="O497" i="1"/>
  <c r="P497" i="1"/>
  <c r="Q497" i="1"/>
  <c r="R497" i="1"/>
  <c r="S497" i="1"/>
  <c r="T497" i="1"/>
  <c r="U497" i="1"/>
  <c r="V497" i="1"/>
  <c r="O498" i="1"/>
  <c r="P498" i="1"/>
  <c r="Q498" i="1"/>
  <c r="R498" i="1"/>
  <c r="S498" i="1"/>
  <c r="T498" i="1"/>
  <c r="U498" i="1"/>
  <c r="V498" i="1"/>
  <c r="O499" i="1"/>
  <c r="P499" i="1"/>
  <c r="Q499" i="1"/>
  <c r="R499" i="1"/>
  <c r="S499" i="1"/>
  <c r="T499" i="1"/>
  <c r="U499" i="1"/>
  <c r="V499" i="1"/>
  <c r="O500" i="1"/>
  <c r="P500" i="1"/>
  <c r="Q500" i="1"/>
  <c r="R500" i="1"/>
  <c r="S500" i="1"/>
  <c r="T500" i="1"/>
  <c r="U500" i="1"/>
  <c r="V500" i="1"/>
  <c r="O501" i="1"/>
  <c r="P501" i="1"/>
  <c r="Q501" i="1"/>
  <c r="R501" i="1"/>
  <c r="S501" i="1"/>
  <c r="T501" i="1"/>
  <c r="U501" i="1"/>
  <c r="V501" i="1"/>
  <c r="O502" i="1"/>
  <c r="P502" i="1"/>
  <c r="Q502" i="1"/>
  <c r="R502" i="1"/>
  <c r="S502" i="1"/>
  <c r="T502" i="1"/>
  <c r="U502" i="1"/>
  <c r="V502" i="1"/>
  <c r="O503" i="1"/>
  <c r="P503" i="1"/>
  <c r="Q503" i="1"/>
  <c r="R503" i="1"/>
  <c r="S503" i="1"/>
  <c r="T503" i="1"/>
  <c r="U503" i="1"/>
  <c r="V503" i="1"/>
  <c r="O504" i="1"/>
  <c r="P504" i="1"/>
  <c r="Q504" i="1"/>
  <c r="R504" i="1"/>
  <c r="S504" i="1"/>
  <c r="T504" i="1"/>
  <c r="U504" i="1"/>
  <c r="V504" i="1"/>
  <c r="O505" i="1"/>
  <c r="P505" i="1"/>
  <c r="Q505" i="1"/>
  <c r="R505" i="1"/>
  <c r="S505" i="1"/>
  <c r="T505" i="1"/>
  <c r="U505" i="1"/>
  <c r="V505" i="1"/>
  <c r="O506" i="1"/>
  <c r="P506" i="1"/>
  <c r="Q506" i="1"/>
  <c r="R506" i="1"/>
  <c r="S506" i="1"/>
  <c r="T506" i="1"/>
  <c r="U506" i="1"/>
  <c r="V506" i="1"/>
  <c r="O507" i="1"/>
  <c r="P507" i="1"/>
  <c r="Q507" i="1"/>
  <c r="R507" i="1"/>
  <c r="S507" i="1"/>
  <c r="T507" i="1"/>
  <c r="U507" i="1"/>
  <c r="V507" i="1"/>
  <c r="O508" i="1"/>
  <c r="P508" i="1"/>
  <c r="Q508" i="1"/>
  <c r="R508" i="1"/>
  <c r="S508" i="1"/>
  <c r="T508" i="1"/>
  <c r="U508" i="1"/>
  <c r="V508" i="1"/>
  <c r="O509" i="1"/>
  <c r="P509" i="1"/>
  <c r="Q509" i="1"/>
  <c r="R509" i="1"/>
  <c r="S509" i="1"/>
  <c r="T509" i="1"/>
  <c r="U509" i="1"/>
  <c r="V509" i="1"/>
  <c r="O510" i="1"/>
  <c r="P510" i="1"/>
  <c r="Q510" i="1"/>
  <c r="R510" i="1"/>
  <c r="S510" i="1"/>
  <c r="T510" i="1"/>
  <c r="U510" i="1"/>
  <c r="V510" i="1"/>
  <c r="O511" i="1"/>
  <c r="P511" i="1"/>
  <c r="Q511" i="1"/>
  <c r="R511" i="1"/>
  <c r="S511" i="1"/>
  <c r="T511" i="1"/>
  <c r="U511" i="1"/>
  <c r="V511" i="1"/>
  <c r="O512" i="1"/>
  <c r="P512" i="1"/>
  <c r="Q512" i="1"/>
  <c r="R512" i="1"/>
  <c r="S512" i="1"/>
  <c r="T512" i="1"/>
  <c r="U512" i="1"/>
  <c r="V512" i="1"/>
  <c r="O513" i="1"/>
  <c r="P513" i="1"/>
  <c r="Q513" i="1"/>
  <c r="R513" i="1"/>
  <c r="S513" i="1"/>
  <c r="T513" i="1"/>
  <c r="U513" i="1"/>
  <c r="V513" i="1"/>
  <c r="O514" i="1"/>
  <c r="P514" i="1"/>
  <c r="Q514" i="1"/>
  <c r="R514" i="1"/>
  <c r="S514" i="1"/>
  <c r="T514" i="1"/>
  <c r="U514" i="1"/>
  <c r="V514" i="1"/>
  <c r="O515" i="1"/>
  <c r="P515" i="1"/>
  <c r="Q515" i="1"/>
  <c r="R515" i="1"/>
  <c r="S515" i="1"/>
  <c r="T515" i="1"/>
  <c r="U515" i="1"/>
  <c r="V515" i="1"/>
  <c r="O516" i="1"/>
  <c r="P516" i="1"/>
  <c r="Q516" i="1"/>
  <c r="R516" i="1"/>
  <c r="S516" i="1"/>
  <c r="T516" i="1"/>
  <c r="U516" i="1"/>
  <c r="V516" i="1"/>
  <c r="O517" i="1"/>
  <c r="P517" i="1"/>
  <c r="Q517" i="1"/>
  <c r="R517" i="1"/>
  <c r="S517" i="1"/>
  <c r="T517" i="1"/>
  <c r="U517" i="1"/>
  <c r="V517" i="1"/>
  <c r="O518" i="1"/>
  <c r="P518" i="1"/>
  <c r="Q518" i="1"/>
  <c r="R518" i="1"/>
  <c r="S518" i="1"/>
  <c r="T518" i="1"/>
  <c r="U518" i="1"/>
  <c r="V518" i="1"/>
  <c r="O519" i="1"/>
  <c r="P519" i="1"/>
  <c r="Q519" i="1"/>
  <c r="R519" i="1"/>
  <c r="S519" i="1"/>
  <c r="T519" i="1"/>
  <c r="U519" i="1"/>
  <c r="V519" i="1"/>
  <c r="O520" i="1"/>
  <c r="P520" i="1"/>
  <c r="Q520" i="1"/>
  <c r="R520" i="1"/>
  <c r="S520" i="1"/>
  <c r="T520" i="1"/>
  <c r="U520" i="1"/>
  <c r="V520" i="1"/>
  <c r="O521" i="1"/>
  <c r="P521" i="1"/>
  <c r="Q521" i="1"/>
  <c r="R521" i="1"/>
  <c r="S521" i="1"/>
  <c r="T521" i="1"/>
  <c r="U521" i="1"/>
  <c r="V521" i="1"/>
  <c r="O522" i="1"/>
  <c r="P522" i="1"/>
  <c r="Q522" i="1"/>
  <c r="R522" i="1"/>
  <c r="S522" i="1"/>
  <c r="T522" i="1"/>
  <c r="U522" i="1"/>
  <c r="V522" i="1"/>
  <c r="O523" i="1"/>
  <c r="P523" i="1"/>
  <c r="Q523" i="1"/>
  <c r="R523" i="1"/>
  <c r="S523" i="1"/>
  <c r="T523" i="1"/>
  <c r="U523" i="1"/>
  <c r="V523" i="1"/>
  <c r="O524" i="1"/>
  <c r="P524" i="1"/>
  <c r="Q524" i="1"/>
  <c r="R524" i="1"/>
  <c r="S524" i="1"/>
  <c r="T524" i="1"/>
  <c r="U524" i="1"/>
  <c r="V524" i="1"/>
  <c r="O525" i="1"/>
  <c r="P525" i="1"/>
  <c r="Q525" i="1"/>
  <c r="R525" i="1"/>
  <c r="S525" i="1"/>
  <c r="T525" i="1"/>
  <c r="U525" i="1"/>
  <c r="V525" i="1"/>
  <c r="O526" i="1"/>
  <c r="P526" i="1"/>
  <c r="Q526" i="1"/>
  <c r="R526" i="1"/>
  <c r="S526" i="1"/>
  <c r="T526" i="1"/>
  <c r="U526" i="1"/>
  <c r="V526" i="1"/>
  <c r="O527" i="1"/>
  <c r="P527" i="1"/>
  <c r="Q527" i="1"/>
  <c r="R527" i="1"/>
  <c r="S527" i="1"/>
  <c r="T527" i="1"/>
  <c r="U527" i="1"/>
  <c r="V527" i="1"/>
  <c r="O528" i="1"/>
  <c r="P528" i="1"/>
  <c r="Q528" i="1"/>
  <c r="R528" i="1"/>
  <c r="S528" i="1"/>
  <c r="T528" i="1"/>
  <c r="U528" i="1"/>
  <c r="V528" i="1"/>
  <c r="O529" i="1"/>
  <c r="P529" i="1"/>
  <c r="Q529" i="1"/>
  <c r="R529" i="1"/>
  <c r="S529" i="1"/>
  <c r="T529" i="1"/>
  <c r="U529" i="1"/>
  <c r="V529" i="1"/>
  <c r="O530" i="1"/>
  <c r="P530" i="1"/>
  <c r="Q530" i="1"/>
  <c r="R530" i="1"/>
  <c r="S530" i="1"/>
  <c r="T530" i="1"/>
  <c r="U530" i="1"/>
  <c r="V530" i="1"/>
  <c r="O531" i="1"/>
  <c r="P531" i="1"/>
  <c r="Q531" i="1"/>
  <c r="R531" i="1"/>
  <c r="S531" i="1"/>
  <c r="T531" i="1"/>
  <c r="U531" i="1"/>
  <c r="V531" i="1"/>
  <c r="O532" i="1"/>
  <c r="P532" i="1"/>
  <c r="Q532" i="1"/>
  <c r="R532" i="1"/>
  <c r="S532" i="1"/>
  <c r="T532" i="1"/>
  <c r="U532" i="1"/>
  <c r="V532" i="1"/>
  <c r="O533" i="1"/>
  <c r="P533" i="1"/>
  <c r="Q533" i="1"/>
  <c r="R533" i="1"/>
  <c r="S533" i="1"/>
  <c r="T533" i="1"/>
  <c r="U533" i="1"/>
  <c r="V533" i="1"/>
  <c r="O534" i="1"/>
  <c r="P534" i="1"/>
  <c r="Q534" i="1"/>
  <c r="R534" i="1"/>
  <c r="S534" i="1"/>
  <c r="T534" i="1"/>
  <c r="U534" i="1"/>
  <c r="V534" i="1"/>
  <c r="O535" i="1"/>
  <c r="P535" i="1"/>
  <c r="Q535" i="1"/>
  <c r="R535" i="1"/>
  <c r="S535" i="1"/>
  <c r="T535" i="1"/>
  <c r="U535" i="1"/>
  <c r="V535" i="1"/>
  <c r="O536" i="1"/>
  <c r="P536" i="1"/>
  <c r="Q536" i="1"/>
  <c r="R536" i="1"/>
  <c r="S536" i="1"/>
  <c r="T536" i="1"/>
  <c r="U536" i="1"/>
  <c r="V536" i="1"/>
  <c r="O537" i="1"/>
  <c r="P537" i="1"/>
  <c r="Q537" i="1"/>
  <c r="R537" i="1"/>
  <c r="S537" i="1"/>
  <c r="T537" i="1"/>
  <c r="U537" i="1"/>
  <c r="V537" i="1"/>
  <c r="O538" i="1"/>
  <c r="P538" i="1"/>
  <c r="Q538" i="1"/>
  <c r="R538" i="1"/>
  <c r="S538" i="1"/>
  <c r="T538" i="1"/>
  <c r="U538" i="1"/>
  <c r="V538" i="1"/>
  <c r="O539" i="1"/>
  <c r="P539" i="1"/>
  <c r="Q539" i="1"/>
  <c r="R539" i="1"/>
  <c r="S539" i="1"/>
  <c r="T539" i="1"/>
  <c r="U539" i="1"/>
  <c r="V539" i="1"/>
  <c r="O540" i="1"/>
  <c r="P540" i="1"/>
  <c r="Q540" i="1"/>
  <c r="R540" i="1"/>
  <c r="S540" i="1"/>
  <c r="T540" i="1"/>
  <c r="U540" i="1"/>
  <c r="V540" i="1"/>
  <c r="O541" i="1"/>
  <c r="P541" i="1"/>
  <c r="Q541" i="1"/>
  <c r="R541" i="1"/>
  <c r="S541" i="1"/>
  <c r="T541" i="1"/>
  <c r="U541" i="1"/>
  <c r="V541" i="1"/>
  <c r="O542" i="1"/>
  <c r="P542" i="1"/>
  <c r="Q542" i="1"/>
  <c r="R542" i="1"/>
  <c r="S542" i="1"/>
  <c r="T542" i="1"/>
  <c r="U542" i="1"/>
  <c r="V542" i="1"/>
  <c r="O543" i="1"/>
  <c r="P543" i="1"/>
  <c r="Q543" i="1"/>
  <c r="R543" i="1"/>
  <c r="S543" i="1"/>
  <c r="T543" i="1"/>
  <c r="U543" i="1"/>
  <c r="V543" i="1"/>
  <c r="O544" i="1"/>
  <c r="P544" i="1"/>
  <c r="Q544" i="1"/>
  <c r="R544" i="1"/>
  <c r="S544" i="1"/>
  <c r="T544" i="1"/>
  <c r="U544" i="1"/>
  <c r="V544" i="1"/>
  <c r="O545" i="1"/>
  <c r="P545" i="1"/>
  <c r="Q545" i="1"/>
  <c r="R545" i="1"/>
  <c r="S545" i="1"/>
  <c r="T545" i="1"/>
  <c r="U545" i="1"/>
  <c r="V545" i="1"/>
  <c r="O546" i="1"/>
  <c r="P546" i="1"/>
  <c r="Q546" i="1"/>
  <c r="R546" i="1"/>
  <c r="S546" i="1"/>
  <c r="T546" i="1"/>
  <c r="U546" i="1"/>
  <c r="V546" i="1"/>
  <c r="O547" i="1"/>
  <c r="P547" i="1"/>
  <c r="Q547" i="1"/>
  <c r="R547" i="1"/>
  <c r="S547" i="1"/>
  <c r="T547" i="1"/>
  <c r="U547" i="1"/>
  <c r="V547" i="1"/>
  <c r="O548" i="1"/>
  <c r="P548" i="1"/>
  <c r="Q548" i="1"/>
  <c r="R548" i="1"/>
  <c r="S548" i="1"/>
  <c r="T548" i="1"/>
  <c r="U548" i="1"/>
  <c r="V548" i="1"/>
  <c r="O549" i="1"/>
  <c r="P549" i="1"/>
  <c r="Q549" i="1"/>
  <c r="R549" i="1"/>
  <c r="S549" i="1"/>
  <c r="T549" i="1"/>
  <c r="U549" i="1"/>
  <c r="V549" i="1"/>
  <c r="O550" i="1"/>
  <c r="P550" i="1"/>
  <c r="Q550" i="1"/>
  <c r="R550" i="1"/>
  <c r="S550" i="1"/>
  <c r="T550" i="1"/>
  <c r="U550" i="1"/>
  <c r="V550" i="1"/>
  <c r="O551" i="1"/>
  <c r="P551" i="1"/>
  <c r="Q551" i="1"/>
  <c r="R551" i="1"/>
  <c r="S551" i="1"/>
  <c r="T551" i="1"/>
  <c r="U551" i="1"/>
  <c r="V551" i="1"/>
  <c r="O552" i="1"/>
  <c r="P552" i="1"/>
  <c r="Q552" i="1"/>
  <c r="R552" i="1"/>
  <c r="S552" i="1"/>
  <c r="T552" i="1"/>
  <c r="U552" i="1"/>
  <c r="V552" i="1"/>
  <c r="O553" i="1"/>
  <c r="P553" i="1"/>
  <c r="Q553" i="1"/>
  <c r="R553" i="1"/>
  <c r="S553" i="1"/>
  <c r="T553" i="1"/>
  <c r="U553" i="1"/>
  <c r="V553" i="1"/>
  <c r="O554" i="1"/>
  <c r="P554" i="1"/>
  <c r="Q554" i="1"/>
  <c r="R554" i="1"/>
  <c r="S554" i="1"/>
  <c r="T554" i="1"/>
  <c r="U554" i="1"/>
  <c r="V554" i="1"/>
  <c r="O555" i="1"/>
  <c r="P555" i="1"/>
  <c r="Q555" i="1"/>
  <c r="R555" i="1"/>
  <c r="S555" i="1"/>
  <c r="T555" i="1"/>
  <c r="U555" i="1"/>
  <c r="V555" i="1"/>
  <c r="O556" i="1"/>
  <c r="P556" i="1"/>
  <c r="Q556" i="1"/>
  <c r="R556" i="1"/>
  <c r="S556" i="1"/>
  <c r="T556" i="1"/>
  <c r="U556" i="1"/>
  <c r="V556" i="1"/>
  <c r="O557" i="1"/>
  <c r="P557" i="1"/>
  <c r="Q557" i="1"/>
  <c r="R557" i="1"/>
  <c r="S557" i="1"/>
  <c r="T557" i="1"/>
  <c r="U557" i="1"/>
  <c r="V557" i="1"/>
  <c r="O558" i="1"/>
  <c r="P558" i="1"/>
  <c r="Q558" i="1"/>
  <c r="R558" i="1"/>
  <c r="S558" i="1"/>
  <c r="T558" i="1"/>
  <c r="U558" i="1"/>
  <c r="V558" i="1"/>
  <c r="O559" i="1"/>
  <c r="P559" i="1"/>
  <c r="Q559" i="1"/>
  <c r="R559" i="1"/>
  <c r="S559" i="1"/>
  <c r="T559" i="1"/>
  <c r="U559" i="1"/>
  <c r="V559" i="1"/>
  <c r="O560" i="1"/>
  <c r="P560" i="1"/>
  <c r="Q560" i="1"/>
  <c r="R560" i="1"/>
  <c r="S560" i="1"/>
  <c r="T560" i="1"/>
  <c r="U560" i="1"/>
  <c r="V560" i="1"/>
  <c r="O561" i="1"/>
  <c r="P561" i="1"/>
  <c r="Q561" i="1"/>
  <c r="R561" i="1"/>
  <c r="S561" i="1"/>
  <c r="T561" i="1"/>
  <c r="U561" i="1"/>
  <c r="V561" i="1"/>
  <c r="O562" i="1"/>
  <c r="P562" i="1"/>
  <c r="Q562" i="1"/>
  <c r="R562" i="1"/>
  <c r="S562" i="1"/>
  <c r="T562" i="1"/>
  <c r="U562" i="1"/>
  <c r="V562" i="1"/>
  <c r="O563" i="1"/>
  <c r="P563" i="1"/>
  <c r="Q563" i="1"/>
  <c r="R563" i="1"/>
  <c r="S563" i="1"/>
  <c r="T563" i="1"/>
  <c r="U563" i="1"/>
  <c r="V563" i="1"/>
  <c r="O564" i="1"/>
  <c r="P564" i="1"/>
  <c r="Q564" i="1"/>
  <c r="R564" i="1"/>
  <c r="S564" i="1"/>
  <c r="T564" i="1"/>
  <c r="U564" i="1"/>
  <c r="V564" i="1"/>
  <c r="O565" i="1"/>
  <c r="P565" i="1"/>
  <c r="Q565" i="1"/>
  <c r="R565" i="1"/>
  <c r="S565" i="1"/>
  <c r="T565" i="1"/>
  <c r="U565" i="1"/>
  <c r="V565" i="1"/>
  <c r="O566" i="1"/>
  <c r="P566" i="1"/>
  <c r="Q566" i="1"/>
  <c r="R566" i="1"/>
  <c r="S566" i="1"/>
  <c r="T566" i="1"/>
  <c r="U566" i="1"/>
  <c r="V566" i="1"/>
  <c r="O567" i="1"/>
  <c r="P567" i="1"/>
  <c r="Q567" i="1"/>
  <c r="R567" i="1"/>
  <c r="S567" i="1"/>
  <c r="T567" i="1"/>
  <c r="U567" i="1"/>
  <c r="V567" i="1"/>
  <c r="O568" i="1"/>
  <c r="P568" i="1"/>
  <c r="Q568" i="1"/>
  <c r="R568" i="1"/>
  <c r="S568" i="1"/>
  <c r="T568" i="1"/>
  <c r="U568" i="1"/>
  <c r="V568" i="1"/>
  <c r="O569" i="1"/>
  <c r="P569" i="1"/>
  <c r="Q569" i="1"/>
  <c r="R569" i="1"/>
  <c r="S569" i="1"/>
  <c r="T569" i="1"/>
  <c r="U569" i="1"/>
  <c r="V569" i="1"/>
  <c r="O570" i="1"/>
  <c r="P570" i="1"/>
  <c r="Q570" i="1"/>
  <c r="R570" i="1"/>
  <c r="S570" i="1"/>
  <c r="T570" i="1"/>
  <c r="U570" i="1"/>
  <c r="V570" i="1"/>
  <c r="O571" i="1"/>
  <c r="P571" i="1"/>
  <c r="Q571" i="1"/>
  <c r="R571" i="1"/>
  <c r="S571" i="1"/>
  <c r="T571" i="1"/>
  <c r="U571" i="1"/>
  <c r="V571" i="1"/>
  <c r="O572" i="1"/>
  <c r="P572" i="1"/>
  <c r="Q572" i="1"/>
  <c r="R572" i="1"/>
  <c r="S572" i="1"/>
  <c r="T572" i="1"/>
  <c r="U572" i="1"/>
  <c r="V572" i="1"/>
  <c r="O573" i="1"/>
  <c r="P573" i="1"/>
  <c r="Q573" i="1"/>
  <c r="R573" i="1"/>
  <c r="S573" i="1"/>
  <c r="T573" i="1"/>
  <c r="U573" i="1"/>
  <c r="V573" i="1"/>
  <c r="O574" i="1"/>
  <c r="P574" i="1"/>
  <c r="Q574" i="1"/>
  <c r="R574" i="1"/>
  <c r="S574" i="1"/>
  <c r="T574" i="1"/>
  <c r="U574" i="1"/>
  <c r="V574" i="1"/>
  <c r="O575" i="1"/>
  <c r="P575" i="1"/>
  <c r="Q575" i="1"/>
  <c r="R575" i="1"/>
  <c r="S575" i="1"/>
  <c r="T575" i="1"/>
  <c r="U575" i="1"/>
  <c r="V575" i="1"/>
  <c r="O576" i="1"/>
  <c r="P576" i="1"/>
  <c r="Q576" i="1"/>
  <c r="R576" i="1"/>
  <c r="S576" i="1"/>
  <c r="T576" i="1"/>
  <c r="U576" i="1"/>
  <c r="V576" i="1"/>
  <c r="O577" i="1"/>
  <c r="P577" i="1"/>
  <c r="Q577" i="1"/>
  <c r="R577" i="1"/>
  <c r="S577" i="1"/>
  <c r="T577" i="1"/>
  <c r="U577" i="1"/>
  <c r="V577" i="1"/>
  <c r="O578" i="1"/>
  <c r="P578" i="1"/>
  <c r="Q578" i="1"/>
  <c r="R578" i="1"/>
  <c r="S578" i="1"/>
  <c r="T578" i="1"/>
  <c r="U578" i="1"/>
  <c r="V578" i="1"/>
  <c r="O579" i="1"/>
  <c r="P579" i="1"/>
  <c r="Q579" i="1"/>
  <c r="R579" i="1"/>
  <c r="S579" i="1"/>
  <c r="T579" i="1"/>
  <c r="U579" i="1"/>
  <c r="V579" i="1"/>
  <c r="O580" i="1"/>
  <c r="P580" i="1"/>
  <c r="Q580" i="1"/>
  <c r="R580" i="1"/>
  <c r="S580" i="1"/>
  <c r="T580" i="1"/>
  <c r="U580" i="1"/>
  <c r="V580" i="1"/>
  <c r="O581" i="1"/>
  <c r="P581" i="1"/>
  <c r="Q581" i="1"/>
  <c r="R581" i="1"/>
  <c r="S581" i="1"/>
  <c r="T581" i="1"/>
  <c r="U581" i="1"/>
  <c r="V581" i="1"/>
  <c r="O582" i="1"/>
  <c r="P582" i="1"/>
  <c r="Q582" i="1"/>
  <c r="R582" i="1"/>
  <c r="S582" i="1"/>
  <c r="T582" i="1"/>
  <c r="U582" i="1"/>
  <c r="V582" i="1"/>
  <c r="O583" i="1"/>
  <c r="P583" i="1"/>
  <c r="Q583" i="1"/>
  <c r="R583" i="1"/>
  <c r="S583" i="1"/>
  <c r="T583" i="1"/>
  <c r="U583" i="1"/>
  <c r="V583" i="1"/>
  <c r="O584" i="1"/>
  <c r="P584" i="1"/>
  <c r="Q584" i="1"/>
  <c r="R584" i="1"/>
  <c r="S584" i="1"/>
  <c r="T584" i="1"/>
  <c r="U584" i="1"/>
  <c r="V584" i="1"/>
  <c r="O585" i="1"/>
  <c r="P585" i="1"/>
  <c r="Q585" i="1"/>
  <c r="R585" i="1"/>
  <c r="S585" i="1"/>
  <c r="T585" i="1"/>
  <c r="U585" i="1"/>
  <c r="V585" i="1"/>
  <c r="O586" i="1"/>
  <c r="P586" i="1"/>
  <c r="Q586" i="1"/>
  <c r="R586" i="1"/>
  <c r="S586" i="1"/>
  <c r="T586" i="1"/>
  <c r="U586" i="1"/>
  <c r="V586" i="1"/>
  <c r="O587" i="1"/>
  <c r="P587" i="1"/>
  <c r="Q587" i="1"/>
  <c r="R587" i="1"/>
  <c r="S587" i="1"/>
  <c r="T587" i="1"/>
  <c r="U587" i="1"/>
  <c r="V587" i="1"/>
  <c r="O588" i="1"/>
  <c r="P588" i="1"/>
  <c r="Q588" i="1"/>
  <c r="R588" i="1"/>
  <c r="S588" i="1"/>
  <c r="T588" i="1"/>
  <c r="U588" i="1"/>
  <c r="V588" i="1"/>
  <c r="O589" i="1"/>
  <c r="P589" i="1"/>
  <c r="Q589" i="1"/>
  <c r="R589" i="1"/>
  <c r="S589" i="1"/>
  <c r="T589" i="1"/>
  <c r="U589" i="1"/>
  <c r="V589" i="1"/>
  <c r="O590" i="1"/>
  <c r="P590" i="1"/>
  <c r="Q590" i="1"/>
  <c r="R590" i="1"/>
  <c r="S590" i="1"/>
  <c r="T590" i="1"/>
  <c r="U590" i="1"/>
  <c r="V590" i="1"/>
  <c r="O591" i="1"/>
  <c r="P591" i="1"/>
  <c r="Q591" i="1"/>
  <c r="R591" i="1"/>
  <c r="S591" i="1"/>
  <c r="T591" i="1"/>
  <c r="U591" i="1"/>
  <c r="V591" i="1"/>
  <c r="O592" i="1"/>
  <c r="P592" i="1"/>
  <c r="Q592" i="1"/>
  <c r="R592" i="1"/>
  <c r="S592" i="1"/>
  <c r="T592" i="1"/>
  <c r="U592" i="1"/>
  <c r="V592" i="1"/>
  <c r="O593" i="1"/>
  <c r="P593" i="1"/>
  <c r="Q593" i="1"/>
  <c r="R593" i="1"/>
  <c r="S593" i="1"/>
  <c r="T593" i="1"/>
  <c r="U593" i="1"/>
  <c r="V593" i="1"/>
  <c r="O594" i="1"/>
  <c r="P594" i="1"/>
  <c r="Q594" i="1"/>
  <c r="R594" i="1"/>
  <c r="S594" i="1"/>
  <c r="T594" i="1"/>
  <c r="U594" i="1"/>
  <c r="V594" i="1"/>
  <c r="O595" i="1"/>
  <c r="P595" i="1"/>
  <c r="Q595" i="1"/>
  <c r="R595" i="1"/>
  <c r="S595" i="1"/>
  <c r="T595" i="1"/>
  <c r="U595" i="1"/>
  <c r="V595" i="1"/>
  <c r="O596" i="1"/>
  <c r="P596" i="1"/>
  <c r="Q596" i="1"/>
  <c r="R596" i="1"/>
  <c r="S596" i="1"/>
  <c r="T596" i="1"/>
  <c r="U596" i="1"/>
  <c r="V596" i="1"/>
  <c r="O597" i="1"/>
  <c r="P597" i="1"/>
  <c r="Q597" i="1"/>
  <c r="R597" i="1"/>
  <c r="S597" i="1"/>
  <c r="T597" i="1"/>
  <c r="U597" i="1"/>
  <c r="V597" i="1"/>
  <c r="O598" i="1"/>
  <c r="P598" i="1"/>
  <c r="Q598" i="1"/>
  <c r="R598" i="1"/>
  <c r="S598" i="1"/>
  <c r="T598" i="1"/>
  <c r="U598" i="1"/>
  <c r="V598" i="1"/>
  <c r="O599" i="1"/>
  <c r="P599" i="1"/>
  <c r="Q599" i="1"/>
  <c r="R599" i="1"/>
  <c r="S599" i="1"/>
  <c r="T599" i="1"/>
  <c r="U599" i="1"/>
  <c r="V599" i="1"/>
  <c r="O600" i="1"/>
  <c r="P600" i="1"/>
  <c r="Q600" i="1"/>
  <c r="R600" i="1"/>
  <c r="S600" i="1"/>
  <c r="T600" i="1"/>
  <c r="U600" i="1"/>
  <c r="V600" i="1"/>
  <c r="O601" i="1"/>
  <c r="P601" i="1"/>
  <c r="Q601" i="1"/>
  <c r="R601" i="1"/>
  <c r="S601" i="1"/>
  <c r="T601" i="1"/>
  <c r="U601" i="1"/>
  <c r="V601" i="1"/>
  <c r="O602" i="1"/>
  <c r="P602" i="1"/>
  <c r="Q602" i="1"/>
  <c r="R602" i="1"/>
  <c r="S602" i="1"/>
  <c r="T602" i="1"/>
  <c r="U602" i="1"/>
  <c r="V602" i="1"/>
  <c r="O603" i="1"/>
  <c r="P603" i="1"/>
  <c r="Q603" i="1"/>
  <c r="R603" i="1"/>
  <c r="S603" i="1"/>
  <c r="T603" i="1"/>
  <c r="U603" i="1"/>
  <c r="V603" i="1"/>
  <c r="O604" i="1"/>
  <c r="P604" i="1"/>
  <c r="Q604" i="1"/>
  <c r="R604" i="1"/>
  <c r="S604" i="1"/>
  <c r="T604" i="1"/>
  <c r="U604" i="1"/>
  <c r="V604" i="1"/>
  <c r="O605" i="1"/>
  <c r="P605" i="1"/>
  <c r="Q605" i="1"/>
  <c r="R605" i="1"/>
  <c r="S605" i="1"/>
  <c r="T605" i="1"/>
  <c r="U605" i="1"/>
  <c r="V605" i="1"/>
  <c r="O606" i="1"/>
  <c r="P606" i="1"/>
  <c r="Q606" i="1"/>
  <c r="R606" i="1"/>
  <c r="S606" i="1"/>
  <c r="T606" i="1"/>
  <c r="U606" i="1"/>
  <c r="V606" i="1"/>
  <c r="O607" i="1"/>
  <c r="P607" i="1"/>
  <c r="Q607" i="1"/>
  <c r="R607" i="1"/>
  <c r="S607" i="1"/>
  <c r="T607" i="1"/>
  <c r="U607" i="1"/>
  <c r="V607" i="1"/>
  <c r="O608" i="1"/>
  <c r="P608" i="1"/>
  <c r="Q608" i="1"/>
  <c r="R608" i="1"/>
  <c r="S608" i="1"/>
  <c r="T608" i="1"/>
  <c r="U608" i="1"/>
  <c r="V608" i="1"/>
  <c r="O609" i="1"/>
  <c r="P609" i="1"/>
  <c r="Q609" i="1"/>
  <c r="R609" i="1"/>
  <c r="S609" i="1"/>
  <c r="T609" i="1"/>
  <c r="U609" i="1"/>
  <c r="V609" i="1"/>
  <c r="O610" i="1"/>
  <c r="P610" i="1"/>
  <c r="Q610" i="1"/>
  <c r="R610" i="1"/>
  <c r="S610" i="1"/>
  <c r="T610" i="1"/>
  <c r="U610" i="1"/>
  <c r="V610" i="1"/>
  <c r="O611" i="1"/>
  <c r="P611" i="1"/>
  <c r="Q611" i="1"/>
  <c r="R611" i="1"/>
  <c r="S611" i="1"/>
  <c r="T611" i="1"/>
  <c r="U611" i="1"/>
  <c r="V611" i="1"/>
  <c r="O612" i="1"/>
  <c r="P612" i="1"/>
  <c r="Q612" i="1"/>
  <c r="R612" i="1"/>
  <c r="S612" i="1"/>
  <c r="T612" i="1"/>
  <c r="U612" i="1"/>
  <c r="V612" i="1"/>
  <c r="O613" i="1"/>
  <c r="P613" i="1"/>
  <c r="Q613" i="1"/>
  <c r="R613" i="1"/>
  <c r="S613" i="1"/>
  <c r="T613" i="1"/>
  <c r="U613" i="1"/>
  <c r="V613" i="1"/>
  <c r="O614" i="1"/>
  <c r="P614" i="1"/>
  <c r="Q614" i="1"/>
  <c r="R614" i="1"/>
  <c r="S614" i="1"/>
  <c r="T614" i="1"/>
  <c r="U614" i="1"/>
  <c r="V614" i="1"/>
  <c r="O615" i="1"/>
  <c r="P615" i="1"/>
  <c r="Q615" i="1"/>
  <c r="R615" i="1"/>
  <c r="S615" i="1"/>
  <c r="T615" i="1"/>
  <c r="U615" i="1"/>
  <c r="V615" i="1"/>
  <c r="O616" i="1"/>
  <c r="P616" i="1"/>
  <c r="Q616" i="1"/>
  <c r="R616" i="1"/>
  <c r="S616" i="1"/>
  <c r="T616" i="1"/>
  <c r="U616" i="1"/>
  <c r="V616" i="1"/>
  <c r="O617" i="1"/>
  <c r="P617" i="1"/>
  <c r="Q617" i="1"/>
  <c r="R617" i="1"/>
  <c r="S617" i="1"/>
  <c r="T617" i="1"/>
  <c r="U617" i="1"/>
  <c r="V617" i="1"/>
  <c r="O618" i="1"/>
  <c r="P618" i="1"/>
  <c r="Q618" i="1"/>
  <c r="R618" i="1"/>
  <c r="S618" i="1"/>
  <c r="T618" i="1"/>
  <c r="U618" i="1"/>
  <c r="V618" i="1"/>
  <c r="O619" i="1"/>
  <c r="P619" i="1"/>
  <c r="Q619" i="1"/>
  <c r="R619" i="1"/>
  <c r="S619" i="1"/>
  <c r="T619" i="1"/>
  <c r="U619" i="1"/>
  <c r="V619" i="1"/>
  <c r="O620" i="1"/>
  <c r="P620" i="1"/>
  <c r="Q620" i="1"/>
  <c r="R620" i="1"/>
  <c r="S620" i="1"/>
  <c r="T620" i="1"/>
  <c r="U620" i="1"/>
  <c r="V620" i="1"/>
  <c r="O621" i="1"/>
  <c r="P621" i="1"/>
  <c r="Q621" i="1"/>
  <c r="R621" i="1"/>
  <c r="S621" i="1"/>
  <c r="T621" i="1"/>
  <c r="U621" i="1"/>
  <c r="V621" i="1"/>
  <c r="O622" i="1"/>
  <c r="P622" i="1"/>
  <c r="Q622" i="1"/>
  <c r="R622" i="1"/>
  <c r="S622" i="1"/>
  <c r="T622" i="1"/>
  <c r="U622" i="1"/>
  <c r="V622" i="1"/>
  <c r="O623" i="1"/>
  <c r="P623" i="1"/>
  <c r="Q623" i="1"/>
  <c r="R623" i="1"/>
  <c r="S623" i="1"/>
  <c r="T623" i="1"/>
  <c r="U623" i="1"/>
  <c r="V623" i="1"/>
  <c r="O624" i="1"/>
  <c r="P624" i="1"/>
  <c r="Q624" i="1"/>
  <c r="R624" i="1"/>
  <c r="S624" i="1"/>
  <c r="T624" i="1"/>
  <c r="U624" i="1"/>
  <c r="V624" i="1"/>
  <c r="O625" i="1"/>
  <c r="P625" i="1"/>
  <c r="Q625" i="1"/>
  <c r="R625" i="1"/>
  <c r="S625" i="1"/>
  <c r="T625" i="1"/>
  <c r="U625" i="1"/>
  <c r="V625" i="1"/>
  <c r="O626" i="1"/>
  <c r="P626" i="1"/>
  <c r="Q626" i="1"/>
  <c r="R626" i="1"/>
  <c r="S626" i="1"/>
  <c r="T626" i="1"/>
  <c r="U626" i="1"/>
  <c r="V626" i="1"/>
  <c r="O627" i="1"/>
  <c r="P627" i="1"/>
  <c r="Q627" i="1"/>
  <c r="R627" i="1"/>
  <c r="S627" i="1"/>
  <c r="T627" i="1"/>
  <c r="U627" i="1"/>
  <c r="V627" i="1"/>
  <c r="O628" i="1"/>
  <c r="P628" i="1"/>
  <c r="Q628" i="1"/>
  <c r="R628" i="1"/>
  <c r="S628" i="1"/>
  <c r="T628" i="1"/>
  <c r="U628" i="1"/>
  <c r="V628" i="1"/>
  <c r="O629" i="1"/>
  <c r="P629" i="1"/>
  <c r="Q629" i="1"/>
  <c r="R629" i="1"/>
  <c r="S629" i="1"/>
  <c r="T629" i="1"/>
  <c r="U629" i="1"/>
  <c r="V629" i="1"/>
  <c r="O630" i="1"/>
  <c r="P630" i="1"/>
  <c r="Q630" i="1"/>
  <c r="R630" i="1"/>
  <c r="S630" i="1"/>
  <c r="T630" i="1"/>
  <c r="U630" i="1"/>
  <c r="V630" i="1"/>
  <c r="O631" i="1"/>
  <c r="P631" i="1"/>
  <c r="Q631" i="1"/>
  <c r="R631" i="1"/>
  <c r="S631" i="1"/>
  <c r="T631" i="1"/>
  <c r="U631" i="1"/>
  <c r="V631" i="1"/>
  <c r="O632" i="1"/>
  <c r="P632" i="1"/>
  <c r="Q632" i="1"/>
  <c r="R632" i="1"/>
  <c r="S632" i="1"/>
  <c r="T632" i="1"/>
  <c r="U632" i="1"/>
  <c r="V632" i="1"/>
  <c r="O633" i="1"/>
  <c r="P633" i="1"/>
  <c r="Q633" i="1"/>
  <c r="R633" i="1"/>
  <c r="S633" i="1"/>
  <c r="T633" i="1"/>
  <c r="U633" i="1"/>
  <c r="V633" i="1"/>
  <c r="O634" i="1"/>
  <c r="P634" i="1"/>
  <c r="Q634" i="1"/>
  <c r="R634" i="1"/>
  <c r="S634" i="1"/>
  <c r="T634" i="1"/>
  <c r="U634" i="1"/>
  <c r="V634" i="1"/>
  <c r="O635" i="1"/>
  <c r="P635" i="1"/>
  <c r="Q635" i="1"/>
  <c r="R635" i="1"/>
  <c r="S635" i="1"/>
  <c r="T635" i="1"/>
  <c r="U635" i="1"/>
  <c r="V635" i="1"/>
  <c r="O636" i="1"/>
  <c r="P636" i="1"/>
  <c r="Q636" i="1"/>
  <c r="R636" i="1"/>
  <c r="S636" i="1"/>
  <c r="T636" i="1"/>
  <c r="U636" i="1"/>
  <c r="V636" i="1"/>
  <c r="O637" i="1"/>
  <c r="P637" i="1"/>
  <c r="Q637" i="1"/>
  <c r="R637" i="1"/>
  <c r="S637" i="1"/>
  <c r="T637" i="1"/>
  <c r="U637" i="1"/>
  <c r="V637" i="1"/>
  <c r="O638" i="1"/>
  <c r="P638" i="1"/>
  <c r="Q638" i="1"/>
  <c r="R638" i="1"/>
  <c r="S638" i="1"/>
  <c r="T638" i="1"/>
  <c r="U638" i="1"/>
  <c r="V638" i="1"/>
  <c r="O639" i="1"/>
  <c r="P639" i="1"/>
  <c r="Q639" i="1"/>
  <c r="R639" i="1"/>
  <c r="S639" i="1"/>
  <c r="T639" i="1"/>
  <c r="U639" i="1"/>
  <c r="V639" i="1"/>
  <c r="O640" i="1"/>
  <c r="P640" i="1"/>
  <c r="Q640" i="1"/>
  <c r="R640" i="1"/>
  <c r="S640" i="1"/>
  <c r="T640" i="1"/>
  <c r="U640" i="1"/>
  <c r="V640" i="1"/>
  <c r="O641" i="1"/>
  <c r="P641" i="1"/>
  <c r="Q641" i="1"/>
  <c r="R641" i="1"/>
  <c r="S641" i="1"/>
  <c r="T641" i="1"/>
  <c r="U641" i="1"/>
  <c r="V641" i="1"/>
  <c r="O642" i="1"/>
  <c r="P642" i="1"/>
  <c r="Q642" i="1"/>
  <c r="R642" i="1"/>
  <c r="S642" i="1"/>
  <c r="T642" i="1"/>
  <c r="U642" i="1"/>
  <c r="V642" i="1"/>
  <c r="O643" i="1"/>
  <c r="P643" i="1"/>
  <c r="Q643" i="1"/>
  <c r="R643" i="1"/>
  <c r="S643" i="1"/>
  <c r="T643" i="1"/>
  <c r="U643" i="1"/>
  <c r="V643" i="1"/>
  <c r="O644" i="1"/>
  <c r="P644" i="1"/>
  <c r="Q644" i="1"/>
  <c r="R644" i="1"/>
  <c r="S644" i="1"/>
  <c r="T644" i="1"/>
  <c r="U644" i="1"/>
  <c r="V644" i="1"/>
  <c r="O645" i="1"/>
  <c r="P645" i="1"/>
  <c r="Q645" i="1"/>
  <c r="R645" i="1"/>
  <c r="S645" i="1"/>
  <c r="T645" i="1"/>
  <c r="U645" i="1"/>
  <c r="V645" i="1"/>
  <c r="O646" i="1"/>
  <c r="P646" i="1"/>
  <c r="Q646" i="1"/>
  <c r="R646" i="1"/>
  <c r="S646" i="1"/>
  <c r="T646" i="1"/>
  <c r="U646" i="1"/>
  <c r="V646" i="1"/>
  <c r="O647" i="1"/>
  <c r="P647" i="1"/>
  <c r="Q647" i="1"/>
  <c r="R647" i="1"/>
  <c r="S647" i="1"/>
  <c r="T647" i="1"/>
  <c r="U647" i="1"/>
  <c r="V647" i="1"/>
  <c r="O648" i="1"/>
  <c r="P648" i="1"/>
  <c r="Q648" i="1"/>
  <c r="R648" i="1"/>
  <c r="S648" i="1"/>
  <c r="T648" i="1"/>
  <c r="U648" i="1"/>
  <c r="V648" i="1"/>
  <c r="O649" i="1"/>
  <c r="P649" i="1"/>
  <c r="Q649" i="1"/>
  <c r="R649" i="1"/>
  <c r="S649" i="1"/>
  <c r="T649" i="1"/>
  <c r="U649" i="1"/>
  <c r="V649" i="1"/>
  <c r="O650" i="1"/>
  <c r="P650" i="1"/>
  <c r="Q650" i="1"/>
  <c r="R650" i="1"/>
  <c r="S650" i="1"/>
  <c r="T650" i="1"/>
  <c r="U650" i="1"/>
  <c r="V650" i="1"/>
  <c r="O651" i="1"/>
  <c r="P651" i="1"/>
  <c r="Q651" i="1"/>
  <c r="R651" i="1"/>
  <c r="S651" i="1"/>
  <c r="T651" i="1"/>
  <c r="U651" i="1"/>
  <c r="V651" i="1"/>
  <c r="O652" i="1"/>
  <c r="P652" i="1"/>
  <c r="Q652" i="1"/>
  <c r="R652" i="1"/>
  <c r="S652" i="1"/>
  <c r="T652" i="1"/>
  <c r="U652" i="1"/>
  <c r="V652" i="1"/>
  <c r="O653" i="1"/>
  <c r="P653" i="1"/>
  <c r="Q653" i="1"/>
  <c r="R653" i="1"/>
  <c r="S653" i="1"/>
  <c r="T653" i="1"/>
  <c r="U653" i="1"/>
  <c r="V653" i="1"/>
  <c r="O654" i="1"/>
  <c r="P654" i="1"/>
  <c r="Q654" i="1"/>
  <c r="R654" i="1"/>
  <c r="S654" i="1"/>
  <c r="T654" i="1"/>
  <c r="U654" i="1"/>
  <c r="V654" i="1"/>
  <c r="O655" i="1"/>
  <c r="P655" i="1"/>
  <c r="Q655" i="1"/>
  <c r="R655" i="1"/>
  <c r="S655" i="1"/>
  <c r="T655" i="1"/>
  <c r="U655" i="1"/>
  <c r="V655" i="1"/>
  <c r="O656" i="1"/>
  <c r="P656" i="1"/>
  <c r="Q656" i="1"/>
  <c r="R656" i="1"/>
  <c r="S656" i="1"/>
  <c r="T656" i="1"/>
  <c r="U656" i="1"/>
  <c r="V656" i="1"/>
  <c r="O657" i="1"/>
  <c r="P657" i="1"/>
  <c r="Q657" i="1"/>
  <c r="R657" i="1"/>
  <c r="S657" i="1"/>
  <c r="T657" i="1"/>
  <c r="U657" i="1"/>
  <c r="V657" i="1"/>
  <c r="O658" i="1"/>
  <c r="P658" i="1"/>
  <c r="Q658" i="1"/>
  <c r="R658" i="1"/>
  <c r="S658" i="1"/>
  <c r="T658" i="1"/>
  <c r="U658" i="1"/>
  <c r="V658" i="1"/>
  <c r="O659" i="1"/>
  <c r="P659" i="1"/>
  <c r="Q659" i="1"/>
  <c r="R659" i="1"/>
  <c r="S659" i="1"/>
  <c r="T659" i="1"/>
  <c r="U659" i="1"/>
  <c r="V659" i="1"/>
  <c r="O660" i="1"/>
  <c r="P660" i="1"/>
  <c r="Q660" i="1"/>
  <c r="R660" i="1"/>
  <c r="S660" i="1"/>
  <c r="T660" i="1"/>
  <c r="U660" i="1"/>
  <c r="V660" i="1"/>
  <c r="O661" i="1"/>
  <c r="P661" i="1"/>
  <c r="Q661" i="1"/>
  <c r="R661" i="1"/>
  <c r="S661" i="1"/>
  <c r="T661" i="1"/>
  <c r="U661" i="1"/>
  <c r="V661" i="1"/>
  <c r="O662" i="1"/>
  <c r="P662" i="1"/>
  <c r="Q662" i="1"/>
  <c r="R662" i="1"/>
  <c r="S662" i="1"/>
  <c r="T662" i="1"/>
  <c r="U662" i="1"/>
  <c r="V662" i="1"/>
  <c r="O663" i="1"/>
  <c r="P663" i="1"/>
  <c r="Q663" i="1"/>
  <c r="R663" i="1"/>
  <c r="S663" i="1"/>
  <c r="T663" i="1"/>
  <c r="U663" i="1"/>
  <c r="V663" i="1"/>
  <c r="O664" i="1"/>
  <c r="P664" i="1"/>
  <c r="Q664" i="1"/>
  <c r="R664" i="1"/>
  <c r="S664" i="1"/>
  <c r="T664" i="1"/>
  <c r="U664" i="1"/>
  <c r="V664" i="1"/>
  <c r="O665" i="1"/>
  <c r="P665" i="1"/>
  <c r="Q665" i="1"/>
  <c r="R665" i="1"/>
  <c r="S665" i="1"/>
  <c r="T665" i="1"/>
  <c r="U665" i="1"/>
  <c r="V665" i="1"/>
  <c r="O666" i="1"/>
  <c r="P666" i="1"/>
  <c r="Q666" i="1"/>
  <c r="R666" i="1"/>
  <c r="S666" i="1"/>
  <c r="T666" i="1"/>
  <c r="U666" i="1"/>
  <c r="V666" i="1"/>
  <c r="O667" i="1"/>
  <c r="P667" i="1"/>
  <c r="Q667" i="1"/>
  <c r="R667" i="1"/>
  <c r="S667" i="1"/>
  <c r="T667" i="1"/>
  <c r="U667" i="1"/>
  <c r="V667" i="1"/>
  <c r="O668" i="1"/>
  <c r="P668" i="1"/>
  <c r="Q668" i="1"/>
  <c r="R668" i="1"/>
  <c r="S668" i="1"/>
  <c r="T668" i="1"/>
  <c r="U668" i="1"/>
  <c r="V668" i="1"/>
  <c r="O669" i="1"/>
  <c r="P669" i="1"/>
  <c r="Q669" i="1"/>
  <c r="R669" i="1"/>
  <c r="S669" i="1"/>
  <c r="T669" i="1"/>
  <c r="U669" i="1"/>
  <c r="V669" i="1"/>
  <c r="O670" i="1"/>
  <c r="P670" i="1"/>
  <c r="Q670" i="1"/>
  <c r="R670" i="1"/>
  <c r="S670" i="1"/>
  <c r="T670" i="1"/>
  <c r="U670" i="1"/>
  <c r="V670" i="1"/>
  <c r="O671" i="1"/>
  <c r="P671" i="1"/>
  <c r="Q671" i="1"/>
  <c r="R671" i="1"/>
  <c r="S671" i="1"/>
  <c r="T671" i="1"/>
  <c r="U671" i="1"/>
  <c r="V671" i="1"/>
  <c r="O672" i="1"/>
  <c r="P672" i="1"/>
  <c r="Q672" i="1"/>
  <c r="R672" i="1"/>
  <c r="S672" i="1"/>
  <c r="T672" i="1"/>
  <c r="U672" i="1"/>
  <c r="V672" i="1"/>
  <c r="O673" i="1"/>
  <c r="P673" i="1"/>
  <c r="Q673" i="1"/>
  <c r="R673" i="1"/>
  <c r="S673" i="1"/>
  <c r="T673" i="1"/>
  <c r="U673" i="1"/>
  <c r="V673" i="1"/>
  <c r="O674" i="1"/>
  <c r="P674" i="1"/>
  <c r="Q674" i="1"/>
  <c r="R674" i="1"/>
  <c r="S674" i="1"/>
  <c r="T674" i="1"/>
  <c r="U674" i="1"/>
  <c r="V674" i="1"/>
  <c r="O675" i="1"/>
  <c r="P675" i="1"/>
  <c r="Q675" i="1"/>
  <c r="R675" i="1"/>
  <c r="S675" i="1"/>
  <c r="T675" i="1"/>
  <c r="U675" i="1"/>
  <c r="V675" i="1"/>
  <c r="O676" i="1"/>
  <c r="P676" i="1"/>
  <c r="Q676" i="1"/>
  <c r="R676" i="1"/>
  <c r="S676" i="1"/>
  <c r="T676" i="1"/>
  <c r="U676" i="1"/>
  <c r="V676" i="1"/>
  <c r="O677" i="1"/>
  <c r="P677" i="1"/>
  <c r="Q677" i="1"/>
  <c r="R677" i="1"/>
  <c r="S677" i="1"/>
  <c r="T677" i="1"/>
  <c r="U677" i="1"/>
  <c r="V677" i="1"/>
  <c r="O678" i="1"/>
  <c r="P678" i="1"/>
  <c r="Q678" i="1"/>
  <c r="R678" i="1"/>
  <c r="S678" i="1"/>
  <c r="T678" i="1"/>
  <c r="U678" i="1"/>
  <c r="V678" i="1"/>
  <c r="O679" i="1"/>
  <c r="P679" i="1"/>
  <c r="Q679" i="1"/>
  <c r="R679" i="1"/>
  <c r="S679" i="1"/>
  <c r="T679" i="1"/>
  <c r="U679" i="1"/>
  <c r="V679" i="1"/>
  <c r="O680" i="1"/>
  <c r="P680" i="1"/>
  <c r="Q680" i="1"/>
  <c r="R680" i="1"/>
  <c r="S680" i="1"/>
  <c r="T680" i="1"/>
  <c r="U680" i="1"/>
  <c r="V680" i="1"/>
  <c r="O681" i="1"/>
  <c r="P681" i="1"/>
  <c r="Q681" i="1"/>
  <c r="R681" i="1"/>
  <c r="S681" i="1"/>
  <c r="T681" i="1"/>
  <c r="U681" i="1"/>
  <c r="V681" i="1"/>
  <c r="O682" i="1"/>
  <c r="P682" i="1"/>
  <c r="Q682" i="1"/>
  <c r="R682" i="1"/>
  <c r="S682" i="1"/>
  <c r="T682" i="1"/>
  <c r="U682" i="1"/>
  <c r="V682" i="1"/>
  <c r="O683" i="1"/>
  <c r="P683" i="1"/>
  <c r="Q683" i="1"/>
  <c r="R683" i="1"/>
  <c r="S683" i="1"/>
  <c r="T683" i="1"/>
  <c r="U683" i="1"/>
  <c r="V683" i="1"/>
  <c r="O684" i="1"/>
  <c r="P684" i="1"/>
  <c r="Q684" i="1"/>
  <c r="R684" i="1"/>
  <c r="S684" i="1"/>
  <c r="T684" i="1"/>
  <c r="U684" i="1"/>
  <c r="V684" i="1"/>
  <c r="O685" i="1"/>
  <c r="P685" i="1"/>
  <c r="Q685" i="1"/>
  <c r="R685" i="1"/>
  <c r="S685" i="1"/>
  <c r="T685" i="1"/>
  <c r="U685" i="1"/>
  <c r="V685" i="1"/>
  <c r="O686" i="1"/>
  <c r="P686" i="1"/>
  <c r="Q686" i="1"/>
  <c r="R686" i="1"/>
  <c r="S686" i="1"/>
  <c r="T686" i="1"/>
  <c r="U686" i="1"/>
  <c r="V686" i="1"/>
  <c r="O687" i="1"/>
  <c r="P687" i="1"/>
  <c r="Q687" i="1"/>
  <c r="R687" i="1"/>
  <c r="S687" i="1"/>
  <c r="T687" i="1"/>
  <c r="U687" i="1"/>
  <c r="V687" i="1"/>
  <c r="O688" i="1"/>
  <c r="P688" i="1"/>
  <c r="Q688" i="1"/>
  <c r="R688" i="1"/>
  <c r="S688" i="1"/>
  <c r="T688" i="1"/>
  <c r="U688" i="1"/>
  <c r="V688" i="1"/>
  <c r="O689" i="1"/>
  <c r="P689" i="1"/>
  <c r="Q689" i="1"/>
  <c r="R689" i="1"/>
  <c r="S689" i="1"/>
  <c r="T689" i="1"/>
  <c r="U689" i="1"/>
  <c r="V689" i="1"/>
  <c r="O690" i="1"/>
  <c r="P690" i="1"/>
  <c r="Q690" i="1"/>
  <c r="R690" i="1"/>
  <c r="S690" i="1"/>
  <c r="T690" i="1"/>
  <c r="U690" i="1"/>
  <c r="V690" i="1"/>
  <c r="O691" i="1"/>
  <c r="P691" i="1"/>
  <c r="Q691" i="1"/>
  <c r="R691" i="1"/>
  <c r="S691" i="1"/>
  <c r="T691" i="1"/>
  <c r="U691" i="1"/>
  <c r="V691" i="1"/>
  <c r="O692" i="1"/>
  <c r="P692" i="1"/>
  <c r="Q692" i="1"/>
  <c r="R692" i="1"/>
  <c r="S692" i="1"/>
  <c r="T692" i="1"/>
  <c r="U692" i="1"/>
  <c r="V692" i="1"/>
  <c r="O693" i="1"/>
  <c r="P693" i="1"/>
  <c r="Q693" i="1"/>
  <c r="R693" i="1"/>
  <c r="S693" i="1"/>
  <c r="T693" i="1"/>
  <c r="U693" i="1"/>
  <c r="V693" i="1"/>
  <c r="O694" i="1"/>
  <c r="P694" i="1"/>
  <c r="Q694" i="1"/>
  <c r="R694" i="1"/>
  <c r="S694" i="1"/>
  <c r="T694" i="1"/>
  <c r="U694" i="1"/>
  <c r="V694" i="1"/>
  <c r="O695" i="1"/>
  <c r="P695" i="1"/>
  <c r="Q695" i="1"/>
  <c r="R695" i="1"/>
  <c r="S695" i="1"/>
  <c r="T695" i="1"/>
  <c r="U695" i="1"/>
  <c r="V695" i="1"/>
  <c r="O696" i="1"/>
  <c r="P696" i="1"/>
  <c r="Q696" i="1"/>
  <c r="R696" i="1"/>
  <c r="S696" i="1"/>
  <c r="T696" i="1"/>
  <c r="U696" i="1"/>
  <c r="V696" i="1"/>
  <c r="O697" i="1"/>
  <c r="P697" i="1"/>
  <c r="Q697" i="1"/>
  <c r="R697" i="1"/>
  <c r="S697" i="1"/>
  <c r="T697" i="1"/>
  <c r="U697" i="1"/>
  <c r="V697" i="1"/>
  <c r="O698" i="1"/>
  <c r="P698" i="1"/>
  <c r="Q698" i="1"/>
  <c r="R698" i="1"/>
  <c r="S698" i="1"/>
  <c r="T698" i="1"/>
  <c r="U698" i="1"/>
  <c r="V698" i="1"/>
  <c r="O699" i="1"/>
  <c r="P699" i="1"/>
  <c r="Q699" i="1"/>
  <c r="R699" i="1"/>
  <c r="S699" i="1"/>
  <c r="T699" i="1"/>
  <c r="U699" i="1"/>
  <c r="V699" i="1"/>
  <c r="O700" i="1"/>
  <c r="P700" i="1"/>
  <c r="Q700" i="1"/>
  <c r="R700" i="1"/>
  <c r="S700" i="1"/>
  <c r="T700" i="1"/>
  <c r="U700" i="1"/>
  <c r="V700" i="1"/>
  <c r="O701" i="1"/>
  <c r="P701" i="1"/>
  <c r="Q701" i="1"/>
  <c r="R701" i="1"/>
  <c r="S701" i="1"/>
  <c r="T701" i="1"/>
  <c r="U701" i="1"/>
  <c r="V701" i="1"/>
  <c r="O702" i="1"/>
  <c r="P702" i="1"/>
  <c r="Q702" i="1"/>
  <c r="R702" i="1"/>
  <c r="S702" i="1"/>
  <c r="T702" i="1"/>
  <c r="U702" i="1"/>
  <c r="V702" i="1"/>
  <c r="O703" i="1"/>
  <c r="P703" i="1"/>
  <c r="Q703" i="1"/>
  <c r="R703" i="1"/>
  <c r="S703" i="1"/>
  <c r="T703" i="1"/>
  <c r="U703" i="1"/>
  <c r="V703" i="1"/>
  <c r="O704" i="1"/>
  <c r="P704" i="1"/>
  <c r="Q704" i="1"/>
  <c r="R704" i="1"/>
  <c r="S704" i="1"/>
  <c r="T704" i="1"/>
  <c r="U704" i="1"/>
  <c r="V704" i="1"/>
  <c r="O705" i="1"/>
  <c r="P705" i="1"/>
  <c r="Q705" i="1"/>
  <c r="R705" i="1"/>
  <c r="S705" i="1"/>
  <c r="T705" i="1"/>
  <c r="U705" i="1"/>
  <c r="V705" i="1"/>
  <c r="O706" i="1"/>
  <c r="P706" i="1"/>
  <c r="Q706" i="1"/>
  <c r="R706" i="1"/>
  <c r="S706" i="1"/>
  <c r="T706" i="1"/>
  <c r="U706" i="1"/>
  <c r="V706" i="1"/>
  <c r="O707" i="1"/>
  <c r="P707" i="1"/>
  <c r="Q707" i="1"/>
  <c r="R707" i="1"/>
  <c r="S707" i="1"/>
  <c r="T707" i="1"/>
  <c r="U707" i="1"/>
  <c r="V707" i="1"/>
  <c r="O708" i="1"/>
  <c r="P708" i="1"/>
  <c r="Q708" i="1"/>
  <c r="R708" i="1"/>
  <c r="S708" i="1"/>
  <c r="T708" i="1"/>
  <c r="U708" i="1"/>
  <c r="V708" i="1"/>
  <c r="O709" i="1"/>
  <c r="P709" i="1"/>
  <c r="Q709" i="1"/>
  <c r="R709" i="1"/>
  <c r="S709" i="1"/>
  <c r="T709" i="1"/>
  <c r="U709" i="1"/>
  <c r="V709" i="1"/>
  <c r="O710" i="1"/>
  <c r="P710" i="1"/>
  <c r="Q710" i="1"/>
  <c r="R710" i="1"/>
  <c r="S710" i="1"/>
  <c r="T710" i="1"/>
  <c r="U710" i="1"/>
  <c r="V710" i="1"/>
  <c r="O711" i="1"/>
  <c r="P711" i="1"/>
  <c r="Q711" i="1"/>
  <c r="R711" i="1"/>
  <c r="S711" i="1"/>
  <c r="T711" i="1"/>
  <c r="U711" i="1"/>
  <c r="V711" i="1"/>
  <c r="O712" i="1"/>
  <c r="P712" i="1"/>
  <c r="Q712" i="1"/>
  <c r="R712" i="1"/>
  <c r="S712" i="1"/>
  <c r="T712" i="1"/>
  <c r="U712" i="1"/>
  <c r="V712" i="1"/>
  <c r="O713" i="1"/>
  <c r="P713" i="1"/>
  <c r="Q713" i="1"/>
  <c r="R713" i="1"/>
  <c r="S713" i="1"/>
  <c r="T713" i="1"/>
  <c r="U713" i="1"/>
  <c r="V713" i="1"/>
  <c r="O714" i="1"/>
  <c r="P714" i="1"/>
  <c r="Q714" i="1"/>
  <c r="R714" i="1"/>
  <c r="S714" i="1"/>
  <c r="T714" i="1"/>
  <c r="U714" i="1"/>
  <c r="V714" i="1"/>
  <c r="O715" i="1"/>
  <c r="P715" i="1"/>
  <c r="Q715" i="1"/>
  <c r="R715" i="1"/>
  <c r="S715" i="1"/>
  <c r="T715" i="1"/>
  <c r="U715" i="1"/>
  <c r="V715" i="1"/>
  <c r="O716" i="1"/>
  <c r="P716" i="1"/>
  <c r="Q716" i="1"/>
  <c r="R716" i="1"/>
  <c r="S716" i="1"/>
  <c r="T716" i="1"/>
  <c r="U716" i="1"/>
  <c r="V716" i="1"/>
  <c r="O717" i="1"/>
  <c r="P717" i="1"/>
  <c r="Q717" i="1"/>
  <c r="R717" i="1"/>
  <c r="S717" i="1"/>
  <c r="T717" i="1"/>
  <c r="U717" i="1"/>
  <c r="V717" i="1"/>
  <c r="O718" i="1"/>
  <c r="P718" i="1"/>
  <c r="Q718" i="1"/>
  <c r="R718" i="1"/>
  <c r="S718" i="1"/>
  <c r="T718" i="1"/>
  <c r="U718" i="1"/>
  <c r="V718" i="1"/>
  <c r="O719" i="1"/>
  <c r="P719" i="1"/>
  <c r="Q719" i="1"/>
  <c r="R719" i="1"/>
  <c r="S719" i="1"/>
  <c r="T719" i="1"/>
  <c r="U719" i="1"/>
  <c r="V719" i="1"/>
  <c r="O720" i="1"/>
  <c r="P720" i="1"/>
  <c r="Q720" i="1"/>
  <c r="R720" i="1"/>
  <c r="S720" i="1"/>
  <c r="T720" i="1"/>
  <c r="U720" i="1"/>
  <c r="V720" i="1"/>
  <c r="O721" i="1"/>
  <c r="P721" i="1"/>
  <c r="Q721" i="1"/>
  <c r="R721" i="1"/>
  <c r="S721" i="1"/>
  <c r="T721" i="1"/>
  <c r="U721" i="1"/>
  <c r="V721" i="1"/>
  <c r="O722" i="1"/>
  <c r="P722" i="1"/>
  <c r="Q722" i="1"/>
  <c r="R722" i="1"/>
  <c r="S722" i="1"/>
  <c r="T722" i="1"/>
  <c r="U722" i="1"/>
  <c r="V722" i="1"/>
  <c r="O723" i="1"/>
  <c r="P723" i="1"/>
  <c r="Q723" i="1"/>
  <c r="R723" i="1"/>
  <c r="S723" i="1"/>
  <c r="T723" i="1"/>
  <c r="U723" i="1"/>
  <c r="V723" i="1"/>
  <c r="O724" i="1"/>
  <c r="P724" i="1"/>
  <c r="Q724" i="1"/>
  <c r="R724" i="1"/>
  <c r="S724" i="1"/>
  <c r="T724" i="1"/>
  <c r="U724" i="1"/>
  <c r="V724" i="1"/>
  <c r="O725" i="1"/>
  <c r="P725" i="1"/>
  <c r="Q725" i="1"/>
  <c r="R725" i="1"/>
  <c r="S725" i="1"/>
  <c r="T725" i="1"/>
  <c r="U725" i="1"/>
  <c r="V725" i="1"/>
  <c r="O726" i="1"/>
  <c r="P726" i="1"/>
  <c r="Q726" i="1"/>
  <c r="R726" i="1"/>
  <c r="S726" i="1"/>
  <c r="T726" i="1"/>
  <c r="U726" i="1"/>
  <c r="V726" i="1"/>
  <c r="O727" i="1"/>
  <c r="P727" i="1"/>
  <c r="Q727" i="1"/>
  <c r="R727" i="1"/>
  <c r="S727" i="1"/>
  <c r="T727" i="1"/>
  <c r="U727" i="1"/>
  <c r="V727" i="1"/>
  <c r="O728" i="1"/>
  <c r="P728" i="1"/>
  <c r="Q728" i="1"/>
  <c r="R728" i="1"/>
  <c r="S728" i="1"/>
  <c r="T728" i="1"/>
  <c r="U728" i="1"/>
  <c r="V728" i="1"/>
  <c r="O729" i="1"/>
  <c r="P729" i="1"/>
  <c r="Q729" i="1"/>
  <c r="R729" i="1"/>
  <c r="S729" i="1"/>
  <c r="T729" i="1"/>
  <c r="U729" i="1"/>
  <c r="V729" i="1"/>
  <c r="O730" i="1"/>
  <c r="P730" i="1"/>
  <c r="Q730" i="1"/>
  <c r="R730" i="1"/>
  <c r="S730" i="1"/>
  <c r="T730" i="1"/>
  <c r="U730" i="1"/>
  <c r="V730" i="1"/>
  <c r="O731" i="1"/>
  <c r="P731" i="1"/>
  <c r="Q731" i="1"/>
  <c r="R731" i="1"/>
  <c r="S731" i="1"/>
  <c r="T731" i="1"/>
  <c r="U731" i="1"/>
  <c r="V731" i="1"/>
  <c r="O732" i="1"/>
  <c r="P732" i="1"/>
  <c r="Q732" i="1"/>
  <c r="R732" i="1"/>
  <c r="S732" i="1"/>
  <c r="T732" i="1"/>
  <c r="U732" i="1"/>
  <c r="V732" i="1"/>
  <c r="O733" i="1"/>
  <c r="P733" i="1"/>
  <c r="Q733" i="1"/>
  <c r="R733" i="1"/>
  <c r="S733" i="1"/>
  <c r="T733" i="1"/>
  <c r="U733" i="1"/>
  <c r="V733" i="1"/>
  <c r="O734" i="1"/>
  <c r="P734" i="1"/>
  <c r="Q734" i="1"/>
  <c r="R734" i="1"/>
  <c r="S734" i="1"/>
  <c r="T734" i="1"/>
  <c r="U734" i="1"/>
  <c r="V734" i="1"/>
  <c r="O735" i="1"/>
  <c r="P735" i="1"/>
  <c r="Q735" i="1"/>
  <c r="R735" i="1"/>
  <c r="S735" i="1"/>
  <c r="T735" i="1"/>
  <c r="U735" i="1"/>
  <c r="V735" i="1"/>
  <c r="O736" i="1"/>
  <c r="P736" i="1"/>
  <c r="Q736" i="1"/>
  <c r="R736" i="1"/>
  <c r="S736" i="1"/>
  <c r="T736" i="1"/>
  <c r="U736" i="1"/>
  <c r="V736" i="1"/>
  <c r="O737" i="1"/>
  <c r="P737" i="1"/>
  <c r="Q737" i="1"/>
  <c r="R737" i="1"/>
  <c r="S737" i="1"/>
  <c r="T737" i="1"/>
  <c r="U737" i="1"/>
  <c r="V737" i="1"/>
  <c r="O738" i="1"/>
  <c r="P738" i="1"/>
  <c r="Q738" i="1"/>
  <c r="R738" i="1"/>
  <c r="S738" i="1"/>
  <c r="T738" i="1"/>
  <c r="U738" i="1"/>
  <c r="V738" i="1"/>
  <c r="O739" i="1"/>
  <c r="P739" i="1"/>
  <c r="Q739" i="1"/>
  <c r="R739" i="1"/>
  <c r="S739" i="1"/>
  <c r="T739" i="1"/>
  <c r="U739" i="1"/>
  <c r="V739" i="1"/>
  <c r="O740" i="1"/>
  <c r="P740" i="1"/>
  <c r="Q740" i="1"/>
  <c r="R740" i="1"/>
  <c r="S740" i="1"/>
  <c r="T740" i="1"/>
  <c r="U740" i="1"/>
  <c r="V740" i="1"/>
  <c r="O741" i="1"/>
  <c r="P741" i="1"/>
  <c r="Q741" i="1"/>
  <c r="R741" i="1"/>
  <c r="S741" i="1"/>
  <c r="T741" i="1"/>
  <c r="U741" i="1"/>
  <c r="V741" i="1"/>
  <c r="O742" i="1"/>
  <c r="P742" i="1"/>
  <c r="Q742" i="1"/>
  <c r="R742" i="1"/>
  <c r="S742" i="1"/>
  <c r="T742" i="1"/>
  <c r="U742" i="1"/>
  <c r="V742" i="1"/>
  <c r="O743" i="1"/>
  <c r="P743" i="1"/>
  <c r="Q743" i="1"/>
  <c r="R743" i="1"/>
  <c r="S743" i="1"/>
  <c r="T743" i="1"/>
  <c r="U743" i="1"/>
  <c r="V743" i="1"/>
  <c r="O744" i="1"/>
  <c r="P744" i="1"/>
  <c r="Q744" i="1"/>
  <c r="R744" i="1"/>
  <c r="S744" i="1"/>
  <c r="T744" i="1"/>
  <c r="U744" i="1"/>
  <c r="V744" i="1"/>
  <c r="O745" i="1"/>
  <c r="P745" i="1"/>
  <c r="Q745" i="1"/>
  <c r="R745" i="1"/>
  <c r="S745" i="1"/>
  <c r="T745" i="1"/>
  <c r="U745" i="1"/>
  <c r="V745" i="1"/>
  <c r="O746" i="1"/>
  <c r="P746" i="1"/>
  <c r="Q746" i="1"/>
  <c r="R746" i="1"/>
  <c r="S746" i="1"/>
  <c r="T746" i="1"/>
  <c r="U746" i="1"/>
  <c r="V746" i="1"/>
  <c r="O747" i="1"/>
  <c r="P747" i="1"/>
  <c r="Q747" i="1"/>
  <c r="R747" i="1"/>
  <c r="S747" i="1"/>
  <c r="T747" i="1"/>
  <c r="U747" i="1"/>
  <c r="V747" i="1"/>
  <c r="O748" i="1"/>
  <c r="P748" i="1"/>
  <c r="Q748" i="1"/>
  <c r="R748" i="1"/>
  <c r="S748" i="1"/>
  <c r="T748" i="1"/>
  <c r="U748" i="1"/>
  <c r="V748" i="1"/>
  <c r="O749" i="1"/>
  <c r="P749" i="1"/>
  <c r="Q749" i="1"/>
  <c r="R749" i="1"/>
  <c r="S749" i="1"/>
  <c r="T749" i="1"/>
  <c r="U749" i="1"/>
  <c r="V749" i="1"/>
  <c r="O750" i="1"/>
  <c r="P750" i="1"/>
  <c r="Q750" i="1"/>
  <c r="R750" i="1"/>
  <c r="S750" i="1"/>
  <c r="T750" i="1"/>
  <c r="U750" i="1"/>
  <c r="V750" i="1"/>
  <c r="O751" i="1"/>
  <c r="P751" i="1"/>
  <c r="Q751" i="1"/>
  <c r="R751" i="1"/>
  <c r="S751" i="1"/>
  <c r="T751" i="1"/>
  <c r="U751" i="1"/>
  <c r="V751" i="1"/>
  <c r="O752" i="1"/>
  <c r="P752" i="1"/>
  <c r="Q752" i="1"/>
  <c r="R752" i="1"/>
  <c r="S752" i="1"/>
  <c r="T752" i="1"/>
  <c r="U752" i="1"/>
  <c r="V752" i="1"/>
  <c r="O753" i="1"/>
  <c r="P753" i="1"/>
  <c r="Q753" i="1"/>
  <c r="R753" i="1"/>
  <c r="S753" i="1"/>
  <c r="T753" i="1"/>
  <c r="U753" i="1"/>
  <c r="V753" i="1"/>
  <c r="O754" i="1"/>
  <c r="P754" i="1"/>
  <c r="Q754" i="1"/>
  <c r="R754" i="1"/>
  <c r="S754" i="1"/>
  <c r="T754" i="1"/>
  <c r="U754" i="1"/>
  <c r="V754" i="1"/>
  <c r="O755" i="1"/>
  <c r="P755" i="1"/>
  <c r="Q755" i="1"/>
  <c r="R755" i="1"/>
  <c r="S755" i="1"/>
  <c r="T755" i="1"/>
  <c r="U755" i="1"/>
  <c r="V755" i="1"/>
  <c r="O756" i="1"/>
  <c r="P756" i="1"/>
  <c r="Q756" i="1"/>
  <c r="R756" i="1"/>
  <c r="S756" i="1"/>
  <c r="T756" i="1"/>
  <c r="U756" i="1"/>
  <c r="V756" i="1"/>
  <c r="O757" i="1"/>
  <c r="P757" i="1"/>
  <c r="Q757" i="1"/>
  <c r="R757" i="1"/>
  <c r="S757" i="1"/>
  <c r="T757" i="1"/>
  <c r="U757" i="1"/>
  <c r="V757" i="1"/>
  <c r="O758" i="1"/>
  <c r="P758" i="1"/>
  <c r="Q758" i="1"/>
  <c r="R758" i="1"/>
  <c r="S758" i="1"/>
  <c r="T758" i="1"/>
  <c r="U758" i="1"/>
  <c r="V758" i="1"/>
  <c r="O759" i="1"/>
  <c r="P759" i="1"/>
  <c r="Q759" i="1"/>
  <c r="R759" i="1"/>
  <c r="S759" i="1"/>
  <c r="T759" i="1"/>
  <c r="U759" i="1"/>
  <c r="V759" i="1"/>
  <c r="O760" i="1"/>
  <c r="P760" i="1"/>
  <c r="Q760" i="1"/>
  <c r="R760" i="1"/>
  <c r="S760" i="1"/>
  <c r="T760" i="1"/>
  <c r="U760" i="1"/>
  <c r="V760" i="1"/>
  <c r="O761" i="1"/>
  <c r="P761" i="1"/>
  <c r="Q761" i="1"/>
  <c r="R761" i="1"/>
  <c r="S761" i="1"/>
  <c r="T761" i="1"/>
  <c r="U761" i="1"/>
  <c r="V761" i="1"/>
  <c r="O762" i="1"/>
  <c r="P762" i="1"/>
  <c r="Q762" i="1"/>
  <c r="R762" i="1"/>
  <c r="S762" i="1"/>
  <c r="T762" i="1"/>
  <c r="U762" i="1"/>
  <c r="V762" i="1"/>
  <c r="O763" i="1"/>
  <c r="P763" i="1"/>
  <c r="Q763" i="1"/>
  <c r="R763" i="1"/>
  <c r="S763" i="1"/>
  <c r="T763" i="1"/>
  <c r="U763" i="1"/>
  <c r="V763" i="1"/>
  <c r="O764" i="1"/>
  <c r="P764" i="1"/>
  <c r="Q764" i="1"/>
  <c r="R764" i="1"/>
  <c r="S764" i="1"/>
  <c r="T764" i="1"/>
  <c r="U764" i="1"/>
  <c r="V764" i="1"/>
  <c r="O765" i="1"/>
  <c r="P765" i="1"/>
  <c r="Q765" i="1"/>
  <c r="R765" i="1"/>
  <c r="S765" i="1"/>
  <c r="T765" i="1"/>
  <c r="U765" i="1"/>
  <c r="V765" i="1"/>
  <c r="O766" i="1"/>
  <c r="P766" i="1"/>
  <c r="Q766" i="1"/>
  <c r="R766" i="1"/>
  <c r="S766" i="1"/>
  <c r="T766" i="1"/>
  <c r="U766" i="1"/>
  <c r="V766" i="1"/>
  <c r="O767" i="1"/>
  <c r="P767" i="1"/>
  <c r="Q767" i="1"/>
  <c r="R767" i="1"/>
  <c r="S767" i="1"/>
  <c r="T767" i="1"/>
  <c r="U767" i="1"/>
  <c r="V767" i="1"/>
  <c r="O768" i="1"/>
  <c r="P768" i="1"/>
  <c r="Q768" i="1"/>
  <c r="R768" i="1"/>
  <c r="S768" i="1"/>
  <c r="T768" i="1"/>
  <c r="U768" i="1"/>
  <c r="V768" i="1"/>
  <c r="O769" i="1"/>
  <c r="P769" i="1"/>
  <c r="Q769" i="1"/>
  <c r="R769" i="1"/>
  <c r="S769" i="1"/>
  <c r="T769" i="1"/>
  <c r="U769" i="1"/>
  <c r="V769" i="1"/>
  <c r="O770" i="1"/>
  <c r="P770" i="1"/>
  <c r="Q770" i="1"/>
  <c r="R770" i="1"/>
  <c r="S770" i="1"/>
  <c r="T770" i="1"/>
  <c r="U770" i="1"/>
  <c r="V770" i="1"/>
  <c r="O771" i="1"/>
  <c r="P771" i="1"/>
  <c r="Q771" i="1"/>
  <c r="R771" i="1"/>
  <c r="S771" i="1"/>
  <c r="T771" i="1"/>
  <c r="U771" i="1"/>
  <c r="V771" i="1"/>
  <c r="O772" i="1"/>
  <c r="P772" i="1"/>
  <c r="Q772" i="1"/>
  <c r="R772" i="1"/>
  <c r="S772" i="1"/>
  <c r="T772" i="1"/>
  <c r="U772" i="1"/>
  <c r="V772" i="1"/>
  <c r="O773" i="1"/>
  <c r="P773" i="1"/>
  <c r="Q773" i="1"/>
  <c r="R773" i="1"/>
  <c r="S773" i="1"/>
  <c r="T773" i="1"/>
  <c r="U773" i="1"/>
  <c r="V773" i="1"/>
  <c r="O774" i="1"/>
  <c r="P774" i="1"/>
  <c r="Q774" i="1"/>
  <c r="R774" i="1"/>
  <c r="S774" i="1"/>
  <c r="T774" i="1"/>
  <c r="U774" i="1"/>
  <c r="V774" i="1"/>
  <c r="O775" i="1"/>
  <c r="P775" i="1"/>
  <c r="Q775" i="1"/>
  <c r="R775" i="1"/>
  <c r="S775" i="1"/>
  <c r="T775" i="1"/>
  <c r="U775" i="1"/>
  <c r="V775" i="1"/>
  <c r="O776" i="1"/>
  <c r="P776" i="1"/>
  <c r="Q776" i="1"/>
  <c r="R776" i="1"/>
  <c r="S776" i="1"/>
  <c r="T776" i="1"/>
  <c r="U776" i="1"/>
  <c r="V776" i="1"/>
  <c r="O777" i="1"/>
  <c r="P777" i="1"/>
  <c r="Q777" i="1"/>
  <c r="R777" i="1"/>
  <c r="S777" i="1"/>
  <c r="T777" i="1"/>
  <c r="U777" i="1"/>
  <c r="V777" i="1"/>
  <c r="O778" i="1"/>
  <c r="P778" i="1"/>
  <c r="Q778" i="1"/>
  <c r="R778" i="1"/>
  <c r="S778" i="1"/>
  <c r="T778" i="1"/>
  <c r="U778" i="1"/>
  <c r="V778" i="1"/>
  <c r="O779" i="1"/>
  <c r="P779" i="1"/>
  <c r="Q779" i="1"/>
  <c r="R779" i="1"/>
  <c r="S779" i="1"/>
  <c r="T779" i="1"/>
  <c r="U779" i="1"/>
  <c r="V779" i="1"/>
  <c r="O780" i="1"/>
  <c r="P780" i="1"/>
  <c r="Q780" i="1"/>
  <c r="R780" i="1"/>
  <c r="S780" i="1"/>
  <c r="T780" i="1"/>
  <c r="U780" i="1"/>
  <c r="V780" i="1"/>
  <c r="O781" i="1"/>
  <c r="P781" i="1"/>
  <c r="Q781" i="1"/>
  <c r="R781" i="1"/>
  <c r="S781" i="1"/>
  <c r="T781" i="1"/>
  <c r="U781" i="1"/>
  <c r="V781" i="1"/>
  <c r="O782" i="1"/>
  <c r="P782" i="1"/>
  <c r="Q782" i="1"/>
  <c r="R782" i="1"/>
  <c r="S782" i="1"/>
  <c r="T782" i="1"/>
  <c r="U782" i="1"/>
  <c r="V782" i="1"/>
  <c r="O783" i="1"/>
  <c r="P783" i="1"/>
  <c r="Q783" i="1"/>
  <c r="R783" i="1"/>
  <c r="S783" i="1"/>
  <c r="T783" i="1"/>
  <c r="U783" i="1"/>
  <c r="V783" i="1"/>
  <c r="O784" i="1"/>
  <c r="P784" i="1"/>
  <c r="Q784" i="1"/>
  <c r="R784" i="1"/>
  <c r="S784" i="1"/>
  <c r="T784" i="1"/>
  <c r="U784" i="1"/>
  <c r="V784" i="1"/>
  <c r="O785" i="1"/>
  <c r="P785" i="1"/>
  <c r="Q785" i="1"/>
  <c r="R785" i="1"/>
  <c r="S785" i="1"/>
  <c r="T785" i="1"/>
  <c r="U785" i="1"/>
  <c r="V785" i="1"/>
  <c r="O786" i="1"/>
  <c r="P786" i="1"/>
  <c r="Q786" i="1"/>
  <c r="R786" i="1"/>
  <c r="S786" i="1"/>
  <c r="T786" i="1"/>
  <c r="U786" i="1"/>
  <c r="V786" i="1"/>
  <c r="O787" i="1"/>
  <c r="P787" i="1"/>
  <c r="Q787" i="1"/>
  <c r="R787" i="1"/>
  <c r="S787" i="1"/>
  <c r="T787" i="1"/>
  <c r="U787" i="1"/>
  <c r="V787" i="1"/>
  <c r="O788" i="1"/>
  <c r="P788" i="1"/>
  <c r="Q788" i="1"/>
  <c r="R788" i="1"/>
  <c r="S788" i="1"/>
  <c r="T788" i="1"/>
  <c r="U788" i="1"/>
  <c r="V788" i="1"/>
  <c r="O789" i="1"/>
  <c r="P789" i="1"/>
  <c r="Q789" i="1"/>
  <c r="R789" i="1"/>
  <c r="S789" i="1"/>
  <c r="T789" i="1"/>
  <c r="U789" i="1"/>
  <c r="V789" i="1"/>
  <c r="O790" i="1"/>
  <c r="P790" i="1"/>
  <c r="Q790" i="1"/>
  <c r="R790" i="1"/>
  <c r="S790" i="1"/>
  <c r="T790" i="1"/>
  <c r="U790" i="1"/>
  <c r="V790" i="1"/>
  <c r="O791" i="1"/>
  <c r="P791" i="1"/>
  <c r="Q791" i="1"/>
  <c r="R791" i="1"/>
  <c r="S791" i="1"/>
  <c r="T791" i="1"/>
  <c r="U791" i="1"/>
  <c r="V791" i="1"/>
  <c r="O792" i="1"/>
  <c r="P792" i="1"/>
  <c r="Q792" i="1"/>
  <c r="R792" i="1"/>
  <c r="S792" i="1"/>
  <c r="T792" i="1"/>
  <c r="U792" i="1"/>
  <c r="V792" i="1"/>
  <c r="O793" i="1"/>
  <c r="P793" i="1"/>
  <c r="Q793" i="1"/>
  <c r="R793" i="1"/>
  <c r="S793" i="1"/>
  <c r="T793" i="1"/>
  <c r="U793" i="1"/>
  <c r="V793" i="1"/>
  <c r="O794" i="1"/>
  <c r="P794" i="1"/>
  <c r="Q794" i="1"/>
  <c r="R794" i="1"/>
  <c r="S794" i="1"/>
  <c r="T794" i="1"/>
  <c r="U794" i="1"/>
  <c r="V794" i="1"/>
  <c r="O795" i="1"/>
  <c r="P795" i="1"/>
  <c r="Q795" i="1"/>
  <c r="R795" i="1"/>
  <c r="S795" i="1"/>
  <c r="T795" i="1"/>
  <c r="U795" i="1"/>
  <c r="V795" i="1"/>
  <c r="O796" i="1"/>
  <c r="P796" i="1"/>
  <c r="Q796" i="1"/>
  <c r="R796" i="1"/>
  <c r="S796" i="1"/>
  <c r="T796" i="1"/>
  <c r="U796" i="1"/>
  <c r="V796" i="1"/>
  <c r="O797" i="1"/>
  <c r="P797" i="1"/>
  <c r="Q797" i="1"/>
  <c r="R797" i="1"/>
  <c r="S797" i="1"/>
  <c r="T797" i="1"/>
  <c r="U797" i="1"/>
  <c r="V797" i="1"/>
  <c r="O798" i="1"/>
  <c r="P798" i="1"/>
  <c r="Q798" i="1"/>
  <c r="R798" i="1"/>
  <c r="S798" i="1"/>
  <c r="T798" i="1"/>
  <c r="U798" i="1"/>
  <c r="V798" i="1"/>
  <c r="O799" i="1"/>
  <c r="P799" i="1"/>
  <c r="Q799" i="1"/>
  <c r="R799" i="1"/>
  <c r="S799" i="1"/>
  <c r="T799" i="1"/>
  <c r="U799" i="1"/>
  <c r="V799" i="1"/>
  <c r="O800" i="1"/>
  <c r="P800" i="1"/>
  <c r="Q800" i="1"/>
  <c r="R800" i="1"/>
  <c r="S800" i="1"/>
  <c r="T800" i="1"/>
  <c r="U800" i="1"/>
  <c r="V800" i="1"/>
  <c r="O801" i="1"/>
  <c r="P801" i="1"/>
  <c r="Q801" i="1"/>
  <c r="R801" i="1"/>
  <c r="S801" i="1"/>
  <c r="T801" i="1"/>
  <c r="U801" i="1"/>
  <c r="V801" i="1"/>
  <c r="O802" i="1"/>
  <c r="P802" i="1"/>
  <c r="Q802" i="1"/>
  <c r="R802" i="1"/>
  <c r="S802" i="1"/>
  <c r="T802" i="1"/>
  <c r="U802" i="1"/>
  <c r="V802" i="1"/>
  <c r="O803" i="1"/>
  <c r="P803" i="1"/>
  <c r="Q803" i="1"/>
  <c r="R803" i="1"/>
  <c r="S803" i="1"/>
  <c r="T803" i="1"/>
  <c r="U803" i="1"/>
  <c r="V803" i="1"/>
  <c r="O804" i="1"/>
  <c r="P804" i="1"/>
  <c r="Q804" i="1"/>
  <c r="R804" i="1"/>
  <c r="S804" i="1"/>
  <c r="T804" i="1"/>
  <c r="U804" i="1"/>
  <c r="V804" i="1"/>
  <c r="O805" i="1"/>
  <c r="P805" i="1"/>
  <c r="Q805" i="1"/>
  <c r="R805" i="1"/>
  <c r="S805" i="1"/>
  <c r="T805" i="1"/>
  <c r="U805" i="1"/>
  <c r="V805" i="1"/>
  <c r="O806" i="1"/>
  <c r="P806" i="1"/>
  <c r="Q806" i="1"/>
  <c r="R806" i="1"/>
  <c r="S806" i="1"/>
  <c r="T806" i="1"/>
  <c r="U806" i="1"/>
  <c r="V806" i="1"/>
  <c r="O807" i="1"/>
  <c r="P807" i="1"/>
  <c r="Q807" i="1"/>
  <c r="R807" i="1"/>
  <c r="S807" i="1"/>
  <c r="T807" i="1"/>
  <c r="U807" i="1"/>
  <c r="V807" i="1"/>
  <c r="O808" i="1"/>
  <c r="P808" i="1"/>
  <c r="Q808" i="1"/>
  <c r="R808" i="1"/>
  <c r="S808" i="1"/>
  <c r="T808" i="1"/>
  <c r="U808" i="1"/>
  <c r="V808" i="1"/>
  <c r="O809" i="1"/>
  <c r="P809" i="1"/>
  <c r="Q809" i="1"/>
  <c r="R809" i="1"/>
  <c r="S809" i="1"/>
  <c r="T809" i="1"/>
  <c r="U809" i="1"/>
  <c r="V809" i="1"/>
  <c r="O810" i="1"/>
  <c r="P810" i="1"/>
  <c r="Q810" i="1"/>
  <c r="R810" i="1"/>
  <c r="S810" i="1"/>
  <c r="T810" i="1"/>
  <c r="U810" i="1"/>
  <c r="V810" i="1"/>
  <c r="O811" i="1"/>
  <c r="P811" i="1"/>
  <c r="Q811" i="1"/>
  <c r="R811" i="1"/>
  <c r="S811" i="1"/>
  <c r="T811" i="1"/>
  <c r="U811" i="1"/>
  <c r="V811" i="1"/>
  <c r="O812" i="1"/>
  <c r="P812" i="1"/>
  <c r="Q812" i="1"/>
  <c r="R812" i="1"/>
  <c r="S812" i="1"/>
  <c r="T812" i="1"/>
  <c r="U812" i="1"/>
  <c r="V812" i="1"/>
  <c r="O813" i="1"/>
  <c r="P813" i="1"/>
  <c r="Q813" i="1"/>
  <c r="R813" i="1"/>
  <c r="S813" i="1"/>
  <c r="T813" i="1"/>
  <c r="U813" i="1"/>
  <c r="V813" i="1"/>
  <c r="O814" i="1"/>
  <c r="P814" i="1"/>
  <c r="Q814" i="1"/>
  <c r="R814" i="1"/>
  <c r="S814" i="1"/>
  <c r="T814" i="1"/>
  <c r="U814" i="1"/>
  <c r="V814" i="1"/>
  <c r="O815" i="1"/>
  <c r="P815" i="1"/>
  <c r="Q815" i="1"/>
  <c r="R815" i="1"/>
  <c r="S815" i="1"/>
  <c r="T815" i="1"/>
  <c r="U815" i="1"/>
  <c r="V815" i="1"/>
  <c r="O816" i="1"/>
  <c r="P816" i="1"/>
  <c r="Q816" i="1"/>
  <c r="R816" i="1"/>
  <c r="S816" i="1"/>
  <c r="T816" i="1"/>
  <c r="U816" i="1"/>
  <c r="V816" i="1"/>
  <c r="O817" i="1"/>
  <c r="P817" i="1"/>
  <c r="Q817" i="1"/>
  <c r="R817" i="1"/>
  <c r="S817" i="1"/>
  <c r="T817" i="1"/>
  <c r="U817" i="1"/>
  <c r="V817" i="1"/>
  <c r="O818" i="1"/>
  <c r="P818" i="1"/>
  <c r="Q818" i="1"/>
  <c r="R818" i="1"/>
  <c r="S818" i="1"/>
  <c r="T818" i="1"/>
  <c r="U818" i="1"/>
  <c r="V818" i="1"/>
  <c r="O819" i="1"/>
  <c r="P819" i="1"/>
  <c r="Q819" i="1"/>
  <c r="R819" i="1"/>
  <c r="S819" i="1"/>
  <c r="T819" i="1"/>
  <c r="U819" i="1"/>
  <c r="V819" i="1"/>
  <c r="O820" i="1"/>
  <c r="P820" i="1"/>
  <c r="Q820" i="1"/>
  <c r="R820" i="1"/>
  <c r="S820" i="1"/>
  <c r="T820" i="1"/>
  <c r="U820" i="1"/>
  <c r="V820" i="1"/>
  <c r="O821" i="1"/>
  <c r="P821" i="1"/>
  <c r="Q821" i="1"/>
  <c r="R821" i="1"/>
  <c r="S821" i="1"/>
  <c r="T821" i="1"/>
  <c r="U821" i="1"/>
  <c r="V821" i="1"/>
  <c r="O822" i="1"/>
  <c r="P822" i="1"/>
  <c r="Q822" i="1"/>
  <c r="R822" i="1"/>
  <c r="S822" i="1"/>
  <c r="T822" i="1"/>
  <c r="U822" i="1"/>
  <c r="V822" i="1"/>
  <c r="O823" i="1"/>
  <c r="P823" i="1"/>
  <c r="Q823" i="1"/>
  <c r="R823" i="1"/>
  <c r="S823" i="1"/>
  <c r="T823" i="1"/>
  <c r="U823" i="1"/>
  <c r="V823" i="1"/>
  <c r="O824" i="1"/>
  <c r="P824" i="1"/>
  <c r="Q824" i="1"/>
  <c r="R824" i="1"/>
  <c r="S824" i="1"/>
  <c r="T824" i="1"/>
  <c r="U824" i="1"/>
  <c r="V824" i="1"/>
  <c r="O825" i="1"/>
  <c r="P825" i="1"/>
  <c r="Q825" i="1"/>
  <c r="R825" i="1"/>
  <c r="S825" i="1"/>
  <c r="T825" i="1"/>
  <c r="U825" i="1"/>
  <c r="V825" i="1"/>
  <c r="O826" i="1"/>
  <c r="P826" i="1"/>
  <c r="Q826" i="1"/>
  <c r="R826" i="1"/>
  <c r="S826" i="1"/>
  <c r="T826" i="1"/>
  <c r="U826" i="1"/>
  <c r="V826" i="1"/>
  <c r="O827" i="1"/>
  <c r="P827" i="1"/>
  <c r="Q827" i="1"/>
  <c r="R827" i="1"/>
  <c r="S827" i="1"/>
  <c r="T827" i="1"/>
  <c r="U827" i="1"/>
  <c r="V827" i="1"/>
  <c r="O828" i="1"/>
  <c r="P828" i="1"/>
  <c r="Q828" i="1"/>
  <c r="R828" i="1"/>
  <c r="S828" i="1"/>
  <c r="T828" i="1"/>
  <c r="U828" i="1"/>
  <c r="V828" i="1"/>
  <c r="O829" i="1"/>
  <c r="P829" i="1"/>
  <c r="Q829" i="1"/>
  <c r="R829" i="1"/>
  <c r="S829" i="1"/>
  <c r="T829" i="1"/>
  <c r="U829" i="1"/>
  <c r="V829" i="1"/>
  <c r="O830" i="1"/>
  <c r="P830" i="1"/>
  <c r="Q830" i="1"/>
  <c r="R830" i="1"/>
  <c r="S830" i="1"/>
  <c r="T830" i="1"/>
  <c r="U830" i="1"/>
  <c r="V830" i="1"/>
  <c r="O831" i="1"/>
  <c r="P831" i="1"/>
  <c r="Q831" i="1"/>
  <c r="R831" i="1"/>
  <c r="S831" i="1"/>
  <c r="T831" i="1"/>
  <c r="U831" i="1"/>
  <c r="V831" i="1"/>
  <c r="O832" i="1"/>
  <c r="P832" i="1"/>
  <c r="Q832" i="1"/>
  <c r="R832" i="1"/>
  <c r="S832" i="1"/>
  <c r="T832" i="1"/>
  <c r="U832" i="1"/>
  <c r="V832" i="1"/>
  <c r="O833" i="1"/>
  <c r="P833" i="1"/>
  <c r="Q833" i="1"/>
  <c r="R833" i="1"/>
  <c r="S833" i="1"/>
  <c r="T833" i="1"/>
  <c r="U833" i="1"/>
  <c r="V833" i="1"/>
  <c r="O834" i="1"/>
  <c r="P834" i="1"/>
  <c r="Q834" i="1"/>
  <c r="R834" i="1"/>
  <c r="S834" i="1"/>
  <c r="T834" i="1"/>
  <c r="U834" i="1"/>
  <c r="V834" i="1"/>
  <c r="O835" i="1"/>
  <c r="P835" i="1"/>
  <c r="Q835" i="1"/>
  <c r="R835" i="1"/>
  <c r="S835" i="1"/>
  <c r="T835" i="1"/>
  <c r="U835" i="1"/>
  <c r="V835" i="1"/>
  <c r="O836" i="1"/>
  <c r="P836" i="1"/>
  <c r="Q836" i="1"/>
  <c r="R836" i="1"/>
  <c r="S836" i="1"/>
  <c r="T836" i="1"/>
  <c r="U836" i="1"/>
  <c r="V836" i="1"/>
  <c r="O837" i="1"/>
  <c r="P837" i="1"/>
  <c r="Q837" i="1"/>
  <c r="R837" i="1"/>
  <c r="S837" i="1"/>
  <c r="T837" i="1"/>
  <c r="U837" i="1"/>
  <c r="V837" i="1"/>
  <c r="O838" i="1"/>
  <c r="P838" i="1"/>
  <c r="Q838" i="1"/>
  <c r="R838" i="1"/>
  <c r="S838" i="1"/>
  <c r="T838" i="1"/>
  <c r="U838" i="1"/>
  <c r="V838" i="1"/>
  <c r="O839" i="1"/>
  <c r="P839" i="1"/>
  <c r="Q839" i="1"/>
  <c r="R839" i="1"/>
  <c r="S839" i="1"/>
  <c r="T839" i="1"/>
  <c r="U839" i="1"/>
  <c r="V839" i="1"/>
  <c r="O840" i="1"/>
  <c r="P840" i="1"/>
  <c r="Q840" i="1"/>
  <c r="R840" i="1"/>
  <c r="S840" i="1"/>
  <c r="T840" i="1"/>
  <c r="U840" i="1"/>
  <c r="V840" i="1"/>
  <c r="O841" i="1"/>
  <c r="P841" i="1"/>
  <c r="Q841" i="1"/>
  <c r="R841" i="1"/>
  <c r="S841" i="1"/>
  <c r="T841" i="1"/>
  <c r="U841" i="1"/>
  <c r="V841" i="1"/>
  <c r="O842" i="1"/>
  <c r="P842" i="1"/>
  <c r="Q842" i="1"/>
  <c r="R842" i="1"/>
  <c r="S842" i="1"/>
  <c r="T842" i="1"/>
  <c r="U842" i="1"/>
  <c r="V842" i="1"/>
  <c r="O843" i="1"/>
  <c r="P843" i="1"/>
  <c r="Q843" i="1"/>
  <c r="R843" i="1"/>
  <c r="S843" i="1"/>
  <c r="T843" i="1"/>
  <c r="U843" i="1"/>
  <c r="V843" i="1"/>
  <c r="O844" i="1"/>
  <c r="P844" i="1"/>
  <c r="Q844" i="1"/>
  <c r="R844" i="1"/>
  <c r="S844" i="1"/>
  <c r="T844" i="1"/>
  <c r="U844" i="1"/>
  <c r="V844" i="1"/>
  <c r="O845" i="1"/>
  <c r="P845" i="1"/>
  <c r="Q845" i="1"/>
  <c r="R845" i="1"/>
  <c r="S845" i="1"/>
  <c r="T845" i="1"/>
  <c r="U845" i="1"/>
  <c r="V845" i="1"/>
  <c r="O846" i="1"/>
  <c r="P846" i="1"/>
  <c r="Q846" i="1"/>
  <c r="R846" i="1"/>
  <c r="S846" i="1"/>
  <c r="T846" i="1"/>
  <c r="U846" i="1"/>
  <c r="V846" i="1"/>
  <c r="O847" i="1"/>
  <c r="P847" i="1"/>
  <c r="Q847" i="1"/>
  <c r="R847" i="1"/>
  <c r="S847" i="1"/>
  <c r="T847" i="1"/>
  <c r="U847" i="1"/>
  <c r="V847" i="1"/>
  <c r="O848" i="1"/>
  <c r="P848" i="1"/>
  <c r="Q848" i="1"/>
  <c r="R848" i="1"/>
  <c r="S848" i="1"/>
  <c r="T848" i="1"/>
  <c r="U848" i="1"/>
  <c r="V848" i="1"/>
  <c r="O849" i="1"/>
  <c r="P849" i="1"/>
  <c r="Q849" i="1"/>
  <c r="R849" i="1"/>
  <c r="S849" i="1"/>
  <c r="T849" i="1"/>
  <c r="U849" i="1"/>
  <c r="V849" i="1"/>
  <c r="O850" i="1"/>
  <c r="P850" i="1"/>
  <c r="Q850" i="1"/>
  <c r="R850" i="1"/>
  <c r="S850" i="1"/>
  <c r="T850" i="1"/>
  <c r="U850" i="1"/>
  <c r="V850" i="1"/>
  <c r="O851" i="1"/>
  <c r="P851" i="1"/>
  <c r="Q851" i="1"/>
  <c r="R851" i="1"/>
  <c r="S851" i="1"/>
  <c r="T851" i="1"/>
  <c r="U851" i="1"/>
  <c r="V851" i="1"/>
  <c r="O852" i="1"/>
  <c r="P852" i="1"/>
  <c r="Q852" i="1"/>
  <c r="R852" i="1"/>
  <c r="S852" i="1"/>
  <c r="T852" i="1"/>
  <c r="U852" i="1"/>
  <c r="V852" i="1"/>
  <c r="O853" i="1"/>
  <c r="P853" i="1"/>
  <c r="Q853" i="1"/>
  <c r="R853" i="1"/>
  <c r="S853" i="1"/>
  <c r="T853" i="1"/>
  <c r="U853" i="1"/>
  <c r="V853" i="1"/>
  <c r="O854" i="1"/>
  <c r="P854" i="1"/>
  <c r="Q854" i="1"/>
  <c r="R854" i="1"/>
  <c r="S854" i="1"/>
  <c r="T854" i="1"/>
  <c r="U854" i="1"/>
  <c r="V854" i="1"/>
  <c r="O855" i="1"/>
  <c r="P855" i="1"/>
  <c r="Q855" i="1"/>
  <c r="R855" i="1"/>
  <c r="S855" i="1"/>
  <c r="T855" i="1"/>
  <c r="U855" i="1"/>
  <c r="V855" i="1"/>
  <c r="O856" i="1"/>
  <c r="P856" i="1"/>
  <c r="Q856" i="1"/>
  <c r="R856" i="1"/>
  <c r="S856" i="1"/>
  <c r="T856" i="1"/>
  <c r="U856" i="1"/>
  <c r="V856" i="1"/>
  <c r="O857" i="1"/>
  <c r="P857" i="1"/>
  <c r="Q857" i="1"/>
  <c r="R857" i="1"/>
  <c r="S857" i="1"/>
  <c r="T857" i="1"/>
  <c r="U857" i="1"/>
  <c r="V857" i="1"/>
  <c r="O858" i="1"/>
  <c r="P858" i="1"/>
  <c r="Q858" i="1"/>
  <c r="R858" i="1"/>
  <c r="S858" i="1"/>
  <c r="T858" i="1"/>
  <c r="U858" i="1"/>
  <c r="V858" i="1"/>
  <c r="O859" i="1"/>
  <c r="P859" i="1"/>
  <c r="Q859" i="1"/>
  <c r="R859" i="1"/>
  <c r="S859" i="1"/>
  <c r="T859" i="1"/>
  <c r="U859" i="1"/>
  <c r="V859" i="1"/>
  <c r="O860" i="1"/>
  <c r="P860" i="1"/>
  <c r="Q860" i="1"/>
  <c r="R860" i="1"/>
  <c r="S860" i="1"/>
  <c r="T860" i="1"/>
  <c r="U860" i="1"/>
  <c r="V860" i="1"/>
  <c r="O861" i="1"/>
  <c r="P861" i="1"/>
  <c r="Q861" i="1"/>
  <c r="R861" i="1"/>
  <c r="S861" i="1"/>
  <c r="T861" i="1"/>
  <c r="U861" i="1"/>
  <c r="V861" i="1"/>
  <c r="O862" i="1"/>
  <c r="P862" i="1"/>
  <c r="Q862" i="1"/>
  <c r="R862" i="1"/>
  <c r="S862" i="1"/>
  <c r="T862" i="1"/>
  <c r="U862" i="1"/>
  <c r="V862" i="1"/>
  <c r="O863" i="1"/>
  <c r="P863" i="1"/>
  <c r="Q863" i="1"/>
  <c r="R863" i="1"/>
  <c r="S863" i="1"/>
  <c r="T863" i="1"/>
  <c r="U863" i="1"/>
  <c r="V863" i="1"/>
  <c r="O864" i="1"/>
  <c r="P864" i="1"/>
  <c r="Q864" i="1"/>
  <c r="R864" i="1"/>
  <c r="S864" i="1"/>
  <c r="T864" i="1"/>
  <c r="U864" i="1"/>
  <c r="V864" i="1"/>
  <c r="O865" i="1"/>
  <c r="P865" i="1"/>
  <c r="Q865" i="1"/>
  <c r="R865" i="1"/>
  <c r="S865" i="1"/>
  <c r="T865" i="1"/>
  <c r="U865" i="1"/>
  <c r="V865" i="1"/>
  <c r="O866" i="1"/>
  <c r="P866" i="1"/>
  <c r="Q866" i="1"/>
  <c r="R866" i="1"/>
  <c r="S866" i="1"/>
  <c r="T866" i="1"/>
  <c r="U866" i="1"/>
  <c r="V866" i="1"/>
  <c r="O867" i="1"/>
  <c r="P867" i="1"/>
  <c r="Q867" i="1"/>
  <c r="R867" i="1"/>
  <c r="S867" i="1"/>
  <c r="T867" i="1"/>
  <c r="U867" i="1"/>
  <c r="V867" i="1"/>
  <c r="O868" i="1"/>
  <c r="P868" i="1"/>
  <c r="Q868" i="1"/>
  <c r="R868" i="1"/>
  <c r="S868" i="1"/>
  <c r="T868" i="1"/>
  <c r="U868" i="1"/>
  <c r="V868" i="1"/>
  <c r="O869" i="1"/>
  <c r="P869" i="1"/>
  <c r="Q869" i="1"/>
  <c r="R869" i="1"/>
  <c r="S869" i="1"/>
  <c r="T869" i="1"/>
  <c r="U869" i="1"/>
  <c r="V869" i="1"/>
  <c r="O870" i="1"/>
  <c r="P870" i="1"/>
  <c r="Q870" i="1"/>
  <c r="R870" i="1"/>
  <c r="S870" i="1"/>
  <c r="T870" i="1"/>
  <c r="U870" i="1"/>
  <c r="V870" i="1"/>
  <c r="O871" i="1"/>
  <c r="P871" i="1"/>
  <c r="Q871" i="1"/>
  <c r="R871" i="1"/>
  <c r="S871" i="1"/>
  <c r="T871" i="1"/>
  <c r="U871" i="1"/>
  <c r="V871" i="1"/>
  <c r="O872" i="1"/>
  <c r="P872" i="1"/>
  <c r="Q872" i="1"/>
  <c r="R872" i="1"/>
  <c r="S872" i="1"/>
  <c r="T872" i="1"/>
  <c r="U872" i="1"/>
  <c r="V872" i="1"/>
  <c r="O873" i="1"/>
  <c r="P873" i="1"/>
  <c r="Q873" i="1"/>
  <c r="R873" i="1"/>
  <c r="S873" i="1"/>
  <c r="T873" i="1"/>
  <c r="U873" i="1"/>
  <c r="V873" i="1"/>
  <c r="O874" i="1"/>
  <c r="P874" i="1"/>
  <c r="Q874" i="1"/>
  <c r="R874" i="1"/>
  <c r="S874" i="1"/>
  <c r="T874" i="1"/>
  <c r="U874" i="1"/>
  <c r="V874" i="1"/>
  <c r="O875" i="1"/>
  <c r="P875" i="1"/>
  <c r="Q875" i="1"/>
  <c r="R875" i="1"/>
  <c r="S875" i="1"/>
  <c r="T875" i="1"/>
  <c r="U875" i="1"/>
  <c r="V875" i="1"/>
  <c r="O876" i="1"/>
  <c r="P876" i="1"/>
  <c r="Q876" i="1"/>
  <c r="R876" i="1"/>
  <c r="S876" i="1"/>
  <c r="T876" i="1"/>
  <c r="U876" i="1"/>
  <c r="V876" i="1"/>
  <c r="O877" i="1"/>
  <c r="P877" i="1"/>
  <c r="Q877" i="1"/>
  <c r="R877" i="1"/>
  <c r="S877" i="1"/>
  <c r="T877" i="1"/>
  <c r="U877" i="1"/>
  <c r="V877" i="1"/>
  <c r="O878" i="1"/>
  <c r="P878" i="1"/>
  <c r="Q878" i="1"/>
  <c r="R878" i="1"/>
  <c r="S878" i="1"/>
  <c r="T878" i="1"/>
  <c r="U878" i="1"/>
  <c r="V878" i="1"/>
  <c r="O879" i="1"/>
  <c r="P879" i="1"/>
  <c r="Q879" i="1"/>
  <c r="R879" i="1"/>
  <c r="S879" i="1"/>
  <c r="T879" i="1"/>
  <c r="U879" i="1"/>
  <c r="V879" i="1"/>
  <c r="O880" i="1"/>
  <c r="P880" i="1"/>
  <c r="Q880" i="1"/>
  <c r="R880" i="1"/>
  <c r="S880" i="1"/>
  <c r="T880" i="1"/>
  <c r="U880" i="1"/>
  <c r="V880" i="1"/>
  <c r="O881" i="1"/>
  <c r="P881" i="1"/>
  <c r="Q881" i="1"/>
  <c r="R881" i="1"/>
  <c r="S881" i="1"/>
  <c r="T881" i="1"/>
  <c r="U881" i="1"/>
  <c r="V881" i="1"/>
  <c r="O882" i="1"/>
  <c r="P882" i="1"/>
  <c r="Q882" i="1"/>
  <c r="R882" i="1"/>
  <c r="S882" i="1"/>
  <c r="T882" i="1"/>
  <c r="U882" i="1"/>
  <c r="V882" i="1"/>
  <c r="O883" i="1"/>
  <c r="P883" i="1"/>
  <c r="Q883" i="1"/>
  <c r="R883" i="1"/>
  <c r="S883" i="1"/>
  <c r="T883" i="1"/>
  <c r="U883" i="1"/>
  <c r="V883" i="1"/>
  <c r="O884" i="1"/>
  <c r="P884" i="1"/>
  <c r="Q884" i="1"/>
  <c r="R884" i="1"/>
  <c r="S884" i="1"/>
  <c r="T884" i="1"/>
  <c r="U884" i="1"/>
  <c r="V884" i="1"/>
  <c r="O885" i="1"/>
  <c r="P885" i="1"/>
  <c r="Q885" i="1"/>
  <c r="R885" i="1"/>
  <c r="S885" i="1"/>
  <c r="T885" i="1"/>
  <c r="U885" i="1"/>
  <c r="V885" i="1"/>
  <c r="O886" i="1"/>
  <c r="P886" i="1"/>
  <c r="Q886" i="1"/>
  <c r="R886" i="1"/>
  <c r="S886" i="1"/>
  <c r="T886" i="1"/>
  <c r="U886" i="1"/>
  <c r="V886" i="1"/>
  <c r="O887" i="1"/>
  <c r="P887" i="1"/>
  <c r="Q887" i="1"/>
  <c r="R887" i="1"/>
  <c r="S887" i="1"/>
  <c r="T887" i="1"/>
  <c r="U887" i="1"/>
  <c r="V887" i="1"/>
  <c r="O888" i="1"/>
  <c r="P888" i="1"/>
  <c r="Q888" i="1"/>
  <c r="R888" i="1"/>
  <c r="S888" i="1"/>
  <c r="T888" i="1"/>
  <c r="U888" i="1"/>
  <c r="V888" i="1"/>
  <c r="O889" i="1"/>
  <c r="P889" i="1"/>
  <c r="Q889" i="1"/>
  <c r="R889" i="1"/>
  <c r="S889" i="1"/>
  <c r="T889" i="1"/>
  <c r="U889" i="1"/>
  <c r="V889" i="1"/>
  <c r="O890" i="1"/>
  <c r="P890" i="1"/>
  <c r="Q890" i="1"/>
  <c r="R890" i="1"/>
  <c r="S890" i="1"/>
  <c r="T890" i="1"/>
  <c r="U890" i="1"/>
  <c r="V890" i="1"/>
  <c r="O891" i="1"/>
  <c r="P891" i="1"/>
  <c r="Q891" i="1"/>
  <c r="R891" i="1"/>
  <c r="S891" i="1"/>
  <c r="T891" i="1"/>
  <c r="U891" i="1"/>
  <c r="V891" i="1"/>
  <c r="O892" i="1"/>
  <c r="P892" i="1"/>
  <c r="Q892" i="1"/>
  <c r="R892" i="1"/>
  <c r="S892" i="1"/>
  <c r="T892" i="1"/>
  <c r="U892" i="1"/>
  <c r="V892" i="1"/>
  <c r="O893" i="1"/>
  <c r="P893" i="1"/>
  <c r="Q893" i="1"/>
  <c r="R893" i="1"/>
  <c r="S893" i="1"/>
  <c r="T893" i="1"/>
  <c r="U893" i="1"/>
  <c r="V893" i="1"/>
  <c r="O894" i="1"/>
  <c r="P894" i="1"/>
  <c r="Q894" i="1"/>
  <c r="R894" i="1"/>
  <c r="S894" i="1"/>
  <c r="T894" i="1"/>
  <c r="U894" i="1"/>
  <c r="V894" i="1"/>
  <c r="O895" i="1"/>
  <c r="P895" i="1"/>
  <c r="Q895" i="1"/>
  <c r="R895" i="1"/>
  <c r="S895" i="1"/>
  <c r="T895" i="1"/>
  <c r="U895" i="1"/>
  <c r="V895" i="1"/>
  <c r="O896" i="1"/>
  <c r="P896" i="1"/>
  <c r="Q896" i="1"/>
  <c r="R896" i="1"/>
  <c r="S896" i="1"/>
  <c r="T896" i="1"/>
  <c r="U896" i="1"/>
  <c r="V896" i="1"/>
  <c r="O897" i="1"/>
  <c r="P897" i="1"/>
  <c r="Q897" i="1"/>
  <c r="R897" i="1"/>
  <c r="S897" i="1"/>
  <c r="T897" i="1"/>
  <c r="U897" i="1"/>
  <c r="V897" i="1"/>
  <c r="O898" i="1"/>
  <c r="P898" i="1"/>
  <c r="Q898" i="1"/>
  <c r="R898" i="1"/>
  <c r="S898" i="1"/>
  <c r="T898" i="1"/>
  <c r="U898" i="1"/>
  <c r="V898" i="1"/>
  <c r="O899" i="1"/>
  <c r="P899" i="1"/>
  <c r="Q899" i="1"/>
  <c r="R899" i="1"/>
  <c r="S899" i="1"/>
  <c r="T899" i="1"/>
  <c r="U899" i="1"/>
  <c r="V899" i="1"/>
  <c r="O900" i="1"/>
  <c r="P900" i="1"/>
  <c r="Q900" i="1"/>
  <c r="R900" i="1"/>
  <c r="S900" i="1"/>
  <c r="T900" i="1"/>
  <c r="U900" i="1"/>
  <c r="V900" i="1"/>
  <c r="O901" i="1"/>
  <c r="P901" i="1"/>
  <c r="Q901" i="1"/>
  <c r="R901" i="1"/>
  <c r="S901" i="1"/>
  <c r="T901" i="1"/>
  <c r="U901" i="1"/>
  <c r="V901" i="1"/>
  <c r="O902" i="1"/>
  <c r="P902" i="1"/>
  <c r="Q902" i="1"/>
  <c r="R902" i="1"/>
  <c r="S902" i="1"/>
  <c r="T902" i="1"/>
  <c r="U902" i="1"/>
  <c r="V902" i="1"/>
  <c r="O903" i="1"/>
  <c r="P903" i="1"/>
  <c r="Q903" i="1"/>
  <c r="R903" i="1"/>
  <c r="S903" i="1"/>
  <c r="T903" i="1"/>
  <c r="U903" i="1"/>
  <c r="V903" i="1"/>
  <c r="O904" i="1"/>
  <c r="P904" i="1"/>
  <c r="Q904" i="1"/>
  <c r="R904" i="1"/>
  <c r="S904" i="1"/>
  <c r="T904" i="1"/>
  <c r="U904" i="1"/>
  <c r="V904" i="1"/>
  <c r="O905" i="1"/>
  <c r="P905" i="1"/>
  <c r="Q905" i="1"/>
  <c r="R905" i="1"/>
  <c r="S905" i="1"/>
  <c r="T905" i="1"/>
  <c r="U905" i="1"/>
  <c r="V905" i="1"/>
  <c r="O906" i="1"/>
  <c r="P906" i="1"/>
  <c r="Q906" i="1"/>
  <c r="R906" i="1"/>
  <c r="S906" i="1"/>
  <c r="T906" i="1"/>
  <c r="U906" i="1"/>
  <c r="V906" i="1"/>
  <c r="O907" i="1"/>
  <c r="P907" i="1"/>
  <c r="Q907" i="1"/>
  <c r="R907" i="1"/>
  <c r="S907" i="1"/>
  <c r="T907" i="1"/>
  <c r="U907" i="1"/>
  <c r="V907" i="1"/>
  <c r="O908" i="1"/>
  <c r="P908" i="1"/>
  <c r="Q908" i="1"/>
  <c r="R908" i="1"/>
  <c r="S908" i="1"/>
  <c r="T908" i="1"/>
  <c r="U908" i="1"/>
  <c r="V908" i="1"/>
  <c r="O909" i="1"/>
  <c r="P909" i="1"/>
  <c r="Q909" i="1"/>
  <c r="R909" i="1"/>
  <c r="S909" i="1"/>
  <c r="T909" i="1"/>
  <c r="U909" i="1"/>
  <c r="V909" i="1"/>
  <c r="O910" i="1"/>
  <c r="P910" i="1"/>
  <c r="Q910" i="1"/>
  <c r="R910" i="1"/>
  <c r="S910" i="1"/>
  <c r="T910" i="1"/>
  <c r="U910" i="1"/>
  <c r="V910" i="1"/>
  <c r="O911" i="1"/>
  <c r="P911" i="1"/>
  <c r="Q911" i="1"/>
  <c r="R911" i="1"/>
  <c r="S911" i="1"/>
  <c r="T911" i="1"/>
  <c r="U911" i="1"/>
  <c r="V911" i="1"/>
  <c r="O912" i="1"/>
  <c r="P912" i="1"/>
  <c r="Q912" i="1"/>
  <c r="R912" i="1"/>
  <c r="S912" i="1"/>
  <c r="T912" i="1"/>
  <c r="U912" i="1"/>
  <c r="V912" i="1"/>
  <c r="O913" i="1"/>
  <c r="P913" i="1"/>
  <c r="Q913" i="1"/>
  <c r="R913" i="1"/>
  <c r="S913" i="1"/>
  <c r="T913" i="1"/>
  <c r="U913" i="1"/>
  <c r="V913" i="1"/>
  <c r="O914" i="1"/>
  <c r="P914" i="1"/>
  <c r="Q914" i="1"/>
  <c r="R914" i="1"/>
  <c r="S914" i="1"/>
  <c r="T914" i="1"/>
  <c r="U914" i="1"/>
  <c r="V914" i="1"/>
  <c r="O915" i="1"/>
  <c r="P915" i="1"/>
  <c r="Q915" i="1"/>
  <c r="R915" i="1"/>
  <c r="S915" i="1"/>
  <c r="T915" i="1"/>
  <c r="U915" i="1"/>
  <c r="V915" i="1"/>
  <c r="O916" i="1"/>
  <c r="P916" i="1"/>
  <c r="Q916" i="1"/>
  <c r="R916" i="1"/>
  <c r="S916" i="1"/>
  <c r="T916" i="1"/>
  <c r="U916" i="1"/>
  <c r="V916" i="1"/>
  <c r="O917" i="1"/>
  <c r="P917" i="1"/>
  <c r="Q917" i="1"/>
  <c r="R917" i="1"/>
  <c r="S917" i="1"/>
  <c r="T917" i="1"/>
  <c r="U917" i="1"/>
  <c r="V917" i="1"/>
  <c r="O918" i="1"/>
  <c r="P918" i="1"/>
  <c r="Q918" i="1"/>
  <c r="R918" i="1"/>
  <c r="S918" i="1"/>
  <c r="T918" i="1"/>
  <c r="U918" i="1"/>
  <c r="V918" i="1"/>
  <c r="O919" i="1"/>
  <c r="P919" i="1"/>
  <c r="Q919" i="1"/>
  <c r="R919" i="1"/>
  <c r="S919" i="1"/>
  <c r="T919" i="1"/>
  <c r="U919" i="1"/>
  <c r="V919" i="1"/>
  <c r="O920" i="1"/>
  <c r="P920" i="1"/>
  <c r="Q920" i="1"/>
  <c r="R920" i="1"/>
  <c r="S920" i="1"/>
  <c r="T920" i="1"/>
  <c r="U920" i="1"/>
  <c r="V920" i="1"/>
  <c r="O921" i="1"/>
  <c r="P921" i="1"/>
  <c r="Q921" i="1"/>
  <c r="R921" i="1"/>
  <c r="S921" i="1"/>
  <c r="T921" i="1"/>
  <c r="U921" i="1"/>
  <c r="V921" i="1"/>
  <c r="O922" i="1"/>
  <c r="P922" i="1"/>
  <c r="Q922" i="1"/>
  <c r="R922" i="1"/>
  <c r="S922" i="1"/>
  <c r="T922" i="1"/>
  <c r="U922" i="1"/>
  <c r="V922" i="1"/>
  <c r="O923" i="1"/>
  <c r="P923" i="1"/>
  <c r="Q923" i="1"/>
  <c r="R923" i="1"/>
  <c r="S923" i="1"/>
  <c r="T923" i="1"/>
  <c r="U923" i="1"/>
  <c r="V923" i="1"/>
  <c r="O924" i="1"/>
  <c r="P924" i="1"/>
  <c r="Q924" i="1"/>
  <c r="R924" i="1"/>
  <c r="S924" i="1"/>
  <c r="T924" i="1"/>
  <c r="U924" i="1"/>
  <c r="V924" i="1"/>
  <c r="O925" i="1"/>
  <c r="P925" i="1"/>
  <c r="Q925" i="1"/>
  <c r="R925" i="1"/>
  <c r="S925" i="1"/>
  <c r="T925" i="1"/>
  <c r="U925" i="1"/>
  <c r="V925" i="1"/>
  <c r="O926" i="1"/>
  <c r="P926" i="1"/>
  <c r="Q926" i="1"/>
  <c r="R926" i="1"/>
  <c r="S926" i="1"/>
  <c r="T926" i="1"/>
  <c r="U926" i="1"/>
  <c r="V926" i="1"/>
  <c r="O927" i="1"/>
  <c r="P927" i="1"/>
  <c r="Q927" i="1"/>
  <c r="R927" i="1"/>
  <c r="S927" i="1"/>
  <c r="T927" i="1"/>
  <c r="U927" i="1"/>
  <c r="V927" i="1"/>
  <c r="O928" i="1"/>
  <c r="P928" i="1"/>
  <c r="Q928" i="1"/>
  <c r="R928" i="1"/>
  <c r="S928" i="1"/>
  <c r="T928" i="1"/>
  <c r="U928" i="1"/>
  <c r="V928" i="1"/>
  <c r="O929" i="1"/>
  <c r="P929" i="1"/>
  <c r="Q929" i="1"/>
  <c r="R929" i="1"/>
  <c r="S929" i="1"/>
  <c r="T929" i="1"/>
  <c r="U929" i="1"/>
  <c r="V929" i="1"/>
  <c r="O930" i="1"/>
  <c r="P930" i="1"/>
  <c r="Q930" i="1"/>
  <c r="R930" i="1"/>
  <c r="S930" i="1"/>
  <c r="T930" i="1"/>
  <c r="U930" i="1"/>
  <c r="V930" i="1"/>
  <c r="O931" i="1"/>
  <c r="P931" i="1"/>
  <c r="Q931" i="1"/>
  <c r="R931" i="1"/>
  <c r="S931" i="1"/>
  <c r="T931" i="1"/>
  <c r="U931" i="1"/>
  <c r="V931" i="1"/>
  <c r="O932" i="1"/>
  <c r="P932" i="1"/>
  <c r="Q932" i="1"/>
  <c r="R932" i="1"/>
  <c r="S932" i="1"/>
  <c r="T932" i="1"/>
  <c r="U932" i="1"/>
  <c r="V932" i="1"/>
  <c r="O933" i="1"/>
  <c r="P933" i="1"/>
  <c r="Q933" i="1"/>
  <c r="R933" i="1"/>
  <c r="S933" i="1"/>
  <c r="T933" i="1"/>
  <c r="U933" i="1"/>
  <c r="V933" i="1"/>
  <c r="O934" i="1"/>
  <c r="P934" i="1"/>
  <c r="Q934" i="1"/>
  <c r="R934" i="1"/>
  <c r="S934" i="1"/>
  <c r="T934" i="1"/>
  <c r="U934" i="1"/>
  <c r="V934" i="1"/>
  <c r="O935" i="1"/>
  <c r="P935" i="1"/>
  <c r="Q935" i="1"/>
  <c r="R935" i="1"/>
  <c r="S935" i="1"/>
  <c r="T935" i="1"/>
  <c r="U935" i="1"/>
  <c r="V935" i="1"/>
  <c r="O936" i="1"/>
  <c r="P936" i="1"/>
  <c r="Q936" i="1"/>
  <c r="R936" i="1"/>
  <c r="S936" i="1"/>
  <c r="T936" i="1"/>
  <c r="U936" i="1"/>
  <c r="V936" i="1"/>
  <c r="O937" i="1"/>
  <c r="P937" i="1"/>
  <c r="Q937" i="1"/>
  <c r="R937" i="1"/>
  <c r="S937" i="1"/>
  <c r="T937" i="1"/>
  <c r="U937" i="1"/>
  <c r="V937" i="1"/>
  <c r="O938" i="1"/>
  <c r="P938" i="1"/>
  <c r="Q938" i="1"/>
  <c r="R938" i="1"/>
  <c r="S938" i="1"/>
  <c r="T938" i="1"/>
  <c r="U938" i="1"/>
  <c r="V938" i="1"/>
  <c r="O939" i="1"/>
  <c r="P939" i="1"/>
  <c r="Q939" i="1"/>
  <c r="R939" i="1"/>
  <c r="S939" i="1"/>
  <c r="T939" i="1"/>
  <c r="U939" i="1"/>
  <c r="V939" i="1"/>
  <c r="O940" i="1"/>
  <c r="P940" i="1"/>
  <c r="Q940" i="1"/>
  <c r="R940" i="1"/>
  <c r="S940" i="1"/>
  <c r="T940" i="1"/>
  <c r="U940" i="1"/>
  <c r="V940" i="1"/>
  <c r="O941" i="1"/>
  <c r="P941" i="1"/>
  <c r="Q941" i="1"/>
  <c r="R941" i="1"/>
  <c r="S941" i="1"/>
  <c r="T941" i="1"/>
  <c r="U941" i="1"/>
  <c r="V941" i="1"/>
  <c r="O942" i="1"/>
  <c r="P942" i="1"/>
  <c r="Q942" i="1"/>
  <c r="R942" i="1"/>
  <c r="S942" i="1"/>
  <c r="T942" i="1"/>
  <c r="U942" i="1"/>
  <c r="V942" i="1"/>
  <c r="O943" i="1"/>
  <c r="P943" i="1"/>
  <c r="Q943" i="1"/>
  <c r="R943" i="1"/>
  <c r="S943" i="1"/>
  <c r="T943" i="1"/>
  <c r="U943" i="1"/>
  <c r="V943" i="1"/>
  <c r="O944" i="1"/>
  <c r="P944" i="1"/>
  <c r="Q944" i="1"/>
  <c r="R944" i="1"/>
  <c r="S944" i="1"/>
  <c r="T944" i="1"/>
  <c r="U944" i="1"/>
  <c r="V944" i="1"/>
  <c r="O945" i="1"/>
  <c r="P945" i="1"/>
  <c r="Q945" i="1"/>
  <c r="R945" i="1"/>
  <c r="S945" i="1"/>
  <c r="T945" i="1"/>
  <c r="U945" i="1"/>
  <c r="V945" i="1"/>
  <c r="O946" i="1"/>
  <c r="P946" i="1"/>
  <c r="Q946" i="1"/>
  <c r="R946" i="1"/>
  <c r="S946" i="1"/>
  <c r="T946" i="1"/>
  <c r="U946" i="1"/>
  <c r="V946" i="1"/>
  <c r="O947" i="1"/>
  <c r="P947" i="1"/>
  <c r="Q947" i="1"/>
  <c r="R947" i="1"/>
  <c r="S947" i="1"/>
  <c r="T947" i="1"/>
  <c r="U947" i="1"/>
  <c r="V947" i="1"/>
  <c r="O948" i="1"/>
  <c r="P948" i="1"/>
  <c r="Q948" i="1"/>
  <c r="R948" i="1"/>
  <c r="S948" i="1"/>
  <c r="T948" i="1"/>
  <c r="U948" i="1"/>
  <c r="V948" i="1"/>
  <c r="O949" i="1"/>
  <c r="P949" i="1"/>
  <c r="Q949" i="1"/>
  <c r="R949" i="1"/>
  <c r="S949" i="1"/>
  <c r="T949" i="1"/>
  <c r="U949" i="1"/>
  <c r="V949" i="1"/>
  <c r="O950" i="1"/>
  <c r="P950" i="1"/>
  <c r="Q950" i="1"/>
  <c r="R950" i="1"/>
  <c r="S950" i="1"/>
  <c r="T950" i="1"/>
  <c r="U950" i="1"/>
  <c r="V950" i="1"/>
  <c r="O951" i="1"/>
  <c r="P951" i="1"/>
  <c r="Q951" i="1"/>
  <c r="R951" i="1"/>
  <c r="S951" i="1"/>
  <c r="T951" i="1"/>
  <c r="U951" i="1"/>
  <c r="V951" i="1"/>
  <c r="O952" i="1"/>
  <c r="P952" i="1"/>
  <c r="Q952" i="1"/>
  <c r="R952" i="1"/>
  <c r="S952" i="1"/>
  <c r="T952" i="1"/>
  <c r="U952" i="1"/>
  <c r="V952" i="1"/>
  <c r="O953" i="1"/>
  <c r="P953" i="1"/>
  <c r="Q953" i="1"/>
  <c r="R953" i="1"/>
  <c r="S953" i="1"/>
  <c r="T953" i="1"/>
  <c r="U953" i="1"/>
  <c r="V953" i="1"/>
  <c r="O954" i="1"/>
  <c r="P954" i="1"/>
  <c r="Q954" i="1"/>
  <c r="R954" i="1"/>
  <c r="S954" i="1"/>
  <c r="T954" i="1"/>
  <c r="U954" i="1"/>
  <c r="V954" i="1"/>
  <c r="O955" i="1"/>
  <c r="P955" i="1"/>
  <c r="Q955" i="1"/>
  <c r="R955" i="1"/>
  <c r="S955" i="1"/>
  <c r="T955" i="1"/>
  <c r="U955" i="1"/>
  <c r="V955" i="1"/>
  <c r="O956" i="1"/>
  <c r="P956" i="1"/>
  <c r="Q956" i="1"/>
  <c r="R956" i="1"/>
  <c r="S956" i="1"/>
  <c r="T956" i="1"/>
  <c r="U956" i="1"/>
  <c r="V956" i="1"/>
  <c r="O957" i="1"/>
  <c r="P957" i="1"/>
  <c r="Q957" i="1"/>
  <c r="R957" i="1"/>
  <c r="S957" i="1"/>
  <c r="T957" i="1"/>
  <c r="U957" i="1"/>
  <c r="V957" i="1"/>
  <c r="O958" i="1"/>
  <c r="P958" i="1"/>
  <c r="Q958" i="1"/>
  <c r="R958" i="1"/>
  <c r="S958" i="1"/>
  <c r="T958" i="1"/>
  <c r="U958" i="1"/>
  <c r="V958" i="1"/>
  <c r="O959" i="1"/>
  <c r="P959" i="1"/>
  <c r="Q959" i="1"/>
  <c r="R959" i="1"/>
  <c r="S959" i="1"/>
  <c r="T959" i="1"/>
  <c r="U959" i="1"/>
  <c r="V959" i="1"/>
  <c r="O960" i="1"/>
  <c r="P960" i="1"/>
  <c r="Q960" i="1"/>
  <c r="R960" i="1"/>
  <c r="S960" i="1"/>
  <c r="T960" i="1"/>
  <c r="U960" i="1"/>
  <c r="V960" i="1"/>
  <c r="O961" i="1"/>
  <c r="P961" i="1"/>
  <c r="Q961" i="1"/>
  <c r="R961" i="1"/>
  <c r="S961" i="1"/>
  <c r="T961" i="1"/>
  <c r="U961" i="1"/>
  <c r="V961" i="1"/>
  <c r="O962" i="1"/>
  <c r="P962" i="1"/>
  <c r="Q962" i="1"/>
  <c r="R962" i="1"/>
  <c r="S962" i="1"/>
  <c r="T962" i="1"/>
  <c r="U962" i="1"/>
  <c r="V962" i="1"/>
  <c r="O963" i="1"/>
  <c r="P963" i="1"/>
  <c r="Q963" i="1"/>
  <c r="R963" i="1"/>
  <c r="S963" i="1"/>
  <c r="T963" i="1"/>
  <c r="U963" i="1"/>
  <c r="V963" i="1"/>
  <c r="O964" i="1"/>
  <c r="P964" i="1"/>
  <c r="Q964" i="1"/>
  <c r="R964" i="1"/>
  <c r="S964" i="1"/>
  <c r="T964" i="1"/>
  <c r="U964" i="1"/>
  <c r="V964" i="1"/>
  <c r="O965" i="1"/>
  <c r="P965" i="1"/>
  <c r="Q965" i="1"/>
  <c r="R965" i="1"/>
  <c r="S965" i="1"/>
  <c r="T965" i="1"/>
  <c r="U965" i="1"/>
  <c r="V965" i="1"/>
  <c r="O966" i="1"/>
  <c r="P966" i="1"/>
  <c r="Q966" i="1"/>
  <c r="R966" i="1"/>
  <c r="S966" i="1"/>
  <c r="T966" i="1"/>
  <c r="U966" i="1"/>
  <c r="V966" i="1"/>
  <c r="O967" i="1"/>
  <c r="P967" i="1"/>
  <c r="Q967" i="1"/>
  <c r="R967" i="1"/>
  <c r="S967" i="1"/>
  <c r="T967" i="1"/>
  <c r="U967" i="1"/>
  <c r="V967" i="1"/>
  <c r="O968" i="1"/>
  <c r="P968" i="1"/>
  <c r="Q968" i="1"/>
  <c r="R968" i="1"/>
  <c r="S968" i="1"/>
  <c r="T968" i="1"/>
  <c r="U968" i="1"/>
  <c r="V968" i="1"/>
  <c r="O969" i="1"/>
  <c r="P969" i="1"/>
  <c r="Q969" i="1"/>
  <c r="R969" i="1"/>
  <c r="S969" i="1"/>
  <c r="T969" i="1"/>
  <c r="U969" i="1"/>
  <c r="V969" i="1"/>
  <c r="O970" i="1"/>
  <c r="P970" i="1"/>
  <c r="Q970" i="1"/>
  <c r="R970" i="1"/>
  <c r="S970" i="1"/>
  <c r="T970" i="1"/>
  <c r="U970" i="1"/>
  <c r="V970" i="1"/>
  <c r="O971" i="1"/>
  <c r="P971" i="1"/>
  <c r="Q971" i="1"/>
  <c r="R971" i="1"/>
  <c r="S971" i="1"/>
  <c r="T971" i="1"/>
  <c r="U971" i="1"/>
  <c r="V971" i="1"/>
  <c r="O972" i="1"/>
  <c r="P972" i="1"/>
  <c r="Q972" i="1"/>
  <c r="R972" i="1"/>
  <c r="S972" i="1"/>
  <c r="T972" i="1"/>
  <c r="U972" i="1"/>
  <c r="V972" i="1"/>
  <c r="O973" i="1"/>
  <c r="P973" i="1"/>
  <c r="Q973" i="1"/>
  <c r="R973" i="1"/>
  <c r="S973" i="1"/>
  <c r="T973" i="1"/>
  <c r="U973" i="1"/>
  <c r="V973" i="1"/>
  <c r="O974" i="1"/>
  <c r="P974" i="1"/>
  <c r="Q974" i="1"/>
  <c r="R974" i="1"/>
  <c r="S974" i="1"/>
  <c r="T974" i="1"/>
  <c r="U974" i="1"/>
  <c r="V974" i="1"/>
  <c r="O975" i="1"/>
  <c r="P975" i="1"/>
  <c r="Q975" i="1"/>
  <c r="R975" i="1"/>
  <c r="S975" i="1"/>
  <c r="T975" i="1"/>
  <c r="U975" i="1"/>
  <c r="V975" i="1"/>
  <c r="O976" i="1"/>
  <c r="P976" i="1"/>
  <c r="Q976" i="1"/>
  <c r="R976" i="1"/>
  <c r="S976" i="1"/>
  <c r="T976" i="1"/>
  <c r="U976" i="1"/>
  <c r="V976" i="1"/>
  <c r="O977" i="1"/>
  <c r="P977" i="1"/>
  <c r="Q977" i="1"/>
  <c r="R977" i="1"/>
  <c r="S977" i="1"/>
  <c r="T977" i="1"/>
  <c r="U977" i="1"/>
  <c r="V977" i="1"/>
  <c r="O978" i="1"/>
  <c r="P978" i="1"/>
  <c r="Q978" i="1"/>
  <c r="R978" i="1"/>
  <c r="S978" i="1"/>
  <c r="T978" i="1"/>
  <c r="U978" i="1"/>
  <c r="V978" i="1"/>
  <c r="O979" i="1"/>
  <c r="P979" i="1"/>
  <c r="Q979" i="1"/>
  <c r="R979" i="1"/>
  <c r="S979" i="1"/>
  <c r="T979" i="1"/>
  <c r="U979" i="1"/>
  <c r="V979" i="1"/>
  <c r="O980" i="1"/>
  <c r="P980" i="1"/>
  <c r="Q980" i="1"/>
  <c r="R980" i="1"/>
  <c r="S980" i="1"/>
  <c r="T980" i="1"/>
  <c r="U980" i="1"/>
  <c r="V980" i="1"/>
  <c r="O981" i="1"/>
  <c r="P981" i="1"/>
  <c r="Q981" i="1"/>
  <c r="R981" i="1"/>
  <c r="S981" i="1"/>
  <c r="T981" i="1"/>
  <c r="U981" i="1"/>
  <c r="V981" i="1"/>
  <c r="O982" i="1"/>
  <c r="P982" i="1"/>
  <c r="Q982" i="1"/>
  <c r="R982" i="1"/>
  <c r="S982" i="1"/>
  <c r="T982" i="1"/>
  <c r="U982" i="1"/>
  <c r="V982" i="1"/>
  <c r="O983" i="1"/>
  <c r="P983" i="1"/>
  <c r="Q983" i="1"/>
  <c r="R983" i="1"/>
  <c r="S983" i="1"/>
  <c r="T983" i="1"/>
  <c r="U983" i="1"/>
  <c r="V983" i="1"/>
  <c r="O984" i="1"/>
  <c r="P984" i="1"/>
  <c r="Q984" i="1"/>
  <c r="R984" i="1"/>
  <c r="S984" i="1"/>
  <c r="T984" i="1"/>
  <c r="U984" i="1"/>
  <c r="V984" i="1"/>
  <c r="O985" i="1"/>
  <c r="P985" i="1"/>
  <c r="Q985" i="1"/>
  <c r="R985" i="1"/>
  <c r="S985" i="1"/>
  <c r="T985" i="1"/>
  <c r="U985" i="1"/>
  <c r="V985" i="1"/>
  <c r="O986" i="1"/>
  <c r="P986" i="1"/>
  <c r="Q986" i="1"/>
  <c r="R986" i="1"/>
  <c r="S986" i="1"/>
  <c r="T986" i="1"/>
  <c r="U986" i="1"/>
  <c r="V986" i="1"/>
  <c r="O987" i="1"/>
  <c r="P987" i="1"/>
  <c r="Q987" i="1"/>
  <c r="R987" i="1"/>
  <c r="S987" i="1"/>
  <c r="T987" i="1"/>
  <c r="U987" i="1"/>
  <c r="V987" i="1"/>
  <c r="O988" i="1"/>
  <c r="P988" i="1"/>
  <c r="Q988" i="1"/>
  <c r="R988" i="1"/>
  <c r="S988" i="1"/>
  <c r="T988" i="1"/>
  <c r="U988" i="1"/>
  <c r="V988" i="1"/>
  <c r="O989" i="1"/>
  <c r="P989" i="1"/>
  <c r="Q989" i="1"/>
  <c r="R989" i="1"/>
  <c r="S989" i="1"/>
  <c r="T989" i="1"/>
  <c r="U989" i="1"/>
  <c r="V989" i="1"/>
  <c r="O990" i="1"/>
  <c r="P990" i="1"/>
  <c r="Q990" i="1"/>
  <c r="R990" i="1"/>
  <c r="S990" i="1"/>
  <c r="T990" i="1"/>
  <c r="U990" i="1"/>
  <c r="V990" i="1"/>
  <c r="O991" i="1"/>
  <c r="P991" i="1"/>
  <c r="Q991" i="1"/>
  <c r="R991" i="1"/>
  <c r="S991" i="1"/>
  <c r="T991" i="1"/>
  <c r="U991" i="1"/>
  <c r="V991" i="1"/>
  <c r="O992" i="1"/>
  <c r="P992" i="1"/>
  <c r="Q992" i="1"/>
  <c r="R992" i="1"/>
  <c r="S992" i="1"/>
  <c r="T992" i="1"/>
  <c r="U992" i="1"/>
  <c r="V992" i="1"/>
  <c r="O993" i="1"/>
  <c r="P993" i="1"/>
  <c r="Q993" i="1"/>
  <c r="R993" i="1"/>
  <c r="S993" i="1"/>
  <c r="T993" i="1"/>
  <c r="U993" i="1"/>
  <c r="V993" i="1"/>
  <c r="O994" i="1"/>
  <c r="P994" i="1"/>
  <c r="Q994" i="1"/>
  <c r="R994" i="1"/>
  <c r="S994" i="1"/>
  <c r="T994" i="1"/>
  <c r="U994" i="1"/>
  <c r="V994" i="1"/>
  <c r="O995" i="1"/>
  <c r="P995" i="1"/>
  <c r="Q995" i="1"/>
  <c r="R995" i="1"/>
  <c r="S995" i="1"/>
  <c r="T995" i="1"/>
  <c r="U995" i="1"/>
  <c r="V995" i="1"/>
  <c r="O996" i="1"/>
  <c r="P996" i="1"/>
  <c r="Q996" i="1"/>
  <c r="R996" i="1"/>
  <c r="S996" i="1"/>
  <c r="T996" i="1"/>
  <c r="U996" i="1"/>
  <c r="V996" i="1"/>
  <c r="O997" i="1"/>
  <c r="P997" i="1"/>
  <c r="Q997" i="1"/>
  <c r="R997" i="1"/>
  <c r="S997" i="1"/>
  <c r="T997" i="1"/>
  <c r="U997" i="1"/>
  <c r="V997" i="1"/>
  <c r="O998" i="1"/>
  <c r="P998" i="1"/>
  <c r="Q998" i="1"/>
  <c r="R998" i="1"/>
  <c r="S998" i="1"/>
  <c r="T998" i="1"/>
  <c r="U998" i="1"/>
  <c r="V998" i="1"/>
  <c r="O999" i="1"/>
  <c r="P999" i="1"/>
  <c r="Q999" i="1"/>
  <c r="R999" i="1"/>
  <c r="S999" i="1"/>
  <c r="T999" i="1"/>
  <c r="U999" i="1"/>
  <c r="V999" i="1"/>
  <c r="O1000" i="1"/>
  <c r="P1000" i="1"/>
  <c r="Q1000" i="1"/>
  <c r="R1000" i="1"/>
  <c r="S1000" i="1"/>
  <c r="T1000" i="1"/>
  <c r="U1000" i="1"/>
  <c r="V1000" i="1"/>
  <c r="O1001" i="1"/>
  <c r="P1001" i="1"/>
  <c r="Q1001" i="1"/>
  <c r="R1001" i="1"/>
  <c r="S1001" i="1"/>
  <c r="T1001" i="1"/>
  <c r="U1001" i="1"/>
  <c r="V1001" i="1"/>
  <c r="O1002" i="1"/>
  <c r="P1002" i="1"/>
  <c r="Q1002" i="1"/>
  <c r="R1002" i="1"/>
  <c r="S1002" i="1"/>
  <c r="T1002" i="1"/>
  <c r="U1002" i="1"/>
  <c r="V1002" i="1"/>
  <c r="O1003" i="1"/>
  <c r="P1003" i="1"/>
  <c r="Q1003" i="1"/>
  <c r="R1003" i="1"/>
  <c r="S1003" i="1"/>
  <c r="T1003" i="1"/>
  <c r="U1003" i="1"/>
  <c r="V1003" i="1"/>
  <c r="O1004" i="1"/>
  <c r="P1004" i="1"/>
  <c r="Q1004" i="1"/>
  <c r="R1004" i="1"/>
  <c r="S1004" i="1"/>
  <c r="T1004" i="1"/>
  <c r="U1004" i="1"/>
  <c r="V1004" i="1"/>
  <c r="O1005" i="1"/>
  <c r="P1005" i="1"/>
  <c r="Q1005" i="1"/>
  <c r="R1005" i="1"/>
  <c r="S1005" i="1"/>
  <c r="T1005" i="1"/>
  <c r="U1005" i="1"/>
  <c r="V1005" i="1"/>
  <c r="O1006" i="1"/>
  <c r="P1006" i="1"/>
  <c r="Q1006" i="1"/>
  <c r="R1006" i="1"/>
  <c r="S1006" i="1"/>
  <c r="T1006" i="1"/>
  <c r="U1006" i="1"/>
  <c r="V1006" i="1"/>
  <c r="O1007" i="1"/>
  <c r="P1007" i="1"/>
  <c r="Q1007" i="1"/>
  <c r="R1007" i="1"/>
  <c r="S1007" i="1"/>
  <c r="T1007" i="1"/>
  <c r="U1007" i="1"/>
  <c r="V1007" i="1"/>
  <c r="O1008" i="1"/>
  <c r="P1008" i="1"/>
  <c r="Q1008" i="1"/>
  <c r="R1008" i="1"/>
  <c r="S1008" i="1"/>
  <c r="T1008" i="1"/>
  <c r="U1008" i="1"/>
  <c r="V1008" i="1"/>
  <c r="O1009" i="1"/>
  <c r="P1009" i="1"/>
  <c r="Q1009" i="1"/>
  <c r="R1009" i="1"/>
  <c r="S1009" i="1"/>
  <c r="T1009" i="1"/>
  <c r="U1009" i="1"/>
  <c r="V1009" i="1"/>
  <c r="O1010" i="1"/>
  <c r="P1010" i="1"/>
  <c r="Q1010" i="1"/>
  <c r="R1010" i="1"/>
  <c r="S1010" i="1"/>
  <c r="T1010" i="1"/>
  <c r="U1010" i="1"/>
  <c r="V1010" i="1"/>
  <c r="O1011" i="1"/>
  <c r="P1011" i="1"/>
  <c r="Q1011" i="1"/>
  <c r="R1011" i="1"/>
  <c r="S1011" i="1"/>
  <c r="T1011" i="1"/>
  <c r="U1011" i="1"/>
  <c r="V1011" i="1"/>
  <c r="O1012" i="1"/>
  <c r="P1012" i="1"/>
  <c r="Q1012" i="1"/>
  <c r="R1012" i="1"/>
  <c r="S1012" i="1"/>
  <c r="T1012" i="1"/>
  <c r="U1012" i="1"/>
  <c r="V1012" i="1"/>
  <c r="O1013" i="1"/>
  <c r="P1013" i="1"/>
  <c r="Q1013" i="1"/>
  <c r="R1013" i="1"/>
  <c r="S1013" i="1"/>
  <c r="T1013" i="1"/>
  <c r="U1013" i="1"/>
  <c r="V1013" i="1"/>
  <c r="O1014" i="1"/>
  <c r="P1014" i="1"/>
  <c r="Q1014" i="1"/>
  <c r="R1014" i="1"/>
  <c r="S1014" i="1"/>
  <c r="T1014" i="1"/>
  <c r="U1014" i="1"/>
  <c r="V1014" i="1"/>
  <c r="O1015" i="1"/>
  <c r="P1015" i="1"/>
  <c r="Q1015" i="1"/>
  <c r="R1015" i="1"/>
  <c r="S1015" i="1"/>
  <c r="T1015" i="1"/>
  <c r="U1015" i="1"/>
  <c r="V1015" i="1"/>
  <c r="O1016" i="1"/>
  <c r="P1016" i="1"/>
  <c r="Q1016" i="1"/>
  <c r="R1016" i="1"/>
  <c r="S1016" i="1"/>
  <c r="T1016" i="1"/>
  <c r="U1016" i="1"/>
  <c r="V1016" i="1"/>
  <c r="O1017" i="1"/>
  <c r="P1017" i="1"/>
  <c r="Q1017" i="1"/>
  <c r="R1017" i="1"/>
  <c r="S1017" i="1"/>
  <c r="T1017" i="1"/>
  <c r="U1017" i="1"/>
  <c r="V1017" i="1"/>
  <c r="O1018" i="1"/>
  <c r="P1018" i="1"/>
  <c r="Q1018" i="1"/>
  <c r="R1018" i="1"/>
  <c r="S1018" i="1"/>
  <c r="T1018" i="1"/>
  <c r="U1018" i="1"/>
  <c r="V1018" i="1"/>
  <c r="O1019" i="1"/>
  <c r="P1019" i="1"/>
  <c r="Q1019" i="1"/>
  <c r="R1019" i="1"/>
  <c r="S1019" i="1"/>
  <c r="T1019" i="1"/>
  <c r="U1019" i="1"/>
  <c r="V1019" i="1"/>
  <c r="O1020" i="1"/>
  <c r="P1020" i="1"/>
  <c r="Q1020" i="1"/>
  <c r="R1020" i="1"/>
  <c r="S1020" i="1"/>
  <c r="T1020" i="1"/>
  <c r="U1020" i="1"/>
  <c r="V1020" i="1"/>
  <c r="O1021" i="1"/>
  <c r="P1021" i="1"/>
  <c r="Q1021" i="1"/>
  <c r="R1021" i="1"/>
  <c r="S1021" i="1"/>
  <c r="T1021" i="1"/>
  <c r="U1021" i="1"/>
  <c r="V1021" i="1"/>
  <c r="O1022" i="1"/>
  <c r="P1022" i="1"/>
  <c r="Q1022" i="1"/>
  <c r="R1022" i="1"/>
  <c r="S1022" i="1"/>
  <c r="T1022" i="1"/>
  <c r="U1022" i="1"/>
  <c r="V1022" i="1"/>
  <c r="O1023" i="1"/>
  <c r="P1023" i="1"/>
  <c r="Q1023" i="1"/>
  <c r="R1023" i="1"/>
  <c r="S1023" i="1"/>
  <c r="T1023" i="1"/>
  <c r="U1023" i="1"/>
  <c r="V1023" i="1"/>
  <c r="O1024" i="1"/>
  <c r="P1024" i="1"/>
  <c r="Q1024" i="1"/>
  <c r="R1024" i="1"/>
  <c r="S1024" i="1"/>
  <c r="T1024" i="1"/>
  <c r="U1024" i="1"/>
  <c r="V1024" i="1"/>
  <c r="O1025" i="1"/>
  <c r="P1025" i="1"/>
  <c r="Q1025" i="1"/>
  <c r="R1025" i="1"/>
  <c r="S1025" i="1"/>
  <c r="T1025" i="1"/>
  <c r="U1025" i="1"/>
  <c r="V1025" i="1"/>
  <c r="O1026" i="1"/>
  <c r="P1026" i="1"/>
  <c r="Q1026" i="1"/>
  <c r="R1026" i="1"/>
  <c r="S1026" i="1"/>
  <c r="T1026" i="1"/>
  <c r="U1026" i="1"/>
  <c r="V1026" i="1"/>
  <c r="O1027" i="1"/>
  <c r="P1027" i="1"/>
  <c r="Q1027" i="1"/>
  <c r="R1027" i="1"/>
  <c r="S1027" i="1"/>
  <c r="T1027" i="1"/>
  <c r="U1027" i="1"/>
  <c r="V1027" i="1"/>
  <c r="O1028" i="1"/>
  <c r="P1028" i="1"/>
  <c r="Q1028" i="1"/>
  <c r="R1028" i="1"/>
  <c r="S1028" i="1"/>
  <c r="T1028" i="1"/>
  <c r="U1028" i="1"/>
  <c r="V1028" i="1"/>
  <c r="O1029" i="1"/>
  <c r="P1029" i="1"/>
  <c r="Q1029" i="1"/>
  <c r="R1029" i="1"/>
  <c r="S1029" i="1"/>
  <c r="T1029" i="1"/>
  <c r="U1029" i="1"/>
  <c r="V1029" i="1"/>
  <c r="O1030" i="1"/>
  <c r="P1030" i="1"/>
  <c r="Q1030" i="1"/>
  <c r="R1030" i="1"/>
  <c r="S1030" i="1"/>
  <c r="T1030" i="1"/>
  <c r="U1030" i="1"/>
  <c r="V1030" i="1"/>
  <c r="O1031" i="1"/>
  <c r="P1031" i="1"/>
  <c r="Q1031" i="1"/>
  <c r="R1031" i="1"/>
  <c r="S1031" i="1"/>
  <c r="T1031" i="1"/>
  <c r="U1031" i="1"/>
  <c r="V1031" i="1"/>
  <c r="O1032" i="1"/>
  <c r="P1032" i="1"/>
  <c r="Q1032" i="1"/>
  <c r="R1032" i="1"/>
  <c r="S1032" i="1"/>
  <c r="T1032" i="1"/>
  <c r="U1032" i="1"/>
  <c r="V1032" i="1"/>
  <c r="O1033" i="1"/>
  <c r="P1033" i="1"/>
  <c r="Q1033" i="1"/>
  <c r="R1033" i="1"/>
  <c r="S1033" i="1"/>
  <c r="T1033" i="1"/>
  <c r="U1033" i="1"/>
  <c r="V1033" i="1"/>
  <c r="O1034" i="1"/>
  <c r="P1034" i="1"/>
  <c r="Q1034" i="1"/>
  <c r="R1034" i="1"/>
  <c r="S1034" i="1"/>
  <c r="T1034" i="1"/>
  <c r="U1034" i="1"/>
  <c r="V1034" i="1"/>
  <c r="O1035" i="1"/>
  <c r="P1035" i="1"/>
  <c r="Q1035" i="1"/>
  <c r="R1035" i="1"/>
  <c r="S1035" i="1"/>
  <c r="T1035" i="1"/>
  <c r="U1035" i="1"/>
  <c r="V1035" i="1"/>
  <c r="O1036" i="1"/>
  <c r="P1036" i="1"/>
  <c r="Q1036" i="1"/>
  <c r="R1036" i="1"/>
  <c r="S1036" i="1"/>
  <c r="T1036" i="1"/>
  <c r="U1036" i="1"/>
  <c r="V1036" i="1"/>
  <c r="O1037" i="1"/>
  <c r="P1037" i="1"/>
  <c r="Q1037" i="1"/>
  <c r="R1037" i="1"/>
  <c r="S1037" i="1"/>
  <c r="T1037" i="1"/>
  <c r="U1037" i="1"/>
  <c r="V1037" i="1"/>
  <c r="O1038" i="1"/>
  <c r="P1038" i="1"/>
  <c r="Q1038" i="1"/>
  <c r="R1038" i="1"/>
  <c r="S1038" i="1"/>
  <c r="T1038" i="1"/>
  <c r="U1038" i="1"/>
  <c r="V1038" i="1"/>
  <c r="O1039" i="1"/>
  <c r="P1039" i="1"/>
  <c r="Q1039" i="1"/>
  <c r="R1039" i="1"/>
  <c r="S1039" i="1"/>
  <c r="T1039" i="1"/>
  <c r="U1039" i="1"/>
  <c r="V1039" i="1"/>
  <c r="O1040" i="1"/>
  <c r="P1040" i="1"/>
  <c r="Q1040" i="1"/>
  <c r="R1040" i="1"/>
  <c r="S1040" i="1"/>
  <c r="T1040" i="1"/>
  <c r="U1040" i="1"/>
  <c r="V1040" i="1"/>
  <c r="O1041" i="1"/>
  <c r="P1041" i="1"/>
  <c r="Q1041" i="1"/>
  <c r="R1041" i="1"/>
  <c r="S1041" i="1"/>
  <c r="T1041" i="1"/>
  <c r="U1041" i="1"/>
  <c r="V1041" i="1"/>
  <c r="O1042" i="1"/>
  <c r="P1042" i="1"/>
  <c r="Q1042" i="1"/>
  <c r="R1042" i="1"/>
  <c r="S1042" i="1"/>
  <c r="T1042" i="1"/>
  <c r="U1042" i="1"/>
  <c r="V1042" i="1"/>
  <c r="O1043" i="1"/>
  <c r="P1043" i="1"/>
  <c r="Q1043" i="1"/>
  <c r="R1043" i="1"/>
  <c r="S1043" i="1"/>
  <c r="T1043" i="1"/>
  <c r="U1043" i="1"/>
  <c r="V1043" i="1"/>
  <c r="O1044" i="1"/>
  <c r="P1044" i="1"/>
  <c r="Q1044" i="1"/>
  <c r="R1044" i="1"/>
  <c r="S1044" i="1"/>
  <c r="T1044" i="1"/>
  <c r="U1044" i="1"/>
  <c r="V1044" i="1"/>
  <c r="O1045" i="1"/>
  <c r="P1045" i="1"/>
  <c r="Q1045" i="1"/>
  <c r="R1045" i="1"/>
  <c r="S1045" i="1"/>
  <c r="T1045" i="1"/>
  <c r="U1045" i="1"/>
  <c r="V1045" i="1"/>
  <c r="O1046" i="1"/>
  <c r="P1046" i="1"/>
  <c r="Q1046" i="1"/>
  <c r="R1046" i="1"/>
  <c r="S1046" i="1"/>
  <c r="T1046" i="1"/>
  <c r="U1046" i="1"/>
  <c r="V1046" i="1"/>
  <c r="O1047" i="1"/>
  <c r="P1047" i="1"/>
  <c r="Q1047" i="1"/>
  <c r="R1047" i="1"/>
  <c r="S1047" i="1"/>
  <c r="T1047" i="1"/>
  <c r="U1047" i="1"/>
  <c r="V1047" i="1"/>
  <c r="O1048" i="1"/>
  <c r="P1048" i="1"/>
  <c r="Q1048" i="1"/>
  <c r="R1048" i="1"/>
  <c r="S1048" i="1"/>
  <c r="T1048" i="1"/>
  <c r="U1048" i="1"/>
  <c r="V1048" i="1"/>
  <c r="O1049" i="1"/>
  <c r="P1049" i="1"/>
  <c r="Q1049" i="1"/>
  <c r="R1049" i="1"/>
  <c r="S1049" i="1"/>
  <c r="T1049" i="1"/>
  <c r="U1049" i="1"/>
  <c r="V1049" i="1"/>
  <c r="O1050" i="1"/>
  <c r="P1050" i="1"/>
  <c r="Q1050" i="1"/>
  <c r="R1050" i="1"/>
  <c r="S1050" i="1"/>
  <c r="T1050" i="1"/>
  <c r="U1050" i="1"/>
  <c r="V1050" i="1"/>
  <c r="O1051" i="1"/>
  <c r="P1051" i="1"/>
  <c r="Q1051" i="1"/>
  <c r="R1051" i="1"/>
  <c r="S1051" i="1"/>
  <c r="T1051" i="1"/>
  <c r="U1051" i="1"/>
  <c r="V1051" i="1"/>
  <c r="O1052" i="1"/>
  <c r="P1052" i="1"/>
  <c r="Q1052" i="1"/>
  <c r="R1052" i="1"/>
  <c r="S1052" i="1"/>
  <c r="T1052" i="1"/>
  <c r="U1052" i="1"/>
  <c r="V1052" i="1"/>
  <c r="O1053" i="1"/>
  <c r="P1053" i="1"/>
  <c r="Q1053" i="1"/>
  <c r="R1053" i="1"/>
  <c r="S1053" i="1"/>
  <c r="T1053" i="1"/>
  <c r="U1053" i="1"/>
  <c r="V1053" i="1"/>
  <c r="O1054" i="1"/>
  <c r="P1054" i="1"/>
  <c r="Q1054" i="1"/>
  <c r="R1054" i="1"/>
  <c r="S1054" i="1"/>
  <c r="T1054" i="1"/>
  <c r="U1054" i="1"/>
  <c r="V1054" i="1"/>
  <c r="O1055" i="1"/>
  <c r="P1055" i="1"/>
  <c r="Q1055" i="1"/>
  <c r="R1055" i="1"/>
  <c r="S1055" i="1"/>
  <c r="T1055" i="1"/>
  <c r="U1055" i="1"/>
  <c r="V1055" i="1"/>
  <c r="O1056" i="1"/>
  <c r="P1056" i="1"/>
  <c r="Q1056" i="1"/>
  <c r="R1056" i="1"/>
  <c r="S1056" i="1"/>
  <c r="T1056" i="1"/>
  <c r="U1056" i="1"/>
  <c r="V1056" i="1"/>
  <c r="O1057" i="1"/>
  <c r="P1057" i="1"/>
  <c r="Q1057" i="1"/>
  <c r="R1057" i="1"/>
  <c r="S1057" i="1"/>
  <c r="T1057" i="1"/>
  <c r="U1057" i="1"/>
  <c r="V1057" i="1"/>
  <c r="O1058" i="1"/>
  <c r="P1058" i="1"/>
  <c r="Q1058" i="1"/>
  <c r="R1058" i="1"/>
  <c r="S1058" i="1"/>
  <c r="T1058" i="1"/>
  <c r="U1058" i="1"/>
  <c r="V1058" i="1"/>
  <c r="O1059" i="1"/>
  <c r="P1059" i="1"/>
  <c r="Q1059" i="1"/>
  <c r="R1059" i="1"/>
  <c r="S1059" i="1"/>
  <c r="T1059" i="1"/>
  <c r="U1059" i="1"/>
  <c r="V1059" i="1"/>
  <c r="O1060" i="1"/>
  <c r="P1060" i="1"/>
  <c r="Q1060" i="1"/>
  <c r="R1060" i="1"/>
  <c r="S1060" i="1"/>
  <c r="T1060" i="1"/>
  <c r="U1060" i="1"/>
  <c r="V1060" i="1"/>
  <c r="O1061" i="1"/>
  <c r="P1061" i="1"/>
  <c r="Q1061" i="1"/>
  <c r="R1061" i="1"/>
  <c r="S1061" i="1"/>
  <c r="T1061" i="1"/>
  <c r="U1061" i="1"/>
  <c r="V1061" i="1"/>
  <c r="O1062" i="1"/>
  <c r="P1062" i="1"/>
  <c r="Q1062" i="1"/>
  <c r="R1062" i="1"/>
  <c r="S1062" i="1"/>
  <c r="T1062" i="1"/>
  <c r="U1062" i="1"/>
  <c r="V1062" i="1"/>
  <c r="O1063" i="1"/>
  <c r="P1063" i="1"/>
  <c r="Q1063" i="1"/>
  <c r="R1063" i="1"/>
  <c r="S1063" i="1"/>
  <c r="T1063" i="1"/>
  <c r="U1063" i="1"/>
  <c r="V1063" i="1"/>
  <c r="O1064" i="1"/>
  <c r="P1064" i="1"/>
  <c r="Q1064" i="1"/>
  <c r="R1064" i="1"/>
  <c r="S1064" i="1"/>
  <c r="T1064" i="1"/>
  <c r="U1064" i="1"/>
  <c r="V1064" i="1"/>
  <c r="O1065" i="1"/>
  <c r="P1065" i="1"/>
  <c r="Q1065" i="1"/>
  <c r="R1065" i="1"/>
  <c r="S1065" i="1"/>
  <c r="T1065" i="1"/>
  <c r="U1065" i="1"/>
  <c r="V1065" i="1"/>
  <c r="O1066" i="1"/>
  <c r="P1066" i="1"/>
  <c r="Q1066" i="1"/>
  <c r="R1066" i="1"/>
  <c r="S1066" i="1"/>
  <c r="T1066" i="1"/>
  <c r="U1066" i="1"/>
  <c r="V1066" i="1"/>
  <c r="O1067" i="1"/>
  <c r="P1067" i="1"/>
  <c r="Q1067" i="1"/>
  <c r="R1067" i="1"/>
  <c r="S1067" i="1"/>
  <c r="T1067" i="1"/>
  <c r="U1067" i="1"/>
  <c r="V1067" i="1"/>
  <c r="O1068" i="1"/>
  <c r="P1068" i="1"/>
  <c r="Q1068" i="1"/>
  <c r="R1068" i="1"/>
  <c r="S1068" i="1"/>
  <c r="T1068" i="1"/>
  <c r="U1068" i="1"/>
  <c r="V1068" i="1"/>
  <c r="O1069" i="1"/>
  <c r="P1069" i="1"/>
  <c r="Q1069" i="1"/>
  <c r="R1069" i="1"/>
  <c r="S1069" i="1"/>
  <c r="T1069" i="1"/>
  <c r="U1069" i="1"/>
  <c r="V1069" i="1"/>
  <c r="O1070" i="1"/>
  <c r="P1070" i="1"/>
  <c r="Q1070" i="1"/>
  <c r="R1070" i="1"/>
  <c r="S1070" i="1"/>
  <c r="T1070" i="1"/>
  <c r="U1070" i="1"/>
  <c r="V1070" i="1"/>
  <c r="O1071" i="1"/>
  <c r="P1071" i="1"/>
  <c r="Q1071" i="1"/>
  <c r="R1071" i="1"/>
  <c r="S1071" i="1"/>
  <c r="T1071" i="1"/>
  <c r="U1071" i="1"/>
  <c r="V1071" i="1"/>
  <c r="O1072" i="1"/>
  <c r="P1072" i="1"/>
  <c r="Q1072" i="1"/>
  <c r="R1072" i="1"/>
  <c r="S1072" i="1"/>
  <c r="T1072" i="1"/>
  <c r="U1072" i="1"/>
  <c r="V1072" i="1"/>
  <c r="O1073" i="1"/>
  <c r="P1073" i="1"/>
  <c r="Q1073" i="1"/>
  <c r="R1073" i="1"/>
  <c r="S1073" i="1"/>
  <c r="T1073" i="1"/>
  <c r="U1073" i="1"/>
  <c r="V1073" i="1"/>
  <c r="O1074" i="1"/>
  <c r="P1074" i="1"/>
  <c r="Q1074" i="1"/>
  <c r="R1074" i="1"/>
  <c r="S1074" i="1"/>
  <c r="T1074" i="1"/>
  <c r="U1074" i="1"/>
  <c r="V1074" i="1"/>
  <c r="O1075" i="1"/>
  <c r="P1075" i="1"/>
  <c r="Q1075" i="1"/>
  <c r="R1075" i="1"/>
  <c r="S1075" i="1"/>
  <c r="T1075" i="1"/>
  <c r="U1075" i="1"/>
  <c r="V1075" i="1"/>
  <c r="O1076" i="1"/>
  <c r="P1076" i="1"/>
  <c r="Q1076" i="1"/>
  <c r="R1076" i="1"/>
  <c r="S1076" i="1"/>
  <c r="T1076" i="1"/>
  <c r="U1076" i="1"/>
  <c r="V1076" i="1"/>
  <c r="O1077" i="1"/>
  <c r="P1077" i="1"/>
  <c r="Q1077" i="1"/>
  <c r="R1077" i="1"/>
  <c r="S1077" i="1"/>
  <c r="T1077" i="1"/>
  <c r="U1077" i="1"/>
  <c r="V1077" i="1"/>
  <c r="O1078" i="1"/>
  <c r="P1078" i="1"/>
  <c r="Q1078" i="1"/>
  <c r="R1078" i="1"/>
  <c r="S1078" i="1"/>
  <c r="T1078" i="1"/>
  <c r="U1078" i="1"/>
  <c r="V1078" i="1"/>
  <c r="O1079" i="1"/>
  <c r="P1079" i="1"/>
  <c r="Q1079" i="1"/>
  <c r="R1079" i="1"/>
  <c r="S1079" i="1"/>
  <c r="T1079" i="1"/>
  <c r="U1079" i="1"/>
  <c r="V1079" i="1"/>
  <c r="O1080" i="1"/>
  <c r="P1080" i="1"/>
  <c r="Q1080" i="1"/>
  <c r="R1080" i="1"/>
  <c r="S1080" i="1"/>
  <c r="T1080" i="1"/>
  <c r="U1080" i="1"/>
  <c r="V1080" i="1"/>
  <c r="O1081" i="1"/>
  <c r="P1081" i="1"/>
  <c r="Q1081" i="1"/>
  <c r="R1081" i="1"/>
  <c r="S1081" i="1"/>
  <c r="T1081" i="1"/>
  <c r="U1081" i="1"/>
  <c r="V1081" i="1"/>
  <c r="O1082" i="1"/>
  <c r="P1082" i="1"/>
  <c r="Q1082" i="1"/>
  <c r="R1082" i="1"/>
  <c r="S1082" i="1"/>
  <c r="T1082" i="1"/>
  <c r="U1082" i="1"/>
  <c r="V1082" i="1"/>
  <c r="O1083" i="1"/>
  <c r="P1083" i="1"/>
  <c r="Q1083" i="1"/>
  <c r="R1083" i="1"/>
  <c r="S1083" i="1"/>
  <c r="T1083" i="1"/>
  <c r="U1083" i="1"/>
  <c r="V1083" i="1"/>
  <c r="O1084" i="1"/>
  <c r="P1084" i="1"/>
  <c r="Q1084" i="1"/>
  <c r="R1084" i="1"/>
  <c r="S1084" i="1"/>
  <c r="T1084" i="1"/>
  <c r="U1084" i="1"/>
  <c r="V1084" i="1"/>
  <c r="O1085" i="1"/>
  <c r="P1085" i="1"/>
  <c r="Q1085" i="1"/>
  <c r="R1085" i="1"/>
  <c r="S1085" i="1"/>
  <c r="T1085" i="1"/>
  <c r="U1085" i="1"/>
  <c r="V1085" i="1"/>
  <c r="O1086" i="1"/>
  <c r="P1086" i="1"/>
  <c r="Q1086" i="1"/>
  <c r="R1086" i="1"/>
  <c r="S1086" i="1"/>
  <c r="T1086" i="1"/>
  <c r="U1086" i="1"/>
  <c r="V1086" i="1"/>
  <c r="O1087" i="1"/>
  <c r="P1087" i="1"/>
  <c r="Q1087" i="1"/>
  <c r="R1087" i="1"/>
  <c r="S1087" i="1"/>
  <c r="T1087" i="1"/>
  <c r="U1087" i="1"/>
  <c r="V1087" i="1"/>
  <c r="O1088" i="1"/>
  <c r="P1088" i="1"/>
  <c r="Q1088" i="1"/>
  <c r="R1088" i="1"/>
  <c r="S1088" i="1"/>
  <c r="T1088" i="1"/>
  <c r="U1088" i="1"/>
  <c r="V1088" i="1"/>
  <c r="O1089" i="1"/>
  <c r="P1089" i="1"/>
  <c r="Q1089" i="1"/>
  <c r="R1089" i="1"/>
  <c r="S1089" i="1"/>
  <c r="T1089" i="1"/>
  <c r="U1089" i="1"/>
  <c r="V1089" i="1"/>
  <c r="O1090" i="1"/>
  <c r="P1090" i="1"/>
  <c r="Q1090" i="1"/>
  <c r="R1090" i="1"/>
  <c r="S1090" i="1"/>
  <c r="T1090" i="1"/>
  <c r="U1090" i="1"/>
  <c r="V1090" i="1"/>
  <c r="O1091" i="1"/>
  <c r="P1091" i="1"/>
  <c r="Q1091" i="1"/>
  <c r="R1091" i="1"/>
  <c r="S1091" i="1"/>
  <c r="T1091" i="1"/>
  <c r="U1091" i="1"/>
  <c r="V1091" i="1"/>
  <c r="O1092" i="1"/>
  <c r="P1092" i="1"/>
  <c r="Q1092" i="1"/>
  <c r="R1092" i="1"/>
  <c r="S1092" i="1"/>
  <c r="T1092" i="1"/>
  <c r="U1092" i="1"/>
  <c r="V1092" i="1"/>
  <c r="O1093" i="1"/>
  <c r="P1093" i="1"/>
  <c r="Q1093" i="1"/>
  <c r="R1093" i="1"/>
  <c r="S1093" i="1"/>
  <c r="T1093" i="1"/>
  <c r="U1093" i="1"/>
  <c r="V1093" i="1"/>
  <c r="O1094" i="1"/>
  <c r="P1094" i="1"/>
  <c r="Q1094" i="1"/>
  <c r="R1094" i="1"/>
  <c r="S1094" i="1"/>
  <c r="T1094" i="1"/>
  <c r="U1094" i="1"/>
  <c r="V1094" i="1"/>
  <c r="O1095" i="1"/>
  <c r="P1095" i="1"/>
  <c r="Q1095" i="1"/>
  <c r="R1095" i="1"/>
  <c r="S1095" i="1"/>
  <c r="T1095" i="1"/>
  <c r="U1095" i="1"/>
  <c r="V1095" i="1"/>
  <c r="O1096" i="1"/>
  <c r="P1096" i="1"/>
  <c r="Q1096" i="1"/>
  <c r="R1096" i="1"/>
  <c r="S1096" i="1"/>
  <c r="T1096" i="1"/>
  <c r="U1096" i="1"/>
  <c r="V1096" i="1"/>
  <c r="O1097" i="1"/>
  <c r="P1097" i="1"/>
  <c r="Q1097" i="1"/>
  <c r="R1097" i="1"/>
  <c r="S1097" i="1"/>
  <c r="T1097" i="1"/>
  <c r="U1097" i="1"/>
  <c r="V1097" i="1"/>
  <c r="O1098" i="1"/>
  <c r="P1098" i="1"/>
  <c r="Q1098" i="1"/>
  <c r="R1098" i="1"/>
  <c r="S1098" i="1"/>
  <c r="T1098" i="1"/>
  <c r="U1098" i="1"/>
  <c r="V1098" i="1"/>
  <c r="O1099" i="1"/>
  <c r="P1099" i="1"/>
  <c r="Q1099" i="1"/>
  <c r="R1099" i="1"/>
  <c r="S1099" i="1"/>
  <c r="T1099" i="1"/>
  <c r="U1099" i="1"/>
  <c r="V1099" i="1"/>
  <c r="O1100" i="1"/>
  <c r="P1100" i="1"/>
  <c r="Q1100" i="1"/>
  <c r="R1100" i="1"/>
  <c r="S1100" i="1"/>
  <c r="T1100" i="1"/>
  <c r="U1100" i="1"/>
  <c r="V1100" i="1"/>
  <c r="O1101" i="1"/>
  <c r="P1101" i="1"/>
  <c r="Q1101" i="1"/>
  <c r="R1101" i="1"/>
  <c r="S1101" i="1"/>
  <c r="T1101" i="1"/>
  <c r="U1101" i="1"/>
  <c r="V1101" i="1"/>
  <c r="O1102" i="1"/>
  <c r="P1102" i="1"/>
  <c r="Q1102" i="1"/>
  <c r="R1102" i="1"/>
  <c r="S1102" i="1"/>
  <c r="T1102" i="1"/>
  <c r="U1102" i="1"/>
  <c r="V1102" i="1"/>
  <c r="O1103" i="1"/>
  <c r="P1103" i="1"/>
  <c r="Q1103" i="1"/>
  <c r="R1103" i="1"/>
  <c r="S1103" i="1"/>
  <c r="T1103" i="1"/>
  <c r="U1103" i="1"/>
  <c r="V1103" i="1"/>
  <c r="O1104" i="1"/>
  <c r="P1104" i="1"/>
  <c r="Q1104" i="1"/>
  <c r="R1104" i="1"/>
  <c r="S1104" i="1"/>
  <c r="T1104" i="1"/>
  <c r="U1104" i="1"/>
  <c r="V1104" i="1"/>
  <c r="O1105" i="1"/>
  <c r="P1105" i="1"/>
  <c r="Q1105" i="1"/>
  <c r="R1105" i="1"/>
  <c r="S1105" i="1"/>
  <c r="T1105" i="1"/>
  <c r="U1105" i="1"/>
  <c r="V1105" i="1"/>
  <c r="O1106" i="1"/>
  <c r="P1106" i="1"/>
  <c r="Q1106" i="1"/>
  <c r="R1106" i="1"/>
  <c r="S1106" i="1"/>
  <c r="T1106" i="1"/>
  <c r="U1106" i="1"/>
  <c r="V1106" i="1"/>
  <c r="O1107" i="1"/>
  <c r="P1107" i="1"/>
  <c r="Q1107" i="1"/>
  <c r="R1107" i="1"/>
  <c r="S1107" i="1"/>
  <c r="T1107" i="1"/>
  <c r="U1107" i="1"/>
  <c r="V1107" i="1"/>
  <c r="O1108" i="1"/>
  <c r="P1108" i="1"/>
  <c r="Q1108" i="1"/>
  <c r="R1108" i="1"/>
  <c r="S1108" i="1"/>
  <c r="T1108" i="1"/>
  <c r="U1108" i="1"/>
  <c r="V1108" i="1"/>
  <c r="O1109" i="1"/>
  <c r="P1109" i="1"/>
  <c r="Q1109" i="1"/>
  <c r="R1109" i="1"/>
  <c r="S1109" i="1"/>
  <c r="T1109" i="1"/>
  <c r="U1109" i="1"/>
  <c r="V1109" i="1"/>
  <c r="O1110" i="1"/>
  <c r="P1110" i="1"/>
  <c r="Q1110" i="1"/>
  <c r="R1110" i="1"/>
  <c r="S1110" i="1"/>
  <c r="T1110" i="1"/>
  <c r="U1110" i="1"/>
  <c r="V1110" i="1"/>
  <c r="O1111" i="1"/>
  <c r="P1111" i="1"/>
  <c r="Q1111" i="1"/>
  <c r="R1111" i="1"/>
  <c r="S1111" i="1"/>
  <c r="T1111" i="1"/>
  <c r="U1111" i="1"/>
  <c r="V1111" i="1"/>
  <c r="O1112" i="1"/>
  <c r="P1112" i="1"/>
  <c r="Q1112" i="1"/>
  <c r="R1112" i="1"/>
  <c r="S1112" i="1"/>
  <c r="T1112" i="1"/>
  <c r="U1112" i="1"/>
  <c r="V1112" i="1"/>
  <c r="O1113" i="1"/>
  <c r="P1113" i="1"/>
  <c r="Q1113" i="1"/>
  <c r="R1113" i="1"/>
  <c r="S1113" i="1"/>
  <c r="T1113" i="1"/>
  <c r="U1113" i="1"/>
  <c r="V1113" i="1"/>
  <c r="O1114" i="1"/>
  <c r="P1114" i="1"/>
  <c r="Q1114" i="1"/>
  <c r="R1114" i="1"/>
  <c r="S1114" i="1"/>
  <c r="T1114" i="1"/>
  <c r="U1114" i="1"/>
  <c r="V1114" i="1"/>
  <c r="O1115" i="1"/>
  <c r="P1115" i="1"/>
  <c r="Q1115" i="1"/>
  <c r="R1115" i="1"/>
  <c r="S1115" i="1"/>
  <c r="T1115" i="1"/>
  <c r="U1115" i="1"/>
  <c r="V1115" i="1"/>
  <c r="O1116" i="1"/>
  <c r="P1116" i="1"/>
  <c r="Q1116" i="1"/>
  <c r="R1116" i="1"/>
  <c r="S1116" i="1"/>
  <c r="T1116" i="1"/>
  <c r="U1116" i="1"/>
  <c r="V1116" i="1"/>
  <c r="O1117" i="1"/>
  <c r="P1117" i="1"/>
  <c r="Q1117" i="1"/>
  <c r="R1117" i="1"/>
  <c r="S1117" i="1"/>
  <c r="T1117" i="1"/>
  <c r="U1117" i="1"/>
  <c r="V1117" i="1"/>
  <c r="O1118" i="1"/>
  <c r="P1118" i="1"/>
  <c r="Q1118" i="1"/>
  <c r="R1118" i="1"/>
  <c r="S1118" i="1"/>
  <c r="T1118" i="1"/>
  <c r="U1118" i="1"/>
  <c r="V1118" i="1"/>
  <c r="O1119" i="1"/>
  <c r="P1119" i="1"/>
  <c r="Q1119" i="1"/>
  <c r="R1119" i="1"/>
  <c r="S1119" i="1"/>
  <c r="T1119" i="1"/>
  <c r="U1119" i="1"/>
  <c r="V1119" i="1"/>
  <c r="O1120" i="1"/>
  <c r="P1120" i="1"/>
  <c r="Q1120" i="1"/>
  <c r="R1120" i="1"/>
  <c r="S1120" i="1"/>
  <c r="T1120" i="1"/>
  <c r="U1120" i="1"/>
  <c r="V1120" i="1"/>
  <c r="O1121" i="1"/>
  <c r="P1121" i="1"/>
  <c r="Q1121" i="1"/>
  <c r="R1121" i="1"/>
  <c r="S1121" i="1"/>
  <c r="T1121" i="1"/>
  <c r="U1121" i="1"/>
  <c r="V1121" i="1"/>
  <c r="O1122" i="1"/>
  <c r="P1122" i="1"/>
  <c r="Q1122" i="1"/>
  <c r="R1122" i="1"/>
  <c r="S1122" i="1"/>
  <c r="T1122" i="1"/>
  <c r="U1122" i="1"/>
  <c r="V1122" i="1"/>
  <c r="O1123" i="1"/>
  <c r="P1123" i="1"/>
  <c r="Q1123" i="1"/>
  <c r="R1123" i="1"/>
  <c r="S1123" i="1"/>
  <c r="T1123" i="1"/>
  <c r="U1123" i="1"/>
  <c r="V1123" i="1"/>
  <c r="O1124" i="1"/>
  <c r="P1124" i="1"/>
  <c r="Q1124" i="1"/>
  <c r="R1124" i="1"/>
  <c r="S1124" i="1"/>
  <c r="T1124" i="1"/>
  <c r="U1124" i="1"/>
  <c r="V1124" i="1"/>
  <c r="O1125" i="1"/>
  <c r="P1125" i="1"/>
  <c r="Q1125" i="1"/>
  <c r="R1125" i="1"/>
  <c r="S1125" i="1"/>
  <c r="T1125" i="1"/>
  <c r="U1125" i="1"/>
  <c r="V1125" i="1"/>
  <c r="O1126" i="1"/>
  <c r="P1126" i="1"/>
  <c r="Q1126" i="1"/>
  <c r="R1126" i="1"/>
  <c r="S1126" i="1"/>
  <c r="T1126" i="1"/>
  <c r="U1126" i="1"/>
  <c r="V1126" i="1"/>
  <c r="O1127" i="1"/>
  <c r="P1127" i="1"/>
  <c r="Q1127" i="1"/>
  <c r="R1127" i="1"/>
  <c r="S1127" i="1"/>
  <c r="T1127" i="1"/>
  <c r="U1127" i="1"/>
  <c r="V1127" i="1"/>
  <c r="O1128" i="1"/>
  <c r="P1128" i="1"/>
  <c r="Q1128" i="1"/>
  <c r="R1128" i="1"/>
  <c r="S1128" i="1"/>
  <c r="T1128" i="1"/>
  <c r="U1128" i="1"/>
  <c r="V1128" i="1"/>
  <c r="O1129" i="1"/>
  <c r="P1129" i="1"/>
  <c r="Q1129" i="1"/>
  <c r="R1129" i="1"/>
  <c r="S1129" i="1"/>
  <c r="T1129" i="1"/>
  <c r="U1129" i="1"/>
  <c r="V1129" i="1"/>
  <c r="O1130" i="1"/>
  <c r="P1130" i="1"/>
  <c r="Q1130" i="1"/>
  <c r="R1130" i="1"/>
  <c r="S1130" i="1"/>
  <c r="T1130" i="1"/>
  <c r="U1130" i="1"/>
  <c r="V1130" i="1"/>
  <c r="O1131" i="1"/>
  <c r="P1131" i="1"/>
  <c r="Q1131" i="1"/>
  <c r="R1131" i="1"/>
  <c r="S1131" i="1"/>
  <c r="T1131" i="1"/>
  <c r="U1131" i="1"/>
  <c r="V1131" i="1"/>
  <c r="O1132" i="1"/>
  <c r="P1132" i="1"/>
  <c r="Q1132" i="1"/>
  <c r="R1132" i="1"/>
  <c r="S1132" i="1"/>
  <c r="T1132" i="1"/>
  <c r="U1132" i="1"/>
  <c r="V1132" i="1"/>
  <c r="O1133" i="1"/>
  <c r="P1133" i="1"/>
  <c r="Q1133" i="1"/>
  <c r="R1133" i="1"/>
  <c r="S1133" i="1"/>
  <c r="T1133" i="1"/>
  <c r="U1133" i="1"/>
  <c r="V1133" i="1"/>
  <c r="O1134" i="1"/>
  <c r="P1134" i="1"/>
  <c r="Q1134" i="1"/>
  <c r="R1134" i="1"/>
  <c r="S1134" i="1"/>
  <c r="T1134" i="1"/>
  <c r="U1134" i="1"/>
  <c r="V1134" i="1"/>
  <c r="O1135" i="1"/>
  <c r="P1135" i="1"/>
  <c r="Q1135" i="1"/>
  <c r="R1135" i="1"/>
  <c r="S1135" i="1"/>
  <c r="T1135" i="1"/>
  <c r="U1135" i="1"/>
  <c r="V1135" i="1"/>
  <c r="O1136" i="1"/>
  <c r="P1136" i="1"/>
  <c r="Q1136" i="1"/>
  <c r="R1136" i="1"/>
  <c r="S1136" i="1"/>
  <c r="T1136" i="1"/>
  <c r="U1136" i="1"/>
  <c r="V1136" i="1"/>
  <c r="O1137" i="1"/>
  <c r="P1137" i="1"/>
  <c r="Q1137" i="1"/>
  <c r="R1137" i="1"/>
  <c r="S1137" i="1"/>
  <c r="T1137" i="1"/>
  <c r="U1137" i="1"/>
  <c r="V1137" i="1"/>
  <c r="O1138" i="1"/>
  <c r="P1138" i="1"/>
  <c r="Q1138" i="1"/>
  <c r="R1138" i="1"/>
  <c r="S1138" i="1"/>
  <c r="T1138" i="1"/>
  <c r="U1138" i="1"/>
  <c r="V1138" i="1"/>
  <c r="O1139" i="1"/>
  <c r="P1139" i="1"/>
  <c r="Q1139" i="1"/>
  <c r="R1139" i="1"/>
  <c r="S1139" i="1"/>
  <c r="T1139" i="1"/>
  <c r="U1139" i="1"/>
  <c r="V1139" i="1"/>
  <c r="O1140" i="1"/>
  <c r="P1140" i="1"/>
  <c r="Q1140" i="1"/>
  <c r="R1140" i="1"/>
  <c r="S1140" i="1"/>
  <c r="T1140" i="1"/>
  <c r="U1140" i="1"/>
  <c r="V1140" i="1"/>
  <c r="O1141" i="1"/>
  <c r="P1141" i="1"/>
  <c r="Q1141" i="1"/>
  <c r="R1141" i="1"/>
  <c r="S1141" i="1"/>
  <c r="T1141" i="1"/>
  <c r="U1141" i="1"/>
  <c r="V1141" i="1"/>
  <c r="O1142" i="1"/>
  <c r="P1142" i="1"/>
  <c r="Q1142" i="1"/>
  <c r="R1142" i="1"/>
  <c r="S1142" i="1"/>
  <c r="T1142" i="1"/>
  <c r="U1142" i="1"/>
  <c r="V1142" i="1"/>
  <c r="O1143" i="1"/>
  <c r="P1143" i="1"/>
  <c r="Q1143" i="1"/>
  <c r="R1143" i="1"/>
  <c r="S1143" i="1"/>
  <c r="T1143" i="1"/>
  <c r="U1143" i="1"/>
  <c r="V1143" i="1"/>
  <c r="O1144" i="1"/>
  <c r="P1144" i="1"/>
  <c r="Q1144" i="1"/>
  <c r="R1144" i="1"/>
  <c r="S1144" i="1"/>
  <c r="T1144" i="1"/>
  <c r="U1144" i="1"/>
  <c r="V1144" i="1"/>
  <c r="O1145" i="1"/>
  <c r="P1145" i="1"/>
  <c r="Q1145" i="1"/>
  <c r="R1145" i="1"/>
  <c r="S1145" i="1"/>
  <c r="T1145" i="1"/>
  <c r="U1145" i="1"/>
  <c r="V1145" i="1"/>
  <c r="O1146" i="1"/>
  <c r="P1146" i="1"/>
  <c r="Q1146" i="1"/>
  <c r="R1146" i="1"/>
  <c r="S1146" i="1"/>
  <c r="T1146" i="1"/>
  <c r="U1146" i="1"/>
  <c r="V1146" i="1"/>
  <c r="O1147" i="1"/>
  <c r="P1147" i="1"/>
  <c r="Q1147" i="1"/>
  <c r="R1147" i="1"/>
  <c r="S1147" i="1"/>
  <c r="T1147" i="1"/>
  <c r="U1147" i="1"/>
  <c r="V1147" i="1"/>
  <c r="O1148" i="1"/>
  <c r="P1148" i="1"/>
  <c r="Q1148" i="1"/>
  <c r="R1148" i="1"/>
  <c r="S1148" i="1"/>
  <c r="T1148" i="1"/>
  <c r="U1148" i="1"/>
  <c r="V1148" i="1"/>
  <c r="O1149" i="1"/>
  <c r="P1149" i="1"/>
  <c r="Q1149" i="1"/>
  <c r="R1149" i="1"/>
  <c r="S1149" i="1"/>
  <c r="T1149" i="1"/>
  <c r="U1149" i="1"/>
  <c r="V1149" i="1"/>
  <c r="O1150" i="1"/>
  <c r="P1150" i="1"/>
  <c r="Q1150" i="1"/>
  <c r="R1150" i="1"/>
  <c r="S1150" i="1"/>
  <c r="T1150" i="1"/>
  <c r="U1150" i="1"/>
  <c r="V1150" i="1"/>
  <c r="O1151" i="1"/>
  <c r="P1151" i="1"/>
  <c r="Q1151" i="1"/>
  <c r="R1151" i="1"/>
  <c r="S1151" i="1"/>
  <c r="T1151" i="1"/>
  <c r="U1151" i="1"/>
  <c r="V1151" i="1"/>
  <c r="O1152" i="1"/>
  <c r="P1152" i="1"/>
  <c r="Q1152" i="1"/>
  <c r="R1152" i="1"/>
  <c r="S1152" i="1"/>
  <c r="T1152" i="1"/>
  <c r="U1152" i="1"/>
  <c r="V1152" i="1"/>
  <c r="O1153" i="1"/>
  <c r="P1153" i="1"/>
  <c r="Q1153" i="1"/>
  <c r="R1153" i="1"/>
  <c r="S1153" i="1"/>
  <c r="T1153" i="1"/>
  <c r="U1153" i="1"/>
  <c r="V1153" i="1"/>
  <c r="O1154" i="1"/>
  <c r="P1154" i="1"/>
  <c r="Q1154" i="1"/>
  <c r="R1154" i="1"/>
  <c r="S1154" i="1"/>
  <c r="T1154" i="1"/>
  <c r="U1154" i="1"/>
  <c r="V1154" i="1"/>
  <c r="O1155" i="1"/>
  <c r="P1155" i="1"/>
  <c r="Q1155" i="1"/>
  <c r="R1155" i="1"/>
  <c r="S1155" i="1"/>
  <c r="T1155" i="1"/>
  <c r="U1155" i="1"/>
  <c r="V1155" i="1"/>
  <c r="O1156" i="1"/>
  <c r="P1156" i="1"/>
  <c r="Q1156" i="1"/>
  <c r="R1156" i="1"/>
  <c r="S1156" i="1"/>
  <c r="T1156" i="1"/>
  <c r="U1156" i="1"/>
  <c r="V1156" i="1"/>
  <c r="O1157" i="1"/>
  <c r="P1157" i="1"/>
  <c r="Q1157" i="1"/>
  <c r="R1157" i="1"/>
  <c r="S1157" i="1"/>
  <c r="T1157" i="1"/>
  <c r="U1157" i="1"/>
  <c r="V1157" i="1"/>
  <c r="O1158" i="1"/>
  <c r="P1158" i="1"/>
  <c r="Q1158" i="1"/>
  <c r="R1158" i="1"/>
  <c r="S1158" i="1"/>
  <c r="T1158" i="1"/>
  <c r="U1158" i="1"/>
  <c r="V1158" i="1"/>
  <c r="O1159" i="1"/>
  <c r="P1159" i="1"/>
  <c r="Q1159" i="1"/>
  <c r="R1159" i="1"/>
  <c r="S1159" i="1"/>
  <c r="T1159" i="1"/>
  <c r="U1159" i="1"/>
  <c r="V1159" i="1"/>
  <c r="O1160" i="1"/>
  <c r="P1160" i="1"/>
  <c r="Q1160" i="1"/>
  <c r="R1160" i="1"/>
  <c r="S1160" i="1"/>
  <c r="T1160" i="1"/>
  <c r="U1160" i="1"/>
  <c r="V1160" i="1"/>
  <c r="O1161" i="1"/>
  <c r="P1161" i="1"/>
  <c r="Q1161" i="1"/>
  <c r="R1161" i="1"/>
  <c r="S1161" i="1"/>
  <c r="T1161" i="1"/>
  <c r="U1161" i="1"/>
  <c r="V1161" i="1"/>
  <c r="O1162" i="1"/>
  <c r="P1162" i="1"/>
  <c r="Q1162" i="1"/>
  <c r="R1162" i="1"/>
  <c r="S1162" i="1"/>
  <c r="T1162" i="1"/>
  <c r="U1162" i="1"/>
  <c r="V1162" i="1"/>
  <c r="O1163" i="1"/>
  <c r="P1163" i="1"/>
  <c r="Q1163" i="1"/>
  <c r="R1163" i="1"/>
  <c r="S1163" i="1"/>
  <c r="T1163" i="1"/>
  <c r="U1163" i="1"/>
  <c r="V1163" i="1"/>
  <c r="O1164" i="1"/>
  <c r="P1164" i="1"/>
  <c r="Q1164" i="1"/>
  <c r="R1164" i="1"/>
  <c r="S1164" i="1"/>
  <c r="T1164" i="1"/>
  <c r="U1164" i="1"/>
  <c r="V1164" i="1"/>
  <c r="O1165" i="1"/>
  <c r="P1165" i="1"/>
  <c r="Q1165" i="1"/>
  <c r="R1165" i="1"/>
  <c r="S1165" i="1"/>
  <c r="T1165" i="1"/>
  <c r="U1165" i="1"/>
  <c r="V1165" i="1"/>
  <c r="O1166" i="1"/>
  <c r="P1166" i="1"/>
  <c r="Q1166" i="1"/>
  <c r="R1166" i="1"/>
  <c r="S1166" i="1"/>
  <c r="T1166" i="1"/>
  <c r="U1166" i="1"/>
  <c r="V1166" i="1"/>
  <c r="O1167" i="1"/>
  <c r="P1167" i="1"/>
  <c r="Q1167" i="1"/>
  <c r="R1167" i="1"/>
  <c r="S1167" i="1"/>
  <c r="T1167" i="1"/>
  <c r="U1167" i="1"/>
  <c r="V1167" i="1"/>
  <c r="O1168" i="1"/>
  <c r="P1168" i="1"/>
  <c r="Q1168" i="1"/>
  <c r="R1168" i="1"/>
  <c r="S1168" i="1"/>
  <c r="T1168" i="1"/>
  <c r="U1168" i="1"/>
  <c r="V1168" i="1"/>
  <c r="O1169" i="1"/>
  <c r="P1169" i="1"/>
  <c r="Q1169" i="1"/>
  <c r="R1169" i="1"/>
  <c r="S1169" i="1"/>
  <c r="T1169" i="1"/>
  <c r="U1169" i="1"/>
  <c r="V1169" i="1"/>
  <c r="O1170" i="1"/>
  <c r="P1170" i="1"/>
  <c r="Q1170" i="1"/>
  <c r="R1170" i="1"/>
  <c r="S1170" i="1"/>
  <c r="T1170" i="1"/>
  <c r="U1170" i="1"/>
  <c r="V1170" i="1"/>
  <c r="O1171" i="1"/>
  <c r="P1171" i="1"/>
  <c r="Q1171" i="1"/>
  <c r="R1171" i="1"/>
  <c r="S1171" i="1"/>
  <c r="T1171" i="1"/>
  <c r="U1171" i="1"/>
  <c r="V1171" i="1"/>
  <c r="O1172" i="1"/>
  <c r="P1172" i="1"/>
  <c r="Q1172" i="1"/>
  <c r="R1172" i="1"/>
  <c r="S1172" i="1"/>
  <c r="T1172" i="1"/>
  <c r="U1172" i="1"/>
  <c r="V1172" i="1"/>
  <c r="O1173" i="1"/>
  <c r="P1173" i="1"/>
  <c r="Q1173" i="1"/>
  <c r="R1173" i="1"/>
  <c r="S1173" i="1"/>
  <c r="T1173" i="1"/>
  <c r="U1173" i="1"/>
  <c r="V1173" i="1"/>
  <c r="O1174" i="1"/>
  <c r="P1174" i="1"/>
  <c r="Q1174" i="1"/>
  <c r="R1174" i="1"/>
  <c r="S1174" i="1"/>
  <c r="T1174" i="1"/>
  <c r="U1174" i="1"/>
  <c r="V1174" i="1"/>
  <c r="O1175" i="1"/>
  <c r="P1175" i="1"/>
  <c r="Q1175" i="1"/>
  <c r="R1175" i="1"/>
  <c r="S1175" i="1"/>
  <c r="T1175" i="1"/>
  <c r="U1175" i="1"/>
  <c r="V1175" i="1"/>
  <c r="O1176" i="1"/>
  <c r="P1176" i="1"/>
  <c r="Q1176" i="1"/>
  <c r="R1176" i="1"/>
  <c r="S1176" i="1"/>
  <c r="T1176" i="1"/>
  <c r="U1176" i="1"/>
  <c r="V1176" i="1"/>
  <c r="O1177" i="1"/>
  <c r="P1177" i="1"/>
  <c r="Q1177" i="1"/>
  <c r="R1177" i="1"/>
  <c r="S1177" i="1"/>
  <c r="T1177" i="1"/>
  <c r="U1177" i="1"/>
  <c r="V1177" i="1"/>
  <c r="O1178" i="1"/>
  <c r="P1178" i="1"/>
  <c r="Q1178" i="1"/>
  <c r="R1178" i="1"/>
  <c r="S1178" i="1"/>
  <c r="T1178" i="1"/>
  <c r="U1178" i="1"/>
  <c r="V1178" i="1"/>
  <c r="O1179" i="1"/>
  <c r="P1179" i="1"/>
  <c r="Q1179" i="1"/>
  <c r="R1179" i="1"/>
  <c r="S1179" i="1"/>
  <c r="T1179" i="1"/>
  <c r="U1179" i="1"/>
  <c r="V1179" i="1"/>
  <c r="O1180" i="1"/>
  <c r="P1180" i="1"/>
  <c r="Q1180" i="1"/>
  <c r="R1180" i="1"/>
  <c r="S1180" i="1"/>
  <c r="T1180" i="1"/>
  <c r="U1180" i="1"/>
  <c r="V1180" i="1"/>
  <c r="O1181" i="1"/>
  <c r="P1181" i="1"/>
  <c r="Q1181" i="1"/>
  <c r="R1181" i="1"/>
  <c r="S1181" i="1"/>
  <c r="T1181" i="1"/>
  <c r="U1181" i="1"/>
  <c r="V1181" i="1"/>
  <c r="O1182" i="1"/>
  <c r="P1182" i="1"/>
  <c r="Q1182" i="1"/>
  <c r="R1182" i="1"/>
  <c r="S1182" i="1"/>
  <c r="T1182" i="1"/>
  <c r="U1182" i="1"/>
  <c r="V1182" i="1"/>
  <c r="O1183" i="1"/>
  <c r="P1183" i="1"/>
  <c r="Q1183" i="1"/>
  <c r="R1183" i="1"/>
  <c r="S1183" i="1"/>
  <c r="T1183" i="1"/>
  <c r="U1183" i="1"/>
  <c r="V1183" i="1"/>
  <c r="O1184" i="1"/>
  <c r="P1184" i="1"/>
  <c r="Q1184" i="1"/>
  <c r="R1184" i="1"/>
  <c r="S1184" i="1"/>
  <c r="T1184" i="1"/>
  <c r="U1184" i="1"/>
  <c r="V1184" i="1"/>
  <c r="O1185" i="1"/>
  <c r="P1185" i="1"/>
  <c r="Q1185" i="1"/>
  <c r="R1185" i="1"/>
  <c r="S1185" i="1"/>
  <c r="T1185" i="1"/>
  <c r="U1185" i="1"/>
  <c r="V1185" i="1"/>
  <c r="O1186" i="1"/>
  <c r="P1186" i="1"/>
  <c r="Q1186" i="1"/>
  <c r="R1186" i="1"/>
  <c r="S1186" i="1"/>
  <c r="T1186" i="1"/>
  <c r="U1186" i="1"/>
  <c r="V1186" i="1"/>
  <c r="O1187" i="1"/>
  <c r="P1187" i="1"/>
  <c r="Q1187" i="1"/>
  <c r="R1187" i="1"/>
  <c r="S1187" i="1"/>
  <c r="T1187" i="1"/>
  <c r="U1187" i="1"/>
  <c r="V1187" i="1"/>
  <c r="O1188" i="1"/>
  <c r="P1188" i="1"/>
  <c r="Q1188" i="1"/>
  <c r="R1188" i="1"/>
  <c r="S1188" i="1"/>
  <c r="T1188" i="1"/>
  <c r="U1188" i="1"/>
  <c r="V1188" i="1"/>
  <c r="O1189" i="1"/>
  <c r="P1189" i="1"/>
  <c r="Q1189" i="1"/>
  <c r="R1189" i="1"/>
  <c r="S1189" i="1"/>
  <c r="T1189" i="1"/>
  <c r="U1189" i="1"/>
  <c r="V1189" i="1"/>
  <c r="O1190" i="1"/>
  <c r="P1190" i="1"/>
  <c r="Q1190" i="1"/>
  <c r="R1190" i="1"/>
  <c r="S1190" i="1"/>
  <c r="T1190" i="1"/>
  <c r="U1190" i="1"/>
  <c r="V1190" i="1"/>
  <c r="O1191" i="1"/>
  <c r="P1191" i="1"/>
  <c r="Q1191" i="1"/>
  <c r="R1191" i="1"/>
  <c r="S1191" i="1"/>
  <c r="T1191" i="1"/>
  <c r="U1191" i="1"/>
  <c r="V1191" i="1"/>
  <c r="O1192" i="1"/>
  <c r="P1192" i="1"/>
  <c r="Q1192" i="1"/>
  <c r="R1192" i="1"/>
  <c r="S1192" i="1"/>
  <c r="T1192" i="1"/>
  <c r="U1192" i="1"/>
  <c r="V1192" i="1"/>
  <c r="O1193" i="1"/>
  <c r="P1193" i="1"/>
  <c r="Q1193" i="1"/>
  <c r="R1193" i="1"/>
  <c r="S1193" i="1"/>
  <c r="T1193" i="1"/>
  <c r="U1193" i="1"/>
  <c r="V1193" i="1"/>
  <c r="O1194" i="1"/>
  <c r="P1194" i="1"/>
  <c r="Q1194" i="1"/>
  <c r="R1194" i="1"/>
  <c r="S1194" i="1"/>
  <c r="T1194" i="1"/>
  <c r="U1194" i="1"/>
  <c r="V1194" i="1"/>
  <c r="O1195" i="1"/>
  <c r="P1195" i="1"/>
  <c r="Q1195" i="1"/>
  <c r="R1195" i="1"/>
  <c r="S1195" i="1"/>
  <c r="T1195" i="1"/>
  <c r="U1195" i="1"/>
  <c r="V1195" i="1"/>
  <c r="O1196" i="1"/>
  <c r="P1196" i="1"/>
  <c r="Q1196" i="1"/>
  <c r="R1196" i="1"/>
  <c r="S1196" i="1"/>
  <c r="T1196" i="1"/>
  <c r="U1196" i="1"/>
  <c r="V1196" i="1"/>
  <c r="O1197" i="1"/>
  <c r="P1197" i="1"/>
  <c r="Q1197" i="1"/>
  <c r="R1197" i="1"/>
  <c r="S1197" i="1"/>
  <c r="T1197" i="1"/>
  <c r="U1197" i="1"/>
  <c r="V1197" i="1"/>
  <c r="O1198" i="1"/>
  <c r="P1198" i="1"/>
  <c r="Q1198" i="1"/>
  <c r="R1198" i="1"/>
  <c r="S1198" i="1"/>
  <c r="T1198" i="1"/>
  <c r="U1198" i="1"/>
  <c r="V1198" i="1"/>
  <c r="O1199" i="1"/>
  <c r="P1199" i="1"/>
  <c r="Q1199" i="1"/>
  <c r="R1199" i="1"/>
  <c r="S1199" i="1"/>
  <c r="T1199" i="1"/>
  <c r="U1199" i="1"/>
  <c r="V1199" i="1"/>
  <c r="O1200" i="1"/>
  <c r="P1200" i="1"/>
  <c r="Q1200" i="1"/>
  <c r="R1200" i="1"/>
  <c r="S1200" i="1"/>
  <c r="T1200" i="1"/>
  <c r="U1200" i="1"/>
  <c r="V1200" i="1"/>
  <c r="O1201" i="1"/>
  <c r="P1201" i="1"/>
  <c r="Q1201" i="1"/>
  <c r="R1201" i="1"/>
  <c r="S1201" i="1"/>
  <c r="T1201" i="1"/>
  <c r="U1201" i="1"/>
  <c r="V1201" i="1"/>
  <c r="O1202" i="1"/>
  <c r="P1202" i="1"/>
  <c r="Q1202" i="1"/>
  <c r="R1202" i="1"/>
  <c r="S1202" i="1"/>
  <c r="T1202" i="1"/>
  <c r="U1202" i="1"/>
  <c r="V1202" i="1"/>
  <c r="O1203" i="1"/>
  <c r="P1203" i="1"/>
  <c r="Q1203" i="1"/>
  <c r="R1203" i="1"/>
  <c r="S1203" i="1"/>
  <c r="T1203" i="1"/>
  <c r="U1203" i="1"/>
  <c r="V1203" i="1"/>
  <c r="O1204" i="1"/>
  <c r="P1204" i="1"/>
  <c r="Q1204" i="1"/>
  <c r="R1204" i="1"/>
  <c r="S1204" i="1"/>
  <c r="T1204" i="1"/>
  <c r="U1204" i="1"/>
  <c r="V1204" i="1"/>
  <c r="O1205" i="1"/>
  <c r="P1205" i="1"/>
  <c r="Q1205" i="1"/>
  <c r="R1205" i="1"/>
  <c r="S1205" i="1"/>
  <c r="T1205" i="1"/>
  <c r="U1205" i="1"/>
  <c r="V1205" i="1"/>
  <c r="O1206" i="1"/>
  <c r="P1206" i="1"/>
  <c r="Q1206" i="1"/>
  <c r="R1206" i="1"/>
  <c r="S1206" i="1"/>
  <c r="T1206" i="1"/>
  <c r="U1206" i="1"/>
  <c r="V1206" i="1"/>
  <c r="O1207" i="1"/>
  <c r="P1207" i="1"/>
  <c r="Q1207" i="1"/>
  <c r="R1207" i="1"/>
  <c r="S1207" i="1"/>
  <c r="T1207" i="1"/>
  <c r="U1207" i="1"/>
  <c r="V1207" i="1"/>
  <c r="O1208" i="1"/>
  <c r="P1208" i="1"/>
  <c r="Q1208" i="1"/>
  <c r="R1208" i="1"/>
  <c r="S1208" i="1"/>
  <c r="T1208" i="1"/>
  <c r="U1208" i="1"/>
  <c r="V1208" i="1"/>
  <c r="O1209" i="1"/>
  <c r="P1209" i="1"/>
  <c r="Q1209" i="1"/>
  <c r="R1209" i="1"/>
  <c r="S1209" i="1"/>
  <c r="T1209" i="1"/>
  <c r="U1209" i="1"/>
  <c r="V1209" i="1"/>
  <c r="O1210" i="1"/>
  <c r="P1210" i="1"/>
  <c r="Q1210" i="1"/>
  <c r="R1210" i="1"/>
  <c r="S1210" i="1"/>
  <c r="T1210" i="1"/>
  <c r="U1210" i="1"/>
  <c r="V1210" i="1"/>
  <c r="O1211" i="1"/>
  <c r="P1211" i="1"/>
  <c r="Q1211" i="1"/>
  <c r="R1211" i="1"/>
  <c r="S1211" i="1"/>
  <c r="T1211" i="1"/>
  <c r="U1211" i="1"/>
  <c r="V1211" i="1"/>
  <c r="O1212" i="1"/>
  <c r="P1212" i="1"/>
  <c r="Q1212" i="1"/>
  <c r="R1212" i="1"/>
  <c r="S1212" i="1"/>
  <c r="T1212" i="1"/>
  <c r="U1212" i="1"/>
  <c r="V1212" i="1"/>
  <c r="O1213" i="1"/>
  <c r="P1213" i="1"/>
  <c r="Q1213" i="1"/>
  <c r="R1213" i="1"/>
  <c r="S1213" i="1"/>
  <c r="T1213" i="1"/>
  <c r="U1213" i="1"/>
  <c r="V1213" i="1"/>
  <c r="O1214" i="1"/>
  <c r="P1214" i="1"/>
  <c r="Q1214" i="1"/>
  <c r="R1214" i="1"/>
  <c r="S1214" i="1"/>
  <c r="T1214" i="1"/>
  <c r="U1214" i="1"/>
  <c r="V1214" i="1"/>
  <c r="O1215" i="1"/>
  <c r="P1215" i="1"/>
  <c r="Q1215" i="1"/>
  <c r="R1215" i="1"/>
  <c r="S1215" i="1"/>
  <c r="T1215" i="1"/>
  <c r="U1215" i="1"/>
  <c r="V1215" i="1"/>
  <c r="O1216" i="1"/>
  <c r="P1216" i="1"/>
  <c r="Q1216" i="1"/>
  <c r="R1216" i="1"/>
  <c r="S1216" i="1"/>
  <c r="T1216" i="1"/>
  <c r="U1216" i="1"/>
  <c r="V1216" i="1"/>
  <c r="O1217" i="1"/>
  <c r="P1217" i="1"/>
  <c r="Q1217" i="1"/>
  <c r="R1217" i="1"/>
  <c r="S1217" i="1"/>
  <c r="T1217" i="1"/>
  <c r="U1217" i="1"/>
  <c r="V1217" i="1"/>
  <c r="O1218" i="1"/>
  <c r="P1218" i="1"/>
  <c r="Q1218" i="1"/>
  <c r="R1218" i="1"/>
  <c r="S1218" i="1"/>
  <c r="T1218" i="1"/>
  <c r="U1218" i="1"/>
  <c r="V1218" i="1"/>
  <c r="O1219" i="1"/>
  <c r="P1219" i="1"/>
  <c r="Q1219" i="1"/>
  <c r="R1219" i="1"/>
  <c r="S1219" i="1"/>
  <c r="T1219" i="1"/>
  <c r="U1219" i="1"/>
  <c r="V1219" i="1"/>
  <c r="O1220" i="1"/>
  <c r="P1220" i="1"/>
  <c r="Q1220" i="1"/>
  <c r="R1220" i="1"/>
  <c r="S1220" i="1"/>
  <c r="T1220" i="1"/>
  <c r="U1220" i="1"/>
  <c r="V1220" i="1"/>
  <c r="O1221" i="1"/>
  <c r="P1221" i="1"/>
  <c r="Q1221" i="1"/>
  <c r="R1221" i="1"/>
  <c r="S1221" i="1"/>
  <c r="T1221" i="1"/>
  <c r="U1221" i="1"/>
  <c r="V1221" i="1"/>
  <c r="O1222" i="1"/>
  <c r="P1222" i="1"/>
  <c r="Q1222" i="1"/>
  <c r="R1222" i="1"/>
  <c r="S1222" i="1"/>
  <c r="T1222" i="1"/>
  <c r="U1222" i="1"/>
  <c r="V1222" i="1"/>
  <c r="O1223" i="1"/>
  <c r="P1223" i="1"/>
  <c r="Q1223" i="1"/>
  <c r="R1223" i="1"/>
  <c r="S1223" i="1"/>
  <c r="T1223" i="1"/>
  <c r="U1223" i="1"/>
  <c r="V1223" i="1"/>
  <c r="O1224" i="1"/>
  <c r="P1224" i="1"/>
  <c r="Q1224" i="1"/>
  <c r="R1224" i="1"/>
  <c r="S1224" i="1"/>
  <c r="T1224" i="1"/>
  <c r="U1224" i="1"/>
  <c r="V1224" i="1"/>
  <c r="O1225" i="1"/>
  <c r="P1225" i="1"/>
  <c r="Q1225" i="1"/>
  <c r="R1225" i="1"/>
  <c r="S1225" i="1"/>
  <c r="T1225" i="1"/>
  <c r="U1225" i="1"/>
  <c r="V1225" i="1"/>
  <c r="O1226" i="1"/>
  <c r="P1226" i="1"/>
  <c r="Q1226" i="1"/>
  <c r="R1226" i="1"/>
  <c r="S1226" i="1"/>
  <c r="T1226" i="1"/>
  <c r="U1226" i="1"/>
  <c r="V1226" i="1"/>
  <c r="O1227" i="1"/>
  <c r="P1227" i="1"/>
  <c r="Q1227" i="1"/>
  <c r="R1227" i="1"/>
  <c r="S1227" i="1"/>
  <c r="T1227" i="1"/>
  <c r="U1227" i="1"/>
  <c r="V1227" i="1"/>
  <c r="O1228" i="1"/>
  <c r="P1228" i="1"/>
  <c r="Q1228" i="1"/>
  <c r="R1228" i="1"/>
  <c r="S1228" i="1"/>
  <c r="T1228" i="1"/>
  <c r="U1228" i="1"/>
  <c r="V1228" i="1"/>
  <c r="O1229" i="1"/>
  <c r="P1229" i="1"/>
  <c r="Q1229" i="1"/>
  <c r="R1229" i="1"/>
  <c r="S1229" i="1"/>
  <c r="T1229" i="1"/>
  <c r="U1229" i="1"/>
  <c r="V1229" i="1"/>
  <c r="O1230" i="1"/>
  <c r="P1230" i="1"/>
  <c r="Q1230" i="1"/>
  <c r="R1230" i="1"/>
  <c r="S1230" i="1"/>
  <c r="T1230" i="1"/>
  <c r="U1230" i="1"/>
  <c r="V1230" i="1"/>
  <c r="O1231" i="1"/>
  <c r="P1231" i="1"/>
  <c r="Q1231" i="1"/>
  <c r="R1231" i="1"/>
  <c r="S1231" i="1"/>
  <c r="T1231" i="1"/>
  <c r="U1231" i="1"/>
  <c r="V1231" i="1"/>
  <c r="O1232" i="1"/>
  <c r="P1232" i="1"/>
  <c r="Q1232" i="1"/>
  <c r="R1232" i="1"/>
  <c r="S1232" i="1"/>
  <c r="T1232" i="1"/>
  <c r="U1232" i="1"/>
  <c r="V1232" i="1"/>
  <c r="O1233" i="1"/>
  <c r="P1233" i="1"/>
  <c r="Q1233" i="1"/>
  <c r="R1233" i="1"/>
  <c r="S1233" i="1"/>
  <c r="T1233" i="1"/>
  <c r="U1233" i="1"/>
  <c r="V1233" i="1"/>
  <c r="O1234" i="1"/>
  <c r="P1234" i="1"/>
  <c r="Q1234" i="1"/>
  <c r="R1234" i="1"/>
  <c r="S1234" i="1"/>
  <c r="T1234" i="1"/>
  <c r="U1234" i="1"/>
  <c r="V1234" i="1"/>
  <c r="O1235" i="1"/>
  <c r="P1235" i="1"/>
  <c r="Q1235" i="1"/>
  <c r="R1235" i="1"/>
  <c r="S1235" i="1"/>
  <c r="T1235" i="1"/>
  <c r="U1235" i="1"/>
  <c r="V1235" i="1"/>
  <c r="O1236" i="1"/>
  <c r="P1236" i="1"/>
  <c r="Q1236" i="1"/>
  <c r="R1236" i="1"/>
  <c r="S1236" i="1"/>
  <c r="T1236" i="1"/>
  <c r="U1236" i="1"/>
  <c r="V1236" i="1"/>
  <c r="O1237" i="1"/>
  <c r="P1237" i="1"/>
  <c r="Q1237" i="1"/>
  <c r="R1237" i="1"/>
  <c r="S1237" i="1"/>
  <c r="T1237" i="1"/>
  <c r="U1237" i="1"/>
  <c r="V1237" i="1"/>
  <c r="O1238" i="1"/>
  <c r="P1238" i="1"/>
  <c r="Q1238" i="1"/>
  <c r="R1238" i="1"/>
  <c r="S1238" i="1"/>
  <c r="T1238" i="1"/>
  <c r="U1238" i="1"/>
  <c r="V1238" i="1"/>
  <c r="O1239" i="1"/>
  <c r="P1239" i="1"/>
  <c r="Q1239" i="1"/>
  <c r="R1239" i="1"/>
  <c r="S1239" i="1"/>
  <c r="T1239" i="1"/>
  <c r="U1239" i="1"/>
  <c r="V1239" i="1"/>
  <c r="O1240" i="1"/>
  <c r="P1240" i="1"/>
  <c r="Q1240" i="1"/>
  <c r="R1240" i="1"/>
  <c r="S1240" i="1"/>
  <c r="T1240" i="1"/>
  <c r="U1240" i="1"/>
  <c r="V1240" i="1"/>
  <c r="O1241" i="1"/>
  <c r="P1241" i="1"/>
  <c r="Q1241" i="1"/>
  <c r="R1241" i="1"/>
  <c r="S1241" i="1"/>
  <c r="T1241" i="1"/>
  <c r="U1241" i="1"/>
  <c r="V1241" i="1"/>
  <c r="O1242" i="1"/>
  <c r="P1242" i="1"/>
  <c r="Q1242" i="1"/>
  <c r="R1242" i="1"/>
  <c r="S1242" i="1"/>
  <c r="T1242" i="1"/>
  <c r="U1242" i="1"/>
  <c r="V1242" i="1"/>
  <c r="O1243" i="1"/>
  <c r="P1243" i="1"/>
  <c r="Q1243" i="1"/>
  <c r="R1243" i="1"/>
  <c r="S1243" i="1"/>
  <c r="T1243" i="1"/>
  <c r="U1243" i="1"/>
  <c r="V1243" i="1"/>
  <c r="O1244" i="1"/>
  <c r="P1244" i="1"/>
  <c r="Q1244" i="1"/>
  <c r="R1244" i="1"/>
  <c r="S1244" i="1"/>
  <c r="T1244" i="1"/>
  <c r="U1244" i="1"/>
  <c r="V1244" i="1"/>
  <c r="O1245" i="1"/>
  <c r="P1245" i="1"/>
  <c r="Q1245" i="1"/>
  <c r="R1245" i="1"/>
  <c r="S1245" i="1"/>
  <c r="T1245" i="1"/>
  <c r="U1245" i="1"/>
  <c r="V1245" i="1"/>
  <c r="O1246" i="1"/>
  <c r="P1246" i="1"/>
  <c r="Q1246" i="1"/>
  <c r="R1246" i="1"/>
  <c r="S1246" i="1"/>
  <c r="T1246" i="1"/>
  <c r="U1246" i="1"/>
  <c r="V1246" i="1"/>
  <c r="O1247" i="1"/>
  <c r="P1247" i="1"/>
  <c r="Q1247" i="1"/>
  <c r="R1247" i="1"/>
  <c r="S1247" i="1"/>
  <c r="T1247" i="1"/>
  <c r="U1247" i="1"/>
  <c r="V1247" i="1"/>
  <c r="O1248" i="1"/>
  <c r="P1248" i="1"/>
  <c r="Q1248" i="1"/>
  <c r="R1248" i="1"/>
  <c r="S1248" i="1"/>
  <c r="T1248" i="1"/>
  <c r="U1248" i="1"/>
  <c r="V1248" i="1"/>
  <c r="O1249" i="1"/>
  <c r="P1249" i="1"/>
  <c r="Q1249" i="1"/>
  <c r="R1249" i="1"/>
  <c r="S1249" i="1"/>
  <c r="T1249" i="1"/>
  <c r="U1249" i="1"/>
  <c r="V1249" i="1"/>
  <c r="O1250" i="1"/>
  <c r="P1250" i="1"/>
  <c r="Q1250" i="1"/>
  <c r="R1250" i="1"/>
  <c r="S1250" i="1"/>
  <c r="T1250" i="1"/>
  <c r="U1250" i="1"/>
  <c r="V1250" i="1"/>
  <c r="O1251" i="1"/>
  <c r="P1251" i="1"/>
  <c r="Q1251" i="1"/>
  <c r="R1251" i="1"/>
  <c r="S1251" i="1"/>
  <c r="T1251" i="1"/>
  <c r="U1251" i="1"/>
  <c r="V1251" i="1"/>
  <c r="O1252" i="1"/>
  <c r="P1252" i="1"/>
  <c r="Q1252" i="1"/>
  <c r="R1252" i="1"/>
  <c r="S1252" i="1"/>
  <c r="T1252" i="1"/>
  <c r="U1252" i="1"/>
  <c r="V1252" i="1"/>
  <c r="O1253" i="1"/>
  <c r="P1253" i="1"/>
  <c r="Q1253" i="1"/>
  <c r="R1253" i="1"/>
  <c r="S1253" i="1"/>
  <c r="T1253" i="1"/>
  <c r="U1253" i="1"/>
  <c r="V1253" i="1"/>
  <c r="O1254" i="1"/>
  <c r="P1254" i="1"/>
  <c r="Q1254" i="1"/>
  <c r="R1254" i="1"/>
  <c r="S1254" i="1"/>
  <c r="T1254" i="1"/>
  <c r="U1254" i="1"/>
  <c r="V1254" i="1"/>
  <c r="O1255" i="1"/>
  <c r="P1255" i="1"/>
  <c r="Q1255" i="1"/>
  <c r="R1255" i="1"/>
  <c r="S1255" i="1"/>
  <c r="T1255" i="1"/>
  <c r="U1255" i="1"/>
  <c r="V1255" i="1"/>
  <c r="O1256" i="1"/>
  <c r="P1256" i="1"/>
  <c r="Q1256" i="1"/>
  <c r="R1256" i="1"/>
  <c r="S1256" i="1"/>
  <c r="T1256" i="1"/>
  <c r="U1256" i="1"/>
  <c r="V1256" i="1"/>
  <c r="O1257" i="1"/>
  <c r="P1257" i="1"/>
  <c r="Q1257" i="1"/>
  <c r="R1257" i="1"/>
  <c r="S1257" i="1"/>
  <c r="T1257" i="1"/>
  <c r="U1257" i="1"/>
  <c r="V1257" i="1"/>
  <c r="O1258" i="1"/>
  <c r="P1258" i="1"/>
  <c r="Q1258" i="1"/>
  <c r="R1258" i="1"/>
  <c r="S1258" i="1"/>
  <c r="T1258" i="1"/>
  <c r="U1258" i="1"/>
  <c r="V1258" i="1"/>
  <c r="O1259" i="1"/>
  <c r="P1259" i="1"/>
  <c r="Q1259" i="1"/>
  <c r="R1259" i="1"/>
  <c r="S1259" i="1"/>
  <c r="T1259" i="1"/>
  <c r="U1259" i="1"/>
  <c r="V1259" i="1"/>
  <c r="O1260" i="1"/>
  <c r="P1260" i="1"/>
  <c r="Q1260" i="1"/>
  <c r="R1260" i="1"/>
  <c r="S1260" i="1"/>
  <c r="T1260" i="1"/>
  <c r="U1260" i="1"/>
  <c r="V1260" i="1"/>
  <c r="O1261" i="1"/>
  <c r="P1261" i="1"/>
  <c r="Q1261" i="1"/>
  <c r="R1261" i="1"/>
  <c r="S1261" i="1"/>
  <c r="T1261" i="1"/>
  <c r="U1261" i="1"/>
  <c r="V1261" i="1"/>
  <c r="O1262" i="1"/>
  <c r="P1262" i="1"/>
  <c r="Q1262" i="1"/>
  <c r="R1262" i="1"/>
  <c r="S1262" i="1"/>
  <c r="T1262" i="1"/>
  <c r="U1262" i="1"/>
  <c r="V1262" i="1"/>
  <c r="O1263" i="1"/>
  <c r="P1263" i="1"/>
  <c r="Q1263" i="1"/>
  <c r="R1263" i="1"/>
  <c r="S1263" i="1"/>
  <c r="T1263" i="1"/>
  <c r="U1263" i="1"/>
  <c r="V1263" i="1"/>
  <c r="O1264" i="1"/>
  <c r="P1264" i="1"/>
  <c r="Q1264" i="1"/>
  <c r="R1264" i="1"/>
  <c r="S1264" i="1"/>
  <c r="T1264" i="1"/>
  <c r="U1264" i="1"/>
  <c r="V1264" i="1"/>
  <c r="O1265" i="1"/>
  <c r="P1265" i="1"/>
  <c r="Q1265" i="1"/>
  <c r="R1265" i="1"/>
  <c r="S1265" i="1"/>
  <c r="T1265" i="1"/>
  <c r="U1265" i="1"/>
  <c r="V1265" i="1"/>
  <c r="O1266" i="1"/>
  <c r="P1266" i="1"/>
  <c r="Q1266" i="1"/>
  <c r="R1266" i="1"/>
  <c r="S1266" i="1"/>
  <c r="T1266" i="1"/>
  <c r="U1266" i="1"/>
  <c r="V1266" i="1"/>
  <c r="O1267" i="1"/>
  <c r="P1267" i="1"/>
  <c r="Q1267" i="1"/>
  <c r="R1267" i="1"/>
  <c r="S1267" i="1"/>
  <c r="T1267" i="1"/>
  <c r="U1267" i="1"/>
  <c r="V1267" i="1"/>
  <c r="O1268" i="1"/>
  <c r="P1268" i="1"/>
  <c r="Q1268" i="1"/>
  <c r="R1268" i="1"/>
  <c r="S1268" i="1"/>
  <c r="T1268" i="1"/>
  <c r="U1268" i="1"/>
  <c r="V1268" i="1"/>
  <c r="O1269" i="1"/>
  <c r="P1269" i="1"/>
  <c r="Q1269" i="1"/>
  <c r="R1269" i="1"/>
  <c r="S1269" i="1"/>
  <c r="T1269" i="1"/>
  <c r="U1269" i="1"/>
  <c r="V1269" i="1"/>
  <c r="O1270" i="1"/>
  <c r="P1270" i="1"/>
  <c r="Q1270" i="1"/>
  <c r="R1270" i="1"/>
  <c r="S1270" i="1"/>
  <c r="T1270" i="1"/>
  <c r="U1270" i="1"/>
  <c r="V1270" i="1"/>
  <c r="O1271" i="1"/>
  <c r="P1271" i="1"/>
  <c r="Q1271" i="1"/>
  <c r="R1271" i="1"/>
  <c r="S1271" i="1"/>
  <c r="T1271" i="1"/>
  <c r="U1271" i="1"/>
  <c r="V1271" i="1"/>
  <c r="O1272" i="1"/>
  <c r="P1272" i="1"/>
  <c r="Q1272" i="1"/>
  <c r="R1272" i="1"/>
  <c r="S1272" i="1"/>
  <c r="T1272" i="1"/>
  <c r="U1272" i="1"/>
  <c r="V1272" i="1"/>
  <c r="O1273" i="1"/>
  <c r="P1273" i="1"/>
  <c r="Q1273" i="1"/>
  <c r="R1273" i="1"/>
  <c r="S1273" i="1"/>
  <c r="T1273" i="1"/>
  <c r="U1273" i="1"/>
  <c r="V1273" i="1"/>
  <c r="O1274" i="1"/>
  <c r="P1274" i="1"/>
  <c r="Q1274" i="1"/>
  <c r="R1274" i="1"/>
  <c r="S1274" i="1"/>
  <c r="T1274" i="1"/>
  <c r="U1274" i="1"/>
  <c r="V1274" i="1"/>
  <c r="O1275" i="1"/>
  <c r="P1275" i="1"/>
  <c r="Q1275" i="1"/>
  <c r="R1275" i="1"/>
  <c r="S1275" i="1"/>
  <c r="T1275" i="1"/>
  <c r="U1275" i="1"/>
  <c r="V1275" i="1"/>
  <c r="O1276" i="1"/>
  <c r="P1276" i="1"/>
  <c r="Q1276" i="1"/>
  <c r="R1276" i="1"/>
  <c r="S1276" i="1"/>
  <c r="T1276" i="1"/>
  <c r="U1276" i="1"/>
  <c r="V1276" i="1"/>
  <c r="O1277" i="1"/>
  <c r="P1277" i="1"/>
  <c r="Q1277" i="1"/>
  <c r="R1277" i="1"/>
  <c r="S1277" i="1"/>
  <c r="T1277" i="1"/>
  <c r="U1277" i="1"/>
  <c r="V1277" i="1"/>
  <c r="O1278" i="1"/>
  <c r="P1278" i="1"/>
  <c r="Q1278" i="1"/>
  <c r="R1278" i="1"/>
  <c r="S1278" i="1"/>
  <c r="T1278" i="1"/>
  <c r="U1278" i="1"/>
  <c r="V1278" i="1"/>
  <c r="O1279" i="1"/>
  <c r="P1279" i="1"/>
  <c r="Q1279" i="1"/>
  <c r="R1279" i="1"/>
  <c r="S1279" i="1"/>
  <c r="T1279" i="1"/>
  <c r="U1279" i="1"/>
  <c r="V1279" i="1"/>
  <c r="O1280" i="1"/>
  <c r="P1280" i="1"/>
  <c r="Q1280" i="1"/>
  <c r="R1280" i="1"/>
  <c r="S1280" i="1"/>
  <c r="T1280" i="1"/>
  <c r="U1280" i="1"/>
  <c r="V1280" i="1"/>
  <c r="O1281" i="1"/>
  <c r="P1281" i="1"/>
  <c r="Q1281" i="1"/>
  <c r="R1281" i="1"/>
  <c r="S1281" i="1"/>
  <c r="T1281" i="1"/>
  <c r="U1281" i="1"/>
  <c r="V1281" i="1"/>
  <c r="O1282" i="1"/>
  <c r="P1282" i="1"/>
  <c r="Q1282" i="1"/>
  <c r="R1282" i="1"/>
  <c r="S1282" i="1"/>
  <c r="T1282" i="1"/>
  <c r="U1282" i="1"/>
  <c r="V1282" i="1"/>
  <c r="O1283" i="1"/>
  <c r="P1283" i="1"/>
  <c r="Q1283" i="1"/>
  <c r="R1283" i="1"/>
  <c r="S1283" i="1"/>
  <c r="T1283" i="1"/>
  <c r="U1283" i="1"/>
  <c r="V1283" i="1"/>
  <c r="O1284" i="1"/>
  <c r="P1284" i="1"/>
  <c r="Q1284" i="1"/>
  <c r="R1284" i="1"/>
  <c r="S1284" i="1"/>
  <c r="T1284" i="1"/>
  <c r="U1284" i="1"/>
  <c r="V1284" i="1"/>
  <c r="O1285" i="1"/>
  <c r="P1285" i="1"/>
  <c r="Q1285" i="1"/>
  <c r="R1285" i="1"/>
  <c r="S1285" i="1"/>
  <c r="T1285" i="1"/>
  <c r="U1285" i="1"/>
  <c r="V1285" i="1"/>
  <c r="O1286" i="1"/>
  <c r="P1286" i="1"/>
  <c r="Q1286" i="1"/>
  <c r="R1286" i="1"/>
  <c r="S1286" i="1"/>
  <c r="T1286" i="1"/>
  <c r="U1286" i="1"/>
  <c r="V1286" i="1"/>
  <c r="O1287" i="1"/>
  <c r="P1287" i="1"/>
  <c r="Q1287" i="1"/>
  <c r="R1287" i="1"/>
  <c r="S1287" i="1"/>
  <c r="T1287" i="1"/>
  <c r="U1287" i="1"/>
  <c r="V1287" i="1"/>
  <c r="O1288" i="1"/>
  <c r="P1288" i="1"/>
  <c r="Q1288" i="1"/>
  <c r="R1288" i="1"/>
  <c r="S1288" i="1"/>
  <c r="T1288" i="1"/>
  <c r="U1288" i="1"/>
  <c r="V1288" i="1"/>
  <c r="O1289" i="1"/>
  <c r="P1289" i="1"/>
  <c r="Q1289" i="1"/>
  <c r="R1289" i="1"/>
  <c r="S1289" i="1"/>
  <c r="T1289" i="1"/>
  <c r="U1289" i="1"/>
  <c r="V1289" i="1"/>
  <c r="O1290" i="1"/>
  <c r="P1290" i="1"/>
  <c r="Q1290" i="1"/>
  <c r="R1290" i="1"/>
  <c r="S1290" i="1"/>
  <c r="T1290" i="1"/>
  <c r="U1290" i="1"/>
  <c r="V1290" i="1"/>
  <c r="O1291" i="1"/>
  <c r="P1291" i="1"/>
  <c r="Q1291" i="1"/>
  <c r="R1291" i="1"/>
  <c r="S1291" i="1"/>
  <c r="T1291" i="1"/>
  <c r="U1291" i="1"/>
  <c r="V1291" i="1"/>
  <c r="O1292" i="1"/>
  <c r="P1292" i="1"/>
  <c r="Q1292" i="1"/>
  <c r="R1292" i="1"/>
  <c r="S1292" i="1"/>
  <c r="T1292" i="1"/>
  <c r="U1292" i="1"/>
  <c r="V1292" i="1"/>
  <c r="O1293" i="1"/>
  <c r="P1293" i="1"/>
  <c r="Q1293" i="1"/>
  <c r="R1293" i="1"/>
  <c r="S1293" i="1"/>
  <c r="T1293" i="1"/>
  <c r="U1293" i="1"/>
  <c r="V1293" i="1"/>
  <c r="O1294" i="1"/>
  <c r="P1294" i="1"/>
  <c r="Q1294" i="1"/>
  <c r="R1294" i="1"/>
  <c r="S1294" i="1"/>
  <c r="T1294" i="1"/>
  <c r="U1294" i="1"/>
  <c r="V1294" i="1"/>
  <c r="O1295" i="1"/>
  <c r="P1295" i="1"/>
  <c r="Q1295" i="1"/>
  <c r="R1295" i="1"/>
  <c r="S1295" i="1"/>
  <c r="T1295" i="1"/>
  <c r="U1295" i="1"/>
  <c r="V1295" i="1"/>
  <c r="O1296" i="1"/>
  <c r="P1296" i="1"/>
  <c r="Q1296" i="1"/>
  <c r="R1296" i="1"/>
  <c r="S1296" i="1"/>
  <c r="T1296" i="1"/>
  <c r="U1296" i="1"/>
  <c r="V1296" i="1"/>
  <c r="O1297" i="1"/>
  <c r="P1297" i="1"/>
  <c r="Q1297" i="1"/>
  <c r="R1297" i="1"/>
  <c r="S1297" i="1"/>
  <c r="T1297" i="1"/>
  <c r="U1297" i="1"/>
  <c r="V1297" i="1"/>
  <c r="O1298" i="1"/>
  <c r="P1298" i="1"/>
  <c r="Q1298" i="1"/>
  <c r="R1298" i="1"/>
  <c r="S1298" i="1"/>
  <c r="T1298" i="1"/>
  <c r="U1298" i="1"/>
  <c r="V1298" i="1"/>
  <c r="O1299" i="1"/>
  <c r="P1299" i="1"/>
  <c r="Q1299" i="1"/>
  <c r="R1299" i="1"/>
  <c r="S1299" i="1"/>
  <c r="T1299" i="1"/>
  <c r="U1299" i="1"/>
  <c r="V1299" i="1"/>
  <c r="O1300" i="1"/>
  <c r="P1300" i="1"/>
  <c r="Q1300" i="1"/>
  <c r="R1300" i="1"/>
  <c r="S1300" i="1"/>
  <c r="T1300" i="1"/>
  <c r="U1300" i="1"/>
  <c r="V1300" i="1"/>
  <c r="O1301" i="1"/>
  <c r="P1301" i="1"/>
  <c r="Q1301" i="1"/>
  <c r="R1301" i="1"/>
  <c r="S1301" i="1"/>
  <c r="T1301" i="1"/>
  <c r="U1301" i="1"/>
  <c r="V1301" i="1"/>
  <c r="O1302" i="1"/>
  <c r="P1302" i="1"/>
  <c r="Q1302" i="1"/>
  <c r="R1302" i="1"/>
  <c r="S1302" i="1"/>
  <c r="T1302" i="1"/>
  <c r="U1302" i="1"/>
  <c r="V1302" i="1"/>
  <c r="O1303" i="1"/>
  <c r="P1303" i="1"/>
  <c r="Q1303" i="1"/>
  <c r="R1303" i="1"/>
  <c r="S1303" i="1"/>
  <c r="T1303" i="1"/>
  <c r="U1303" i="1"/>
  <c r="V1303" i="1"/>
  <c r="O1304" i="1"/>
  <c r="P1304" i="1"/>
  <c r="Q1304" i="1"/>
  <c r="R1304" i="1"/>
  <c r="S1304" i="1"/>
  <c r="T1304" i="1"/>
  <c r="U1304" i="1"/>
  <c r="V1304" i="1"/>
  <c r="O1305" i="1"/>
  <c r="P1305" i="1"/>
  <c r="Q1305" i="1"/>
  <c r="R1305" i="1"/>
  <c r="S1305" i="1"/>
  <c r="T1305" i="1"/>
  <c r="U1305" i="1"/>
  <c r="V1305" i="1"/>
  <c r="O1306" i="1"/>
  <c r="P1306" i="1"/>
  <c r="Q1306" i="1"/>
  <c r="R1306" i="1"/>
  <c r="S1306" i="1"/>
  <c r="T1306" i="1"/>
  <c r="U1306" i="1"/>
  <c r="V1306" i="1"/>
  <c r="O1307" i="1"/>
  <c r="P1307" i="1"/>
  <c r="Q1307" i="1"/>
  <c r="R1307" i="1"/>
  <c r="S1307" i="1"/>
  <c r="T1307" i="1"/>
  <c r="U1307" i="1"/>
  <c r="V1307" i="1"/>
  <c r="O1308" i="1"/>
  <c r="P1308" i="1"/>
  <c r="Q1308" i="1"/>
  <c r="R1308" i="1"/>
  <c r="S1308" i="1"/>
  <c r="T1308" i="1"/>
  <c r="U1308" i="1"/>
  <c r="V1308" i="1"/>
  <c r="O1309" i="1"/>
  <c r="P1309" i="1"/>
  <c r="Q1309" i="1"/>
  <c r="R1309" i="1"/>
  <c r="S1309" i="1"/>
  <c r="T1309" i="1"/>
  <c r="U1309" i="1"/>
  <c r="V1309" i="1"/>
  <c r="O1310" i="1"/>
  <c r="P1310" i="1"/>
  <c r="Q1310" i="1"/>
  <c r="R1310" i="1"/>
  <c r="S1310" i="1"/>
  <c r="T1310" i="1"/>
  <c r="U1310" i="1"/>
  <c r="V1310" i="1"/>
  <c r="O1311" i="1"/>
  <c r="P1311" i="1"/>
  <c r="Q1311" i="1"/>
  <c r="R1311" i="1"/>
  <c r="S1311" i="1"/>
  <c r="T1311" i="1"/>
  <c r="U1311" i="1"/>
  <c r="V1311" i="1"/>
  <c r="O1312" i="1"/>
  <c r="P1312" i="1"/>
  <c r="Q1312" i="1"/>
  <c r="R1312" i="1"/>
  <c r="S1312" i="1"/>
  <c r="T1312" i="1"/>
  <c r="U1312" i="1"/>
  <c r="V1312" i="1"/>
  <c r="O1313" i="1"/>
  <c r="P1313" i="1"/>
  <c r="Q1313" i="1"/>
  <c r="R1313" i="1"/>
  <c r="S1313" i="1"/>
  <c r="T1313" i="1"/>
  <c r="U1313" i="1"/>
  <c r="V1313" i="1"/>
  <c r="O1314" i="1"/>
  <c r="P1314" i="1"/>
  <c r="Q1314" i="1"/>
  <c r="R1314" i="1"/>
  <c r="S1314" i="1"/>
  <c r="T1314" i="1"/>
  <c r="U1314" i="1"/>
  <c r="V1314" i="1"/>
  <c r="O1315" i="1"/>
  <c r="P1315" i="1"/>
  <c r="Q1315" i="1"/>
  <c r="R1315" i="1"/>
  <c r="S1315" i="1"/>
  <c r="T1315" i="1"/>
  <c r="U1315" i="1"/>
  <c r="V1315" i="1"/>
  <c r="O1316" i="1"/>
  <c r="P1316" i="1"/>
  <c r="Q1316" i="1"/>
  <c r="R1316" i="1"/>
  <c r="S1316" i="1"/>
  <c r="T1316" i="1"/>
  <c r="U1316" i="1"/>
  <c r="V1316" i="1"/>
  <c r="O1317" i="1"/>
  <c r="P1317" i="1"/>
  <c r="Q1317" i="1"/>
  <c r="R1317" i="1"/>
  <c r="S1317" i="1"/>
  <c r="T1317" i="1"/>
  <c r="U1317" i="1"/>
  <c r="V1317" i="1"/>
  <c r="O1318" i="1"/>
  <c r="P1318" i="1"/>
  <c r="Q1318" i="1"/>
  <c r="R1318" i="1"/>
  <c r="S1318" i="1"/>
  <c r="T1318" i="1"/>
  <c r="U1318" i="1"/>
  <c r="V1318" i="1"/>
  <c r="O1319" i="1"/>
  <c r="P1319" i="1"/>
  <c r="Q1319" i="1"/>
  <c r="R1319" i="1"/>
  <c r="S1319" i="1"/>
  <c r="T1319" i="1"/>
  <c r="U1319" i="1"/>
  <c r="V1319" i="1"/>
  <c r="O1320" i="1"/>
  <c r="P1320" i="1"/>
  <c r="Q1320" i="1"/>
  <c r="R1320" i="1"/>
  <c r="S1320" i="1"/>
  <c r="T1320" i="1"/>
  <c r="U1320" i="1"/>
  <c r="V1320" i="1"/>
  <c r="O1321" i="1"/>
  <c r="P1321" i="1"/>
  <c r="Q1321" i="1"/>
  <c r="R1321" i="1"/>
  <c r="S1321" i="1"/>
  <c r="T1321" i="1"/>
  <c r="U1321" i="1"/>
  <c r="V1321" i="1"/>
  <c r="O1322" i="1"/>
  <c r="P1322" i="1"/>
  <c r="Q1322" i="1"/>
  <c r="R1322" i="1"/>
  <c r="S1322" i="1"/>
  <c r="T1322" i="1"/>
  <c r="U1322" i="1"/>
  <c r="V1322" i="1"/>
  <c r="O1323" i="1"/>
  <c r="P1323" i="1"/>
  <c r="Q1323" i="1"/>
  <c r="R1323" i="1"/>
  <c r="S1323" i="1"/>
  <c r="T1323" i="1"/>
  <c r="U1323" i="1"/>
  <c r="V1323" i="1"/>
  <c r="O1324" i="1"/>
  <c r="P1324" i="1"/>
  <c r="Q1324" i="1"/>
  <c r="R1324" i="1"/>
  <c r="S1324" i="1"/>
  <c r="T1324" i="1"/>
  <c r="U1324" i="1"/>
  <c r="V1324" i="1"/>
  <c r="O1325" i="1"/>
  <c r="P1325" i="1"/>
  <c r="Q1325" i="1"/>
  <c r="R1325" i="1"/>
  <c r="S1325" i="1"/>
  <c r="T1325" i="1"/>
  <c r="U1325" i="1"/>
  <c r="V1325" i="1"/>
  <c r="O1326" i="1"/>
  <c r="P1326" i="1"/>
  <c r="Q1326" i="1"/>
  <c r="R1326" i="1"/>
  <c r="S1326" i="1"/>
  <c r="T1326" i="1"/>
  <c r="U1326" i="1"/>
  <c r="V1326" i="1"/>
  <c r="O1327" i="1"/>
  <c r="P1327" i="1"/>
  <c r="Q1327" i="1"/>
  <c r="R1327" i="1"/>
  <c r="S1327" i="1"/>
  <c r="T1327" i="1"/>
  <c r="U1327" i="1"/>
  <c r="V1327" i="1"/>
  <c r="O1328" i="1"/>
  <c r="P1328" i="1"/>
  <c r="Q1328" i="1"/>
  <c r="R1328" i="1"/>
  <c r="S1328" i="1"/>
  <c r="T1328" i="1"/>
  <c r="U1328" i="1"/>
  <c r="V1328" i="1"/>
  <c r="O1329" i="1"/>
  <c r="P1329" i="1"/>
  <c r="Q1329" i="1"/>
  <c r="R1329" i="1"/>
  <c r="S1329" i="1"/>
  <c r="T1329" i="1"/>
  <c r="U1329" i="1"/>
  <c r="V1329" i="1"/>
  <c r="O1330" i="1"/>
  <c r="P1330" i="1"/>
  <c r="Q1330" i="1"/>
  <c r="R1330" i="1"/>
  <c r="S1330" i="1"/>
  <c r="T1330" i="1"/>
  <c r="U1330" i="1"/>
  <c r="V1330" i="1"/>
  <c r="O1331" i="1"/>
  <c r="P1331" i="1"/>
  <c r="Q1331" i="1"/>
  <c r="R1331" i="1"/>
  <c r="S1331" i="1"/>
  <c r="T1331" i="1"/>
  <c r="U1331" i="1"/>
  <c r="V1331" i="1"/>
  <c r="O1332" i="1"/>
  <c r="P1332" i="1"/>
  <c r="Q1332" i="1"/>
  <c r="R1332" i="1"/>
  <c r="S1332" i="1"/>
  <c r="T1332" i="1"/>
  <c r="U1332" i="1"/>
  <c r="V1332" i="1"/>
  <c r="O1333" i="1"/>
  <c r="P1333" i="1"/>
  <c r="Q1333" i="1"/>
  <c r="R1333" i="1"/>
  <c r="S1333" i="1"/>
  <c r="T1333" i="1"/>
  <c r="U1333" i="1"/>
  <c r="V1333" i="1"/>
  <c r="O1334" i="1"/>
  <c r="P1334" i="1"/>
  <c r="Q1334" i="1"/>
  <c r="R1334" i="1"/>
  <c r="S1334" i="1"/>
  <c r="T1334" i="1"/>
  <c r="U1334" i="1"/>
  <c r="V1334" i="1"/>
  <c r="O1335" i="1"/>
  <c r="P1335" i="1"/>
  <c r="Q1335" i="1"/>
  <c r="R1335" i="1"/>
  <c r="S1335" i="1"/>
  <c r="T1335" i="1"/>
  <c r="U1335" i="1"/>
  <c r="V1335" i="1"/>
  <c r="O1336" i="1"/>
  <c r="P1336" i="1"/>
  <c r="Q1336" i="1"/>
  <c r="R1336" i="1"/>
  <c r="S1336" i="1"/>
  <c r="T1336" i="1"/>
  <c r="U1336" i="1"/>
  <c r="V1336" i="1"/>
  <c r="O1337" i="1"/>
  <c r="P1337" i="1"/>
  <c r="Q1337" i="1"/>
  <c r="R1337" i="1"/>
  <c r="S1337" i="1"/>
  <c r="T1337" i="1"/>
  <c r="U1337" i="1"/>
  <c r="V1337" i="1"/>
  <c r="O1338" i="1"/>
  <c r="P1338" i="1"/>
  <c r="Q1338" i="1"/>
  <c r="R1338" i="1"/>
  <c r="S1338" i="1"/>
  <c r="T1338" i="1"/>
  <c r="U1338" i="1"/>
  <c r="V1338" i="1"/>
  <c r="O1339" i="1"/>
  <c r="P1339" i="1"/>
  <c r="Q1339" i="1"/>
  <c r="R1339" i="1"/>
  <c r="S1339" i="1"/>
  <c r="T1339" i="1"/>
  <c r="U1339" i="1"/>
  <c r="V1339" i="1"/>
  <c r="O1340" i="1"/>
  <c r="P1340" i="1"/>
  <c r="Q1340" i="1"/>
  <c r="R1340" i="1"/>
  <c r="S1340" i="1"/>
  <c r="T1340" i="1"/>
  <c r="U1340" i="1"/>
  <c r="V1340" i="1"/>
  <c r="O1341" i="1"/>
  <c r="P1341" i="1"/>
  <c r="Q1341" i="1"/>
  <c r="R1341" i="1"/>
  <c r="S1341" i="1"/>
  <c r="T1341" i="1"/>
  <c r="U1341" i="1"/>
  <c r="V1341" i="1"/>
  <c r="O1342" i="1"/>
  <c r="P1342" i="1"/>
  <c r="Q1342" i="1"/>
  <c r="R1342" i="1"/>
  <c r="S1342" i="1"/>
  <c r="T1342" i="1"/>
  <c r="U1342" i="1"/>
  <c r="V1342" i="1"/>
  <c r="O1343" i="1"/>
  <c r="P1343" i="1"/>
  <c r="Q1343" i="1"/>
  <c r="R1343" i="1"/>
  <c r="S1343" i="1"/>
  <c r="T1343" i="1"/>
  <c r="U1343" i="1"/>
  <c r="V1343" i="1"/>
  <c r="O1344" i="1"/>
  <c r="P1344" i="1"/>
  <c r="Q1344" i="1"/>
  <c r="R1344" i="1"/>
  <c r="S1344" i="1"/>
  <c r="T1344" i="1"/>
  <c r="U1344" i="1"/>
  <c r="V1344" i="1"/>
  <c r="O1345" i="1"/>
  <c r="P1345" i="1"/>
  <c r="Q1345" i="1"/>
  <c r="R1345" i="1"/>
  <c r="S1345" i="1"/>
  <c r="T1345" i="1"/>
  <c r="U1345" i="1"/>
  <c r="V1345" i="1"/>
  <c r="O1346" i="1"/>
  <c r="P1346" i="1"/>
  <c r="Q1346" i="1"/>
  <c r="R1346" i="1"/>
  <c r="S1346" i="1"/>
  <c r="T1346" i="1"/>
  <c r="U1346" i="1"/>
  <c r="V1346" i="1"/>
  <c r="O1347" i="1"/>
  <c r="P1347" i="1"/>
  <c r="Q1347" i="1"/>
  <c r="R1347" i="1"/>
  <c r="S1347" i="1"/>
  <c r="T1347" i="1"/>
  <c r="U1347" i="1"/>
  <c r="V1347" i="1"/>
  <c r="O1348" i="1"/>
  <c r="P1348" i="1"/>
  <c r="Q1348" i="1"/>
  <c r="R1348" i="1"/>
  <c r="S1348" i="1"/>
  <c r="T1348" i="1"/>
  <c r="U1348" i="1"/>
  <c r="V1348" i="1"/>
  <c r="O1349" i="1"/>
  <c r="P1349" i="1"/>
  <c r="Q1349" i="1"/>
  <c r="R1349" i="1"/>
  <c r="S1349" i="1"/>
  <c r="T1349" i="1"/>
  <c r="U1349" i="1"/>
  <c r="V1349" i="1"/>
  <c r="O1350" i="1"/>
  <c r="P1350" i="1"/>
  <c r="Q1350" i="1"/>
  <c r="R1350" i="1"/>
  <c r="S1350" i="1"/>
  <c r="T1350" i="1"/>
  <c r="U1350" i="1"/>
  <c r="V1350" i="1"/>
  <c r="O1351" i="1"/>
  <c r="P1351" i="1"/>
  <c r="Q1351" i="1"/>
  <c r="R1351" i="1"/>
  <c r="S1351" i="1"/>
  <c r="T1351" i="1"/>
  <c r="U1351" i="1"/>
  <c r="V1351" i="1"/>
  <c r="O1352" i="1"/>
  <c r="P1352" i="1"/>
  <c r="Q1352" i="1"/>
  <c r="R1352" i="1"/>
  <c r="S1352" i="1"/>
  <c r="T1352" i="1"/>
  <c r="U1352" i="1"/>
  <c r="V1352" i="1"/>
  <c r="O1353" i="1"/>
  <c r="P1353" i="1"/>
  <c r="Q1353" i="1"/>
  <c r="R1353" i="1"/>
  <c r="S1353" i="1"/>
  <c r="T1353" i="1"/>
  <c r="U1353" i="1"/>
  <c r="V1353" i="1"/>
  <c r="O1354" i="1"/>
  <c r="P1354" i="1"/>
  <c r="Q1354" i="1"/>
  <c r="R1354" i="1"/>
  <c r="S1354" i="1"/>
  <c r="T1354" i="1"/>
  <c r="U1354" i="1"/>
  <c r="V1354" i="1"/>
  <c r="O1355" i="1"/>
  <c r="P1355" i="1"/>
  <c r="Q1355" i="1"/>
  <c r="R1355" i="1"/>
  <c r="S1355" i="1"/>
  <c r="T1355" i="1"/>
  <c r="U1355" i="1"/>
  <c r="V1355" i="1"/>
  <c r="O1356" i="1"/>
  <c r="P1356" i="1"/>
  <c r="Q1356" i="1"/>
  <c r="R1356" i="1"/>
  <c r="S1356" i="1"/>
  <c r="T1356" i="1"/>
  <c r="U1356" i="1"/>
  <c r="V1356" i="1"/>
  <c r="O1357" i="1"/>
  <c r="P1357" i="1"/>
  <c r="Q1357" i="1"/>
  <c r="R1357" i="1"/>
  <c r="S1357" i="1"/>
  <c r="T1357" i="1"/>
  <c r="U1357" i="1"/>
  <c r="V1357" i="1"/>
  <c r="O1358" i="1"/>
  <c r="P1358" i="1"/>
  <c r="Q1358" i="1"/>
  <c r="R1358" i="1"/>
  <c r="S1358" i="1"/>
  <c r="T1358" i="1"/>
  <c r="U1358" i="1"/>
  <c r="V1358" i="1"/>
  <c r="O1359" i="1"/>
  <c r="P1359" i="1"/>
  <c r="Q1359" i="1"/>
  <c r="R1359" i="1"/>
  <c r="S1359" i="1"/>
  <c r="T1359" i="1"/>
  <c r="U1359" i="1"/>
  <c r="V1359" i="1"/>
  <c r="O1360" i="1"/>
  <c r="P1360" i="1"/>
  <c r="Q1360" i="1"/>
  <c r="R1360" i="1"/>
  <c r="S1360" i="1"/>
  <c r="T1360" i="1"/>
  <c r="U1360" i="1"/>
  <c r="V1360" i="1"/>
  <c r="O1361" i="1"/>
  <c r="P1361" i="1"/>
  <c r="Q1361" i="1"/>
  <c r="R1361" i="1"/>
  <c r="S1361" i="1"/>
  <c r="T1361" i="1"/>
  <c r="U1361" i="1"/>
  <c r="V1361" i="1"/>
  <c r="O1362" i="1"/>
  <c r="P1362" i="1"/>
  <c r="Q1362" i="1"/>
  <c r="R1362" i="1"/>
  <c r="S1362" i="1"/>
  <c r="T1362" i="1"/>
  <c r="U1362" i="1"/>
  <c r="V1362" i="1"/>
  <c r="O1363" i="1"/>
  <c r="P1363" i="1"/>
  <c r="Q1363" i="1"/>
  <c r="R1363" i="1"/>
  <c r="S1363" i="1"/>
  <c r="T1363" i="1"/>
  <c r="U1363" i="1"/>
  <c r="V1363" i="1"/>
  <c r="O1364" i="1"/>
  <c r="P1364" i="1"/>
  <c r="Q1364" i="1"/>
  <c r="R1364" i="1"/>
  <c r="S1364" i="1"/>
  <c r="T1364" i="1"/>
  <c r="U1364" i="1"/>
  <c r="V1364" i="1"/>
  <c r="O1365" i="1"/>
  <c r="P1365" i="1"/>
  <c r="Q1365" i="1"/>
  <c r="R1365" i="1"/>
  <c r="S1365" i="1"/>
  <c r="T1365" i="1"/>
  <c r="U1365" i="1"/>
  <c r="V1365" i="1"/>
  <c r="O1366" i="1"/>
  <c r="P1366" i="1"/>
  <c r="Q1366" i="1"/>
  <c r="R1366" i="1"/>
  <c r="S1366" i="1"/>
  <c r="T1366" i="1"/>
  <c r="U1366" i="1"/>
  <c r="V1366" i="1"/>
  <c r="O1367" i="1"/>
  <c r="P1367" i="1"/>
  <c r="Q1367" i="1"/>
  <c r="R1367" i="1"/>
  <c r="S1367" i="1"/>
  <c r="T1367" i="1"/>
  <c r="U1367" i="1"/>
  <c r="V1367" i="1"/>
  <c r="O1368" i="1"/>
  <c r="P1368" i="1"/>
  <c r="Q1368" i="1"/>
  <c r="R1368" i="1"/>
  <c r="S1368" i="1"/>
  <c r="T1368" i="1"/>
  <c r="U1368" i="1"/>
  <c r="V1368" i="1"/>
  <c r="O1369" i="1"/>
  <c r="P1369" i="1"/>
  <c r="Q1369" i="1"/>
  <c r="R1369" i="1"/>
  <c r="S1369" i="1"/>
  <c r="T1369" i="1"/>
  <c r="U1369" i="1"/>
  <c r="V1369" i="1"/>
  <c r="O1370" i="1"/>
  <c r="P1370" i="1"/>
  <c r="Q1370" i="1"/>
  <c r="R1370" i="1"/>
  <c r="S1370" i="1"/>
  <c r="T1370" i="1"/>
  <c r="U1370" i="1"/>
  <c r="V1370" i="1"/>
  <c r="O1371" i="1"/>
  <c r="P1371" i="1"/>
  <c r="Q1371" i="1"/>
  <c r="R1371" i="1"/>
  <c r="S1371" i="1"/>
  <c r="T1371" i="1"/>
  <c r="U1371" i="1"/>
  <c r="V1371" i="1"/>
  <c r="O1372" i="1"/>
  <c r="P1372" i="1"/>
  <c r="Q1372" i="1"/>
  <c r="R1372" i="1"/>
  <c r="S1372" i="1"/>
  <c r="T1372" i="1"/>
  <c r="U1372" i="1"/>
  <c r="V1372" i="1"/>
  <c r="O1373" i="1"/>
  <c r="P1373" i="1"/>
  <c r="Q1373" i="1"/>
  <c r="R1373" i="1"/>
  <c r="S1373" i="1"/>
  <c r="T1373" i="1"/>
  <c r="U1373" i="1"/>
  <c r="V1373" i="1"/>
  <c r="O1374" i="1"/>
  <c r="P1374" i="1"/>
  <c r="Q1374" i="1"/>
  <c r="R1374" i="1"/>
  <c r="S1374" i="1"/>
  <c r="T1374" i="1"/>
  <c r="U1374" i="1"/>
  <c r="V1374" i="1"/>
  <c r="O1375" i="1"/>
  <c r="P1375" i="1"/>
  <c r="Q1375" i="1"/>
  <c r="R1375" i="1"/>
  <c r="S1375" i="1"/>
  <c r="T1375" i="1"/>
  <c r="U1375" i="1"/>
  <c r="V1375" i="1"/>
  <c r="O1376" i="1"/>
  <c r="P1376" i="1"/>
  <c r="Q1376" i="1"/>
  <c r="R1376" i="1"/>
  <c r="S1376" i="1"/>
  <c r="T1376" i="1"/>
  <c r="U1376" i="1"/>
  <c r="V1376" i="1"/>
  <c r="O1377" i="1"/>
  <c r="P1377" i="1"/>
  <c r="Q1377" i="1"/>
  <c r="R1377" i="1"/>
  <c r="S1377" i="1"/>
  <c r="T1377" i="1"/>
  <c r="U1377" i="1"/>
  <c r="V1377" i="1"/>
  <c r="O1378" i="1"/>
  <c r="P1378" i="1"/>
  <c r="Q1378" i="1"/>
  <c r="R1378" i="1"/>
  <c r="S1378" i="1"/>
  <c r="T1378" i="1"/>
  <c r="U1378" i="1"/>
  <c r="V1378" i="1"/>
  <c r="O1379" i="1"/>
  <c r="P1379" i="1"/>
  <c r="Q1379" i="1"/>
  <c r="R1379" i="1"/>
  <c r="S1379" i="1"/>
  <c r="T1379" i="1"/>
  <c r="U1379" i="1"/>
  <c r="V1379" i="1"/>
  <c r="O1380" i="1"/>
  <c r="P1380" i="1"/>
  <c r="Q1380" i="1"/>
  <c r="R1380" i="1"/>
  <c r="S1380" i="1"/>
  <c r="T1380" i="1"/>
  <c r="U1380" i="1"/>
  <c r="V1380" i="1"/>
  <c r="O1381" i="1"/>
  <c r="P1381" i="1"/>
  <c r="Q1381" i="1"/>
  <c r="R1381" i="1"/>
  <c r="S1381" i="1"/>
  <c r="T1381" i="1"/>
  <c r="U1381" i="1"/>
  <c r="V1381" i="1"/>
  <c r="O1382" i="1"/>
  <c r="P1382" i="1"/>
  <c r="Q1382" i="1"/>
  <c r="R1382" i="1"/>
  <c r="S1382" i="1"/>
  <c r="T1382" i="1"/>
  <c r="U1382" i="1"/>
  <c r="V1382" i="1"/>
  <c r="O1383" i="1"/>
  <c r="P1383" i="1"/>
  <c r="Q1383" i="1"/>
  <c r="R1383" i="1"/>
  <c r="S1383" i="1"/>
  <c r="T1383" i="1"/>
  <c r="U1383" i="1"/>
  <c r="V1383" i="1"/>
  <c r="O1384" i="1"/>
  <c r="P1384" i="1"/>
  <c r="Q1384" i="1"/>
  <c r="R1384" i="1"/>
  <c r="S1384" i="1"/>
  <c r="T1384" i="1"/>
  <c r="U1384" i="1"/>
  <c r="V1384" i="1"/>
  <c r="O1385" i="1"/>
  <c r="P1385" i="1"/>
  <c r="Q1385" i="1"/>
  <c r="R1385" i="1"/>
  <c r="S1385" i="1"/>
  <c r="T1385" i="1"/>
  <c r="U1385" i="1"/>
  <c r="V1385" i="1"/>
  <c r="O1386" i="1"/>
  <c r="P1386" i="1"/>
  <c r="Q1386" i="1"/>
  <c r="R1386" i="1"/>
  <c r="S1386" i="1"/>
  <c r="T1386" i="1"/>
  <c r="U1386" i="1"/>
  <c r="V1386" i="1"/>
  <c r="O1387" i="1"/>
  <c r="P1387" i="1"/>
  <c r="Q1387" i="1"/>
  <c r="R1387" i="1"/>
  <c r="S1387" i="1"/>
  <c r="T1387" i="1"/>
  <c r="U1387" i="1"/>
  <c r="V1387" i="1"/>
  <c r="O1388" i="1"/>
  <c r="P1388" i="1"/>
  <c r="Q1388" i="1"/>
  <c r="R1388" i="1"/>
  <c r="S1388" i="1"/>
  <c r="T1388" i="1"/>
  <c r="U1388" i="1"/>
  <c r="V1388" i="1"/>
  <c r="O1389" i="1"/>
  <c r="P1389" i="1"/>
  <c r="Q1389" i="1"/>
  <c r="R1389" i="1"/>
  <c r="S1389" i="1"/>
  <c r="T1389" i="1"/>
  <c r="U1389" i="1"/>
  <c r="V1389" i="1"/>
  <c r="O1390" i="1"/>
  <c r="P1390" i="1"/>
  <c r="Q1390" i="1"/>
  <c r="R1390" i="1"/>
  <c r="S1390" i="1"/>
  <c r="T1390" i="1"/>
  <c r="U1390" i="1"/>
  <c r="V1390" i="1"/>
  <c r="O1391" i="1"/>
  <c r="P1391" i="1"/>
  <c r="Q1391" i="1"/>
  <c r="R1391" i="1"/>
  <c r="S1391" i="1"/>
  <c r="T1391" i="1"/>
  <c r="U1391" i="1"/>
  <c r="V1391" i="1"/>
  <c r="O1392" i="1"/>
  <c r="P1392" i="1"/>
  <c r="Q1392" i="1"/>
  <c r="R1392" i="1"/>
  <c r="S1392" i="1"/>
  <c r="T1392" i="1"/>
  <c r="U1392" i="1"/>
  <c r="V1392" i="1"/>
  <c r="O1393" i="1"/>
  <c r="P1393" i="1"/>
  <c r="Q1393" i="1"/>
  <c r="R1393" i="1"/>
  <c r="S1393" i="1"/>
  <c r="T1393" i="1"/>
  <c r="U1393" i="1"/>
  <c r="V1393" i="1"/>
  <c r="O1394" i="1"/>
  <c r="P1394" i="1"/>
  <c r="Q1394" i="1"/>
  <c r="R1394" i="1"/>
  <c r="S1394" i="1"/>
  <c r="T1394" i="1"/>
  <c r="U1394" i="1"/>
  <c r="V1394" i="1"/>
  <c r="O1395" i="1"/>
  <c r="P1395" i="1"/>
  <c r="Q1395" i="1"/>
  <c r="R1395" i="1"/>
  <c r="S1395" i="1"/>
  <c r="T1395" i="1"/>
  <c r="U1395" i="1"/>
  <c r="V1395" i="1"/>
  <c r="O1396" i="1"/>
  <c r="P1396" i="1"/>
  <c r="Q1396" i="1"/>
  <c r="R1396" i="1"/>
  <c r="S1396" i="1"/>
  <c r="T1396" i="1"/>
  <c r="U1396" i="1"/>
  <c r="V1396" i="1"/>
  <c r="O1397" i="1"/>
  <c r="P1397" i="1"/>
  <c r="Q1397" i="1"/>
  <c r="R1397" i="1"/>
  <c r="S1397" i="1"/>
  <c r="T1397" i="1"/>
  <c r="U1397" i="1"/>
  <c r="V1397" i="1"/>
  <c r="O1398" i="1"/>
  <c r="P1398" i="1"/>
  <c r="Q1398" i="1"/>
  <c r="R1398" i="1"/>
  <c r="S1398" i="1"/>
  <c r="T1398" i="1"/>
  <c r="U1398" i="1"/>
  <c r="V1398" i="1"/>
  <c r="O1399" i="1"/>
  <c r="P1399" i="1"/>
  <c r="Q1399" i="1"/>
  <c r="R1399" i="1"/>
  <c r="S1399" i="1"/>
  <c r="T1399" i="1"/>
  <c r="U1399" i="1"/>
  <c r="V1399" i="1"/>
  <c r="O1400" i="1"/>
  <c r="P1400" i="1"/>
  <c r="Q1400" i="1"/>
  <c r="R1400" i="1"/>
  <c r="S1400" i="1"/>
  <c r="T1400" i="1"/>
  <c r="U1400" i="1"/>
  <c r="V1400" i="1"/>
  <c r="O1401" i="1"/>
  <c r="P1401" i="1"/>
  <c r="Q1401" i="1"/>
  <c r="R1401" i="1"/>
  <c r="S1401" i="1"/>
  <c r="T1401" i="1"/>
  <c r="U1401" i="1"/>
  <c r="V1401" i="1"/>
  <c r="O1402" i="1"/>
  <c r="P1402" i="1"/>
  <c r="Q1402" i="1"/>
  <c r="R1402" i="1"/>
  <c r="S1402" i="1"/>
  <c r="T1402" i="1"/>
  <c r="U1402" i="1"/>
  <c r="V1402" i="1"/>
  <c r="O1403" i="1"/>
  <c r="P1403" i="1"/>
  <c r="Q1403" i="1"/>
  <c r="R1403" i="1"/>
  <c r="S1403" i="1"/>
  <c r="T1403" i="1"/>
  <c r="U1403" i="1"/>
  <c r="V1403" i="1"/>
  <c r="O1404" i="1"/>
  <c r="P1404" i="1"/>
  <c r="Q1404" i="1"/>
  <c r="R1404" i="1"/>
  <c r="S1404" i="1"/>
  <c r="T1404" i="1"/>
  <c r="U1404" i="1"/>
  <c r="V1404" i="1"/>
  <c r="O1405" i="1"/>
  <c r="P1405" i="1"/>
  <c r="Q1405" i="1"/>
  <c r="R1405" i="1"/>
  <c r="S1405" i="1"/>
  <c r="T1405" i="1"/>
  <c r="U1405" i="1"/>
  <c r="V1405" i="1"/>
  <c r="O1406" i="1"/>
  <c r="P1406" i="1"/>
  <c r="Q1406" i="1"/>
  <c r="R1406" i="1"/>
  <c r="S1406" i="1"/>
  <c r="T1406" i="1"/>
  <c r="U1406" i="1"/>
  <c r="V1406" i="1"/>
  <c r="O1407" i="1"/>
  <c r="P1407" i="1"/>
  <c r="Q1407" i="1"/>
  <c r="R1407" i="1"/>
  <c r="S1407" i="1"/>
  <c r="T1407" i="1"/>
  <c r="U1407" i="1"/>
  <c r="V1407" i="1"/>
  <c r="O1408" i="1"/>
  <c r="P1408" i="1"/>
  <c r="Q1408" i="1"/>
  <c r="R1408" i="1"/>
  <c r="S1408" i="1"/>
  <c r="T1408" i="1"/>
  <c r="U1408" i="1"/>
  <c r="V1408" i="1"/>
  <c r="O1409" i="1"/>
  <c r="P1409" i="1"/>
  <c r="Q1409" i="1"/>
  <c r="R1409" i="1"/>
  <c r="S1409" i="1"/>
  <c r="T1409" i="1"/>
  <c r="U1409" i="1"/>
  <c r="V1409" i="1"/>
  <c r="O1410" i="1"/>
  <c r="P1410" i="1"/>
  <c r="Q1410" i="1"/>
  <c r="R1410" i="1"/>
  <c r="S1410" i="1"/>
  <c r="T1410" i="1"/>
  <c r="U1410" i="1"/>
  <c r="V1410" i="1"/>
  <c r="O1411" i="1"/>
  <c r="P1411" i="1"/>
  <c r="Q1411" i="1"/>
  <c r="R1411" i="1"/>
  <c r="S1411" i="1"/>
  <c r="T1411" i="1"/>
  <c r="U1411" i="1"/>
  <c r="V1411" i="1"/>
  <c r="O1412" i="1"/>
  <c r="P1412" i="1"/>
  <c r="Q1412" i="1"/>
  <c r="R1412" i="1"/>
  <c r="S1412" i="1"/>
  <c r="T1412" i="1"/>
  <c r="U1412" i="1"/>
  <c r="V1412" i="1"/>
  <c r="O1413" i="1"/>
  <c r="P1413" i="1"/>
  <c r="Q1413" i="1"/>
  <c r="R1413" i="1"/>
  <c r="S1413" i="1"/>
  <c r="T1413" i="1"/>
  <c r="U1413" i="1"/>
  <c r="V1413" i="1"/>
  <c r="O1414" i="1"/>
  <c r="P1414" i="1"/>
  <c r="Q1414" i="1"/>
  <c r="R1414" i="1"/>
  <c r="S1414" i="1"/>
  <c r="T1414" i="1"/>
  <c r="U1414" i="1"/>
  <c r="V1414" i="1"/>
  <c r="O1415" i="1"/>
  <c r="P1415" i="1"/>
  <c r="Q1415" i="1"/>
  <c r="R1415" i="1"/>
  <c r="S1415" i="1"/>
  <c r="T1415" i="1"/>
  <c r="U1415" i="1"/>
  <c r="V1415" i="1"/>
  <c r="O1416" i="1"/>
  <c r="P1416" i="1"/>
  <c r="Q1416" i="1"/>
  <c r="R1416" i="1"/>
  <c r="S1416" i="1"/>
  <c r="T1416" i="1"/>
  <c r="U1416" i="1"/>
  <c r="V1416" i="1"/>
  <c r="O1417" i="1"/>
  <c r="P1417" i="1"/>
  <c r="Q1417" i="1"/>
  <c r="R1417" i="1"/>
  <c r="S1417" i="1"/>
  <c r="T1417" i="1"/>
  <c r="U1417" i="1"/>
  <c r="V1417" i="1"/>
  <c r="O1418" i="1"/>
  <c r="P1418" i="1"/>
  <c r="Q1418" i="1"/>
  <c r="R1418" i="1"/>
  <c r="S1418" i="1"/>
  <c r="T1418" i="1"/>
  <c r="U1418" i="1"/>
  <c r="V1418" i="1"/>
  <c r="O1419" i="1"/>
  <c r="P1419" i="1"/>
  <c r="Q1419" i="1"/>
  <c r="R1419" i="1"/>
  <c r="S1419" i="1"/>
  <c r="T1419" i="1"/>
  <c r="U1419" i="1"/>
  <c r="V1419" i="1"/>
  <c r="O1420" i="1"/>
  <c r="P1420" i="1"/>
  <c r="Q1420" i="1"/>
  <c r="R1420" i="1"/>
  <c r="S1420" i="1"/>
  <c r="T1420" i="1"/>
  <c r="U1420" i="1"/>
  <c r="V1420" i="1"/>
  <c r="O1421" i="1"/>
  <c r="P1421" i="1"/>
  <c r="Q1421" i="1"/>
  <c r="R1421" i="1"/>
  <c r="S1421" i="1"/>
  <c r="T1421" i="1"/>
  <c r="U1421" i="1"/>
  <c r="V1421" i="1"/>
  <c r="O1422" i="1"/>
  <c r="P1422" i="1"/>
  <c r="Q1422" i="1"/>
  <c r="R1422" i="1"/>
  <c r="S1422" i="1"/>
  <c r="T1422" i="1"/>
  <c r="U1422" i="1"/>
  <c r="V1422" i="1"/>
  <c r="O1423" i="1"/>
  <c r="P1423" i="1"/>
  <c r="Q1423" i="1"/>
  <c r="R1423" i="1"/>
  <c r="S1423" i="1"/>
  <c r="T1423" i="1"/>
  <c r="U1423" i="1"/>
  <c r="V1423" i="1"/>
  <c r="O1424" i="1"/>
  <c r="P1424" i="1"/>
  <c r="Q1424" i="1"/>
  <c r="R1424" i="1"/>
  <c r="S1424" i="1"/>
  <c r="T1424" i="1"/>
  <c r="U1424" i="1"/>
  <c r="V1424" i="1"/>
  <c r="O1425" i="1"/>
  <c r="P1425" i="1"/>
  <c r="Q1425" i="1"/>
  <c r="R1425" i="1"/>
  <c r="S1425" i="1"/>
  <c r="T1425" i="1"/>
  <c r="U1425" i="1"/>
  <c r="V1425" i="1"/>
  <c r="O1426" i="1"/>
  <c r="P1426" i="1"/>
  <c r="Q1426" i="1"/>
  <c r="R1426" i="1"/>
  <c r="S1426" i="1"/>
  <c r="T1426" i="1"/>
  <c r="U1426" i="1"/>
  <c r="V1426" i="1"/>
  <c r="O1427" i="1"/>
  <c r="P1427" i="1"/>
  <c r="Q1427" i="1"/>
  <c r="R1427" i="1"/>
  <c r="S1427" i="1"/>
  <c r="T1427" i="1"/>
  <c r="U1427" i="1"/>
  <c r="V1427" i="1"/>
  <c r="O1428" i="1"/>
  <c r="P1428" i="1"/>
  <c r="Q1428" i="1"/>
  <c r="R1428" i="1"/>
  <c r="S1428" i="1"/>
  <c r="T1428" i="1"/>
  <c r="U1428" i="1"/>
  <c r="V1428" i="1"/>
  <c r="O1429" i="1"/>
  <c r="P1429" i="1"/>
  <c r="Q1429" i="1"/>
  <c r="R1429" i="1"/>
  <c r="S1429" i="1"/>
  <c r="T1429" i="1"/>
  <c r="U1429" i="1"/>
  <c r="V1429" i="1"/>
  <c r="O1430" i="1"/>
  <c r="P1430" i="1"/>
  <c r="Q1430" i="1"/>
  <c r="R1430" i="1"/>
  <c r="S1430" i="1"/>
  <c r="T1430" i="1"/>
  <c r="U1430" i="1"/>
  <c r="V1430" i="1"/>
  <c r="O1431" i="1"/>
  <c r="P1431" i="1"/>
  <c r="Q1431" i="1"/>
  <c r="R1431" i="1"/>
  <c r="S1431" i="1"/>
  <c r="T1431" i="1"/>
  <c r="U1431" i="1"/>
  <c r="V1431" i="1"/>
  <c r="O1432" i="1"/>
  <c r="P1432" i="1"/>
  <c r="Q1432" i="1"/>
  <c r="R1432" i="1"/>
  <c r="S1432" i="1"/>
  <c r="T1432" i="1"/>
  <c r="U1432" i="1"/>
  <c r="V1432" i="1"/>
  <c r="O1433" i="1"/>
  <c r="P1433" i="1"/>
  <c r="Q1433" i="1"/>
  <c r="R1433" i="1"/>
  <c r="S1433" i="1"/>
  <c r="T1433" i="1"/>
  <c r="U1433" i="1"/>
  <c r="V1433" i="1"/>
  <c r="O1434" i="1"/>
  <c r="P1434" i="1"/>
  <c r="Q1434" i="1"/>
  <c r="R1434" i="1"/>
  <c r="S1434" i="1"/>
  <c r="T1434" i="1"/>
  <c r="U1434" i="1"/>
  <c r="V1434" i="1"/>
  <c r="O1435" i="1"/>
  <c r="P1435" i="1"/>
  <c r="Q1435" i="1"/>
  <c r="R1435" i="1"/>
  <c r="S1435" i="1"/>
  <c r="T1435" i="1"/>
  <c r="U1435" i="1"/>
  <c r="V1435" i="1"/>
  <c r="O1436" i="1"/>
  <c r="P1436" i="1"/>
  <c r="Q1436" i="1"/>
  <c r="R1436" i="1"/>
  <c r="S1436" i="1"/>
  <c r="T1436" i="1"/>
  <c r="U1436" i="1"/>
  <c r="V1436" i="1"/>
  <c r="O1437" i="1"/>
  <c r="P1437" i="1"/>
  <c r="Q1437" i="1"/>
  <c r="R1437" i="1"/>
  <c r="S1437" i="1"/>
  <c r="T1437" i="1"/>
  <c r="U1437" i="1"/>
  <c r="V1437" i="1"/>
  <c r="O1438" i="1"/>
  <c r="P1438" i="1"/>
  <c r="Q1438" i="1"/>
  <c r="R1438" i="1"/>
  <c r="S1438" i="1"/>
  <c r="T1438" i="1"/>
  <c r="U1438" i="1"/>
  <c r="V1438" i="1"/>
  <c r="O1439" i="1"/>
  <c r="P1439" i="1"/>
  <c r="Q1439" i="1"/>
  <c r="R1439" i="1"/>
  <c r="S1439" i="1"/>
  <c r="T1439" i="1"/>
  <c r="U1439" i="1"/>
  <c r="V1439" i="1"/>
  <c r="O1440" i="1"/>
  <c r="P1440" i="1"/>
  <c r="Q1440" i="1"/>
  <c r="R1440" i="1"/>
  <c r="S1440" i="1"/>
  <c r="T1440" i="1"/>
  <c r="U1440" i="1"/>
  <c r="V1440" i="1"/>
  <c r="O1441" i="1"/>
  <c r="P1441" i="1"/>
  <c r="Q1441" i="1"/>
  <c r="R1441" i="1"/>
  <c r="S1441" i="1"/>
  <c r="T1441" i="1"/>
  <c r="U1441" i="1"/>
  <c r="V1441" i="1"/>
  <c r="O1442" i="1"/>
  <c r="P1442" i="1"/>
  <c r="Q1442" i="1"/>
  <c r="R1442" i="1"/>
  <c r="S1442" i="1"/>
  <c r="T1442" i="1"/>
  <c r="U1442" i="1"/>
  <c r="V1442" i="1"/>
  <c r="O1443" i="1"/>
  <c r="P1443" i="1"/>
  <c r="Q1443" i="1"/>
  <c r="R1443" i="1"/>
  <c r="S1443" i="1"/>
  <c r="T1443" i="1"/>
  <c r="U1443" i="1"/>
  <c r="V1443" i="1"/>
  <c r="O1444" i="1"/>
  <c r="P1444" i="1"/>
  <c r="Q1444" i="1"/>
  <c r="R1444" i="1"/>
  <c r="S1444" i="1"/>
  <c r="T1444" i="1"/>
  <c r="U1444" i="1"/>
  <c r="V1444" i="1"/>
  <c r="O1445" i="1"/>
  <c r="P1445" i="1"/>
  <c r="Q1445" i="1"/>
  <c r="R1445" i="1"/>
  <c r="S1445" i="1"/>
  <c r="T1445" i="1"/>
  <c r="U1445" i="1"/>
  <c r="V1445" i="1"/>
  <c r="O1446" i="1"/>
  <c r="P1446" i="1"/>
  <c r="Q1446" i="1"/>
  <c r="R1446" i="1"/>
  <c r="S1446" i="1"/>
  <c r="T1446" i="1"/>
  <c r="U1446" i="1"/>
  <c r="V1446" i="1"/>
  <c r="O1447" i="1"/>
  <c r="P1447" i="1"/>
  <c r="Q1447" i="1"/>
  <c r="R1447" i="1"/>
  <c r="S1447" i="1"/>
  <c r="T1447" i="1"/>
  <c r="U1447" i="1"/>
  <c r="V1447" i="1"/>
  <c r="O1448" i="1"/>
  <c r="P1448" i="1"/>
  <c r="Q1448" i="1"/>
  <c r="R1448" i="1"/>
  <c r="S1448" i="1"/>
  <c r="T1448" i="1"/>
  <c r="U1448" i="1"/>
  <c r="V1448" i="1"/>
  <c r="O1449" i="1"/>
  <c r="P1449" i="1"/>
  <c r="Q1449" i="1"/>
  <c r="R1449" i="1"/>
  <c r="S1449" i="1"/>
  <c r="T1449" i="1"/>
  <c r="U1449" i="1"/>
  <c r="V1449" i="1"/>
  <c r="O1450" i="1"/>
  <c r="P1450" i="1"/>
  <c r="Q1450" i="1"/>
  <c r="R1450" i="1"/>
  <c r="S1450" i="1"/>
  <c r="T1450" i="1"/>
  <c r="U1450" i="1"/>
  <c r="V1450" i="1"/>
  <c r="O1451" i="1"/>
  <c r="P1451" i="1"/>
  <c r="Q1451" i="1"/>
  <c r="R1451" i="1"/>
  <c r="S1451" i="1"/>
  <c r="T1451" i="1"/>
  <c r="U1451" i="1"/>
  <c r="V1451" i="1"/>
  <c r="O1452" i="1"/>
  <c r="P1452" i="1"/>
  <c r="Q1452" i="1"/>
  <c r="R1452" i="1"/>
  <c r="S1452" i="1"/>
  <c r="T1452" i="1"/>
  <c r="U1452" i="1"/>
  <c r="V1452" i="1"/>
  <c r="O1453" i="1"/>
  <c r="P1453" i="1"/>
  <c r="Q1453" i="1"/>
  <c r="R1453" i="1"/>
  <c r="S1453" i="1"/>
  <c r="T1453" i="1"/>
  <c r="U1453" i="1"/>
  <c r="V1453" i="1"/>
  <c r="O1454" i="1"/>
  <c r="P1454" i="1"/>
  <c r="Q1454" i="1"/>
  <c r="R1454" i="1"/>
  <c r="S1454" i="1"/>
  <c r="T1454" i="1"/>
  <c r="U1454" i="1"/>
  <c r="V1454" i="1"/>
  <c r="O1455" i="1"/>
  <c r="P1455" i="1"/>
  <c r="Q1455" i="1"/>
  <c r="R1455" i="1"/>
  <c r="S1455" i="1"/>
  <c r="T1455" i="1"/>
  <c r="U1455" i="1"/>
  <c r="V1455" i="1"/>
  <c r="O1456" i="1"/>
  <c r="P1456" i="1"/>
  <c r="Q1456" i="1"/>
  <c r="R1456" i="1"/>
  <c r="S1456" i="1"/>
  <c r="T1456" i="1"/>
  <c r="U1456" i="1"/>
  <c r="V1456" i="1"/>
  <c r="O1457" i="1"/>
  <c r="P1457" i="1"/>
  <c r="Q1457" i="1"/>
  <c r="R1457" i="1"/>
  <c r="S1457" i="1"/>
  <c r="T1457" i="1"/>
  <c r="U1457" i="1"/>
  <c r="V1457" i="1"/>
  <c r="O1458" i="1"/>
  <c r="P1458" i="1"/>
  <c r="Q1458" i="1"/>
  <c r="R1458" i="1"/>
  <c r="S1458" i="1"/>
  <c r="T1458" i="1"/>
  <c r="U1458" i="1"/>
  <c r="V1458" i="1"/>
  <c r="O1459" i="1"/>
  <c r="P1459" i="1"/>
  <c r="Q1459" i="1"/>
  <c r="R1459" i="1"/>
  <c r="S1459" i="1"/>
  <c r="T1459" i="1"/>
  <c r="U1459" i="1"/>
  <c r="V1459" i="1"/>
  <c r="O1460" i="1"/>
  <c r="P1460" i="1"/>
  <c r="Q1460" i="1"/>
  <c r="R1460" i="1"/>
  <c r="S1460" i="1"/>
  <c r="T1460" i="1"/>
  <c r="U1460" i="1"/>
  <c r="V1460" i="1"/>
  <c r="O1461" i="1"/>
  <c r="P1461" i="1"/>
  <c r="Q1461" i="1"/>
  <c r="R1461" i="1"/>
  <c r="S1461" i="1"/>
  <c r="T1461" i="1"/>
  <c r="U1461" i="1"/>
  <c r="V1461" i="1"/>
  <c r="O1462" i="1"/>
  <c r="P1462" i="1"/>
  <c r="Q1462" i="1"/>
  <c r="R1462" i="1"/>
  <c r="S1462" i="1"/>
  <c r="T1462" i="1"/>
  <c r="U1462" i="1"/>
  <c r="V1462" i="1"/>
  <c r="O1463" i="1"/>
  <c r="P1463" i="1"/>
  <c r="Q1463" i="1"/>
  <c r="R1463" i="1"/>
  <c r="S1463" i="1"/>
  <c r="T1463" i="1"/>
  <c r="U1463" i="1"/>
  <c r="V1463" i="1"/>
  <c r="O1464" i="1"/>
  <c r="P1464" i="1"/>
  <c r="Q1464" i="1"/>
  <c r="R1464" i="1"/>
  <c r="S1464" i="1"/>
  <c r="T1464" i="1"/>
  <c r="U1464" i="1"/>
  <c r="V1464" i="1"/>
  <c r="O1465" i="1"/>
  <c r="P1465" i="1"/>
  <c r="Q1465" i="1"/>
  <c r="R1465" i="1"/>
  <c r="S1465" i="1"/>
  <c r="T1465" i="1"/>
  <c r="U1465" i="1"/>
  <c r="V1465" i="1"/>
  <c r="O1466" i="1"/>
  <c r="P1466" i="1"/>
  <c r="Q1466" i="1"/>
  <c r="R1466" i="1"/>
  <c r="S1466" i="1"/>
  <c r="T1466" i="1"/>
  <c r="U1466" i="1"/>
  <c r="V1466" i="1"/>
  <c r="O1467" i="1"/>
  <c r="P1467" i="1"/>
  <c r="Q1467" i="1"/>
  <c r="R1467" i="1"/>
  <c r="S1467" i="1"/>
  <c r="T1467" i="1"/>
  <c r="U1467" i="1"/>
  <c r="V1467" i="1"/>
  <c r="O1468" i="1"/>
  <c r="P1468" i="1"/>
  <c r="Q1468" i="1"/>
  <c r="R1468" i="1"/>
  <c r="S1468" i="1"/>
  <c r="T1468" i="1"/>
  <c r="U1468" i="1"/>
  <c r="V1468" i="1"/>
  <c r="O1469" i="1"/>
  <c r="P1469" i="1"/>
  <c r="Q1469" i="1"/>
  <c r="R1469" i="1"/>
  <c r="S1469" i="1"/>
  <c r="T1469" i="1"/>
  <c r="U1469" i="1"/>
  <c r="V1469" i="1"/>
  <c r="O1470" i="1"/>
  <c r="P1470" i="1"/>
  <c r="Q1470" i="1"/>
  <c r="R1470" i="1"/>
  <c r="S1470" i="1"/>
  <c r="T1470" i="1"/>
  <c r="U1470" i="1"/>
  <c r="V1470" i="1"/>
  <c r="O1471" i="1"/>
  <c r="P1471" i="1"/>
  <c r="Q1471" i="1"/>
  <c r="R1471" i="1"/>
  <c r="S1471" i="1"/>
  <c r="T1471" i="1"/>
  <c r="U1471" i="1"/>
  <c r="V1471" i="1"/>
  <c r="O1472" i="1"/>
  <c r="P1472" i="1"/>
  <c r="Q1472" i="1"/>
  <c r="R1472" i="1"/>
  <c r="S1472" i="1"/>
  <c r="T1472" i="1"/>
  <c r="U1472" i="1"/>
  <c r="V1472" i="1"/>
  <c r="O1473" i="1"/>
  <c r="P1473" i="1"/>
  <c r="Q1473" i="1"/>
  <c r="R1473" i="1"/>
  <c r="S1473" i="1"/>
  <c r="T1473" i="1"/>
  <c r="U1473" i="1"/>
  <c r="V1473" i="1"/>
  <c r="O1474" i="1"/>
  <c r="P1474" i="1"/>
  <c r="Q1474" i="1"/>
  <c r="R1474" i="1"/>
  <c r="S1474" i="1"/>
  <c r="T1474" i="1"/>
  <c r="U1474" i="1"/>
  <c r="V1474" i="1"/>
  <c r="O1475" i="1"/>
  <c r="P1475" i="1"/>
  <c r="Q1475" i="1"/>
  <c r="R1475" i="1"/>
  <c r="S1475" i="1"/>
  <c r="T1475" i="1"/>
  <c r="U1475" i="1"/>
  <c r="V1475" i="1"/>
  <c r="O1476" i="1"/>
  <c r="P1476" i="1"/>
  <c r="Q1476" i="1"/>
  <c r="R1476" i="1"/>
  <c r="S1476" i="1"/>
  <c r="T1476" i="1"/>
  <c r="U1476" i="1"/>
  <c r="V1476" i="1"/>
  <c r="O1477" i="1"/>
  <c r="P1477" i="1"/>
  <c r="Q1477" i="1"/>
  <c r="R1477" i="1"/>
  <c r="S1477" i="1"/>
  <c r="T1477" i="1"/>
  <c r="U1477" i="1"/>
  <c r="V1477" i="1"/>
  <c r="O1478" i="1"/>
  <c r="P1478" i="1"/>
  <c r="Q1478" i="1"/>
  <c r="R1478" i="1"/>
  <c r="S1478" i="1"/>
  <c r="T1478" i="1"/>
  <c r="U1478" i="1"/>
  <c r="V1478" i="1"/>
  <c r="O1479" i="1"/>
  <c r="P1479" i="1"/>
  <c r="Q1479" i="1"/>
  <c r="R1479" i="1"/>
  <c r="S1479" i="1"/>
  <c r="T1479" i="1"/>
  <c r="U1479" i="1"/>
  <c r="V1479" i="1"/>
  <c r="O1480" i="1"/>
  <c r="P1480" i="1"/>
  <c r="Q1480" i="1"/>
  <c r="R1480" i="1"/>
  <c r="S1480" i="1"/>
  <c r="T1480" i="1"/>
  <c r="U1480" i="1"/>
  <c r="V1480" i="1"/>
  <c r="O1481" i="1"/>
  <c r="P1481" i="1"/>
  <c r="Q1481" i="1"/>
  <c r="R1481" i="1"/>
  <c r="S1481" i="1"/>
  <c r="T1481" i="1"/>
  <c r="U1481" i="1"/>
  <c r="V1481" i="1"/>
  <c r="O1482" i="1"/>
  <c r="P1482" i="1"/>
  <c r="Q1482" i="1"/>
  <c r="R1482" i="1"/>
  <c r="S1482" i="1"/>
  <c r="T1482" i="1"/>
  <c r="U1482" i="1"/>
  <c r="V1482" i="1"/>
  <c r="O1483" i="1"/>
  <c r="P1483" i="1"/>
  <c r="Q1483" i="1"/>
  <c r="R1483" i="1"/>
  <c r="S1483" i="1"/>
  <c r="T1483" i="1"/>
  <c r="U1483" i="1"/>
  <c r="V1483" i="1"/>
  <c r="O1484" i="1"/>
  <c r="P1484" i="1"/>
  <c r="Q1484" i="1"/>
  <c r="R1484" i="1"/>
  <c r="S1484" i="1"/>
  <c r="T1484" i="1"/>
  <c r="U1484" i="1"/>
  <c r="V1484" i="1"/>
  <c r="O1485" i="1"/>
  <c r="P1485" i="1"/>
  <c r="Q1485" i="1"/>
  <c r="R1485" i="1"/>
  <c r="S1485" i="1"/>
  <c r="T1485" i="1"/>
  <c r="U1485" i="1"/>
  <c r="V1485" i="1"/>
  <c r="O1486" i="1"/>
  <c r="P1486" i="1"/>
  <c r="Q1486" i="1"/>
  <c r="R1486" i="1"/>
  <c r="S1486" i="1"/>
  <c r="T1486" i="1"/>
  <c r="U1486" i="1"/>
  <c r="V1486" i="1"/>
  <c r="O1487" i="1"/>
  <c r="P1487" i="1"/>
  <c r="Q1487" i="1"/>
  <c r="R1487" i="1"/>
  <c r="S1487" i="1"/>
  <c r="T1487" i="1"/>
  <c r="U1487" i="1"/>
  <c r="V1487" i="1"/>
  <c r="O1488" i="1"/>
  <c r="P1488" i="1"/>
  <c r="Q1488" i="1"/>
  <c r="R1488" i="1"/>
  <c r="S1488" i="1"/>
  <c r="T1488" i="1"/>
  <c r="U1488" i="1"/>
  <c r="V1488" i="1"/>
  <c r="O1489" i="1"/>
  <c r="P1489" i="1"/>
  <c r="Q1489" i="1"/>
  <c r="R1489" i="1"/>
  <c r="S1489" i="1"/>
  <c r="T1489" i="1"/>
  <c r="U1489" i="1"/>
  <c r="V1489" i="1"/>
  <c r="O1490" i="1"/>
  <c r="P1490" i="1"/>
  <c r="Q1490" i="1"/>
  <c r="R1490" i="1"/>
  <c r="S1490" i="1"/>
  <c r="T1490" i="1"/>
  <c r="U1490" i="1"/>
  <c r="V1490" i="1"/>
  <c r="O1491" i="1"/>
  <c r="P1491" i="1"/>
  <c r="Q1491" i="1"/>
  <c r="R1491" i="1"/>
  <c r="S1491" i="1"/>
  <c r="T1491" i="1"/>
  <c r="U1491" i="1"/>
  <c r="V1491" i="1"/>
  <c r="O1492" i="1"/>
  <c r="P1492" i="1"/>
  <c r="Q1492" i="1"/>
  <c r="R1492" i="1"/>
  <c r="S1492" i="1"/>
  <c r="T1492" i="1"/>
  <c r="U1492" i="1"/>
  <c r="V1492" i="1"/>
  <c r="O1493" i="1"/>
  <c r="P1493" i="1"/>
  <c r="Q1493" i="1"/>
  <c r="R1493" i="1"/>
  <c r="S1493" i="1"/>
  <c r="T1493" i="1"/>
  <c r="U1493" i="1"/>
  <c r="V1493" i="1"/>
  <c r="O1494" i="1"/>
  <c r="P1494" i="1"/>
  <c r="Q1494" i="1"/>
  <c r="R1494" i="1"/>
  <c r="S1494" i="1"/>
  <c r="T1494" i="1"/>
  <c r="U1494" i="1"/>
  <c r="V1494" i="1"/>
  <c r="O1495" i="1"/>
  <c r="P1495" i="1"/>
  <c r="Q1495" i="1"/>
  <c r="R1495" i="1"/>
  <c r="S1495" i="1"/>
  <c r="T1495" i="1"/>
  <c r="U1495" i="1"/>
  <c r="V1495" i="1"/>
  <c r="O1496" i="1"/>
  <c r="P1496" i="1"/>
  <c r="Q1496" i="1"/>
  <c r="R1496" i="1"/>
  <c r="S1496" i="1"/>
  <c r="T1496" i="1"/>
  <c r="U1496" i="1"/>
  <c r="V1496" i="1"/>
  <c r="O1497" i="1"/>
  <c r="P1497" i="1"/>
  <c r="Q1497" i="1"/>
  <c r="R1497" i="1"/>
  <c r="S1497" i="1"/>
  <c r="T1497" i="1"/>
  <c r="U1497" i="1"/>
  <c r="V1497" i="1"/>
  <c r="O1498" i="1"/>
  <c r="P1498" i="1"/>
  <c r="Q1498" i="1"/>
  <c r="R1498" i="1"/>
  <c r="S1498" i="1"/>
  <c r="T1498" i="1"/>
  <c r="U1498" i="1"/>
  <c r="V1498" i="1"/>
  <c r="O1499" i="1"/>
  <c r="P1499" i="1"/>
  <c r="Q1499" i="1"/>
  <c r="R1499" i="1"/>
  <c r="S1499" i="1"/>
  <c r="T1499" i="1"/>
  <c r="U1499" i="1"/>
  <c r="V1499" i="1"/>
  <c r="O1500" i="1"/>
  <c r="P1500" i="1"/>
  <c r="Q1500" i="1"/>
  <c r="R1500" i="1"/>
  <c r="S1500" i="1"/>
  <c r="T1500" i="1"/>
  <c r="U1500" i="1"/>
  <c r="V1500" i="1"/>
  <c r="O1501" i="1"/>
  <c r="P1501" i="1"/>
  <c r="Q1501" i="1"/>
  <c r="R1501" i="1"/>
  <c r="S1501" i="1"/>
  <c r="T1501" i="1"/>
  <c r="U1501" i="1"/>
  <c r="V1501" i="1"/>
  <c r="O1502" i="1"/>
  <c r="P1502" i="1"/>
  <c r="Q1502" i="1"/>
  <c r="R1502" i="1"/>
  <c r="S1502" i="1"/>
  <c r="T1502" i="1"/>
  <c r="U1502" i="1"/>
  <c r="V1502" i="1"/>
  <c r="O1503" i="1"/>
  <c r="P1503" i="1"/>
  <c r="Q1503" i="1"/>
  <c r="R1503" i="1"/>
  <c r="S1503" i="1"/>
  <c r="T1503" i="1"/>
  <c r="U1503" i="1"/>
  <c r="V1503" i="1"/>
  <c r="O1504" i="1"/>
  <c r="P1504" i="1"/>
  <c r="Q1504" i="1"/>
  <c r="R1504" i="1"/>
  <c r="S1504" i="1"/>
  <c r="T1504" i="1"/>
  <c r="U1504" i="1"/>
  <c r="V1504" i="1"/>
  <c r="O1505" i="1"/>
  <c r="P1505" i="1"/>
  <c r="Q1505" i="1"/>
  <c r="R1505" i="1"/>
  <c r="S1505" i="1"/>
  <c r="T1505" i="1"/>
  <c r="U1505" i="1"/>
  <c r="V1505" i="1"/>
  <c r="O1506" i="1"/>
  <c r="P1506" i="1"/>
  <c r="Q1506" i="1"/>
  <c r="R1506" i="1"/>
  <c r="S1506" i="1"/>
  <c r="T1506" i="1"/>
  <c r="U1506" i="1"/>
  <c r="V1506" i="1"/>
  <c r="O1507" i="1"/>
  <c r="P1507" i="1"/>
  <c r="Q1507" i="1"/>
  <c r="R1507" i="1"/>
  <c r="S1507" i="1"/>
  <c r="T1507" i="1"/>
  <c r="U1507" i="1"/>
  <c r="V1507" i="1"/>
  <c r="O1508" i="1"/>
  <c r="P1508" i="1"/>
  <c r="Q1508" i="1"/>
  <c r="R1508" i="1"/>
  <c r="S1508" i="1"/>
  <c r="T1508" i="1"/>
  <c r="U1508" i="1"/>
  <c r="V1508" i="1"/>
  <c r="O1509" i="1"/>
  <c r="P1509" i="1"/>
  <c r="Q1509" i="1"/>
  <c r="R1509" i="1"/>
  <c r="S1509" i="1"/>
  <c r="T1509" i="1"/>
  <c r="U1509" i="1"/>
  <c r="V1509" i="1"/>
  <c r="O1510" i="1"/>
  <c r="P1510" i="1"/>
  <c r="Q1510" i="1"/>
  <c r="R1510" i="1"/>
  <c r="S1510" i="1"/>
  <c r="T1510" i="1"/>
  <c r="U1510" i="1"/>
  <c r="V1510" i="1"/>
  <c r="O1511" i="1"/>
  <c r="P1511" i="1"/>
  <c r="Q1511" i="1"/>
  <c r="R1511" i="1"/>
  <c r="S1511" i="1"/>
  <c r="T1511" i="1"/>
  <c r="U1511" i="1"/>
  <c r="V1511" i="1"/>
  <c r="O1512" i="1"/>
  <c r="P1512" i="1"/>
  <c r="Q1512" i="1"/>
  <c r="R1512" i="1"/>
  <c r="S1512" i="1"/>
  <c r="T1512" i="1"/>
  <c r="U1512" i="1"/>
  <c r="V1512" i="1"/>
  <c r="O1513" i="1"/>
  <c r="P1513" i="1"/>
  <c r="Q1513" i="1"/>
  <c r="R1513" i="1"/>
  <c r="S1513" i="1"/>
  <c r="T1513" i="1"/>
  <c r="U1513" i="1"/>
  <c r="V1513" i="1"/>
  <c r="O1514" i="1"/>
  <c r="P1514" i="1"/>
  <c r="Q1514" i="1"/>
  <c r="R1514" i="1"/>
  <c r="S1514" i="1"/>
  <c r="T1514" i="1"/>
  <c r="U1514" i="1"/>
  <c r="V1514" i="1"/>
  <c r="O1515" i="1"/>
  <c r="P1515" i="1"/>
  <c r="Q1515" i="1"/>
  <c r="R1515" i="1"/>
  <c r="S1515" i="1"/>
  <c r="T1515" i="1"/>
  <c r="U1515" i="1"/>
  <c r="V1515" i="1"/>
  <c r="O1516" i="1"/>
  <c r="P1516" i="1"/>
  <c r="Q1516" i="1"/>
  <c r="R1516" i="1"/>
  <c r="S1516" i="1"/>
  <c r="T1516" i="1"/>
  <c r="U1516" i="1"/>
  <c r="V1516" i="1"/>
  <c r="O1517" i="1"/>
  <c r="P1517" i="1"/>
  <c r="Q1517" i="1"/>
  <c r="R1517" i="1"/>
  <c r="S1517" i="1"/>
  <c r="T1517" i="1"/>
  <c r="U1517" i="1"/>
  <c r="V1517" i="1"/>
  <c r="O1518" i="1"/>
  <c r="P1518" i="1"/>
  <c r="Q1518" i="1"/>
  <c r="R1518" i="1"/>
  <c r="S1518" i="1"/>
  <c r="T1518" i="1"/>
  <c r="U1518" i="1"/>
  <c r="V1518" i="1"/>
  <c r="O1519" i="1"/>
  <c r="P1519" i="1"/>
  <c r="Q1519" i="1"/>
  <c r="R1519" i="1"/>
  <c r="S1519" i="1"/>
  <c r="T1519" i="1"/>
  <c r="U1519" i="1"/>
  <c r="V1519" i="1"/>
  <c r="O1520" i="1"/>
  <c r="P1520" i="1"/>
  <c r="Q1520" i="1"/>
  <c r="R1520" i="1"/>
  <c r="S1520" i="1"/>
  <c r="T1520" i="1"/>
  <c r="U1520" i="1"/>
  <c r="V1520" i="1"/>
  <c r="O1521" i="1"/>
  <c r="P1521" i="1"/>
  <c r="Q1521" i="1"/>
  <c r="R1521" i="1"/>
  <c r="S1521" i="1"/>
  <c r="T1521" i="1"/>
  <c r="U1521" i="1"/>
  <c r="V1521" i="1"/>
  <c r="O1522" i="1"/>
  <c r="P1522" i="1"/>
  <c r="Q1522" i="1"/>
  <c r="R1522" i="1"/>
  <c r="S1522" i="1"/>
  <c r="T1522" i="1"/>
  <c r="U1522" i="1"/>
  <c r="V1522" i="1"/>
  <c r="O1523" i="1"/>
  <c r="P1523" i="1"/>
  <c r="Q1523" i="1"/>
  <c r="R1523" i="1"/>
  <c r="S1523" i="1"/>
  <c r="T1523" i="1"/>
  <c r="U1523" i="1"/>
  <c r="V1523" i="1"/>
  <c r="O1524" i="1"/>
  <c r="P1524" i="1"/>
  <c r="Q1524" i="1"/>
  <c r="R1524" i="1"/>
  <c r="S1524" i="1"/>
  <c r="T1524" i="1"/>
  <c r="U1524" i="1"/>
  <c r="V1524" i="1"/>
  <c r="O1525" i="1"/>
  <c r="P1525" i="1"/>
  <c r="Q1525" i="1"/>
  <c r="R1525" i="1"/>
  <c r="S1525" i="1"/>
  <c r="T1525" i="1"/>
  <c r="U1525" i="1"/>
  <c r="V1525" i="1"/>
  <c r="O1526" i="1"/>
  <c r="P1526" i="1"/>
  <c r="Q1526" i="1"/>
  <c r="R1526" i="1"/>
  <c r="S1526" i="1"/>
  <c r="T1526" i="1"/>
  <c r="U1526" i="1"/>
  <c r="V1526" i="1"/>
  <c r="O1527" i="1"/>
  <c r="P1527" i="1"/>
  <c r="Q1527" i="1"/>
  <c r="R1527" i="1"/>
  <c r="S1527" i="1"/>
  <c r="T1527" i="1"/>
  <c r="U1527" i="1"/>
  <c r="V1527" i="1"/>
  <c r="O1528" i="1"/>
  <c r="P1528" i="1"/>
  <c r="Q1528" i="1"/>
  <c r="R1528" i="1"/>
  <c r="S1528" i="1"/>
  <c r="T1528" i="1"/>
  <c r="U1528" i="1"/>
  <c r="V1528" i="1"/>
  <c r="O1529" i="1"/>
  <c r="P1529" i="1"/>
  <c r="Q1529" i="1"/>
  <c r="R1529" i="1"/>
  <c r="S1529" i="1"/>
  <c r="T1529" i="1"/>
  <c r="U1529" i="1"/>
  <c r="V1529" i="1"/>
  <c r="O1530" i="1"/>
  <c r="P1530" i="1"/>
  <c r="Q1530" i="1"/>
  <c r="R1530" i="1"/>
  <c r="S1530" i="1"/>
  <c r="T1530" i="1"/>
  <c r="U1530" i="1"/>
  <c r="V1530" i="1"/>
  <c r="O1531" i="1"/>
  <c r="P1531" i="1"/>
  <c r="Q1531" i="1"/>
  <c r="R1531" i="1"/>
  <c r="S1531" i="1"/>
  <c r="T1531" i="1"/>
  <c r="U1531" i="1"/>
  <c r="V1531" i="1"/>
  <c r="O1532" i="1"/>
  <c r="P1532" i="1"/>
  <c r="Q1532" i="1"/>
  <c r="R1532" i="1"/>
  <c r="S1532" i="1"/>
  <c r="T1532" i="1"/>
  <c r="U1532" i="1"/>
  <c r="V1532" i="1"/>
  <c r="O1533" i="1"/>
  <c r="P1533" i="1"/>
  <c r="Q1533" i="1"/>
  <c r="R1533" i="1"/>
  <c r="S1533" i="1"/>
  <c r="T1533" i="1"/>
  <c r="U1533" i="1"/>
  <c r="V1533" i="1"/>
  <c r="O1534" i="1"/>
  <c r="P1534" i="1"/>
  <c r="Q1534" i="1"/>
  <c r="R1534" i="1"/>
  <c r="S1534" i="1"/>
  <c r="T1534" i="1"/>
  <c r="U1534" i="1"/>
  <c r="V1534" i="1"/>
  <c r="O1535" i="1"/>
  <c r="P1535" i="1"/>
  <c r="Q1535" i="1"/>
  <c r="R1535" i="1"/>
  <c r="S1535" i="1"/>
  <c r="T1535" i="1"/>
  <c r="U1535" i="1"/>
  <c r="V1535" i="1"/>
  <c r="O1536" i="1"/>
  <c r="P1536" i="1"/>
  <c r="Q1536" i="1"/>
  <c r="R1536" i="1"/>
  <c r="S1536" i="1"/>
  <c r="T1536" i="1"/>
  <c r="U1536" i="1"/>
  <c r="V1536" i="1"/>
  <c r="O1537" i="1"/>
  <c r="P1537" i="1"/>
  <c r="Q1537" i="1"/>
  <c r="R1537" i="1"/>
  <c r="S1537" i="1"/>
  <c r="T1537" i="1"/>
  <c r="U1537" i="1"/>
  <c r="V1537" i="1"/>
  <c r="O1538" i="1"/>
  <c r="P1538" i="1"/>
  <c r="Q1538" i="1"/>
  <c r="R1538" i="1"/>
  <c r="S1538" i="1"/>
  <c r="T1538" i="1"/>
  <c r="U1538" i="1"/>
  <c r="V1538" i="1"/>
  <c r="O1539" i="1"/>
  <c r="P1539" i="1"/>
  <c r="Q1539" i="1"/>
  <c r="R1539" i="1"/>
  <c r="S1539" i="1"/>
  <c r="T1539" i="1"/>
  <c r="U1539" i="1"/>
  <c r="V1539" i="1"/>
  <c r="O1540" i="1"/>
  <c r="P1540" i="1"/>
  <c r="Q1540" i="1"/>
  <c r="R1540" i="1"/>
  <c r="S1540" i="1"/>
  <c r="T1540" i="1"/>
  <c r="U1540" i="1"/>
  <c r="V1540" i="1"/>
  <c r="O1541" i="1"/>
  <c r="P1541" i="1"/>
  <c r="Q1541" i="1"/>
  <c r="R1541" i="1"/>
  <c r="S1541" i="1"/>
  <c r="T1541" i="1"/>
  <c r="U1541" i="1"/>
  <c r="V1541" i="1"/>
  <c r="O1542" i="1"/>
  <c r="P1542" i="1"/>
  <c r="Q1542" i="1"/>
  <c r="R1542" i="1"/>
  <c r="S1542" i="1"/>
  <c r="T1542" i="1"/>
  <c r="U1542" i="1"/>
  <c r="V1542" i="1"/>
  <c r="O1543" i="1"/>
  <c r="P1543" i="1"/>
  <c r="Q1543" i="1"/>
  <c r="R1543" i="1"/>
  <c r="S1543" i="1"/>
  <c r="T1543" i="1"/>
  <c r="U1543" i="1"/>
  <c r="V1543" i="1"/>
  <c r="O1544" i="1"/>
  <c r="P1544" i="1"/>
  <c r="Q1544" i="1"/>
  <c r="R1544" i="1"/>
  <c r="S1544" i="1"/>
  <c r="T1544" i="1"/>
  <c r="U1544" i="1"/>
  <c r="V1544" i="1"/>
  <c r="O1545" i="1"/>
  <c r="P1545" i="1"/>
  <c r="Q1545" i="1"/>
  <c r="R1545" i="1"/>
  <c r="S1545" i="1"/>
  <c r="T1545" i="1"/>
  <c r="U1545" i="1"/>
  <c r="V1545" i="1"/>
  <c r="O1546" i="1"/>
  <c r="P1546" i="1"/>
  <c r="Q1546" i="1"/>
  <c r="R1546" i="1"/>
  <c r="S1546" i="1"/>
  <c r="T1546" i="1"/>
  <c r="U1546" i="1"/>
  <c r="V1546" i="1"/>
  <c r="O1547" i="1"/>
  <c r="P1547" i="1"/>
  <c r="Q1547" i="1"/>
  <c r="R1547" i="1"/>
  <c r="S1547" i="1"/>
  <c r="T1547" i="1"/>
  <c r="U1547" i="1"/>
  <c r="V1547" i="1"/>
  <c r="O1548" i="1"/>
  <c r="P1548" i="1"/>
  <c r="Q1548" i="1"/>
  <c r="R1548" i="1"/>
  <c r="S1548" i="1"/>
  <c r="T1548" i="1"/>
  <c r="U1548" i="1"/>
  <c r="V1548" i="1"/>
  <c r="O1549" i="1"/>
  <c r="P1549" i="1"/>
  <c r="Q1549" i="1"/>
  <c r="R1549" i="1"/>
  <c r="S1549" i="1"/>
  <c r="T1549" i="1"/>
  <c r="U1549" i="1"/>
  <c r="V1549" i="1"/>
  <c r="O1550" i="1"/>
  <c r="P1550" i="1"/>
  <c r="Q1550" i="1"/>
  <c r="R1550" i="1"/>
  <c r="S1550" i="1"/>
  <c r="T1550" i="1"/>
  <c r="U1550" i="1"/>
  <c r="V1550" i="1"/>
  <c r="O1551" i="1"/>
  <c r="P1551" i="1"/>
  <c r="Q1551" i="1"/>
  <c r="R1551" i="1"/>
  <c r="S1551" i="1"/>
  <c r="T1551" i="1"/>
  <c r="U1551" i="1"/>
  <c r="V1551" i="1"/>
  <c r="O1552" i="1"/>
  <c r="P1552" i="1"/>
  <c r="Q1552" i="1"/>
  <c r="R1552" i="1"/>
  <c r="S1552" i="1"/>
  <c r="T1552" i="1"/>
  <c r="U1552" i="1"/>
  <c r="V1552" i="1"/>
  <c r="O1553" i="1"/>
  <c r="P1553" i="1"/>
  <c r="Q1553" i="1"/>
  <c r="R1553" i="1"/>
  <c r="S1553" i="1"/>
  <c r="T1553" i="1"/>
  <c r="U1553" i="1"/>
  <c r="V1553" i="1"/>
  <c r="O1554" i="1"/>
  <c r="P1554" i="1"/>
  <c r="Q1554" i="1"/>
  <c r="R1554" i="1"/>
  <c r="S1554" i="1"/>
  <c r="T1554" i="1"/>
  <c r="U1554" i="1"/>
  <c r="V1554" i="1"/>
  <c r="O1555" i="1"/>
  <c r="P1555" i="1"/>
  <c r="Q1555" i="1"/>
  <c r="R1555" i="1"/>
  <c r="S1555" i="1"/>
  <c r="T1555" i="1"/>
  <c r="U1555" i="1"/>
  <c r="V1555" i="1"/>
  <c r="O1556" i="1"/>
  <c r="P1556" i="1"/>
  <c r="Q1556" i="1"/>
  <c r="R1556" i="1"/>
  <c r="S1556" i="1"/>
  <c r="T1556" i="1"/>
  <c r="U1556" i="1"/>
  <c r="V1556" i="1"/>
  <c r="O1557" i="1"/>
  <c r="P1557" i="1"/>
  <c r="Q1557" i="1"/>
  <c r="R1557" i="1"/>
  <c r="S1557" i="1"/>
  <c r="T1557" i="1"/>
  <c r="U1557" i="1"/>
  <c r="V1557" i="1"/>
  <c r="O1558" i="1"/>
  <c r="P1558" i="1"/>
  <c r="Q1558" i="1"/>
  <c r="R1558" i="1"/>
  <c r="S1558" i="1"/>
  <c r="T1558" i="1"/>
  <c r="U1558" i="1"/>
  <c r="V1558" i="1"/>
  <c r="O1559" i="1"/>
  <c r="P1559" i="1"/>
  <c r="Q1559" i="1"/>
  <c r="R1559" i="1"/>
  <c r="S1559" i="1"/>
  <c r="T1559" i="1"/>
  <c r="U1559" i="1"/>
  <c r="V1559" i="1"/>
  <c r="O1560" i="1"/>
  <c r="P1560" i="1"/>
  <c r="Q1560" i="1"/>
  <c r="R1560" i="1"/>
  <c r="S1560" i="1"/>
  <c r="T1560" i="1"/>
  <c r="U1560" i="1"/>
  <c r="V1560" i="1"/>
  <c r="O1561" i="1"/>
  <c r="P1561" i="1"/>
  <c r="Q1561" i="1"/>
  <c r="R1561" i="1"/>
  <c r="S1561" i="1"/>
  <c r="T1561" i="1"/>
  <c r="U1561" i="1"/>
  <c r="V1561" i="1"/>
  <c r="O1562" i="1"/>
  <c r="P1562" i="1"/>
  <c r="Q1562" i="1"/>
  <c r="R1562" i="1"/>
  <c r="S1562" i="1"/>
  <c r="T1562" i="1"/>
  <c r="U1562" i="1"/>
  <c r="V1562" i="1"/>
  <c r="O1563" i="1"/>
  <c r="P1563" i="1"/>
  <c r="Q1563" i="1"/>
  <c r="R1563" i="1"/>
  <c r="S1563" i="1"/>
  <c r="T1563" i="1"/>
  <c r="U1563" i="1"/>
  <c r="V1563" i="1"/>
  <c r="O1564" i="1"/>
  <c r="P1564" i="1"/>
  <c r="Q1564" i="1"/>
  <c r="R1564" i="1"/>
  <c r="S1564" i="1"/>
  <c r="T1564" i="1"/>
  <c r="U1564" i="1"/>
  <c r="V1564" i="1"/>
  <c r="O1565" i="1"/>
  <c r="P1565" i="1"/>
  <c r="Q1565" i="1"/>
  <c r="R1565" i="1"/>
  <c r="S1565" i="1"/>
  <c r="T1565" i="1"/>
  <c r="U1565" i="1"/>
  <c r="V1565" i="1"/>
  <c r="O1566" i="1"/>
  <c r="P1566" i="1"/>
  <c r="Q1566" i="1"/>
  <c r="R1566" i="1"/>
  <c r="S1566" i="1"/>
  <c r="T1566" i="1"/>
  <c r="U1566" i="1"/>
  <c r="V1566" i="1"/>
  <c r="O1567" i="1"/>
  <c r="P1567" i="1"/>
  <c r="Q1567" i="1"/>
  <c r="R1567" i="1"/>
  <c r="S1567" i="1"/>
  <c r="T1567" i="1"/>
  <c r="U1567" i="1"/>
  <c r="V1567" i="1"/>
  <c r="O1568" i="1"/>
  <c r="P1568" i="1"/>
  <c r="Q1568" i="1"/>
  <c r="R1568" i="1"/>
  <c r="S1568" i="1"/>
  <c r="T1568" i="1"/>
  <c r="U1568" i="1"/>
  <c r="V1568" i="1"/>
  <c r="O1569" i="1"/>
  <c r="P1569" i="1"/>
  <c r="Q1569" i="1"/>
  <c r="R1569" i="1"/>
  <c r="S1569" i="1"/>
  <c r="T1569" i="1"/>
  <c r="U1569" i="1"/>
  <c r="V1569" i="1"/>
  <c r="O1570" i="1"/>
  <c r="P1570" i="1"/>
  <c r="Q1570" i="1"/>
  <c r="R1570" i="1"/>
  <c r="S1570" i="1"/>
  <c r="T1570" i="1"/>
  <c r="U1570" i="1"/>
  <c r="V1570" i="1"/>
  <c r="O1571" i="1"/>
  <c r="P1571" i="1"/>
  <c r="Q1571" i="1"/>
  <c r="R1571" i="1"/>
  <c r="S1571" i="1"/>
  <c r="T1571" i="1"/>
  <c r="U1571" i="1"/>
  <c r="V1571" i="1"/>
  <c r="O1572" i="1"/>
  <c r="P1572" i="1"/>
  <c r="Q1572" i="1"/>
  <c r="R1572" i="1"/>
  <c r="S1572" i="1"/>
  <c r="T1572" i="1"/>
  <c r="U1572" i="1"/>
  <c r="V1572" i="1"/>
  <c r="O1573" i="1"/>
  <c r="P1573" i="1"/>
  <c r="Q1573" i="1"/>
  <c r="R1573" i="1"/>
  <c r="S1573" i="1"/>
  <c r="T1573" i="1"/>
  <c r="U1573" i="1"/>
  <c r="V1573" i="1"/>
  <c r="O1574" i="1"/>
  <c r="P1574" i="1"/>
  <c r="Q1574" i="1"/>
  <c r="R1574" i="1"/>
  <c r="S1574" i="1"/>
  <c r="T1574" i="1"/>
  <c r="U1574" i="1"/>
  <c r="V1574" i="1"/>
  <c r="O1575" i="1"/>
  <c r="P1575" i="1"/>
  <c r="Q1575" i="1"/>
  <c r="R1575" i="1"/>
  <c r="S1575" i="1"/>
  <c r="T1575" i="1"/>
  <c r="U1575" i="1"/>
  <c r="V1575" i="1"/>
  <c r="O1576" i="1"/>
  <c r="P1576" i="1"/>
  <c r="Q1576" i="1"/>
  <c r="R1576" i="1"/>
  <c r="S1576" i="1"/>
  <c r="T1576" i="1"/>
  <c r="U1576" i="1"/>
  <c r="V1576" i="1"/>
  <c r="O1577" i="1"/>
  <c r="P1577" i="1"/>
  <c r="Q1577" i="1"/>
  <c r="R1577" i="1"/>
  <c r="S1577" i="1"/>
  <c r="T1577" i="1"/>
  <c r="U1577" i="1"/>
  <c r="V1577" i="1"/>
  <c r="O1578" i="1"/>
  <c r="P1578" i="1"/>
  <c r="Q1578" i="1"/>
  <c r="R1578" i="1"/>
  <c r="S1578" i="1"/>
  <c r="T1578" i="1"/>
  <c r="U1578" i="1"/>
  <c r="V1578" i="1"/>
  <c r="O1579" i="1"/>
  <c r="P1579" i="1"/>
  <c r="Q1579" i="1"/>
  <c r="R1579" i="1"/>
  <c r="S1579" i="1"/>
  <c r="T1579" i="1"/>
  <c r="U1579" i="1"/>
  <c r="V1579" i="1"/>
  <c r="O1580" i="1"/>
  <c r="P1580" i="1"/>
  <c r="Q1580" i="1"/>
  <c r="R1580" i="1"/>
  <c r="S1580" i="1"/>
  <c r="T1580" i="1"/>
  <c r="U1580" i="1"/>
  <c r="V1580" i="1"/>
  <c r="O1581" i="1"/>
  <c r="P1581" i="1"/>
  <c r="Q1581" i="1"/>
  <c r="R1581" i="1"/>
  <c r="S1581" i="1"/>
  <c r="T1581" i="1"/>
  <c r="U1581" i="1"/>
  <c r="V1581" i="1"/>
  <c r="O1582" i="1"/>
  <c r="P1582" i="1"/>
  <c r="Q1582" i="1"/>
  <c r="R1582" i="1"/>
  <c r="S1582" i="1"/>
  <c r="T1582" i="1"/>
  <c r="U1582" i="1"/>
  <c r="V1582" i="1"/>
  <c r="O1583" i="1"/>
  <c r="P1583" i="1"/>
  <c r="Q1583" i="1"/>
  <c r="R1583" i="1"/>
  <c r="S1583" i="1"/>
  <c r="T1583" i="1"/>
  <c r="U1583" i="1"/>
  <c r="V1583" i="1"/>
  <c r="O1584" i="1"/>
  <c r="P1584" i="1"/>
  <c r="Q1584" i="1"/>
  <c r="R1584" i="1"/>
  <c r="S1584" i="1"/>
  <c r="T1584" i="1"/>
  <c r="U1584" i="1"/>
  <c r="V1584" i="1"/>
  <c r="O1585" i="1"/>
  <c r="P1585" i="1"/>
  <c r="Q1585" i="1"/>
  <c r="R1585" i="1"/>
  <c r="S1585" i="1"/>
  <c r="T1585" i="1"/>
  <c r="U1585" i="1"/>
  <c r="V1585" i="1"/>
  <c r="O1586" i="1"/>
  <c r="P1586" i="1"/>
  <c r="Q1586" i="1"/>
  <c r="R1586" i="1"/>
  <c r="S1586" i="1"/>
  <c r="T1586" i="1"/>
  <c r="U1586" i="1"/>
  <c r="V1586" i="1"/>
  <c r="O1587" i="1"/>
  <c r="P1587" i="1"/>
  <c r="Q1587" i="1"/>
  <c r="R1587" i="1"/>
  <c r="S1587" i="1"/>
  <c r="T1587" i="1"/>
  <c r="U1587" i="1"/>
  <c r="V1587" i="1"/>
  <c r="O1588" i="1"/>
  <c r="P1588" i="1"/>
  <c r="Q1588" i="1"/>
  <c r="R1588" i="1"/>
  <c r="S1588" i="1"/>
  <c r="T1588" i="1"/>
  <c r="U1588" i="1"/>
  <c r="V1588" i="1"/>
  <c r="O1589" i="1"/>
  <c r="P1589" i="1"/>
  <c r="Q1589" i="1"/>
  <c r="R1589" i="1"/>
  <c r="S1589" i="1"/>
  <c r="T1589" i="1"/>
  <c r="U1589" i="1"/>
  <c r="V1589" i="1"/>
  <c r="O1590" i="1"/>
  <c r="P1590" i="1"/>
  <c r="Q1590" i="1"/>
  <c r="R1590" i="1"/>
  <c r="S1590" i="1"/>
  <c r="T1590" i="1"/>
  <c r="U1590" i="1"/>
  <c r="V1590" i="1"/>
  <c r="O1591" i="1"/>
  <c r="P1591" i="1"/>
  <c r="Q1591" i="1"/>
  <c r="R1591" i="1"/>
  <c r="S1591" i="1"/>
  <c r="T1591" i="1"/>
  <c r="U1591" i="1"/>
  <c r="V1591" i="1"/>
  <c r="O1592" i="1"/>
  <c r="P1592" i="1"/>
  <c r="Q1592" i="1"/>
  <c r="R1592" i="1"/>
  <c r="S1592" i="1"/>
  <c r="T1592" i="1"/>
  <c r="U1592" i="1"/>
  <c r="V1592" i="1"/>
  <c r="O1593" i="1"/>
  <c r="P1593" i="1"/>
  <c r="Q1593" i="1"/>
  <c r="R1593" i="1"/>
  <c r="S1593" i="1"/>
  <c r="T1593" i="1"/>
  <c r="U1593" i="1"/>
  <c r="V1593" i="1"/>
  <c r="O1594" i="1"/>
  <c r="P1594" i="1"/>
  <c r="Q1594" i="1"/>
  <c r="R1594" i="1"/>
  <c r="S1594" i="1"/>
  <c r="T1594" i="1"/>
  <c r="U1594" i="1"/>
  <c r="V1594" i="1"/>
  <c r="O1595" i="1"/>
  <c r="P1595" i="1"/>
  <c r="Q1595" i="1"/>
  <c r="R1595" i="1"/>
  <c r="S1595" i="1"/>
  <c r="T1595" i="1"/>
  <c r="U1595" i="1"/>
  <c r="V1595" i="1"/>
  <c r="O1596" i="1"/>
  <c r="P1596" i="1"/>
  <c r="Q1596" i="1"/>
  <c r="R1596" i="1"/>
  <c r="S1596" i="1"/>
  <c r="T1596" i="1"/>
  <c r="U1596" i="1"/>
  <c r="V1596" i="1"/>
  <c r="O1597" i="1"/>
  <c r="P1597" i="1"/>
  <c r="Q1597" i="1"/>
  <c r="R1597" i="1"/>
  <c r="S1597" i="1"/>
  <c r="T1597" i="1"/>
  <c r="U1597" i="1"/>
  <c r="V1597" i="1"/>
  <c r="O1598" i="1"/>
  <c r="P1598" i="1"/>
  <c r="Q1598" i="1"/>
  <c r="R1598" i="1"/>
  <c r="S1598" i="1"/>
  <c r="T1598" i="1"/>
  <c r="U1598" i="1"/>
  <c r="V1598" i="1"/>
  <c r="O1599" i="1"/>
  <c r="P1599" i="1"/>
  <c r="Q1599" i="1"/>
  <c r="R1599" i="1"/>
  <c r="S1599" i="1"/>
  <c r="T1599" i="1"/>
  <c r="U1599" i="1"/>
  <c r="V1599" i="1"/>
  <c r="O1600" i="1"/>
  <c r="P1600" i="1"/>
  <c r="Q1600" i="1"/>
  <c r="R1600" i="1"/>
  <c r="S1600" i="1"/>
  <c r="T1600" i="1"/>
  <c r="U1600" i="1"/>
  <c r="V1600" i="1"/>
  <c r="O1601" i="1"/>
  <c r="P1601" i="1"/>
  <c r="Q1601" i="1"/>
  <c r="R1601" i="1"/>
  <c r="S1601" i="1"/>
  <c r="T1601" i="1"/>
  <c r="U1601" i="1"/>
  <c r="V1601" i="1"/>
  <c r="O1602" i="1"/>
  <c r="P1602" i="1"/>
  <c r="Q1602" i="1"/>
  <c r="R1602" i="1"/>
  <c r="S1602" i="1"/>
  <c r="T1602" i="1"/>
  <c r="U1602" i="1"/>
  <c r="V1602" i="1"/>
  <c r="O1603" i="1"/>
  <c r="P1603" i="1"/>
  <c r="Q1603" i="1"/>
  <c r="R1603" i="1"/>
  <c r="S1603" i="1"/>
  <c r="T1603" i="1"/>
  <c r="U1603" i="1"/>
  <c r="V1603" i="1"/>
  <c r="O1604" i="1"/>
  <c r="P1604" i="1"/>
  <c r="Q1604" i="1"/>
  <c r="R1604" i="1"/>
  <c r="S1604" i="1"/>
  <c r="T1604" i="1"/>
  <c r="U1604" i="1"/>
  <c r="V1604" i="1"/>
  <c r="O1605" i="1"/>
  <c r="P1605" i="1"/>
  <c r="Q1605" i="1"/>
  <c r="R1605" i="1"/>
  <c r="S1605" i="1"/>
  <c r="T1605" i="1"/>
  <c r="U1605" i="1"/>
  <c r="V1605" i="1"/>
  <c r="O1606" i="1"/>
  <c r="P1606" i="1"/>
  <c r="Q1606" i="1"/>
  <c r="R1606" i="1"/>
  <c r="S1606" i="1"/>
  <c r="T1606" i="1"/>
  <c r="U1606" i="1"/>
  <c r="V1606" i="1"/>
  <c r="O1607" i="1"/>
  <c r="P1607" i="1"/>
  <c r="Q1607" i="1"/>
  <c r="R1607" i="1"/>
  <c r="S1607" i="1"/>
  <c r="T1607" i="1"/>
  <c r="U1607" i="1"/>
  <c r="V1607" i="1"/>
  <c r="O1608" i="1"/>
  <c r="P1608" i="1"/>
  <c r="Q1608" i="1"/>
  <c r="R1608" i="1"/>
  <c r="S1608" i="1"/>
  <c r="T1608" i="1"/>
  <c r="U1608" i="1"/>
  <c r="V1608" i="1"/>
  <c r="O1609" i="1"/>
  <c r="P1609" i="1"/>
  <c r="Q1609" i="1"/>
  <c r="R1609" i="1"/>
  <c r="S1609" i="1"/>
  <c r="T1609" i="1"/>
  <c r="U1609" i="1"/>
  <c r="V1609" i="1"/>
  <c r="O1610" i="1"/>
  <c r="P1610" i="1"/>
  <c r="Q1610" i="1"/>
  <c r="R1610" i="1"/>
  <c r="S1610" i="1"/>
  <c r="T1610" i="1"/>
  <c r="U1610" i="1"/>
  <c r="V1610" i="1"/>
  <c r="O1611" i="1"/>
  <c r="P1611" i="1"/>
  <c r="Q1611" i="1"/>
  <c r="R1611" i="1"/>
  <c r="S1611" i="1"/>
  <c r="T1611" i="1"/>
  <c r="U1611" i="1"/>
  <c r="V1611" i="1"/>
  <c r="O1612" i="1"/>
  <c r="P1612" i="1"/>
  <c r="Q1612" i="1"/>
  <c r="R1612" i="1"/>
  <c r="S1612" i="1"/>
  <c r="T1612" i="1"/>
  <c r="U1612" i="1"/>
  <c r="V1612" i="1"/>
  <c r="O1613" i="1"/>
  <c r="P1613" i="1"/>
  <c r="Q1613" i="1"/>
  <c r="R1613" i="1"/>
  <c r="S1613" i="1"/>
  <c r="T1613" i="1"/>
  <c r="U1613" i="1"/>
  <c r="V1613" i="1"/>
  <c r="O1614" i="1"/>
  <c r="P1614" i="1"/>
  <c r="Q1614" i="1"/>
  <c r="R1614" i="1"/>
  <c r="S1614" i="1"/>
  <c r="T1614" i="1"/>
  <c r="U1614" i="1"/>
  <c r="V1614" i="1"/>
  <c r="O1615" i="1"/>
  <c r="P1615" i="1"/>
  <c r="Q1615" i="1"/>
  <c r="R1615" i="1"/>
  <c r="S1615" i="1"/>
  <c r="T1615" i="1"/>
  <c r="U1615" i="1"/>
  <c r="V1615" i="1"/>
  <c r="O1616" i="1"/>
  <c r="P1616" i="1"/>
  <c r="Q1616" i="1"/>
  <c r="R1616" i="1"/>
  <c r="S1616" i="1"/>
  <c r="T1616" i="1"/>
  <c r="U1616" i="1"/>
  <c r="V1616" i="1"/>
  <c r="O1617" i="1"/>
  <c r="P1617" i="1"/>
  <c r="Q1617" i="1"/>
  <c r="R1617" i="1"/>
  <c r="S1617" i="1"/>
  <c r="T1617" i="1"/>
  <c r="U1617" i="1"/>
  <c r="V1617" i="1"/>
  <c r="O1618" i="1"/>
  <c r="P1618" i="1"/>
  <c r="Q1618" i="1"/>
  <c r="R1618" i="1"/>
  <c r="S1618" i="1"/>
  <c r="T1618" i="1"/>
  <c r="U1618" i="1"/>
  <c r="V1618" i="1"/>
  <c r="O1619" i="1"/>
  <c r="P1619" i="1"/>
  <c r="Q1619" i="1"/>
  <c r="R1619" i="1"/>
  <c r="S1619" i="1"/>
  <c r="T1619" i="1"/>
  <c r="U1619" i="1"/>
  <c r="V1619" i="1"/>
  <c r="O1620" i="1"/>
  <c r="P1620" i="1"/>
  <c r="Q1620" i="1"/>
  <c r="R1620" i="1"/>
  <c r="S1620" i="1"/>
  <c r="T1620" i="1"/>
  <c r="U1620" i="1"/>
  <c r="V1620" i="1"/>
  <c r="O1621" i="1"/>
  <c r="P1621" i="1"/>
  <c r="Q1621" i="1"/>
  <c r="R1621" i="1"/>
  <c r="S1621" i="1"/>
  <c r="T1621" i="1"/>
  <c r="U1621" i="1"/>
  <c r="V1621" i="1"/>
  <c r="O1622" i="1"/>
  <c r="P1622" i="1"/>
  <c r="Q1622" i="1"/>
  <c r="R1622" i="1"/>
  <c r="S1622" i="1"/>
  <c r="T1622" i="1"/>
  <c r="U1622" i="1"/>
  <c r="V1622" i="1"/>
  <c r="O1623" i="1"/>
  <c r="P1623" i="1"/>
  <c r="Q1623" i="1"/>
  <c r="R1623" i="1"/>
  <c r="S1623" i="1"/>
  <c r="T1623" i="1"/>
  <c r="U1623" i="1"/>
  <c r="V1623" i="1"/>
  <c r="O1624" i="1"/>
  <c r="P1624" i="1"/>
  <c r="Q1624" i="1"/>
  <c r="R1624" i="1"/>
  <c r="S1624" i="1"/>
  <c r="T1624" i="1"/>
  <c r="U1624" i="1"/>
  <c r="V1624" i="1"/>
  <c r="O1625" i="1"/>
  <c r="P1625" i="1"/>
  <c r="Q1625" i="1"/>
  <c r="R1625" i="1"/>
  <c r="S1625" i="1"/>
  <c r="T1625" i="1"/>
  <c r="U1625" i="1"/>
  <c r="V1625" i="1"/>
  <c r="O1626" i="1"/>
  <c r="P1626" i="1"/>
  <c r="Q1626" i="1"/>
  <c r="R1626" i="1"/>
  <c r="S1626" i="1"/>
  <c r="T1626" i="1"/>
  <c r="U1626" i="1"/>
  <c r="V1626" i="1"/>
  <c r="O1627" i="1"/>
  <c r="P1627" i="1"/>
  <c r="Q1627" i="1"/>
  <c r="R1627" i="1"/>
  <c r="S1627" i="1"/>
  <c r="T1627" i="1"/>
  <c r="U1627" i="1"/>
  <c r="V1627" i="1"/>
  <c r="O1628" i="1"/>
  <c r="P1628" i="1"/>
  <c r="Q1628" i="1"/>
  <c r="R1628" i="1"/>
  <c r="S1628" i="1"/>
  <c r="T1628" i="1"/>
  <c r="U1628" i="1"/>
  <c r="V1628" i="1"/>
  <c r="O1629" i="1"/>
  <c r="P1629" i="1"/>
  <c r="Q1629" i="1"/>
  <c r="R1629" i="1"/>
  <c r="S1629" i="1"/>
  <c r="T1629" i="1"/>
  <c r="U1629" i="1"/>
  <c r="V1629" i="1"/>
  <c r="O1630" i="1"/>
  <c r="P1630" i="1"/>
  <c r="Q1630" i="1"/>
  <c r="R1630" i="1"/>
  <c r="S1630" i="1"/>
  <c r="T1630" i="1"/>
  <c r="U1630" i="1"/>
  <c r="V1630" i="1"/>
  <c r="O1631" i="1"/>
  <c r="P1631" i="1"/>
  <c r="Q1631" i="1"/>
  <c r="R1631" i="1"/>
  <c r="S1631" i="1"/>
  <c r="T1631" i="1"/>
  <c r="U1631" i="1"/>
  <c r="V1631" i="1"/>
  <c r="O1632" i="1"/>
  <c r="P1632" i="1"/>
  <c r="Q1632" i="1"/>
  <c r="R1632" i="1"/>
  <c r="S1632" i="1"/>
  <c r="T1632" i="1"/>
  <c r="U1632" i="1"/>
  <c r="V1632" i="1"/>
  <c r="O1633" i="1"/>
  <c r="P1633" i="1"/>
  <c r="Q1633" i="1"/>
  <c r="R1633" i="1"/>
  <c r="S1633" i="1"/>
  <c r="T1633" i="1"/>
  <c r="U1633" i="1"/>
  <c r="V1633" i="1"/>
  <c r="O1634" i="1"/>
  <c r="P1634" i="1"/>
  <c r="Q1634" i="1"/>
  <c r="R1634" i="1"/>
  <c r="S1634" i="1"/>
  <c r="T1634" i="1"/>
  <c r="U1634" i="1"/>
  <c r="V1634" i="1"/>
  <c r="O1635" i="1"/>
  <c r="P1635" i="1"/>
  <c r="Q1635" i="1"/>
  <c r="R1635" i="1"/>
  <c r="S1635" i="1"/>
  <c r="T1635" i="1"/>
  <c r="U1635" i="1"/>
  <c r="V1635" i="1"/>
  <c r="O1636" i="1"/>
  <c r="P1636" i="1"/>
  <c r="Q1636" i="1"/>
  <c r="R1636" i="1"/>
  <c r="S1636" i="1"/>
  <c r="T1636" i="1"/>
  <c r="U1636" i="1"/>
  <c r="V1636" i="1"/>
  <c r="O1637" i="1"/>
  <c r="P1637" i="1"/>
  <c r="Q1637" i="1"/>
  <c r="R1637" i="1"/>
  <c r="S1637" i="1"/>
  <c r="T1637" i="1"/>
  <c r="U1637" i="1"/>
  <c r="V1637" i="1"/>
  <c r="O1638" i="1"/>
  <c r="P1638" i="1"/>
  <c r="Q1638" i="1"/>
  <c r="R1638" i="1"/>
  <c r="S1638" i="1"/>
  <c r="T1638" i="1"/>
  <c r="U1638" i="1"/>
  <c r="V1638" i="1"/>
  <c r="O1639" i="1"/>
  <c r="P1639" i="1"/>
  <c r="Q1639" i="1"/>
  <c r="R1639" i="1"/>
  <c r="S1639" i="1"/>
  <c r="T1639" i="1"/>
  <c r="U1639" i="1"/>
  <c r="V1639" i="1"/>
  <c r="O1640" i="1"/>
  <c r="P1640" i="1"/>
  <c r="Q1640" i="1"/>
  <c r="R1640" i="1"/>
  <c r="S1640" i="1"/>
  <c r="T1640" i="1"/>
  <c r="U1640" i="1"/>
  <c r="V1640" i="1"/>
  <c r="O1641" i="1"/>
  <c r="P1641" i="1"/>
  <c r="Q1641" i="1"/>
  <c r="R1641" i="1"/>
  <c r="S1641" i="1"/>
  <c r="T1641" i="1"/>
  <c r="U1641" i="1"/>
  <c r="V1641" i="1"/>
  <c r="O1642" i="1"/>
  <c r="P1642" i="1"/>
  <c r="Q1642" i="1"/>
  <c r="R1642" i="1"/>
  <c r="S1642" i="1"/>
  <c r="T1642" i="1"/>
  <c r="U1642" i="1"/>
  <c r="V1642" i="1"/>
  <c r="O1643" i="1"/>
  <c r="P1643" i="1"/>
  <c r="Q1643" i="1"/>
  <c r="R1643" i="1"/>
  <c r="S1643" i="1"/>
  <c r="T1643" i="1"/>
  <c r="U1643" i="1"/>
  <c r="V1643" i="1"/>
  <c r="O1644" i="1"/>
  <c r="P1644" i="1"/>
  <c r="Q1644" i="1"/>
  <c r="R1644" i="1"/>
  <c r="S1644" i="1"/>
  <c r="T1644" i="1"/>
  <c r="U1644" i="1"/>
  <c r="V1644" i="1"/>
  <c r="O1645" i="1"/>
  <c r="P1645" i="1"/>
  <c r="Q1645" i="1"/>
  <c r="R1645" i="1"/>
  <c r="S1645" i="1"/>
  <c r="T1645" i="1"/>
  <c r="U1645" i="1"/>
  <c r="V1645" i="1"/>
  <c r="O1646" i="1"/>
  <c r="P1646" i="1"/>
  <c r="Q1646" i="1"/>
  <c r="R1646" i="1"/>
  <c r="S1646" i="1"/>
  <c r="T1646" i="1"/>
  <c r="U1646" i="1"/>
  <c r="V1646" i="1"/>
  <c r="O1647" i="1"/>
  <c r="P1647" i="1"/>
  <c r="Q1647" i="1"/>
  <c r="R1647" i="1"/>
  <c r="S1647" i="1"/>
  <c r="T1647" i="1"/>
  <c r="U1647" i="1"/>
  <c r="V1647" i="1"/>
  <c r="O1648" i="1"/>
  <c r="P1648" i="1"/>
  <c r="Q1648" i="1"/>
  <c r="R1648" i="1"/>
  <c r="S1648" i="1"/>
  <c r="T1648" i="1"/>
  <c r="U1648" i="1"/>
  <c r="V1648" i="1"/>
  <c r="O1649" i="1"/>
  <c r="P1649" i="1"/>
  <c r="Q1649" i="1"/>
  <c r="R1649" i="1"/>
  <c r="S1649" i="1"/>
  <c r="T1649" i="1"/>
  <c r="U1649" i="1"/>
  <c r="V1649" i="1"/>
  <c r="O1650" i="1"/>
  <c r="P1650" i="1"/>
  <c r="Q1650" i="1"/>
  <c r="R1650" i="1"/>
  <c r="S1650" i="1"/>
  <c r="T1650" i="1"/>
  <c r="U1650" i="1"/>
  <c r="V1650" i="1"/>
  <c r="O1651" i="1"/>
  <c r="P1651" i="1"/>
  <c r="Q1651" i="1"/>
  <c r="R1651" i="1"/>
  <c r="S1651" i="1"/>
  <c r="T1651" i="1"/>
  <c r="U1651" i="1"/>
  <c r="V1651" i="1"/>
  <c r="O1652" i="1"/>
  <c r="P1652" i="1"/>
  <c r="Q1652" i="1"/>
  <c r="R1652" i="1"/>
  <c r="S1652" i="1"/>
  <c r="T1652" i="1"/>
  <c r="U1652" i="1"/>
  <c r="V1652" i="1"/>
  <c r="O1653" i="1"/>
  <c r="P1653" i="1"/>
  <c r="Q1653" i="1"/>
  <c r="R1653" i="1"/>
  <c r="S1653" i="1"/>
  <c r="T1653" i="1"/>
  <c r="U1653" i="1"/>
  <c r="V1653" i="1"/>
  <c r="O1654" i="1"/>
  <c r="P1654" i="1"/>
  <c r="Q1654" i="1"/>
  <c r="R1654" i="1"/>
  <c r="S1654" i="1"/>
  <c r="T1654" i="1"/>
  <c r="U1654" i="1"/>
  <c r="V1654" i="1"/>
  <c r="O1655" i="1"/>
  <c r="P1655" i="1"/>
  <c r="Q1655" i="1"/>
  <c r="R1655" i="1"/>
  <c r="S1655" i="1"/>
  <c r="T1655" i="1"/>
  <c r="U1655" i="1"/>
  <c r="V1655" i="1"/>
  <c r="O1656" i="1"/>
  <c r="P1656" i="1"/>
  <c r="Q1656" i="1"/>
  <c r="R1656" i="1"/>
  <c r="S1656" i="1"/>
  <c r="T1656" i="1"/>
  <c r="U1656" i="1"/>
  <c r="V1656" i="1"/>
  <c r="O1657" i="1"/>
  <c r="P1657" i="1"/>
  <c r="Q1657" i="1"/>
  <c r="R1657" i="1"/>
  <c r="S1657" i="1"/>
  <c r="T1657" i="1"/>
  <c r="U1657" i="1"/>
  <c r="V1657" i="1"/>
  <c r="O1658" i="1"/>
  <c r="P1658" i="1"/>
  <c r="Q1658" i="1"/>
  <c r="R1658" i="1"/>
  <c r="S1658" i="1"/>
  <c r="T1658" i="1"/>
  <c r="U1658" i="1"/>
  <c r="V1658" i="1"/>
  <c r="O1659" i="1"/>
  <c r="P1659" i="1"/>
  <c r="Q1659" i="1"/>
  <c r="R1659" i="1"/>
  <c r="S1659" i="1"/>
  <c r="T1659" i="1"/>
  <c r="U1659" i="1"/>
  <c r="V1659" i="1"/>
  <c r="O1660" i="1"/>
  <c r="P1660" i="1"/>
  <c r="Q1660" i="1"/>
  <c r="R1660" i="1"/>
  <c r="S1660" i="1"/>
  <c r="T1660" i="1"/>
  <c r="U1660" i="1"/>
  <c r="V1660" i="1"/>
  <c r="O1661" i="1"/>
  <c r="P1661" i="1"/>
  <c r="Q1661" i="1"/>
  <c r="R1661" i="1"/>
  <c r="S1661" i="1"/>
  <c r="T1661" i="1"/>
  <c r="U1661" i="1"/>
  <c r="V1661" i="1"/>
  <c r="O1662" i="1"/>
  <c r="P1662" i="1"/>
  <c r="Q1662" i="1"/>
  <c r="R1662" i="1"/>
  <c r="S1662" i="1"/>
  <c r="T1662" i="1"/>
  <c r="U1662" i="1"/>
  <c r="V1662" i="1"/>
  <c r="O1663" i="1"/>
  <c r="P1663" i="1"/>
  <c r="Q1663" i="1"/>
  <c r="R1663" i="1"/>
  <c r="S1663" i="1"/>
  <c r="T1663" i="1"/>
  <c r="U1663" i="1"/>
  <c r="V1663" i="1"/>
  <c r="O1664" i="1"/>
  <c r="P1664" i="1"/>
  <c r="Q1664" i="1"/>
  <c r="R1664" i="1"/>
  <c r="S1664" i="1"/>
  <c r="T1664" i="1"/>
  <c r="U1664" i="1"/>
  <c r="V1664" i="1"/>
  <c r="O1665" i="1"/>
  <c r="P1665" i="1"/>
  <c r="Q1665" i="1"/>
  <c r="R1665" i="1"/>
  <c r="S1665" i="1"/>
  <c r="T1665" i="1"/>
  <c r="U1665" i="1"/>
  <c r="V1665" i="1"/>
  <c r="O1666" i="1"/>
  <c r="P1666" i="1"/>
  <c r="Q1666" i="1"/>
  <c r="R1666" i="1"/>
  <c r="S1666" i="1"/>
  <c r="T1666" i="1"/>
  <c r="U1666" i="1"/>
  <c r="V1666" i="1"/>
  <c r="O1667" i="1"/>
  <c r="P1667" i="1"/>
  <c r="Q1667" i="1"/>
  <c r="R1667" i="1"/>
  <c r="S1667" i="1"/>
  <c r="T1667" i="1"/>
  <c r="U1667" i="1"/>
  <c r="V1667" i="1"/>
  <c r="O1668" i="1"/>
  <c r="P1668" i="1"/>
  <c r="Q1668" i="1"/>
  <c r="R1668" i="1"/>
  <c r="S1668" i="1"/>
  <c r="T1668" i="1"/>
  <c r="U1668" i="1"/>
  <c r="V1668" i="1"/>
  <c r="O1669" i="1"/>
  <c r="P1669" i="1"/>
  <c r="Q1669" i="1"/>
  <c r="R1669" i="1"/>
  <c r="S1669" i="1"/>
  <c r="T1669" i="1"/>
  <c r="U1669" i="1"/>
  <c r="V1669" i="1"/>
  <c r="O1670" i="1"/>
  <c r="P1670" i="1"/>
  <c r="Q1670" i="1"/>
  <c r="R1670" i="1"/>
  <c r="S1670" i="1"/>
  <c r="T1670" i="1"/>
  <c r="U1670" i="1"/>
  <c r="V1670" i="1"/>
  <c r="O1671" i="1"/>
  <c r="P1671" i="1"/>
  <c r="Q1671" i="1"/>
  <c r="R1671" i="1"/>
  <c r="S1671" i="1"/>
  <c r="T1671" i="1"/>
  <c r="U1671" i="1"/>
  <c r="V1671" i="1"/>
  <c r="O1672" i="1"/>
  <c r="P1672" i="1"/>
  <c r="Q1672" i="1"/>
  <c r="R1672" i="1"/>
  <c r="S1672" i="1"/>
  <c r="T1672" i="1"/>
  <c r="U1672" i="1"/>
  <c r="V1672" i="1"/>
  <c r="O1673" i="1"/>
  <c r="P1673" i="1"/>
  <c r="Q1673" i="1"/>
  <c r="R1673" i="1"/>
  <c r="S1673" i="1"/>
  <c r="T1673" i="1"/>
  <c r="U1673" i="1"/>
  <c r="V1673" i="1"/>
  <c r="O1674" i="1"/>
  <c r="P1674" i="1"/>
  <c r="Q1674" i="1"/>
  <c r="R1674" i="1"/>
  <c r="S1674" i="1"/>
  <c r="T1674" i="1"/>
  <c r="U1674" i="1"/>
  <c r="V1674" i="1"/>
  <c r="O1675" i="1"/>
  <c r="P1675" i="1"/>
  <c r="Q1675" i="1"/>
  <c r="R1675" i="1"/>
  <c r="S1675" i="1"/>
  <c r="T1675" i="1"/>
  <c r="U1675" i="1"/>
  <c r="V1675" i="1"/>
  <c r="O1676" i="1"/>
  <c r="P1676" i="1"/>
  <c r="Q1676" i="1"/>
  <c r="R1676" i="1"/>
  <c r="S1676" i="1"/>
  <c r="T1676" i="1"/>
  <c r="U1676" i="1"/>
  <c r="V1676" i="1"/>
  <c r="O1677" i="1"/>
  <c r="P1677" i="1"/>
  <c r="Q1677" i="1"/>
  <c r="R1677" i="1"/>
  <c r="S1677" i="1"/>
  <c r="T1677" i="1"/>
  <c r="U1677" i="1"/>
  <c r="V1677" i="1"/>
  <c r="O1678" i="1"/>
  <c r="P1678" i="1"/>
  <c r="Q1678" i="1"/>
  <c r="R1678" i="1"/>
  <c r="S1678" i="1"/>
  <c r="T1678" i="1"/>
  <c r="U1678" i="1"/>
  <c r="V1678" i="1"/>
  <c r="O1679" i="1"/>
  <c r="P1679" i="1"/>
  <c r="Q1679" i="1"/>
  <c r="R1679" i="1"/>
  <c r="S1679" i="1"/>
  <c r="T1679" i="1"/>
  <c r="U1679" i="1"/>
  <c r="V1679" i="1"/>
  <c r="O1680" i="1"/>
  <c r="P1680" i="1"/>
  <c r="Q1680" i="1"/>
  <c r="R1680" i="1"/>
  <c r="S1680" i="1"/>
  <c r="T1680" i="1"/>
  <c r="U1680" i="1"/>
  <c r="V1680" i="1"/>
  <c r="O1681" i="1"/>
  <c r="P1681" i="1"/>
  <c r="Q1681" i="1"/>
  <c r="R1681" i="1"/>
  <c r="S1681" i="1"/>
  <c r="T1681" i="1"/>
  <c r="U1681" i="1"/>
  <c r="V1681" i="1"/>
  <c r="O1682" i="1"/>
  <c r="P1682" i="1"/>
  <c r="Q1682" i="1"/>
  <c r="R1682" i="1"/>
  <c r="S1682" i="1"/>
  <c r="T1682" i="1"/>
  <c r="U1682" i="1"/>
  <c r="V1682" i="1"/>
  <c r="O1683" i="1"/>
  <c r="P1683" i="1"/>
  <c r="Q1683" i="1"/>
  <c r="R1683" i="1"/>
  <c r="S1683" i="1"/>
  <c r="T1683" i="1"/>
  <c r="U1683" i="1"/>
  <c r="V1683" i="1"/>
  <c r="O1684" i="1"/>
  <c r="P1684" i="1"/>
  <c r="Q1684" i="1"/>
  <c r="R1684" i="1"/>
  <c r="S1684" i="1"/>
  <c r="T1684" i="1"/>
  <c r="U1684" i="1"/>
  <c r="V1684" i="1"/>
  <c r="O1685" i="1"/>
  <c r="P1685" i="1"/>
  <c r="Q1685" i="1"/>
  <c r="R1685" i="1"/>
  <c r="S1685" i="1"/>
  <c r="T1685" i="1"/>
  <c r="U1685" i="1"/>
  <c r="V1685" i="1"/>
  <c r="O1686" i="1"/>
  <c r="P1686" i="1"/>
  <c r="Q1686" i="1"/>
  <c r="R1686" i="1"/>
  <c r="S1686" i="1"/>
  <c r="T1686" i="1"/>
  <c r="U1686" i="1"/>
  <c r="V1686" i="1"/>
  <c r="O1687" i="1"/>
  <c r="P1687" i="1"/>
  <c r="Q1687" i="1"/>
  <c r="R1687" i="1"/>
  <c r="S1687" i="1"/>
  <c r="T1687" i="1"/>
  <c r="U1687" i="1"/>
  <c r="V1687" i="1"/>
  <c r="O1688" i="1"/>
  <c r="P1688" i="1"/>
  <c r="Q1688" i="1"/>
  <c r="R1688" i="1"/>
  <c r="S1688" i="1"/>
  <c r="T1688" i="1"/>
  <c r="U1688" i="1"/>
  <c r="V1688" i="1"/>
  <c r="O1689" i="1"/>
  <c r="P1689" i="1"/>
  <c r="Q1689" i="1"/>
  <c r="R1689" i="1"/>
  <c r="S1689" i="1"/>
  <c r="T1689" i="1"/>
  <c r="U1689" i="1"/>
  <c r="V1689" i="1"/>
  <c r="O1690" i="1"/>
  <c r="P1690" i="1"/>
  <c r="Q1690" i="1"/>
  <c r="R1690" i="1"/>
  <c r="S1690" i="1"/>
  <c r="T1690" i="1"/>
  <c r="U1690" i="1"/>
  <c r="V1690" i="1"/>
  <c r="O1691" i="1"/>
  <c r="P1691" i="1"/>
  <c r="Q1691" i="1"/>
  <c r="R1691" i="1"/>
  <c r="S1691" i="1"/>
  <c r="T1691" i="1"/>
  <c r="U1691" i="1"/>
  <c r="V1691" i="1"/>
  <c r="O1692" i="1"/>
  <c r="P1692" i="1"/>
  <c r="Q1692" i="1"/>
  <c r="R1692" i="1"/>
  <c r="S1692" i="1"/>
  <c r="T1692" i="1"/>
  <c r="U1692" i="1"/>
  <c r="V1692" i="1"/>
  <c r="O1693" i="1"/>
  <c r="P1693" i="1"/>
  <c r="Q1693" i="1"/>
  <c r="R1693" i="1"/>
  <c r="S1693" i="1"/>
  <c r="T1693" i="1"/>
  <c r="U1693" i="1"/>
  <c r="V1693" i="1"/>
  <c r="O1694" i="1"/>
  <c r="P1694" i="1"/>
  <c r="Q1694" i="1"/>
  <c r="R1694" i="1"/>
  <c r="S1694" i="1"/>
  <c r="T1694" i="1"/>
  <c r="U1694" i="1"/>
  <c r="V1694" i="1"/>
  <c r="O1695" i="1"/>
  <c r="P1695" i="1"/>
  <c r="Q1695" i="1"/>
  <c r="R1695" i="1"/>
  <c r="S1695" i="1"/>
  <c r="T1695" i="1"/>
  <c r="U1695" i="1"/>
  <c r="V1695" i="1"/>
  <c r="O1696" i="1"/>
  <c r="P1696" i="1"/>
  <c r="Q1696" i="1"/>
  <c r="R1696" i="1"/>
  <c r="S1696" i="1"/>
  <c r="T1696" i="1"/>
  <c r="U1696" i="1"/>
  <c r="V1696" i="1"/>
  <c r="O1697" i="1"/>
  <c r="P1697" i="1"/>
  <c r="Q1697" i="1"/>
  <c r="R1697" i="1"/>
  <c r="S1697" i="1"/>
  <c r="T1697" i="1"/>
  <c r="U1697" i="1"/>
  <c r="V1697" i="1"/>
  <c r="O1698" i="1"/>
  <c r="P1698" i="1"/>
  <c r="Q1698" i="1"/>
  <c r="R1698" i="1"/>
  <c r="S1698" i="1"/>
  <c r="T1698" i="1"/>
  <c r="U1698" i="1"/>
  <c r="V1698" i="1"/>
  <c r="O1699" i="1"/>
  <c r="P1699" i="1"/>
  <c r="Q1699" i="1"/>
  <c r="R1699" i="1"/>
  <c r="S1699" i="1"/>
  <c r="T1699" i="1"/>
  <c r="U1699" i="1"/>
  <c r="V1699" i="1"/>
  <c r="O1700" i="1"/>
  <c r="P1700" i="1"/>
  <c r="Q1700" i="1"/>
  <c r="R1700" i="1"/>
  <c r="S1700" i="1"/>
  <c r="T1700" i="1"/>
  <c r="U1700" i="1"/>
  <c r="V1700" i="1"/>
  <c r="O1701" i="1"/>
  <c r="P1701" i="1"/>
  <c r="Q1701" i="1"/>
  <c r="R1701" i="1"/>
  <c r="S1701" i="1"/>
  <c r="T1701" i="1"/>
  <c r="U1701" i="1"/>
  <c r="V1701" i="1"/>
  <c r="O1702" i="1"/>
  <c r="P1702" i="1"/>
  <c r="Q1702" i="1"/>
  <c r="R1702" i="1"/>
  <c r="S1702" i="1"/>
  <c r="T1702" i="1"/>
  <c r="U1702" i="1"/>
  <c r="V1702" i="1"/>
  <c r="O1703" i="1"/>
  <c r="P1703" i="1"/>
  <c r="Q1703" i="1"/>
  <c r="R1703" i="1"/>
  <c r="S1703" i="1"/>
  <c r="T1703" i="1"/>
  <c r="U1703" i="1"/>
  <c r="V1703" i="1"/>
  <c r="O1704" i="1"/>
  <c r="P1704" i="1"/>
  <c r="Q1704" i="1"/>
  <c r="R1704" i="1"/>
  <c r="S1704" i="1"/>
  <c r="T1704" i="1"/>
  <c r="U1704" i="1"/>
  <c r="V1704" i="1"/>
  <c r="O1705" i="1"/>
  <c r="P1705" i="1"/>
  <c r="Q1705" i="1"/>
  <c r="R1705" i="1"/>
  <c r="S1705" i="1"/>
  <c r="T1705" i="1"/>
  <c r="U1705" i="1"/>
  <c r="V1705" i="1"/>
  <c r="O1706" i="1"/>
  <c r="P1706" i="1"/>
  <c r="Q1706" i="1"/>
  <c r="R1706" i="1"/>
  <c r="S1706" i="1"/>
  <c r="T1706" i="1"/>
  <c r="U1706" i="1"/>
  <c r="V1706" i="1"/>
  <c r="O1707" i="1"/>
  <c r="P1707" i="1"/>
  <c r="Q1707" i="1"/>
  <c r="R1707" i="1"/>
  <c r="S1707" i="1"/>
  <c r="T1707" i="1"/>
  <c r="U1707" i="1"/>
  <c r="V1707" i="1"/>
  <c r="O1708" i="1"/>
  <c r="P1708" i="1"/>
  <c r="Q1708" i="1"/>
  <c r="R1708" i="1"/>
  <c r="S1708" i="1"/>
  <c r="T1708" i="1"/>
  <c r="U1708" i="1"/>
  <c r="V1708" i="1"/>
  <c r="O1709" i="1"/>
  <c r="P1709" i="1"/>
  <c r="Q1709" i="1"/>
  <c r="R1709" i="1"/>
  <c r="S1709" i="1"/>
  <c r="T1709" i="1"/>
  <c r="U1709" i="1"/>
  <c r="V1709" i="1"/>
  <c r="O1710" i="1"/>
  <c r="P1710" i="1"/>
  <c r="Q1710" i="1"/>
  <c r="R1710" i="1"/>
  <c r="S1710" i="1"/>
  <c r="T1710" i="1"/>
  <c r="U1710" i="1"/>
  <c r="V1710" i="1"/>
  <c r="O1711" i="1"/>
  <c r="P1711" i="1"/>
  <c r="Q1711" i="1"/>
  <c r="R1711" i="1"/>
  <c r="S1711" i="1"/>
  <c r="T1711" i="1"/>
  <c r="U1711" i="1"/>
  <c r="V1711" i="1"/>
  <c r="O1712" i="1"/>
  <c r="P1712" i="1"/>
  <c r="Q1712" i="1"/>
  <c r="R1712" i="1"/>
  <c r="S1712" i="1"/>
  <c r="T1712" i="1"/>
  <c r="U1712" i="1"/>
  <c r="V1712" i="1"/>
  <c r="O1713" i="1"/>
  <c r="P1713" i="1"/>
  <c r="Q1713" i="1"/>
  <c r="R1713" i="1"/>
  <c r="S1713" i="1"/>
  <c r="T1713" i="1"/>
  <c r="U1713" i="1"/>
  <c r="V1713" i="1"/>
  <c r="O1714" i="1"/>
  <c r="P1714" i="1"/>
  <c r="Q1714" i="1"/>
  <c r="R1714" i="1"/>
  <c r="S1714" i="1"/>
  <c r="T1714" i="1"/>
  <c r="U1714" i="1"/>
  <c r="V1714" i="1"/>
  <c r="O1715" i="1"/>
  <c r="P1715" i="1"/>
  <c r="Q1715" i="1"/>
  <c r="R1715" i="1"/>
  <c r="S1715" i="1"/>
  <c r="T1715" i="1"/>
  <c r="U1715" i="1"/>
  <c r="V1715" i="1"/>
  <c r="O1716" i="1"/>
  <c r="P1716" i="1"/>
  <c r="Q1716" i="1"/>
  <c r="R1716" i="1"/>
  <c r="S1716" i="1"/>
  <c r="T1716" i="1"/>
  <c r="U1716" i="1"/>
  <c r="V1716" i="1"/>
  <c r="O1717" i="1"/>
  <c r="P1717" i="1"/>
  <c r="Q1717" i="1"/>
  <c r="R1717" i="1"/>
  <c r="S1717" i="1"/>
  <c r="T1717" i="1"/>
  <c r="U1717" i="1"/>
  <c r="V1717" i="1"/>
  <c r="O1718" i="1"/>
  <c r="P1718" i="1"/>
  <c r="Q1718" i="1"/>
  <c r="R1718" i="1"/>
  <c r="S1718" i="1"/>
  <c r="T1718" i="1"/>
  <c r="U1718" i="1"/>
  <c r="V1718" i="1"/>
  <c r="O1719" i="1"/>
  <c r="P1719" i="1"/>
  <c r="Q1719" i="1"/>
  <c r="R1719" i="1"/>
  <c r="S1719" i="1"/>
  <c r="T1719" i="1"/>
  <c r="U1719" i="1"/>
  <c r="V1719" i="1"/>
  <c r="O1720" i="1"/>
  <c r="P1720" i="1"/>
  <c r="Q1720" i="1"/>
  <c r="R1720" i="1"/>
  <c r="S1720" i="1"/>
  <c r="T1720" i="1"/>
  <c r="U1720" i="1"/>
  <c r="V1720" i="1"/>
  <c r="O1721" i="1"/>
  <c r="P1721" i="1"/>
  <c r="Q1721" i="1"/>
  <c r="R1721" i="1"/>
  <c r="S1721" i="1"/>
  <c r="T1721" i="1"/>
  <c r="U1721" i="1"/>
  <c r="V1721" i="1"/>
  <c r="O1722" i="1"/>
  <c r="P1722" i="1"/>
  <c r="Q1722" i="1"/>
  <c r="R1722" i="1"/>
  <c r="S1722" i="1"/>
  <c r="T1722" i="1"/>
  <c r="U1722" i="1"/>
  <c r="V1722" i="1"/>
  <c r="O1723" i="1"/>
  <c r="P1723" i="1"/>
  <c r="Q1723" i="1"/>
  <c r="R1723" i="1"/>
  <c r="S1723" i="1"/>
  <c r="T1723" i="1"/>
  <c r="U1723" i="1"/>
  <c r="V1723" i="1"/>
  <c r="O1724" i="1"/>
  <c r="P1724" i="1"/>
  <c r="Q1724" i="1"/>
  <c r="R1724" i="1"/>
  <c r="S1724" i="1"/>
  <c r="T1724" i="1"/>
  <c r="U1724" i="1"/>
  <c r="V1724" i="1"/>
  <c r="O1725" i="1"/>
  <c r="P1725" i="1"/>
  <c r="Q1725" i="1"/>
  <c r="R1725" i="1"/>
  <c r="S1725" i="1"/>
  <c r="T1725" i="1"/>
  <c r="U1725" i="1"/>
  <c r="V1725" i="1"/>
  <c r="O1726" i="1"/>
  <c r="P1726" i="1"/>
  <c r="Q1726" i="1"/>
  <c r="R1726" i="1"/>
  <c r="S1726" i="1"/>
  <c r="T1726" i="1"/>
  <c r="U1726" i="1"/>
  <c r="V1726" i="1"/>
  <c r="O1727" i="1"/>
  <c r="P1727" i="1"/>
  <c r="Q1727" i="1"/>
  <c r="R1727" i="1"/>
  <c r="S1727" i="1"/>
  <c r="T1727" i="1"/>
  <c r="U1727" i="1"/>
  <c r="V1727" i="1"/>
  <c r="O1728" i="1"/>
  <c r="P1728" i="1"/>
  <c r="Q1728" i="1"/>
  <c r="R1728" i="1"/>
  <c r="S1728" i="1"/>
  <c r="T1728" i="1"/>
  <c r="U1728" i="1"/>
  <c r="V1728" i="1"/>
  <c r="O1729" i="1"/>
  <c r="P1729" i="1"/>
  <c r="Q1729" i="1"/>
  <c r="R1729" i="1"/>
  <c r="S1729" i="1"/>
  <c r="T1729" i="1"/>
  <c r="U1729" i="1"/>
  <c r="V1729" i="1"/>
  <c r="O1730" i="1"/>
  <c r="P1730" i="1"/>
  <c r="Q1730" i="1"/>
  <c r="R1730" i="1"/>
  <c r="S1730" i="1"/>
  <c r="T1730" i="1"/>
  <c r="U1730" i="1"/>
  <c r="V1730" i="1"/>
  <c r="O1731" i="1"/>
  <c r="P1731" i="1"/>
  <c r="Q1731" i="1"/>
  <c r="R1731" i="1"/>
  <c r="S1731" i="1"/>
  <c r="T1731" i="1"/>
  <c r="U1731" i="1"/>
  <c r="V1731" i="1"/>
  <c r="O1732" i="1"/>
  <c r="P1732" i="1"/>
  <c r="Q1732" i="1"/>
  <c r="R1732" i="1"/>
  <c r="S1732" i="1"/>
  <c r="T1732" i="1"/>
  <c r="U1732" i="1"/>
  <c r="V1732" i="1"/>
  <c r="O1733" i="1"/>
  <c r="P1733" i="1"/>
  <c r="Q1733" i="1"/>
  <c r="R1733" i="1"/>
  <c r="S1733" i="1"/>
  <c r="T1733" i="1"/>
  <c r="U1733" i="1"/>
  <c r="V1733" i="1"/>
  <c r="O1734" i="1"/>
  <c r="P1734" i="1"/>
  <c r="Q1734" i="1"/>
  <c r="R1734" i="1"/>
  <c r="S1734" i="1"/>
  <c r="T1734" i="1"/>
  <c r="U1734" i="1"/>
  <c r="V1734" i="1"/>
  <c r="O1735" i="1"/>
  <c r="P1735" i="1"/>
  <c r="Q1735" i="1"/>
  <c r="R1735" i="1"/>
  <c r="S1735" i="1"/>
  <c r="T1735" i="1"/>
  <c r="U1735" i="1"/>
  <c r="V1735" i="1"/>
  <c r="O1736" i="1"/>
  <c r="P1736" i="1"/>
  <c r="Q1736" i="1"/>
  <c r="R1736" i="1"/>
  <c r="S1736" i="1"/>
  <c r="T1736" i="1"/>
  <c r="U1736" i="1"/>
  <c r="V1736" i="1"/>
  <c r="O1737" i="1"/>
  <c r="P1737" i="1"/>
  <c r="Q1737" i="1"/>
  <c r="R1737" i="1"/>
  <c r="S1737" i="1"/>
  <c r="T1737" i="1"/>
  <c r="U1737" i="1"/>
  <c r="V1737" i="1"/>
  <c r="O1738" i="1"/>
  <c r="P1738" i="1"/>
  <c r="Q1738" i="1"/>
  <c r="R1738" i="1"/>
  <c r="S1738" i="1"/>
  <c r="T1738" i="1"/>
  <c r="U1738" i="1"/>
  <c r="V1738" i="1"/>
  <c r="O1739" i="1"/>
  <c r="P1739" i="1"/>
  <c r="Q1739" i="1"/>
  <c r="R1739" i="1"/>
  <c r="S1739" i="1"/>
  <c r="T1739" i="1"/>
  <c r="U1739" i="1"/>
  <c r="V1739" i="1"/>
  <c r="O1740" i="1"/>
  <c r="P1740" i="1"/>
  <c r="Q1740" i="1"/>
  <c r="R1740" i="1"/>
  <c r="S1740" i="1"/>
  <c r="T1740" i="1"/>
  <c r="U1740" i="1"/>
  <c r="V1740" i="1"/>
  <c r="O1741" i="1"/>
  <c r="P1741" i="1"/>
  <c r="Q1741" i="1"/>
  <c r="R1741" i="1"/>
  <c r="S1741" i="1"/>
  <c r="T1741" i="1"/>
  <c r="U1741" i="1"/>
  <c r="V1741" i="1"/>
  <c r="O1742" i="1"/>
  <c r="P1742" i="1"/>
  <c r="Q1742" i="1"/>
  <c r="R1742" i="1"/>
  <c r="S1742" i="1"/>
  <c r="T1742" i="1"/>
  <c r="U1742" i="1"/>
  <c r="V1742" i="1"/>
  <c r="O1743" i="1"/>
  <c r="P1743" i="1"/>
  <c r="Q1743" i="1"/>
  <c r="R1743" i="1"/>
  <c r="S1743" i="1"/>
  <c r="T1743" i="1"/>
  <c r="U1743" i="1"/>
  <c r="V1743" i="1"/>
  <c r="O1744" i="1"/>
  <c r="P1744" i="1"/>
  <c r="Q1744" i="1"/>
  <c r="R1744" i="1"/>
  <c r="S1744" i="1"/>
  <c r="T1744" i="1"/>
  <c r="U1744" i="1"/>
  <c r="V1744" i="1"/>
  <c r="O1745" i="1"/>
  <c r="P1745" i="1"/>
  <c r="Q1745" i="1"/>
  <c r="R1745" i="1"/>
  <c r="S1745" i="1"/>
  <c r="T1745" i="1"/>
  <c r="U1745" i="1"/>
  <c r="V1745" i="1"/>
  <c r="O1746" i="1"/>
  <c r="P1746" i="1"/>
  <c r="Q1746" i="1"/>
  <c r="R1746" i="1"/>
  <c r="S1746" i="1"/>
  <c r="T1746" i="1"/>
  <c r="U1746" i="1"/>
  <c r="V1746" i="1"/>
  <c r="O1747" i="1"/>
  <c r="P1747" i="1"/>
  <c r="Q1747" i="1"/>
  <c r="R1747" i="1"/>
  <c r="S1747" i="1"/>
  <c r="T1747" i="1"/>
  <c r="U1747" i="1"/>
  <c r="V1747" i="1"/>
  <c r="O1748" i="1"/>
  <c r="P1748" i="1"/>
  <c r="Q1748" i="1"/>
  <c r="R1748" i="1"/>
  <c r="S1748" i="1"/>
  <c r="T1748" i="1"/>
  <c r="U1748" i="1"/>
  <c r="V1748" i="1"/>
  <c r="O1749" i="1"/>
  <c r="P1749" i="1"/>
  <c r="Q1749" i="1"/>
  <c r="R1749" i="1"/>
  <c r="S1749" i="1"/>
  <c r="T1749" i="1"/>
  <c r="U1749" i="1"/>
  <c r="V1749" i="1"/>
  <c r="O1750" i="1"/>
  <c r="P1750" i="1"/>
  <c r="Q1750" i="1"/>
  <c r="R1750" i="1"/>
  <c r="S1750" i="1"/>
  <c r="T1750" i="1"/>
  <c r="U1750" i="1"/>
  <c r="V1750" i="1"/>
  <c r="O1751" i="1"/>
  <c r="P1751" i="1"/>
  <c r="Q1751" i="1"/>
  <c r="R1751" i="1"/>
  <c r="S1751" i="1"/>
  <c r="T1751" i="1"/>
  <c r="U1751" i="1"/>
  <c r="V1751" i="1"/>
  <c r="O1752" i="1"/>
  <c r="P1752" i="1"/>
  <c r="Q1752" i="1"/>
  <c r="R1752" i="1"/>
  <c r="S1752" i="1"/>
  <c r="T1752" i="1"/>
  <c r="U1752" i="1"/>
  <c r="V1752" i="1"/>
  <c r="O1753" i="1"/>
  <c r="P1753" i="1"/>
  <c r="Q1753" i="1"/>
  <c r="R1753" i="1"/>
  <c r="S1753" i="1"/>
  <c r="T1753" i="1"/>
  <c r="U1753" i="1"/>
  <c r="V1753" i="1"/>
  <c r="O1754" i="1"/>
  <c r="P1754" i="1"/>
  <c r="Q1754" i="1"/>
  <c r="R1754" i="1"/>
  <c r="S1754" i="1"/>
  <c r="T1754" i="1"/>
  <c r="U1754" i="1"/>
  <c r="V1754" i="1"/>
  <c r="O1755" i="1"/>
  <c r="P1755" i="1"/>
  <c r="Q1755" i="1"/>
  <c r="R1755" i="1"/>
  <c r="S1755" i="1"/>
  <c r="T1755" i="1"/>
  <c r="U1755" i="1"/>
  <c r="V1755" i="1"/>
  <c r="O1756" i="1"/>
  <c r="P1756" i="1"/>
  <c r="Q1756" i="1"/>
  <c r="R1756" i="1"/>
  <c r="S1756" i="1"/>
  <c r="T1756" i="1"/>
  <c r="U1756" i="1"/>
  <c r="V1756" i="1"/>
  <c r="O1757" i="1"/>
  <c r="P1757" i="1"/>
  <c r="Q1757" i="1"/>
  <c r="R1757" i="1"/>
  <c r="S1757" i="1"/>
  <c r="T1757" i="1"/>
  <c r="U1757" i="1"/>
  <c r="V1757" i="1"/>
  <c r="O1758" i="1"/>
  <c r="P1758" i="1"/>
  <c r="Q1758" i="1"/>
  <c r="R1758" i="1"/>
  <c r="S1758" i="1"/>
  <c r="T1758" i="1"/>
  <c r="U1758" i="1"/>
  <c r="V1758" i="1"/>
  <c r="O1759" i="1"/>
  <c r="P1759" i="1"/>
  <c r="Q1759" i="1"/>
  <c r="R1759" i="1"/>
  <c r="S1759" i="1"/>
  <c r="T1759" i="1"/>
  <c r="U1759" i="1"/>
  <c r="V1759" i="1"/>
  <c r="O1760" i="1"/>
  <c r="P1760" i="1"/>
  <c r="Q1760" i="1"/>
  <c r="R1760" i="1"/>
  <c r="S1760" i="1"/>
  <c r="T1760" i="1"/>
  <c r="U1760" i="1"/>
  <c r="V1760" i="1"/>
  <c r="O1761" i="1"/>
  <c r="P1761" i="1"/>
  <c r="Q1761" i="1"/>
  <c r="R1761" i="1"/>
  <c r="S1761" i="1"/>
  <c r="T1761" i="1"/>
  <c r="U1761" i="1"/>
  <c r="V1761" i="1"/>
  <c r="O1762" i="1"/>
  <c r="P1762" i="1"/>
  <c r="Q1762" i="1"/>
  <c r="R1762" i="1"/>
  <c r="S1762" i="1"/>
  <c r="T1762" i="1"/>
  <c r="U1762" i="1"/>
  <c r="V1762" i="1"/>
  <c r="O1763" i="1"/>
  <c r="P1763" i="1"/>
  <c r="Q1763" i="1"/>
  <c r="R1763" i="1"/>
  <c r="S1763" i="1"/>
  <c r="T1763" i="1"/>
  <c r="U1763" i="1"/>
  <c r="V1763" i="1"/>
  <c r="O1764" i="1"/>
  <c r="P1764" i="1"/>
  <c r="Q1764" i="1"/>
  <c r="R1764" i="1"/>
  <c r="S1764" i="1"/>
  <c r="T1764" i="1"/>
  <c r="U1764" i="1"/>
  <c r="V1764" i="1"/>
  <c r="O1765" i="1"/>
  <c r="P1765" i="1"/>
  <c r="Q1765" i="1"/>
  <c r="R1765" i="1"/>
  <c r="S1765" i="1"/>
  <c r="T1765" i="1"/>
  <c r="U1765" i="1"/>
  <c r="V1765" i="1"/>
  <c r="O1766" i="1"/>
  <c r="P1766" i="1"/>
  <c r="Q1766" i="1"/>
  <c r="R1766" i="1"/>
  <c r="S1766" i="1"/>
  <c r="T1766" i="1"/>
  <c r="U1766" i="1"/>
  <c r="V1766" i="1"/>
  <c r="O1767" i="1"/>
  <c r="P1767" i="1"/>
  <c r="Q1767" i="1"/>
  <c r="R1767" i="1"/>
  <c r="S1767" i="1"/>
  <c r="T1767" i="1"/>
  <c r="U1767" i="1"/>
  <c r="V1767" i="1"/>
  <c r="O1768" i="1"/>
  <c r="P1768" i="1"/>
  <c r="Q1768" i="1"/>
  <c r="R1768" i="1"/>
  <c r="S1768" i="1"/>
  <c r="T1768" i="1"/>
  <c r="U1768" i="1"/>
  <c r="V1768" i="1"/>
  <c r="O1769" i="1"/>
  <c r="P1769" i="1"/>
  <c r="Q1769" i="1"/>
  <c r="R1769" i="1"/>
  <c r="S1769" i="1"/>
  <c r="T1769" i="1"/>
  <c r="U1769" i="1"/>
  <c r="V1769" i="1"/>
  <c r="O1770" i="1"/>
  <c r="P1770" i="1"/>
  <c r="Q1770" i="1"/>
  <c r="R1770" i="1"/>
  <c r="S1770" i="1"/>
  <c r="T1770" i="1"/>
  <c r="U1770" i="1"/>
  <c r="V1770" i="1"/>
  <c r="O1771" i="1"/>
  <c r="P1771" i="1"/>
  <c r="Q1771" i="1"/>
  <c r="R1771" i="1"/>
  <c r="S1771" i="1"/>
  <c r="T1771" i="1"/>
  <c r="U1771" i="1"/>
  <c r="V1771" i="1"/>
  <c r="O1772" i="1"/>
  <c r="P1772" i="1"/>
  <c r="Q1772" i="1"/>
  <c r="R1772" i="1"/>
  <c r="S1772" i="1"/>
  <c r="T1772" i="1"/>
  <c r="U1772" i="1"/>
  <c r="V1772" i="1"/>
  <c r="O1773" i="1"/>
  <c r="P1773" i="1"/>
  <c r="Q1773" i="1"/>
  <c r="R1773" i="1"/>
  <c r="S1773" i="1"/>
  <c r="T1773" i="1"/>
  <c r="U1773" i="1"/>
  <c r="V1773" i="1"/>
  <c r="O1774" i="1"/>
  <c r="P1774" i="1"/>
  <c r="Q1774" i="1"/>
  <c r="R1774" i="1"/>
  <c r="S1774" i="1"/>
  <c r="T1774" i="1"/>
  <c r="U1774" i="1"/>
  <c r="V1774" i="1"/>
  <c r="O1775" i="1"/>
  <c r="P1775" i="1"/>
  <c r="Q1775" i="1"/>
  <c r="R1775" i="1"/>
  <c r="S1775" i="1"/>
  <c r="T1775" i="1"/>
  <c r="U1775" i="1"/>
  <c r="V1775" i="1"/>
  <c r="O1776" i="1"/>
  <c r="P1776" i="1"/>
  <c r="Q1776" i="1"/>
  <c r="R1776" i="1"/>
  <c r="S1776" i="1"/>
  <c r="T1776" i="1"/>
  <c r="U1776" i="1"/>
  <c r="V1776" i="1"/>
  <c r="O1777" i="1"/>
  <c r="P1777" i="1"/>
  <c r="Q1777" i="1"/>
  <c r="R1777" i="1"/>
  <c r="S1777" i="1"/>
  <c r="T1777" i="1"/>
  <c r="U1777" i="1"/>
  <c r="V1777" i="1"/>
  <c r="O1778" i="1"/>
  <c r="P1778" i="1"/>
  <c r="Q1778" i="1"/>
  <c r="R1778" i="1"/>
  <c r="S1778" i="1"/>
  <c r="T1778" i="1"/>
  <c r="U1778" i="1"/>
  <c r="V1778" i="1"/>
  <c r="O1779" i="1"/>
  <c r="P1779" i="1"/>
  <c r="Q1779" i="1"/>
  <c r="R1779" i="1"/>
  <c r="S1779" i="1"/>
  <c r="T1779" i="1"/>
  <c r="U1779" i="1"/>
  <c r="V1779" i="1"/>
  <c r="O1780" i="1"/>
  <c r="P1780" i="1"/>
  <c r="Q1780" i="1"/>
  <c r="R1780" i="1"/>
  <c r="S1780" i="1"/>
  <c r="T1780" i="1"/>
  <c r="U1780" i="1"/>
  <c r="V1780" i="1"/>
  <c r="O1781" i="1"/>
  <c r="P1781" i="1"/>
  <c r="Q1781" i="1"/>
  <c r="R1781" i="1"/>
  <c r="S1781" i="1"/>
  <c r="T1781" i="1"/>
  <c r="U1781" i="1"/>
  <c r="V1781" i="1"/>
  <c r="O1782" i="1"/>
  <c r="P1782" i="1"/>
  <c r="Q1782" i="1"/>
  <c r="R1782" i="1"/>
  <c r="S1782" i="1"/>
  <c r="T1782" i="1"/>
  <c r="U1782" i="1"/>
  <c r="V1782" i="1"/>
  <c r="O1783" i="1"/>
  <c r="P1783" i="1"/>
  <c r="Q1783" i="1"/>
  <c r="R1783" i="1"/>
  <c r="S1783" i="1"/>
  <c r="T1783" i="1"/>
  <c r="U1783" i="1"/>
  <c r="V1783" i="1"/>
  <c r="O1784" i="1"/>
  <c r="P1784" i="1"/>
  <c r="Q1784" i="1"/>
  <c r="R1784" i="1"/>
  <c r="S1784" i="1"/>
  <c r="T1784" i="1"/>
  <c r="U1784" i="1"/>
  <c r="V1784" i="1"/>
  <c r="O1785" i="1"/>
  <c r="P1785" i="1"/>
  <c r="Q1785" i="1"/>
  <c r="R1785" i="1"/>
  <c r="S1785" i="1"/>
  <c r="T1785" i="1"/>
  <c r="U1785" i="1"/>
  <c r="V1785" i="1"/>
  <c r="O1786" i="1"/>
  <c r="P1786" i="1"/>
  <c r="Q1786" i="1"/>
  <c r="R1786" i="1"/>
  <c r="S1786" i="1"/>
  <c r="T1786" i="1"/>
  <c r="U1786" i="1"/>
  <c r="V1786" i="1"/>
  <c r="O1787" i="1"/>
  <c r="P1787" i="1"/>
  <c r="Q1787" i="1"/>
  <c r="R1787" i="1"/>
  <c r="S1787" i="1"/>
  <c r="T1787" i="1"/>
  <c r="U1787" i="1"/>
  <c r="V1787" i="1"/>
  <c r="O1788" i="1"/>
  <c r="P1788" i="1"/>
  <c r="Q1788" i="1"/>
  <c r="R1788" i="1"/>
  <c r="S1788" i="1"/>
  <c r="T1788" i="1"/>
  <c r="U1788" i="1"/>
  <c r="V1788" i="1"/>
  <c r="O1789" i="1"/>
  <c r="P1789" i="1"/>
  <c r="Q1789" i="1"/>
  <c r="R1789" i="1"/>
  <c r="S1789" i="1"/>
  <c r="T1789" i="1"/>
  <c r="U1789" i="1"/>
  <c r="V1789" i="1"/>
  <c r="O1790" i="1"/>
  <c r="P1790" i="1"/>
  <c r="Q1790" i="1"/>
  <c r="R1790" i="1"/>
  <c r="S1790" i="1"/>
  <c r="T1790" i="1"/>
  <c r="U1790" i="1"/>
  <c r="V1790" i="1"/>
  <c r="O1791" i="1"/>
  <c r="P1791" i="1"/>
  <c r="Q1791" i="1"/>
  <c r="R1791" i="1"/>
  <c r="S1791" i="1"/>
  <c r="T1791" i="1"/>
  <c r="U1791" i="1"/>
  <c r="V1791" i="1"/>
  <c r="O1792" i="1"/>
  <c r="P1792" i="1"/>
  <c r="Q1792" i="1"/>
  <c r="R1792" i="1"/>
  <c r="S1792" i="1"/>
  <c r="T1792" i="1"/>
  <c r="U1792" i="1"/>
  <c r="V1792" i="1"/>
  <c r="O1793" i="1"/>
  <c r="P1793" i="1"/>
  <c r="Q1793" i="1"/>
  <c r="R1793" i="1"/>
  <c r="S1793" i="1"/>
  <c r="T1793" i="1"/>
  <c r="U1793" i="1"/>
  <c r="V1793" i="1"/>
  <c r="O1794" i="1"/>
  <c r="P1794" i="1"/>
  <c r="Q1794" i="1"/>
  <c r="R1794" i="1"/>
  <c r="S1794" i="1"/>
  <c r="T1794" i="1"/>
  <c r="U1794" i="1"/>
  <c r="V1794" i="1"/>
  <c r="O1795" i="1"/>
  <c r="P1795" i="1"/>
  <c r="Q1795" i="1"/>
  <c r="R1795" i="1"/>
  <c r="S1795" i="1"/>
  <c r="T1795" i="1"/>
  <c r="U1795" i="1"/>
  <c r="V1795" i="1"/>
  <c r="O1796" i="1"/>
  <c r="P1796" i="1"/>
  <c r="Q1796" i="1"/>
  <c r="R1796" i="1"/>
  <c r="S1796" i="1"/>
  <c r="T1796" i="1"/>
  <c r="U1796" i="1"/>
  <c r="V1796" i="1"/>
  <c r="O1797" i="1"/>
  <c r="P1797" i="1"/>
  <c r="Q1797" i="1"/>
  <c r="R1797" i="1"/>
  <c r="S1797" i="1"/>
  <c r="T1797" i="1"/>
  <c r="U1797" i="1"/>
  <c r="V1797" i="1"/>
  <c r="O1798" i="1"/>
  <c r="P1798" i="1"/>
  <c r="Q1798" i="1"/>
  <c r="R1798" i="1"/>
  <c r="S1798" i="1"/>
  <c r="T1798" i="1"/>
  <c r="U1798" i="1"/>
  <c r="V1798" i="1"/>
  <c r="O1799" i="1"/>
  <c r="P1799" i="1"/>
  <c r="Q1799" i="1"/>
  <c r="R1799" i="1"/>
  <c r="S1799" i="1"/>
  <c r="T1799" i="1"/>
  <c r="U1799" i="1"/>
  <c r="V1799" i="1"/>
  <c r="O1800" i="1"/>
  <c r="P1800" i="1"/>
  <c r="Q1800" i="1"/>
  <c r="R1800" i="1"/>
  <c r="S1800" i="1"/>
  <c r="T1800" i="1"/>
  <c r="U1800" i="1"/>
  <c r="V1800" i="1"/>
  <c r="O1801" i="1"/>
  <c r="P1801" i="1"/>
  <c r="Q1801" i="1"/>
  <c r="R1801" i="1"/>
  <c r="S1801" i="1"/>
  <c r="T1801" i="1"/>
  <c r="U1801" i="1"/>
  <c r="V1801" i="1"/>
  <c r="O1802" i="1"/>
  <c r="P1802" i="1"/>
  <c r="Q1802" i="1"/>
  <c r="R1802" i="1"/>
  <c r="S1802" i="1"/>
  <c r="T1802" i="1"/>
  <c r="U1802" i="1"/>
  <c r="V1802" i="1"/>
  <c r="O1803" i="1"/>
  <c r="P1803" i="1"/>
  <c r="Q1803" i="1"/>
  <c r="R1803" i="1"/>
  <c r="S1803" i="1"/>
  <c r="T1803" i="1"/>
  <c r="U1803" i="1"/>
  <c r="V1803" i="1"/>
  <c r="O1804" i="1"/>
  <c r="P1804" i="1"/>
  <c r="Q1804" i="1"/>
  <c r="R1804" i="1"/>
  <c r="S1804" i="1"/>
  <c r="T1804" i="1"/>
  <c r="U1804" i="1"/>
  <c r="V1804" i="1"/>
  <c r="O1805" i="1"/>
  <c r="P1805" i="1"/>
  <c r="Q1805" i="1"/>
  <c r="R1805" i="1"/>
  <c r="S1805" i="1"/>
  <c r="T1805" i="1"/>
  <c r="U1805" i="1"/>
  <c r="V1805" i="1"/>
  <c r="O1806" i="1"/>
  <c r="P1806" i="1"/>
  <c r="Q1806" i="1"/>
  <c r="R1806" i="1"/>
  <c r="S1806" i="1"/>
  <c r="T1806" i="1"/>
  <c r="U1806" i="1"/>
  <c r="V1806" i="1"/>
  <c r="O1807" i="1"/>
  <c r="P1807" i="1"/>
  <c r="Q1807" i="1"/>
  <c r="R1807" i="1"/>
  <c r="S1807" i="1"/>
  <c r="T1807" i="1"/>
  <c r="U1807" i="1"/>
  <c r="V1807" i="1"/>
  <c r="O1808" i="1"/>
  <c r="P1808" i="1"/>
  <c r="Q1808" i="1"/>
  <c r="R1808" i="1"/>
  <c r="S1808" i="1"/>
  <c r="T1808" i="1"/>
  <c r="U1808" i="1"/>
  <c r="V1808" i="1"/>
  <c r="O1809" i="1"/>
  <c r="P1809" i="1"/>
  <c r="Q1809" i="1"/>
  <c r="R1809" i="1"/>
  <c r="S1809" i="1"/>
  <c r="T1809" i="1"/>
  <c r="U1809" i="1"/>
  <c r="V1809" i="1"/>
  <c r="O1810" i="1"/>
  <c r="P1810" i="1"/>
  <c r="Q1810" i="1"/>
  <c r="R1810" i="1"/>
  <c r="S1810" i="1"/>
  <c r="T1810" i="1"/>
  <c r="U1810" i="1"/>
  <c r="V1810" i="1"/>
  <c r="O1811" i="1"/>
  <c r="P1811" i="1"/>
  <c r="Q1811" i="1"/>
  <c r="R1811" i="1"/>
  <c r="S1811" i="1"/>
  <c r="T1811" i="1"/>
  <c r="U1811" i="1"/>
  <c r="V1811" i="1"/>
  <c r="O1812" i="1"/>
  <c r="P1812" i="1"/>
  <c r="Q1812" i="1"/>
  <c r="R1812" i="1"/>
  <c r="S1812" i="1"/>
  <c r="T1812" i="1"/>
  <c r="U1812" i="1"/>
  <c r="V1812" i="1"/>
  <c r="O1813" i="1"/>
  <c r="P1813" i="1"/>
  <c r="Q1813" i="1"/>
  <c r="R1813" i="1"/>
  <c r="S1813" i="1"/>
  <c r="T1813" i="1"/>
  <c r="U1813" i="1"/>
  <c r="V1813" i="1"/>
  <c r="O1814" i="1"/>
  <c r="P1814" i="1"/>
  <c r="Q1814" i="1"/>
  <c r="R1814" i="1"/>
  <c r="S1814" i="1"/>
  <c r="T1814" i="1"/>
  <c r="U1814" i="1"/>
  <c r="V1814" i="1"/>
  <c r="O1815" i="1"/>
  <c r="P1815" i="1"/>
  <c r="Q1815" i="1"/>
  <c r="R1815" i="1"/>
  <c r="S1815" i="1"/>
  <c r="T1815" i="1"/>
  <c r="U1815" i="1"/>
  <c r="V1815" i="1"/>
  <c r="O1816" i="1"/>
  <c r="P1816" i="1"/>
  <c r="Q1816" i="1"/>
  <c r="R1816" i="1"/>
  <c r="S1816" i="1"/>
  <c r="T1816" i="1"/>
  <c r="U1816" i="1"/>
  <c r="V1816" i="1"/>
  <c r="O1817" i="1"/>
  <c r="P1817" i="1"/>
  <c r="Q1817" i="1"/>
  <c r="R1817" i="1"/>
  <c r="S1817" i="1"/>
  <c r="T1817" i="1"/>
  <c r="U1817" i="1"/>
  <c r="V1817" i="1"/>
  <c r="O1818" i="1"/>
  <c r="P1818" i="1"/>
  <c r="Q1818" i="1"/>
  <c r="R1818" i="1"/>
  <c r="S1818" i="1"/>
  <c r="T1818" i="1"/>
  <c r="U1818" i="1"/>
  <c r="V1818" i="1"/>
  <c r="O1819" i="1"/>
  <c r="P1819" i="1"/>
  <c r="Q1819" i="1"/>
  <c r="R1819" i="1"/>
  <c r="S1819" i="1"/>
  <c r="T1819" i="1"/>
  <c r="U1819" i="1"/>
  <c r="V1819" i="1"/>
  <c r="O1820" i="1"/>
  <c r="P1820" i="1"/>
  <c r="Q1820" i="1"/>
  <c r="R1820" i="1"/>
  <c r="S1820" i="1"/>
  <c r="T1820" i="1"/>
  <c r="U1820" i="1"/>
  <c r="V1820" i="1"/>
  <c r="O1821" i="1"/>
  <c r="P1821" i="1"/>
  <c r="Q1821" i="1"/>
  <c r="R1821" i="1"/>
  <c r="S1821" i="1"/>
  <c r="T1821" i="1"/>
  <c r="U1821" i="1"/>
  <c r="V1821" i="1"/>
  <c r="O1822" i="1"/>
  <c r="P1822" i="1"/>
  <c r="Q1822" i="1"/>
  <c r="R1822" i="1"/>
  <c r="S1822" i="1"/>
  <c r="T1822" i="1"/>
  <c r="U1822" i="1"/>
  <c r="V1822" i="1"/>
  <c r="O1823" i="1"/>
  <c r="P1823" i="1"/>
  <c r="Q1823" i="1"/>
  <c r="R1823" i="1"/>
  <c r="S1823" i="1"/>
  <c r="T1823" i="1"/>
  <c r="U1823" i="1"/>
  <c r="V1823" i="1"/>
  <c r="O1824" i="1"/>
  <c r="P1824" i="1"/>
  <c r="Q1824" i="1"/>
  <c r="R1824" i="1"/>
  <c r="S1824" i="1"/>
  <c r="T1824" i="1"/>
  <c r="U1824" i="1"/>
  <c r="V1824" i="1"/>
  <c r="O1825" i="1"/>
  <c r="P1825" i="1"/>
  <c r="Q1825" i="1"/>
  <c r="R1825" i="1"/>
  <c r="S1825" i="1"/>
  <c r="T1825" i="1"/>
  <c r="U1825" i="1"/>
  <c r="V1825" i="1"/>
  <c r="O1826" i="1"/>
  <c r="P1826" i="1"/>
  <c r="Q1826" i="1"/>
  <c r="R1826" i="1"/>
  <c r="S1826" i="1"/>
  <c r="T1826" i="1"/>
  <c r="U1826" i="1"/>
  <c r="V1826" i="1"/>
  <c r="O1827" i="1"/>
  <c r="P1827" i="1"/>
  <c r="Q1827" i="1"/>
  <c r="R1827" i="1"/>
  <c r="S1827" i="1"/>
  <c r="T1827" i="1"/>
  <c r="U1827" i="1"/>
  <c r="V1827" i="1"/>
  <c r="O1828" i="1"/>
  <c r="P1828" i="1"/>
  <c r="Q1828" i="1"/>
  <c r="R1828" i="1"/>
  <c r="S1828" i="1"/>
  <c r="T1828" i="1"/>
  <c r="U1828" i="1"/>
  <c r="V1828" i="1"/>
  <c r="O1829" i="1"/>
  <c r="P1829" i="1"/>
  <c r="Q1829" i="1"/>
  <c r="R1829" i="1"/>
  <c r="S1829" i="1"/>
  <c r="T1829" i="1"/>
  <c r="U1829" i="1"/>
  <c r="V1829" i="1"/>
  <c r="O1830" i="1"/>
  <c r="P1830" i="1"/>
  <c r="Q1830" i="1"/>
  <c r="R1830" i="1"/>
  <c r="S1830" i="1"/>
  <c r="T1830" i="1"/>
  <c r="U1830" i="1"/>
  <c r="V1830" i="1"/>
  <c r="O1831" i="1"/>
  <c r="P1831" i="1"/>
  <c r="Q1831" i="1"/>
  <c r="R1831" i="1"/>
  <c r="S1831" i="1"/>
  <c r="T1831" i="1"/>
  <c r="U1831" i="1"/>
  <c r="V1831" i="1"/>
  <c r="O1832" i="1"/>
  <c r="P1832" i="1"/>
  <c r="Q1832" i="1"/>
  <c r="R1832" i="1"/>
  <c r="S1832" i="1"/>
  <c r="T1832" i="1"/>
  <c r="U1832" i="1"/>
  <c r="V1832" i="1"/>
  <c r="O1833" i="1"/>
  <c r="P1833" i="1"/>
  <c r="Q1833" i="1"/>
  <c r="R1833" i="1"/>
  <c r="S1833" i="1"/>
  <c r="T1833" i="1"/>
  <c r="U1833" i="1"/>
  <c r="V1833" i="1"/>
  <c r="O1834" i="1"/>
  <c r="P1834" i="1"/>
  <c r="Q1834" i="1"/>
  <c r="R1834" i="1"/>
  <c r="S1834" i="1"/>
  <c r="T1834" i="1"/>
  <c r="U1834" i="1"/>
  <c r="V1834" i="1"/>
  <c r="O1835" i="1"/>
  <c r="P1835" i="1"/>
  <c r="Q1835" i="1"/>
  <c r="R1835" i="1"/>
  <c r="S1835" i="1"/>
  <c r="T1835" i="1"/>
  <c r="U1835" i="1"/>
  <c r="V1835" i="1"/>
  <c r="O1836" i="1"/>
  <c r="P1836" i="1"/>
  <c r="Q1836" i="1"/>
  <c r="R1836" i="1"/>
  <c r="S1836" i="1"/>
  <c r="T1836" i="1"/>
  <c r="U1836" i="1"/>
  <c r="V1836" i="1"/>
  <c r="O1837" i="1"/>
  <c r="P1837" i="1"/>
  <c r="Q1837" i="1"/>
  <c r="R1837" i="1"/>
  <c r="S1837" i="1"/>
  <c r="T1837" i="1"/>
  <c r="U1837" i="1"/>
  <c r="V1837" i="1"/>
  <c r="O1838" i="1"/>
  <c r="P1838" i="1"/>
  <c r="Q1838" i="1"/>
  <c r="R1838" i="1"/>
  <c r="S1838" i="1"/>
  <c r="T1838" i="1"/>
  <c r="U1838" i="1"/>
  <c r="V1838" i="1"/>
  <c r="O1839" i="1"/>
  <c r="P1839" i="1"/>
  <c r="Q1839" i="1"/>
  <c r="R1839" i="1"/>
  <c r="S1839" i="1"/>
  <c r="T1839" i="1"/>
  <c r="U1839" i="1"/>
  <c r="V1839" i="1"/>
  <c r="O1840" i="1"/>
  <c r="P1840" i="1"/>
  <c r="Q1840" i="1"/>
  <c r="R1840" i="1"/>
  <c r="S1840" i="1"/>
  <c r="T1840" i="1"/>
  <c r="U1840" i="1"/>
  <c r="V1840" i="1"/>
  <c r="O1841" i="1"/>
  <c r="P1841" i="1"/>
  <c r="Q1841" i="1"/>
  <c r="R1841" i="1"/>
  <c r="S1841" i="1"/>
  <c r="T1841" i="1"/>
  <c r="U1841" i="1"/>
  <c r="V1841" i="1"/>
  <c r="O1842" i="1"/>
  <c r="P1842" i="1"/>
  <c r="Q1842" i="1"/>
  <c r="R1842" i="1"/>
  <c r="S1842" i="1"/>
  <c r="T1842" i="1"/>
  <c r="U1842" i="1"/>
  <c r="V1842" i="1"/>
  <c r="O1843" i="1"/>
  <c r="P1843" i="1"/>
  <c r="Q1843" i="1"/>
  <c r="R1843" i="1"/>
  <c r="S1843" i="1"/>
  <c r="T1843" i="1"/>
  <c r="U1843" i="1"/>
  <c r="V1843" i="1"/>
  <c r="O1844" i="1"/>
  <c r="P1844" i="1"/>
  <c r="Q1844" i="1"/>
  <c r="R1844" i="1"/>
  <c r="S1844" i="1"/>
  <c r="T1844" i="1"/>
  <c r="U1844" i="1"/>
  <c r="V1844" i="1"/>
  <c r="O1845" i="1"/>
  <c r="P1845" i="1"/>
  <c r="Q1845" i="1"/>
  <c r="R1845" i="1"/>
  <c r="S1845" i="1"/>
  <c r="T1845" i="1"/>
  <c r="U1845" i="1"/>
  <c r="V1845" i="1"/>
  <c r="O1846" i="1"/>
  <c r="P1846" i="1"/>
  <c r="Q1846" i="1"/>
  <c r="R1846" i="1"/>
  <c r="S1846" i="1"/>
  <c r="T1846" i="1"/>
  <c r="U1846" i="1"/>
  <c r="V1846" i="1"/>
  <c r="O1847" i="1"/>
  <c r="P1847" i="1"/>
  <c r="Q1847" i="1"/>
  <c r="R1847" i="1"/>
  <c r="S1847" i="1"/>
  <c r="T1847" i="1"/>
  <c r="U1847" i="1"/>
  <c r="V1847" i="1"/>
  <c r="O1848" i="1"/>
  <c r="P1848" i="1"/>
  <c r="Q1848" i="1"/>
  <c r="R1848" i="1"/>
  <c r="S1848" i="1"/>
  <c r="T1848" i="1"/>
  <c r="U1848" i="1"/>
  <c r="V1848" i="1"/>
  <c r="O1849" i="1"/>
  <c r="P1849" i="1"/>
  <c r="Q1849" i="1"/>
  <c r="R1849" i="1"/>
  <c r="S1849" i="1"/>
  <c r="T1849" i="1"/>
  <c r="U1849" i="1"/>
  <c r="V1849" i="1"/>
  <c r="O1850" i="1"/>
  <c r="P1850" i="1"/>
  <c r="Q1850" i="1"/>
  <c r="R1850" i="1"/>
  <c r="S1850" i="1"/>
  <c r="T1850" i="1"/>
  <c r="U1850" i="1"/>
  <c r="V1850" i="1"/>
  <c r="O1851" i="1"/>
  <c r="P1851" i="1"/>
  <c r="Q1851" i="1"/>
  <c r="R1851" i="1"/>
  <c r="S1851" i="1"/>
  <c r="T1851" i="1"/>
  <c r="U1851" i="1"/>
  <c r="V1851" i="1"/>
  <c r="O1852" i="1"/>
  <c r="P1852" i="1"/>
  <c r="Q1852" i="1"/>
  <c r="R1852" i="1"/>
  <c r="S1852" i="1"/>
  <c r="T1852" i="1"/>
  <c r="U1852" i="1"/>
  <c r="V1852" i="1"/>
  <c r="O1853" i="1"/>
  <c r="P1853" i="1"/>
  <c r="Q1853" i="1"/>
  <c r="R1853" i="1"/>
  <c r="S1853" i="1"/>
  <c r="T1853" i="1"/>
  <c r="U1853" i="1"/>
  <c r="V1853" i="1"/>
  <c r="O1854" i="1"/>
  <c r="P1854" i="1"/>
  <c r="Q1854" i="1"/>
  <c r="R1854" i="1"/>
  <c r="S1854" i="1"/>
  <c r="T1854" i="1"/>
  <c r="U1854" i="1"/>
  <c r="V1854" i="1"/>
  <c r="O1855" i="1"/>
  <c r="P1855" i="1"/>
  <c r="Q1855" i="1"/>
  <c r="R1855" i="1"/>
  <c r="S1855" i="1"/>
  <c r="T1855" i="1"/>
  <c r="U1855" i="1"/>
  <c r="V1855" i="1"/>
  <c r="O1856" i="1"/>
  <c r="P1856" i="1"/>
  <c r="Q1856" i="1"/>
  <c r="R1856" i="1"/>
  <c r="S1856" i="1"/>
  <c r="T1856" i="1"/>
  <c r="U1856" i="1"/>
  <c r="V1856" i="1"/>
  <c r="O1857" i="1"/>
  <c r="P1857" i="1"/>
  <c r="Q1857" i="1"/>
  <c r="R1857" i="1"/>
  <c r="S1857" i="1"/>
  <c r="T1857" i="1"/>
  <c r="U1857" i="1"/>
  <c r="V1857" i="1"/>
  <c r="O1858" i="1"/>
  <c r="P1858" i="1"/>
  <c r="Q1858" i="1"/>
  <c r="R1858" i="1"/>
  <c r="S1858" i="1"/>
  <c r="T1858" i="1"/>
  <c r="U1858" i="1"/>
  <c r="V1858" i="1"/>
  <c r="O1859" i="1"/>
  <c r="P1859" i="1"/>
  <c r="Q1859" i="1"/>
  <c r="R1859" i="1"/>
  <c r="S1859" i="1"/>
  <c r="T1859" i="1"/>
  <c r="U1859" i="1"/>
  <c r="V1859" i="1"/>
  <c r="O1860" i="1"/>
  <c r="P1860" i="1"/>
  <c r="Q1860" i="1"/>
  <c r="R1860" i="1"/>
  <c r="S1860" i="1"/>
  <c r="T1860" i="1"/>
  <c r="U1860" i="1"/>
  <c r="V1860" i="1"/>
  <c r="O1861" i="1"/>
  <c r="P1861" i="1"/>
  <c r="Q1861" i="1"/>
  <c r="R1861" i="1"/>
  <c r="S1861" i="1"/>
  <c r="T1861" i="1"/>
  <c r="U1861" i="1"/>
  <c r="V1861" i="1"/>
  <c r="O1862" i="1"/>
  <c r="P1862" i="1"/>
  <c r="Q1862" i="1"/>
  <c r="R1862" i="1"/>
  <c r="S1862" i="1"/>
  <c r="T1862" i="1"/>
  <c r="U1862" i="1"/>
  <c r="V1862" i="1"/>
  <c r="O1863" i="1"/>
  <c r="P1863" i="1"/>
  <c r="Q1863" i="1"/>
  <c r="R1863" i="1"/>
  <c r="S1863" i="1"/>
  <c r="T1863" i="1"/>
  <c r="U1863" i="1"/>
  <c r="V1863" i="1"/>
  <c r="O1864" i="1"/>
  <c r="P1864" i="1"/>
  <c r="Q1864" i="1"/>
  <c r="R1864" i="1"/>
  <c r="S1864" i="1"/>
  <c r="T1864" i="1"/>
  <c r="U1864" i="1"/>
  <c r="V1864" i="1"/>
  <c r="O1865" i="1"/>
  <c r="P1865" i="1"/>
  <c r="Q1865" i="1"/>
  <c r="R1865" i="1"/>
  <c r="S1865" i="1"/>
  <c r="T1865" i="1"/>
  <c r="U1865" i="1"/>
  <c r="V1865" i="1"/>
  <c r="O1866" i="1"/>
  <c r="P1866" i="1"/>
  <c r="Q1866" i="1"/>
  <c r="R1866" i="1"/>
  <c r="S1866" i="1"/>
  <c r="T1866" i="1"/>
  <c r="U1866" i="1"/>
  <c r="V1866" i="1"/>
  <c r="O1867" i="1"/>
  <c r="P1867" i="1"/>
  <c r="Q1867" i="1"/>
  <c r="R1867" i="1"/>
  <c r="S1867" i="1"/>
  <c r="T1867" i="1"/>
  <c r="U1867" i="1"/>
  <c r="V1867" i="1"/>
  <c r="O1868" i="1"/>
  <c r="P1868" i="1"/>
  <c r="Q1868" i="1"/>
  <c r="R1868" i="1"/>
  <c r="S1868" i="1"/>
  <c r="T1868" i="1"/>
  <c r="U1868" i="1"/>
  <c r="V1868" i="1"/>
  <c r="O1869" i="1"/>
  <c r="P1869" i="1"/>
  <c r="Q1869" i="1"/>
  <c r="R1869" i="1"/>
  <c r="S1869" i="1"/>
  <c r="T1869" i="1"/>
  <c r="U1869" i="1"/>
  <c r="V1869" i="1"/>
  <c r="O1870" i="1"/>
  <c r="P1870" i="1"/>
  <c r="Q1870" i="1"/>
  <c r="R1870" i="1"/>
  <c r="S1870" i="1"/>
  <c r="T1870" i="1"/>
  <c r="U1870" i="1"/>
  <c r="V1870" i="1"/>
  <c r="O1871" i="1"/>
  <c r="P1871" i="1"/>
  <c r="Q1871" i="1"/>
  <c r="R1871" i="1"/>
  <c r="S1871" i="1"/>
  <c r="T1871" i="1"/>
  <c r="U1871" i="1"/>
  <c r="V1871" i="1"/>
  <c r="O1872" i="1"/>
  <c r="P1872" i="1"/>
  <c r="Q1872" i="1"/>
  <c r="R1872" i="1"/>
  <c r="S1872" i="1"/>
  <c r="T1872" i="1"/>
  <c r="U1872" i="1"/>
  <c r="V1872" i="1"/>
  <c r="O1873" i="1"/>
  <c r="P1873" i="1"/>
  <c r="Q1873" i="1"/>
  <c r="R1873" i="1"/>
  <c r="S1873" i="1"/>
  <c r="T1873" i="1"/>
  <c r="U1873" i="1"/>
  <c r="V1873" i="1"/>
  <c r="O1874" i="1"/>
  <c r="P1874" i="1"/>
  <c r="Q1874" i="1"/>
  <c r="R1874" i="1"/>
  <c r="S1874" i="1"/>
  <c r="T1874" i="1"/>
  <c r="U1874" i="1"/>
  <c r="V1874" i="1"/>
  <c r="O1875" i="1"/>
  <c r="P1875" i="1"/>
  <c r="Q1875" i="1"/>
  <c r="R1875" i="1"/>
  <c r="S1875" i="1"/>
  <c r="T1875" i="1"/>
  <c r="U1875" i="1"/>
  <c r="V1875" i="1"/>
  <c r="O1876" i="1"/>
  <c r="P1876" i="1"/>
  <c r="Q1876" i="1"/>
  <c r="R1876" i="1"/>
  <c r="S1876" i="1"/>
  <c r="T1876" i="1"/>
  <c r="U1876" i="1"/>
  <c r="V1876" i="1"/>
  <c r="O1877" i="1"/>
  <c r="P1877" i="1"/>
  <c r="Q1877" i="1"/>
  <c r="R1877" i="1"/>
  <c r="S1877" i="1"/>
  <c r="T1877" i="1"/>
  <c r="U1877" i="1"/>
  <c r="V1877" i="1"/>
  <c r="O1878" i="1"/>
  <c r="P1878" i="1"/>
  <c r="Q1878" i="1"/>
  <c r="R1878" i="1"/>
  <c r="S1878" i="1"/>
  <c r="T1878" i="1"/>
  <c r="U1878" i="1"/>
  <c r="V1878" i="1"/>
  <c r="O1879" i="1"/>
  <c r="P1879" i="1"/>
  <c r="Q1879" i="1"/>
  <c r="R1879" i="1"/>
  <c r="S1879" i="1"/>
  <c r="T1879" i="1"/>
  <c r="U1879" i="1"/>
  <c r="V1879" i="1"/>
  <c r="O1880" i="1"/>
  <c r="P1880" i="1"/>
  <c r="Q1880" i="1"/>
  <c r="R1880" i="1"/>
  <c r="S1880" i="1"/>
  <c r="T1880" i="1"/>
  <c r="U1880" i="1"/>
  <c r="V1880" i="1"/>
  <c r="O1881" i="1"/>
  <c r="P1881" i="1"/>
  <c r="Q1881" i="1"/>
  <c r="R1881" i="1"/>
  <c r="S1881" i="1"/>
  <c r="T1881" i="1"/>
  <c r="U1881" i="1"/>
  <c r="V1881" i="1"/>
  <c r="O1882" i="1"/>
  <c r="P1882" i="1"/>
  <c r="Q1882" i="1"/>
  <c r="R1882" i="1"/>
  <c r="S1882" i="1"/>
  <c r="T1882" i="1"/>
  <c r="U1882" i="1"/>
  <c r="V1882" i="1"/>
  <c r="O1883" i="1"/>
  <c r="P1883" i="1"/>
  <c r="Q1883" i="1"/>
  <c r="R1883" i="1"/>
  <c r="S1883" i="1"/>
  <c r="T1883" i="1"/>
  <c r="U1883" i="1"/>
  <c r="V1883" i="1"/>
  <c r="O1884" i="1"/>
  <c r="P1884" i="1"/>
  <c r="Q1884" i="1"/>
  <c r="R1884" i="1"/>
  <c r="S1884" i="1"/>
  <c r="T1884" i="1"/>
  <c r="U1884" i="1"/>
  <c r="V1884" i="1"/>
  <c r="O1885" i="1"/>
  <c r="P1885" i="1"/>
  <c r="Q1885" i="1"/>
  <c r="R1885" i="1"/>
  <c r="S1885" i="1"/>
  <c r="T1885" i="1"/>
  <c r="U1885" i="1"/>
  <c r="V1885" i="1"/>
  <c r="O1886" i="1"/>
  <c r="P1886" i="1"/>
  <c r="Q1886" i="1"/>
  <c r="R1886" i="1"/>
  <c r="S1886" i="1"/>
  <c r="T1886" i="1"/>
  <c r="U1886" i="1"/>
  <c r="V1886" i="1"/>
  <c r="O1887" i="1"/>
  <c r="P1887" i="1"/>
  <c r="Q1887" i="1"/>
  <c r="R1887" i="1"/>
  <c r="S1887" i="1"/>
  <c r="T1887" i="1"/>
  <c r="U1887" i="1"/>
  <c r="V1887" i="1"/>
  <c r="O1888" i="1"/>
  <c r="P1888" i="1"/>
  <c r="Q1888" i="1"/>
  <c r="R1888" i="1"/>
  <c r="S1888" i="1"/>
  <c r="T1888" i="1"/>
  <c r="U1888" i="1"/>
  <c r="V1888" i="1"/>
  <c r="O1889" i="1"/>
  <c r="P1889" i="1"/>
  <c r="Q1889" i="1"/>
  <c r="R1889" i="1"/>
  <c r="S1889" i="1"/>
  <c r="T1889" i="1"/>
  <c r="U1889" i="1"/>
  <c r="V1889" i="1"/>
  <c r="O1890" i="1"/>
  <c r="P1890" i="1"/>
  <c r="Q1890" i="1"/>
  <c r="R1890" i="1"/>
  <c r="S1890" i="1"/>
  <c r="T1890" i="1"/>
  <c r="U1890" i="1"/>
  <c r="V1890" i="1"/>
  <c r="O1891" i="1"/>
  <c r="P1891" i="1"/>
  <c r="Q1891" i="1"/>
  <c r="R1891" i="1"/>
  <c r="S1891" i="1"/>
  <c r="T1891" i="1"/>
  <c r="U1891" i="1"/>
  <c r="V1891" i="1"/>
  <c r="O1892" i="1"/>
  <c r="P1892" i="1"/>
  <c r="Q1892" i="1"/>
  <c r="R1892" i="1"/>
  <c r="S1892" i="1"/>
  <c r="T1892" i="1"/>
  <c r="U1892" i="1"/>
  <c r="V1892" i="1"/>
  <c r="O1893" i="1"/>
  <c r="P1893" i="1"/>
  <c r="Q1893" i="1"/>
  <c r="R1893" i="1"/>
  <c r="S1893" i="1"/>
  <c r="T1893" i="1"/>
  <c r="U1893" i="1"/>
  <c r="V1893" i="1"/>
  <c r="O1894" i="1"/>
  <c r="P1894" i="1"/>
  <c r="Q1894" i="1"/>
  <c r="R1894" i="1"/>
  <c r="S1894" i="1"/>
  <c r="T1894" i="1"/>
  <c r="U1894" i="1"/>
  <c r="V1894" i="1"/>
  <c r="O1895" i="1"/>
  <c r="P1895" i="1"/>
  <c r="Q1895" i="1"/>
  <c r="R1895" i="1"/>
  <c r="S1895" i="1"/>
  <c r="T1895" i="1"/>
  <c r="U1895" i="1"/>
  <c r="V1895" i="1"/>
  <c r="O1896" i="1"/>
  <c r="P1896" i="1"/>
  <c r="Q1896" i="1"/>
  <c r="R1896" i="1"/>
  <c r="S1896" i="1"/>
  <c r="T1896" i="1"/>
  <c r="U1896" i="1"/>
  <c r="V1896" i="1"/>
  <c r="O1897" i="1"/>
  <c r="P1897" i="1"/>
  <c r="Q1897" i="1"/>
  <c r="R1897" i="1"/>
  <c r="S1897" i="1"/>
  <c r="T1897" i="1"/>
  <c r="U1897" i="1"/>
  <c r="V1897" i="1"/>
  <c r="O1898" i="1"/>
  <c r="P1898" i="1"/>
  <c r="Q1898" i="1"/>
  <c r="R1898" i="1"/>
  <c r="S1898" i="1"/>
  <c r="T1898" i="1"/>
  <c r="U1898" i="1"/>
  <c r="V1898" i="1"/>
  <c r="O1899" i="1"/>
  <c r="P1899" i="1"/>
  <c r="Q1899" i="1"/>
  <c r="R1899" i="1"/>
  <c r="S1899" i="1"/>
  <c r="T1899" i="1"/>
  <c r="U1899" i="1"/>
  <c r="V1899" i="1"/>
  <c r="O1900" i="1"/>
  <c r="P1900" i="1"/>
  <c r="Q1900" i="1"/>
  <c r="R1900" i="1"/>
  <c r="S1900" i="1"/>
  <c r="T1900" i="1"/>
  <c r="U1900" i="1"/>
  <c r="V1900" i="1"/>
  <c r="O1901" i="1"/>
  <c r="P1901" i="1"/>
  <c r="Q1901" i="1"/>
  <c r="R1901" i="1"/>
  <c r="S1901" i="1"/>
  <c r="T1901" i="1"/>
  <c r="U1901" i="1"/>
  <c r="V1901" i="1"/>
  <c r="O1902" i="1"/>
  <c r="P1902" i="1"/>
  <c r="Q1902" i="1"/>
  <c r="R1902" i="1"/>
  <c r="S1902" i="1"/>
  <c r="T1902" i="1"/>
  <c r="U1902" i="1"/>
  <c r="V1902" i="1"/>
  <c r="O1903" i="1"/>
  <c r="P1903" i="1"/>
  <c r="Q1903" i="1"/>
  <c r="R1903" i="1"/>
  <c r="S1903" i="1"/>
  <c r="T1903" i="1"/>
  <c r="U1903" i="1"/>
  <c r="V1903" i="1"/>
  <c r="O1904" i="1"/>
  <c r="P1904" i="1"/>
  <c r="Q1904" i="1"/>
  <c r="R1904" i="1"/>
  <c r="S1904" i="1"/>
  <c r="T1904" i="1"/>
  <c r="U1904" i="1"/>
  <c r="V1904" i="1"/>
  <c r="O1905" i="1"/>
  <c r="P1905" i="1"/>
  <c r="Q1905" i="1"/>
  <c r="R1905" i="1"/>
  <c r="S1905" i="1"/>
  <c r="T1905" i="1"/>
  <c r="U1905" i="1"/>
  <c r="V1905" i="1"/>
  <c r="O1906" i="1"/>
  <c r="P1906" i="1"/>
  <c r="Q1906" i="1"/>
  <c r="R1906" i="1"/>
  <c r="S1906" i="1"/>
  <c r="T1906" i="1"/>
  <c r="U1906" i="1"/>
  <c r="V1906" i="1"/>
  <c r="O1907" i="1"/>
  <c r="P1907" i="1"/>
  <c r="Q1907" i="1"/>
  <c r="R1907" i="1"/>
  <c r="S1907" i="1"/>
  <c r="T1907" i="1"/>
  <c r="U1907" i="1"/>
  <c r="V1907" i="1"/>
  <c r="O1908" i="1"/>
  <c r="P1908" i="1"/>
  <c r="Q1908" i="1"/>
  <c r="R1908" i="1"/>
  <c r="S1908" i="1"/>
  <c r="T1908" i="1"/>
  <c r="U1908" i="1"/>
  <c r="V1908" i="1"/>
  <c r="O1909" i="1"/>
  <c r="P1909" i="1"/>
  <c r="Q1909" i="1"/>
  <c r="R1909" i="1"/>
  <c r="S1909" i="1"/>
  <c r="T1909" i="1"/>
  <c r="U1909" i="1"/>
  <c r="V1909" i="1"/>
  <c r="O1910" i="1"/>
  <c r="P1910" i="1"/>
  <c r="Q1910" i="1"/>
  <c r="R1910" i="1"/>
  <c r="S1910" i="1"/>
  <c r="T1910" i="1"/>
  <c r="U1910" i="1"/>
  <c r="V1910" i="1"/>
  <c r="O1911" i="1"/>
  <c r="P1911" i="1"/>
  <c r="Q1911" i="1"/>
  <c r="R1911" i="1"/>
  <c r="S1911" i="1"/>
  <c r="T1911" i="1"/>
  <c r="U1911" i="1"/>
  <c r="V1911" i="1"/>
  <c r="O1912" i="1"/>
  <c r="P1912" i="1"/>
  <c r="Q1912" i="1"/>
  <c r="R1912" i="1"/>
  <c r="S1912" i="1"/>
  <c r="T1912" i="1"/>
  <c r="U1912" i="1"/>
  <c r="V1912" i="1"/>
  <c r="O1913" i="1"/>
  <c r="P1913" i="1"/>
  <c r="Q1913" i="1"/>
  <c r="R1913" i="1"/>
  <c r="S1913" i="1"/>
  <c r="T1913" i="1"/>
  <c r="U1913" i="1"/>
  <c r="V1913" i="1"/>
  <c r="O1914" i="1"/>
  <c r="P1914" i="1"/>
  <c r="Q1914" i="1"/>
  <c r="R1914" i="1"/>
  <c r="S1914" i="1"/>
  <c r="T1914" i="1"/>
  <c r="U1914" i="1"/>
  <c r="V1914" i="1"/>
  <c r="O1915" i="1"/>
  <c r="P1915" i="1"/>
  <c r="Q1915" i="1"/>
  <c r="R1915" i="1"/>
  <c r="S1915" i="1"/>
  <c r="T1915" i="1"/>
  <c r="U1915" i="1"/>
  <c r="V1915" i="1"/>
  <c r="O1916" i="1"/>
  <c r="P1916" i="1"/>
  <c r="Q1916" i="1"/>
  <c r="R1916" i="1"/>
  <c r="S1916" i="1"/>
  <c r="T1916" i="1"/>
  <c r="U1916" i="1"/>
  <c r="V1916" i="1"/>
  <c r="O1917" i="1"/>
  <c r="P1917" i="1"/>
  <c r="Q1917" i="1"/>
  <c r="R1917" i="1"/>
  <c r="S1917" i="1"/>
  <c r="T1917" i="1"/>
  <c r="U1917" i="1"/>
  <c r="V1917" i="1"/>
  <c r="O1918" i="1"/>
  <c r="P1918" i="1"/>
  <c r="Q1918" i="1"/>
  <c r="R1918" i="1"/>
  <c r="S1918" i="1"/>
  <c r="T1918" i="1"/>
  <c r="U1918" i="1"/>
  <c r="V1918" i="1"/>
  <c r="O1919" i="1"/>
  <c r="P1919" i="1"/>
  <c r="Q1919" i="1"/>
  <c r="R1919" i="1"/>
  <c r="S1919" i="1"/>
  <c r="T1919" i="1"/>
  <c r="U1919" i="1"/>
  <c r="V1919" i="1"/>
  <c r="O1920" i="1"/>
  <c r="P1920" i="1"/>
  <c r="Q1920" i="1"/>
  <c r="R1920" i="1"/>
  <c r="S1920" i="1"/>
  <c r="T1920" i="1"/>
  <c r="U1920" i="1"/>
  <c r="V1920" i="1"/>
  <c r="O1921" i="1"/>
  <c r="P1921" i="1"/>
  <c r="Q1921" i="1"/>
  <c r="R1921" i="1"/>
  <c r="S1921" i="1"/>
  <c r="T1921" i="1"/>
  <c r="U1921" i="1"/>
  <c r="V1921" i="1"/>
  <c r="O1922" i="1"/>
  <c r="P1922" i="1"/>
  <c r="Q1922" i="1"/>
  <c r="R1922" i="1"/>
  <c r="S1922" i="1"/>
  <c r="T1922" i="1"/>
  <c r="U1922" i="1"/>
  <c r="V1922" i="1"/>
  <c r="O1923" i="1"/>
  <c r="P1923" i="1"/>
  <c r="Q1923" i="1"/>
  <c r="R1923" i="1"/>
  <c r="S1923" i="1"/>
  <c r="T1923" i="1"/>
  <c r="U1923" i="1"/>
  <c r="V1923" i="1"/>
  <c r="O1924" i="1"/>
  <c r="P1924" i="1"/>
  <c r="Q1924" i="1"/>
  <c r="R1924" i="1"/>
  <c r="S1924" i="1"/>
  <c r="T1924" i="1"/>
  <c r="U1924" i="1"/>
  <c r="V1924" i="1"/>
  <c r="O1925" i="1"/>
  <c r="P1925" i="1"/>
  <c r="Q1925" i="1"/>
  <c r="R1925" i="1"/>
  <c r="S1925" i="1"/>
  <c r="T1925" i="1"/>
  <c r="U1925" i="1"/>
  <c r="V1925" i="1"/>
  <c r="O1926" i="1"/>
  <c r="P1926" i="1"/>
  <c r="Q1926" i="1"/>
  <c r="R1926" i="1"/>
  <c r="S1926" i="1"/>
  <c r="T1926" i="1"/>
  <c r="U1926" i="1"/>
  <c r="V1926" i="1"/>
  <c r="O1927" i="1"/>
  <c r="P1927" i="1"/>
  <c r="Q1927" i="1"/>
  <c r="R1927" i="1"/>
  <c r="S1927" i="1"/>
  <c r="T1927" i="1"/>
  <c r="U1927" i="1"/>
  <c r="V1927" i="1"/>
  <c r="O1928" i="1"/>
  <c r="P1928" i="1"/>
  <c r="Q1928" i="1"/>
  <c r="R1928" i="1"/>
  <c r="S1928" i="1"/>
  <c r="T1928" i="1"/>
  <c r="U1928" i="1"/>
  <c r="V1928" i="1"/>
  <c r="O1929" i="1"/>
  <c r="P1929" i="1"/>
  <c r="Q1929" i="1"/>
  <c r="R1929" i="1"/>
  <c r="S1929" i="1"/>
  <c r="T1929" i="1"/>
  <c r="U1929" i="1"/>
  <c r="V1929" i="1"/>
  <c r="O1930" i="1"/>
  <c r="P1930" i="1"/>
  <c r="Q1930" i="1"/>
  <c r="R1930" i="1"/>
  <c r="S1930" i="1"/>
  <c r="T1930" i="1"/>
  <c r="U1930" i="1"/>
  <c r="V1930" i="1"/>
  <c r="O1931" i="1"/>
  <c r="P1931" i="1"/>
  <c r="Q1931" i="1"/>
  <c r="R1931" i="1"/>
  <c r="S1931" i="1"/>
  <c r="T1931" i="1"/>
  <c r="U1931" i="1"/>
  <c r="V1931" i="1"/>
  <c r="O1932" i="1"/>
  <c r="P1932" i="1"/>
  <c r="Q1932" i="1"/>
  <c r="R1932" i="1"/>
  <c r="S1932" i="1"/>
  <c r="T1932" i="1"/>
  <c r="U1932" i="1"/>
  <c r="V1932" i="1"/>
  <c r="O1933" i="1"/>
  <c r="P1933" i="1"/>
  <c r="Q1933" i="1"/>
  <c r="R1933" i="1"/>
  <c r="S1933" i="1"/>
  <c r="T1933" i="1"/>
  <c r="U1933" i="1"/>
  <c r="V1933" i="1"/>
  <c r="O1934" i="1"/>
  <c r="P1934" i="1"/>
  <c r="Q1934" i="1"/>
  <c r="R1934" i="1"/>
  <c r="S1934" i="1"/>
  <c r="T1934" i="1"/>
  <c r="U1934" i="1"/>
  <c r="V1934" i="1"/>
  <c r="O1935" i="1"/>
  <c r="P1935" i="1"/>
  <c r="Q1935" i="1"/>
  <c r="R1935" i="1"/>
  <c r="S1935" i="1"/>
  <c r="T1935" i="1"/>
  <c r="U1935" i="1"/>
  <c r="V1935" i="1"/>
  <c r="O1936" i="1"/>
  <c r="P1936" i="1"/>
  <c r="Q1936" i="1"/>
  <c r="R1936" i="1"/>
  <c r="S1936" i="1"/>
  <c r="T1936" i="1"/>
  <c r="U1936" i="1"/>
  <c r="V1936" i="1"/>
  <c r="O1937" i="1"/>
  <c r="P1937" i="1"/>
  <c r="Q1937" i="1"/>
  <c r="R1937" i="1"/>
  <c r="S1937" i="1"/>
  <c r="T1937" i="1"/>
  <c r="U1937" i="1"/>
  <c r="V1937" i="1"/>
  <c r="O1938" i="1"/>
  <c r="P1938" i="1"/>
  <c r="Q1938" i="1"/>
  <c r="R1938" i="1"/>
  <c r="S1938" i="1"/>
  <c r="T1938" i="1"/>
  <c r="U1938" i="1"/>
  <c r="V1938" i="1"/>
  <c r="O1939" i="1"/>
  <c r="P1939" i="1"/>
  <c r="Q1939" i="1"/>
  <c r="R1939" i="1"/>
  <c r="S1939" i="1"/>
  <c r="T1939" i="1"/>
  <c r="U1939" i="1"/>
  <c r="V1939" i="1"/>
  <c r="O1940" i="1"/>
  <c r="P1940" i="1"/>
  <c r="Q1940" i="1"/>
  <c r="R1940" i="1"/>
  <c r="S1940" i="1"/>
  <c r="T1940" i="1"/>
  <c r="U1940" i="1"/>
  <c r="V1940" i="1"/>
  <c r="O1941" i="1"/>
  <c r="P1941" i="1"/>
  <c r="Q1941" i="1"/>
  <c r="R1941" i="1"/>
  <c r="S1941" i="1"/>
  <c r="T1941" i="1"/>
  <c r="U1941" i="1"/>
  <c r="V1941" i="1"/>
  <c r="O1942" i="1"/>
  <c r="P1942" i="1"/>
  <c r="Q1942" i="1"/>
  <c r="R1942" i="1"/>
  <c r="S1942" i="1"/>
  <c r="T1942" i="1"/>
  <c r="U1942" i="1"/>
  <c r="V1942" i="1"/>
  <c r="O1943" i="1"/>
  <c r="P1943" i="1"/>
  <c r="Q1943" i="1"/>
  <c r="R1943" i="1"/>
  <c r="S1943" i="1"/>
  <c r="T1943" i="1"/>
  <c r="U1943" i="1"/>
  <c r="V1943" i="1"/>
  <c r="O1944" i="1"/>
  <c r="P1944" i="1"/>
  <c r="Q1944" i="1"/>
  <c r="R1944" i="1"/>
  <c r="S1944" i="1"/>
  <c r="T1944" i="1"/>
  <c r="U1944" i="1"/>
  <c r="V1944" i="1"/>
  <c r="O1945" i="1"/>
  <c r="P1945" i="1"/>
  <c r="Q1945" i="1"/>
  <c r="R1945" i="1"/>
  <c r="S1945" i="1"/>
  <c r="T1945" i="1"/>
  <c r="U1945" i="1"/>
  <c r="V1945" i="1"/>
  <c r="O1946" i="1"/>
  <c r="P1946" i="1"/>
  <c r="Q1946" i="1"/>
  <c r="R1946" i="1"/>
  <c r="S1946" i="1"/>
  <c r="T1946" i="1"/>
  <c r="U1946" i="1"/>
  <c r="V1946" i="1"/>
  <c r="O1947" i="1"/>
  <c r="P1947" i="1"/>
  <c r="Q1947" i="1"/>
  <c r="R1947" i="1"/>
  <c r="S1947" i="1"/>
  <c r="T1947" i="1"/>
  <c r="U1947" i="1"/>
  <c r="V1947" i="1"/>
  <c r="O1948" i="1"/>
  <c r="P1948" i="1"/>
  <c r="Q1948" i="1"/>
  <c r="R1948" i="1"/>
  <c r="S1948" i="1"/>
  <c r="T1948" i="1"/>
  <c r="U1948" i="1"/>
  <c r="V1948" i="1"/>
  <c r="O1949" i="1"/>
  <c r="P1949" i="1"/>
  <c r="Q1949" i="1"/>
  <c r="R1949" i="1"/>
  <c r="S1949" i="1"/>
  <c r="T1949" i="1"/>
  <c r="U1949" i="1"/>
  <c r="V1949" i="1"/>
  <c r="O1950" i="1"/>
  <c r="P1950" i="1"/>
  <c r="Q1950" i="1"/>
  <c r="R1950" i="1"/>
  <c r="S1950" i="1"/>
  <c r="T1950" i="1"/>
  <c r="U1950" i="1"/>
  <c r="V1950" i="1"/>
  <c r="O1951" i="1"/>
  <c r="P1951" i="1"/>
  <c r="Q1951" i="1"/>
  <c r="R1951" i="1"/>
  <c r="S1951" i="1"/>
  <c r="T1951" i="1"/>
  <c r="U1951" i="1"/>
  <c r="V1951" i="1"/>
  <c r="O1952" i="1"/>
  <c r="P1952" i="1"/>
  <c r="Q1952" i="1"/>
  <c r="R1952" i="1"/>
  <c r="S1952" i="1"/>
  <c r="T1952" i="1"/>
  <c r="U1952" i="1"/>
  <c r="V1952" i="1"/>
  <c r="O1953" i="1"/>
  <c r="P1953" i="1"/>
  <c r="Q1953" i="1"/>
  <c r="R1953" i="1"/>
  <c r="S1953" i="1"/>
  <c r="T1953" i="1"/>
  <c r="U1953" i="1"/>
  <c r="V1953" i="1"/>
  <c r="O1954" i="1"/>
  <c r="P1954" i="1"/>
  <c r="Q1954" i="1"/>
  <c r="R1954" i="1"/>
  <c r="S1954" i="1"/>
  <c r="T1954" i="1"/>
  <c r="U1954" i="1"/>
  <c r="V1954" i="1"/>
  <c r="O1955" i="1"/>
  <c r="P1955" i="1"/>
  <c r="Q1955" i="1"/>
  <c r="R1955" i="1"/>
  <c r="S1955" i="1"/>
  <c r="T1955" i="1"/>
  <c r="U1955" i="1"/>
  <c r="V1955" i="1"/>
  <c r="O1956" i="1"/>
  <c r="P1956" i="1"/>
  <c r="Q1956" i="1"/>
  <c r="R1956" i="1"/>
  <c r="S1956" i="1"/>
  <c r="T1956" i="1"/>
  <c r="U1956" i="1"/>
  <c r="V1956" i="1"/>
  <c r="O1957" i="1"/>
  <c r="P1957" i="1"/>
  <c r="Q1957" i="1"/>
  <c r="R1957" i="1"/>
  <c r="S1957" i="1"/>
  <c r="T1957" i="1"/>
  <c r="U1957" i="1"/>
  <c r="V1957" i="1"/>
  <c r="O1958" i="1"/>
  <c r="P1958" i="1"/>
  <c r="Q1958" i="1"/>
  <c r="R1958" i="1"/>
  <c r="S1958" i="1"/>
  <c r="T1958" i="1"/>
  <c r="U1958" i="1"/>
  <c r="V1958" i="1"/>
  <c r="O1959" i="1"/>
  <c r="P1959" i="1"/>
  <c r="Q1959" i="1"/>
  <c r="R1959" i="1"/>
  <c r="S1959" i="1"/>
  <c r="T1959" i="1"/>
  <c r="U1959" i="1"/>
  <c r="V1959" i="1"/>
  <c r="O1960" i="1"/>
  <c r="P1960" i="1"/>
  <c r="Q1960" i="1"/>
  <c r="R1960" i="1"/>
  <c r="S1960" i="1"/>
  <c r="T1960" i="1"/>
  <c r="U1960" i="1"/>
  <c r="V1960" i="1"/>
  <c r="O1961" i="1"/>
  <c r="P1961" i="1"/>
  <c r="Q1961" i="1"/>
  <c r="R1961" i="1"/>
  <c r="S1961" i="1"/>
  <c r="T1961" i="1"/>
  <c r="U1961" i="1"/>
  <c r="V1961" i="1"/>
  <c r="O1962" i="1"/>
  <c r="P1962" i="1"/>
  <c r="Q1962" i="1"/>
  <c r="R1962" i="1"/>
  <c r="S1962" i="1"/>
  <c r="T1962" i="1"/>
  <c r="U1962" i="1"/>
  <c r="V1962" i="1"/>
  <c r="O1963" i="1"/>
  <c r="P1963" i="1"/>
  <c r="Q1963" i="1"/>
  <c r="R1963" i="1"/>
  <c r="S1963" i="1"/>
  <c r="T1963" i="1"/>
  <c r="U1963" i="1"/>
  <c r="V1963" i="1"/>
  <c r="O1964" i="1"/>
  <c r="P1964" i="1"/>
  <c r="Q1964" i="1"/>
  <c r="R1964" i="1"/>
  <c r="S1964" i="1"/>
  <c r="T1964" i="1"/>
  <c r="U1964" i="1"/>
  <c r="V1964" i="1"/>
  <c r="O1965" i="1"/>
  <c r="P1965" i="1"/>
  <c r="Q1965" i="1"/>
  <c r="R1965" i="1"/>
  <c r="S1965" i="1"/>
  <c r="T1965" i="1"/>
  <c r="U1965" i="1"/>
  <c r="V1965" i="1"/>
  <c r="O1966" i="1"/>
  <c r="P1966" i="1"/>
  <c r="Q1966" i="1"/>
  <c r="R1966" i="1"/>
  <c r="S1966" i="1"/>
  <c r="T1966" i="1"/>
  <c r="U1966" i="1"/>
  <c r="V1966" i="1"/>
  <c r="O1967" i="1"/>
  <c r="P1967" i="1"/>
  <c r="Q1967" i="1"/>
  <c r="R1967" i="1"/>
  <c r="S1967" i="1"/>
  <c r="T1967" i="1"/>
  <c r="U1967" i="1"/>
  <c r="V1967" i="1"/>
  <c r="O1968" i="1"/>
  <c r="P1968" i="1"/>
  <c r="Q1968" i="1"/>
  <c r="R1968" i="1"/>
  <c r="S1968" i="1"/>
  <c r="T1968" i="1"/>
  <c r="U1968" i="1"/>
  <c r="V1968" i="1"/>
  <c r="O1969" i="1"/>
  <c r="P1969" i="1"/>
  <c r="Q1969" i="1"/>
  <c r="R1969" i="1"/>
  <c r="S1969" i="1"/>
  <c r="T1969" i="1"/>
  <c r="U1969" i="1"/>
  <c r="V1969" i="1"/>
  <c r="O1970" i="1"/>
  <c r="P1970" i="1"/>
  <c r="Q1970" i="1"/>
  <c r="R1970" i="1"/>
  <c r="S1970" i="1"/>
  <c r="T1970" i="1"/>
  <c r="U1970" i="1"/>
  <c r="V1970" i="1"/>
  <c r="O1971" i="1"/>
  <c r="P1971" i="1"/>
  <c r="Q1971" i="1"/>
  <c r="R1971" i="1"/>
  <c r="S1971" i="1"/>
  <c r="T1971" i="1"/>
  <c r="U1971" i="1"/>
  <c r="V1971" i="1"/>
  <c r="O1972" i="1"/>
  <c r="P1972" i="1"/>
  <c r="Q1972" i="1"/>
  <c r="R1972" i="1"/>
  <c r="S1972" i="1"/>
  <c r="T1972" i="1"/>
  <c r="U1972" i="1"/>
  <c r="V1972" i="1"/>
  <c r="O1973" i="1"/>
  <c r="P1973" i="1"/>
  <c r="Q1973" i="1"/>
  <c r="R1973" i="1"/>
  <c r="S1973" i="1"/>
  <c r="T1973" i="1"/>
  <c r="U1973" i="1"/>
  <c r="V1973" i="1"/>
  <c r="O1974" i="1"/>
  <c r="P1974" i="1"/>
  <c r="Q1974" i="1"/>
  <c r="R1974" i="1"/>
  <c r="S1974" i="1"/>
  <c r="T1974" i="1"/>
  <c r="U1974" i="1"/>
  <c r="V1974" i="1"/>
  <c r="O1975" i="1"/>
  <c r="P1975" i="1"/>
  <c r="Q1975" i="1"/>
  <c r="R1975" i="1"/>
  <c r="S1975" i="1"/>
  <c r="T1975" i="1"/>
  <c r="U1975" i="1"/>
  <c r="V1975" i="1"/>
  <c r="O1976" i="1"/>
  <c r="P1976" i="1"/>
  <c r="Q1976" i="1"/>
  <c r="R1976" i="1"/>
  <c r="S1976" i="1"/>
  <c r="T1976" i="1"/>
  <c r="U1976" i="1"/>
  <c r="V1976" i="1"/>
  <c r="O1977" i="1"/>
  <c r="P1977" i="1"/>
  <c r="Q1977" i="1"/>
  <c r="R1977" i="1"/>
  <c r="S1977" i="1"/>
  <c r="T1977" i="1"/>
  <c r="U1977" i="1"/>
  <c r="V1977" i="1"/>
  <c r="O1978" i="1"/>
  <c r="P1978" i="1"/>
  <c r="Q1978" i="1"/>
  <c r="R1978" i="1"/>
  <c r="S1978" i="1"/>
  <c r="T1978" i="1"/>
  <c r="U1978" i="1"/>
  <c r="V1978" i="1"/>
  <c r="O1979" i="1"/>
  <c r="P1979" i="1"/>
  <c r="Q1979" i="1"/>
  <c r="R1979" i="1"/>
  <c r="S1979" i="1"/>
  <c r="T1979" i="1"/>
  <c r="U1979" i="1"/>
  <c r="V1979" i="1"/>
  <c r="O1980" i="1"/>
  <c r="P1980" i="1"/>
  <c r="Q1980" i="1"/>
  <c r="R1980" i="1"/>
  <c r="S1980" i="1"/>
  <c r="T1980" i="1"/>
  <c r="U1980" i="1"/>
  <c r="V1980" i="1"/>
  <c r="O1981" i="1"/>
  <c r="P1981" i="1"/>
  <c r="Q1981" i="1"/>
  <c r="R1981" i="1"/>
  <c r="S1981" i="1"/>
  <c r="T1981" i="1"/>
  <c r="U1981" i="1"/>
  <c r="V1981" i="1"/>
  <c r="O1982" i="1"/>
  <c r="P1982" i="1"/>
  <c r="Q1982" i="1"/>
  <c r="R1982" i="1"/>
  <c r="S1982" i="1"/>
  <c r="T1982" i="1"/>
  <c r="U1982" i="1"/>
  <c r="V1982" i="1"/>
  <c r="O1983" i="1"/>
  <c r="P1983" i="1"/>
  <c r="Q1983" i="1"/>
  <c r="R1983" i="1"/>
  <c r="S1983" i="1"/>
  <c r="T1983" i="1"/>
  <c r="U1983" i="1"/>
  <c r="V1983" i="1"/>
  <c r="O1984" i="1"/>
  <c r="P1984" i="1"/>
  <c r="Q1984" i="1"/>
  <c r="R1984" i="1"/>
  <c r="S1984" i="1"/>
  <c r="T1984" i="1"/>
  <c r="U1984" i="1"/>
  <c r="V1984" i="1"/>
  <c r="O1985" i="1"/>
  <c r="P1985" i="1"/>
  <c r="Q1985" i="1"/>
  <c r="R1985" i="1"/>
  <c r="S1985" i="1"/>
  <c r="T1985" i="1"/>
  <c r="U1985" i="1"/>
  <c r="V1985" i="1"/>
  <c r="O1986" i="1"/>
  <c r="P1986" i="1"/>
  <c r="Q1986" i="1"/>
  <c r="R1986" i="1"/>
  <c r="S1986" i="1"/>
  <c r="T1986" i="1"/>
  <c r="U1986" i="1"/>
  <c r="V1986" i="1"/>
  <c r="O1987" i="1"/>
  <c r="P1987" i="1"/>
  <c r="Q1987" i="1"/>
  <c r="R1987" i="1"/>
  <c r="S1987" i="1"/>
  <c r="T1987" i="1"/>
  <c r="U1987" i="1"/>
  <c r="V1987" i="1"/>
  <c r="O1988" i="1"/>
  <c r="P1988" i="1"/>
  <c r="Q1988" i="1"/>
  <c r="R1988" i="1"/>
  <c r="S1988" i="1"/>
  <c r="T1988" i="1"/>
  <c r="U1988" i="1"/>
  <c r="V1988" i="1"/>
  <c r="O1989" i="1"/>
  <c r="P1989" i="1"/>
  <c r="Q1989" i="1"/>
  <c r="R1989" i="1"/>
  <c r="S1989" i="1"/>
  <c r="T1989" i="1"/>
  <c r="U1989" i="1"/>
  <c r="V1989" i="1"/>
  <c r="O1990" i="1"/>
  <c r="P1990" i="1"/>
  <c r="Q1990" i="1"/>
  <c r="R1990" i="1"/>
  <c r="S1990" i="1"/>
  <c r="T1990" i="1"/>
  <c r="U1990" i="1"/>
  <c r="V1990" i="1"/>
  <c r="O1991" i="1"/>
  <c r="P1991" i="1"/>
  <c r="Q1991" i="1"/>
  <c r="R1991" i="1"/>
  <c r="S1991" i="1"/>
  <c r="T1991" i="1"/>
  <c r="U1991" i="1"/>
  <c r="V1991" i="1"/>
  <c r="O1992" i="1"/>
  <c r="P1992" i="1"/>
  <c r="Q1992" i="1"/>
  <c r="R1992" i="1"/>
  <c r="S1992" i="1"/>
  <c r="T1992" i="1"/>
  <c r="U1992" i="1"/>
  <c r="V1992" i="1"/>
  <c r="O1993" i="1"/>
  <c r="P1993" i="1"/>
  <c r="Q1993" i="1"/>
  <c r="R1993" i="1"/>
  <c r="S1993" i="1"/>
  <c r="T1993" i="1"/>
  <c r="U1993" i="1"/>
  <c r="V1993" i="1"/>
  <c r="O1994" i="1"/>
  <c r="P1994" i="1"/>
  <c r="Q1994" i="1"/>
  <c r="R1994" i="1"/>
  <c r="S1994" i="1"/>
  <c r="T1994" i="1"/>
  <c r="U1994" i="1"/>
  <c r="V1994" i="1"/>
  <c r="O1995" i="1"/>
  <c r="P1995" i="1"/>
  <c r="Q1995" i="1"/>
  <c r="R1995" i="1"/>
  <c r="S1995" i="1"/>
  <c r="T1995" i="1"/>
  <c r="U1995" i="1"/>
  <c r="V1995" i="1"/>
  <c r="O1996" i="1"/>
  <c r="P1996" i="1"/>
  <c r="Q1996" i="1"/>
  <c r="R1996" i="1"/>
  <c r="S1996" i="1"/>
  <c r="T1996" i="1"/>
  <c r="U1996" i="1"/>
  <c r="V1996" i="1"/>
  <c r="O1997" i="1"/>
  <c r="P1997" i="1"/>
  <c r="Q1997" i="1"/>
  <c r="R1997" i="1"/>
  <c r="S1997" i="1"/>
  <c r="T1997" i="1"/>
  <c r="U1997" i="1"/>
  <c r="V1997" i="1"/>
  <c r="O1998" i="1"/>
  <c r="P1998" i="1"/>
  <c r="Q1998" i="1"/>
  <c r="R1998" i="1"/>
  <c r="S1998" i="1"/>
  <c r="T1998" i="1"/>
  <c r="U1998" i="1"/>
  <c r="V1998" i="1"/>
  <c r="O1999" i="1"/>
  <c r="P1999" i="1"/>
  <c r="Q1999" i="1"/>
  <c r="R1999" i="1"/>
  <c r="S1999" i="1"/>
  <c r="T1999" i="1"/>
  <c r="U1999" i="1"/>
  <c r="V1999" i="1"/>
  <c r="O2000" i="1"/>
  <c r="P2000" i="1"/>
  <c r="Q2000" i="1"/>
  <c r="R2000" i="1"/>
  <c r="S2000" i="1"/>
  <c r="T2000" i="1"/>
  <c r="U2000" i="1"/>
  <c r="V2000" i="1"/>
  <c r="O2001" i="1"/>
  <c r="P2001" i="1"/>
  <c r="Q2001" i="1"/>
  <c r="R2001" i="1"/>
  <c r="S2001" i="1"/>
  <c r="T2001" i="1"/>
  <c r="U2001" i="1"/>
  <c r="V2001" i="1"/>
  <c r="O2002" i="1"/>
  <c r="P2002" i="1"/>
  <c r="Q2002" i="1"/>
  <c r="R2002" i="1"/>
  <c r="S2002" i="1"/>
  <c r="T2002" i="1"/>
  <c r="U2002" i="1"/>
  <c r="V2002" i="1"/>
  <c r="O2003" i="1"/>
  <c r="P2003" i="1"/>
  <c r="Q2003" i="1"/>
  <c r="R2003" i="1"/>
  <c r="S2003" i="1"/>
  <c r="T2003" i="1"/>
  <c r="U2003" i="1"/>
  <c r="V2003" i="1"/>
  <c r="O2004" i="1"/>
  <c r="P2004" i="1"/>
  <c r="Q2004" i="1"/>
  <c r="R2004" i="1"/>
  <c r="S2004" i="1"/>
  <c r="T2004" i="1"/>
  <c r="U2004" i="1"/>
  <c r="V2004" i="1"/>
  <c r="O2005" i="1"/>
  <c r="P2005" i="1"/>
  <c r="Q2005" i="1"/>
  <c r="R2005" i="1"/>
  <c r="S2005" i="1"/>
  <c r="T2005" i="1"/>
  <c r="U2005" i="1"/>
  <c r="V2005" i="1"/>
  <c r="O2006" i="1"/>
  <c r="P2006" i="1"/>
  <c r="Q2006" i="1"/>
  <c r="R2006" i="1"/>
  <c r="S2006" i="1"/>
  <c r="T2006" i="1"/>
  <c r="U2006" i="1"/>
  <c r="V2006" i="1"/>
  <c r="O2007" i="1"/>
  <c r="P2007" i="1"/>
  <c r="Q2007" i="1"/>
  <c r="R2007" i="1"/>
  <c r="S2007" i="1"/>
  <c r="T2007" i="1"/>
  <c r="U2007" i="1"/>
  <c r="V2007" i="1"/>
  <c r="O2008" i="1"/>
  <c r="P2008" i="1"/>
  <c r="Q2008" i="1"/>
  <c r="R2008" i="1"/>
  <c r="S2008" i="1"/>
  <c r="T2008" i="1"/>
  <c r="U2008" i="1"/>
  <c r="V2008" i="1"/>
  <c r="O2009" i="1"/>
  <c r="P2009" i="1"/>
  <c r="Q2009" i="1"/>
  <c r="R2009" i="1"/>
  <c r="S2009" i="1"/>
  <c r="T2009" i="1"/>
  <c r="U2009" i="1"/>
  <c r="V2009" i="1"/>
  <c r="O2010" i="1"/>
  <c r="P2010" i="1"/>
  <c r="Q2010" i="1"/>
  <c r="R2010" i="1"/>
  <c r="S2010" i="1"/>
  <c r="T2010" i="1"/>
  <c r="U2010" i="1"/>
  <c r="V2010" i="1"/>
  <c r="O2011" i="1"/>
  <c r="P2011" i="1"/>
  <c r="Q2011" i="1"/>
  <c r="R2011" i="1"/>
  <c r="S2011" i="1"/>
  <c r="T2011" i="1"/>
  <c r="U2011" i="1"/>
  <c r="V2011" i="1"/>
  <c r="O2012" i="1"/>
  <c r="P2012" i="1"/>
  <c r="Q2012" i="1"/>
  <c r="R2012" i="1"/>
  <c r="S2012" i="1"/>
  <c r="T2012" i="1"/>
  <c r="U2012" i="1"/>
  <c r="V2012" i="1"/>
  <c r="O2013" i="1"/>
  <c r="P2013" i="1"/>
  <c r="Q2013" i="1"/>
  <c r="R2013" i="1"/>
  <c r="S2013" i="1"/>
  <c r="T2013" i="1"/>
  <c r="U2013" i="1"/>
  <c r="V2013" i="1"/>
  <c r="O2014" i="1"/>
  <c r="P2014" i="1"/>
  <c r="Q2014" i="1"/>
  <c r="R2014" i="1"/>
  <c r="S2014" i="1"/>
  <c r="T2014" i="1"/>
  <c r="U2014" i="1"/>
  <c r="V2014" i="1"/>
  <c r="O2015" i="1"/>
  <c r="P2015" i="1"/>
  <c r="Q2015" i="1"/>
  <c r="R2015" i="1"/>
  <c r="S2015" i="1"/>
  <c r="T2015" i="1"/>
  <c r="U2015" i="1"/>
  <c r="V2015" i="1"/>
  <c r="O2016" i="1"/>
  <c r="P2016" i="1"/>
  <c r="Q2016" i="1"/>
  <c r="R2016" i="1"/>
  <c r="S2016" i="1"/>
  <c r="T2016" i="1"/>
  <c r="U2016" i="1"/>
  <c r="V2016" i="1"/>
  <c r="O2017" i="1"/>
  <c r="P2017" i="1"/>
  <c r="Q2017" i="1"/>
  <c r="R2017" i="1"/>
  <c r="S2017" i="1"/>
  <c r="T2017" i="1"/>
  <c r="U2017" i="1"/>
  <c r="V2017" i="1"/>
  <c r="O2018" i="1"/>
  <c r="P2018" i="1"/>
  <c r="Q2018" i="1"/>
  <c r="R2018" i="1"/>
  <c r="S2018" i="1"/>
  <c r="T2018" i="1"/>
  <c r="U2018" i="1"/>
  <c r="V2018" i="1"/>
  <c r="O2019" i="1"/>
  <c r="P2019" i="1"/>
  <c r="Q2019" i="1"/>
  <c r="R2019" i="1"/>
  <c r="S2019" i="1"/>
  <c r="T2019" i="1"/>
  <c r="U2019" i="1"/>
  <c r="V2019" i="1"/>
  <c r="O2020" i="1"/>
  <c r="P2020" i="1"/>
  <c r="Q2020" i="1"/>
  <c r="R2020" i="1"/>
  <c r="S2020" i="1"/>
  <c r="T2020" i="1"/>
  <c r="U2020" i="1"/>
  <c r="V2020" i="1"/>
  <c r="O2021" i="1"/>
  <c r="P2021" i="1"/>
  <c r="Q2021" i="1"/>
  <c r="R2021" i="1"/>
  <c r="S2021" i="1"/>
  <c r="T2021" i="1"/>
  <c r="U2021" i="1"/>
  <c r="V2021" i="1"/>
  <c r="O2022" i="1"/>
  <c r="P2022" i="1"/>
  <c r="Q2022" i="1"/>
  <c r="R2022" i="1"/>
  <c r="S2022" i="1"/>
  <c r="T2022" i="1"/>
  <c r="U2022" i="1"/>
  <c r="V2022" i="1"/>
  <c r="O2023" i="1"/>
  <c r="P2023" i="1"/>
  <c r="Q2023" i="1"/>
  <c r="R2023" i="1"/>
  <c r="S2023" i="1"/>
  <c r="T2023" i="1"/>
  <c r="U2023" i="1"/>
  <c r="V2023" i="1"/>
  <c r="O2024" i="1"/>
  <c r="P2024" i="1"/>
  <c r="Q2024" i="1"/>
  <c r="R2024" i="1"/>
  <c r="S2024" i="1"/>
  <c r="T2024" i="1"/>
  <c r="U2024" i="1"/>
  <c r="V2024" i="1"/>
  <c r="O2025" i="1"/>
  <c r="P2025" i="1"/>
  <c r="Q2025" i="1"/>
  <c r="R2025" i="1"/>
  <c r="S2025" i="1"/>
  <c r="T2025" i="1"/>
  <c r="U2025" i="1"/>
  <c r="V2025" i="1"/>
  <c r="O2026" i="1"/>
  <c r="P2026" i="1"/>
  <c r="Q2026" i="1"/>
  <c r="R2026" i="1"/>
  <c r="S2026" i="1"/>
  <c r="T2026" i="1"/>
  <c r="U2026" i="1"/>
  <c r="V2026" i="1"/>
  <c r="O2027" i="1"/>
  <c r="P2027" i="1"/>
  <c r="Q2027" i="1"/>
  <c r="R2027" i="1"/>
  <c r="S2027" i="1"/>
  <c r="T2027" i="1"/>
  <c r="U2027" i="1"/>
  <c r="V2027" i="1"/>
  <c r="O2028" i="1"/>
  <c r="P2028" i="1"/>
  <c r="Q2028" i="1"/>
  <c r="R2028" i="1"/>
  <c r="S2028" i="1"/>
  <c r="T2028" i="1"/>
  <c r="U2028" i="1"/>
  <c r="V2028" i="1"/>
  <c r="O2029" i="1"/>
  <c r="P2029" i="1"/>
  <c r="Q2029" i="1"/>
  <c r="R2029" i="1"/>
  <c r="S2029" i="1"/>
  <c r="T2029" i="1"/>
  <c r="U2029" i="1"/>
  <c r="V2029" i="1"/>
  <c r="O2030" i="1"/>
  <c r="P2030" i="1"/>
  <c r="Q2030" i="1"/>
  <c r="R2030" i="1"/>
  <c r="S2030" i="1"/>
  <c r="T2030" i="1"/>
  <c r="U2030" i="1"/>
  <c r="V2030" i="1"/>
  <c r="O2031" i="1"/>
  <c r="P2031" i="1"/>
  <c r="Q2031" i="1"/>
  <c r="R2031" i="1"/>
  <c r="S2031" i="1"/>
  <c r="T2031" i="1"/>
  <c r="U2031" i="1"/>
  <c r="V2031" i="1"/>
  <c r="O2032" i="1"/>
  <c r="P2032" i="1"/>
  <c r="Q2032" i="1"/>
  <c r="R2032" i="1"/>
  <c r="S2032" i="1"/>
  <c r="T2032" i="1"/>
  <c r="U2032" i="1"/>
  <c r="V2032" i="1"/>
  <c r="O2033" i="1"/>
  <c r="P2033" i="1"/>
  <c r="Q2033" i="1"/>
  <c r="R2033" i="1"/>
  <c r="S2033" i="1"/>
  <c r="T2033" i="1"/>
  <c r="U2033" i="1"/>
  <c r="V2033" i="1"/>
  <c r="O2034" i="1"/>
  <c r="P2034" i="1"/>
  <c r="Q2034" i="1"/>
  <c r="R2034" i="1"/>
  <c r="S2034" i="1"/>
  <c r="T2034" i="1"/>
  <c r="U2034" i="1"/>
  <c r="V2034" i="1"/>
  <c r="O2035" i="1"/>
  <c r="P2035" i="1"/>
  <c r="Q2035" i="1"/>
  <c r="R2035" i="1"/>
  <c r="S2035" i="1"/>
  <c r="T2035" i="1"/>
  <c r="U2035" i="1"/>
  <c r="V2035" i="1"/>
  <c r="O2036" i="1"/>
  <c r="P2036" i="1"/>
  <c r="Q2036" i="1"/>
  <c r="R2036" i="1"/>
  <c r="S2036" i="1"/>
  <c r="T2036" i="1"/>
  <c r="U2036" i="1"/>
  <c r="V2036" i="1"/>
  <c r="O2037" i="1"/>
  <c r="P2037" i="1"/>
  <c r="Q2037" i="1"/>
  <c r="R2037" i="1"/>
  <c r="S2037" i="1"/>
  <c r="T2037" i="1"/>
  <c r="U2037" i="1"/>
  <c r="V2037" i="1"/>
  <c r="O2038" i="1"/>
  <c r="P2038" i="1"/>
  <c r="Q2038" i="1"/>
  <c r="R2038" i="1"/>
  <c r="S2038" i="1"/>
  <c r="T2038" i="1"/>
  <c r="U2038" i="1"/>
  <c r="V2038" i="1"/>
  <c r="O2039" i="1"/>
  <c r="P2039" i="1"/>
  <c r="Q2039" i="1"/>
  <c r="R2039" i="1"/>
  <c r="S2039" i="1"/>
  <c r="T2039" i="1"/>
  <c r="U2039" i="1"/>
  <c r="V2039" i="1"/>
  <c r="O2040" i="1"/>
  <c r="P2040" i="1"/>
  <c r="Q2040" i="1"/>
  <c r="R2040" i="1"/>
  <c r="S2040" i="1"/>
  <c r="T2040" i="1"/>
  <c r="U2040" i="1"/>
  <c r="V2040" i="1"/>
  <c r="O2041" i="1"/>
  <c r="P2041" i="1"/>
  <c r="Q2041" i="1"/>
  <c r="R2041" i="1"/>
  <c r="S2041" i="1"/>
  <c r="T2041" i="1"/>
  <c r="U2041" i="1"/>
  <c r="V2041" i="1"/>
  <c r="O2042" i="1"/>
  <c r="P2042" i="1"/>
  <c r="Q2042" i="1"/>
  <c r="R2042" i="1"/>
  <c r="S2042" i="1"/>
  <c r="T2042" i="1"/>
  <c r="U2042" i="1"/>
  <c r="V2042" i="1"/>
  <c r="O2043" i="1"/>
  <c r="P2043" i="1"/>
  <c r="Q2043" i="1"/>
  <c r="R2043" i="1"/>
  <c r="S2043" i="1"/>
  <c r="T2043" i="1"/>
  <c r="U2043" i="1"/>
  <c r="V2043" i="1"/>
  <c r="O2044" i="1"/>
  <c r="P2044" i="1"/>
  <c r="Q2044" i="1"/>
  <c r="R2044" i="1"/>
  <c r="S2044" i="1"/>
  <c r="T2044" i="1"/>
  <c r="U2044" i="1"/>
  <c r="V2044" i="1"/>
  <c r="O2045" i="1"/>
  <c r="P2045" i="1"/>
  <c r="Q2045" i="1"/>
  <c r="R2045" i="1"/>
  <c r="S2045" i="1"/>
  <c r="T2045" i="1"/>
  <c r="U2045" i="1"/>
  <c r="V2045" i="1"/>
  <c r="O2046" i="1"/>
  <c r="P2046" i="1"/>
  <c r="Q2046" i="1"/>
  <c r="R2046" i="1"/>
  <c r="S2046" i="1"/>
  <c r="T2046" i="1"/>
  <c r="U2046" i="1"/>
  <c r="V2046" i="1"/>
  <c r="O2047" i="1"/>
  <c r="P2047" i="1"/>
  <c r="Q2047" i="1"/>
  <c r="R2047" i="1"/>
  <c r="S2047" i="1"/>
  <c r="T2047" i="1"/>
  <c r="U2047" i="1"/>
  <c r="V2047" i="1"/>
  <c r="O2048" i="1"/>
  <c r="P2048" i="1"/>
  <c r="Q2048" i="1"/>
  <c r="R2048" i="1"/>
  <c r="S2048" i="1"/>
  <c r="T2048" i="1"/>
  <c r="U2048" i="1"/>
  <c r="V2048" i="1"/>
  <c r="O2049" i="1"/>
  <c r="P2049" i="1"/>
  <c r="Q2049" i="1"/>
  <c r="R2049" i="1"/>
  <c r="S2049" i="1"/>
  <c r="T2049" i="1"/>
  <c r="U2049" i="1"/>
  <c r="V2049" i="1"/>
  <c r="O2050" i="1"/>
  <c r="P2050" i="1"/>
  <c r="Q2050" i="1"/>
  <c r="R2050" i="1"/>
  <c r="S2050" i="1"/>
  <c r="T2050" i="1"/>
  <c r="U2050" i="1"/>
  <c r="V2050" i="1"/>
  <c r="O2051" i="1"/>
  <c r="P2051" i="1"/>
  <c r="Q2051" i="1"/>
  <c r="R2051" i="1"/>
  <c r="S2051" i="1"/>
  <c r="T2051" i="1"/>
  <c r="U2051" i="1"/>
  <c r="V2051" i="1"/>
  <c r="O2052" i="1"/>
  <c r="P2052" i="1"/>
  <c r="Q2052" i="1"/>
  <c r="R2052" i="1"/>
  <c r="S2052" i="1"/>
  <c r="T2052" i="1"/>
  <c r="U2052" i="1"/>
  <c r="V2052" i="1"/>
  <c r="O2053" i="1"/>
  <c r="P2053" i="1"/>
  <c r="Q2053" i="1"/>
  <c r="R2053" i="1"/>
  <c r="S2053" i="1"/>
  <c r="T2053" i="1"/>
  <c r="U2053" i="1"/>
  <c r="V2053" i="1"/>
  <c r="O2054" i="1"/>
  <c r="P2054" i="1"/>
  <c r="Q2054" i="1"/>
  <c r="R2054" i="1"/>
  <c r="S2054" i="1"/>
  <c r="T2054" i="1"/>
  <c r="U2054" i="1"/>
  <c r="V2054" i="1"/>
  <c r="O2055" i="1"/>
  <c r="P2055" i="1"/>
  <c r="Q2055" i="1"/>
  <c r="R2055" i="1"/>
  <c r="S2055" i="1"/>
  <c r="T2055" i="1"/>
  <c r="U2055" i="1"/>
  <c r="V2055" i="1"/>
  <c r="O2056" i="1"/>
  <c r="P2056" i="1"/>
  <c r="Q2056" i="1"/>
  <c r="R2056" i="1"/>
  <c r="S2056" i="1"/>
  <c r="T2056" i="1"/>
  <c r="U2056" i="1"/>
  <c r="V2056" i="1"/>
  <c r="O2057" i="1"/>
  <c r="P2057" i="1"/>
  <c r="Q2057" i="1"/>
  <c r="R2057" i="1"/>
  <c r="S2057" i="1"/>
  <c r="T2057" i="1"/>
  <c r="U2057" i="1"/>
  <c r="V2057" i="1"/>
  <c r="O2058" i="1"/>
  <c r="P2058" i="1"/>
  <c r="Q2058" i="1"/>
  <c r="R2058" i="1"/>
  <c r="S2058" i="1"/>
  <c r="T2058" i="1"/>
  <c r="U2058" i="1"/>
  <c r="V2058" i="1"/>
  <c r="O2059" i="1"/>
  <c r="P2059" i="1"/>
  <c r="Q2059" i="1"/>
  <c r="R2059" i="1"/>
  <c r="S2059" i="1"/>
  <c r="T2059" i="1"/>
  <c r="U2059" i="1"/>
  <c r="V2059" i="1"/>
  <c r="O2060" i="1"/>
  <c r="P2060" i="1"/>
  <c r="Q2060" i="1"/>
  <c r="R2060" i="1"/>
  <c r="S2060" i="1"/>
  <c r="T2060" i="1"/>
  <c r="U2060" i="1"/>
  <c r="V2060" i="1"/>
  <c r="O2061" i="1"/>
  <c r="P2061" i="1"/>
  <c r="Q2061" i="1"/>
  <c r="R2061" i="1"/>
  <c r="S2061" i="1"/>
  <c r="T2061" i="1"/>
  <c r="U2061" i="1"/>
  <c r="V2061" i="1"/>
  <c r="O2062" i="1"/>
  <c r="P2062" i="1"/>
  <c r="Q2062" i="1"/>
  <c r="R2062" i="1"/>
  <c r="S2062" i="1"/>
  <c r="T2062" i="1"/>
  <c r="U2062" i="1"/>
  <c r="V2062" i="1"/>
  <c r="O2063" i="1"/>
  <c r="P2063" i="1"/>
  <c r="Q2063" i="1"/>
  <c r="R2063" i="1"/>
  <c r="S2063" i="1"/>
  <c r="T2063" i="1"/>
  <c r="U2063" i="1"/>
  <c r="V2063" i="1"/>
  <c r="O2064" i="1"/>
  <c r="P2064" i="1"/>
  <c r="Q2064" i="1"/>
  <c r="R2064" i="1"/>
  <c r="S2064" i="1"/>
  <c r="T2064" i="1"/>
  <c r="U2064" i="1"/>
  <c r="V2064" i="1"/>
  <c r="O2065" i="1"/>
  <c r="P2065" i="1"/>
  <c r="Q2065" i="1"/>
  <c r="R2065" i="1"/>
  <c r="S2065" i="1"/>
  <c r="T2065" i="1"/>
  <c r="U2065" i="1"/>
  <c r="V2065" i="1"/>
  <c r="O2066" i="1"/>
  <c r="P2066" i="1"/>
  <c r="Q2066" i="1"/>
  <c r="R2066" i="1"/>
  <c r="S2066" i="1"/>
  <c r="T2066" i="1"/>
  <c r="U2066" i="1"/>
  <c r="V2066" i="1"/>
  <c r="O2067" i="1"/>
  <c r="P2067" i="1"/>
  <c r="Q2067" i="1"/>
  <c r="R2067" i="1"/>
  <c r="S2067" i="1"/>
  <c r="T2067" i="1"/>
  <c r="U2067" i="1"/>
  <c r="V2067" i="1"/>
  <c r="O2068" i="1"/>
  <c r="P2068" i="1"/>
  <c r="Q2068" i="1"/>
  <c r="R2068" i="1"/>
  <c r="S2068" i="1"/>
  <c r="T2068" i="1"/>
  <c r="U2068" i="1"/>
  <c r="V2068" i="1"/>
  <c r="O2069" i="1"/>
  <c r="P2069" i="1"/>
  <c r="Q2069" i="1"/>
  <c r="R2069" i="1"/>
  <c r="S2069" i="1"/>
  <c r="T2069" i="1"/>
  <c r="U2069" i="1"/>
  <c r="V2069" i="1"/>
  <c r="O2070" i="1"/>
  <c r="P2070" i="1"/>
  <c r="Q2070" i="1"/>
  <c r="R2070" i="1"/>
  <c r="S2070" i="1"/>
  <c r="T2070" i="1"/>
  <c r="U2070" i="1"/>
  <c r="V2070" i="1"/>
  <c r="O2071" i="1"/>
  <c r="P2071" i="1"/>
  <c r="Q2071" i="1"/>
  <c r="R2071" i="1"/>
  <c r="S2071" i="1"/>
  <c r="T2071" i="1"/>
  <c r="U2071" i="1"/>
  <c r="V2071" i="1"/>
  <c r="O2072" i="1"/>
  <c r="P2072" i="1"/>
  <c r="Q2072" i="1"/>
  <c r="R2072" i="1"/>
  <c r="S2072" i="1"/>
  <c r="T2072" i="1"/>
  <c r="U2072" i="1"/>
  <c r="V2072" i="1"/>
  <c r="O2073" i="1"/>
  <c r="P2073" i="1"/>
  <c r="Q2073" i="1"/>
  <c r="R2073" i="1"/>
  <c r="S2073" i="1"/>
  <c r="T2073" i="1"/>
  <c r="U2073" i="1"/>
  <c r="V2073" i="1"/>
  <c r="O2074" i="1"/>
  <c r="P2074" i="1"/>
  <c r="Q2074" i="1"/>
  <c r="R2074" i="1"/>
  <c r="S2074" i="1"/>
  <c r="T2074" i="1"/>
  <c r="U2074" i="1"/>
  <c r="V2074" i="1"/>
  <c r="O2075" i="1"/>
  <c r="P2075" i="1"/>
  <c r="Q2075" i="1"/>
  <c r="R2075" i="1"/>
  <c r="S2075" i="1"/>
  <c r="T2075" i="1"/>
  <c r="U2075" i="1"/>
  <c r="V2075" i="1"/>
  <c r="O2076" i="1"/>
  <c r="P2076" i="1"/>
  <c r="Q2076" i="1"/>
  <c r="R2076" i="1"/>
  <c r="S2076" i="1"/>
  <c r="T2076" i="1"/>
  <c r="U2076" i="1"/>
  <c r="V2076" i="1"/>
  <c r="O2077" i="1"/>
  <c r="P2077" i="1"/>
  <c r="Q2077" i="1"/>
  <c r="R2077" i="1"/>
  <c r="S2077" i="1"/>
  <c r="T2077" i="1"/>
  <c r="U2077" i="1"/>
  <c r="V2077" i="1"/>
  <c r="O2078" i="1"/>
  <c r="P2078" i="1"/>
  <c r="Q2078" i="1"/>
  <c r="R2078" i="1"/>
  <c r="S2078" i="1"/>
  <c r="T2078" i="1"/>
  <c r="U2078" i="1"/>
  <c r="V2078" i="1"/>
  <c r="O2079" i="1"/>
  <c r="P2079" i="1"/>
  <c r="Q2079" i="1"/>
  <c r="R2079" i="1"/>
  <c r="S2079" i="1"/>
  <c r="T2079" i="1"/>
  <c r="U2079" i="1"/>
  <c r="V2079" i="1"/>
  <c r="O2080" i="1"/>
  <c r="P2080" i="1"/>
  <c r="Q2080" i="1"/>
  <c r="R2080" i="1"/>
  <c r="S2080" i="1"/>
  <c r="T2080" i="1"/>
  <c r="U2080" i="1"/>
  <c r="V2080" i="1"/>
  <c r="O2081" i="1"/>
  <c r="P2081" i="1"/>
  <c r="Q2081" i="1"/>
  <c r="R2081" i="1"/>
  <c r="S2081" i="1"/>
  <c r="T2081" i="1"/>
  <c r="U2081" i="1"/>
  <c r="V2081" i="1"/>
  <c r="O2082" i="1"/>
  <c r="P2082" i="1"/>
  <c r="Q2082" i="1"/>
  <c r="R2082" i="1"/>
  <c r="S2082" i="1"/>
  <c r="T2082" i="1"/>
  <c r="U2082" i="1"/>
  <c r="V2082" i="1"/>
  <c r="O2083" i="1"/>
  <c r="P2083" i="1"/>
  <c r="Q2083" i="1"/>
  <c r="R2083" i="1"/>
  <c r="S2083" i="1"/>
  <c r="T2083" i="1"/>
  <c r="U2083" i="1"/>
  <c r="V2083" i="1"/>
  <c r="O2084" i="1"/>
  <c r="P2084" i="1"/>
  <c r="Q2084" i="1"/>
  <c r="R2084" i="1"/>
  <c r="S2084" i="1"/>
  <c r="T2084" i="1"/>
  <c r="U2084" i="1"/>
  <c r="V2084" i="1"/>
  <c r="O2085" i="1"/>
  <c r="P2085" i="1"/>
  <c r="Q2085" i="1"/>
  <c r="R2085" i="1"/>
  <c r="S2085" i="1"/>
  <c r="T2085" i="1"/>
  <c r="U2085" i="1"/>
  <c r="V2085" i="1"/>
  <c r="O2086" i="1"/>
  <c r="P2086" i="1"/>
  <c r="Q2086" i="1"/>
  <c r="R2086" i="1"/>
  <c r="S2086" i="1"/>
  <c r="T2086" i="1"/>
  <c r="U2086" i="1"/>
  <c r="V2086" i="1"/>
  <c r="O2087" i="1"/>
  <c r="P2087" i="1"/>
  <c r="Q2087" i="1"/>
  <c r="R2087" i="1"/>
  <c r="S2087" i="1"/>
  <c r="T2087" i="1"/>
  <c r="U2087" i="1"/>
  <c r="V2087" i="1"/>
  <c r="O2088" i="1"/>
  <c r="P2088" i="1"/>
  <c r="Q2088" i="1"/>
  <c r="R2088" i="1"/>
  <c r="S2088" i="1"/>
  <c r="T2088" i="1"/>
  <c r="U2088" i="1"/>
  <c r="V2088" i="1"/>
  <c r="O2089" i="1"/>
  <c r="P2089" i="1"/>
  <c r="Q2089" i="1"/>
  <c r="R2089" i="1"/>
  <c r="S2089" i="1"/>
  <c r="T2089" i="1"/>
  <c r="U2089" i="1"/>
  <c r="V2089" i="1"/>
  <c r="O2090" i="1"/>
  <c r="P2090" i="1"/>
  <c r="Q2090" i="1"/>
  <c r="R2090" i="1"/>
  <c r="S2090" i="1"/>
  <c r="T2090" i="1"/>
  <c r="U2090" i="1"/>
  <c r="V2090" i="1"/>
  <c r="O2091" i="1"/>
  <c r="P2091" i="1"/>
  <c r="Q2091" i="1"/>
  <c r="R2091" i="1"/>
  <c r="S2091" i="1"/>
  <c r="T2091" i="1"/>
  <c r="U2091" i="1"/>
  <c r="V2091" i="1"/>
  <c r="O2092" i="1"/>
  <c r="P2092" i="1"/>
  <c r="Q2092" i="1"/>
  <c r="R2092" i="1"/>
  <c r="S2092" i="1"/>
  <c r="T2092" i="1"/>
  <c r="U2092" i="1"/>
  <c r="V2092" i="1"/>
  <c r="O2093" i="1"/>
  <c r="P2093" i="1"/>
  <c r="Q2093" i="1"/>
  <c r="R2093" i="1"/>
  <c r="S2093" i="1"/>
  <c r="T2093" i="1"/>
  <c r="U2093" i="1"/>
  <c r="V2093" i="1"/>
  <c r="O2094" i="1"/>
  <c r="P2094" i="1"/>
  <c r="Q2094" i="1"/>
  <c r="R2094" i="1"/>
  <c r="S2094" i="1"/>
  <c r="T2094" i="1"/>
  <c r="U2094" i="1"/>
  <c r="V2094" i="1"/>
  <c r="O2095" i="1"/>
  <c r="P2095" i="1"/>
  <c r="Q2095" i="1"/>
  <c r="R2095" i="1"/>
  <c r="S2095" i="1"/>
  <c r="T2095" i="1"/>
  <c r="U2095" i="1"/>
  <c r="V2095" i="1"/>
  <c r="O2096" i="1"/>
  <c r="P2096" i="1"/>
  <c r="Q2096" i="1"/>
  <c r="R2096" i="1"/>
  <c r="S2096" i="1"/>
  <c r="T2096" i="1"/>
  <c r="U2096" i="1"/>
  <c r="V2096" i="1"/>
  <c r="O2097" i="1"/>
  <c r="P2097" i="1"/>
  <c r="Q2097" i="1"/>
  <c r="R2097" i="1"/>
  <c r="S2097" i="1"/>
  <c r="T2097" i="1"/>
  <c r="U2097" i="1"/>
  <c r="V2097" i="1"/>
  <c r="O2098" i="1"/>
  <c r="P2098" i="1"/>
  <c r="Q2098" i="1"/>
  <c r="R2098" i="1"/>
  <c r="S2098" i="1"/>
  <c r="T2098" i="1"/>
  <c r="U2098" i="1"/>
  <c r="V2098" i="1"/>
  <c r="O2099" i="1"/>
  <c r="P2099" i="1"/>
  <c r="Q2099" i="1"/>
  <c r="R2099" i="1"/>
  <c r="S2099" i="1"/>
  <c r="T2099" i="1"/>
  <c r="U2099" i="1"/>
  <c r="V2099" i="1"/>
  <c r="O2100" i="1"/>
  <c r="P2100" i="1"/>
  <c r="Q2100" i="1"/>
  <c r="R2100" i="1"/>
  <c r="S2100" i="1"/>
  <c r="T2100" i="1"/>
  <c r="U2100" i="1"/>
  <c r="V2100" i="1"/>
  <c r="O2101" i="1"/>
  <c r="P2101" i="1"/>
  <c r="Q2101" i="1"/>
  <c r="R2101" i="1"/>
  <c r="S2101" i="1"/>
  <c r="T2101" i="1"/>
  <c r="U2101" i="1"/>
  <c r="V2101" i="1"/>
  <c r="O2102" i="1"/>
  <c r="P2102" i="1"/>
  <c r="Q2102" i="1"/>
  <c r="R2102" i="1"/>
  <c r="S2102" i="1"/>
  <c r="T2102" i="1"/>
  <c r="U2102" i="1"/>
  <c r="V2102" i="1"/>
  <c r="O2103" i="1"/>
  <c r="P2103" i="1"/>
  <c r="Q2103" i="1"/>
  <c r="R2103" i="1"/>
  <c r="S2103" i="1"/>
  <c r="T2103" i="1"/>
  <c r="U2103" i="1"/>
  <c r="V2103" i="1"/>
  <c r="O2104" i="1"/>
  <c r="P2104" i="1"/>
  <c r="Q2104" i="1"/>
  <c r="R2104" i="1"/>
  <c r="S2104" i="1"/>
  <c r="T2104" i="1"/>
  <c r="U2104" i="1"/>
  <c r="V2104" i="1"/>
  <c r="O2105" i="1"/>
  <c r="P2105" i="1"/>
  <c r="Q2105" i="1"/>
  <c r="R2105" i="1"/>
  <c r="S2105" i="1"/>
  <c r="T2105" i="1"/>
  <c r="U2105" i="1"/>
  <c r="V2105" i="1"/>
  <c r="O2106" i="1"/>
  <c r="P2106" i="1"/>
  <c r="Q2106" i="1"/>
  <c r="R2106" i="1"/>
  <c r="S2106" i="1"/>
  <c r="T2106" i="1"/>
  <c r="U2106" i="1"/>
  <c r="V2106" i="1"/>
  <c r="O2107" i="1"/>
  <c r="P2107" i="1"/>
  <c r="Q2107" i="1"/>
  <c r="R2107" i="1"/>
  <c r="S2107" i="1"/>
  <c r="T2107" i="1"/>
  <c r="U2107" i="1"/>
  <c r="V2107" i="1"/>
  <c r="O2108" i="1"/>
  <c r="P2108" i="1"/>
  <c r="Q2108" i="1"/>
  <c r="R2108" i="1"/>
  <c r="S2108" i="1"/>
  <c r="T2108" i="1"/>
  <c r="U2108" i="1"/>
  <c r="V2108" i="1"/>
  <c r="O2109" i="1"/>
  <c r="P2109" i="1"/>
  <c r="Q2109" i="1"/>
  <c r="R2109" i="1"/>
  <c r="S2109" i="1"/>
  <c r="T2109" i="1"/>
  <c r="U2109" i="1"/>
  <c r="V2109" i="1"/>
  <c r="O2110" i="1"/>
  <c r="P2110" i="1"/>
  <c r="Q2110" i="1"/>
  <c r="R2110" i="1"/>
  <c r="S2110" i="1"/>
  <c r="T2110" i="1"/>
  <c r="U2110" i="1"/>
  <c r="V2110" i="1"/>
  <c r="O2111" i="1"/>
  <c r="P2111" i="1"/>
  <c r="Q2111" i="1"/>
  <c r="R2111" i="1"/>
  <c r="S2111" i="1"/>
  <c r="T2111" i="1"/>
  <c r="U2111" i="1"/>
  <c r="V2111" i="1"/>
  <c r="O2112" i="1"/>
  <c r="P2112" i="1"/>
  <c r="Q2112" i="1"/>
  <c r="R2112" i="1"/>
  <c r="S2112" i="1"/>
  <c r="T2112" i="1"/>
  <c r="U2112" i="1"/>
  <c r="V2112" i="1"/>
  <c r="O2113" i="1"/>
  <c r="P2113" i="1"/>
  <c r="Q2113" i="1"/>
  <c r="R2113" i="1"/>
  <c r="S2113" i="1"/>
  <c r="T2113" i="1"/>
  <c r="U2113" i="1"/>
  <c r="V2113" i="1"/>
  <c r="O2114" i="1"/>
  <c r="P2114" i="1"/>
  <c r="Q2114" i="1"/>
  <c r="R2114" i="1"/>
  <c r="S2114" i="1"/>
  <c r="T2114" i="1"/>
  <c r="U2114" i="1"/>
  <c r="V2114" i="1"/>
  <c r="O2115" i="1"/>
  <c r="P2115" i="1"/>
  <c r="Q2115" i="1"/>
  <c r="R2115" i="1"/>
  <c r="S2115" i="1"/>
  <c r="T2115" i="1"/>
  <c r="U2115" i="1"/>
  <c r="V2115" i="1"/>
  <c r="O2116" i="1"/>
  <c r="P2116" i="1"/>
  <c r="Q2116" i="1"/>
  <c r="R2116" i="1"/>
  <c r="S2116" i="1"/>
  <c r="T2116" i="1"/>
  <c r="U2116" i="1"/>
  <c r="V2116" i="1"/>
  <c r="O2117" i="1"/>
  <c r="P2117" i="1"/>
  <c r="Q2117" i="1"/>
  <c r="R2117" i="1"/>
  <c r="S2117" i="1"/>
  <c r="T2117" i="1"/>
  <c r="U2117" i="1"/>
  <c r="V2117" i="1"/>
  <c r="O2118" i="1"/>
  <c r="P2118" i="1"/>
  <c r="Q2118" i="1"/>
  <c r="R2118" i="1"/>
  <c r="S2118" i="1"/>
  <c r="T2118" i="1"/>
  <c r="U2118" i="1"/>
  <c r="V2118" i="1"/>
  <c r="O2119" i="1"/>
  <c r="P2119" i="1"/>
  <c r="Q2119" i="1"/>
  <c r="R2119" i="1"/>
  <c r="S2119" i="1"/>
  <c r="T2119" i="1"/>
  <c r="U2119" i="1"/>
  <c r="V2119" i="1"/>
  <c r="O2120" i="1"/>
  <c r="P2120" i="1"/>
  <c r="Q2120" i="1"/>
  <c r="R2120" i="1"/>
  <c r="S2120" i="1"/>
  <c r="T2120" i="1"/>
  <c r="U2120" i="1"/>
  <c r="V2120" i="1"/>
  <c r="O2121" i="1"/>
  <c r="P2121" i="1"/>
  <c r="Q2121" i="1"/>
  <c r="R2121" i="1"/>
  <c r="S2121" i="1"/>
  <c r="T2121" i="1"/>
  <c r="U2121" i="1"/>
  <c r="V2121" i="1"/>
  <c r="O2122" i="1"/>
  <c r="P2122" i="1"/>
  <c r="Q2122" i="1"/>
  <c r="R2122" i="1"/>
  <c r="S2122" i="1"/>
  <c r="T2122" i="1"/>
  <c r="U2122" i="1"/>
  <c r="V2122" i="1"/>
  <c r="O2123" i="1"/>
  <c r="P2123" i="1"/>
  <c r="Q2123" i="1"/>
  <c r="R2123" i="1"/>
  <c r="S2123" i="1"/>
  <c r="T2123" i="1"/>
  <c r="U2123" i="1"/>
  <c r="V2123" i="1"/>
  <c r="O2124" i="1"/>
  <c r="P2124" i="1"/>
  <c r="Q2124" i="1"/>
  <c r="R2124" i="1"/>
  <c r="S2124" i="1"/>
  <c r="T2124" i="1"/>
  <c r="U2124" i="1"/>
  <c r="V2124" i="1"/>
  <c r="O2125" i="1"/>
  <c r="P2125" i="1"/>
  <c r="Q2125" i="1"/>
  <c r="R2125" i="1"/>
  <c r="S2125" i="1"/>
  <c r="T2125" i="1"/>
  <c r="U2125" i="1"/>
  <c r="V2125" i="1"/>
  <c r="O2126" i="1"/>
  <c r="P2126" i="1"/>
  <c r="Q2126" i="1"/>
  <c r="R2126" i="1"/>
  <c r="S2126" i="1"/>
  <c r="T2126" i="1"/>
  <c r="U2126" i="1"/>
  <c r="V2126" i="1"/>
  <c r="O2127" i="1"/>
  <c r="P2127" i="1"/>
  <c r="Q2127" i="1"/>
  <c r="R2127" i="1"/>
  <c r="S2127" i="1"/>
  <c r="T2127" i="1"/>
  <c r="U2127" i="1"/>
  <c r="V2127" i="1"/>
  <c r="O2128" i="1"/>
  <c r="P2128" i="1"/>
  <c r="Q2128" i="1"/>
  <c r="R2128" i="1"/>
  <c r="S2128" i="1"/>
  <c r="T2128" i="1"/>
  <c r="U2128" i="1"/>
  <c r="V2128" i="1"/>
  <c r="O2129" i="1"/>
  <c r="P2129" i="1"/>
  <c r="Q2129" i="1"/>
  <c r="R2129" i="1"/>
  <c r="S2129" i="1"/>
  <c r="T2129" i="1"/>
  <c r="U2129" i="1"/>
  <c r="V2129" i="1"/>
  <c r="O2130" i="1"/>
  <c r="P2130" i="1"/>
  <c r="Q2130" i="1"/>
  <c r="R2130" i="1"/>
  <c r="S2130" i="1"/>
  <c r="T2130" i="1"/>
  <c r="U2130" i="1"/>
  <c r="V2130" i="1"/>
  <c r="O2131" i="1"/>
  <c r="P2131" i="1"/>
  <c r="Q2131" i="1"/>
  <c r="R2131" i="1"/>
  <c r="S2131" i="1"/>
  <c r="T2131" i="1"/>
  <c r="U2131" i="1"/>
  <c r="V2131" i="1"/>
  <c r="O2132" i="1"/>
  <c r="P2132" i="1"/>
  <c r="Q2132" i="1"/>
  <c r="R2132" i="1"/>
  <c r="S2132" i="1"/>
  <c r="T2132" i="1"/>
  <c r="U2132" i="1"/>
  <c r="V2132" i="1"/>
  <c r="O2133" i="1"/>
  <c r="P2133" i="1"/>
  <c r="Q2133" i="1"/>
  <c r="R2133" i="1"/>
  <c r="S2133" i="1"/>
  <c r="T2133" i="1"/>
  <c r="U2133" i="1"/>
  <c r="V2133" i="1"/>
  <c r="O2134" i="1"/>
  <c r="P2134" i="1"/>
  <c r="Q2134" i="1"/>
  <c r="R2134" i="1"/>
  <c r="S2134" i="1"/>
  <c r="T2134" i="1"/>
  <c r="U2134" i="1"/>
  <c r="V2134" i="1"/>
  <c r="O2135" i="1"/>
  <c r="P2135" i="1"/>
  <c r="Q2135" i="1"/>
  <c r="R2135" i="1"/>
  <c r="S2135" i="1"/>
  <c r="T2135" i="1"/>
  <c r="U2135" i="1"/>
  <c r="V2135" i="1"/>
  <c r="O2136" i="1"/>
  <c r="P2136" i="1"/>
  <c r="Q2136" i="1"/>
  <c r="R2136" i="1"/>
  <c r="S2136" i="1"/>
  <c r="T2136" i="1"/>
  <c r="U2136" i="1"/>
  <c r="V2136" i="1"/>
  <c r="O2137" i="1"/>
  <c r="P2137" i="1"/>
  <c r="Q2137" i="1"/>
  <c r="R2137" i="1"/>
  <c r="S2137" i="1"/>
  <c r="T2137" i="1"/>
  <c r="U2137" i="1"/>
  <c r="V2137" i="1"/>
  <c r="O2138" i="1"/>
  <c r="P2138" i="1"/>
  <c r="Q2138" i="1"/>
  <c r="R2138" i="1"/>
  <c r="S2138" i="1"/>
  <c r="T2138" i="1"/>
  <c r="U2138" i="1"/>
  <c r="V2138" i="1"/>
  <c r="O2139" i="1"/>
  <c r="P2139" i="1"/>
  <c r="Q2139" i="1"/>
  <c r="R2139" i="1"/>
  <c r="S2139" i="1"/>
  <c r="T2139" i="1"/>
  <c r="U2139" i="1"/>
  <c r="V2139" i="1"/>
  <c r="O2140" i="1"/>
  <c r="P2140" i="1"/>
  <c r="Q2140" i="1"/>
  <c r="R2140" i="1"/>
  <c r="S2140" i="1"/>
  <c r="T2140" i="1"/>
  <c r="U2140" i="1"/>
  <c r="V2140" i="1"/>
  <c r="O2141" i="1"/>
  <c r="P2141" i="1"/>
  <c r="Q2141" i="1"/>
  <c r="R2141" i="1"/>
  <c r="S2141" i="1"/>
  <c r="T2141" i="1"/>
  <c r="U2141" i="1"/>
  <c r="V2141" i="1"/>
  <c r="O2142" i="1"/>
  <c r="P2142" i="1"/>
  <c r="Q2142" i="1"/>
  <c r="R2142" i="1"/>
  <c r="S2142" i="1"/>
  <c r="T2142" i="1"/>
  <c r="U2142" i="1"/>
  <c r="V2142" i="1"/>
  <c r="O2143" i="1"/>
  <c r="P2143" i="1"/>
  <c r="Q2143" i="1"/>
  <c r="R2143" i="1"/>
  <c r="S2143" i="1"/>
  <c r="T2143" i="1"/>
  <c r="U2143" i="1"/>
  <c r="V2143" i="1"/>
  <c r="O2144" i="1"/>
  <c r="P2144" i="1"/>
  <c r="Q2144" i="1"/>
  <c r="R2144" i="1"/>
  <c r="S2144" i="1"/>
  <c r="T2144" i="1"/>
  <c r="U2144" i="1"/>
  <c r="V2144" i="1"/>
  <c r="O2145" i="1"/>
  <c r="P2145" i="1"/>
  <c r="Q2145" i="1"/>
  <c r="R2145" i="1"/>
  <c r="S2145" i="1"/>
  <c r="T2145" i="1"/>
  <c r="U2145" i="1"/>
  <c r="V2145" i="1"/>
  <c r="O2146" i="1"/>
  <c r="P2146" i="1"/>
  <c r="Q2146" i="1"/>
  <c r="R2146" i="1"/>
  <c r="S2146" i="1"/>
  <c r="T2146" i="1"/>
  <c r="U2146" i="1"/>
  <c r="V2146" i="1"/>
  <c r="O2147" i="1"/>
  <c r="P2147" i="1"/>
  <c r="Q2147" i="1"/>
  <c r="R2147" i="1"/>
  <c r="S2147" i="1"/>
  <c r="T2147" i="1"/>
  <c r="U2147" i="1"/>
  <c r="V2147" i="1"/>
  <c r="O2148" i="1"/>
  <c r="P2148" i="1"/>
  <c r="Q2148" i="1"/>
  <c r="R2148" i="1"/>
  <c r="S2148" i="1"/>
  <c r="T2148" i="1"/>
  <c r="U2148" i="1"/>
  <c r="V2148" i="1"/>
  <c r="O2149" i="1"/>
  <c r="P2149" i="1"/>
  <c r="Q2149" i="1"/>
  <c r="R2149" i="1"/>
  <c r="S2149" i="1"/>
  <c r="T2149" i="1"/>
  <c r="U2149" i="1"/>
  <c r="V2149" i="1"/>
  <c r="O2150" i="1"/>
  <c r="P2150" i="1"/>
  <c r="Q2150" i="1"/>
  <c r="R2150" i="1"/>
  <c r="S2150" i="1"/>
  <c r="T2150" i="1"/>
  <c r="U2150" i="1"/>
  <c r="V2150" i="1"/>
  <c r="O2151" i="1"/>
  <c r="P2151" i="1"/>
  <c r="Q2151" i="1"/>
  <c r="R2151" i="1"/>
  <c r="S2151" i="1"/>
  <c r="T2151" i="1"/>
  <c r="U2151" i="1"/>
  <c r="V2151" i="1"/>
  <c r="O2152" i="1"/>
  <c r="P2152" i="1"/>
  <c r="Q2152" i="1"/>
  <c r="R2152" i="1"/>
  <c r="S2152" i="1"/>
  <c r="T2152" i="1"/>
  <c r="U2152" i="1"/>
  <c r="V2152" i="1"/>
  <c r="O2153" i="1"/>
  <c r="P2153" i="1"/>
  <c r="Q2153" i="1"/>
  <c r="R2153" i="1"/>
  <c r="S2153" i="1"/>
  <c r="T2153" i="1"/>
  <c r="U2153" i="1"/>
  <c r="V2153" i="1"/>
  <c r="O2154" i="1"/>
  <c r="P2154" i="1"/>
  <c r="Q2154" i="1"/>
  <c r="R2154" i="1"/>
  <c r="S2154" i="1"/>
  <c r="T2154" i="1"/>
  <c r="U2154" i="1"/>
  <c r="V2154" i="1"/>
  <c r="O2155" i="1"/>
  <c r="P2155" i="1"/>
  <c r="Q2155" i="1"/>
  <c r="R2155" i="1"/>
  <c r="S2155" i="1"/>
  <c r="T2155" i="1"/>
  <c r="U2155" i="1"/>
  <c r="V2155" i="1"/>
  <c r="O2156" i="1"/>
  <c r="P2156" i="1"/>
  <c r="Q2156" i="1"/>
  <c r="R2156" i="1"/>
  <c r="S2156" i="1"/>
  <c r="T2156" i="1"/>
  <c r="U2156" i="1"/>
  <c r="V2156" i="1"/>
  <c r="O2157" i="1"/>
  <c r="P2157" i="1"/>
  <c r="Q2157" i="1"/>
  <c r="R2157" i="1"/>
  <c r="S2157" i="1"/>
  <c r="T2157" i="1"/>
  <c r="U2157" i="1"/>
  <c r="V2157" i="1"/>
  <c r="O2158" i="1"/>
  <c r="P2158" i="1"/>
  <c r="Q2158" i="1"/>
  <c r="R2158" i="1"/>
  <c r="S2158" i="1"/>
  <c r="T2158" i="1"/>
  <c r="U2158" i="1"/>
  <c r="V2158" i="1"/>
  <c r="O2159" i="1"/>
  <c r="P2159" i="1"/>
  <c r="Q2159" i="1"/>
  <c r="R2159" i="1"/>
  <c r="S2159" i="1"/>
  <c r="T2159" i="1"/>
  <c r="U2159" i="1"/>
  <c r="V2159" i="1"/>
  <c r="O2160" i="1"/>
  <c r="P2160" i="1"/>
  <c r="Q2160" i="1"/>
  <c r="R2160" i="1"/>
  <c r="S2160" i="1"/>
  <c r="T2160" i="1"/>
  <c r="U2160" i="1"/>
  <c r="V2160" i="1"/>
  <c r="O2161" i="1"/>
  <c r="P2161" i="1"/>
  <c r="Q2161" i="1"/>
  <c r="R2161" i="1"/>
  <c r="S2161" i="1"/>
  <c r="T2161" i="1"/>
  <c r="U2161" i="1"/>
  <c r="V2161" i="1"/>
  <c r="O2162" i="1"/>
  <c r="P2162" i="1"/>
  <c r="Q2162" i="1"/>
  <c r="R2162" i="1"/>
  <c r="S2162" i="1"/>
  <c r="T2162" i="1"/>
  <c r="U2162" i="1"/>
  <c r="V2162" i="1"/>
  <c r="O2163" i="1"/>
  <c r="P2163" i="1"/>
  <c r="Q2163" i="1"/>
  <c r="R2163" i="1"/>
  <c r="S2163" i="1"/>
  <c r="T2163" i="1"/>
  <c r="U2163" i="1"/>
  <c r="V2163" i="1"/>
  <c r="O2164" i="1"/>
  <c r="P2164" i="1"/>
  <c r="Q2164" i="1"/>
  <c r="R2164" i="1"/>
  <c r="S2164" i="1"/>
  <c r="T2164" i="1"/>
  <c r="U2164" i="1"/>
  <c r="V2164" i="1"/>
  <c r="O2165" i="1"/>
  <c r="P2165" i="1"/>
  <c r="Q2165" i="1"/>
  <c r="R2165" i="1"/>
  <c r="S2165" i="1"/>
  <c r="T2165" i="1"/>
  <c r="U2165" i="1"/>
  <c r="V2165" i="1"/>
  <c r="O2166" i="1"/>
  <c r="P2166" i="1"/>
  <c r="Q2166" i="1"/>
  <c r="R2166" i="1"/>
  <c r="S2166" i="1"/>
  <c r="T2166" i="1"/>
  <c r="U2166" i="1"/>
  <c r="V2166" i="1"/>
  <c r="O2167" i="1"/>
  <c r="P2167" i="1"/>
  <c r="Q2167" i="1"/>
  <c r="R2167" i="1"/>
  <c r="S2167" i="1"/>
  <c r="T2167" i="1"/>
  <c r="U2167" i="1"/>
  <c r="V2167" i="1"/>
  <c r="O2168" i="1"/>
  <c r="P2168" i="1"/>
  <c r="Q2168" i="1"/>
  <c r="R2168" i="1"/>
  <c r="S2168" i="1"/>
  <c r="T2168" i="1"/>
  <c r="U2168" i="1"/>
  <c r="V2168" i="1"/>
  <c r="O2169" i="1"/>
  <c r="P2169" i="1"/>
  <c r="Q2169" i="1"/>
  <c r="R2169" i="1"/>
  <c r="S2169" i="1"/>
  <c r="T2169" i="1"/>
  <c r="U2169" i="1"/>
  <c r="V2169" i="1"/>
  <c r="O2170" i="1"/>
  <c r="P2170" i="1"/>
  <c r="Q2170" i="1"/>
  <c r="R2170" i="1"/>
  <c r="S2170" i="1"/>
  <c r="T2170" i="1"/>
  <c r="U2170" i="1"/>
  <c r="V2170" i="1"/>
  <c r="O2171" i="1"/>
  <c r="P2171" i="1"/>
  <c r="Q2171" i="1"/>
  <c r="R2171" i="1"/>
  <c r="S2171" i="1"/>
  <c r="T2171" i="1"/>
  <c r="U2171" i="1"/>
  <c r="V2171" i="1"/>
  <c r="O2172" i="1"/>
  <c r="P2172" i="1"/>
  <c r="Q2172" i="1"/>
  <c r="R2172" i="1"/>
  <c r="S2172" i="1"/>
  <c r="T2172" i="1"/>
  <c r="U2172" i="1"/>
  <c r="V2172" i="1"/>
  <c r="O2173" i="1"/>
  <c r="P2173" i="1"/>
  <c r="Q2173" i="1"/>
  <c r="R2173" i="1"/>
  <c r="S2173" i="1"/>
  <c r="T2173" i="1"/>
  <c r="U2173" i="1"/>
  <c r="V2173" i="1"/>
  <c r="O2174" i="1"/>
  <c r="P2174" i="1"/>
  <c r="Q2174" i="1"/>
  <c r="R2174" i="1"/>
  <c r="S2174" i="1"/>
  <c r="T2174" i="1"/>
  <c r="U2174" i="1"/>
  <c r="V2174" i="1"/>
  <c r="O2175" i="1"/>
  <c r="P2175" i="1"/>
  <c r="Q2175" i="1"/>
  <c r="R2175" i="1"/>
  <c r="S2175" i="1"/>
  <c r="T2175" i="1"/>
  <c r="U2175" i="1"/>
  <c r="V2175" i="1"/>
  <c r="O2176" i="1"/>
  <c r="P2176" i="1"/>
  <c r="Q2176" i="1"/>
  <c r="R2176" i="1"/>
  <c r="S2176" i="1"/>
  <c r="T2176" i="1"/>
  <c r="U2176" i="1"/>
  <c r="V2176" i="1"/>
  <c r="O2177" i="1"/>
  <c r="P2177" i="1"/>
  <c r="Q2177" i="1"/>
  <c r="R2177" i="1"/>
  <c r="S2177" i="1"/>
  <c r="T2177" i="1"/>
  <c r="U2177" i="1"/>
  <c r="V2177" i="1"/>
  <c r="O2178" i="1"/>
  <c r="P2178" i="1"/>
  <c r="Q2178" i="1"/>
  <c r="R2178" i="1"/>
  <c r="S2178" i="1"/>
  <c r="T2178" i="1"/>
  <c r="U2178" i="1"/>
  <c r="V2178" i="1"/>
  <c r="O2179" i="1"/>
  <c r="P2179" i="1"/>
  <c r="Q2179" i="1"/>
  <c r="R2179" i="1"/>
  <c r="S2179" i="1"/>
  <c r="T2179" i="1"/>
  <c r="U2179" i="1"/>
  <c r="V2179" i="1"/>
  <c r="O2180" i="1"/>
  <c r="P2180" i="1"/>
  <c r="Q2180" i="1"/>
  <c r="R2180" i="1"/>
  <c r="S2180" i="1"/>
  <c r="T2180" i="1"/>
  <c r="U2180" i="1"/>
  <c r="V2180" i="1"/>
  <c r="O2181" i="1"/>
  <c r="P2181" i="1"/>
  <c r="Q2181" i="1"/>
  <c r="R2181" i="1"/>
  <c r="S2181" i="1"/>
  <c r="T2181" i="1"/>
  <c r="U2181" i="1"/>
  <c r="V2181" i="1"/>
  <c r="O2182" i="1"/>
  <c r="P2182" i="1"/>
  <c r="Q2182" i="1"/>
  <c r="R2182" i="1"/>
  <c r="S2182" i="1"/>
  <c r="T2182" i="1"/>
  <c r="U2182" i="1"/>
  <c r="V2182" i="1"/>
  <c r="O2183" i="1"/>
  <c r="P2183" i="1"/>
  <c r="Q2183" i="1"/>
  <c r="R2183" i="1"/>
  <c r="S2183" i="1"/>
  <c r="T2183" i="1"/>
  <c r="U2183" i="1"/>
  <c r="V2183" i="1"/>
  <c r="O2184" i="1"/>
  <c r="P2184" i="1"/>
  <c r="Q2184" i="1"/>
  <c r="R2184" i="1"/>
  <c r="S2184" i="1"/>
  <c r="T2184" i="1"/>
  <c r="U2184" i="1"/>
  <c r="V2184" i="1"/>
  <c r="O2185" i="1"/>
  <c r="P2185" i="1"/>
  <c r="Q2185" i="1"/>
  <c r="R2185" i="1"/>
  <c r="S2185" i="1"/>
  <c r="T2185" i="1"/>
  <c r="U2185" i="1"/>
  <c r="V2185" i="1"/>
  <c r="O2186" i="1"/>
  <c r="P2186" i="1"/>
  <c r="Q2186" i="1"/>
  <c r="R2186" i="1"/>
  <c r="S2186" i="1"/>
  <c r="T2186" i="1"/>
  <c r="U2186" i="1"/>
  <c r="V2186" i="1"/>
  <c r="O2187" i="1"/>
  <c r="P2187" i="1"/>
  <c r="Q2187" i="1"/>
  <c r="R2187" i="1"/>
  <c r="S2187" i="1"/>
  <c r="T2187" i="1"/>
  <c r="U2187" i="1"/>
  <c r="V2187" i="1"/>
  <c r="O2188" i="1"/>
  <c r="P2188" i="1"/>
  <c r="Q2188" i="1"/>
  <c r="R2188" i="1"/>
  <c r="S2188" i="1"/>
  <c r="T2188" i="1"/>
  <c r="U2188" i="1"/>
  <c r="V2188" i="1"/>
  <c r="O2189" i="1"/>
  <c r="P2189" i="1"/>
  <c r="Q2189" i="1"/>
  <c r="R2189" i="1"/>
  <c r="S2189" i="1"/>
  <c r="T2189" i="1"/>
  <c r="U2189" i="1"/>
  <c r="V2189" i="1"/>
  <c r="O2190" i="1"/>
  <c r="P2190" i="1"/>
  <c r="Q2190" i="1"/>
  <c r="R2190" i="1"/>
  <c r="S2190" i="1"/>
  <c r="T2190" i="1"/>
  <c r="U2190" i="1"/>
  <c r="V2190" i="1"/>
  <c r="O2191" i="1"/>
  <c r="P2191" i="1"/>
  <c r="Q2191" i="1"/>
  <c r="R2191" i="1"/>
  <c r="S2191" i="1"/>
  <c r="T2191" i="1"/>
  <c r="U2191" i="1"/>
  <c r="V2191" i="1"/>
  <c r="O2192" i="1"/>
  <c r="P2192" i="1"/>
  <c r="Q2192" i="1"/>
  <c r="R2192" i="1"/>
  <c r="S2192" i="1"/>
  <c r="T2192" i="1"/>
  <c r="U2192" i="1"/>
  <c r="V2192" i="1"/>
  <c r="O2193" i="1"/>
  <c r="P2193" i="1"/>
  <c r="Q2193" i="1"/>
  <c r="R2193" i="1"/>
  <c r="S2193" i="1"/>
  <c r="T2193" i="1"/>
  <c r="U2193" i="1"/>
  <c r="V2193" i="1"/>
  <c r="O2194" i="1"/>
  <c r="P2194" i="1"/>
  <c r="Q2194" i="1"/>
  <c r="R2194" i="1"/>
  <c r="S2194" i="1"/>
  <c r="T2194" i="1"/>
  <c r="U2194" i="1"/>
  <c r="V2194" i="1"/>
  <c r="O2195" i="1"/>
  <c r="P2195" i="1"/>
  <c r="Q2195" i="1"/>
  <c r="R2195" i="1"/>
  <c r="S2195" i="1"/>
  <c r="T2195" i="1"/>
  <c r="U2195" i="1"/>
  <c r="V2195" i="1"/>
  <c r="O2196" i="1"/>
  <c r="P2196" i="1"/>
  <c r="Q2196" i="1"/>
  <c r="R2196" i="1"/>
  <c r="S2196" i="1"/>
  <c r="T2196" i="1"/>
  <c r="U2196" i="1"/>
  <c r="V2196" i="1"/>
  <c r="O2197" i="1"/>
  <c r="P2197" i="1"/>
  <c r="Q2197" i="1"/>
  <c r="R2197" i="1"/>
  <c r="S2197" i="1"/>
  <c r="T2197" i="1"/>
  <c r="U2197" i="1"/>
  <c r="V2197" i="1"/>
  <c r="O2198" i="1"/>
  <c r="P2198" i="1"/>
  <c r="Q2198" i="1"/>
  <c r="R2198" i="1"/>
  <c r="S2198" i="1"/>
  <c r="T2198" i="1"/>
  <c r="U2198" i="1"/>
  <c r="V2198" i="1"/>
  <c r="O2199" i="1"/>
  <c r="P2199" i="1"/>
  <c r="Q2199" i="1"/>
  <c r="R2199" i="1"/>
  <c r="S2199" i="1"/>
  <c r="T2199" i="1"/>
  <c r="U2199" i="1"/>
  <c r="V2199" i="1"/>
  <c r="O2200" i="1"/>
  <c r="P2200" i="1"/>
  <c r="Q2200" i="1"/>
  <c r="R2200" i="1"/>
  <c r="S2200" i="1"/>
  <c r="T2200" i="1"/>
  <c r="U2200" i="1"/>
  <c r="V2200" i="1"/>
  <c r="O2201" i="1"/>
  <c r="P2201" i="1"/>
  <c r="Q2201" i="1"/>
  <c r="R2201" i="1"/>
  <c r="S2201" i="1"/>
  <c r="T2201" i="1"/>
  <c r="U2201" i="1"/>
  <c r="V2201" i="1"/>
  <c r="O2202" i="1"/>
  <c r="P2202" i="1"/>
  <c r="Q2202" i="1"/>
  <c r="R2202" i="1"/>
  <c r="S2202" i="1"/>
  <c r="T2202" i="1"/>
  <c r="U2202" i="1"/>
  <c r="V2202" i="1"/>
  <c r="O2203" i="1"/>
  <c r="P2203" i="1"/>
  <c r="Q2203" i="1"/>
  <c r="R2203" i="1"/>
  <c r="S2203" i="1"/>
  <c r="T2203" i="1"/>
  <c r="U2203" i="1"/>
  <c r="V2203" i="1"/>
  <c r="O2204" i="1"/>
  <c r="P2204" i="1"/>
  <c r="Q2204" i="1"/>
  <c r="R2204" i="1"/>
  <c r="S2204" i="1"/>
  <c r="T2204" i="1"/>
  <c r="U2204" i="1"/>
  <c r="V2204" i="1"/>
  <c r="O2205" i="1"/>
  <c r="P2205" i="1"/>
  <c r="Q2205" i="1"/>
  <c r="R2205" i="1"/>
  <c r="S2205" i="1"/>
  <c r="T2205" i="1"/>
  <c r="U2205" i="1"/>
  <c r="V2205" i="1"/>
  <c r="O2206" i="1"/>
  <c r="P2206" i="1"/>
  <c r="Q2206" i="1"/>
  <c r="R2206" i="1"/>
  <c r="S2206" i="1"/>
  <c r="T2206" i="1"/>
  <c r="U2206" i="1"/>
  <c r="V2206" i="1"/>
  <c r="O2207" i="1"/>
  <c r="P2207" i="1"/>
  <c r="Q2207" i="1"/>
  <c r="R2207" i="1"/>
  <c r="S2207" i="1"/>
  <c r="T2207" i="1"/>
  <c r="U2207" i="1"/>
  <c r="V2207" i="1"/>
  <c r="O2208" i="1"/>
  <c r="P2208" i="1"/>
  <c r="Q2208" i="1"/>
  <c r="R2208" i="1"/>
  <c r="S2208" i="1"/>
  <c r="T2208" i="1"/>
  <c r="U2208" i="1"/>
  <c r="V2208" i="1"/>
  <c r="O2209" i="1"/>
  <c r="P2209" i="1"/>
  <c r="Q2209" i="1"/>
  <c r="R2209" i="1"/>
  <c r="S2209" i="1"/>
  <c r="T2209" i="1"/>
  <c r="U2209" i="1"/>
  <c r="V2209" i="1"/>
  <c r="O2210" i="1"/>
  <c r="P2210" i="1"/>
  <c r="Q2210" i="1"/>
  <c r="R2210" i="1"/>
  <c r="S2210" i="1"/>
  <c r="T2210" i="1"/>
  <c r="U2210" i="1"/>
  <c r="V2210" i="1"/>
  <c r="O2211" i="1"/>
  <c r="P2211" i="1"/>
  <c r="Q2211" i="1"/>
  <c r="R2211" i="1"/>
  <c r="S2211" i="1"/>
  <c r="T2211" i="1"/>
  <c r="U2211" i="1"/>
  <c r="V2211" i="1"/>
  <c r="O2212" i="1"/>
  <c r="P2212" i="1"/>
  <c r="Q2212" i="1"/>
  <c r="R2212" i="1"/>
  <c r="S2212" i="1"/>
  <c r="T2212" i="1"/>
  <c r="U2212" i="1"/>
  <c r="V2212" i="1"/>
  <c r="O2213" i="1"/>
  <c r="P2213" i="1"/>
  <c r="Q2213" i="1"/>
  <c r="R2213" i="1"/>
  <c r="S2213" i="1"/>
  <c r="T2213" i="1"/>
  <c r="U2213" i="1"/>
  <c r="V2213" i="1"/>
  <c r="O2214" i="1"/>
  <c r="P2214" i="1"/>
  <c r="Q2214" i="1"/>
  <c r="R2214" i="1"/>
  <c r="S2214" i="1"/>
  <c r="T2214" i="1"/>
  <c r="U2214" i="1"/>
  <c r="V2214" i="1"/>
  <c r="O2215" i="1"/>
  <c r="P2215" i="1"/>
  <c r="Q2215" i="1"/>
  <c r="R2215" i="1"/>
  <c r="S2215" i="1"/>
  <c r="T2215" i="1"/>
  <c r="U2215" i="1"/>
  <c r="V2215" i="1"/>
  <c r="O2216" i="1"/>
  <c r="P2216" i="1"/>
  <c r="Q2216" i="1"/>
  <c r="R2216" i="1"/>
  <c r="S2216" i="1"/>
  <c r="T2216" i="1"/>
  <c r="U2216" i="1"/>
  <c r="V2216" i="1"/>
  <c r="O2217" i="1"/>
  <c r="P2217" i="1"/>
  <c r="Q2217" i="1"/>
  <c r="R2217" i="1"/>
  <c r="S2217" i="1"/>
  <c r="T2217" i="1"/>
  <c r="U2217" i="1"/>
  <c r="V2217" i="1"/>
  <c r="O2218" i="1"/>
  <c r="P2218" i="1"/>
  <c r="Q2218" i="1"/>
  <c r="R2218" i="1"/>
  <c r="S2218" i="1"/>
  <c r="T2218" i="1"/>
  <c r="U2218" i="1"/>
  <c r="V2218" i="1"/>
  <c r="O2219" i="1"/>
  <c r="P2219" i="1"/>
  <c r="Q2219" i="1"/>
  <c r="R2219" i="1"/>
  <c r="S2219" i="1"/>
  <c r="T2219" i="1"/>
  <c r="U2219" i="1"/>
  <c r="V2219" i="1"/>
  <c r="O2220" i="1"/>
  <c r="P2220" i="1"/>
  <c r="Q2220" i="1"/>
  <c r="R2220" i="1"/>
  <c r="S2220" i="1"/>
  <c r="T2220" i="1"/>
  <c r="U2220" i="1"/>
  <c r="V2220" i="1"/>
  <c r="O2221" i="1"/>
  <c r="P2221" i="1"/>
  <c r="Q2221" i="1"/>
  <c r="R2221" i="1"/>
  <c r="S2221" i="1"/>
  <c r="T2221" i="1"/>
  <c r="U2221" i="1"/>
  <c r="V2221" i="1"/>
  <c r="O2222" i="1"/>
  <c r="P2222" i="1"/>
  <c r="Q2222" i="1"/>
  <c r="R2222" i="1"/>
  <c r="S2222" i="1"/>
  <c r="T2222" i="1"/>
  <c r="U2222" i="1"/>
  <c r="V2222" i="1"/>
  <c r="O2223" i="1"/>
  <c r="P2223" i="1"/>
  <c r="Q2223" i="1"/>
  <c r="R2223" i="1"/>
  <c r="S2223" i="1"/>
  <c r="T2223" i="1"/>
  <c r="U2223" i="1"/>
  <c r="V2223" i="1"/>
  <c r="O2224" i="1"/>
  <c r="P2224" i="1"/>
  <c r="Q2224" i="1"/>
  <c r="R2224" i="1"/>
  <c r="S2224" i="1"/>
  <c r="T2224" i="1"/>
  <c r="U2224" i="1"/>
  <c r="V2224" i="1"/>
  <c r="O2225" i="1"/>
  <c r="P2225" i="1"/>
  <c r="Q2225" i="1"/>
  <c r="R2225" i="1"/>
  <c r="S2225" i="1"/>
  <c r="T2225" i="1"/>
  <c r="U2225" i="1"/>
  <c r="V2225" i="1"/>
  <c r="O2226" i="1"/>
  <c r="P2226" i="1"/>
  <c r="Q2226" i="1"/>
  <c r="R2226" i="1"/>
  <c r="S2226" i="1"/>
  <c r="T2226" i="1"/>
  <c r="U2226" i="1"/>
  <c r="V2226" i="1"/>
  <c r="O2227" i="1"/>
  <c r="P2227" i="1"/>
  <c r="Q2227" i="1"/>
  <c r="R2227" i="1"/>
  <c r="S2227" i="1"/>
  <c r="T2227" i="1"/>
  <c r="U2227" i="1"/>
  <c r="V2227" i="1"/>
  <c r="O2228" i="1"/>
  <c r="P2228" i="1"/>
  <c r="Q2228" i="1"/>
  <c r="R2228" i="1"/>
  <c r="S2228" i="1"/>
  <c r="T2228" i="1"/>
  <c r="U2228" i="1"/>
  <c r="V2228" i="1"/>
  <c r="O2229" i="1"/>
  <c r="P2229" i="1"/>
  <c r="Q2229" i="1"/>
  <c r="R2229" i="1"/>
  <c r="S2229" i="1"/>
  <c r="T2229" i="1"/>
  <c r="U2229" i="1"/>
  <c r="V2229" i="1"/>
  <c r="O2230" i="1"/>
  <c r="P2230" i="1"/>
  <c r="Q2230" i="1"/>
  <c r="R2230" i="1"/>
  <c r="S2230" i="1"/>
  <c r="T2230" i="1"/>
  <c r="U2230" i="1"/>
  <c r="V2230" i="1"/>
  <c r="O2231" i="1"/>
  <c r="P2231" i="1"/>
  <c r="Q2231" i="1"/>
  <c r="R2231" i="1"/>
  <c r="S2231" i="1"/>
  <c r="T2231" i="1"/>
  <c r="U2231" i="1"/>
  <c r="V2231" i="1"/>
  <c r="O2232" i="1"/>
  <c r="P2232" i="1"/>
  <c r="Q2232" i="1"/>
  <c r="R2232" i="1"/>
  <c r="S2232" i="1"/>
  <c r="T2232" i="1"/>
  <c r="U2232" i="1"/>
  <c r="V2232" i="1"/>
  <c r="O2233" i="1"/>
  <c r="P2233" i="1"/>
  <c r="Q2233" i="1"/>
  <c r="R2233" i="1"/>
  <c r="S2233" i="1"/>
  <c r="T2233" i="1"/>
  <c r="U2233" i="1"/>
  <c r="V2233" i="1"/>
  <c r="O2234" i="1"/>
  <c r="P2234" i="1"/>
  <c r="Q2234" i="1"/>
  <c r="R2234" i="1"/>
  <c r="S2234" i="1"/>
  <c r="T2234" i="1"/>
  <c r="U2234" i="1"/>
  <c r="V2234" i="1"/>
  <c r="O2235" i="1"/>
  <c r="P2235" i="1"/>
  <c r="Q2235" i="1"/>
  <c r="R2235" i="1"/>
  <c r="S2235" i="1"/>
  <c r="T2235" i="1"/>
  <c r="U2235" i="1"/>
  <c r="V2235" i="1"/>
  <c r="O2236" i="1"/>
  <c r="P2236" i="1"/>
  <c r="Q2236" i="1"/>
  <c r="R2236" i="1"/>
  <c r="S2236" i="1"/>
  <c r="T2236" i="1"/>
  <c r="U2236" i="1"/>
  <c r="V2236" i="1"/>
  <c r="O2237" i="1"/>
  <c r="P2237" i="1"/>
  <c r="Q2237" i="1"/>
  <c r="R2237" i="1"/>
  <c r="S2237" i="1"/>
  <c r="T2237" i="1"/>
  <c r="U2237" i="1"/>
  <c r="V2237" i="1"/>
  <c r="O2238" i="1"/>
  <c r="P2238" i="1"/>
  <c r="Q2238" i="1"/>
  <c r="R2238" i="1"/>
  <c r="S2238" i="1"/>
  <c r="T2238" i="1"/>
  <c r="U2238" i="1"/>
  <c r="V2238" i="1"/>
  <c r="O2239" i="1"/>
  <c r="P2239" i="1"/>
  <c r="Q2239" i="1"/>
  <c r="R2239" i="1"/>
  <c r="S2239" i="1"/>
  <c r="T2239" i="1"/>
  <c r="U2239" i="1"/>
  <c r="V2239" i="1"/>
  <c r="O2240" i="1"/>
  <c r="P2240" i="1"/>
  <c r="Q2240" i="1"/>
  <c r="R2240" i="1"/>
  <c r="S2240" i="1"/>
  <c r="T2240" i="1"/>
  <c r="U2240" i="1"/>
  <c r="V2240" i="1"/>
  <c r="O2241" i="1"/>
  <c r="P2241" i="1"/>
  <c r="Q2241" i="1"/>
  <c r="R2241" i="1"/>
  <c r="S2241" i="1"/>
  <c r="T2241" i="1"/>
  <c r="U2241" i="1"/>
  <c r="V2241" i="1"/>
  <c r="O2242" i="1"/>
  <c r="P2242" i="1"/>
  <c r="Q2242" i="1"/>
  <c r="R2242" i="1"/>
  <c r="S2242" i="1"/>
  <c r="T2242" i="1"/>
  <c r="U2242" i="1"/>
  <c r="V2242" i="1"/>
  <c r="O2243" i="1"/>
  <c r="P2243" i="1"/>
  <c r="Q2243" i="1"/>
  <c r="R2243" i="1"/>
  <c r="S2243" i="1"/>
  <c r="T2243" i="1"/>
  <c r="U2243" i="1"/>
  <c r="V2243" i="1"/>
  <c r="O2244" i="1"/>
  <c r="P2244" i="1"/>
  <c r="Q2244" i="1"/>
  <c r="R2244" i="1"/>
  <c r="S2244" i="1"/>
  <c r="T2244" i="1"/>
  <c r="U2244" i="1"/>
  <c r="V2244" i="1"/>
  <c r="O2245" i="1"/>
  <c r="P2245" i="1"/>
  <c r="Q2245" i="1"/>
  <c r="R2245" i="1"/>
  <c r="S2245" i="1"/>
  <c r="T2245" i="1"/>
  <c r="U2245" i="1"/>
  <c r="V2245" i="1"/>
  <c r="O2246" i="1"/>
  <c r="P2246" i="1"/>
  <c r="Q2246" i="1"/>
  <c r="R2246" i="1"/>
  <c r="S2246" i="1"/>
  <c r="T2246" i="1"/>
  <c r="U2246" i="1"/>
  <c r="V2246" i="1"/>
  <c r="O2247" i="1"/>
  <c r="P2247" i="1"/>
  <c r="Q2247" i="1"/>
  <c r="R2247" i="1"/>
  <c r="S2247" i="1"/>
  <c r="T2247" i="1"/>
  <c r="U2247" i="1"/>
  <c r="V2247" i="1"/>
  <c r="O2248" i="1"/>
  <c r="P2248" i="1"/>
  <c r="Q2248" i="1"/>
  <c r="R2248" i="1"/>
  <c r="S2248" i="1"/>
  <c r="T2248" i="1"/>
  <c r="U2248" i="1"/>
  <c r="V2248" i="1"/>
  <c r="O2249" i="1"/>
  <c r="P2249" i="1"/>
  <c r="Q2249" i="1"/>
  <c r="R2249" i="1"/>
  <c r="S2249" i="1"/>
  <c r="T2249" i="1"/>
  <c r="U2249" i="1"/>
  <c r="V2249" i="1"/>
  <c r="O2250" i="1"/>
  <c r="P2250" i="1"/>
  <c r="Q2250" i="1"/>
  <c r="R2250" i="1"/>
  <c r="S2250" i="1"/>
  <c r="T2250" i="1"/>
  <c r="U2250" i="1"/>
  <c r="V2250" i="1"/>
  <c r="O2251" i="1"/>
  <c r="P2251" i="1"/>
  <c r="Q2251" i="1"/>
  <c r="R2251" i="1"/>
  <c r="S2251" i="1"/>
  <c r="T2251" i="1"/>
  <c r="U2251" i="1"/>
  <c r="V2251" i="1"/>
  <c r="O2252" i="1"/>
  <c r="P2252" i="1"/>
  <c r="Q2252" i="1"/>
  <c r="R2252" i="1"/>
  <c r="S2252" i="1"/>
  <c r="T2252" i="1"/>
  <c r="U2252" i="1"/>
  <c r="V2252" i="1"/>
  <c r="O2253" i="1"/>
  <c r="P2253" i="1"/>
  <c r="Q2253" i="1"/>
  <c r="R2253" i="1"/>
  <c r="S2253" i="1"/>
  <c r="T2253" i="1"/>
  <c r="U2253" i="1"/>
  <c r="V2253" i="1"/>
  <c r="O2254" i="1"/>
  <c r="P2254" i="1"/>
  <c r="Q2254" i="1"/>
  <c r="R2254" i="1"/>
  <c r="S2254" i="1"/>
  <c r="T2254" i="1"/>
  <c r="U2254" i="1"/>
  <c r="V2254" i="1"/>
  <c r="O2255" i="1"/>
  <c r="P2255" i="1"/>
  <c r="Q2255" i="1"/>
  <c r="R2255" i="1"/>
  <c r="S2255" i="1"/>
  <c r="T2255" i="1"/>
  <c r="U2255" i="1"/>
  <c r="V2255" i="1"/>
  <c r="O2256" i="1"/>
  <c r="P2256" i="1"/>
  <c r="Q2256" i="1"/>
  <c r="R2256" i="1"/>
  <c r="S2256" i="1"/>
  <c r="T2256" i="1"/>
  <c r="U2256" i="1"/>
  <c r="V2256" i="1"/>
  <c r="O2257" i="1"/>
  <c r="P2257" i="1"/>
  <c r="Q2257" i="1"/>
  <c r="R2257" i="1"/>
  <c r="S2257" i="1"/>
  <c r="T2257" i="1"/>
  <c r="U2257" i="1"/>
  <c r="V2257" i="1"/>
  <c r="O2258" i="1"/>
  <c r="P2258" i="1"/>
  <c r="Q2258" i="1"/>
  <c r="R2258" i="1"/>
  <c r="S2258" i="1"/>
  <c r="T2258" i="1"/>
  <c r="U2258" i="1"/>
  <c r="V2258" i="1"/>
  <c r="O2259" i="1"/>
  <c r="P2259" i="1"/>
  <c r="Q2259" i="1"/>
  <c r="R2259" i="1"/>
  <c r="S2259" i="1"/>
  <c r="T2259" i="1"/>
  <c r="U2259" i="1"/>
  <c r="V2259" i="1"/>
  <c r="O2260" i="1"/>
  <c r="P2260" i="1"/>
  <c r="Q2260" i="1"/>
  <c r="R2260" i="1"/>
  <c r="S2260" i="1"/>
  <c r="T2260" i="1"/>
  <c r="U2260" i="1"/>
  <c r="V2260" i="1"/>
  <c r="O2261" i="1"/>
  <c r="P2261" i="1"/>
  <c r="Q2261" i="1"/>
  <c r="R2261" i="1"/>
  <c r="S2261" i="1"/>
  <c r="T2261" i="1"/>
  <c r="U2261" i="1"/>
  <c r="V2261" i="1"/>
  <c r="O2262" i="1"/>
  <c r="P2262" i="1"/>
  <c r="Q2262" i="1"/>
  <c r="R2262" i="1"/>
  <c r="S2262" i="1"/>
  <c r="T2262" i="1"/>
  <c r="U2262" i="1"/>
  <c r="V2262" i="1"/>
  <c r="O2263" i="1"/>
  <c r="P2263" i="1"/>
  <c r="Q2263" i="1"/>
  <c r="R2263" i="1"/>
  <c r="S2263" i="1"/>
  <c r="T2263" i="1"/>
  <c r="U2263" i="1"/>
  <c r="V2263" i="1"/>
  <c r="O2264" i="1"/>
  <c r="P2264" i="1"/>
  <c r="Q2264" i="1"/>
  <c r="R2264" i="1"/>
  <c r="S2264" i="1"/>
  <c r="T2264" i="1"/>
  <c r="U2264" i="1"/>
  <c r="V2264" i="1"/>
  <c r="O2265" i="1"/>
  <c r="P2265" i="1"/>
  <c r="Q2265" i="1"/>
  <c r="R2265" i="1"/>
  <c r="S2265" i="1"/>
  <c r="T2265" i="1"/>
  <c r="U2265" i="1"/>
  <c r="V2265" i="1"/>
  <c r="O2266" i="1"/>
  <c r="P2266" i="1"/>
  <c r="Q2266" i="1"/>
  <c r="R2266" i="1"/>
  <c r="S2266" i="1"/>
  <c r="T2266" i="1"/>
  <c r="U2266" i="1"/>
  <c r="V2266" i="1"/>
  <c r="O2267" i="1"/>
  <c r="P2267" i="1"/>
  <c r="Q2267" i="1"/>
  <c r="R2267" i="1"/>
  <c r="S2267" i="1"/>
  <c r="T2267" i="1"/>
  <c r="U2267" i="1"/>
  <c r="V2267" i="1"/>
  <c r="O2268" i="1"/>
  <c r="P2268" i="1"/>
  <c r="Q2268" i="1"/>
  <c r="R2268" i="1"/>
  <c r="S2268" i="1"/>
  <c r="T2268" i="1"/>
  <c r="U2268" i="1"/>
  <c r="V2268" i="1"/>
  <c r="O2269" i="1"/>
  <c r="P2269" i="1"/>
  <c r="Q2269" i="1"/>
  <c r="R2269" i="1"/>
  <c r="S2269" i="1"/>
  <c r="T2269" i="1"/>
  <c r="U2269" i="1"/>
  <c r="V2269" i="1"/>
  <c r="O2270" i="1"/>
  <c r="P2270" i="1"/>
  <c r="Q2270" i="1"/>
  <c r="R2270" i="1"/>
  <c r="S2270" i="1"/>
  <c r="T2270" i="1"/>
  <c r="U2270" i="1"/>
  <c r="V2270" i="1"/>
  <c r="O2271" i="1"/>
  <c r="P2271" i="1"/>
  <c r="Q2271" i="1"/>
  <c r="R2271" i="1"/>
  <c r="S2271" i="1"/>
  <c r="T2271" i="1"/>
  <c r="U2271" i="1"/>
  <c r="V2271" i="1"/>
  <c r="O2272" i="1"/>
  <c r="P2272" i="1"/>
  <c r="Q2272" i="1"/>
  <c r="R2272" i="1"/>
  <c r="S2272" i="1"/>
  <c r="T2272" i="1"/>
  <c r="U2272" i="1"/>
  <c r="V2272" i="1"/>
  <c r="O2273" i="1"/>
  <c r="P2273" i="1"/>
  <c r="Q2273" i="1"/>
  <c r="R2273" i="1"/>
  <c r="S2273" i="1"/>
  <c r="T2273" i="1"/>
  <c r="U2273" i="1"/>
  <c r="V2273" i="1"/>
  <c r="O2274" i="1"/>
  <c r="P2274" i="1"/>
  <c r="Q2274" i="1"/>
  <c r="R2274" i="1"/>
  <c r="S2274" i="1"/>
  <c r="T2274" i="1"/>
  <c r="U2274" i="1"/>
  <c r="V2274" i="1"/>
  <c r="O2275" i="1"/>
  <c r="P2275" i="1"/>
  <c r="Q2275" i="1"/>
  <c r="R2275" i="1"/>
  <c r="S2275" i="1"/>
  <c r="T2275" i="1"/>
  <c r="U2275" i="1"/>
  <c r="V2275" i="1"/>
  <c r="O2276" i="1"/>
  <c r="P2276" i="1"/>
  <c r="Q2276" i="1"/>
  <c r="R2276" i="1"/>
  <c r="S2276" i="1"/>
  <c r="T2276" i="1"/>
  <c r="U2276" i="1"/>
  <c r="V2276" i="1"/>
  <c r="O2277" i="1"/>
  <c r="P2277" i="1"/>
  <c r="Q2277" i="1"/>
  <c r="R2277" i="1"/>
  <c r="S2277" i="1"/>
  <c r="T2277" i="1"/>
  <c r="U2277" i="1"/>
  <c r="V2277" i="1"/>
  <c r="O2278" i="1"/>
  <c r="P2278" i="1"/>
  <c r="Q2278" i="1"/>
  <c r="R2278" i="1"/>
  <c r="S2278" i="1"/>
  <c r="T2278" i="1"/>
  <c r="U2278" i="1"/>
  <c r="V2278" i="1"/>
  <c r="O2279" i="1"/>
  <c r="P2279" i="1"/>
  <c r="Q2279" i="1"/>
  <c r="R2279" i="1"/>
  <c r="S2279" i="1"/>
  <c r="T2279" i="1"/>
  <c r="U2279" i="1"/>
  <c r="V2279" i="1"/>
  <c r="O2280" i="1"/>
  <c r="P2280" i="1"/>
  <c r="Q2280" i="1"/>
  <c r="R2280" i="1"/>
  <c r="S2280" i="1"/>
  <c r="T2280" i="1"/>
  <c r="U2280" i="1"/>
  <c r="V2280" i="1"/>
  <c r="O2281" i="1"/>
  <c r="P2281" i="1"/>
  <c r="Q2281" i="1"/>
  <c r="R2281" i="1"/>
  <c r="S2281" i="1"/>
  <c r="T2281" i="1"/>
  <c r="U2281" i="1"/>
  <c r="V2281" i="1"/>
  <c r="O2282" i="1"/>
  <c r="P2282" i="1"/>
  <c r="Q2282" i="1"/>
  <c r="R2282" i="1"/>
  <c r="S2282" i="1"/>
  <c r="T2282" i="1"/>
  <c r="U2282" i="1"/>
  <c r="V2282" i="1"/>
  <c r="O2283" i="1"/>
  <c r="P2283" i="1"/>
  <c r="Q2283" i="1"/>
  <c r="R2283" i="1"/>
  <c r="S2283" i="1"/>
  <c r="T2283" i="1"/>
  <c r="U2283" i="1"/>
  <c r="V2283" i="1"/>
  <c r="O2284" i="1"/>
  <c r="P2284" i="1"/>
  <c r="Q2284" i="1"/>
  <c r="R2284" i="1"/>
  <c r="S2284" i="1"/>
  <c r="T2284" i="1"/>
  <c r="U2284" i="1"/>
  <c r="V2284" i="1"/>
  <c r="O2285" i="1"/>
  <c r="P2285" i="1"/>
  <c r="Q2285" i="1"/>
  <c r="R2285" i="1"/>
  <c r="S2285" i="1"/>
  <c r="T2285" i="1"/>
  <c r="U2285" i="1"/>
  <c r="V2285" i="1"/>
  <c r="O2286" i="1"/>
  <c r="P2286" i="1"/>
  <c r="Q2286" i="1"/>
  <c r="R2286" i="1"/>
  <c r="S2286" i="1"/>
  <c r="T2286" i="1"/>
  <c r="U2286" i="1"/>
  <c r="V2286" i="1"/>
  <c r="O2287" i="1"/>
  <c r="P2287" i="1"/>
  <c r="Q2287" i="1"/>
  <c r="R2287" i="1"/>
  <c r="S2287" i="1"/>
  <c r="T2287" i="1"/>
  <c r="U2287" i="1"/>
  <c r="V2287" i="1"/>
  <c r="O2288" i="1"/>
  <c r="P2288" i="1"/>
  <c r="Q2288" i="1"/>
  <c r="R2288" i="1"/>
  <c r="S2288" i="1"/>
  <c r="T2288" i="1"/>
  <c r="U2288" i="1"/>
  <c r="V2288" i="1"/>
  <c r="O2289" i="1"/>
  <c r="P2289" i="1"/>
  <c r="Q2289" i="1"/>
  <c r="R2289" i="1"/>
  <c r="S2289" i="1"/>
  <c r="T2289" i="1"/>
  <c r="U2289" i="1"/>
  <c r="V2289" i="1"/>
  <c r="O2290" i="1"/>
  <c r="P2290" i="1"/>
  <c r="Q2290" i="1"/>
  <c r="R2290" i="1"/>
  <c r="S2290" i="1"/>
  <c r="T2290" i="1"/>
  <c r="U2290" i="1"/>
  <c r="V2290" i="1"/>
  <c r="O2291" i="1"/>
  <c r="P2291" i="1"/>
  <c r="Q2291" i="1"/>
  <c r="R2291" i="1"/>
  <c r="S2291" i="1"/>
  <c r="T2291" i="1"/>
  <c r="U2291" i="1"/>
  <c r="V2291" i="1"/>
  <c r="O2292" i="1"/>
  <c r="P2292" i="1"/>
  <c r="Q2292" i="1"/>
  <c r="R2292" i="1"/>
  <c r="S2292" i="1"/>
  <c r="T2292" i="1"/>
  <c r="U2292" i="1"/>
  <c r="V2292" i="1"/>
  <c r="O2293" i="1"/>
  <c r="P2293" i="1"/>
  <c r="Q2293" i="1"/>
  <c r="R2293" i="1"/>
  <c r="S2293" i="1"/>
  <c r="T2293" i="1"/>
  <c r="U2293" i="1"/>
  <c r="V2293" i="1"/>
  <c r="O2294" i="1"/>
  <c r="P2294" i="1"/>
  <c r="Q2294" i="1"/>
  <c r="R2294" i="1"/>
  <c r="S2294" i="1"/>
  <c r="T2294" i="1"/>
  <c r="U2294" i="1"/>
  <c r="V2294" i="1"/>
  <c r="O2295" i="1"/>
  <c r="P2295" i="1"/>
  <c r="Q2295" i="1"/>
  <c r="R2295" i="1"/>
  <c r="S2295" i="1"/>
  <c r="T2295" i="1"/>
  <c r="U2295" i="1"/>
  <c r="V2295" i="1"/>
  <c r="O2296" i="1"/>
  <c r="P2296" i="1"/>
  <c r="Q2296" i="1"/>
  <c r="R2296" i="1"/>
  <c r="S2296" i="1"/>
  <c r="T2296" i="1"/>
  <c r="U2296" i="1"/>
  <c r="V2296" i="1"/>
  <c r="O2297" i="1"/>
  <c r="P2297" i="1"/>
  <c r="Q2297" i="1"/>
  <c r="R2297" i="1"/>
  <c r="S2297" i="1"/>
  <c r="T2297" i="1"/>
  <c r="U2297" i="1"/>
  <c r="V2297" i="1"/>
  <c r="O2298" i="1"/>
  <c r="P2298" i="1"/>
  <c r="Q2298" i="1"/>
  <c r="R2298" i="1"/>
  <c r="S2298" i="1"/>
  <c r="T2298" i="1"/>
  <c r="U2298" i="1"/>
  <c r="V2298" i="1"/>
  <c r="O2299" i="1"/>
  <c r="P2299" i="1"/>
  <c r="Q2299" i="1"/>
  <c r="R2299" i="1"/>
  <c r="S2299" i="1"/>
  <c r="T2299" i="1"/>
  <c r="U2299" i="1"/>
  <c r="V2299" i="1"/>
  <c r="O2300" i="1"/>
  <c r="P2300" i="1"/>
  <c r="Q2300" i="1"/>
  <c r="R2300" i="1"/>
  <c r="S2300" i="1"/>
  <c r="T2300" i="1"/>
  <c r="U2300" i="1"/>
  <c r="V2300" i="1"/>
  <c r="O2301" i="1"/>
  <c r="P2301" i="1"/>
  <c r="Q2301" i="1"/>
  <c r="R2301" i="1"/>
  <c r="S2301" i="1"/>
  <c r="T2301" i="1"/>
  <c r="U2301" i="1"/>
  <c r="V2301" i="1"/>
  <c r="O2302" i="1"/>
  <c r="P2302" i="1"/>
  <c r="Q2302" i="1"/>
  <c r="R2302" i="1"/>
  <c r="S2302" i="1"/>
  <c r="T2302" i="1"/>
  <c r="U2302" i="1"/>
  <c r="V2302" i="1"/>
  <c r="O2303" i="1"/>
  <c r="P2303" i="1"/>
  <c r="Q2303" i="1"/>
  <c r="R2303" i="1"/>
  <c r="S2303" i="1"/>
  <c r="T2303" i="1"/>
  <c r="U2303" i="1"/>
  <c r="V2303" i="1"/>
  <c r="O2304" i="1"/>
  <c r="P2304" i="1"/>
  <c r="Q2304" i="1"/>
  <c r="R2304" i="1"/>
  <c r="S2304" i="1"/>
  <c r="T2304" i="1"/>
  <c r="U2304" i="1"/>
  <c r="V2304" i="1"/>
  <c r="O2305" i="1"/>
  <c r="P2305" i="1"/>
  <c r="Q2305" i="1"/>
  <c r="R2305" i="1"/>
  <c r="S2305" i="1"/>
  <c r="T2305" i="1"/>
  <c r="U2305" i="1"/>
  <c r="V2305" i="1"/>
  <c r="O2306" i="1"/>
  <c r="P2306" i="1"/>
  <c r="Q2306" i="1"/>
  <c r="R2306" i="1"/>
  <c r="S2306" i="1"/>
  <c r="T2306" i="1"/>
  <c r="U2306" i="1"/>
  <c r="V2306" i="1"/>
  <c r="O2307" i="1"/>
  <c r="P2307" i="1"/>
  <c r="Q2307" i="1"/>
  <c r="R2307" i="1"/>
  <c r="S2307" i="1"/>
  <c r="T2307" i="1"/>
  <c r="U2307" i="1"/>
  <c r="V2307" i="1"/>
  <c r="O2308" i="1"/>
  <c r="P2308" i="1"/>
  <c r="Q2308" i="1"/>
  <c r="R2308" i="1"/>
  <c r="S2308" i="1"/>
  <c r="T2308" i="1"/>
  <c r="U2308" i="1"/>
  <c r="V2308" i="1"/>
  <c r="O2309" i="1"/>
  <c r="P2309" i="1"/>
  <c r="Q2309" i="1"/>
  <c r="R2309" i="1"/>
  <c r="S2309" i="1"/>
  <c r="T2309" i="1"/>
  <c r="U2309" i="1"/>
  <c r="V2309" i="1"/>
  <c r="O2310" i="1"/>
  <c r="P2310" i="1"/>
  <c r="Q2310" i="1"/>
  <c r="R2310" i="1"/>
  <c r="S2310" i="1"/>
  <c r="T2310" i="1"/>
  <c r="U2310" i="1"/>
  <c r="V2310" i="1"/>
  <c r="O2311" i="1"/>
  <c r="P2311" i="1"/>
  <c r="Q2311" i="1"/>
  <c r="R2311" i="1"/>
  <c r="S2311" i="1"/>
  <c r="T2311" i="1"/>
  <c r="U2311" i="1"/>
  <c r="V2311" i="1"/>
  <c r="O2312" i="1"/>
  <c r="P2312" i="1"/>
  <c r="Q2312" i="1"/>
  <c r="R2312" i="1"/>
  <c r="S2312" i="1"/>
  <c r="T2312" i="1"/>
  <c r="U2312" i="1"/>
  <c r="V2312" i="1"/>
  <c r="O2313" i="1"/>
  <c r="P2313" i="1"/>
  <c r="Q2313" i="1"/>
  <c r="R2313" i="1"/>
  <c r="S2313" i="1"/>
  <c r="T2313" i="1"/>
  <c r="U2313" i="1"/>
  <c r="V2313" i="1"/>
  <c r="O2314" i="1"/>
  <c r="P2314" i="1"/>
  <c r="Q2314" i="1"/>
  <c r="R2314" i="1"/>
  <c r="S2314" i="1"/>
  <c r="T2314" i="1"/>
  <c r="U2314" i="1"/>
  <c r="V2314" i="1"/>
  <c r="O2315" i="1"/>
  <c r="P2315" i="1"/>
  <c r="Q2315" i="1"/>
  <c r="R2315" i="1"/>
  <c r="S2315" i="1"/>
  <c r="T2315" i="1"/>
  <c r="U2315" i="1"/>
  <c r="V2315" i="1"/>
  <c r="O2316" i="1"/>
  <c r="P2316" i="1"/>
  <c r="Q2316" i="1"/>
  <c r="R2316" i="1"/>
  <c r="S2316" i="1"/>
  <c r="T2316" i="1"/>
  <c r="U2316" i="1"/>
  <c r="V2316" i="1"/>
  <c r="O2317" i="1"/>
  <c r="P2317" i="1"/>
  <c r="Q2317" i="1"/>
  <c r="R2317" i="1"/>
  <c r="S2317" i="1"/>
  <c r="T2317" i="1"/>
  <c r="U2317" i="1"/>
  <c r="V2317" i="1"/>
  <c r="O2318" i="1"/>
  <c r="P2318" i="1"/>
  <c r="Q2318" i="1"/>
  <c r="R2318" i="1"/>
  <c r="S2318" i="1"/>
  <c r="T2318" i="1"/>
  <c r="U2318" i="1"/>
  <c r="V2318" i="1"/>
  <c r="O2319" i="1"/>
  <c r="P2319" i="1"/>
  <c r="Q2319" i="1"/>
  <c r="R2319" i="1"/>
  <c r="S2319" i="1"/>
  <c r="T2319" i="1"/>
  <c r="U2319" i="1"/>
  <c r="V2319" i="1"/>
  <c r="O2320" i="1"/>
  <c r="P2320" i="1"/>
  <c r="Q2320" i="1"/>
  <c r="R2320" i="1"/>
  <c r="S2320" i="1"/>
  <c r="T2320" i="1"/>
  <c r="U2320" i="1"/>
  <c r="V2320" i="1"/>
  <c r="O2321" i="1"/>
  <c r="P2321" i="1"/>
  <c r="Q2321" i="1"/>
  <c r="R2321" i="1"/>
  <c r="S2321" i="1"/>
  <c r="T2321" i="1"/>
  <c r="U2321" i="1"/>
  <c r="V2321" i="1"/>
  <c r="O2322" i="1"/>
  <c r="P2322" i="1"/>
  <c r="Q2322" i="1"/>
  <c r="R2322" i="1"/>
  <c r="S2322" i="1"/>
  <c r="T2322" i="1"/>
  <c r="U2322" i="1"/>
  <c r="V2322" i="1"/>
  <c r="O2323" i="1"/>
  <c r="P2323" i="1"/>
  <c r="Q2323" i="1"/>
  <c r="R2323" i="1"/>
  <c r="S2323" i="1"/>
  <c r="T2323" i="1"/>
  <c r="U2323" i="1"/>
  <c r="V2323" i="1"/>
  <c r="O2324" i="1"/>
  <c r="P2324" i="1"/>
  <c r="Q2324" i="1"/>
  <c r="R2324" i="1"/>
  <c r="S2324" i="1"/>
  <c r="T2324" i="1"/>
  <c r="U2324" i="1"/>
  <c r="V2324" i="1"/>
  <c r="O2325" i="1"/>
  <c r="P2325" i="1"/>
  <c r="Q2325" i="1"/>
  <c r="R2325" i="1"/>
  <c r="S2325" i="1"/>
  <c r="T2325" i="1"/>
  <c r="U2325" i="1"/>
  <c r="V2325" i="1"/>
  <c r="O2326" i="1"/>
  <c r="P2326" i="1"/>
  <c r="Q2326" i="1"/>
  <c r="R2326" i="1"/>
  <c r="S2326" i="1"/>
  <c r="T2326" i="1"/>
  <c r="U2326" i="1"/>
  <c r="V2326" i="1"/>
  <c r="O2327" i="1"/>
  <c r="P2327" i="1"/>
  <c r="Q2327" i="1"/>
  <c r="R2327" i="1"/>
  <c r="S2327" i="1"/>
  <c r="T2327" i="1"/>
  <c r="U2327" i="1"/>
  <c r="V2327" i="1"/>
  <c r="O2328" i="1"/>
  <c r="P2328" i="1"/>
  <c r="Q2328" i="1"/>
  <c r="R2328" i="1"/>
  <c r="S2328" i="1"/>
  <c r="T2328" i="1"/>
  <c r="U2328" i="1"/>
  <c r="V2328" i="1"/>
  <c r="O2329" i="1"/>
  <c r="P2329" i="1"/>
  <c r="Q2329" i="1"/>
  <c r="R2329" i="1"/>
  <c r="S2329" i="1"/>
  <c r="T2329" i="1"/>
  <c r="U2329" i="1"/>
  <c r="V2329" i="1"/>
  <c r="O2330" i="1"/>
  <c r="P2330" i="1"/>
  <c r="Q2330" i="1"/>
  <c r="R2330" i="1"/>
  <c r="S2330" i="1"/>
  <c r="T2330" i="1"/>
  <c r="U2330" i="1"/>
  <c r="V2330" i="1"/>
  <c r="O2331" i="1"/>
  <c r="P2331" i="1"/>
  <c r="Q2331" i="1"/>
  <c r="R2331" i="1"/>
  <c r="S2331" i="1"/>
  <c r="T2331" i="1"/>
  <c r="U2331" i="1"/>
  <c r="V2331" i="1"/>
  <c r="O2332" i="1"/>
  <c r="P2332" i="1"/>
  <c r="Q2332" i="1"/>
  <c r="R2332" i="1"/>
  <c r="S2332" i="1"/>
  <c r="T2332" i="1"/>
  <c r="U2332" i="1"/>
  <c r="V2332" i="1"/>
  <c r="O2333" i="1"/>
  <c r="P2333" i="1"/>
  <c r="Q2333" i="1"/>
  <c r="R2333" i="1"/>
  <c r="S2333" i="1"/>
  <c r="T2333" i="1"/>
  <c r="U2333" i="1"/>
  <c r="V2333" i="1"/>
  <c r="O2334" i="1"/>
  <c r="P2334" i="1"/>
  <c r="Q2334" i="1"/>
  <c r="R2334" i="1"/>
  <c r="S2334" i="1"/>
  <c r="T2334" i="1"/>
  <c r="U2334" i="1"/>
  <c r="V2334" i="1"/>
  <c r="O2335" i="1"/>
  <c r="P2335" i="1"/>
  <c r="Q2335" i="1"/>
  <c r="R2335" i="1"/>
  <c r="S2335" i="1"/>
  <c r="T2335" i="1"/>
  <c r="U2335" i="1"/>
  <c r="V2335" i="1"/>
  <c r="O2336" i="1"/>
  <c r="P2336" i="1"/>
  <c r="Q2336" i="1"/>
  <c r="R2336" i="1"/>
  <c r="S2336" i="1"/>
  <c r="T2336" i="1"/>
  <c r="U2336" i="1"/>
  <c r="V2336" i="1"/>
  <c r="O2337" i="1"/>
  <c r="P2337" i="1"/>
  <c r="Q2337" i="1"/>
  <c r="R2337" i="1"/>
  <c r="S2337" i="1"/>
  <c r="T2337" i="1"/>
  <c r="U2337" i="1"/>
  <c r="V2337" i="1"/>
  <c r="O2338" i="1"/>
  <c r="P2338" i="1"/>
  <c r="Q2338" i="1"/>
  <c r="R2338" i="1"/>
  <c r="S2338" i="1"/>
  <c r="T2338" i="1"/>
  <c r="U2338" i="1"/>
  <c r="V2338" i="1"/>
  <c r="O2339" i="1"/>
  <c r="P2339" i="1"/>
  <c r="Q2339" i="1"/>
  <c r="R2339" i="1"/>
  <c r="S2339" i="1"/>
  <c r="T2339" i="1"/>
  <c r="U2339" i="1"/>
  <c r="V2339" i="1"/>
  <c r="O2340" i="1"/>
  <c r="P2340" i="1"/>
  <c r="Q2340" i="1"/>
  <c r="R2340" i="1"/>
  <c r="S2340" i="1"/>
  <c r="T2340" i="1"/>
  <c r="U2340" i="1"/>
  <c r="V2340" i="1"/>
  <c r="O2341" i="1"/>
  <c r="P2341" i="1"/>
  <c r="Q2341" i="1"/>
  <c r="R2341" i="1"/>
  <c r="S2341" i="1"/>
  <c r="T2341" i="1"/>
  <c r="U2341" i="1"/>
  <c r="V2341" i="1"/>
  <c r="O2342" i="1"/>
  <c r="P2342" i="1"/>
  <c r="Q2342" i="1"/>
  <c r="R2342" i="1"/>
  <c r="S2342" i="1"/>
  <c r="T2342" i="1"/>
  <c r="U2342" i="1"/>
  <c r="V2342" i="1"/>
  <c r="O2343" i="1"/>
  <c r="P2343" i="1"/>
  <c r="Q2343" i="1"/>
  <c r="R2343" i="1"/>
  <c r="S2343" i="1"/>
  <c r="T2343" i="1"/>
  <c r="U2343" i="1"/>
  <c r="V2343" i="1"/>
  <c r="O2344" i="1"/>
  <c r="P2344" i="1"/>
  <c r="Q2344" i="1"/>
  <c r="R2344" i="1"/>
  <c r="S2344" i="1"/>
  <c r="T2344" i="1"/>
  <c r="U2344" i="1"/>
  <c r="V2344" i="1"/>
  <c r="O2345" i="1"/>
  <c r="P2345" i="1"/>
  <c r="Q2345" i="1"/>
  <c r="R2345" i="1"/>
  <c r="S2345" i="1"/>
  <c r="T2345" i="1"/>
  <c r="U2345" i="1"/>
  <c r="V2345" i="1"/>
  <c r="O2346" i="1"/>
  <c r="P2346" i="1"/>
  <c r="Q2346" i="1"/>
  <c r="R2346" i="1"/>
  <c r="S2346" i="1"/>
  <c r="T2346" i="1"/>
  <c r="U2346" i="1"/>
  <c r="V2346" i="1"/>
  <c r="O2347" i="1"/>
  <c r="P2347" i="1"/>
  <c r="Q2347" i="1"/>
  <c r="R2347" i="1"/>
  <c r="S2347" i="1"/>
  <c r="T2347" i="1"/>
  <c r="U2347" i="1"/>
  <c r="V2347" i="1"/>
  <c r="O2348" i="1"/>
  <c r="P2348" i="1"/>
  <c r="Q2348" i="1"/>
  <c r="R2348" i="1"/>
  <c r="S2348" i="1"/>
  <c r="T2348" i="1"/>
  <c r="U2348" i="1"/>
  <c r="V2348" i="1"/>
  <c r="O2349" i="1"/>
  <c r="P2349" i="1"/>
  <c r="Q2349" i="1"/>
  <c r="R2349" i="1"/>
  <c r="S2349" i="1"/>
  <c r="T2349" i="1"/>
  <c r="U2349" i="1"/>
  <c r="V2349" i="1"/>
  <c r="O2350" i="1"/>
  <c r="P2350" i="1"/>
  <c r="Q2350" i="1"/>
  <c r="R2350" i="1"/>
  <c r="S2350" i="1"/>
  <c r="T2350" i="1"/>
  <c r="U2350" i="1"/>
  <c r="V2350" i="1"/>
  <c r="O2351" i="1"/>
  <c r="P2351" i="1"/>
  <c r="Q2351" i="1"/>
  <c r="R2351" i="1"/>
  <c r="S2351" i="1"/>
  <c r="T2351" i="1"/>
  <c r="U2351" i="1"/>
  <c r="V2351" i="1"/>
  <c r="O2352" i="1"/>
  <c r="P2352" i="1"/>
  <c r="Q2352" i="1"/>
  <c r="R2352" i="1"/>
  <c r="S2352" i="1"/>
  <c r="T2352" i="1"/>
  <c r="U2352" i="1"/>
  <c r="V2352" i="1"/>
  <c r="O2353" i="1"/>
  <c r="P2353" i="1"/>
  <c r="Q2353" i="1"/>
  <c r="R2353" i="1"/>
  <c r="S2353" i="1"/>
  <c r="T2353" i="1"/>
  <c r="U2353" i="1"/>
  <c r="V2353" i="1"/>
  <c r="O2354" i="1"/>
  <c r="P2354" i="1"/>
  <c r="Q2354" i="1"/>
  <c r="R2354" i="1"/>
  <c r="S2354" i="1"/>
  <c r="T2354" i="1"/>
  <c r="U2354" i="1"/>
  <c r="V2354" i="1"/>
  <c r="O2355" i="1"/>
  <c r="P2355" i="1"/>
  <c r="Q2355" i="1"/>
  <c r="R2355" i="1"/>
  <c r="S2355" i="1"/>
  <c r="T2355" i="1"/>
  <c r="U2355" i="1"/>
  <c r="V2355" i="1"/>
  <c r="O2356" i="1"/>
  <c r="P2356" i="1"/>
  <c r="Q2356" i="1"/>
  <c r="R2356" i="1"/>
  <c r="S2356" i="1"/>
  <c r="T2356" i="1"/>
  <c r="U2356" i="1"/>
  <c r="V2356" i="1"/>
  <c r="O2357" i="1"/>
  <c r="P2357" i="1"/>
  <c r="Q2357" i="1"/>
  <c r="R2357" i="1"/>
  <c r="S2357" i="1"/>
  <c r="T2357" i="1"/>
  <c r="U2357" i="1"/>
  <c r="V2357" i="1"/>
  <c r="O2358" i="1"/>
  <c r="P2358" i="1"/>
  <c r="Q2358" i="1"/>
  <c r="R2358" i="1"/>
  <c r="S2358" i="1"/>
  <c r="T2358" i="1"/>
  <c r="U2358" i="1"/>
  <c r="V2358" i="1"/>
  <c r="O2359" i="1"/>
  <c r="P2359" i="1"/>
  <c r="Q2359" i="1"/>
  <c r="R2359" i="1"/>
  <c r="S2359" i="1"/>
  <c r="T2359" i="1"/>
  <c r="U2359" i="1"/>
  <c r="V2359" i="1"/>
  <c r="O2360" i="1"/>
  <c r="P2360" i="1"/>
  <c r="Q2360" i="1"/>
  <c r="R2360" i="1"/>
  <c r="S2360" i="1"/>
  <c r="T2360" i="1"/>
  <c r="U2360" i="1"/>
  <c r="V2360" i="1"/>
  <c r="O2361" i="1"/>
  <c r="P2361" i="1"/>
  <c r="Q2361" i="1"/>
  <c r="R2361" i="1"/>
  <c r="S2361" i="1"/>
  <c r="T2361" i="1"/>
  <c r="U2361" i="1"/>
  <c r="V2361" i="1"/>
  <c r="O2362" i="1"/>
  <c r="P2362" i="1"/>
  <c r="Q2362" i="1"/>
  <c r="R2362" i="1"/>
  <c r="S2362" i="1"/>
  <c r="T2362" i="1"/>
  <c r="U2362" i="1"/>
  <c r="V2362" i="1"/>
  <c r="O2363" i="1"/>
  <c r="P2363" i="1"/>
  <c r="Q2363" i="1"/>
  <c r="R2363" i="1"/>
  <c r="S2363" i="1"/>
  <c r="T2363" i="1"/>
  <c r="U2363" i="1"/>
  <c r="V2363" i="1"/>
  <c r="O2364" i="1"/>
  <c r="P2364" i="1"/>
  <c r="Q2364" i="1"/>
  <c r="R2364" i="1"/>
  <c r="S2364" i="1"/>
  <c r="T2364" i="1"/>
  <c r="U2364" i="1"/>
  <c r="V2364" i="1"/>
  <c r="O2365" i="1"/>
  <c r="P2365" i="1"/>
  <c r="Q2365" i="1"/>
  <c r="R2365" i="1"/>
  <c r="S2365" i="1"/>
  <c r="T2365" i="1"/>
  <c r="U2365" i="1"/>
  <c r="V2365" i="1"/>
  <c r="O2366" i="1"/>
  <c r="P2366" i="1"/>
  <c r="Q2366" i="1"/>
  <c r="R2366" i="1"/>
  <c r="S2366" i="1"/>
  <c r="T2366" i="1"/>
  <c r="U2366" i="1"/>
  <c r="V2366" i="1"/>
  <c r="O2367" i="1"/>
  <c r="P2367" i="1"/>
  <c r="Q2367" i="1"/>
  <c r="R2367" i="1"/>
  <c r="S2367" i="1"/>
  <c r="T2367" i="1"/>
  <c r="U2367" i="1"/>
  <c r="V2367" i="1"/>
  <c r="O2368" i="1"/>
  <c r="P2368" i="1"/>
  <c r="Q2368" i="1"/>
  <c r="R2368" i="1"/>
  <c r="S2368" i="1"/>
  <c r="T2368" i="1"/>
  <c r="U2368" i="1"/>
  <c r="V2368" i="1"/>
  <c r="O2369" i="1"/>
  <c r="P2369" i="1"/>
  <c r="Q2369" i="1"/>
  <c r="R2369" i="1"/>
  <c r="S2369" i="1"/>
  <c r="T2369" i="1"/>
  <c r="U2369" i="1"/>
  <c r="V2369" i="1"/>
  <c r="O2370" i="1"/>
  <c r="P2370" i="1"/>
  <c r="Q2370" i="1"/>
  <c r="R2370" i="1"/>
  <c r="S2370" i="1"/>
  <c r="T2370" i="1"/>
  <c r="U2370" i="1"/>
  <c r="V2370" i="1"/>
  <c r="O2371" i="1"/>
  <c r="P2371" i="1"/>
  <c r="Q2371" i="1"/>
  <c r="R2371" i="1"/>
  <c r="S2371" i="1"/>
  <c r="T2371" i="1"/>
  <c r="U2371" i="1"/>
  <c r="V2371" i="1"/>
  <c r="O2372" i="1"/>
  <c r="P2372" i="1"/>
  <c r="Q2372" i="1"/>
  <c r="R2372" i="1"/>
  <c r="S2372" i="1"/>
  <c r="T2372" i="1"/>
  <c r="U2372" i="1"/>
  <c r="V2372" i="1"/>
  <c r="O2373" i="1"/>
  <c r="P2373" i="1"/>
  <c r="Q2373" i="1"/>
  <c r="R2373" i="1"/>
  <c r="S2373" i="1"/>
  <c r="T2373" i="1"/>
  <c r="U2373" i="1"/>
  <c r="V2373" i="1"/>
  <c r="O2374" i="1"/>
  <c r="P2374" i="1"/>
  <c r="Q2374" i="1"/>
  <c r="R2374" i="1"/>
  <c r="S2374" i="1"/>
  <c r="T2374" i="1"/>
  <c r="U2374" i="1"/>
  <c r="V2374" i="1"/>
  <c r="O2375" i="1"/>
  <c r="P2375" i="1"/>
  <c r="Q2375" i="1"/>
  <c r="R2375" i="1"/>
  <c r="S2375" i="1"/>
  <c r="T2375" i="1"/>
  <c r="U2375" i="1"/>
  <c r="V2375" i="1"/>
  <c r="O2376" i="1"/>
  <c r="P2376" i="1"/>
  <c r="Q2376" i="1"/>
  <c r="R2376" i="1"/>
  <c r="S2376" i="1"/>
  <c r="T2376" i="1"/>
  <c r="U2376" i="1"/>
  <c r="V2376" i="1"/>
  <c r="O2377" i="1"/>
  <c r="P2377" i="1"/>
  <c r="Q2377" i="1"/>
  <c r="R2377" i="1"/>
  <c r="S2377" i="1"/>
  <c r="T2377" i="1"/>
  <c r="U2377" i="1"/>
  <c r="V2377" i="1"/>
  <c r="O2378" i="1"/>
  <c r="P2378" i="1"/>
  <c r="Q2378" i="1"/>
  <c r="R2378" i="1"/>
  <c r="S2378" i="1"/>
  <c r="T2378" i="1"/>
  <c r="U2378" i="1"/>
  <c r="V2378" i="1"/>
  <c r="O2379" i="1"/>
  <c r="P2379" i="1"/>
  <c r="Q2379" i="1"/>
  <c r="R2379" i="1"/>
  <c r="S2379" i="1"/>
  <c r="T2379" i="1"/>
  <c r="U2379" i="1"/>
  <c r="V2379" i="1"/>
  <c r="O2380" i="1"/>
  <c r="P2380" i="1"/>
  <c r="Q2380" i="1"/>
  <c r="R2380" i="1"/>
  <c r="S2380" i="1"/>
  <c r="T2380" i="1"/>
  <c r="U2380" i="1"/>
  <c r="V2380" i="1"/>
  <c r="O2381" i="1"/>
  <c r="P2381" i="1"/>
  <c r="Q2381" i="1"/>
  <c r="R2381" i="1"/>
  <c r="S2381" i="1"/>
  <c r="T2381" i="1"/>
  <c r="U2381" i="1"/>
  <c r="V2381" i="1"/>
  <c r="O2382" i="1"/>
  <c r="P2382" i="1"/>
  <c r="Q2382" i="1"/>
  <c r="R2382" i="1"/>
  <c r="S2382" i="1"/>
  <c r="T2382" i="1"/>
  <c r="U2382" i="1"/>
  <c r="V2382" i="1"/>
  <c r="O2383" i="1"/>
  <c r="P2383" i="1"/>
  <c r="Q2383" i="1"/>
  <c r="R2383" i="1"/>
  <c r="S2383" i="1"/>
  <c r="T2383" i="1"/>
  <c r="U2383" i="1"/>
  <c r="V2383" i="1"/>
  <c r="O2384" i="1"/>
  <c r="P2384" i="1"/>
  <c r="Q2384" i="1"/>
  <c r="R2384" i="1"/>
  <c r="S2384" i="1"/>
  <c r="T2384" i="1"/>
  <c r="U2384" i="1"/>
  <c r="V2384" i="1"/>
  <c r="O2385" i="1"/>
  <c r="P2385" i="1"/>
  <c r="Q2385" i="1"/>
  <c r="R2385" i="1"/>
  <c r="S2385" i="1"/>
  <c r="T2385" i="1"/>
  <c r="U2385" i="1"/>
  <c r="V2385" i="1"/>
  <c r="O2386" i="1"/>
  <c r="P2386" i="1"/>
  <c r="Q2386" i="1"/>
  <c r="R2386" i="1"/>
  <c r="S2386" i="1"/>
  <c r="T2386" i="1"/>
  <c r="U2386" i="1"/>
  <c r="V2386" i="1"/>
  <c r="O2387" i="1"/>
  <c r="P2387" i="1"/>
  <c r="Q2387" i="1"/>
  <c r="R2387" i="1"/>
  <c r="S2387" i="1"/>
  <c r="T2387" i="1"/>
  <c r="U2387" i="1"/>
  <c r="V2387" i="1"/>
  <c r="O2388" i="1"/>
  <c r="P2388" i="1"/>
  <c r="Q2388" i="1"/>
  <c r="R2388" i="1"/>
  <c r="S2388" i="1"/>
  <c r="T2388" i="1"/>
  <c r="U2388" i="1"/>
  <c r="V2388" i="1"/>
  <c r="O2389" i="1"/>
  <c r="P2389" i="1"/>
  <c r="Q2389" i="1"/>
  <c r="R2389" i="1"/>
  <c r="S2389" i="1"/>
  <c r="T2389" i="1"/>
  <c r="U2389" i="1"/>
  <c r="V2389" i="1"/>
  <c r="O2390" i="1"/>
  <c r="P2390" i="1"/>
  <c r="Q2390" i="1"/>
  <c r="R2390" i="1"/>
  <c r="S2390" i="1"/>
  <c r="T2390" i="1"/>
  <c r="U2390" i="1"/>
  <c r="V2390" i="1"/>
  <c r="O2391" i="1"/>
  <c r="P2391" i="1"/>
  <c r="Q2391" i="1"/>
  <c r="R2391" i="1"/>
  <c r="S2391" i="1"/>
  <c r="T2391" i="1"/>
  <c r="U2391" i="1"/>
  <c r="V2391" i="1"/>
  <c r="O2392" i="1"/>
  <c r="P2392" i="1"/>
  <c r="Q2392" i="1"/>
  <c r="R2392" i="1"/>
  <c r="S2392" i="1"/>
  <c r="T2392" i="1"/>
  <c r="U2392" i="1"/>
  <c r="V2392" i="1"/>
  <c r="O2393" i="1"/>
  <c r="P2393" i="1"/>
  <c r="Q2393" i="1"/>
  <c r="R2393" i="1"/>
  <c r="S2393" i="1"/>
  <c r="T2393" i="1"/>
  <c r="U2393" i="1"/>
  <c r="V2393" i="1"/>
  <c r="O2394" i="1"/>
  <c r="P2394" i="1"/>
  <c r="Q2394" i="1"/>
  <c r="R2394" i="1"/>
  <c r="S2394" i="1"/>
  <c r="T2394" i="1"/>
  <c r="U2394" i="1"/>
  <c r="V2394" i="1"/>
  <c r="O2395" i="1"/>
  <c r="P2395" i="1"/>
  <c r="Q2395" i="1"/>
  <c r="R2395" i="1"/>
  <c r="S2395" i="1"/>
  <c r="T2395" i="1"/>
  <c r="U2395" i="1"/>
  <c r="V2395" i="1"/>
  <c r="O2396" i="1"/>
  <c r="P2396" i="1"/>
  <c r="Q2396" i="1"/>
  <c r="R2396" i="1"/>
  <c r="S2396" i="1"/>
  <c r="T2396" i="1"/>
  <c r="U2396" i="1"/>
  <c r="V2396" i="1"/>
  <c r="O2397" i="1"/>
  <c r="P2397" i="1"/>
  <c r="Q2397" i="1"/>
  <c r="R2397" i="1"/>
  <c r="S2397" i="1"/>
  <c r="T2397" i="1"/>
  <c r="U2397" i="1"/>
  <c r="V2397" i="1"/>
  <c r="O2398" i="1"/>
  <c r="P2398" i="1"/>
  <c r="Q2398" i="1"/>
  <c r="R2398" i="1"/>
  <c r="S2398" i="1"/>
  <c r="T2398" i="1"/>
  <c r="U2398" i="1"/>
  <c r="V2398" i="1"/>
  <c r="O2399" i="1"/>
  <c r="P2399" i="1"/>
  <c r="Q2399" i="1"/>
  <c r="R2399" i="1"/>
  <c r="S2399" i="1"/>
  <c r="T2399" i="1"/>
  <c r="U2399" i="1"/>
  <c r="V2399" i="1"/>
  <c r="O2400" i="1"/>
  <c r="P2400" i="1"/>
  <c r="Q2400" i="1"/>
  <c r="R2400" i="1"/>
  <c r="S2400" i="1"/>
  <c r="T2400" i="1"/>
  <c r="U2400" i="1"/>
  <c r="V2400" i="1"/>
  <c r="O2401" i="1"/>
  <c r="P2401" i="1"/>
  <c r="Q2401" i="1"/>
  <c r="R2401" i="1"/>
  <c r="S2401" i="1"/>
  <c r="T2401" i="1"/>
  <c r="U2401" i="1"/>
  <c r="V2401" i="1"/>
  <c r="O2402" i="1"/>
  <c r="P2402" i="1"/>
  <c r="Q2402" i="1"/>
  <c r="R2402" i="1"/>
  <c r="S2402" i="1"/>
  <c r="T2402" i="1"/>
  <c r="U2402" i="1"/>
  <c r="V2402" i="1"/>
  <c r="O2403" i="1"/>
  <c r="P2403" i="1"/>
  <c r="Q2403" i="1"/>
  <c r="R2403" i="1"/>
  <c r="S2403" i="1"/>
  <c r="T2403" i="1"/>
  <c r="U2403" i="1"/>
  <c r="V2403" i="1"/>
  <c r="O2404" i="1"/>
  <c r="P2404" i="1"/>
  <c r="Q2404" i="1"/>
  <c r="R2404" i="1"/>
  <c r="S2404" i="1"/>
  <c r="T2404" i="1"/>
  <c r="U2404" i="1"/>
  <c r="V2404" i="1"/>
  <c r="O2405" i="1"/>
  <c r="P2405" i="1"/>
  <c r="Q2405" i="1"/>
  <c r="R2405" i="1"/>
  <c r="S2405" i="1"/>
  <c r="T2405" i="1"/>
  <c r="U2405" i="1"/>
  <c r="V2405" i="1"/>
  <c r="O2406" i="1"/>
  <c r="P2406" i="1"/>
  <c r="Q2406" i="1"/>
  <c r="R2406" i="1"/>
  <c r="S2406" i="1"/>
  <c r="T2406" i="1"/>
  <c r="U2406" i="1"/>
  <c r="V2406" i="1"/>
  <c r="O2407" i="1"/>
  <c r="P2407" i="1"/>
  <c r="Q2407" i="1"/>
  <c r="R2407" i="1"/>
  <c r="S2407" i="1"/>
  <c r="T2407" i="1"/>
  <c r="U2407" i="1"/>
  <c r="V2407" i="1"/>
  <c r="O2408" i="1"/>
  <c r="P2408" i="1"/>
  <c r="Q2408" i="1"/>
  <c r="R2408" i="1"/>
  <c r="S2408" i="1"/>
  <c r="T2408" i="1"/>
  <c r="U2408" i="1"/>
  <c r="V2408" i="1"/>
  <c r="O2409" i="1"/>
  <c r="P2409" i="1"/>
  <c r="Q2409" i="1"/>
  <c r="R2409" i="1"/>
  <c r="S2409" i="1"/>
  <c r="T2409" i="1"/>
  <c r="U2409" i="1"/>
  <c r="V2409" i="1"/>
  <c r="O2410" i="1"/>
  <c r="P2410" i="1"/>
  <c r="Q2410" i="1"/>
  <c r="R2410" i="1"/>
  <c r="S2410" i="1"/>
  <c r="T2410" i="1"/>
  <c r="U2410" i="1"/>
  <c r="V2410" i="1"/>
  <c r="O2411" i="1"/>
  <c r="P2411" i="1"/>
  <c r="Q2411" i="1"/>
  <c r="R2411" i="1"/>
  <c r="S2411" i="1"/>
  <c r="T2411" i="1"/>
  <c r="U2411" i="1"/>
  <c r="V2411" i="1"/>
  <c r="O2412" i="1"/>
  <c r="P2412" i="1"/>
  <c r="Q2412" i="1"/>
  <c r="R2412" i="1"/>
  <c r="S2412" i="1"/>
  <c r="T2412" i="1"/>
  <c r="U2412" i="1"/>
  <c r="V2412" i="1"/>
  <c r="O2413" i="1"/>
  <c r="P2413" i="1"/>
  <c r="Q2413" i="1"/>
  <c r="R2413" i="1"/>
  <c r="S2413" i="1"/>
  <c r="T2413" i="1"/>
  <c r="U2413" i="1"/>
  <c r="V2413" i="1"/>
  <c r="O2414" i="1"/>
  <c r="P2414" i="1"/>
  <c r="Q2414" i="1"/>
  <c r="R2414" i="1"/>
  <c r="S2414" i="1"/>
  <c r="T2414" i="1"/>
  <c r="U2414" i="1"/>
  <c r="V2414" i="1"/>
  <c r="O2415" i="1"/>
  <c r="P2415" i="1"/>
  <c r="Q2415" i="1"/>
  <c r="R2415" i="1"/>
  <c r="S2415" i="1"/>
  <c r="T2415" i="1"/>
  <c r="U2415" i="1"/>
  <c r="V2415" i="1"/>
  <c r="O2416" i="1"/>
  <c r="P2416" i="1"/>
  <c r="Q2416" i="1"/>
  <c r="R2416" i="1"/>
  <c r="S2416" i="1"/>
  <c r="T2416" i="1"/>
  <c r="U2416" i="1"/>
  <c r="V2416" i="1"/>
  <c r="O2417" i="1"/>
  <c r="P2417" i="1"/>
  <c r="Q2417" i="1"/>
  <c r="R2417" i="1"/>
  <c r="S2417" i="1"/>
  <c r="T2417" i="1"/>
  <c r="U2417" i="1"/>
  <c r="V2417" i="1"/>
  <c r="O2418" i="1"/>
  <c r="P2418" i="1"/>
  <c r="Q2418" i="1"/>
  <c r="R2418" i="1"/>
  <c r="S2418" i="1"/>
  <c r="T2418" i="1"/>
  <c r="U2418" i="1"/>
  <c r="V2418" i="1"/>
  <c r="O2419" i="1"/>
  <c r="P2419" i="1"/>
  <c r="Q2419" i="1"/>
  <c r="R2419" i="1"/>
  <c r="S2419" i="1"/>
  <c r="T2419" i="1"/>
  <c r="U2419" i="1"/>
  <c r="V2419" i="1"/>
  <c r="O2420" i="1"/>
  <c r="P2420" i="1"/>
  <c r="Q2420" i="1"/>
  <c r="R2420" i="1"/>
  <c r="S2420" i="1"/>
  <c r="T2420" i="1"/>
  <c r="U2420" i="1"/>
  <c r="V2420" i="1"/>
  <c r="O2421" i="1"/>
  <c r="P2421" i="1"/>
  <c r="Q2421" i="1"/>
  <c r="R2421" i="1"/>
  <c r="S2421" i="1"/>
  <c r="T2421" i="1"/>
  <c r="U2421" i="1"/>
  <c r="V2421" i="1"/>
  <c r="O2422" i="1"/>
  <c r="P2422" i="1"/>
  <c r="Q2422" i="1"/>
  <c r="R2422" i="1"/>
  <c r="S2422" i="1"/>
  <c r="T2422" i="1"/>
  <c r="U2422" i="1"/>
  <c r="V2422" i="1"/>
  <c r="O2423" i="1"/>
  <c r="P2423" i="1"/>
  <c r="Q2423" i="1"/>
  <c r="R2423" i="1"/>
  <c r="S2423" i="1"/>
  <c r="T2423" i="1"/>
  <c r="U2423" i="1"/>
  <c r="V2423" i="1"/>
  <c r="O2424" i="1"/>
  <c r="P2424" i="1"/>
  <c r="Q2424" i="1"/>
  <c r="R2424" i="1"/>
  <c r="S2424" i="1"/>
  <c r="T2424" i="1"/>
  <c r="U2424" i="1"/>
  <c r="V2424" i="1"/>
  <c r="O2425" i="1"/>
  <c r="P2425" i="1"/>
  <c r="Q2425" i="1"/>
  <c r="R2425" i="1"/>
  <c r="S2425" i="1"/>
  <c r="T2425" i="1"/>
  <c r="U2425" i="1"/>
  <c r="V2425" i="1"/>
  <c r="O2426" i="1"/>
  <c r="P2426" i="1"/>
  <c r="Q2426" i="1"/>
  <c r="R2426" i="1"/>
  <c r="S2426" i="1"/>
  <c r="T2426" i="1"/>
  <c r="U2426" i="1"/>
  <c r="V2426" i="1"/>
  <c r="O2427" i="1"/>
  <c r="P2427" i="1"/>
  <c r="Q2427" i="1"/>
  <c r="R2427" i="1"/>
  <c r="S2427" i="1"/>
  <c r="T2427" i="1"/>
  <c r="U2427" i="1"/>
  <c r="V2427" i="1"/>
  <c r="O2428" i="1"/>
  <c r="P2428" i="1"/>
  <c r="Q2428" i="1"/>
  <c r="R2428" i="1"/>
  <c r="S2428" i="1"/>
  <c r="T2428" i="1"/>
  <c r="U2428" i="1"/>
  <c r="V2428" i="1"/>
  <c r="O2429" i="1"/>
  <c r="P2429" i="1"/>
  <c r="Q2429" i="1"/>
  <c r="R2429" i="1"/>
  <c r="S2429" i="1"/>
  <c r="T2429" i="1"/>
  <c r="U2429" i="1"/>
  <c r="V2429" i="1"/>
  <c r="O2430" i="1"/>
  <c r="P2430" i="1"/>
  <c r="Q2430" i="1"/>
  <c r="R2430" i="1"/>
  <c r="S2430" i="1"/>
  <c r="T2430" i="1"/>
  <c r="U2430" i="1"/>
  <c r="V2430" i="1"/>
  <c r="O2431" i="1"/>
  <c r="P2431" i="1"/>
  <c r="Q2431" i="1"/>
  <c r="R2431" i="1"/>
  <c r="S2431" i="1"/>
  <c r="T2431" i="1"/>
  <c r="U2431" i="1"/>
  <c r="V2431" i="1"/>
  <c r="O2432" i="1"/>
  <c r="P2432" i="1"/>
  <c r="Q2432" i="1"/>
  <c r="R2432" i="1"/>
  <c r="S2432" i="1"/>
  <c r="T2432" i="1"/>
  <c r="U2432" i="1"/>
  <c r="V2432" i="1"/>
  <c r="O2433" i="1"/>
  <c r="P2433" i="1"/>
  <c r="Q2433" i="1"/>
  <c r="R2433" i="1"/>
  <c r="S2433" i="1"/>
  <c r="T2433" i="1"/>
  <c r="U2433" i="1"/>
  <c r="V2433" i="1"/>
  <c r="O2434" i="1"/>
  <c r="P2434" i="1"/>
  <c r="Q2434" i="1"/>
  <c r="R2434" i="1"/>
  <c r="S2434" i="1"/>
  <c r="T2434" i="1"/>
  <c r="U2434" i="1"/>
  <c r="V2434" i="1"/>
  <c r="O2435" i="1"/>
  <c r="P2435" i="1"/>
  <c r="Q2435" i="1"/>
  <c r="R2435" i="1"/>
  <c r="S2435" i="1"/>
  <c r="T2435" i="1"/>
  <c r="U2435" i="1"/>
  <c r="V2435" i="1"/>
  <c r="O2436" i="1"/>
  <c r="P2436" i="1"/>
  <c r="Q2436" i="1"/>
  <c r="R2436" i="1"/>
  <c r="S2436" i="1"/>
  <c r="T2436" i="1"/>
  <c r="U2436" i="1"/>
  <c r="V2436" i="1"/>
  <c r="O2437" i="1"/>
  <c r="P2437" i="1"/>
  <c r="Q2437" i="1"/>
  <c r="R2437" i="1"/>
  <c r="S2437" i="1"/>
  <c r="T2437" i="1"/>
  <c r="U2437" i="1"/>
  <c r="V2437" i="1"/>
  <c r="O2438" i="1"/>
  <c r="P2438" i="1"/>
  <c r="Q2438" i="1"/>
  <c r="R2438" i="1"/>
  <c r="S2438" i="1"/>
  <c r="T2438" i="1"/>
  <c r="U2438" i="1"/>
  <c r="V2438" i="1"/>
  <c r="O2439" i="1"/>
  <c r="P2439" i="1"/>
  <c r="Q2439" i="1"/>
  <c r="R2439" i="1"/>
  <c r="S2439" i="1"/>
  <c r="T2439" i="1"/>
  <c r="U2439" i="1"/>
  <c r="V2439" i="1"/>
  <c r="O2440" i="1"/>
  <c r="P2440" i="1"/>
  <c r="Q2440" i="1"/>
  <c r="R2440" i="1"/>
  <c r="S2440" i="1"/>
  <c r="T2440" i="1"/>
  <c r="U2440" i="1"/>
  <c r="V2440" i="1"/>
  <c r="O2441" i="1"/>
  <c r="P2441" i="1"/>
  <c r="Q2441" i="1"/>
  <c r="R2441" i="1"/>
  <c r="S2441" i="1"/>
  <c r="T2441" i="1"/>
  <c r="U2441" i="1"/>
  <c r="V2441" i="1"/>
  <c r="O2442" i="1"/>
  <c r="P2442" i="1"/>
  <c r="Q2442" i="1"/>
  <c r="R2442" i="1"/>
  <c r="S2442" i="1"/>
  <c r="T2442" i="1"/>
  <c r="U2442" i="1"/>
  <c r="V2442" i="1"/>
  <c r="O2443" i="1"/>
  <c r="P2443" i="1"/>
  <c r="Q2443" i="1"/>
  <c r="R2443" i="1"/>
  <c r="S2443" i="1"/>
  <c r="T2443" i="1"/>
  <c r="U2443" i="1"/>
  <c r="V2443" i="1"/>
  <c r="O2444" i="1"/>
  <c r="P2444" i="1"/>
  <c r="Q2444" i="1"/>
  <c r="R2444" i="1"/>
  <c r="S2444" i="1"/>
  <c r="T2444" i="1"/>
  <c r="U2444" i="1"/>
  <c r="V2444" i="1"/>
  <c r="O2445" i="1"/>
  <c r="P2445" i="1"/>
  <c r="Q2445" i="1"/>
  <c r="R2445" i="1"/>
  <c r="S2445" i="1"/>
  <c r="T2445" i="1"/>
  <c r="U2445" i="1"/>
  <c r="V2445" i="1"/>
  <c r="O2446" i="1"/>
  <c r="P2446" i="1"/>
  <c r="Q2446" i="1"/>
  <c r="R2446" i="1"/>
  <c r="S2446" i="1"/>
  <c r="T2446" i="1"/>
  <c r="U2446" i="1"/>
  <c r="V2446" i="1"/>
  <c r="O2447" i="1"/>
  <c r="P2447" i="1"/>
  <c r="Q2447" i="1"/>
  <c r="R2447" i="1"/>
  <c r="S2447" i="1"/>
  <c r="T2447" i="1"/>
  <c r="U2447" i="1"/>
  <c r="V2447" i="1"/>
  <c r="O2448" i="1"/>
  <c r="P2448" i="1"/>
  <c r="Q2448" i="1"/>
  <c r="R2448" i="1"/>
  <c r="S2448" i="1"/>
  <c r="T2448" i="1"/>
  <c r="U2448" i="1"/>
  <c r="V2448" i="1"/>
  <c r="O2449" i="1"/>
  <c r="P2449" i="1"/>
  <c r="Q2449" i="1"/>
  <c r="R2449" i="1"/>
  <c r="S2449" i="1"/>
  <c r="T2449" i="1"/>
  <c r="U2449" i="1"/>
  <c r="V2449" i="1"/>
  <c r="O2450" i="1"/>
  <c r="P2450" i="1"/>
  <c r="Q2450" i="1"/>
  <c r="R2450" i="1"/>
  <c r="S2450" i="1"/>
  <c r="T2450" i="1"/>
  <c r="U2450" i="1"/>
  <c r="V2450" i="1"/>
  <c r="O2451" i="1"/>
  <c r="P2451" i="1"/>
  <c r="Q2451" i="1"/>
  <c r="R2451" i="1"/>
  <c r="S2451" i="1"/>
  <c r="T2451" i="1"/>
  <c r="U2451" i="1"/>
  <c r="V2451" i="1"/>
  <c r="O2452" i="1"/>
  <c r="P2452" i="1"/>
  <c r="Q2452" i="1"/>
  <c r="R2452" i="1"/>
  <c r="S2452" i="1"/>
  <c r="T2452" i="1"/>
  <c r="U2452" i="1"/>
  <c r="V2452" i="1"/>
  <c r="O2453" i="1"/>
  <c r="P2453" i="1"/>
  <c r="Q2453" i="1"/>
  <c r="R2453" i="1"/>
  <c r="S2453" i="1"/>
  <c r="T2453" i="1"/>
  <c r="U2453" i="1"/>
  <c r="V2453" i="1"/>
  <c r="O2454" i="1"/>
  <c r="P2454" i="1"/>
  <c r="Q2454" i="1"/>
  <c r="R2454" i="1"/>
  <c r="S2454" i="1"/>
  <c r="T2454" i="1"/>
  <c r="U2454" i="1"/>
  <c r="V2454" i="1"/>
  <c r="O2455" i="1"/>
  <c r="P2455" i="1"/>
  <c r="Q2455" i="1"/>
  <c r="R2455" i="1"/>
  <c r="S2455" i="1"/>
  <c r="T2455" i="1"/>
  <c r="U2455" i="1"/>
  <c r="V2455" i="1"/>
  <c r="O2456" i="1"/>
  <c r="P2456" i="1"/>
  <c r="Q2456" i="1"/>
  <c r="R2456" i="1"/>
  <c r="S2456" i="1"/>
  <c r="T2456" i="1"/>
  <c r="U2456" i="1"/>
  <c r="V2456" i="1"/>
  <c r="O2457" i="1"/>
  <c r="P2457" i="1"/>
  <c r="Q2457" i="1"/>
  <c r="R2457" i="1"/>
  <c r="S2457" i="1"/>
  <c r="T2457" i="1"/>
  <c r="U2457" i="1"/>
  <c r="V2457" i="1"/>
  <c r="O2458" i="1"/>
  <c r="P2458" i="1"/>
  <c r="Q2458" i="1"/>
  <c r="R2458" i="1"/>
  <c r="S2458" i="1"/>
  <c r="T2458" i="1"/>
  <c r="U2458" i="1"/>
  <c r="V2458" i="1"/>
  <c r="O2459" i="1"/>
  <c r="P2459" i="1"/>
  <c r="Q2459" i="1"/>
  <c r="R2459" i="1"/>
  <c r="S2459" i="1"/>
  <c r="T2459" i="1"/>
  <c r="U2459" i="1"/>
  <c r="V2459" i="1"/>
  <c r="O2460" i="1"/>
  <c r="P2460" i="1"/>
  <c r="Q2460" i="1"/>
  <c r="R2460" i="1"/>
  <c r="S2460" i="1"/>
  <c r="T2460" i="1"/>
  <c r="U2460" i="1"/>
  <c r="V2460" i="1"/>
  <c r="O2461" i="1"/>
  <c r="P2461" i="1"/>
  <c r="Q2461" i="1"/>
  <c r="R2461" i="1"/>
  <c r="S2461" i="1"/>
  <c r="T2461" i="1"/>
  <c r="U2461" i="1"/>
  <c r="V2461" i="1"/>
  <c r="O2462" i="1"/>
  <c r="P2462" i="1"/>
  <c r="Q2462" i="1"/>
  <c r="R2462" i="1"/>
  <c r="S2462" i="1"/>
  <c r="T2462" i="1"/>
  <c r="U2462" i="1"/>
  <c r="V2462" i="1"/>
  <c r="O2463" i="1"/>
  <c r="P2463" i="1"/>
  <c r="Q2463" i="1"/>
  <c r="R2463" i="1"/>
  <c r="S2463" i="1"/>
  <c r="T2463" i="1"/>
  <c r="U2463" i="1"/>
  <c r="V2463" i="1"/>
  <c r="O2464" i="1"/>
  <c r="P2464" i="1"/>
  <c r="Q2464" i="1"/>
  <c r="R2464" i="1"/>
  <c r="S2464" i="1"/>
  <c r="T2464" i="1"/>
  <c r="U2464" i="1"/>
  <c r="V2464" i="1"/>
  <c r="O2465" i="1"/>
  <c r="P2465" i="1"/>
  <c r="Q2465" i="1"/>
  <c r="R2465" i="1"/>
  <c r="S2465" i="1"/>
  <c r="T2465" i="1"/>
  <c r="U2465" i="1"/>
  <c r="V2465" i="1"/>
  <c r="O2466" i="1"/>
  <c r="P2466" i="1"/>
  <c r="Q2466" i="1"/>
  <c r="R2466" i="1"/>
  <c r="S2466" i="1"/>
  <c r="T2466" i="1"/>
  <c r="U2466" i="1"/>
  <c r="V2466" i="1"/>
  <c r="O2467" i="1"/>
  <c r="P2467" i="1"/>
  <c r="Q2467" i="1"/>
  <c r="R2467" i="1"/>
  <c r="S2467" i="1"/>
  <c r="T2467" i="1"/>
  <c r="U2467" i="1"/>
  <c r="V2467" i="1"/>
  <c r="O2468" i="1"/>
  <c r="P2468" i="1"/>
  <c r="Q2468" i="1"/>
  <c r="R2468" i="1"/>
  <c r="S2468" i="1"/>
  <c r="T2468" i="1"/>
  <c r="U2468" i="1"/>
  <c r="V2468" i="1"/>
  <c r="O2469" i="1"/>
  <c r="P2469" i="1"/>
  <c r="Q2469" i="1"/>
  <c r="R2469" i="1"/>
  <c r="S2469" i="1"/>
  <c r="T2469" i="1"/>
  <c r="U2469" i="1"/>
  <c r="V2469" i="1"/>
  <c r="O2470" i="1"/>
  <c r="P2470" i="1"/>
  <c r="Q2470" i="1"/>
  <c r="R2470" i="1"/>
  <c r="S2470" i="1"/>
  <c r="T2470" i="1"/>
  <c r="U2470" i="1"/>
  <c r="V2470" i="1"/>
  <c r="O2471" i="1"/>
  <c r="P2471" i="1"/>
  <c r="Q2471" i="1"/>
  <c r="R2471" i="1"/>
  <c r="S2471" i="1"/>
  <c r="T2471" i="1"/>
  <c r="U2471" i="1"/>
  <c r="V2471" i="1"/>
  <c r="O2472" i="1"/>
  <c r="P2472" i="1"/>
  <c r="Q2472" i="1"/>
  <c r="R2472" i="1"/>
  <c r="S2472" i="1"/>
  <c r="T2472" i="1"/>
  <c r="U2472" i="1"/>
  <c r="V2472" i="1"/>
  <c r="O2473" i="1"/>
  <c r="P2473" i="1"/>
  <c r="Q2473" i="1"/>
  <c r="R2473" i="1"/>
  <c r="S2473" i="1"/>
  <c r="T2473" i="1"/>
  <c r="U2473" i="1"/>
  <c r="V2473" i="1"/>
  <c r="O2474" i="1"/>
  <c r="P2474" i="1"/>
  <c r="Q2474" i="1"/>
  <c r="R2474" i="1"/>
  <c r="S2474" i="1"/>
  <c r="T2474" i="1"/>
  <c r="U2474" i="1"/>
  <c r="V2474" i="1"/>
  <c r="O2475" i="1"/>
  <c r="P2475" i="1"/>
  <c r="Q2475" i="1"/>
  <c r="R2475" i="1"/>
  <c r="S2475" i="1"/>
  <c r="T2475" i="1"/>
  <c r="U2475" i="1"/>
  <c r="V2475" i="1"/>
  <c r="O2476" i="1"/>
  <c r="P2476" i="1"/>
  <c r="Q2476" i="1"/>
  <c r="R2476" i="1"/>
  <c r="S2476" i="1"/>
  <c r="T2476" i="1"/>
  <c r="U2476" i="1"/>
  <c r="V2476" i="1"/>
  <c r="O2477" i="1"/>
  <c r="P2477" i="1"/>
  <c r="Q2477" i="1"/>
  <c r="R2477" i="1"/>
  <c r="S2477" i="1"/>
  <c r="T2477" i="1"/>
  <c r="U2477" i="1"/>
  <c r="V2477" i="1"/>
  <c r="O2478" i="1"/>
  <c r="P2478" i="1"/>
  <c r="Q2478" i="1"/>
  <c r="R2478" i="1"/>
  <c r="S2478" i="1"/>
  <c r="T2478" i="1"/>
  <c r="U2478" i="1"/>
  <c r="V2478" i="1"/>
  <c r="O2479" i="1"/>
  <c r="P2479" i="1"/>
  <c r="Q2479" i="1"/>
  <c r="R2479" i="1"/>
  <c r="S2479" i="1"/>
  <c r="T2479" i="1"/>
  <c r="U2479" i="1"/>
  <c r="V2479" i="1"/>
  <c r="O2480" i="1"/>
  <c r="P2480" i="1"/>
  <c r="Q2480" i="1"/>
  <c r="R2480" i="1"/>
  <c r="S2480" i="1"/>
  <c r="T2480" i="1"/>
  <c r="U2480" i="1"/>
  <c r="V2480" i="1"/>
  <c r="O2481" i="1"/>
  <c r="P2481" i="1"/>
  <c r="Q2481" i="1"/>
  <c r="R2481" i="1"/>
  <c r="S2481" i="1"/>
  <c r="T2481" i="1"/>
  <c r="U2481" i="1"/>
  <c r="V2481" i="1"/>
  <c r="O2482" i="1"/>
  <c r="P2482" i="1"/>
  <c r="Q2482" i="1"/>
  <c r="R2482" i="1"/>
  <c r="S2482" i="1"/>
  <c r="T2482" i="1"/>
  <c r="U2482" i="1"/>
  <c r="V2482" i="1"/>
  <c r="O2483" i="1"/>
  <c r="P2483" i="1"/>
  <c r="Q2483" i="1"/>
  <c r="R2483" i="1"/>
  <c r="S2483" i="1"/>
  <c r="T2483" i="1"/>
  <c r="U2483" i="1"/>
  <c r="V2483" i="1"/>
  <c r="O2484" i="1"/>
  <c r="P2484" i="1"/>
  <c r="Q2484" i="1"/>
  <c r="R2484" i="1"/>
  <c r="S2484" i="1"/>
  <c r="T2484" i="1"/>
  <c r="U2484" i="1"/>
  <c r="V2484" i="1"/>
  <c r="O2485" i="1"/>
  <c r="P2485" i="1"/>
  <c r="Q2485" i="1"/>
  <c r="R2485" i="1"/>
  <c r="S2485" i="1"/>
  <c r="T2485" i="1"/>
  <c r="U2485" i="1"/>
  <c r="V2485" i="1"/>
  <c r="O2486" i="1"/>
  <c r="P2486" i="1"/>
  <c r="Q2486" i="1"/>
  <c r="R2486" i="1"/>
  <c r="S2486" i="1"/>
  <c r="T2486" i="1"/>
  <c r="U2486" i="1"/>
  <c r="V2486" i="1"/>
  <c r="O2487" i="1"/>
  <c r="P2487" i="1"/>
  <c r="Q2487" i="1"/>
  <c r="R2487" i="1"/>
  <c r="S2487" i="1"/>
  <c r="T2487" i="1"/>
  <c r="U2487" i="1"/>
  <c r="V2487" i="1"/>
  <c r="O2488" i="1"/>
  <c r="P2488" i="1"/>
  <c r="Q2488" i="1"/>
  <c r="R2488" i="1"/>
  <c r="S2488" i="1"/>
  <c r="T2488" i="1"/>
  <c r="U2488" i="1"/>
  <c r="V2488" i="1"/>
  <c r="O2489" i="1"/>
  <c r="P2489" i="1"/>
  <c r="Q2489" i="1"/>
  <c r="R2489" i="1"/>
  <c r="S2489" i="1"/>
  <c r="T2489" i="1"/>
  <c r="U2489" i="1"/>
  <c r="V2489" i="1"/>
  <c r="O2490" i="1"/>
  <c r="P2490" i="1"/>
  <c r="Q2490" i="1"/>
  <c r="R2490" i="1"/>
  <c r="S2490" i="1"/>
  <c r="T2490" i="1"/>
  <c r="U2490" i="1"/>
  <c r="V2490" i="1"/>
  <c r="O2491" i="1"/>
  <c r="P2491" i="1"/>
  <c r="Q2491" i="1"/>
  <c r="R2491" i="1"/>
  <c r="S2491" i="1"/>
  <c r="T2491" i="1"/>
  <c r="U2491" i="1"/>
  <c r="V2491" i="1"/>
  <c r="O2492" i="1"/>
  <c r="P2492" i="1"/>
  <c r="Q2492" i="1"/>
  <c r="R2492" i="1"/>
  <c r="S2492" i="1"/>
  <c r="T2492" i="1"/>
  <c r="U2492" i="1"/>
  <c r="V2492" i="1"/>
  <c r="O2493" i="1"/>
  <c r="P2493" i="1"/>
  <c r="Q2493" i="1"/>
  <c r="R2493" i="1"/>
  <c r="S2493" i="1"/>
  <c r="T2493" i="1"/>
  <c r="U2493" i="1"/>
  <c r="V2493" i="1"/>
  <c r="O2494" i="1"/>
  <c r="P2494" i="1"/>
  <c r="Q2494" i="1"/>
  <c r="R2494" i="1"/>
  <c r="S2494" i="1"/>
  <c r="T2494" i="1"/>
  <c r="U2494" i="1"/>
  <c r="V2494" i="1"/>
  <c r="O2495" i="1"/>
  <c r="P2495" i="1"/>
  <c r="Q2495" i="1"/>
  <c r="R2495" i="1"/>
  <c r="S2495" i="1"/>
  <c r="T2495" i="1"/>
  <c r="U2495" i="1"/>
  <c r="V2495" i="1"/>
  <c r="O2496" i="1"/>
  <c r="P2496" i="1"/>
  <c r="Q2496" i="1"/>
  <c r="R2496" i="1"/>
  <c r="S2496" i="1"/>
  <c r="T2496" i="1"/>
  <c r="U2496" i="1"/>
  <c r="V2496" i="1"/>
  <c r="O2497" i="1"/>
  <c r="P2497" i="1"/>
  <c r="Q2497" i="1"/>
  <c r="R2497" i="1"/>
  <c r="S2497" i="1"/>
  <c r="T2497" i="1"/>
  <c r="U2497" i="1"/>
  <c r="V2497" i="1"/>
  <c r="O2498" i="1"/>
  <c r="P2498" i="1"/>
  <c r="Q2498" i="1"/>
  <c r="R2498" i="1"/>
  <c r="S2498" i="1"/>
  <c r="T2498" i="1"/>
  <c r="U2498" i="1"/>
  <c r="V2498" i="1"/>
  <c r="O2499" i="1"/>
  <c r="P2499" i="1"/>
  <c r="Q2499" i="1"/>
  <c r="R2499" i="1"/>
  <c r="S2499" i="1"/>
  <c r="T2499" i="1"/>
  <c r="U2499" i="1"/>
  <c r="V2499" i="1"/>
  <c r="O2500" i="1"/>
  <c r="P2500" i="1"/>
  <c r="Q2500" i="1"/>
  <c r="R2500" i="1"/>
  <c r="S2500" i="1"/>
  <c r="T2500" i="1"/>
  <c r="U2500" i="1"/>
  <c r="V2500" i="1"/>
  <c r="O2501" i="1"/>
  <c r="P2501" i="1"/>
  <c r="Q2501" i="1"/>
  <c r="R2501" i="1"/>
  <c r="S2501" i="1"/>
  <c r="T2501" i="1"/>
  <c r="U2501" i="1"/>
  <c r="V2501" i="1"/>
  <c r="O2502" i="1"/>
  <c r="P2502" i="1"/>
  <c r="Q2502" i="1"/>
  <c r="R2502" i="1"/>
  <c r="S2502" i="1"/>
  <c r="T2502" i="1"/>
  <c r="U2502" i="1"/>
  <c r="V2502" i="1"/>
  <c r="O2503" i="1"/>
  <c r="P2503" i="1"/>
  <c r="Q2503" i="1"/>
  <c r="R2503" i="1"/>
  <c r="S2503" i="1"/>
  <c r="T2503" i="1"/>
  <c r="U2503" i="1"/>
  <c r="V2503" i="1"/>
  <c r="O2504" i="1"/>
  <c r="P2504" i="1"/>
  <c r="Q2504" i="1"/>
  <c r="R2504" i="1"/>
  <c r="S2504" i="1"/>
  <c r="T2504" i="1"/>
  <c r="U2504" i="1"/>
  <c r="V2504" i="1"/>
  <c r="O2505" i="1"/>
  <c r="P2505" i="1"/>
  <c r="Q2505" i="1"/>
  <c r="R2505" i="1"/>
  <c r="S2505" i="1"/>
  <c r="T2505" i="1"/>
  <c r="U2505" i="1"/>
  <c r="V2505" i="1"/>
  <c r="O2506" i="1"/>
  <c r="P2506" i="1"/>
  <c r="Q2506" i="1"/>
  <c r="R2506" i="1"/>
  <c r="S2506" i="1"/>
  <c r="T2506" i="1"/>
  <c r="U2506" i="1"/>
  <c r="V2506" i="1"/>
  <c r="O2507" i="1"/>
  <c r="P2507" i="1"/>
  <c r="Q2507" i="1"/>
  <c r="R2507" i="1"/>
  <c r="S2507" i="1"/>
  <c r="T2507" i="1"/>
  <c r="U2507" i="1"/>
  <c r="V2507" i="1"/>
  <c r="O2508" i="1"/>
  <c r="P2508" i="1"/>
  <c r="Q2508" i="1"/>
  <c r="R2508" i="1"/>
  <c r="S2508" i="1"/>
  <c r="T2508" i="1"/>
  <c r="U2508" i="1"/>
  <c r="V2508" i="1"/>
  <c r="O2509" i="1"/>
  <c r="P2509" i="1"/>
  <c r="Q2509" i="1"/>
  <c r="R2509" i="1"/>
  <c r="S2509" i="1"/>
  <c r="T2509" i="1"/>
  <c r="U2509" i="1"/>
  <c r="V2509" i="1"/>
  <c r="O2510" i="1"/>
  <c r="P2510" i="1"/>
  <c r="Q2510" i="1"/>
  <c r="R2510" i="1"/>
  <c r="S2510" i="1"/>
  <c r="T2510" i="1"/>
  <c r="U2510" i="1"/>
  <c r="V2510" i="1"/>
  <c r="O2511" i="1"/>
  <c r="P2511" i="1"/>
  <c r="Q2511" i="1"/>
  <c r="R2511" i="1"/>
  <c r="S2511" i="1"/>
  <c r="T2511" i="1"/>
  <c r="U2511" i="1"/>
  <c r="V2511" i="1"/>
  <c r="O2512" i="1"/>
  <c r="P2512" i="1"/>
  <c r="Q2512" i="1"/>
  <c r="R2512" i="1"/>
  <c r="S2512" i="1"/>
  <c r="T2512" i="1"/>
  <c r="U2512" i="1"/>
  <c r="V2512" i="1"/>
  <c r="O2513" i="1"/>
  <c r="P2513" i="1"/>
  <c r="Q2513" i="1"/>
  <c r="R2513" i="1"/>
  <c r="S2513" i="1"/>
  <c r="T2513" i="1"/>
  <c r="U2513" i="1"/>
  <c r="V2513" i="1"/>
  <c r="O2514" i="1"/>
  <c r="P2514" i="1"/>
  <c r="Q2514" i="1"/>
  <c r="R2514" i="1"/>
  <c r="S2514" i="1"/>
  <c r="T2514" i="1"/>
  <c r="U2514" i="1"/>
  <c r="V2514" i="1"/>
  <c r="O2515" i="1"/>
  <c r="P2515" i="1"/>
  <c r="Q2515" i="1"/>
  <c r="R2515" i="1"/>
  <c r="S2515" i="1"/>
  <c r="T2515" i="1"/>
  <c r="U2515" i="1"/>
  <c r="V2515" i="1"/>
  <c r="O2516" i="1"/>
  <c r="P2516" i="1"/>
  <c r="Q2516" i="1"/>
  <c r="R2516" i="1"/>
  <c r="S2516" i="1"/>
  <c r="T2516" i="1"/>
  <c r="U2516" i="1"/>
  <c r="V2516" i="1"/>
  <c r="O2517" i="1"/>
  <c r="P2517" i="1"/>
  <c r="Q2517" i="1"/>
  <c r="R2517" i="1"/>
  <c r="S2517" i="1"/>
  <c r="T2517" i="1"/>
  <c r="U2517" i="1"/>
  <c r="V2517" i="1"/>
  <c r="O2518" i="1"/>
  <c r="P2518" i="1"/>
  <c r="Q2518" i="1"/>
  <c r="R2518" i="1"/>
  <c r="S2518" i="1"/>
  <c r="T2518" i="1"/>
  <c r="U2518" i="1"/>
  <c r="V2518" i="1"/>
  <c r="O2519" i="1"/>
  <c r="P2519" i="1"/>
  <c r="Q2519" i="1"/>
  <c r="R2519" i="1"/>
  <c r="S2519" i="1"/>
  <c r="T2519" i="1"/>
  <c r="U2519" i="1"/>
  <c r="V2519" i="1"/>
  <c r="O2520" i="1"/>
  <c r="P2520" i="1"/>
  <c r="Q2520" i="1"/>
  <c r="R2520" i="1"/>
  <c r="S2520" i="1"/>
  <c r="T2520" i="1"/>
  <c r="U2520" i="1"/>
  <c r="V2520" i="1"/>
  <c r="O2521" i="1"/>
  <c r="P2521" i="1"/>
  <c r="Q2521" i="1"/>
  <c r="R2521" i="1"/>
  <c r="S2521" i="1"/>
  <c r="T2521" i="1"/>
  <c r="U2521" i="1"/>
  <c r="V2521" i="1"/>
  <c r="O2522" i="1"/>
  <c r="P2522" i="1"/>
  <c r="Q2522" i="1"/>
  <c r="R2522" i="1"/>
  <c r="S2522" i="1"/>
  <c r="T2522" i="1"/>
  <c r="U2522" i="1"/>
  <c r="V2522" i="1"/>
  <c r="O2523" i="1"/>
  <c r="P2523" i="1"/>
  <c r="Q2523" i="1"/>
  <c r="R2523" i="1"/>
  <c r="S2523" i="1"/>
  <c r="T2523" i="1"/>
  <c r="U2523" i="1"/>
  <c r="V2523" i="1"/>
  <c r="O2524" i="1"/>
  <c r="P2524" i="1"/>
  <c r="Q2524" i="1"/>
  <c r="R2524" i="1"/>
  <c r="S2524" i="1"/>
  <c r="T2524" i="1"/>
  <c r="U2524" i="1"/>
  <c r="V2524" i="1"/>
  <c r="O2525" i="1"/>
  <c r="P2525" i="1"/>
  <c r="Q2525" i="1"/>
  <c r="R2525" i="1"/>
  <c r="S2525" i="1"/>
  <c r="T2525" i="1"/>
  <c r="U2525" i="1"/>
  <c r="V2525" i="1"/>
  <c r="O2526" i="1"/>
  <c r="P2526" i="1"/>
  <c r="Q2526" i="1"/>
  <c r="R2526" i="1"/>
  <c r="S2526" i="1"/>
  <c r="T2526" i="1"/>
  <c r="U2526" i="1"/>
  <c r="V2526" i="1"/>
  <c r="O2527" i="1"/>
  <c r="P2527" i="1"/>
  <c r="Q2527" i="1"/>
  <c r="R2527" i="1"/>
  <c r="S2527" i="1"/>
  <c r="T2527" i="1"/>
  <c r="U2527" i="1"/>
  <c r="V2527" i="1"/>
  <c r="O2528" i="1"/>
  <c r="P2528" i="1"/>
  <c r="Q2528" i="1"/>
  <c r="R2528" i="1"/>
  <c r="S2528" i="1"/>
  <c r="T2528" i="1"/>
  <c r="U2528" i="1"/>
  <c r="V2528" i="1"/>
  <c r="O2529" i="1"/>
  <c r="P2529" i="1"/>
  <c r="Q2529" i="1"/>
  <c r="R2529" i="1"/>
  <c r="S2529" i="1"/>
  <c r="T2529" i="1"/>
  <c r="U2529" i="1"/>
  <c r="V2529" i="1"/>
  <c r="O2530" i="1"/>
  <c r="P2530" i="1"/>
  <c r="Q2530" i="1"/>
  <c r="R2530" i="1"/>
  <c r="S2530" i="1"/>
  <c r="T2530" i="1"/>
  <c r="U2530" i="1"/>
  <c r="V2530" i="1"/>
  <c r="O2531" i="1"/>
  <c r="P2531" i="1"/>
  <c r="Q2531" i="1"/>
  <c r="R2531" i="1"/>
  <c r="S2531" i="1"/>
  <c r="T2531" i="1"/>
  <c r="U2531" i="1"/>
  <c r="V2531" i="1"/>
  <c r="O2532" i="1"/>
  <c r="P2532" i="1"/>
  <c r="Q2532" i="1"/>
  <c r="R2532" i="1"/>
  <c r="S2532" i="1"/>
  <c r="T2532" i="1"/>
  <c r="U2532" i="1"/>
  <c r="V2532" i="1"/>
  <c r="O2533" i="1"/>
  <c r="P2533" i="1"/>
  <c r="Q2533" i="1"/>
  <c r="R2533" i="1"/>
  <c r="S2533" i="1"/>
  <c r="T2533" i="1"/>
  <c r="U2533" i="1"/>
  <c r="V2533" i="1"/>
  <c r="O2534" i="1"/>
  <c r="P2534" i="1"/>
  <c r="Q2534" i="1"/>
  <c r="R2534" i="1"/>
  <c r="S2534" i="1"/>
  <c r="T2534" i="1"/>
  <c r="U2534" i="1"/>
  <c r="V2534" i="1"/>
  <c r="O2535" i="1"/>
  <c r="P2535" i="1"/>
  <c r="Q2535" i="1"/>
  <c r="R2535" i="1"/>
  <c r="S2535" i="1"/>
  <c r="T2535" i="1"/>
  <c r="U2535" i="1"/>
  <c r="V2535" i="1"/>
  <c r="O2536" i="1"/>
  <c r="P2536" i="1"/>
  <c r="Q2536" i="1"/>
  <c r="R2536" i="1"/>
  <c r="S2536" i="1"/>
  <c r="T2536" i="1"/>
  <c r="U2536" i="1"/>
  <c r="V2536" i="1"/>
  <c r="O2537" i="1"/>
  <c r="P2537" i="1"/>
  <c r="Q2537" i="1"/>
  <c r="R2537" i="1"/>
  <c r="S2537" i="1"/>
  <c r="T2537" i="1"/>
  <c r="U2537" i="1"/>
  <c r="V2537" i="1"/>
  <c r="O2538" i="1"/>
  <c r="P2538" i="1"/>
  <c r="Q2538" i="1"/>
  <c r="R2538" i="1"/>
  <c r="S2538" i="1"/>
  <c r="T2538" i="1"/>
  <c r="U2538" i="1"/>
  <c r="V2538" i="1"/>
  <c r="O2539" i="1"/>
  <c r="P2539" i="1"/>
  <c r="Q2539" i="1"/>
  <c r="R2539" i="1"/>
  <c r="S2539" i="1"/>
  <c r="T2539" i="1"/>
  <c r="U2539" i="1"/>
  <c r="V2539" i="1"/>
  <c r="O2540" i="1"/>
  <c r="P2540" i="1"/>
  <c r="Q2540" i="1"/>
  <c r="R2540" i="1"/>
  <c r="S2540" i="1"/>
  <c r="T2540" i="1"/>
  <c r="U2540" i="1"/>
  <c r="V2540" i="1"/>
  <c r="O2541" i="1"/>
  <c r="P2541" i="1"/>
  <c r="Q2541" i="1"/>
  <c r="R2541" i="1"/>
  <c r="S2541" i="1"/>
  <c r="T2541" i="1"/>
  <c r="U2541" i="1"/>
  <c r="V2541" i="1"/>
  <c r="O2542" i="1"/>
  <c r="P2542" i="1"/>
  <c r="Q2542" i="1"/>
  <c r="R2542" i="1"/>
  <c r="S2542" i="1"/>
  <c r="T2542" i="1"/>
  <c r="U2542" i="1"/>
  <c r="V2542" i="1"/>
  <c r="O2543" i="1"/>
  <c r="P2543" i="1"/>
  <c r="Q2543" i="1"/>
  <c r="R2543" i="1"/>
  <c r="S2543" i="1"/>
  <c r="T2543" i="1"/>
  <c r="U2543" i="1"/>
  <c r="V2543" i="1"/>
  <c r="O2544" i="1"/>
  <c r="P2544" i="1"/>
  <c r="Q2544" i="1"/>
  <c r="R2544" i="1"/>
  <c r="S2544" i="1"/>
  <c r="T2544" i="1"/>
  <c r="U2544" i="1"/>
  <c r="V2544" i="1"/>
  <c r="O2545" i="1"/>
  <c r="P2545" i="1"/>
  <c r="Q2545" i="1"/>
  <c r="R2545" i="1"/>
  <c r="S2545" i="1"/>
  <c r="T2545" i="1"/>
  <c r="U2545" i="1"/>
  <c r="V2545" i="1"/>
  <c r="O2546" i="1"/>
  <c r="P2546" i="1"/>
  <c r="Q2546" i="1"/>
  <c r="R2546" i="1"/>
  <c r="S2546" i="1"/>
  <c r="T2546" i="1"/>
  <c r="U2546" i="1"/>
  <c r="V2546" i="1"/>
  <c r="O2547" i="1"/>
  <c r="P2547" i="1"/>
  <c r="Q2547" i="1"/>
  <c r="R2547" i="1"/>
  <c r="S2547" i="1"/>
  <c r="T2547" i="1"/>
  <c r="U2547" i="1"/>
  <c r="V2547" i="1"/>
  <c r="O2548" i="1"/>
  <c r="P2548" i="1"/>
  <c r="Q2548" i="1"/>
  <c r="R2548" i="1"/>
  <c r="S2548" i="1"/>
  <c r="T2548" i="1"/>
  <c r="U2548" i="1"/>
  <c r="V2548" i="1"/>
  <c r="O2549" i="1"/>
  <c r="P2549" i="1"/>
  <c r="Q2549" i="1"/>
  <c r="R2549" i="1"/>
  <c r="S2549" i="1"/>
  <c r="T2549" i="1"/>
  <c r="U2549" i="1"/>
  <c r="V2549" i="1"/>
  <c r="O2550" i="1"/>
  <c r="P2550" i="1"/>
  <c r="Q2550" i="1"/>
  <c r="R2550" i="1"/>
  <c r="S2550" i="1"/>
  <c r="T2550" i="1"/>
  <c r="U2550" i="1"/>
  <c r="V2550" i="1"/>
  <c r="O2551" i="1"/>
  <c r="P2551" i="1"/>
  <c r="Q2551" i="1"/>
  <c r="R2551" i="1"/>
  <c r="S2551" i="1"/>
  <c r="T2551" i="1"/>
  <c r="U2551" i="1"/>
  <c r="V2551" i="1"/>
  <c r="O2552" i="1"/>
  <c r="P2552" i="1"/>
  <c r="Q2552" i="1"/>
  <c r="R2552" i="1"/>
  <c r="S2552" i="1"/>
  <c r="T2552" i="1"/>
  <c r="U2552" i="1"/>
  <c r="V2552" i="1"/>
  <c r="O2553" i="1"/>
  <c r="P2553" i="1"/>
  <c r="Q2553" i="1"/>
  <c r="R2553" i="1"/>
  <c r="S2553" i="1"/>
  <c r="T2553" i="1"/>
  <c r="U2553" i="1"/>
  <c r="V2553" i="1"/>
  <c r="O2554" i="1"/>
  <c r="P2554" i="1"/>
  <c r="Q2554" i="1"/>
  <c r="R2554" i="1"/>
  <c r="S2554" i="1"/>
  <c r="T2554" i="1"/>
  <c r="U2554" i="1"/>
  <c r="V2554" i="1"/>
  <c r="O2555" i="1"/>
  <c r="P2555" i="1"/>
  <c r="Q2555" i="1"/>
  <c r="R2555" i="1"/>
  <c r="S2555" i="1"/>
  <c r="T2555" i="1"/>
  <c r="U2555" i="1"/>
  <c r="V2555" i="1"/>
  <c r="O2556" i="1"/>
  <c r="P2556" i="1"/>
  <c r="Q2556" i="1"/>
  <c r="R2556" i="1"/>
  <c r="S2556" i="1"/>
  <c r="T2556" i="1"/>
  <c r="U2556" i="1"/>
  <c r="V2556" i="1"/>
  <c r="O2557" i="1"/>
  <c r="P2557" i="1"/>
  <c r="Q2557" i="1"/>
  <c r="R2557" i="1"/>
  <c r="S2557" i="1"/>
  <c r="T2557" i="1"/>
  <c r="U2557" i="1"/>
  <c r="V2557" i="1"/>
  <c r="O2558" i="1"/>
  <c r="P2558" i="1"/>
  <c r="Q2558" i="1"/>
  <c r="R2558" i="1"/>
  <c r="S2558" i="1"/>
  <c r="T2558" i="1"/>
  <c r="U2558" i="1"/>
  <c r="V2558" i="1"/>
  <c r="O2559" i="1"/>
  <c r="P2559" i="1"/>
  <c r="Q2559" i="1"/>
  <c r="R2559" i="1"/>
  <c r="S2559" i="1"/>
  <c r="T2559" i="1"/>
  <c r="U2559" i="1"/>
  <c r="V2559" i="1"/>
  <c r="O2560" i="1"/>
  <c r="P2560" i="1"/>
  <c r="Q2560" i="1"/>
  <c r="R2560" i="1"/>
  <c r="S2560" i="1"/>
  <c r="T2560" i="1"/>
  <c r="U2560" i="1"/>
  <c r="V2560" i="1"/>
  <c r="O2561" i="1"/>
  <c r="P2561" i="1"/>
  <c r="Q2561" i="1"/>
  <c r="R2561" i="1"/>
  <c r="S2561" i="1"/>
  <c r="T2561" i="1"/>
  <c r="U2561" i="1"/>
  <c r="V2561" i="1"/>
  <c r="O2562" i="1"/>
  <c r="P2562" i="1"/>
  <c r="Q2562" i="1"/>
  <c r="R2562" i="1"/>
  <c r="S2562" i="1"/>
  <c r="T2562" i="1"/>
  <c r="U2562" i="1"/>
  <c r="V2562" i="1"/>
  <c r="O2563" i="1"/>
  <c r="P2563" i="1"/>
  <c r="Q2563" i="1"/>
  <c r="R2563" i="1"/>
  <c r="S2563" i="1"/>
  <c r="T2563" i="1"/>
  <c r="U2563" i="1"/>
  <c r="V2563" i="1"/>
  <c r="O2564" i="1"/>
  <c r="P2564" i="1"/>
  <c r="Q2564" i="1"/>
  <c r="R2564" i="1"/>
  <c r="S2564" i="1"/>
  <c r="T2564" i="1"/>
  <c r="U2564" i="1"/>
  <c r="V2564" i="1"/>
  <c r="O2565" i="1"/>
  <c r="P2565" i="1"/>
  <c r="Q2565" i="1"/>
  <c r="R2565" i="1"/>
  <c r="S2565" i="1"/>
  <c r="T2565" i="1"/>
  <c r="U2565" i="1"/>
  <c r="V2565" i="1"/>
  <c r="O2566" i="1"/>
  <c r="P2566" i="1"/>
  <c r="Q2566" i="1"/>
  <c r="R2566" i="1"/>
  <c r="S2566" i="1"/>
  <c r="T2566" i="1"/>
  <c r="U2566" i="1"/>
  <c r="V2566" i="1"/>
  <c r="O2567" i="1"/>
  <c r="P2567" i="1"/>
  <c r="Q2567" i="1"/>
  <c r="R2567" i="1"/>
  <c r="S2567" i="1"/>
  <c r="T2567" i="1"/>
  <c r="U2567" i="1"/>
  <c r="V2567" i="1"/>
  <c r="O2568" i="1"/>
  <c r="P2568" i="1"/>
  <c r="Q2568" i="1"/>
  <c r="R2568" i="1"/>
  <c r="S2568" i="1"/>
  <c r="T2568" i="1"/>
  <c r="U2568" i="1"/>
  <c r="V2568" i="1"/>
  <c r="O2569" i="1"/>
  <c r="P2569" i="1"/>
  <c r="Q2569" i="1"/>
  <c r="R2569" i="1"/>
  <c r="S2569" i="1"/>
  <c r="T2569" i="1"/>
  <c r="U2569" i="1"/>
  <c r="V2569" i="1"/>
  <c r="O2570" i="1"/>
  <c r="P2570" i="1"/>
  <c r="Q2570" i="1"/>
  <c r="R2570" i="1"/>
  <c r="S2570" i="1"/>
  <c r="T2570" i="1"/>
  <c r="U2570" i="1"/>
  <c r="V2570" i="1"/>
  <c r="O2571" i="1"/>
  <c r="P2571" i="1"/>
  <c r="Q2571" i="1"/>
  <c r="R2571" i="1"/>
  <c r="S2571" i="1"/>
  <c r="T2571" i="1"/>
  <c r="U2571" i="1"/>
  <c r="V2571" i="1"/>
  <c r="O2572" i="1"/>
  <c r="P2572" i="1"/>
  <c r="Q2572" i="1"/>
  <c r="R2572" i="1"/>
  <c r="S2572" i="1"/>
  <c r="T2572" i="1"/>
  <c r="U2572" i="1"/>
  <c r="V2572" i="1"/>
  <c r="O2573" i="1"/>
  <c r="P2573" i="1"/>
  <c r="Q2573" i="1"/>
  <c r="R2573" i="1"/>
  <c r="S2573" i="1"/>
  <c r="T2573" i="1"/>
  <c r="U2573" i="1"/>
  <c r="V2573" i="1"/>
  <c r="O2574" i="1"/>
  <c r="P2574" i="1"/>
  <c r="Q2574" i="1"/>
  <c r="R2574" i="1"/>
  <c r="S2574" i="1"/>
  <c r="T2574" i="1"/>
  <c r="U2574" i="1"/>
  <c r="V2574" i="1"/>
  <c r="O2575" i="1"/>
  <c r="P2575" i="1"/>
  <c r="Q2575" i="1"/>
  <c r="R2575" i="1"/>
  <c r="S2575" i="1"/>
  <c r="T2575" i="1"/>
  <c r="U2575" i="1"/>
  <c r="V2575" i="1"/>
  <c r="O2576" i="1"/>
  <c r="P2576" i="1"/>
  <c r="Q2576" i="1"/>
  <c r="R2576" i="1"/>
  <c r="S2576" i="1"/>
  <c r="T2576" i="1"/>
  <c r="U2576" i="1"/>
  <c r="V2576" i="1"/>
  <c r="O2577" i="1"/>
  <c r="P2577" i="1"/>
  <c r="Q2577" i="1"/>
  <c r="R2577" i="1"/>
  <c r="S2577" i="1"/>
  <c r="T2577" i="1"/>
  <c r="U2577" i="1"/>
  <c r="V2577" i="1"/>
  <c r="O2578" i="1"/>
  <c r="P2578" i="1"/>
  <c r="Q2578" i="1"/>
  <c r="R2578" i="1"/>
  <c r="S2578" i="1"/>
  <c r="T2578" i="1"/>
  <c r="U2578" i="1"/>
  <c r="V2578" i="1"/>
  <c r="O2579" i="1"/>
  <c r="P2579" i="1"/>
  <c r="Q2579" i="1"/>
  <c r="R2579" i="1"/>
  <c r="S2579" i="1"/>
  <c r="T2579" i="1"/>
  <c r="U2579" i="1"/>
  <c r="V2579" i="1"/>
  <c r="O2580" i="1"/>
  <c r="P2580" i="1"/>
  <c r="Q2580" i="1"/>
  <c r="R2580" i="1"/>
  <c r="S2580" i="1"/>
  <c r="T2580" i="1"/>
  <c r="U2580" i="1"/>
  <c r="V2580" i="1"/>
  <c r="O2581" i="1"/>
  <c r="P2581" i="1"/>
  <c r="Q2581" i="1"/>
  <c r="R2581" i="1"/>
  <c r="S2581" i="1"/>
  <c r="T2581" i="1"/>
  <c r="U2581" i="1"/>
  <c r="V2581" i="1"/>
  <c r="O2582" i="1"/>
  <c r="P2582" i="1"/>
  <c r="Q2582" i="1"/>
  <c r="R2582" i="1"/>
  <c r="S2582" i="1"/>
  <c r="T2582" i="1"/>
  <c r="U2582" i="1"/>
  <c r="V2582" i="1"/>
  <c r="O2583" i="1"/>
  <c r="P2583" i="1"/>
  <c r="Q2583" i="1"/>
  <c r="R2583" i="1"/>
  <c r="S2583" i="1"/>
  <c r="T2583" i="1"/>
  <c r="U2583" i="1"/>
  <c r="V2583" i="1"/>
  <c r="O2584" i="1"/>
  <c r="P2584" i="1"/>
  <c r="Q2584" i="1"/>
  <c r="R2584" i="1"/>
  <c r="S2584" i="1"/>
  <c r="T2584" i="1"/>
  <c r="U2584" i="1"/>
  <c r="V2584" i="1"/>
  <c r="O2585" i="1"/>
  <c r="P2585" i="1"/>
  <c r="Q2585" i="1"/>
  <c r="R2585" i="1"/>
  <c r="S2585" i="1"/>
  <c r="T2585" i="1"/>
  <c r="U2585" i="1"/>
  <c r="V2585" i="1"/>
  <c r="O2586" i="1"/>
  <c r="P2586" i="1"/>
  <c r="Q2586" i="1"/>
  <c r="R2586" i="1"/>
  <c r="S2586" i="1"/>
  <c r="T2586" i="1"/>
  <c r="U2586" i="1"/>
  <c r="V2586" i="1"/>
  <c r="O2587" i="1"/>
  <c r="P2587" i="1"/>
  <c r="Q2587" i="1"/>
  <c r="R2587" i="1"/>
  <c r="S2587" i="1"/>
  <c r="T2587" i="1"/>
  <c r="U2587" i="1"/>
  <c r="V2587" i="1"/>
  <c r="O2588" i="1"/>
  <c r="P2588" i="1"/>
  <c r="Q2588" i="1"/>
  <c r="R2588" i="1"/>
  <c r="S2588" i="1"/>
  <c r="T2588" i="1"/>
  <c r="U2588" i="1"/>
  <c r="V2588" i="1"/>
  <c r="O2589" i="1"/>
  <c r="P2589" i="1"/>
  <c r="Q2589" i="1"/>
  <c r="R2589" i="1"/>
  <c r="S2589" i="1"/>
  <c r="T2589" i="1"/>
  <c r="U2589" i="1"/>
  <c r="V2589" i="1"/>
  <c r="O2590" i="1"/>
  <c r="P2590" i="1"/>
  <c r="Q2590" i="1"/>
  <c r="R2590" i="1"/>
  <c r="S2590" i="1"/>
  <c r="T2590" i="1"/>
  <c r="U2590" i="1"/>
  <c r="V2590" i="1"/>
  <c r="O2591" i="1"/>
  <c r="P2591" i="1"/>
  <c r="Q2591" i="1"/>
  <c r="R2591" i="1"/>
  <c r="S2591" i="1"/>
  <c r="T2591" i="1"/>
  <c r="U2591" i="1"/>
  <c r="V2591" i="1"/>
  <c r="O2592" i="1"/>
  <c r="P2592" i="1"/>
  <c r="Q2592" i="1"/>
  <c r="R2592" i="1"/>
  <c r="S2592" i="1"/>
  <c r="T2592" i="1"/>
  <c r="U2592" i="1"/>
  <c r="V2592" i="1"/>
  <c r="O2593" i="1"/>
  <c r="P2593" i="1"/>
  <c r="Q2593" i="1"/>
  <c r="R2593" i="1"/>
  <c r="S2593" i="1"/>
  <c r="T2593" i="1"/>
  <c r="U2593" i="1"/>
  <c r="V2593" i="1"/>
  <c r="O2594" i="1"/>
  <c r="P2594" i="1"/>
  <c r="Q2594" i="1"/>
  <c r="R2594" i="1"/>
  <c r="S2594" i="1"/>
  <c r="T2594" i="1"/>
  <c r="U2594" i="1"/>
  <c r="V2594" i="1"/>
  <c r="O2595" i="1"/>
  <c r="P2595" i="1"/>
  <c r="Q2595" i="1"/>
  <c r="R2595" i="1"/>
  <c r="S2595" i="1"/>
  <c r="T2595" i="1"/>
  <c r="U2595" i="1"/>
  <c r="V2595" i="1"/>
  <c r="O2596" i="1"/>
  <c r="P2596" i="1"/>
  <c r="Q2596" i="1"/>
  <c r="R2596" i="1"/>
  <c r="S2596" i="1"/>
  <c r="T2596" i="1"/>
  <c r="U2596" i="1"/>
  <c r="V2596" i="1"/>
  <c r="O2597" i="1"/>
  <c r="P2597" i="1"/>
  <c r="Q2597" i="1"/>
  <c r="R2597" i="1"/>
  <c r="S2597" i="1"/>
  <c r="T2597" i="1"/>
  <c r="U2597" i="1"/>
  <c r="V2597" i="1"/>
  <c r="O2598" i="1"/>
  <c r="P2598" i="1"/>
  <c r="Q2598" i="1"/>
  <c r="R2598" i="1"/>
  <c r="S2598" i="1"/>
  <c r="T2598" i="1"/>
  <c r="U2598" i="1"/>
  <c r="V2598" i="1"/>
  <c r="O2599" i="1"/>
  <c r="P2599" i="1"/>
  <c r="Q2599" i="1"/>
  <c r="R2599" i="1"/>
  <c r="S2599" i="1"/>
  <c r="T2599" i="1"/>
  <c r="U2599" i="1"/>
  <c r="V2599" i="1"/>
  <c r="O2600" i="1"/>
  <c r="P2600" i="1"/>
  <c r="Q2600" i="1"/>
  <c r="R2600" i="1"/>
  <c r="S2600" i="1"/>
  <c r="T2600" i="1"/>
  <c r="U2600" i="1"/>
  <c r="V2600" i="1"/>
  <c r="O2601" i="1"/>
  <c r="P2601" i="1"/>
  <c r="Q2601" i="1"/>
  <c r="R2601" i="1"/>
  <c r="S2601" i="1"/>
  <c r="T2601" i="1"/>
  <c r="U2601" i="1"/>
  <c r="V2601" i="1"/>
  <c r="O2602" i="1"/>
  <c r="P2602" i="1"/>
  <c r="Q2602" i="1"/>
  <c r="R2602" i="1"/>
  <c r="S2602" i="1"/>
  <c r="T2602" i="1"/>
  <c r="U2602" i="1"/>
  <c r="V2602" i="1"/>
  <c r="O2603" i="1"/>
  <c r="P2603" i="1"/>
  <c r="Q2603" i="1"/>
  <c r="R2603" i="1"/>
  <c r="S2603" i="1"/>
  <c r="T2603" i="1"/>
  <c r="U2603" i="1"/>
  <c r="V2603" i="1"/>
  <c r="O2604" i="1"/>
  <c r="P2604" i="1"/>
  <c r="Q2604" i="1"/>
  <c r="R2604" i="1"/>
  <c r="S2604" i="1"/>
  <c r="T2604" i="1"/>
  <c r="U2604" i="1"/>
  <c r="V2604" i="1"/>
  <c r="O2605" i="1"/>
  <c r="P2605" i="1"/>
  <c r="Q2605" i="1"/>
  <c r="R2605" i="1"/>
  <c r="S2605" i="1"/>
  <c r="T2605" i="1"/>
  <c r="U2605" i="1"/>
  <c r="V2605" i="1"/>
  <c r="O2606" i="1"/>
  <c r="P2606" i="1"/>
  <c r="Q2606" i="1"/>
  <c r="R2606" i="1"/>
  <c r="S2606" i="1"/>
  <c r="T2606" i="1"/>
  <c r="U2606" i="1"/>
  <c r="V2606" i="1"/>
  <c r="O2607" i="1"/>
  <c r="P2607" i="1"/>
  <c r="Q2607" i="1"/>
  <c r="R2607" i="1"/>
  <c r="S2607" i="1"/>
  <c r="T2607" i="1"/>
  <c r="U2607" i="1"/>
  <c r="V2607" i="1"/>
  <c r="O2608" i="1"/>
  <c r="P2608" i="1"/>
  <c r="Q2608" i="1"/>
  <c r="R2608" i="1"/>
  <c r="S2608" i="1"/>
  <c r="T2608" i="1"/>
  <c r="U2608" i="1"/>
  <c r="V2608" i="1"/>
  <c r="O2609" i="1"/>
  <c r="P2609" i="1"/>
  <c r="Q2609" i="1"/>
  <c r="R2609" i="1"/>
  <c r="S2609" i="1"/>
  <c r="T2609" i="1"/>
  <c r="U2609" i="1"/>
  <c r="V2609" i="1"/>
  <c r="O2610" i="1"/>
  <c r="P2610" i="1"/>
  <c r="Q2610" i="1"/>
  <c r="R2610" i="1"/>
  <c r="S2610" i="1"/>
  <c r="T2610" i="1"/>
  <c r="U2610" i="1"/>
  <c r="V2610" i="1"/>
  <c r="O2611" i="1"/>
  <c r="P2611" i="1"/>
  <c r="Q2611" i="1"/>
  <c r="R2611" i="1"/>
  <c r="S2611" i="1"/>
  <c r="T2611" i="1"/>
  <c r="U2611" i="1"/>
  <c r="V2611" i="1"/>
  <c r="O2612" i="1"/>
  <c r="P2612" i="1"/>
  <c r="Q2612" i="1"/>
  <c r="R2612" i="1"/>
  <c r="S2612" i="1"/>
  <c r="T2612" i="1"/>
  <c r="U2612" i="1"/>
  <c r="V2612" i="1"/>
  <c r="O2613" i="1"/>
  <c r="P2613" i="1"/>
  <c r="Q2613" i="1"/>
  <c r="R2613" i="1"/>
  <c r="S2613" i="1"/>
  <c r="T2613" i="1"/>
  <c r="U2613" i="1"/>
  <c r="V2613" i="1"/>
  <c r="O2614" i="1"/>
  <c r="P2614" i="1"/>
  <c r="Q2614" i="1"/>
  <c r="R2614" i="1"/>
  <c r="S2614" i="1"/>
  <c r="T2614" i="1"/>
  <c r="U2614" i="1"/>
  <c r="V2614" i="1"/>
  <c r="O2615" i="1"/>
  <c r="P2615" i="1"/>
  <c r="Q2615" i="1"/>
  <c r="R2615" i="1"/>
  <c r="S2615" i="1"/>
  <c r="T2615" i="1"/>
  <c r="U2615" i="1"/>
  <c r="V2615" i="1"/>
  <c r="O2616" i="1"/>
  <c r="P2616" i="1"/>
  <c r="Q2616" i="1"/>
  <c r="R2616" i="1"/>
  <c r="S2616" i="1"/>
  <c r="T2616" i="1"/>
  <c r="U2616" i="1"/>
  <c r="V2616" i="1"/>
  <c r="O2617" i="1"/>
  <c r="P2617" i="1"/>
  <c r="Q2617" i="1"/>
  <c r="R2617" i="1"/>
  <c r="S2617" i="1"/>
  <c r="T2617" i="1"/>
  <c r="U2617" i="1"/>
  <c r="V2617" i="1"/>
  <c r="O2618" i="1"/>
  <c r="P2618" i="1"/>
  <c r="Q2618" i="1"/>
  <c r="R2618" i="1"/>
  <c r="S2618" i="1"/>
  <c r="T2618" i="1"/>
  <c r="U2618" i="1"/>
  <c r="V2618" i="1"/>
  <c r="O2619" i="1"/>
  <c r="P2619" i="1"/>
  <c r="Q2619" i="1"/>
  <c r="R2619" i="1"/>
  <c r="S2619" i="1"/>
  <c r="T2619" i="1"/>
  <c r="U2619" i="1"/>
  <c r="V2619" i="1"/>
  <c r="O2620" i="1"/>
  <c r="P2620" i="1"/>
  <c r="Q2620" i="1"/>
  <c r="R2620" i="1"/>
  <c r="S2620" i="1"/>
  <c r="T2620" i="1"/>
  <c r="U2620" i="1"/>
  <c r="V2620" i="1"/>
  <c r="O2621" i="1"/>
  <c r="P2621" i="1"/>
  <c r="Q2621" i="1"/>
  <c r="R2621" i="1"/>
  <c r="S2621" i="1"/>
  <c r="T2621" i="1"/>
  <c r="U2621" i="1"/>
  <c r="V2621" i="1"/>
  <c r="O2622" i="1"/>
  <c r="P2622" i="1"/>
  <c r="Q2622" i="1"/>
  <c r="R2622" i="1"/>
  <c r="S2622" i="1"/>
  <c r="T2622" i="1"/>
  <c r="U2622" i="1"/>
  <c r="V2622" i="1"/>
  <c r="O2623" i="1"/>
  <c r="P2623" i="1"/>
  <c r="Q2623" i="1"/>
  <c r="R2623" i="1"/>
  <c r="S2623" i="1"/>
  <c r="T2623" i="1"/>
  <c r="U2623" i="1"/>
  <c r="V2623" i="1"/>
  <c r="O2624" i="1"/>
  <c r="P2624" i="1"/>
  <c r="Q2624" i="1"/>
  <c r="R2624" i="1"/>
  <c r="S2624" i="1"/>
  <c r="T2624" i="1"/>
  <c r="U2624" i="1"/>
  <c r="V2624" i="1"/>
  <c r="O2625" i="1"/>
  <c r="P2625" i="1"/>
  <c r="Q2625" i="1"/>
  <c r="R2625" i="1"/>
  <c r="S2625" i="1"/>
  <c r="T2625" i="1"/>
  <c r="U2625" i="1"/>
  <c r="V2625" i="1"/>
  <c r="O2626" i="1"/>
  <c r="P2626" i="1"/>
  <c r="Q2626" i="1"/>
  <c r="R2626" i="1"/>
  <c r="S2626" i="1"/>
  <c r="T2626" i="1"/>
  <c r="U2626" i="1"/>
  <c r="V2626" i="1"/>
  <c r="O2627" i="1"/>
  <c r="P2627" i="1"/>
  <c r="Q2627" i="1"/>
  <c r="R2627" i="1"/>
  <c r="S2627" i="1"/>
  <c r="T2627" i="1"/>
  <c r="U2627" i="1"/>
  <c r="V2627" i="1"/>
  <c r="O2628" i="1"/>
  <c r="P2628" i="1"/>
  <c r="Q2628" i="1"/>
  <c r="R2628" i="1"/>
  <c r="S2628" i="1"/>
  <c r="T2628" i="1"/>
  <c r="U2628" i="1"/>
  <c r="V2628" i="1"/>
  <c r="O2629" i="1"/>
  <c r="P2629" i="1"/>
  <c r="Q2629" i="1"/>
  <c r="R2629" i="1"/>
  <c r="S2629" i="1"/>
  <c r="T2629" i="1"/>
  <c r="U2629" i="1"/>
  <c r="V2629" i="1"/>
  <c r="O2630" i="1"/>
  <c r="P2630" i="1"/>
  <c r="Q2630" i="1"/>
  <c r="R2630" i="1"/>
  <c r="S2630" i="1"/>
  <c r="T2630" i="1"/>
  <c r="U2630" i="1"/>
  <c r="V2630" i="1"/>
  <c r="O2631" i="1"/>
  <c r="P2631" i="1"/>
  <c r="Q2631" i="1"/>
  <c r="R2631" i="1"/>
  <c r="S2631" i="1"/>
  <c r="T2631" i="1"/>
  <c r="U2631" i="1"/>
  <c r="V2631" i="1"/>
  <c r="O2632" i="1"/>
  <c r="P2632" i="1"/>
  <c r="Q2632" i="1"/>
  <c r="R2632" i="1"/>
  <c r="S2632" i="1"/>
  <c r="T2632" i="1"/>
  <c r="U2632" i="1"/>
  <c r="V2632" i="1"/>
  <c r="O2633" i="1"/>
  <c r="P2633" i="1"/>
  <c r="Q2633" i="1"/>
  <c r="R2633" i="1"/>
  <c r="S2633" i="1"/>
  <c r="T2633" i="1"/>
  <c r="U2633" i="1"/>
  <c r="V2633" i="1"/>
  <c r="O2634" i="1"/>
  <c r="P2634" i="1"/>
  <c r="Q2634" i="1"/>
  <c r="R2634" i="1"/>
  <c r="S2634" i="1"/>
  <c r="T2634" i="1"/>
  <c r="U2634" i="1"/>
  <c r="V2634" i="1"/>
  <c r="O2635" i="1"/>
  <c r="P2635" i="1"/>
  <c r="Q2635" i="1"/>
  <c r="R2635" i="1"/>
  <c r="S2635" i="1"/>
  <c r="T2635" i="1"/>
  <c r="U2635" i="1"/>
  <c r="V2635" i="1"/>
  <c r="O2636" i="1"/>
  <c r="P2636" i="1"/>
  <c r="Q2636" i="1"/>
  <c r="R2636" i="1"/>
  <c r="S2636" i="1"/>
  <c r="T2636" i="1"/>
  <c r="U2636" i="1"/>
  <c r="V2636" i="1"/>
  <c r="O2637" i="1"/>
  <c r="P2637" i="1"/>
  <c r="Q2637" i="1"/>
  <c r="R2637" i="1"/>
  <c r="S2637" i="1"/>
  <c r="T2637" i="1"/>
  <c r="U2637" i="1"/>
  <c r="V2637" i="1"/>
  <c r="O2638" i="1"/>
  <c r="P2638" i="1"/>
  <c r="Q2638" i="1"/>
  <c r="R2638" i="1"/>
  <c r="S2638" i="1"/>
  <c r="T2638" i="1"/>
  <c r="U2638" i="1"/>
  <c r="V2638" i="1"/>
  <c r="O2639" i="1"/>
  <c r="P2639" i="1"/>
  <c r="Q2639" i="1"/>
  <c r="R2639" i="1"/>
  <c r="S2639" i="1"/>
  <c r="T2639" i="1"/>
  <c r="U2639" i="1"/>
  <c r="V2639" i="1"/>
  <c r="O2640" i="1"/>
  <c r="P2640" i="1"/>
  <c r="Q2640" i="1"/>
  <c r="R2640" i="1"/>
  <c r="S2640" i="1"/>
  <c r="T2640" i="1"/>
  <c r="U2640" i="1"/>
  <c r="V2640" i="1"/>
  <c r="O2641" i="1"/>
  <c r="P2641" i="1"/>
  <c r="Q2641" i="1"/>
  <c r="R2641" i="1"/>
  <c r="S2641" i="1"/>
  <c r="T2641" i="1"/>
  <c r="U2641" i="1"/>
  <c r="V2641" i="1"/>
  <c r="O2642" i="1"/>
  <c r="P2642" i="1"/>
  <c r="Q2642" i="1"/>
  <c r="R2642" i="1"/>
  <c r="S2642" i="1"/>
  <c r="T2642" i="1"/>
  <c r="U2642" i="1"/>
  <c r="V2642" i="1"/>
  <c r="O2643" i="1"/>
  <c r="P2643" i="1"/>
  <c r="Q2643" i="1"/>
  <c r="R2643" i="1"/>
  <c r="S2643" i="1"/>
  <c r="T2643" i="1"/>
  <c r="U2643" i="1"/>
  <c r="V2643" i="1"/>
  <c r="O2644" i="1"/>
  <c r="P2644" i="1"/>
  <c r="Q2644" i="1"/>
  <c r="R2644" i="1"/>
  <c r="S2644" i="1"/>
  <c r="T2644" i="1"/>
  <c r="U2644" i="1"/>
  <c r="V2644" i="1"/>
  <c r="O2645" i="1"/>
  <c r="P2645" i="1"/>
  <c r="Q2645" i="1"/>
  <c r="R2645" i="1"/>
  <c r="S2645" i="1"/>
  <c r="T2645" i="1"/>
  <c r="U2645" i="1"/>
  <c r="V2645" i="1"/>
  <c r="O2646" i="1"/>
  <c r="P2646" i="1"/>
  <c r="Q2646" i="1"/>
  <c r="R2646" i="1"/>
  <c r="S2646" i="1"/>
  <c r="T2646" i="1"/>
  <c r="U2646" i="1"/>
  <c r="V2646" i="1"/>
  <c r="O2647" i="1"/>
  <c r="P2647" i="1"/>
  <c r="Q2647" i="1"/>
  <c r="R2647" i="1"/>
  <c r="S2647" i="1"/>
  <c r="T2647" i="1"/>
  <c r="U2647" i="1"/>
  <c r="V2647" i="1"/>
  <c r="O2648" i="1"/>
  <c r="P2648" i="1"/>
  <c r="Q2648" i="1"/>
  <c r="R2648" i="1"/>
  <c r="S2648" i="1"/>
  <c r="T2648" i="1"/>
  <c r="U2648" i="1"/>
  <c r="V2648" i="1"/>
  <c r="O2649" i="1"/>
  <c r="P2649" i="1"/>
  <c r="Q2649" i="1"/>
  <c r="R2649" i="1"/>
  <c r="S2649" i="1"/>
  <c r="T2649" i="1"/>
  <c r="U2649" i="1"/>
  <c r="V2649" i="1"/>
  <c r="O2650" i="1"/>
  <c r="P2650" i="1"/>
  <c r="Q2650" i="1"/>
  <c r="R2650" i="1"/>
  <c r="S2650" i="1"/>
  <c r="T2650" i="1"/>
  <c r="U2650" i="1"/>
  <c r="V2650" i="1"/>
  <c r="O2651" i="1"/>
  <c r="P2651" i="1"/>
  <c r="Q2651" i="1"/>
  <c r="R2651" i="1"/>
  <c r="S2651" i="1"/>
  <c r="T2651" i="1"/>
  <c r="U2651" i="1"/>
  <c r="V2651" i="1"/>
  <c r="O2652" i="1"/>
  <c r="P2652" i="1"/>
  <c r="Q2652" i="1"/>
  <c r="R2652" i="1"/>
  <c r="S2652" i="1"/>
  <c r="T2652" i="1"/>
  <c r="U2652" i="1"/>
  <c r="V2652" i="1"/>
  <c r="O2653" i="1"/>
  <c r="P2653" i="1"/>
  <c r="Q2653" i="1"/>
  <c r="R2653" i="1"/>
  <c r="S2653" i="1"/>
  <c r="T2653" i="1"/>
  <c r="U2653" i="1"/>
  <c r="V2653" i="1"/>
  <c r="O2654" i="1"/>
  <c r="P2654" i="1"/>
  <c r="Q2654" i="1"/>
  <c r="R2654" i="1"/>
  <c r="S2654" i="1"/>
  <c r="T2654" i="1"/>
  <c r="U2654" i="1"/>
  <c r="V2654" i="1"/>
  <c r="O2655" i="1"/>
  <c r="P2655" i="1"/>
  <c r="Q2655" i="1"/>
  <c r="R2655" i="1"/>
  <c r="S2655" i="1"/>
  <c r="T2655" i="1"/>
  <c r="U2655" i="1"/>
  <c r="V2655" i="1"/>
  <c r="O2656" i="1"/>
  <c r="P2656" i="1"/>
  <c r="Q2656" i="1"/>
  <c r="R2656" i="1"/>
  <c r="S2656" i="1"/>
  <c r="T2656" i="1"/>
  <c r="U2656" i="1"/>
  <c r="V2656" i="1"/>
  <c r="O2657" i="1"/>
  <c r="P2657" i="1"/>
  <c r="Q2657" i="1"/>
  <c r="R2657" i="1"/>
  <c r="S2657" i="1"/>
  <c r="T2657" i="1"/>
  <c r="U2657" i="1"/>
  <c r="V2657" i="1"/>
  <c r="O2658" i="1"/>
  <c r="P2658" i="1"/>
  <c r="Q2658" i="1"/>
  <c r="R2658" i="1"/>
  <c r="S2658" i="1"/>
  <c r="T2658" i="1"/>
  <c r="U2658" i="1"/>
  <c r="V2658" i="1"/>
  <c r="O2659" i="1"/>
  <c r="P2659" i="1"/>
  <c r="Q2659" i="1"/>
  <c r="R2659" i="1"/>
  <c r="S2659" i="1"/>
  <c r="T2659" i="1"/>
  <c r="U2659" i="1"/>
  <c r="V2659" i="1"/>
  <c r="O2660" i="1"/>
  <c r="P2660" i="1"/>
  <c r="Q2660" i="1"/>
  <c r="R2660" i="1"/>
  <c r="S2660" i="1"/>
  <c r="T2660" i="1"/>
  <c r="U2660" i="1"/>
  <c r="V2660" i="1"/>
  <c r="O2661" i="1"/>
  <c r="P2661" i="1"/>
  <c r="Q2661" i="1"/>
  <c r="R2661" i="1"/>
  <c r="S2661" i="1"/>
  <c r="T2661" i="1"/>
  <c r="U2661" i="1"/>
  <c r="V2661" i="1"/>
  <c r="O2662" i="1"/>
  <c r="P2662" i="1"/>
  <c r="Q2662" i="1"/>
  <c r="R2662" i="1"/>
  <c r="S2662" i="1"/>
  <c r="T2662" i="1"/>
  <c r="U2662" i="1"/>
  <c r="V2662" i="1"/>
  <c r="O2663" i="1"/>
  <c r="P2663" i="1"/>
  <c r="Q2663" i="1"/>
  <c r="R2663" i="1"/>
  <c r="S2663" i="1"/>
  <c r="T2663" i="1"/>
  <c r="U2663" i="1"/>
  <c r="V2663" i="1"/>
  <c r="O2664" i="1"/>
  <c r="P2664" i="1"/>
  <c r="Q2664" i="1"/>
  <c r="R2664" i="1"/>
  <c r="S2664" i="1"/>
  <c r="T2664" i="1"/>
  <c r="U2664" i="1"/>
  <c r="V2664" i="1"/>
  <c r="O2665" i="1"/>
  <c r="P2665" i="1"/>
  <c r="Q2665" i="1"/>
  <c r="R2665" i="1"/>
  <c r="S2665" i="1"/>
  <c r="T2665" i="1"/>
  <c r="U2665" i="1"/>
  <c r="V2665" i="1"/>
  <c r="O2666" i="1"/>
  <c r="P2666" i="1"/>
  <c r="Q2666" i="1"/>
  <c r="R2666" i="1"/>
  <c r="S2666" i="1"/>
  <c r="T2666" i="1"/>
  <c r="U2666" i="1"/>
  <c r="V2666" i="1"/>
  <c r="O2667" i="1"/>
  <c r="P2667" i="1"/>
  <c r="Q2667" i="1"/>
  <c r="R2667" i="1"/>
  <c r="S2667" i="1"/>
  <c r="T2667" i="1"/>
  <c r="U2667" i="1"/>
  <c r="V2667" i="1"/>
  <c r="O2668" i="1"/>
  <c r="P2668" i="1"/>
  <c r="Q2668" i="1"/>
  <c r="R2668" i="1"/>
  <c r="S2668" i="1"/>
  <c r="T2668" i="1"/>
  <c r="U2668" i="1"/>
  <c r="V2668" i="1"/>
  <c r="O2669" i="1"/>
  <c r="P2669" i="1"/>
  <c r="Q2669" i="1"/>
  <c r="R2669" i="1"/>
  <c r="S2669" i="1"/>
  <c r="T2669" i="1"/>
  <c r="U2669" i="1"/>
  <c r="V2669" i="1"/>
  <c r="O2670" i="1"/>
  <c r="P2670" i="1"/>
  <c r="Q2670" i="1"/>
  <c r="R2670" i="1"/>
  <c r="S2670" i="1"/>
  <c r="T2670" i="1"/>
  <c r="U2670" i="1"/>
  <c r="V2670" i="1"/>
  <c r="O2671" i="1"/>
  <c r="P2671" i="1"/>
  <c r="Q2671" i="1"/>
  <c r="R2671" i="1"/>
  <c r="S2671" i="1"/>
  <c r="T2671" i="1"/>
  <c r="U2671" i="1"/>
  <c r="V2671" i="1"/>
  <c r="O2672" i="1"/>
  <c r="P2672" i="1"/>
  <c r="Q2672" i="1"/>
  <c r="R2672" i="1"/>
  <c r="S2672" i="1"/>
  <c r="T2672" i="1"/>
  <c r="U2672" i="1"/>
  <c r="V2672" i="1"/>
  <c r="O2673" i="1"/>
  <c r="P2673" i="1"/>
  <c r="Q2673" i="1"/>
  <c r="R2673" i="1"/>
  <c r="S2673" i="1"/>
  <c r="T2673" i="1"/>
  <c r="U2673" i="1"/>
  <c r="V2673" i="1"/>
  <c r="O2674" i="1"/>
  <c r="P2674" i="1"/>
  <c r="Q2674" i="1"/>
  <c r="R2674" i="1"/>
  <c r="S2674" i="1"/>
  <c r="T2674" i="1"/>
  <c r="U2674" i="1"/>
  <c r="V2674" i="1"/>
  <c r="O2675" i="1"/>
  <c r="P2675" i="1"/>
  <c r="Q2675" i="1"/>
  <c r="R2675" i="1"/>
  <c r="S2675" i="1"/>
  <c r="T2675" i="1"/>
  <c r="U2675" i="1"/>
  <c r="V2675" i="1"/>
  <c r="O2676" i="1"/>
  <c r="P2676" i="1"/>
  <c r="Q2676" i="1"/>
  <c r="R2676" i="1"/>
  <c r="S2676" i="1"/>
  <c r="T2676" i="1"/>
  <c r="U2676" i="1"/>
  <c r="V2676" i="1"/>
  <c r="O2677" i="1"/>
  <c r="P2677" i="1"/>
  <c r="Q2677" i="1"/>
  <c r="R2677" i="1"/>
  <c r="S2677" i="1"/>
  <c r="T2677" i="1"/>
  <c r="U2677" i="1"/>
  <c r="V2677" i="1"/>
  <c r="O2678" i="1"/>
  <c r="P2678" i="1"/>
  <c r="Q2678" i="1"/>
  <c r="R2678" i="1"/>
  <c r="S2678" i="1"/>
  <c r="T2678" i="1"/>
  <c r="U2678" i="1"/>
  <c r="V2678" i="1"/>
  <c r="O2679" i="1"/>
  <c r="P2679" i="1"/>
  <c r="Q2679" i="1"/>
  <c r="R2679" i="1"/>
  <c r="S2679" i="1"/>
  <c r="T2679" i="1"/>
  <c r="U2679" i="1"/>
  <c r="V2679" i="1"/>
  <c r="O2680" i="1"/>
  <c r="P2680" i="1"/>
  <c r="Q2680" i="1"/>
  <c r="R2680" i="1"/>
  <c r="S2680" i="1"/>
  <c r="T2680" i="1"/>
  <c r="U2680" i="1"/>
  <c r="V2680" i="1"/>
  <c r="O2681" i="1"/>
  <c r="P2681" i="1"/>
  <c r="Q2681" i="1"/>
  <c r="R2681" i="1"/>
  <c r="S2681" i="1"/>
  <c r="T2681" i="1"/>
  <c r="U2681" i="1"/>
  <c r="V2681" i="1"/>
  <c r="O2682" i="1"/>
  <c r="P2682" i="1"/>
  <c r="Q2682" i="1"/>
  <c r="R2682" i="1"/>
  <c r="S2682" i="1"/>
  <c r="T2682" i="1"/>
  <c r="U2682" i="1"/>
  <c r="V2682" i="1"/>
  <c r="O2683" i="1"/>
  <c r="P2683" i="1"/>
  <c r="Q2683" i="1"/>
  <c r="R2683" i="1"/>
  <c r="S2683" i="1"/>
  <c r="T2683" i="1"/>
  <c r="U2683" i="1"/>
  <c r="V2683" i="1"/>
  <c r="O2684" i="1"/>
  <c r="P2684" i="1"/>
  <c r="Q2684" i="1"/>
  <c r="R2684" i="1"/>
  <c r="S2684" i="1"/>
  <c r="T2684" i="1"/>
  <c r="U2684" i="1"/>
  <c r="V2684" i="1"/>
  <c r="O2685" i="1"/>
  <c r="P2685" i="1"/>
  <c r="Q2685" i="1"/>
  <c r="R2685" i="1"/>
  <c r="S2685" i="1"/>
  <c r="T2685" i="1"/>
  <c r="U2685" i="1"/>
  <c r="V2685" i="1"/>
  <c r="O2686" i="1"/>
  <c r="P2686" i="1"/>
  <c r="Q2686" i="1"/>
  <c r="R2686" i="1"/>
  <c r="S2686" i="1"/>
  <c r="T2686" i="1"/>
  <c r="U2686" i="1"/>
  <c r="V2686" i="1"/>
  <c r="O2687" i="1"/>
  <c r="P2687" i="1"/>
  <c r="Q2687" i="1"/>
  <c r="R2687" i="1"/>
  <c r="S2687" i="1"/>
  <c r="T2687" i="1"/>
  <c r="U2687" i="1"/>
  <c r="V2687" i="1"/>
  <c r="O2688" i="1"/>
  <c r="P2688" i="1"/>
  <c r="Q2688" i="1"/>
  <c r="R2688" i="1"/>
  <c r="S2688" i="1"/>
  <c r="T2688" i="1"/>
  <c r="U2688" i="1"/>
  <c r="V2688" i="1"/>
  <c r="O2689" i="1"/>
  <c r="P2689" i="1"/>
  <c r="Q2689" i="1"/>
  <c r="R2689" i="1"/>
  <c r="S2689" i="1"/>
  <c r="T2689" i="1"/>
  <c r="U2689" i="1"/>
  <c r="V2689" i="1"/>
  <c r="O2690" i="1"/>
  <c r="P2690" i="1"/>
  <c r="Q2690" i="1"/>
  <c r="R2690" i="1"/>
  <c r="S2690" i="1"/>
  <c r="T2690" i="1"/>
  <c r="U2690" i="1"/>
  <c r="V2690" i="1"/>
  <c r="O2691" i="1"/>
  <c r="P2691" i="1"/>
  <c r="Q2691" i="1"/>
  <c r="R2691" i="1"/>
  <c r="S2691" i="1"/>
  <c r="T2691" i="1"/>
  <c r="U2691" i="1"/>
  <c r="V2691" i="1"/>
  <c r="O2692" i="1"/>
  <c r="P2692" i="1"/>
  <c r="Q2692" i="1"/>
  <c r="R2692" i="1"/>
  <c r="S2692" i="1"/>
  <c r="T2692" i="1"/>
  <c r="U2692" i="1"/>
  <c r="V2692" i="1"/>
  <c r="O2693" i="1"/>
  <c r="P2693" i="1"/>
  <c r="Q2693" i="1"/>
  <c r="R2693" i="1"/>
  <c r="S2693" i="1"/>
  <c r="T2693" i="1"/>
  <c r="U2693" i="1"/>
  <c r="V2693" i="1"/>
  <c r="O2694" i="1"/>
  <c r="P2694" i="1"/>
  <c r="Q2694" i="1"/>
  <c r="R2694" i="1"/>
  <c r="S2694" i="1"/>
  <c r="T2694" i="1"/>
  <c r="U2694" i="1"/>
  <c r="V2694" i="1"/>
  <c r="O2695" i="1"/>
  <c r="P2695" i="1"/>
  <c r="Q2695" i="1"/>
  <c r="R2695" i="1"/>
  <c r="S2695" i="1"/>
  <c r="T2695" i="1"/>
  <c r="U2695" i="1"/>
  <c r="V2695" i="1"/>
  <c r="O2696" i="1"/>
  <c r="P2696" i="1"/>
  <c r="Q2696" i="1"/>
  <c r="R2696" i="1"/>
  <c r="S2696" i="1"/>
  <c r="T2696" i="1"/>
  <c r="U2696" i="1"/>
  <c r="V2696" i="1"/>
  <c r="O2697" i="1"/>
  <c r="P2697" i="1"/>
  <c r="Q2697" i="1"/>
  <c r="R2697" i="1"/>
  <c r="S2697" i="1"/>
  <c r="T2697" i="1"/>
  <c r="U2697" i="1"/>
  <c r="V2697" i="1"/>
  <c r="O2698" i="1"/>
  <c r="P2698" i="1"/>
  <c r="Q2698" i="1"/>
  <c r="R2698" i="1"/>
  <c r="S2698" i="1"/>
  <c r="T2698" i="1"/>
  <c r="U2698" i="1"/>
  <c r="V2698" i="1"/>
  <c r="O2699" i="1"/>
  <c r="P2699" i="1"/>
  <c r="Q2699" i="1"/>
  <c r="R2699" i="1"/>
  <c r="S2699" i="1"/>
  <c r="T2699" i="1"/>
  <c r="U2699" i="1"/>
  <c r="V2699" i="1"/>
  <c r="O2700" i="1"/>
  <c r="P2700" i="1"/>
  <c r="Q2700" i="1"/>
  <c r="R2700" i="1"/>
  <c r="S2700" i="1"/>
  <c r="T2700" i="1"/>
  <c r="U2700" i="1"/>
  <c r="V2700" i="1"/>
  <c r="O2701" i="1"/>
  <c r="P2701" i="1"/>
  <c r="Q2701" i="1"/>
  <c r="R2701" i="1"/>
  <c r="S2701" i="1"/>
  <c r="T2701" i="1"/>
  <c r="U2701" i="1"/>
  <c r="V2701" i="1"/>
  <c r="O2702" i="1"/>
  <c r="P2702" i="1"/>
  <c r="Q2702" i="1"/>
  <c r="R2702" i="1"/>
  <c r="S2702" i="1"/>
  <c r="T2702" i="1"/>
  <c r="U2702" i="1"/>
  <c r="V2702" i="1"/>
  <c r="O2703" i="1"/>
  <c r="P2703" i="1"/>
  <c r="Q2703" i="1"/>
  <c r="R2703" i="1"/>
  <c r="S2703" i="1"/>
  <c r="T2703" i="1"/>
  <c r="U2703" i="1"/>
  <c r="V2703" i="1"/>
  <c r="O2704" i="1"/>
  <c r="P2704" i="1"/>
  <c r="Q2704" i="1"/>
  <c r="R2704" i="1"/>
  <c r="S2704" i="1"/>
  <c r="T2704" i="1"/>
  <c r="U2704" i="1"/>
  <c r="V2704" i="1"/>
  <c r="O2705" i="1"/>
  <c r="P2705" i="1"/>
  <c r="Q2705" i="1"/>
  <c r="R2705" i="1"/>
  <c r="S2705" i="1"/>
  <c r="T2705" i="1"/>
  <c r="U2705" i="1"/>
  <c r="V2705" i="1"/>
  <c r="O2706" i="1"/>
  <c r="P2706" i="1"/>
  <c r="Q2706" i="1"/>
  <c r="R2706" i="1"/>
  <c r="S2706" i="1"/>
  <c r="T2706" i="1"/>
  <c r="U2706" i="1"/>
  <c r="V2706" i="1"/>
  <c r="O2707" i="1"/>
  <c r="P2707" i="1"/>
  <c r="Q2707" i="1"/>
  <c r="R2707" i="1"/>
  <c r="S2707" i="1"/>
  <c r="T2707" i="1"/>
  <c r="U2707" i="1"/>
  <c r="V2707" i="1"/>
  <c r="O2708" i="1"/>
  <c r="P2708" i="1"/>
  <c r="Q2708" i="1"/>
  <c r="R2708" i="1"/>
  <c r="S2708" i="1"/>
  <c r="T2708" i="1"/>
  <c r="U2708" i="1"/>
  <c r="V2708" i="1"/>
  <c r="O2709" i="1"/>
  <c r="P2709" i="1"/>
  <c r="Q2709" i="1"/>
  <c r="R2709" i="1"/>
  <c r="S2709" i="1"/>
  <c r="T2709" i="1"/>
  <c r="U2709" i="1"/>
  <c r="V2709" i="1"/>
  <c r="O2710" i="1"/>
  <c r="P2710" i="1"/>
  <c r="Q2710" i="1"/>
  <c r="R2710" i="1"/>
  <c r="S2710" i="1"/>
  <c r="T2710" i="1"/>
  <c r="U2710" i="1"/>
  <c r="V2710" i="1"/>
  <c r="O2711" i="1"/>
  <c r="P2711" i="1"/>
  <c r="Q2711" i="1"/>
  <c r="R2711" i="1"/>
  <c r="S2711" i="1"/>
  <c r="T2711" i="1"/>
  <c r="U2711" i="1"/>
  <c r="V2711" i="1"/>
  <c r="O2712" i="1"/>
  <c r="P2712" i="1"/>
  <c r="Q2712" i="1"/>
  <c r="R2712" i="1"/>
  <c r="S2712" i="1"/>
  <c r="T2712" i="1"/>
  <c r="U2712" i="1"/>
  <c r="V2712" i="1"/>
  <c r="O2713" i="1"/>
  <c r="P2713" i="1"/>
  <c r="Q2713" i="1"/>
  <c r="R2713" i="1"/>
  <c r="S2713" i="1"/>
  <c r="T2713" i="1"/>
  <c r="U2713" i="1"/>
  <c r="V2713" i="1"/>
  <c r="O2714" i="1"/>
  <c r="P2714" i="1"/>
  <c r="Q2714" i="1"/>
  <c r="R2714" i="1"/>
  <c r="S2714" i="1"/>
  <c r="T2714" i="1"/>
  <c r="U2714" i="1"/>
  <c r="V2714" i="1"/>
  <c r="O2715" i="1"/>
  <c r="P2715" i="1"/>
  <c r="Q2715" i="1"/>
  <c r="R2715" i="1"/>
  <c r="S2715" i="1"/>
  <c r="T2715" i="1"/>
  <c r="U2715" i="1"/>
  <c r="V2715" i="1"/>
  <c r="O2716" i="1"/>
  <c r="P2716" i="1"/>
  <c r="Q2716" i="1"/>
  <c r="R2716" i="1"/>
  <c r="S2716" i="1"/>
  <c r="T2716" i="1"/>
  <c r="U2716" i="1"/>
  <c r="V2716" i="1"/>
  <c r="O2717" i="1"/>
  <c r="P2717" i="1"/>
  <c r="Q2717" i="1"/>
  <c r="R2717" i="1"/>
  <c r="S2717" i="1"/>
  <c r="T2717" i="1"/>
  <c r="U2717" i="1"/>
  <c r="V2717" i="1"/>
  <c r="O2718" i="1"/>
  <c r="P2718" i="1"/>
  <c r="Q2718" i="1"/>
  <c r="R2718" i="1"/>
  <c r="S2718" i="1"/>
  <c r="T2718" i="1"/>
  <c r="U2718" i="1"/>
  <c r="V2718" i="1"/>
  <c r="O2719" i="1"/>
  <c r="P2719" i="1"/>
  <c r="Q2719" i="1"/>
  <c r="R2719" i="1"/>
  <c r="S2719" i="1"/>
  <c r="T2719" i="1"/>
  <c r="U2719" i="1"/>
  <c r="V2719" i="1"/>
  <c r="O2720" i="1"/>
  <c r="P2720" i="1"/>
  <c r="Q2720" i="1"/>
  <c r="R2720" i="1"/>
  <c r="S2720" i="1"/>
  <c r="T2720" i="1"/>
  <c r="U2720" i="1"/>
  <c r="V2720" i="1"/>
  <c r="O2721" i="1"/>
  <c r="P2721" i="1"/>
  <c r="Q2721" i="1"/>
  <c r="R2721" i="1"/>
  <c r="S2721" i="1"/>
  <c r="T2721" i="1"/>
  <c r="U2721" i="1"/>
  <c r="V2721" i="1"/>
  <c r="O2722" i="1"/>
  <c r="P2722" i="1"/>
  <c r="Q2722" i="1"/>
  <c r="R2722" i="1"/>
  <c r="S2722" i="1"/>
  <c r="T2722" i="1"/>
  <c r="U2722" i="1"/>
  <c r="V2722" i="1"/>
  <c r="O2723" i="1"/>
  <c r="P2723" i="1"/>
  <c r="Q2723" i="1"/>
  <c r="R2723" i="1"/>
  <c r="S2723" i="1"/>
  <c r="T2723" i="1"/>
  <c r="U2723" i="1"/>
  <c r="V2723" i="1"/>
  <c r="O2724" i="1"/>
  <c r="P2724" i="1"/>
  <c r="Q2724" i="1"/>
  <c r="R2724" i="1"/>
  <c r="S2724" i="1"/>
  <c r="T2724" i="1"/>
  <c r="U2724" i="1"/>
  <c r="V2724" i="1"/>
  <c r="O2725" i="1"/>
  <c r="P2725" i="1"/>
  <c r="Q2725" i="1"/>
  <c r="R2725" i="1"/>
  <c r="S2725" i="1"/>
  <c r="T2725" i="1"/>
  <c r="U2725" i="1"/>
  <c r="V2725" i="1"/>
  <c r="O2726" i="1"/>
  <c r="P2726" i="1"/>
  <c r="Q2726" i="1"/>
  <c r="R2726" i="1"/>
  <c r="S2726" i="1"/>
  <c r="T2726" i="1"/>
  <c r="U2726" i="1"/>
  <c r="V2726" i="1"/>
  <c r="O2727" i="1"/>
  <c r="P2727" i="1"/>
  <c r="Q2727" i="1"/>
  <c r="R2727" i="1"/>
  <c r="S2727" i="1"/>
  <c r="T2727" i="1"/>
  <c r="U2727" i="1"/>
  <c r="V2727" i="1"/>
  <c r="O2728" i="1"/>
  <c r="P2728" i="1"/>
  <c r="Q2728" i="1"/>
  <c r="R2728" i="1"/>
  <c r="S2728" i="1"/>
  <c r="T2728" i="1"/>
  <c r="U2728" i="1"/>
  <c r="V2728" i="1"/>
  <c r="O2729" i="1"/>
  <c r="P2729" i="1"/>
  <c r="Q2729" i="1"/>
  <c r="R2729" i="1"/>
  <c r="S2729" i="1"/>
  <c r="T2729" i="1"/>
  <c r="U2729" i="1"/>
  <c r="V2729" i="1"/>
  <c r="O2730" i="1"/>
  <c r="P2730" i="1"/>
  <c r="Q2730" i="1"/>
  <c r="R2730" i="1"/>
  <c r="S2730" i="1"/>
  <c r="T2730" i="1"/>
  <c r="U2730" i="1"/>
  <c r="V2730" i="1"/>
  <c r="O2731" i="1"/>
  <c r="P2731" i="1"/>
  <c r="Q2731" i="1"/>
  <c r="R2731" i="1"/>
  <c r="S2731" i="1"/>
  <c r="T2731" i="1"/>
  <c r="U2731" i="1"/>
  <c r="V2731" i="1"/>
  <c r="O2732" i="1"/>
  <c r="P2732" i="1"/>
  <c r="Q2732" i="1"/>
  <c r="R2732" i="1"/>
  <c r="S2732" i="1"/>
  <c r="T2732" i="1"/>
  <c r="U2732" i="1"/>
  <c r="V2732" i="1"/>
  <c r="O2733" i="1"/>
  <c r="P2733" i="1"/>
  <c r="Q2733" i="1"/>
  <c r="R2733" i="1"/>
  <c r="S2733" i="1"/>
  <c r="T2733" i="1"/>
  <c r="U2733" i="1"/>
  <c r="V2733" i="1"/>
  <c r="O2734" i="1"/>
  <c r="P2734" i="1"/>
  <c r="Q2734" i="1"/>
  <c r="R2734" i="1"/>
  <c r="S2734" i="1"/>
  <c r="T2734" i="1"/>
  <c r="U2734" i="1"/>
  <c r="V2734" i="1"/>
  <c r="O2735" i="1"/>
  <c r="P2735" i="1"/>
  <c r="Q2735" i="1"/>
  <c r="R2735" i="1"/>
  <c r="S2735" i="1"/>
  <c r="T2735" i="1"/>
  <c r="U2735" i="1"/>
  <c r="V2735" i="1"/>
  <c r="O2736" i="1"/>
  <c r="P2736" i="1"/>
  <c r="Q2736" i="1"/>
  <c r="R2736" i="1"/>
  <c r="S2736" i="1"/>
  <c r="T2736" i="1"/>
  <c r="U2736" i="1"/>
  <c r="V2736" i="1"/>
  <c r="O2737" i="1"/>
  <c r="P2737" i="1"/>
  <c r="Q2737" i="1"/>
  <c r="R2737" i="1"/>
  <c r="S2737" i="1"/>
  <c r="T2737" i="1"/>
  <c r="U2737" i="1"/>
  <c r="V2737" i="1"/>
  <c r="O2738" i="1"/>
  <c r="P2738" i="1"/>
  <c r="Q2738" i="1"/>
  <c r="R2738" i="1"/>
  <c r="S2738" i="1"/>
  <c r="T2738" i="1"/>
  <c r="U2738" i="1"/>
  <c r="V2738" i="1"/>
  <c r="O2739" i="1"/>
  <c r="P2739" i="1"/>
  <c r="Q2739" i="1"/>
  <c r="R2739" i="1"/>
  <c r="S2739" i="1"/>
  <c r="T2739" i="1"/>
  <c r="U2739" i="1"/>
  <c r="V2739" i="1"/>
  <c r="O2740" i="1"/>
  <c r="P2740" i="1"/>
  <c r="Q2740" i="1"/>
  <c r="R2740" i="1"/>
  <c r="S2740" i="1"/>
  <c r="T2740" i="1"/>
  <c r="U2740" i="1"/>
  <c r="V2740" i="1"/>
  <c r="O2741" i="1"/>
  <c r="P2741" i="1"/>
  <c r="Q2741" i="1"/>
  <c r="R2741" i="1"/>
  <c r="S2741" i="1"/>
  <c r="T2741" i="1"/>
  <c r="U2741" i="1"/>
  <c r="V2741" i="1"/>
  <c r="O2742" i="1"/>
  <c r="P2742" i="1"/>
  <c r="Q2742" i="1"/>
  <c r="R2742" i="1"/>
  <c r="S2742" i="1"/>
  <c r="T2742" i="1"/>
  <c r="U2742" i="1"/>
  <c r="V2742" i="1"/>
  <c r="O2743" i="1"/>
  <c r="P2743" i="1"/>
  <c r="Q2743" i="1"/>
  <c r="R2743" i="1"/>
  <c r="S2743" i="1"/>
  <c r="T2743" i="1"/>
  <c r="U2743" i="1"/>
  <c r="V2743" i="1"/>
  <c r="O2744" i="1"/>
  <c r="P2744" i="1"/>
  <c r="Q2744" i="1"/>
  <c r="R2744" i="1"/>
  <c r="S2744" i="1"/>
  <c r="T2744" i="1"/>
  <c r="U2744" i="1"/>
  <c r="V2744" i="1"/>
  <c r="O2745" i="1"/>
  <c r="P2745" i="1"/>
  <c r="Q2745" i="1"/>
  <c r="R2745" i="1"/>
  <c r="S2745" i="1"/>
  <c r="T2745" i="1"/>
  <c r="U2745" i="1"/>
  <c r="V2745" i="1"/>
  <c r="O2746" i="1"/>
  <c r="P2746" i="1"/>
  <c r="Q2746" i="1"/>
  <c r="R2746" i="1"/>
  <c r="S2746" i="1"/>
  <c r="T2746" i="1"/>
  <c r="U2746" i="1"/>
  <c r="V2746" i="1"/>
  <c r="O2747" i="1"/>
  <c r="P2747" i="1"/>
  <c r="Q2747" i="1"/>
  <c r="R2747" i="1"/>
  <c r="S2747" i="1"/>
  <c r="T2747" i="1"/>
  <c r="U2747" i="1"/>
  <c r="V2747" i="1"/>
  <c r="O2748" i="1"/>
  <c r="P2748" i="1"/>
  <c r="Q2748" i="1"/>
  <c r="R2748" i="1"/>
  <c r="S2748" i="1"/>
  <c r="T2748" i="1"/>
  <c r="U2748" i="1"/>
  <c r="V2748" i="1"/>
  <c r="O2749" i="1"/>
  <c r="P2749" i="1"/>
  <c r="Q2749" i="1"/>
  <c r="R2749" i="1"/>
  <c r="S2749" i="1"/>
  <c r="T2749" i="1"/>
  <c r="U2749" i="1"/>
  <c r="V2749" i="1"/>
  <c r="O2750" i="1"/>
  <c r="P2750" i="1"/>
  <c r="Q2750" i="1"/>
  <c r="R2750" i="1"/>
  <c r="S2750" i="1"/>
  <c r="T2750" i="1"/>
  <c r="U2750" i="1"/>
  <c r="V2750" i="1"/>
  <c r="O2751" i="1"/>
  <c r="P2751" i="1"/>
  <c r="Q2751" i="1"/>
  <c r="R2751" i="1"/>
  <c r="S2751" i="1"/>
  <c r="T2751" i="1"/>
  <c r="U2751" i="1"/>
  <c r="V2751" i="1"/>
  <c r="O2752" i="1"/>
  <c r="P2752" i="1"/>
  <c r="Q2752" i="1"/>
  <c r="R2752" i="1"/>
  <c r="S2752" i="1"/>
  <c r="T2752" i="1"/>
  <c r="U2752" i="1"/>
  <c r="V2752" i="1"/>
  <c r="O2753" i="1"/>
  <c r="P2753" i="1"/>
  <c r="Q2753" i="1"/>
  <c r="R2753" i="1"/>
  <c r="S2753" i="1"/>
  <c r="T2753" i="1"/>
  <c r="U2753" i="1"/>
  <c r="V2753" i="1"/>
  <c r="O2754" i="1"/>
  <c r="P2754" i="1"/>
  <c r="Q2754" i="1"/>
  <c r="R2754" i="1"/>
  <c r="S2754" i="1"/>
  <c r="T2754" i="1"/>
  <c r="U2754" i="1"/>
  <c r="V2754" i="1"/>
  <c r="O2755" i="1"/>
  <c r="P2755" i="1"/>
  <c r="Q2755" i="1"/>
  <c r="R2755" i="1"/>
  <c r="S2755" i="1"/>
  <c r="T2755" i="1"/>
  <c r="U2755" i="1"/>
  <c r="V2755" i="1"/>
  <c r="O2756" i="1"/>
  <c r="P2756" i="1"/>
  <c r="Q2756" i="1"/>
  <c r="R2756" i="1"/>
  <c r="S2756" i="1"/>
  <c r="T2756" i="1"/>
  <c r="U2756" i="1"/>
  <c r="V2756" i="1"/>
  <c r="O2757" i="1"/>
  <c r="P2757" i="1"/>
  <c r="Q2757" i="1"/>
  <c r="R2757" i="1"/>
  <c r="S2757" i="1"/>
  <c r="T2757" i="1"/>
  <c r="U2757" i="1"/>
  <c r="V2757" i="1"/>
  <c r="O2758" i="1"/>
  <c r="P2758" i="1"/>
  <c r="Q2758" i="1"/>
  <c r="R2758" i="1"/>
  <c r="S2758" i="1"/>
  <c r="T2758" i="1"/>
  <c r="U2758" i="1"/>
  <c r="V2758" i="1"/>
  <c r="O2759" i="1"/>
  <c r="P2759" i="1"/>
  <c r="Q2759" i="1"/>
  <c r="R2759" i="1"/>
  <c r="S2759" i="1"/>
  <c r="T2759" i="1"/>
  <c r="U2759" i="1"/>
  <c r="V2759" i="1"/>
  <c r="O2760" i="1"/>
  <c r="P2760" i="1"/>
  <c r="Q2760" i="1"/>
  <c r="R2760" i="1"/>
  <c r="S2760" i="1"/>
  <c r="T2760" i="1"/>
  <c r="U2760" i="1"/>
  <c r="V2760" i="1"/>
  <c r="O2761" i="1"/>
  <c r="P2761" i="1"/>
  <c r="Q2761" i="1"/>
  <c r="R2761" i="1"/>
  <c r="S2761" i="1"/>
  <c r="T2761" i="1"/>
  <c r="U2761" i="1"/>
  <c r="V2761" i="1"/>
  <c r="O2762" i="1"/>
  <c r="P2762" i="1"/>
  <c r="Q2762" i="1"/>
  <c r="R2762" i="1"/>
  <c r="S2762" i="1"/>
  <c r="T2762" i="1"/>
  <c r="U2762" i="1"/>
  <c r="V2762" i="1"/>
  <c r="O2763" i="1"/>
  <c r="P2763" i="1"/>
  <c r="Q2763" i="1"/>
  <c r="R2763" i="1"/>
  <c r="S2763" i="1"/>
  <c r="T2763" i="1"/>
  <c r="U2763" i="1"/>
  <c r="V2763" i="1"/>
  <c r="O2764" i="1"/>
  <c r="P2764" i="1"/>
  <c r="Q2764" i="1"/>
  <c r="R2764" i="1"/>
  <c r="S2764" i="1"/>
  <c r="T2764" i="1"/>
  <c r="U2764" i="1"/>
  <c r="V2764" i="1"/>
  <c r="O2765" i="1"/>
  <c r="P2765" i="1"/>
  <c r="Q2765" i="1"/>
  <c r="R2765" i="1"/>
  <c r="S2765" i="1"/>
  <c r="T2765" i="1"/>
  <c r="U2765" i="1"/>
  <c r="V2765" i="1"/>
  <c r="O2766" i="1"/>
  <c r="P2766" i="1"/>
  <c r="Q2766" i="1"/>
  <c r="R2766" i="1"/>
  <c r="S2766" i="1"/>
  <c r="T2766" i="1"/>
  <c r="U2766" i="1"/>
  <c r="V2766" i="1"/>
  <c r="O2767" i="1"/>
  <c r="P2767" i="1"/>
  <c r="Q2767" i="1"/>
  <c r="R2767" i="1"/>
  <c r="S2767" i="1"/>
  <c r="T2767" i="1"/>
  <c r="U2767" i="1"/>
  <c r="V2767" i="1"/>
  <c r="O2768" i="1"/>
  <c r="P2768" i="1"/>
  <c r="Q2768" i="1"/>
  <c r="R2768" i="1"/>
  <c r="S2768" i="1"/>
  <c r="T2768" i="1"/>
  <c r="U2768" i="1"/>
  <c r="V2768" i="1"/>
  <c r="O2769" i="1"/>
  <c r="P2769" i="1"/>
  <c r="Q2769" i="1"/>
  <c r="R2769" i="1"/>
  <c r="S2769" i="1"/>
  <c r="T2769" i="1"/>
  <c r="U2769" i="1"/>
  <c r="V2769" i="1"/>
  <c r="O2770" i="1"/>
  <c r="P2770" i="1"/>
  <c r="Q2770" i="1"/>
  <c r="R2770" i="1"/>
  <c r="S2770" i="1"/>
  <c r="T2770" i="1"/>
  <c r="U2770" i="1"/>
  <c r="V2770" i="1"/>
  <c r="O2771" i="1"/>
  <c r="P2771" i="1"/>
  <c r="Q2771" i="1"/>
  <c r="R2771" i="1"/>
  <c r="S2771" i="1"/>
  <c r="T2771" i="1"/>
  <c r="U2771" i="1"/>
  <c r="V2771" i="1"/>
  <c r="O2772" i="1"/>
  <c r="P2772" i="1"/>
  <c r="Q2772" i="1"/>
  <c r="R2772" i="1"/>
  <c r="S2772" i="1"/>
  <c r="T2772" i="1"/>
  <c r="U2772" i="1"/>
  <c r="V2772" i="1"/>
  <c r="O2773" i="1"/>
  <c r="P2773" i="1"/>
  <c r="Q2773" i="1"/>
  <c r="R2773" i="1"/>
  <c r="S2773" i="1"/>
  <c r="T2773" i="1"/>
  <c r="U2773" i="1"/>
  <c r="V2773" i="1"/>
  <c r="O2774" i="1"/>
  <c r="P2774" i="1"/>
  <c r="Q2774" i="1"/>
  <c r="R2774" i="1"/>
  <c r="S2774" i="1"/>
  <c r="T2774" i="1"/>
  <c r="U2774" i="1"/>
  <c r="V2774" i="1"/>
  <c r="O2775" i="1"/>
  <c r="P2775" i="1"/>
  <c r="Q2775" i="1"/>
  <c r="R2775" i="1"/>
  <c r="S2775" i="1"/>
  <c r="T2775" i="1"/>
  <c r="U2775" i="1"/>
  <c r="V2775" i="1"/>
  <c r="O2776" i="1"/>
  <c r="P2776" i="1"/>
  <c r="Q2776" i="1"/>
  <c r="R2776" i="1"/>
  <c r="S2776" i="1"/>
  <c r="T2776" i="1"/>
  <c r="U2776" i="1"/>
  <c r="V2776" i="1"/>
  <c r="O2777" i="1"/>
  <c r="P2777" i="1"/>
  <c r="Q2777" i="1"/>
  <c r="R2777" i="1"/>
  <c r="S2777" i="1"/>
  <c r="T2777" i="1"/>
  <c r="U2777" i="1"/>
  <c r="V2777" i="1"/>
  <c r="O2778" i="1"/>
  <c r="P2778" i="1"/>
  <c r="Q2778" i="1"/>
  <c r="R2778" i="1"/>
  <c r="S2778" i="1"/>
  <c r="T2778" i="1"/>
  <c r="U2778" i="1"/>
  <c r="V2778" i="1"/>
  <c r="O2779" i="1"/>
  <c r="P2779" i="1"/>
  <c r="Q2779" i="1"/>
  <c r="R2779" i="1"/>
  <c r="S2779" i="1"/>
  <c r="T2779" i="1"/>
  <c r="U2779" i="1"/>
  <c r="V2779" i="1"/>
  <c r="O2780" i="1"/>
  <c r="P2780" i="1"/>
  <c r="Q2780" i="1"/>
  <c r="R2780" i="1"/>
  <c r="S2780" i="1"/>
  <c r="T2780" i="1"/>
  <c r="U2780" i="1"/>
  <c r="V2780" i="1"/>
  <c r="O2781" i="1"/>
  <c r="P2781" i="1"/>
  <c r="Q2781" i="1"/>
  <c r="R2781" i="1"/>
  <c r="S2781" i="1"/>
  <c r="T2781" i="1"/>
  <c r="U2781" i="1"/>
  <c r="V2781" i="1"/>
  <c r="O2782" i="1"/>
  <c r="P2782" i="1"/>
  <c r="Q2782" i="1"/>
  <c r="R2782" i="1"/>
  <c r="S2782" i="1"/>
  <c r="T2782" i="1"/>
  <c r="U2782" i="1"/>
  <c r="V2782" i="1"/>
  <c r="O2783" i="1"/>
  <c r="P2783" i="1"/>
  <c r="Q2783" i="1"/>
  <c r="R2783" i="1"/>
  <c r="S2783" i="1"/>
  <c r="T2783" i="1"/>
  <c r="U2783" i="1"/>
  <c r="V2783" i="1"/>
  <c r="O2784" i="1"/>
  <c r="P2784" i="1"/>
  <c r="Q2784" i="1"/>
  <c r="R2784" i="1"/>
  <c r="S2784" i="1"/>
  <c r="T2784" i="1"/>
  <c r="U2784" i="1"/>
  <c r="V2784" i="1"/>
  <c r="O2785" i="1"/>
  <c r="P2785" i="1"/>
  <c r="Q2785" i="1"/>
  <c r="R2785" i="1"/>
  <c r="S2785" i="1"/>
  <c r="T2785" i="1"/>
  <c r="U2785" i="1"/>
  <c r="V2785" i="1"/>
  <c r="O2786" i="1"/>
  <c r="P2786" i="1"/>
  <c r="Q2786" i="1"/>
  <c r="R2786" i="1"/>
  <c r="S2786" i="1"/>
  <c r="T2786" i="1"/>
  <c r="U2786" i="1"/>
  <c r="V2786" i="1"/>
  <c r="O2787" i="1"/>
  <c r="P2787" i="1"/>
  <c r="Q2787" i="1"/>
  <c r="R2787" i="1"/>
  <c r="S2787" i="1"/>
  <c r="T2787" i="1"/>
  <c r="U2787" i="1"/>
  <c r="V2787" i="1"/>
  <c r="O2788" i="1"/>
  <c r="P2788" i="1"/>
  <c r="Q2788" i="1"/>
  <c r="R2788" i="1"/>
  <c r="S2788" i="1"/>
  <c r="T2788" i="1"/>
  <c r="U2788" i="1"/>
  <c r="V2788" i="1"/>
  <c r="O2789" i="1"/>
  <c r="P2789" i="1"/>
  <c r="Q2789" i="1"/>
  <c r="R2789" i="1"/>
  <c r="S2789" i="1"/>
  <c r="T2789" i="1"/>
  <c r="U2789" i="1"/>
  <c r="V2789" i="1"/>
  <c r="O2790" i="1"/>
  <c r="P2790" i="1"/>
  <c r="Q2790" i="1"/>
  <c r="R2790" i="1"/>
  <c r="S2790" i="1"/>
  <c r="T2790" i="1"/>
  <c r="U2790" i="1"/>
  <c r="V2790" i="1"/>
  <c r="O2791" i="1"/>
  <c r="P2791" i="1"/>
  <c r="Q2791" i="1"/>
  <c r="R2791" i="1"/>
  <c r="S2791" i="1"/>
  <c r="T2791" i="1"/>
  <c r="U2791" i="1"/>
  <c r="V2791" i="1"/>
  <c r="O2792" i="1"/>
  <c r="P2792" i="1"/>
  <c r="Q2792" i="1"/>
  <c r="R2792" i="1"/>
  <c r="S2792" i="1"/>
  <c r="T2792" i="1"/>
  <c r="U2792" i="1"/>
  <c r="V2792" i="1"/>
  <c r="O2793" i="1"/>
  <c r="P2793" i="1"/>
  <c r="Q2793" i="1"/>
  <c r="R2793" i="1"/>
  <c r="S2793" i="1"/>
  <c r="T2793" i="1"/>
  <c r="U2793" i="1"/>
  <c r="V2793" i="1"/>
  <c r="O2794" i="1"/>
  <c r="P2794" i="1"/>
  <c r="Q2794" i="1"/>
  <c r="R2794" i="1"/>
  <c r="S2794" i="1"/>
  <c r="T2794" i="1"/>
  <c r="U2794" i="1"/>
  <c r="V2794" i="1"/>
  <c r="O2795" i="1"/>
  <c r="P2795" i="1"/>
  <c r="Q2795" i="1"/>
  <c r="R2795" i="1"/>
  <c r="S2795" i="1"/>
  <c r="T2795" i="1"/>
  <c r="U2795" i="1"/>
  <c r="V2795" i="1"/>
  <c r="O2796" i="1"/>
  <c r="P2796" i="1"/>
  <c r="Q2796" i="1"/>
  <c r="R2796" i="1"/>
  <c r="S2796" i="1"/>
  <c r="T2796" i="1"/>
  <c r="U2796" i="1"/>
  <c r="V2796" i="1"/>
  <c r="O2797" i="1"/>
  <c r="P2797" i="1"/>
  <c r="Q2797" i="1"/>
  <c r="R2797" i="1"/>
  <c r="S2797" i="1"/>
  <c r="T2797" i="1"/>
  <c r="U2797" i="1"/>
  <c r="V2797" i="1"/>
  <c r="O2798" i="1"/>
  <c r="P2798" i="1"/>
  <c r="Q2798" i="1"/>
  <c r="R2798" i="1"/>
  <c r="S2798" i="1"/>
  <c r="T2798" i="1"/>
  <c r="U2798" i="1"/>
  <c r="V2798" i="1"/>
  <c r="O2799" i="1"/>
  <c r="P2799" i="1"/>
  <c r="Q2799" i="1"/>
  <c r="R2799" i="1"/>
  <c r="S2799" i="1"/>
  <c r="T2799" i="1"/>
  <c r="U2799" i="1"/>
  <c r="V2799" i="1"/>
  <c r="O2800" i="1"/>
  <c r="P2800" i="1"/>
  <c r="Q2800" i="1"/>
  <c r="R2800" i="1"/>
  <c r="S2800" i="1"/>
  <c r="T2800" i="1"/>
  <c r="U2800" i="1"/>
  <c r="V2800" i="1"/>
  <c r="O2801" i="1"/>
  <c r="P2801" i="1"/>
  <c r="Q2801" i="1"/>
  <c r="R2801" i="1"/>
  <c r="S2801" i="1"/>
  <c r="T2801" i="1"/>
  <c r="U2801" i="1"/>
  <c r="V2801" i="1"/>
  <c r="O2802" i="1"/>
  <c r="P2802" i="1"/>
  <c r="Q2802" i="1"/>
  <c r="R2802" i="1"/>
  <c r="S2802" i="1"/>
  <c r="T2802" i="1"/>
  <c r="U2802" i="1"/>
  <c r="V2802" i="1"/>
  <c r="O2803" i="1"/>
  <c r="P2803" i="1"/>
  <c r="Q2803" i="1"/>
  <c r="R2803" i="1"/>
  <c r="S2803" i="1"/>
  <c r="T2803" i="1"/>
  <c r="U2803" i="1"/>
  <c r="V2803" i="1"/>
  <c r="O2804" i="1"/>
  <c r="P2804" i="1"/>
  <c r="Q2804" i="1"/>
  <c r="R2804" i="1"/>
  <c r="S2804" i="1"/>
  <c r="T2804" i="1"/>
  <c r="U2804" i="1"/>
  <c r="V2804" i="1"/>
  <c r="O2805" i="1"/>
  <c r="P2805" i="1"/>
  <c r="Q2805" i="1"/>
  <c r="R2805" i="1"/>
  <c r="S2805" i="1"/>
  <c r="T2805" i="1"/>
  <c r="U2805" i="1"/>
  <c r="V2805" i="1"/>
  <c r="O2806" i="1"/>
  <c r="P2806" i="1"/>
  <c r="Q2806" i="1"/>
  <c r="R2806" i="1"/>
  <c r="S2806" i="1"/>
  <c r="T2806" i="1"/>
  <c r="U2806" i="1"/>
  <c r="V2806" i="1"/>
  <c r="O2807" i="1"/>
  <c r="P2807" i="1"/>
  <c r="Q2807" i="1"/>
  <c r="R2807" i="1"/>
  <c r="S2807" i="1"/>
  <c r="T2807" i="1"/>
  <c r="U2807" i="1"/>
  <c r="V2807" i="1"/>
  <c r="O2808" i="1"/>
  <c r="P2808" i="1"/>
  <c r="Q2808" i="1"/>
  <c r="R2808" i="1"/>
  <c r="S2808" i="1"/>
  <c r="T2808" i="1"/>
  <c r="U2808" i="1"/>
  <c r="V2808" i="1"/>
  <c r="O2809" i="1"/>
  <c r="P2809" i="1"/>
  <c r="Q2809" i="1"/>
  <c r="R2809" i="1"/>
  <c r="S2809" i="1"/>
  <c r="T2809" i="1"/>
  <c r="U2809" i="1"/>
  <c r="V2809" i="1"/>
  <c r="O2810" i="1"/>
  <c r="P2810" i="1"/>
  <c r="Q2810" i="1"/>
  <c r="R2810" i="1"/>
  <c r="S2810" i="1"/>
  <c r="T2810" i="1"/>
  <c r="U2810" i="1"/>
  <c r="V2810" i="1"/>
  <c r="O2811" i="1"/>
  <c r="P2811" i="1"/>
  <c r="Q2811" i="1"/>
  <c r="R2811" i="1"/>
  <c r="S2811" i="1"/>
  <c r="T2811" i="1"/>
  <c r="U2811" i="1"/>
  <c r="V2811" i="1"/>
  <c r="O2812" i="1"/>
  <c r="P2812" i="1"/>
  <c r="Q2812" i="1"/>
  <c r="R2812" i="1"/>
  <c r="S2812" i="1"/>
  <c r="T2812" i="1"/>
  <c r="U2812" i="1"/>
  <c r="V2812" i="1"/>
  <c r="O2813" i="1"/>
  <c r="P2813" i="1"/>
  <c r="Q2813" i="1"/>
  <c r="R2813" i="1"/>
  <c r="S2813" i="1"/>
  <c r="T2813" i="1"/>
  <c r="U2813" i="1"/>
  <c r="V2813" i="1"/>
  <c r="O2814" i="1"/>
  <c r="P2814" i="1"/>
  <c r="Q2814" i="1"/>
  <c r="R2814" i="1"/>
  <c r="S2814" i="1"/>
  <c r="T2814" i="1"/>
  <c r="U2814" i="1"/>
  <c r="V2814" i="1"/>
  <c r="O2815" i="1"/>
  <c r="P2815" i="1"/>
  <c r="Q2815" i="1"/>
  <c r="R2815" i="1"/>
  <c r="S2815" i="1"/>
  <c r="T2815" i="1"/>
  <c r="U2815" i="1"/>
  <c r="V2815" i="1"/>
  <c r="O2816" i="1"/>
  <c r="P2816" i="1"/>
  <c r="Q2816" i="1"/>
  <c r="R2816" i="1"/>
  <c r="S2816" i="1"/>
  <c r="T2816" i="1"/>
  <c r="U2816" i="1"/>
  <c r="V2816" i="1"/>
  <c r="O2817" i="1"/>
  <c r="P2817" i="1"/>
  <c r="Q2817" i="1"/>
  <c r="R2817" i="1"/>
  <c r="S2817" i="1"/>
  <c r="T2817" i="1"/>
  <c r="U2817" i="1"/>
  <c r="V2817" i="1"/>
  <c r="O2818" i="1"/>
  <c r="P2818" i="1"/>
  <c r="Q2818" i="1"/>
  <c r="R2818" i="1"/>
  <c r="S2818" i="1"/>
  <c r="T2818" i="1"/>
  <c r="U2818" i="1"/>
  <c r="V2818" i="1"/>
  <c r="O2819" i="1"/>
  <c r="P2819" i="1"/>
  <c r="Q2819" i="1"/>
  <c r="R2819" i="1"/>
  <c r="S2819" i="1"/>
  <c r="T2819" i="1"/>
  <c r="U2819" i="1"/>
  <c r="V2819" i="1"/>
  <c r="O2820" i="1"/>
  <c r="P2820" i="1"/>
  <c r="Q2820" i="1"/>
  <c r="R2820" i="1"/>
  <c r="S2820" i="1"/>
  <c r="T2820" i="1"/>
  <c r="U2820" i="1"/>
  <c r="V2820" i="1"/>
  <c r="O2821" i="1"/>
  <c r="P2821" i="1"/>
  <c r="Q2821" i="1"/>
  <c r="R2821" i="1"/>
  <c r="S2821" i="1"/>
  <c r="T2821" i="1"/>
  <c r="U2821" i="1"/>
  <c r="V2821" i="1"/>
  <c r="O2822" i="1"/>
  <c r="P2822" i="1"/>
  <c r="Q2822" i="1"/>
  <c r="R2822" i="1"/>
  <c r="S2822" i="1"/>
  <c r="T2822" i="1"/>
  <c r="U2822" i="1"/>
  <c r="V2822" i="1"/>
  <c r="O2823" i="1"/>
  <c r="P2823" i="1"/>
  <c r="Q2823" i="1"/>
  <c r="R2823" i="1"/>
  <c r="S2823" i="1"/>
  <c r="T2823" i="1"/>
  <c r="U2823" i="1"/>
  <c r="V2823" i="1"/>
  <c r="O2824" i="1"/>
  <c r="P2824" i="1"/>
  <c r="Q2824" i="1"/>
  <c r="R2824" i="1"/>
  <c r="S2824" i="1"/>
  <c r="T2824" i="1"/>
  <c r="U2824" i="1"/>
  <c r="V2824" i="1"/>
  <c r="O2825" i="1"/>
  <c r="P2825" i="1"/>
  <c r="Q2825" i="1"/>
  <c r="R2825" i="1"/>
  <c r="S2825" i="1"/>
  <c r="T2825" i="1"/>
  <c r="U2825" i="1"/>
  <c r="V2825" i="1"/>
  <c r="O2826" i="1"/>
  <c r="P2826" i="1"/>
  <c r="Q2826" i="1"/>
  <c r="R2826" i="1"/>
  <c r="S2826" i="1"/>
  <c r="T2826" i="1"/>
  <c r="U2826" i="1"/>
  <c r="V2826" i="1"/>
  <c r="O2827" i="1"/>
  <c r="P2827" i="1"/>
  <c r="Q2827" i="1"/>
  <c r="R2827" i="1"/>
  <c r="S2827" i="1"/>
  <c r="T2827" i="1"/>
  <c r="U2827" i="1"/>
  <c r="V2827" i="1"/>
  <c r="O2828" i="1"/>
  <c r="P2828" i="1"/>
  <c r="Q2828" i="1"/>
  <c r="R2828" i="1"/>
  <c r="S2828" i="1"/>
  <c r="T2828" i="1"/>
  <c r="U2828" i="1"/>
  <c r="V2828" i="1"/>
  <c r="O2829" i="1"/>
  <c r="P2829" i="1"/>
  <c r="Q2829" i="1"/>
  <c r="R2829" i="1"/>
  <c r="S2829" i="1"/>
  <c r="T2829" i="1"/>
  <c r="U2829" i="1"/>
  <c r="V2829" i="1"/>
  <c r="O2830" i="1"/>
  <c r="P2830" i="1"/>
  <c r="Q2830" i="1"/>
  <c r="R2830" i="1"/>
  <c r="S2830" i="1"/>
  <c r="T2830" i="1"/>
  <c r="U2830" i="1"/>
  <c r="V2830" i="1"/>
  <c r="O2831" i="1"/>
  <c r="P2831" i="1"/>
  <c r="Q2831" i="1"/>
  <c r="R2831" i="1"/>
  <c r="S2831" i="1"/>
  <c r="T2831" i="1"/>
  <c r="U2831" i="1"/>
  <c r="V2831" i="1"/>
  <c r="O2832" i="1"/>
  <c r="P2832" i="1"/>
  <c r="Q2832" i="1"/>
  <c r="R2832" i="1"/>
  <c r="S2832" i="1"/>
  <c r="T2832" i="1"/>
  <c r="U2832" i="1"/>
  <c r="V2832" i="1"/>
  <c r="O2833" i="1"/>
  <c r="P2833" i="1"/>
  <c r="Q2833" i="1"/>
  <c r="R2833" i="1"/>
  <c r="S2833" i="1"/>
  <c r="T2833" i="1"/>
  <c r="U2833" i="1"/>
  <c r="V2833" i="1"/>
  <c r="O2834" i="1"/>
  <c r="P2834" i="1"/>
  <c r="Q2834" i="1"/>
  <c r="R2834" i="1"/>
  <c r="S2834" i="1"/>
  <c r="T2834" i="1"/>
  <c r="U2834" i="1"/>
  <c r="V2834" i="1"/>
  <c r="O2835" i="1"/>
  <c r="P2835" i="1"/>
  <c r="Q2835" i="1"/>
  <c r="R2835" i="1"/>
  <c r="S2835" i="1"/>
  <c r="T2835" i="1"/>
  <c r="U2835" i="1"/>
  <c r="V2835" i="1"/>
  <c r="O2836" i="1"/>
  <c r="P2836" i="1"/>
  <c r="Q2836" i="1"/>
  <c r="R2836" i="1"/>
  <c r="S2836" i="1"/>
  <c r="T2836" i="1"/>
  <c r="U2836" i="1"/>
  <c r="V2836" i="1"/>
  <c r="O2837" i="1"/>
  <c r="P2837" i="1"/>
  <c r="Q2837" i="1"/>
  <c r="R2837" i="1"/>
  <c r="S2837" i="1"/>
  <c r="T2837" i="1"/>
  <c r="U2837" i="1"/>
  <c r="V2837" i="1"/>
  <c r="O2838" i="1"/>
  <c r="P2838" i="1"/>
  <c r="Q2838" i="1"/>
  <c r="R2838" i="1"/>
  <c r="S2838" i="1"/>
  <c r="T2838" i="1"/>
  <c r="U2838" i="1"/>
  <c r="V2838" i="1"/>
  <c r="O2839" i="1"/>
  <c r="P2839" i="1"/>
  <c r="Q2839" i="1"/>
  <c r="R2839" i="1"/>
  <c r="S2839" i="1"/>
  <c r="T2839" i="1"/>
  <c r="U2839" i="1"/>
  <c r="V2839" i="1"/>
  <c r="O2840" i="1"/>
  <c r="P2840" i="1"/>
  <c r="Q2840" i="1"/>
  <c r="R2840" i="1"/>
  <c r="S2840" i="1"/>
  <c r="T2840" i="1"/>
  <c r="U2840" i="1"/>
  <c r="V2840" i="1"/>
  <c r="O2841" i="1"/>
  <c r="P2841" i="1"/>
  <c r="Q2841" i="1"/>
  <c r="R2841" i="1"/>
  <c r="S2841" i="1"/>
  <c r="T2841" i="1"/>
  <c r="U2841" i="1"/>
  <c r="V2841" i="1"/>
  <c r="O2842" i="1"/>
  <c r="P2842" i="1"/>
  <c r="Q2842" i="1"/>
  <c r="R2842" i="1"/>
  <c r="S2842" i="1"/>
  <c r="T2842" i="1"/>
  <c r="U2842" i="1"/>
  <c r="V2842" i="1"/>
  <c r="O2843" i="1"/>
  <c r="P2843" i="1"/>
  <c r="Q2843" i="1"/>
  <c r="R2843" i="1"/>
  <c r="S2843" i="1"/>
  <c r="T2843" i="1"/>
  <c r="U2843" i="1"/>
  <c r="V2843" i="1"/>
  <c r="O2844" i="1"/>
  <c r="P2844" i="1"/>
  <c r="Q2844" i="1"/>
  <c r="R2844" i="1"/>
  <c r="S2844" i="1"/>
  <c r="T2844" i="1"/>
  <c r="U2844" i="1"/>
  <c r="V2844" i="1"/>
  <c r="O2845" i="1"/>
  <c r="P2845" i="1"/>
  <c r="Q2845" i="1"/>
  <c r="R2845" i="1"/>
  <c r="S2845" i="1"/>
  <c r="T2845" i="1"/>
  <c r="U2845" i="1"/>
  <c r="V2845" i="1"/>
  <c r="O2846" i="1"/>
  <c r="P2846" i="1"/>
  <c r="Q2846" i="1"/>
  <c r="R2846" i="1"/>
  <c r="S2846" i="1"/>
  <c r="T2846" i="1"/>
  <c r="U2846" i="1"/>
  <c r="V2846" i="1"/>
  <c r="O2847" i="1"/>
  <c r="P2847" i="1"/>
  <c r="Q2847" i="1"/>
  <c r="R2847" i="1"/>
  <c r="S2847" i="1"/>
  <c r="T2847" i="1"/>
  <c r="U2847" i="1"/>
  <c r="V2847" i="1"/>
  <c r="O2848" i="1"/>
  <c r="P2848" i="1"/>
  <c r="Q2848" i="1"/>
  <c r="R2848" i="1"/>
  <c r="S2848" i="1"/>
  <c r="T2848" i="1"/>
  <c r="U2848" i="1"/>
  <c r="V2848" i="1"/>
  <c r="O2849" i="1"/>
  <c r="P2849" i="1"/>
  <c r="Q2849" i="1"/>
  <c r="R2849" i="1"/>
  <c r="S2849" i="1"/>
  <c r="T2849" i="1"/>
  <c r="U2849" i="1"/>
  <c r="V2849" i="1"/>
  <c r="O2850" i="1"/>
  <c r="P2850" i="1"/>
  <c r="Q2850" i="1"/>
  <c r="R2850" i="1"/>
  <c r="S2850" i="1"/>
  <c r="T2850" i="1"/>
  <c r="U2850" i="1"/>
  <c r="V2850" i="1"/>
  <c r="O2851" i="1"/>
  <c r="P2851" i="1"/>
  <c r="Q2851" i="1"/>
  <c r="R2851" i="1"/>
  <c r="S2851" i="1"/>
  <c r="T2851" i="1"/>
  <c r="U2851" i="1"/>
  <c r="V2851" i="1"/>
  <c r="O2852" i="1"/>
  <c r="P2852" i="1"/>
  <c r="Q2852" i="1"/>
  <c r="R2852" i="1"/>
  <c r="S2852" i="1"/>
  <c r="T2852" i="1"/>
  <c r="U2852" i="1"/>
  <c r="V2852" i="1"/>
  <c r="O2853" i="1"/>
  <c r="P2853" i="1"/>
  <c r="Q2853" i="1"/>
  <c r="R2853" i="1"/>
  <c r="S2853" i="1"/>
  <c r="T2853" i="1"/>
  <c r="U2853" i="1"/>
  <c r="V2853" i="1"/>
  <c r="O2854" i="1"/>
  <c r="P2854" i="1"/>
  <c r="Q2854" i="1"/>
  <c r="R2854" i="1"/>
  <c r="S2854" i="1"/>
  <c r="T2854" i="1"/>
  <c r="U2854" i="1"/>
  <c r="V2854" i="1"/>
  <c r="O2855" i="1"/>
  <c r="P2855" i="1"/>
  <c r="Q2855" i="1"/>
  <c r="R2855" i="1"/>
  <c r="S2855" i="1"/>
  <c r="T2855" i="1"/>
  <c r="U2855" i="1"/>
  <c r="V2855" i="1"/>
  <c r="O2856" i="1"/>
  <c r="P2856" i="1"/>
  <c r="Q2856" i="1"/>
  <c r="R2856" i="1"/>
  <c r="S2856" i="1"/>
  <c r="T2856" i="1"/>
  <c r="U2856" i="1"/>
  <c r="V2856" i="1"/>
  <c r="O2857" i="1"/>
  <c r="P2857" i="1"/>
  <c r="Q2857" i="1"/>
  <c r="R2857" i="1"/>
  <c r="S2857" i="1"/>
  <c r="T2857" i="1"/>
  <c r="U2857" i="1"/>
  <c r="V2857" i="1"/>
  <c r="O2858" i="1"/>
  <c r="P2858" i="1"/>
  <c r="Q2858" i="1"/>
  <c r="R2858" i="1"/>
  <c r="S2858" i="1"/>
  <c r="T2858" i="1"/>
  <c r="U2858" i="1"/>
  <c r="V2858" i="1"/>
  <c r="O2859" i="1"/>
  <c r="P2859" i="1"/>
  <c r="Q2859" i="1"/>
  <c r="R2859" i="1"/>
  <c r="S2859" i="1"/>
  <c r="T2859" i="1"/>
  <c r="U2859" i="1"/>
  <c r="V2859" i="1"/>
  <c r="O2860" i="1"/>
  <c r="P2860" i="1"/>
  <c r="Q2860" i="1"/>
  <c r="R2860" i="1"/>
  <c r="S2860" i="1"/>
  <c r="T2860" i="1"/>
  <c r="U2860" i="1"/>
  <c r="V2860" i="1"/>
  <c r="O2861" i="1"/>
  <c r="P2861" i="1"/>
  <c r="Q2861" i="1"/>
  <c r="R2861" i="1"/>
  <c r="S2861" i="1"/>
  <c r="T2861" i="1"/>
  <c r="U2861" i="1"/>
  <c r="V2861" i="1"/>
  <c r="O2862" i="1"/>
  <c r="P2862" i="1"/>
  <c r="Q2862" i="1"/>
  <c r="R2862" i="1"/>
  <c r="S2862" i="1"/>
  <c r="T2862" i="1"/>
  <c r="U2862" i="1"/>
  <c r="V2862" i="1"/>
  <c r="O2863" i="1"/>
  <c r="P2863" i="1"/>
  <c r="Q2863" i="1"/>
  <c r="R2863" i="1"/>
  <c r="S2863" i="1"/>
  <c r="T2863" i="1"/>
  <c r="U2863" i="1"/>
  <c r="V2863" i="1"/>
  <c r="O2864" i="1"/>
  <c r="P2864" i="1"/>
  <c r="Q2864" i="1"/>
  <c r="R2864" i="1"/>
  <c r="S2864" i="1"/>
  <c r="T2864" i="1"/>
  <c r="U2864" i="1"/>
  <c r="V2864" i="1"/>
  <c r="O2865" i="1"/>
  <c r="P2865" i="1"/>
  <c r="Q2865" i="1"/>
  <c r="R2865" i="1"/>
  <c r="S2865" i="1"/>
  <c r="T2865" i="1"/>
  <c r="U2865" i="1"/>
  <c r="V2865" i="1"/>
  <c r="O2866" i="1"/>
  <c r="P2866" i="1"/>
  <c r="Q2866" i="1"/>
  <c r="R2866" i="1"/>
  <c r="S2866" i="1"/>
  <c r="T2866" i="1"/>
  <c r="U2866" i="1"/>
  <c r="V2866" i="1"/>
  <c r="O2867" i="1"/>
  <c r="P2867" i="1"/>
  <c r="Q2867" i="1"/>
  <c r="R2867" i="1"/>
  <c r="S2867" i="1"/>
  <c r="T2867" i="1"/>
  <c r="U2867" i="1"/>
  <c r="V2867" i="1"/>
  <c r="O2868" i="1"/>
  <c r="P2868" i="1"/>
  <c r="Q2868" i="1"/>
  <c r="R2868" i="1"/>
  <c r="S2868" i="1"/>
  <c r="T2868" i="1"/>
  <c r="U2868" i="1"/>
  <c r="V2868" i="1"/>
  <c r="O2869" i="1"/>
  <c r="P2869" i="1"/>
  <c r="Q2869" i="1"/>
  <c r="R2869" i="1"/>
  <c r="S2869" i="1"/>
  <c r="T2869" i="1"/>
  <c r="U2869" i="1"/>
  <c r="V2869" i="1"/>
  <c r="O2870" i="1"/>
  <c r="P2870" i="1"/>
  <c r="Q2870" i="1"/>
  <c r="R2870" i="1"/>
  <c r="S2870" i="1"/>
  <c r="T2870" i="1"/>
  <c r="U2870" i="1"/>
  <c r="V2870" i="1"/>
  <c r="O2871" i="1"/>
  <c r="P2871" i="1"/>
  <c r="Q2871" i="1"/>
  <c r="R2871" i="1"/>
  <c r="S2871" i="1"/>
  <c r="T2871" i="1"/>
  <c r="U2871" i="1"/>
  <c r="V2871" i="1"/>
  <c r="O2872" i="1"/>
  <c r="P2872" i="1"/>
  <c r="Q2872" i="1"/>
  <c r="R2872" i="1"/>
  <c r="S2872" i="1"/>
  <c r="T2872" i="1"/>
  <c r="U2872" i="1"/>
  <c r="V2872" i="1"/>
  <c r="O2873" i="1"/>
  <c r="P2873" i="1"/>
  <c r="Q2873" i="1"/>
  <c r="R2873" i="1"/>
  <c r="S2873" i="1"/>
  <c r="T2873" i="1"/>
  <c r="U2873" i="1"/>
  <c r="V2873" i="1"/>
  <c r="O2874" i="1"/>
  <c r="P2874" i="1"/>
  <c r="Q2874" i="1"/>
  <c r="R2874" i="1"/>
  <c r="S2874" i="1"/>
  <c r="T2874" i="1"/>
  <c r="U2874" i="1"/>
  <c r="V2874" i="1"/>
  <c r="O2875" i="1"/>
  <c r="P2875" i="1"/>
  <c r="Q2875" i="1"/>
  <c r="R2875" i="1"/>
  <c r="S2875" i="1"/>
  <c r="T2875" i="1"/>
  <c r="U2875" i="1"/>
  <c r="V2875" i="1"/>
  <c r="O2876" i="1"/>
  <c r="P2876" i="1"/>
  <c r="Q2876" i="1"/>
  <c r="R2876" i="1"/>
  <c r="S2876" i="1"/>
  <c r="T2876" i="1"/>
  <c r="U2876" i="1"/>
  <c r="V2876" i="1"/>
  <c r="O2877" i="1"/>
  <c r="P2877" i="1"/>
  <c r="Q2877" i="1"/>
  <c r="R2877" i="1"/>
  <c r="S2877" i="1"/>
  <c r="T2877" i="1"/>
  <c r="U2877" i="1"/>
  <c r="V2877" i="1"/>
  <c r="O2878" i="1"/>
  <c r="P2878" i="1"/>
  <c r="Q2878" i="1"/>
  <c r="R2878" i="1"/>
  <c r="S2878" i="1"/>
  <c r="T2878" i="1"/>
  <c r="U2878" i="1"/>
  <c r="V2878" i="1"/>
  <c r="O2879" i="1"/>
  <c r="P2879" i="1"/>
  <c r="Q2879" i="1"/>
  <c r="R2879" i="1"/>
  <c r="S2879" i="1"/>
  <c r="T2879" i="1"/>
  <c r="U2879" i="1"/>
  <c r="V2879" i="1"/>
  <c r="O2880" i="1"/>
  <c r="P2880" i="1"/>
  <c r="Q2880" i="1"/>
  <c r="R2880" i="1"/>
  <c r="S2880" i="1"/>
  <c r="T2880" i="1"/>
  <c r="U2880" i="1"/>
  <c r="V2880" i="1"/>
  <c r="O2881" i="1"/>
  <c r="P2881" i="1"/>
  <c r="Q2881" i="1"/>
  <c r="R2881" i="1"/>
  <c r="S2881" i="1"/>
  <c r="T2881" i="1"/>
  <c r="U2881" i="1"/>
  <c r="V2881" i="1"/>
  <c r="O2882" i="1"/>
  <c r="P2882" i="1"/>
  <c r="Q2882" i="1"/>
  <c r="R2882" i="1"/>
  <c r="S2882" i="1"/>
  <c r="T2882" i="1"/>
  <c r="U2882" i="1"/>
  <c r="V2882" i="1"/>
  <c r="O2883" i="1"/>
  <c r="P2883" i="1"/>
  <c r="Q2883" i="1"/>
  <c r="R2883" i="1"/>
  <c r="S2883" i="1"/>
  <c r="T2883" i="1"/>
  <c r="U2883" i="1"/>
  <c r="V2883" i="1"/>
  <c r="O2884" i="1"/>
  <c r="P2884" i="1"/>
  <c r="Q2884" i="1"/>
  <c r="R2884" i="1"/>
  <c r="S2884" i="1"/>
  <c r="T2884" i="1"/>
  <c r="U2884" i="1"/>
  <c r="V2884" i="1"/>
  <c r="O2885" i="1"/>
  <c r="P2885" i="1"/>
  <c r="Q2885" i="1"/>
  <c r="R2885" i="1"/>
  <c r="S2885" i="1"/>
  <c r="T2885" i="1"/>
  <c r="U2885" i="1"/>
  <c r="V2885" i="1"/>
  <c r="O2886" i="1"/>
  <c r="P2886" i="1"/>
  <c r="Q2886" i="1"/>
  <c r="R2886" i="1"/>
  <c r="S2886" i="1"/>
  <c r="T2886" i="1"/>
  <c r="U2886" i="1"/>
  <c r="V2886" i="1"/>
  <c r="O2887" i="1"/>
  <c r="P2887" i="1"/>
  <c r="Q2887" i="1"/>
  <c r="R2887" i="1"/>
  <c r="S2887" i="1"/>
  <c r="T2887" i="1"/>
  <c r="U2887" i="1"/>
  <c r="V2887" i="1"/>
  <c r="O2888" i="1"/>
  <c r="P2888" i="1"/>
  <c r="Q2888" i="1"/>
  <c r="R2888" i="1"/>
  <c r="S2888" i="1"/>
  <c r="T2888" i="1"/>
  <c r="U2888" i="1"/>
  <c r="V2888" i="1"/>
  <c r="O2889" i="1"/>
  <c r="P2889" i="1"/>
  <c r="Q2889" i="1"/>
  <c r="R2889" i="1"/>
  <c r="S2889" i="1"/>
  <c r="T2889" i="1"/>
  <c r="U2889" i="1"/>
  <c r="V2889" i="1"/>
  <c r="O2890" i="1"/>
  <c r="P2890" i="1"/>
  <c r="Q2890" i="1"/>
  <c r="R2890" i="1"/>
  <c r="S2890" i="1"/>
  <c r="T2890" i="1"/>
  <c r="U2890" i="1"/>
  <c r="V2890" i="1"/>
  <c r="O2891" i="1"/>
  <c r="P2891" i="1"/>
  <c r="Q2891" i="1"/>
  <c r="R2891" i="1"/>
  <c r="S2891" i="1"/>
  <c r="T2891" i="1"/>
  <c r="U2891" i="1"/>
  <c r="V2891" i="1"/>
  <c r="O2892" i="1"/>
  <c r="P2892" i="1"/>
  <c r="Q2892" i="1"/>
  <c r="R2892" i="1"/>
  <c r="S2892" i="1"/>
  <c r="T2892" i="1"/>
  <c r="U2892" i="1"/>
  <c r="V2892" i="1"/>
  <c r="O2893" i="1"/>
  <c r="P2893" i="1"/>
  <c r="Q2893" i="1"/>
  <c r="R2893" i="1"/>
  <c r="S2893" i="1"/>
  <c r="T2893" i="1"/>
  <c r="U2893" i="1"/>
  <c r="V2893" i="1"/>
  <c r="O2894" i="1"/>
  <c r="P2894" i="1"/>
  <c r="Q2894" i="1"/>
  <c r="R2894" i="1"/>
  <c r="S2894" i="1"/>
  <c r="T2894" i="1"/>
  <c r="U2894" i="1"/>
  <c r="V2894" i="1"/>
  <c r="O2895" i="1"/>
  <c r="P2895" i="1"/>
  <c r="Q2895" i="1"/>
  <c r="R2895" i="1"/>
  <c r="S2895" i="1"/>
  <c r="T2895" i="1"/>
  <c r="U2895" i="1"/>
  <c r="V2895" i="1"/>
  <c r="O2896" i="1"/>
  <c r="P2896" i="1"/>
  <c r="Q2896" i="1"/>
  <c r="R2896" i="1"/>
  <c r="S2896" i="1"/>
  <c r="T2896" i="1"/>
  <c r="U2896" i="1"/>
  <c r="V2896" i="1"/>
  <c r="O2897" i="1"/>
  <c r="P2897" i="1"/>
  <c r="Q2897" i="1"/>
  <c r="R2897" i="1"/>
  <c r="S2897" i="1"/>
  <c r="T2897" i="1"/>
  <c r="U2897" i="1"/>
  <c r="V2897" i="1"/>
  <c r="O2898" i="1"/>
  <c r="P2898" i="1"/>
  <c r="Q2898" i="1"/>
  <c r="R2898" i="1"/>
  <c r="S2898" i="1"/>
  <c r="T2898" i="1"/>
  <c r="U2898" i="1"/>
  <c r="V2898" i="1"/>
  <c r="O2899" i="1"/>
  <c r="P2899" i="1"/>
  <c r="Q2899" i="1"/>
  <c r="R2899" i="1"/>
  <c r="S2899" i="1"/>
  <c r="T2899" i="1"/>
  <c r="U2899" i="1"/>
  <c r="V2899" i="1"/>
  <c r="O2900" i="1"/>
  <c r="P2900" i="1"/>
  <c r="Q2900" i="1"/>
  <c r="R2900" i="1"/>
  <c r="S2900" i="1"/>
  <c r="T2900" i="1"/>
  <c r="U2900" i="1"/>
  <c r="V2900" i="1"/>
  <c r="O2901" i="1"/>
  <c r="P2901" i="1"/>
  <c r="Q2901" i="1"/>
  <c r="R2901" i="1"/>
  <c r="S2901" i="1"/>
  <c r="T2901" i="1"/>
  <c r="U2901" i="1"/>
  <c r="V2901" i="1"/>
  <c r="O2902" i="1"/>
  <c r="P2902" i="1"/>
  <c r="Q2902" i="1"/>
  <c r="R2902" i="1"/>
  <c r="S2902" i="1"/>
  <c r="T2902" i="1"/>
  <c r="U2902" i="1"/>
  <c r="V2902" i="1"/>
  <c r="O2903" i="1"/>
  <c r="P2903" i="1"/>
  <c r="Q2903" i="1"/>
  <c r="R2903" i="1"/>
  <c r="S2903" i="1"/>
  <c r="T2903" i="1"/>
  <c r="U2903" i="1"/>
  <c r="V2903" i="1"/>
  <c r="O2904" i="1"/>
  <c r="P2904" i="1"/>
  <c r="Q2904" i="1"/>
  <c r="R2904" i="1"/>
  <c r="S2904" i="1"/>
  <c r="T2904" i="1"/>
  <c r="U2904" i="1"/>
  <c r="V2904" i="1"/>
  <c r="O2905" i="1"/>
  <c r="P2905" i="1"/>
  <c r="Q2905" i="1"/>
  <c r="R2905" i="1"/>
  <c r="S2905" i="1"/>
  <c r="T2905" i="1"/>
  <c r="U2905" i="1"/>
  <c r="V2905" i="1"/>
  <c r="O2906" i="1"/>
  <c r="P2906" i="1"/>
  <c r="Q2906" i="1"/>
  <c r="R2906" i="1"/>
  <c r="S2906" i="1"/>
  <c r="T2906" i="1"/>
  <c r="U2906" i="1"/>
  <c r="V2906" i="1"/>
  <c r="O2907" i="1"/>
  <c r="P2907" i="1"/>
  <c r="Q2907" i="1"/>
  <c r="R2907" i="1"/>
  <c r="S2907" i="1"/>
  <c r="T2907" i="1"/>
  <c r="U2907" i="1"/>
  <c r="V2907" i="1"/>
  <c r="O2908" i="1"/>
  <c r="P2908" i="1"/>
  <c r="Q2908" i="1"/>
  <c r="R2908" i="1"/>
  <c r="S2908" i="1"/>
  <c r="T2908" i="1"/>
  <c r="U2908" i="1"/>
  <c r="V2908" i="1"/>
  <c r="O2909" i="1"/>
  <c r="P2909" i="1"/>
  <c r="Q2909" i="1"/>
  <c r="R2909" i="1"/>
  <c r="S2909" i="1"/>
  <c r="T2909" i="1"/>
  <c r="U2909" i="1"/>
  <c r="V2909" i="1"/>
  <c r="O2910" i="1"/>
  <c r="P2910" i="1"/>
  <c r="Q2910" i="1"/>
  <c r="R2910" i="1"/>
  <c r="S2910" i="1"/>
  <c r="T2910" i="1"/>
  <c r="U2910" i="1"/>
  <c r="V2910" i="1"/>
  <c r="O2911" i="1"/>
  <c r="P2911" i="1"/>
  <c r="Q2911" i="1"/>
  <c r="R2911" i="1"/>
  <c r="S2911" i="1"/>
  <c r="T2911" i="1"/>
  <c r="U2911" i="1"/>
  <c r="V2911" i="1"/>
  <c r="O2912" i="1"/>
  <c r="P2912" i="1"/>
  <c r="Q2912" i="1"/>
  <c r="R2912" i="1"/>
  <c r="S2912" i="1"/>
  <c r="T2912" i="1"/>
  <c r="U2912" i="1"/>
  <c r="V2912" i="1"/>
  <c r="O2913" i="1"/>
  <c r="P2913" i="1"/>
  <c r="Q2913" i="1"/>
  <c r="R2913" i="1"/>
  <c r="S2913" i="1"/>
  <c r="T2913" i="1"/>
  <c r="U2913" i="1"/>
  <c r="V2913" i="1"/>
  <c r="O2914" i="1"/>
  <c r="P2914" i="1"/>
  <c r="Q2914" i="1"/>
  <c r="R2914" i="1"/>
  <c r="S2914" i="1"/>
  <c r="T2914" i="1"/>
  <c r="U2914" i="1"/>
  <c r="V2914" i="1"/>
  <c r="O2915" i="1"/>
  <c r="P2915" i="1"/>
  <c r="Q2915" i="1"/>
  <c r="R2915" i="1"/>
  <c r="S2915" i="1"/>
  <c r="T2915" i="1"/>
  <c r="U2915" i="1"/>
  <c r="V2915" i="1"/>
  <c r="O2916" i="1"/>
  <c r="P2916" i="1"/>
  <c r="Q2916" i="1"/>
  <c r="R2916" i="1"/>
  <c r="S2916" i="1"/>
  <c r="T2916" i="1"/>
  <c r="U2916" i="1"/>
  <c r="V2916" i="1"/>
  <c r="O2917" i="1"/>
  <c r="P2917" i="1"/>
  <c r="Q2917" i="1"/>
  <c r="R2917" i="1"/>
  <c r="S2917" i="1"/>
  <c r="T2917" i="1"/>
  <c r="U2917" i="1"/>
  <c r="V2917" i="1"/>
  <c r="O2918" i="1"/>
  <c r="P2918" i="1"/>
  <c r="Q2918" i="1"/>
  <c r="R2918" i="1"/>
  <c r="S2918" i="1"/>
  <c r="T2918" i="1"/>
  <c r="U2918" i="1"/>
  <c r="V2918" i="1"/>
  <c r="O2919" i="1"/>
  <c r="P2919" i="1"/>
  <c r="Q2919" i="1"/>
  <c r="R2919" i="1"/>
  <c r="S2919" i="1"/>
  <c r="T2919" i="1"/>
  <c r="U2919" i="1"/>
  <c r="V2919" i="1"/>
  <c r="O2920" i="1"/>
  <c r="P2920" i="1"/>
  <c r="Q2920" i="1"/>
  <c r="R2920" i="1"/>
  <c r="S2920" i="1"/>
  <c r="T2920" i="1"/>
  <c r="U2920" i="1"/>
  <c r="V2920" i="1"/>
  <c r="O2921" i="1"/>
  <c r="P2921" i="1"/>
  <c r="Q2921" i="1"/>
  <c r="R2921" i="1"/>
  <c r="S2921" i="1"/>
  <c r="T2921" i="1"/>
  <c r="U2921" i="1"/>
  <c r="V2921" i="1"/>
  <c r="O2922" i="1"/>
  <c r="P2922" i="1"/>
  <c r="Q2922" i="1"/>
  <c r="R2922" i="1"/>
  <c r="S2922" i="1"/>
  <c r="T2922" i="1"/>
  <c r="U2922" i="1"/>
  <c r="V2922" i="1"/>
  <c r="O2923" i="1"/>
  <c r="P2923" i="1"/>
  <c r="Q2923" i="1"/>
  <c r="R2923" i="1"/>
  <c r="S2923" i="1"/>
  <c r="T2923" i="1"/>
  <c r="U2923" i="1"/>
  <c r="V2923" i="1"/>
  <c r="O2924" i="1"/>
  <c r="P2924" i="1"/>
  <c r="Q2924" i="1"/>
  <c r="R2924" i="1"/>
  <c r="S2924" i="1"/>
  <c r="T2924" i="1"/>
  <c r="U2924" i="1"/>
  <c r="V2924" i="1"/>
  <c r="O2925" i="1"/>
  <c r="P2925" i="1"/>
  <c r="Q2925" i="1"/>
  <c r="R2925" i="1"/>
  <c r="S2925" i="1"/>
  <c r="T2925" i="1"/>
  <c r="U2925" i="1"/>
  <c r="V2925" i="1"/>
  <c r="O2926" i="1"/>
  <c r="P2926" i="1"/>
  <c r="Q2926" i="1"/>
  <c r="R2926" i="1"/>
  <c r="S2926" i="1"/>
  <c r="T2926" i="1"/>
  <c r="U2926" i="1"/>
  <c r="V2926" i="1"/>
  <c r="O2927" i="1"/>
  <c r="P2927" i="1"/>
  <c r="Q2927" i="1"/>
  <c r="R2927" i="1"/>
  <c r="S2927" i="1"/>
  <c r="T2927" i="1"/>
  <c r="U2927" i="1"/>
  <c r="V2927" i="1"/>
  <c r="O2928" i="1"/>
  <c r="P2928" i="1"/>
  <c r="Q2928" i="1"/>
  <c r="R2928" i="1"/>
  <c r="S2928" i="1"/>
  <c r="T2928" i="1"/>
  <c r="U2928" i="1"/>
  <c r="V2928" i="1"/>
  <c r="O2929" i="1"/>
  <c r="P2929" i="1"/>
  <c r="Q2929" i="1"/>
  <c r="R2929" i="1"/>
  <c r="S2929" i="1"/>
  <c r="T2929" i="1"/>
  <c r="U2929" i="1"/>
  <c r="V2929" i="1"/>
  <c r="O2930" i="1"/>
  <c r="P2930" i="1"/>
  <c r="Q2930" i="1"/>
  <c r="R2930" i="1"/>
  <c r="S2930" i="1"/>
  <c r="T2930" i="1"/>
  <c r="U2930" i="1"/>
  <c r="V2930" i="1"/>
  <c r="O2931" i="1"/>
  <c r="P2931" i="1"/>
  <c r="Q2931" i="1"/>
  <c r="R2931" i="1"/>
  <c r="S2931" i="1"/>
  <c r="T2931" i="1"/>
  <c r="U2931" i="1"/>
  <c r="V2931" i="1"/>
  <c r="O2932" i="1"/>
  <c r="P2932" i="1"/>
  <c r="Q2932" i="1"/>
  <c r="R2932" i="1"/>
  <c r="S2932" i="1"/>
  <c r="T2932" i="1"/>
  <c r="U2932" i="1"/>
  <c r="V2932" i="1"/>
  <c r="O2933" i="1"/>
  <c r="P2933" i="1"/>
  <c r="Q2933" i="1"/>
  <c r="R2933" i="1"/>
  <c r="S2933" i="1"/>
  <c r="T2933" i="1"/>
  <c r="U2933" i="1"/>
  <c r="V2933" i="1"/>
  <c r="O2934" i="1"/>
  <c r="P2934" i="1"/>
  <c r="Q2934" i="1"/>
  <c r="R2934" i="1"/>
  <c r="S2934" i="1"/>
  <c r="T2934" i="1"/>
  <c r="U2934" i="1"/>
  <c r="V2934" i="1"/>
  <c r="O2935" i="1"/>
  <c r="P2935" i="1"/>
  <c r="Q2935" i="1"/>
  <c r="R2935" i="1"/>
  <c r="S2935" i="1"/>
  <c r="T2935" i="1"/>
  <c r="U2935" i="1"/>
  <c r="V2935" i="1"/>
  <c r="O2936" i="1"/>
  <c r="P2936" i="1"/>
  <c r="Q2936" i="1"/>
  <c r="R2936" i="1"/>
  <c r="S2936" i="1"/>
  <c r="T2936" i="1"/>
  <c r="U2936" i="1"/>
  <c r="V2936" i="1"/>
  <c r="O2937" i="1"/>
  <c r="P2937" i="1"/>
  <c r="Q2937" i="1"/>
  <c r="R2937" i="1"/>
  <c r="S2937" i="1"/>
  <c r="T2937" i="1"/>
  <c r="U2937" i="1"/>
  <c r="V2937" i="1"/>
  <c r="O2938" i="1"/>
  <c r="P2938" i="1"/>
  <c r="Q2938" i="1"/>
  <c r="R2938" i="1"/>
  <c r="S2938" i="1"/>
  <c r="T2938" i="1"/>
  <c r="U2938" i="1"/>
  <c r="V2938" i="1"/>
  <c r="O2939" i="1"/>
  <c r="P2939" i="1"/>
  <c r="Q2939" i="1"/>
  <c r="R2939" i="1"/>
  <c r="S2939" i="1"/>
  <c r="T2939" i="1"/>
  <c r="U2939" i="1"/>
  <c r="V2939" i="1"/>
  <c r="O2940" i="1"/>
  <c r="P2940" i="1"/>
  <c r="Q2940" i="1"/>
  <c r="R2940" i="1"/>
  <c r="S2940" i="1"/>
  <c r="T2940" i="1"/>
  <c r="U2940" i="1"/>
  <c r="V2940" i="1"/>
  <c r="O2941" i="1"/>
  <c r="P2941" i="1"/>
  <c r="Q2941" i="1"/>
  <c r="R2941" i="1"/>
  <c r="S2941" i="1"/>
  <c r="T2941" i="1"/>
  <c r="U2941" i="1"/>
  <c r="V2941" i="1"/>
  <c r="O2942" i="1"/>
  <c r="P2942" i="1"/>
  <c r="Q2942" i="1"/>
  <c r="R2942" i="1"/>
  <c r="S2942" i="1"/>
  <c r="T2942" i="1"/>
  <c r="U2942" i="1"/>
  <c r="V2942" i="1"/>
  <c r="O2943" i="1"/>
  <c r="P2943" i="1"/>
  <c r="Q2943" i="1"/>
  <c r="R2943" i="1"/>
  <c r="S2943" i="1"/>
  <c r="T2943" i="1"/>
  <c r="U2943" i="1"/>
  <c r="V2943" i="1"/>
  <c r="O2944" i="1"/>
  <c r="P2944" i="1"/>
  <c r="Q2944" i="1"/>
  <c r="R2944" i="1"/>
  <c r="S2944" i="1"/>
  <c r="T2944" i="1"/>
  <c r="U2944" i="1"/>
  <c r="V2944" i="1"/>
  <c r="O2945" i="1"/>
  <c r="P2945" i="1"/>
  <c r="Q2945" i="1"/>
  <c r="R2945" i="1"/>
  <c r="S2945" i="1"/>
  <c r="T2945" i="1"/>
  <c r="U2945" i="1"/>
  <c r="V2945" i="1"/>
  <c r="O2946" i="1"/>
  <c r="P2946" i="1"/>
  <c r="Q2946" i="1"/>
  <c r="R2946" i="1"/>
  <c r="S2946" i="1"/>
  <c r="T2946" i="1"/>
  <c r="U2946" i="1"/>
  <c r="V2946" i="1"/>
  <c r="O2947" i="1"/>
  <c r="P2947" i="1"/>
  <c r="Q2947" i="1"/>
  <c r="R2947" i="1"/>
  <c r="S2947" i="1"/>
  <c r="T2947" i="1"/>
  <c r="U2947" i="1"/>
  <c r="V2947" i="1"/>
  <c r="O2948" i="1"/>
  <c r="P2948" i="1"/>
  <c r="Q2948" i="1"/>
  <c r="R2948" i="1"/>
  <c r="S2948" i="1"/>
  <c r="T2948" i="1"/>
  <c r="U2948" i="1"/>
  <c r="V2948" i="1"/>
  <c r="O2949" i="1"/>
  <c r="P2949" i="1"/>
  <c r="Q2949" i="1"/>
  <c r="R2949" i="1"/>
  <c r="S2949" i="1"/>
  <c r="T2949" i="1"/>
  <c r="U2949" i="1"/>
  <c r="V2949" i="1"/>
  <c r="O2950" i="1"/>
  <c r="P2950" i="1"/>
  <c r="Q2950" i="1"/>
  <c r="R2950" i="1"/>
  <c r="S2950" i="1"/>
  <c r="T2950" i="1"/>
  <c r="U2950" i="1"/>
  <c r="V2950" i="1"/>
  <c r="O2951" i="1"/>
  <c r="P2951" i="1"/>
  <c r="Q2951" i="1"/>
  <c r="R2951" i="1"/>
  <c r="S2951" i="1"/>
  <c r="T2951" i="1"/>
  <c r="U2951" i="1"/>
  <c r="V2951" i="1"/>
  <c r="O2952" i="1"/>
  <c r="P2952" i="1"/>
  <c r="Q2952" i="1"/>
  <c r="R2952" i="1"/>
  <c r="S2952" i="1"/>
  <c r="T2952" i="1"/>
  <c r="U2952" i="1"/>
  <c r="V2952" i="1"/>
  <c r="O2953" i="1"/>
  <c r="P2953" i="1"/>
  <c r="Q2953" i="1"/>
  <c r="R2953" i="1"/>
  <c r="S2953" i="1"/>
  <c r="T2953" i="1"/>
  <c r="U2953" i="1"/>
  <c r="V2953" i="1"/>
  <c r="O2954" i="1"/>
  <c r="P2954" i="1"/>
  <c r="Q2954" i="1"/>
  <c r="R2954" i="1"/>
  <c r="S2954" i="1"/>
  <c r="T2954" i="1"/>
  <c r="U2954" i="1"/>
  <c r="V2954" i="1"/>
  <c r="O2955" i="1"/>
  <c r="P2955" i="1"/>
  <c r="Q2955" i="1"/>
  <c r="R2955" i="1"/>
  <c r="S2955" i="1"/>
  <c r="T2955" i="1"/>
  <c r="U2955" i="1"/>
  <c r="V2955" i="1"/>
  <c r="O2956" i="1"/>
  <c r="P2956" i="1"/>
  <c r="Q2956" i="1"/>
  <c r="R2956" i="1"/>
  <c r="S2956" i="1"/>
  <c r="T2956" i="1"/>
  <c r="U2956" i="1"/>
  <c r="V2956" i="1"/>
  <c r="O2957" i="1"/>
  <c r="P2957" i="1"/>
  <c r="Q2957" i="1"/>
  <c r="R2957" i="1"/>
  <c r="S2957" i="1"/>
  <c r="T2957" i="1"/>
  <c r="U2957" i="1"/>
  <c r="V2957" i="1"/>
  <c r="O2958" i="1"/>
  <c r="P2958" i="1"/>
  <c r="Q2958" i="1"/>
  <c r="R2958" i="1"/>
  <c r="S2958" i="1"/>
  <c r="T2958" i="1"/>
  <c r="U2958" i="1"/>
  <c r="V2958" i="1"/>
  <c r="O2959" i="1"/>
  <c r="P2959" i="1"/>
  <c r="Q2959" i="1"/>
  <c r="R2959" i="1"/>
  <c r="S2959" i="1"/>
  <c r="T2959" i="1"/>
  <c r="U2959" i="1"/>
  <c r="V2959" i="1"/>
  <c r="O2960" i="1"/>
  <c r="P2960" i="1"/>
  <c r="Q2960" i="1"/>
  <c r="R2960" i="1"/>
  <c r="S2960" i="1"/>
  <c r="T2960" i="1"/>
  <c r="U2960" i="1"/>
  <c r="V2960" i="1"/>
  <c r="O2961" i="1"/>
  <c r="P2961" i="1"/>
  <c r="Q2961" i="1"/>
  <c r="R2961" i="1"/>
  <c r="S2961" i="1"/>
  <c r="T2961" i="1"/>
  <c r="U2961" i="1"/>
  <c r="V2961" i="1"/>
  <c r="O2962" i="1"/>
  <c r="P2962" i="1"/>
  <c r="Q2962" i="1"/>
  <c r="R2962" i="1"/>
  <c r="S2962" i="1"/>
  <c r="T2962" i="1"/>
  <c r="U2962" i="1"/>
  <c r="V2962" i="1"/>
  <c r="O2963" i="1"/>
  <c r="P2963" i="1"/>
  <c r="Q2963" i="1"/>
  <c r="R2963" i="1"/>
  <c r="S2963" i="1"/>
  <c r="T2963" i="1"/>
  <c r="U2963" i="1"/>
  <c r="V2963" i="1"/>
  <c r="O2964" i="1"/>
  <c r="P2964" i="1"/>
  <c r="Q2964" i="1"/>
  <c r="R2964" i="1"/>
  <c r="S2964" i="1"/>
  <c r="T2964" i="1"/>
  <c r="U2964" i="1"/>
  <c r="V2964" i="1"/>
  <c r="O2965" i="1"/>
  <c r="P2965" i="1"/>
  <c r="Q2965" i="1"/>
  <c r="R2965" i="1"/>
  <c r="S2965" i="1"/>
  <c r="T2965" i="1"/>
  <c r="U2965" i="1"/>
  <c r="V2965" i="1"/>
  <c r="O2966" i="1"/>
  <c r="P2966" i="1"/>
  <c r="Q2966" i="1"/>
  <c r="R2966" i="1"/>
  <c r="S2966" i="1"/>
  <c r="T2966" i="1"/>
  <c r="U2966" i="1"/>
  <c r="V2966" i="1"/>
  <c r="O2967" i="1"/>
  <c r="P2967" i="1"/>
  <c r="Q2967" i="1"/>
  <c r="R2967" i="1"/>
  <c r="S2967" i="1"/>
  <c r="T2967" i="1"/>
  <c r="U2967" i="1"/>
  <c r="V2967" i="1"/>
  <c r="O2968" i="1"/>
  <c r="P2968" i="1"/>
  <c r="Q2968" i="1"/>
  <c r="R2968" i="1"/>
  <c r="S2968" i="1"/>
  <c r="T2968" i="1"/>
  <c r="U2968" i="1"/>
  <c r="V2968" i="1"/>
  <c r="O2969" i="1"/>
  <c r="P2969" i="1"/>
  <c r="Q2969" i="1"/>
  <c r="R2969" i="1"/>
  <c r="S2969" i="1"/>
  <c r="T2969" i="1"/>
  <c r="U2969" i="1"/>
  <c r="V2969" i="1"/>
  <c r="O2970" i="1"/>
  <c r="P2970" i="1"/>
  <c r="Q2970" i="1"/>
  <c r="R2970" i="1"/>
  <c r="S2970" i="1"/>
  <c r="T2970" i="1"/>
  <c r="U2970" i="1"/>
  <c r="V2970" i="1"/>
  <c r="O2971" i="1"/>
  <c r="P2971" i="1"/>
  <c r="Q2971" i="1"/>
  <c r="R2971" i="1"/>
  <c r="S2971" i="1"/>
  <c r="T2971" i="1"/>
  <c r="U2971" i="1"/>
  <c r="V2971" i="1"/>
  <c r="O2972" i="1"/>
  <c r="P2972" i="1"/>
  <c r="Q2972" i="1"/>
  <c r="R2972" i="1"/>
  <c r="S2972" i="1"/>
  <c r="T2972" i="1"/>
  <c r="U2972" i="1"/>
  <c r="V2972" i="1"/>
  <c r="O2973" i="1"/>
  <c r="P2973" i="1"/>
  <c r="Q2973" i="1"/>
  <c r="R2973" i="1"/>
  <c r="S2973" i="1"/>
  <c r="T2973" i="1"/>
  <c r="U2973" i="1"/>
  <c r="V2973" i="1"/>
  <c r="O2974" i="1"/>
  <c r="P2974" i="1"/>
  <c r="Q2974" i="1"/>
  <c r="R2974" i="1"/>
  <c r="S2974" i="1"/>
  <c r="T2974" i="1"/>
  <c r="U2974" i="1"/>
  <c r="V2974" i="1"/>
  <c r="O2975" i="1"/>
  <c r="P2975" i="1"/>
  <c r="Q2975" i="1"/>
  <c r="R2975" i="1"/>
  <c r="S2975" i="1"/>
  <c r="T2975" i="1"/>
  <c r="U2975" i="1"/>
  <c r="V2975" i="1"/>
  <c r="O2976" i="1"/>
  <c r="P2976" i="1"/>
  <c r="Q2976" i="1"/>
  <c r="R2976" i="1"/>
  <c r="S2976" i="1"/>
  <c r="T2976" i="1"/>
  <c r="U2976" i="1"/>
  <c r="V2976" i="1"/>
  <c r="O2977" i="1"/>
  <c r="P2977" i="1"/>
  <c r="Q2977" i="1"/>
  <c r="R2977" i="1"/>
  <c r="S2977" i="1"/>
  <c r="T2977" i="1"/>
  <c r="U2977" i="1"/>
  <c r="V2977" i="1"/>
  <c r="O2978" i="1"/>
  <c r="P2978" i="1"/>
  <c r="Q2978" i="1"/>
  <c r="R2978" i="1"/>
  <c r="S2978" i="1"/>
  <c r="T2978" i="1"/>
  <c r="U2978" i="1"/>
  <c r="V2978" i="1"/>
  <c r="O2979" i="1"/>
  <c r="P2979" i="1"/>
  <c r="Q2979" i="1"/>
  <c r="R2979" i="1"/>
  <c r="S2979" i="1"/>
  <c r="T2979" i="1"/>
  <c r="U2979" i="1"/>
  <c r="V2979" i="1"/>
  <c r="O2980" i="1"/>
  <c r="P2980" i="1"/>
  <c r="Q2980" i="1"/>
  <c r="R2980" i="1"/>
  <c r="S2980" i="1"/>
  <c r="T2980" i="1"/>
  <c r="U2980" i="1"/>
  <c r="V2980" i="1"/>
  <c r="O2981" i="1"/>
  <c r="P2981" i="1"/>
  <c r="Q2981" i="1"/>
  <c r="R2981" i="1"/>
  <c r="S2981" i="1"/>
  <c r="T2981" i="1"/>
  <c r="U2981" i="1"/>
  <c r="V2981" i="1"/>
  <c r="O2982" i="1"/>
  <c r="P2982" i="1"/>
  <c r="Q2982" i="1"/>
  <c r="R2982" i="1"/>
  <c r="S2982" i="1"/>
  <c r="T2982" i="1"/>
  <c r="U2982" i="1"/>
  <c r="V2982" i="1"/>
  <c r="O2983" i="1"/>
  <c r="P2983" i="1"/>
  <c r="Q2983" i="1"/>
  <c r="R2983" i="1"/>
  <c r="S2983" i="1"/>
  <c r="T2983" i="1"/>
  <c r="U2983" i="1"/>
  <c r="V2983" i="1"/>
  <c r="O2984" i="1"/>
  <c r="P2984" i="1"/>
  <c r="Q2984" i="1"/>
  <c r="R2984" i="1"/>
  <c r="S2984" i="1"/>
  <c r="T2984" i="1"/>
  <c r="U2984" i="1"/>
  <c r="V2984" i="1"/>
  <c r="O2985" i="1"/>
  <c r="P2985" i="1"/>
  <c r="Q2985" i="1"/>
  <c r="R2985" i="1"/>
  <c r="S2985" i="1"/>
  <c r="T2985" i="1"/>
  <c r="U2985" i="1"/>
  <c r="V2985" i="1"/>
  <c r="O2986" i="1"/>
  <c r="P2986" i="1"/>
  <c r="Q2986" i="1"/>
  <c r="R2986" i="1"/>
  <c r="S2986" i="1"/>
  <c r="T2986" i="1"/>
  <c r="U2986" i="1"/>
  <c r="V2986" i="1"/>
  <c r="O2987" i="1"/>
  <c r="P2987" i="1"/>
  <c r="Q2987" i="1"/>
  <c r="R2987" i="1"/>
  <c r="S2987" i="1"/>
  <c r="T2987" i="1"/>
  <c r="U2987" i="1"/>
  <c r="V2987" i="1"/>
  <c r="O2988" i="1"/>
  <c r="P2988" i="1"/>
  <c r="Q2988" i="1"/>
  <c r="R2988" i="1"/>
  <c r="S2988" i="1"/>
  <c r="T2988" i="1"/>
  <c r="U2988" i="1"/>
  <c r="V2988" i="1"/>
  <c r="O2989" i="1"/>
  <c r="P2989" i="1"/>
  <c r="Q2989" i="1"/>
  <c r="R2989" i="1"/>
  <c r="S2989" i="1"/>
  <c r="T2989" i="1"/>
  <c r="U2989" i="1"/>
  <c r="V2989" i="1"/>
  <c r="O2990" i="1"/>
  <c r="P2990" i="1"/>
  <c r="Q2990" i="1"/>
  <c r="R2990" i="1"/>
  <c r="S2990" i="1"/>
  <c r="T2990" i="1"/>
  <c r="U2990" i="1"/>
  <c r="V2990" i="1"/>
  <c r="O2991" i="1"/>
  <c r="P2991" i="1"/>
  <c r="Q2991" i="1"/>
  <c r="R2991" i="1"/>
  <c r="S2991" i="1"/>
  <c r="T2991" i="1"/>
  <c r="U2991" i="1"/>
  <c r="V2991" i="1"/>
  <c r="O2992" i="1"/>
  <c r="P2992" i="1"/>
  <c r="Q2992" i="1"/>
  <c r="R2992" i="1"/>
  <c r="S2992" i="1"/>
  <c r="T2992" i="1"/>
  <c r="U2992" i="1"/>
  <c r="V2992" i="1"/>
  <c r="O2993" i="1"/>
  <c r="P2993" i="1"/>
  <c r="Q2993" i="1"/>
  <c r="R2993" i="1"/>
  <c r="S2993" i="1"/>
  <c r="T2993" i="1"/>
  <c r="U2993" i="1"/>
  <c r="V2993" i="1"/>
  <c r="O2994" i="1"/>
  <c r="P2994" i="1"/>
  <c r="Q2994" i="1"/>
  <c r="R2994" i="1"/>
  <c r="S2994" i="1"/>
  <c r="T2994" i="1"/>
  <c r="U2994" i="1"/>
  <c r="V2994" i="1"/>
  <c r="O2995" i="1"/>
  <c r="P2995" i="1"/>
  <c r="Q2995" i="1"/>
  <c r="R2995" i="1"/>
  <c r="S2995" i="1"/>
  <c r="T2995" i="1"/>
  <c r="U2995" i="1"/>
  <c r="V2995" i="1"/>
  <c r="O2996" i="1"/>
  <c r="P2996" i="1"/>
  <c r="Q2996" i="1"/>
  <c r="R2996" i="1"/>
  <c r="S2996" i="1"/>
  <c r="T2996" i="1"/>
  <c r="U2996" i="1"/>
  <c r="V2996" i="1"/>
  <c r="O2997" i="1"/>
  <c r="P2997" i="1"/>
  <c r="Q2997" i="1"/>
  <c r="R2997" i="1"/>
  <c r="S2997" i="1"/>
  <c r="T2997" i="1"/>
  <c r="U2997" i="1"/>
  <c r="V2997" i="1"/>
  <c r="O2998" i="1"/>
  <c r="P2998" i="1"/>
  <c r="Q2998" i="1"/>
  <c r="R2998" i="1"/>
  <c r="S2998" i="1"/>
  <c r="T2998" i="1"/>
  <c r="U2998" i="1"/>
  <c r="V2998" i="1"/>
  <c r="O2999" i="1"/>
  <c r="P2999" i="1"/>
  <c r="Q2999" i="1"/>
  <c r="R2999" i="1"/>
  <c r="S2999" i="1"/>
  <c r="T2999" i="1"/>
  <c r="U2999" i="1"/>
  <c r="V2999" i="1"/>
  <c r="O3000" i="1"/>
  <c r="P3000" i="1"/>
  <c r="Q3000" i="1"/>
  <c r="R3000" i="1"/>
  <c r="S3000" i="1"/>
  <c r="T3000" i="1"/>
  <c r="U3000" i="1"/>
  <c r="V3000" i="1"/>
  <c r="O3001" i="1"/>
  <c r="P3001" i="1"/>
  <c r="Q3001" i="1"/>
  <c r="R3001" i="1"/>
  <c r="S3001" i="1"/>
  <c r="T3001" i="1"/>
  <c r="U3001" i="1"/>
  <c r="V3001" i="1"/>
  <c r="O3002" i="1"/>
  <c r="P3002" i="1"/>
  <c r="Q3002" i="1"/>
  <c r="R3002" i="1"/>
  <c r="S3002" i="1"/>
  <c r="T3002" i="1"/>
  <c r="U3002" i="1"/>
  <c r="V3002" i="1"/>
  <c r="O3003" i="1"/>
  <c r="P3003" i="1"/>
  <c r="Q3003" i="1"/>
  <c r="R3003" i="1"/>
  <c r="S3003" i="1"/>
  <c r="T3003" i="1"/>
  <c r="U3003" i="1"/>
  <c r="V3003" i="1"/>
  <c r="O3004" i="1"/>
  <c r="P3004" i="1"/>
  <c r="Q3004" i="1"/>
  <c r="R3004" i="1"/>
  <c r="S3004" i="1"/>
  <c r="T3004" i="1"/>
  <c r="U3004" i="1"/>
  <c r="V3004" i="1"/>
  <c r="O3005" i="1"/>
  <c r="P3005" i="1"/>
  <c r="Q3005" i="1"/>
  <c r="R3005" i="1"/>
  <c r="S3005" i="1"/>
  <c r="T3005" i="1"/>
  <c r="U3005" i="1"/>
  <c r="V3005" i="1"/>
  <c r="O3006" i="1"/>
  <c r="P3006" i="1"/>
  <c r="Q3006" i="1"/>
  <c r="R3006" i="1"/>
  <c r="S3006" i="1"/>
  <c r="T3006" i="1"/>
  <c r="U3006" i="1"/>
  <c r="V3006" i="1"/>
  <c r="O3007" i="1"/>
  <c r="P3007" i="1"/>
  <c r="Q3007" i="1"/>
  <c r="R3007" i="1"/>
  <c r="S3007" i="1"/>
  <c r="T3007" i="1"/>
  <c r="U3007" i="1"/>
  <c r="V3007" i="1"/>
  <c r="O3008" i="1"/>
  <c r="P3008" i="1"/>
  <c r="Q3008" i="1"/>
  <c r="R3008" i="1"/>
  <c r="S3008" i="1"/>
  <c r="T3008" i="1"/>
  <c r="U3008" i="1"/>
  <c r="V3008" i="1"/>
  <c r="O3009" i="1"/>
  <c r="P3009" i="1"/>
  <c r="Q3009" i="1"/>
  <c r="R3009" i="1"/>
  <c r="S3009" i="1"/>
  <c r="T3009" i="1"/>
  <c r="U3009" i="1"/>
  <c r="V3009" i="1"/>
  <c r="O3010" i="1"/>
  <c r="P3010" i="1"/>
  <c r="Q3010" i="1"/>
  <c r="R3010" i="1"/>
  <c r="S3010" i="1"/>
  <c r="T3010" i="1"/>
  <c r="U3010" i="1"/>
  <c r="V3010" i="1"/>
  <c r="O3011" i="1"/>
  <c r="P3011" i="1"/>
  <c r="Q3011" i="1"/>
  <c r="R3011" i="1"/>
  <c r="S3011" i="1"/>
  <c r="T3011" i="1"/>
  <c r="U3011" i="1"/>
  <c r="V3011" i="1"/>
  <c r="O3012" i="1"/>
  <c r="P3012" i="1"/>
  <c r="Q3012" i="1"/>
  <c r="R3012" i="1"/>
  <c r="S3012" i="1"/>
  <c r="T3012" i="1"/>
  <c r="U3012" i="1"/>
  <c r="V3012" i="1"/>
  <c r="V12" i="1"/>
  <c r="U12" i="1"/>
  <c r="T12" i="1"/>
  <c r="S12" i="1"/>
  <c r="R12" i="1"/>
  <c r="Q12" i="1"/>
  <c r="P12" i="1"/>
  <c r="Y77" i="1"/>
  <c r="Y75" i="1"/>
  <c r="Y74" i="1"/>
  <c r="Y72" i="1"/>
  <c r="Y69" i="1"/>
  <c r="Y68" i="1"/>
  <c r="Y66" i="1"/>
  <c r="Y65" i="1"/>
  <c r="Y63" i="1"/>
  <c r="Y62" i="1"/>
  <c r="Y61" i="1"/>
  <c r="Y60" i="1"/>
  <c r="Y59" i="1"/>
  <c r="Y57" i="1"/>
  <c r="Y56" i="1"/>
  <c r="Y55" i="1"/>
  <c r="Y54" i="1"/>
  <c r="Y53" i="1"/>
  <c r="Y52" i="1"/>
  <c r="Y51" i="1"/>
  <c r="Y50" i="1"/>
  <c r="Y49" i="1"/>
  <c r="Y48" i="1"/>
  <c r="Y45" i="1"/>
  <c r="Y44" i="1"/>
  <c r="Y43" i="1"/>
  <c r="Y42" i="1"/>
  <c r="Y41" i="1"/>
  <c r="Y40" i="1"/>
  <c r="Y39" i="1"/>
  <c r="Y38" i="1"/>
  <c r="Y37" i="1"/>
  <c r="Y36" i="1"/>
  <c r="Y34" i="1"/>
  <c r="Y33" i="1"/>
  <c r="Y32" i="1"/>
  <c r="Y31" i="1"/>
  <c r="Y27" i="1"/>
  <c r="Y26" i="1"/>
  <c r="Y25" i="1"/>
  <c r="Y23" i="1"/>
  <c r="Y20" i="1"/>
  <c r="Y19" i="1"/>
  <c r="Y18" i="1"/>
  <c r="Y17" i="1"/>
  <c r="Y16" i="1"/>
  <c r="Y14" i="1"/>
  <c r="Y13" i="1"/>
  <c r="Y12" i="1"/>
  <c r="M13" i="1" l="1"/>
  <c r="M1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J2001" i="1"/>
  <c r="AJ2002" i="1"/>
  <c r="AJ2003" i="1"/>
  <c r="AJ2004" i="1"/>
  <c r="AJ2005" i="1"/>
  <c r="AJ2006" i="1"/>
  <c r="AJ2007" i="1"/>
  <c r="AJ2008" i="1"/>
  <c r="AJ2009" i="1"/>
  <c r="AJ2010" i="1"/>
  <c r="AJ2011" i="1"/>
  <c r="AJ2012" i="1"/>
  <c r="AJ2013" i="1"/>
  <c r="AJ2014" i="1"/>
  <c r="AJ2015" i="1"/>
  <c r="AJ2016" i="1"/>
  <c r="AJ2017" i="1"/>
  <c r="AJ2018" i="1"/>
  <c r="AJ2019" i="1"/>
  <c r="AJ2020" i="1"/>
  <c r="AJ2021" i="1"/>
  <c r="AJ2022" i="1"/>
  <c r="AJ2023" i="1"/>
  <c r="AJ2024" i="1"/>
  <c r="AJ2025" i="1"/>
  <c r="AJ2026" i="1"/>
  <c r="AJ2027" i="1"/>
  <c r="AJ2028" i="1"/>
  <c r="AJ2029" i="1"/>
  <c r="AJ2030" i="1"/>
  <c r="AJ2031" i="1"/>
  <c r="AJ2032" i="1"/>
  <c r="AJ2033" i="1"/>
  <c r="AJ2034" i="1"/>
  <c r="AJ2035" i="1"/>
  <c r="AJ2036" i="1"/>
  <c r="AJ2037" i="1"/>
  <c r="AJ2038" i="1"/>
  <c r="AJ2039" i="1"/>
  <c r="AJ2040" i="1"/>
  <c r="AJ2041" i="1"/>
  <c r="AJ2042" i="1"/>
  <c r="AJ2043" i="1"/>
  <c r="AJ2044" i="1"/>
  <c r="AJ2045" i="1"/>
  <c r="AJ2046" i="1"/>
  <c r="AJ2047" i="1"/>
  <c r="AJ2048" i="1"/>
  <c r="AJ2049" i="1"/>
  <c r="AJ2050" i="1"/>
  <c r="AJ2051" i="1"/>
  <c r="AJ2052" i="1"/>
  <c r="AJ2053" i="1"/>
  <c r="AJ2054" i="1"/>
  <c r="AJ2055" i="1"/>
  <c r="AJ2056" i="1"/>
  <c r="AJ2057" i="1"/>
  <c r="AJ2058" i="1"/>
  <c r="AJ2059" i="1"/>
  <c r="AJ2060" i="1"/>
  <c r="AJ2061" i="1"/>
  <c r="AJ2062" i="1"/>
  <c r="AJ2063" i="1"/>
  <c r="AJ2064" i="1"/>
  <c r="AJ2065" i="1"/>
  <c r="AJ2066" i="1"/>
  <c r="AJ2067" i="1"/>
  <c r="AJ2068" i="1"/>
  <c r="AJ2069" i="1"/>
  <c r="AJ2070" i="1"/>
  <c r="AJ2071" i="1"/>
  <c r="AJ2072" i="1"/>
  <c r="AJ2073" i="1"/>
  <c r="AJ2074" i="1"/>
  <c r="AJ2075" i="1"/>
  <c r="AJ2076" i="1"/>
  <c r="AJ2077" i="1"/>
  <c r="AJ2078" i="1"/>
  <c r="AJ2079" i="1"/>
  <c r="AJ2080" i="1"/>
  <c r="AJ2081" i="1"/>
  <c r="AJ2082" i="1"/>
  <c r="AJ2083" i="1"/>
  <c r="AJ2084" i="1"/>
  <c r="AJ2085" i="1"/>
  <c r="AJ2086" i="1"/>
  <c r="AJ2087" i="1"/>
  <c r="AJ2088" i="1"/>
  <c r="AJ2089" i="1"/>
  <c r="AJ2090" i="1"/>
  <c r="AJ2091" i="1"/>
  <c r="AJ2092" i="1"/>
  <c r="AJ2093" i="1"/>
  <c r="AJ2094" i="1"/>
  <c r="AJ2095" i="1"/>
  <c r="AJ2096" i="1"/>
  <c r="AJ2097" i="1"/>
  <c r="AJ2098" i="1"/>
  <c r="AJ2099" i="1"/>
  <c r="AJ2100" i="1"/>
  <c r="AJ2101" i="1"/>
  <c r="AJ2102" i="1"/>
  <c r="AJ2103" i="1"/>
  <c r="AJ2104" i="1"/>
  <c r="AJ2105" i="1"/>
  <c r="AJ2106" i="1"/>
  <c r="AJ2107" i="1"/>
  <c r="AJ2108" i="1"/>
  <c r="AJ2109" i="1"/>
  <c r="AJ2110" i="1"/>
  <c r="AJ2111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J2176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1" i="1"/>
  <c r="AJ2192" i="1"/>
  <c r="AJ2193" i="1"/>
  <c r="AJ2194" i="1"/>
  <c r="AJ2195" i="1"/>
  <c r="AJ2196" i="1"/>
  <c r="AJ2197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J2231" i="1"/>
  <c r="AJ2232" i="1"/>
  <c r="AJ2233" i="1"/>
  <c r="AJ2234" i="1"/>
  <c r="AJ2235" i="1"/>
  <c r="AJ2236" i="1"/>
  <c r="AJ2237" i="1"/>
  <c r="AJ2238" i="1"/>
  <c r="AJ2239" i="1"/>
  <c r="AJ2240" i="1"/>
  <c r="AJ2241" i="1"/>
  <c r="AJ2242" i="1"/>
  <c r="AJ2243" i="1"/>
  <c r="AJ2244" i="1"/>
  <c r="AJ2245" i="1"/>
  <c r="AJ2246" i="1"/>
  <c r="AJ2247" i="1"/>
  <c r="AJ2248" i="1"/>
  <c r="AJ2249" i="1"/>
  <c r="AJ2250" i="1"/>
  <c r="AJ2251" i="1"/>
  <c r="AJ2252" i="1"/>
  <c r="AJ2253" i="1"/>
  <c r="AJ2254" i="1"/>
  <c r="AJ2255" i="1"/>
  <c r="AJ2256" i="1"/>
  <c r="AJ2257" i="1"/>
  <c r="AJ2258" i="1"/>
  <c r="AJ2259" i="1"/>
  <c r="AJ2260" i="1"/>
  <c r="AJ2261" i="1"/>
  <c r="AJ2262" i="1"/>
  <c r="AJ2263" i="1"/>
  <c r="AJ2264" i="1"/>
  <c r="AJ2265" i="1"/>
  <c r="AJ2266" i="1"/>
  <c r="AJ2267" i="1"/>
  <c r="AJ2268" i="1"/>
  <c r="AJ2269" i="1"/>
  <c r="AJ2270" i="1"/>
  <c r="AJ2271" i="1"/>
  <c r="AJ2272" i="1"/>
  <c r="AJ2273" i="1"/>
  <c r="AJ2274" i="1"/>
  <c r="AJ2275" i="1"/>
  <c r="AJ2276" i="1"/>
  <c r="AJ2277" i="1"/>
  <c r="AJ2278" i="1"/>
  <c r="AJ2279" i="1"/>
  <c r="AJ2280" i="1"/>
  <c r="AJ2281" i="1"/>
  <c r="AJ2282" i="1"/>
  <c r="AJ2283" i="1"/>
  <c r="AJ2284" i="1"/>
  <c r="AJ2285" i="1"/>
  <c r="AJ2286" i="1"/>
  <c r="AJ2287" i="1"/>
  <c r="AJ2288" i="1"/>
  <c r="AJ2289" i="1"/>
  <c r="AJ2290" i="1"/>
  <c r="AJ2291" i="1"/>
  <c r="AJ2292" i="1"/>
  <c r="AJ2293" i="1"/>
  <c r="AJ2294" i="1"/>
  <c r="AJ2295" i="1"/>
  <c r="AJ2296" i="1"/>
  <c r="AJ2297" i="1"/>
  <c r="AJ2298" i="1"/>
  <c r="AJ2299" i="1"/>
  <c r="AJ2300" i="1"/>
  <c r="AJ2301" i="1"/>
  <c r="AJ2302" i="1"/>
  <c r="AJ2303" i="1"/>
  <c r="AJ2304" i="1"/>
  <c r="AJ2305" i="1"/>
  <c r="AJ2306" i="1"/>
  <c r="AJ2307" i="1"/>
  <c r="AJ2308" i="1"/>
  <c r="AJ2309" i="1"/>
  <c r="AJ2310" i="1"/>
  <c r="AJ2311" i="1"/>
  <c r="AJ2312" i="1"/>
  <c r="AJ2313" i="1"/>
  <c r="AJ2314" i="1"/>
  <c r="AJ2315" i="1"/>
  <c r="AJ2316" i="1"/>
  <c r="AJ2317" i="1"/>
  <c r="AJ2318" i="1"/>
  <c r="AJ2319" i="1"/>
  <c r="AJ2320" i="1"/>
  <c r="AJ2321" i="1"/>
  <c r="AJ2322" i="1"/>
  <c r="AJ2323" i="1"/>
  <c r="AJ2324" i="1"/>
  <c r="AJ2325" i="1"/>
  <c r="AJ2326" i="1"/>
  <c r="AJ2327" i="1"/>
  <c r="AJ2328" i="1"/>
  <c r="AJ2329" i="1"/>
  <c r="AJ2330" i="1"/>
  <c r="AJ2331" i="1"/>
  <c r="AJ2332" i="1"/>
  <c r="AJ2333" i="1"/>
  <c r="AJ2334" i="1"/>
  <c r="AJ2335" i="1"/>
  <c r="AJ2336" i="1"/>
  <c r="AJ2337" i="1"/>
  <c r="AJ2338" i="1"/>
  <c r="AJ2339" i="1"/>
  <c r="AJ2340" i="1"/>
  <c r="AJ2341" i="1"/>
  <c r="AJ2342" i="1"/>
  <c r="AJ2343" i="1"/>
  <c r="AJ2344" i="1"/>
  <c r="AJ2345" i="1"/>
  <c r="AJ2346" i="1"/>
  <c r="AJ2347" i="1"/>
  <c r="AJ2348" i="1"/>
  <c r="AJ2349" i="1"/>
  <c r="AJ2350" i="1"/>
  <c r="AJ2351" i="1"/>
  <c r="AJ2352" i="1"/>
  <c r="AJ2353" i="1"/>
  <c r="AJ2354" i="1"/>
  <c r="AJ2355" i="1"/>
  <c r="AJ2356" i="1"/>
  <c r="AJ2357" i="1"/>
  <c r="AJ2358" i="1"/>
  <c r="AJ2359" i="1"/>
  <c r="AJ2360" i="1"/>
  <c r="AJ2361" i="1"/>
  <c r="AJ2362" i="1"/>
  <c r="AJ2363" i="1"/>
  <c r="AJ2364" i="1"/>
  <c r="AJ2365" i="1"/>
  <c r="AJ2366" i="1"/>
  <c r="AJ2367" i="1"/>
  <c r="AJ2368" i="1"/>
  <c r="AJ2369" i="1"/>
  <c r="AJ2370" i="1"/>
  <c r="AJ2371" i="1"/>
  <c r="AJ2372" i="1"/>
  <c r="AJ2373" i="1"/>
  <c r="AJ2374" i="1"/>
  <c r="AJ2375" i="1"/>
  <c r="AJ2376" i="1"/>
  <c r="AJ2377" i="1"/>
  <c r="AJ2378" i="1"/>
  <c r="AJ2379" i="1"/>
  <c r="AJ2380" i="1"/>
  <c r="AJ2381" i="1"/>
  <c r="AJ2382" i="1"/>
  <c r="AJ2383" i="1"/>
  <c r="AJ2384" i="1"/>
  <c r="AJ2385" i="1"/>
  <c r="AJ2386" i="1"/>
  <c r="AJ2387" i="1"/>
  <c r="AJ2388" i="1"/>
  <c r="AJ2389" i="1"/>
  <c r="AJ2390" i="1"/>
  <c r="AJ2391" i="1"/>
  <c r="AJ2392" i="1"/>
  <c r="AJ2393" i="1"/>
  <c r="AJ2394" i="1"/>
  <c r="AJ2395" i="1"/>
  <c r="AJ2396" i="1"/>
  <c r="AJ2397" i="1"/>
  <c r="AJ2398" i="1"/>
  <c r="AJ2399" i="1"/>
  <c r="AJ2400" i="1"/>
  <c r="AJ2401" i="1"/>
  <c r="AJ2402" i="1"/>
  <c r="AJ2403" i="1"/>
  <c r="AJ2404" i="1"/>
  <c r="AJ2405" i="1"/>
  <c r="AJ2406" i="1"/>
  <c r="AJ2407" i="1"/>
  <c r="AJ2408" i="1"/>
  <c r="AJ2409" i="1"/>
  <c r="AJ2410" i="1"/>
  <c r="AJ2411" i="1"/>
  <c r="AJ2412" i="1"/>
  <c r="AJ2413" i="1"/>
  <c r="AJ2414" i="1"/>
  <c r="AJ2415" i="1"/>
  <c r="AJ2416" i="1"/>
  <c r="AJ2417" i="1"/>
  <c r="AJ2418" i="1"/>
  <c r="AJ2419" i="1"/>
  <c r="AJ2420" i="1"/>
  <c r="AJ2421" i="1"/>
  <c r="AJ2422" i="1"/>
  <c r="AJ2423" i="1"/>
  <c r="AJ2424" i="1"/>
  <c r="AJ2425" i="1"/>
  <c r="AJ2426" i="1"/>
  <c r="AJ2427" i="1"/>
  <c r="AJ2428" i="1"/>
  <c r="AJ2429" i="1"/>
  <c r="AJ2430" i="1"/>
  <c r="AJ2431" i="1"/>
  <c r="AJ2432" i="1"/>
  <c r="AJ2433" i="1"/>
  <c r="AJ2434" i="1"/>
  <c r="AJ2435" i="1"/>
  <c r="AJ2436" i="1"/>
  <c r="AJ2437" i="1"/>
  <c r="AJ2438" i="1"/>
  <c r="AJ2439" i="1"/>
  <c r="AJ2440" i="1"/>
  <c r="AJ2441" i="1"/>
  <c r="AJ2442" i="1"/>
  <c r="AJ2443" i="1"/>
  <c r="AJ2444" i="1"/>
  <c r="AJ2445" i="1"/>
  <c r="AJ2446" i="1"/>
  <c r="AJ2447" i="1"/>
  <c r="AJ2448" i="1"/>
  <c r="AJ2449" i="1"/>
  <c r="AJ2450" i="1"/>
  <c r="AJ2451" i="1"/>
  <c r="AJ2452" i="1"/>
  <c r="AJ2453" i="1"/>
  <c r="AJ2454" i="1"/>
  <c r="AJ2455" i="1"/>
  <c r="AJ2456" i="1"/>
  <c r="AJ2457" i="1"/>
  <c r="AJ2458" i="1"/>
  <c r="AJ2459" i="1"/>
  <c r="AJ2460" i="1"/>
  <c r="AJ2461" i="1"/>
  <c r="AJ2462" i="1"/>
  <c r="AJ2463" i="1"/>
  <c r="AJ2464" i="1"/>
  <c r="AJ2465" i="1"/>
  <c r="AJ2466" i="1"/>
  <c r="AJ2467" i="1"/>
  <c r="AJ2468" i="1"/>
  <c r="AJ2469" i="1"/>
  <c r="AJ2470" i="1"/>
  <c r="AJ2471" i="1"/>
  <c r="AJ2472" i="1"/>
  <c r="AJ2473" i="1"/>
  <c r="AJ2474" i="1"/>
  <c r="AJ2475" i="1"/>
  <c r="AJ2476" i="1"/>
  <c r="AJ2477" i="1"/>
  <c r="AJ2478" i="1"/>
  <c r="AJ2479" i="1"/>
  <c r="AJ2480" i="1"/>
  <c r="AJ2481" i="1"/>
  <c r="AJ2482" i="1"/>
  <c r="AJ2483" i="1"/>
  <c r="AJ2484" i="1"/>
  <c r="AJ2485" i="1"/>
  <c r="AJ2486" i="1"/>
  <c r="AJ2487" i="1"/>
  <c r="AJ2488" i="1"/>
  <c r="AJ2489" i="1"/>
  <c r="AJ2490" i="1"/>
  <c r="AJ2491" i="1"/>
  <c r="AJ2492" i="1"/>
  <c r="AJ2493" i="1"/>
  <c r="AJ2494" i="1"/>
  <c r="AJ2495" i="1"/>
  <c r="AJ2496" i="1"/>
  <c r="AJ2497" i="1"/>
  <c r="AJ2498" i="1"/>
  <c r="AJ2499" i="1"/>
  <c r="AJ2500" i="1"/>
  <c r="AJ2501" i="1"/>
  <c r="AJ2502" i="1"/>
  <c r="AJ2503" i="1"/>
  <c r="AJ2504" i="1"/>
  <c r="AJ2505" i="1"/>
  <c r="AJ2506" i="1"/>
  <c r="AJ2507" i="1"/>
  <c r="AJ2508" i="1"/>
  <c r="AJ2509" i="1"/>
  <c r="AJ2510" i="1"/>
  <c r="AJ2511" i="1"/>
  <c r="AJ2512" i="1"/>
  <c r="AJ2513" i="1"/>
  <c r="AJ2514" i="1"/>
  <c r="AJ2515" i="1"/>
  <c r="AJ2516" i="1"/>
  <c r="AJ2517" i="1"/>
  <c r="AJ2518" i="1"/>
  <c r="AJ2519" i="1"/>
  <c r="AJ2520" i="1"/>
  <c r="AJ2521" i="1"/>
  <c r="AJ2522" i="1"/>
  <c r="AJ2523" i="1"/>
  <c r="AJ2524" i="1"/>
  <c r="AJ2525" i="1"/>
  <c r="AJ2526" i="1"/>
  <c r="AJ2527" i="1"/>
  <c r="AJ2528" i="1"/>
  <c r="AJ2529" i="1"/>
  <c r="AJ2530" i="1"/>
  <c r="AJ2531" i="1"/>
  <c r="AJ2532" i="1"/>
  <c r="AJ2533" i="1"/>
  <c r="AJ2534" i="1"/>
  <c r="AJ2535" i="1"/>
  <c r="AJ2536" i="1"/>
  <c r="AJ2537" i="1"/>
  <c r="AJ2538" i="1"/>
  <c r="AJ2539" i="1"/>
  <c r="AJ2540" i="1"/>
  <c r="AJ2541" i="1"/>
  <c r="AJ2542" i="1"/>
  <c r="AJ2543" i="1"/>
  <c r="AJ2544" i="1"/>
  <c r="AJ2545" i="1"/>
  <c r="AJ2546" i="1"/>
  <c r="AJ2547" i="1"/>
  <c r="AJ2548" i="1"/>
  <c r="AJ2549" i="1"/>
  <c r="AJ2550" i="1"/>
  <c r="AJ2551" i="1"/>
  <c r="AJ2552" i="1"/>
  <c r="AJ2553" i="1"/>
  <c r="AJ2554" i="1"/>
  <c r="AJ2555" i="1"/>
  <c r="AJ2556" i="1"/>
  <c r="AJ2557" i="1"/>
  <c r="AJ2558" i="1"/>
  <c r="AJ2559" i="1"/>
  <c r="AJ2560" i="1"/>
  <c r="AJ2561" i="1"/>
  <c r="AJ2562" i="1"/>
  <c r="AJ2563" i="1"/>
  <c r="AJ2564" i="1"/>
  <c r="AJ2565" i="1"/>
  <c r="AJ2566" i="1"/>
  <c r="AJ2567" i="1"/>
  <c r="AJ2568" i="1"/>
  <c r="AJ2569" i="1"/>
  <c r="AJ2570" i="1"/>
  <c r="AJ2571" i="1"/>
  <c r="AJ2572" i="1"/>
  <c r="AJ2573" i="1"/>
  <c r="AJ2574" i="1"/>
  <c r="AJ2575" i="1"/>
  <c r="AJ2576" i="1"/>
  <c r="AJ2577" i="1"/>
  <c r="AJ2578" i="1"/>
  <c r="AJ2579" i="1"/>
  <c r="AJ2580" i="1"/>
  <c r="AJ2581" i="1"/>
  <c r="AJ2582" i="1"/>
  <c r="AJ2583" i="1"/>
  <c r="AJ2584" i="1"/>
  <c r="AJ2585" i="1"/>
  <c r="AJ2586" i="1"/>
  <c r="AJ2587" i="1"/>
  <c r="AJ2588" i="1"/>
  <c r="AJ2589" i="1"/>
  <c r="AJ2590" i="1"/>
  <c r="AJ2591" i="1"/>
  <c r="AJ2592" i="1"/>
  <c r="AJ2593" i="1"/>
  <c r="AJ2594" i="1"/>
  <c r="AJ2595" i="1"/>
  <c r="AJ2596" i="1"/>
  <c r="AJ2597" i="1"/>
  <c r="AJ2598" i="1"/>
  <c r="AJ2599" i="1"/>
  <c r="AJ2600" i="1"/>
  <c r="AJ2601" i="1"/>
  <c r="AJ2602" i="1"/>
  <c r="AJ2603" i="1"/>
  <c r="AJ2604" i="1"/>
  <c r="AJ2605" i="1"/>
  <c r="AJ2606" i="1"/>
  <c r="AJ2607" i="1"/>
  <c r="AJ2608" i="1"/>
  <c r="AJ2609" i="1"/>
  <c r="AJ2610" i="1"/>
  <c r="AJ2611" i="1"/>
  <c r="AJ2612" i="1"/>
  <c r="AJ2613" i="1"/>
  <c r="AJ2614" i="1"/>
  <c r="AJ2615" i="1"/>
  <c r="AJ2616" i="1"/>
  <c r="AJ2617" i="1"/>
  <c r="AJ2618" i="1"/>
  <c r="AJ2619" i="1"/>
  <c r="AJ2620" i="1"/>
  <c r="AJ2621" i="1"/>
  <c r="AJ2622" i="1"/>
  <c r="AJ2623" i="1"/>
  <c r="AJ2624" i="1"/>
  <c r="AJ2625" i="1"/>
  <c r="AJ2626" i="1"/>
  <c r="AJ2627" i="1"/>
  <c r="AJ2628" i="1"/>
  <c r="AJ2629" i="1"/>
  <c r="AJ2630" i="1"/>
  <c r="AJ2631" i="1"/>
  <c r="AJ2632" i="1"/>
  <c r="AJ2633" i="1"/>
  <c r="AJ2634" i="1"/>
  <c r="AJ2635" i="1"/>
  <c r="AJ2636" i="1"/>
  <c r="AJ2637" i="1"/>
  <c r="AJ2638" i="1"/>
  <c r="AJ2639" i="1"/>
  <c r="AJ2640" i="1"/>
  <c r="AJ2641" i="1"/>
  <c r="AJ2642" i="1"/>
  <c r="AJ2643" i="1"/>
  <c r="AJ2644" i="1"/>
  <c r="AJ2645" i="1"/>
  <c r="AJ2646" i="1"/>
  <c r="AJ2647" i="1"/>
  <c r="AJ2648" i="1"/>
  <c r="AJ2649" i="1"/>
  <c r="AJ2650" i="1"/>
  <c r="AJ2651" i="1"/>
  <c r="AJ2652" i="1"/>
  <c r="AJ2653" i="1"/>
  <c r="AJ2654" i="1"/>
  <c r="AJ2655" i="1"/>
  <c r="AJ2656" i="1"/>
  <c r="AJ2657" i="1"/>
  <c r="AJ2658" i="1"/>
  <c r="AJ2659" i="1"/>
  <c r="AJ2660" i="1"/>
  <c r="AJ2661" i="1"/>
  <c r="AJ2662" i="1"/>
  <c r="AJ2663" i="1"/>
  <c r="AJ2664" i="1"/>
  <c r="AJ2665" i="1"/>
  <c r="AJ2666" i="1"/>
  <c r="AJ2667" i="1"/>
  <c r="AJ2668" i="1"/>
  <c r="AJ2669" i="1"/>
  <c r="AJ2670" i="1"/>
  <c r="AJ2671" i="1"/>
  <c r="AJ2672" i="1"/>
  <c r="AJ2673" i="1"/>
  <c r="AJ2674" i="1"/>
  <c r="AJ2675" i="1"/>
  <c r="AJ2676" i="1"/>
  <c r="AJ2677" i="1"/>
  <c r="AJ2678" i="1"/>
  <c r="AJ2679" i="1"/>
  <c r="AJ2680" i="1"/>
  <c r="AJ2681" i="1"/>
  <c r="AJ2682" i="1"/>
  <c r="AJ2683" i="1"/>
  <c r="AJ2684" i="1"/>
  <c r="AJ2685" i="1"/>
  <c r="AJ2686" i="1"/>
  <c r="AJ2687" i="1"/>
  <c r="AJ2688" i="1"/>
  <c r="AJ2689" i="1"/>
  <c r="AJ2690" i="1"/>
  <c r="AJ2691" i="1"/>
  <c r="AJ2692" i="1"/>
  <c r="AJ2693" i="1"/>
  <c r="AJ2694" i="1"/>
  <c r="AJ2695" i="1"/>
  <c r="AJ2696" i="1"/>
  <c r="AJ2697" i="1"/>
  <c r="AJ2698" i="1"/>
  <c r="AJ2699" i="1"/>
  <c r="AJ2700" i="1"/>
  <c r="AJ2701" i="1"/>
  <c r="AJ2702" i="1"/>
  <c r="AJ2703" i="1"/>
  <c r="AJ2704" i="1"/>
  <c r="AJ2705" i="1"/>
  <c r="AJ2706" i="1"/>
  <c r="AJ2707" i="1"/>
  <c r="AJ2708" i="1"/>
  <c r="AJ2709" i="1"/>
  <c r="AJ2710" i="1"/>
  <c r="AJ2711" i="1"/>
  <c r="AJ2712" i="1"/>
  <c r="AJ2713" i="1"/>
  <c r="AJ2714" i="1"/>
  <c r="AJ2715" i="1"/>
  <c r="AJ2716" i="1"/>
  <c r="AJ2717" i="1"/>
  <c r="AJ2718" i="1"/>
  <c r="AJ2719" i="1"/>
  <c r="AJ2720" i="1"/>
  <c r="AJ2721" i="1"/>
  <c r="AJ2722" i="1"/>
  <c r="AJ2723" i="1"/>
  <c r="AJ2724" i="1"/>
  <c r="AJ2725" i="1"/>
  <c r="AJ2726" i="1"/>
  <c r="AJ2727" i="1"/>
  <c r="AJ2728" i="1"/>
  <c r="AJ2729" i="1"/>
  <c r="AJ2730" i="1"/>
  <c r="AJ2731" i="1"/>
  <c r="AJ2732" i="1"/>
  <c r="AJ2733" i="1"/>
  <c r="AJ2734" i="1"/>
  <c r="AJ2735" i="1"/>
  <c r="AJ2736" i="1"/>
  <c r="AJ2737" i="1"/>
  <c r="AJ2738" i="1"/>
  <c r="AJ2739" i="1"/>
  <c r="AJ2740" i="1"/>
  <c r="AJ2741" i="1"/>
  <c r="AJ2742" i="1"/>
  <c r="AJ2743" i="1"/>
  <c r="AJ2744" i="1"/>
  <c r="AJ2745" i="1"/>
  <c r="AJ2746" i="1"/>
  <c r="AJ2747" i="1"/>
  <c r="AJ2748" i="1"/>
  <c r="AJ2749" i="1"/>
  <c r="AJ2750" i="1"/>
  <c r="AJ2751" i="1"/>
  <c r="AJ2752" i="1"/>
  <c r="AJ2753" i="1"/>
  <c r="AJ2754" i="1"/>
  <c r="AJ2755" i="1"/>
  <c r="AJ2756" i="1"/>
  <c r="AJ2757" i="1"/>
  <c r="AJ2758" i="1"/>
  <c r="AJ2759" i="1"/>
  <c r="AJ2760" i="1"/>
  <c r="AJ2761" i="1"/>
  <c r="AJ2762" i="1"/>
  <c r="AJ2763" i="1"/>
  <c r="AJ2764" i="1"/>
  <c r="AJ2765" i="1"/>
  <c r="AJ2766" i="1"/>
  <c r="AJ2767" i="1"/>
  <c r="AJ2768" i="1"/>
  <c r="AJ2769" i="1"/>
  <c r="AJ2770" i="1"/>
  <c r="AJ2771" i="1"/>
  <c r="AJ2772" i="1"/>
  <c r="AJ2773" i="1"/>
  <c r="AJ2774" i="1"/>
  <c r="AJ2775" i="1"/>
  <c r="AJ2776" i="1"/>
  <c r="AJ2777" i="1"/>
  <c r="AJ2778" i="1"/>
  <c r="AJ2779" i="1"/>
  <c r="AJ2780" i="1"/>
  <c r="AJ2781" i="1"/>
  <c r="AJ2782" i="1"/>
  <c r="AJ2783" i="1"/>
  <c r="AJ2784" i="1"/>
  <c r="AJ2785" i="1"/>
  <c r="AJ2786" i="1"/>
  <c r="AJ2787" i="1"/>
  <c r="AJ2788" i="1"/>
  <c r="AJ2789" i="1"/>
  <c r="AJ2790" i="1"/>
  <c r="AJ2791" i="1"/>
  <c r="AJ2792" i="1"/>
  <c r="AJ2793" i="1"/>
  <c r="AJ2794" i="1"/>
  <c r="AJ2795" i="1"/>
  <c r="AJ2796" i="1"/>
  <c r="AJ2797" i="1"/>
  <c r="AJ2798" i="1"/>
  <c r="AJ2799" i="1"/>
  <c r="AJ2800" i="1"/>
  <c r="AJ2801" i="1"/>
  <c r="AJ2802" i="1"/>
  <c r="AJ2803" i="1"/>
  <c r="AJ2804" i="1"/>
  <c r="AJ2805" i="1"/>
  <c r="AJ2806" i="1"/>
  <c r="AJ2807" i="1"/>
  <c r="AJ2808" i="1"/>
  <c r="AJ2809" i="1"/>
  <c r="AJ2810" i="1"/>
  <c r="AJ2811" i="1"/>
  <c r="AJ2812" i="1"/>
  <c r="AJ2813" i="1"/>
  <c r="AJ2814" i="1"/>
  <c r="AJ2815" i="1"/>
  <c r="AJ2816" i="1"/>
  <c r="AJ2817" i="1"/>
  <c r="AJ2818" i="1"/>
  <c r="AJ2819" i="1"/>
  <c r="AJ2820" i="1"/>
  <c r="AJ2821" i="1"/>
  <c r="AJ2822" i="1"/>
  <c r="AJ2823" i="1"/>
  <c r="AJ2824" i="1"/>
  <c r="AJ2825" i="1"/>
  <c r="AJ2826" i="1"/>
  <c r="AJ2827" i="1"/>
  <c r="AJ2828" i="1"/>
  <c r="AJ2829" i="1"/>
  <c r="AJ2830" i="1"/>
  <c r="AJ2831" i="1"/>
  <c r="AJ2832" i="1"/>
  <c r="AJ2833" i="1"/>
  <c r="AJ2834" i="1"/>
  <c r="AJ2835" i="1"/>
  <c r="AJ2836" i="1"/>
  <c r="AJ2837" i="1"/>
  <c r="AJ2838" i="1"/>
  <c r="AJ2839" i="1"/>
  <c r="AJ2840" i="1"/>
  <c r="AJ2841" i="1"/>
  <c r="AJ2842" i="1"/>
  <c r="AJ2843" i="1"/>
  <c r="AJ2844" i="1"/>
  <c r="AJ2845" i="1"/>
  <c r="AJ2846" i="1"/>
  <c r="AJ2847" i="1"/>
  <c r="AJ2848" i="1"/>
  <c r="AJ2849" i="1"/>
  <c r="AJ2850" i="1"/>
  <c r="AJ2851" i="1"/>
  <c r="AJ2852" i="1"/>
  <c r="AJ2853" i="1"/>
  <c r="AJ2854" i="1"/>
  <c r="AJ2855" i="1"/>
  <c r="AJ2856" i="1"/>
  <c r="AJ2857" i="1"/>
  <c r="AJ2858" i="1"/>
  <c r="AJ2859" i="1"/>
  <c r="AJ2860" i="1"/>
  <c r="AJ2861" i="1"/>
  <c r="AJ2862" i="1"/>
  <c r="AJ2863" i="1"/>
  <c r="AJ2864" i="1"/>
  <c r="AJ2865" i="1"/>
  <c r="AJ2866" i="1"/>
  <c r="AJ2867" i="1"/>
  <c r="AJ2868" i="1"/>
  <c r="AJ2869" i="1"/>
  <c r="AJ2870" i="1"/>
  <c r="AJ2871" i="1"/>
  <c r="AJ2872" i="1"/>
  <c r="AJ2873" i="1"/>
  <c r="AJ2874" i="1"/>
  <c r="AJ2875" i="1"/>
  <c r="AJ2876" i="1"/>
  <c r="AJ2877" i="1"/>
  <c r="AJ2878" i="1"/>
  <c r="AJ2879" i="1"/>
  <c r="AJ2880" i="1"/>
  <c r="AJ2881" i="1"/>
  <c r="AJ2882" i="1"/>
  <c r="AJ2883" i="1"/>
  <c r="AJ2884" i="1"/>
  <c r="AJ2885" i="1"/>
  <c r="AJ2886" i="1"/>
  <c r="AJ2887" i="1"/>
  <c r="AJ2888" i="1"/>
  <c r="AJ2889" i="1"/>
  <c r="AJ2890" i="1"/>
  <c r="AJ2891" i="1"/>
  <c r="AJ2892" i="1"/>
  <c r="AJ2893" i="1"/>
  <c r="AJ2894" i="1"/>
  <c r="AJ2895" i="1"/>
  <c r="AJ2896" i="1"/>
  <c r="AJ2897" i="1"/>
  <c r="AJ2898" i="1"/>
  <c r="AJ2899" i="1"/>
  <c r="AJ2900" i="1"/>
  <c r="AJ2901" i="1"/>
  <c r="AJ2902" i="1"/>
  <c r="AJ2903" i="1"/>
  <c r="AJ2904" i="1"/>
  <c r="AJ2905" i="1"/>
  <c r="AJ2906" i="1"/>
  <c r="AJ2907" i="1"/>
  <c r="AJ2908" i="1"/>
  <c r="AJ2909" i="1"/>
  <c r="AJ2910" i="1"/>
  <c r="AJ2911" i="1"/>
  <c r="AJ2912" i="1"/>
  <c r="AJ2913" i="1"/>
  <c r="AJ2914" i="1"/>
  <c r="AJ2915" i="1"/>
  <c r="AJ2916" i="1"/>
  <c r="AJ2917" i="1"/>
  <c r="AJ2918" i="1"/>
  <c r="AJ2919" i="1"/>
  <c r="AJ2920" i="1"/>
  <c r="AJ2921" i="1"/>
  <c r="AJ2922" i="1"/>
  <c r="AJ2923" i="1"/>
  <c r="AJ2924" i="1"/>
  <c r="AJ2925" i="1"/>
  <c r="AJ2926" i="1"/>
  <c r="AJ2927" i="1"/>
  <c r="AJ2928" i="1"/>
  <c r="AJ2929" i="1"/>
  <c r="AJ2930" i="1"/>
  <c r="AJ2931" i="1"/>
  <c r="AJ2932" i="1"/>
  <c r="AJ2933" i="1"/>
  <c r="AJ2934" i="1"/>
  <c r="AJ2935" i="1"/>
  <c r="AJ2936" i="1"/>
  <c r="AJ2937" i="1"/>
  <c r="AJ2938" i="1"/>
  <c r="AJ2939" i="1"/>
  <c r="AJ2940" i="1"/>
  <c r="AJ2941" i="1"/>
  <c r="AJ2942" i="1"/>
  <c r="AJ2943" i="1"/>
  <c r="AJ2944" i="1"/>
  <c r="AJ2945" i="1"/>
  <c r="AJ2946" i="1"/>
  <c r="AJ2947" i="1"/>
  <c r="AJ2948" i="1"/>
  <c r="AJ2949" i="1"/>
  <c r="AJ2950" i="1"/>
  <c r="AJ2951" i="1"/>
  <c r="AJ2952" i="1"/>
  <c r="AJ2953" i="1"/>
  <c r="AJ2954" i="1"/>
  <c r="AJ2955" i="1"/>
  <c r="AJ2956" i="1"/>
  <c r="AJ2957" i="1"/>
  <c r="AJ2958" i="1"/>
  <c r="AJ2959" i="1"/>
  <c r="AJ2960" i="1"/>
  <c r="AJ2961" i="1"/>
  <c r="AJ2962" i="1"/>
  <c r="AJ2963" i="1"/>
  <c r="AJ2964" i="1"/>
  <c r="AJ2965" i="1"/>
  <c r="AJ2966" i="1"/>
  <c r="AJ2967" i="1"/>
  <c r="AJ2968" i="1"/>
  <c r="AJ2969" i="1"/>
  <c r="AJ2970" i="1"/>
  <c r="AJ2971" i="1"/>
  <c r="AJ2972" i="1"/>
  <c r="AJ2973" i="1"/>
  <c r="AJ2974" i="1"/>
  <c r="AJ2975" i="1"/>
  <c r="AJ2976" i="1"/>
  <c r="AJ2977" i="1"/>
  <c r="AJ2978" i="1"/>
  <c r="AJ2979" i="1"/>
  <c r="AJ2980" i="1"/>
  <c r="AJ2981" i="1"/>
  <c r="AJ2982" i="1"/>
  <c r="AJ2983" i="1"/>
  <c r="AJ2984" i="1"/>
  <c r="AJ2985" i="1"/>
  <c r="AJ2986" i="1"/>
  <c r="AJ2987" i="1"/>
  <c r="AJ2988" i="1"/>
  <c r="AJ2989" i="1"/>
  <c r="AJ2990" i="1"/>
  <c r="AJ2991" i="1"/>
  <c r="AJ2992" i="1"/>
  <c r="AJ2993" i="1"/>
  <c r="AJ2994" i="1"/>
  <c r="AJ2995" i="1"/>
  <c r="AJ2996" i="1"/>
  <c r="AJ2997" i="1"/>
  <c r="AJ2998" i="1"/>
  <c r="AJ2999" i="1"/>
  <c r="AJ3000" i="1"/>
  <c r="AJ3001" i="1"/>
  <c r="AJ3002" i="1"/>
  <c r="AJ3003" i="1"/>
  <c r="AJ3004" i="1"/>
  <c r="AJ3005" i="1"/>
  <c r="AJ3006" i="1"/>
  <c r="AJ3007" i="1"/>
  <c r="AJ3008" i="1"/>
  <c r="AJ3009" i="1"/>
  <c r="AJ3010" i="1"/>
  <c r="AJ3011" i="1"/>
  <c r="AJ30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12" i="1"/>
  <c r="K37" i="1"/>
  <c r="K430" i="1"/>
  <c r="K549" i="1"/>
  <c r="L549" i="1"/>
  <c r="K554" i="1"/>
  <c r="L554" i="1"/>
  <c r="K562" i="1"/>
  <c r="L562" i="1"/>
  <c r="K568" i="1"/>
  <c r="L568" i="1"/>
  <c r="K570" i="1"/>
  <c r="L570" i="1"/>
  <c r="K581" i="1"/>
  <c r="L581" i="1"/>
  <c r="L582" i="1"/>
  <c r="K583" i="1"/>
  <c r="L583" i="1"/>
  <c r="K587" i="1"/>
  <c r="L587" i="1"/>
  <c r="K589" i="1"/>
  <c r="L589" i="1"/>
  <c r="K597" i="1"/>
  <c r="L597" i="1"/>
  <c r="K598" i="1"/>
  <c r="L598" i="1"/>
  <c r="K599" i="1"/>
  <c r="L599" i="1"/>
  <c r="K600" i="1"/>
  <c r="L600" i="1"/>
  <c r="K601" i="1"/>
  <c r="L601" i="1"/>
  <c r="K602" i="1"/>
  <c r="L602" i="1"/>
  <c r="K603" i="1"/>
  <c r="L603" i="1"/>
  <c r="K604" i="1"/>
  <c r="L604" i="1"/>
  <c r="K605" i="1"/>
  <c r="L605" i="1"/>
  <c r="K606" i="1"/>
  <c r="L606" i="1"/>
  <c r="K607" i="1"/>
  <c r="L607" i="1"/>
  <c r="K608" i="1"/>
  <c r="L608" i="1"/>
  <c r="K609" i="1"/>
  <c r="L609" i="1"/>
  <c r="K610" i="1"/>
  <c r="L610" i="1"/>
  <c r="K611" i="1"/>
  <c r="L611" i="1"/>
  <c r="K612" i="1"/>
  <c r="L612" i="1"/>
  <c r="K613" i="1"/>
  <c r="L613" i="1"/>
  <c r="K614" i="1"/>
  <c r="L614" i="1"/>
  <c r="K615" i="1"/>
  <c r="L615" i="1"/>
  <c r="K616" i="1"/>
  <c r="L616" i="1"/>
  <c r="K617" i="1"/>
  <c r="L617" i="1"/>
  <c r="K618" i="1"/>
  <c r="L618" i="1"/>
  <c r="K619" i="1"/>
  <c r="L619" i="1"/>
  <c r="K620" i="1"/>
  <c r="L620" i="1"/>
  <c r="K621" i="1"/>
  <c r="L621" i="1"/>
  <c r="K622" i="1"/>
  <c r="L622" i="1"/>
  <c r="K623" i="1"/>
  <c r="L623" i="1"/>
  <c r="K624" i="1"/>
  <c r="L624" i="1"/>
  <c r="K625" i="1"/>
  <c r="L625" i="1"/>
  <c r="K626" i="1"/>
  <c r="L626" i="1"/>
  <c r="K627" i="1"/>
  <c r="L627" i="1"/>
  <c r="K628" i="1"/>
  <c r="L628" i="1"/>
  <c r="K629" i="1"/>
  <c r="L629" i="1"/>
  <c r="K630" i="1"/>
  <c r="L630" i="1"/>
  <c r="K631" i="1"/>
  <c r="L631" i="1"/>
  <c r="K632" i="1"/>
  <c r="L632" i="1"/>
  <c r="K633" i="1"/>
  <c r="L633" i="1"/>
  <c r="K634" i="1"/>
  <c r="L634" i="1"/>
  <c r="K635" i="1"/>
  <c r="L635" i="1"/>
  <c r="K636" i="1"/>
  <c r="L636" i="1"/>
  <c r="K637" i="1"/>
  <c r="L637" i="1"/>
  <c r="K638" i="1"/>
  <c r="L638" i="1"/>
  <c r="K639" i="1"/>
  <c r="L639" i="1"/>
  <c r="K640" i="1"/>
  <c r="L640" i="1"/>
  <c r="K641" i="1"/>
  <c r="L641" i="1"/>
  <c r="K642" i="1"/>
  <c r="L642" i="1"/>
  <c r="K643" i="1"/>
  <c r="L643" i="1"/>
  <c r="K644" i="1"/>
  <c r="L644" i="1"/>
  <c r="K645" i="1"/>
  <c r="L645" i="1"/>
  <c r="K646" i="1"/>
  <c r="L646" i="1"/>
  <c r="K647" i="1"/>
  <c r="L647" i="1"/>
  <c r="K648" i="1"/>
  <c r="L648" i="1"/>
  <c r="K649" i="1"/>
  <c r="L649" i="1"/>
  <c r="K650" i="1"/>
  <c r="L650" i="1"/>
  <c r="K651" i="1"/>
  <c r="L651" i="1"/>
  <c r="K652" i="1"/>
  <c r="L652" i="1"/>
  <c r="K653" i="1"/>
  <c r="L653" i="1"/>
  <c r="K654" i="1"/>
  <c r="L654" i="1"/>
  <c r="K655" i="1"/>
  <c r="L655" i="1"/>
  <c r="K656" i="1"/>
  <c r="L656" i="1"/>
  <c r="K657" i="1"/>
  <c r="L657" i="1"/>
  <c r="K658" i="1"/>
  <c r="L658" i="1"/>
  <c r="K659" i="1"/>
  <c r="L659" i="1"/>
  <c r="K660" i="1"/>
  <c r="L660" i="1"/>
  <c r="K661" i="1"/>
  <c r="L661" i="1"/>
  <c r="K662" i="1"/>
  <c r="L662" i="1"/>
  <c r="K663" i="1"/>
  <c r="L663" i="1"/>
  <c r="K664" i="1"/>
  <c r="L664" i="1"/>
  <c r="K665" i="1"/>
  <c r="L665" i="1"/>
  <c r="K666" i="1"/>
  <c r="L666" i="1"/>
  <c r="K667" i="1"/>
  <c r="L667" i="1"/>
  <c r="K668" i="1"/>
  <c r="L668" i="1"/>
  <c r="K669" i="1"/>
  <c r="L669" i="1"/>
  <c r="K670" i="1"/>
  <c r="L670" i="1"/>
  <c r="K671" i="1"/>
  <c r="L671" i="1"/>
  <c r="K672" i="1"/>
  <c r="L672" i="1"/>
  <c r="K673" i="1"/>
  <c r="L673" i="1"/>
  <c r="K674" i="1"/>
  <c r="L674" i="1"/>
  <c r="K675" i="1"/>
  <c r="L675" i="1"/>
  <c r="K676" i="1"/>
  <c r="L676" i="1"/>
  <c r="K677" i="1"/>
  <c r="L677" i="1"/>
  <c r="K678" i="1"/>
  <c r="L678" i="1"/>
  <c r="K679" i="1"/>
  <c r="L679" i="1"/>
  <c r="K680" i="1"/>
  <c r="L680" i="1"/>
  <c r="K681" i="1"/>
  <c r="L681" i="1"/>
  <c r="K682" i="1"/>
  <c r="L682" i="1"/>
  <c r="K683" i="1"/>
  <c r="L683" i="1"/>
  <c r="K684" i="1"/>
  <c r="L684" i="1"/>
  <c r="K685" i="1"/>
  <c r="L685" i="1"/>
  <c r="K686" i="1"/>
  <c r="L686" i="1"/>
  <c r="K687" i="1"/>
  <c r="L687" i="1"/>
  <c r="K688" i="1"/>
  <c r="L688" i="1"/>
  <c r="K689" i="1"/>
  <c r="L689" i="1"/>
  <c r="K690" i="1"/>
  <c r="L690" i="1"/>
  <c r="K691" i="1"/>
  <c r="L691" i="1"/>
  <c r="K692" i="1"/>
  <c r="L692" i="1"/>
  <c r="K693" i="1"/>
  <c r="L693" i="1"/>
  <c r="K694" i="1"/>
  <c r="L694" i="1"/>
  <c r="K695" i="1"/>
  <c r="L695" i="1"/>
  <c r="K696" i="1"/>
  <c r="L696" i="1"/>
  <c r="K697" i="1"/>
  <c r="L697" i="1"/>
  <c r="K698" i="1"/>
  <c r="L698" i="1"/>
  <c r="K699" i="1"/>
  <c r="L699" i="1"/>
  <c r="K700" i="1"/>
  <c r="L700" i="1"/>
  <c r="K701" i="1"/>
  <c r="L701" i="1"/>
  <c r="K702" i="1"/>
  <c r="L702" i="1"/>
  <c r="K703" i="1"/>
  <c r="L703" i="1"/>
  <c r="K704" i="1"/>
  <c r="L704" i="1"/>
  <c r="K705" i="1"/>
  <c r="L705" i="1"/>
  <c r="K706" i="1"/>
  <c r="L706" i="1"/>
  <c r="K707" i="1"/>
  <c r="L707" i="1"/>
  <c r="K708" i="1"/>
  <c r="L708" i="1"/>
  <c r="K709" i="1"/>
  <c r="L709" i="1"/>
  <c r="K710" i="1"/>
  <c r="L710" i="1"/>
  <c r="K711" i="1"/>
  <c r="L711" i="1"/>
  <c r="K712" i="1"/>
  <c r="L712" i="1"/>
  <c r="K713" i="1"/>
  <c r="L713" i="1"/>
  <c r="K714" i="1"/>
  <c r="L714" i="1"/>
  <c r="K715" i="1"/>
  <c r="L715" i="1"/>
  <c r="K716" i="1"/>
  <c r="L716" i="1"/>
  <c r="K717" i="1"/>
  <c r="L717" i="1"/>
  <c r="K718" i="1"/>
  <c r="L718" i="1"/>
  <c r="K719" i="1"/>
  <c r="L719" i="1"/>
  <c r="K720" i="1"/>
  <c r="L720" i="1"/>
  <c r="K721" i="1"/>
  <c r="L721" i="1"/>
  <c r="K722" i="1"/>
  <c r="L722" i="1"/>
  <c r="K723" i="1"/>
  <c r="L723" i="1"/>
  <c r="K724" i="1"/>
  <c r="L724" i="1"/>
  <c r="K725" i="1"/>
  <c r="L725" i="1"/>
  <c r="K726" i="1"/>
  <c r="L726" i="1"/>
  <c r="K727" i="1"/>
  <c r="L727" i="1"/>
  <c r="K728" i="1"/>
  <c r="L728" i="1"/>
  <c r="K729" i="1"/>
  <c r="L729" i="1"/>
  <c r="K730" i="1"/>
  <c r="L730" i="1"/>
  <c r="K731" i="1"/>
  <c r="L731" i="1"/>
  <c r="K732" i="1"/>
  <c r="L732" i="1"/>
  <c r="K733" i="1"/>
  <c r="L733" i="1"/>
  <c r="K734" i="1"/>
  <c r="L734" i="1"/>
  <c r="K735" i="1"/>
  <c r="L735" i="1"/>
  <c r="K736" i="1"/>
  <c r="L736" i="1"/>
  <c r="K737" i="1"/>
  <c r="L737" i="1"/>
  <c r="K738" i="1"/>
  <c r="L738" i="1"/>
  <c r="K739" i="1"/>
  <c r="L739" i="1"/>
  <c r="K740" i="1"/>
  <c r="L740" i="1"/>
  <c r="K741" i="1"/>
  <c r="L741" i="1"/>
  <c r="K742" i="1"/>
  <c r="L742" i="1"/>
  <c r="K743" i="1"/>
  <c r="L743" i="1"/>
  <c r="K744" i="1"/>
  <c r="L744" i="1"/>
  <c r="K745" i="1"/>
  <c r="L745" i="1"/>
  <c r="K746" i="1"/>
  <c r="L746" i="1"/>
  <c r="K747" i="1"/>
  <c r="L747" i="1"/>
  <c r="K748" i="1"/>
  <c r="L748" i="1"/>
  <c r="K749" i="1"/>
  <c r="L749" i="1"/>
  <c r="K750" i="1"/>
  <c r="L750" i="1"/>
  <c r="K751" i="1"/>
  <c r="L751" i="1"/>
  <c r="K752" i="1"/>
  <c r="L752" i="1"/>
  <c r="K753" i="1"/>
  <c r="L753" i="1"/>
  <c r="K754" i="1"/>
  <c r="L754" i="1"/>
  <c r="K755" i="1"/>
  <c r="L755" i="1"/>
  <c r="K756" i="1"/>
  <c r="L756" i="1"/>
  <c r="K757" i="1"/>
  <c r="L757" i="1"/>
  <c r="K758" i="1"/>
  <c r="L758" i="1"/>
  <c r="K759" i="1"/>
  <c r="L759" i="1"/>
  <c r="K760" i="1"/>
  <c r="L760" i="1"/>
  <c r="K761" i="1"/>
  <c r="L761" i="1"/>
  <c r="K762" i="1"/>
  <c r="L762" i="1"/>
  <c r="K763" i="1"/>
  <c r="L763" i="1"/>
  <c r="K764" i="1"/>
  <c r="L764" i="1"/>
  <c r="K765" i="1"/>
  <c r="L765" i="1"/>
  <c r="K766" i="1"/>
  <c r="L766" i="1"/>
  <c r="K767" i="1"/>
  <c r="L767" i="1"/>
  <c r="K768" i="1"/>
  <c r="L768" i="1"/>
  <c r="K769" i="1"/>
  <c r="L769" i="1"/>
  <c r="K770" i="1"/>
  <c r="L770" i="1"/>
  <c r="K771" i="1"/>
  <c r="L771" i="1"/>
  <c r="K772" i="1"/>
  <c r="L772" i="1"/>
  <c r="K773" i="1"/>
  <c r="L773" i="1"/>
  <c r="K774" i="1"/>
  <c r="L774" i="1"/>
  <c r="K775" i="1"/>
  <c r="L775" i="1"/>
  <c r="K776" i="1"/>
  <c r="L776" i="1"/>
  <c r="K777" i="1"/>
  <c r="L777" i="1"/>
  <c r="K778" i="1"/>
  <c r="L778" i="1"/>
  <c r="K779" i="1"/>
  <c r="L779" i="1"/>
  <c r="K780" i="1"/>
  <c r="L780" i="1"/>
  <c r="K781" i="1"/>
  <c r="L781" i="1"/>
  <c r="K782" i="1"/>
  <c r="L782" i="1"/>
  <c r="K783" i="1"/>
  <c r="L783" i="1"/>
  <c r="K784" i="1"/>
  <c r="L784" i="1"/>
  <c r="K785" i="1"/>
  <c r="L785" i="1"/>
  <c r="K786" i="1"/>
  <c r="L786" i="1"/>
  <c r="K787" i="1"/>
  <c r="L787" i="1"/>
  <c r="K788" i="1"/>
  <c r="L788" i="1"/>
  <c r="K789" i="1"/>
  <c r="L789" i="1"/>
  <c r="K790" i="1"/>
  <c r="L790" i="1"/>
  <c r="K791" i="1"/>
  <c r="L791" i="1"/>
  <c r="K792" i="1"/>
  <c r="L792" i="1"/>
  <c r="K793" i="1"/>
  <c r="L793" i="1"/>
  <c r="K794" i="1"/>
  <c r="L794" i="1"/>
  <c r="K795" i="1"/>
  <c r="L795" i="1"/>
  <c r="K796" i="1"/>
  <c r="L796" i="1"/>
  <c r="K797" i="1"/>
  <c r="L797" i="1"/>
  <c r="K798" i="1"/>
  <c r="L798" i="1"/>
  <c r="K799" i="1"/>
  <c r="L799" i="1"/>
  <c r="K800" i="1"/>
  <c r="L800" i="1"/>
  <c r="K801" i="1"/>
  <c r="L801" i="1"/>
  <c r="K802" i="1"/>
  <c r="L802" i="1"/>
  <c r="K803" i="1"/>
  <c r="L803" i="1"/>
  <c r="K804" i="1"/>
  <c r="L804" i="1"/>
  <c r="K805" i="1"/>
  <c r="L805" i="1"/>
  <c r="K806" i="1"/>
  <c r="L806" i="1"/>
  <c r="K807" i="1"/>
  <c r="L807" i="1"/>
  <c r="K808" i="1"/>
  <c r="L808" i="1"/>
  <c r="K809" i="1"/>
  <c r="L809" i="1"/>
  <c r="K810" i="1"/>
  <c r="L810" i="1"/>
  <c r="K811" i="1"/>
  <c r="L811" i="1"/>
  <c r="K812" i="1"/>
  <c r="L812" i="1"/>
  <c r="K813" i="1"/>
  <c r="L813" i="1"/>
  <c r="K814" i="1"/>
  <c r="L814" i="1"/>
  <c r="K815" i="1"/>
  <c r="L815" i="1"/>
  <c r="K816" i="1"/>
  <c r="L816" i="1"/>
  <c r="K817" i="1"/>
  <c r="L817" i="1"/>
  <c r="K818" i="1"/>
  <c r="L818" i="1"/>
  <c r="K819" i="1"/>
  <c r="L819" i="1"/>
  <c r="K820" i="1"/>
  <c r="L820" i="1"/>
  <c r="K821" i="1"/>
  <c r="L821" i="1"/>
  <c r="K822" i="1"/>
  <c r="L822" i="1"/>
  <c r="K823" i="1"/>
  <c r="L823" i="1"/>
  <c r="K824" i="1"/>
  <c r="L824" i="1"/>
  <c r="K825" i="1"/>
  <c r="L825" i="1"/>
  <c r="K826" i="1"/>
  <c r="L826" i="1"/>
  <c r="K827" i="1"/>
  <c r="L827" i="1"/>
  <c r="K828" i="1"/>
  <c r="L828" i="1"/>
  <c r="K829" i="1"/>
  <c r="L829" i="1"/>
  <c r="K830" i="1"/>
  <c r="L830" i="1"/>
  <c r="K831" i="1"/>
  <c r="L831" i="1"/>
  <c r="K832" i="1"/>
  <c r="L832" i="1"/>
  <c r="K833" i="1"/>
  <c r="L833" i="1"/>
  <c r="K834" i="1"/>
  <c r="L834" i="1"/>
  <c r="K835" i="1"/>
  <c r="L835" i="1"/>
  <c r="K836" i="1"/>
  <c r="L836" i="1"/>
  <c r="K837" i="1"/>
  <c r="L837" i="1"/>
  <c r="K838" i="1"/>
  <c r="L838" i="1"/>
  <c r="K839" i="1"/>
  <c r="L839" i="1"/>
  <c r="K840" i="1"/>
  <c r="L840" i="1"/>
  <c r="K841" i="1"/>
  <c r="L841" i="1"/>
  <c r="K842" i="1"/>
  <c r="L842" i="1"/>
  <c r="K843" i="1"/>
  <c r="L843" i="1"/>
  <c r="K844" i="1"/>
  <c r="L844" i="1"/>
  <c r="K845" i="1"/>
  <c r="L845" i="1"/>
  <c r="K846" i="1"/>
  <c r="L846" i="1"/>
  <c r="K847" i="1"/>
  <c r="L847" i="1"/>
  <c r="K848" i="1"/>
  <c r="L848" i="1"/>
  <c r="K849" i="1"/>
  <c r="L849" i="1"/>
  <c r="K850" i="1"/>
  <c r="L850" i="1"/>
  <c r="K851" i="1"/>
  <c r="L851" i="1"/>
  <c r="K852" i="1"/>
  <c r="L852" i="1"/>
  <c r="K853" i="1"/>
  <c r="L853" i="1"/>
  <c r="K854" i="1"/>
  <c r="L854" i="1"/>
  <c r="K855" i="1"/>
  <c r="L855" i="1"/>
  <c r="K856" i="1"/>
  <c r="L856" i="1"/>
  <c r="K857" i="1"/>
  <c r="L857" i="1"/>
  <c r="K858" i="1"/>
  <c r="L858" i="1"/>
  <c r="K859" i="1"/>
  <c r="L859" i="1"/>
  <c r="K860" i="1"/>
  <c r="L860" i="1"/>
  <c r="K861" i="1"/>
  <c r="L861" i="1"/>
  <c r="K862" i="1"/>
  <c r="L862" i="1"/>
  <c r="K863" i="1"/>
  <c r="L863" i="1"/>
  <c r="K864" i="1"/>
  <c r="L864" i="1"/>
  <c r="K865" i="1"/>
  <c r="L865" i="1"/>
  <c r="K866" i="1"/>
  <c r="L866" i="1"/>
  <c r="K867" i="1"/>
  <c r="L867" i="1"/>
  <c r="K868" i="1"/>
  <c r="L868" i="1"/>
  <c r="K869" i="1"/>
  <c r="L869" i="1"/>
  <c r="K870" i="1"/>
  <c r="L870" i="1"/>
  <c r="K871" i="1"/>
  <c r="L871" i="1"/>
  <c r="K872" i="1"/>
  <c r="L872" i="1"/>
  <c r="K873" i="1"/>
  <c r="L873" i="1"/>
  <c r="K874" i="1"/>
  <c r="L874" i="1"/>
  <c r="K875" i="1"/>
  <c r="L875" i="1"/>
  <c r="K876" i="1"/>
  <c r="L876" i="1"/>
  <c r="K877" i="1"/>
  <c r="L877" i="1"/>
  <c r="K878" i="1"/>
  <c r="L878" i="1"/>
  <c r="K879" i="1"/>
  <c r="L879" i="1"/>
  <c r="K880" i="1"/>
  <c r="L880" i="1"/>
  <c r="K881" i="1"/>
  <c r="L881" i="1"/>
  <c r="K882" i="1"/>
  <c r="L882" i="1"/>
  <c r="K883" i="1"/>
  <c r="L883" i="1"/>
  <c r="K884" i="1"/>
  <c r="L884" i="1"/>
  <c r="K885" i="1"/>
  <c r="L885" i="1"/>
  <c r="K886" i="1"/>
  <c r="L886" i="1"/>
  <c r="K887" i="1"/>
  <c r="L887" i="1"/>
  <c r="K888" i="1"/>
  <c r="L888" i="1"/>
  <c r="K889" i="1"/>
  <c r="L889" i="1"/>
  <c r="K890" i="1"/>
  <c r="L890" i="1"/>
  <c r="K891" i="1"/>
  <c r="L891" i="1"/>
  <c r="K892" i="1"/>
  <c r="L892" i="1"/>
  <c r="K893" i="1"/>
  <c r="L893" i="1"/>
  <c r="K894" i="1"/>
  <c r="L894" i="1"/>
  <c r="K895" i="1"/>
  <c r="L895" i="1"/>
  <c r="K896" i="1"/>
  <c r="L896" i="1"/>
  <c r="K897" i="1"/>
  <c r="L897" i="1"/>
  <c r="K898" i="1"/>
  <c r="L898" i="1"/>
  <c r="K899" i="1"/>
  <c r="L899" i="1"/>
  <c r="K900" i="1"/>
  <c r="L900" i="1"/>
  <c r="K901" i="1"/>
  <c r="L901" i="1"/>
  <c r="K902" i="1"/>
  <c r="L902" i="1"/>
  <c r="K903" i="1"/>
  <c r="L903" i="1"/>
  <c r="K904" i="1"/>
  <c r="L904" i="1"/>
  <c r="K905" i="1"/>
  <c r="L905" i="1"/>
  <c r="K906" i="1"/>
  <c r="L906" i="1"/>
  <c r="K907" i="1"/>
  <c r="L907" i="1"/>
  <c r="K908" i="1"/>
  <c r="L908" i="1"/>
  <c r="K909" i="1"/>
  <c r="L909" i="1"/>
  <c r="K910" i="1"/>
  <c r="L910" i="1"/>
  <c r="K911" i="1"/>
  <c r="L911" i="1"/>
  <c r="K912" i="1"/>
  <c r="L912" i="1"/>
  <c r="K913" i="1"/>
  <c r="L913" i="1"/>
  <c r="K914" i="1"/>
  <c r="L914" i="1"/>
  <c r="K915" i="1"/>
  <c r="L915" i="1"/>
  <c r="K916" i="1"/>
  <c r="L916" i="1"/>
  <c r="K917" i="1"/>
  <c r="L917" i="1"/>
  <c r="K918" i="1"/>
  <c r="L918" i="1"/>
  <c r="K919" i="1"/>
  <c r="L919" i="1"/>
  <c r="K920" i="1"/>
  <c r="L920" i="1"/>
  <c r="K921" i="1"/>
  <c r="L921" i="1"/>
  <c r="K922" i="1"/>
  <c r="L922" i="1"/>
  <c r="K923" i="1"/>
  <c r="L923" i="1"/>
  <c r="K924" i="1"/>
  <c r="L924" i="1"/>
  <c r="K925" i="1"/>
  <c r="L925" i="1"/>
  <c r="K926" i="1"/>
  <c r="L926" i="1"/>
  <c r="K927" i="1"/>
  <c r="L927" i="1"/>
  <c r="K928" i="1"/>
  <c r="L928" i="1"/>
  <c r="K929" i="1"/>
  <c r="L929" i="1"/>
  <c r="K930" i="1"/>
  <c r="L930" i="1"/>
  <c r="K931" i="1"/>
  <c r="L931" i="1"/>
  <c r="K932" i="1"/>
  <c r="L932" i="1"/>
  <c r="K933" i="1"/>
  <c r="L933" i="1"/>
  <c r="K934" i="1"/>
  <c r="L934" i="1"/>
  <c r="K935" i="1"/>
  <c r="L935" i="1"/>
  <c r="K936" i="1"/>
  <c r="L936" i="1"/>
  <c r="K937" i="1"/>
  <c r="L937" i="1"/>
  <c r="K938" i="1"/>
  <c r="L938" i="1"/>
  <c r="K939" i="1"/>
  <c r="L939" i="1"/>
  <c r="K940" i="1"/>
  <c r="L940" i="1"/>
  <c r="K941" i="1"/>
  <c r="L941" i="1"/>
  <c r="K942" i="1"/>
  <c r="L942" i="1"/>
  <c r="K943" i="1"/>
  <c r="L943" i="1"/>
  <c r="K944" i="1"/>
  <c r="L944" i="1"/>
  <c r="K945" i="1"/>
  <c r="L945" i="1"/>
  <c r="K946" i="1"/>
  <c r="L946" i="1"/>
  <c r="K947" i="1"/>
  <c r="L947" i="1"/>
  <c r="K948" i="1"/>
  <c r="L948" i="1"/>
  <c r="K949" i="1"/>
  <c r="L949" i="1"/>
  <c r="K950" i="1"/>
  <c r="L950" i="1"/>
  <c r="K951" i="1"/>
  <c r="L951" i="1"/>
  <c r="K952" i="1"/>
  <c r="L952" i="1"/>
  <c r="K953" i="1"/>
  <c r="L953" i="1"/>
  <c r="K954" i="1"/>
  <c r="L954" i="1"/>
  <c r="K955" i="1"/>
  <c r="L955" i="1"/>
  <c r="K956" i="1"/>
  <c r="L956" i="1"/>
  <c r="K957" i="1"/>
  <c r="L957" i="1"/>
  <c r="K958" i="1"/>
  <c r="L958" i="1"/>
  <c r="K959" i="1"/>
  <c r="L959" i="1"/>
  <c r="K960" i="1"/>
  <c r="L960" i="1"/>
  <c r="K961" i="1"/>
  <c r="L961" i="1"/>
  <c r="K962" i="1"/>
  <c r="L962" i="1"/>
  <c r="K963" i="1"/>
  <c r="L963" i="1"/>
  <c r="K964" i="1"/>
  <c r="L964" i="1"/>
  <c r="K965" i="1"/>
  <c r="L965" i="1"/>
  <c r="K966" i="1"/>
  <c r="L966" i="1"/>
  <c r="K967" i="1"/>
  <c r="L967" i="1"/>
  <c r="K968" i="1"/>
  <c r="L968" i="1"/>
  <c r="K969" i="1"/>
  <c r="L969" i="1"/>
  <c r="K970" i="1"/>
  <c r="L970" i="1"/>
  <c r="K971" i="1"/>
  <c r="L971" i="1"/>
  <c r="K972" i="1"/>
  <c r="L972" i="1"/>
  <c r="K973" i="1"/>
  <c r="L973" i="1"/>
  <c r="K974" i="1"/>
  <c r="L974" i="1"/>
  <c r="K975" i="1"/>
  <c r="L975" i="1"/>
  <c r="K976" i="1"/>
  <c r="L976" i="1"/>
  <c r="K977" i="1"/>
  <c r="L977" i="1"/>
  <c r="K978" i="1"/>
  <c r="L978" i="1"/>
  <c r="K979" i="1"/>
  <c r="L979" i="1"/>
  <c r="K980" i="1"/>
  <c r="L980" i="1"/>
  <c r="K981" i="1"/>
  <c r="L981" i="1"/>
  <c r="K982" i="1"/>
  <c r="L982" i="1"/>
  <c r="K983" i="1"/>
  <c r="L983" i="1"/>
  <c r="K984" i="1"/>
  <c r="L984" i="1"/>
  <c r="K985" i="1"/>
  <c r="L985" i="1"/>
  <c r="K986" i="1"/>
  <c r="L986" i="1"/>
  <c r="K987" i="1"/>
  <c r="L987" i="1"/>
  <c r="K988" i="1"/>
  <c r="L988" i="1"/>
  <c r="K989" i="1"/>
  <c r="L989" i="1"/>
  <c r="K990" i="1"/>
  <c r="L990" i="1"/>
  <c r="K991" i="1"/>
  <c r="L991" i="1"/>
  <c r="K992" i="1"/>
  <c r="L992" i="1"/>
  <c r="K993" i="1"/>
  <c r="L993" i="1"/>
  <c r="K994" i="1"/>
  <c r="L994" i="1"/>
  <c r="K995" i="1"/>
  <c r="L995" i="1"/>
  <c r="K996" i="1"/>
  <c r="L996" i="1"/>
  <c r="K997" i="1"/>
  <c r="L997" i="1"/>
  <c r="K998" i="1"/>
  <c r="L998" i="1"/>
  <c r="K999" i="1"/>
  <c r="L999" i="1"/>
  <c r="K1000" i="1"/>
  <c r="L1000" i="1"/>
  <c r="K1001" i="1"/>
  <c r="L1001" i="1"/>
  <c r="K1002" i="1"/>
  <c r="L1002" i="1"/>
  <c r="K1003" i="1"/>
  <c r="L1003" i="1"/>
  <c r="K1004" i="1"/>
  <c r="L1004" i="1"/>
  <c r="K1005" i="1"/>
  <c r="L1005" i="1"/>
  <c r="K1006" i="1"/>
  <c r="L1006" i="1"/>
  <c r="K1007" i="1"/>
  <c r="L1007" i="1"/>
  <c r="K1008" i="1"/>
  <c r="L1008" i="1"/>
  <c r="K1009" i="1"/>
  <c r="L1009" i="1"/>
  <c r="K1010" i="1"/>
  <c r="L1010" i="1"/>
  <c r="K1011" i="1"/>
  <c r="L1011" i="1"/>
  <c r="K1012" i="1"/>
  <c r="L1012" i="1"/>
  <c r="K1013" i="1"/>
  <c r="L1013" i="1"/>
  <c r="K1014" i="1"/>
  <c r="L1014" i="1"/>
  <c r="K1015" i="1"/>
  <c r="L1015" i="1"/>
  <c r="K1016" i="1"/>
  <c r="L1016" i="1"/>
  <c r="K1017" i="1"/>
  <c r="L1017" i="1"/>
  <c r="K1018" i="1"/>
  <c r="L1018" i="1"/>
  <c r="K1019" i="1"/>
  <c r="L1019" i="1"/>
  <c r="K1020" i="1"/>
  <c r="L1020" i="1"/>
  <c r="K1021" i="1"/>
  <c r="L1021" i="1"/>
  <c r="K1022" i="1"/>
  <c r="L1022" i="1"/>
  <c r="K1023" i="1"/>
  <c r="L1023" i="1"/>
  <c r="K1024" i="1"/>
  <c r="L1024" i="1"/>
  <c r="K1025" i="1"/>
  <c r="L1025" i="1"/>
  <c r="K1026" i="1"/>
  <c r="L1026" i="1"/>
  <c r="K1027" i="1"/>
  <c r="L1027" i="1"/>
  <c r="K1028" i="1"/>
  <c r="L1028" i="1"/>
  <c r="K1029" i="1"/>
  <c r="L1029" i="1"/>
  <c r="K1030" i="1"/>
  <c r="L1030" i="1"/>
  <c r="K1031" i="1"/>
  <c r="L1031" i="1"/>
  <c r="K1032" i="1"/>
  <c r="L1032" i="1"/>
  <c r="K1033" i="1"/>
  <c r="L1033" i="1"/>
  <c r="K1034" i="1"/>
  <c r="L1034" i="1"/>
  <c r="K1035" i="1"/>
  <c r="L1035" i="1"/>
  <c r="K1036" i="1"/>
  <c r="L1036" i="1"/>
  <c r="K1037" i="1"/>
  <c r="L1037" i="1"/>
  <c r="K1038" i="1"/>
  <c r="L1038" i="1"/>
  <c r="K1039" i="1"/>
  <c r="L1039" i="1"/>
  <c r="K1040" i="1"/>
  <c r="L1040" i="1"/>
  <c r="K1041" i="1"/>
  <c r="L1041" i="1"/>
  <c r="K1042" i="1"/>
  <c r="L1042" i="1"/>
  <c r="K1043" i="1"/>
  <c r="L1043" i="1"/>
  <c r="K1044" i="1"/>
  <c r="L1044" i="1"/>
  <c r="K1045" i="1"/>
  <c r="L1045" i="1"/>
  <c r="K1046" i="1"/>
  <c r="L1046" i="1"/>
  <c r="K1047" i="1"/>
  <c r="L1047" i="1"/>
  <c r="K1048" i="1"/>
  <c r="L1048" i="1"/>
  <c r="K1049" i="1"/>
  <c r="L1049" i="1"/>
  <c r="K1050" i="1"/>
  <c r="L1050" i="1"/>
  <c r="K1051" i="1"/>
  <c r="L1051" i="1"/>
  <c r="K1052" i="1"/>
  <c r="L1052" i="1"/>
  <c r="K1053" i="1"/>
  <c r="L1053" i="1"/>
  <c r="K1054" i="1"/>
  <c r="L1054" i="1"/>
  <c r="K1055" i="1"/>
  <c r="L1055" i="1"/>
  <c r="K1056" i="1"/>
  <c r="L1056" i="1"/>
  <c r="K1057" i="1"/>
  <c r="L1057" i="1"/>
  <c r="K1058" i="1"/>
  <c r="L1058" i="1"/>
  <c r="K1059" i="1"/>
  <c r="L1059" i="1"/>
  <c r="K1060" i="1"/>
  <c r="L1060" i="1"/>
  <c r="K1061" i="1"/>
  <c r="L1061" i="1"/>
  <c r="K1062" i="1"/>
  <c r="L1062" i="1"/>
  <c r="K1063" i="1"/>
  <c r="L1063" i="1"/>
  <c r="K1064" i="1"/>
  <c r="L1064" i="1"/>
  <c r="K1065" i="1"/>
  <c r="L1065" i="1"/>
  <c r="K1066" i="1"/>
  <c r="L1066" i="1"/>
  <c r="K1067" i="1"/>
  <c r="L1067" i="1"/>
  <c r="K1068" i="1"/>
  <c r="L1068" i="1"/>
  <c r="K1069" i="1"/>
  <c r="L1069" i="1"/>
  <c r="K1070" i="1"/>
  <c r="L1070" i="1"/>
  <c r="K1071" i="1"/>
  <c r="L1071" i="1"/>
  <c r="K1072" i="1"/>
  <c r="L1072" i="1"/>
  <c r="K1073" i="1"/>
  <c r="L1073" i="1"/>
  <c r="K1074" i="1"/>
  <c r="L1074" i="1"/>
  <c r="K1075" i="1"/>
  <c r="L1075" i="1"/>
  <c r="K1076" i="1"/>
  <c r="L1076" i="1"/>
  <c r="K1077" i="1"/>
  <c r="L1077" i="1"/>
  <c r="K1078" i="1"/>
  <c r="L1078" i="1"/>
  <c r="K1079" i="1"/>
  <c r="L1079" i="1"/>
  <c r="K1080" i="1"/>
  <c r="L1080" i="1"/>
  <c r="K1081" i="1"/>
  <c r="L1081" i="1"/>
  <c r="K1082" i="1"/>
  <c r="L1082" i="1"/>
  <c r="K1083" i="1"/>
  <c r="L1083" i="1"/>
  <c r="K1084" i="1"/>
  <c r="L1084" i="1"/>
  <c r="K1085" i="1"/>
  <c r="L1085" i="1"/>
  <c r="K1086" i="1"/>
  <c r="L1086" i="1"/>
  <c r="K1087" i="1"/>
  <c r="L1087" i="1"/>
  <c r="K1088" i="1"/>
  <c r="L1088" i="1"/>
  <c r="K1089" i="1"/>
  <c r="L1089" i="1"/>
  <c r="K1090" i="1"/>
  <c r="L1090" i="1"/>
  <c r="K1091" i="1"/>
  <c r="L1091" i="1"/>
  <c r="K1092" i="1"/>
  <c r="L1092" i="1"/>
  <c r="K1093" i="1"/>
  <c r="L1093" i="1"/>
  <c r="K1094" i="1"/>
  <c r="L1094" i="1"/>
  <c r="K1095" i="1"/>
  <c r="L1095" i="1"/>
  <c r="K1096" i="1"/>
  <c r="L1096" i="1"/>
  <c r="K1097" i="1"/>
  <c r="L1097" i="1"/>
  <c r="K1098" i="1"/>
  <c r="L1098" i="1"/>
  <c r="K1099" i="1"/>
  <c r="L1099" i="1"/>
  <c r="K1100" i="1"/>
  <c r="L1100" i="1"/>
  <c r="K1101" i="1"/>
  <c r="L1101" i="1"/>
  <c r="K1102" i="1"/>
  <c r="L1102" i="1"/>
  <c r="K1103" i="1"/>
  <c r="L1103" i="1"/>
  <c r="K1104" i="1"/>
  <c r="L1104" i="1"/>
  <c r="K1105" i="1"/>
  <c r="L1105" i="1"/>
  <c r="K1106" i="1"/>
  <c r="L1106" i="1"/>
  <c r="K1107" i="1"/>
  <c r="L1107" i="1"/>
  <c r="K1108" i="1"/>
  <c r="L1108" i="1"/>
  <c r="K1109" i="1"/>
  <c r="L1109" i="1"/>
  <c r="K1110" i="1"/>
  <c r="L1110" i="1"/>
  <c r="K1111" i="1"/>
  <c r="L1111" i="1"/>
  <c r="K1112" i="1"/>
  <c r="L1112" i="1"/>
  <c r="K1113" i="1"/>
  <c r="L1113" i="1"/>
  <c r="K1114" i="1"/>
  <c r="L1114" i="1"/>
  <c r="K1115" i="1"/>
  <c r="L1115" i="1"/>
  <c r="K1116" i="1"/>
  <c r="L1116" i="1"/>
  <c r="K1117" i="1"/>
  <c r="L1117" i="1"/>
  <c r="K1118" i="1"/>
  <c r="L1118" i="1"/>
  <c r="K1119" i="1"/>
  <c r="L1119" i="1"/>
  <c r="K1120" i="1"/>
  <c r="L1120" i="1"/>
  <c r="K1121" i="1"/>
  <c r="L1121" i="1"/>
  <c r="K1122" i="1"/>
  <c r="L1122" i="1"/>
  <c r="K1123" i="1"/>
  <c r="L1123" i="1"/>
  <c r="K1124" i="1"/>
  <c r="L1124" i="1"/>
  <c r="K1125" i="1"/>
  <c r="L1125" i="1"/>
  <c r="K1126" i="1"/>
  <c r="L1126" i="1"/>
  <c r="K1127" i="1"/>
  <c r="L1127" i="1"/>
  <c r="K1128" i="1"/>
  <c r="L1128" i="1"/>
  <c r="K1129" i="1"/>
  <c r="L1129" i="1"/>
  <c r="K1130" i="1"/>
  <c r="L1130" i="1"/>
  <c r="K1131" i="1"/>
  <c r="L1131" i="1"/>
  <c r="K1132" i="1"/>
  <c r="L1132" i="1"/>
  <c r="K1133" i="1"/>
  <c r="L1133" i="1"/>
  <c r="K1134" i="1"/>
  <c r="L1134" i="1"/>
  <c r="K1135" i="1"/>
  <c r="L1135" i="1"/>
  <c r="K1136" i="1"/>
  <c r="L1136" i="1"/>
  <c r="K1137" i="1"/>
  <c r="L1137" i="1"/>
  <c r="K1138" i="1"/>
  <c r="L1138" i="1"/>
  <c r="K1139" i="1"/>
  <c r="L1139" i="1"/>
  <c r="K1140" i="1"/>
  <c r="L1140" i="1"/>
  <c r="K1141" i="1"/>
  <c r="L1141" i="1"/>
  <c r="K1142" i="1"/>
  <c r="L1142" i="1"/>
  <c r="K1143" i="1"/>
  <c r="L1143" i="1"/>
  <c r="K1144" i="1"/>
  <c r="L1144" i="1"/>
  <c r="K1145" i="1"/>
  <c r="L1145" i="1"/>
  <c r="K1146" i="1"/>
  <c r="L1146" i="1"/>
  <c r="K1147" i="1"/>
  <c r="L1147" i="1"/>
  <c r="K1148" i="1"/>
  <c r="L1148" i="1"/>
  <c r="K1149" i="1"/>
  <c r="L1149" i="1"/>
  <c r="K1150" i="1"/>
  <c r="L1150" i="1"/>
  <c r="K1151" i="1"/>
  <c r="L1151" i="1"/>
  <c r="K1152" i="1"/>
  <c r="L1152" i="1"/>
  <c r="K1153" i="1"/>
  <c r="L1153" i="1"/>
  <c r="K1154" i="1"/>
  <c r="L1154" i="1"/>
  <c r="K1155" i="1"/>
  <c r="L1155" i="1"/>
  <c r="K1156" i="1"/>
  <c r="L1156" i="1"/>
  <c r="K1157" i="1"/>
  <c r="L1157" i="1"/>
  <c r="K1158" i="1"/>
  <c r="L1158" i="1"/>
  <c r="K1159" i="1"/>
  <c r="L1159" i="1"/>
  <c r="K1160" i="1"/>
  <c r="L1160" i="1"/>
  <c r="K1161" i="1"/>
  <c r="L1161" i="1"/>
  <c r="K1162" i="1"/>
  <c r="L1162" i="1"/>
  <c r="K1163" i="1"/>
  <c r="L1163" i="1"/>
  <c r="K1164" i="1"/>
  <c r="L1164" i="1"/>
  <c r="K1165" i="1"/>
  <c r="L1165" i="1"/>
  <c r="K1166" i="1"/>
  <c r="L1166" i="1"/>
  <c r="K1167" i="1"/>
  <c r="L1167" i="1"/>
  <c r="K1168" i="1"/>
  <c r="L1168" i="1"/>
  <c r="K1169" i="1"/>
  <c r="L1169" i="1"/>
  <c r="K1170" i="1"/>
  <c r="L1170" i="1"/>
  <c r="K1171" i="1"/>
  <c r="L1171" i="1"/>
  <c r="K1172" i="1"/>
  <c r="L1172" i="1"/>
  <c r="K1173" i="1"/>
  <c r="L1173" i="1"/>
  <c r="K1174" i="1"/>
  <c r="L1174" i="1"/>
  <c r="K1175" i="1"/>
  <c r="L1175" i="1"/>
  <c r="K1176" i="1"/>
  <c r="L1176" i="1"/>
  <c r="K1177" i="1"/>
  <c r="L1177" i="1"/>
  <c r="K1178" i="1"/>
  <c r="L1178" i="1"/>
  <c r="K1179" i="1"/>
  <c r="L1179" i="1"/>
  <c r="K1180" i="1"/>
  <c r="L1180" i="1"/>
  <c r="K1181" i="1"/>
  <c r="L1181" i="1"/>
  <c r="K1182" i="1"/>
  <c r="L1182" i="1"/>
  <c r="K1183" i="1"/>
  <c r="L1183" i="1"/>
  <c r="K1184" i="1"/>
  <c r="L1184" i="1"/>
  <c r="K1185" i="1"/>
  <c r="L1185" i="1"/>
  <c r="K1186" i="1"/>
  <c r="L1186" i="1"/>
  <c r="K1187" i="1"/>
  <c r="L1187" i="1"/>
  <c r="K1188" i="1"/>
  <c r="L1188" i="1"/>
  <c r="K1189" i="1"/>
  <c r="L1189" i="1"/>
  <c r="K1190" i="1"/>
  <c r="L1190" i="1"/>
  <c r="K1191" i="1"/>
  <c r="L1191" i="1"/>
  <c r="K1192" i="1"/>
  <c r="L1192" i="1"/>
  <c r="K1193" i="1"/>
  <c r="L1193" i="1"/>
  <c r="K1194" i="1"/>
  <c r="L1194" i="1"/>
  <c r="K1195" i="1"/>
  <c r="L1195" i="1"/>
  <c r="K1196" i="1"/>
  <c r="L1196" i="1"/>
  <c r="K1197" i="1"/>
  <c r="L1197" i="1"/>
  <c r="K1198" i="1"/>
  <c r="L1198" i="1"/>
  <c r="K1199" i="1"/>
  <c r="L1199" i="1"/>
  <c r="K1200" i="1"/>
  <c r="L1200" i="1"/>
  <c r="K1201" i="1"/>
  <c r="L1201" i="1"/>
  <c r="K1202" i="1"/>
  <c r="L1202" i="1"/>
  <c r="K1203" i="1"/>
  <c r="L1203" i="1"/>
  <c r="K1204" i="1"/>
  <c r="L1204" i="1"/>
  <c r="K1205" i="1"/>
  <c r="L1205" i="1"/>
  <c r="K1206" i="1"/>
  <c r="L1206" i="1"/>
  <c r="K1207" i="1"/>
  <c r="L1207" i="1"/>
  <c r="K1208" i="1"/>
  <c r="L1208" i="1"/>
  <c r="K1209" i="1"/>
  <c r="L1209" i="1"/>
  <c r="K1210" i="1"/>
  <c r="L1210" i="1"/>
  <c r="K1211" i="1"/>
  <c r="L1211" i="1"/>
  <c r="K1212" i="1"/>
  <c r="L1212" i="1"/>
  <c r="K1213" i="1"/>
  <c r="L1213" i="1"/>
  <c r="K1214" i="1"/>
  <c r="L1214" i="1"/>
  <c r="K1215" i="1"/>
  <c r="L1215" i="1"/>
  <c r="K1216" i="1"/>
  <c r="L1216" i="1"/>
  <c r="K1217" i="1"/>
  <c r="L1217" i="1"/>
  <c r="K1218" i="1"/>
  <c r="L1218" i="1"/>
  <c r="K1219" i="1"/>
  <c r="L1219" i="1"/>
  <c r="K1220" i="1"/>
  <c r="L1220" i="1"/>
  <c r="K1221" i="1"/>
  <c r="L1221" i="1"/>
  <c r="K1222" i="1"/>
  <c r="L1222" i="1"/>
  <c r="K1223" i="1"/>
  <c r="L1223" i="1"/>
  <c r="K1224" i="1"/>
  <c r="L1224" i="1"/>
  <c r="K1225" i="1"/>
  <c r="L1225" i="1"/>
  <c r="K1226" i="1"/>
  <c r="L1226" i="1"/>
  <c r="K1227" i="1"/>
  <c r="L1227" i="1"/>
  <c r="K1228" i="1"/>
  <c r="L1228" i="1"/>
  <c r="K1229" i="1"/>
  <c r="L1229" i="1"/>
  <c r="K1230" i="1"/>
  <c r="L1230" i="1"/>
  <c r="K1231" i="1"/>
  <c r="L1231" i="1"/>
  <c r="K1232" i="1"/>
  <c r="L1232" i="1"/>
  <c r="K1233" i="1"/>
  <c r="L1233" i="1"/>
  <c r="K1234" i="1"/>
  <c r="L1234" i="1"/>
  <c r="K1235" i="1"/>
  <c r="L1235" i="1"/>
  <c r="K1236" i="1"/>
  <c r="L1236" i="1"/>
  <c r="K1237" i="1"/>
  <c r="L1237" i="1"/>
  <c r="K1238" i="1"/>
  <c r="L1238" i="1"/>
  <c r="K1239" i="1"/>
  <c r="L1239" i="1"/>
  <c r="K1240" i="1"/>
  <c r="L1240" i="1"/>
  <c r="K1241" i="1"/>
  <c r="L1241" i="1"/>
  <c r="K1242" i="1"/>
  <c r="L1242" i="1"/>
  <c r="K1243" i="1"/>
  <c r="L1243" i="1"/>
  <c r="K1244" i="1"/>
  <c r="L1244" i="1"/>
  <c r="K1245" i="1"/>
  <c r="L1245" i="1"/>
  <c r="K1246" i="1"/>
  <c r="L1246" i="1"/>
  <c r="K1247" i="1"/>
  <c r="L1247" i="1"/>
  <c r="K1248" i="1"/>
  <c r="L1248" i="1"/>
  <c r="K1249" i="1"/>
  <c r="L1249" i="1"/>
  <c r="K1250" i="1"/>
  <c r="L1250" i="1"/>
  <c r="K1251" i="1"/>
  <c r="L1251" i="1"/>
  <c r="K1252" i="1"/>
  <c r="L1252" i="1"/>
  <c r="K1253" i="1"/>
  <c r="L1253" i="1"/>
  <c r="K1254" i="1"/>
  <c r="L1254" i="1"/>
  <c r="K1255" i="1"/>
  <c r="L1255" i="1"/>
  <c r="K1256" i="1"/>
  <c r="L1256" i="1"/>
  <c r="K1257" i="1"/>
  <c r="L1257" i="1"/>
  <c r="K1258" i="1"/>
  <c r="L1258" i="1"/>
  <c r="K1259" i="1"/>
  <c r="L1259" i="1"/>
  <c r="K1260" i="1"/>
  <c r="L1260" i="1"/>
  <c r="K1261" i="1"/>
  <c r="L1261" i="1"/>
  <c r="K1262" i="1"/>
  <c r="L1262" i="1"/>
  <c r="K1263" i="1"/>
  <c r="L1263" i="1"/>
  <c r="K1264" i="1"/>
  <c r="L1264" i="1"/>
  <c r="K1265" i="1"/>
  <c r="L1265" i="1"/>
  <c r="K1266" i="1"/>
  <c r="L1266" i="1"/>
  <c r="K1267" i="1"/>
  <c r="L1267" i="1"/>
  <c r="K1268" i="1"/>
  <c r="L1268" i="1"/>
  <c r="K1269" i="1"/>
  <c r="L1269" i="1"/>
  <c r="K1270" i="1"/>
  <c r="L1270" i="1"/>
  <c r="K1271" i="1"/>
  <c r="L1271" i="1"/>
  <c r="K1272" i="1"/>
  <c r="L1272" i="1"/>
  <c r="K1273" i="1"/>
  <c r="L1273" i="1"/>
  <c r="K1274" i="1"/>
  <c r="L1274" i="1"/>
  <c r="K1275" i="1"/>
  <c r="L1275" i="1"/>
  <c r="K1276" i="1"/>
  <c r="L1276" i="1"/>
  <c r="K1277" i="1"/>
  <c r="L1277" i="1"/>
  <c r="K1278" i="1"/>
  <c r="L1278" i="1"/>
  <c r="K1279" i="1"/>
  <c r="L1279" i="1"/>
  <c r="K1280" i="1"/>
  <c r="L1280" i="1"/>
  <c r="K1281" i="1"/>
  <c r="L1281" i="1"/>
  <c r="K1282" i="1"/>
  <c r="L1282" i="1"/>
  <c r="K1283" i="1"/>
  <c r="L1283" i="1"/>
  <c r="K1284" i="1"/>
  <c r="L1284" i="1"/>
  <c r="K1285" i="1"/>
  <c r="L1285" i="1"/>
  <c r="K1286" i="1"/>
  <c r="L1286" i="1"/>
  <c r="K1287" i="1"/>
  <c r="L1287" i="1"/>
  <c r="K1288" i="1"/>
  <c r="L1288" i="1"/>
  <c r="K1289" i="1"/>
  <c r="L1289" i="1"/>
  <c r="K1290" i="1"/>
  <c r="L1290" i="1"/>
  <c r="K1291" i="1"/>
  <c r="L1291" i="1"/>
  <c r="K1292" i="1"/>
  <c r="L1292" i="1"/>
  <c r="K1293" i="1"/>
  <c r="L1293" i="1"/>
  <c r="K1294" i="1"/>
  <c r="L1294" i="1"/>
  <c r="K1295" i="1"/>
  <c r="L1295" i="1"/>
  <c r="K1296" i="1"/>
  <c r="L1296" i="1"/>
  <c r="K1297" i="1"/>
  <c r="L1297" i="1"/>
  <c r="K1298" i="1"/>
  <c r="L1298" i="1"/>
  <c r="K1299" i="1"/>
  <c r="L1299" i="1"/>
  <c r="K1300" i="1"/>
  <c r="L1300" i="1"/>
  <c r="K1301" i="1"/>
  <c r="L1301" i="1"/>
  <c r="K1302" i="1"/>
  <c r="L1302" i="1"/>
  <c r="K1303" i="1"/>
  <c r="L1303" i="1"/>
  <c r="K1304" i="1"/>
  <c r="L1304" i="1"/>
  <c r="K1305" i="1"/>
  <c r="L1305" i="1"/>
  <c r="K1306" i="1"/>
  <c r="L1306" i="1"/>
  <c r="K1307" i="1"/>
  <c r="L1307" i="1"/>
  <c r="K1308" i="1"/>
  <c r="L1308" i="1"/>
  <c r="K1309" i="1"/>
  <c r="L1309" i="1"/>
  <c r="K1310" i="1"/>
  <c r="L1310" i="1"/>
  <c r="K1311" i="1"/>
  <c r="L1311" i="1"/>
  <c r="K1312" i="1"/>
  <c r="L1312" i="1"/>
  <c r="K1313" i="1"/>
  <c r="L1313" i="1"/>
  <c r="K1314" i="1"/>
  <c r="L1314" i="1"/>
  <c r="K1315" i="1"/>
  <c r="L1315" i="1"/>
  <c r="K1316" i="1"/>
  <c r="L1316" i="1"/>
  <c r="K1317" i="1"/>
  <c r="L1317" i="1"/>
  <c r="K1318" i="1"/>
  <c r="L1318" i="1"/>
  <c r="K1319" i="1"/>
  <c r="L1319" i="1"/>
  <c r="K1320" i="1"/>
  <c r="L1320" i="1"/>
  <c r="K1321" i="1"/>
  <c r="L1321" i="1"/>
  <c r="K1322" i="1"/>
  <c r="L1322" i="1"/>
  <c r="K1323" i="1"/>
  <c r="L1323" i="1"/>
  <c r="K1324" i="1"/>
  <c r="L1324" i="1"/>
  <c r="K1325" i="1"/>
  <c r="L1325" i="1"/>
  <c r="K1326" i="1"/>
  <c r="L1326" i="1"/>
  <c r="K1327" i="1"/>
  <c r="L1327" i="1"/>
  <c r="K1328" i="1"/>
  <c r="L1328" i="1"/>
  <c r="K1329" i="1"/>
  <c r="L1329" i="1"/>
  <c r="K1330" i="1"/>
  <c r="L1330" i="1"/>
  <c r="K1331" i="1"/>
  <c r="L1331" i="1"/>
  <c r="K1332" i="1"/>
  <c r="L1332" i="1"/>
  <c r="K1333" i="1"/>
  <c r="L1333" i="1"/>
  <c r="K1334" i="1"/>
  <c r="L1334" i="1"/>
  <c r="K1335" i="1"/>
  <c r="L1335" i="1"/>
  <c r="K1336" i="1"/>
  <c r="L1336" i="1"/>
  <c r="K1337" i="1"/>
  <c r="L1337" i="1"/>
  <c r="K1338" i="1"/>
  <c r="L1338" i="1"/>
  <c r="K1339" i="1"/>
  <c r="L1339" i="1"/>
  <c r="K1340" i="1"/>
  <c r="L1340" i="1"/>
  <c r="K1341" i="1"/>
  <c r="L1341" i="1"/>
  <c r="K1342" i="1"/>
  <c r="L1342" i="1"/>
  <c r="K1343" i="1"/>
  <c r="L1343" i="1"/>
  <c r="K1344" i="1"/>
  <c r="L1344" i="1"/>
  <c r="K1345" i="1"/>
  <c r="L1345" i="1"/>
  <c r="K1346" i="1"/>
  <c r="L1346" i="1"/>
  <c r="K1347" i="1"/>
  <c r="L1347" i="1"/>
  <c r="K1348" i="1"/>
  <c r="L1348" i="1"/>
  <c r="K1349" i="1"/>
  <c r="L1349" i="1"/>
  <c r="K1350" i="1"/>
  <c r="L1350" i="1"/>
  <c r="K1351" i="1"/>
  <c r="L1351" i="1"/>
  <c r="K1352" i="1"/>
  <c r="L1352" i="1"/>
  <c r="K1353" i="1"/>
  <c r="L1353" i="1"/>
  <c r="K1354" i="1"/>
  <c r="L1354" i="1"/>
  <c r="K1355" i="1"/>
  <c r="L1355" i="1"/>
  <c r="K1356" i="1"/>
  <c r="L1356" i="1"/>
  <c r="K1357" i="1"/>
  <c r="L1357" i="1"/>
  <c r="K1358" i="1"/>
  <c r="L1358" i="1"/>
  <c r="K1359" i="1"/>
  <c r="L1359" i="1"/>
  <c r="K1360" i="1"/>
  <c r="L1360" i="1"/>
  <c r="K1361" i="1"/>
  <c r="L1361" i="1"/>
  <c r="K1362" i="1"/>
  <c r="L1362" i="1"/>
  <c r="K1363" i="1"/>
  <c r="L1363" i="1"/>
  <c r="K1364" i="1"/>
  <c r="L1364" i="1"/>
  <c r="K1365" i="1"/>
  <c r="L1365" i="1"/>
  <c r="K1366" i="1"/>
  <c r="L1366" i="1"/>
  <c r="K1367" i="1"/>
  <c r="L1367" i="1"/>
  <c r="K1368" i="1"/>
  <c r="L1368" i="1"/>
  <c r="K1369" i="1"/>
  <c r="L1369" i="1"/>
  <c r="K1370" i="1"/>
  <c r="L1370" i="1"/>
  <c r="K1371" i="1"/>
  <c r="L1371" i="1"/>
  <c r="K1372" i="1"/>
  <c r="L1372" i="1"/>
  <c r="K1373" i="1"/>
  <c r="L1373" i="1"/>
  <c r="K1374" i="1"/>
  <c r="L1374" i="1"/>
  <c r="K1375" i="1"/>
  <c r="L1375" i="1"/>
  <c r="K1376" i="1"/>
  <c r="L1376" i="1"/>
  <c r="K1377" i="1"/>
  <c r="L1377" i="1"/>
  <c r="K1378" i="1"/>
  <c r="L1378" i="1"/>
  <c r="K1379" i="1"/>
  <c r="L1379" i="1"/>
  <c r="K1380" i="1"/>
  <c r="L1380" i="1"/>
  <c r="K1381" i="1"/>
  <c r="L1381" i="1"/>
  <c r="K1382" i="1"/>
  <c r="L1382" i="1"/>
  <c r="K1383" i="1"/>
  <c r="L1383" i="1"/>
  <c r="K1384" i="1"/>
  <c r="L1384" i="1"/>
  <c r="K1385" i="1"/>
  <c r="L1385" i="1"/>
  <c r="K1386" i="1"/>
  <c r="L1386" i="1"/>
  <c r="K1387" i="1"/>
  <c r="L1387" i="1"/>
  <c r="K1388" i="1"/>
  <c r="L1388" i="1"/>
  <c r="K1389" i="1"/>
  <c r="L1389" i="1"/>
  <c r="K1390" i="1"/>
  <c r="L1390" i="1"/>
  <c r="K1391" i="1"/>
  <c r="L1391" i="1"/>
  <c r="K1392" i="1"/>
  <c r="L1392" i="1"/>
  <c r="K1393" i="1"/>
  <c r="L1393" i="1"/>
  <c r="K1394" i="1"/>
  <c r="L1394" i="1"/>
  <c r="K1395" i="1"/>
  <c r="L1395" i="1"/>
  <c r="K1396" i="1"/>
  <c r="L1396" i="1"/>
  <c r="K1397" i="1"/>
  <c r="L1397" i="1"/>
  <c r="K1398" i="1"/>
  <c r="L1398" i="1"/>
  <c r="K1399" i="1"/>
  <c r="L1399" i="1"/>
  <c r="K1400" i="1"/>
  <c r="L1400" i="1"/>
  <c r="K1401" i="1"/>
  <c r="L1401" i="1"/>
  <c r="K1402" i="1"/>
  <c r="L1402" i="1"/>
  <c r="K1403" i="1"/>
  <c r="L1403" i="1"/>
  <c r="K1404" i="1"/>
  <c r="L1404" i="1"/>
  <c r="K1405" i="1"/>
  <c r="L1405" i="1"/>
  <c r="K1406" i="1"/>
  <c r="L1406" i="1"/>
  <c r="K1407" i="1"/>
  <c r="L1407" i="1"/>
  <c r="K1408" i="1"/>
  <c r="L1408" i="1"/>
  <c r="K1409" i="1"/>
  <c r="L1409" i="1"/>
  <c r="K1410" i="1"/>
  <c r="L1410" i="1"/>
  <c r="K1411" i="1"/>
  <c r="L1411" i="1"/>
  <c r="K1412" i="1"/>
  <c r="L1412" i="1"/>
  <c r="K1413" i="1"/>
  <c r="L1413" i="1"/>
  <c r="K1414" i="1"/>
  <c r="L1414" i="1"/>
  <c r="K1415" i="1"/>
  <c r="L1415" i="1"/>
  <c r="K1416" i="1"/>
  <c r="L1416" i="1"/>
  <c r="K1417" i="1"/>
  <c r="L1417" i="1"/>
  <c r="K1418" i="1"/>
  <c r="L1418" i="1"/>
  <c r="K1419" i="1"/>
  <c r="L1419" i="1"/>
  <c r="K1420" i="1"/>
  <c r="L1420" i="1"/>
  <c r="K1421" i="1"/>
  <c r="L1421" i="1"/>
  <c r="K1422" i="1"/>
  <c r="L1422" i="1"/>
  <c r="K1423" i="1"/>
  <c r="L1423" i="1"/>
  <c r="K1424" i="1"/>
  <c r="L1424" i="1"/>
  <c r="K1425" i="1"/>
  <c r="L1425" i="1"/>
  <c r="K1426" i="1"/>
  <c r="L1426" i="1"/>
  <c r="K1427" i="1"/>
  <c r="L1427" i="1"/>
  <c r="K1428" i="1"/>
  <c r="L1428" i="1"/>
  <c r="K1429" i="1"/>
  <c r="L1429" i="1"/>
  <c r="K1430" i="1"/>
  <c r="L1430" i="1"/>
  <c r="K1431" i="1"/>
  <c r="L1431" i="1"/>
  <c r="K1432" i="1"/>
  <c r="L1432" i="1"/>
  <c r="K1433" i="1"/>
  <c r="L1433" i="1"/>
  <c r="K1434" i="1"/>
  <c r="L1434" i="1"/>
  <c r="K1435" i="1"/>
  <c r="L1435" i="1"/>
  <c r="K1436" i="1"/>
  <c r="L1436" i="1"/>
  <c r="K1437" i="1"/>
  <c r="L1437" i="1"/>
  <c r="K1438" i="1"/>
  <c r="L1438" i="1"/>
  <c r="K1439" i="1"/>
  <c r="L1439" i="1"/>
  <c r="K1440" i="1"/>
  <c r="L1440" i="1"/>
  <c r="K1441" i="1"/>
  <c r="L1441" i="1"/>
  <c r="K1442" i="1"/>
  <c r="L1442" i="1"/>
  <c r="K1443" i="1"/>
  <c r="L1443" i="1"/>
  <c r="K1444" i="1"/>
  <c r="L1444" i="1"/>
  <c r="K1445" i="1"/>
  <c r="L1445" i="1"/>
  <c r="K1446" i="1"/>
  <c r="L1446" i="1"/>
  <c r="K1447" i="1"/>
  <c r="L1447" i="1"/>
  <c r="K1448" i="1"/>
  <c r="L1448" i="1"/>
  <c r="K1449" i="1"/>
  <c r="L1449" i="1"/>
  <c r="K1450" i="1"/>
  <c r="L1450" i="1"/>
  <c r="K1451" i="1"/>
  <c r="L1451" i="1"/>
  <c r="K1452" i="1"/>
  <c r="L1452" i="1"/>
  <c r="K1453" i="1"/>
  <c r="L1453" i="1"/>
  <c r="K1454" i="1"/>
  <c r="L1454" i="1"/>
  <c r="K1455" i="1"/>
  <c r="L1455" i="1"/>
  <c r="K1456" i="1"/>
  <c r="L1456" i="1"/>
  <c r="K1457" i="1"/>
  <c r="L1457" i="1"/>
  <c r="K1458" i="1"/>
  <c r="L1458" i="1"/>
  <c r="K1459" i="1"/>
  <c r="L1459" i="1"/>
  <c r="K1460" i="1"/>
  <c r="L1460" i="1"/>
  <c r="K1461" i="1"/>
  <c r="L1461" i="1"/>
  <c r="K1462" i="1"/>
  <c r="L1462" i="1"/>
  <c r="K1463" i="1"/>
  <c r="L1463" i="1"/>
  <c r="K1464" i="1"/>
  <c r="L1464" i="1"/>
  <c r="K1465" i="1"/>
  <c r="L1465" i="1"/>
  <c r="K1466" i="1"/>
  <c r="L1466" i="1"/>
  <c r="K1467" i="1"/>
  <c r="L1467" i="1"/>
  <c r="K1468" i="1"/>
  <c r="L1468" i="1"/>
  <c r="K1469" i="1"/>
  <c r="L1469" i="1"/>
  <c r="K1470" i="1"/>
  <c r="L1470" i="1"/>
  <c r="K1471" i="1"/>
  <c r="L1471" i="1"/>
  <c r="K1472" i="1"/>
  <c r="L1472" i="1"/>
  <c r="K1473" i="1"/>
  <c r="L1473" i="1"/>
  <c r="K1474" i="1"/>
  <c r="L1474" i="1"/>
  <c r="K1475" i="1"/>
  <c r="L1475" i="1"/>
  <c r="K1476" i="1"/>
  <c r="L1476" i="1"/>
  <c r="K1477" i="1"/>
  <c r="L1477" i="1"/>
  <c r="K1478" i="1"/>
  <c r="L1478" i="1"/>
  <c r="K1479" i="1"/>
  <c r="L1479" i="1"/>
  <c r="K1480" i="1"/>
  <c r="L1480" i="1"/>
  <c r="K1481" i="1"/>
  <c r="L1481" i="1"/>
  <c r="K1482" i="1"/>
  <c r="L1482" i="1"/>
  <c r="K1483" i="1"/>
  <c r="L1483" i="1"/>
  <c r="K1484" i="1"/>
  <c r="L1484" i="1"/>
  <c r="K1485" i="1"/>
  <c r="L1485" i="1"/>
  <c r="K1486" i="1"/>
  <c r="L1486" i="1"/>
  <c r="K1487" i="1"/>
  <c r="L1487" i="1"/>
  <c r="K1488" i="1"/>
  <c r="L1488" i="1"/>
  <c r="K1489" i="1"/>
  <c r="L1489" i="1"/>
  <c r="K1490" i="1"/>
  <c r="L1490" i="1"/>
  <c r="K1491" i="1"/>
  <c r="L1491" i="1"/>
  <c r="K1492" i="1"/>
  <c r="L1492" i="1"/>
  <c r="K1493" i="1"/>
  <c r="L1493" i="1"/>
  <c r="K1494" i="1"/>
  <c r="L1494" i="1"/>
  <c r="K1495" i="1"/>
  <c r="L1495" i="1"/>
  <c r="K1496" i="1"/>
  <c r="L1496" i="1"/>
  <c r="K1497" i="1"/>
  <c r="L1497" i="1"/>
  <c r="K1498" i="1"/>
  <c r="L1498" i="1"/>
  <c r="K1499" i="1"/>
  <c r="L1499" i="1"/>
  <c r="K1500" i="1"/>
  <c r="L1500" i="1"/>
  <c r="K1501" i="1"/>
  <c r="L1501" i="1"/>
  <c r="K1502" i="1"/>
  <c r="L1502" i="1"/>
  <c r="K1503" i="1"/>
  <c r="L1503" i="1"/>
  <c r="K1504" i="1"/>
  <c r="L1504" i="1"/>
  <c r="K1505" i="1"/>
  <c r="L1505" i="1"/>
  <c r="K1506" i="1"/>
  <c r="L1506" i="1"/>
  <c r="K1507" i="1"/>
  <c r="L1507" i="1"/>
  <c r="K1508" i="1"/>
  <c r="L1508" i="1"/>
  <c r="K1509" i="1"/>
  <c r="L1509" i="1"/>
  <c r="K1510" i="1"/>
  <c r="L1510" i="1"/>
  <c r="K1511" i="1"/>
  <c r="L1511" i="1"/>
  <c r="K1512" i="1"/>
  <c r="L1512" i="1"/>
  <c r="K1513" i="1"/>
  <c r="L1513" i="1"/>
  <c r="K1514" i="1"/>
  <c r="L1514" i="1"/>
  <c r="K1515" i="1"/>
  <c r="L1515" i="1"/>
  <c r="K1516" i="1"/>
  <c r="L1516" i="1"/>
  <c r="K1517" i="1"/>
  <c r="L1517" i="1"/>
  <c r="K1518" i="1"/>
  <c r="L1518" i="1"/>
  <c r="K1519" i="1"/>
  <c r="L1519" i="1"/>
  <c r="K1520" i="1"/>
  <c r="L1520" i="1"/>
  <c r="K1521" i="1"/>
  <c r="L1521" i="1"/>
  <c r="K1522" i="1"/>
  <c r="L1522" i="1"/>
  <c r="K1523" i="1"/>
  <c r="L1523" i="1"/>
  <c r="K1524" i="1"/>
  <c r="L1524" i="1"/>
  <c r="K1525" i="1"/>
  <c r="L1525" i="1"/>
  <c r="K1526" i="1"/>
  <c r="L1526" i="1"/>
  <c r="K1527" i="1"/>
  <c r="L1527" i="1"/>
  <c r="K1528" i="1"/>
  <c r="L1528" i="1"/>
  <c r="K1529" i="1"/>
  <c r="L1529" i="1"/>
  <c r="K1530" i="1"/>
  <c r="L1530" i="1"/>
  <c r="K1531" i="1"/>
  <c r="L1531" i="1"/>
  <c r="K1532" i="1"/>
  <c r="L1532" i="1"/>
  <c r="K1533" i="1"/>
  <c r="L1533" i="1"/>
  <c r="K1534" i="1"/>
  <c r="L1534" i="1"/>
  <c r="K1535" i="1"/>
  <c r="L1535" i="1"/>
  <c r="K1536" i="1"/>
  <c r="L1536" i="1"/>
  <c r="K1537" i="1"/>
  <c r="L1537" i="1"/>
  <c r="K1538" i="1"/>
  <c r="L1538" i="1"/>
  <c r="K1539" i="1"/>
  <c r="L1539" i="1"/>
  <c r="K1540" i="1"/>
  <c r="L1540" i="1"/>
  <c r="K1541" i="1"/>
  <c r="L1541" i="1"/>
  <c r="K1542" i="1"/>
  <c r="L1542" i="1"/>
  <c r="K1543" i="1"/>
  <c r="L1543" i="1"/>
  <c r="K1544" i="1"/>
  <c r="L1544" i="1"/>
  <c r="K1545" i="1"/>
  <c r="L1545" i="1"/>
  <c r="K1546" i="1"/>
  <c r="L1546" i="1"/>
  <c r="K1547" i="1"/>
  <c r="L1547" i="1"/>
  <c r="K1548" i="1"/>
  <c r="L1548" i="1"/>
  <c r="K1549" i="1"/>
  <c r="L1549" i="1"/>
  <c r="K1550" i="1"/>
  <c r="L1550" i="1"/>
  <c r="K1551" i="1"/>
  <c r="L1551" i="1"/>
  <c r="K1552" i="1"/>
  <c r="L1552" i="1"/>
  <c r="K1553" i="1"/>
  <c r="L1553" i="1"/>
  <c r="K1554" i="1"/>
  <c r="L1554" i="1"/>
  <c r="K1555" i="1"/>
  <c r="L1555" i="1"/>
  <c r="K1556" i="1"/>
  <c r="L1556" i="1"/>
  <c r="K1557" i="1"/>
  <c r="L1557" i="1"/>
  <c r="K1558" i="1"/>
  <c r="L1558" i="1"/>
  <c r="K1559" i="1"/>
  <c r="L1559" i="1"/>
  <c r="K1560" i="1"/>
  <c r="L1560" i="1"/>
  <c r="K1561" i="1"/>
  <c r="L1561" i="1"/>
  <c r="K1562" i="1"/>
  <c r="L1562" i="1"/>
  <c r="K1563" i="1"/>
  <c r="L1563" i="1"/>
  <c r="K1564" i="1"/>
  <c r="L1564" i="1"/>
  <c r="K1565" i="1"/>
  <c r="L1565" i="1"/>
  <c r="K1566" i="1"/>
  <c r="L1566" i="1"/>
  <c r="K1567" i="1"/>
  <c r="L1567" i="1"/>
  <c r="K1568" i="1"/>
  <c r="L1568" i="1"/>
  <c r="K1569" i="1"/>
  <c r="L1569" i="1"/>
  <c r="K1570" i="1"/>
  <c r="L1570" i="1"/>
  <c r="K1571" i="1"/>
  <c r="L1571" i="1"/>
  <c r="K1572" i="1"/>
  <c r="L1572" i="1"/>
  <c r="K1573" i="1"/>
  <c r="L1573" i="1"/>
  <c r="K1574" i="1"/>
  <c r="L1574" i="1"/>
  <c r="K1575" i="1"/>
  <c r="L1575" i="1"/>
  <c r="K1576" i="1"/>
  <c r="L1576" i="1"/>
  <c r="K1577" i="1"/>
  <c r="L1577" i="1"/>
  <c r="K1578" i="1"/>
  <c r="L1578" i="1"/>
  <c r="K1579" i="1"/>
  <c r="L1579" i="1"/>
  <c r="K1580" i="1"/>
  <c r="L1580" i="1"/>
  <c r="K1581" i="1"/>
  <c r="L1581" i="1"/>
  <c r="K1582" i="1"/>
  <c r="L1582" i="1"/>
  <c r="K1583" i="1"/>
  <c r="L1583" i="1"/>
  <c r="K1584" i="1"/>
  <c r="L1584" i="1"/>
  <c r="K1585" i="1"/>
  <c r="L1585" i="1"/>
  <c r="K1586" i="1"/>
  <c r="L1586" i="1"/>
  <c r="K1587" i="1"/>
  <c r="L1587" i="1"/>
  <c r="K1588" i="1"/>
  <c r="L1588" i="1"/>
  <c r="K1589" i="1"/>
  <c r="L1589" i="1"/>
  <c r="K1590" i="1"/>
  <c r="L1590" i="1"/>
  <c r="K1591" i="1"/>
  <c r="L1591" i="1"/>
  <c r="K1592" i="1"/>
  <c r="L1592" i="1"/>
  <c r="K1593" i="1"/>
  <c r="L1593" i="1"/>
  <c r="K1594" i="1"/>
  <c r="L1594" i="1"/>
  <c r="K1595" i="1"/>
  <c r="L1595" i="1"/>
  <c r="K1596" i="1"/>
  <c r="L1596" i="1"/>
  <c r="K1597" i="1"/>
  <c r="L1597" i="1"/>
  <c r="K1598" i="1"/>
  <c r="L1598" i="1"/>
  <c r="K1599" i="1"/>
  <c r="L1599" i="1"/>
  <c r="K1600" i="1"/>
  <c r="L1600" i="1"/>
  <c r="K1601" i="1"/>
  <c r="L1601" i="1"/>
  <c r="K1602" i="1"/>
  <c r="L1602" i="1"/>
  <c r="K1603" i="1"/>
  <c r="L1603" i="1"/>
  <c r="K1604" i="1"/>
  <c r="L1604" i="1"/>
  <c r="K1605" i="1"/>
  <c r="L1605" i="1"/>
  <c r="K1606" i="1"/>
  <c r="L1606" i="1"/>
  <c r="K1607" i="1"/>
  <c r="L1607" i="1"/>
  <c r="K1608" i="1"/>
  <c r="L1608" i="1"/>
  <c r="K1609" i="1"/>
  <c r="L1609" i="1"/>
  <c r="K1610" i="1"/>
  <c r="L1610" i="1"/>
  <c r="K1611" i="1"/>
  <c r="L1611" i="1"/>
  <c r="K1612" i="1"/>
  <c r="L1612" i="1"/>
  <c r="K1613" i="1"/>
  <c r="L1613" i="1"/>
  <c r="K1614" i="1"/>
  <c r="L1614" i="1"/>
  <c r="K1615" i="1"/>
  <c r="L1615" i="1"/>
  <c r="K1616" i="1"/>
  <c r="L1616" i="1"/>
  <c r="K1617" i="1"/>
  <c r="L1617" i="1"/>
  <c r="K1618" i="1"/>
  <c r="L1618" i="1"/>
  <c r="K1619" i="1"/>
  <c r="L1619" i="1"/>
  <c r="K1620" i="1"/>
  <c r="L1620" i="1"/>
  <c r="K1621" i="1"/>
  <c r="L1621" i="1"/>
  <c r="K1622" i="1"/>
  <c r="L1622" i="1"/>
  <c r="K1623" i="1"/>
  <c r="L1623" i="1"/>
  <c r="K1624" i="1"/>
  <c r="L1624" i="1"/>
  <c r="K1625" i="1"/>
  <c r="L1625" i="1"/>
  <c r="K1626" i="1"/>
  <c r="L1626" i="1"/>
  <c r="K1627" i="1"/>
  <c r="L1627" i="1"/>
  <c r="K1628" i="1"/>
  <c r="L1628" i="1"/>
  <c r="K1629" i="1"/>
  <c r="L1629" i="1"/>
  <c r="K1630" i="1"/>
  <c r="L1630" i="1"/>
  <c r="K1631" i="1"/>
  <c r="L1631" i="1"/>
  <c r="K1632" i="1"/>
  <c r="L1632" i="1"/>
  <c r="K1633" i="1"/>
  <c r="L1633" i="1"/>
  <c r="K1634" i="1"/>
  <c r="L1634" i="1"/>
  <c r="K1635" i="1"/>
  <c r="L1635" i="1"/>
  <c r="K1636" i="1"/>
  <c r="L1636" i="1"/>
  <c r="K1637" i="1"/>
  <c r="L1637" i="1"/>
  <c r="K1638" i="1"/>
  <c r="L1638" i="1"/>
  <c r="K1639" i="1"/>
  <c r="L1639" i="1"/>
  <c r="K1640" i="1"/>
  <c r="L1640" i="1"/>
  <c r="K1641" i="1"/>
  <c r="L1641" i="1"/>
  <c r="K1642" i="1"/>
  <c r="L1642" i="1"/>
  <c r="K1643" i="1"/>
  <c r="L1643" i="1"/>
  <c r="K1644" i="1"/>
  <c r="L1644" i="1"/>
  <c r="K1645" i="1"/>
  <c r="L1645" i="1"/>
  <c r="K1646" i="1"/>
  <c r="L1646" i="1"/>
  <c r="K1647" i="1"/>
  <c r="L1647" i="1"/>
  <c r="K1648" i="1"/>
  <c r="L1648" i="1"/>
  <c r="K1649" i="1"/>
  <c r="L1649" i="1"/>
  <c r="K1650" i="1"/>
  <c r="L1650" i="1"/>
  <c r="K1651" i="1"/>
  <c r="L1651" i="1"/>
  <c r="K1652" i="1"/>
  <c r="L1652" i="1"/>
  <c r="K1653" i="1"/>
  <c r="L1653" i="1"/>
  <c r="K1654" i="1"/>
  <c r="L1654" i="1"/>
  <c r="K1655" i="1"/>
  <c r="L1655" i="1"/>
  <c r="K1656" i="1"/>
  <c r="L1656" i="1"/>
  <c r="K1657" i="1"/>
  <c r="L1657" i="1"/>
  <c r="K1658" i="1"/>
  <c r="L1658" i="1"/>
  <c r="K1659" i="1"/>
  <c r="L1659" i="1"/>
  <c r="K1660" i="1"/>
  <c r="L1660" i="1"/>
  <c r="K1661" i="1"/>
  <c r="L1661" i="1"/>
  <c r="K1662" i="1"/>
  <c r="L1662" i="1"/>
  <c r="K1663" i="1"/>
  <c r="L1663" i="1"/>
  <c r="K1664" i="1"/>
  <c r="L1664" i="1"/>
  <c r="K1665" i="1"/>
  <c r="L1665" i="1"/>
  <c r="K1666" i="1"/>
  <c r="L1666" i="1"/>
  <c r="K1667" i="1"/>
  <c r="L1667" i="1"/>
  <c r="K1668" i="1"/>
  <c r="L1668" i="1"/>
  <c r="K1669" i="1"/>
  <c r="L1669" i="1"/>
  <c r="K1670" i="1"/>
  <c r="L1670" i="1"/>
  <c r="K1671" i="1"/>
  <c r="L1671" i="1"/>
  <c r="K1672" i="1"/>
  <c r="L1672" i="1"/>
  <c r="K1673" i="1"/>
  <c r="L1673" i="1"/>
  <c r="K1674" i="1"/>
  <c r="L1674" i="1"/>
  <c r="K1675" i="1"/>
  <c r="L1675" i="1"/>
  <c r="K1676" i="1"/>
  <c r="L1676" i="1"/>
  <c r="K1677" i="1"/>
  <c r="L1677" i="1"/>
  <c r="K1678" i="1"/>
  <c r="L1678" i="1"/>
  <c r="K1679" i="1"/>
  <c r="L1679" i="1"/>
  <c r="K1680" i="1"/>
  <c r="L1680" i="1"/>
  <c r="K1681" i="1"/>
  <c r="L1681" i="1"/>
  <c r="K1682" i="1"/>
  <c r="L1682" i="1"/>
  <c r="K1683" i="1"/>
  <c r="L1683" i="1"/>
  <c r="K1684" i="1"/>
  <c r="L1684" i="1"/>
  <c r="K1685" i="1"/>
  <c r="L1685" i="1"/>
  <c r="K1686" i="1"/>
  <c r="L1686" i="1"/>
  <c r="K1687" i="1"/>
  <c r="L1687" i="1"/>
  <c r="K1688" i="1"/>
  <c r="L1688" i="1"/>
  <c r="K1689" i="1"/>
  <c r="L1689" i="1"/>
  <c r="K1690" i="1"/>
  <c r="L1690" i="1"/>
  <c r="K1691" i="1"/>
  <c r="L1691" i="1"/>
  <c r="K1692" i="1"/>
  <c r="L1692" i="1"/>
  <c r="K1693" i="1"/>
  <c r="L1693" i="1"/>
  <c r="K1694" i="1"/>
  <c r="L1694" i="1"/>
  <c r="K1695" i="1"/>
  <c r="L1695" i="1"/>
  <c r="K1696" i="1"/>
  <c r="L1696" i="1"/>
  <c r="K1697" i="1"/>
  <c r="L1697" i="1"/>
  <c r="K1698" i="1"/>
  <c r="L1698" i="1"/>
  <c r="K1699" i="1"/>
  <c r="L1699" i="1"/>
  <c r="K1700" i="1"/>
  <c r="L1700" i="1"/>
  <c r="K1701" i="1"/>
  <c r="L1701" i="1"/>
  <c r="K1702" i="1"/>
  <c r="L1702" i="1"/>
  <c r="K1703" i="1"/>
  <c r="L1703" i="1"/>
  <c r="K1704" i="1"/>
  <c r="L1704" i="1"/>
  <c r="K1705" i="1"/>
  <c r="L1705" i="1"/>
  <c r="K1706" i="1"/>
  <c r="L1706" i="1"/>
  <c r="K1707" i="1"/>
  <c r="L1707" i="1"/>
  <c r="K1708" i="1"/>
  <c r="L1708" i="1"/>
  <c r="K1709" i="1"/>
  <c r="L1709" i="1"/>
  <c r="K1710" i="1"/>
  <c r="L1710" i="1"/>
  <c r="K1711" i="1"/>
  <c r="L1711" i="1"/>
  <c r="K1712" i="1"/>
  <c r="L1712" i="1"/>
  <c r="K1713" i="1"/>
  <c r="L1713" i="1"/>
  <c r="K1714" i="1"/>
  <c r="L1714" i="1"/>
  <c r="K1715" i="1"/>
  <c r="L1715" i="1"/>
  <c r="K1716" i="1"/>
  <c r="L1716" i="1"/>
  <c r="K1717" i="1"/>
  <c r="L1717" i="1"/>
  <c r="K1718" i="1"/>
  <c r="L1718" i="1"/>
  <c r="K1719" i="1"/>
  <c r="L1719" i="1"/>
  <c r="K1720" i="1"/>
  <c r="L1720" i="1"/>
  <c r="K1721" i="1"/>
  <c r="L1721" i="1"/>
  <c r="K1722" i="1"/>
  <c r="L1722" i="1"/>
  <c r="K1723" i="1"/>
  <c r="L1723" i="1"/>
  <c r="K1724" i="1"/>
  <c r="L1724" i="1"/>
  <c r="K1725" i="1"/>
  <c r="L1725" i="1"/>
  <c r="K1726" i="1"/>
  <c r="L1726" i="1"/>
  <c r="K1727" i="1"/>
  <c r="L1727" i="1"/>
  <c r="K1728" i="1"/>
  <c r="L1728" i="1"/>
  <c r="K1729" i="1"/>
  <c r="L1729" i="1"/>
  <c r="K1730" i="1"/>
  <c r="L1730" i="1"/>
  <c r="K1731" i="1"/>
  <c r="L1731" i="1"/>
  <c r="K1732" i="1"/>
  <c r="L1732" i="1"/>
  <c r="K1733" i="1"/>
  <c r="L1733" i="1"/>
  <c r="K1734" i="1"/>
  <c r="L1734" i="1"/>
  <c r="K1735" i="1"/>
  <c r="L1735" i="1"/>
  <c r="K1736" i="1"/>
  <c r="L1736" i="1"/>
  <c r="K1737" i="1"/>
  <c r="L1737" i="1"/>
  <c r="K1738" i="1"/>
  <c r="L1738" i="1"/>
  <c r="K1739" i="1"/>
  <c r="L1739" i="1"/>
  <c r="K1740" i="1"/>
  <c r="L1740" i="1"/>
  <c r="K1741" i="1"/>
  <c r="L1741" i="1"/>
  <c r="K1742" i="1"/>
  <c r="L1742" i="1"/>
  <c r="K1743" i="1"/>
  <c r="L1743" i="1"/>
  <c r="K1744" i="1"/>
  <c r="L1744" i="1"/>
  <c r="K1745" i="1"/>
  <c r="L1745" i="1"/>
  <c r="K1746" i="1"/>
  <c r="L1746" i="1"/>
  <c r="K1747" i="1"/>
  <c r="L1747" i="1"/>
  <c r="K1748" i="1"/>
  <c r="L1748" i="1"/>
  <c r="K1749" i="1"/>
  <c r="L1749" i="1"/>
  <c r="K1750" i="1"/>
  <c r="L1750" i="1"/>
  <c r="K1751" i="1"/>
  <c r="L1751" i="1"/>
  <c r="K1752" i="1"/>
  <c r="L1752" i="1"/>
  <c r="K1753" i="1"/>
  <c r="L1753" i="1"/>
  <c r="K1754" i="1"/>
  <c r="L1754" i="1"/>
  <c r="K1755" i="1"/>
  <c r="L1755" i="1"/>
  <c r="K1756" i="1"/>
  <c r="L1756" i="1"/>
  <c r="K1757" i="1"/>
  <c r="L1757" i="1"/>
  <c r="K1758" i="1"/>
  <c r="L1758" i="1"/>
  <c r="K1759" i="1"/>
  <c r="L1759" i="1"/>
  <c r="K1760" i="1"/>
  <c r="L1760" i="1"/>
  <c r="K1761" i="1"/>
  <c r="L1761" i="1"/>
  <c r="K1762" i="1"/>
  <c r="L1762" i="1"/>
  <c r="K1763" i="1"/>
  <c r="L1763" i="1"/>
  <c r="K1764" i="1"/>
  <c r="L1764" i="1"/>
  <c r="K1765" i="1"/>
  <c r="L1765" i="1"/>
  <c r="K1766" i="1"/>
  <c r="L1766" i="1"/>
  <c r="K1767" i="1"/>
  <c r="L1767" i="1"/>
  <c r="K1768" i="1"/>
  <c r="L1768" i="1"/>
  <c r="K1769" i="1"/>
  <c r="L1769" i="1"/>
  <c r="K1770" i="1"/>
  <c r="L1770" i="1"/>
  <c r="K1771" i="1"/>
  <c r="L1771" i="1"/>
  <c r="K1772" i="1"/>
  <c r="L1772" i="1"/>
  <c r="K1773" i="1"/>
  <c r="L1773" i="1"/>
  <c r="K1774" i="1"/>
  <c r="L1774" i="1"/>
  <c r="K1775" i="1"/>
  <c r="L1775" i="1"/>
  <c r="K1776" i="1"/>
  <c r="L1776" i="1"/>
  <c r="K1777" i="1"/>
  <c r="L1777" i="1"/>
  <c r="K1778" i="1"/>
  <c r="L1778" i="1"/>
  <c r="K1779" i="1"/>
  <c r="L1779" i="1"/>
  <c r="K1780" i="1"/>
  <c r="L1780" i="1"/>
  <c r="K1781" i="1"/>
  <c r="L1781" i="1"/>
  <c r="K1782" i="1"/>
  <c r="L1782" i="1"/>
  <c r="K1783" i="1"/>
  <c r="L1783" i="1"/>
  <c r="K1784" i="1"/>
  <c r="L1784" i="1"/>
  <c r="K1785" i="1"/>
  <c r="L1785" i="1"/>
  <c r="K1786" i="1"/>
  <c r="L1786" i="1"/>
  <c r="K1787" i="1"/>
  <c r="L1787" i="1"/>
  <c r="K1788" i="1"/>
  <c r="L1788" i="1"/>
  <c r="K1789" i="1"/>
  <c r="L1789" i="1"/>
  <c r="K1790" i="1"/>
  <c r="L1790" i="1"/>
  <c r="K1791" i="1"/>
  <c r="L1791" i="1"/>
  <c r="K1792" i="1"/>
  <c r="L1792" i="1"/>
  <c r="K1793" i="1"/>
  <c r="L1793" i="1"/>
  <c r="K1794" i="1"/>
  <c r="L1794" i="1"/>
  <c r="K1795" i="1"/>
  <c r="L1795" i="1"/>
  <c r="K1796" i="1"/>
  <c r="L1796" i="1"/>
  <c r="K1797" i="1"/>
  <c r="L1797" i="1"/>
  <c r="K1798" i="1"/>
  <c r="L1798" i="1"/>
  <c r="K1799" i="1"/>
  <c r="L1799" i="1"/>
  <c r="K1800" i="1"/>
  <c r="L1800" i="1"/>
  <c r="K1801" i="1"/>
  <c r="L1801" i="1"/>
  <c r="K1802" i="1"/>
  <c r="L1802" i="1"/>
  <c r="K1803" i="1"/>
  <c r="L1803" i="1"/>
  <c r="K1804" i="1"/>
  <c r="L1804" i="1"/>
  <c r="K1805" i="1"/>
  <c r="L1805" i="1"/>
  <c r="K1806" i="1"/>
  <c r="L1806" i="1"/>
  <c r="K1807" i="1"/>
  <c r="L1807" i="1"/>
  <c r="K1808" i="1"/>
  <c r="L1808" i="1"/>
  <c r="K1809" i="1"/>
  <c r="L1809" i="1"/>
  <c r="K1810" i="1"/>
  <c r="L1810" i="1"/>
  <c r="K1811" i="1"/>
  <c r="L1811" i="1"/>
  <c r="K1812" i="1"/>
  <c r="L1812" i="1"/>
  <c r="K1813" i="1"/>
  <c r="L1813" i="1"/>
  <c r="K1814" i="1"/>
  <c r="L1814" i="1"/>
  <c r="K1815" i="1"/>
  <c r="L1815" i="1"/>
  <c r="K1816" i="1"/>
  <c r="L1816" i="1"/>
  <c r="K1817" i="1"/>
  <c r="L1817" i="1"/>
  <c r="K1818" i="1"/>
  <c r="L1818" i="1"/>
  <c r="K1819" i="1"/>
  <c r="L1819" i="1"/>
  <c r="K1820" i="1"/>
  <c r="L1820" i="1"/>
  <c r="K1821" i="1"/>
  <c r="L1821" i="1"/>
  <c r="K1822" i="1"/>
  <c r="L1822" i="1"/>
  <c r="K1823" i="1"/>
  <c r="L1823" i="1"/>
  <c r="K1824" i="1"/>
  <c r="L1824" i="1"/>
  <c r="K1825" i="1"/>
  <c r="L1825" i="1"/>
  <c r="K1826" i="1"/>
  <c r="L1826" i="1"/>
  <c r="K1827" i="1"/>
  <c r="L1827" i="1"/>
  <c r="K1828" i="1"/>
  <c r="L1828" i="1"/>
  <c r="K1829" i="1"/>
  <c r="L1829" i="1"/>
  <c r="K1830" i="1"/>
  <c r="L1830" i="1"/>
  <c r="K1831" i="1"/>
  <c r="L1831" i="1"/>
  <c r="K1832" i="1"/>
  <c r="L1832" i="1"/>
  <c r="K1833" i="1"/>
  <c r="L1833" i="1"/>
  <c r="K1834" i="1"/>
  <c r="L1834" i="1"/>
  <c r="K1835" i="1"/>
  <c r="L1835" i="1"/>
  <c r="K1836" i="1"/>
  <c r="L1836" i="1"/>
  <c r="K1837" i="1"/>
  <c r="L1837" i="1"/>
  <c r="K1838" i="1"/>
  <c r="L1838" i="1"/>
  <c r="K1839" i="1"/>
  <c r="L1839" i="1"/>
  <c r="K1840" i="1"/>
  <c r="L1840" i="1"/>
  <c r="K1841" i="1"/>
  <c r="L1841" i="1"/>
  <c r="K1842" i="1"/>
  <c r="L1842" i="1"/>
  <c r="K1843" i="1"/>
  <c r="L1843" i="1"/>
  <c r="K1844" i="1"/>
  <c r="L1844" i="1"/>
  <c r="K1845" i="1"/>
  <c r="L1845" i="1"/>
  <c r="K1846" i="1"/>
  <c r="L1846" i="1"/>
  <c r="K1847" i="1"/>
  <c r="L1847" i="1"/>
  <c r="K1848" i="1"/>
  <c r="L1848" i="1"/>
  <c r="K1849" i="1"/>
  <c r="L1849" i="1"/>
  <c r="K1850" i="1"/>
  <c r="L1850" i="1"/>
  <c r="K1851" i="1"/>
  <c r="L1851" i="1"/>
  <c r="K1852" i="1"/>
  <c r="L1852" i="1"/>
  <c r="K1853" i="1"/>
  <c r="L1853" i="1"/>
  <c r="K1854" i="1"/>
  <c r="L1854" i="1"/>
  <c r="K1855" i="1"/>
  <c r="L1855" i="1"/>
  <c r="K1856" i="1"/>
  <c r="L1856" i="1"/>
  <c r="K1857" i="1"/>
  <c r="L1857" i="1"/>
  <c r="K1858" i="1"/>
  <c r="L1858" i="1"/>
  <c r="K1859" i="1"/>
  <c r="L1859" i="1"/>
  <c r="K1860" i="1"/>
  <c r="L1860" i="1"/>
  <c r="K1861" i="1"/>
  <c r="L1861" i="1"/>
  <c r="K1862" i="1"/>
  <c r="L1862" i="1"/>
  <c r="K1863" i="1"/>
  <c r="L1863" i="1"/>
  <c r="K1864" i="1"/>
  <c r="L1864" i="1"/>
  <c r="K1865" i="1"/>
  <c r="L1865" i="1"/>
  <c r="K1866" i="1"/>
  <c r="L1866" i="1"/>
  <c r="K1867" i="1"/>
  <c r="L1867" i="1"/>
  <c r="K1868" i="1"/>
  <c r="L1868" i="1"/>
  <c r="K1869" i="1"/>
  <c r="L1869" i="1"/>
  <c r="K1870" i="1"/>
  <c r="L1870" i="1"/>
  <c r="K1871" i="1"/>
  <c r="L1871" i="1"/>
  <c r="K1872" i="1"/>
  <c r="L1872" i="1"/>
  <c r="K1873" i="1"/>
  <c r="L1873" i="1"/>
  <c r="K1874" i="1"/>
  <c r="L1874" i="1"/>
  <c r="K1875" i="1"/>
  <c r="L1875" i="1"/>
  <c r="K1876" i="1"/>
  <c r="L1876" i="1"/>
  <c r="K1877" i="1"/>
  <c r="L1877" i="1"/>
  <c r="K1878" i="1"/>
  <c r="L1878" i="1"/>
  <c r="K1879" i="1"/>
  <c r="L1879" i="1"/>
  <c r="K1880" i="1"/>
  <c r="L1880" i="1"/>
  <c r="K1881" i="1"/>
  <c r="L1881" i="1"/>
  <c r="K1882" i="1"/>
  <c r="L1882" i="1"/>
  <c r="K1883" i="1"/>
  <c r="L1883" i="1"/>
  <c r="K1884" i="1"/>
  <c r="L1884" i="1"/>
  <c r="K1885" i="1"/>
  <c r="L1885" i="1"/>
  <c r="K1886" i="1"/>
  <c r="L1886" i="1"/>
  <c r="K1887" i="1"/>
  <c r="L1887" i="1"/>
  <c r="K1888" i="1"/>
  <c r="L1888" i="1"/>
  <c r="K1889" i="1"/>
  <c r="L1889" i="1"/>
  <c r="K1890" i="1"/>
  <c r="L1890" i="1"/>
  <c r="K1891" i="1"/>
  <c r="L1891" i="1"/>
  <c r="K1892" i="1"/>
  <c r="L1892" i="1"/>
  <c r="K1893" i="1"/>
  <c r="L1893" i="1"/>
  <c r="K1894" i="1"/>
  <c r="L1894" i="1"/>
  <c r="K1895" i="1"/>
  <c r="L1895" i="1"/>
  <c r="K1896" i="1"/>
  <c r="L1896" i="1"/>
  <c r="K1897" i="1"/>
  <c r="L1897" i="1"/>
  <c r="K1898" i="1"/>
  <c r="L1898" i="1"/>
  <c r="K1899" i="1"/>
  <c r="L1899" i="1"/>
  <c r="K1900" i="1"/>
  <c r="L1900" i="1"/>
  <c r="K1901" i="1"/>
  <c r="L1901" i="1"/>
  <c r="K1902" i="1"/>
  <c r="L1902" i="1"/>
  <c r="K1903" i="1"/>
  <c r="L1903" i="1"/>
  <c r="K1904" i="1"/>
  <c r="L1904" i="1"/>
  <c r="K1905" i="1"/>
  <c r="L1905" i="1"/>
  <c r="K1906" i="1"/>
  <c r="L1906" i="1"/>
  <c r="K1907" i="1"/>
  <c r="L1907" i="1"/>
  <c r="K1908" i="1"/>
  <c r="L1908" i="1"/>
  <c r="K1909" i="1"/>
  <c r="L1909" i="1"/>
  <c r="K1910" i="1"/>
  <c r="L1910" i="1"/>
  <c r="K1911" i="1"/>
  <c r="L1911" i="1"/>
  <c r="K1912" i="1"/>
  <c r="L1912" i="1"/>
  <c r="K1913" i="1"/>
  <c r="L1913" i="1"/>
  <c r="K1914" i="1"/>
  <c r="L1914" i="1"/>
  <c r="K1915" i="1"/>
  <c r="L1915" i="1"/>
  <c r="K1916" i="1"/>
  <c r="L1916" i="1"/>
  <c r="K1917" i="1"/>
  <c r="L1917" i="1"/>
  <c r="K1918" i="1"/>
  <c r="L1918" i="1"/>
  <c r="K1919" i="1"/>
  <c r="L1919" i="1"/>
  <c r="K1920" i="1"/>
  <c r="L1920" i="1"/>
  <c r="K1921" i="1"/>
  <c r="L1921" i="1"/>
  <c r="K1922" i="1"/>
  <c r="L1922" i="1"/>
  <c r="K1923" i="1"/>
  <c r="L1923" i="1"/>
  <c r="K1924" i="1"/>
  <c r="L1924" i="1"/>
  <c r="K1925" i="1"/>
  <c r="L1925" i="1"/>
  <c r="K1926" i="1"/>
  <c r="L1926" i="1"/>
  <c r="K1927" i="1"/>
  <c r="L1927" i="1"/>
  <c r="K1928" i="1"/>
  <c r="L1928" i="1"/>
  <c r="K1929" i="1"/>
  <c r="L1929" i="1"/>
  <c r="K1930" i="1"/>
  <c r="L1930" i="1"/>
  <c r="K1931" i="1"/>
  <c r="L1931" i="1"/>
  <c r="K1932" i="1"/>
  <c r="L1932" i="1"/>
  <c r="K1933" i="1"/>
  <c r="L1933" i="1"/>
  <c r="K1934" i="1"/>
  <c r="L1934" i="1"/>
  <c r="K1935" i="1"/>
  <c r="L1935" i="1"/>
  <c r="K1936" i="1"/>
  <c r="L1936" i="1"/>
  <c r="K1937" i="1"/>
  <c r="L1937" i="1"/>
  <c r="K1938" i="1"/>
  <c r="L1938" i="1"/>
  <c r="K1939" i="1"/>
  <c r="L1939" i="1"/>
  <c r="K1940" i="1"/>
  <c r="L1940" i="1"/>
  <c r="K1941" i="1"/>
  <c r="L1941" i="1"/>
  <c r="K1942" i="1"/>
  <c r="L1942" i="1"/>
  <c r="K1943" i="1"/>
  <c r="L1943" i="1"/>
  <c r="K1944" i="1"/>
  <c r="L1944" i="1"/>
  <c r="K1945" i="1"/>
  <c r="L1945" i="1"/>
  <c r="K1946" i="1"/>
  <c r="L1946" i="1"/>
  <c r="K1947" i="1"/>
  <c r="L1947" i="1"/>
  <c r="K1948" i="1"/>
  <c r="L1948" i="1"/>
  <c r="K1949" i="1"/>
  <c r="L1949" i="1"/>
  <c r="K1950" i="1"/>
  <c r="L1950" i="1"/>
  <c r="K1951" i="1"/>
  <c r="L1951" i="1"/>
  <c r="K1952" i="1"/>
  <c r="L1952" i="1"/>
  <c r="K1953" i="1"/>
  <c r="L1953" i="1"/>
  <c r="K1954" i="1"/>
  <c r="L1954" i="1"/>
  <c r="K1955" i="1"/>
  <c r="L1955" i="1"/>
  <c r="K1956" i="1"/>
  <c r="L1956" i="1"/>
  <c r="K1957" i="1"/>
  <c r="L1957" i="1"/>
  <c r="K1958" i="1"/>
  <c r="L1958" i="1"/>
  <c r="K1959" i="1"/>
  <c r="L1959" i="1"/>
  <c r="K1960" i="1"/>
  <c r="L1960" i="1"/>
  <c r="K1961" i="1"/>
  <c r="L1961" i="1"/>
  <c r="K1962" i="1"/>
  <c r="L1962" i="1"/>
  <c r="K1963" i="1"/>
  <c r="L1963" i="1"/>
  <c r="K1964" i="1"/>
  <c r="L1964" i="1"/>
  <c r="K1965" i="1"/>
  <c r="L1965" i="1"/>
  <c r="K1966" i="1"/>
  <c r="L1966" i="1"/>
  <c r="K1967" i="1"/>
  <c r="L1967" i="1"/>
  <c r="K1968" i="1"/>
  <c r="L1968" i="1"/>
  <c r="K1969" i="1"/>
  <c r="L1969" i="1"/>
  <c r="K1970" i="1"/>
  <c r="L1970" i="1"/>
  <c r="K1971" i="1"/>
  <c r="L1971" i="1"/>
  <c r="K1972" i="1"/>
  <c r="L1972" i="1"/>
  <c r="K1973" i="1"/>
  <c r="L1973" i="1"/>
  <c r="K1974" i="1"/>
  <c r="L1974" i="1"/>
  <c r="K1975" i="1"/>
  <c r="L1975" i="1"/>
  <c r="K1976" i="1"/>
  <c r="L1976" i="1"/>
  <c r="K1977" i="1"/>
  <c r="L1977" i="1"/>
  <c r="K1978" i="1"/>
  <c r="L1978" i="1"/>
  <c r="K1979" i="1"/>
  <c r="L1979" i="1"/>
  <c r="K1980" i="1"/>
  <c r="L1980" i="1"/>
  <c r="K1981" i="1"/>
  <c r="L1981" i="1"/>
  <c r="K1982" i="1"/>
  <c r="L1982" i="1"/>
  <c r="K1983" i="1"/>
  <c r="L1983" i="1"/>
  <c r="K1984" i="1"/>
  <c r="L1984" i="1"/>
  <c r="K1985" i="1"/>
  <c r="L1985" i="1"/>
  <c r="K1986" i="1"/>
  <c r="L1986" i="1"/>
  <c r="K1987" i="1"/>
  <c r="L1987" i="1"/>
  <c r="K1988" i="1"/>
  <c r="L1988" i="1"/>
  <c r="K1989" i="1"/>
  <c r="L1989" i="1"/>
  <c r="K1990" i="1"/>
  <c r="L1990" i="1"/>
  <c r="K1991" i="1"/>
  <c r="L1991" i="1"/>
  <c r="K1992" i="1"/>
  <c r="L1992" i="1"/>
  <c r="K1993" i="1"/>
  <c r="L1993" i="1"/>
  <c r="K1994" i="1"/>
  <c r="L1994" i="1"/>
  <c r="K1995" i="1"/>
  <c r="L1995" i="1"/>
  <c r="K1996" i="1"/>
  <c r="L1996" i="1"/>
  <c r="K1997" i="1"/>
  <c r="L1997" i="1"/>
  <c r="K1998" i="1"/>
  <c r="L1998" i="1"/>
  <c r="K1999" i="1"/>
  <c r="L1999" i="1"/>
  <c r="K2000" i="1"/>
  <c r="L2000" i="1"/>
  <c r="K2001" i="1"/>
  <c r="L2001" i="1"/>
  <c r="K2002" i="1"/>
  <c r="L2002" i="1"/>
  <c r="K2003" i="1"/>
  <c r="L2003" i="1"/>
  <c r="K2004" i="1"/>
  <c r="L2004" i="1"/>
  <c r="K2005" i="1"/>
  <c r="L2005" i="1"/>
  <c r="K2006" i="1"/>
  <c r="L2006" i="1"/>
  <c r="K2007" i="1"/>
  <c r="L2007" i="1"/>
  <c r="K2008" i="1"/>
  <c r="L2008" i="1"/>
  <c r="K2009" i="1"/>
  <c r="L2009" i="1"/>
  <c r="K2010" i="1"/>
  <c r="L2010" i="1"/>
  <c r="K2011" i="1"/>
  <c r="L2011" i="1"/>
  <c r="K2012" i="1"/>
  <c r="L2012" i="1"/>
  <c r="K2013" i="1"/>
  <c r="L2013" i="1"/>
  <c r="K2014" i="1"/>
  <c r="L2014" i="1"/>
  <c r="K2015" i="1"/>
  <c r="L2015" i="1"/>
  <c r="K2016" i="1"/>
  <c r="L2016" i="1"/>
  <c r="K2017" i="1"/>
  <c r="L2017" i="1"/>
  <c r="K2018" i="1"/>
  <c r="L2018" i="1"/>
  <c r="K2019" i="1"/>
  <c r="L2019" i="1"/>
  <c r="K2020" i="1"/>
  <c r="L2020" i="1"/>
  <c r="K2021" i="1"/>
  <c r="L2021" i="1"/>
  <c r="K2022" i="1"/>
  <c r="L2022" i="1"/>
  <c r="K2023" i="1"/>
  <c r="L2023" i="1"/>
  <c r="K2024" i="1"/>
  <c r="L2024" i="1"/>
  <c r="K2025" i="1"/>
  <c r="L2025" i="1"/>
  <c r="K2026" i="1"/>
  <c r="L2026" i="1"/>
  <c r="K2027" i="1"/>
  <c r="L2027" i="1"/>
  <c r="K2028" i="1"/>
  <c r="L2028" i="1"/>
  <c r="K2029" i="1"/>
  <c r="L2029" i="1"/>
  <c r="K2030" i="1"/>
  <c r="L2030" i="1"/>
  <c r="K2031" i="1"/>
  <c r="L2031" i="1"/>
  <c r="K2032" i="1"/>
  <c r="L2032" i="1"/>
  <c r="K2033" i="1"/>
  <c r="L2033" i="1"/>
  <c r="K2034" i="1"/>
  <c r="L2034" i="1"/>
  <c r="K2035" i="1"/>
  <c r="L2035" i="1"/>
  <c r="K2036" i="1"/>
  <c r="L2036" i="1"/>
  <c r="K2037" i="1"/>
  <c r="L2037" i="1"/>
  <c r="K2038" i="1"/>
  <c r="L2038" i="1"/>
  <c r="K2039" i="1"/>
  <c r="L2039" i="1"/>
  <c r="K2040" i="1"/>
  <c r="L2040" i="1"/>
  <c r="K2041" i="1"/>
  <c r="L2041" i="1"/>
  <c r="K2042" i="1"/>
  <c r="L2042" i="1"/>
  <c r="K2043" i="1"/>
  <c r="L2043" i="1"/>
  <c r="K2044" i="1"/>
  <c r="L2044" i="1"/>
  <c r="K2045" i="1"/>
  <c r="L2045" i="1"/>
  <c r="K2046" i="1"/>
  <c r="L2046" i="1"/>
  <c r="K2047" i="1"/>
  <c r="L2047" i="1"/>
  <c r="K2048" i="1"/>
  <c r="L2048" i="1"/>
  <c r="K2049" i="1"/>
  <c r="L2049" i="1"/>
  <c r="K2050" i="1"/>
  <c r="L2050" i="1"/>
  <c r="K2051" i="1"/>
  <c r="L2051" i="1"/>
  <c r="K2052" i="1"/>
  <c r="L2052" i="1"/>
  <c r="K2053" i="1"/>
  <c r="L2053" i="1"/>
  <c r="K2054" i="1"/>
  <c r="L2054" i="1"/>
  <c r="K2055" i="1"/>
  <c r="L2055" i="1"/>
  <c r="K2056" i="1"/>
  <c r="L2056" i="1"/>
  <c r="K2057" i="1"/>
  <c r="L2057" i="1"/>
  <c r="K2058" i="1"/>
  <c r="L2058" i="1"/>
  <c r="K2059" i="1"/>
  <c r="L2059" i="1"/>
  <c r="K2060" i="1"/>
  <c r="L2060" i="1"/>
  <c r="K2061" i="1"/>
  <c r="L2061" i="1"/>
  <c r="K2062" i="1"/>
  <c r="L2062" i="1"/>
  <c r="K2063" i="1"/>
  <c r="L2063" i="1"/>
  <c r="K2064" i="1"/>
  <c r="L2064" i="1"/>
  <c r="K2065" i="1"/>
  <c r="L2065" i="1"/>
  <c r="K2066" i="1"/>
  <c r="L2066" i="1"/>
  <c r="K2067" i="1"/>
  <c r="L2067" i="1"/>
  <c r="K2068" i="1"/>
  <c r="L2068" i="1"/>
  <c r="K2069" i="1"/>
  <c r="L2069" i="1"/>
  <c r="K2070" i="1"/>
  <c r="L2070" i="1"/>
  <c r="K2071" i="1"/>
  <c r="L2071" i="1"/>
  <c r="K2072" i="1"/>
  <c r="L2072" i="1"/>
  <c r="K2073" i="1"/>
  <c r="L2073" i="1"/>
  <c r="K2074" i="1"/>
  <c r="L2074" i="1"/>
  <c r="K2075" i="1"/>
  <c r="L2075" i="1"/>
  <c r="K2076" i="1"/>
  <c r="L2076" i="1"/>
  <c r="K2077" i="1"/>
  <c r="L2077" i="1"/>
  <c r="K2078" i="1"/>
  <c r="L2078" i="1"/>
  <c r="K2079" i="1"/>
  <c r="L2079" i="1"/>
  <c r="K2080" i="1"/>
  <c r="L2080" i="1"/>
  <c r="K2081" i="1"/>
  <c r="L2081" i="1"/>
  <c r="K2082" i="1"/>
  <c r="L2082" i="1"/>
  <c r="K2083" i="1"/>
  <c r="L2083" i="1"/>
  <c r="K2084" i="1"/>
  <c r="L2084" i="1"/>
  <c r="K2085" i="1"/>
  <c r="L2085" i="1"/>
  <c r="K2086" i="1"/>
  <c r="L2086" i="1"/>
  <c r="K2087" i="1"/>
  <c r="L2087" i="1"/>
  <c r="K2088" i="1"/>
  <c r="L2088" i="1"/>
  <c r="K2089" i="1"/>
  <c r="L2089" i="1"/>
  <c r="K2090" i="1"/>
  <c r="L2090" i="1"/>
  <c r="K2091" i="1"/>
  <c r="L2091" i="1"/>
  <c r="K2092" i="1"/>
  <c r="L2092" i="1"/>
  <c r="K2093" i="1"/>
  <c r="L2093" i="1"/>
  <c r="K2094" i="1"/>
  <c r="L2094" i="1"/>
  <c r="K2095" i="1"/>
  <c r="L2095" i="1"/>
  <c r="K2096" i="1"/>
  <c r="L2096" i="1"/>
  <c r="K2097" i="1"/>
  <c r="L2097" i="1"/>
  <c r="K2098" i="1"/>
  <c r="L2098" i="1"/>
  <c r="K2099" i="1"/>
  <c r="L2099" i="1"/>
  <c r="K2100" i="1"/>
  <c r="L2100" i="1"/>
  <c r="K2101" i="1"/>
  <c r="L2101" i="1"/>
  <c r="K2102" i="1"/>
  <c r="L2102" i="1"/>
  <c r="K2103" i="1"/>
  <c r="L2103" i="1"/>
  <c r="K2104" i="1"/>
  <c r="L2104" i="1"/>
  <c r="K2105" i="1"/>
  <c r="L2105" i="1"/>
  <c r="K2106" i="1"/>
  <c r="L2106" i="1"/>
  <c r="K2107" i="1"/>
  <c r="L2107" i="1"/>
  <c r="K2108" i="1"/>
  <c r="L2108" i="1"/>
  <c r="K2109" i="1"/>
  <c r="L2109" i="1"/>
  <c r="K2110" i="1"/>
  <c r="L2110" i="1"/>
  <c r="K2111" i="1"/>
  <c r="L2111" i="1"/>
  <c r="K2112" i="1"/>
  <c r="L2112" i="1"/>
  <c r="K2113" i="1"/>
  <c r="L2113" i="1"/>
  <c r="K2114" i="1"/>
  <c r="L2114" i="1"/>
  <c r="K2115" i="1"/>
  <c r="L2115" i="1"/>
  <c r="K2116" i="1"/>
  <c r="L2116" i="1"/>
  <c r="K2117" i="1"/>
  <c r="L2117" i="1"/>
  <c r="K2118" i="1"/>
  <c r="L2118" i="1"/>
  <c r="K2119" i="1"/>
  <c r="L2119" i="1"/>
  <c r="K2120" i="1"/>
  <c r="L2120" i="1"/>
  <c r="K2121" i="1"/>
  <c r="L2121" i="1"/>
  <c r="K2122" i="1"/>
  <c r="L2122" i="1"/>
  <c r="K2123" i="1"/>
  <c r="L2123" i="1"/>
  <c r="K2124" i="1"/>
  <c r="L2124" i="1"/>
  <c r="K2125" i="1"/>
  <c r="L2125" i="1"/>
  <c r="K2126" i="1"/>
  <c r="L2126" i="1"/>
  <c r="K2127" i="1"/>
  <c r="L2127" i="1"/>
  <c r="K2128" i="1"/>
  <c r="L2128" i="1"/>
  <c r="K2129" i="1"/>
  <c r="L2129" i="1"/>
  <c r="K2130" i="1"/>
  <c r="L2130" i="1"/>
  <c r="K2131" i="1"/>
  <c r="L2131" i="1"/>
  <c r="K2132" i="1"/>
  <c r="L2132" i="1"/>
  <c r="K2133" i="1"/>
  <c r="L2133" i="1"/>
  <c r="K2134" i="1"/>
  <c r="L2134" i="1"/>
  <c r="K2135" i="1"/>
  <c r="L2135" i="1"/>
  <c r="K2136" i="1"/>
  <c r="L2136" i="1"/>
  <c r="K2137" i="1"/>
  <c r="L2137" i="1"/>
  <c r="K2138" i="1"/>
  <c r="L2138" i="1"/>
  <c r="K2139" i="1"/>
  <c r="L2139" i="1"/>
  <c r="K2140" i="1"/>
  <c r="L2140" i="1"/>
  <c r="K2141" i="1"/>
  <c r="L2141" i="1"/>
  <c r="K2142" i="1"/>
  <c r="L2142" i="1"/>
  <c r="K2143" i="1"/>
  <c r="L2143" i="1"/>
  <c r="K2144" i="1"/>
  <c r="L2144" i="1"/>
  <c r="K2145" i="1"/>
  <c r="L2145" i="1"/>
  <c r="K2146" i="1"/>
  <c r="L2146" i="1"/>
  <c r="K2147" i="1"/>
  <c r="L2147" i="1"/>
  <c r="K2148" i="1"/>
  <c r="L2148" i="1"/>
  <c r="K2149" i="1"/>
  <c r="L2149" i="1"/>
  <c r="K2150" i="1"/>
  <c r="L2150" i="1"/>
  <c r="K2151" i="1"/>
  <c r="L2151" i="1"/>
  <c r="K2152" i="1"/>
  <c r="L2152" i="1"/>
  <c r="K2153" i="1"/>
  <c r="L2153" i="1"/>
  <c r="K2154" i="1"/>
  <c r="L2154" i="1"/>
  <c r="K2155" i="1"/>
  <c r="L2155" i="1"/>
  <c r="K2156" i="1"/>
  <c r="L2156" i="1"/>
  <c r="K2157" i="1"/>
  <c r="L2157" i="1"/>
  <c r="K2158" i="1"/>
  <c r="L2158" i="1"/>
  <c r="K2159" i="1"/>
  <c r="L2159" i="1"/>
  <c r="K2160" i="1"/>
  <c r="L2160" i="1"/>
  <c r="K2161" i="1"/>
  <c r="L2161" i="1"/>
  <c r="K2162" i="1"/>
  <c r="L2162" i="1"/>
  <c r="K2163" i="1"/>
  <c r="L2163" i="1"/>
  <c r="K2164" i="1"/>
  <c r="L2164" i="1"/>
  <c r="K2165" i="1"/>
  <c r="L2165" i="1"/>
  <c r="K2166" i="1"/>
  <c r="L2166" i="1"/>
  <c r="K2167" i="1"/>
  <c r="L2167" i="1"/>
  <c r="K2168" i="1"/>
  <c r="L2168" i="1"/>
  <c r="K2169" i="1"/>
  <c r="L2169" i="1"/>
  <c r="K2170" i="1"/>
  <c r="L2170" i="1"/>
  <c r="K2171" i="1"/>
  <c r="L2171" i="1"/>
  <c r="K2172" i="1"/>
  <c r="L2172" i="1"/>
  <c r="K2173" i="1"/>
  <c r="L2173" i="1"/>
  <c r="K2174" i="1"/>
  <c r="L2174" i="1"/>
  <c r="K2175" i="1"/>
  <c r="L2175" i="1"/>
  <c r="K2176" i="1"/>
  <c r="L2176" i="1"/>
  <c r="K2177" i="1"/>
  <c r="L2177" i="1"/>
  <c r="K2178" i="1"/>
  <c r="L2178" i="1"/>
  <c r="K2179" i="1"/>
  <c r="L2179" i="1"/>
  <c r="K2180" i="1"/>
  <c r="L2180" i="1"/>
  <c r="K2181" i="1"/>
  <c r="L2181" i="1"/>
  <c r="K2182" i="1"/>
  <c r="L2182" i="1"/>
  <c r="K2183" i="1"/>
  <c r="L2183" i="1"/>
  <c r="K2184" i="1"/>
  <c r="L2184" i="1"/>
  <c r="K2185" i="1"/>
  <c r="L2185" i="1"/>
  <c r="K2186" i="1"/>
  <c r="L2186" i="1"/>
  <c r="K2187" i="1"/>
  <c r="L2187" i="1"/>
  <c r="K2188" i="1"/>
  <c r="L2188" i="1"/>
  <c r="K2189" i="1"/>
  <c r="L2189" i="1"/>
  <c r="K2190" i="1"/>
  <c r="L2190" i="1"/>
  <c r="K2191" i="1"/>
  <c r="L2191" i="1"/>
  <c r="K2192" i="1"/>
  <c r="L2192" i="1"/>
  <c r="K2193" i="1"/>
  <c r="L2193" i="1"/>
  <c r="K2194" i="1"/>
  <c r="L2194" i="1"/>
  <c r="K2195" i="1"/>
  <c r="L2195" i="1"/>
  <c r="K2196" i="1"/>
  <c r="L2196" i="1"/>
  <c r="K2197" i="1"/>
  <c r="L2197" i="1"/>
  <c r="K2198" i="1"/>
  <c r="L2198" i="1"/>
  <c r="K2199" i="1"/>
  <c r="L2199" i="1"/>
  <c r="K2200" i="1"/>
  <c r="L2200" i="1"/>
  <c r="K2201" i="1"/>
  <c r="L2201" i="1"/>
  <c r="K2202" i="1"/>
  <c r="L2202" i="1"/>
  <c r="K2203" i="1"/>
  <c r="L2203" i="1"/>
  <c r="K2204" i="1"/>
  <c r="L2204" i="1"/>
  <c r="K2205" i="1"/>
  <c r="L2205" i="1"/>
  <c r="K2206" i="1"/>
  <c r="L2206" i="1"/>
  <c r="K2207" i="1"/>
  <c r="L2207" i="1"/>
  <c r="K2208" i="1"/>
  <c r="L2208" i="1"/>
  <c r="K2209" i="1"/>
  <c r="L2209" i="1"/>
  <c r="K2210" i="1"/>
  <c r="L2210" i="1"/>
  <c r="K2211" i="1"/>
  <c r="L2211" i="1"/>
  <c r="K2212" i="1"/>
  <c r="L2212" i="1"/>
  <c r="K2213" i="1"/>
  <c r="L2213" i="1"/>
  <c r="K2214" i="1"/>
  <c r="L2214" i="1"/>
  <c r="K2215" i="1"/>
  <c r="L2215" i="1"/>
  <c r="K2216" i="1"/>
  <c r="L2216" i="1"/>
  <c r="K2217" i="1"/>
  <c r="L2217" i="1"/>
  <c r="K2218" i="1"/>
  <c r="L2218" i="1"/>
  <c r="K2219" i="1"/>
  <c r="L2219" i="1"/>
  <c r="K2220" i="1"/>
  <c r="L2220" i="1"/>
  <c r="K2221" i="1"/>
  <c r="L2221" i="1"/>
  <c r="K2222" i="1"/>
  <c r="L2222" i="1"/>
  <c r="K2223" i="1"/>
  <c r="L2223" i="1"/>
  <c r="K2224" i="1"/>
  <c r="L2224" i="1"/>
  <c r="K2225" i="1"/>
  <c r="L2225" i="1"/>
  <c r="K2226" i="1"/>
  <c r="L2226" i="1"/>
  <c r="K2227" i="1"/>
  <c r="L2227" i="1"/>
  <c r="K2228" i="1"/>
  <c r="L2228" i="1"/>
  <c r="K2229" i="1"/>
  <c r="L2229" i="1"/>
  <c r="K2230" i="1"/>
  <c r="L2230" i="1"/>
  <c r="K2231" i="1"/>
  <c r="L2231" i="1"/>
  <c r="K2232" i="1"/>
  <c r="L2232" i="1"/>
  <c r="K2233" i="1"/>
  <c r="L2233" i="1"/>
  <c r="K2234" i="1"/>
  <c r="L2234" i="1"/>
  <c r="K2235" i="1"/>
  <c r="L2235" i="1"/>
  <c r="K2236" i="1"/>
  <c r="L2236" i="1"/>
  <c r="K2237" i="1"/>
  <c r="L2237" i="1"/>
  <c r="K2238" i="1"/>
  <c r="L2238" i="1"/>
  <c r="K2239" i="1"/>
  <c r="L2239" i="1"/>
  <c r="K2240" i="1"/>
  <c r="L2240" i="1"/>
  <c r="K2241" i="1"/>
  <c r="L2241" i="1"/>
  <c r="K2242" i="1"/>
  <c r="L2242" i="1"/>
  <c r="K2243" i="1"/>
  <c r="L2243" i="1"/>
  <c r="K2244" i="1"/>
  <c r="L2244" i="1"/>
  <c r="K2245" i="1"/>
  <c r="L2245" i="1"/>
  <c r="K2246" i="1"/>
  <c r="L2246" i="1"/>
  <c r="K2247" i="1"/>
  <c r="L2247" i="1"/>
  <c r="K2248" i="1"/>
  <c r="L2248" i="1"/>
  <c r="K2249" i="1"/>
  <c r="L2249" i="1"/>
  <c r="K2250" i="1"/>
  <c r="L2250" i="1"/>
  <c r="K2251" i="1"/>
  <c r="L2251" i="1"/>
  <c r="K2252" i="1"/>
  <c r="L2252" i="1"/>
  <c r="K2253" i="1"/>
  <c r="L2253" i="1"/>
  <c r="K2254" i="1"/>
  <c r="L2254" i="1"/>
  <c r="K2255" i="1"/>
  <c r="L2255" i="1"/>
  <c r="K2256" i="1"/>
  <c r="L2256" i="1"/>
  <c r="K2257" i="1"/>
  <c r="L2257" i="1"/>
  <c r="K2258" i="1"/>
  <c r="L2258" i="1"/>
  <c r="K2259" i="1"/>
  <c r="L2259" i="1"/>
  <c r="K2260" i="1"/>
  <c r="L2260" i="1"/>
  <c r="K2261" i="1"/>
  <c r="L2261" i="1"/>
  <c r="K2262" i="1"/>
  <c r="L2262" i="1"/>
  <c r="K2263" i="1"/>
  <c r="L2263" i="1"/>
  <c r="K2264" i="1"/>
  <c r="L2264" i="1"/>
  <c r="K2265" i="1"/>
  <c r="L2265" i="1"/>
  <c r="K2266" i="1"/>
  <c r="L2266" i="1"/>
  <c r="K2267" i="1"/>
  <c r="L2267" i="1"/>
  <c r="K2268" i="1"/>
  <c r="L2268" i="1"/>
  <c r="K2269" i="1"/>
  <c r="L2269" i="1"/>
  <c r="K2270" i="1"/>
  <c r="L2270" i="1"/>
  <c r="K2271" i="1"/>
  <c r="L2271" i="1"/>
  <c r="K2272" i="1"/>
  <c r="L2272" i="1"/>
  <c r="K2273" i="1"/>
  <c r="L2273" i="1"/>
  <c r="K2274" i="1"/>
  <c r="L2274" i="1"/>
  <c r="K2275" i="1"/>
  <c r="L2275" i="1"/>
  <c r="K2276" i="1"/>
  <c r="L2276" i="1"/>
  <c r="K2277" i="1"/>
  <c r="L2277" i="1"/>
  <c r="K2278" i="1"/>
  <c r="L2278" i="1"/>
  <c r="K2279" i="1"/>
  <c r="L2279" i="1"/>
  <c r="K2280" i="1"/>
  <c r="L2280" i="1"/>
  <c r="K2281" i="1"/>
  <c r="L2281" i="1"/>
  <c r="K2282" i="1"/>
  <c r="L2282" i="1"/>
  <c r="K2283" i="1"/>
  <c r="L2283" i="1"/>
  <c r="K2284" i="1"/>
  <c r="L2284" i="1"/>
  <c r="K2285" i="1"/>
  <c r="L2285" i="1"/>
  <c r="K2286" i="1"/>
  <c r="L2286" i="1"/>
  <c r="K2287" i="1"/>
  <c r="L2287" i="1"/>
  <c r="K2288" i="1"/>
  <c r="L2288" i="1"/>
  <c r="K2289" i="1"/>
  <c r="L2289" i="1"/>
  <c r="K2290" i="1"/>
  <c r="L2290" i="1"/>
  <c r="K2291" i="1"/>
  <c r="L2291" i="1"/>
  <c r="K2292" i="1"/>
  <c r="L2292" i="1"/>
  <c r="K2293" i="1"/>
  <c r="L2293" i="1"/>
  <c r="K2294" i="1"/>
  <c r="L2294" i="1"/>
  <c r="K2295" i="1"/>
  <c r="L2295" i="1"/>
  <c r="K2296" i="1"/>
  <c r="L2296" i="1"/>
  <c r="K2297" i="1"/>
  <c r="L2297" i="1"/>
  <c r="K2298" i="1"/>
  <c r="L2298" i="1"/>
  <c r="K2299" i="1"/>
  <c r="L2299" i="1"/>
  <c r="K2300" i="1"/>
  <c r="L2300" i="1"/>
  <c r="K2301" i="1"/>
  <c r="L2301" i="1"/>
  <c r="K2302" i="1"/>
  <c r="L2302" i="1"/>
  <c r="K2303" i="1"/>
  <c r="L2303" i="1"/>
  <c r="K2304" i="1"/>
  <c r="L2304" i="1"/>
  <c r="K2305" i="1"/>
  <c r="L2305" i="1"/>
  <c r="K2306" i="1"/>
  <c r="L2306" i="1"/>
  <c r="K2307" i="1"/>
  <c r="L2307" i="1"/>
  <c r="K2308" i="1"/>
  <c r="L2308" i="1"/>
  <c r="K2309" i="1"/>
  <c r="L2309" i="1"/>
  <c r="K2310" i="1"/>
  <c r="L2310" i="1"/>
  <c r="K2311" i="1"/>
  <c r="L2311" i="1"/>
  <c r="K2312" i="1"/>
  <c r="L2312" i="1"/>
  <c r="K2313" i="1"/>
  <c r="L2313" i="1"/>
  <c r="K2314" i="1"/>
  <c r="L2314" i="1"/>
  <c r="K2315" i="1"/>
  <c r="L2315" i="1"/>
  <c r="K2316" i="1"/>
  <c r="L2316" i="1"/>
  <c r="K2317" i="1"/>
  <c r="L2317" i="1"/>
  <c r="K2318" i="1"/>
  <c r="L2318" i="1"/>
  <c r="K2319" i="1"/>
  <c r="L2319" i="1"/>
  <c r="K2320" i="1"/>
  <c r="L2320" i="1"/>
  <c r="K2321" i="1"/>
  <c r="L2321" i="1"/>
  <c r="K2322" i="1"/>
  <c r="L2322" i="1"/>
  <c r="K2323" i="1"/>
  <c r="L2323" i="1"/>
  <c r="K2324" i="1"/>
  <c r="L2324" i="1"/>
  <c r="K2325" i="1"/>
  <c r="L2325" i="1"/>
  <c r="K2326" i="1"/>
  <c r="L2326" i="1"/>
  <c r="K2327" i="1"/>
  <c r="L2327" i="1"/>
  <c r="K2328" i="1"/>
  <c r="L2328" i="1"/>
  <c r="K2329" i="1"/>
  <c r="L2329" i="1"/>
  <c r="K2330" i="1"/>
  <c r="L2330" i="1"/>
  <c r="K2331" i="1"/>
  <c r="L2331" i="1"/>
  <c r="K2332" i="1"/>
  <c r="L2332" i="1"/>
  <c r="K2333" i="1"/>
  <c r="L2333" i="1"/>
  <c r="K2334" i="1"/>
  <c r="L2334" i="1"/>
  <c r="K2335" i="1"/>
  <c r="L2335" i="1"/>
  <c r="K2336" i="1"/>
  <c r="L2336" i="1"/>
  <c r="K2337" i="1"/>
  <c r="L2337" i="1"/>
  <c r="K2338" i="1"/>
  <c r="L2338" i="1"/>
  <c r="K2339" i="1"/>
  <c r="L2339" i="1"/>
  <c r="K2340" i="1"/>
  <c r="L2340" i="1"/>
  <c r="K2341" i="1"/>
  <c r="L2341" i="1"/>
  <c r="K2342" i="1"/>
  <c r="L2342" i="1"/>
  <c r="K2343" i="1"/>
  <c r="L2343" i="1"/>
  <c r="K2344" i="1"/>
  <c r="L2344" i="1"/>
  <c r="K2345" i="1"/>
  <c r="L2345" i="1"/>
  <c r="K2346" i="1"/>
  <c r="L2346" i="1"/>
  <c r="K2347" i="1"/>
  <c r="L2347" i="1"/>
  <c r="K2348" i="1"/>
  <c r="L2348" i="1"/>
  <c r="K2349" i="1"/>
  <c r="L2349" i="1"/>
  <c r="K2350" i="1"/>
  <c r="L2350" i="1"/>
  <c r="K2351" i="1"/>
  <c r="L2351" i="1"/>
  <c r="K2352" i="1"/>
  <c r="L2352" i="1"/>
  <c r="K2353" i="1"/>
  <c r="L2353" i="1"/>
  <c r="K2354" i="1"/>
  <c r="L2354" i="1"/>
  <c r="K2355" i="1"/>
  <c r="L2355" i="1"/>
  <c r="K2356" i="1"/>
  <c r="L2356" i="1"/>
  <c r="K2357" i="1"/>
  <c r="L2357" i="1"/>
  <c r="K2358" i="1"/>
  <c r="L2358" i="1"/>
  <c r="K2359" i="1"/>
  <c r="L2359" i="1"/>
  <c r="K2360" i="1"/>
  <c r="L2360" i="1"/>
  <c r="K2361" i="1"/>
  <c r="L2361" i="1"/>
  <c r="K2362" i="1"/>
  <c r="L2362" i="1"/>
  <c r="K2363" i="1"/>
  <c r="L2363" i="1"/>
  <c r="K2364" i="1"/>
  <c r="L2364" i="1"/>
  <c r="K2365" i="1"/>
  <c r="L2365" i="1"/>
  <c r="K2366" i="1"/>
  <c r="L2366" i="1"/>
  <c r="K2367" i="1"/>
  <c r="L2367" i="1"/>
  <c r="K2368" i="1"/>
  <c r="L2368" i="1"/>
  <c r="K2369" i="1"/>
  <c r="L2369" i="1"/>
  <c r="K2370" i="1"/>
  <c r="L2370" i="1"/>
  <c r="K2371" i="1"/>
  <c r="L2371" i="1"/>
  <c r="K2372" i="1"/>
  <c r="L2372" i="1"/>
  <c r="K2373" i="1"/>
  <c r="L2373" i="1"/>
  <c r="K2374" i="1"/>
  <c r="L2374" i="1"/>
  <c r="K2375" i="1"/>
  <c r="L2375" i="1"/>
  <c r="K2376" i="1"/>
  <c r="L2376" i="1"/>
  <c r="K2377" i="1"/>
  <c r="L2377" i="1"/>
  <c r="K2378" i="1"/>
  <c r="L2378" i="1"/>
  <c r="K2379" i="1"/>
  <c r="L2379" i="1"/>
  <c r="K2380" i="1"/>
  <c r="L2380" i="1"/>
  <c r="K2381" i="1"/>
  <c r="L2381" i="1"/>
  <c r="K2382" i="1"/>
  <c r="L2382" i="1"/>
  <c r="K2383" i="1"/>
  <c r="L2383" i="1"/>
  <c r="K2384" i="1"/>
  <c r="L2384" i="1"/>
  <c r="K2385" i="1"/>
  <c r="L2385" i="1"/>
  <c r="K2386" i="1"/>
  <c r="L2386" i="1"/>
  <c r="K2387" i="1"/>
  <c r="L2387" i="1"/>
  <c r="K2388" i="1"/>
  <c r="L2388" i="1"/>
  <c r="K2389" i="1"/>
  <c r="L2389" i="1"/>
  <c r="K2390" i="1"/>
  <c r="L2390" i="1"/>
  <c r="K2391" i="1"/>
  <c r="L2391" i="1"/>
  <c r="K2392" i="1"/>
  <c r="L2392" i="1"/>
  <c r="K2393" i="1"/>
  <c r="L2393" i="1"/>
  <c r="K2394" i="1"/>
  <c r="L2394" i="1"/>
  <c r="K2395" i="1"/>
  <c r="L2395" i="1"/>
  <c r="K2396" i="1"/>
  <c r="L2396" i="1"/>
  <c r="K2397" i="1"/>
  <c r="L2397" i="1"/>
  <c r="K2398" i="1"/>
  <c r="L2398" i="1"/>
  <c r="K2399" i="1"/>
  <c r="L2399" i="1"/>
  <c r="K2400" i="1"/>
  <c r="L2400" i="1"/>
  <c r="K2401" i="1"/>
  <c r="L2401" i="1"/>
  <c r="K2402" i="1"/>
  <c r="L2402" i="1"/>
  <c r="K2403" i="1"/>
  <c r="L2403" i="1"/>
  <c r="K2404" i="1"/>
  <c r="L2404" i="1"/>
  <c r="K2405" i="1"/>
  <c r="L2405" i="1"/>
  <c r="K2406" i="1"/>
  <c r="L2406" i="1"/>
  <c r="K2407" i="1"/>
  <c r="L2407" i="1"/>
  <c r="K2408" i="1"/>
  <c r="L2408" i="1"/>
  <c r="K2409" i="1"/>
  <c r="L2409" i="1"/>
  <c r="K2410" i="1"/>
  <c r="L2410" i="1"/>
  <c r="K2411" i="1"/>
  <c r="L2411" i="1"/>
  <c r="K2412" i="1"/>
  <c r="L2412" i="1"/>
  <c r="K2413" i="1"/>
  <c r="L2413" i="1"/>
  <c r="K2414" i="1"/>
  <c r="L2414" i="1"/>
  <c r="K2415" i="1"/>
  <c r="L2415" i="1"/>
  <c r="K2416" i="1"/>
  <c r="L2416" i="1"/>
  <c r="K2417" i="1"/>
  <c r="L2417" i="1"/>
  <c r="K2418" i="1"/>
  <c r="L2418" i="1"/>
  <c r="K2419" i="1"/>
  <c r="L2419" i="1"/>
  <c r="K2420" i="1"/>
  <c r="L2420" i="1"/>
  <c r="K2421" i="1"/>
  <c r="L2421" i="1"/>
  <c r="K2422" i="1"/>
  <c r="L2422" i="1"/>
  <c r="K2423" i="1"/>
  <c r="L2423" i="1"/>
  <c r="K2424" i="1"/>
  <c r="L2424" i="1"/>
  <c r="K2425" i="1"/>
  <c r="L2425" i="1"/>
  <c r="K2426" i="1"/>
  <c r="L2426" i="1"/>
  <c r="K2427" i="1"/>
  <c r="L2427" i="1"/>
  <c r="K2428" i="1"/>
  <c r="L2428" i="1"/>
  <c r="K2429" i="1"/>
  <c r="L2429" i="1"/>
  <c r="K2430" i="1"/>
  <c r="L2430" i="1"/>
  <c r="K2431" i="1"/>
  <c r="L2431" i="1"/>
  <c r="K2432" i="1"/>
  <c r="L2432" i="1"/>
  <c r="K2433" i="1"/>
  <c r="L2433" i="1"/>
  <c r="K2434" i="1"/>
  <c r="L2434" i="1"/>
  <c r="K2435" i="1"/>
  <c r="L2435" i="1"/>
  <c r="K2436" i="1"/>
  <c r="L2436" i="1"/>
  <c r="K2437" i="1"/>
  <c r="L2437" i="1"/>
  <c r="K2438" i="1"/>
  <c r="L2438" i="1"/>
  <c r="K2439" i="1"/>
  <c r="L2439" i="1"/>
  <c r="K2440" i="1"/>
  <c r="L2440" i="1"/>
  <c r="K2441" i="1"/>
  <c r="L2441" i="1"/>
  <c r="K2442" i="1"/>
  <c r="L2442" i="1"/>
  <c r="K2443" i="1"/>
  <c r="L2443" i="1"/>
  <c r="K2444" i="1"/>
  <c r="L2444" i="1"/>
  <c r="K2445" i="1"/>
  <c r="L2445" i="1"/>
  <c r="K2446" i="1"/>
  <c r="L2446" i="1"/>
  <c r="K2447" i="1"/>
  <c r="L2447" i="1"/>
  <c r="K2448" i="1"/>
  <c r="L2448" i="1"/>
  <c r="K2449" i="1"/>
  <c r="L2449" i="1"/>
  <c r="K2450" i="1"/>
  <c r="L2450" i="1"/>
  <c r="K2451" i="1"/>
  <c r="L2451" i="1"/>
  <c r="K2452" i="1"/>
  <c r="L2452" i="1"/>
  <c r="K2453" i="1"/>
  <c r="L2453" i="1"/>
  <c r="K2454" i="1"/>
  <c r="L2454" i="1"/>
  <c r="K2455" i="1"/>
  <c r="L2455" i="1"/>
  <c r="K2456" i="1"/>
  <c r="L2456" i="1"/>
  <c r="K2457" i="1"/>
  <c r="L2457" i="1"/>
  <c r="K2458" i="1"/>
  <c r="L2458" i="1"/>
  <c r="K2459" i="1"/>
  <c r="L2459" i="1"/>
  <c r="K2460" i="1"/>
  <c r="L2460" i="1"/>
  <c r="K2461" i="1"/>
  <c r="L2461" i="1"/>
  <c r="K2462" i="1"/>
  <c r="L2462" i="1"/>
  <c r="K2463" i="1"/>
  <c r="L2463" i="1"/>
  <c r="K2464" i="1"/>
  <c r="L2464" i="1"/>
  <c r="K2465" i="1"/>
  <c r="L2465" i="1"/>
  <c r="K2466" i="1"/>
  <c r="L2466" i="1"/>
  <c r="K2467" i="1"/>
  <c r="L2467" i="1"/>
  <c r="K2468" i="1"/>
  <c r="L2468" i="1"/>
  <c r="K2469" i="1"/>
  <c r="L2469" i="1"/>
  <c r="K2470" i="1"/>
  <c r="L2470" i="1"/>
  <c r="K2471" i="1"/>
  <c r="L2471" i="1"/>
  <c r="K2472" i="1"/>
  <c r="L2472" i="1"/>
  <c r="K2473" i="1"/>
  <c r="L2473" i="1"/>
  <c r="K2474" i="1"/>
  <c r="L2474" i="1"/>
  <c r="K2475" i="1"/>
  <c r="L2475" i="1"/>
  <c r="K2476" i="1"/>
  <c r="L2476" i="1"/>
  <c r="K2477" i="1"/>
  <c r="L2477" i="1"/>
  <c r="K2478" i="1"/>
  <c r="L2478" i="1"/>
  <c r="K2479" i="1"/>
  <c r="L2479" i="1"/>
  <c r="K2480" i="1"/>
  <c r="L2480" i="1"/>
  <c r="K2481" i="1"/>
  <c r="L2481" i="1"/>
  <c r="K2482" i="1"/>
  <c r="L2482" i="1"/>
  <c r="K2483" i="1"/>
  <c r="L2483" i="1"/>
  <c r="K2484" i="1"/>
  <c r="L2484" i="1"/>
  <c r="K2485" i="1"/>
  <c r="L2485" i="1"/>
  <c r="K2486" i="1"/>
  <c r="L2486" i="1"/>
  <c r="K2487" i="1"/>
  <c r="L2487" i="1"/>
  <c r="K2488" i="1"/>
  <c r="L2488" i="1"/>
  <c r="K2489" i="1"/>
  <c r="L2489" i="1"/>
  <c r="K2490" i="1"/>
  <c r="L2490" i="1"/>
  <c r="K2491" i="1"/>
  <c r="L2491" i="1"/>
  <c r="K2492" i="1"/>
  <c r="L2492" i="1"/>
  <c r="K2493" i="1"/>
  <c r="L2493" i="1"/>
  <c r="K2494" i="1"/>
  <c r="L2494" i="1"/>
  <c r="K2495" i="1"/>
  <c r="L2495" i="1"/>
  <c r="K2496" i="1"/>
  <c r="L2496" i="1"/>
  <c r="K2497" i="1"/>
  <c r="L2497" i="1"/>
  <c r="K2498" i="1"/>
  <c r="L2498" i="1"/>
  <c r="K2499" i="1"/>
  <c r="L2499" i="1"/>
  <c r="K2500" i="1"/>
  <c r="L2500" i="1"/>
  <c r="K2501" i="1"/>
  <c r="L2501" i="1"/>
  <c r="K2502" i="1"/>
  <c r="L2502" i="1"/>
  <c r="K2503" i="1"/>
  <c r="L2503" i="1"/>
  <c r="K2504" i="1"/>
  <c r="L2504" i="1"/>
  <c r="K2505" i="1"/>
  <c r="L2505" i="1"/>
  <c r="K2506" i="1"/>
  <c r="L2506" i="1"/>
  <c r="K2507" i="1"/>
  <c r="L2507" i="1"/>
  <c r="K2508" i="1"/>
  <c r="L2508" i="1"/>
  <c r="K2509" i="1"/>
  <c r="L2509" i="1"/>
  <c r="K2510" i="1"/>
  <c r="L2510" i="1"/>
  <c r="K2511" i="1"/>
  <c r="L2511" i="1"/>
  <c r="K2512" i="1"/>
  <c r="L2512" i="1"/>
  <c r="K2513" i="1"/>
  <c r="L2513" i="1"/>
  <c r="K2514" i="1"/>
  <c r="L2514" i="1"/>
  <c r="K2515" i="1"/>
  <c r="L2515" i="1"/>
  <c r="K2516" i="1"/>
  <c r="L2516" i="1"/>
  <c r="K2517" i="1"/>
  <c r="L2517" i="1"/>
  <c r="K2518" i="1"/>
  <c r="L2518" i="1"/>
  <c r="K2519" i="1"/>
  <c r="L2519" i="1"/>
  <c r="K2520" i="1"/>
  <c r="L2520" i="1"/>
  <c r="K2521" i="1"/>
  <c r="L2521" i="1"/>
  <c r="K2522" i="1"/>
  <c r="L2522" i="1"/>
  <c r="K2523" i="1"/>
  <c r="L2523" i="1"/>
  <c r="K2524" i="1"/>
  <c r="L2524" i="1"/>
  <c r="K2525" i="1"/>
  <c r="L2525" i="1"/>
  <c r="K2526" i="1"/>
  <c r="L2526" i="1"/>
  <c r="K2527" i="1"/>
  <c r="L2527" i="1"/>
  <c r="K2528" i="1"/>
  <c r="L2528" i="1"/>
  <c r="K2529" i="1"/>
  <c r="L2529" i="1"/>
  <c r="K2530" i="1"/>
  <c r="L2530" i="1"/>
  <c r="K2531" i="1"/>
  <c r="L2531" i="1"/>
  <c r="K2532" i="1"/>
  <c r="L2532" i="1"/>
  <c r="K2533" i="1"/>
  <c r="L2533" i="1"/>
  <c r="K2534" i="1"/>
  <c r="L2534" i="1"/>
  <c r="K2535" i="1"/>
  <c r="L2535" i="1"/>
  <c r="K2536" i="1"/>
  <c r="L2536" i="1"/>
  <c r="K2537" i="1"/>
  <c r="L2537" i="1"/>
  <c r="K2538" i="1"/>
  <c r="L2538" i="1"/>
  <c r="K2539" i="1"/>
  <c r="L2539" i="1"/>
  <c r="K2540" i="1"/>
  <c r="L2540" i="1"/>
  <c r="K2541" i="1"/>
  <c r="L2541" i="1"/>
  <c r="K2542" i="1"/>
  <c r="L2542" i="1"/>
  <c r="K2543" i="1"/>
  <c r="L2543" i="1"/>
  <c r="K2544" i="1"/>
  <c r="L2544" i="1"/>
  <c r="K2545" i="1"/>
  <c r="L2545" i="1"/>
  <c r="K2546" i="1"/>
  <c r="L2546" i="1"/>
  <c r="K2547" i="1"/>
  <c r="L2547" i="1"/>
  <c r="K2548" i="1"/>
  <c r="L2548" i="1"/>
  <c r="K2549" i="1"/>
  <c r="L2549" i="1"/>
  <c r="K2550" i="1"/>
  <c r="L2550" i="1"/>
  <c r="K2551" i="1"/>
  <c r="L2551" i="1"/>
  <c r="K2552" i="1"/>
  <c r="L2552" i="1"/>
  <c r="K2553" i="1"/>
  <c r="L2553" i="1"/>
  <c r="K2554" i="1"/>
  <c r="L2554" i="1"/>
  <c r="K2555" i="1"/>
  <c r="L2555" i="1"/>
  <c r="K2556" i="1"/>
  <c r="L2556" i="1"/>
  <c r="K2557" i="1"/>
  <c r="L2557" i="1"/>
  <c r="K2558" i="1"/>
  <c r="L2558" i="1"/>
  <c r="K2559" i="1"/>
  <c r="L2559" i="1"/>
  <c r="K2560" i="1"/>
  <c r="L2560" i="1"/>
  <c r="K2561" i="1"/>
  <c r="L2561" i="1"/>
  <c r="K2562" i="1"/>
  <c r="L2562" i="1"/>
  <c r="K2563" i="1"/>
  <c r="L2563" i="1"/>
  <c r="K2564" i="1"/>
  <c r="L2564" i="1"/>
  <c r="K2565" i="1"/>
  <c r="L2565" i="1"/>
  <c r="K2566" i="1"/>
  <c r="L2566" i="1"/>
  <c r="K2567" i="1"/>
  <c r="L2567" i="1"/>
  <c r="K2568" i="1"/>
  <c r="L2568" i="1"/>
  <c r="K2569" i="1"/>
  <c r="L2569" i="1"/>
  <c r="K2570" i="1"/>
  <c r="L2570" i="1"/>
  <c r="K2571" i="1"/>
  <c r="L2571" i="1"/>
  <c r="K2572" i="1"/>
  <c r="L2572" i="1"/>
  <c r="K2573" i="1"/>
  <c r="L2573" i="1"/>
  <c r="K2574" i="1"/>
  <c r="L2574" i="1"/>
  <c r="K2575" i="1"/>
  <c r="L2575" i="1"/>
  <c r="K2576" i="1"/>
  <c r="L2576" i="1"/>
  <c r="K2577" i="1"/>
  <c r="L2577" i="1"/>
  <c r="K2578" i="1"/>
  <c r="L2578" i="1"/>
  <c r="K2579" i="1"/>
  <c r="L2579" i="1"/>
  <c r="K2580" i="1"/>
  <c r="L2580" i="1"/>
  <c r="K2581" i="1"/>
  <c r="L2581" i="1"/>
  <c r="K2582" i="1"/>
  <c r="L2582" i="1"/>
  <c r="K2583" i="1"/>
  <c r="L2583" i="1"/>
  <c r="K2584" i="1"/>
  <c r="L2584" i="1"/>
  <c r="K2585" i="1"/>
  <c r="L2585" i="1"/>
  <c r="K2586" i="1"/>
  <c r="L2586" i="1"/>
  <c r="K2587" i="1"/>
  <c r="L2587" i="1"/>
  <c r="K2588" i="1"/>
  <c r="L2588" i="1"/>
  <c r="K2589" i="1"/>
  <c r="L2589" i="1"/>
  <c r="K2590" i="1"/>
  <c r="L2590" i="1"/>
  <c r="K2591" i="1"/>
  <c r="L2591" i="1"/>
  <c r="K2592" i="1"/>
  <c r="L2592" i="1"/>
  <c r="K2593" i="1"/>
  <c r="L2593" i="1"/>
  <c r="K2594" i="1"/>
  <c r="L2594" i="1"/>
  <c r="K2595" i="1"/>
  <c r="L2595" i="1"/>
  <c r="K2596" i="1"/>
  <c r="L2596" i="1"/>
  <c r="K2597" i="1"/>
  <c r="L2597" i="1"/>
  <c r="K2598" i="1"/>
  <c r="L2598" i="1"/>
  <c r="K2599" i="1"/>
  <c r="L2599" i="1"/>
  <c r="K2600" i="1"/>
  <c r="L2600" i="1"/>
  <c r="K2601" i="1"/>
  <c r="L2601" i="1"/>
  <c r="K2602" i="1"/>
  <c r="L2602" i="1"/>
  <c r="K2603" i="1"/>
  <c r="L2603" i="1"/>
  <c r="K2604" i="1"/>
  <c r="L2604" i="1"/>
  <c r="K2605" i="1"/>
  <c r="L2605" i="1"/>
  <c r="K2606" i="1"/>
  <c r="L2606" i="1"/>
  <c r="K2607" i="1"/>
  <c r="L2607" i="1"/>
  <c r="K2608" i="1"/>
  <c r="L2608" i="1"/>
  <c r="K2609" i="1"/>
  <c r="L2609" i="1"/>
  <c r="K2610" i="1"/>
  <c r="L2610" i="1"/>
  <c r="K2611" i="1"/>
  <c r="L2611" i="1"/>
  <c r="K2612" i="1"/>
  <c r="L2612" i="1"/>
  <c r="K2613" i="1"/>
  <c r="L2613" i="1"/>
  <c r="K2614" i="1"/>
  <c r="L2614" i="1"/>
  <c r="K2615" i="1"/>
  <c r="L2615" i="1"/>
  <c r="K2616" i="1"/>
  <c r="L2616" i="1"/>
  <c r="K2617" i="1"/>
  <c r="L2617" i="1"/>
  <c r="K2618" i="1"/>
  <c r="L2618" i="1"/>
  <c r="K2619" i="1"/>
  <c r="L2619" i="1"/>
  <c r="K2620" i="1"/>
  <c r="L2620" i="1"/>
  <c r="K2621" i="1"/>
  <c r="L2621" i="1"/>
  <c r="K2622" i="1"/>
  <c r="L2622" i="1"/>
  <c r="K2623" i="1"/>
  <c r="L2623" i="1"/>
  <c r="K2624" i="1"/>
  <c r="L2624" i="1"/>
  <c r="K2625" i="1"/>
  <c r="L2625" i="1"/>
  <c r="K2626" i="1"/>
  <c r="L2626" i="1"/>
  <c r="K2627" i="1"/>
  <c r="L2627" i="1"/>
  <c r="K2628" i="1"/>
  <c r="L2628" i="1"/>
  <c r="K2629" i="1"/>
  <c r="L2629" i="1"/>
  <c r="K2630" i="1"/>
  <c r="L2630" i="1"/>
  <c r="K2631" i="1"/>
  <c r="L2631" i="1"/>
  <c r="K2632" i="1"/>
  <c r="L2632" i="1"/>
  <c r="K2633" i="1"/>
  <c r="L2633" i="1"/>
  <c r="K2634" i="1"/>
  <c r="L2634" i="1"/>
  <c r="K2635" i="1"/>
  <c r="L2635" i="1"/>
  <c r="K2636" i="1"/>
  <c r="L2636" i="1"/>
  <c r="K2637" i="1"/>
  <c r="L2637" i="1"/>
  <c r="K2638" i="1"/>
  <c r="L2638" i="1"/>
  <c r="K2639" i="1"/>
  <c r="L2639" i="1"/>
  <c r="K2640" i="1"/>
  <c r="L2640" i="1"/>
  <c r="K2641" i="1"/>
  <c r="L2641" i="1"/>
  <c r="K2642" i="1"/>
  <c r="L2642" i="1"/>
  <c r="K2643" i="1"/>
  <c r="L2643" i="1"/>
  <c r="K2644" i="1"/>
  <c r="L2644" i="1"/>
  <c r="K2645" i="1"/>
  <c r="L2645" i="1"/>
  <c r="K2646" i="1"/>
  <c r="L2646" i="1"/>
  <c r="K2647" i="1"/>
  <c r="L2647" i="1"/>
  <c r="K2648" i="1"/>
  <c r="L2648" i="1"/>
  <c r="K2649" i="1"/>
  <c r="L2649" i="1"/>
  <c r="K2650" i="1"/>
  <c r="L2650" i="1"/>
  <c r="K2651" i="1"/>
  <c r="L2651" i="1"/>
  <c r="K2652" i="1"/>
  <c r="L2652" i="1"/>
  <c r="K2653" i="1"/>
  <c r="L2653" i="1"/>
  <c r="K2654" i="1"/>
  <c r="L2654" i="1"/>
  <c r="K2655" i="1"/>
  <c r="L2655" i="1"/>
  <c r="K2656" i="1"/>
  <c r="L2656" i="1"/>
  <c r="K2657" i="1"/>
  <c r="L2657" i="1"/>
  <c r="K2658" i="1"/>
  <c r="L2658" i="1"/>
  <c r="K2659" i="1"/>
  <c r="L2659" i="1"/>
  <c r="K2660" i="1"/>
  <c r="L2660" i="1"/>
  <c r="K2661" i="1"/>
  <c r="L2661" i="1"/>
  <c r="K2662" i="1"/>
  <c r="L2662" i="1"/>
  <c r="K2663" i="1"/>
  <c r="L2663" i="1"/>
  <c r="K2664" i="1"/>
  <c r="L2664" i="1"/>
  <c r="K2665" i="1"/>
  <c r="L2665" i="1"/>
  <c r="K2666" i="1"/>
  <c r="L2666" i="1"/>
  <c r="K2667" i="1"/>
  <c r="L2667" i="1"/>
  <c r="K2668" i="1"/>
  <c r="L2668" i="1"/>
  <c r="K2669" i="1"/>
  <c r="L2669" i="1"/>
  <c r="K2670" i="1"/>
  <c r="L2670" i="1"/>
  <c r="K2671" i="1"/>
  <c r="L2671" i="1"/>
  <c r="K2672" i="1"/>
  <c r="L2672" i="1"/>
  <c r="K2673" i="1"/>
  <c r="L2673" i="1"/>
  <c r="K2674" i="1"/>
  <c r="L2674" i="1"/>
  <c r="K2675" i="1"/>
  <c r="L2675" i="1"/>
  <c r="K2676" i="1"/>
  <c r="L2676" i="1"/>
  <c r="K2677" i="1"/>
  <c r="L2677" i="1"/>
  <c r="K2678" i="1"/>
  <c r="L2678" i="1"/>
  <c r="K2679" i="1"/>
  <c r="L2679" i="1"/>
  <c r="K2680" i="1"/>
  <c r="L2680" i="1"/>
  <c r="K2681" i="1"/>
  <c r="L2681" i="1"/>
  <c r="K2682" i="1"/>
  <c r="L2682" i="1"/>
  <c r="K2683" i="1"/>
  <c r="L2683" i="1"/>
  <c r="K2684" i="1"/>
  <c r="L2684" i="1"/>
  <c r="K2685" i="1"/>
  <c r="L2685" i="1"/>
  <c r="K2686" i="1"/>
  <c r="L2686" i="1"/>
  <c r="K2687" i="1"/>
  <c r="L2687" i="1"/>
  <c r="K2688" i="1"/>
  <c r="L2688" i="1"/>
  <c r="K2689" i="1"/>
  <c r="L2689" i="1"/>
  <c r="K2690" i="1"/>
  <c r="L2690" i="1"/>
  <c r="K2691" i="1"/>
  <c r="L2691" i="1"/>
  <c r="K2692" i="1"/>
  <c r="L2692" i="1"/>
  <c r="K2693" i="1"/>
  <c r="L2693" i="1"/>
  <c r="K2694" i="1"/>
  <c r="L2694" i="1"/>
  <c r="K2695" i="1"/>
  <c r="L2695" i="1"/>
  <c r="K2696" i="1"/>
  <c r="L2696" i="1"/>
  <c r="K2697" i="1"/>
  <c r="L2697" i="1"/>
  <c r="K2698" i="1"/>
  <c r="L2698" i="1"/>
  <c r="K2699" i="1"/>
  <c r="L2699" i="1"/>
  <c r="K2700" i="1"/>
  <c r="L2700" i="1"/>
  <c r="K2701" i="1"/>
  <c r="L2701" i="1"/>
  <c r="K2702" i="1"/>
  <c r="L2702" i="1"/>
  <c r="K2703" i="1"/>
  <c r="L2703" i="1"/>
  <c r="K2704" i="1"/>
  <c r="L2704" i="1"/>
  <c r="K2705" i="1"/>
  <c r="L2705" i="1"/>
  <c r="K2706" i="1"/>
  <c r="L2706" i="1"/>
  <c r="K2707" i="1"/>
  <c r="L2707" i="1"/>
  <c r="K2708" i="1"/>
  <c r="L2708" i="1"/>
  <c r="K2709" i="1"/>
  <c r="L2709" i="1"/>
  <c r="K2710" i="1"/>
  <c r="L2710" i="1"/>
  <c r="K2711" i="1"/>
  <c r="L2711" i="1"/>
  <c r="K2712" i="1"/>
  <c r="L2712" i="1"/>
  <c r="K2713" i="1"/>
  <c r="L2713" i="1"/>
  <c r="K2714" i="1"/>
  <c r="L2714" i="1"/>
  <c r="K2715" i="1"/>
  <c r="L2715" i="1"/>
  <c r="K2716" i="1"/>
  <c r="L2716" i="1"/>
  <c r="K2717" i="1"/>
  <c r="L2717" i="1"/>
  <c r="K2718" i="1"/>
  <c r="L2718" i="1"/>
  <c r="K2719" i="1"/>
  <c r="L2719" i="1"/>
  <c r="K2720" i="1"/>
  <c r="L2720" i="1"/>
  <c r="K2721" i="1"/>
  <c r="L2721" i="1"/>
  <c r="K2722" i="1"/>
  <c r="L2722" i="1"/>
  <c r="K2723" i="1"/>
  <c r="L2723" i="1"/>
  <c r="K2724" i="1"/>
  <c r="L2724" i="1"/>
  <c r="K2725" i="1"/>
  <c r="L2725" i="1"/>
  <c r="K2726" i="1"/>
  <c r="L2726" i="1"/>
  <c r="K2727" i="1"/>
  <c r="L2727" i="1"/>
  <c r="K2728" i="1"/>
  <c r="L2728" i="1"/>
  <c r="K2729" i="1"/>
  <c r="L2729" i="1"/>
  <c r="K2730" i="1"/>
  <c r="L2730" i="1"/>
  <c r="K2731" i="1"/>
  <c r="L2731" i="1"/>
  <c r="K2732" i="1"/>
  <c r="L2732" i="1"/>
  <c r="K2733" i="1"/>
  <c r="L2733" i="1"/>
  <c r="K2734" i="1"/>
  <c r="L2734" i="1"/>
  <c r="K2735" i="1"/>
  <c r="L2735" i="1"/>
  <c r="K2736" i="1"/>
  <c r="L2736" i="1"/>
  <c r="K2737" i="1"/>
  <c r="L2737" i="1"/>
  <c r="K2738" i="1"/>
  <c r="L2738" i="1"/>
  <c r="K2739" i="1"/>
  <c r="L2739" i="1"/>
  <c r="K2740" i="1"/>
  <c r="L2740" i="1"/>
  <c r="K2741" i="1"/>
  <c r="L2741" i="1"/>
  <c r="K2742" i="1"/>
  <c r="L2742" i="1"/>
  <c r="K2743" i="1"/>
  <c r="L2743" i="1"/>
  <c r="K2744" i="1"/>
  <c r="L2744" i="1"/>
  <c r="K2745" i="1"/>
  <c r="L2745" i="1"/>
  <c r="K2746" i="1"/>
  <c r="L2746" i="1"/>
  <c r="K2747" i="1"/>
  <c r="L2747" i="1"/>
  <c r="K2748" i="1"/>
  <c r="L2748" i="1"/>
  <c r="K2749" i="1"/>
  <c r="L2749" i="1"/>
  <c r="K2750" i="1"/>
  <c r="L2750" i="1"/>
  <c r="K2751" i="1"/>
  <c r="L2751" i="1"/>
  <c r="K2752" i="1"/>
  <c r="L2752" i="1"/>
  <c r="K2753" i="1"/>
  <c r="L2753" i="1"/>
  <c r="K2754" i="1"/>
  <c r="L2754" i="1"/>
  <c r="K2755" i="1"/>
  <c r="L2755" i="1"/>
  <c r="K2756" i="1"/>
  <c r="L2756" i="1"/>
  <c r="K2757" i="1"/>
  <c r="L2757" i="1"/>
  <c r="K2758" i="1"/>
  <c r="L2758" i="1"/>
  <c r="K2759" i="1"/>
  <c r="L2759" i="1"/>
  <c r="K2760" i="1"/>
  <c r="L2760" i="1"/>
  <c r="K2761" i="1"/>
  <c r="L2761" i="1"/>
  <c r="K2762" i="1"/>
  <c r="L2762" i="1"/>
  <c r="K2763" i="1"/>
  <c r="L2763" i="1"/>
  <c r="K2764" i="1"/>
  <c r="L2764" i="1"/>
  <c r="K2765" i="1"/>
  <c r="L2765" i="1"/>
  <c r="K2766" i="1"/>
  <c r="L2766" i="1"/>
  <c r="K2767" i="1"/>
  <c r="L2767" i="1"/>
  <c r="K2768" i="1"/>
  <c r="L2768" i="1"/>
  <c r="K2769" i="1"/>
  <c r="L2769" i="1"/>
  <c r="K2770" i="1"/>
  <c r="L2770" i="1"/>
  <c r="K2771" i="1"/>
  <c r="L2771" i="1"/>
  <c r="K2772" i="1"/>
  <c r="L2772" i="1"/>
  <c r="K2773" i="1"/>
  <c r="L2773" i="1"/>
  <c r="K2774" i="1"/>
  <c r="L2774" i="1"/>
  <c r="K2775" i="1"/>
  <c r="L2775" i="1"/>
  <c r="K2776" i="1"/>
  <c r="L2776" i="1"/>
  <c r="K2777" i="1"/>
  <c r="L2777" i="1"/>
  <c r="K2778" i="1"/>
  <c r="L2778" i="1"/>
  <c r="K2779" i="1"/>
  <c r="L2779" i="1"/>
  <c r="K2780" i="1"/>
  <c r="L2780" i="1"/>
  <c r="K2781" i="1"/>
  <c r="L2781" i="1"/>
  <c r="K2782" i="1"/>
  <c r="L2782" i="1"/>
  <c r="K2783" i="1"/>
  <c r="L2783" i="1"/>
  <c r="K2784" i="1"/>
  <c r="L2784" i="1"/>
  <c r="K2785" i="1"/>
  <c r="L2785" i="1"/>
  <c r="K2786" i="1"/>
  <c r="L2786" i="1"/>
  <c r="K2787" i="1"/>
  <c r="L2787" i="1"/>
  <c r="K2788" i="1"/>
  <c r="L2788" i="1"/>
  <c r="K2789" i="1"/>
  <c r="L2789" i="1"/>
  <c r="K2790" i="1"/>
  <c r="L2790" i="1"/>
  <c r="K2791" i="1"/>
  <c r="L2791" i="1"/>
  <c r="K2792" i="1"/>
  <c r="L2792" i="1"/>
  <c r="K2793" i="1"/>
  <c r="L2793" i="1"/>
  <c r="K2794" i="1"/>
  <c r="L2794" i="1"/>
  <c r="K2795" i="1"/>
  <c r="L2795" i="1"/>
  <c r="K2796" i="1"/>
  <c r="L2796" i="1"/>
  <c r="K2797" i="1"/>
  <c r="L2797" i="1"/>
  <c r="K2798" i="1"/>
  <c r="L2798" i="1"/>
  <c r="K2799" i="1"/>
  <c r="L2799" i="1"/>
  <c r="K2800" i="1"/>
  <c r="L2800" i="1"/>
  <c r="K2801" i="1"/>
  <c r="L2801" i="1"/>
  <c r="K2802" i="1"/>
  <c r="L2802" i="1"/>
  <c r="K2803" i="1"/>
  <c r="L2803" i="1"/>
  <c r="K2804" i="1"/>
  <c r="L2804" i="1"/>
  <c r="K2805" i="1"/>
  <c r="L2805" i="1"/>
  <c r="K2806" i="1"/>
  <c r="L2806" i="1"/>
  <c r="K2807" i="1"/>
  <c r="L2807" i="1"/>
  <c r="K2808" i="1"/>
  <c r="L2808" i="1"/>
  <c r="K2809" i="1"/>
  <c r="L2809" i="1"/>
  <c r="K2810" i="1"/>
  <c r="L2810" i="1"/>
  <c r="K2811" i="1"/>
  <c r="L2811" i="1"/>
  <c r="K2812" i="1"/>
  <c r="L2812" i="1"/>
  <c r="K2813" i="1"/>
  <c r="L2813" i="1"/>
  <c r="K2814" i="1"/>
  <c r="L2814" i="1"/>
  <c r="K2815" i="1"/>
  <c r="L2815" i="1"/>
  <c r="K2816" i="1"/>
  <c r="L2816" i="1"/>
  <c r="K2817" i="1"/>
  <c r="L2817" i="1"/>
  <c r="K2818" i="1"/>
  <c r="L2818" i="1"/>
  <c r="K2819" i="1"/>
  <c r="L2819" i="1"/>
  <c r="K2820" i="1"/>
  <c r="L2820" i="1"/>
  <c r="K2821" i="1"/>
  <c r="L2821" i="1"/>
  <c r="K2822" i="1"/>
  <c r="L2822" i="1"/>
  <c r="K2823" i="1"/>
  <c r="L2823" i="1"/>
  <c r="K2824" i="1"/>
  <c r="L2824" i="1"/>
  <c r="K2825" i="1"/>
  <c r="L2825" i="1"/>
  <c r="K2826" i="1"/>
  <c r="L2826" i="1"/>
  <c r="K2827" i="1"/>
  <c r="L2827" i="1"/>
  <c r="K2828" i="1"/>
  <c r="L2828" i="1"/>
  <c r="K2829" i="1"/>
  <c r="L2829" i="1"/>
  <c r="K2830" i="1"/>
  <c r="L2830" i="1"/>
  <c r="K2831" i="1"/>
  <c r="L2831" i="1"/>
  <c r="K2832" i="1"/>
  <c r="L2832" i="1"/>
  <c r="K2833" i="1"/>
  <c r="L2833" i="1"/>
  <c r="K2834" i="1"/>
  <c r="L2834" i="1"/>
  <c r="K2835" i="1"/>
  <c r="L2835" i="1"/>
  <c r="K2836" i="1"/>
  <c r="L2836" i="1"/>
  <c r="K2837" i="1"/>
  <c r="L2837" i="1"/>
  <c r="K2838" i="1"/>
  <c r="L2838" i="1"/>
  <c r="K2839" i="1"/>
  <c r="L2839" i="1"/>
  <c r="K2840" i="1"/>
  <c r="L2840" i="1"/>
  <c r="K2841" i="1"/>
  <c r="L2841" i="1"/>
  <c r="K2842" i="1"/>
  <c r="L2842" i="1"/>
  <c r="K2843" i="1"/>
  <c r="L2843" i="1"/>
  <c r="K2844" i="1"/>
  <c r="L2844" i="1"/>
  <c r="K2845" i="1"/>
  <c r="L2845" i="1"/>
  <c r="K2846" i="1"/>
  <c r="L2846" i="1"/>
  <c r="K2847" i="1"/>
  <c r="L2847" i="1"/>
  <c r="K2848" i="1"/>
  <c r="L2848" i="1"/>
  <c r="K2849" i="1"/>
  <c r="L2849" i="1"/>
  <c r="K2850" i="1"/>
  <c r="L2850" i="1"/>
  <c r="K2851" i="1"/>
  <c r="L2851" i="1"/>
  <c r="K2852" i="1"/>
  <c r="L2852" i="1"/>
  <c r="K2853" i="1"/>
  <c r="L2853" i="1"/>
  <c r="K2854" i="1"/>
  <c r="L2854" i="1"/>
  <c r="K2855" i="1"/>
  <c r="L2855" i="1"/>
  <c r="K2856" i="1"/>
  <c r="L2856" i="1"/>
  <c r="K2857" i="1"/>
  <c r="L2857" i="1"/>
  <c r="K2858" i="1"/>
  <c r="L2858" i="1"/>
  <c r="K2859" i="1"/>
  <c r="L2859" i="1"/>
  <c r="K2860" i="1"/>
  <c r="L2860" i="1"/>
  <c r="K2861" i="1"/>
  <c r="L2861" i="1"/>
  <c r="K2862" i="1"/>
  <c r="L2862" i="1"/>
  <c r="K2863" i="1"/>
  <c r="L2863" i="1"/>
  <c r="K2864" i="1"/>
  <c r="L2864" i="1"/>
  <c r="K2865" i="1"/>
  <c r="L2865" i="1"/>
  <c r="K2866" i="1"/>
  <c r="L2866" i="1"/>
  <c r="K2867" i="1"/>
  <c r="L2867" i="1"/>
  <c r="K2868" i="1"/>
  <c r="L2868" i="1"/>
  <c r="K2869" i="1"/>
  <c r="L2869" i="1"/>
  <c r="K2870" i="1"/>
  <c r="L2870" i="1"/>
  <c r="K2871" i="1"/>
  <c r="L2871" i="1"/>
  <c r="K2872" i="1"/>
  <c r="L2872" i="1"/>
  <c r="K2873" i="1"/>
  <c r="L2873" i="1"/>
  <c r="K2874" i="1"/>
  <c r="L2874" i="1"/>
  <c r="K2875" i="1"/>
  <c r="L2875" i="1"/>
  <c r="K2876" i="1"/>
  <c r="L2876" i="1"/>
  <c r="K2877" i="1"/>
  <c r="L2877" i="1"/>
  <c r="K2878" i="1"/>
  <c r="L2878" i="1"/>
  <c r="K2879" i="1"/>
  <c r="L2879" i="1"/>
  <c r="K2880" i="1"/>
  <c r="L2880" i="1"/>
  <c r="K2881" i="1"/>
  <c r="L2881" i="1"/>
  <c r="K2882" i="1"/>
  <c r="L2882" i="1"/>
  <c r="K2883" i="1"/>
  <c r="L2883" i="1"/>
  <c r="K2884" i="1"/>
  <c r="L2884" i="1"/>
  <c r="K2885" i="1"/>
  <c r="L2885" i="1"/>
  <c r="K2886" i="1"/>
  <c r="L2886" i="1"/>
  <c r="K2887" i="1"/>
  <c r="L2887" i="1"/>
  <c r="K2888" i="1"/>
  <c r="L2888" i="1"/>
  <c r="K2889" i="1"/>
  <c r="L2889" i="1"/>
  <c r="K2890" i="1"/>
  <c r="L2890" i="1"/>
  <c r="K2891" i="1"/>
  <c r="L2891" i="1"/>
  <c r="K2892" i="1"/>
  <c r="L2892" i="1"/>
  <c r="K2893" i="1"/>
  <c r="L2893" i="1"/>
  <c r="K2894" i="1"/>
  <c r="L2894" i="1"/>
  <c r="K2895" i="1"/>
  <c r="L2895" i="1"/>
  <c r="K2896" i="1"/>
  <c r="L2896" i="1"/>
  <c r="K2897" i="1"/>
  <c r="L2897" i="1"/>
  <c r="K2898" i="1"/>
  <c r="L2898" i="1"/>
  <c r="K2899" i="1"/>
  <c r="L2899" i="1"/>
  <c r="K2900" i="1"/>
  <c r="L2900" i="1"/>
  <c r="K2901" i="1"/>
  <c r="L2901" i="1"/>
  <c r="K2902" i="1"/>
  <c r="L2902" i="1"/>
  <c r="K2903" i="1"/>
  <c r="L2903" i="1"/>
  <c r="K2904" i="1"/>
  <c r="L2904" i="1"/>
  <c r="K2905" i="1"/>
  <c r="L2905" i="1"/>
  <c r="K2906" i="1"/>
  <c r="L2906" i="1"/>
  <c r="K2907" i="1"/>
  <c r="L2907" i="1"/>
  <c r="K2908" i="1"/>
  <c r="L2908" i="1"/>
  <c r="K2909" i="1"/>
  <c r="L2909" i="1"/>
  <c r="K2910" i="1"/>
  <c r="L2910" i="1"/>
  <c r="K2911" i="1"/>
  <c r="L2911" i="1"/>
  <c r="K2912" i="1"/>
  <c r="L2912" i="1"/>
  <c r="K2913" i="1"/>
  <c r="L2913" i="1"/>
  <c r="K2914" i="1"/>
  <c r="L2914" i="1"/>
  <c r="K2915" i="1"/>
  <c r="L2915" i="1"/>
  <c r="K2916" i="1"/>
  <c r="L2916" i="1"/>
  <c r="K2917" i="1"/>
  <c r="L2917" i="1"/>
  <c r="K2918" i="1"/>
  <c r="L2918" i="1"/>
  <c r="K2919" i="1"/>
  <c r="L2919" i="1"/>
  <c r="K2920" i="1"/>
  <c r="L2920" i="1"/>
  <c r="K2921" i="1"/>
  <c r="L2921" i="1"/>
  <c r="K2922" i="1"/>
  <c r="L2922" i="1"/>
  <c r="K2923" i="1"/>
  <c r="L2923" i="1"/>
  <c r="K2924" i="1"/>
  <c r="L2924" i="1"/>
  <c r="K2925" i="1"/>
  <c r="L2925" i="1"/>
  <c r="K2926" i="1"/>
  <c r="L2926" i="1"/>
  <c r="K2927" i="1"/>
  <c r="L2927" i="1"/>
  <c r="K2928" i="1"/>
  <c r="L2928" i="1"/>
  <c r="K2929" i="1"/>
  <c r="L2929" i="1"/>
  <c r="K2930" i="1"/>
  <c r="L2930" i="1"/>
  <c r="K2931" i="1"/>
  <c r="L2931" i="1"/>
  <c r="K2932" i="1"/>
  <c r="L2932" i="1"/>
  <c r="K2933" i="1"/>
  <c r="L2933" i="1"/>
  <c r="K2934" i="1"/>
  <c r="L2934" i="1"/>
  <c r="K2935" i="1"/>
  <c r="L2935" i="1"/>
  <c r="K2936" i="1"/>
  <c r="L2936" i="1"/>
  <c r="K2937" i="1"/>
  <c r="L2937" i="1"/>
  <c r="K2938" i="1"/>
  <c r="L2938" i="1"/>
  <c r="K2939" i="1"/>
  <c r="L2939" i="1"/>
  <c r="K2940" i="1"/>
  <c r="L2940" i="1"/>
  <c r="K2941" i="1"/>
  <c r="L2941" i="1"/>
  <c r="K2942" i="1"/>
  <c r="L2942" i="1"/>
  <c r="K2943" i="1"/>
  <c r="L2943" i="1"/>
  <c r="K2944" i="1"/>
  <c r="L2944" i="1"/>
  <c r="K2945" i="1"/>
  <c r="L2945" i="1"/>
  <c r="K2946" i="1"/>
  <c r="L2946" i="1"/>
  <c r="K2947" i="1"/>
  <c r="L2947" i="1"/>
  <c r="K2948" i="1"/>
  <c r="L2948" i="1"/>
  <c r="K2949" i="1"/>
  <c r="L2949" i="1"/>
  <c r="K2950" i="1"/>
  <c r="L2950" i="1"/>
  <c r="K2951" i="1"/>
  <c r="L2951" i="1"/>
  <c r="K2952" i="1"/>
  <c r="L2952" i="1"/>
  <c r="K2953" i="1"/>
  <c r="L2953" i="1"/>
  <c r="K2954" i="1"/>
  <c r="L2954" i="1"/>
  <c r="K2955" i="1"/>
  <c r="L2955" i="1"/>
  <c r="K2956" i="1"/>
  <c r="L2956" i="1"/>
  <c r="K2957" i="1"/>
  <c r="L2957" i="1"/>
  <c r="K2958" i="1"/>
  <c r="L2958" i="1"/>
  <c r="K2959" i="1"/>
  <c r="L2959" i="1"/>
  <c r="K2960" i="1"/>
  <c r="L2960" i="1"/>
  <c r="K2961" i="1"/>
  <c r="L2961" i="1"/>
  <c r="K2962" i="1"/>
  <c r="L2962" i="1"/>
  <c r="K2963" i="1"/>
  <c r="L2963" i="1"/>
  <c r="K2964" i="1"/>
  <c r="L2964" i="1"/>
  <c r="K2965" i="1"/>
  <c r="L2965" i="1"/>
  <c r="K2966" i="1"/>
  <c r="L2966" i="1"/>
  <c r="K2967" i="1"/>
  <c r="L2967" i="1"/>
  <c r="K2968" i="1"/>
  <c r="L2968" i="1"/>
  <c r="K2969" i="1"/>
  <c r="L2969" i="1"/>
  <c r="K2970" i="1"/>
  <c r="L2970" i="1"/>
  <c r="K2971" i="1"/>
  <c r="L2971" i="1"/>
  <c r="K2972" i="1"/>
  <c r="L2972" i="1"/>
  <c r="K2973" i="1"/>
  <c r="L2973" i="1"/>
  <c r="K2974" i="1"/>
  <c r="L2974" i="1"/>
  <c r="K2975" i="1"/>
  <c r="L2975" i="1"/>
  <c r="K2976" i="1"/>
  <c r="L2976" i="1"/>
  <c r="K2977" i="1"/>
  <c r="L2977" i="1"/>
  <c r="K2978" i="1"/>
  <c r="L2978" i="1"/>
  <c r="K2979" i="1"/>
  <c r="L2979" i="1"/>
  <c r="K2980" i="1"/>
  <c r="L2980" i="1"/>
  <c r="K2981" i="1"/>
  <c r="L2981" i="1"/>
  <c r="K2982" i="1"/>
  <c r="L2982" i="1"/>
  <c r="K2983" i="1"/>
  <c r="L2983" i="1"/>
  <c r="K2984" i="1"/>
  <c r="L2984" i="1"/>
  <c r="K2985" i="1"/>
  <c r="L2985" i="1"/>
  <c r="K2986" i="1"/>
  <c r="L2986" i="1"/>
  <c r="K2987" i="1"/>
  <c r="L2987" i="1"/>
  <c r="K2988" i="1"/>
  <c r="L2988" i="1"/>
  <c r="K2989" i="1"/>
  <c r="L2989" i="1"/>
  <c r="K2990" i="1"/>
  <c r="L2990" i="1"/>
  <c r="K2991" i="1"/>
  <c r="L2991" i="1"/>
  <c r="K2992" i="1"/>
  <c r="L2992" i="1"/>
  <c r="K2993" i="1"/>
  <c r="L2993" i="1"/>
  <c r="K2994" i="1"/>
  <c r="L2994" i="1"/>
  <c r="K2995" i="1"/>
  <c r="L2995" i="1"/>
  <c r="K2996" i="1"/>
  <c r="L2996" i="1"/>
  <c r="K2997" i="1"/>
  <c r="L2997" i="1"/>
  <c r="K2998" i="1"/>
  <c r="L2998" i="1"/>
  <c r="K2999" i="1"/>
  <c r="L2999" i="1"/>
  <c r="K3000" i="1"/>
  <c r="L3000" i="1"/>
  <c r="K3001" i="1"/>
  <c r="L3001" i="1"/>
  <c r="K3002" i="1"/>
  <c r="L3002" i="1"/>
  <c r="K3003" i="1"/>
  <c r="L3003" i="1"/>
  <c r="K3004" i="1"/>
  <c r="L3004" i="1"/>
  <c r="K3005" i="1"/>
  <c r="L3005" i="1"/>
  <c r="K3006" i="1"/>
  <c r="L3006" i="1"/>
  <c r="K3007" i="1"/>
  <c r="L3007" i="1"/>
  <c r="K3008" i="1"/>
  <c r="L3008" i="1"/>
  <c r="K3009" i="1"/>
  <c r="L3009" i="1"/>
  <c r="K3010" i="1"/>
  <c r="L3010" i="1"/>
  <c r="K3011" i="1"/>
  <c r="L3011" i="1"/>
  <c r="K3012" i="1"/>
  <c r="L3012" i="1"/>
  <c r="O12" i="1"/>
  <c r="K550" i="1" l="1"/>
  <c r="K546" i="1"/>
  <c r="K542" i="1"/>
  <c r="K470" i="1"/>
  <c r="K310" i="1"/>
  <c r="K194" i="1"/>
  <c r="K118" i="1"/>
  <c r="K594" i="1"/>
  <c r="K590" i="1"/>
  <c r="K580" i="1"/>
  <c r="K576" i="1"/>
  <c r="K572" i="1"/>
  <c r="K569" i="1"/>
  <c r="K566" i="1"/>
  <c r="K558" i="1"/>
  <c r="K551" i="1"/>
  <c r="K547" i="1"/>
  <c r="K595" i="1"/>
  <c r="K591" i="1"/>
  <c r="K584" i="1"/>
  <c r="K577" i="1"/>
  <c r="K573" i="1"/>
  <c r="K567" i="1"/>
  <c r="K559" i="1"/>
  <c r="K555" i="1"/>
  <c r="K552" i="1"/>
  <c r="K582" i="1"/>
  <c r="K596" i="1"/>
  <c r="K592" i="1"/>
  <c r="K588" i="1"/>
  <c r="K585" i="1"/>
  <c r="K578" i="1"/>
  <c r="K574" i="1"/>
  <c r="K564" i="1"/>
  <c r="K560" i="1"/>
  <c r="K556" i="1"/>
  <c r="K553" i="1"/>
  <c r="L552" i="1"/>
  <c r="K548" i="1"/>
  <c r="K36" i="1"/>
  <c r="K593" i="1"/>
  <c r="K579" i="1"/>
  <c r="K575" i="1"/>
  <c r="K571" i="1"/>
  <c r="K565" i="1"/>
  <c r="K561" i="1"/>
  <c r="K557" i="1"/>
  <c r="K469" i="1"/>
  <c r="K101" i="1"/>
  <c r="K77" i="1"/>
  <c r="K106" i="1"/>
  <c r="K66" i="1"/>
  <c r="K38" i="1"/>
  <c r="L596" i="1"/>
  <c r="L595" i="1"/>
  <c r="L594" i="1"/>
  <c r="L593" i="1"/>
  <c r="L592" i="1"/>
  <c r="L591" i="1"/>
  <c r="L590" i="1"/>
  <c r="L588" i="1"/>
  <c r="K586" i="1"/>
  <c r="L586" i="1"/>
  <c r="L585" i="1"/>
  <c r="L584" i="1"/>
  <c r="L580" i="1"/>
  <c r="L579" i="1"/>
  <c r="L578" i="1"/>
  <c r="L577" i="1"/>
  <c r="L576" i="1"/>
  <c r="L575" i="1"/>
  <c r="L574" i="1"/>
  <c r="L573" i="1"/>
  <c r="L572" i="1"/>
  <c r="L571" i="1"/>
  <c r="L569" i="1"/>
  <c r="L567" i="1"/>
  <c r="L566" i="1"/>
  <c r="L565" i="1"/>
  <c r="L564" i="1"/>
  <c r="K563" i="1"/>
  <c r="L563" i="1"/>
  <c r="L561" i="1"/>
  <c r="L560" i="1"/>
  <c r="L559" i="1"/>
  <c r="L558" i="1"/>
  <c r="L557" i="1"/>
  <c r="L556" i="1"/>
  <c r="L555" i="1"/>
  <c r="L553" i="1"/>
  <c r="L551" i="1"/>
  <c r="L550" i="1"/>
  <c r="L548" i="1"/>
  <c r="L547" i="1"/>
  <c r="L546" i="1"/>
  <c r="L542" i="1"/>
  <c r="K342" i="1"/>
  <c r="K340" i="1"/>
  <c r="K239" i="1"/>
  <c r="K92" i="1"/>
  <c r="L92" i="1"/>
  <c r="K89" i="1"/>
  <c r="K62" i="1"/>
  <c r="K354" i="1"/>
  <c r="L340" i="1"/>
  <c r="L106" i="1"/>
  <c r="L101" i="1"/>
  <c r="K97" i="1"/>
  <c r="L97" i="1"/>
  <c r="L89" i="1"/>
  <c r="L77" i="1"/>
  <c r="L66" i="1"/>
  <c r="L62" i="1"/>
  <c r="L50" i="1"/>
  <c r="K50" i="1"/>
  <c r="L46" i="1"/>
  <c r="K46" i="1"/>
  <c r="L38" i="1"/>
  <c r="L37" i="1"/>
  <c r="L36" i="1"/>
  <c r="K90" i="1"/>
  <c r="K76" i="1"/>
  <c r="K72" i="1"/>
  <c r="K68" i="1"/>
  <c r="K65" i="1"/>
  <c r="K58" i="1"/>
  <c r="K54" i="1"/>
  <c r="K35" i="1"/>
  <c r="K31" i="1"/>
  <c r="K27" i="1"/>
  <c r="K20" i="1"/>
  <c r="K44" i="1"/>
  <c r="K544" i="1"/>
  <c r="K541" i="1"/>
  <c r="K537" i="1"/>
  <c r="K533" i="1"/>
  <c r="K529" i="1"/>
  <c r="K525" i="1"/>
  <c r="K521" i="1"/>
  <c r="K517" i="1"/>
  <c r="K513" i="1"/>
  <c r="K509" i="1"/>
  <c r="K505" i="1"/>
  <c r="K501" i="1"/>
  <c r="K497" i="1"/>
  <c r="K489" i="1"/>
  <c r="K485" i="1"/>
  <c r="K477" i="1"/>
  <c r="K473" i="1"/>
  <c r="K465" i="1"/>
  <c r="K457" i="1"/>
  <c r="K453" i="1"/>
  <c r="K445" i="1"/>
  <c r="K441" i="1"/>
  <c r="K437" i="1"/>
  <c r="K433" i="1"/>
  <c r="K429" i="1"/>
  <c r="K425" i="1"/>
  <c r="K421" i="1"/>
  <c r="K417" i="1"/>
  <c r="K413" i="1"/>
  <c r="K409" i="1"/>
  <c r="K405" i="1"/>
  <c r="K401" i="1"/>
  <c r="K393" i="1"/>
  <c r="K389" i="1"/>
  <c r="K385" i="1"/>
  <c r="K381" i="1"/>
  <c r="K377" i="1"/>
  <c r="K369" i="1"/>
  <c r="K365" i="1"/>
  <c r="K361" i="1"/>
  <c r="K357" i="1"/>
  <c r="K353" i="1"/>
  <c r="K349" i="1"/>
  <c r="K345" i="1"/>
  <c r="K338" i="1"/>
  <c r="K334" i="1"/>
  <c r="K330" i="1"/>
  <c r="K322" i="1"/>
  <c r="K318" i="1"/>
  <c r="K314" i="1"/>
  <c r="K306" i="1"/>
  <c r="K302" i="1"/>
  <c r="K298" i="1"/>
  <c r="K294" i="1"/>
  <c r="K282" i="1"/>
  <c r="K222" i="1"/>
  <c r="K47" i="1"/>
  <c r="K291" i="1"/>
  <c r="K283" i="1"/>
  <c r="K279" i="1"/>
  <c r="K275" i="1"/>
  <c r="K271" i="1"/>
  <c r="K267" i="1"/>
  <c r="K231" i="1"/>
  <c r="K227" i="1"/>
  <c r="K223" i="1"/>
  <c r="K219" i="1"/>
  <c r="K215" i="1"/>
  <c r="K211" i="1"/>
  <c r="K207" i="1"/>
  <c r="K203" i="1"/>
  <c r="K199" i="1"/>
  <c r="K187" i="1"/>
  <c r="K183" i="1"/>
  <c r="K175" i="1"/>
  <c r="K286" i="1"/>
  <c r="K278" i="1"/>
  <c r="K274" i="1"/>
  <c r="K270" i="1"/>
  <c r="K266" i="1"/>
  <c r="K262" i="1"/>
  <c r="K258" i="1"/>
  <c r="K254" i="1"/>
  <c r="K250" i="1"/>
  <c r="K246" i="1"/>
  <c r="K242" i="1"/>
  <c r="K238" i="1"/>
  <c r="K234" i="1"/>
  <c r="K545" i="1"/>
  <c r="K538" i="1"/>
  <c r="K534" i="1"/>
  <c r="K530" i="1"/>
  <c r="K526" i="1"/>
  <c r="K522" i="1"/>
  <c r="K518" i="1"/>
  <c r="K514" i="1"/>
  <c r="K506" i="1"/>
  <c r="K494" i="1"/>
  <c r="K486" i="1"/>
  <c r="K482" i="1"/>
  <c r="K478" i="1"/>
  <c r="K466" i="1"/>
  <c r="K458" i="1"/>
  <c r="K450" i="1"/>
  <c r="K446" i="1"/>
  <c r="K442" i="1"/>
  <c r="K434" i="1"/>
  <c r="K426" i="1"/>
  <c r="K422" i="1"/>
  <c r="K418" i="1"/>
  <c r="K414" i="1"/>
  <c r="K410" i="1"/>
  <c r="K406" i="1"/>
  <c r="K398" i="1"/>
  <c r="K394" i="1"/>
  <c r="K390" i="1"/>
  <c r="K386" i="1"/>
  <c r="K378" i="1"/>
  <c r="K374" i="1"/>
  <c r="K370" i="1"/>
  <c r="K366" i="1"/>
  <c r="K362" i="1"/>
  <c r="K358" i="1"/>
  <c r="K350" i="1"/>
  <c r="K346" i="1"/>
  <c r="K339" i="1"/>
  <c r="K335" i="1"/>
  <c r="K331" i="1"/>
  <c r="K327" i="1"/>
  <c r="K323" i="1"/>
  <c r="K319" i="1"/>
  <c r="K315" i="1"/>
  <c r="K311" i="1"/>
  <c r="K307" i="1"/>
  <c r="K303" i="1"/>
  <c r="K299" i="1"/>
  <c r="K295" i="1"/>
  <c r="K263" i="1"/>
  <c r="K251" i="1"/>
  <c r="K243" i="1"/>
  <c r="K167" i="1"/>
  <c r="K163" i="1"/>
  <c r="K155" i="1"/>
  <c r="K151" i="1"/>
  <c r="K147" i="1"/>
  <c r="K143" i="1"/>
  <c r="K131" i="1"/>
  <c r="K127" i="1"/>
  <c r="K123" i="1"/>
  <c r="K119" i="1"/>
  <c r="K115" i="1"/>
  <c r="K111" i="1"/>
  <c r="K104" i="1"/>
  <c r="K94" i="1"/>
  <c r="K91" i="1"/>
  <c r="K88" i="1"/>
  <c r="K84" i="1"/>
  <c r="K80" i="1"/>
  <c r="K73" i="1"/>
  <c r="K69" i="1"/>
  <c r="K59" i="1"/>
  <c r="K55" i="1"/>
  <c r="K48" i="1"/>
  <c r="K45" i="1"/>
  <c r="K41" i="1"/>
  <c r="K32" i="1"/>
  <c r="K28" i="1"/>
  <c r="P9" i="1"/>
  <c r="K539" i="1"/>
  <c r="K535" i="1"/>
  <c r="K531" i="1"/>
  <c r="K527" i="1"/>
  <c r="K515" i="1"/>
  <c r="K507" i="1"/>
  <c r="K503" i="1"/>
  <c r="K499" i="1"/>
  <c r="K495" i="1"/>
  <c r="K12" i="1"/>
  <c r="O9" i="1"/>
  <c r="K543" i="1"/>
  <c r="K540" i="1"/>
  <c r="K536" i="1"/>
  <c r="K532" i="1"/>
  <c r="K528" i="1"/>
  <c r="K524" i="1"/>
  <c r="K520" i="1"/>
  <c r="K512" i="1"/>
  <c r="K508" i="1"/>
  <c r="K504" i="1"/>
  <c r="K210" i="1"/>
  <c r="K202" i="1"/>
  <c r="K198" i="1"/>
  <c r="K190" i="1"/>
  <c r="K186" i="1"/>
  <c r="K182" i="1"/>
  <c r="K178" i="1"/>
  <c r="K174" i="1"/>
  <c r="K170" i="1"/>
  <c r="K166" i="1"/>
  <c r="K162" i="1"/>
  <c r="K158" i="1"/>
  <c r="K154" i="1"/>
  <c r="K150" i="1"/>
  <c r="K146" i="1"/>
  <c r="K142" i="1"/>
  <c r="K138" i="1"/>
  <c r="K134" i="1"/>
  <c r="K130" i="1"/>
  <c r="K126" i="1"/>
  <c r="K122" i="1"/>
  <c r="K114" i="1"/>
  <c r="K110" i="1"/>
  <c r="K103" i="1"/>
  <c r="K100" i="1"/>
  <c r="K93" i="1"/>
  <c r="K87" i="1"/>
  <c r="K83" i="1"/>
  <c r="K79" i="1"/>
  <c r="K40" i="1"/>
  <c r="K23" i="1"/>
  <c r="K15" i="1"/>
  <c r="K491" i="1"/>
  <c r="K487" i="1"/>
  <c r="K479" i="1"/>
  <c r="K471" i="1"/>
  <c r="K467" i="1"/>
  <c r="K463" i="1"/>
  <c r="K459" i="1"/>
  <c r="K455" i="1"/>
  <c r="K451" i="1"/>
  <c r="K447" i="1"/>
  <c r="K443" i="1"/>
  <c r="K431" i="1"/>
  <c r="K427" i="1"/>
  <c r="K423" i="1"/>
  <c r="K419" i="1"/>
  <c r="K415" i="1"/>
  <c r="K411" i="1"/>
  <c r="K407" i="1"/>
  <c r="K403" i="1"/>
  <c r="K399" i="1"/>
  <c r="K395" i="1"/>
  <c r="K391" i="1"/>
  <c r="K387" i="1"/>
  <c r="K379" i="1"/>
  <c r="K375" i="1"/>
  <c r="K371" i="1"/>
  <c r="K367" i="1"/>
  <c r="K363" i="1"/>
  <c r="K359" i="1"/>
  <c r="K355" i="1"/>
  <c r="K351" i="1"/>
  <c r="K347" i="1"/>
  <c r="K343" i="1"/>
  <c r="K328" i="1"/>
  <c r="K324" i="1"/>
  <c r="K320" i="1"/>
  <c r="K304" i="1"/>
  <c r="K296" i="1"/>
  <c r="K292" i="1"/>
  <c r="K288" i="1"/>
  <c r="K284" i="1"/>
  <c r="K268" i="1"/>
  <c r="K264" i="1"/>
  <c r="K260" i="1"/>
  <c r="K248" i="1"/>
  <c r="K240" i="1"/>
  <c r="K236" i="1"/>
  <c r="K232" i="1"/>
  <c r="K228" i="1"/>
  <c r="K224" i="1"/>
  <c r="K220" i="1"/>
  <c r="K216" i="1"/>
  <c r="K212" i="1"/>
  <c r="K208" i="1"/>
  <c r="K204" i="1"/>
  <c r="K200" i="1"/>
  <c r="K196" i="1"/>
  <c r="K192" i="1"/>
  <c r="K184" i="1"/>
  <c r="K176" i="1"/>
  <c r="K172" i="1"/>
  <c r="K168" i="1"/>
  <c r="K164" i="1"/>
  <c r="K156" i="1"/>
  <c r="K148" i="1"/>
  <c r="K144" i="1"/>
  <c r="K128" i="1"/>
  <c r="K124" i="1"/>
  <c r="K116" i="1"/>
  <c r="K108" i="1"/>
  <c r="K98" i="1"/>
  <c r="K95" i="1"/>
  <c r="K85" i="1"/>
  <c r="K74" i="1"/>
  <c r="K70" i="1"/>
  <c r="K63" i="1"/>
  <c r="K60" i="1"/>
  <c r="K56" i="1"/>
  <c r="K42" i="1"/>
  <c r="K33" i="1"/>
  <c r="K29" i="1"/>
  <c r="K25" i="1"/>
  <c r="K500" i="1"/>
  <c r="K492" i="1"/>
  <c r="K488" i="1"/>
  <c r="K480" i="1"/>
  <c r="K476" i="1"/>
  <c r="K472" i="1"/>
  <c r="K468" i="1"/>
  <c r="K464" i="1"/>
  <c r="K456" i="1"/>
  <c r="K452" i="1"/>
  <c r="K448" i="1"/>
  <c r="K444" i="1"/>
  <c r="K440" i="1"/>
  <c r="K436" i="1"/>
  <c r="K432" i="1"/>
  <c r="K428" i="1"/>
  <c r="K424" i="1"/>
  <c r="K416" i="1"/>
  <c r="K408" i="1"/>
  <c r="K404" i="1"/>
  <c r="K400" i="1"/>
  <c r="K396" i="1"/>
  <c r="K388" i="1"/>
  <c r="K380" i="1"/>
  <c r="K372" i="1"/>
  <c r="K368" i="1"/>
  <c r="K364" i="1"/>
  <c r="K360" i="1"/>
  <c r="K356" i="1"/>
  <c r="K352" i="1"/>
  <c r="K344" i="1"/>
  <c r="K337" i="1"/>
  <c r="K333" i="1"/>
  <c r="K329" i="1"/>
  <c r="K325" i="1"/>
  <c r="K321" i="1"/>
  <c r="K317" i="1"/>
  <c r="K313" i="1"/>
  <c r="K309" i="1"/>
  <c r="K301" i="1"/>
  <c r="K297" i="1"/>
  <c r="K293" i="1"/>
  <c r="K289" i="1"/>
  <c r="K285" i="1"/>
  <c r="K273" i="1"/>
  <c r="K265" i="1"/>
  <c r="K261" i="1"/>
  <c r="K253" i="1"/>
  <c r="K241" i="1"/>
  <c r="K237" i="1"/>
  <c r="K233" i="1"/>
  <c r="K225" i="1"/>
  <c r="K217" i="1"/>
  <c r="K213" i="1"/>
  <c r="K205" i="1"/>
  <c r="K201" i="1"/>
  <c r="K193" i="1"/>
  <c r="K189" i="1"/>
  <c r="K177" i="1"/>
  <c r="K173" i="1"/>
  <c r="K169" i="1"/>
  <c r="K165" i="1"/>
  <c r="K161" i="1"/>
  <c r="K157" i="1"/>
  <c r="K153" i="1"/>
  <c r="K149" i="1"/>
  <c r="K145" i="1"/>
  <c r="K141" i="1"/>
  <c r="K137" i="1"/>
  <c r="K133" i="1"/>
  <c r="K129" i="1"/>
  <c r="K125" i="1"/>
  <c r="K121" i="1"/>
  <c r="K113" i="1"/>
  <c r="K102" i="1"/>
  <c r="K99" i="1"/>
  <c r="K96" i="1"/>
  <c r="K86" i="1"/>
  <c r="K71" i="1"/>
  <c r="K67" i="1"/>
  <c r="K61" i="1"/>
  <c r="K57" i="1"/>
  <c r="K43" i="1"/>
  <c r="K34" i="1"/>
  <c r="K22" i="1"/>
  <c r="L545" i="1"/>
  <c r="L544" i="1"/>
  <c r="L543" i="1"/>
  <c r="L541" i="1"/>
  <c r="L540" i="1"/>
  <c r="L539" i="1"/>
  <c r="L538" i="1"/>
  <c r="L537" i="1"/>
  <c r="L536" i="1"/>
  <c r="L535" i="1"/>
  <c r="L534" i="1"/>
  <c r="L533" i="1"/>
  <c r="L532" i="1"/>
  <c r="L531" i="1"/>
  <c r="L530" i="1"/>
  <c r="L529" i="1"/>
  <c r="L525" i="1"/>
  <c r="K511" i="1"/>
  <c r="K510" i="1"/>
  <c r="K475" i="1"/>
  <c r="L453" i="1"/>
  <c r="L452" i="1"/>
  <c r="K438" i="1"/>
  <c r="L413" i="1"/>
  <c r="K383" i="1"/>
  <c r="K382" i="1"/>
  <c r="L352" i="1"/>
  <c r="L338" i="1"/>
  <c r="K308" i="1"/>
  <c r="L308" i="1"/>
  <c r="K290" i="1"/>
  <c r="K259" i="1"/>
  <c r="K257" i="1"/>
  <c r="K256" i="1"/>
  <c r="K255" i="1"/>
  <c r="K252" i="1"/>
  <c r="K249" i="1"/>
  <c r="K245" i="1"/>
  <c r="K244" i="1"/>
  <c r="L237" i="1"/>
  <c r="K235" i="1"/>
  <c r="L204" i="1"/>
  <c r="K197" i="1"/>
  <c r="L192" i="1"/>
  <c r="K191" i="1"/>
  <c r="K185" i="1"/>
  <c r="K181" i="1"/>
  <c r="K120" i="1"/>
  <c r="L116" i="1"/>
  <c r="K52" i="1"/>
  <c r="K21" i="1"/>
  <c r="K16" i="1"/>
  <c r="K523" i="1"/>
  <c r="K516" i="1"/>
  <c r="K502" i="1"/>
  <c r="K498" i="1"/>
  <c r="K496" i="1"/>
  <c r="K493" i="1"/>
  <c r="K484" i="1"/>
  <c r="K483" i="1"/>
  <c r="K481" i="1"/>
  <c r="L466" i="1"/>
  <c r="K454" i="1"/>
  <c r="K449" i="1"/>
  <c r="K439" i="1"/>
  <c r="K435" i="1"/>
  <c r="K420" i="1"/>
  <c r="K412" i="1"/>
  <c r="K402" i="1"/>
  <c r="K397" i="1"/>
  <c r="K392" i="1"/>
  <c r="K376" i="1"/>
  <c r="K373" i="1"/>
  <c r="K341" i="1"/>
  <c r="K336" i="1"/>
  <c r="K332" i="1"/>
  <c r="K326" i="1"/>
  <c r="K316" i="1"/>
  <c r="L314" i="1"/>
  <c r="K312" i="1"/>
  <c r="K300" i="1"/>
  <c r="K281" i="1"/>
  <c r="K276" i="1"/>
  <c r="K269" i="1"/>
  <c r="L266" i="1"/>
  <c r="L261" i="1"/>
  <c r="K247" i="1"/>
  <c r="K230" i="1"/>
  <c r="K229" i="1"/>
  <c r="K226" i="1"/>
  <c r="K221" i="1"/>
  <c r="K218" i="1"/>
  <c r="K214" i="1"/>
  <c r="L212" i="1"/>
  <c r="K195" i="1"/>
  <c r="K188" i="1"/>
  <c r="L182" i="1"/>
  <c r="K180" i="1"/>
  <c r="K179" i="1"/>
  <c r="K171" i="1"/>
  <c r="K160" i="1"/>
  <c r="K159" i="1"/>
  <c r="K152" i="1"/>
  <c r="K140" i="1"/>
  <c r="K136" i="1"/>
  <c r="K135" i="1"/>
  <c r="K132" i="1"/>
  <c r="L120" i="1"/>
  <c r="L118" i="1"/>
  <c r="L114" i="1"/>
  <c r="K81" i="1"/>
  <c r="K75" i="1"/>
  <c r="K53" i="1"/>
  <c r="K49" i="1"/>
  <c r="K30" i="1"/>
  <c r="K26" i="1"/>
  <c r="K24" i="1"/>
  <c r="L23" i="1"/>
  <c r="K19" i="1"/>
  <c r="K18" i="1"/>
  <c r="K17" i="1"/>
  <c r="K14" i="1"/>
  <c r="K13" i="1"/>
  <c r="L528" i="1"/>
  <c r="L527" i="1"/>
  <c r="L526" i="1"/>
  <c r="L524" i="1"/>
  <c r="L523" i="1"/>
  <c r="L522" i="1"/>
  <c r="L521" i="1"/>
  <c r="L520" i="1"/>
  <c r="K519" i="1"/>
  <c r="L519" i="1"/>
  <c r="L518" i="1"/>
  <c r="L517" i="1"/>
  <c r="L516" i="1"/>
  <c r="L515" i="1"/>
  <c r="L514" i="1"/>
  <c r="L513" i="1"/>
  <c r="L512" i="1"/>
  <c r="L511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K490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K474" i="1"/>
  <c r="L474" i="1"/>
  <c r="L473" i="1"/>
  <c r="L472" i="1"/>
  <c r="L471" i="1"/>
  <c r="L470" i="1"/>
  <c r="L469" i="1"/>
  <c r="L468" i="1"/>
  <c r="L467" i="1"/>
  <c r="L465" i="1"/>
  <c r="L464" i="1"/>
  <c r="L463" i="1"/>
  <c r="K462" i="1"/>
  <c r="L462" i="1"/>
  <c r="L461" i="1"/>
  <c r="K461" i="1"/>
  <c r="K460" i="1"/>
  <c r="L460" i="1"/>
  <c r="L459" i="1"/>
  <c r="L458" i="1"/>
  <c r="L457" i="1"/>
  <c r="L456" i="1"/>
  <c r="L455" i="1"/>
  <c r="L454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K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1" i="1"/>
  <c r="L350" i="1"/>
  <c r="L349" i="1"/>
  <c r="K348" i="1"/>
  <c r="L348" i="1"/>
  <c r="L347" i="1"/>
  <c r="L346" i="1"/>
  <c r="L345" i="1"/>
  <c r="L344" i="1"/>
  <c r="L343" i="1"/>
  <c r="L342" i="1"/>
  <c r="L341" i="1"/>
  <c r="L339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3" i="1"/>
  <c r="L312" i="1"/>
  <c r="L311" i="1"/>
  <c r="L310" i="1"/>
  <c r="L309" i="1"/>
  <c r="L307" i="1"/>
  <c r="L306" i="1"/>
  <c r="K305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K287" i="1"/>
  <c r="L287" i="1"/>
  <c r="L286" i="1"/>
  <c r="L285" i="1"/>
  <c r="L284" i="1"/>
  <c r="L283" i="1"/>
  <c r="L282" i="1"/>
  <c r="L281" i="1"/>
  <c r="L280" i="1"/>
  <c r="K280" i="1"/>
  <c r="L279" i="1"/>
  <c r="L278" i="1"/>
  <c r="K277" i="1"/>
  <c r="L277" i="1"/>
  <c r="L276" i="1"/>
  <c r="L275" i="1"/>
  <c r="L274" i="1"/>
  <c r="L273" i="1"/>
  <c r="L272" i="1"/>
  <c r="K272" i="1"/>
  <c r="L271" i="1"/>
  <c r="L270" i="1"/>
  <c r="L269" i="1"/>
  <c r="L268" i="1"/>
  <c r="L267" i="1"/>
  <c r="L265" i="1"/>
  <c r="L264" i="1"/>
  <c r="L263" i="1"/>
  <c r="L262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1" i="1"/>
  <c r="L210" i="1"/>
  <c r="K209" i="1"/>
  <c r="L209" i="1"/>
  <c r="L208" i="1"/>
  <c r="L207" i="1"/>
  <c r="K206" i="1"/>
  <c r="L206" i="1"/>
  <c r="L205" i="1"/>
  <c r="L203" i="1"/>
  <c r="L202" i="1"/>
  <c r="L201" i="1"/>
  <c r="L200" i="1"/>
  <c r="L199" i="1"/>
  <c r="L198" i="1"/>
  <c r="L197" i="1"/>
  <c r="L196" i="1"/>
  <c r="L195" i="1"/>
  <c r="L194" i="1"/>
  <c r="L193" i="1"/>
  <c r="L191" i="1"/>
  <c r="L190" i="1"/>
  <c r="L189" i="1"/>
  <c r="L188" i="1"/>
  <c r="L187" i="1"/>
  <c r="L186" i="1"/>
  <c r="L185" i="1"/>
  <c r="L184" i="1"/>
  <c r="L183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K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19" i="1"/>
  <c r="K117" i="1"/>
  <c r="L117" i="1"/>
  <c r="L115" i="1"/>
  <c r="L113" i="1"/>
  <c r="K112" i="1"/>
  <c r="L112" i="1"/>
  <c r="L111" i="1"/>
  <c r="L110" i="1"/>
  <c r="L109" i="1"/>
  <c r="K109" i="1"/>
  <c r="L108" i="1"/>
  <c r="K107" i="1"/>
  <c r="L107" i="1"/>
  <c r="K105" i="1"/>
  <c r="L105" i="1"/>
  <c r="L104" i="1"/>
  <c r="L103" i="1"/>
  <c r="L102" i="1"/>
  <c r="L100" i="1"/>
  <c r="L99" i="1"/>
  <c r="L98" i="1"/>
  <c r="L96" i="1"/>
  <c r="L95" i="1"/>
  <c r="L94" i="1"/>
  <c r="L93" i="1"/>
  <c r="L91" i="1"/>
  <c r="L90" i="1"/>
  <c r="L88" i="1"/>
  <c r="L87" i="1"/>
  <c r="L86" i="1"/>
  <c r="L85" i="1"/>
  <c r="L84" i="1"/>
  <c r="L83" i="1"/>
  <c r="L82" i="1"/>
  <c r="K82" i="1"/>
  <c r="L81" i="1"/>
  <c r="L80" i="1"/>
  <c r="L79" i="1"/>
  <c r="L78" i="1"/>
  <c r="K78" i="1"/>
  <c r="L76" i="1"/>
  <c r="L75" i="1"/>
  <c r="L74" i="1"/>
  <c r="L73" i="1"/>
  <c r="L72" i="1"/>
  <c r="L71" i="1"/>
  <c r="L70" i="1"/>
  <c r="L69" i="1"/>
  <c r="L68" i="1"/>
  <c r="L67" i="1"/>
  <c r="L65" i="1"/>
  <c r="K64" i="1"/>
  <c r="L64" i="1"/>
  <c r="L63" i="1"/>
  <c r="L61" i="1"/>
  <c r="L60" i="1"/>
  <c r="L59" i="1"/>
  <c r="L58" i="1"/>
  <c r="L57" i="1"/>
  <c r="L56" i="1"/>
  <c r="L55" i="1"/>
  <c r="L54" i="1"/>
  <c r="L53" i="1"/>
  <c r="L52" i="1"/>
  <c r="K51" i="1"/>
  <c r="L51" i="1"/>
  <c r="L49" i="1"/>
  <c r="L48" i="1"/>
  <c r="L47" i="1"/>
  <c r="L45" i="1"/>
  <c r="L44" i="1"/>
  <c r="L43" i="1"/>
  <c r="L42" i="1"/>
  <c r="L41" i="1"/>
  <c r="L40" i="1"/>
  <c r="L39" i="1"/>
  <c r="K39" i="1"/>
  <c r="L35" i="1"/>
  <c r="L34" i="1"/>
  <c r="L33" i="1"/>
  <c r="L32" i="1"/>
  <c r="L31" i="1"/>
  <c r="L30" i="1"/>
  <c r="L29" i="1"/>
  <c r="L28" i="1"/>
  <c r="L27" i="1"/>
  <c r="L26" i="1"/>
  <c r="L25" i="1"/>
  <c r="L24" i="1"/>
  <c r="L22" i="1"/>
  <c r="L21" i="1"/>
  <c r="L20" i="1"/>
  <c r="L19" i="1"/>
  <c r="L18" i="1"/>
  <c r="L17" i="1"/>
  <c r="L16" i="1"/>
  <c r="L15" i="1"/>
  <c r="L14" i="1"/>
  <c r="AL15" i="1"/>
  <c r="L13" i="1"/>
  <c r="L12" i="1"/>
  <c r="AL12" i="1"/>
  <c r="AL41" i="1"/>
  <c r="AL39" i="1"/>
  <c r="AL37" i="1"/>
  <c r="AL35" i="1"/>
  <c r="AL33" i="1"/>
  <c r="AL31" i="1"/>
  <c r="AL29" i="1"/>
  <c r="AL27" i="1"/>
  <c r="AL25" i="1"/>
  <c r="AL23" i="1"/>
  <c r="AL21" i="1"/>
  <c r="AL17" i="1"/>
  <c r="AL13" i="1"/>
  <c r="AL42" i="1"/>
  <c r="AM42" i="1" s="1"/>
  <c r="AL40" i="1"/>
  <c r="AL38" i="1"/>
  <c r="AL36" i="1"/>
  <c r="AL34" i="1"/>
  <c r="AL32" i="1"/>
  <c r="AL30" i="1"/>
  <c r="AL28" i="1"/>
  <c r="AL26" i="1"/>
  <c r="AL24" i="1"/>
  <c r="AL22" i="1"/>
  <c r="AL19" i="1"/>
  <c r="AL20" i="1"/>
  <c r="AL18" i="1"/>
  <c r="AL16" i="1"/>
  <c r="AL14" i="1"/>
  <c r="E3" i="1"/>
  <c r="M3" i="1" l="1"/>
  <c r="AM32" i="1"/>
  <c r="AM22" i="1"/>
  <c r="AM12" i="1"/>
  <c r="F11" i="1"/>
  <c r="D11" i="1"/>
  <c r="AN12" i="1" l="1"/>
  <c r="J8" i="1" s="1"/>
  <c r="L5" i="1"/>
  <c r="L4" i="1"/>
  <c r="M5" i="1" l="1"/>
  <c r="M4" i="1"/>
  <c r="P7" i="1"/>
  <c r="K5" i="1" l="1"/>
  <c r="N5" i="1" s="1"/>
  <c r="I3" i="1" l="1"/>
  <c r="I4" i="1"/>
  <c r="I5" i="1"/>
  <c r="G7" i="1"/>
  <c r="G8" i="1" s="1"/>
  <c r="M9" i="1" l="1"/>
  <c r="Q7" i="1" l="1"/>
  <c r="R9" i="1"/>
  <c r="T9" i="1"/>
  <c r="V9" i="1"/>
  <c r="S9" i="1"/>
  <c r="Q9" i="1"/>
  <c r="U9" i="1"/>
  <c r="K3" i="1" l="1"/>
  <c r="O7" i="1"/>
  <c r="K4" i="1"/>
  <c r="L3" i="1"/>
  <c r="N4" i="1" l="1"/>
  <c r="N3" i="1"/>
</calcChain>
</file>

<file path=xl/sharedStrings.xml><?xml version="1.0" encoding="utf-8"?>
<sst xmlns="http://schemas.openxmlformats.org/spreadsheetml/2006/main" count="63" uniqueCount="52">
  <si>
    <t xml:space="preserve">Ngày </t>
  </si>
  <si>
    <t xml:space="preserve">nv ban </t>
  </si>
  <si>
    <t>ghi chú : hết hàng + sp thứ ……</t>
  </si>
  <si>
    <t>Target</t>
  </si>
  <si>
    <t>Chỉ tiêu cả tháng (Bao gồm VAT)</t>
  </si>
  <si>
    <t>MA NCC</t>
  </si>
  <si>
    <t xml:space="preserve">MA STAN </t>
  </si>
  <si>
    <t>Tên sản phẩm</t>
  </si>
  <si>
    <t>SL</t>
  </si>
  <si>
    <t>Giá bán</t>
  </si>
  <si>
    <t>Thành tiền</t>
  </si>
  <si>
    <t xml:space="preserve">ghi chú </t>
  </si>
  <si>
    <t>Actual</t>
  </si>
  <si>
    <t>Doanh số cộng dồn đến hiện tại</t>
  </si>
  <si>
    <t>Total thành tiền</t>
  </si>
  <si>
    <t>Tỷ lệ % đạt được</t>
  </si>
  <si>
    <t>Thương hiệu</t>
  </si>
  <si>
    <t>Thưởng thêm</t>
  </si>
  <si>
    <t>Mức 1 (200K -&lt; 1M)</t>
  </si>
  <si>
    <t>Mức 2 (1M-&lt;2M)</t>
  </si>
  <si>
    <t>Mức 3 (&gt;=2M)</t>
  </si>
  <si>
    <t>Mức 1 (100K-&lt;200K)</t>
  </si>
  <si>
    <t>Mức 2 (200K-&lt;500K)</t>
  </si>
  <si>
    <t>Mức 3 (500K-&lt;1M)</t>
  </si>
  <si>
    <t>Mức 4 (1M-&lt;1.5M)</t>
  </si>
  <si>
    <t>Mức 5 (&gt;=1.5M)</t>
  </si>
  <si>
    <t>Thưởng Khác</t>
  </si>
  <si>
    <t>Tháng</t>
  </si>
  <si>
    <t>% Actual/Target</t>
  </si>
  <si>
    <t>Nhân viên</t>
  </si>
  <si>
    <t>Percentage</t>
  </si>
  <si>
    <t>Thưởng Sony</t>
  </si>
  <si>
    <t>Thưởng DS</t>
  </si>
  <si>
    <t>Tổng thưởng</t>
  </si>
  <si>
    <t>Author: Nhung Le - General Accountant</t>
  </si>
  <si>
    <t>Tai nghe Elecom &gt;=500K</t>
  </si>
  <si>
    <t>Ốp lưng Elecom</t>
  </si>
  <si>
    <t>Bút chiếu đèn Elecom</t>
  </si>
  <si>
    <t>Sạc không dây Elecom</t>
  </si>
  <si>
    <t>Túi xách Laptop Elecom</t>
  </si>
  <si>
    <t>Loa Elecom</t>
  </si>
  <si>
    <t>Chuột bi Elecom</t>
  </si>
  <si>
    <t>Chuột Trackball Elecom</t>
  </si>
  <si>
    <t>Sửa số liệu trực tiếp trong TH cụ thể</t>
  </si>
  <si>
    <t>BÁO CÁO THƯỞNG HÀNG THÁNG
Chi nhánh  HCM-DN</t>
  </si>
  <si>
    <t>Ngay</t>
  </si>
  <si>
    <t>Sạc KD ELECOM</t>
  </si>
  <si>
    <t>Loan</t>
  </si>
  <si>
    <t>Version: 5.0 - Date: Oct 05, 2018</t>
  </si>
  <si>
    <t>Thuong them</t>
  </si>
  <si>
    <t>Sạc  dự phòng Energizer</t>
  </si>
  <si>
    <t>SDP Energiner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</si>
</sst>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[$-1010000]d/m/yyyy"/>
  </numFmts>
  <fonts count="19" x14ac:knownFonts="1">
    <font>
      <sz val="11"/>
      <color theme="1"/>
      <name val="Calibri"/>
      <family val="2"/>
      <scheme val="minor"/>
    </font>
    <font>
      <b/>
      <sz val="10"/>
      <color rgb="FF000000"/>
      <name val="Times New Roman"/>
      <family val="1"/>
    </font>
    <font>
      <sz val="10"/>
      <color rgb="FF000000"/>
      <name val="Times New Roman"/>
      <family val="1"/>
    </font>
    <font>
      <sz val="10"/>
      <color rgb="FFFF0000"/>
      <name val="Times New Roman"/>
      <family val="1"/>
    </font>
    <font>
      <sz val="10"/>
      <name val="Times New Roman"/>
      <family val="1"/>
    </font>
    <font>
      <b/>
      <sz val="10"/>
      <color rgb="FFFF0000"/>
      <name val="Times New Roman"/>
      <family val="1"/>
    </font>
    <font>
      <sz val="11"/>
      <name val="Arial"/>
      <family val="2"/>
    </font>
    <font>
      <b/>
      <sz val="10"/>
      <name val="Times New Roman"/>
      <family val="1"/>
    </font>
    <font>
      <b/>
      <sz val="10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0"/>
      <color rgb="FF000000"/>
      <name val="Times New Roman"/>
      <family val="1"/>
    </font>
    <font>
      <b/>
      <sz val="10"/>
      <color rgb="FF000000"/>
      <name val="Times New Roman"/>
      <family val="1"/>
      <charset val="163"/>
    </font>
    <font>
      <sz val="10"/>
      <color rgb="FF000000"/>
      <name val="Times New Roman"/>
      <family val="1"/>
      <charset val="163"/>
    </font>
    <font>
      <sz val="10"/>
      <name val="Times New Roman"/>
      <family val="1"/>
      <charset val="163"/>
    </font>
    <font>
      <sz val="10"/>
      <color theme="1"/>
      <name val="Times New Roman"/>
      <family val="1"/>
    </font>
    <font>
      <b/>
      <sz val="14"/>
      <color theme="9" tint="-0.249977111117893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99"/>
        <bgColor rgb="FFFFFF00"/>
      </patternFill>
    </fill>
    <fill>
      <patternFill patternType="solid">
        <fgColor rgb="FFFF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rgb="FFDDD9C3"/>
      </patternFill>
    </fill>
    <fill>
      <patternFill patternType="solid">
        <fgColor theme="9" tint="0.39997558519241921"/>
        <bgColor rgb="FFDDD9C3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102">
    <xf numFmtId="0" fontId="0" fillId="0" borderId="0" xfId="0"/>
    <xf numFmtId="0" fontId="0" fillId="0" borderId="0" xfId="0" applyFill="1" applyBorder="1"/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vertical="center" wrapText="1"/>
    </xf>
    <xf numFmtId="0" fontId="3" fillId="0" borderId="2" xfId="0" applyFont="1" applyFill="1" applyBorder="1" applyAlignment="1">
      <alignment vertical="center"/>
    </xf>
    <xf numFmtId="0" fontId="0" fillId="0" borderId="5" xfId="0" applyFill="1" applyBorder="1"/>
    <xf numFmtId="0" fontId="8" fillId="3" borderId="5" xfId="0" applyFont="1" applyFill="1" applyBorder="1"/>
    <xf numFmtId="41" fontId="5" fillId="2" borderId="8" xfId="0" applyNumberFormat="1" applyFont="1" applyFill="1" applyBorder="1" applyAlignment="1">
      <alignment horizontal="center"/>
    </xf>
    <xf numFmtId="165" fontId="2" fillId="2" borderId="8" xfId="0" applyNumberFormat="1" applyFont="1" applyFill="1" applyBorder="1"/>
    <xf numFmtId="0" fontId="2" fillId="2" borderId="6" xfId="0" applyFont="1" applyFill="1" applyBorder="1" applyAlignment="1">
      <alignment horizontal="right"/>
    </xf>
    <xf numFmtId="0" fontId="0" fillId="3" borderId="9" xfId="0" applyFill="1" applyBorder="1"/>
    <xf numFmtId="0" fontId="0" fillId="4" borderId="5" xfId="0" applyFill="1" applyBorder="1"/>
    <xf numFmtId="14" fontId="0" fillId="0" borderId="5" xfId="0" applyNumberFormat="1" applyFill="1" applyBorder="1"/>
    <xf numFmtId="14" fontId="2" fillId="0" borderId="0" xfId="0" applyNumberFormat="1" applyFont="1" applyFill="1"/>
    <xf numFmtId="14" fontId="1" fillId="2" borderId="1" xfId="0" applyNumberFormat="1" applyFont="1" applyFill="1" applyBorder="1" applyAlignment="1">
      <alignment horizontal="center" vertical="center"/>
    </xf>
    <xf numFmtId="14" fontId="2" fillId="2" borderId="8" xfId="0" applyNumberFormat="1" applyFont="1" applyFill="1" applyBorder="1"/>
    <xf numFmtId="14" fontId="0" fillId="0" borderId="0" xfId="0" applyNumberFormat="1"/>
    <xf numFmtId="0" fontId="0" fillId="5" borderId="5" xfId="0" applyFill="1" applyBorder="1"/>
    <xf numFmtId="0" fontId="0" fillId="6" borderId="5" xfId="0" applyFill="1" applyBorder="1"/>
    <xf numFmtId="0" fontId="8" fillId="0" borderId="5" xfId="0" applyFont="1" applyBorder="1"/>
    <xf numFmtId="0" fontId="1" fillId="7" borderId="5" xfId="0" applyFont="1" applyFill="1" applyBorder="1"/>
    <xf numFmtId="0" fontId="2" fillId="7" borderId="5" xfId="0" applyFont="1" applyFill="1" applyBorder="1"/>
    <xf numFmtId="14" fontId="2" fillId="9" borderId="5" xfId="0" applyNumberFormat="1" applyFont="1" applyFill="1" applyBorder="1"/>
    <xf numFmtId="0" fontId="2" fillId="9" borderId="5" xfId="0" applyFont="1" applyFill="1" applyBorder="1" applyAlignment="1">
      <alignment horizontal="right"/>
    </xf>
    <xf numFmtId="10" fontId="10" fillId="9" borderId="5" xfId="0" applyNumberFormat="1" applyFont="1" applyFill="1" applyBorder="1"/>
    <xf numFmtId="164" fontId="10" fillId="8" borderId="5" xfId="1" applyNumberFormat="1" applyFont="1" applyFill="1" applyBorder="1"/>
    <xf numFmtId="0" fontId="1" fillId="0" borderId="0" xfId="0" applyFont="1" applyFill="1" applyBorder="1" applyAlignment="1">
      <alignment horizontal="left"/>
    </xf>
    <xf numFmtId="164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164" fontId="7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9" fontId="7" fillId="0" borderId="0" xfId="0" applyNumberFormat="1" applyFont="1" applyFill="1" applyBorder="1" applyAlignment="1">
      <alignment horizontal="center"/>
    </xf>
    <xf numFmtId="0" fontId="5" fillId="0" borderId="3" xfId="0" applyFont="1" applyFill="1" applyBorder="1" applyAlignment="1">
      <alignment horizontal="right" vertical="center" wrapText="1"/>
    </xf>
    <xf numFmtId="0" fontId="0" fillId="0" borderId="5" xfId="0" applyBorder="1"/>
    <xf numFmtId="0" fontId="10" fillId="8" borderId="12" xfId="0" applyFont="1" applyFill="1" applyBorder="1" applyAlignment="1">
      <alignment horizontal="center"/>
    </xf>
    <xf numFmtId="0" fontId="10" fillId="9" borderId="12" xfId="0" applyFont="1" applyFill="1" applyBorder="1" applyAlignment="1">
      <alignment horizontal="center"/>
    </xf>
    <xf numFmtId="0" fontId="2" fillId="0" borderId="0" xfId="0" applyFont="1" applyFill="1" applyBorder="1"/>
    <xf numFmtId="0" fontId="2" fillId="9" borderId="11" xfId="0" applyFont="1" applyFill="1" applyBorder="1" applyAlignment="1">
      <alignment horizontal="right"/>
    </xf>
    <xf numFmtId="14" fontId="2" fillId="9" borderId="10" xfId="0" applyNumberFormat="1" applyFont="1" applyFill="1" applyBorder="1" applyAlignment="1"/>
    <xf numFmtId="14" fontId="2" fillId="9" borderId="12" xfId="0" applyNumberFormat="1" applyFont="1" applyFill="1" applyBorder="1" applyAlignment="1"/>
    <xf numFmtId="0" fontId="11" fillId="0" borderId="0" xfId="0" applyFont="1" applyFill="1" applyBorder="1" applyAlignment="1">
      <alignment horizontal="left"/>
    </xf>
    <xf numFmtId="164" fontId="11" fillId="0" borderId="0" xfId="0" applyNumberFormat="1" applyFont="1" applyFill="1" applyBorder="1" applyAlignment="1">
      <alignment horizontal="left"/>
    </xf>
    <xf numFmtId="0" fontId="12" fillId="0" borderId="0" xfId="0" applyFont="1" applyFill="1" applyBorder="1" applyAlignment="1">
      <alignment horizontal="left"/>
    </xf>
    <xf numFmtId="164" fontId="12" fillId="0" borderId="0" xfId="0" applyNumberFormat="1" applyFont="1" applyFill="1" applyBorder="1" applyAlignment="1">
      <alignment horizontal="left"/>
    </xf>
    <xf numFmtId="0" fontId="13" fillId="0" borderId="0" xfId="0" applyFont="1" applyFill="1" applyBorder="1"/>
    <xf numFmtId="164" fontId="3" fillId="4" borderId="5" xfId="0" applyNumberFormat="1" applyFont="1" applyFill="1" applyBorder="1" applyAlignment="1">
      <alignment horizontal="left"/>
    </xf>
    <xf numFmtId="0" fontId="10" fillId="8" borderId="13" xfId="0" applyFont="1" applyFill="1" applyBorder="1" applyAlignment="1">
      <alignment horizontal="center"/>
    </xf>
    <xf numFmtId="164" fontId="10" fillId="8" borderId="11" xfId="1" applyNumberFormat="1" applyFont="1" applyFill="1" applyBorder="1"/>
    <xf numFmtId="14" fontId="2" fillId="9" borderId="11" xfId="0" applyNumberFormat="1" applyFont="1" applyFill="1" applyBorder="1"/>
    <xf numFmtId="9" fontId="2" fillId="4" borderId="5" xfId="0" applyNumberFormat="1" applyFont="1" applyFill="1" applyBorder="1"/>
    <xf numFmtId="0" fontId="8" fillId="9" borderId="5" xfId="0" applyFont="1" applyFill="1" applyBorder="1"/>
    <xf numFmtId="14" fontId="8" fillId="9" borderId="5" xfId="0" applyNumberFormat="1" applyFont="1" applyFill="1" applyBorder="1"/>
    <xf numFmtId="0" fontId="14" fillId="0" borderId="0" xfId="0" applyFont="1"/>
    <xf numFmtId="0" fontId="5" fillId="0" borderId="0" xfId="0" applyFont="1" applyFill="1" applyBorder="1" applyAlignment="1">
      <alignment horizontal="left"/>
    </xf>
    <xf numFmtId="164" fontId="8" fillId="4" borderId="5" xfId="1" applyNumberFormat="1" applyFont="1" applyFill="1" applyBorder="1"/>
    <xf numFmtId="164" fontId="5" fillId="4" borderId="5" xfId="1" applyNumberFormat="1" applyFont="1" applyFill="1" applyBorder="1" applyAlignment="1">
      <alignment horizontal="left"/>
    </xf>
    <xf numFmtId="0" fontId="14" fillId="4" borderId="5" xfId="0" applyFont="1" applyFill="1" applyBorder="1" applyAlignment="1">
      <alignment horizontal="left" vertical="top"/>
    </xf>
    <xf numFmtId="14" fontId="2" fillId="7" borderId="5" xfId="0" applyNumberFormat="1" applyFont="1" applyFill="1" applyBorder="1" applyAlignment="1">
      <alignment horizontal="left" vertical="top"/>
    </xf>
    <xf numFmtId="0" fontId="2" fillId="7" borderId="5" xfId="0" applyFont="1" applyFill="1" applyBorder="1" applyAlignment="1">
      <alignment horizontal="left" vertical="top"/>
    </xf>
    <xf numFmtId="0" fontId="1" fillId="9" borderId="12" xfId="0" applyFont="1" applyFill="1" applyBorder="1" applyAlignment="1">
      <alignment horizontal="left"/>
    </xf>
    <xf numFmtId="164" fontId="12" fillId="4" borderId="12" xfId="0" applyNumberFormat="1" applyFont="1" applyFill="1" applyBorder="1" applyAlignment="1">
      <alignment horizontal="left"/>
    </xf>
    <xf numFmtId="0" fontId="14" fillId="0" borderId="0" xfId="0" applyFont="1" applyBorder="1"/>
    <xf numFmtId="0" fontId="8" fillId="11" borderId="5" xfId="0" applyFont="1" applyFill="1" applyBorder="1"/>
    <xf numFmtId="0" fontId="8" fillId="10" borderId="5" xfId="0" applyFont="1" applyFill="1" applyBorder="1"/>
    <xf numFmtId="0" fontId="0" fillId="5" borderId="5" xfId="0" applyFill="1" applyBorder="1" applyAlignment="1">
      <alignment horizontal="center" vertical="center"/>
    </xf>
    <xf numFmtId="0" fontId="8" fillId="0" borderId="0" xfId="0" applyFont="1" applyBorder="1"/>
    <xf numFmtId="0" fontId="8" fillId="0" borderId="0" xfId="0" applyFont="1" applyFill="1" applyBorder="1"/>
    <xf numFmtId="0" fontId="0" fillId="3" borderId="5" xfId="0" applyFill="1" applyBorder="1"/>
    <xf numFmtId="0" fontId="8" fillId="9" borderId="10" xfId="0" applyFont="1" applyFill="1" applyBorder="1" applyAlignment="1"/>
    <xf numFmtId="0" fontId="8" fillId="9" borderId="14" xfId="0" applyFont="1" applyFill="1" applyBorder="1" applyAlignment="1"/>
    <xf numFmtId="0" fontId="8" fillId="9" borderId="12" xfId="0" applyFont="1" applyFill="1" applyBorder="1" applyAlignment="1"/>
    <xf numFmtId="0" fontId="8" fillId="10" borderId="10" xfId="0" applyFont="1" applyFill="1" applyBorder="1" applyAlignment="1"/>
    <xf numFmtId="0" fontId="8" fillId="10" borderId="14" xfId="0" applyFont="1" applyFill="1" applyBorder="1" applyAlignment="1"/>
    <xf numFmtId="0" fontId="8" fillId="10" borderId="12" xfId="0" applyFont="1" applyFill="1" applyBorder="1" applyAlignment="1"/>
    <xf numFmtId="0" fontId="1" fillId="2" borderId="15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0" fillId="0" borderId="0" xfId="0" applyBorder="1"/>
    <xf numFmtId="0" fontId="0" fillId="12" borderId="5" xfId="0" applyFill="1" applyBorder="1"/>
    <xf numFmtId="0" fontId="0" fillId="12" borderId="10" xfId="0" applyFill="1" applyBorder="1"/>
    <xf numFmtId="0" fontId="0" fillId="0" borderId="12" xfId="0" applyBorder="1"/>
    <xf numFmtId="0" fontId="0" fillId="0" borderId="12" xfId="0" applyFill="1" applyBorder="1"/>
    <xf numFmtId="14" fontId="17" fillId="0" borderId="0" xfId="0" applyNumberFormat="1" applyFont="1"/>
    <xf numFmtId="0" fontId="2" fillId="0" borderId="0" xfId="0" applyFont="1" applyBorder="1" applyAlignment="1">
      <alignment horizontal="left" wrapText="1"/>
    </xf>
    <xf numFmtId="0" fontId="0" fillId="11" borderId="5" xfId="0" applyFont="1" applyFill="1" applyBorder="1"/>
    <xf numFmtId="0" fontId="14" fillId="11" borderId="5" xfId="0" applyFont="1" applyFill="1" applyBorder="1" applyAlignment="1" applyProtection="1">
      <alignment horizontal="center"/>
      <protection locked="0"/>
    </xf>
    <xf numFmtId="0" fontId="16" fillId="9" borderId="5" xfId="0" applyFont="1" applyFill="1" applyBorder="1" applyAlignment="1">
      <alignment horizontal="center"/>
    </xf>
    <xf numFmtId="10" fontId="15" fillId="6" borderId="5" xfId="0" applyNumberFormat="1" applyFont="1" applyFill="1" applyBorder="1" applyAlignment="1">
      <alignment horizontal="center" vertical="center" wrapText="1"/>
    </xf>
    <xf numFmtId="10" fontId="15" fillId="6" borderId="5" xfId="0" applyNumberFormat="1" applyFont="1" applyFill="1" applyBorder="1" applyAlignment="1">
      <alignment horizontal="center" vertical="center"/>
    </xf>
    <xf numFmtId="14" fontId="1" fillId="0" borderId="0" xfId="0" applyNumberFormat="1" applyFont="1" applyFill="1" applyBorder="1" applyAlignment="1">
      <alignment horizontal="left" vertical="top" wrapText="1"/>
    </xf>
    <xf numFmtId="0" fontId="6" fillId="0" borderId="0" xfId="0" applyFont="1" applyFill="1" applyBorder="1"/>
    <xf numFmtId="0" fontId="5" fillId="2" borderId="16" xfId="0" applyFont="1" applyFill="1" applyBorder="1" applyAlignment="1">
      <alignment horizontal="left"/>
    </xf>
    <xf numFmtId="0" fontId="6" fillId="3" borderId="0" xfId="0" applyFont="1" applyFill="1" applyBorder="1"/>
    <xf numFmtId="0" fontId="6" fillId="3" borderId="7" xfId="0" applyFont="1" applyFill="1" applyBorder="1"/>
    <xf numFmtId="0" fontId="8" fillId="11" borderId="17" xfId="0" applyFont="1" applyFill="1" applyBorder="1" applyAlignment="1">
      <alignment horizontal="center"/>
    </xf>
    <xf numFmtId="0" fontId="8" fillId="11" borderId="0" xfId="0" applyFont="1" applyFill="1" applyBorder="1" applyAlignment="1">
      <alignment horizontal="center"/>
    </xf>
    <xf numFmtId="0" fontId="8" fillId="11" borderId="18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99FF99"/>
      <color rgb="FFFF66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1</xdr:col>
      <xdr:colOff>1371600</xdr:colOff>
      <xdr:row>4</xdr:row>
      <xdr:rowOff>101896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114550" cy="875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1</xdr:col>
          <xdr:colOff>590550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information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P3405"/>
  <sheetViews>
    <sheetView tabSelected="1" zoomScale="80" zoomScaleNormal="80" workbookViewId="0">
      <selection activeCell="A12" sqref="A12:J12"/>
    </sheetView>
  </sheetViews>
  <sheetFormatPr defaultRowHeight="15" x14ac:dyDescent="0.25"/>
  <cols>
    <col min="1" max="1" width="11.28515625" customWidth="1"/>
    <col min="2" max="2" width="21" customWidth="1"/>
    <col min="3" max="3" width="41.85546875" customWidth="1"/>
    <col min="4" max="4" width="7.140625" customWidth="1"/>
    <col min="5" max="5" width="17" customWidth="1"/>
    <col min="6" max="6" width="25" customWidth="1"/>
    <col min="7" max="7" width="14.28515625" customWidth="1"/>
    <col min="8" max="8" width="14.7109375" style="21" customWidth="1"/>
    <col min="9" max="9" width="17.42578125" customWidth="1"/>
    <col min="10" max="11" width="14.5703125" customWidth="1"/>
    <col min="12" max="12" width="15" customWidth="1"/>
    <col min="13" max="13" width="14.28515625" customWidth="1"/>
    <col min="14" max="14" width="18" customWidth="1"/>
    <col min="15" max="15" width="20.5703125" customWidth="1"/>
    <col min="16" max="16" width="18" customWidth="1"/>
    <col min="17" max="17" width="16" customWidth="1"/>
    <col min="18" max="18" width="17.7109375" customWidth="1"/>
    <col min="19" max="19" width="18.140625" customWidth="1"/>
    <col min="20" max="20" width="17.5703125" customWidth="1"/>
    <col min="21" max="21" width="16.140625" customWidth="1"/>
    <col min="22" max="22" width="15.85546875" customWidth="1"/>
    <col min="23" max="24" width="21.28515625" customWidth="1"/>
    <col min="25" max="25" width="23.7109375" customWidth="1"/>
    <col min="26" max="26" width="20" customWidth="1"/>
    <col min="27" max="27" width="21.5703125" customWidth="1"/>
    <col min="28" max="28" width="19.85546875" customWidth="1"/>
    <col min="29" max="29" width="20" customWidth="1"/>
    <col min="30" max="30" width="17.7109375" customWidth="1"/>
    <col min="31" max="31" width="15.5703125" customWidth="1"/>
    <col min="32" max="32" width="13.5703125" customWidth="1"/>
    <col min="33" max="33" width="14.7109375" customWidth="1"/>
    <col min="34" max="34" width="16.7109375" customWidth="1"/>
    <col min="35" max="35" width="17.7109375" customWidth="1"/>
    <col min="36" max="36" width="21.5703125" customWidth="1"/>
    <col min="37" max="37" width="26.28515625" customWidth="1"/>
    <col min="38" max="38" width="13.140625" customWidth="1"/>
    <col min="39" max="39" width="20.5703125" customWidth="1"/>
    <col min="40" max="40" width="16.42578125" customWidth="1"/>
    <col min="41" max="42" width="24.5703125" customWidth="1"/>
  </cols>
  <sheetData>
    <row r="1" spans="1:42" ht="15.75" x14ac:dyDescent="0.25">
      <c r="H1" s="87" t="str">
        <f>IF(COUNTIF($J$12:$J$3012,"#N/A") &gt;0,"Ghi chú: Có "&amp;COUNTIF($J$12:$J$3012,"#N/A") &amp; " sản phẩm không có thương hiệu (#N/A). Đề nghị bổ sung hoặc không tính thưởng","")</f>
        <v/>
      </c>
    </row>
    <row r="2" spans="1:42" x14ac:dyDescent="0.25">
      <c r="C2" s="92" t="s">
        <v>44</v>
      </c>
      <c r="D2" s="93"/>
      <c r="E2" s="65" t="s">
        <v>27</v>
      </c>
      <c r="F2" s="56" t="s">
        <v>29</v>
      </c>
      <c r="G2" s="56" t="s">
        <v>3</v>
      </c>
      <c r="H2" s="57" t="s">
        <v>12</v>
      </c>
      <c r="I2" s="56" t="s">
        <v>30</v>
      </c>
      <c r="J2" s="56" t="s">
        <v>32</v>
      </c>
      <c r="K2" s="56" t="s">
        <v>31</v>
      </c>
      <c r="L2" s="56" t="s">
        <v>26</v>
      </c>
      <c r="M2" s="56" t="s">
        <v>17</v>
      </c>
      <c r="N2" s="56" t="s">
        <v>33</v>
      </c>
      <c r="AI2" s="82"/>
      <c r="AJ2" s="82"/>
      <c r="AK2" s="82"/>
    </row>
    <row r="3" spans="1:42" x14ac:dyDescent="0.25">
      <c r="A3" s="46"/>
      <c r="B3" s="47"/>
      <c r="C3" s="93"/>
      <c r="D3" s="93"/>
      <c r="E3" s="66" t="str">
        <f>IF($H$12&lt;&gt;0,MONTH(H12)&amp;" / "&amp;YEAR(H12),"Chưa có data")</f>
        <v>Chưa có data</v>
      </c>
      <c r="F3" s="64" t="s">
        <v>47</v>
      </c>
      <c r="G3" s="26">
        <v>0</v>
      </c>
      <c r="H3" s="25">
        <v>0</v>
      </c>
      <c r="I3" s="55">
        <f t="shared" ref="I3:I4" si="0">IF(H3&lt;&gt;0,G3/H3,0)</f>
        <v>0</v>
      </c>
      <c r="J3" s="51"/>
      <c r="K3" s="60">
        <f>SUMIFS(K$12:K$3012,$G$12:$G$3012,$F3,K$12:K$3012,"&gt;0")</f>
        <v>0</v>
      </c>
      <c r="L3" s="60">
        <f>SUMIFS(L$12:L$3012,$G$12:$G$3012,$F3,L$12:L$3012,"&gt;0")</f>
        <v>0</v>
      </c>
      <c r="M3" s="60">
        <f>SUMIFS(M$12:M$3012,$G$12:$G$3012,$F3,M$12:M$3012,"&gt;0")</f>
        <v>0</v>
      </c>
      <c r="N3" s="61">
        <f>IF(F3&lt;&gt;"",SUM(J3:M3),"")</f>
        <v>0</v>
      </c>
      <c r="P3" s="3"/>
      <c r="Q3" s="1"/>
      <c r="R3" s="1"/>
      <c r="S3" s="1"/>
      <c r="T3" s="1"/>
      <c r="AI3" s="82"/>
      <c r="AJ3" s="82"/>
      <c r="AK3" s="82"/>
    </row>
    <row r="4" spans="1:42" x14ac:dyDescent="0.25">
      <c r="A4" s="48"/>
      <c r="B4" s="49"/>
      <c r="C4" s="93"/>
      <c r="D4" s="93"/>
      <c r="F4" s="62"/>
      <c r="G4" s="26">
        <v>0</v>
      </c>
      <c r="H4" s="26">
        <v>0</v>
      </c>
      <c r="I4" s="55">
        <f t="shared" si="0"/>
        <v>0</v>
      </c>
      <c r="J4" s="51"/>
      <c r="K4" s="60">
        <f>SUMIFS(K$12:K$3012,$G$12:$G$3012,$F4,K$12:K$3012,"&gt;0")</f>
        <v>0</v>
      </c>
      <c r="L4" s="60">
        <f t="shared" ref="L4:M5" si="1">SUMIFS(L$12:L$3012,$G$12:$G$3012,$F4,L$12:L$3012,"&gt;0")</f>
        <v>0</v>
      </c>
      <c r="M4" s="60">
        <f t="shared" si="1"/>
        <v>0</v>
      </c>
      <c r="N4" s="61" t="str">
        <f>IF(F4&lt;&gt;"",SUM(J4:M4),"")</f>
        <v/>
      </c>
      <c r="P4" s="3"/>
      <c r="Q4" s="1"/>
      <c r="R4" s="1"/>
      <c r="S4" s="1"/>
      <c r="T4" s="1"/>
      <c r="AI4" s="82"/>
      <c r="AJ4" s="82"/>
      <c r="AK4" s="82"/>
    </row>
    <row r="5" spans="1:42" x14ac:dyDescent="0.25">
      <c r="C5" s="93"/>
      <c r="D5" s="93"/>
      <c r="F5" s="63"/>
      <c r="G5" s="26">
        <v>0</v>
      </c>
      <c r="H5" s="26">
        <v>0</v>
      </c>
      <c r="I5" s="55">
        <f>IF(H5&lt;&gt;0,G5/H5,0)</f>
        <v>0</v>
      </c>
      <c r="J5" s="51"/>
      <c r="K5" s="60">
        <f>SUMIFS(K$12:K$3012,$G$12:$G$3012,$F5,K$12:K$3012,"&gt;0")</f>
        <v>0</v>
      </c>
      <c r="L5" s="60">
        <f t="shared" si="1"/>
        <v>0</v>
      </c>
      <c r="M5" s="60">
        <f t="shared" si="1"/>
        <v>0</v>
      </c>
      <c r="N5" s="61" t="str">
        <f>IF(F5&lt;&gt;"",SUM(J5:M5),"")</f>
        <v/>
      </c>
      <c r="P5" s="3"/>
      <c r="Q5" s="1"/>
      <c r="R5" s="1"/>
      <c r="S5" s="1"/>
      <c r="T5" s="1"/>
      <c r="AI5" s="82"/>
      <c r="AJ5" s="82"/>
      <c r="AK5" s="82"/>
    </row>
    <row r="6" spans="1:42" x14ac:dyDescent="0.25">
      <c r="A6" s="50"/>
      <c r="B6" s="49"/>
      <c r="C6" s="93"/>
      <c r="D6" s="93"/>
      <c r="E6" s="42"/>
      <c r="F6" s="52" t="s">
        <v>3</v>
      </c>
      <c r="G6" s="53"/>
      <c r="H6" s="54" t="s">
        <v>4</v>
      </c>
      <c r="I6" s="43"/>
      <c r="J6" s="31"/>
      <c r="K6" s="31"/>
      <c r="L6" s="31"/>
      <c r="M6" s="32"/>
      <c r="N6" s="32"/>
      <c r="O6" s="33"/>
      <c r="P6" s="3"/>
      <c r="Q6" s="1"/>
      <c r="R6" s="1"/>
      <c r="S6" s="1"/>
      <c r="T6" s="1"/>
      <c r="AI6" s="82"/>
      <c r="AJ6" s="82"/>
      <c r="AK6" s="82"/>
    </row>
    <row r="7" spans="1:42" x14ac:dyDescent="0.25">
      <c r="A7" s="4"/>
      <c r="B7" s="4"/>
      <c r="C7" s="88" t="s">
        <v>34</v>
      </c>
      <c r="D7" s="2"/>
      <c r="E7" s="42"/>
      <c r="F7" s="40" t="s">
        <v>12</v>
      </c>
      <c r="G7" s="30">
        <f>F11</f>
        <v>0</v>
      </c>
      <c r="H7" s="27" t="s">
        <v>13</v>
      </c>
      <c r="I7" s="28"/>
      <c r="J7" s="59"/>
      <c r="K7" s="34"/>
      <c r="L7" s="34"/>
      <c r="M7" s="35"/>
      <c r="N7" s="35"/>
      <c r="O7" s="36">
        <f>SUMIFS(K$12:K$3012,$G$12:$G$3012,$F3,O$12:O$3012,"&gt;0")</f>
        <v>0</v>
      </c>
      <c r="P7" s="36">
        <f>SUMIFS(K$12:K$3012,$G$12:$G$3012,$F3,P$12:P$3012,"&gt;0")</f>
        <v>0</v>
      </c>
      <c r="Q7" s="36">
        <f>SUMIFS(K$12:K$3012,$G$12:$G$3012,$F3,Q$12:Q$3012,"&gt;0")</f>
        <v>0</v>
      </c>
      <c r="R7" s="1"/>
      <c r="S7" s="1"/>
      <c r="T7" s="1"/>
      <c r="AI7" s="82"/>
      <c r="AJ7" s="82"/>
      <c r="AK7" s="82"/>
    </row>
    <row r="8" spans="1:42" x14ac:dyDescent="0.25">
      <c r="A8" s="4"/>
      <c r="B8" s="4"/>
      <c r="C8" s="67" t="s">
        <v>48</v>
      </c>
      <c r="E8" s="42"/>
      <c r="F8" s="41" t="s">
        <v>28</v>
      </c>
      <c r="G8" s="29">
        <f>IF(G7&lt;&gt;0,G6/G7,0)</f>
        <v>0</v>
      </c>
      <c r="H8" s="44" t="s">
        <v>15</v>
      </c>
      <c r="I8" s="45"/>
      <c r="J8" s="59" t="str">
        <f>IF(COUNTA(H12:H3012)=0,"",IF(AN12&lt;&gt;",,,,,,,,,,,,,,,,,,,,,,,,,,,,,,","Cảnh báo dữ liệu thiếu ngày "&amp;AN12&amp;" trong tháng",""))</f>
        <v/>
      </c>
      <c r="K8" s="34"/>
      <c r="L8" s="34"/>
      <c r="M8" s="37"/>
      <c r="N8" s="37"/>
      <c r="O8" s="36"/>
      <c r="P8" s="3"/>
      <c r="Q8" s="1"/>
      <c r="R8" s="1"/>
      <c r="S8" s="1"/>
      <c r="T8" s="1"/>
      <c r="U8" s="58"/>
      <c r="AF8" s="91" t="s">
        <v>43</v>
      </c>
      <c r="AG8" s="91"/>
      <c r="AH8" s="91"/>
      <c r="AI8" s="82"/>
      <c r="AJ8" s="82"/>
      <c r="AK8" s="82"/>
    </row>
    <row r="9" spans="1:42" x14ac:dyDescent="0.25">
      <c r="A9" s="94"/>
      <c r="B9" s="95"/>
      <c r="C9" s="8"/>
      <c r="D9" s="8"/>
      <c r="E9" s="8"/>
      <c r="F9" s="8"/>
      <c r="G9" s="9" t="s">
        <v>2</v>
      </c>
      <c r="H9" s="18"/>
      <c r="I9" s="38"/>
      <c r="J9" s="39"/>
      <c r="K9" s="39"/>
      <c r="L9" s="39"/>
      <c r="M9" s="24">
        <f>SUMIF(M$12:M$3012,"&gt;0",M$12:M$3012)</f>
        <v>0</v>
      </c>
      <c r="N9" s="71"/>
      <c r="O9" s="24">
        <f t="shared" ref="O9:V9" si="2">SUMIF(O$12:O$3012,"&gt;0",O$12:O$3012)</f>
        <v>0</v>
      </c>
      <c r="P9" s="24">
        <f t="shared" si="2"/>
        <v>0</v>
      </c>
      <c r="Q9" s="24">
        <f t="shared" si="2"/>
        <v>0</v>
      </c>
      <c r="R9" s="24">
        <f t="shared" si="2"/>
        <v>0</v>
      </c>
      <c r="S9" s="24">
        <f t="shared" si="2"/>
        <v>0</v>
      </c>
      <c r="T9" s="24">
        <f t="shared" si="2"/>
        <v>0</v>
      </c>
      <c r="U9" s="24">
        <f t="shared" si="2"/>
        <v>0</v>
      </c>
      <c r="V9" s="24">
        <f t="shared" si="2"/>
        <v>0</v>
      </c>
      <c r="AF9" s="39"/>
      <c r="AG9" s="39"/>
      <c r="AH9" s="39"/>
      <c r="AI9" s="82"/>
      <c r="AJ9" s="82"/>
      <c r="AK9" s="82"/>
    </row>
    <row r="10" spans="1:42" x14ac:dyDescent="0.25">
      <c r="A10" s="81" t="s">
        <v>5</v>
      </c>
      <c r="B10" s="81" t="s">
        <v>6</v>
      </c>
      <c r="C10" s="80" t="s">
        <v>7</v>
      </c>
      <c r="D10" s="5" t="s">
        <v>8</v>
      </c>
      <c r="E10" s="5" t="s">
        <v>9</v>
      </c>
      <c r="F10" s="5" t="s">
        <v>10</v>
      </c>
      <c r="G10" s="6" t="s">
        <v>1</v>
      </c>
      <c r="H10" s="19" t="s">
        <v>0</v>
      </c>
      <c r="I10" s="7" t="s">
        <v>11</v>
      </c>
      <c r="J10" s="11" t="s">
        <v>16</v>
      </c>
      <c r="K10" s="11" t="s">
        <v>31</v>
      </c>
      <c r="L10" s="11" t="s">
        <v>26</v>
      </c>
      <c r="M10" s="11" t="s">
        <v>17</v>
      </c>
      <c r="N10" s="72"/>
      <c r="O10" s="74" t="s">
        <v>31</v>
      </c>
      <c r="P10" s="75"/>
      <c r="Q10" s="76"/>
      <c r="R10" s="77" t="s">
        <v>26</v>
      </c>
      <c r="S10" s="78"/>
      <c r="T10" s="78"/>
      <c r="U10" s="78"/>
      <c r="V10" s="79"/>
      <c r="W10" s="99" t="s">
        <v>17</v>
      </c>
      <c r="X10" s="100"/>
      <c r="Y10" s="100"/>
      <c r="Z10" s="100"/>
      <c r="AA10" s="100"/>
      <c r="AB10" s="100"/>
      <c r="AC10" s="100"/>
      <c r="AD10" s="100"/>
      <c r="AE10" s="101"/>
      <c r="AF10" s="11" t="s">
        <v>31</v>
      </c>
      <c r="AG10" s="11" t="s">
        <v>26</v>
      </c>
      <c r="AH10" s="11" t="s">
        <v>17</v>
      </c>
      <c r="AI10" s="82"/>
      <c r="AJ10" s="11" t="s">
        <v>45</v>
      </c>
      <c r="AK10" s="82"/>
      <c r="AO10" s="90" t="s">
        <v>49</v>
      </c>
      <c r="AP10" s="90"/>
    </row>
    <row r="11" spans="1:42" x14ac:dyDescent="0.25">
      <c r="A11" s="96" t="s">
        <v>14</v>
      </c>
      <c r="B11" s="97"/>
      <c r="C11" s="98"/>
      <c r="D11" s="12">
        <f>+SUM($D$12:$D$3012)</f>
        <v>0</v>
      </c>
      <c r="E11" s="12"/>
      <c r="F11" s="12">
        <f>SUM($F$12:$F$3012)</f>
        <v>0</v>
      </c>
      <c r="G11" s="13"/>
      <c r="H11" s="20"/>
      <c r="I11" s="14"/>
      <c r="J11" s="15"/>
      <c r="K11" s="15"/>
      <c r="L11" s="15"/>
      <c r="M11" s="73"/>
      <c r="N11" s="72"/>
      <c r="O11" s="56" t="s">
        <v>18</v>
      </c>
      <c r="P11" s="56" t="s">
        <v>19</v>
      </c>
      <c r="Q11" s="56" t="s">
        <v>20</v>
      </c>
      <c r="R11" s="69" t="s">
        <v>21</v>
      </c>
      <c r="S11" s="69" t="s">
        <v>22</v>
      </c>
      <c r="T11" s="69" t="s">
        <v>23</v>
      </c>
      <c r="U11" s="69" t="s">
        <v>24</v>
      </c>
      <c r="V11" s="69" t="s">
        <v>25</v>
      </c>
      <c r="W11" s="68" t="s">
        <v>35</v>
      </c>
      <c r="X11" s="68" t="s">
        <v>40</v>
      </c>
      <c r="Y11" s="68" t="s">
        <v>39</v>
      </c>
      <c r="Z11" s="68" t="s">
        <v>36</v>
      </c>
      <c r="AA11" s="68" t="s">
        <v>37</v>
      </c>
      <c r="AB11" s="68" t="s">
        <v>41</v>
      </c>
      <c r="AC11" s="68" t="s">
        <v>42</v>
      </c>
      <c r="AD11" s="68" t="s">
        <v>38</v>
      </c>
      <c r="AE11" s="68" t="s">
        <v>46</v>
      </c>
      <c r="AF11" s="73"/>
      <c r="AG11" s="73"/>
      <c r="AH11" s="73"/>
      <c r="AI11" s="82"/>
      <c r="AJ11" s="39"/>
      <c r="AK11" s="82"/>
      <c r="AO11" s="89" t="s">
        <v>50</v>
      </c>
      <c r="AP11" s="89" t="s">
        <v>51</v>
      </c>
    </row>
    <row r="12" spans="1:42" x14ac:dyDescent="0.25">
      <c r="A12" s="10"/>
      <c r="B12" s="10"/>
      <c r="C12" s="10"/>
      <c r="D12" s="10"/>
      <c r="E12" s="10"/>
      <c r="F12" s="10"/>
      <c r="G12" s="10"/>
      <c r="H12" s="17"/>
      <c r="I12" s="10"/>
      <c r="J12" s="10"/>
      <c r="K12" s="16" t="str">
        <f>IF($AF12&lt;&gt;"",$AF12,IF(AND($A12&lt;&gt;"",$E12&gt;0),SUM($O12:$Q12),""))</f>
        <v/>
      </c>
      <c r="L12" s="23" t="str">
        <f>IF($AG12&lt;&gt;"",$AG12,IF(AND($A12&lt;&gt;"",$E12&gt;0),SUM($R12:$V12),""))</f>
        <v/>
      </c>
      <c r="M12" s="22" t="str">
        <f>IF($AH12&lt;&gt;"",$AH12,IF(AND($A12&lt;&gt;"",$E12&gt;0),SUM($W12:$AE12)+$AO12+$AP12,""))</f>
        <v/>
      </c>
      <c r="N12" s="72"/>
      <c r="O12" s="16" t="str">
        <f>IF(AND($A12&lt;&gt;"",$E12&gt;0),IF(AND($J12="SONY",200000&lt;=$E12,$E12&lt;1000000),5000*$D12,0),"")</f>
        <v/>
      </c>
      <c r="P12" s="16" t="str">
        <f>IF(AND($A12&lt;&gt;"",$E12&gt;0),IF(AND($J12="SONY",1000000&lt;=$E12,$E12&lt;2000000),10000*$D12,0),"")</f>
        <v/>
      </c>
      <c r="Q12" s="16" t="str">
        <f>IF(AND($A12&lt;&gt;"",$E12&gt;0),IF(AND($J12="SONY",$E12&gt;=2000000),20000*$D12,0),"")</f>
        <v/>
      </c>
      <c r="R12" s="23" t="str">
        <f>IF(AND($A12&lt;&gt;"",$E12&gt;0),IF(AND($J12&lt;&gt;"SONY",100000&lt;=$E12,$E12&lt;200000),5000*$D12,0),"")</f>
        <v/>
      </c>
      <c r="S12" s="23" t="str">
        <f>IF(AND($A12&lt;&gt;"",$E12&gt;0),IF(AND($J12&lt;&gt;"SONY",200000&lt;=$E12,$E12&lt;500000),10000*$D12,0),"")</f>
        <v/>
      </c>
      <c r="T12" s="23" t="str">
        <f>IF(AND($A12&lt;&gt;"",$E12&gt;0),IF(AND($J12&lt;&gt;"SONY",500000&lt;=$E12,$E12&lt;1000000),20000*$D12,0),"")</f>
        <v/>
      </c>
      <c r="U12" s="23" t="str">
        <f>IF(AND($A12&lt;&gt;"",$E12&gt;0),IF(AND($J12&lt;&gt;"SONY",1000000&lt;=$E12,$E12&lt;1500000),50000*$D12,0),"")</f>
        <v/>
      </c>
      <c r="V12" s="23" t="str">
        <f>IF(AND($A12&lt;&gt;"",$E12&gt;0),IF(AND($J12&lt;&gt;"SONY",1500000&lt;=$E12),100000*$D12,0),"")</f>
        <v/>
      </c>
      <c r="W12" s="70" t="str">
        <f>IF(AND($E12&gt;0,$J12="ELECOM",$E12&gt;=500000,ISNUMBER(SEARCH("tai nghe",$C12))),20000*$D12,IF($A12&lt;&gt;"",0,""))</f>
        <v/>
      </c>
      <c r="X12" s="70" t="str">
        <f>IF(AND($E12&gt;0,$J12="ELECOM",ISNUMBER(SEARCH("loa",$C12))),20000*$D12,IF($A12&lt;&gt;"",0,""))</f>
        <v/>
      </c>
      <c r="Y12" s="70" t="str">
        <f>IF(AND($A12&lt;&gt;"",$E12&gt;0),isLaptopBag($C12,$J12)*$D12,"")</f>
        <v/>
      </c>
      <c r="Z12" s="70" t="str">
        <f>IF(AND($E12&gt;0,$J12="ELECOM",ISNUMBER(SEARCH("ốp",$C12))),20000*$D12,IF($A12&lt;&gt;"",0,""))</f>
        <v/>
      </c>
      <c r="AA12" s="70" t="str">
        <f>IF(AND($E12&gt;0,$J12="ELECOM",ISNUMBER(SEARCH("Bút",$C12))),20000*$D12,IF($A12&lt;&gt;"",0,""))</f>
        <v/>
      </c>
      <c r="AB12" s="70" t="str">
        <f>IF(AND($E12&gt;0,$J12="ELECOM",ISNUMBER(SEARCH("Chuột bi",$C12))),20000*$D12,IF($A12&lt;&gt;"",0,""))</f>
        <v/>
      </c>
      <c r="AC12" s="70" t="str">
        <f>IF(AND($E12&gt;0,$J12="ELECOM",ISNUMBER(SEARCH("Chuột trackball",$C12))),20000*$D12,IF($A12&lt;&gt;"",0,""))</f>
        <v/>
      </c>
      <c r="AD12" s="70" t="str">
        <f>IF(AND($E12&gt;0,$J12="ELECOM",ISNUMBER(SEARCH("Sạc không dây",$C12))),20000*$D12,IF($A12&lt;&gt;"",0,""))</f>
        <v/>
      </c>
      <c r="AE12" s="70" t="str">
        <f>IF(AND($E12&gt;0,$J12="ELECOM",ISNUMBER(SEARCH("Sạc kd",$C12))),20000*$D12,IF($A12&lt;&gt;"",0,""))</f>
        <v/>
      </c>
      <c r="AF12" s="16"/>
      <c r="AG12" s="23"/>
      <c r="AH12" s="22"/>
      <c r="AI12" s="82"/>
      <c r="AJ12" s="84">
        <f>DAY(H12)</f>
        <v>0</v>
      </c>
      <c r="AK12" s="39">
        <v>1</v>
      </c>
      <c r="AL12" s="39">
        <f t="shared" ref="AL12:AL42" si="3">IF(COUNTIF($AJ$12:$AJ$3012,AK12)=0,AK12,"")</f>
        <v>1</v>
      </c>
      <c r="AM12" s="85" t="str">
        <f>AL12&amp;","&amp;AL13&amp;","&amp;AL14&amp;","&amp;AL15&amp;","&amp;AL16&amp;","&amp;AL17&amp;","&amp;AL18&amp;","&amp;AL19&amp;","&amp;AL20&amp;","&amp;AL21</f>
        <v>1,2,3,4,5,6,7,8,9,10</v>
      </c>
      <c r="AN12" s="39" t="str">
        <f>AM12&amp;","&amp;AM22&amp;","&amp;AM32&amp;","&amp;AM43</f>
        <v>1,2,3,4,5,6,7,8,9,10,11,12,13,14,15,16,17,18,19,20,21,22,23,24,25,26,27,28,29,30,</v>
      </c>
      <c r="AO12" s="22" t="str">
        <f>IF(AND($E12&gt;0,ISNUMBER(SEARCH("Sạc dự phòng Energizer",$C12))),10000*$D12,IF($A12&lt;&gt;"",0,""))</f>
        <v/>
      </c>
      <c r="AP12" s="22" t="str">
        <f>IF(AND($E12&gt;0,ISNUMBER(SEARCH("SDP Energizer",$C12))),10000*$D12,IF($A12&lt;&gt;"",0,""))</f>
        <v/>
      </c>
    </row>
    <row r="13" spans="1:42" x14ac:dyDescent="0.25">
      <c r="A13" s="10"/>
      <c r="B13" s="10"/>
      <c r="C13" s="10"/>
      <c r="D13" s="10"/>
      <c r="E13" s="10"/>
      <c r="F13" s="10"/>
      <c r="G13" s="10"/>
      <c r="H13" s="17"/>
      <c r="I13" s="10"/>
      <c r="J13" s="10"/>
      <c r="K13" s="16" t="str">
        <f t="shared" ref="K13:K76" si="4">IF($AF13&lt;&gt;"",$AF13,IF(AND($A13&lt;&gt;"",$E13&gt;0),SUM($O13:$Q13),""))</f>
        <v/>
      </c>
      <c r="L13" s="23" t="str">
        <f t="shared" ref="L13:L76" si="5">IF($AG13&lt;&gt;"",$AG13,IF(AND($A13&lt;&gt;"",$E13&gt;0),SUM($R13:$V13),""))</f>
        <v/>
      </c>
      <c r="M13" s="22" t="str">
        <f t="shared" ref="M13:M76" si="6">IF($AH13&lt;&gt;"",$AH13,IF(AND($A13&lt;&gt;"",$E13&gt;0),SUM($W13:$AE13)+$AO13+$AP13,""))</f>
        <v/>
      </c>
      <c r="N13" s="72"/>
      <c r="O13" s="16" t="str">
        <f t="shared" ref="O13:O76" si="7">IF(AND($A13&lt;&gt;"",$E13&gt;0),IF(AND($J13="SONY",200000&lt;=$E13,$E13&lt;1000000),5000*$D13,0),"")</f>
        <v/>
      </c>
      <c r="P13" s="16" t="str">
        <f t="shared" ref="P13:P76" si="8">IF(AND($A13&lt;&gt;"",$E13&gt;0),IF(AND($J13="SONY",1000000&lt;=$E13,$E13&lt;2000000),10000*$D13,0),"")</f>
        <v/>
      </c>
      <c r="Q13" s="16" t="str">
        <f t="shared" ref="Q13:Q76" si="9">IF(AND($A13&lt;&gt;"",$E13&gt;0),IF(AND($J13="SONY",$E13&gt;=2000000),20000*$D13,0),"")</f>
        <v/>
      </c>
      <c r="R13" s="23" t="str">
        <f t="shared" ref="R13:R76" si="10">IF(AND($A13&lt;&gt;"",$E13&gt;0),IF(AND($J13&lt;&gt;"SONY",100000&lt;=$E13,$E13&lt;200000),5000*$D13,0),"")</f>
        <v/>
      </c>
      <c r="S13" s="23" t="str">
        <f t="shared" ref="S13:S76" si="11">IF(AND($A13&lt;&gt;"",$E13&gt;0),IF(AND($J13&lt;&gt;"SONY",200000&lt;=$E13,$E13&lt;500000),10000*$D13,0),"")</f>
        <v/>
      </c>
      <c r="T13" s="23" t="str">
        <f t="shared" ref="T13:T76" si="12">IF(AND($A13&lt;&gt;"",$E13&gt;0),IF(AND($J13&lt;&gt;"SONY",500000&lt;=$E13,$E13&lt;1000000),20000*$D13,0),"")</f>
        <v/>
      </c>
      <c r="U13" s="23" t="str">
        <f t="shared" ref="U13:U76" si="13">IF(AND($A13&lt;&gt;"",$E13&gt;0),IF(AND($J13&lt;&gt;"SONY",1000000&lt;=$E13,$E13&lt;1500000),50000*$D13,0),"")</f>
        <v/>
      </c>
      <c r="V13" s="23" t="str">
        <f t="shared" ref="V13:V76" si="14">IF(AND($A13&lt;&gt;"",$E13&gt;0),IF(AND($J13&lt;&gt;"SONY",1500000&lt;=$E13),100000*$D13,0),"")</f>
        <v/>
      </c>
      <c r="W13" s="70" t="str">
        <f t="shared" ref="W13:W76" si="15">IF(AND($E13&gt;0,$J13="ELECOM",$E13&gt;=500000,ISNUMBER(SEARCH("tai nghe",$C13))),20000*$D13,IF($A13&lt;&gt;"",0,""))</f>
        <v/>
      </c>
      <c r="X13" s="70" t="str">
        <f t="shared" ref="X13:X76" si="16">IF(AND($E13&gt;0,$J13="ELECOM",ISNUMBER(SEARCH("loa",$C13))),20000*$D13,IF($A13&lt;&gt;"",0,""))</f>
        <v/>
      </c>
      <c r="Y13" s="70" t="str">
        <f>IF(AND($A13&lt;&gt;"",$E13&gt;0),isLaptopBag($C13,$J13)*$D13,"")</f>
        <v/>
      </c>
      <c r="Z13" s="70" t="str">
        <f t="shared" ref="Z13:Z76" si="17">IF(AND($E13&gt;0,$J13="ELECOM",ISNUMBER(SEARCH("ốp",$C13))),20000*$D13,IF($A13&lt;&gt;"",0,""))</f>
        <v/>
      </c>
      <c r="AA13" s="70" t="str">
        <f t="shared" ref="AA13:AA76" si="18">IF(AND($E13&gt;0,$J13="ELECOM",ISNUMBER(SEARCH("Bút",$C13))),20000*$D13,IF($A13&lt;&gt;"",0,""))</f>
        <v/>
      </c>
      <c r="AB13" s="70" t="str">
        <f t="shared" ref="AB13:AB76" si="19">IF(AND($E13&gt;0,$J13="ELECOM",ISNUMBER(SEARCH("Chuột bi",$C13))),20000*$D13,IF($A13&lt;&gt;"",0,""))</f>
        <v/>
      </c>
      <c r="AC13" s="70" t="str">
        <f t="shared" ref="AC13:AC76" si="20">IF(AND($E13&gt;0,$J13="ELECOM",ISNUMBER(SEARCH("Chuột trackball",$C13))),20000*$D13,IF($A13&lt;&gt;"",0,""))</f>
        <v/>
      </c>
      <c r="AD13" s="70" t="str">
        <f t="shared" ref="AD13:AD76" si="21">IF(AND($E13&gt;0,$J13="ELECOM",ISNUMBER(SEARCH("Sạc không dây",$C13))),20000*$D13,IF($A13&lt;&gt;"",0,""))</f>
        <v/>
      </c>
      <c r="AE13" s="70" t="str">
        <f t="shared" ref="AE13:AE76" si="22">IF(AND($E13&gt;0,$J13="ELECOM",ISNUMBER(SEARCH("Sạc kd",$C13))),20000*$D13,IF($A13&lt;&gt;"",0,""))</f>
        <v/>
      </c>
      <c r="AF13" s="16"/>
      <c r="AG13" s="23"/>
      <c r="AH13" s="22"/>
      <c r="AI13" s="82"/>
      <c r="AJ13" s="84">
        <f t="shared" ref="AJ13:AJ76" si="23">DAY(H13)</f>
        <v>0</v>
      </c>
      <c r="AK13" s="39">
        <v>2</v>
      </c>
      <c r="AL13" s="39">
        <f t="shared" si="3"/>
        <v>2</v>
      </c>
      <c r="AO13" s="22" t="str">
        <f t="shared" ref="AO13:AO76" si="24">IF(AND($E13&gt;0,ISNUMBER(SEARCH("Sạc dự phòng Energizer",$C13))),10000*$D13,IF($A13&lt;&gt;"",0,""))</f>
        <v/>
      </c>
      <c r="AP13" s="22" t="str">
        <f t="shared" ref="AP13:AP76" si="25">IF(AND($E13&gt;0,ISNUMBER(SEARCH("SDP Energizer",$C13))),10000*$D13,IF($A13&lt;&gt;"",0,""))</f>
        <v/>
      </c>
    </row>
    <row r="14" spans="1:42" x14ac:dyDescent="0.25">
      <c r="A14" s="10"/>
      <c r="B14" s="10"/>
      <c r="C14" s="10"/>
      <c r="D14" s="10"/>
      <c r="E14" s="10"/>
      <c r="F14" s="10"/>
      <c r="G14" s="10"/>
      <c r="H14" s="17"/>
      <c r="I14" s="10"/>
      <c r="J14" s="10"/>
      <c r="K14" s="16" t="str">
        <f t="shared" si="4"/>
        <v/>
      </c>
      <c r="L14" s="23" t="str">
        <f t="shared" si="5"/>
        <v/>
      </c>
      <c r="M14" s="22" t="str">
        <f t="shared" si="6"/>
        <v/>
      </c>
      <c r="N14" s="72"/>
      <c r="O14" s="16" t="str">
        <f t="shared" si="7"/>
        <v/>
      </c>
      <c r="P14" s="16" t="str">
        <f t="shared" si="8"/>
        <v/>
      </c>
      <c r="Q14" s="16" t="str">
        <f t="shared" si="9"/>
        <v/>
      </c>
      <c r="R14" s="23" t="str">
        <f t="shared" si="10"/>
        <v/>
      </c>
      <c r="S14" s="23" t="str">
        <f t="shared" si="11"/>
        <v/>
      </c>
      <c r="T14" s="23" t="str">
        <f t="shared" si="12"/>
        <v/>
      </c>
      <c r="U14" s="23" t="str">
        <f t="shared" si="13"/>
        <v/>
      </c>
      <c r="V14" s="23" t="str">
        <f t="shared" si="14"/>
        <v/>
      </c>
      <c r="W14" s="70" t="str">
        <f t="shared" si="15"/>
        <v/>
      </c>
      <c r="X14" s="70" t="str">
        <f t="shared" si="16"/>
        <v/>
      </c>
      <c r="Y14" s="70" t="str">
        <f>IF(AND($A14&lt;&gt;"",$E14&gt;0),isLaptopBag($C14,$J14)*$D14,"")</f>
        <v/>
      </c>
      <c r="Z14" s="70" t="str">
        <f t="shared" si="17"/>
        <v/>
      </c>
      <c r="AA14" s="70" t="str">
        <f t="shared" si="18"/>
        <v/>
      </c>
      <c r="AB14" s="70" t="str">
        <f t="shared" si="19"/>
        <v/>
      </c>
      <c r="AC14" s="70" t="str">
        <f t="shared" si="20"/>
        <v/>
      </c>
      <c r="AD14" s="70" t="str">
        <f t="shared" si="21"/>
        <v/>
      </c>
      <c r="AE14" s="70" t="str">
        <f t="shared" si="22"/>
        <v/>
      </c>
      <c r="AF14" s="16"/>
      <c r="AG14" s="23"/>
      <c r="AH14" s="22"/>
      <c r="AI14" s="82"/>
      <c r="AJ14" s="84">
        <f t="shared" si="23"/>
        <v>0</v>
      </c>
      <c r="AK14" s="39">
        <v>3</v>
      </c>
      <c r="AL14" s="39">
        <f t="shared" si="3"/>
        <v>3</v>
      </c>
      <c r="AO14" s="22" t="str">
        <f t="shared" si="24"/>
        <v/>
      </c>
      <c r="AP14" s="22" t="str">
        <f t="shared" si="25"/>
        <v/>
      </c>
    </row>
    <row r="15" spans="1:42" x14ac:dyDescent="0.25">
      <c r="A15" s="10"/>
      <c r="B15" s="10"/>
      <c r="C15" s="10"/>
      <c r="D15" s="10"/>
      <c r="E15" s="10"/>
      <c r="F15" s="10"/>
      <c r="G15" s="10"/>
      <c r="H15" s="17"/>
      <c r="I15" s="10"/>
      <c r="J15" s="10"/>
      <c r="K15" s="16" t="str">
        <f t="shared" si="4"/>
        <v/>
      </c>
      <c r="L15" s="23" t="str">
        <f t="shared" si="5"/>
        <v/>
      </c>
      <c r="M15" s="22" t="str">
        <f t="shared" si="6"/>
        <v/>
      </c>
      <c r="N15" s="72"/>
      <c r="O15" s="16" t="str">
        <f t="shared" si="7"/>
        <v/>
      </c>
      <c r="P15" s="16" t="str">
        <f t="shared" si="8"/>
        <v/>
      </c>
      <c r="Q15" s="16" t="str">
        <f t="shared" si="9"/>
        <v/>
      </c>
      <c r="R15" s="23" t="str">
        <f t="shared" si="10"/>
        <v/>
      </c>
      <c r="S15" s="23" t="str">
        <f t="shared" si="11"/>
        <v/>
      </c>
      <c r="T15" s="23" t="str">
        <f t="shared" si="12"/>
        <v/>
      </c>
      <c r="U15" s="23" t="str">
        <f t="shared" si="13"/>
        <v/>
      </c>
      <c r="V15" s="23" t="str">
        <f t="shared" si="14"/>
        <v/>
      </c>
      <c r="W15" s="70" t="str">
        <f t="shared" si="15"/>
        <v/>
      </c>
      <c r="X15" s="70" t="str">
        <f t="shared" si="16"/>
        <v/>
      </c>
      <c r="Y15" s="70" t="str">
        <f>IF(AND($A15&lt;&gt;"",$E15&gt;0),isLaptopBag($C15,$J15)*$D15,"")</f>
        <v/>
      </c>
      <c r="Z15" s="70" t="str">
        <f t="shared" si="17"/>
        <v/>
      </c>
      <c r="AA15" s="70" t="str">
        <f t="shared" si="18"/>
        <v/>
      </c>
      <c r="AB15" s="70" t="str">
        <f t="shared" si="19"/>
        <v/>
      </c>
      <c r="AC15" s="70" t="str">
        <f t="shared" si="20"/>
        <v/>
      </c>
      <c r="AD15" s="70" t="str">
        <f t="shared" si="21"/>
        <v/>
      </c>
      <c r="AE15" s="70" t="str">
        <f t="shared" si="22"/>
        <v/>
      </c>
      <c r="AF15" s="16"/>
      <c r="AG15" s="23"/>
      <c r="AH15" s="22"/>
      <c r="AJ15" s="84">
        <f t="shared" si="23"/>
        <v>0</v>
      </c>
      <c r="AK15" s="10">
        <v>4</v>
      </c>
      <c r="AL15" s="39">
        <f t="shared" si="3"/>
        <v>4</v>
      </c>
      <c r="AO15" s="22" t="str">
        <f t="shared" si="24"/>
        <v/>
      </c>
      <c r="AP15" s="22" t="str">
        <f t="shared" si="25"/>
        <v/>
      </c>
    </row>
    <row r="16" spans="1:42" x14ac:dyDescent="0.25">
      <c r="A16" s="10"/>
      <c r="B16" s="10"/>
      <c r="C16" s="10"/>
      <c r="D16" s="10"/>
      <c r="E16" s="10"/>
      <c r="F16" s="10"/>
      <c r="G16" s="10"/>
      <c r="H16" s="17"/>
      <c r="I16" s="10"/>
      <c r="J16" s="10"/>
      <c r="K16" s="16" t="str">
        <f t="shared" si="4"/>
        <v/>
      </c>
      <c r="L16" s="23" t="str">
        <f t="shared" si="5"/>
        <v/>
      </c>
      <c r="M16" s="22" t="str">
        <f t="shared" si="6"/>
        <v/>
      </c>
      <c r="N16" s="72"/>
      <c r="O16" s="16" t="str">
        <f t="shared" si="7"/>
        <v/>
      </c>
      <c r="P16" s="16" t="str">
        <f t="shared" si="8"/>
        <v/>
      </c>
      <c r="Q16" s="16" t="str">
        <f t="shared" si="9"/>
        <v/>
      </c>
      <c r="R16" s="23" t="str">
        <f t="shared" si="10"/>
        <v/>
      </c>
      <c r="S16" s="23" t="str">
        <f t="shared" si="11"/>
        <v/>
      </c>
      <c r="T16" s="23" t="str">
        <f t="shared" si="12"/>
        <v/>
      </c>
      <c r="U16" s="23" t="str">
        <f t="shared" si="13"/>
        <v/>
      </c>
      <c r="V16" s="23" t="str">
        <f t="shared" si="14"/>
        <v/>
      </c>
      <c r="W16" s="70" t="str">
        <f t="shared" si="15"/>
        <v/>
      </c>
      <c r="X16" s="70" t="str">
        <f t="shared" si="16"/>
        <v/>
      </c>
      <c r="Y16" s="70" t="str">
        <f>IF(AND($A16&lt;&gt;"",$E16&gt;0),isLaptopBag($C16,$J16)*$D16,"")</f>
        <v/>
      </c>
      <c r="Z16" s="70" t="str">
        <f t="shared" si="17"/>
        <v/>
      </c>
      <c r="AA16" s="70" t="str">
        <f t="shared" si="18"/>
        <v/>
      </c>
      <c r="AB16" s="70" t="str">
        <f t="shared" si="19"/>
        <v/>
      </c>
      <c r="AC16" s="70" t="str">
        <f t="shared" si="20"/>
        <v/>
      </c>
      <c r="AD16" s="70" t="str">
        <f t="shared" si="21"/>
        <v/>
      </c>
      <c r="AE16" s="70" t="str">
        <f t="shared" si="22"/>
        <v/>
      </c>
      <c r="AF16" s="16"/>
      <c r="AG16" s="23"/>
      <c r="AH16" s="22"/>
      <c r="AJ16" s="84">
        <f t="shared" si="23"/>
        <v>0</v>
      </c>
      <c r="AK16" s="10">
        <v>5</v>
      </c>
      <c r="AL16" s="39">
        <f t="shared" si="3"/>
        <v>5</v>
      </c>
      <c r="AO16" s="22" t="str">
        <f t="shared" si="24"/>
        <v/>
      </c>
      <c r="AP16" s="22" t="str">
        <f t="shared" si="25"/>
        <v/>
      </c>
    </row>
    <row r="17" spans="1:42" x14ac:dyDescent="0.25">
      <c r="A17" s="10"/>
      <c r="B17" s="10"/>
      <c r="C17" s="10"/>
      <c r="D17" s="10"/>
      <c r="E17" s="10"/>
      <c r="F17" s="10"/>
      <c r="G17" s="10"/>
      <c r="H17" s="17"/>
      <c r="I17" s="10"/>
      <c r="J17" s="10"/>
      <c r="K17" s="16" t="str">
        <f t="shared" si="4"/>
        <v/>
      </c>
      <c r="L17" s="23" t="str">
        <f t="shared" si="5"/>
        <v/>
      </c>
      <c r="M17" s="22" t="str">
        <f t="shared" si="6"/>
        <v/>
      </c>
      <c r="N17" s="72"/>
      <c r="O17" s="16" t="str">
        <f t="shared" si="7"/>
        <v/>
      </c>
      <c r="P17" s="16" t="str">
        <f t="shared" si="8"/>
        <v/>
      </c>
      <c r="Q17" s="16" t="str">
        <f t="shared" si="9"/>
        <v/>
      </c>
      <c r="R17" s="23" t="str">
        <f t="shared" si="10"/>
        <v/>
      </c>
      <c r="S17" s="23" t="str">
        <f t="shared" si="11"/>
        <v/>
      </c>
      <c r="T17" s="23" t="str">
        <f t="shared" si="12"/>
        <v/>
      </c>
      <c r="U17" s="23" t="str">
        <f t="shared" si="13"/>
        <v/>
      </c>
      <c r="V17" s="23" t="str">
        <f t="shared" si="14"/>
        <v/>
      </c>
      <c r="W17" s="70" t="str">
        <f t="shared" si="15"/>
        <v/>
      </c>
      <c r="X17" s="70" t="str">
        <f t="shared" si="16"/>
        <v/>
      </c>
      <c r="Y17" s="70" t="str">
        <f>IF(AND($A17&lt;&gt;"",$E17&gt;0),isLaptopBag($C17,$J17)*$D17,"")</f>
        <v/>
      </c>
      <c r="Z17" s="70" t="str">
        <f t="shared" si="17"/>
        <v/>
      </c>
      <c r="AA17" s="70" t="str">
        <f t="shared" si="18"/>
        <v/>
      </c>
      <c r="AB17" s="70" t="str">
        <f t="shared" si="19"/>
        <v/>
      </c>
      <c r="AC17" s="70" t="str">
        <f t="shared" si="20"/>
        <v/>
      </c>
      <c r="AD17" s="70" t="str">
        <f t="shared" si="21"/>
        <v/>
      </c>
      <c r="AE17" s="70" t="str">
        <f t="shared" si="22"/>
        <v/>
      </c>
      <c r="AF17" s="16"/>
      <c r="AG17" s="23"/>
      <c r="AH17" s="22"/>
      <c r="AJ17" s="84">
        <f t="shared" si="23"/>
        <v>0</v>
      </c>
      <c r="AK17" s="10">
        <v>6</v>
      </c>
      <c r="AL17" s="39">
        <f t="shared" si="3"/>
        <v>6</v>
      </c>
      <c r="AO17" s="22" t="str">
        <f t="shared" si="24"/>
        <v/>
      </c>
      <c r="AP17" s="22" t="str">
        <f t="shared" si="25"/>
        <v/>
      </c>
    </row>
    <row r="18" spans="1:42" x14ac:dyDescent="0.25">
      <c r="A18" s="10"/>
      <c r="B18" s="10"/>
      <c r="C18" s="10"/>
      <c r="D18" s="10"/>
      <c r="E18" s="10"/>
      <c r="F18" s="10"/>
      <c r="G18" s="10"/>
      <c r="H18" s="17"/>
      <c r="I18" s="10"/>
      <c r="J18" s="10"/>
      <c r="K18" s="16" t="str">
        <f t="shared" si="4"/>
        <v/>
      </c>
      <c r="L18" s="23" t="str">
        <f t="shared" si="5"/>
        <v/>
      </c>
      <c r="M18" s="22" t="str">
        <f t="shared" si="6"/>
        <v/>
      </c>
      <c r="N18" s="72"/>
      <c r="O18" s="16" t="str">
        <f t="shared" si="7"/>
        <v/>
      </c>
      <c r="P18" s="16" t="str">
        <f t="shared" si="8"/>
        <v/>
      </c>
      <c r="Q18" s="16" t="str">
        <f t="shared" si="9"/>
        <v/>
      </c>
      <c r="R18" s="23" t="str">
        <f t="shared" si="10"/>
        <v/>
      </c>
      <c r="S18" s="23" t="str">
        <f t="shared" si="11"/>
        <v/>
      </c>
      <c r="T18" s="23" t="str">
        <f t="shared" si="12"/>
        <v/>
      </c>
      <c r="U18" s="23" t="str">
        <f t="shared" si="13"/>
        <v/>
      </c>
      <c r="V18" s="23" t="str">
        <f t="shared" si="14"/>
        <v/>
      </c>
      <c r="W18" s="70" t="str">
        <f t="shared" si="15"/>
        <v/>
      </c>
      <c r="X18" s="70" t="str">
        <f t="shared" si="16"/>
        <v/>
      </c>
      <c r="Y18" s="70" t="str">
        <f>IF(AND($A18&lt;&gt;"",$E18&gt;0),isLaptopBag($C18,$J18)*$D18,"")</f>
        <v/>
      </c>
      <c r="Z18" s="70" t="str">
        <f t="shared" si="17"/>
        <v/>
      </c>
      <c r="AA18" s="70" t="str">
        <f t="shared" si="18"/>
        <v/>
      </c>
      <c r="AB18" s="70" t="str">
        <f t="shared" si="19"/>
        <v/>
      </c>
      <c r="AC18" s="70" t="str">
        <f t="shared" si="20"/>
        <v/>
      </c>
      <c r="AD18" s="70" t="str">
        <f t="shared" si="21"/>
        <v/>
      </c>
      <c r="AE18" s="70" t="str">
        <f t="shared" si="22"/>
        <v/>
      </c>
      <c r="AF18" s="16"/>
      <c r="AG18" s="23"/>
      <c r="AH18" s="22"/>
      <c r="AJ18" s="84">
        <f t="shared" si="23"/>
        <v>0</v>
      </c>
      <c r="AK18" s="10">
        <v>7</v>
      </c>
      <c r="AL18" s="39">
        <f t="shared" si="3"/>
        <v>7</v>
      </c>
      <c r="AO18" s="22" t="str">
        <f t="shared" si="24"/>
        <v/>
      </c>
      <c r="AP18" s="22" t="str">
        <f t="shared" si="25"/>
        <v/>
      </c>
    </row>
    <row r="19" spans="1:42" x14ac:dyDescent="0.25">
      <c r="A19" s="10"/>
      <c r="B19" s="10"/>
      <c r="C19" s="10"/>
      <c r="D19" s="10"/>
      <c r="E19" s="10"/>
      <c r="F19" s="10"/>
      <c r="G19" s="10"/>
      <c r="H19" s="17"/>
      <c r="I19" s="10"/>
      <c r="J19" s="10"/>
      <c r="K19" s="16" t="str">
        <f t="shared" si="4"/>
        <v/>
      </c>
      <c r="L19" s="23" t="str">
        <f t="shared" si="5"/>
        <v/>
      </c>
      <c r="M19" s="22" t="str">
        <f t="shared" si="6"/>
        <v/>
      </c>
      <c r="N19" s="72"/>
      <c r="O19" s="16" t="str">
        <f t="shared" si="7"/>
        <v/>
      </c>
      <c r="P19" s="16" t="str">
        <f t="shared" si="8"/>
        <v/>
      </c>
      <c r="Q19" s="16" t="str">
        <f t="shared" si="9"/>
        <v/>
      </c>
      <c r="R19" s="23" t="str">
        <f t="shared" si="10"/>
        <v/>
      </c>
      <c r="S19" s="23" t="str">
        <f t="shared" si="11"/>
        <v/>
      </c>
      <c r="T19" s="23" t="str">
        <f t="shared" si="12"/>
        <v/>
      </c>
      <c r="U19" s="23" t="str">
        <f t="shared" si="13"/>
        <v/>
      </c>
      <c r="V19" s="23" t="str">
        <f t="shared" si="14"/>
        <v/>
      </c>
      <c r="W19" s="70" t="str">
        <f t="shared" si="15"/>
        <v/>
      </c>
      <c r="X19" s="70" t="str">
        <f t="shared" si="16"/>
        <v/>
      </c>
      <c r="Y19" s="70" t="str">
        <f>IF(AND($A19&lt;&gt;"",$E19&gt;0),isLaptopBag($C19,$J19)*$D19,"")</f>
        <v/>
      </c>
      <c r="Z19" s="70" t="str">
        <f t="shared" si="17"/>
        <v/>
      </c>
      <c r="AA19" s="70" t="str">
        <f t="shared" si="18"/>
        <v/>
      </c>
      <c r="AB19" s="70" t="str">
        <f t="shared" si="19"/>
        <v/>
      </c>
      <c r="AC19" s="70" t="str">
        <f t="shared" si="20"/>
        <v/>
      </c>
      <c r="AD19" s="70" t="str">
        <f t="shared" si="21"/>
        <v/>
      </c>
      <c r="AE19" s="70" t="str">
        <f t="shared" si="22"/>
        <v/>
      </c>
      <c r="AF19" s="16"/>
      <c r="AG19" s="23"/>
      <c r="AH19" s="22"/>
      <c r="AJ19" s="84">
        <f t="shared" si="23"/>
        <v>0</v>
      </c>
      <c r="AK19" s="10">
        <v>8</v>
      </c>
      <c r="AL19" s="39">
        <f t="shared" si="3"/>
        <v>8</v>
      </c>
      <c r="AO19" s="22" t="str">
        <f t="shared" si="24"/>
        <v/>
      </c>
      <c r="AP19" s="22" t="str">
        <f t="shared" si="25"/>
        <v/>
      </c>
    </row>
    <row r="20" spans="1:42" x14ac:dyDescent="0.25">
      <c r="A20" s="10"/>
      <c r="B20" s="10"/>
      <c r="C20" s="10"/>
      <c r="D20" s="10"/>
      <c r="E20" s="10"/>
      <c r="F20" s="10"/>
      <c r="G20" s="10"/>
      <c r="H20" s="17"/>
      <c r="I20" s="10"/>
      <c r="J20" s="10"/>
      <c r="K20" s="16" t="str">
        <f t="shared" si="4"/>
        <v/>
      </c>
      <c r="L20" s="23" t="str">
        <f t="shared" si="5"/>
        <v/>
      </c>
      <c r="M20" s="22" t="str">
        <f t="shared" si="6"/>
        <v/>
      </c>
      <c r="N20" s="72"/>
      <c r="O20" s="16" t="str">
        <f t="shared" si="7"/>
        <v/>
      </c>
      <c r="P20" s="16" t="str">
        <f t="shared" si="8"/>
        <v/>
      </c>
      <c r="Q20" s="16" t="str">
        <f t="shared" si="9"/>
        <v/>
      </c>
      <c r="R20" s="23" t="str">
        <f t="shared" si="10"/>
        <v/>
      </c>
      <c r="S20" s="23" t="str">
        <f t="shared" si="11"/>
        <v/>
      </c>
      <c r="T20" s="23" t="str">
        <f t="shared" si="12"/>
        <v/>
      </c>
      <c r="U20" s="23" t="str">
        <f t="shared" si="13"/>
        <v/>
      </c>
      <c r="V20" s="23" t="str">
        <f t="shared" si="14"/>
        <v/>
      </c>
      <c r="W20" s="70" t="str">
        <f t="shared" si="15"/>
        <v/>
      </c>
      <c r="X20" s="70" t="str">
        <f t="shared" si="16"/>
        <v/>
      </c>
      <c r="Y20" s="70" t="str">
        <f>IF(AND($A20&lt;&gt;"",$E20&gt;0),isLaptopBag($C20,$J20)*$D20,"")</f>
        <v/>
      </c>
      <c r="Z20" s="70" t="str">
        <f t="shared" si="17"/>
        <v/>
      </c>
      <c r="AA20" s="70" t="str">
        <f t="shared" si="18"/>
        <v/>
      </c>
      <c r="AB20" s="70" t="str">
        <f t="shared" si="19"/>
        <v/>
      </c>
      <c r="AC20" s="70" t="str">
        <f t="shared" si="20"/>
        <v/>
      </c>
      <c r="AD20" s="70" t="str">
        <f t="shared" si="21"/>
        <v/>
      </c>
      <c r="AE20" s="70" t="str">
        <f t="shared" si="22"/>
        <v/>
      </c>
      <c r="AF20" s="16"/>
      <c r="AG20" s="23"/>
      <c r="AH20" s="22"/>
      <c r="AJ20" s="84">
        <f t="shared" si="23"/>
        <v>0</v>
      </c>
      <c r="AK20" s="10">
        <v>9</v>
      </c>
      <c r="AL20" s="39">
        <f t="shared" si="3"/>
        <v>9</v>
      </c>
      <c r="AO20" s="22" t="str">
        <f t="shared" si="24"/>
        <v/>
      </c>
      <c r="AP20" s="22" t="str">
        <f t="shared" si="25"/>
        <v/>
      </c>
    </row>
    <row r="21" spans="1:42" x14ac:dyDescent="0.25">
      <c r="A21" s="10"/>
      <c r="B21" s="10"/>
      <c r="C21" s="10"/>
      <c r="D21" s="10"/>
      <c r="E21" s="10"/>
      <c r="F21" s="10"/>
      <c r="G21" s="10"/>
      <c r="H21" s="17"/>
      <c r="I21" s="10"/>
      <c r="J21" s="10"/>
      <c r="K21" s="16" t="str">
        <f t="shared" si="4"/>
        <v/>
      </c>
      <c r="L21" s="23" t="str">
        <f t="shared" si="5"/>
        <v/>
      </c>
      <c r="M21" s="22" t="str">
        <f t="shared" si="6"/>
        <v/>
      </c>
      <c r="N21" s="72"/>
      <c r="O21" s="16" t="str">
        <f t="shared" si="7"/>
        <v/>
      </c>
      <c r="P21" s="16" t="str">
        <f t="shared" si="8"/>
        <v/>
      </c>
      <c r="Q21" s="16" t="str">
        <f t="shared" si="9"/>
        <v/>
      </c>
      <c r="R21" s="23" t="str">
        <f t="shared" si="10"/>
        <v/>
      </c>
      <c r="S21" s="23" t="str">
        <f t="shared" si="11"/>
        <v/>
      </c>
      <c r="T21" s="23" t="str">
        <f t="shared" si="12"/>
        <v/>
      </c>
      <c r="U21" s="23" t="str">
        <f t="shared" si="13"/>
        <v/>
      </c>
      <c r="V21" s="23" t="str">
        <f t="shared" si="14"/>
        <v/>
      </c>
      <c r="W21" s="70" t="str">
        <f t="shared" si="15"/>
        <v/>
      </c>
      <c r="X21" s="70" t="str">
        <f t="shared" si="16"/>
        <v/>
      </c>
      <c r="Y21" s="70" t="str">
        <f>IF(AND($A21&lt;&gt;"",$E21&gt;0),isLaptopBag($C21,$J21)*$D21,"")</f>
        <v/>
      </c>
      <c r="Z21" s="70" t="str">
        <f t="shared" si="17"/>
        <v/>
      </c>
      <c r="AA21" s="70" t="str">
        <f t="shared" si="18"/>
        <v/>
      </c>
      <c r="AB21" s="70" t="str">
        <f t="shared" si="19"/>
        <v/>
      </c>
      <c r="AC21" s="70" t="str">
        <f t="shared" si="20"/>
        <v/>
      </c>
      <c r="AD21" s="70" t="str">
        <f t="shared" si="21"/>
        <v/>
      </c>
      <c r="AE21" s="70" t="str">
        <f t="shared" si="22"/>
        <v/>
      </c>
      <c r="AF21" s="16"/>
      <c r="AG21" s="23"/>
      <c r="AH21" s="22"/>
      <c r="AJ21" s="84">
        <f t="shared" si="23"/>
        <v>0</v>
      </c>
      <c r="AK21" s="10">
        <v>10</v>
      </c>
      <c r="AL21" s="39">
        <f t="shared" si="3"/>
        <v>10</v>
      </c>
      <c r="AO21" s="22" t="str">
        <f t="shared" si="24"/>
        <v/>
      </c>
      <c r="AP21" s="22" t="str">
        <f t="shared" si="25"/>
        <v/>
      </c>
    </row>
    <row r="22" spans="1:42" x14ac:dyDescent="0.25">
      <c r="A22" s="10"/>
      <c r="B22" s="10"/>
      <c r="C22" s="10"/>
      <c r="D22" s="10"/>
      <c r="E22" s="10"/>
      <c r="F22" s="10"/>
      <c r="G22" s="10"/>
      <c r="H22" s="17"/>
      <c r="I22" s="10"/>
      <c r="J22" s="10"/>
      <c r="K22" s="16" t="str">
        <f t="shared" si="4"/>
        <v/>
      </c>
      <c r="L22" s="23" t="str">
        <f t="shared" si="5"/>
        <v/>
      </c>
      <c r="M22" s="22" t="str">
        <f t="shared" si="6"/>
        <v/>
      </c>
      <c r="N22" s="72"/>
      <c r="O22" s="16" t="str">
        <f t="shared" si="7"/>
        <v/>
      </c>
      <c r="P22" s="16" t="str">
        <f t="shared" si="8"/>
        <v/>
      </c>
      <c r="Q22" s="16" t="str">
        <f t="shared" si="9"/>
        <v/>
      </c>
      <c r="R22" s="23" t="str">
        <f t="shared" si="10"/>
        <v/>
      </c>
      <c r="S22" s="23" t="str">
        <f t="shared" si="11"/>
        <v/>
      </c>
      <c r="T22" s="23" t="str">
        <f t="shared" si="12"/>
        <v/>
      </c>
      <c r="U22" s="23" t="str">
        <f t="shared" si="13"/>
        <v/>
      </c>
      <c r="V22" s="23" t="str">
        <f t="shared" si="14"/>
        <v/>
      </c>
      <c r="W22" s="70" t="str">
        <f t="shared" si="15"/>
        <v/>
      </c>
      <c r="X22" s="70" t="str">
        <f t="shared" si="16"/>
        <v/>
      </c>
      <c r="Y22" s="70" t="str">
        <f>IF(AND($A22&lt;&gt;"",$E22&gt;0),isLaptopBag($C22,$J22)*$D22,"")</f>
        <v/>
      </c>
      <c r="Z22" s="70" t="str">
        <f t="shared" si="17"/>
        <v/>
      </c>
      <c r="AA22" s="70" t="str">
        <f t="shared" si="18"/>
        <v/>
      </c>
      <c r="AB22" s="70" t="str">
        <f t="shared" si="19"/>
        <v/>
      </c>
      <c r="AC22" s="70" t="str">
        <f t="shared" si="20"/>
        <v/>
      </c>
      <c r="AD22" s="70" t="str">
        <f t="shared" si="21"/>
        <v/>
      </c>
      <c r="AE22" s="70" t="str">
        <f t="shared" si="22"/>
        <v/>
      </c>
      <c r="AF22" s="16"/>
      <c r="AG22" s="23"/>
      <c r="AH22" s="22"/>
      <c r="AJ22" s="84">
        <f t="shared" si="23"/>
        <v>0</v>
      </c>
      <c r="AK22" s="10">
        <v>11</v>
      </c>
      <c r="AL22" s="39">
        <f t="shared" si="3"/>
        <v>11</v>
      </c>
      <c r="AM22" s="85" t="str">
        <f>AL22&amp;","&amp;AL23&amp;","&amp;AL24&amp;","&amp;AL25&amp;","&amp;AL26&amp;","&amp;AL27&amp;","&amp;AL28&amp;","&amp;AL29&amp;","&amp;AL30&amp;","&amp;AL31</f>
        <v>11,12,13,14,15,16,17,18,19,20</v>
      </c>
      <c r="AO22" s="22" t="str">
        <f t="shared" si="24"/>
        <v/>
      </c>
      <c r="AP22" s="22" t="str">
        <f t="shared" si="25"/>
        <v/>
      </c>
    </row>
    <row r="23" spans="1:42" x14ac:dyDescent="0.25">
      <c r="A23" s="10"/>
      <c r="B23" s="10"/>
      <c r="C23" s="10"/>
      <c r="D23" s="10"/>
      <c r="E23" s="10"/>
      <c r="F23" s="10"/>
      <c r="G23" s="10"/>
      <c r="H23" s="17"/>
      <c r="I23" s="10"/>
      <c r="J23" s="10"/>
      <c r="K23" s="16" t="str">
        <f t="shared" si="4"/>
        <v/>
      </c>
      <c r="L23" s="23" t="str">
        <f t="shared" si="5"/>
        <v/>
      </c>
      <c r="M23" s="22" t="str">
        <f t="shared" si="6"/>
        <v/>
      </c>
      <c r="N23" s="72"/>
      <c r="O23" s="16" t="str">
        <f t="shared" si="7"/>
        <v/>
      </c>
      <c r="P23" s="16" t="str">
        <f t="shared" si="8"/>
        <v/>
      </c>
      <c r="Q23" s="16" t="str">
        <f t="shared" si="9"/>
        <v/>
      </c>
      <c r="R23" s="23" t="str">
        <f t="shared" si="10"/>
        <v/>
      </c>
      <c r="S23" s="23" t="str">
        <f t="shared" si="11"/>
        <v/>
      </c>
      <c r="T23" s="23" t="str">
        <f t="shared" si="12"/>
        <v/>
      </c>
      <c r="U23" s="23" t="str">
        <f t="shared" si="13"/>
        <v/>
      </c>
      <c r="V23" s="23" t="str">
        <f t="shared" si="14"/>
        <v/>
      </c>
      <c r="W23" s="70" t="str">
        <f t="shared" si="15"/>
        <v/>
      </c>
      <c r="X23" s="70" t="str">
        <f t="shared" si="16"/>
        <v/>
      </c>
      <c r="Y23" s="70" t="str">
        <f>IF(AND($A23&lt;&gt;"",$E23&gt;0),isLaptopBag($C23,$J23)*$D23,"")</f>
        <v/>
      </c>
      <c r="Z23" s="70" t="str">
        <f t="shared" si="17"/>
        <v/>
      </c>
      <c r="AA23" s="70" t="str">
        <f t="shared" si="18"/>
        <v/>
      </c>
      <c r="AB23" s="70" t="str">
        <f t="shared" si="19"/>
        <v/>
      </c>
      <c r="AC23" s="70" t="str">
        <f t="shared" si="20"/>
        <v/>
      </c>
      <c r="AD23" s="70" t="str">
        <f t="shared" si="21"/>
        <v/>
      </c>
      <c r="AE23" s="70" t="str">
        <f t="shared" si="22"/>
        <v/>
      </c>
      <c r="AF23" s="16"/>
      <c r="AG23" s="23"/>
      <c r="AH23" s="22"/>
      <c r="AJ23" s="84">
        <f t="shared" si="23"/>
        <v>0</v>
      </c>
      <c r="AK23" s="10">
        <v>12</v>
      </c>
      <c r="AL23" s="39">
        <f t="shared" si="3"/>
        <v>12</v>
      </c>
      <c r="AO23" s="22" t="str">
        <f t="shared" si="24"/>
        <v/>
      </c>
      <c r="AP23" s="22" t="str">
        <f t="shared" si="25"/>
        <v/>
      </c>
    </row>
    <row r="24" spans="1:42" x14ac:dyDescent="0.25">
      <c r="A24" s="10"/>
      <c r="B24" s="10"/>
      <c r="C24" s="10"/>
      <c r="D24" s="10"/>
      <c r="E24" s="10"/>
      <c r="F24" s="10"/>
      <c r="G24" s="10"/>
      <c r="H24" s="17"/>
      <c r="I24" s="10"/>
      <c r="J24" s="10"/>
      <c r="K24" s="16" t="str">
        <f t="shared" si="4"/>
        <v/>
      </c>
      <c r="L24" s="23" t="str">
        <f t="shared" si="5"/>
        <v/>
      </c>
      <c r="M24" s="22" t="str">
        <f t="shared" si="6"/>
        <v/>
      </c>
      <c r="N24" s="72"/>
      <c r="O24" s="16" t="str">
        <f t="shared" si="7"/>
        <v/>
      </c>
      <c r="P24" s="16" t="str">
        <f t="shared" si="8"/>
        <v/>
      </c>
      <c r="Q24" s="16" t="str">
        <f t="shared" si="9"/>
        <v/>
      </c>
      <c r="R24" s="23" t="str">
        <f t="shared" si="10"/>
        <v/>
      </c>
      <c r="S24" s="23" t="str">
        <f t="shared" si="11"/>
        <v/>
      </c>
      <c r="T24" s="23" t="str">
        <f t="shared" si="12"/>
        <v/>
      </c>
      <c r="U24" s="23" t="str">
        <f t="shared" si="13"/>
        <v/>
      </c>
      <c r="V24" s="23" t="str">
        <f t="shared" si="14"/>
        <v/>
      </c>
      <c r="W24" s="70" t="str">
        <f t="shared" si="15"/>
        <v/>
      </c>
      <c r="X24" s="70" t="str">
        <f t="shared" si="16"/>
        <v/>
      </c>
      <c r="Y24" s="70" t="str">
        <f>IF(AND($A24&lt;&gt;"",$E24&gt;0),isLaptopBag($C24,$J24)*$D24,"")</f>
        <v/>
      </c>
      <c r="Z24" s="70" t="str">
        <f t="shared" si="17"/>
        <v/>
      </c>
      <c r="AA24" s="70" t="str">
        <f t="shared" si="18"/>
        <v/>
      </c>
      <c r="AB24" s="70" t="str">
        <f t="shared" si="19"/>
        <v/>
      </c>
      <c r="AC24" s="70" t="str">
        <f t="shared" si="20"/>
        <v/>
      </c>
      <c r="AD24" s="70" t="str">
        <f t="shared" si="21"/>
        <v/>
      </c>
      <c r="AE24" s="70" t="str">
        <f t="shared" si="22"/>
        <v/>
      </c>
      <c r="AF24" s="16"/>
      <c r="AG24" s="23"/>
      <c r="AH24" s="22"/>
      <c r="AJ24" s="84">
        <f t="shared" si="23"/>
        <v>0</v>
      </c>
      <c r="AK24" s="10">
        <v>13</v>
      </c>
      <c r="AL24" s="39">
        <f t="shared" si="3"/>
        <v>13</v>
      </c>
      <c r="AO24" s="22" t="str">
        <f t="shared" si="24"/>
        <v/>
      </c>
      <c r="AP24" s="22" t="str">
        <f t="shared" si="25"/>
        <v/>
      </c>
    </row>
    <row r="25" spans="1:42" x14ac:dyDescent="0.25">
      <c r="A25" s="10"/>
      <c r="B25" s="10"/>
      <c r="C25" s="10"/>
      <c r="D25" s="10"/>
      <c r="E25" s="10"/>
      <c r="F25" s="10"/>
      <c r="G25" s="10"/>
      <c r="H25" s="17"/>
      <c r="I25" s="10"/>
      <c r="J25" s="10"/>
      <c r="K25" s="16" t="str">
        <f t="shared" si="4"/>
        <v/>
      </c>
      <c r="L25" s="23" t="str">
        <f t="shared" si="5"/>
        <v/>
      </c>
      <c r="M25" s="22" t="str">
        <f t="shared" si="6"/>
        <v/>
      </c>
      <c r="N25" s="72"/>
      <c r="O25" s="16" t="str">
        <f t="shared" si="7"/>
        <v/>
      </c>
      <c r="P25" s="16" t="str">
        <f t="shared" si="8"/>
        <v/>
      </c>
      <c r="Q25" s="16" t="str">
        <f t="shared" si="9"/>
        <v/>
      </c>
      <c r="R25" s="23" t="str">
        <f t="shared" si="10"/>
        <v/>
      </c>
      <c r="S25" s="23" t="str">
        <f t="shared" si="11"/>
        <v/>
      </c>
      <c r="T25" s="23" t="str">
        <f t="shared" si="12"/>
        <v/>
      </c>
      <c r="U25" s="23" t="str">
        <f t="shared" si="13"/>
        <v/>
      </c>
      <c r="V25" s="23" t="str">
        <f t="shared" si="14"/>
        <v/>
      </c>
      <c r="W25" s="70" t="str">
        <f t="shared" si="15"/>
        <v/>
      </c>
      <c r="X25" s="70" t="str">
        <f t="shared" si="16"/>
        <v/>
      </c>
      <c r="Y25" s="70" t="str">
        <f>IF(AND($A25&lt;&gt;"",$E25&gt;0),isLaptopBag($C25,$J25)*$D25,"")</f>
        <v/>
      </c>
      <c r="Z25" s="70" t="str">
        <f t="shared" si="17"/>
        <v/>
      </c>
      <c r="AA25" s="70" t="str">
        <f t="shared" si="18"/>
        <v/>
      </c>
      <c r="AB25" s="70" t="str">
        <f t="shared" si="19"/>
        <v/>
      </c>
      <c r="AC25" s="70" t="str">
        <f t="shared" si="20"/>
        <v/>
      </c>
      <c r="AD25" s="70" t="str">
        <f t="shared" si="21"/>
        <v/>
      </c>
      <c r="AE25" s="70" t="str">
        <f t="shared" si="22"/>
        <v/>
      </c>
      <c r="AF25" s="16"/>
      <c r="AG25" s="23"/>
      <c r="AH25" s="22"/>
      <c r="AJ25" s="84">
        <f t="shared" si="23"/>
        <v>0</v>
      </c>
      <c r="AK25" s="10">
        <v>14</v>
      </c>
      <c r="AL25" s="39">
        <f t="shared" si="3"/>
        <v>14</v>
      </c>
      <c r="AO25" s="22" t="str">
        <f t="shared" si="24"/>
        <v/>
      </c>
      <c r="AP25" s="22" t="str">
        <f t="shared" si="25"/>
        <v/>
      </c>
    </row>
    <row r="26" spans="1:42" x14ac:dyDescent="0.25">
      <c r="A26" s="10"/>
      <c r="B26" s="10"/>
      <c r="C26" s="10"/>
      <c r="D26" s="10"/>
      <c r="E26" s="10"/>
      <c r="F26" s="10"/>
      <c r="G26" s="10"/>
      <c r="H26" s="17"/>
      <c r="I26" s="10"/>
      <c r="J26" s="10"/>
      <c r="K26" s="16" t="str">
        <f t="shared" si="4"/>
        <v/>
      </c>
      <c r="L26" s="23" t="str">
        <f t="shared" si="5"/>
        <v/>
      </c>
      <c r="M26" s="22" t="str">
        <f t="shared" si="6"/>
        <v/>
      </c>
      <c r="N26" s="72"/>
      <c r="O26" s="16" t="str">
        <f t="shared" si="7"/>
        <v/>
      </c>
      <c r="P26" s="16" t="str">
        <f t="shared" si="8"/>
        <v/>
      </c>
      <c r="Q26" s="16" t="str">
        <f t="shared" si="9"/>
        <v/>
      </c>
      <c r="R26" s="23" t="str">
        <f t="shared" si="10"/>
        <v/>
      </c>
      <c r="S26" s="23" t="str">
        <f t="shared" si="11"/>
        <v/>
      </c>
      <c r="T26" s="23" t="str">
        <f t="shared" si="12"/>
        <v/>
      </c>
      <c r="U26" s="23" t="str">
        <f t="shared" si="13"/>
        <v/>
      </c>
      <c r="V26" s="23" t="str">
        <f t="shared" si="14"/>
        <v/>
      </c>
      <c r="W26" s="70" t="str">
        <f t="shared" si="15"/>
        <v/>
      </c>
      <c r="X26" s="70" t="str">
        <f t="shared" si="16"/>
        <v/>
      </c>
      <c r="Y26" s="70" t="str">
        <f>IF(AND($A26&lt;&gt;"",$E26&gt;0),isLaptopBag($C26,$J26)*$D26,"")</f>
        <v/>
      </c>
      <c r="Z26" s="70" t="str">
        <f t="shared" si="17"/>
        <v/>
      </c>
      <c r="AA26" s="70" t="str">
        <f t="shared" si="18"/>
        <v/>
      </c>
      <c r="AB26" s="70" t="str">
        <f t="shared" si="19"/>
        <v/>
      </c>
      <c r="AC26" s="70" t="str">
        <f t="shared" si="20"/>
        <v/>
      </c>
      <c r="AD26" s="70" t="str">
        <f t="shared" si="21"/>
        <v/>
      </c>
      <c r="AE26" s="70" t="str">
        <f t="shared" si="22"/>
        <v/>
      </c>
      <c r="AF26" s="16"/>
      <c r="AG26" s="23"/>
      <c r="AH26" s="22"/>
      <c r="AJ26" s="84">
        <f t="shared" si="23"/>
        <v>0</v>
      </c>
      <c r="AK26" s="10">
        <v>15</v>
      </c>
      <c r="AL26" s="39">
        <f t="shared" si="3"/>
        <v>15</v>
      </c>
      <c r="AO26" s="22" t="str">
        <f t="shared" si="24"/>
        <v/>
      </c>
      <c r="AP26" s="22" t="str">
        <f t="shared" si="25"/>
        <v/>
      </c>
    </row>
    <row r="27" spans="1:42" x14ac:dyDescent="0.25">
      <c r="A27" s="10"/>
      <c r="B27" s="10"/>
      <c r="C27" s="10"/>
      <c r="D27" s="10"/>
      <c r="E27" s="10"/>
      <c r="F27" s="10"/>
      <c r="G27" s="10"/>
      <c r="H27" s="17"/>
      <c r="I27" s="10"/>
      <c r="J27" s="10"/>
      <c r="K27" s="16" t="str">
        <f t="shared" si="4"/>
        <v/>
      </c>
      <c r="L27" s="23" t="str">
        <f t="shared" si="5"/>
        <v/>
      </c>
      <c r="M27" s="22" t="str">
        <f t="shared" si="6"/>
        <v/>
      </c>
      <c r="N27" s="72"/>
      <c r="O27" s="16" t="str">
        <f t="shared" si="7"/>
        <v/>
      </c>
      <c r="P27" s="16" t="str">
        <f t="shared" si="8"/>
        <v/>
      </c>
      <c r="Q27" s="16" t="str">
        <f t="shared" si="9"/>
        <v/>
      </c>
      <c r="R27" s="23" t="str">
        <f t="shared" si="10"/>
        <v/>
      </c>
      <c r="S27" s="23" t="str">
        <f t="shared" si="11"/>
        <v/>
      </c>
      <c r="T27" s="23" t="str">
        <f t="shared" si="12"/>
        <v/>
      </c>
      <c r="U27" s="23" t="str">
        <f t="shared" si="13"/>
        <v/>
      </c>
      <c r="V27" s="23" t="str">
        <f t="shared" si="14"/>
        <v/>
      </c>
      <c r="W27" s="70" t="str">
        <f t="shared" si="15"/>
        <v/>
      </c>
      <c r="X27" s="70" t="str">
        <f t="shared" si="16"/>
        <v/>
      </c>
      <c r="Y27" s="70" t="str">
        <f>IF(AND($A27&lt;&gt;"",$E27&gt;0),isLaptopBag($C27,$J27)*$D27,"")</f>
        <v/>
      </c>
      <c r="Z27" s="70" t="str">
        <f t="shared" si="17"/>
        <v/>
      </c>
      <c r="AA27" s="70" t="str">
        <f t="shared" si="18"/>
        <v/>
      </c>
      <c r="AB27" s="70" t="str">
        <f t="shared" si="19"/>
        <v/>
      </c>
      <c r="AC27" s="70" t="str">
        <f t="shared" si="20"/>
        <v/>
      </c>
      <c r="AD27" s="70" t="str">
        <f t="shared" si="21"/>
        <v/>
      </c>
      <c r="AE27" s="70" t="str">
        <f t="shared" si="22"/>
        <v/>
      </c>
      <c r="AF27" s="16"/>
      <c r="AG27" s="23"/>
      <c r="AH27" s="22"/>
      <c r="AJ27" s="84">
        <f t="shared" si="23"/>
        <v>0</v>
      </c>
      <c r="AK27" s="10">
        <v>16</v>
      </c>
      <c r="AL27" s="39">
        <f t="shared" si="3"/>
        <v>16</v>
      </c>
      <c r="AO27" s="22" t="str">
        <f t="shared" si="24"/>
        <v/>
      </c>
      <c r="AP27" s="22" t="str">
        <f t="shared" si="25"/>
        <v/>
      </c>
    </row>
    <row r="28" spans="1:42" x14ac:dyDescent="0.25">
      <c r="A28" s="10"/>
      <c r="B28" s="10"/>
      <c r="C28" s="10"/>
      <c r="D28" s="10"/>
      <c r="E28" s="10"/>
      <c r="F28" s="10"/>
      <c r="G28" s="10"/>
      <c r="H28" s="17"/>
      <c r="I28" s="10"/>
      <c r="J28" s="10"/>
      <c r="K28" s="16" t="str">
        <f t="shared" si="4"/>
        <v/>
      </c>
      <c r="L28" s="23" t="str">
        <f t="shared" si="5"/>
        <v/>
      </c>
      <c r="M28" s="22" t="str">
        <f t="shared" si="6"/>
        <v/>
      </c>
      <c r="N28" s="72"/>
      <c r="O28" s="16" t="str">
        <f t="shared" si="7"/>
        <v/>
      </c>
      <c r="P28" s="16" t="str">
        <f t="shared" si="8"/>
        <v/>
      </c>
      <c r="Q28" s="16" t="str">
        <f t="shared" si="9"/>
        <v/>
      </c>
      <c r="R28" s="23" t="str">
        <f t="shared" si="10"/>
        <v/>
      </c>
      <c r="S28" s="23" t="str">
        <f t="shared" si="11"/>
        <v/>
      </c>
      <c r="T28" s="23" t="str">
        <f t="shared" si="12"/>
        <v/>
      </c>
      <c r="U28" s="23" t="str">
        <f t="shared" si="13"/>
        <v/>
      </c>
      <c r="V28" s="23" t="str">
        <f t="shared" si="14"/>
        <v/>
      </c>
      <c r="W28" s="70" t="str">
        <f t="shared" si="15"/>
        <v/>
      </c>
      <c r="X28" s="70" t="str">
        <f t="shared" si="16"/>
        <v/>
      </c>
      <c r="Y28" s="70" t="str">
        <f>IF(AND($A28&lt;&gt;"",$E28&gt;0),isLaptopBag($C28,$J28)*$D28,"")</f>
        <v/>
      </c>
      <c r="Z28" s="70" t="str">
        <f t="shared" si="17"/>
        <v/>
      </c>
      <c r="AA28" s="70" t="str">
        <f t="shared" si="18"/>
        <v/>
      </c>
      <c r="AB28" s="70" t="str">
        <f t="shared" si="19"/>
        <v/>
      </c>
      <c r="AC28" s="70" t="str">
        <f t="shared" si="20"/>
        <v/>
      </c>
      <c r="AD28" s="70" t="str">
        <f t="shared" si="21"/>
        <v/>
      </c>
      <c r="AE28" s="70" t="str">
        <f t="shared" si="22"/>
        <v/>
      </c>
      <c r="AF28" s="16"/>
      <c r="AG28" s="23"/>
      <c r="AH28" s="22"/>
      <c r="AJ28" s="84">
        <f t="shared" si="23"/>
        <v>0</v>
      </c>
      <c r="AK28" s="10">
        <v>17</v>
      </c>
      <c r="AL28" s="39">
        <f t="shared" si="3"/>
        <v>17</v>
      </c>
      <c r="AO28" s="22" t="str">
        <f t="shared" si="24"/>
        <v/>
      </c>
      <c r="AP28" s="22" t="str">
        <f t="shared" si="25"/>
        <v/>
      </c>
    </row>
    <row r="29" spans="1:42" x14ac:dyDescent="0.25">
      <c r="A29" s="10"/>
      <c r="B29" s="10"/>
      <c r="C29" s="10"/>
      <c r="D29" s="10"/>
      <c r="E29" s="10"/>
      <c r="F29" s="10"/>
      <c r="G29" s="10"/>
      <c r="H29" s="17"/>
      <c r="I29" s="10"/>
      <c r="J29" s="10"/>
      <c r="K29" s="16" t="str">
        <f t="shared" si="4"/>
        <v/>
      </c>
      <c r="L29" s="23" t="str">
        <f t="shared" si="5"/>
        <v/>
      </c>
      <c r="M29" s="22" t="str">
        <f t="shared" si="6"/>
        <v/>
      </c>
      <c r="N29" s="72"/>
      <c r="O29" s="16" t="str">
        <f t="shared" si="7"/>
        <v/>
      </c>
      <c r="P29" s="16" t="str">
        <f t="shared" si="8"/>
        <v/>
      </c>
      <c r="Q29" s="16" t="str">
        <f t="shared" si="9"/>
        <v/>
      </c>
      <c r="R29" s="23" t="str">
        <f t="shared" si="10"/>
        <v/>
      </c>
      <c r="S29" s="23" t="str">
        <f t="shared" si="11"/>
        <v/>
      </c>
      <c r="T29" s="23" t="str">
        <f t="shared" si="12"/>
        <v/>
      </c>
      <c r="U29" s="23" t="str">
        <f t="shared" si="13"/>
        <v/>
      </c>
      <c r="V29" s="23" t="str">
        <f t="shared" si="14"/>
        <v/>
      </c>
      <c r="W29" s="70" t="str">
        <f t="shared" si="15"/>
        <v/>
      </c>
      <c r="X29" s="70" t="str">
        <f t="shared" si="16"/>
        <v/>
      </c>
      <c r="Y29" s="70" t="str">
        <f>IF(AND($A29&lt;&gt;"",$E29&gt;0),isLaptopBag($C29,$J29)*$D29,"")</f>
        <v/>
      </c>
      <c r="Z29" s="70" t="str">
        <f t="shared" si="17"/>
        <v/>
      </c>
      <c r="AA29" s="70" t="str">
        <f t="shared" si="18"/>
        <v/>
      </c>
      <c r="AB29" s="70" t="str">
        <f t="shared" si="19"/>
        <v/>
      </c>
      <c r="AC29" s="70" t="str">
        <f t="shared" si="20"/>
        <v/>
      </c>
      <c r="AD29" s="70" t="str">
        <f t="shared" si="21"/>
        <v/>
      </c>
      <c r="AE29" s="70" t="str">
        <f t="shared" si="22"/>
        <v/>
      </c>
      <c r="AF29" s="16"/>
      <c r="AG29" s="23"/>
      <c r="AH29" s="22"/>
      <c r="AJ29" s="84">
        <f t="shared" si="23"/>
        <v>0</v>
      </c>
      <c r="AK29" s="10">
        <v>18</v>
      </c>
      <c r="AL29" s="39">
        <f t="shared" si="3"/>
        <v>18</v>
      </c>
      <c r="AO29" s="22" t="str">
        <f t="shared" si="24"/>
        <v/>
      </c>
      <c r="AP29" s="22" t="str">
        <f t="shared" si="25"/>
        <v/>
      </c>
    </row>
    <row r="30" spans="1:42" x14ac:dyDescent="0.25">
      <c r="A30" s="10"/>
      <c r="B30" s="10"/>
      <c r="C30" s="10"/>
      <c r="D30" s="10"/>
      <c r="E30" s="10"/>
      <c r="F30" s="10"/>
      <c r="G30" s="10"/>
      <c r="H30" s="17"/>
      <c r="I30" s="10"/>
      <c r="J30" s="10"/>
      <c r="K30" s="16" t="str">
        <f t="shared" si="4"/>
        <v/>
      </c>
      <c r="L30" s="23" t="str">
        <f t="shared" si="5"/>
        <v/>
      </c>
      <c r="M30" s="22" t="str">
        <f t="shared" si="6"/>
        <v/>
      </c>
      <c r="N30" s="72"/>
      <c r="O30" s="16" t="str">
        <f t="shared" si="7"/>
        <v/>
      </c>
      <c r="P30" s="16" t="str">
        <f t="shared" si="8"/>
        <v/>
      </c>
      <c r="Q30" s="16" t="str">
        <f t="shared" si="9"/>
        <v/>
      </c>
      <c r="R30" s="23" t="str">
        <f t="shared" si="10"/>
        <v/>
      </c>
      <c r="S30" s="23" t="str">
        <f t="shared" si="11"/>
        <v/>
      </c>
      <c r="T30" s="23" t="str">
        <f t="shared" si="12"/>
        <v/>
      </c>
      <c r="U30" s="23" t="str">
        <f t="shared" si="13"/>
        <v/>
      </c>
      <c r="V30" s="23" t="str">
        <f t="shared" si="14"/>
        <v/>
      </c>
      <c r="W30" s="70" t="str">
        <f t="shared" si="15"/>
        <v/>
      </c>
      <c r="X30" s="70" t="str">
        <f t="shared" si="16"/>
        <v/>
      </c>
      <c r="Y30" s="70" t="str">
        <f>IF(AND($A30&lt;&gt;"",$E30&gt;0),isLaptopBag($C30,$J30)*$D30,"")</f>
        <v/>
      </c>
      <c r="Z30" s="70" t="str">
        <f t="shared" si="17"/>
        <v/>
      </c>
      <c r="AA30" s="70" t="str">
        <f t="shared" si="18"/>
        <v/>
      </c>
      <c r="AB30" s="70" t="str">
        <f t="shared" si="19"/>
        <v/>
      </c>
      <c r="AC30" s="70" t="str">
        <f t="shared" si="20"/>
        <v/>
      </c>
      <c r="AD30" s="70" t="str">
        <f t="shared" si="21"/>
        <v/>
      </c>
      <c r="AE30" s="70" t="str">
        <f t="shared" si="22"/>
        <v/>
      </c>
      <c r="AF30" s="16"/>
      <c r="AG30" s="23"/>
      <c r="AH30" s="22"/>
      <c r="AJ30" s="84">
        <f t="shared" si="23"/>
        <v>0</v>
      </c>
      <c r="AK30" s="10">
        <v>19</v>
      </c>
      <c r="AL30" s="39">
        <f t="shared" si="3"/>
        <v>19</v>
      </c>
      <c r="AO30" s="22" t="str">
        <f t="shared" si="24"/>
        <v/>
      </c>
      <c r="AP30" s="22" t="str">
        <f t="shared" si="25"/>
        <v/>
      </c>
    </row>
    <row r="31" spans="1:42" x14ac:dyDescent="0.25">
      <c r="A31" s="10"/>
      <c r="B31" s="10"/>
      <c r="C31" s="10"/>
      <c r="D31" s="10"/>
      <c r="E31" s="10"/>
      <c r="F31" s="10"/>
      <c r="G31" s="10"/>
      <c r="H31" s="17"/>
      <c r="I31" s="10"/>
      <c r="J31" s="10"/>
      <c r="K31" s="16" t="str">
        <f t="shared" si="4"/>
        <v/>
      </c>
      <c r="L31" s="23" t="str">
        <f t="shared" si="5"/>
        <v/>
      </c>
      <c r="M31" s="22" t="str">
        <f t="shared" si="6"/>
        <v/>
      </c>
      <c r="N31" s="72"/>
      <c r="O31" s="16" t="str">
        <f t="shared" si="7"/>
        <v/>
      </c>
      <c r="P31" s="16" t="str">
        <f t="shared" si="8"/>
        <v/>
      </c>
      <c r="Q31" s="16" t="str">
        <f t="shared" si="9"/>
        <v/>
      </c>
      <c r="R31" s="23" t="str">
        <f t="shared" si="10"/>
        <v/>
      </c>
      <c r="S31" s="23" t="str">
        <f t="shared" si="11"/>
        <v/>
      </c>
      <c r="T31" s="23" t="str">
        <f t="shared" si="12"/>
        <v/>
      </c>
      <c r="U31" s="23" t="str">
        <f t="shared" si="13"/>
        <v/>
      </c>
      <c r="V31" s="23" t="str">
        <f t="shared" si="14"/>
        <v/>
      </c>
      <c r="W31" s="70" t="str">
        <f t="shared" si="15"/>
        <v/>
      </c>
      <c r="X31" s="70" t="str">
        <f t="shared" si="16"/>
        <v/>
      </c>
      <c r="Y31" s="70" t="str">
        <f>IF(AND($A31&lt;&gt;"",$E31&gt;0),isLaptopBag($C31,$J31)*$D31,"")</f>
        <v/>
      </c>
      <c r="Z31" s="70" t="str">
        <f t="shared" si="17"/>
        <v/>
      </c>
      <c r="AA31" s="70" t="str">
        <f t="shared" si="18"/>
        <v/>
      </c>
      <c r="AB31" s="70" t="str">
        <f t="shared" si="19"/>
        <v/>
      </c>
      <c r="AC31" s="70" t="str">
        <f t="shared" si="20"/>
        <v/>
      </c>
      <c r="AD31" s="70" t="str">
        <f t="shared" si="21"/>
        <v/>
      </c>
      <c r="AE31" s="70" t="str">
        <f t="shared" si="22"/>
        <v/>
      </c>
      <c r="AF31" s="16"/>
      <c r="AG31" s="23"/>
      <c r="AH31" s="22"/>
      <c r="AJ31" s="84">
        <f t="shared" si="23"/>
        <v>0</v>
      </c>
      <c r="AK31" s="10">
        <v>20</v>
      </c>
      <c r="AL31" s="39">
        <f t="shared" si="3"/>
        <v>20</v>
      </c>
      <c r="AO31" s="22" t="str">
        <f t="shared" si="24"/>
        <v/>
      </c>
      <c r="AP31" s="22" t="str">
        <f t="shared" si="25"/>
        <v/>
      </c>
    </row>
    <row r="32" spans="1:42" x14ac:dyDescent="0.25">
      <c r="A32" s="10"/>
      <c r="B32" s="10"/>
      <c r="C32" s="10"/>
      <c r="D32" s="10"/>
      <c r="E32" s="10"/>
      <c r="F32" s="10"/>
      <c r="G32" s="10"/>
      <c r="H32" s="17"/>
      <c r="I32" s="10"/>
      <c r="J32" s="10"/>
      <c r="K32" s="16" t="str">
        <f t="shared" si="4"/>
        <v/>
      </c>
      <c r="L32" s="23" t="str">
        <f t="shared" si="5"/>
        <v/>
      </c>
      <c r="M32" s="22" t="str">
        <f t="shared" si="6"/>
        <v/>
      </c>
      <c r="N32" s="72"/>
      <c r="O32" s="16" t="str">
        <f t="shared" si="7"/>
        <v/>
      </c>
      <c r="P32" s="16" t="str">
        <f t="shared" si="8"/>
        <v/>
      </c>
      <c r="Q32" s="16" t="str">
        <f t="shared" si="9"/>
        <v/>
      </c>
      <c r="R32" s="23" t="str">
        <f t="shared" si="10"/>
        <v/>
      </c>
      <c r="S32" s="23" t="str">
        <f t="shared" si="11"/>
        <v/>
      </c>
      <c r="T32" s="23" t="str">
        <f t="shared" si="12"/>
        <v/>
      </c>
      <c r="U32" s="23" t="str">
        <f t="shared" si="13"/>
        <v/>
      </c>
      <c r="V32" s="23" t="str">
        <f t="shared" si="14"/>
        <v/>
      </c>
      <c r="W32" s="70" t="str">
        <f t="shared" si="15"/>
        <v/>
      </c>
      <c r="X32" s="70" t="str">
        <f t="shared" si="16"/>
        <v/>
      </c>
      <c r="Y32" s="70" t="str">
        <f>IF(AND($A32&lt;&gt;"",$E32&gt;0),isLaptopBag($C32,$J32)*$D32,"")</f>
        <v/>
      </c>
      <c r="Z32" s="70" t="str">
        <f t="shared" si="17"/>
        <v/>
      </c>
      <c r="AA32" s="70" t="str">
        <f t="shared" si="18"/>
        <v/>
      </c>
      <c r="AB32" s="70" t="str">
        <f t="shared" si="19"/>
        <v/>
      </c>
      <c r="AC32" s="70" t="str">
        <f t="shared" si="20"/>
        <v/>
      </c>
      <c r="AD32" s="70" t="str">
        <f t="shared" si="21"/>
        <v/>
      </c>
      <c r="AE32" s="70" t="str">
        <f t="shared" si="22"/>
        <v/>
      </c>
      <c r="AF32" s="16"/>
      <c r="AG32" s="23"/>
      <c r="AH32" s="22"/>
      <c r="AJ32" s="84">
        <f t="shared" si="23"/>
        <v>0</v>
      </c>
      <c r="AK32" s="10">
        <v>21</v>
      </c>
      <c r="AL32" s="39">
        <f t="shared" si="3"/>
        <v>21</v>
      </c>
      <c r="AM32" s="85" t="str">
        <f>AL32&amp;","&amp;AL33&amp;","&amp;AL34&amp;","&amp;AL35&amp;","&amp;AL36&amp;","&amp;AL37&amp;","&amp;AL38&amp;","&amp;AL39&amp;","&amp;AL40&amp;","&amp;AL41</f>
        <v>21,22,23,24,25,26,27,28,29,30</v>
      </c>
      <c r="AO32" s="22" t="str">
        <f t="shared" si="24"/>
        <v/>
      </c>
      <c r="AP32" s="22" t="str">
        <f t="shared" si="25"/>
        <v/>
      </c>
    </row>
    <row r="33" spans="1:42" x14ac:dyDescent="0.25">
      <c r="A33" s="10"/>
      <c r="B33" s="10"/>
      <c r="C33" s="10"/>
      <c r="D33" s="10"/>
      <c r="E33" s="10"/>
      <c r="F33" s="10"/>
      <c r="G33" s="10"/>
      <c r="H33" s="17"/>
      <c r="I33" s="10"/>
      <c r="J33" s="10"/>
      <c r="K33" s="16" t="str">
        <f t="shared" si="4"/>
        <v/>
      </c>
      <c r="L33" s="23" t="str">
        <f t="shared" si="5"/>
        <v/>
      </c>
      <c r="M33" s="22" t="str">
        <f t="shared" si="6"/>
        <v/>
      </c>
      <c r="N33" s="72"/>
      <c r="O33" s="16" t="str">
        <f t="shared" si="7"/>
        <v/>
      </c>
      <c r="P33" s="16" t="str">
        <f t="shared" si="8"/>
        <v/>
      </c>
      <c r="Q33" s="16" t="str">
        <f t="shared" si="9"/>
        <v/>
      </c>
      <c r="R33" s="23" t="str">
        <f t="shared" si="10"/>
        <v/>
      </c>
      <c r="S33" s="23" t="str">
        <f t="shared" si="11"/>
        <v/>
      </c>
      <c r="T33" s="23" t="str">
        <f t="shared" si="12"/>
        <v/>
      </c>
      <c r="U33" s="23" t="str">
        <f t="shared" si="13"/>
        <v/>
      </c>
      <c r="V33" s="23" t="str">
        <f t="shared" si="14"/>
        <v/>
      </c>
      <c r="W33" s="70" t="str">
        <f t="shared" si="15"/>
        <v/>
      </c>
      <c r="X33" s="70" t="str">
        <f t="shared" si="16"/>
        <v/>
      </c>
      <c r="Y33" s="70" t="str">
        <f>IF(AND($A33&lt;&gt;"",$E33&gt;0),isLaptopBag($C33,$J33)*$D33,"")</f>
        <v/>
      </c>
      <c r="Z33" s="70" t="str">
        <f t="shared" si="17"/>
        <v/>
      </c>
      <c r="AA33" s="70" t="str">
        <f t="shared" si="18"/>
        <v/>
      </c>
      <c r="AB33" s="70" t="str">
        <f t="shared" si="19"/>
        <v/>
      </c>
      <c r="AC33" s="70" t="str">
        <f t="shared" si="20"/>
        <v/>
      </c>
      <c r="AD33" s="70" t="str">
        <f t="shared" si="21"/>
        <v/>
      </c>
      <c r="AE33" s="70" t="str">
        <f t="shared" si="22"/>
        <v/>
      </c>
      <c r="AF33" s="16"/>
      <c r="AG33" s="23"/>
      <c r="AH33" s="22"/>
      <c r="AJ33" s="84">
        <f t="shared" si="23"/>
        <v>0</v>
      </c>
      <c r="AK33" s="10">
        <v>22</v>
      </c>
      <c r="AL33" s="39">
        <f t="shared" si="3"/>
        <v>22</v>
      </c>
      <c r="AO33" s="22" t="str">
        <f t="shared" si="24"/>
        <v/>
      </c>
      <c r="AP33" s="22" t="str">
        <f t="shared" si="25"/>
        <v/>
      </c>
    </row>
    <row r="34" spans="1:42" x14ac:dyDescent="0.25">
      <c r="A34" s="10"/>
      <c r="B34" s="10"/>
      <c r="C34" s="10"/>
      <c r="D34" s="10"/>
      <c r="E34" s="10"/>
      <c r="F34" s="10"/>
      <c r="G34" s="10"/>
      <c r="H34" s="17"/>
      <c r="I34" s="10"/>
      <c r="J34" s="10"/>
      <c r="K34" s="16" t="str">
        <f t="shared" si="4"/>
        <v/>
      </c>
      <c r="L34" s="23" t="str">
        <f t="shared" si="5"/>
        <v/>
      </c>
      <c r="M34" s="22" t="str">
        <f t="shared" si="6"/>
        <v/>
      </c>
      <c r="N34" s="72"/>
      <c r="O34" s="16" t="str">
        <f t="shared" si="7"/>
        <v/>
      </c>
      <c r="P34" s="16" t="str">
        <f t="shared" si="8"/>
        <v/>
      </c>
      <c r="Q34" s="16" t="str">
        <f t="shared" si="9"/>
        <v/>
      </c>
      <c r="R34" s="23" t="str">
        <f t="shared" si="10"/>
        <v/>
      </c>
      <c r="S34" s="23" t="str">
        <f t="shared" si="11"/>
        <v/>
      </c>
      <c r="T34" s="23" t="str">
        <f t="shared" si="12"/>
        <v/>
      </c>
      <c r="U34" s="23" t="str">
        <f t="shared" si="13"/>
        <v/>
      </c>
      <c r="V34" s="23" t="str">
        <f t="shared" si="14"/>
        <v/>
      </c>
      <c r="W34" s="70" t="str">
        <f t="shared" si="15"/>
        <v/>
      </c>
      <c r="X34" s="70" t="str">
        <f t="shared" si="16"/>
        <v/>
      </c>
      <c r="Y34" s="70" t="str">
        <f>IF(AND($A34&lt;&gt;"",$E34&gt;0),isLaptopBag($C34,$J34)*$D34,"")</f>
        <v/>
      </c>
      <c r="Z34" s="70" t="str">
        <f t="shared" si="17"/>
        <v/>
      </c>
      <c r="AA34" s="70" t="str">
        <f t="shared" si="18"/>
        <v/>
      </c>
      <c r="AB34" s="70" t="str">
        <f t="shared" si="19"/>
        <v/>
      </c>
      <c r="AC34" s="70" t="str">
        <f t="shared" si="20"/>
        <v/>
      </c>
      <c r="AD34" s="70" t="str">
        <f t="shared" si="21"/>
        <v/>
      </c>
      <c r="AE34" s="70" t="str">
        <f t="shared" si="22"/>
        <v/>
      </c>
      <c r="AF34" s="16"/>
      <c r="AG34" s="23"/>
      <c r="AH34" s="22"/>
      <c r="AJ34" s="84">
        <f t="shared" si="23"/>
        <v>0</v>
      </c>
      <c r="AK34" s="10">
        <v>23</v>
      </c>
      <c r="AL34" s="39">
        <f t="shared" si="3"/>
        <v>23</v>
      </c>
      <c r="AO34" s="22" t="str">
        <f t="shared" si="24"/>
        <v/>
      </c>
      <c r="AP34" s="22" t="str">
        <f t="shared" si="25"/>
        <v/>
      </c>
    </row>
    <row r="35" spans="1:42" x14ac:dyDescent="0.25">
      <c r="A35" s="10"/>
      <c r="B35" s="10"/>
      <c r="C35" s="10"/>
      <c r="D35" s="10"/>
      <c r="E35" s="10"/>
      <c r="F35" s="10"/>
      <c r="G35" s="10"/>
      <c r="H35" s="17"/>
      <c r="I35" s="10"/>
      <c r="J35" s="10"/>
      <c r="K35" s="16" t="str">
        <f t="shared" si="4"/>
        <v/>
      </c>
      <c r="L35" s="23" t="str">
        <f t="shared" si="5"/>
        <v/>
      </c>
      <c r="M35" s="22" t="str">
        <f t="shared" si="6"/>
        <v/>
      </c>
      <c r="N35" s="72"/>
      <c r="O35" s="16" t="str">
        <f t="shared" si="7"/>
        <v/>
      </c>
      <c r="P35" s="16" t="str">
        <f t="shared" si="8"/>
        <v/>
      </c>
      <c r="Q35" s="16" t="str">
        <f t="shared" si="9"/>
        <v/>
      </c>
      <c r="R35" s="23" t="str">
        <f t="shared" si="10"/>
        <v/>
      </c>
      <c r="S35" s="23" t="str">
        <f t="shared" si="11"/>
        <v/>
      </c>
      <c r="T35" s="23" t="str">
        <f t="shared" si="12"/>
        <v/>
      </c>
      <c r="U35" s="23" t="str">
        <f t="shared" si="13"/>
        <v/>
      </c>
      <c r="V35" s="23" t="str">
        <f t="shared" si="14"/>
        <v/>
      </c>
      <c r="W35" s="70" t="str">
        <f t="shared" si="15"/>
        <v/>
      </c>
      <c r="X35" s="70" t="str">
        <f t="shared" si="16"/>
        <v/>
      </c>
      <c r="Y35" s="70" t="str">
        <f>IF(AND($A35&lt;&gt;"",$E35&gt;0),isLaptopBag($C35,$J35)*$D35,"")</f>
        <v/>
      </c>
      <c r="Z35" s="70" t="str">
        <f t="shared" si="17"/>
        <v/>
      </c>
      <c r="AA35" s="70" t="str">
        <f t="shared" si="18"/>
        <v/>
      </c>
      <c r="AB35" s="70" t="str">
        <f t="shared" si="19"/>
        <v/>
      </c>
      <c r="AC35" s="70" t="str">
        <f t="shared" si="20"/>
        <v/>
      </c>
      <c r="AD35" s="70" t="str">
        <f t="shared" si="21"/>
        <v/>
      </c>
      <c r="AE35" s="70" t="str">
        <f t="shared" si="22"/>
        <v/>
      </c>
      <c r="AF35" s="16"/>
      <c r="AG35" s="23"/>
      <c r="AH35" s="22"/>
      <c r="AJ35" s="84">
        <f t="shared" si="23"/>
        <v>0</v>
      </c>
      <c r="AK35" s="10">
        <v>24</v>
      </c>
      <c r="AL35" s="39">
        <f t="shared" si="3"/>
        <v>24</v>
      </c>
      <c r="AO35" s="22" t="str">
        <f t="shared" si="24"/>
        <v/>
      </c>
      <c r="AP35" s="22" t="str">
        <f t="shared" si="25"/>
        <v/>
      </c>
    </row>
    <row r="36" spans="1:42" x14ac:dyDescent="0.25">
      <c r="A36" s="10"/>
      <c r="B36" s="10"/>
      <c r="C36" s="10"/>
      <c r="D36" s="10"/>
      <c r="E36" s="10"/>
      <c r="F36" s="10"/>
      <c r="G36" s="10"/>
      <c r="H36" s="17"/>
      <c r="I36" s="10"/>
      <c r="J36" s="10"/>
      <c r="K36" s="16" t="str">
        <f t="shared" si="4"/>
        <v/>
      </c>
      <c r="L36" s="23" t="str">
        <f t="shared" si="5"/>
        <v/>
      </c>
      <c r="M36" s="22" t="str">
        <f t="shared" si="6"/>
        <v/>
      </c>
      <c r="N36" s="72"/>
      <c r="O36" s="16" t="str">
        <f t="shared" si="7"/>
        <v/>
      </c>
      <c r="P36" s="16" t="str">
        <f t="shared" si="8"/>
        <v/>
      </c>
      <c r="Q36" s="16" t="str">
        <f t="shared" si="9"/>
        <v/>
      </c>
      <c r="R36" s="23" t="str">
        <f t="shared" si="10"/>
        <v/>
      </c>
      <c r="S36" s="23" t="str">
        <f t="shared" si="11"/>
        <v/>
      </c>
      <c r="T36" s="23" t="str">
        <f t="shared" si="12"/>
        <v/>
      </c>
      <c r="U36" s="23" t="str">
        <f t="shared" si="13"/>
        <v/>
      </c>
      <c r="V36" s="23" t="str">
        <f t="shared" si="14"/>
        <v/>
      </c>
      <c r="W36" s="70" t="str">
        <f t="shared" si="15"/>
        <v/>
      </c>
      <c r="X36" s="70" t="str">
        <f t="shared" si="16"/>
        <v/>
      </c>
      <c r="Y36" s="70" t="str">
        <f>IF(AND($A36&lt;&gt;"",$E36&gt;0),isLaptopBag($C36,$J36)*$D36,"")</f>
        <v/>
      </c>
      <c r="Z36" s="70" t="str">
        <f t="shared" si="17"/>
        <v/>
      </c>
      <c r="AA36" s="70" t="str">
        <f t="shared" si="18"/>
        <v/>
      </c>
      <c r="AB36" s="70" t="str">
        <f t="shared" si="19"/>
        <v/>
      </c>
      <c r="AC36" s="70" t="str">
        <f t="shared" si="20"/>
        <v/>
      </c>
      <c r="AD36" s="70" t="str">
        <f t="shared" si="21"/>
        <v/>
      </c>
      <c r="AE36" s="70" t="str">
        <f t="shared" si="22"/>
        <v/>
      </c>
      <c r="AF36" s="16"/>
      <c r="AG36" s="23"/>
      <c r="AH36" s="22"/>
      <c r="AJ36" s="84">
        <f t="shared" si="23"/>
        <v>0</v>
      </c>
      <c r="AK36" s="10">
        <v>25</v>
      </c>
      <c r="AL36" s="39">
        <f t="shared" si="3"/>
        <v>25</v>
      </c>
      <c r="AO36" s="22" t="str">
        <f t="shared" si="24"/>
        <v/>
      </c>
      <c r="AP36" s="22" t="str">
        <f t="shared" si="25"/>
        <v/>
      </c>
    </row>
    <row r="37" spans="1:42" x14ac:dyDescent="0.25">
      <c r="A37" s="10"/>
      <c r="B37" s="10"/>
      <c r="C37" s="10"/>
      <c r="D37" s="10"/>
      <c r="E37" s="10"/>
      <c r="F37" s="10"/>
      <c r="G37" s="10"/>
      <c r="H37" s="17"/>
      <c r="I37" s="10"/>
      <c r="J37" s="10"/>
      <c r="K37" s="16" t="str">
        <f t="shared" si="4"/>
        <v/>
      </c>
      <c r="L37" s="23" t="str">
        <f t="shared" si="5"/>
        <v/>
      </c>
      <c r="M37" s="22" t="str">
        <f t="shared" si="6"/>
        <v/>
      </c>
      <c r="N37" s="72"/>
      <c r="O37" s="16" t="str">
        <f t="shared" si="7"/>
        <v/>
      </c>
      <c r="P37" s="16" t="str">
        <f t="shared" si="8"/>
        <v/>
      </c>
      <c r="Q37" s="16" t="str">
        <f t="shared" si="9"/>
        <v/>
      </c>
      <c r="R37" s="23" t="str">
        <f t="shared" si="10"/>
        <v/>
      </c>
      <c r="S37" s="23" t="str">
        <f t="shared" si="11"/>
        <v/>
      </c>
      <c r="T37" s="23" t="str">
        <f t="shared" si="12"/>
        <v/>
      </c>
      <c r="U37" s="23" t="str">
        <f t="shared" si="13"/>
        <v/>
      </c>
      <c r="V37" s="23" t="str">
        <f t="shared" si="14"/>
        <v/>
      </c>
      <c r="W37" s="70" t="str">
        <f t="shared" si="15"/>
        <v/>
      </c>
      <c r="X37" s="70" t="str">
        <f t="shared" si="16"/>
        <v/>
      </c>
      <c r="Y37" s="70" t="str">
        <f>IF(AND($A37&lt;&gt;"",$E37&gt;0),isLaptopBag($C37,$J37)*$D37,"")</f>
        <v/>
      </c>
      <c r="Z37" s="70" t="str">
        <f t="shared" si="17"/>
        <v/>
      </c>
      <c r="AA37" s="70" t="str">
        <f t="shared" si="18"/>
        <v/>
      </c>
      <c r="AB37" s="70" t="str">
        <f t="shared" si="19"/>
        <v/>
      </c>
      <c r="AC37" s="70" t="str">
        <f t="shared" si="20"/>
        <v/>
      </c>
      <c r="AD37" s="70" t="str">
        <f t="shared" si="21"/>
        <v/>
      </c>
      <c r="AE37" s="70" t="str">
        <f t="shared" si="22"/>
        <v/>
      </c>
      <c r="AF37" s="16"/>
      <c r="AG37" s="23"/>
      <c r="AH37" s="22"/>
      <c r="AJ37" s="84">
        <f t="shared" si="23"/>
        <v>0</v>
      </c>
      <c r="AK37" s="10">
        <v>26</v>
      </c>
      <c r="AL37" s="39">
        <f t="shared" si="3"/>
        <v>26</v>
      </c>
      <c r="AO37" s="22" t="str">
        <f t="shared" si="24"/>
        <v/>
      </c>
      <c r="AP37" s="22" t="str">
        <f t="shared" si="25"/>
        <v/>
      </c>
    </row>
    <row r="38" spans="1:42" x14ac:dyDescent="0.25">
      <c r="A38" s="10"/>
      <c r="B38" s="10"/>
      <c r="C38" s="10"/>
      <c r="D38" s="10"/>
      <c r="E38" s="10"/>
      <c r="F38" s="10"/>
      <c r="G38" s="10"/>
      <c r="H38" s="17"/>
      <c r="I38" s="10"/>
      <c r="J38" s="10"/>
      <c r="K38" s="16" t="str">
        <f t="shared" si="4"/>
        <v/>
      </c>
      <c r="L38" s="23" t="str">
        <f t="shared" si="5"/>
        <v/>
      </c>
      <c r="M38" s="22" t="str">
        <f t="shared" si="6"/>
        <v/>
      </c>
      <c r="N38" s="72"/>
      <c r="O38" s="16" t="str">
        <f t="shared" si="7"/>
        <v/>
      </c>
      <c r="P38" s="16" t="str">
        <f t="shared" si="8"/>
        <v/>
      </c>
      <c r="Q38" s="16" t="str">
        <f t="shared" si="9"/>
        <v/>
      </c>
      <c r="R38" s="23" t="str">
        <f t="shared" si="10"/>
        <v/>
      </c>
      <c r="S38" s="23" t="str">
        <f t="shared" si="11"/>
        <v/>
      </c>
      <c r="T38" s="23" t="str">
        <f t="shared" si="12"/>
        <v/>
      </c>
      <c r="U38" s="23" t="str">
        <f t="shared" si="13"/>
        <v/>
      </c>
      <c r="V38" s="23" t="str">
        <f t="shared" si="14"/>
        <v/>
      </c>
      <c r="W38" s="70" t="str">
        <f t="shared" si="15"/>
        <v/>
      </c>
      <c r="X38" s="70" t="str">
        <f t="shared" si="16"/>
        <v/>
      </c>
      <c r="Y38" s="70" t="str">
        <f>IF(AND($A38&lt;&gt;"",$E38&gt;0),isLaptopBag($C38,$J38)*$D38,"")</f>
        <v/>
      </c>
      <c r="Z38" s="70" t="str">
        <f t="shared" si="17"/>
        <v/>
      </c>
      <c r="AA38" s="70" t="str">
        <f t="shared" si="18"/>
        <v/>
      </c>
      <c r="AB38" s="70" t="str">
        <f t="shared" si="19"/>
        <v/>
      </c>
      <c r="AC38" s="70" t="str">
        <f t="shared" si="20"/>
        <v/>
      </c>
      <c r="AD38" s="70" t="str">
        <f t="shared" si="21"/>
        <v/>
      </c>
      <c r="AE38" s="70" t="str">
        <f t="shared" si="22"/>
        <v/>
      </c>
      <c r="AF38" s="16"/>
      <c r="AG38" s="23"/>
      <c r="AH38" s="22"/>
      <c r="AJ38" s="84">
        <f t="shared" si="23"/>
        <v>0</v>
      </c>
      <c r="AK38" s="10">
        <v>27</v>
      </c>
      <c r="AL38" s="39">
        <f t="shared" si="3"/>
        <v>27</v>
      </c>
      <c r="AO38" s="22" t="str">
        <f t="shared" si="24"/>
        <v/>
      </c>
      <c r="AP38" s="22" t="str">
        <f t="shared" si="25"/>
        <v/>
      </c>
    </row>
    <row r="39" spans="1:42" x14ac:dyDescent="0.25">
      <c r="A39" s="10"/>
      <c r="B39" s="10"/>
      <c r="C39" s="10"/>
      <c r="D39" s="10"/>
      <c r="E39" s="10"/>
      <c r="F39" s="10"/>
      <c r="G39" s="10"/>
      <c r="H39" s="17"/>
      <c r="I39" s="10"/>
      <c r="J39" s="10"/>
      <c r="K39" s="16" t="str">
        <f t="shared" si="4"/>
        <v/>
      </c>
      <c r="L39" s="23" t="str">
        <f t="shared" si="5"/>
        <v/>
      </c>
      <c r="M39" s="22" t="str">
        <f t="shared" si="6"/>
        <v/>
      </c>
      <c r="N39" s="72"/>
      <c r="O39" s="16" t="str">
        <f t="shared" si="7"/>
        <v/>
      </c>
      <c r="P39" s="16" t="str">
        <f t="shared" si="8"/>
        <v/>
      </c>
      <c r="Q39" s="16" t="str">
        <f t="shared" si="9"/>
        <v/>
      </c>
      <c r="R39" s="23" t="str">
        <f t="shared" si="10"/>
        <v/>
      </c>
      <c r="S39" s="23" t="str">
        <f t="shared" si="11"/>
        <v/>
      </c>
      <c r="T39" s="23" t="str">
        <f t="shared" si="12"/>
        <v/>
      </c>
      <c r="U39" s="23" t="str">
        <f t="shared" si="13"/>
        <v/>
      </c>
      <c r="V39" s="23" t="str">
        <f t="shared" si="14"/>
        <v/>
      </c>
      <c r="W39" s="70" t="str">
        <f t="shared" si="15"/>
        <v/>
      </c>
      <c r="X39" s="70" t="str">
        <f t="shared" si="16"/>
        <v/>
      </c>
      <c r="Y39" s="70" t="str">
        <f>IF(AND($A39&lt;&gt;"",$E39&gt;0),isLaptopBag($C39,$J39)*$D39,"")</f>
        <v/>
      </c>
      <c r="Z39" s="70" t="str">
        <f t="shared" si="17"/>
        <v/>
      </c>
      <c r="AA39" s="70" t="str">
        <f t="shared" si="18"/>
        <v/>
      </c>
      <c r="AB39" s="70" t="str">
        <f t="shared" si="19"/>
        <v/>
      </c>
      <c r="AC39" s="70" t="str">
        <f t="shared" si="20"/>
        <v/>
      </c>
      <c r="AD39" s="70" t="str">
        <f t="shared" si="21"/>
        <v/>
      </c>
      <c r="AE39" s="70" t="str">
        <f t="shared" si="22"/>
        <v/>
      </c>
      <c r="AF39" s="16"/>
      <c r="AG39" s="23"/>
      <c r="AH39" s="22"/>
      <c r="AJ39" s="84">
        <f t="shared" si="23"/>
        <v>0</v>
      </c>
      <c r="AK39" s="10">
        <v>28</v>
      </c>
      <c r="AL39" s="39">
        <f t="shared" si="3"/>
        <v>28</v>
      </c>
      <c r="AO39" s="22" t="str">
        <f t="shared" si="24"/>
        <v/>
      </c>
      <c r="AP39" s="22" t="str">
        <f t="shared" si="25"/>
        <v/>
      </c>
    </row>
    <row r="40" spans="1:42" x14ac:dyDescent="0.25">
      <c r="A40" s="10"/>
      <c r="B40" s="10"/>
      <c r="C40" s="10"/>
      <c r="D40" s="10"/>
      <c r="E40" s="10"/>
      <c r="F40" s="10"/>
      <c r="G40" s="10"/>
      <c r="H40" s="17"/>
      <c r="I40" s="10"/>
      <c r="J40" s="10"/>
      <c r="K40" s="16" t="str">
        <f t="shared" si="4"/>
        <v/>
      </c>
      <c r="L40" s="23" t="str">
        <f t="shared" si="5"/>
        <v/>
      </c>
      <c r="M40" s="22" t="str">
        <f t="shared" si="6"/>
        <v/>
      </c>
      <c r="N40" s="72"/>
      <c r="O40" s="16" t="str">
        <f t="shared" si="7"/>
        <v/>
      </c>
      <c r="P40" s="16" t="str">
        <f t="shared" si="8"/>
        <v/>
      </c>
      <c r="Q40" s="16" t="str">
        <f t="shared" si="9"/>
        <v/>
      </c>
      <c r="R40" s="23" t="str">
        <f t="shared" si="10"/>
        <v/>
      </c>
      <c r="S40" s="23" t="str">
        <f t="shared" si="11"/>
        <v/>
      </c>
      <c r="T40" s="23" t="str">
        <f t="shared" si="12"/>
        <v/>
      </c>
      <c r="U40" s="23" t="str">
        <f t="shared" si="13"/>
        <v/>
      </c>
      <c r="V40" s="23" t="str">
        <f t="shared" si="14"/>
        <v/>
      </c>
      <c r="W40" s="70" t="str">
        <f t="shared" si="15"/>
        <v/>
      </c>
      <c r="X40" s="70" t="str">
        <f t="shared" si="16"/>
        <v/>
      </c>
      <c r="Y40" s="70" t="str">
        <f>IF(AND($A40&lt;&gt;"",$E40&gt;0),isLaptopBag($C40,$J40)*$D40,"")</f>
        <v/>
      </c>
      <c r="Z40" s="70" t="str">
        <f t="shared" si="17"/>
        <v/>
      </c>
      <c r="AA40" s="70" t="str">
        <f t="shared" si="18"/>
        <v/>
      </c>
      <c r="AB40" s="70" t="str">
        <f t="shared" si="19"/>
        <v/>
      </c>
      <c r="AC40" s="70" t="str">
        <f t="shared" si="20"/>
        <v/>
      </c>
      <c r="AD40" s="70" t="str">
        <f t="shared" si="21"/>
        <v/>
      </c>
      <c r="AE40" s="70" t="str">
        <f t="shared" si="22"/>
        <v/>
      </c>
      <c r="AF40" s="16"/>
      <c r="AG40" s="23"/>
      <c r="AH40" s="22"/>
      <c r="AJ40" s="84">
        <f t="shared" si="23"/>
        <v>0</v>
      </c>
      <c r="AK40" s="10">
        <v>29</v>
      </c>
      <c r="AL40" s="39">
        <f t="shared" si="3"/>
        <v>29</v>
      </c>
      <c r="AO40" s="22" t="str">
        <f t="shared" si="24"/>
        <v/>
      </c>
      <c r="AP40" s="22" t="str">
        <f t="shared" si="25"/>
        <v/>
      </c>
    </row>
    <row r="41" spans="1:42" x14ac:dyDescent="0.25">
      <c r="A41" s="10"/>
      <c r="B41" s="10"/>
      <c r="C41" s="10"/>
      <c r="D41" s="10"/>
      <c r="E41" s="10"/>
      <c r="F41" s="10"/>
      <c r="G41" s="10"/>
      <c r="H41" s="17"/>
      <c r="I41" s="10"/>
      <c r="J41" s="10"/>
      <c r="K41" s="16" t="str">
        <f t="shared" si="4"/>
        <v/>
      </c>
      <c r="L41" s="23" t="str">
        <f t="shared" si="5"/>
        <v/>
      </c>
      <c r="M41" s="22" t="str">
        <f t="shared" si="6"/>
        <v/>
      </c>
      <c r="N41" s="72"/>
      <c r="O41" s="16" t="str">
        <f t="shared" si="7"/>
        <v/>
      </c>
      <c r="P41" s="16" t="str">
        <f t="shared" si="8"/>
        <v/>
      </c>
      <c r="Q41" s="16" t="str">
        <f t="shared" si="9"/>
        <v/>
      </c>
      <c r="R41" s="23" t="str">
        <f t="shared" si="10"/>
        <v/>
      </c>
      <c r="S41" s="23" t="str">
        <f t="shared" si="11"/>
        <v/>
      </c>
      <c r="T41" s="23" t="str">
        <f t="shared" si="12"/>
        <v/>
      </c>
      <c r="U41" s="23" t="str">
        <f t="shared" si="13"/>
        <v/>
      </c>
      <c r="V41" s="23" t="str">
        <f t="shared" si="14"/>
        <v/>
      </c>
      <c r="W41" s="70" t="str">
        <f t="shared" si="15"/>
        <v/>
      </c>
      <c r="X41" s="70" t="str">
        <f t="shared" si="16"/>
        <v/>
      </c>
      <c r="Y41" s="70" t="str">
        <f>IF(AND($A41&lt;&gt;"",$E41&gt;0),isLaptopBag($C41,$J41)*$D41,"")</f>
        <v/>
      </c>
      <c r="Z41" s="70" t="str">
        <f t="shared" si="17"/>
        <v/>
      </c>
      <c r="AA41" s="70" t="str">
        <f t="shared" si="18"/>
        <v/>
      </c>
      <c r="AB41" s="70" t="str">
        <f t="shared" si="19"/>
        <v/>
      </c>
      <c r="AC41" s="70" t="str">
        <f t="shared" si="20"/>
        <v/>
      </c>
      <c r="AD41" s="70" t="str">
        <f t="shared" si="21"/>
        <v/>
      </c>
      <c r="AE41" s="70" t="str">
        <f t="shared" si="22"/>
        <v/>
      </c>
      <c r="AF41" s="16"/>
      <c r="AG41" s="23"/>
      <c r="AH41" s="22"/>
      <c r="AJ41" s="84">
        <f t="shared" si="23"/>
        <v>0</v>
      </c>
      <c r="AK41" s="10">
        <v>30</v>
      </c>
      <c r="AL41" s="39">
        <f t="shared" si="3"/>
        <v>30</v>
      </c>
      <c r="AO41" s="22" t="str">
        <f t="shared" si="24"/>
        <v/>
      </c>
      <c r="AP41" s="22" t="str">
        <f t="shared" si="25"/>
        <v/>
      </c>
    </row>
    <row r="42" spans="1:42" x14ac:dyDescent="0.25">
      <c r="A42" s="10"/>
      <c r="B42" s="10"/>
      <c r="C42" s="10"/>
      <c r="D42" s="10"/>
      <c r="E42" s="10"/>
      <c r="F42" s="10"/>
      <c r="G42" s="10"/>
      <c r="H42" s="17"/>
      <c r="I42" s="10"/>
      <c r="J42" s="10"/>
      <c r="K42" s="16" t="str">
        <f t="shared" si="4"/>
        <v/>
      </c>
      <c r="L42" s="23" t="str">
        <f t="shared" si="5"/>
        <v/>
      </c>
      <c r="M42" s="22" t="str">
        <f t="shared" si="6"/>
        <v/>
      </c>
      <c r="N42" s="72"/>
      <c r="O42" s="16" t="str">
        <f t="shared" si="7"/>
        <v/>
      </c>
      <c r="P42" s="16" t="str">
        <f t="shared" si="8"/>
        <v/>
      </c>
      <c r="Q42" s="16" t="str">
        <f t="shared" si="9"/>
        <v/>
      </c>
      <c r="R42" s="23" t="str">
        <f t="shared" si="10"/>
        <v/>
      </c>
      <c r="S42" s="23" t="str">
        <f t="shared" si="11"/>
        <v/>
      </c>
      <c r="T42" s="23" t="str">
        <f t="shared" si="12"/>
        <v/>
      </c>
      <c r="U42" s="23" t="str">
        <f t="shared" si="13"/>
        <v/>
      </c>
      <c r="V42" s="23" t="str">
        <f t="shared" si="14"/>
        <v/>
      </c>
      <c r="W42" s="70" t="str">
        <f t="shared" si="15"/>
        <v/>
      </c>
      <c r="X42" s="70" t="str">
        <f t="shared" si="16"/>
        <v/>
      </c>
      <c r="Y42" s="70" t="str">
        <f>IF(AND($A42&lt;&gt;"",$E42&gt;0),isLaptopBag($C42,$J42)*$D42,"")</f>
        <v/>
      </c>
      <c r="Z42" s="70" t="str">
        <f t="shared" si="17"/>
        <v/>
      </c>
      <c r="AA42" s="70" t="str">
        <f t="shared" si="18"/>
        <v/>
      </c>
      <c r="AB42" s="70" t="str">
        <f t="shared" si="19"/>
        <v/>
      </c>
      <c r="AC42" s="70" t="str">
        <f t="shared" si="20"/>
        <v/>
      </c>
      <c r="AD42" s="70" t="str">
        <f t="shared" si="21"/>
        <v/>
      </c>
      <c r="AE42" s="70" t="str">
        <f t="shared" si="22"/>
        <v/>
      </c>
      <c r="AF42" s="16"/>
      <c r="AG42" s="23"/>
      <c r="AH42" s="22"/>
      <c r="AJ42" s="83">
        <f t="shared" si="23"/>
        <v>0</v>
      </c>
      <c r="AK42" s="86">
        <v>31</v>
      </c>
      <c r="AL42" s="39">
        <f t="shared" si="3"/>
        <v>31</v>
      </c>
      <c r="AM42">
        <f>AL42</f>
        <v>31</v>
      </c>
      <c r="AO42" s="22" t="str">
        <f t="shared" si="24"/>
        <v/>
      </c>
      <c r="AP42" s="22" t="str">
        <f t="shared" si="25"/>
        <v/>
      </c>
    </row>
    <row r="43" spans="1:42" x14ac:dyDescent="0.25">
      <c r="A43" s="10"/>
      <c r="B43" s="10"/>
      <c r="C43" s="10"/>
      <c r="D43" s="10"/>
      <c r="E43" s="10"/>
      <c r="F43" s="10"/>
      <c r="G43" s="10"/>
      <c r="H43" s="17"/>
      <c r="I43" s="10"/>
      <c r="J43" s="10"/>
      <c r="K43" s="16" t="str">
        <f t="shared" si="4"/>
        <v/>
      </c>
      <c r="L43" s="23" t="str">
        <f t="shared" si="5"/>
        <v/>
      </c>
      <c r="M43" s="22" t="str">
        <f t="shared" si="6"/>
        <v/>
      </c>
      <c r="N43" s="72"/>
      <c r="O43" s="16" t="str">
        <f t="shared" si="7"/>
        <v/>
      </c>
      <c r="P43" s="16" t="str">
        <f t="shared" si="8"/>
        <v/>
      </c>
      <c r="Q43" s="16" t="str">
        <f t="shared" si="9"/>
        <v/>
      </c>
      <c r="R43" s="23" t="str">
        <f t="shared" si="10"/>
        <v/>
      </c>
      <c r="S43" s="23" t="str">
        <f t="shared" si="11"/>
        <v/>
      </c>
      <c r="T43" s="23" t="str">
        <f t="shared" si="12"/>
        <v/>
      </c>
      <c r="U43" s="23" t="str">
        <f t="shared" si="13"/>
        <v/>
      </c>
      <c r="V43" s="23" t="str">
        <f t="shared" si="14"/>
        <v/>
      </c>
      <c r="W43" s="70" t="str">
        <f t="shared" si="15"/>
        <v/>
      </c>
      <c r="X43" s="70" t="str">
        <f t="shared" si="16"/>
        <v/>
      </c>
      <c r="Y43" s="70" t="str">
        <f>IF(AND($A43&lt;&gt;"",$E43&gt;0),isLaptopBag($C43,$J43)*$D43,"")</f>
        <v/>
      </c>
      <c r="Z43" s="70" t="str">
        <f t="shared" si="17"/>
        <v/>
      </c>
      <c r="AA43" s="70" t="str">
        <f t="shared" si="18"/>
        <v/>
      </c>
      <c r="AB43" s="70" t="str">
        <f t="shared" si="19"/>
        <v/>
      </c>
      <c r="AC43" s="70" t="str">
        <f t="shared" si="20"/>
        <v/>
      </c>
      <c r="AD43" s="70" t="str">
        <f t="shared" si="21"/>
        <v/>
      </c>
      <c r="AE43" s="70" t="str">
        <f t="shared" si="22"/>
        <v/>
      </c>
      <c r="AF43" s="16"/>
      <c r="AG43" s="23"/>
      <c r="AH43" s="22"/>
      <c r="AJ43" s="83">
        <f t="shared" si="23"/>
        <v>0</v>
      </c>
      <c r="AM43" s="39"/>
      <c r="AO43" s="22" t="str">
        <f t="shared" si="24"/>
        <v/>
      </c>
      <c r="AP43" s="22" t="str">
        <f t="shared" si="25"/>
        <v/>
      </c>
    </row>
    <row r="44" spans="1:42" x14ac:dyDescent="0.25">
      <c r="A44" s="10"/>
      <c r="B44" s="10"/>
      <c r="C44" s="10"/>
      <c r="D44" s="10"/>
      <c r="E44" s="10"/>
      <c r="F44" s="10"/>
      <c r="G44" s="10"/>
      <c r="H44" s="17"/>
      <c r="I44" s="10"/>
      <c r="J44" s="10"/>
      <c r="K44" s="16" t="str">
        <f t="shared" si="4"/>
        <v/>
      </c>
      <c r="L44" s="23" t="str">
        <f t="shared" si="5"/>
        <v/>
      </c>
      <c r="M44" s="22" t="str">
        <f t="shared" si="6"/>
        <v/>
      </c>
      <c r="N44" s="72"/>
      <c r="O44" s="16" t="str">
        <f t="shared" si="7"/>
        <v/>
      </c>
      <c r="P44" s="16" t="str">
        <f t="shared" si="8"/>
        <v/>
      </c>
      <c r="Q44" s="16" t="str">
        <f t="shared" si="9"/>
        <v/>
      </c>
      <c r="R44" s="23" t="str">
        <f t="shared" si="10"/>
        <v/>
      </c>
      <c r="S44" s="23" t="str">
        <f t="shared" si="11"/>
        <v/>
      </c>
      <c r="T44" s="23" t="str">
        <f t="shared" si="12"/>
        <v/>
      </c>
      <c r="U44" s="23" t="str">
        <f t="shared" si="13"/>
        <v/>
      </c>
      <c r="V44" s="23" t="str">
        <f t="shared" si="14"/>
        <v/>
      </c>
      <c r="W44" s="70" t="str">
        <f t="shared" si="15"/>
        <v/>
      </c>
      <c r="X44" s="70" t="str">
        <f t="shared" si="16"/>
        <v/>
      </c>
      <c r="Y44" s="70" t="str">
        <f>IF(AND($A44&lt;&gt;"",$E44&gt;0),isLaptopBag($C44,$J44)*$D44,"")</f>
        <v/>
      </c>
      <c r="Z44" s="70" t="str">
        <f t="shared" si="17"/>
        <v/>
      </c>
      <c r="AA44" s="70" t="str">
        <f t="shared" si="18"/>
        <v/>
      </c>
      <c r="AB44" s="70" t="str">
        <f t="shared" si="19"/>
        <v/>
      </c>
      <c r="AC44" s="70" t="str">
        <f t="shared" si="20"/>
        <v/>
      </c>
      <c r="AD44" s="70" t="str">
        <f t="shared" si="21"/>
        <v/>
      </c>
      <c r="AE44" s="70" t="str">
        <f t="shared" si="22"/>
        <v/>
      </c>
      <c r="AF44" s="16"/>
      <c r="AG44" s="23"/>
      <c r="AH44" s="22"/>
      <c r="AJ44" s="83">
        <f t="shared" si="23"/>
        <v>0</v>
      </c>
      <c r="AO44" s="22" t="str">
        <f t="shared" si="24"/>
        <v/>
      </c>
      <c r="AP44" s="22" t="str">
        <f t="shared" si="25"/>
        <v/>
      </c>
    </row>
    <row r="45" spans="1:42" x14ac:dyDescent="0.25">
      <c r="A45" s="10"/>
      <c r="B45" s="10"/>
      <c r="C45" s="10"/>
      <c r="D45" s="10"/>
      <c r="E45" s="10"/>
      <c r="F45" s="10"/>
      <c r="G45" s="10"/>
      <c r="H45" s="17"/>
      <c r="I45" s="10"/>
      <c r="J45" s="10"/>
      <c r="K45" s="16" t="str">
        <f t="shared" si="4"/>
        <v/>
      </c>
      <c r="L45" s="23" t="str">
        <f t="shared" si="5"/>
        <v/>
      </c>
      <c r="M45" s="22" t="str">
        <f t="shared" si="6"/>
        <v/>
      </c>
      <c r="N45" s="72"/>
      <c r="O45" s="16" t="str">
        <f t="shared" si="7"/>
        <v/>
      </c>
      <c r="P45" s="16" t="str">
        <f t="shared" si="8"/>
        <v/>
      </c>
      <c r="Q45" s="16" t="str">
        <f t="shared" si="9"/>
        <v/>
      </c>
      <c r="R45" s="23" t="str">
        <f t="shared" si="10"/>
        <v/>
      </c>
      <c r="S45" s="23" t="str">
        <f t="shared" si="11"/>
        <v/>
      </c>
      <c r="T45" s="23" t="str">
        <f t="shared" si="12"/>
        <v/>
      </c>
      <c r="U45" s="23" t="str">
        <f t="shared" si="13"/>
        <v/>
      </c>
      <c r="V45" s="23" t="str">
        <f t="shared" si="14"/>
        <v/>
      </c>
      <c r="W45" s="70" t="str">
        <f t="shared" si="15"/>
        <v/>
      </c>
      <c r="X45" s="70" t="str">
        <f t="shared" si="16"/>
        <v/>
      </c>
      <c r="Y45" s="70" t="str">
        <f>IF(AND($A45&lt;&gt;"",$E45&gt;0),isLaptopBag($C45,$J45)*$D45,"")</f>
        <v/>
      </c>
      <c r="Z45" s="70" t="str">
        <f t="shared" si="17"/>
        <v/>
      </c>
      <c r="AA45" s="70" t="str">
        <f t="shared" si="18"/>
        <v/>
      </c>
      <c r="AB45" s="70" t="str">
        <f t="shared" si="19"/>
        <v/>
      </c>
      <c r="AC45" s="70" t="str">
        <f t="shared" si="20"/>
        <v/>
      </c>
      <c r="AD45" s="70" t="str">
        <f t="shared" si="21"/>
        <v/>
      </c>
      <c r="AE45" s="70" t="str">
        <f t="shared" si="22"/>
        <v/>
      </c>
      <c r="AF45" s="16"/>
      <c r="AG45" s="23"/>
      <c r="AH45" s="22"/>
      <c r="AJ45" s="83">
        <f t="shared" si="23"/>
        <v>0</v>
      </c>
      <c r="AO45" s="22" t="str">
        <f t="shared" si="24"/>
        <v/>
      </c>
      <c r="AP45" s="22" t="str">
        <f t="shared" si="25"/>
        <v/>
      </c>
    </row>
    <row r="46" spans="1:42" x14ac:dyDescent="0.25">
      <c r="A46" s="10"/>
      <c r="B46" s="10"/>
      <c r="C46" s="10"/>
      <c r="D46" s="10"/>
      <c r="E46" s="10"/>
      <c r="F46" s="10"/>
      <c r="G46" s="10"/>
      <c r="H46" s="17"/>
      <c r="I46" s="10"/>
      <c r="J46" s="10"/>
      <c r="K46" s="16" t="str">
        <f t="shared" si="4"/>
        <v/>
      </c>
      <c r="L46" s="23" t="str">
        <f t="shared" si="5"/>
        <v/>
      </c>
      <c r="M46" s="22" t="str">
        <f t="shared" si="6"/>
        <v/>
      </c>
      <c r="N46" s="72"/>
      <c r="O46" s="16" t="str">
        <f t="shared" si="7"/>
        <v/>
      </c>
      <c r="P46" s="16" t="str">
        <f t="shared" si="8"/>
        <v/>
      </c>
      <c r="Q46" s="16" t="str">
        <f t="shared" si="9"/>
        <v/>
      </c>
      <c r="R46" s="23" t="str">
        <f t="shared" si="10"/>
        <v/>
      </c>
      <c r="S46" s="23" t="str">
        <f t="shared" si="11"/>
        <v/>
      </c>
      <c r="T46" s="23" t="str">
        <f t="shared" si="12"/>
        <v/>
      </c>
      <c r="U46" s="23" t="str">
        <f t="shared" si="13"/>
        <v/>
      </c>
      <c r="V46" s="23" t="str">
        <f t="shared" si="14"/>
        <v/>
      </c>
      <c r="W46" s="70" t="str">
        <f t="shared" si="15"/>
        <v/>
      </c>
      <c r="X46" s="70" t="str">
        <f t="shared" si="16"/>
        <v/>
      </c>
      <c r="Y46" s="70" t="str">
        <f>IF(AND($A46&lt;&gt;"",$E46&gt;0),isLaptopBag($C46,$J46)*$D46,"")</f>
        <v/>
      </c>
      <c r="Z46" s="70" t="str">
        <f t="shared" si="17"/>
        <v/>
      </c>
      <c r="AA46" s="70" t="str">
        <f t="shared" si="18"/>
        <v/>
      </c>
      <c r="AB46" s="70" t="str">
        <f t="shared" si="19"/>
        <v/>
      </c>
      <c r="AC46" s="70" t="str">
        <f t="shared" si="20"/>
        <v/>
      </c>
      <c r="AD46" s="70" t="str">
        <f t="shared" si="21"/>
        <v/>
      </c>
      <c r="AE46" s="70" t="str">
        <f t="shared" si="22"/>
        <v/>
      </c>
      <c r="AF46" s="16"/>
      <c r="AG46" s="23"/>
      <c r="AH46" s="22"/>
      <c r="AJ46" s="83">
        <f t="shared" si="23"/>
        <v>0</v>
      </c>
      <c r="AO46" s="22" t="str">
        <f t="shared" si="24"/>
        <v/>
      </c>
      <c r="AP46" s="22" t="str">
        <f t="shared" si="25"/>
        <v/>
      </c>
    </row>
    <row r="47" spans="1:42" x14ac:dyDescent="0.25">
      <c r="A47" s="10"/>
      <c r="B47" s="10"/>
      <c r="C47" s="10"/>
      <c r="D47" s="10"/>
      <c r="E47" s="10"/>
      <c r="F47" s="10"/>
      <c r="G47" s="10"/>
      <c r="H47" s="17"/>
      <c r="I47" s="10"/>
      <c r="J47" s="10"/>
      <c r="K47" s="16" t="str">
        <f t="shared" si="4"/>
        <v/>
      </c>
      <c r="L47" s="23" t="str">
        <f t="shared" si="5"/>
        <v/>
      </c>
      <c r="M47" s="22" t="str">
        <f t="shared" si="6"/>
        <v/>
      </c>
      <c r="N47" s="72"/>
      <c r="O47" s="16" t="str">
        <f t="shared" si="7"/>
        <v/>
      </c>
      <c r="P47" s="16" t="str">
        <f t="shared" si="8"/>
        <v/>
      </c>
      <c r="Q47" s="16" t="str">
        <f t="shared" si="9"/>
        <v/>
      </c>
      <c r="R47" s="23" t="str">
        <f t="shared" si="10"/>
        <v/>
      </c>
      <c r="S47" s="23" t="str">
        <f t="shared" si="11"/>
        <v/>
      </c>
      <c r="T47" s="23" t="str">
        <f t="shared" si="12"/>
        <v/>
      </c>
      <c r="U47" s="23" t="str">
        <f t="shared" si="13"/>
        <v/>
      </c>
      <c r="V47" s="23" t="str">
        <f t="shared" si="14"/>
        <v/>
      </c>
      <c r="W47" s="70" t="str">
        <f t="shared" si="15"/>
        <v/>
      </c>
      <c r="X47" s="70" t="str">
        <f t="shared" si="16"/>
        <v/>
      </c>
      <c r="Y47" s="70" t="str">
        <f>IF(AND($A47&lt;&gt;"",$E47&gt;0),isLaptopBag($C47,$J47)*$D47,"")</f>
        <v/>
      </c>
      <c r="Z47" s="70" t="str">
        <f t="shared" si="17"/>
        <v/>
      </c>
      <c r="AA47" s="70" t="str">
        <f t="shared" si="18"/>
        <v/>
      </c>
      <c r="AB47" s="70" t="str">
        <f t="shared" si="19"/>
        <v/>
      </c>
      <c r="AC47" s="70" t="str">
        <f t="shared" si="20"/>
        <v/>
      </c>
      <c r="AD47" s="70" t="str">
        <f t="shared" si="21"/>
        <v/>
      </c>
      <c r="AE47" s="70" t="str">
        <f t="shared" si="22"/>
        <v/>
      </c>
      <c r="AF47" s="16"/>
      <c r="AG47" s="23"/>
      <c r="AH47" s="22"/>
      <c r="AJ47" s="83">
        <f t="shared" si="23"/>
        <v>0</v>
      </c>
      <c r="AO47" s="22" t="str">
        <f t="shared" si="24"/>
        <v/>
      </c>
      <c r="AP47" s="22" t="str">
        <f t="shared" si="25"/>
        <v/>
      </c>
    </row>
    <row r="48" spans="1:42" x14ac:dyDescent="0.25">
      <c r="A48" s="10"/>
      <c r="B48" s="10"/>
      <c r="C48" s="10"/>
      <c r="D48" s="10"/>
      <c r="E48" s="10"/>
      <c r="F48" s="10"/>
      <c r="G48" s="10"/>
      <c r="H48" s="17"/>
      <c r="I48" s="10"/>
      <c r="J48" s="10"/>
      <c r="K48" s="16" t="str">
        <f t="shared" si="4"/>
        <v/>
      </c>
      <c r="L48" s="23" t="str">
        <f t="shared" si="5"/>
        <v/>
      </c>
      <c r="M48" s="22" t="str">
        <f t="shared" si="6"/>
        <v/>
      </c>
      <c r="N48" s="72"/>
      <c r="O48" s="16" t="str">
        <f t="shared" si="7"/>
        <v/>
      </c>
      <c r="P48" s="16" t="str">
        <f t="shared" si="8"/>
        <v/>
      </c>
      <c r="Q48" s="16" t="str">
        <f t="shared" si="9"/>
        <v/>
      </c>
      <c r="R48" s="23" t="str">
        <f t="shared" si="10"/>
        <v/>
      </c>
      <c r="S48" s="23" t="str">
        <f t="shared" si="11"/>
        <v/>
      </c>
      <c r="T48" s="23" t="str">
        <f t="shared" si="12"/>
        <v/>
      </c>
      <c r="U48" s="23" t="str">
        <f t="shared" si="13"/>
        <v/>
      </c>
      <c r="V48" s="23" t="str">
        <f t="shared" si="14"/>
        <v/>
      </c>
      <c r="W48" s="70" t="str">
        <f t="shared" si="15"/>
        <v/>
      </c>
      <c r="X48" s="70" t="str">
        <f t="shared" si="16"/>
        <v/>
      </c>
      <c r="Y48" s="70" t="str">
        <f>IF(AND($A48&lt;&gt;"",$E48&gt;0),isLaptopBag($C48,$J48)*$D48,"")</f>
        <v/>
      </c>
      <c r="Z48" s="70" t="str">
        <f t="shared" si="17"/>
        <v/>
      </c>
      <c r="AA48" s="70" t="str">
        <f t="shared" si="18"/>
        <v/>
      </c>
      <c r="AB48" s="70" t="str">
        <f t="shared" si="19"/>
        <v/>
      </c>
      <c r="AC48" s="70" t="str">
        <f t="shared" si="20"/>
        <v/>
      </c>
      <c r="AD48" s="70" t="str">
        <f t="shared" si="21"/>
        <v/>
      </c>
      <c r="AE48" s="70" t="str">
        <f t="shared" si="22"/>
        <v/>
      </c>
      <c r="AF48" s="16"/>
      <c r="AG48" s="23"/>
      <c r="AH48" s="22"/>
      <c r="AJ48" s="83">
        <f t="shared" si="23"/>
        <v>0</v>
      </c>
      <c r="AO48" s="22" t="str">
        <f t="shared" si="24"/>
        <v/>
      </c>
      <c r="AP48" s="22" t="str">
        <f t="shared" si="25"/>
        <v/>
      </c>
    </row>
    <row r="49" spans="1:42" x14ac:dyDescent="0.25">
      <c r="A49" s="10"/>
      <c r="B49" s="10"/>
      <c r="C49" s="10"/>
      <c r="D49" s="10"/>
      <c r="E49" s="10"/>
      <c r="F49" s="10"/>
      <c r="G49" s="10"/>
      <c r="H49" s="17"/>
      <c r="I49" s="10"/>
      <c r="J49" s="10"/>
      <c r="K49" s="16" t="str">
        <f t="shared" si="4"/>
        <v/>
      </c>
      <c r="L49" s="23" t="str">
        <f t="shared" si="5"/>
        <v/>
      </c>
      <c r="M49" s="22" t="str">
        <f t="shared" si="6"/>
        <v/>
      </c>
      <c r="N49" s="72"/>
      <c r="O49" s="16" t="str">
        <f t="shared" si="7"/>
        <v/>
      </c>
      <c r="P49" s="16" t="str">
        <f t="shared" si="8"/>
        <v/>
      </c>
      <c r="Q49" s="16" t="str">
        <f t="shared" si="9"/>
        <v/>
      </c>
      <c r="R49" s="23" t="str">
        <f t="shared" si="10"/>
        <v/>
      </c>
      <c r="S49" s="23" t="str">
        <f t="shared" si="11"/>
        <v/>
      </c>
      <c r="T49" s="23" t="str">
        <f t="shared" si="12"/>
        <v/>
      </c>
      <c r="U49" s="23" t="str">
        <f t="shared" si="13"/>
        <v/>
      </c>
      <c r="V49" s="23" t="str">
        <f t="shared" si="14"/>
        <v/>
      </c>
      <c r="W49" s="70" t="str">
        <f t="shared" si="15"/>
        <v/>
      </c>
      <c r="X49" s="70" t="str">
        <f t="shared" si="16"/>
        <v/>
      </c>
      <c r="Y49" s="70" t="str">
        <f>IF(AND($A49&lt;&gt;"",$E49&gt;0),isLaptopBag($C49,$J49)*$D49,"")</f>
        <v/>
      </c>
      <c r="Z49" s="70" t="str">
        <f t="shared" si="17"/>
        <v/>
      </c>
      <c r="AA49" s="70" t="str">
        <f t="shared" si="18"/>
        <v/>
      </c>
      <c r="AB49" s="70" t="str">
        <f t="shared" si="19"/>
        <v/>
      </c>
      <c r="AC49" s="70" t="str">
        <f t="shared" si="20"/>
        <v/>
      </c>
      <c r="AD49" s="70" t="str">
        <f t="shared" si="21"/>
        <v/>
      </c>
      <c r="AE49" s="70" t="str">
        <f t="shared" si="22"/>
        <v/>
      </c>
      <c r="AF49" s="16"/>
      <c r="AG49" s="23"/>
      <c r="AH49" s="22"/>
      <c r="AJ49" s="83">
        <f t="shared" si="23"/>
        <v>0</v>
      </c>
      <c r="AO49" s="22" t="str">
        <f t="shared" si="24"/>
        <v/>
      </c>
      <c r="AP49" s="22" t="str">
        <f t="shared" si="25"/>
        <v/>
      </c>
    </row>
    <row r="50" spans="1:42" x14ac:dyDescent="0.25">
      <c r="A50" s="10"/>
      <c r="B50" s="10"/>
      <c r="C50" s="10"/>
      <c r="D50" s="10"/>
      <c r="E50" s="10"/>
      <c r="F50" s="10"/>
      <c r="G50" s="10"/>
      <c r="H50" s="17"/>
      <c r="I50" s="10"/>
      <c r="J50" s="10"/>
      <c r="K50" s="16" t="str">
        <f t="shared" si="4"/>
        <v/>
      </c>
      <c r="L50" s="23" t="str">
        <f t="shared" si="5"/>
        <v/>
      </c>
      <c r="M50" s="22" t="str">
        <f t="shared" si="6"/>
        <v/>
      </c>
      <c r="N50" s="72"/>
      <c r="O50" s="16" t="str">
        <f t="shared" si="7"/>
        <v/>
      </c>
      <c r="P50" s="16" t="str">
        <f t="shared" si="8"/>
        <v/>
      </c>
      <c r="Q50" s="16" t="str">
        <f t="shared" si="9"/>
        <v/>
      </c>
      <c r="R50" s="23" t="str">
        <f t="shared" si="10"/>
        <v/>
      </c>
      <c r="S50" s="23" t="str">
        <f t="shared" si="11"/>
        <v/>
      </c>
      <c r="T50" s="23" t="str">
        <f t="shared" si="12"/>
        <v/>
      </c>
      <c r="U50" s="23" t="str">
        <f t="shared" si="13"/>
        <v/>
      </c>
      <c r="V50" s="23" t="str">
        <f t="shared" si="14"/>
        <v/>
      </c>
      <c r="W50" s="70" t="str">
        <f t="shared" si="15"/>
        <v/>
      </c>
      <c r="X50" s="70" t="str">
        <f t="shared" si="16"/>
        <v/>
      </c>
      <c r="Y50" s="70" t="str">
        <f>IF(AND($A50&lt;&gt;"",$E50&gt;0),isLaptopBag($C50,$J50)*$D50,"")</f>
        <v/>
      </c>
      <c r="Z50" s="70" t="str">
        <f t="shared" si="17"/>
        <v/>
      </c>
      <c r="AA50" s="70" t="str">
        <f t="shared" si="18"/>
        <v/>
      </c>
      <c r="AB50" s="70" t="str">
        <f t="shared" si="19"/>
        <v/>
      </c>
      <c r="AC50" s="70" t="str">
        <f t="shared" si="20"/>
        <v/>
      </c>
      <c r="AD50" s="70" t="str">
        <f t="shared" si="21"/>
        <v/>
      </c>
      <c r="AE50" s="70" t="str">
        <f t="shared" si="22"/>
        <v/>
      </c>
      <c r="AF50" s="16"/>
      <c r="AG50" s="23"/>
      <c r="AH50" s="22"/>
      <c r="AJ50" s="83">
        <f t="shared" si="23"/>
        <v>0</v>
      </c>
      <c r="AO50" s="22" t="str">
        <f t="shared" si="24"/>
        <v/>
      </c>
      <c r="AP50" s="22" t="str">
        <f t="shared" si="25"/>
        <v/>
      </c>
    </row>
    <row r="51" spans="1:42" x14ac:dyDescent="0.25">
      <c r="A51" s="10"/>
      <c r="B51" s="10"/>
      <c r="C51" s="10"/>
      <c r="D51" s="10"/>
      <c r="E51" s="10"/>
      <c r="F51" s="10"/>
      <c r="G51" s="10"/>
      <c r="H51" s="17"/>
      <c r="I51" s="10"/>
      <c r="J51" s="10"/>
      <c r="K51" s="16" t="str">
        <f t="shared" si="4"/>
        <v/>
      </c>
      <c r="L51" s="23" t="str">
        <f t="shared" si="5"/>
        <v/>
      </c>
      <c r="M51" s="22" t="str">
        <f t="shared" si="6"/>
        <v/>
      </c>
      <c r="N51" s="72"/>
      <c r="O51" s="16" t="str">
        <f t="shared" si="7"/>
        <v/>
      </c>
      <c r="P51" s="16" t="str">
        <f t="shared" si="8"/>
        <v/>
      </c>
      <c r="Q51" s="16" t="str">
        <f t="shared" si="9"/>
        <v/>
      </c>
      <c r="R51" s="23" t="str">
        <f t="shared" si="10"/>
        <v/>
      </c>
      <c r="S51" s="23" t="str">
        <f t="shared" si="11"/>
        <v/>
      </c>
      <c r="T51" s="23" t="str">
        <f t="shared" si="12"/>
        <v/>
      </c>
      <c r="U51" s="23" t="str">
        <f t="shared" si="13"/>
        <v/>
      </c>
      <c r="V51" s="23" t="str">
        <f t="shared" si="14"/>
        <v/>
      </c>
      <c r="W51" s="70" t="str">
        <f t="shared" si="15"/>
        <v/>
      </c>
      <c r="X51" s="70" t="str">
        <f t="shared" si="16"/>
        <v/>
      </c>
      <c r="Y51" s="70" t="str">
        <f>IF(AND($A51&lt;&gt;"",$E51&gt;0),isLaptopBag($C51,$J51)*$D51,"")</f>
        <v/>
      </c>
      <c r="Z51" s="70" t="str">
        <f t="shared" si="17"/>
        <v/>
      </c>
      <c r="AA51" s="70" t="str">
        <f t="shared" si="18"/>
        <v/>
      </c>
      <c r="AB51" s="70" t="str">
        <f t="shared" si="19"/>
        <v/>
      </c>
      <c r="AC51" s="70" t="str">
        <f t="shared" si="20"/>
        <v/>
      </c>
      <c r="AD51" s="70" t="str">
        <f t="shared" si="21"/>
        <v/>
      </c>
      <c r="AE51" s="70" t="str">
        <f t="shared" si="22"/>
        <v/>
      </c>
      <c r="AF51" s="16"/>
      <c r="AG51" s="23"/>
      <c r="AH51" s="22"/>
      <c r="AJ51" s="83">
        <f t="shared" si="23"/>
        <v>0</v>
      </c>
      <c r="AO51" s="22" t="str">
        <f t="shared" si="24"/>
        <v/>
      </c>
      <c r="AP51" s="22" t="str">
        <f t="shared" si="25"/>
        <v/>
      </c>
    </row>
    <row r="52" spans="1:42" x14ac:dyDescent="0.25">
      <c r="A52" s="10"/>
      <c r="B52" s="10"/>
      <c r="C52" s="10"/>
      <c r="D52" s="10"/>
      <c r="E52" s="10"/>
      <c r="F52" s="10"/>
      <c r="G52" s="10"/>
      <c r="H52" s="17"/>
      <c r="I52" s="10"/>
      <c r="J52" s="10"/>
      <c r="K52" s="16" t="str">
        <f t="shared" si="4"/>
        <v/>
      </c>
      <c r="L52" s="23" t="str">
        <f t="shared" si="5"/>
        <v/>
      </c>
      <c r="M52" s="22" t="str">
        <f t="shared" si="6"/>
        <v/>
      </c>
      <c r="N52" s="72"/>
      <c r="O52" s="16" t="str">
        <f t="shared" si="7"/>
        <v/>
      </c>
      <c r="P52" s="16" t="str">
        <f t="shared" si="8"/>
        <v/>
      </c>
      <c r="Q52" s="16" t="str">
        <f t="shared" si="9"/>
        <v/>
      </c>
      <c r="R52" s="23" t="str">
        <f t="shared" si="10"/>
        <v/>
      </c>
      <c r="S52" s="23" t="str">
        <f t="shared" si="11"/>
        <v/>
      </c>
      <c r="T52" s="23" t="str">
        <f t="shared" si="12"/>
        <v/>
      </c>
      <c r="U52" s="23" t="str">
        <f t="shared" si="13"/>
        <v/>
      </c>
      <c r="V52" s="23" t="str">
        <f t="shared" si="14"/>
        <v/>
      </c>
      <c r="W52" s="70" t="str">
        <f t="shared" si="15"/>
        <v/>
      </c>
      <c r="X52" s="70" t="str">
        <f t="shared" si="16"/>
        <v/>
      </c>
      <c r="Y52" s="70" t="str">
        <f>IF(AND($A52&lt;&gt;"",$E52&gt;0),isLaptopBag($C52,$J52)*$D52,"")</f>
        <v/>
      </c>
      <c r="Z52" s="70" t="str">
        <f t="shared" si="17"/>
        <v/>
      </c>
      <c r="AA52" s="70" t="str">
        <f t="shared" si="18"/>
        <v/>
      </c>
      <c r="AB52" s="70" t="str">
        <f t="shared" si="19"/>
        <v/>
      </c>
      <c r="AC52" s="70" t="str">
        <f t="shared" si="20"/>
        <v/>
      </c>
      <c r="AD52" s="70" t="str">
        <f t="shared" si="21"/>
        <v/>
      </c>
      <c r="AE52" s="70" t="str">
        <f t="shared" si="22"/>
        <v/>
      </c>
      <c r="AF52" s="16"/>
      <c r="AG52" s="23"/>
      <c r="AH52" s="22"/>
      <c r="AJ52" s="83">
        <f t="shared" si="23"/>
        <v>0</v>
      </c>
      <c r="AO52" s="22" t="str">
        <f t="shared" si="24"/>
        <v/>
      </c>
      <c r="AP52" s="22" t="str">
        <f t="shared" si="25"/>
        <v/>
      </c>
    </row>
    <row r="53" spans="1:42" x14ac:dyDescent="0.25">
      <c r="A53" s="10"/>
      <c r="B53" s="10"/>
      <c r="C53" s="10"/>
      <c r="D53" s="10"/>
      <c r="E53" s="10"/>
      <c r="F53" s="10"/>
      <c r="G53" s="10"/>
      <c r="H53" s="17"/>
      <c r="I53" s="10"/>
      <c r="J53" s="10"/>
      <c r="K53" s="16" t="str">
        <f t="shared" si="4"/>
        <v/>
      </c>
      <c r="L53" s="23" t="str">
        <f t="shared" si="5"/>
        <v/>
      </c>
      <c r="M53" s="22" t="str">
        <f t="shared" si="6"/>
        <v/>
      </c>
      <c r="N53" s="72"/>
      <c r="O53" s="16" t="str">
        <f t="shared" si="7"/>
        <v/>
      </c>
      <c r="P53" s="16" t="str">
        <f t="shared" si="8"/>
        <v/>
      </c>
      <c r="Q53" s="16" t="str">
        <f t="shared" si="9"/>
        <v/>
      </c>
      <c r="R53" s="23" t="str">
        <f t="shared" si="10"/>
        <v/>
      </c>
      <c r="S53" s="23" t="str">
        <f t="shared" si="11"/>
        <v/>
      </c>
      <c r="T53" s="23" t="str">
        <f t="shared" si="12"/>
        <v/>
      </c>
      <c r="U53" s="23" t="str">
        <f t="shared" si="13"/>
        <v/>
      </c>
      <c r="V53" s="23" t="str">
        <f t="shared" si="14"/>
        <v/>
      </c>
      <c r="W53" s="70" t="str">
        <f t="shared" si="15"/>
        <v/>
      </c>
      <c r="X53" s="70" t="str">
        <f t="shared" si="16"/>
        <v/>
      </c>
      <c r="Y53" s="70" t="str">
        <f>IF(AND($A53&lt;&gt;"",$E53&gt;0),isLaptopBag($C53,$J53)*$D53,"")</f>
        <v/>
      </c>
      <c r="Z53" s="70" t="str">
        <f t="shared" si="17"/>
        <v/>
      </c>
      <c r="AA53" s="70" t="str">
        <f t="shared" si="18"/>
        <v/>
      </c>
      <c r="AB53" s="70" t="str">
        <f t="shared" si="19"/>
        <v/>
      </c>
      <c r="AC53" s="70" t="str">
        <f t="shared" si="20"/>
        <v/>
      </c>
      <c r="AD53" s="70" t="str">
        <f t="shared" si="21"/>
        <v/>
      </c>
      <c r="AE53" s="70" t="str">
        <f t="shared" si="22"/>
        <v/>
      </c>
      <c r="AF53" s="16"/>
      <c r="AG53" s="23"/>
      <c r="AH53" s="22"/>
      <c r="AJ53" s="83">
        <f t="shared" si="23"/>
        <v>0</v>
      </c>
      <c r="AO53" s="22" t="str">
        <f t="shared" si="24"/>
        <v/>
      </c>
      <c r="AP53" s="22" t="str">
        <f t="shared" si="25"/>
        <v/>
      </c>
    </row>
    <row r="54" spans="1:42" x14ac:dyDescent="0.25">
      <c r="A54" s="10"/>
      <c r="B54" s="10"/>
      <c r="C54" s="10"/>
      <c r="D54" s="10"/>
      <c r="E54" s="10"/>
      <c r="F54" s="10"/>
      <c r="G54" s="10"/>
      <c r="H54" s="17"/>
      <c r="I54" s="10"/>
      <c r="J54" s="10"/>
      <c r="K54" s="16" t="str">
        <f t="shared" si="4"/>
        <v/>
      </c>
      <c r="L54" s="23" t="str">
        <f t="shared" si="5"/>
        <v/>
      </c>
      <c r="M54" s="22" t="str">
        <f t="shared" si="6"/>
        <v/>
      </c>
      <c r="N54" s="72"/>
      <c r="O54" s="16" t="str">
        <f t="shared" si="7"/>
        <v/>
      </c>
      <c r="P54" s="16" t="str">
        <f t="shared" si="8"/>
        <v/>
      </c>
      <c r="Q54" s="16" t="str">
        <f t="shared" si="9"/>
        <v/>
      </c>
      <c r="R54" s="23" t="str">
        <f t="shared" si="10"/>
        <v/>
      </c>
      <c r="S54" s="23" t="str">
        <f t="shared" si="11"/>
        <v/>
      </c>
      <c r="T54" s="23" t="str">
        <f t="shared" si="12"/>
        <v/>
      </c>
      <c r="U54" s="23" t="str">
        <f t="shared" si="13"/>
        <v/>
      </c>
      <c r="V54" s="23" t="str">
        <f t="shared" si="14"/>
        <v/>
      </c>
      <c r="W54" s="70" t="str">
        <f t="shared" si="15"/>
        <v/>
      </c>
      <c r="X54" s="70" t="str">
        <f t="shared" si="16"/>
        <v/>
      </c>
      <c r="Y54" s="70" t="str">
        <f>IF(AND($A54&lt;&gt;"",$E54&gt;0),isLaptopBag($C54,$J54)*$D54,"")</f>
        <v/>
      </c>
      <c r="Z54" s="70" t="str">
        <f t="shared" si="17"/>
        <v/>
      </c>
      <c r="AA54" s="70" t="str">
        <f t="shared" si="18"/>
        <v/>
      </c>
      <c r="AB54" s="70" t="str">
        <f t="shared" si="19"/>
        <v/>
      </c>
      <c r="AC54" s="70" t="str">
        <f t="shared" si="20"/>
        <v/>
      </c>
      <c r="AD54" s="70" t="str">
        <f t="shared" si="21"/>
        <v/>
      </c>
      <c r="AE54" s="70" t="str">
        <f t="shared" si="22"/>
        <v/>
      </c>
      <c r="AF54" s="16"/>
      <c r="AG54" s="23"/>
      <c r="AH54" s="22"/>
      <c r="AJ54" s="83">
        <f t="shared" si="23"/>
        <v>0</v>
      </c>
      <c r="AO54" s="22" t="str">
        <f t="shared" si="24"/>
        <v/>
      </c>
      <c r="AP54" s="22" t="str">
        <f t="shared" si="25"/>
        <v/>
      </c>
    </row>
    <row r="55" spans="1:42" x14ac:dyDescent="0.25">
      <c r="A55" s="10"/>
      <c r="B55" s="10"/>
      <c r="C55" s="10"/>
      <c r="D55" s="10"/>
      <c r="E55" s="10"/>
      <c r="F55" s="10"/>
      <c r="G55" s="10"/>
      <c r="H55" s="17"/>
      <c r="I55" s="10"/>
      <c r="J55" s="10"/>
      <c r="K55" s="16" t="str">
        <f t="shared" si="4"/>
        <v/>
      </c>
      <c r="L55" s="23" t="str">
        <f t="shared" si="5"/>
        <v/>
      </c>
      <c r="M55" s="22" t="str">
        <f t="shared" si="6"/>
        <v/>
      </c>
      <c r="N55" s="72"/>
      <c r="O55" s="16" t="str">
        <f t="shared" si="7"/>
        <v/>
      </c>
      <c r="P55" s="16" t="str">
        <f t="shared" si="8"/>
        <v/>
      </c>
      <c r="Q55" s="16" t="str">
        <f t="shared" si="9"/>
        <v/>
      </c>
      <c r="R55" s="23" t="str">
        <f t="shared" si="10"/>
        <v/>
      </c>
      <c r="S55" s="23" t="str">
        <f t="shared" si="11"/>
        <v/>
      </c>
      <c r="T55" s="23" t="str">
        <f t="shared" si="12"/>
        <v/>
      </c>
      <c r="U55" s="23" t="str">
        <f t="shared" si="13"/>
        <v/>
      </c>
      <c r="V55" s="23" t="str">
        <f t="shared" si="14"/>
        <v/>
      </c>
      <c r="W55" s="70" t="str">
        <f t="shared" si="15"/>
        <v/>
      </c>
      <c r="X55" s="70" t="str">
        <f t="shared" si="16"/>
        <v/>
      </c>
      <c r="Y55" s="70" t="str">
        <f>IF(AND($A55&lt;&gt;"",$E55&gt;0),isLaptopBag($C55,$J55)*$D55,"")</f>
        <v/>
      </c>
      <c r="Z55" s="70" t="str">
        <f t="shared" si="17"/>
        <v/>
      </c>
      <c r="AA55" s="70" t="str">
        <f t="shared" si="18"/>
        <v/>
      </c>
      <c r="AB55" s="70" t="str">
        <f t="shared" si="19"/>
        <v/>
      </c>
      <c r="AC55" s="70" t="str">
        <f t="shared" si="20"/>
        <v/>
      </c>
      <c r="AD55" s="70" t="str">
        <f t="shared" si="21"/>
        <v/>
      </c>
      <c r="AE55" s="70" t="str">
        <f t="shared" si="22"/>
        <v/>
      </c>
      <c r="AF55" s="16"/>
      <c r="AG55" s="23"/>
      <c r="AH55" s="22"/>
      <c r="AJ55" s="83">
        <f t="shared" si="23"/>
        <v>0</v>
      </c>
      <c r="AO55" s="22" t="str">
        <f t="shared" si="24"/>
        <v/>
      </c>
      <c r="AP55" s="22" t="str">
        <f t="shared" si="25"/>
        <v/>
      </c>
    </row>
    <row r="56" spans="1:42" x14ac:dyDescent="0.25">
      <c r="A56" s="10"/>
      <c r="B56" s="10"/>
      <c r="C56" s="10"/>
      <c r="D56" s="10"/>
      <c r="E56" s="10"/>
      <c r="F56" s="10"/>
      <c r="G56" s="10"/>
      <c r="H56" s="17"/>
      <c r="I56" s="10"/>
      <c r="J56" s="10"/>
      <c r="K56" s="16" t="str">
        <f t="shared" si="4"/>
        <v/>
      </c>
      <c r="L56" s="23" t="str">
        <f t="shared" si="5"/>
        <v/>
      </c>
      <c r="M56" s="22" t="str">
        <f t="shared" si="6"/>
        <v/>
      </c>
      <c r="N56" s="72"/>
      <c r="O56" s="16" t="str">
        <f t="shared" si="7"/>
        <v/>
      </c>
      <c r="P56" s="16" t="str">
        <f t="shared" si="8"/>
        <v/>
      </c>
      <c r="Q56" s="16" t="str">
        <f t="shared" si="9"/>
        <v/>
      </c>
      <c r="R56" s="23" t="str">
        <f t="shared" si="10"/>
        <v/>
      </c>
      <c r="S56" s="23" t="str">
        <f t="shared" si="11"/>
        <v/>
      </c>
      <c r="T56" s="23" t="str">
        <f t="shared" si="12"/>
        <v/>
      </c>
      <c r="U56" s="23" t="str">
        <f t="shared" si="13"/>
        <v/>
      </c>
      <c r="V56" s="23" t="str">
        <f t="shared" si="14"/>
        <v/>
      </c>
      <c r="W56" s="70" t="str">
        <f t="shared" si="15"/>
        <v/>
      </c>
      <c r="X56" s="70" t="str">
        <f t="shared" si="16"/>
        <v/>
      </c>
      <c r="Y56" s="70" t="str">
        <f>IF(AND($A56&lt;&gt;"",$E56&gt;0),isLaptopBag($C56,$J56)*$D56,"")</f>
        <v/>
      </c>
      <c r="Z56" s="70" t="str">
        <f t="shared" si="17"/>
        <v/>
      </c>
      <c r="AA56" s="70" t="str">
        <f t="shared" si="18"/>
        <v/>
      </c>
      <c r="AB56" s="70" t="str">
        <f t="shared" si="19"/>
        <v/>
      </c>
      <c r="AC56" s="70" t="str">
        <f t="shared" si="20"/>
        <v/>
      </c>
      <c r="AD56" s="70" t="str">
        <f t="shared" si="21"/>
        <v/>
      </c>
      <c r="AE56" s="70" t="str">
        <f t="shared" si="22"/>
        <v/>
      </c>
      <c r="AF56" s="16"/>
      <c r="AG56" s="23"/>
      <c r="AH56" s="22"/>
      <c r="AJ56" s="83">
        <f t="shared" si="23"/>
        <v>0</v>
      </c>
      <c r="AO56" s="22" t="str">
        <f t="shared" si="24"/>
        <v/>
      </c>
      <c r="AP56" s="22" t="str">
        <f t="shared" si="25"/>
        <v/>
      </c>
    </row>
    <row r="57" spans="1:42" x14ac:dyDescent="0.25">
      <c r="A57" s="10"/>
      <c r="B57" s="10"/>
      <c r="C57" s="10"/>
      <c r="D57" s="10"/>
      <c r="E57" s="10"/>
      <c r="F57" s="10"/>
      <c r="G57" s="10"/>
      <c r="H57" s="17"/>
      <c r="I57" s="10"/>
      <c r="J57" s="10"/>
      <c r="K57" s="16" t="str">
        <f t="shared" si="4"/>
        <v/>
      </c>
      <c r="L57" s="23" t="str">
        <f t="shared" si="5"/>
        <v/>
      </c>
      <c r="M57" s="22" t="str">
        <f t="shared" si="6"/>
        <v/>
      </c>
      <c r="N57" s="72"/>
      <c r="O57" s="16" t="str">
        <f t="shared" si="7"/>
        <v/>
      </c>
      <c r="P57" s="16" t="str">
        <f t="shared" si="8"/>
        <v/>
      </c>
      <c r="Q57" s="16" t="str">
        <f t="shared" si="9"/>
        <v/>
      </c>
      <c r="R57" s="23" t="str">
        <f t="shared" si="10"/>
        <v/>
      </c>
      <c r="S57" s="23" t="str">
        <f t="shared" si="11"/>
        <v/>
      </c>
      <c r="T57" s="23" t="str">
        <f t="shared" si="12"/>
        <v/>
      </c>
      <c r="U57" s="23" t="str">
        <f t="shared" si="13"/>
        <v/>
      </c>
      <c r="V57" s="23" t="str">
        <f t="shared" si="14"/>
        <v/>
      </c>
      <c r="W57" s="70" t="str">
        <f t="shared" si="15"/>
        <v/>
      </c>
      <c r="X57" s="70" t="str">
        <f t="shared" si="16"/>
        <v/>
      </c>
      <c r="Y57" s="70" t="str">
        <f>IF(AND($A57&lt;&gt;"",$E57&gt;0),isLaptopBag($C57,$J57)*$D57,"")</f>
        <v/>
      </c>
      <c r="Z57" s="70" t="str">
        <f t="shared" si="17"/>
        <v/>
      </c>
      <c r="AA57" s="70" t="str">
        <f t="shared" si="18"/>
        <v/>
      </c>
      <c r="AB57" s="70" t="str">
        <f t="shared" si="19"/>
        <v/>
      </c>
      <c r="AC57" s="70" t="str">
        <f t="shared" si="20"/>
        <v/>
      </c>
      <c r="AD57" s="70" t="str">
        <f t="shared" si="21"/>
        <v/>
      </c>
      <c r="AE57" s="70" t="str">
        <f t="shared" si="22"/>
        <v/>
      </c>
      <c r="AF57" s="16"/>
      <c r="AG57" s="23"/>
      <c r="AH57" s="22"/>
      <c r="AJ57" s="83">
        <f t="shared" si="23"/>
        <v>0</v>
      </c>
      <c r="AO57" s="22" t="str">
        <f t="shared" si="24"/>
        <v/>
      </c>
      <c r="AP57" s="22" t="str">
        <f t="shared" si="25"/>
        <v/>
      </c>
    </row>
    <row r="58" spans="1:42" x14ac:dyDescent="0.25">
      <c r="A58" s="10"/>
      <c r="B58" s="10"/>
      <c r="C58" s="10"/>
      <c r="D58" s="10"/>
      <c r="E58" s="10"/>
      <c r="F58" s="10"/>
      <c r="G58" s="10"/>
      <c r="H58" s="17"/>
      <c r="I58" s="10"/>
      <c r="J58" s="10"/>
      <c r="K58" s="16" t="str">
        <f t="shared" si="4"/>
        <v/>
      </c>
      <c r="L58" s="23" t="str">
        <f t="shared" si="5"/>
        <v/>
      </c>
      <c r="M58" s="22" t="str">
        <f t="shared" si="6"/>
        <v/>
      </c>
      <c r="N58" s="72"/>
      <c r="O58" s="16" t="str">
        <f t="shared" si="7"/>
        <v/>
      </c>
      <c r="P58" s="16" t="str">
        <f t="shared" si="8"/>
        <v/>
      </c>
      <c r="Q58" s="16" t="str">
        <f t="shared" si="9"/>
        <v/>
      </c>
      <c r="R58" s="23" t="str">
        <f t="shared" si="10"/>
        <v/>
      </c>
      <c r="S58" s="23" t="str">
        <f t="shared" si="11"/>
        <v/>
      </c>
      <c r="T58" s="23" t="str">
        <f t="shared" si="12"/>
        <v/>
      </c>
      <c r="U58" s="23" t="str">
        <f t="shared" si="13"/>
        <v/>
      </c>
      <c r="V58" s="23" t="str">
        <f t="shared" si="14"/>
        <v/>
      </c>
      <c r="W58" s="70" t="str">
        <f t="shared" si="15"/>
        <v/>
      </c>
      <c r="X58" s="70" t="str">
        <f t="shared" si="16"/>
        <v/>
      </c>
      <c r="Y58" s="70" t="str">
        <f>IF(AND($A58&lt;&gt;"",$E58&gt;0),isLaptopBag($C58,$J58)*$D58,"")</f>
        <v/>
      </c>
      <c r="Z58" s="70" t="str">
        <f t="shared" si="17"/>
        <v/>
      </c>
      <c r="AA58" s="70" t="str">
        <f t="shared" si="18"/>
        <v/>
      </c>
      <c r="AB58" s="70" t="str">
        <f t="shared" si="19"/>
        <v/>
      </c>
      <c r="AC58" s="70" t="str">
        <f t="shared" si="20"/>
        <v/>
      </c>
      <c r="AD58" s="70" t="str">
        <f t="shared" si="21"/>
        <v/>
      </c>
      <c r="AE58" s="70" t="str">
        <f t="shared" si="22"/>
        <v/>
      </c>
      <c r="AF58" s="16"/>
      <c r="AG58" s="23"/>
      <c r="AH58" s="22"/>
      <c r="AJ58" s="83">
        <f t="shared" si="23"/>
        <v>0</v>
      </c>
      <c r="AO58" s="22" t="str">
        <f t="shared" si="24"/>
        <v/>
      </c>
      <c r="AP58" s="22" t="str">
        <f t="shared" si="25"/>
        <v/>
      </c>
    </row>
    <row r="59" spans="1:42" x14ac:dyDescent="0.25">
      <c r="A59" s="10"/>
      <c r="B59" s="10"/>
      <c r="C59" s="10"/>
      <c r="D59" s="10"/>
      <c r="E59" s="10"/>
      <c r="F59" s="10"/>
      <c r="G59" s="10"/>
      <c r="H59" s="17"/>
      <c r="I59" s="10"/>
      <c r="J59" s="10"/>
      <c r="K59" s="16" t="str">
        <f t="shared" si="4"/>
        <v/>
      </c>
      <c r="L59" s="23" t="str">
        <f t="shared" si="5"/>
        <v/>
      </c>
      <c r="M59" s="22" t="str">
        <f t="shared" si="6"/>
        <v/>
      </c>
      <c r="N59" s="72"/>
      <c r="O59" s="16" t="str">
        <f t="shared" si="7"/>
        <v/>
      </c>
      <c r="P59" s="16" t="str">
        <f t="shared" si="8"/>
        <v/>
      </c>
      <c r="Q59" s="16" t="str">
        <f t="shared" si="9"/>
        <v/>
      </c>
      <c r="R59" s="23" t="str">
        <f t="shared" si="10"/>
        <v/>
      </c>
      <c r="S59" s="23" t="str">
        <f t="shared" si="11"/>
        <v/>
      </c>
      <c r="T59" s="23" t="str">
        <f t="shared" si="12"/>
        <v/>
      </c>
      <c r="U59" s="23" t="str">
        <f t="shared" si="13"/>
        <v/>
      </c>
      <c r="V59" s="23" t="str">
        <f t="shared" si="14"/>
        <v/>
      </c>
      <c r="W59" s="70" t="str">
        <f t="shared" si="15"/>
        <v/>
      </c>
      <c r="X59" s="70" t="str">
        <f t="shared" si="16"/>
        <v/>
      </c>
      <c r="Y59" s="70" t="str">
        <f>IF(AND($A59&lt;&gt;"",$E59&gt;0),isLaptopBag($C59,$J59)*$D59,"")</f>
        <v/>
      </c>
      <c r="Z59" s="70" t="str">
        <f t="shared" si="17"/>
        <v/>
      </c>
      <c r="AA59" s="70" t="str">
        <f t="shared" si="18"/>
        <v/>
      </c>
      <c r="AB59" s="70" t="str">
        <f t="shared" si="19"/>
        <v/>
      </c>
      <c r="AC59" s="70" t="str">
        <f t="shared" si="20"/>
        <v/>
      </c>
      <c r="AD59" s="70" t="str">
        <f t="shared" si="21"/>
        <v/>
      </c>
      <c r="AE59" s="70" t="str">
        <f t="shared" si="22"/>
        <v/>
      </c>
      <c r="AF59" s="16"/>
      <c r="AG59" s="23"/>
      <c r="AH59" s="22"/>
      <c r="AJ59" s="83">
        <f t="shared" si="23"/>
        <v>0</v>
      </c>
      <c r="AO59" s="22" t="str">
        <f t="shared" si="24"/>
        <v/>
      </c>
      <c r="AP59" s="22" t="str">
        <f t="shared" si="25"/>
        <v/>
      </c>
    </row>
    <row r="60" spans="1:42" x14ac:dyDescent="0.25">
      <c r="A60" s="10"/>
      <c r="B60" s="10"/>
      <c r="C60" s="10"/>
      <c r="D60" s="10"/>
      <c r="E60" s="10"/>
      <c r="F60" s="10"/>
      <c r="G60" s="10"/>
      <c r="H60" s="17"/>
      <c r="I60" s="10"/>
      <c r="J60" s="10"/>
      <c r="K60" s="16" t="str">
        <f t="shared" si="4"/>
        <v/>
      </c>
      <c r="L60" s="23" t="str">
        <f t="shared" si="5"/>
        <v/>
      </c>
      <c r="M60" s="22" t="str">
        <f t="shared" si="6"/>
        <v/>
      </c>
      <c r="N60" s="72"/>
      <c r="O60" s="16" t="str">
        <f t="shared" si="7"/>
        <v/>
      </c>
      <c r="P60" s="16" t="str">
        <f t="shared" si="8"/>
        <v/>
      </c>
      <c r="Q60" s="16" t="str">
        <f t="shared" si="9"/>
        <v/>
      </c>
      <c r="R60" s="23" t="str">
        <f t="shared" si="10"/>
        <v/>
      </c>
      <c r="S60" s="23" t="str">
        <f t="shared" si="11"/>
        <v/>
      </c>
      <c r="T60" s="23" t="str">
        <f t="shared" si="12"/>
        <v/>
      </c>
      <c r="U60" s="23" t="str">
        <f t="shared" si="13"/>
        <v/>
      </c>
      <c r="V60" s="23" t="str">
        <f t="shared" si="14"/>
        <v/>
      </c>
      <c r="W60" s="70" t="str">
        <f t="shared" si="15"/>
        <v/>
      </c>
      <c r="X60" s="70" t="str">
        <f t="shared" si="16"/>
        <v/>
      </c>
      <c r="Y60" s="70" t="str">
        <f>IF(AND($A60&lt;&gt;"",$E60&gt;0),isLaptopBag($C60,$J60)*$D60,"")</f>
        <v/>
      </c>
      <c r="Z60" s="70" t="str">
        <f t="shared" si="17"/>
        <v/>
      </c>
      <c r="AA60" s="70" t="str">
        <f t="shared" si="18"/>
        <v/>
      </c>
      <c r="AB60" s="70" t="str">
        <f t="shared" si="19"/>
        <v/>
      </c>
      <c r="AC60" s="70" t="str">
        <f t="shared" si="20"/>
        <v/>
      </c>
      <c r="AD60" s="70" t="str">
        <f t="shared" si="21"/>
        <v/>
      </c>
      <c r="AE60" s="70" t="str">
        <f t="shared" si="22"/>
        <v/>
      </c>
      <c r="AF60" s="16"/>
      <c r="AG60" s="23"/>
      <c r="AH60" s="22"/>
      <c r="AJ60" s="83">
        <f t="shared" si="23"/>
        <v>0</v>
      </c>
      <c r="AO60" s="22" t="str">
        <f t="shared" si="24"/>
        <v/>
      </c>
      <c r="AP60" s="22" t="str">
        <f t="shared" si="25"/>
        <v/>
      </c>
    </row>
    <row r="61" spans="1:42" x14ac:dyDescent="0.25">
      <c r="A61" s="10"/>
      <c r="B61" s="10"/>
      <c r="C61" s="10"/>
      <c r="D61" s="10"/>
      <c r="E61" s="10"/>
      <c r="F61" s="10"/>
      <c r="G61" s="10"/>
      <c r="H61" s="17"/>
      <c r="I61" s="10"/>
      <c r="J61" s="10"/>
      <c r="K61" s="16" t="str">
        <f t="shared" si="4"/>
        <v/>
      </c>
      <c r="L61" s="23" t="str">
        <f t="shared" si="5"/>
        <v/>
      </c>
      <c r="M61" s="22" t="str">
        <f t="shared" si="6"/>
        <v/>
      </c>
      <c r="N61" s="72"/>
      <c r="O61" s="16" t="str">
        <f t="shared" si="7"/>
        <v/>
      </c>
      <c r="P61" s="16" t="str">
        <f t="shared" si="8"/>
        <v/>
      </c>
      <c r="Q61" s="16" t="str">
        <f t="shared" si="9"/>
        <v/>
      </c>
      <c r="R61" s="23" t="str">
        <f t="shared" si="10"/>
        <v/>
      </c>
      <c r="S61" s="23" t="str">
        <f t="shared" si="11"/>
        <v/>
      </c>
      <c r="T61" s="23" t="str">
        <f t="shared" si="12"/>
        <v/>
      </c>
      <c r="U61" s="23" t="str">
        <f t="shared" si="13"/>
        <v/>
      </c>
      <c r="V61" s="23" t="str">
        <f t="shared" si="14"/>
        <v/>
      </c>
      <c r="W61" s="70" t="str">
        <f t="shared" si="15"/>
        <v/>
      </c>
      <c r="X61" s="70" t="str">
        <f t="shared" si="16"/>
        <v/>
      </c>
      <c r="Y61" s="70" t="str">
        <f>IF(AND($A61&lt;&gt;"",$E61&gt;0),isLaptopBag($C61,$J61)*$D61,"")</f>
        <v/>
      </c>
      <c r="Z61" s="70" t="str">
        <f t="shared" si="17"/>
        <v/>
      </c>
      <c r="AA61" s="70" t="str">
        <f t="shared" si="18"/>
        <v/>
      </c>
      <c r="AB61" s="70" t="str">
        <f t="shared" si="19"/>
        <v/>
      </c>
      <c r="AC61" s="70" t="str">
        <f t="shared" si="20"/>
        <v/>
      </c>
      <c r="AD61" s="70" t="str">
        <f t="shared" si="21"/>
        <v/>
      </c>
      <c r="AE61" s="70" t="str">
        <f t="shared" si="22"/>
        <v/>
      </c>
      <c r="AF61" s="16"/>
      <c r="AG61" s="23"/>
      <c r="AH61" s="22"/>
      <c r="AJ61" s="83">
        <f t="shared" si="23"/>
        <v>0</v>
      </c>
      <c r="AO61" s="22" t="str">
        <f t="shared" si="24"/>
        <v/>
      </c>
      <c r="AP61" s="22" t="str">
        <f t="shared" si="25"/>
        <v/>
      </c>
    </row>
    <row r="62" spans="1:42" x14ac:dyDescent="0.25">
      <c r="A62" s="10"/>
      <c r="B62" s="10"/>
      <c r="C62" s="10"/>
      <c r="D62" s="10"/>
      <c r="E62" s="10"/>
      <c r="F62" s="10"/>
      <c r="G62" s="10"/>
      <c r="H62" s="17"/>
      <c r="I62" s="10"/>
      <c r="J62" s="10"/>
      <c r="K62" s="16" t="str">
        <f t="shared" si="4"/>
        <v/>
      </c>
      <c r="L62" s="23" t="str">
        <f t="shared" si="5"/>
        <v/>
      </c>
      <c r="M62" s="22" t="str">
        <f t="shared" si="6"/>
        <v/>
      </c>
      <c r="N62" s="72"/>
      <c r="O62" s="16" t="str">
        <f t="shared" si="7"/>
        <v/>
      </c>
      <c r="P62" s="16" t="str">
        <f t="shared" si="8"/>
        <v/>
      </c>
      <c r="Q62" s="16" t="str">
        <f t="shared" si="9"/>
        <v/>
      </c>
      <c r="R62" s="23" t="str">
        <f t="shared" si="10"/>
        <v/>
      </c>
      <c r="S62" s="23" t="str">
        <f t="shared" si="11"/>
        <v/>
      </c>
      <c r="T62" s="23" t="str">
        <f t="shared" si="12"/>
        <v/>
      </c>
      <c r="U62" s="23" t="str">
        <f t="shared" si="13"/>
        <v/>
      </c>
      <c r="V62" s="23" t="str">
        <f t="shared" si="14"/>
        <v/>
      </c>
      <c r="W62" s="70" t="str">
        <f t="shared" si="15"/>
        <v/>
      </c>
      <c r="X62" s="70" t="str">
        <f t="shared" si="16"/>
        <v/>
      </c>
      <c r="Y62" s="70" t="str">
        <f>IF(AND($A62&lt;&gt;"",$E62&gt;0),isLaptopBag($C62,$J62)*$D62,"")</f>
        <v/>
      </c>
      <c r="Z62" s="70" t="str">
        <f t="shared" si="17"/>
        <v/>
      </c>
      <c r="AA62" s="70" t="str">
        <f t="shared" si="18"/>
        <v/>
      </c>
      <c r="AB62" s="70" t="str">
        <f t="shared" si="19"/>
        <v/>
      </c>
      <c r="AC62" s="70" t="str">
        <f t="shared" si="20"/>
        <v/>
      </c>
      <c r="AD62" s="70" t="str">
        <f t="shared" si="21"/>
        <v/>
      </c>
      <c r="AE62" s="70" t="str">
        <f t="shared" si="22"/>
        <v/>
      </c>
      <c r="AF62" s="16"/>
      <c r="AG62" s="23"/>
      <c r="AH62" s="22"/>
      <c r="AJ62" s="83">
        <f t="shared" si="23"/>
        <v>0</v>
      </c>
      <c r="AO62" s="22" t="str">
        <f t="shared" si="24"/>
        <v/>
      </c>
      <c r="AP62" s="22" t="str">
        <f t="shared" si="25"/>
        <v/>
      </c>
    </row>
    <row r="63" spans="1:42" x14ac:dyDescent="0.25">
      <c r="A63" s="10"/>
      <c r="B63" s="10"/>
      <c r="C63" s="10"/>
      <c r="D63" s="10"/>
      <c r="E63" s="10"/>
      <c r="F63" s="10"/>
      <c r="G63" s="10"/>
      <c r="H63" s="17"/>
      <c r="I63" s="10"/>
      <c r="J63" s="10"/>
      <c r="K63" s="16" t="str">
        <f t="shared" si="4"/>
        <v/>
      </c>
      <c r="L63" s="23" t="str">
        <f t="shared" si="5"/>
        <v/>
      </c>
      <c r="M63" s="22" t="str">
        <f t="shared" si="6"/>
        <v/>
      </c>
      <c r="N63" s="72"/>
      <c r="O63" s="16" t="str">
        <f t="shared" si="7"/>
        <v/>
      </c>
      <c r="P63" s="16" t="str">
        <f t="shared" si="8"/>
        <v/>
      </c>
      <c r="Q63" s="16" t="str">
        <f t="shared" si="9"/>
        <v/>
      </c>
      <c r="R63" s="23" t="str">
        <f t="shared" si="10"/>
        <v/>
      </c>
      <c r="S63" s="23" t="str">
        <f t="shared" si="11"/>
        <v/>
      </c>
      <c r="T63" s="23" t="str">
        <f t="shared" si="12"/>
        <v/>
      </c>
      <c r="U63" s="23" t="str">
        <f t="shared" si="13"/>
        <v/>
      </c>
      <c r="V63" s="23" t="str">
        <f t="shared" si="14"/>
        <v/>
      </c>
      <c r="W63" s="70" t="str">
        <f t="shared" si="15"/>
        <v/>
      </c>
      <c r="X63" s="70" t="str">
        <f t="shared" si="16"/>
        <v/>
      </c>
      <c r="Y63" s="70" t="str">
        <f>IF(AND($A63&lt;&gt;"",$E63&gt;0),isLaptopBag($C63,$J63)*$D63,"")</f>
        <v/>
      </c>
      <c r="Z63" s="70" t="str">
        <f t="shared" si="17"/>
        <v/>
      </c>
      <c r="AA63" s="70" t="str">
        <f t="shared" si="18"/>
        <v/>
      </c>
      <c r="AB63" s="70" t="str">
        <f t="shared" si="19"/>
        <v/>
      </c>
      <c r="AC63" s="70" t="str">
        <f t="shared" si="20"/>
        <v/>
      </c>
      <c r="AD63" s="70" t="str">
        <f t="shared" si="21"/>
        <v/>
      </c>
      <c r="AE63" s="70" t="str">
        <f t="shared" si="22"/>
        <v/>
      </c>
      <c r="AF63" s="16"/>
      <c r="AG63" s="23"/>
      <c r="AH63" s="22"/>
      <c r="AJ63" s="83">
        <f t="shared" si="23"/>
        <v>0</v>
      </c>
      <c r="AO63" s="22" t="str">
        <f t="shared" si="24"/>
        <v/>
      </c>
      <c r="AP63" s="22" t="str">
        <f t="shared" si="25"/>
        <v/>
      </c>
    </row>
    <row r="64" spans="1:42" x14ac:dyDescent="0.25">
      <c r="A64" s="10"/>
      <c r="B64" s="10"/>
      <c r="C64" s="10"/>
      <c r="D64" s="10"/>
      <c r="E64" s="10"/>
      <c r="F64" s="10"/>
      <c r="G64" s="10"/>
      <c r="H64" s="17"/>
      <c r="I64" s="10"/>
      <c r="J64" s="10"/>
      <c r="K64" s="16" t="str">
        <f t="shared" si="4"/>
        <v/>
      </c>
      <c r="L64" s="23" t="str">
        <f t="shared" si="5"/>
        <v/>
      </c>
      <c r="M64" s="22" t="str">
        <f t="shared" si="6"/>
        <v/>
      </c>
      <c r="N64" s="72"/>
      <c r="O64" s="16" t="str">
        <f t="shared" si="7"/>
        <v/>
      </c>
      <c r="P64" s="16" t="str">
        <f t="shared" si="8"/>
        <v/>
      </c>
      <c r="Q64" s="16" t="str">
        <f t="shared" si="9"/>
        <v/>
      </c>
      <c r="R64" s="23" t="str">
        <f t="shared" si="10"/>
        <v/>
      </c>
      <c r="S64" s="23" t="str">
        <f t="shared" si="11"/>
        <v/>
      </c>
      <c r="T64" s="23" t="str">
        <f t="shared" si="12"/>
        <v/>
      </c>
      <c r="U64" s="23" t="str">
        <f t="shared" si="13"/>
        <v/>
      </c>
      <c r="V64" s="23" t="str">
        <f t="shared" si="14"/>
        <v/>
      </c>
      <c r="W64" s="70" t="str">
        <f t="shared" si="15"/>
        <v/>
      </c>
      <c r="X64" s="70" t="str">
        <f t="shared" si="16"/>
        <v/>
      </c>
      <c r="Y64" s="70" t="str">
        <f>IF(AND($A64&lt;&gt;"",$E64&gt;0),isLaptopBag($C64,$J64)*$D64,"")</f>
        <v/>
      </c>
      <c r="Z64" s="70" t="str">
        <f t="shared" si="17"/>
        <v/>
      </c>
      <c r="AA64" s="70" t="str">
        <f t="shared" si="18"/>
        <v/>
      </c>
      <c r="AB64" s="70" t="str">
        <f t="shared" si="19"/>
        <v/>
      </c>
      <c r="AC64" s="70" t="str">
        <f t="shared" si="20"/>
        <v/>
      </c>
      <c r="AD64" s="70" t="str">
        <f t="shared" si="21"/>
        <v/>
      </c>
      <c r="AE64" s="70" t="str">
        <f t="shared" si="22"/>
        <v/>
      </c>
      <c r="AF64" s="16"/>
      <c r="AG64" s="23"/>
      <c r="AH64" s="22"/>
      <c r="AJ64" s="83">
        <f t="shared" si="23"/>
        <v>0</v>
      </c>
      <c r="AO64" s="22" t="str">
        <f t="shared" si="24"/>
        <v/>
      </c>
      <c r="AP64" s="22" t="str">
        <f t="shared" si="25"/>
        <v/>
      </c>
    </row>
    <row r="65" spans="1:42" x14ac:dyDescent="0.25">
      <c r="A65" s="10"/>
      <c r="B65" s="10"/>
      <c r="C65" s="10"/>
      <c r="D65" s="10"/>
      <c r="E65" s="10"/>
      <c r="F65" s="10"/>
      <c r="G65" s="10"/>
      <c r="H65" s="17"/>
      <c r="I65" s="10"/>
      <c r="J65" s="10"/>
      <c r="K65" s="16" t="str">
        <f t="shared" si="4"/>
        <v/>
      </c>
      <c r="L65" s="23" t="str">
        <f t="shared" si="5"/>
        <v/>
      </c>
      <c r="M65" s="22" t="str">
        <f t="shared" si="6"/>
        <v/>
      </c>
      <c r="N65" s="72"/>
      <c r="O65" s="16" t="str">
        <f t="shared" si="7"/>
        <v/>
      </c>
      <c r="P65" s="16" t="str">
        <f t="shared" si="8"/>
        <v/>
      </c>
      <c r="Q65" s="16" t="str">
        <f t="shared" si="9"/>
        <v/>
      </c>
      <c r="R65" s="23" t="str">
        <f t="shared" si="10"/>
        <v/>
      </c>
      <c r="S65" s="23" t="str">
        <f t="shared" si="11"/>
        <v/>
      </c>
      <c r="T65" s="23" t="str">
        <f t="shared" si="12"/>
        <v/>
      </c>
      <c r="U65" s="23" t="str">
        <f t="shared" si="13"/>
        <v/>
      </c>
      <c r="V65" s="23" t="str">
        <f t="shared" si="14"/>
        <v/>
      </c>
      <c r="W65" s="70" t="str">
        <f t="shared" si="15"/>
        <v/>
      </c>
      <c r="X65" s="70" t="str">
        <f t="shared" si="16"/>
        <v/>
      </c>
      <c r="Y65" s="70" t="str">
        <f>IF(AND($A65&lt;&gt;"",$E65&gt;0),isLaptopBag($C65,$J65)*$D65,"")</f>
        <v/>
      </c>
      <c r="Z65" s="70" t="str">
        <f t="shared" si="17"/>
        <v/>
      </c>
      <c r="AA65" s="70" t="str">
        <f t="shared" si="18"/>
        <v/>
      </c>
      <c r="AB65" s="70" t="str">
        <f t="shared" si="19"/>
        <v/>
      </c>
      <c r="AC65" s="70" t="str">
        <f t="shared" si="20"/>
        <v/>
      </c>
      <c r="AD65" s="70" t="str">
        <f t="shared" si="21"/>
        <v/>
      </c>
      <c r="AE65" s="70" t="str">
        <f t="shared" si="22"/>
        <v/>
      </c>
      <c r="AF65" s="16"/>
      <c r="AG65" s="23"/>
      <c r="AH65" s="22"/>
      <c r="AJ65" s="83">
        <f t="shared" si="23"/>
        <v>0</v>
      </c>
      <c r="AO65" s="22" t="str">
        <f t="shared" si="24"/>
        <v/>
      </c>
      <c r="AP65" s="22" t="str">
        <f t="shared" si="25"/>
        <v/>
      </c>
    </row>
    <row r="66" spans="1:42" x14ac:dyDescent="0.25">
      <c r="A66" s="10"/>
      <c r="B66" s="10"/>
      <c r="C66" s="10"/>
      <c r="D66" s="10"/>
      <c r="E66" s="10"/>
      <c r="F66" s="10"/>
      <c r="G66" s="10"/>
      <c r="H66" s="17"/>
      <c r="I66" s="10"/>
      <c r="J66" s="10"/>
      <c r="K66" s="16" t="str">
        <f t="shared" si="4"/>
        <v/>
      </c>
      <c r="L66" s="23" t="str">
        <f t="shared" si="5"/>
        <v/>
      </c>
      <c r="M66" s="22" t="str">
        <f t="shared" si="6"/>
        <v/>
      </c>
      <c r="N66" s="72"/>
      <c r="O66" s="16" t="str">
        <f t="shared" si="7"/>
        <v/>
      </c>
      <c r="P66" s="16" t="str">
        <f t="shared" si="8"/>
        <v/>
      </c>
      <c r="Q66" s="16" t="str">
        <f t="shared" si="9"/>
        <v/>
      </c>
      <c r="R66" s="23" t="str">
        <f t="shared" si="10"/>
        <v/>
      </c>
      <c r="S66" s="23" t="str">
        <f t="shared" si="11"/>
        <v/>
      </c>
      <c r="T66" s="23" t="str">
        <f t="shared" si="12"/>
        <v/>
      </c>
      <c r="U66" s="23" t="str">
        <f t="shared" si="13"/>
        <v/>
      </c>
      <c r="V66" s="23" t="str">
        <f t="shared" si="14"/>
        <v/>
      </c>
      <c r="W66" s="70" t="str">
        <f t="shared" si="15"/>
        <v/>
      </c>
      <c r="X66" s="70" t="str">
        <f t="shared" si="16"/>
        <v/>
      </c>
      <c r="Y66" s="70" t="str">
        <f>IF(AND($A66&lt;&gt;"",$E66&gt;0),isLaptopBag($C66,$J66)*$D66,"")</f>
        <v/>
      </c>
      <c r="Z66" s="70" t="str">
        <f t="shared" si="17"/>
        <v/>
      </c>
      <c r="AA66" s="70" t="str">
        <f t="shared" si="18"/>
        <v/>
      </c>
      <c r="AB66" s="70" t="str">
        <f t="shared" si="19"/>
        <v/>
      </c>
      <c r="AC66" s="70" t="str">
        <f t="shared" si="20"/>
        <v/>
      </c>
      <c r="AD66" s="70" t="str">
        <f t="shared" si="21"/>
        <v/>
      </c>
      <c r="AE66" s="70" t="str">
        <f t="shared" si="22"/>
        <v/>
      </c>
      <c r="AF66" s="16"/>
      <c r="AG66" s="23"/>
      <c r="AH66" s="22"/>
      <c r="AJ66" s="83">
        <f t="shared" si="23"/>
        <v>0</v>
      </c>
      <c r="AO66" s="22" t="str">
        <f t="shared" si="24"/>
        <v/>
      </c>
      <c r="AP66" s="22" t="str">
        <f t="shared" si="25"/>
        <v/>
      </c>
    </row>
    <row r="67" spans="1:42" x14ac:dyDescent="0.25">
      <c r="A67" s="10"/>
      <c r="B67" s="10"/>
      <c r="C67" s="10"/>
      <c r="D67" s="10"/>
      <c r="E67" s="10"/>
      <c r="F67" s="10"/>
      <c r="G67" s="10"/>
      <c r="H67" s="17"/>
      <c r="I67" s="10"/>
      <c r="J67" s="10"/>
      <c r="K67" s="16" t="str">
        <f t="shared" si="4"/>
        <v/>
      </c>
      <c r="L67" s="23" t="str">
        <f t="shared" si="5"/>
        <v/>
      </c>
      <c r="M67" s="22" t="str">
        <f t="shared" si="6"/>
        <v/>
      </c>
      <c r="N67" s="72"/>
      <c r="O67" s="16" t="str">
        <f t="shared" si="7"/>
        <v/>
      </c>
      <c r="P67" s="16" t="str">
        <f t="shared" si="8"/>
        <v/>
      </c>
      <c r="Q67" s="16" t="str">
        <f t="shared" si="9"/>
        <v/>
      </c>
      <c r="R67" s="23" t="str">
        <f t="shared" si="10"/>
        <v/>
      </c>
      <c r="S67" s="23" t="str">
        <f t="shared" si="11"/>
        <v/>
      </c>
      <c r="T67" s="23" t="str">
        <f t="shared" si="12"/>
        <v/>
      </c>
      <c r="U67" s="23" t="str">
        <f t="shared" si="13"/>
        <v/>
      </c>
      <c r="V67" s="23" t="str">
        <f t="shared" si="14"/>
        <v/>
      </c>
      <c r="W67" s="70" t="str">
        <f t="shared" si="15"/>
        <v/>
      </c>
      <c r="X67" s="70" t="str">
        <f t="shared" si="16"/>
        <v/>
      </c>
      <c r="Y67" s="70" t="str">
        <f>IF(AND($A67&lt;&gt;"",$E67&gt;0),isLaptopBag($C67,$J67)*$D67,"")</f>
        <v/>
      </c>
      <c r="Z67" s="70" t="str">
        <f t="shared" si="17"/>
        <v/>
      </c>
      <c r="AA67" s="70" t="str">
        <f t="shared" si="18"/>
        <v/>
      </c>
      <c r="AB67" s="70" t="str">
        <f t="shared" si="19"/>
        <v/>
      </c>
      <c r="AC67" s="70" t="str">
        <f t="shared" si="20"/>
        <v/>
      </c>
      <c r="AD67" s="70" t="str">
        <f t="shared" si="21"/>
        <v/>
      </c>
      <c r="AE67" s="70" t="str">
        <f t="shared" si="22"/>
        <v/>
      </c>
      <c r="AF67" s="16"/>
      <c r="AG67" s="23"/>
      <c r="AH67" s="22"/>
      <c r="AJ67" s="83">
        <f t="shared" si="23"/>
        <v>0</v>
      </c>
      <c r="AO67" s="22" t="str">
        <f t="shared" si="24"/>
        <v/>
      </c>
      <c r="AP67" s="22" t="str">
        <f t="shared" si="25"/>
        <v/>
      </c>
    </row>
    <row r="68" spans="1:42" x14ac:dyDescent="0.25">
      <c r="A68" s="10"/>
      <c r="B68" s="10"/>
      <c r="C68" s="10"/>
      <c r="D68" s="10"/>
      <c r="E68" s="10"/>
      <c r="F68" s="10"/>
      <c r="G68" s="10"/>
      <c r="H68" s="17"/>
      <c r="I68" s="10"/>
      <c r="J68" s="10"/>
      <c r="K68" s="16" t="str">
        <f t="shared" si="4"/>
        <v/>
      </c>
      <c r="L68" s="23" t="str">
        <f t="shared" si="5"/>
        <v/>
      </c>
      <c r="M68" s="22" t="str">
        <f t="shared" si="6"/>
        <v/>
      </c>
      <c r="N68" s="72"/>
      <c r="O68" s="16" t="str">
        <f t="shared" si="7"/>
        <v/>
      </c>
      <c r="P68" s="16" t="str">
        <f t="shared" si="8"/>
        <v/>
      </c>
      <c r="Q68" s="16" t="str">
        <f t="shared" si="9"/>
        <v/>
      </c>
      <c r="R68" s="23" t="str">
        <f t="shared" si="10"/>
        <v/>
      </c>
      <c r="S68" s="23" t="str">
        <f t="shared" si="11"/>
        <v/>
      </c>
      <c r="T68" s="23" t="str">
        <f t="shared" si="12"/>
        <v/>
      </c>
      <c r="U68" s="23" t="str">
        <f t="shared" si="13"/>
        <v/>
      </c>
      <c r="V68" s="23" t="str">
        <f t="shared" si="14"/>
        <v/>
      </c>
      <c r="W68" s="70" t="str">
        <f t="shared" si="15"/>
        <v/>
      </c>
      <c r="X68" s="70" t="str">
        <f t="shared" si="16"/>
        <v/>
      </c>
      <c r="Y68" s="70" t="str">
        <f>IF(AND($A68&lt;&gt;"",$E68&gt;0),isLaptopBag($C68,$J68)*$D68,"")</f>
        <v/>
      </c>
      <c r="Z68" s="70" t="str">
        <f t="shared" si="17"/>
        <v/>
      </c>
      <c r="AA68" s="70" t="str">
        <f t="shared" si="18"/>
        <v/>
      </c>
      <c r="AB68" s="70" t="str">
        <f t="shared" si="19"/>
        <v/>
      </c>
      <c r="AC68" s="70" t="str">
        <f t="shared" si="20"/>
        <v/>
      </c>
      <c r="AD68" s="70" t="str">
        <f t="shared" si="21"/>
        <v/>
      </c>
      <c r="AE68" s="70" t="str">
        <f t="shared" si="22"/>
        <v/>
      </c>
      <c r="AF68" s="16"/>
      <c r="AG68" s="23"/>
      <c r="AH68" s="22"/>
      <c r="AJ68" s="83">
        <f t="shared" si="23"/>
        <v>0</v>
      </c>
      <c r="AO68" s="22" t="str">
        <f t="shared" si="24"/>
        <v/>
      </c>
      <c r="AP68" s="22" t="str">
        <f t="shared" si="25"/>
        <v/>
      </c>
    </row>
    <row r="69" spans="1:42" x14ac:dyDescent="0.25">
      <c r="A69" s="10"/>
      <c r="B69" s="10"/>
      <c r="C69" s="10"/>
      <c r="D69" s="10"/>
      <c r="E69" s="10"/>
      <c r="F69" s="10"/>
      <c r="G69" s="10"/>
      <c r="H69" s="17"/>
      <c r="I69" s="10"/>
      <c r="J69" s="10"/>
      <c r="K69" s="16" t="str">
        <f t="shared" si="4"/>
        <v/>
      </c>
      <c r="L69" s="23" t="str">
        <f t="shared" si="5"/>
        <v/>
      </c>
      <c r="M69" s="22" t="str">
        <f t="shared" si="6"/>
        <v/>
      </c>
      <c r="N69" s="72"/>
      <c r="O69" s="16" t="str">
        <f t="shared" si="7"/>
        <v/>
      </c>
      <c r="P69" s="16" t="str">
        <f t="shared" si="8"/>
        <v/>
      </c>
      <c r="Q69" s="16" t="str">
        <f t="shared" si="9"/>
        <v/>
      </c>
      <c r="R69" s="23" t="str">
        <f t="shared" si="10"/>
        <v/>
      </c>
      <c r="S69" s="23" t="str">
        <f t="shared" si="11"/>
        <v/>
      </c>
      <c r="T69" s="23" t="str">
        <f t="shared" si="12"/>
        <v/>
      </c>
      <c r="U69" s="23" t="str">
        <f t="shared" si="13"/>
        <v/>
      </c>
      <c r="V69" s="23" t="str">
        <f t="shared" si="14"/>
        <v/>
      </c>
      <c r="W69" s="70" t="str">
        <f t="shared" si="15"/>
        <v/>
      </c>
      <c r="X69" s="70" t="str">
        <f t="shared" si="16"/>
        <v/>
      </c>
      <c r="Y69" s="70" t="str">
        <f>IF(AND($A69&lt;&gt;"",$E69&gt;0),isLaptopBag($C69,$J69)*$D69,"")</f>
        <v/>
      </c>
      <c r="Z69" s="70" t="str">
        <f t="shared" si="17"/>
        <v/>
      </c>
      <c r="AA69" s="70" t="str">
        <f t="shared" si="18"/>
        <v/>
      </c>
      <c r="AB69" s="70" t="str">
        <f t="shared" si="19"/>
        <v/>
      </c>
      <c r="AC69" s="70" t="str">
        <f t="shared" si="20"/>
        <v/>
      </c>
      <c r="AD69" s="70" t="str">
        <f t="shared" si="21"/>
        <v/>
      </c>
      <c r="AE69" s="70" t="str">
        <f t="shared" si="22"/>
        <v/>
      </c>
      <c r="AF69" s="16"/>
      <c r="AG69" s="23"/>
      <c r="AH69" s="22"/>
      <c r="AJ69" s="83">
        <f t="shared" si="23"/>
        <v>0</v>
      </c>
      <c r="AO69" s="22" t="str">
        <f t="shared" si="24"/>
        <v/>
      </c>
      <c r="AP69" s="22" t="str">
        <f t="shared" si="25"/>
        <v/>
      </c>
    </row>
    <row r="70" spans="1:42" x14ac:dyDescent="0.25">
      <c r="A70" s="10"/>
      <c r="B70" s="10"/>
      <c r="C70" s="10"/>
      <c r="D70" s="10"/>
      <c r="E70" s="10"/>
      <c r="F70" s="10"/>
      <c r="G70" s="10"/>
      <c r="H70" s="17"/>
      <c r="I70" s="10"/>
      <c r="J70" s="10"/>
      <c r="K70" s="16" t="str">
        <f t="shared" si="4"/>
        <v/>
      </c>
      <c r="L70" s="23" t="str">
        <f t="shared" si="5"/>
        <v/>
      </c>
      <c r="M70" s="22" t="str">
        <f t="shared" si="6"/>
        <v/>
      </c>
      <c r="N70" s="72"/>
      <c r="O70" s="16" t="str">
        <f t="shared" si="7"/>
        <v/>
      </c>
      <c r="P70" s="16" t="str">
        <f t="shared" si="8"/>
        <v/>
      </c>
      <c r="Q70" s="16" t="str">
        <f t="shared" si="9"/>
        <v/>
      </c>
      <c r="R70" s="23" t="str">
        <f t="shared" si="10"/>
        <v/>
      </c>
      <c r="S70" s="23" t="str">
        <f t="shared" si="11"/>
        <v/>
      </c>
      <c r="T70" s="23" t="str">
        <f t="shared" si="12"/>
        <v/>
      </c>
      <c r="U70" s="23" t="str">
        <f t="shared" si="13"/>
        <v/>
      </c>
      <c r="V70" s="23" t="str">
        <f t="shared" si="14"/>
        <v/>
      </c>
      <c r="W70" s="70" t="str">
        <f t="shared" si="15"/>
        <v/>
      </c>
      <c r="X70" s="70" t="str">
        <f t="shared" si="16"/>
        <v/>
      </c>
      <c r="Y70" s="70" t="str">
        <f>IF(AND($A70&lt;&gt;"",$E70&gt;0),isLaptopBag($C70,$J70)*$D70,"")</f>
        <v/>
      </c>
      <c r="Z70" s="70" t="str">
        <f t="shared" si="17"/>
        <v/>
      </c>
      <c r="AA70" s="70" t="str">
        <f t="shared" si="18"/>
        <v/>
      </c>
      <c r="AB70" s="70" t="str">
        <f t="shared" si="19"/>
        <v/>
      </c>
      <c r="AC70" s="70" t="str">
        <f t="shared" si="20"/>
        <v/>
      </c>
      <c r="AD70" s="70" t="str">
        <f t="shared" si="21"/>
        <v/>
      </c>
      <c r="AE70" s="70" t="str">
        <f t="shared" si="22"/>
        <v/>
      </c>
      <c r="AF70" s="16"/>
      <c r="AG70" s="23"/>
      <c r="AH70" s="22"/>
      <c r="AJ70" s="83">
        <f t="shared" si="23"/>
        <v>0</v>
      </c>
      <c r="AO70" s="22" t="str">
        <f t="shared" si="24"/>
        <v/>
      </c>
      <c r="AP70" s="22" t="str">
        <f t="shared" si="25"/>
        <v/>
      </c>
    </row>
    <row r="71" spans="1:42" x14ac:dyDescent="0.25">
      <c r="A71" s="10"/>
      <c r="B71" s="10"/>
      <c r="C71" s="10"/>
      <c r="D71" s="10"/>
      <c r="E71" s="10"/>
      <c r="F71" s="10"/>
      <c r="G71" s="10"/>
      <c r="H71" s="17"/>
      <c r="I71" s="10"/>
      <c r="J71" s="10"/>
      <c r="K71" s="16" t="str">
        <f t="shared" si="4"/>
        <v/>
      </c>
      <c r="L71" s="23" t="str">
        <f t="shared" si="5"/>
        <v/>
      </c>
      <c r="M71" s="22" t="str">
        <f t="shared" si="6"/>
        <v/>
      </c>
      <c r="N71" s="72"/>
      <c r="O71" s="16" t="str">
        <f t="shared" si="7"/>
        <v/>
      </c>
      <c r="P71" s="16" t="str">
        <f t="shared" si="8"/>
        <v/>
      </c>
      <c r="Q71" s="16" t="str">
        <f t="shared" si="9"/>
        <v/>
      </c>
      <c r="R71" s="23" t="str">
        <f t="shared" si="10"/>
        <v/>
      </c>
      <c r="S71" s="23" t="str">
        <f t="shared" si="11"/>
        <v/>
      </c>
      <c r="T71" s="23" t="str">
        <f t="shared" si="12"/>
        <v/>
      </c>
      <c r="U71" s="23" t="str">
        <f t="shared" si="13"/>
        <v/>
      </c>
      <c r="V71" s="23" t="str">
        <f t="shared" si="14"/>
        <v/>
      </c>
      <c r="W71" s="70" t="str">
        <f t="shared" si="15"/>
        <v/>
      </c>
      <c r="X71" s="70" t="str">
        <f t="shared" si="16"/>
        <v/>
      </c>
      <c r="Y71" s="70" t="str">
        <f>IF(AND($A71&lt;&gt;"",$E71&gt;0),isLaptopBag($C71,$J71)*$D71,"")</f>
        <v/>
      </c>
      <c r="Z71" s="70" t="str">
        <f t="shared" si="17"/>
        <v/>
      </c>
      <c r="AA71" s="70" t="str">
        <f t="shared" si="18"/>
        <v/>
      </c>
      <c r="AB71" s="70" t="str">
        <f t="shared" si="19"/>
        <v/>
      </c>
      <c r="AC71" s="70" t="str">
        <f t="shared" si="20"/>
        <v/>
      </c>
      <c r="AD71" s="70" t="str">
        <f t="shared" si="21"/>
        <v/>
      </c>
      <c r="AE71" s="70" t="str">
        <f t="shared" si="22"/>
        <v/>
      </c>
      <c r="AF71" s="16"/>
      <c r="AG71" s="23"/>
      <c r="AH71" s="22"/>
      <c r="AJ71" s="83">
        <f t="shared" si="23"/>
        <v>0</v>
      </c>
      <c r="AO71" s="22" t="str">
        <f t="shared" si="24"/>
        <v/>
      </c>
      <c r="AP71" s="22" t="str">
        <f t="shared" si="25"/>
        <v/>
      </c>
    </row>
    <row r="72" spans="1:42" x14ac:dyDescent="0.25">
      <c r="A72" s="10"/>
      <c r="B72" s="10"/>
      <c r="C72" s="10"/>
      <c r="D72" s="10"/>
      <c r="E72" s="10"/>
      <c r="F72" s="10"/>
      <c r="G72" s="10"/>
      <c r="H72" s="17"/>
      <c r="I72" s="10"/>
      <c r="J72" s="10"/>
      <c r="K72" s="16" t="str">
        <f t="shared" si="4"/>
        <v/>
      </c>
      <c r="L72" s="23" t="str">
        <f t="shared" si="5"/>
        <v/>
      </c>
      <c r="M72" s="22" t="str">
        <f t="shared" si="6"/>
        <v/>
      </c>
      <c r="N72" s="72"/>
      <c r="O72" s="16" t="str">
        <f t="shared" si="7"/>
        <v/>
      </c>
      <c r="P72" s="16" t="str">
        <f t="shared" si="8"/>
        <v/>
      </c>
      <c r="Q72" s="16" t="str">
        <f t="shared" si="9"/>
        <v/>
      </c>
      <c r="R72" s="23" t="str">
        <f t="shared" si="10"/>
        <v/>
      </c>
      <c r="S72" s="23" t="str">
        <f t="shared" si="11"/>
        <v/>
      </c>
      <c r="T72" s="23" t="str">
        <f t="shared" si="12"/>
        <v/>
      </c>
      <c r="U72" s="23" t="str">
        <f t="shared" si="13"/>
        <v/>
      </c>
      <c r="V72" s="23" t="str">
        <f t="shared" si="14"/>
        <v/>
      </c>
      <c r="W72" s="70" t="str">
        <f t="shared" si="15"/>
        <v/>
      </c>
      <c r="X72" s="70" t="str">
        <f t="shared" si="16"/>
        <v/>
      </c>
      <c r="Y72" s="70" t="str">
        <f>IF(AND($A72&lt;&gt;"",$E72&gt;0),isLaptopBag($C72,$J72)*$D72,"")</f>
        <v/>
      </c>
      <c r="Z72" s="70" t="str">
        <f t="shared" si="17"/>
        <v/>
      </c>
      <c r="AA72" s="70" t="str">
        <f t="shared" si="18"/>
        <v/>
      </c>
      <c r="AB72" s="70" t="str">
        <f t="shared" si="19"/>
        <v/>
      </c>
      <c r="AC72" s="70" t="str">
        <f t="shared" si="20"/>
        <v/>
      </c>
      <c r="AD72" s="70" t="str">
        <f t="shared" si="21"/>
        <v/>
      </c>
      <c r="AE72" s="70" t="str">
        <f t="shared" si="22"/>
        <v/>
      </c>
      <c r="AF72" s="16"/>
      <c r="AG72" s="23"/>
      <c r="AH72" s="22"/>
      <c r="AJ72" s="83">
        <f t="shared" si="23"/>
        <v>0</v>
      </c>
      <c r="AO72" s="22" t="str">
        <f t="shared" si="24"/>
        <v/>
      </c>
      <c r="AP72" s="22" t="str">
        <f t="shared" si="25"/>
        <v/>
      </c>
    </row>
    <row r="73" spans="1:42" x14ac:dyDescent="0.25">
      <c r="A73" s="10"/>
      <c r="B73" s="10"/>
      <c r="C73" s="10"/>
      <c r="D73" s="10"/>
      <c r="E73" s="10"/>
      <c r="F73" s="10"/>
      <c r="G73" s="10"/>
      <c r="H73" s="17"/>
      <c r="I73" s="10"/>
      <c r="J73" s="10"/>
      <c r="K73" s="16" t="str">
        <f t="shared" si="4"/>
        <v/>
      </c>
      <c r="L73" s="23" t="str">
        <f t="shared" si="5"/>
        <v/>
      </c>
      <c r="M73" s="22" t="str">
        <f t="shared" si="6"/>
        <v/>
      </c>
      <c r="N73" s="72"/>
      <c r="O73" s="16" t="str">
        <f t="shared" si="7"/>
        <v/>
      </c>
      <c r="P73" s="16" t="str">
        <f t="shared" si="8"/>
        <v/>
      </c>
      <c r="Q73" s="16" t="str">
        <f t="shared" si="9"/>
        <v/>
      </c>
      <c r="R73" s="23" t="str">
        <f t="shared" si="10"/>
        <v/>
      </c>
      <c r="S73" s="23" t="str">
        <f t="shared" si="11"/>
        <v/>
      </c>
      <c r="T73" s="23" t="str">
        <f t="shared" si="12"/>
        <v/>
      </c>
      <c r="U73" s="23" t="str">
        <f t="shared" si="13"/>
        <v/>
      </c>
      <c r="V73" s="23" t="str">
        <f t="shared" si="14"/>
        <v/>
      </c>
      <c r="W73" s="70" t="str">
        <f t="shared" si="15"/>
        <v/>
      </c>
      <c r="X73" s="70" t="str">
        <f t="shared" si="16"/>
        <v/>
      </c>
      <c r="Y73" s="70" t="str">
        <f>IF(AND($A73&lt;&gt;"",$E73&gt;0),isLaptopBag($C73,$J73)*$D73,"")</f>
        <v/>
      </c>
      <c r="Z73" s="70" t="str">
        <f t="shared" si="17"/>
        <v/>
      </c>
      <c r="AA73" s="70" t="str">
        <f t="shared" si="18"/>
        <v/>
      </c>
      <c r="AB73" s="70" t="str">
        <f t="shared" si="19"/>
        <v/>
      </c>
      <c r="AC73" s="70" t="str">
        <f t="shared" si="20"/>
        <v/>
      </c>
      <c r="AD73" s="70" t="str">
        <f t="shared" si="21"/>
        <v/>
      </c>
      <c r="AE73" s="70" t="str">
        <f t="shared" si="22"/>
        <v/>
      </c>
      <c r="AF73" s="16"/>
      <c r="AG73" s="23"/>
      <c r="AH73" s="22"/>
      <c r="AJ73" s="83">
        <f t="shared" si="23"/>
        <v>0</v>
      </c>
      <c r="AO73" s="22" t="str">
        <f t="shared" si="24"/>
        <v/>
      </c>
      <c r="AP73" s="22" t="str">
        <f t="shared" si="25"/>
        <v/>
      </c>
    </row>
    <row r="74" spans="1:42" x14ac:dyDescent="0.25">
      <c r="A74" s="10"/>
      <c r="B74" s="10"/>
      <c r="C74" s="10"/>
      <c r="D74" s="10"/>
      <c r="E74" s="10"/>
      <c r="F74" s="10"/>
      <c r="G74" s="10"/>
      <c r="H74" s="17"/>
      <c r="I74" s="10"/>
      <c r="J74" s="10"/>
      <c r="K74" s="16" t="str">
        <f t="shared" si="4"/>
        <v/>
      </c>
      <c r="L74" s="23" t="str">
        <f t="shared" si="5"/>
        <v/>
      </c>
      <c r="M74" s="22" t="str">
        <f t="shared" si="6"/>
        <v/>
      </c>
      <c r="N74" s="72"/>
      <c r="O74" s="16" t="str">
        <f t="shared" si="7"/>
        <v/>
      </c>
      <c r="P74" s="16" t="str">
        <f t="shared" si="8"/>
        <v/>
      </c>
      <c r="Q74" s="16" t="str">
        <f t="shared" si="9"/>
        <v/>
      </c>
      <c r="R74" s="23" t="str">
        <f t="shared" si="10"/>
        <v/>
      </c>
      <c r="S74" s="23" t="str">
        <f t="shared" si="11"/>
        <v/>
      </c>
      <c r="T74" s="23" t="str">
        <f t="shared" si="12"/>
        <v/>
      </c>
      <c r="U74" s="23" t="str">
        <f t="shared" si="13"/>
        <v/>
      </c>
      <c r="V74" s="23" t="str">
        <f t="shared" si="14"/>
        <v/>
      </c>
      <c r="W74" s="70" t="str">
        <f t="shared" si="15"/>
        <v/>
      </c>
      <c r="X74" s="70" t="str">
        <f t="shared" si="16"/>
        <v/>
      </c>
      <c r="Y74" s="70" t="str">
        <f>IF(AND($A74&lt;&gt;"",$E74&gt;0),isLaptopBag($C74,$J74)*$D74,"")</f>
        <v/>
      </c>
      <c r="Z74" s="70" t="str">
        <f t="shared" si="17"/>
        <v/>
      </c>
      <c r="AA74" s="70" t="str">
        <f t="shared" si="18"/>
        <v/>
      </c>
      <c r="AB74" s="70" t="str">
        <f t="shared" si="19"/>
        <v/>
      </c>
      <c r="AC74" s="70" t="str">
        <f t="shared" si="20"/>
        <v/>
      </c>
      <c r="AD74" s="70" t="str">
        <f t="shared" si="21"/>
        <v/>
      </c>
      <c r="AE74" s="70" t="str">
        <f t="shared" si="22"/>
        <v/>
      </c>
      <c r="AF74" s="16"/>
      <c r="AG74" s="23"/>
      <c r="AH74" s="22"/>
      <c r="AJ74" s="83">
        <f t="shared" si="23"/>
        <v>0</v>
      </c>
      <c r="AO74" s="22" t="str">
        <f t="shared" si="24"/>
        <v/>
      </c>
      <c r="AP74" s="22" t="str">
        <f t="shared" si="25"/>
        <v/>
      </c>
    </row>
    <row r="75" spans="1:42" x14ac:dyDescent="0.25">
      <c r="A75" s="10"/>
      <c r="B75" s="10"/>
      <c r="C75" s="10"/>
      <c r="D75" s="10"/>
      <c r="E75" s="10"/>
      <c r="F75" s="10"/>
      <c r="G75" s="10"/>
      <c r="H75" s="17"/>
      <c r="I75" s="10"/>
      <c r="J75" s="10"/>
      <c r="K75" s="16" t="str">
        <f t="shared" si="4"/>
        <v/>
      </c>
      <c r="L75" s="23" t="str">
        <f t="shared" si="5"/>
        <v/>
      </c>
      <c r="M75" s="22" t="str">
        <f t="shared" si="6"/>
        <v/>
      </c>
      <c r="N75" s="72"/>
      <c r="O75" s="16" t="str">
        <f t="shared" si="7"/>
        <v/>
      </c>
      <c r="P75" s="16" t="str">
        <f t="shared" si="8"/>
        <v/>
      </c>
      <c r="Q75" s="16" t="str">
        <f t="shared" si="9"/>
        <v/>
      </c>
      <c r="R75" s="23" t="str">
        <f t="shared" si="10"/>
        <v/>
      </c>
      <c r="S75" s="23" t="str">
        <f t="shared" si="11"/>
        <v/>
      </c>
      <c r="T75" s="23" t="str">
        <f t="shared" si="12"/>
        <v/>
      </c>
      <c r="U75" s="23" t="str">
        <f t="shared" si="13"/>
        <v/>
      </c>
      <c r="V75" s="23" t="str">
        <f t="shared" si="14"/>
        <v/>
      </c>
      <c r="W75" s="70" t="str">
        <f t="shared" si="15"/>
        <v/>
      </c>
      <c r="X75" s="70" t="str">
        <f t="shared" si="16"/>
        <v/>
      </c>
      <c r="Y75" s="70" t="str">
        <f>IF(AND($A75&lt;&gt;"",$E75&gt;0),isLaptopBag($C75,$J75)*$D75,"")</f>
        <v/>
      </c>
      <c r="Z75" s="70" t="str">
        <f t="shared" si="17"/>
        <v/>
      </c>
      <c r="AA75" s="70" t="str">
        <f t="shared" si="18"/>
        <v/>
      </c>
      <c r="AB75" s="70" t="str">
        <f t="shared" si="19"/>
        <v/>
      </c>
      <c r="AC75" s="70" t="str">
        <f t="shared" si="20"/>
        <v/>
      </c>
      <c r="AD75" s="70" t="str">
        <f t="shared" si="21"/>
        <v/>
      </c>
      <c r="AE75" s="70" t="str">
        <f t="shared" si="22"/>
        <v/>
      </c>
      <c r="AF75" s="16"/>
      <c r="AG75" s="23"/>
      <c r="AH75" s="22"/>
      <c r="AJ75" s="83">
        <f t="shared" si="23"/>
        <v>0</v>
      </c>
      <c r="AO75" s="22" t="str">
        <f t="shared" si="24"/>
        <v/>
      </c>
      <c r="AP75" s="22" t="str">
        <f t="shared" si="25"/>
        <v/>
      </c>
    </row>
    <row r="76" spans="1:42" x14ac:dyDescent="0.25">
      <c r="A76" s="10"/>
      <c r="B76" s="10"/>
      <c r="C76" s="10"/>
      <c r="D76" s="10"/>
      <c r="E76" s="10"/>
      <c r="F76" s="10"/>
      <c r="G76" s="10"/>
      <c r="H76" s="17"/>
      <c r="I76" s="10"/>
      <c r="J76" s="10"/>
      <c r="K76" s="16" t="str">
        <f t="shared" si="4"/>
        <v/>
      </c>
      <c r="L76" s="23" t="str">
        <f t="shared" si="5"/>
        <v/>
      </c>
      <c r="M76" s="22" t="str">
        <f t="shared" si="6"/>
        <v/>
      </c>
      <c r="N76" s="72"/>
      <c r="O76" s="16" t="str">
        <f t="shared" si="7"/>
        <v/>
      </c>
      <c r="P76" s="16" t="str">
        <f t="shared" si="8"/>
        <v/>
      </c>
      <c r="Q76" s="16" t="str">
        <f t="shared" si="9"/>
        <v/>
      </c>
      <c r="R76" s="23" t="str">
        <f t="shared" si="10"/>
        <v/>
      </c>
      <c r="S76" s="23" t="str">
        <f t="shared" si="11"/>
        <v/>
      </c>
      <c r="T76" s="23" t="str">
        <f t="shared" si="12"/>
        <v/>
      </c>
      <c r="U76" s="23" t="str">
        <f t="shared" si="13"/>
        <v/>
      </c>
      <c r="V76" s="23" t="str">
        <f t="shared" si="14"/>
        <v/>
      </c>
      <c r="W76" s="70" t="str">
        <f t="shared" si="15"/>
        <v/>
      </c>
      <c r="X76" s="70" t="str">
        <f t="shared" si="16"/>
        <v/>
      </c>
      <c r="Y76" s="70" t="str">
        <f>IF(AND($A76&lt;&gt;"",$E76&gt;0),isLaptopBag($C76,$J76)*$D76,"")</f>
        <v/>
      </c>
      <c r="Z76" s="70" t="str">
        <f t="shared" si="17"/>
        <v/>
      </c>
      <c r="AA76" s="70" t="str">
        <f t="shared" si="18"/>
        <v/>
      </c>
      <c r="AB76" s="70" t="str">
        <f t="shared" si="19"/>
        <v/>
      </c>
      <c r="AC76" s="70" t="str">
        <f t="shared" si="20"/>
        <v/>
      </c>
      <c r="AD76" s="70" t="str">
        <f t="shared" si="21"/>
        <v/>
      </c>
      <c r="AE76" s="70" t="str">
        <f t="shared" si="22"/>
        <v/>
      </c>
      <c r="AF76" s="16"/>
      <c r="AG76" s="23"/>
      <c r="AH76" s="22"/>
      <c r="AJ76" s="83">
        <f t="shared" si="23"/>
        <v>0</v>
      </c>
      <c r="AO76" s="22" t="str">
        <f t="shared" si="24"/>
        <v/>
      </c>
      <c r="AP76" s="22" t="str">
        <f t="shared" si="25"/>
        <v/>
      </c>
    </row>
    <row r="77" spans="1:42" x14ac:dyDescent="0.25">
      <c r="A77" s="10"/>
      <c r="B77" s="10"/>
      <c r="C77" s="10"/>
      <c r="D77" s="10"/>
      <c r="E77" s="10"/>
      <c r="F77" s="10"/>
      <c r="G77" s="10"/>
      <c r="H77" s="17"/>
      <c r="I77" s="10"/>
      <c r="J77" s="10"/>
      <c r="K77" s="16" t="str">
        <f t="shared" ref="K77:K140" si="26">IF($AF77&lt;&gt;"",$AF77,IF(AND($A77&lt;&gt;"",$E77&gt;0),SUM($O77:$Q77),""))</f>
        <v/>
      </c>
      <c r="L77" s="23" t="str">
        <f t="shared" ref="L77:L140" si="27">IF($AG77&lt;&gt;"",$AG77,IF(AND($A77&lt;&gt;"",$E77&gt;0),SUM($R77:$V77),""))</f>
        <v/>
      </c>
      <c r="M77" s="22" t="str">
        <f t="shared" ref="M77:M140" si="28">IF($AH77&lt;&gt;"",$AH77,IF(AND($A77&lt;&gt;"",$E77&gt;0),SUM($W77:$AE77)+$AO77+$AP77,""))</f>
        <v/>
      </c>
      <c r="N77" s="72"/>
      <c r="O77" s="16" t="str">
        <f t="shared" ref="O77:O140" si="29">IF(AND($A77&lt;&gt;"",$E77&gt;0),IF(AND($J77="SONY",200000&lt;=$E77,$E77&lt;1000000),5000*$D77,0),"")</f>
        <v/>
      </c>
      <c r="P77" s="16" t="str">
        <f t="shared" ref="P77:P140" si="30">IF(AND($A77&lt;&gt;"",$E77&gt;0),IF(AND($J77="SONY",1000000&lt;=$E77,$E77&lt;2000000),10000*$D77,0),"")</f>
        <v/>
      </c>
      <c r="Q77" s="16" t="str">
        <f t="shared" ref="Q77:Q140" si="31">IF(AND($A77&lt;&gt;"",$E77&gt;0),IF(AND($J77="SONY",$E77&gt;=2000000),20000*$D77,0),"")</f>
        <v/>
      </c>
      <c r="R77" s="23" t="str">
        <f t="shared" ref="R77:R140" si="32">IF(AND($A77&lt;&gt;"",$E77&gt;0),IF(AND($J77&lt;&gt;"SONY",100000&lt;=$E77,$E77&lt;200000),5000*$D77,0),"")</f>
        <v/>
      </c>
      <c r="S77" s="23" t="str">
        <f t="shared" ref="S77:S140" si="33">IF(AND($A77&lt;&gt;"",$E77&gt;0),IF(AND($J77&lt;&gt;"SONY",200000&lt;=$E77,$E77&lt;500000),10000*$D77,0),"")</f>
        <v/>
      </c>
      <c r="T77" s="23" t="str">
        <f t="shared" ref="T77:T140" si="34">IF(AND($A77&lt;&gt;"",$E77&gt;0),IF(AND($J77&lt;&gt;"SONY",500000&lt;=$E77,$E77&lt;1000000),20000*$D77,0),"")</f>
        <v/>
      </c>
      <c r="U77" s="23" t="str">
        <f t="shared" ref="U77:U140" si="35">IF(AND($A77&lt;&gt;"",$E77&gt;0),IF(AND($J77&lt;&gt;"SONY",1000000&lt;=$E77,$E77&lt;1500000),50000*$D77,0),"")</f>
        <v/>
      </c>
      <c r="V77" s="23" t="str">
        <f t="shared" ref="V77:V140" si="36">IF(AND($A77&lt;&gt;"",$E77&gt;0),IF(AND($J77&lt;&gt;"SONY",1500000&lt;=$E77),100000*$D77,0),"")</f>
        <v/>
      </c>
      <c r="W77" s="70" t="str">
        <f t="shared" ref="W77:W140" si="37">IF(AND($E77&gt;0,$J77="ELECOM",$E77&gt;=500000,ISNUMBER(SEARCH("tai nghe",$C77))),20000*$D77,IF($A77&lt;&gt;"",0,""))</f>
        <v/>
      </c>
      <c r="X77" s="70" t="str">
        <f t="shared" ref="X77:X140" si="38">IF(AND($E77&gt;0,$J77="ELECOM",ISNUMBER(SEARCH("loa",$C77))),20000*$D77,IF($A77&lt;&gt;"",0,""))</f>
        <v/>
      </c>
      <c r="Y77" s="70" t="str">
        <f>IF(AND($A77&lt;&gt;"",$E77&gt;0),isLaptopBag($C77,$J77)*$D77,"")</f>
        <v/>
      </c>
      <c r="Z77" s="70" t="str">
        <f t="shared" ref="Z77:Z140" si="39">IF(AND($E77&gt;0,$J77="ELECOM",ISNUMBER(SEARCH("ốp",$C77))),20000*$D77,IF($A77&lt;&gt;"",0,""))</f>
        <v/>
      </c>
      <c r="AA77" s="70" t="str">
        <f t="shared" ref="AA77:AA140" si="40">IF(AND($E77&gt;0,$J77="ELECOM",ISNUMBER(SEARCH("Bút",$C77))),20000*$D77,IF($A77&lt;&gt;"",0,""))</f>
        <v/>
      </c>
      <c r="AB77" s="70" t="str">
        <f t="shared" ref="AB77:AB140" si="41">IF(AND($E77&gt;0,$J77="ELECOM",ISNUMBER(SEARCH("Chuột bi",$C77))),20000*$D77,IF($A77&lt;&gt;"",0,""))</f>
        <v/>
      </c>
      <c r="AC77" s="70" t="str">
        <f t="shared" ref="AC77:AC140" si="42">IF(AND($E77&gt;0,$J77="ELECOM",ISNUMBER(SEARCH("Chuột trackball",$C77))),20000*$D77,IF($A77&lt;&gt;"",0,""))</f>
        <v/>
      </c>
      <c r="AD77" s="70" t="str">
        <f t="shared" ref="AD77:AD140" si="43">IF(AND($E77&gt;0,$J77="ELECOM",ISNUMBER(SEARCH("Sạc không dây",$C77))),20000*$D77,IF($A77&lt;&gt;"",0,""))</f>
        <v/>
      </c>
      <c r="AE77" s="70" t="str">
        <f t="shared" ref="AE77:AE140" si="44">IF(AND($E77&gt;0,$J77="ELECOM",ISNUMBER(SEARCH("Sạc kd",$C77))),20000*$D77,IF($A77&lt;&gt;"",0,""))</f>
        <v/>
      </c>
      <c r="AF77" s="16"/>
      <c r="AG77" s="23"/>
      <c r="AH77" s="22"/>
      <c r="AJ77" s="83">
        <f t="shared" ref="AJ77:AJ140" si="45">DAY(H77)</f>
        <v>0</v>
      </c>
      <c r="AO77" s="22" t="str">
        <f t="shared" ref="AO77:AO140" si="46">IF(AND($E77&gt;0,ISNUMBER(SEARCH("Sạc dự phòng Energizer",$C77))),10000*$D77,IF($A77&lt;&gt;"",0,""))</f>
        <v/>
      </c>
      <c r="AP77" s="22" t="str">
        <f t="shared" ref="AP77:AP140" si="47">IF(AND($E77&gt;0,ISNUMBER(SEARCH("SDP Energizer",$C77))),10000*$D77,IF($A77&lt;&gt;"",0,""))</f>
        <v/>
      </c>
    </row>
    <row r="78" spans="1:42" x14ac:dyDescent="0.25">
      <c r="A78" s="10"/>
      <c r="B78" s="10"/>
      <c r="C78" s="10"/>
      <c r="D78" s="10"/>
      <c r="E78" s="10"/>
      <c r="F78" s="10"/>
      <c r="G78" s="10"/>
      <c r="H78" s="17"/>
      <c r="I78" s="10"/>
      <c r="J78" s="10"/>
      <c r="K78" s="16" t="str">
        <f t="shared" si="26"/>
        <v/>
      </c>
      <c r="L78" s="23" t="str">
        <f t="shared" si="27"/>
        <v/>
      </c>
      <c r="M78" s="22" t="str">
        <f t="shared" si="28"/>
        <v/>
      </c>
      <c r="N78" s="72"/>
      <c r="O78" s="16" t="str">
        <f t="shared" si="29"/>
        <v/>
      </c>
      <c r="P78" s="16" t="str">
        <f t="shared" si="30"/>
        <v/>
      </c>
      <c r="Q78" s="16" t="str">
        <f t="shared" si="31"/>
        <v/>
      </c>
      <c r="R78" s="23" t="str">
        <f t="shared" si="32"/>
        <v/>
      </c>
      <c r="S78" s="23" t="str">
        <f t="shared" si="33"/>
        <v/>
      </c>
      <c r="T78" s="23" t="str">
        <f t="shared" si="34"/>
        <v/>
      </c>
      <c r="U78" s="23" t="str">
        <f t="shared" si="35"/>
        <v/>
      </c>
      <c r="V78" s="23" t="str">
        <f t="shared" si="36"/>
        <v/>
      </c>
      <c r="W78" s="70" t="str">
        <f t="shared" si="37"/>
        <v/>
      </c>
      <c r="X78" s="70" t="str">
        <f t="shared" si="38"/>
        <v/>
      </c>
      <c r="Y78" s="70" t="str">
        <f>IF(AND($A78&lt;&gt;"",$E78&gt;0),isLaptopBag($C78,$J78)*$D78,"")</f>
        <v/>
      </c>
      <c r="Z78" s="70" t="str">
        <f t="shared" si="39"/>
        <v/>
      </c>
      <c r="AA78" s="70" t="str">
        <f t="shared" si="40"/>
        <v/>
      </c>
      <c r="AB78" s="70" t="str">
        <f t="shared" si="41"/>
        <v/>
      </c>
      <c r="AC78" s="70" t="str">
        <f t="shared" si="42"/>
        <v/>
      </c>
      <c r="AD78" s="70" t="str">
        <f t="shared" si="43"/>
        <v/>
      </c>
      <c r="AE78" s="70" t="str">
        <f t="shared" si="44"/>
        <v/>
      </c>
      <c r="AF78" s="16"/>
      <c r="AG78" s="23"/>
      <c r="AH78" s="22"/>
      <c r="AJ78" s="83">
        <f t="shared" si="45"/>
        <v>0</v>
      </c>
      <c r="AO78" s="22" t="str">
        <f t="shared" si="46"/>
        <v/>
      </c>
      <c r="AP78" s="22" t="str">
        <f t="shared" si="47"/>
        <v/>
      </c>
    </row>
    <row r="79" spans="1:42" x14ac:dyDescent="0.25">
      <c r="A79" s="10"/>
      <c r="B79" s="10"/>
      <c r="C79" s="10"/>
      <c r="D79" s="10"/>
      <c r="E79" s="10"/>
      <c r="F79" s="10"/>
      <c r="G79" s="10"/>
      <c r="H79" s="17"/>
      <c r="I79" s="10"/>
      <c r="J79" s="10"/>
      <c r="K79" s="16" t="str">
        <f t="shared" si="26"/>
        <v/>
      </c>
      <c r="L79" s="23" t="str">
        <f t="shared" si="27"/>
        <v/>
      </c>
      <c r="M79" s="22" t="str">
        <f t="shared" si="28"/>
        <v/>
      </c>
      <c r="N79" s="72"/>
      <c r="O79" s="16" t="str">
        <f t="shared" si="29"/>
        <v/>
      </c>
      <c r="P79" s="16" t="str">
        <f t="shared" si="30"/>
        <v/>
      </c>
      <c r="Q79" s="16" t="str">
        <f t="shared" si="31"/>
        <v/>
      </c>
      <c r="R79" s="23" t="str">
        <f t="shared" si="32"/>
        <v/>
      </c>
      <c r="S79" s="23" t="str">
        <f t="shared" si="33"/>
        <v/>
      </c>
      <c r="T79" s="23" t="str">
        <f t="shared" si="34"/>
        <v/>
      </c>
      <c r="U79" s="23" t="str">
        <f t="shared" si="35"/>
        <v/>
      </c>
      <c r="V79" s="23" t="str">
        <f t="shared" si="36"/>
        <v/>
      </c>
      <c r="W79" s="70" t="str">
        <f t="shared" si="37"/>
        <v/>
      </c>
      <c r="X79" s="70" t="str">
        <f t="shared" si="38"/>
        <v/>
      </c>
      <c r="Y79" s="70" t="str">
        <f>IF(AND($A79&lt;&gt;"",$E79&gt;0),isLaptopBag($C79,$J79)*$D79,"")</f>
        <v/>
      </c>
      <c r="Z79" s="70" t="str">
        <f t="shared" si="39"/>
        <v/>
      </c>
      <c r="AA79" s="70" t="str">
        <f t="shared" si="40"/>
        <v/>
      </c>
      <c r="AB79" s="70" t="str">
        <f t="shared" si="41"/>
        <v/>
      </c>
      <c r="AC79" s="70" t="str">
        <f t="shared" si="42"/>
        <v/>
      </c>
      <c r="AD79" s="70" t="str">
        <f t="shared" si="43"/>
        <v/>
      </c>
      <c r="AE79" s="70" t="str">
        <f t="shared" si="44"/>
        <v/>
      </c>
      <c r="AF79" s="16"/>
      <c r="AG79" s="23"/>
      <c r="AH79" s="22"/>
      <c r="AJ79" s="83">
        <f t="shared" si="45"/>
        <v>0</v>
      </c>
      <c r="AO79" s="22" t="str">
        <f t="shared" si="46"/>
        <v/>
      </c>
      <c r="AP79" s="22" t="str">
        <f t="shared" si="47"/>
        <v/>
      </c>
    </row>
    <row r="80" spans="1:42" x14ac:dyDescent="0.25">
      <c r="A80" s="10"/>
      <c r="B80" s="10"/>
      <c r="C80" s="10"/>
      <c r="D80" s="10"/>
      <c r="E80" s="10"/>
      <c r="F80" s="10"/>
      <c r="G80" s="10"/>
      <c r="H80" s="17"/>
      <c r="I80" s="10"/>
      <c r="J80" s="10"/>
      <c r="K80" s="16" t="str">
        <f t="shared" si="26"/>
        <v/>
      </c>
      <c r="L80" s="23" t="str">
        <f t="shared" si="27"/>
        <v/>
      </c>
      <c r="M80" s="22" t="str">
        <f t="shared" si="28"/>
        <v/>
      </c>
      <c r="N80" s="72"/>
      <c r="O80" s="16" t="str">
        <f t="shared" si="29"/>
        <v/>
      </c>
      <c r="P80" s="16" t="str">
        <f t="shared" si="30"/>
        <v/>
      </c>
      <c r="Q80" s="16" t="str">
        <f t="shared" si="31"/>
        <v/>
      </c>
      <c r="R80" s="23" t="str">
        <f t="shared" si="32"/>
        <v/>
      </c>
      <c r="S80" s="23" t="str">
        <f t="shared" si="33"/>
        <v/>
      </c>
      <c r="T80" s="23" t="str">
        <f t="shared" si="34"/>
        <v/>
      </c>
      <c r="U80" s="23" t="str">
        <f t="shared" si="35"/>
        <v/>
      </c>
      <c r="V80" s="23" t="str">
        <f t="shared" si="36"/>
        <v/>
      </c>
      <c r="W80" s="70" t="str">
        <f t="shared" si="37"/>
        <v/>
      </c>
      <c r="X80" s="70" t="str">
        <f t="shared" si="38"/>
        <v/>
      </c>
      <c r="Y80" s="70" t="str">
        <f>IF(AND($A80&lt;&gt;"",$E80&gt;0),isLaptopBag($C80,$J80)*$D80,"")</f>
        <v/>
      </c>
      <c r="Z80" s="70" t="str">
        <f t="shared" si="39"/>
        <v/>
      </c>
      <c r="AA80" s="70" t="str">
        <f t="shared" si="40"/>
        <v/>
      </c>
      <c r="AB80" s="70" t="str">
        <f t="shared" si="41"/>
        <v/>
      </c>
      <c r="AC80" s="70" t="str">
        <f t="shared" si="42"/>
        <v/>
      </c>
      <c r="AD80" s="70" t="str">
        <f t="shared" si="43"/>
        <v/>
      </c>
      <c r="AE80" s="70" t="str">
        <f t="shared" si="44"/>
        <v/>
      </c>
      <c r="AF80" s="16"/>
      <c r="AG80" s="23"/>
      <c r="AH80" s="22"/>
      <c r="AJ80" s="83">
        <f t="shared" si="45"/>
        <v>0</v>
      </c>
      <c r="AO80" s="22" t="str">
        <f t="shared" si="46"/>
        <v/>
      </c>
      <c r="AP80" s="22" t="str">
        <f t="shared" si="47"/>
        <v/>
      </c>
    </row>
    <row r="81" spans="1:42" x14ac:dyDescent="0.25">
      <c r="A81" s="10"/>
      <c r="B81" s="10"/>
      <c r="C81" s="10"/>
      <c r="D81" s="10"/>
      <c r="E81" s="10"/>
      <c r="F81" s="10"/>
      <c r="G81" s="10"/>
      <c r="H81" s="17"/>
      <c r="I81" s="10"/>
      <c r="J81" s="10"/>
      <c r="K81" s="16" t="str">
        <f t="shared" si="26"/>
        <v/>
      </c>
      <c r="L81" s="23" t="str">
        <f t="shared" si="27"/>
        <v/>
      </c>
      <c r="M81" s="22" t="str">
        <f t="shared" si="28"/>
        <v/>
      </c>
      <c r="N81" s="72"/>
      <c r="O81" s="16" t="str">
        <f t="shared" si="29"/>
        <v/>
      </c>
      <c r="P81" s="16" t="str">
        <f t="shared" si="30"/>
        <v/>
      </c>
      <c r="Q81" s="16" t="str">
        <f t="shared" si="31"/>
        <v/>
      </c>
      <c r="R81" s="23" t="str">
        <f t="shared" si="32"/>
        <v/>
      </c>
      <c r="S81" s="23" t="str">
        <f t="shared" si="33"/>
        <v/>
      </c>
      <c r="T81" s="23" t="str">
        <f t="shared" si="34"/>
        <v/>
      </c>
      <c r="U81" s="23" t="str">
        <f t="shared" si="35"/>
        <v/>
      </c>
      <c r="V81" s="23" t="str">
        <f t="shared" si="36"/>
        <v/>
      </c>
      <c r="W81" s="70" t="str">
        <f t="shared" si="37"/>
        <v/>
      </c>
      <c r="X81" s="70" t="str">
        <f t="shared" si="38"/>
        <v/>
      </c>
      <c r="Y81" s="70" t="str">
        <f>IF(AND($A81&lt;&gt;"",$E81&gt;0),isLaptopBag($C81,$J81)*$D81,"")</f>
        <v/>
      </c>
      <c r="Z81" s="70" t="str">
        <f t="shared" si="39"/>
        <v/>
      </c>
      <c r="AA81" s="70" t="str">
        <f t="shared" si="40"/>
        <v/>
      </c>
      <c r="AB81" s="70" t="str">
        <f t="shared" si="41"/>
        <v/>
      </c>
      <c r="AC81" s="70" t="str">
        <f t="shared" si="42"/>
        <v/>
      </c>
      <c r="AD81" s="70" t="str">
        <f t="shared" si="43"/>
        <v/>
      </c>
      <c r="AE81" s="70" t="str">
        <f t="shared" si="44"/>
        <v/>
      </c>
      <c r="AF81" s="16"/>
      <c r="AG81" s="23"/>
      <c r="AH81" s="22"/>
      <c r="AJ81" s="83">
        <f t="shared" si="45"/>
        <v>0</v>
      </c>
      <c r="AO81" s="22" t="str">
        <f t="shared" si="46"/>
        <v/>
      </c>
      <c r="AP81" s="22" t="str">
        <f t="shared" si="47"/>
        <v/>
      </c>
    </row>
    <row r="82" spans="1:42" x14ac:dyDescent="0.25">
      <c r="A82" s="10"/>
      <c r="B82" s="10"/>
      <c r="C82" s="10"/>
      <c r="D82" s="10"/>
      <c r="E82" s="10"/>
      <c r="F82" s="10"/>
      <c r="G82" s="10"/>
      <c r="H82" s="17"/>
      <c r="I82" s="10"/>
      <c r="J82" s="10"/>
      <c r="K82" s="16" t="str">
        <f t="shared" si="26"/>
        <v/>
      </c>
      <c r="L82" s="23" t="str">
        <f t="shared" si="27"/>
        <v/>
      </c>
      <c r="M82" s="22" t="str">
        <f t="shared" si="28"/>
        <v/>
      </c>
      <c r="N82" s="72"/>
      <c r="O82" s="16" t="str">
        <f t="shared" si="29"/>
        <v/>
      </c>
      <c r="P82" s="16" t="str">
        <f t="shared" si="30"/>
        <v/>
      </c>
      <c r="Q82" s="16" t="str">
        <f t="shared" si="31"/>
        <v/>
      </c>
      <c r="R82" s="23" t="str">
        <f t="shared" si="32"/>
        <v/>
      </c>
      <c r="S82" s="23" t="str">
        <f t="shared" si="33"/>
        <v/>
      </c>
      <c r="T82" s="23" t="str">
        <f t="shared" si="34"/>
        <v/>
      </c>
      <c r="U82" s="23" t="str">
        <f t="shared" si="35"/>
        <v/>
      </c>
      <c r="V82" s="23" t="str">
        <f t="shared" si="36"/>
        <v/>
      </c>
      <c r="W82" s="70" t="str">
        <f t="shared" si="37"/>
        <v/>
      </c>
      <c r="X82" s="70" t="str">
        <f t="shared" si="38"/>
        <v/>
      </c>
      <c r="Y82" s="70" t="str">
        <f>IF(AND($A82&lt;&gt;"",$E82&gt;0),isLaptopBag($C82,$J82)*$D82,"")</f>
        <v/>
      </c>
      <c r="Z82" s="70" t="str">
        <f t="shared" si="39"/>
        <v/>
      </c>
      <c r="AA82" s="70" t="str">
        <f t="shared" si="40"/>
        <v/>
      </c>
      <c r="AB82" s="70" t="str">
        <f t="shared" si="41"/>
        <v/>
      </c>
      <c r="AC82" s="70" t="str">
        <f t="shared" si="42"/>
        <v/>
      </c>
      <c r="AD82" s="70" t="str">
        <f t="shared" si="43"/>
        <v/>
      </c>
      <c r="AE82" s="70" t="str">
        <f t="shared" si="44"/>
        <v/>
      </c>
      <c r="AF82" s="16"/>
      <c r="AG82" s="23"/>
      <c r="AH82" s="22"/>
      <c r="AJ82" s="83">
        <f t="shared" si="45"/>
        <v>0</v>
      </c>
      <c r="AO82" s="22" t="str">
        <f t="shared" si="46"/>
        <v/>
      </c>
      <c r="AP82" s="22" t="str">
        <f t="shared" si="47"/>
        <v/>
      </c>
    </row>
    <row r="83" spans="1:42" x14ac:dyDescent="0.25">
      <c r="A83" s="10"/>
      <c r="B83" s="10"/>
      <c r="C83" s="10"/>
      <c r="D83" s="10"/>
      <c r="E83" s="10"/>
      <c r="F83" s="10"/>
      <c r="G83" s="10"/>
      <c r="H83" s="17"/>
      <c r="I83" s="10"/>
      <c r="J83" s="10"/>
      <c r="K83" s="16" t="str">
        <f t="shared" si="26"/>
        <v/>
      </c>
      <c r="L83" s="23" t="str">
        <f t="shared" si="27"/>
        <v/>
      </c>
      <c r="M83" s="22" t="str">
        <f t="shared" si="28"/>
        <v/>
      </c>
      <c r="N83" s="72"/>
      <c r="O83" s="16" t="str">
        <f t="shared" si="29"/>
        <v/>
      </c>
      <c r="P83" s="16" t="str">
        <f t="shared" si="30"/>
        <v/>
      </c>
      <c r="Q83" s="16" t="str">
        <f t="shared" si="31"/>
        <v/>
      </c>
      <c r="R83" s="23" t="str">
        <f t="shared" si="32"/>
        <v/>
      </c>
      <c r="S83" s="23" t="str">
        <f t="shared" si="33"/>
        <v/>
      </c>
      <c r="T83" s="23" t="str">
        <f t="shared" si="34"/>
        <v/>
      </c>
      <c r="U83" s="23" t="str">
        <f t="shared" si="35"/>
        <v/>
      </c>
      <c r="V83" s="23" t="str">
        <f t="shared" si="36"/>
        <v/>
      </c>
      <c r="W83" s="70" t="str">
        <f t="shared" si="37"/>
        <v/>
      </c>
      <c r="X83" s="70" t="str">
        <f t="shared" si="38"/>
        <v/>
      </c>
      <c r="Y83" s="70" t="str">
        <f>IF(AND($A83&lt;&gt;"",$E83&gt;0),isLaptopBag($C83,$J83)*$D83,"")</f>
        <v/>
      </c>
      <c r="Z83" s="70" t="str">
        <f t="shared" si="39"/>
        <v/>
      </c>
      <c r="AA83" s="70" t="str">
        <f t="shared" si="40"/>
        <v/>
      </c>
      <c r="AB83" s="70" t="str">
        <f t="shared" si="41"/>
        <v/>
      </c>
      <c r="AC83" s="70" t="str">
        <f t="shared" si="42"/>
        <v/>
      </c>
      <c r="AD83" s="70" t="str">
        <f t="shared" si="43"/>
        <v/>
      </c>
      <c r="AE83" s="70" t="str">
        <f t="shared" si="44"/>
        <v/>
      </c>
      <c r="AF83" s="16"/>
      <c r="AG83" s="23"/>
      <c r="AH83" s="22"/>
      <c r="AJ83" s="83">
        <f t="shared" si="45"/>
        <v>0</v>
      </c>
      <c r="AO83" s="22" t="str">
        <f t="shared" si="46"/>
        <v/>
      </c>
      <c r="AP83" s="22" t="str">
        <f t="shared" si="47"/>
        <v/>
      </c>
    </row>
    <row r="84" spans="1:42" x14ac:dyDescent="0.25">
      <c r="A84" s="10"/>
      <c r="B84" s="10"/>
      <c r="C84" s="10"/>
      <c r="D84" s="10"/>
      <c r="E84" s="10"/>
      <c r="F84" s="10"/>
      <c r="G84" s="10"/>
      <c r="H84" s="17"/>
      <c r="I84" s="10"/>
      <c r="J84" s="10"/>
      <c r="K84" s="16" t="str">
        <f t="shared" si="26"/>
        <v/>
      </c>
      <c r="L84" s="23" t="str">
        <f t="shared" si="27"/>
        <v/>
      </c>
      <c r="M84" s="22" t="str">
        <f t="shared" si="28"/>
        <v/>
      </c>
      <c r="N84" s="72"/>
      <c r="O84" s="16" t="str">
        <f t="shared" si="29"/>
        <v/>
      </c>
      <c r="P84" s="16" t="str">
        <f t="shared" si="30"/>
        <v/>
      </c>
      <c r="Q84" s="16" t="str">
        <f t="shared" si="31"/>
        <v/>
      </c>
      <c r="R84" s="23" t="str">
        <f t="shared" si="32"/>
        <v/>
      </c>
      <c r="S84" s="23" t="str">
        <f t="shared" si="33"/>
        <v/>
      </c>
      <c r="T84" s="23" t="str">
        <f t="shared" si="34"/>
        <v/>
      </c>
      <c r="U84" s="23" t="str">
        <f t="shared" si="35"/>
        <v/>
      </c>
      <c r="V84" s="23" t="str">
        <f t="shared" si="36"/>
        <v/>
      </c>
      <c r="W84" s="70" t="str">
        <f t="shared" si="37"/>
        <v/>
      </c>
      <c r="X84" s="70" t="str">
        <f t="shared" si="38"/>
        <v/>
      </c>
      <c r="Y84" s="70" t="str">
        <f>IF(AND($A84&lt;&gt;"",$E84&gt;0),isLaptopBag($C84,$J84)*$D84,"")</f>
        <v/>
      </c>
      <c r="Z84" s="70" t="str">
        <f t="shared" si="39"/>
        <v/>
      </c>
      <c r="AA84" s="70" t="str">
        <f t="shared" si="40"/>
        <v/>
      </c>
      <c r="AB84" s="70" t="str">
        <f t="shared" si="41"/>
        <v/>
      </c>
      <c r="AC84" s="70" t="str">
        <f t="shared" si="42"/>
        <v/>
      </c>
      <c r="AD84" s="70" t="str">
        <f t="shared" si="43"/>
        <v/>
      </c>
      <c r="AE84" s="70" t="str">
        <f t="shared" si="44"/>
        <v/>
      </c>
      <c r="AF84" s="16"/>
      <c r="AG84" s="23"/>
      <c r="AH84" s="22"/>
      <c r="AJ84" s="83">
        <f t="shared" si="45"/>
        <v>0</v>
      </c>
      <c r="AO84" s="22" t="str">
        <f t="shared" si="46"/>
        <v/>
      </c>
      <c r="AP84" s="22" t="str">
        <f t="shared" si="47"/>
        <v/>
      </c>
    </row>
    <row r="85" spans="1:42" x14ac:dyDescent="0.25">
      <c r="A85" s="10"/>
      <c r="B85" s="10"/>
      <c r="C85" s="10"/>
      <c r="D85" s="10"/>
      <c r="E85" s="10"/>
      <c r="F85" s="10"/>
      <c r="G85" s="10"/>
      <c r="H85" s="17"/>
      <c r="I85" s="10"/>
      <c r="J85" s="10"/>
      <c r="K85" s="16" t="str">
        <f t="shared" si="26"/>
        <v/>
      </c>
      <c r="L85" s="23" t="str">
        <f t="shared" si="27"/>
        <v/>
      </c>
      <c r="M85" s="22" t="str">
        <f t="shared" si="28"/>
        <v/>
      </c>
      <c r="N85" s="72"/>
      <c r="O85" s="16" t="str">
        <f t="shared" si="29"/>
        <v/>
      </c>
      <c r="P85" s="16" t="str">
        <f t="shared" si="30"/>
        <v/>
      </c>
      <c r="Q85" s="16" t="str">
        <f t="shared" si="31"/>
        <v/>
      </c>
      <c r="R85" s="23" t="str">
        <f t="shared" si="32"/>
        <v/>
      </c>
      <c r="S85" s="23" t="str">
        <f t="shared" si="33"/>
        <v/>
      </c>
      <c r="T85" s="23" t="str">
        <f t="shared" si="34"/>
        <v/>
      </c>
      <c r="U85" s="23" t="str">
        <f t="shared" si="35"/>
        <v/>
      </c>
      <c r="V85" s="23" t="str">
        <f t="shared" si="36"/>
        <v/>
      </c>
      <c r="W85" s="70" t="str">
        <f t="shared" si="37"/>
        <v/>
      </c>
      <c r="X85" s="70" t="str">
        <f t="shared" si="38"/>
        <v/>
      </c>
      <c r="Y85" s="70" t="str">
        <f>IF(AND($A85&lt;&gt;"",$E85&gt;0),isLaptopBag($C85,$J85)*$D85,"")</f>
        <v/>
      </c>
      <c r="Z85" s="70" t="str">
        <f t="shared" si="39"/>
        <v/>
      </c>
      <c r="AA85" s="70" t="str">
        <f t="shared" si="40"/>
        <v/>
      </c>
      <c r="AB85" s="70" t="str">
        <f t="shared" si="41"/>
        <v/>
      </c>
      <c r="AC85" s="70" t="str">
        <f t="shared" si="42"/>
        <v/>
      </c>
      <c r="AD85" s="70" t="str">
        <f t="shared" si="43"/>
        <v/>
      </c>
      <c r="AE85" s="70" t="str">
        <f t="shared" si="44"/>
        <v/>
      </c>
      <c r="AF85" s="16"/>
      <c r="AG85" s="23"/>
      <c r="AH85" s="22"/>
      <c r="AJ85" s="83">
        <f t="shared" si="45"/>
        <v>0</v>
      </c>
      <c r="AO85" s="22" t="str">
        <f t="shared" si="46"/>
        <v/>
      </c>
      <c r="AP85" s="22" t="str">
        <f t="shared" si="47"/>
        <v/>
      </c>
    </row>
    <row r="86" spans="1:42" x14ac:dyDescent="0.25">
      <c r="A86" s="10"/>
      <c r="B86" s="10"/>
      <c r="C86" s="10"/>
      <c r="D86" s="10"/>
      <c r="E86" s="10"/>
      <c r="F86" s="10"/>
      <c r="G86" s="10"/>
      <c r="H86" s="17"/>
      <c r="I86" s="10"/>
      <c r="J86" s="10"/>
      <c r="K86" s="16" t="str">
        <f t="shared" si="26"/>
        <v/>
      </c>
      <c r="L86" s="23" t="str">
        <f t="shared" si="27"/>
        <v/>
      </c>
      <c r="M86" s="22" t="str">
        <f t="shared" si="28"/>
        <v/>
      </c>
      <c r="N86" s="72"/>
      <c r="O86" s="16" t="str">
        <f t="shared" si="29"/>
        <v/>
      </c>
      <c r="P86" s="16" t="str">
        <f t="shared" si="30"/>
        <v/>
      </c>
      <c r="Q86" s="16" t="str">
        <f t="shared" si="31"/>
        <v/>
      </c>
      <c r="R86" s="23" t="str">
        <f t="shared" si="32"/>
        <v/>
      </c>
      <c r="S86" s="23" t="str">
        <f t="shared" si="33"/>
        <v/>
      </c>
      <c r="T86" s="23" t="str">
        <f t="shared" si="34"/>
        <v/>
      </c>
      <c r="U86" s="23" t="str">
        <f t="shared" si="35"/>
        <v/>
      </c>
      <c r="V86" s="23" t="str">
        <f t="shared" si="36"/>
        <v/>
      </c>
      <c r="W86" s="70" t="str">
        <f t="shared" si="37"/>
        <v/>
      </c>
      <c r="X86" s="70" t="str">
        <f t="shared" si="38"/>
        <v/>
      </c>
      <c r="Y86" s="70" t="str">
        <f>IF(AND($A86&lt;&gt;"",$E86&gt;0),isLaptopBag($C86,$J86)*$D86,"")</f>
        <v/>
      </c>
      <c r="Z86" s="70" t="str">
        <f t="shared" si="39"/>
        <v/>
      </c>
      <c r="AA86" s="70" t="str">
        <f t="shared" si="40"/>
        <v/>
      </c>
      <c r="AB86" s="70" t="str">
        <f t="shared" si="41"/>
        <v/>
      </c>
      <c r="AC86" s="70" t="str">
        <f t="shared" si="42"/>
        <v/>
      </c>
      <c r="AD86" s="70" t="str">
        <f t="shared" si="43"/>
        <v/>
      </c>
      <c r="AE86" s="70" t="str">
        <f t="shared" si="44"/>
        <v/>
      </c>
      <c r="AF86" s="16"/>
      <c r="AG86" s="23"/>
      <c r="AH86" s="22"/>
      <c r="AJ86" s="83">
        <f t="shared" si="45"/>
        <v>0</v>
      </c>
      <c r="AO86" s="22" t="str">
        <f t="shared" si="46"/>
        <v/>
      </c>
      <c r="AP86" s="22" t="str">
        <f t="shared" si="47"/>
        <v/>
      </c>
    </row>
    <row r="87" spans="1:42" x14ac:dyDescent="0.25">
      <c r="A87" s="10"/>
      <c r="B87" s="10"/>
      <c r="C87" s="10"/>
      <c r="D87" s="10"/>
      <c r="E87" s="10"/>
      <c r="F87" s="10"/>
      <c r="G87" s="10"/>
      <c r="H87" s="17"/>
      <c r="I87" s="10"/>
      <c r="J87" s="10"/>
      <c r="K87" s="16" t="str">
        <f t="shared" si="26"/>
        <v/>
      </c>
      <c r="L87" s="23" t="str">
        <f t="shared" si="27"/>
        <v/>
      </c>
      <c r="M87" s="22" t="str">
        <f t="shared" si="28"/>
        <v/>
      </c>
      <c r="N87" s="72"/>
      <c r="O87" s="16" t="str">
        <f t="shared" si="29"/>
        <v/>
      </c>
      <c r="P87" s="16" t="str">
        <f t="shared" si="30"/>
        <v/>
      </c>
      <c r="Q87" s="16" t="str">
        <f t="shared" si="31"/>
        <v/>
      </c>
      <c r="R87" s="23" t="str">
        <f t="shared" si="32"/>
        <v/>
      </c>
      <c r="S87" s="23" t="str">
        <f t="shared" si="33"/>
        <v/>
      </c>
      <c r="T87" s="23" t="str">
        <f t="shared" si="34"/>
        <v/>
      </c>
      <c r="U87" s="23" t="str">
        <f t="shared" si="35"/>
        <v/>
      </c>
      <c r="V87" s="23" t="str">
        <f t="shared" si="36"/>
        <v/>
      </c>
      <c r="W87" s="70" t="str">
        <f t="shared" si="37"/>
        <v/>
      </c>
      <c r="X87" s="70" t="str">
        <f t="shared" si="38"/>
        <v/>
      </c>
      <c r="Y87" s="70" t="str">
        <f>IF(AND($A87&lt;&gt;"",$E87&gt;0),isLaptopBag($C87,$J87)*$D87,"")</f>
        <v/>
      </c>
      <c r="Z87" s="70" t="str">
        <f t="shared" si="39"/>
        <v/>
      </c>
      <c r="AA87" s="70" t="str">
        <f t="shared" si="40"/>
        <v/>
      </c>
      <c r="AB87" s="70" t="str">
        <f t="shared" si="41"/>
        <v/>
      </c>
      <c r="AC87" s="70" t="str">
        <f t="shared" si="42"/>
        <v/>
      </c>
      <c r="AD87" s="70" t="str">
        <f t="shared" si="43"/>
        <v/>
      </c>
      <c r="AE87" s="70" t="str">
        <f t="shared" si="44"/>
        <v/>
      </c>
      <c r="AF87" s="16"/>
      <c r="AG87" s="23"/>
      <c r="AH87" s="22"/>
      <c r="AJ87" s="83">
        <f t="shared" si="45"/>
        <v>0</v>
      </c>
      <c r="AO87" s="22" t="str">
        <f t="shared" si="46"/>
        <v/>
      </c>
      <c r="AP87" s="22" t="str">
        <f t="shared" si="47"/>
        <v/>
      </c>
    </row>
    <row r="88" spans="1:42" x14ac:dyDescent="0.25">
      <c r="A88" s="10"/>
      <c r="B88" s="10"/>
      <c r="C88" s="10"/>
      <c r="D88" s="10"/>
      <c r="E88" s="10"/>
      <c r="F88" s="10"/>
      <c r="G88" s="10"/>
      <c r="H88" s="17"/>
      <c r="I88" s="10"/>
      <c r="J88" s="10"/>
      <c r="K88" s="16" t="str">
        <f t="shared" si="26"/>
        <v/>
      </c>
      <c r="L88" s="23" t="str">
        <f t="shared" si="27"/>
        <v/>
      </c>
      <c r="M88" s="22" t="str">
        <f t="shared" si="28"/>
        <v/>
      </c>
      <c r="N88" s="72"/>
      <c r="O88" s="16" t="str">
        <f t="shared" si="29"/>
        <v/>
      </c>
      <c r="P88" s="16" t="str">
        <f t="shared" si="30"/>
        <v/>
      </c>
      <c r="Q88" s="16" t="str">
        <f t="shared" si="31"/>
        <v/>
      </c>
      <c r="R88" s="23" t="str">
        <f t="shared" si="32"/>
        <v/>
      </c>
      <c r="S88" s="23" t="str">
        <f t="shared" si="33"/>
        <v/>
      </c>
      <c r="T88" s="23" t="str">
        <f t="shared" si="34"/>
        <v/>
      </c>
      <c r="U88" s="23" t="str">
        <f t="shared" si="35"/>
        <v/>
      </c>
      <c r="V88" s="23" t="str">
        <f t="shared" si="36"/>
        <v/>
      </c>
      <c r="W88" s="70" t="str">
        <f t="shared" si="37"/>
        <v/>
      </c>
      <c r="X88" s="70" t="str">
        <f t="shared" si="38"/>
        <v/>
      </c>
      <c r="Y88" s="70" t="str">
        <f>IF(AND($A88&lt;&gt;"",$E88&gt;0),isLaptopBag($C88,$J88)*$D88,"")</f>
        <v/>
      </c>
      <c r="Z88" s="70" t="str">
        <f t="shared" si="39"/>
        <v/>
      </c>
      <c r="AA88" s="70" t="str">
        <f t="shared" si="40"/>
        <v/>
      </c>
      <c r="AB88" s="70" t="str">
        <f t="shared" si="41"/>
        <v/>
      </c>
      <c r="AC88" s="70" t="str">
        <f t="shared" si="42"/>
        <v/>
      </c>
      <c r="AD88" s="70" t="str">
        <f t="shared" si="43"/>
        <v/>
      </c>
      <c r="AE88" s="70" t="str">
        <f t="shared" si="44"/>
        <v/>
      </c>
      <c r="AF88" s="16"/>
      <c r="AG88" s="23"/>
      <c r="AH88" s="22"/>
      <c r="AJ88" s="83">
        <f t="shared" si="45"/>
        <v>0</v>
      </c>
      <c r="AO88" s="22" t="str">
        <f t="shared" si="46"/>
        <v/>
      </c>
      <c r="AP88" s="22" t="str">
        <f t="shared" si="47"/>
        <v/>
      </c>
    </row>
    <row r="89" spans="1:42" x14ac:dyDescent="0.25">
      <c r="A89" s="10"/>
      <c r="B89" s="10"/>
      <c r="C89" s="10"/>
      <c r="D89" s="10"/>
      <c r="E89" s="10"/>
      <c r="F89" s="10"/>
      <c r="G89" s="10"/>
      <c r="H89" s="17"/>
      <c r="I89" s="10"/>
      <c r="J89" s="10"/>
      <c r="K89" s="16" t="str">
        <f t="shared" si="26"/>
        <v/>
      </c>
      <c r="L89" s="23" t="str">
        <f t="shared" si="27"/>
        <v/>
      </c>
      <c r="M89" s="22" t="str">
        <f t="shared" si="28"/>
        <v/>
      </c>
      <c r="N89" s="72"/>
      <c r="O89" s="16" t="str">
        <f t="shared" si="29"/>
        <v/>
      </c>
      <c r="P89" s="16" t="str">
        <f t="shared" si="30"/>
        <v/>
      </c>
      <c r="Q89" s="16" t="str">
        <f t="shared" si="31"/>
        <v/>
      </c>
      <c r="R89" s="23" t="str">
        <f t="shared" si="32"/>
        <v/>
      </c>
      <c r="S89" s="23" t="str">
        <f t="shared" si="33"/>
        <v/>
      </c>
      <c r="T89" s="23" t="str">
        <f t="shared" si="34"/>
        <v/>
      </c>
      <c r="U89" s="23" t="str">
        <f t="shared" si="35"/>
        <v/>
      </c>
      <c r="V89" s="23" t="str">
        <f t="shared" si="36"/>
        <v/>
      </c>
      <c r="W89" s="70" t="str">
        <f t="shared" si="37"/>
        <v/>
      </c>
      <c r="X89" s="70" t="str">
        <f t="shared" si="38"/>
        <v/>
      </c>
      <c r="Y89" s="70" t="str">
        <f>IF(AND($A89&lt;&gt;"",$E89&gt;0),isLaptopBag($C89,$J89)*$D89,"")</f>
        <v/>
      </c>
      <c r="Z89" s="70" t="str">
        <f t="shared" si="39"/>
        <v/>
      </c>
      <c r="AA89" s="70" t="str">
        <f t="shared" si="40"/>
        <v/>
      </c>
      <c r="AB89" s="70" t="str">
        <f t="shared" si="41"/>
        <v/>
      </c>
      <c r="AC89" s="70" t="str">
        <f t="shared" si="42"/>
        <v/>
      </c>
      <c r="AD89" s="70" t="str">
        <f t="shared" si="43"/>
        <v/>
      </c>
      <c r="AE89" s="70" t="str">
        <f t="shared" si="44"/>
        <v/>
      </c>
      <c r="AF89" s="16"/>
      <c r="AG89" s="23"/>
      <c r="AH89" s="22"/>
      <c r="AJ89" s="83">
        <f t="shared" si="45"/>
        <v>0</v>
      </c>
      <c r="AO89" s="22" t="str">
        <f t="shared" si="46"/>
        <v/>
      </c>
      <c r="AP89" s="22" t="str">
        <f t="shared" si="47"/>
        <v/>
      </c>
    </row>
    <row r="90" spans="1:42" x14ac:dyDescent="0.25">
      <c r="A90" s="10"/>
      <c r="B90" s="10"/>
      <c r="C90" s="10"/>
      <c r="D90" s="10"/>
      <c r="E90" s="10"/>
      <c r="F90" s="10"/>
      <c r="G90" s="10"/>
      <c r="H90" s="17"/>
      <c r="I90" s="10"/>
      <c r="J90" s="10"/>
      <c r="K90" s="16" t="str">
        <f t="shared" si="26"/>
        <v/>
      </c>
      <c r="L90" s="23" t="str">
        <f t="shared" si="27"/>
        <v/>
      </c>
      <c r="M90" s="22" t="str">
        <f t="shared" si="28"/>
        <v/>
      </c>
      <c r="N90" s="72"/>
      <c r="O90" s="16" t="str">
        <f t="shared" si="29"/>
        <v/>
      </c>
      <c r="P90" s="16" t="str">
        <f t="shared" si="30"/>
        <v/>
      </c>
      <c r="Q90" s="16" t="str">
        <f t="shared" si="31"/>
        <v/>
      </c>
      <c r="R90" s="23" t="str">
        <f t="shared" si="32"/>
        <v/>
      </c>
      <c r="S90" s="23" t="str">
        <f t="shared" si="33"/>
        <v/>
      </c>
      <c r="T90" s="23" t="str">
        <f t="shared" si="34"/>
        <v/>
      </c>
      <c r="U90" s="23" t="str">
        <f t="shared" si="35"/>
        <v/>
      </c>
      <c r="V90" s="23" t="str">
        <f t="shared" si="36"/>
        <v/>
      </c>
      <c r="W90" s="70" t="str">
        <f t="shared" si="37"/>
        <v/>
      </c>
      <c r="X90" s="70" t="str">
        <f t="shared" si="38"/>
        <v/>
      </c>
      <c r="Y90" s="70" t="str">
        <f>IF(AND($A90&lt;&gt;"",$E90&gt;0),isLaptopBag($C90,$J90)*$D90,"")</f>
        <v/>
      </c>
      <c r="Z90" s="70" t="str">
        <f t="shared" si="39"/>
        <v/>
      </c>
      <c r="AA90" s="70" t="str">
        <f t="shared" si="40"/>
        <v/>
      </c>
      <c r="AB90" s="70" t="str">
        <f t="shared" si="41"/>
        <v/>
      </c>
      <c r="AC90" s="70" t="str">
        <f t="shared" si="42"/>
        <v/>
      </c>
      <c r="AD90" s="70" t="str">
        <f t="shared" si="43"/>
        <v/>
      </c>
      <c r="AE90" s="70" t="str">
        <f t="shared" si="44"/>
        <v/>
      </c>
      <c r="AF90" s="16"/>
      <c r="AG90" s="23"/>
      <c r="AH90" s="22"/>
      <c r="AJ90" s="83">
        <f t="shared" si="45"/>
        <v>0</v>
      </c>
      <c r="AO90" s="22" t="str">
        <f t="shared" si="46"/>
        <v/>
      </c>
      <c r="AP90" s="22" t="str">
        <f t="shared" si="47"/>
        <v/>
      </c>
    </row>
    <row r="91" spans="1:42" x14ac:dyDescent="0.25">
      <c r="A91" s="10"/>
      <c r="B91" s="10"/>
      <c r="C91" s="10"/>
      <c r="D91" s="10"/>
      <c r="E91" s="10"/>
      <c r="F91" s="10"/>
      <c r="G91" s="10"/>
      <c r="H91" s="17"/>
      <c r="I91" s="10"/>
      <c r="J91" s="10"/>
      <c r="K91" s="16" t="str">
        <f t="shared" si="26"/>
        <v/>
      </c>
      <c r="L91" s="23" t="str">
        <f t="shared" si="27"/>
        <v/>
      </c>
      <c r="M91" s="22" t="str">
        <f t="shared" si="28"/>
        <v/>
      </c>
      <c r="N91" s="72"/>
      <c r="O91" s="16" t="str">
        <f t="shared" si="29"/>
        <v/>
      </c>
      <c r="P91" s="16" t="str">
        <f t="shared" si="30"/>
        <v/>
      </c>
      <c r="Q91" s="16" t="str">
        <f t="shared" si="31"/>
        <v/>
      </c>
      <c r="R91" s="23" t="str">
        <f t="shared" si="32"/>
        <v/>
      </c>
      <c r="S91" s="23" t="str">
        <f t="shared" si="33"/>
        <v/>
      </c>
      <c r="T91" s="23" t="str">
        <f t="shared" si="34"/>
        <v/>
      </c>
      <c r="U91" s="23" t="str">
        <f t="shared" si="35"/>
        <v/>
      </c>
      <c r="V91" s="23" t="str">
        <f t="shared" si="36"/>
        <v/>
      </c>
      <c r="W91" s="70" t="str">
        <f t="shared" si="37"/>
        <v/>
      </c>
      <c r="X91" s="70" t="str">
        <f t="shared" si="38"/>
        <v/>
      </c>
      <c r="Y91" s="70" t="str">
        <f>IF(AND($A91&lt;&gt;"",$E91&gt;0),isLaptopBag($C91,$J91)*$D91,"")</f>
        <v/>
      </c>
      <c r="Z91" s="70" t="str">
        <f t="shared" si="39"/>
        <v/>
      </c>
      <c r="AA91" s="70" t="str">
        <f t="shared" si="40"/>
        <v/>
      </c>
      <c r="AB91" s="70" t="str">
        <f t="shared" si="41"/>
        <v/>
      </c>
      <c r="AC91" s="70" t="str">
        <f t="shared" si="42"/>
        <v/>
      </c>
      <c r="AD91" s="70" t="str">
        <f t="shared" si="43"/>
        <v/>
      </c>
      <c r="AE91" s="70" t="str">
        <f t="shared" si="44"/>
        <v/>
      </c>
      <c r="AF91" s="16"/>
      <c r="AG91" s="23"/>
      <c r="AH91" s="22"/>
      <c r="AJ91" s="83">
        <f t="shared" si="45"/>
        <v>0</v>
      </c>
      <c r="AO91" s="22" t="str">
        <f t="shared" si="46"/>
        <v/>
      </c>
      <c r="AP91" s="22" t="str">
        <f t="shared" si="47"/>
        <v/>
      </c>
    </row>
    <row r="92" spans="1:42" x14ac:dyDescent="0.25">
      <c r="A92" s="10"/>
      <c r="B92" s="10"/>
      <c r="C92" s="10"/>
      <c r="D92" s="10"/>
      <c r="E92" s="10"/>
      <c r="F92" s="10"/>
      <c r="G92" s="10"/>
      <c r="H92" s="17"/>
      <c r="I92" s="10"/>
      <c r="J92" s="10"/>
      <c r="K92" s="16" t="str">
        <f t="shared" si="26"/>
        <v/>
      </c>
      <c r="L92" s="23" t="str">
        <f t="shared" si="27"/>
        <v/>
      </c>
      <c r="M92" s="22" t="str">
        <f t="shared" si="28"/>
        <v/>
      </c>
      <c r="N92" s="72"/>
      <c r="O92" s="16" t="str">
        <f t="shared" si="29"/>
        <v/>
      </c>
      <c r="P92" s="16" t="str">
        <f t="shared" si="30"/>
        <v/>
      </c>
      <c r="Q92" s="16" t="str">
        <f t="shared" si="31"/>
        <v/>
      </c>
      <c r="R92" s="23" t="str">
        <f t="shared" si="32"/>
        <v/>
      </c>
      <c r="S92" s="23" t="str">
        <f t="shared" si="33"/>
        <v/>
      </c>
      <c r="T92" s="23" t="str">
        <f t="shared" si="34"/>
        <v/>
      </c>
      <c r="U92" s="23" t="str">
        <f t="shared" si="35"/>
        <v/>
      </c>
      <c r="V92" s="23" t="str">
        <f t="shared" si="36"/>
        <v/>
      </c>
      <c r="W92" s="70" t="str">
        <f t="shared" si="37"/>
        <v/>
      </c>
      <c r="X92" s="70" t="str">
        <f t="shared" si="38"/>
        <v/>
      </c>
      <c r="Y92" s="70" t="str">
        <f>IF(AND($A92&lt;&gt;"",$E92&gt;0),isLaptopBag($C92,$J92)*$D92,"")</f>
        <v/>
      </c>
      <c r="Z92" s="70" t="str">
        <f t="shared" si="39"/>
        <v/>
      </c>
      <c r="AA92" s="70" t="str">
        <f t="shared" si="40"/>
        <v/>
      </c>
      <c r="AB92" s="70" t="str">
        <f t="shared" si="41"/>
        <v/>
      </c>
      <c r="AC92" s="70" t="str">
        <f t="shared" si="42"/>
        <v/>
      </c>
      <c r="AD92" s="70" t="str">
        <f t="shared" si="43"/>
        <v/>
      </c>
      <c r="AE92" s="70" t="str">
        <f t="shared" si="44"/>
        <v/>
      </c>
      <c r="AF92" s="16"/>
      <c r="AG92" s="23"/>
      <c r="AH92" s="22"/>
      <c r="AJ92" s="83">
        <f t="shared" si="45"/>
        <v>0</v>
      </c>
      <c r="AO92" s="22" t="str">
        <f t="shared" si="46"/>
        <v/>
      </c>
      <c r="AP92" s="22" t="str">
        <f t="shared" si="47"/>
        <v/>
      </c>
    </row>
    <row r="93" spans="1:42" x14ac:dyDescent="0.25">
      <c r="A93" s="10"/>
      <c r="B93" s="10"/>
      <c r="C93" s="10"/>
      <c r="D93" s="10"/>
      <c r="E93" s="10"/>
      <c r="F93" s="10"/>
      <c r="G93" s="10"/>
      <c r="H93" s="17"/>
      <c r="I93" s="10"/>
      <c r="J93" s="10"/>
      <c r="K93" s="16" t="str">
        <f t="shared" si="26"/>
        <v/>
      </c>
      <c r="L93" s="23" t="str">
        <f t="shared" si="27"/>
        <v/>
      </c>
      <c r="M93" s="22" t="str">
        <f t="shared" si="28"/>
        <v/>
      </c>
      <c r="N93" s="72"/>
      <c r="O93" s="16" t="str">
        <f t="shared" si="29"/>
        <v/>
      </c>
      <c r="P93" s="16" t="str">
        <f t="shared" si="30"/>
        <v/>
      </c>
      <c r="Q93" s="16" t="str">
        <f t="shared" si="31"/>
        <v/>
      </c>
      <c r="R93" s="23" t="str">
        <f t="shared" si="32"/>
        <v/>
      </c>
      <c r="S93" s="23" t="str">
        <f t="shared" si="33"/>
        <v/>
      </c>
      <c r="T93" s="23" t="str">
        <f t="shared" si="34"/>
        <v/>
      </c>
      <c r="U93" s="23" t="str">
        <f t="shared" si="35"/>
        <v/>
      </c>
      <c r="V93" s="23" t="str">
        <f t="shared" si="36"/>
        <v/>
      </c>
      <c r="W93" s="70" t="str">
        <f t="shared" si="37"/>
        <v/>
      </c>
      <c r="X93" s="70" t="str">
        <f t="shared" si="38"/>
        <v/>
      </c>
      <c r="Y93" s="70" t="str">
        <f>IF(AND($A93&lt;&gt;"",$E93&gt;0),isLaptopBag($C93,$J93)*$D93,"")</f>
        <v/>
      </c>
      <c r="Z93" s="70" t="str">
        <f t="shared" si="39"/>
        <v/>
      </c>
      <c r="AA93" s="70" t="str">
        <f t="shared" si="40"/>
        <v/>
      </c>
      <c r="AB93" s="70" t="str">
        <f t="shared" si="41"/>
        <v/>
      </c>
      <c r="AC93" s="70" t="str">
        <f t="shared" si="42"/>
        <v/>
      </c>
      <c r="AD93" s="70" t="str">
        <f t="shared" si="43"/>
        <v/>
      </c>
      <c r="AE93" s="70" t="str">
        <f t="shared" si="44"/>
        <v/>
      </c>
      <c r="AF93" s="16"/>
      <c r="AG93" s="23"/>
      <c r="AH93" s="22"/>
      <c r="AJ93" s="83">
        <f t="shared" si="45"/>
        <v>0</v>
      </c>
      <c r="AO93" s="22" t="str">
        <f t="shared" si="46"/>
        <v/>
      </c>
      <c r="AP93" s="22" t="str">
        <f t="shared" si="47"/>
        <v/>
      </c>
    </row>
    <row r="94" spans="1:42" x14ac:dyDescent="0.25">
      <c r="A94" s="10"/>
      <c r="B94" s="10"/>
      <c r="C94" s="10"/>
      <c r="D94" s="10"/>
      <c r="E94" s="10"/>
      <c r="F94" s="10"/>
      <c r="G94" s="10"/>
      <c r="H94" s="17"/>
      <c r="I94" s="10"/>
      <c r="J94" s="10"/>
      <c r="K94" s="16" t="str">
        <f t="shared" si="26"/>
        <v/>
      </c>
      <c r="L94" s="23" t="str">
        <f t="shared" si="27"/>
        <v/>
      </c>
      <c r="M94" s="22" t="str">
        <f t="shared" si="28"/>
        <v/>
      </c>
      <c r="N94" s="72"/>
      <c r="O94" s="16" t="str">
        <f t="shared" si="29"/>
        <v/>
      </c>
      <c r="P94" s="16" t="str">
        <f t="shared" si="30"/>
        <v/>
      </c>
      <c r="Q94" s="16" t="str">
        <f t="shared" si="31"/>
        <v/>
      </c>
      <c r="R94" s="23" t="str">
        <f t="shared" si="32"/>
        <v/>
      </c>
      <c r="S94" s="23" t="str">
        <f t="shared" si="33"/>
        <v/>
      </c>
      <c r="T94" s="23" t="str">
        <f t="shared" si="34"/>
        <v/>
      </c>
      <c r="U94" s="23" t="str">
        <f t="shared" si="35"/>
        <v/>
      </c>
      <c r="V94" s="23" t="str">
        <f t="shared" si="36"/>
        <v/>
      </c>
      <c r="W94" s="70" t="str">
        <f t="shared" si="37"/>
        <v/>
      </c>
      <c r="X94" s="70" t="str">
        <f t="shared" si="38"/>
        <v/>
      </c>
      <c r="Y94" s="70" t="str">
        <f>IF(AND($A94&lt;&gt;"",$E94&gt;0),isLaptopBag($C94,$J94)*$D94,"")</f>
        <v/>
      </c>
      <c r="Z94" s="70" t="str">
        <f t="shared" si="39"/>
        <v/>
      </c>
      <c r="AA94" s="70" t="str">
        <f t="shared" si="40"/>
        <v/>
      </c>
      <c r="AB94" s="70" t="str">
        <f t="shared" si="41"/>
        <v/>
      </c>
      <c r="AC94" s="70" t="str">
        <f t="shared" si="42"/>
        <v/>
      </c>
      <c r="AD94" s="70" t="str">
        <f t="shared" si="43"/>
        <v/>
      </c>
      <c r="AE94" s="70" t="str">
        <f t="shared" si="44"/>
        <v/>
      </c>
      <c r="AF94" s="16"/>
      <c r="AG94" s="23"/>
      <c r="AH94" s="22"/>
      <c r="AJ94" s="83">
        <f t="shared" si="45"/>
        <v>0</v>
      </c>
      <c r="AO94" s="22" t="str">
        <f t="shared" si="46"/>
        <v/>
      </c>
      <c r="AP94" s="22" t="str">
        <f t="shared" si="47"/>
        <v/>
      </c>
    </row>
    <row r="95" spans="1:42" x14ac:dyDescent="0.25">
      <c r="A95" s="10"/>
      <c r="B95" s="10"/>
      <c r="C95" s="10"/>
      <c r="D95" s="10"/>
      <c r="E95" s="10"/>
      <c r="F95" s="10"/>
      <c r="G95" s="10"/>
      <c r="H95" s="17"/>
      <c r="I95" s="10"/>
      <c r="J95" s="10"/>
      <c r="K95" s="16" t="str">
        <f t="shared" si="26"/>
        <v/>
      </c>
      <c r="L95" s="23" t="str">
        <f t="shared" si="27"/>
        <v/>
      </c>
      <c r="M95" s="22" t="str">
        <f t="shared" si="28"/>
        <v/>
      </c>
      <c r="N95" s="72"/>
      <c r="O95" s="16" t="str">
        <f t="shared" si="29"/>
        <v/>
      </c>
      <c r="P95" s="16" t="str">
        <f t="shared" si="30"/>
        <v/>
      </c>
      <c r="Q95" s="16" t="str">
        <f t="shared" si="31"/>
        <v/>
      </c>
      <c r="R95" s="23" t="str">
        <f t="shared" si="32"/>
        <v/>
      </c>
      <c r="S95" s="23" t="str">
        <f t="shared" si="33"/>
        <v/>
      </c>
      <c r="T95" s="23" t="str">
        <f t="shared" si="34"/>
        <v/>
      </c>
      <c r="U95" s="23" t="str">
        <f t="shared" si="35"/>
        <v/>
      </c>
      <c r="V95" s="23" t="str">
        <f t="shared" si="36"/>
        <v/>
      </c>
      <c r="W95" s="70" t="str">
        <f t="shared" si="37"/>
        <v/>
      </c>
      <c r="X95" s="70" t="str">
        <f t="shared" si="38"/>
        <v/>
      </c>
      <c r="Y95" s="70" t="str">
        <f>IF(AND($A95&lt;&gt;"",$E95&gt;0),isLaptopBag($C95,$J95)*$D95,"")</f>
        <v/>
      </c>
      <c r="Z95" s="70" t="str">
        <f t="shared" si="39"/>
        <v/>
      </c>
      <c r="AA95" s="70" t="str">
        <f t="shared" si="40"/>
        <v/>
      </c>
      <c r="AB95" s="70" t="str">
        <f t="shared" si="41"/>
        <v/>
      </c>
      <c r="AC95" s="70" t="str">
        <f t="shared" si="42"/>
        <v/>
      </c>
      <c r="AD95" s="70" t="str">
        <f t="shared" si="43"/>
        <v/>
      </c>
      <c r="AE95" s="70" t="str">
        <f t="shared" si="44"/>
        <v/>
      </c>
      <c r="AF95" s="16"/>
      <c r="AG95" s="23"/>
      <c r="AH95" s="22"/>
      <c r="AJ95" s="83">
        <f t="shared" si="45"/>
        <v>0</v>
      </c>
      <c r="AO95" s="22" t="str">
        <f t="shared" si="46"/>
        <v/>
      </c>
      <c r="AP95" s="22" t="str">
        <f t="shared" si="47"/>
        <v/>
      </c>
    </row>
    <row r="96" spans="1:42" x14ac:dyDescent="0.25">
      <c r="A96" s="10"/>
      <c r="B96" s="10"/>
      <c r="C96" s="10"/>
      <c r="D96" s="10"/>
      <c r="E96" s="10"/>
      <c r="F96" s="10"/>
      <c r="G96" s="10"/>
      <c r="H96" s="17"/>
      <c r="I96" s="10"/>
      <c r="J96" s="10"/>
      <c r="K96" s="16" t="str">
        <f t="shared" si="26"/>
        <v/>
      </c>
      <c r="L96" s="23" t="str">
        <f t="shared" si="27"/>
        <v/>
      </c>
      <c r="M96" s="22" t="str">
        <f t="shared" si="28"/>
        <v/>
      </c>
      <c r="N96" s="72"/>
      <c r="O96" s="16" t="str">
        <f t="shared" si="29"/>
        <v/>
      </c>
      <c r="P96" s="16" t="str">
        <f t="shared" si="30"/>
        <v/>
      </c>
      <c r="Q96" s="16" t="str">
        <f t="shared" si="31"/>
        <v/>
      </c>
      <c r="R96" s="23" t="str">
        <f t="shared" si="32"/>
        <v/>
      </c>
      <c r="S96" s="23" t="str">
        <f t="shared" si="33"/>
        <v/>
      </c>
      <c r="T96" s="23" t="str">
        <f t="shared" si="34"/>
        <v/>
      </c>
      <c r="U96" s="23" t="str">
        <f t="shared" si="35"/>
        <v/>
      </c>
      <c r="V96" s="23" t="str">
        <f t="shared" si="36"/>
        <v/>
      </c>
      <c r="W96" s="70" t="str">
        <f t="shared" si="37"/>
        <v/>
      </c>
      <c r="X96" s="70" t="str">
        <f t="shared" si="38"/>
        <v/>
      </c>
      <c r="Y96" s="70" t="str">
        <f>IF(AND($A96&lt;&gt;"",$E96&gt;0),isLaptopBag($C96,$J96)*$D96,"")</f>
        <v/>
      </c>
      <c r="Z96" s="70" t="str">
        <f t="shared" si="39"/>
        <v/>
      </c>
      <c r="AA96" s="70" t="str">
        <f t="shared" si="40"/>
        <v/>
      </c>
      <c r="AB96" s="70" t="str">
        <f t="shared" si="41"/>
        <v/>
      </c>
      <c r="AC96" s="70" t="str">
        <f t="shared" si="42"/>
        <v/>
      </c>
      <c r="AD96" s="70" t="str">
        <f t="shared" si="43"/>
        <v/>
      </c>
      <c r="AE96" s="70" t="str">
        <f t="shared" si="44"/>
        <v/>
      </c>
      <c r="AF96" s="16"/>
      <c r="AG96" s="23"/>
      <c r="AH96" s="22"/>
      <c r="AJ96" s="83">
        <f t="shared" si="45"/>
        <v>0</v>
      </c>
      <c r="AO96" s="22" t="str">
        <f t="shared" si="46"/>
        <v/>
      </c>
      <c r="AP96" s="22" t="str">
        <f t="shared" si="47"/>
        <v/>
      </c>
    </row>
    <row r="97" spans="1:42" x14ac:dyDescent="0.25">
      <c r="A97" s="10"/>
      <c r="B97" s="10"/>
      <c r="C97" s="10"/>
      <c r="D97" s="10"/>
      <c r="E97" s="10"/>
      <c r="F97" s="10"/>
      <c r="G97" s="10"/>
      <c r="H97" s="17"/>
      <c r="I97" s="10"/>
      <c r="J97" s="10"/>
      <c r="K97" s="16" t="str">
        <f t="shared" si="26"/>
        <v/>
      </c>
      <c r="L97" s="23" t="str">
        <f t="shared" si="27"/>
        <v/>
      </c>
      <c r="M97" s="22" t="str">
        <f t="shared" si="28"/>
        <v/>
      </c>
      <c r="N97" s="72"/>
      <c r="O97" s="16" t="str">
        <f t="shared" si="29"/>
        <v/>
      </c>
      <c r="P97" s="16" t="str">
        <f t="shared" si="30"/>
        <v/>
      </c>
      <c r="Q97" s="16" t="str">
        <f t="shared" si="31"/>
        <v/>
      </c>
      <c r="R97" s="23" t="str">
        <f t="shared" si="32"/>
        <v/>
      </c>
      <c r="S97" s="23" t="str">
        <f t="shared" si="33"/>
        <v/>
      </c>
      <c r="T97" s="23" t="str">
        <f t="shared" si="34"/>
        <v/>
      </c>
      <c r="U97" s="23" t="str">
        <f t="shared" si="35"/>
        <v/>
      </c>
      <c r="V97" s="23" t="str">
        <f t="shared" si="36"/>
        <v/>
      </c>
      <c r="W97" s="70" t="str">
        <f t="shared" si="37"/>
        <v/>
      </c>
      <c r="X97" s="70" t="str">
        <f t="shared" si="38"/>
        <v/>
      </c>
      <c r="Y97" s="70" t="str">
        <f>IF(AND($A97&lt;&gt;"",$E97&gt;0),isLaptopBag($C97,$J97)*$D97,"")</f>
        <v/>
      </c>
      <c r="Z97" s="70" t="str">
        <f t="shared" si="39"/>
        <v/>
      </c>
      <c r="AA97" s="70" t="str">
        <f t="shared" si="40"/>
        <v/>
      </c>
      <c r="AB97" s="70" t="str">
        <f t="shared" si="41"/>
        <v/>
      </c>
      <c r="AC97" s="70" t="str">
        <f t="shared" si="42"/>
        <v/>
      </c>
      <c r="AD97" s="70" t="str">
        <f t="shared" si="43"/>
        <v/>
      </c>
      <c r="AE97" s="70" t="str">
        <f t="shared" si="44"/>
        <v/>
      </c>
      <c r="AF97" s="16"/>
      <c r="AG97" s="23"/>
      <c r="AH97" s="22"/>
      <c r="AJ97" s="83">
        <f t="shared" si="45"/>
        <v>0</v>
      </c>
      <c r="AO97" s="22" t="str">
        <f t="shared" si="46"/>
        <v/>
      </c>
      <c r="AP97" s="22" t="str">
        <f t="shared" si="47"/>
        <v/>
      </c>
    </row>
    <row r="98" spans="1:42" x14ac:dyDescent="0.25">
      <c r="A98" s="10"/>
      <c r="B98" s="10"/>
      <c r="C98" s="10"/>
      <c r="D98" s="10"/>
      <c r="E98" s="10"/>
      <c r="F98" s="10"/>
      <c r="G98" s="10"/>
      <c r="H98" s="17"/>
      <c r="I98" s="10"/>
      <c r="J98" s="10"/>
      <c r="K98" s="16" t="str">
        <f t="shared" si="26"/>
        <v/>
      </c>
      <c r="L98" s="23" t="str">
        <f t="shared" si="27"/>
        <v/>
      </c>
      <c r="M98" s="22" t="str">
        <f t="shared" si="28"/>
        <v/>
      </c>
      <c r="N98" s="72"/>
      <c r="O98" s="16" t="str">
        <f t="shared" si="29"/>
        <v/>
      </c>
      <c r="P98" s="16" t="str">
        <f t="shared" si="30"/>
        <v/>
      </c>
      <c r="Q98" s="16" t="str">
        <f t="shared" si="31"/>
        <v/>
      </c>
      <c r="R98" s="23" t="str">
        <f t="shared" si="32"/>
        <v/>
      </c>
      <c r="S98" s="23" t="str">
        <f t="shared" si="33"/>
        <v/>
      </c>
      <c r="T98" s="23" t="str">
        <f t="shared" si="34"/>
        <v/>
      </c>
      <c r="U98" s="23" t="str">
        <f t="shared" si="35"/>
        <v/>
      </c>
      <c r="V98" s="23" t="str">
        <f t="shared" si="36"/>
        <v/>
      </c>
      <c r="W98" s="70" t="str">
        <f t="shared" si="37"/>
        <v/>
      </c>
      <c r="X98" s="70" t="str">
        <f t="shared" si="38"/>
        <v/>
      </c>
      <c r="Y98" s="70" t="str">
        <f>IF(AND($A98&lt;&gt;"",$E98&gt;0),isLaptopBag($C98,$J98)*$D98,"")</f>
        <v/>
      </c>
      <c r="Z98" s="70" t="str">
        <f t="shared" si="39"/>
        <v/>
      </c>
      <c r="AA98" s="70" t="str">
        <f t="shared" si="40"/>
        <v/>
      </c>
      <c r="AB98" s="70" t="str">
        <f t="shared" si="41"/>
        <v/>
      </c>
      <c r="AC98" s="70" t="str">
        <f t="shared" si="42"/>
        <v/>
      </c>
      <c r="AD98" s="70" t="str">
        <f t="shared" si="43"/>
        <v/>
      </c>
      <c r="AE98" s="70" t="str">
        <f t="shared" si="44"/>
        <v/>
      </c>
      <c r="AF98" s="16"/>
      <c r="AG98" s="23"/>
      <c r="AH98" s="22"/>
      <c r="AJ98" s="83">
        <f t="shared" si="45"/>
        <v>0</v>
      </c>
      <c r="AO98" s="22" t="str">
        <f t="shared" si="46"/>
        <v/>
      </c>
      <c r="AP98" s="22" t="str">
        <f t="shared" si="47"/>
        <v/>
      </c>
    </row>
    <row r="99" spans="1:42" x14ac:dyDescent="0.25">
      <c r="A99" s="10"/>
      <c r="B99" s="10"/>
      <c r="C99" s="10"/>
      <c r="D99" s="10"/>
      <c r="E99" s="10"/>
      <c r="F99" s="10"/>
      <c r="G99" s="10"/>
      <c r="H99" s="17"/>
      <c r="I99" s="10"/>
      <c r="J99" s="10"/>
      <c r="K99" s="16" t="str">
        <f t="shared" si="26"/>
        <v/>
      </c>
      <c r="L99" s="23" t="str">
        <f t="shared" si="27"/>
        <v/>
      </c>
      <c r="M99" s="22" t="str">
        <f t="shared" si="28"/>
        <v/>
      </c>
      <c r="N99" s="72"/>
      <c r="O99" s="16" t="str">
        <f t="shared" si="29"/>
        <v/>
      </c>
      <c r="P99" s="16" t="str">
        <f t="shared" si="30"/>
        <v/>
      </c>
      <c r="Q99" s="16" t="str">
        <f t="shared" si="31"/>
        <v/>
      </c>
      <c r="R99" s="23" t="str">
        <f t="shared" si="32"/>
        <v/>
      </c>
      <c r="S99" s="23" t="str">
        <f t="shared" si="33"/>
        <v/>
      </c>
      <c r="T99" s="23" t="str">
        <f t="shared" si="34"/>
        <v/>
      </c>
      <c r="U99" s="23" t="str">
        <f t="shared" si="35"/>
        <v/>
      </c>
      <c r="V99" s="23" t="str">
        <f t="shared" si="36"/>
        <v/>
      </c>
      <c r="W99" s="70" t="str">
        <f t="shared" si="37"/>
        <v/>
      </c>
      <c r="X99" s="70" t="str">
        <f t="shared" si="38"/>
        <v/>
      </c>
      <c r="Y99" s="70" t="str">
        <f>IF(AND($A99&lt;&gt;"",$E99&gt;0),isLaptopBag($C99,$J99)*$D99,"")</f>
        <v/>
      </c>
      <c r="Z99" s="70" t="str">
        <f t="shared" si="39"/>
        <v/>
      </c>
      <c r="AA99" s="70" t="str">
        <f t="shared" si="40"/>
        <v/>
      </c>
      <c r="AB99" s="70" t="str">
        <f t="shared" si="41"/>
        <v/>
      </c>
      <c r="AC99" s="70" t="str">
        <f t="shared" si="42"/>
        <v/>
      </c>
      <c r="AD99" s="70" t="str">
        <f t="shared" si="43"/>
        <v/>
      </c>
      <c r="AE99" s="70" t="str">
        <f t="shared" si="44"/>
        <v/>
      </c>
      <c r="AF99" s="16"/>
      <c r="AG99" s="23"/>
      <c r="AH99" s="22"/>
      <c r="AJ99" s="83">
        <f t="shared" si="45"/>
        <v>0</v>
      </c>
      <c r="AO99" s="22" t="str">
        <f t="shared" si="46"/>
        <v/>
      </c>
      <c r="AP99" s="22" t="str">
        <f t="shared" si="47"/>
        <v/>
      </c>
    </row>
    <row r="100" spans="1:42" x14ac:dyDescent="0.25">
      <c r="A100" s="10"/>
      <c r="B100" s="10"/>
      <c r="C100" s="10"/>
      <c r="D100" s="10"/>
      <c r="E100" s="10"/>
      <c r="F100" s="10"/>
      <c r="G100" s="10"/>
      <c r="H100" s="17"/>
      <c r="I100" s="10"/>
      <c r="J100" s="10"/>
      <c r="K100" s="16" t="str">
        <f t="shared" si="26"/>
        <v/>
      </c>
      <c r="L100" s="23" t="str">
        <f t="shared" si="27"/>
        <v/>
      </c>
      <c r="M100" s="22" t="str">
        <f t="shared" si="28"/>
        <v/>
      </c>
      <c r="N100" s="72"/>
      <c r="O100" s="16" t="str">
        <f t="shared" si="29"/>
        <v/>
      </c>
      <c r="P100" s="16" t="str">
        <f t="shared" si="30"/>
        <v/>
      </c>
      <c r="Q100" s="16" t="str">
        <f t="shared" si="31"/>
        <v/>
      </c>
      <c r="R100" s="23" t="str">
        <f t="shared" si="32"/>
        <v/>
      </c>
      <c r="S100" s="23" t="str">
        <f t="shared" si="33"/>
        <v/>
      </c>
      <c r="T100" s="23" t="str">
        <f t="shared" si="34"/>
        <v/>
      </c>
      <c r="U100" s="23" t="str">
        <f t="shared" si="35"/>
        <v/>
      </c>
      <c r="V100" s="23" t="str">
        <f t="shared" si="36"/>
        <v/>
      </c>
      <c r="W100" s="70" t="str">
        <f t="shared" si="37"/>
        <v/>
      </c>
      <c r="X100" s="70" t="str">
        <f t="shared" si="38"/>
        <v/>
      </c>
      <c r="Y100" s="70" t="str">
        <f>IF(AND($A100&lt;&gt;"",$E100&gt;0),isLaptopBag($C100,$J100)*$D100,"")</f>
        <v/>
      </c>
      <c r="Z100" s="70" t="str">
        <f t="shared" si="39"/>
        <v/>
      </c>
      <c r="AA100" s="70" t="str">
        <f t="shared" si="40"/>
        <v/>
      </c>
      <c r="AB100" s="70" t="str">
        <f t="shared" si="41"/>
        <v/>
      </c>
      <c r="AC100" s="70" t="str">
        <f t="shared" si="42"/>
        <v/>
      </c>
      <c r="AD100" s="70" t="str">
        <f t="shared" si="43"/>
        <v/>
      </c>
      <c r="AE100" s="70" t="str">
        <f t="shared" si="44"/>
        <v/>
      </c>
      <c r="AF100" s="16"/>
      <c r="AG100" s="23"/>
      <c r="AH100" s="22"/>
      <c r="AJ100" s="83">
        <f t="shared" si="45"/>
        <v>0</v>
      </c>
      <c r="AO100" s="22" t="str">
        <f t="shared" si="46"/>
        <v/>
      </c>
      <c r="AP100" s="22" t="str">
        <f t="shared" si="47"/>
        <v/>
      </c>
    </row>
    <row r="101" spans="1:42" x14ac:dyDescent="0.25">
      <c r="A101" s="10"/>
      <c r="B101" s="10"/>
      <c r="C101" s="10"/>
      <c r="D101" s="10"/>
      <c r="E101" s="10"/>
      <c r="F101" s="10"/>
      <c r="G101" s="10"/>
      <c r="H101" s="17"/>
      <c r="I101" s="10"/>
      <c r="J101" s="10"/>
      <c r="K101" s="16" t="str">
        <f t="shared" si="26"/>
        <v/>
      </c>
      <c r="L101" s="23" t="str">
        <f t="shared" si="27"/>
        <v/>
      </c>
      <c r="M101" s="22" t="str">
        <f t="shared" si="28"/>
        <v/>
      </c>
      <c r="N101" s="72"/>
      <c r="O101" s="16" t="str">
        <f t="shared" si="29"/>
        <v/>
      </c>
      <c r="P101" s="16" t="str">
        <f t="shared" si="30"/>
        <v/>
      </c>
      <c r="Q101" s="16" t="str">
        <f t="shared" si="31"/>
        <v/>
      </c>
      <c r="R101" s="23" t="str">
        <f t="shared" si="32"/>
        <v/>
      </c>
      <c r="S101" s="23" t="str">
        <f t="shared" si="33"/>
        <v/>
      </c>
      <c r="T101" s="23" t="str">
        <f t="shared" si="34"/>
        <v/>
      </c>
      <c r="U101" s="23" t="str">
        <f t="shared" si="35"/>
        <v/>
      </c>
      <c r="V101" s="23" t="str">
        <f t="shared" si="36"/>
        <v/>
      </c>
      <c r="W101" s="70" t="str">
        <f t="shared" si="37"/>
        <v/>
      </c>
      <c r="X101" s="70" t="str">
        <f t="shared" si="38"/>
        <v/>
      </c>
      <c r="Y101" s="70" t="str">
        <f>IF(AND($A101&lt;&gt;"",$E101&gt;0),isLaptopBag($C101,$J101)*$D101,"")</f>
        <v/>
      </c>
      <c r="Z101" s="70" t="str">
        <f t="shared" si="39"/>
        <v/>
      </c>
      <c r="AA101" s="70" t="str">
        <f t="shared" si="40"/>
        <v/>
      </c>
      <c r="AB101" s="70" t="str">
        <f t="shared" si="41"/>
        <v/>
      </c>
      <c r="AC101" s="70" t="str">
        <f t="shared" si="42"/>
        <v/>
      </c>
      <c r="AD101" s="70" t="str">
        <f t="shared" si="43"/>
        <v/>
      </c>
      <c r="AE101" s="70" t="str">
        <f t="shared" si="44"/>
        <v/>
      </c>
      <c r="AF101" s="16"/>
      <c r="AG101" s="23"/>
      <c r="AH101" s="22"/>
      <c r="AJ101" s="83">
        <f t="shared" si="45"/>
        <v>0</v>
      </c>
      <c r="AO101" s="22" t="str">
        <f t="shared" si="46"/>
        <v/>
      </c>
      <c r="AP101" s="22" t="str">
        <f t="shared" si="47"/>
        <v/>
      </c>
    </row>
    <row r="102" spans="1:42" x14ac:dyDescent="0.25">
      <c r="A102" s="10"/>
      <c r="B102" s="10"/>
      <c r="C102" s="10"/>
      <c r="D102" s="10"/>
      <c r="E102" s="10"/>
      <c r="F102" s="10"/>
      <c r="G102" s="10"/>
      <c r="H102" s="17"/>
      <c r="I102" s="10"/>
      <c r="J102" s="10"/>
      <c r="K102" s="16" t="str">
        <f t="shared" si="26"/>
        <v/>
      </c>
      <c r="L102" s="23" t="str">
        <f t="shared" si="27"/>
        <v/>
      </c>
      <c r="M102" s="22" t="str">
        <f t="shared" si="28"/>
        <v/>
      </c>
      <c r="N102" s="72"/>
      <c r="O102" s="16" t="str">
        <f t="shared" si="29"/>
        <v/>
      </c>
      <c r="P102" s="16" t="str">
        <f t="shared" si="30"/>
        <v/>
      </c>
      <c r="Q102" s="16" t="str">
        <f t="shared" si="31"/>
        <v/>
      </c>
      <c r="R102" s="23" t="str">
        <f t="shared" si="32"/>
        <v/>
      </c>
      <c r="S102" s="23" t="str">
        <f t="shared" si="33"/>
        <v/>
      </c>
      <c r="T102" s="23" t="str">
        <f t="shared" si="34"/>
        <v/>
      </c>
      <c r="U102" s="23" t="str">
        <f t="shared" si="35"/>
        <v/>
      </c>
      <c r="V102" s="23" t="str">
        <f t="shared" si="36"/>
        <v/>
      </c>
      <c r="W102" s="70" t="str">
        <f t="shared" si="37"/>
        <v/>
      </c>
      <c r="X102" s="70" t="str">
        <f t="shared" si="38"/>
        <v/>
      </c>
      <c r="Y102" s="70" t="str">
        <f>IF(AND($A102&lt;&gt;"",$E102&gt;0),isLaptopBag($C102,$J102)*$D102,"")</f>
        <v/>
      </c>
      <c r="Z102" s="70" t="str">
        <f t="shared" si="39"/>
        <v/>
      </c>
      <c r="AA102" s="70" t="str">
        <f t="shared" si="40"/>
        <v/>
      </c>
      <c r="AB102" s="70" t="str">
        <f t="shared" si="41"/>
        <v/>
      </c>
      <c r="AC102" s="70" t="str">
        <f t="shared" si="42"/>
        <v/>
      </c>
      <c r="AD102" s="70" t="str">
        <f t="shared" si="43"/>
        <v/>
      </c>
      <c r="AE102" s="70" t="str">
        <f t="shared" si="44"/>
        <v/>
      </c>
      <c r="AF102" s="16"/>
      <c r="AG102" s="23"/>
      <c r="AH102" s="22"/>
      <c r="AJ102" s="83">
        <f t="shared" si="45"/>
        <v>0</v>
      </c>
      <c r="AO102" s="22" t="str">
        <f t="shared" si="46"/>
        <v/>
      </c>
      <c r="AP102" s="22" t="str">
        <f t="shared" si="47"/>
        <v/>
      </c>
    </row>
    <row r="103" spans="1:42" x14ac:dyDescent="0.25">
      <c r="A103" s="10"/>
      <c r="B103" s="10"/>
      <c r="C103" s="10"/>
      <c r="D103" s="10"/>
      <c r="E103" s="10"/>
      <c r="F103" s="10"/>
      <c r="G103" s="10"/>
      <c r="H103" s="17"/>
      <c r="I103" s="10"/>
      <c r="J103" s="10"/>
      <c r="K103" s="16" t="str">
        <f t="shared" si="26"/>
        <v/>
      </c>
      <c r="L103" s="23" t="str">
        <f t="shared" si="27"/>
        <v/>
      </c>
      <c r="M103" s="22" t="str">
        <f t="shared" si="28"/>
        <v/>
      </c>
      <c r="N103" s="72"/>
      <c r="O103" s="16" t="str">
        <f t="shared" si="29"/>
        <v/>
      </c>
      <c r="P103" s="16" t="str">
        <f t="shared" si="30"/>
        <v/>
      </c>
      <c r="Q103" s="16" t="str">
        <f t="shared" si="31"/>
        <v/>
      </c>
      <c r="R103" s="23" t="str">
        <f t="shared" si="32"/>
        <v/>
      </c>
      <c r="S103" s="23" t="str">
        <f t="shared" si="33"/>
        <v/>
      </c>
      <c r="T103" s="23" t="str">
        <f t="shared" si="34"/>
        <v/>
      </c>
      <c r="U103" s="23" t="str">
        <f t="shared" si="35"/>
        <v/>
      </c>
      <c r="V103" s="23" t="str">
        <f t="shared" si="36"/>
        <v/>
      </c>
      <c r="W103" s="70" t="str">
        <f t="shared" si="37"/>
        <v/>
      </c>
      <c r="X103" s="70" t="str">
        <f t="shared" si="38"/>
        <v/>
      </c>
      <c r="Y103" s="70" t="str">
        <f>IF(AND($A103&lt;&gt;"",$E103&gt;0),isLaptopBag($C103,$J103)*$D103,"")</f>
        <v/>
      </c>
      <c r="Z103" s="70" t="str">
        <f t="shared" si="39"/>
        <v/>
      </c>
      <c r="AA103" s="70" t="str">
        <f t="shared" si="40"/>
        <v/>
      </c>
      <c r="AB103" s="70" t="str">
        <f t="shared" si="41"/>
        <v/>
      </c>
      <c r="AC103" s="70" t="str">
        <f t="shared" si="42"/>
        <v/>
      </c>
      <c r="AD103" s="70" t="str">
        <f t="shared" si="43"/>
        <v/>
      </c>
      <c r="AE103" s="70" t="str">
        <f t="shared" si="44"/>
        <v/>
      </c>
      <c r="AF103" s="16"/>
      <c r="AG103" s="23"/>
      <c r="AH103" s="22"/>
      <c r="AJ103" s="83">
        <f t="shared" si="45"/>
        <v>0</v>
      </c>
      <c r="AO103" s="22" t="str">
        <f t="shared" si="46"/>
        <v/>
      </c>
      <c r="AP103" s="22" t="str">
        <f t="shared" si="47"/>
        <v/>
      </c>
    </row>
    <row r="104" spans="1:42" x14ac:dyDescent="0.25">
      <c r="A104" s="10"/>
      <c r="B104" s="10"/>
      <c r="C104" s="10"/>
      <c r="D104" s="10"/>
      <c r="E104" s="10"/>
      <c r="F104" s="10"/>
      <c r="G104" s="10"/>
      <c r="H104" s="17"/>
      <c r="I104" s="10"/>
      <c r="J104" s="10"/>
      <c r="K104" s="16" t="str">
        <f t="shared" si="26"/>
        <v/>
      </c>
      <c r="L104" s="23" t="str">
        <f t="shared" si="27"/>
        <v/>
      </c>
      <c r="M104" s="22" t="str">
        <f t="shared" si="28"/>
        <v/>
      </c>
      <c r="N104" s="72"/>
      <c r="O104" s="16" t="str">
        <f t="shared" si="29"/>
        <v/>
      </c>
      <c r="P104" s="16" t="str">
        <f t="shared" si="30"/>
        <v/>
      </c>
      <c r="Q104" s="16" t="str">
        <f t="shared" si="31"/>
        <v/>
      </c>
      <c r="R104" s="23" t="str">
        <f t="shared" si="32"/>
        <v/>
      </c>
      <c r="S104" s="23" t="str">
        <f t="shared" si="33"/>
        <v/>
      </c>
      <c r="T104" s="23" t="str">
        <f t="shared" si="34"/>
        <v/>
      </c>
      <c r="U104" s="23" t="str">
        <f t="shared" si="35"/>
        <v/>
      </c>
      <c r="V104" s="23" t="str">
        <f t="shared" si="36"/>
        <v/>
      </c>
      <c r="W104" s="70" t="str">
        <f t="shared" si="37"/>
        <v/>
      </c>
      <c r="X104" s="70" t="str">
        <f t="shared" si="38"/>
        <v/>
      </c>
      <c r="Y104" s="70" t="str">
        <f>IF(AND($A104&lt;&gt;"",$E104&gt;0),isLaptopBag($C104,$J104)*$D104,"")</f>
        <v/>
      </c>
      <c r="Z104" s="70" t="str">
        <f t="shared" si="39"/>
        <v/>
      </c>
      <c r="AA104" s="70" t="str">
        <f t="shared" si="40"/>
        <v/>
      </c>
      <c r="AB104" s="70" t="str">
        <f t="shared" si="41"/>
        <v/>
      </c>
      <c r="AC104" s="70" t="str">
        <f t="shared" si="42"/>
        <v/>
      </c>
      <c r="AD104" s="70" t="str">
        <f t="shared" si="43"/>
        <v/>
      </c>
      <c r="AE104" s="70" t="str">
        <f t="shared" si="44"/>
        <v/>
      </c>
      <c r="AF104" s="16"/>
      <c r="AG104" s="23"/>
      <c r="AH104" s="22"/>
      <c r="AJ104" s="83">
        <f t="shared" si="45"/>
        <v>0</v>
      </c>
      <c r="AO104" s="22" t="str">
        <f t="shared" si="46"/>
        <v/>
      </c>
      <c r="AP104" s="22" t="str">
        <f t="shared" si="47"/>
        <v/>
      </c>
    </row>
    <row r="105" spans="1:42" x14ac:dyDescent="0.25">
      <c r="A105" s="10"/>
      <c r="B105" s="10"/>
      <c r="C105" s="10"/>
      <c r="D105" s="10"/>
      <c r="E105" s="10"/>
      <c r="F105" s="10"/>
      <c r="G105" s="10"/>
      <c r="H105" s="17"/>
      <c r="I105" s="10"/>
      <c r="J105" s="10"/>
      <c r="K105" s="16" t="str">
        <f t="shared" si="26"/>
        <v/>
      </c>
      <c r="L105" s="23" t="str">
        <f t="shared" si="27"/>
        <v/>
      </c>
      <c r="M105" s="22" t="str">
        <f t="shared" si="28"/>
        <v/>
      </c>
      <c r="N105" s="72"/>
      <c r="O105" s="16" t="str">
        <f t="shared" si="29"/>
        <v/>
      </c>
      <c r="P105" s="16" t="str">
        <f t="shared" si="30"/>
        <v/>
      </c>
      <c r="Q105" s="16" t="str">
        <f t="shared" si="31"/>
        <v/>
      </c>
      <c r="R105" s="23" t="str">
        <f t="shared" si="32"/>
        <v/>
      </c>
      <c r="S105" s="23" t="str">
        <f t="shared" si="33"/>
        <v/>
      </c>
      <c r="T105" s="23" t="str">
        <f t="shared" si="34"/>
        <v/>
      </c>
      <c r="U105" s="23" t="str">
        <f t="shared" si="35"/>
        <v/>
      </c>
      <c r="V105" s="23" t="str">
        <f t="shared" si="36"/>
        <v/>
      </c>
      <c r="W105" s="70" t="str">
        <f t="shared" si="37"/>
        <v/>
      </c>
      <c r="X105" s="70" t="str">
        <f t="shared" si="38"/>
        <v/>
      </c>
      <c r="Y105" s="70" t="str">
        <f>IF(AND($A105&lt;&gt;"",$E105&gt;0),isLaptopBag($C105,$J105)*$D105,"")</f>
        <v/>
      </c>
      <c r="Z105" s="70" t="str">
        <f t="shared" si="39"/>
        <v/>
      </c>
      <c r="AA105" s="70" t="str">
        <f t="shared" si="40"/>
        <v/>
      </c>
      <c r="AB105" s="70" t="str">
        <f t="shared" si="41"/>
        <v/>
      </c>
      <c r="AC105" s="70" t="str">
        <f t="shared" si="42"/>
        <v/>
      </c>
      <c r="AD105" s="70" t="str">
        <f t="shared" si="43"/>
        <v/>
      </c>
      <c r="AE105" s="70" t="str">
        <f t="shared" si="44"/>
        <v/>
      </c>
      <c r="AF105" s="16"/>
      <c r="AG105" s="23"/>
      <c r="AH105" s="22"/>
      <c r="AJ105" s="83">
        <f t="shared" si="45"/>
        <v>0</v>
      </c>
      <c r="AO105" s="22" t="str">
        <f t="shared" si="46"/>
        <v/>
      </c>
      <c r="AP105" s="22" t="str">
        <f t="shared" si="47"/>
        <v/>
      </c>
    </row>
    <row r="106" spans="1:42" x14ac:dyDescent="0.25">
      <c r="A106" s="10"/>
      <c r="B106" s="10"/>
      <c r="C106" s="10"/>
      <c r="D106" s="10"/>
      <c r="E106" s="10"/>
      <c r="F106" s="10"/>
      <c r="G106" s="10"/>
      <c r="H106" s="17"/>
      <c r="I106" s="10"/>
      <c r="J106" s="10"/>
      <c r="K106" s="16" t="str">
        <f t="shared" si="26"/>
        <v/>
      </c>
      <c r="L106" s="23" t="str">
        <f t="shared" si="27"/>
        <v/>
      </c>
      <c r="M106" s="22" t="str">
        <f t="shared" si="28"/>
        <v/>
      </c>
      <c r="N106" s="72"/>
      <c r="O106" s="16" t="str">
        <f t="shared" si="29"/>
        <v/>
      </c>
      <c r="P106" s="16" t="str">
        <f t="shared" si="30"/>
        <v/>
      </c>
      <c r="Q106" s="16" t="str">
        <f t="shared" si="31"/>
        <v/>
      </c>
      <c r="R106" s="23" t="str">
        <f t="shared" si="32"/>
        <v/>
      </c>
      <c r="S106" s="23" t="str">
        <f t="shared" si="33"/>
        <v/>
      </c>
      <c r="T106" s="23" t="str">
        <f t="shared" si="34"/>
        <v/>
      </c>
      <c r="U106" s="23" t="str">
        <f t="shared" si="35"/>
        <v/>
      </c>
      <c r="V106" s="23" t="str">
        <f t="shared" si="36"/>
        <v/>
      </c>
      <c r="W106" s="70" t="str">
        <f t="shared" si="37"/>
        <v/>
      </c>
      <c r="X106" s="70" t="str">
        <f t="shared" si="38"/>
        <v/>
      </c>
      <c r="Y106" s="70" t="str">
        <f>IF(AND($A106&lt;&gt;"",$E106&gt;0),isLaptopBag($C106,$J106)*$D106,"")</f>
        <v/>
      </c>
      <c r="Z106" s="70" t="str">
        <f t="shared" si="39"/>
        <v/>
      </c>
      <c r="AA106" s="70" t="str">
        <f t="shared" si="40"/>
        <v/>
      </c>
      <c r="AB106" s="70" t="str">
        <f t="shared" si="41"/>
        <v/>
      </c>
      <c r="AC106" s="70" t="str">
        <f t="shared" si="42"/>
        <v/>
      </c>
      <c r="AD106" s="70" t="str">
        <f t="shared" si="43"/>
        <v/>
      </c>
      <c r="AE106" s="70" t="str">
        <f t="shared" si="44"/>
        <v/>
      </c>
      <c r="AF106" s="16"/>
      <c r="AG106" s="23"/>
      <c r="AH106" s="22"/>
      <c r="AJ106" s="83">
        <f t="shared" si="45"/>
        <v>0</v>
      </c>
      <c r="AO106" s="22" t="str">
        <f t="shared" si="46"/>
        <v/>
      </c>
      <c r="AP106" s="22" t="str">
        <f t="shared" si="47"/>
        <v/>
      </c>
    </row>
    <row r="107" spans="1:42" x14ac:dyDescent="0.25">
      <c r="A107" s="10"/>
      <c r="B107" s="10"/>
      <c r="C107" s="10"/>
      <c r="D107" s="10"/>
      <c r="E107" s="10"/>
      <c r="F107" s="10"/>
      <c r="G107" s="10"/>
      <c r="H107" s="17"/>
      <c r="I107" s="10"/>
      <c r="J107" s="10"/>
      <c r="K107" s="16" t="str">
        <f t="shared" si="26"/>
        <v/>
      </c>
      <c r="L107" s="23" t="str">
        <f t="shared" si="27"/>
        <v/>
      </c>
      <c r="M107" s="22" t="str">
        <f t="shared" si="28"/>
        <v/>
      </c>
      <c r="N107" s="72"/>
      <c r="O107" s="16" t="str">
        <f t="shared" si="29"/>
        <v/>
      </c>
      <c r="P107" s="16" t="str">
        <f t="shared" si="30"/>
        <v/>
      </c>
      <c r="Q107" s="16" t="str">
        <f t="shared" si="31"/>
        <v/>
      </c>
      <c r="R107" s="23" t="str">
        <f t="shared" si="32"/>
        <v/>
      </c>
      <c r="S107" s="23" t="str">
        <f t="shared" si="33"/>
        <v/>
      </c>
      <c r="T107" s="23" t="str">
        <f t="shared" si="34"/>
        <v/>
      </c>
      <c r="U107" s="23" t="str">
        <f t="shared" si="35"/>
        <v/>
      </c>
      <c r="V107" s="23" t="str">
        <f t="shared" si="36"/>
        <v/>
      </c>
      <c r="W107" s="70" t="str">
        <f t="shared" si="37"/>
        <v/>
      </c>
      <c r="X107" s="70" t="str">
        <f t="shared" si="38"/>
        <v/>
      </c>
      <c r="Y107" s="70" t="str">
        <f>IF(AND($A107&lt;&gt;"",$E107&gt;0),isLaptopBag($C107,$J107)*$D107,"")</f>
        <v/>
      </c>
      <c r="Z107" s="70" t="str">
        <f t="shared" si="39"/>
        <v/>
      </c>
      <c r="AA107" s="70" t="str">
        <f t="shared" si="40"/>
        <v/>
      </c>
      <c r="AB107" s="70" t="str">
        <f t="shared" si="41"/>
        <v/>
      </c>
      <c r="AC107" s="70" t="str">
        <f t="shared" si="42"/>
        <v/>
      </c>
      <c r="AD107" s="70" t="str">
        <f t="shared" si="43"/>
        <v/>
      </c>
      <c r="AE107" s="70" t="str">
        <f t="shared" si="44"/>
        <v/>
      </c>
      <c r="AF107" s="16"/>
      <c r="AG107" s="23"/>
      <c r="AH107" s="22"/>
      <c r="AJ107" s="83">
        <f t="shared" si="45"/>
        <v>0</v>
      </c>
      <c r="AO107" s="22" t="str">
        <f t="shared" si="46"/>
        <v/>
      </c>
      <c r="AP107" s="22" t="str">
        <f t="shared" si="47"/>
        <v/>
      </c>
    </row>
    <row r="108" spans="1:42" x14ac:dyDescent="0.25">
      <c r="A108" s="10"/>
      <c r="B108" s="10"/>
      <c r="C108" s="10"/>
      <c r="D108" s="10"/>
      <c r="E108" s="10"/>
      <c r="F108" s="10"/>
      <c r="G108" s="10"/>
      <c r="H108" s="17"/>
      <c r="I108" s="10"/>
      <c r="J108" s="10"/>
      <c r="K108" s="16" t="str">
        <f t="shared" si="26"/>
        <v/>
      </c>
      <c r="L108" s="23" t="str">
        <f t="shared" si="27"/>
        <v/>
      </c>
      <c r="M108" s="22" t="str">
        <f t="shared" si="28"/>
        <v/>
      </c>
      <c r="N108" s="72"/>
      <c r="O108" s="16" t="str">
        <f t="shared" si="29"/>
        <v/>
      </c>
      <c r="P108" s="16" t="str">
        <f t="shared" si="30"/>
        <v/>
      </c>
      <c r="Q108" s="16" t="str">
        <f t="shared" si="31"/>
        <v/>
      </c>
      <c r="R108" s="23" t="str">
        <f t="shared" si="32"/>
        <v/>
      </c>
      <c r="S108" s="23" t="str">
        <f t="shared" si="33"/>
        <v/>
      </c>
      <c r="T108" s="23" t="str">
        <f t="shared" si="34"/>
        <v/>
      </c>
      <c r="U108" s="23" t="str">
        <f t="shared" si="35"/>
        <v/>
      </c>
      <c r="V108" s="23" t="str">
        <f t="shared" si="36"/>
        <v/>
      </c>
      <c r="W108" s="70" t="str">
        <f t="shared" si="37"/>
        <v/>
      </c>
      <c r="X108" s="70" t="str">
        <f t="shared" si="38"/>
        <v/>
      </c>
      <c r="Y108" s="70" t="str">
        <f>IF(AND($A108&lt;&gt;"",$E108&gt;0),isLaptopBag($C108,$J108)*$D108,"")</f>
        <v/>
      </c>
      <c r="Z108" s="70" t="str">
        <f t="shared" si="39"/>
        <v/>
      </c>
      <c r="AA108" s="70" t="str">
        <f t="shared" si="40"/>
        <v/>
      </c>
      <c r="AB108" s="70" t="str">
        <f t="shared" si="41"/>
        <v/>
      </c>
      <c r="AC108" s="70" t="str">
        <f t="shared" si="42"/>
        <v/>
      </c>
      <c r="AD108" s="70" t="str">
        <f t="shared" si="43"/>
        <v/>
      </c>
      <c r="AE108" s="70" t="str">
        <f t="shared" si="44"/>
        <v/>
      </c>
      <c r="AF108" s="16"/>
      <c r="AG108" s="23"/>
      <c r="AH108" s="22"/>
      <c r="AJ108" s="83">
        <f t="shared" si="45"/>
        <v>0</v>
      </c>
      <c r="AO108" s="22" t="str">
        <f t="shared" si="46"/>
        <v/>
      </c>
      <c r="AP108" s="22" t="str">
        <f t="shared" si="47"/>
        <v/>
      </c>
    </row>
    <row r="109" spans="1:42" x14ac:dyDescent="0.25">
      <c r="A109" s="10"/>
      <c r="B109" s="10"/>
      <c r="C109" s="10"/>
      <c r="D109" s="10"/>
      <c r="E109" s="10"/>
      <c r="F109" s="10"/>
      <c r="G109" s="10"/>
      <c r="H109" s="17"/>
      <c r="I109" s="10"/>
      <c r="J109" s="10"/>
      <c r="K109" s="16" t="str">
        <f t="shared" si="26"/>
        <v/>
      </c>
      <c r="L109" s="23" t="str">
        <f t="shared" si="27"/>
        <v/>
      </c>
      <c r="M109" s="22" t="str">
        <f t="shared" si="28"/>
        <v/>
      </c>
      <c r="N109" s="72"/>
      <c r="O109" s="16" t="str">
        <f t="shared" si="29"/>
        <v/>
      </c>
      <c r="P109" s="16" t="str">
        <f t="shared" si="30"/>
        <v/>
      </c>
      <c r="Q109" s="16" t="str">
        <f t="shared" si="31"/>
        <v/>
      </c>
      <c r="R109" s="23" t="str">
        <f t="shared" si="32"/>
        <v/>
      </c>
      <c r="S109" s="23" t="str">
        <f t="shared" si="33"/>
        <v/>
      </c>
      <c r="T109" s="23" t="str">
        <f t="shared" si="34"/>
        <v/>
      </c>
      <c r="U109" s="23" t="str">
        <f t="shared" si="35"/>
        <v/>
      </c>
      <c r="V109" s="23" t="str">
        <f t="shared" si="36"/>
        <v/>
      </c>
      <c r="W109" s="70" t="str">
        <f t="shared" si="37"/>
        <v/>
      </c>
      <c r="X109" s="70" t="str">
        <f t="shared" si="38"/>
        <v/>
      </c>
      <c r="Y109" s="70" t="str">
        <f>IF(AND($A109&lt;&gt;"",$E109&gt;0),isLaptopBag($C109,$J109)*$D109,"")</f>
        <v/>
      </c>
      <c r="Z109" s="70" t="str">
        <f t="shared" si="39"/>
        <v/>
      </c>
      <c r="AA109" s="70" t="str">
        <f t="shared" si="40"/>
        <v/>
      </c>
      <c r="AB109" s="70" t="str">
        <f t="shared" si="41"/>
        <v/>
      </c>
      <c r="AC109" s="70" t="str">
        <f t="shared" si="42"/>
        <v/>
      </c>
      <c r="AD109" s="70" t="str">
        <f t="shared" si="43"/>
        <v/>
      </c>
      <c r="AE109" s="70" t="str">
        <f t="shared" si="44"/>
        <v/>
      </c>
      <c r="AF109" s="16"/>
      <c r="AG109" s="23"/>
      <c r="AH109" s="22"/>
      <c r="AJ109" s="83">
        <f t="shared" si="45"/>
        <v>0</v>
      </c>
      <c r="AO109" s="22" t="str">
        <f t="shared" si="46"/>
        <v/>
      </c>
      <c r="AP109" s="22" t="str">
        <f t="shared" si="47"/>
        <v/>
      </c>
    </row>
    <row r="110" spans="1:42" x14ac:dyDescent="0.25">
      <c r="A110" s="10"/>
      <c r="B110" s="10"/>
      <c r="C110" s="10"/>
      <c r="D110" s="10"/>
      <c r="E110" s="10"/>
      <c r="F110" s="10"/>
      <c r="G110" s="10"/>
      <c r="H110" s="17"/>
      <c r="I110" s="10"/>
      <c r="J110" s="10"/>
      <c r="K110" s="16" t="str">
        <f t="shared" si="26"/>
        <v/>
      </c>
      <c r="L110" s="23" t="str">
        <f t="shared" si="27"/>
        <v/>
      </c>
      <c r="M110" s="22" t="str">
        <f t="shared" si="28"/>
        <v/>
      </c>
      <c r="N110" s="72"/>
      <c r="O110" s="16" t="str">
        <f t="shared" si="29"/>
        <v/>
      </c>
      <c r="P110" s="16" t="str">
        <f t="shared" si="30"/>
        <v/>
      </c>
      <c r="Q110" s="16" t="str">
        <f t="shared" si="31"/>
        <v/>
      </c>
      <c r="R110" s="23" t="str">
        <f t="shared" si="32"/>
        <v/>
      </c>
      <c r="S110" s="23" t="str">
        <f t="shared" si="33"/>
        <v/>
      </c>
      <c r="T110" s="23" t="str">
        <f t="shared" si="34"/>
        <v/>
      </c>
      <c r="U110" s="23" t="str">
        <f t="shared" si="35"/>
        <v/>
      </c>
      <c r="V110" s="23" t="str">
        <f t="shared" si="36"/>
        <v/>
      </c>
      <c r="W110" s="70" t="str">
        <f t="shared" si="37"/>
        <v/>
      </c>
      <c r="X110" s="70" t="str">
        <f t="shared" si="38"/>
        <v/>
      </c>
      <c r="Y110" s="70" t="str">
        <f>IF(AND($A110&lt;&gt;"",$E110&gt;0),isLaptopBag($C110,$J110)*$D110,"")</f>
        <v/>
      </c>
      <c r="Z110" s="70" t="str">
        <f t="shared" si="39"/>
        <v/>
      </c>
      <c r="AA110" s="70" t="str">
        <f t="shared" si="40"/>
        <v/>
      </c>
      <c r="AB110" s="70" t="str">
        <f t="shared" si="41"/>
        <v/>
      </c>
      <c r="AC110" s="70" t="str">
        <f t="shared" si="42"/>
        <v/>
      </c>
      <c r="AD110" s="70" t="str">
        <f t="shared" si="43"/>
        <v/>
      </c>
      <c r="AE110" s="70" t="str">
        <f t="shared" si="44"/>
        <v/>
      </c>
      <c r="AF110" s="16"/>
      <c r="AG110" s="23"/>
      <c r="AH110" s="22"/>
      <c r="AJ110" s="83">
        <f t="shared" si="45"/>
        <v>0</v>
      </c>
      <c r="AO110" s="22" t="str">
        <f t="shared" si="46"/>
        <v/>
      </c>
      <c r="AP110" s="22" t="str">
        <f t="shared" si="47"/>
        <v/>
      </c>
    </row>
    <row r="111" spans="1:42" x14ac:dyDescent="0.25">
      <c r="A111" s="10"/>
      <c r="B111" s="10"/>
      <c r="C111" s="10"/>
      <c r="D111" s="10"/>
      <c r="E111" s="10"/>
      <c r="F111" s="10"/>
      <c r="G111" s="10"/>
      <c r="H111" s="17"/>
      <c r="I111" s="10"/>
      <c r="J111" s="10"/>
      <c r="K111" s="16" t="str">
        <f t="shared" si="26"/>
        <v/>
      </c>
      <c r="L111" s="23" t="str">
        <f t="shared" si="27"/>
        <v/>
      </c>
      <c r="M111" s="22" t="str">
        <f t="shared" si="28"/>
        <v/>
      </c>
      <c r="N111" s="72"/>
      <c r="O111" s="16" t="str">
        <f t="shared" si="29"/>
        <v/>
      </c>
      <c r="P111" s="16" t="str">
        <f t="shared" si="30"/>
        <v/>
      </c>
      <c r="Q111" s="16" t="str">
        <f t="shared" si="31"/>
        <v/>
      </c>
      <c r="R111" s="23" t="str">
        <f t="shared" si="32"/>
        <v/>
      </c>
      <c r="S111" s="23" t="str">
        <f t="shared" si="33"/>
        <v/>
      </c>
      <c r="T111" s="23" t="str">
        <f t="shared" si="34"/>
        <v/>
      </c>
      <c r="U111" s="23" t="str">
        <f t="shared" si="35"/>
        <v/>
      </c>
      <c r="V111" s="23" t="str">
        <f t="shared" si="36"/>
        <v/>
      </c>
      <c r="W111" s="70" t="str">
        <f t="shared" si="37"/>
        <v/>
      </c>
      <c r="X111" s="70" t="str">
        <f t="shared" si="38"/>
        <v/>
      </c>
      <c r="Y111" s="70" t="str">
        <f>IF(AND($A111&lt;&gt;"",$E111&gt;0),isLaptopBag($C111,$J111)*$D111,"")</f>
        <v/>
      </c>
      <c r="Z111" s="70" t="str">
        <f t="shared" si="39"/>
        <v/>
      </c>
      <c r="AA111" s="70" t="str">
        <f t="shared" si="40"/>
        <v/>
      </c>
      <c r="AB111" s="70" t="str">
        <f t="shared" si="41"/>
        <v/>
      </c>
      <c r="AC111" s="70" t="str">
        <f t="shared" si="42"/>
        <v/>
      </c>
      <c r="AD111" s="70" t="str">
        <f t="shared" si="43"/>
        <v/>
      </c>
      <c r="AE111" s="70" t="str">
        <f t="shared" si="44"/>
        <v/>
      </c>
      <c r="AF111" s="16"/>
      <c r="AG111" s="23"/>
      <c r="AH111" s="22"/>
      <c r="AJ111" s="83">
        <f t="shared" si="45"/>
        <v>0</v>
      </c>
      <c r="AO111" s="22" t="str">
        <f t="shared" si="46"/>
        <v/>
      </c>
      <c r="AP111" s="22" t="str">
        <f t="shared" si="47"/>
        <v/>
      </c>
    </row>
    <row r="112" spans="1:42" x14ac:dyDescent="0.25">
      <c r="A112" s="10"/>
      <c r="B112" s="10"/>
      <c r="C112" s="10"/>
      <c r="D112" s="10"/>
      <c r="E112" s="10"/>
      <c r="F112" s="10"/>
      <c r="G112" s="10"/>
      <c r="H112" s="17"/>
      <c r="I112" s="10"/>
      <c r="J112" s="10"/>
      <c r="K112" s="16" t="str">
        <f t="shared" si="26"/>
        <v/>
      </c>
      <c r="L112" s="23" t="str">
        <f t="shared" si="27"/>
        <v/>
      </c>
      <c r="M112" s="22" t="str">
        <f t="shared" si="28"/>
        <v/>
      </c>
      <c r="N112" s="72"/>
      <c r="O112" s="16" t="str">
        <f t="shared" si="29"/>
        <v/>
      </c>
      <c r="P112" s="16" t="str">
        <f t="shared" si="30"/>
        <v/>
      </c>
      <c r="Q112" s="16" t="str">
        <f t="shared" si="31"/>
        <v/>
      </c>
      <c r="R112" s="23" t="str">
        <f t="shared" si="32"/>
        <v/>
      </c>
      <c r="S112" s="23" t="str">
        <f t="shared" si="33"/>
        <v/>
      </c>
      <c r="T112" s="23" t="str">
        <f t="shared" si="34"/>
        <v/>
      </c>
      <c r="U112" s="23" t="str">
        <f t="shared" si="35"/>
        <v/>
      </c>
      <c r="V112" s="23" t="str">
        <f t="shared" si="36"/>
        <v/>
      </c>
      <c r="W112" s="70" t="str">
        <f t="shared" si="37"/>
        <v/>
      </c>
      <c r="X112" s="70" t="str">
        <f t="shared" si="38"/>
        <v/>
      </c>
      <c r="Y112" s="70" t="str">
        <f>IF(AND($A112&lt;&gt;"",$E112&gt;0),isLaptopBag($C112,$J112)*$D112,"")</f>
        <v/>
      </c>
      <c r="Z112" s="70" t="str">
        <f t="shared" si="39"/>
        <v/>
      </c>
      <c r="AA112" s="70" t="str">
        <f t="shared" si="40"/>
        <v/>
      </c>
      <c r="AB112" s="70" t="str">
        <f t="shared" si="41"/>
        <v/>
      </c>
      <c r="AC112" s="70" t="str">
        <f t="shared" si="42"/>
        <v/>
      </c>
      <c r="AD112" s="70" t="str">
        <f t="shared" si="43"/>
        <v/>
      </c>
      <c r="AE112" s="70" t="str">
        <f t="shared" si="44"/>
        <v/>
      </c>
      <c r="AF112" s="16"/>
      <c r="AG112" s="23"/>
      <c r="AH112" s="22"/>
      <c r="AJ112" s="83">
        <f t="shared" si="45"/>
        <v>0</v>
      </c>
      <c r="AO112" s="22" t="str">
        <f t="shared" si="46"/>
        <v/>
      </c>
      <c r="AP112" s="22" t="str">
        <f t="shared" si="47"/>
        <v/>
      </c>
    </row>
    <row r="113" spans="1:42" x14ac:dyDescent="0.25">
      <c r="A113" s="10"/>
      <c r="B113" s="10"/>
      <c r="C113" s="10"/>
      <c r="D113" s="10"/>
      <c r="E113" s="10"/>
      <c r="F113" s="10"/>
      <c r="G113" s="10"/>
      <c r="H113" s="17"/>
      <c r="I113" s="10"/>
      <c r="J113" s="10"/>
      <c r="K113" s="16" t="str">
        <f t="shared" si="26"/>
        <v/>
      </c>
      <c r="L113" s="23" t="str">
        <f t="shared" si="27"/>
        <v/>
      </c>
      <c r="M113" s="22" t="str">
        <f t="shared" si="28"/>
        <v/>
      </c>
      <c r="N113" s="72"/>
      <c r="O113" s="16" t="str">
        <f t="shared" si="29"/>
        <v/>
      </c>
      <c r="P113" s="16" t="str">
        <f t="shared" si="30"/>
        <v/>
      </c>
      <c r="Q113" s="16" t="str">
        <f t="shared" si="31"/>
        <v/>
      </c>
      <c r="R113" s="23" t="str">
        <f t="shared" si="32"/>
        <v/>
      </c>
      <c r="S113" s="23" t="str">
        <f t="shared" si="33"/>
        <v/>
      </c>
      <c r="T113" s="23" t="str">
        <f t="shared" si="34"/>
        <v/>
      </c>
      <c r="U113" s="23" t="str">
        <f t="shared" si="35"/>
        <v/>
      </c>
      <c r="V113" s="23" t="str">
        <f t="shared" si="36"/>
        <v/>
      </c>
      <c r="W113" s="70" t="str">
        <f t="shared" si="37"/>
        <v/>
      </c>
      <c r="X113" s="70" t="str">
        <f t="shared" si="38"/>
        <v/>
      </c>
      <c r="Y113" s="70" t="str">
        <f>IF(AND($A113&lt;&gt;"",$E113&gt;0),isLaptopBag($C113,$J113)*$D113,"")</f>
        <v/>
      </c>
      <c r="Z113" s="70" t="str">
        <f t="shared" si="39"/>
        <v/>
      </c>
      <c r="AA113" s="70" t="str">
        <f t="shared" si="40"/>
        <v/>
      </c>
      <c r="AB113" s="70" t="str">
        <f t="shared" si="41"/>
        <v/>
      </c>
      <c r="AC113" s="70" t="str">
        <f t="shared" si="42"/>
        <v/>
      </c>
      <c r="AD113" s="70" t="str">
        <f t="shared" si="43"/>
        <v/>
      </c>
      <c r="AE113" s="70" t="str">
        <f t="shared" si="44"/>
        <v/>
      </c>
      <c r="AF113" s="16"/>
      <c r="AG113" s="23"/>
      <c r="AH113" s="22"/>
      <c r="AJ113" s="83">
        <f t="shared" si="45"/>
        <v>0</v>
      </c>
      <c r="AO113" s="22" t="str">
        <f t="shared" si="46"/>
        <v/>
      </c>
      <c r="AP113" s="22" t="str">
        <f t="shared" si="47"/>
        <v/>
      </c>
    </row>
    <row r="114" spans="1:42" x14ac:dyDescent="0.25">
      <c r="A114" s="10"/>
      <c r="B114" s="10"/>
      <c r="C114" s="10"/>
      <c r="D114" s="10"/>
      <c r="E114" s="10"/>
      <c r="F114" s="10"/>
      <c r="G114" s="10"/>
      <c r="H114" s="17"/>
      <c r="I114" s="10"/>
      <c r="J114" s="10"/>
      <c r="K114" s="16" t="str">
        <f t="shared" si="26"/>
        <v/>
      </c>
      <c r="L114" s="23" t="str">
        <f t="shared" si="27"/>
        <v/>
      </c>
      <c r="M114" s="22" t="str">
        <f t="shared" si="28"/>
        <v/>
      </c>
      <c r="N114" s="72"/>
      <c r="O114" s="16" t="str">
        <f t="shared" si="29"/>
        <v/>
      </c>
      <c r="P114" s="16" t="str">
        <f t="shared" si="30"/>
        <v/>
      </c>
      <c r="Q114" s="16" t="str">
        <f t="shared" si="31"/>
        <v/>
      </c>
      <c r="R114" s="23" t="str">
        <f t="shared" si="32"/>
        <v/>
      </c>
      <c r="S114" s="23" t="str">
        <f t="shared" si="33"/>
        <v/>
      </c>
      <c r="T114" s="23" t="str">
        <f t="shared" si="34"/>
        <v/>
      </c>
      <c r="U114" s="23" t="str">
        <f t="shared" si="35"/>
        <v/>
      </c>
      <c r="V114" s="23" t="str">
        <f t="shared" si="36"/>
        <v/>
      </c>
      <c r="W114" s="70" t="str">
        <f t="shared" si="37"/>
        <v/>
      </c>
      <c r="X114" s="70" t="str">
        <f t="shared" si="38"/>
        <v/>
      </c>
      <c r="Y114" s="70" t="str">
        <f>IF(AND($A114&lt;&gt;"",$E114&gt;0),isLaptopBag($C114,$J114)*$D114,"")</f>
        <v/>
      </c>
      <c r="Z114" s="70" t="str">
        <f t="shared" si="39"/>
        <v/>
      </c>
      <c r="AA114" s="70" t="str">
        <f t="shared" si="40"/>
        <v/>
      </c>
      <c r="AB114" s="70" t="str">
        <f t="shared" si="41"/>
        <v/>
      </c>
      <c r="AC114" s="70" t="str">
        <f t="shared" si="42"/>
        <v/>
      </c>
      <c r="AD114" s="70" t="str">
        <f t="shared" si="43"/>
        <v/>
      </c>
      <c r="AE114" s="70" t="str">
        <f t="shared" si="44"/>
        <v/>
      </c>
      <c r="AF114" s="16"/>
      <c r="AG114" s="23"/>
      <c r="AH114" s="22"/>
      <c r="AJ114" s="83">
        <f t="shared" si="45"/>
        <v>0</v>
      </c>
      <c r="AO114" s="22" t="str">
        <f t="shared" si="46"/>
        <v/>
      </c>
      <c r="AP114" s="22" t="str">
        <f t="shared" si="47"/>
        <v/>
      </c>
    </row>
    <row r="115" spans="1:42" x14ac:dyDescent="0.25">
      <c r="A115" s="10"/>
      <c r="B115" s="10"/>
      <c r="C115" s="10"/>
      <c r="D115" s="10"/>
      <c r="E115" s="10"/>
      <c r="F115" s="10"/>
      <c r="G115" s="10"/>
      <c r="H115" s="17"/>
      <c r="I115" s="10"/>
      <c r="J115" s="10"/>
      <c r="K115" s="16" t="str">
        <f t="shared" si="26"/>
        <v/>
      </c>
      <c r="L115" s="23" t="str">
        <f t="shared" si="27"/>
        <v/>
      </c>
      <c r="M115" s="22" t="str">
        <f t="shared" si="28"/>
        <v/>
      </c>
      <c r="N115" s="72"/>
      <c r="O115" s="16" t="str">
        <f t="shared" si="29"/>
        <v/>
      </c>
      <c r="P115" s="16" t="str">
        <f t="shared" si="30"/>
        <v/>
      </c>
      <c r="Q115" s="16" t="str">
        <f t="shared" si="31"/>
        <v/>
      </c>
      <c r="R115" s="23" t="str">
        <f t="shared" si="32"/>
        <v/>
      </c>
      <c r="S115" s="23" t="str">
        <f t="shared" si="33"/>
        <v/>
      </c>
      <c r="T115" s="23" t="str">
        <f t="shared" si="34"/>
        <v/>
      </c>
      <c r="U115" s="23" t="str">
        <f t="shared" si="35"/>
        <v/>
      </c>
      <c r="V115" s="23" t="str">
        <f t="shared" si="36"/>
        <v/>
      </c>
      <c r="W115" s="70" t="str">
        <f t="shared" si="37"/>
        <v/>
      </c>
      <c r="X115" s="70" t="str">
        <f t="shared" si="38"/>
        <v/>
      </c>
      <c r="Y115" s="70" t="str">
        <f>IF(AND($A115&lt;&gt;"",$E115&gt;0),isLaptopBag($C115,$J115)*$D115,"")</f>
        <v/>
      </c>
      <c r="Z115" s="70" t="str">
        <f t="shared" si="39"/>
        <v/>
      </c>
      <c r="AA115" s="70" t="str">
        <f t="shared" si="40"/>
        <v/>
      </c>
      <c r="AB115" s="70" t="str">
        <f t="shared" si="41"/>
        <v/>
      </c>
      <c r="AC115" s="70" t="str">
        <f t="shared" si="42"/>
        <v/>
      </c>
      <c r="AD115" s="70" t="str">
        <f t="shared" si="43"/>
        <v/>
      </c>
      <c r="AE115" s="70" t="str">
        <f t="shared" si="44"/>
        <v/>
      </c>
      <c r="AF115" s="16"/>
      <c r="AG115" s="23"/>
      <c r="AH115" s="22"/>
      <c r="AJ115" s="83">
        <f t="shared" si="45"/>
        <v>0</v>
      </c>
      <c r="AO115" s="22" t="str">
        <f t="shared" si="46"/>
        <v/>
      </c>
      <c r="AP115" s="22" t="str">
        <f t="shared" si="47"/>
        <v/>
      </c>
    </row>
    <row r="116" spans="1:42" x14ac:dyDescent="0.25">
      <c r="A116" s="10"/>
      <c r="B116" s="10"/>
      <c r="C116" s="10"/>
      <c r="D116" s="10"/>
      <c r="E116" s="10"/>
      <c r="F116" s="10"/>
      <c r="G116" s="10"/>
      <c r="H116" s="17"/>
      <c r="I116" s="10"/>
      <c r="J116" s="10"/>
      <c r="K116" s="16" t="str">
        <f t="shared" si="26"/>
        <v/>
      </c>
      <c r="L116" s="23" t="str">
        <f t="shared" si="27"/>
        <v/>
      </c>
      <c r="M116" s="22" t="str">
        <f t="shared" si="28"/>
        <v/>
      </c>
      <c r="N116" s="72"/>
      <c r="O116" s="16" t="str">
        <f t="shared" si="29"/>
        <v/>
      </c>
      <c r="P116" s="16" t="str">
        <f t="shared" si="30"/>
        <v/>
      </c>
      <c r="Q116" s="16" t="str">
        <f t="shared" si="31"/>
        <v/>
      </c>
      <c r="R116" s="23" t="str">
        <f t="shared" si="32"/>
        <v/>
      </c>
      <c r="S116" s="23" t="str">
        <f t="shared" si="33"/>
        <v/>
      </c>
      <c r="T116" s="23" t="str">
        <f t="shared" si="34"/>
        <v/>
      </c>
      <c r="U116" s="23" t="str">
        <f t="shared" si="35"/>
        <v/>
      </c>
      <c r="V116" s="23" t="str">
        <f t="shared" si="36"/>
        <v/>
      </c>
      <c r="W116" s="70" t="str">
        <f t="shared" si="37"/>
        <v/>
      </c>
      <c r="X116" s="70" t="str">
        <f t="shared" si="38"/>
        <v/>
      </c>
      <c r="Y116" s="70" t="str">
        <f>IF(AND($A116&lt;&gt;"",$E116&gt;0),isLaptopBag($C116,$J116)*$D116,"")</f>
        <v/>
      </c>
      <c r="Z116" s="70" t="str">
        <f t="shared" si="39"/>
        <v/>
      </c>
      <c r="AA116" s="70" t="str">
        <f t="shared" si="40"/>
        <v/>
      </c>
      <c r="AB116" s="70" t="str">
        <f t="shared" si="41"/>
        <v/>
      </c>
      <c r="AC116" s="70" t="str">
        <f t="shared" si="42"/>
        <v/>
      </c>
      <c r="AD116" s="70" t="str">
        <f t="shared" si="43"/>
        <v/>
      </c>
      <c r="AE116" s="70" t="str">
        <f t="shared" si="44"/>
        <v/>
      </c>
      <c r="AF116" s="16"/>
      <c r="AG116" s="23"/>
      <c r="AH116" s="22"/>
      <c r="AJ116" s="83">
        <f t="shared" si="45"/>
        <v>0</v>
      </c>
      <c r="AO116" s="22" t="str">
        <f t="shared" si="46"/>
        <v/>
      </c>
      <c r="AP116" s="22" t="str">
        <f t="shared" si="47"/>
        <v/>
      </c>
    </row>
    <row r="117" spans="1:42" x14ac:dyDescent="0.25">
      <c r="A117" s="10"/>
      <c r="B117" s="10"/>
      <c r="C117" s="10"/>
      <c r="D117" s="10"/>
      <c r="E117" s="10"/>
      <c r="F117" s="10"/>
      <c r="G117" s="10"/>
      <c r="H117" s="17"/>
      <c r="I117" s="10"/>
      <c r="J117" s="10"/>
      <c r="K117" s="16" t="str">
        <f t="shared" si="26"/>
        <v/>
      </c>
      <c r="L117" s="23" t="str">
        <f t="shared" si="27"/>
        <v/>
      </c>
      <c r="M117" s="22" t="str">
        <f t="shared" si="28"/>
        <v/>
      </c>
      <c r="N117" s="72"/>
      <c r="O117" s="16" t="str">
        <f t="shared" si="29"/>
        <v/>
      </c>
      <c r="P117" s="16" t="str">
        <f t="shared" si="30"/>
        <v/>
      </c>
      <c r="Q117" s="16" t="str">
        <f t="shared" si="31"/>
        <v/>
      </c>
      <c r="R117" s="23" t="str">
        <f t="shared" si="32"/>
        <v/>
      </c>
      <c r="S117" s="23" t="str">
        <f t="shared" si="33"/>
        <v/>
      </c>
      <c r="T117" s="23" t="str">
        <f t="shared" si="34"/>
        <v/>
      </c>
      <c r="U117" s="23" t="str">
        <f t="shared" si="35"/>
        <v/>
      </c>
      <c r="V117" s="23" t="str">
        <f t="shared" si="36"/>
        <v/>
      </c>
      <c r="W117" s="70" t="str">
        <f t="shared" si="37"/>
        <v/>
      </c>
      <c r="X117" s="70" t="str">
        <f t="shared" si="38"/>
        <v/>
      </c>
      <c r="Y117" s="70" t="str">
        <f>IF(AND($A117&lt;&gt;"",$E117&gt;0),isLaptopBag($C117,$J117)*$D117,"")</f>
        <v/>
      </c>
      <c r="Z117" s="70" t="str">
        <f t="shared" si="39"/>
        <v/>
      </c>
      <c r="AA117" s="70" t="str">
        <f t="shared" si="40"/>
        <v/>
      </c>
      <c r="AB117" s="70" t="str">
        <f t="shared" si="41"/>
        <v/>
      </c>
      <c r="AC117" s="70" t="str">
        <f t="shared" si="42"/>
        <v/>
      </c>
      <c r="AD117" s="70" t="str">
        <f t="shared" si="43"/>
        <v/>
      </c>
      <c r="AE117" s="70" t="str">
        <f t="shared" si="44"/>
        <v/>
      </c>
      <c r="AF117" s="16"/>
      <c r="AG117" s="23"/>
      <c r="AH117" s="22"/>
      <c r="AJ117" s="83">
        <f t="shared" si="45"/>
        <v>0</v>
      </c>
      <c r="AO117" s="22" t="str">
        <f t="shared" si="46"/>
        <v/>
      </c>
      <c r="AP117" s="22" t="str">
        <f t="shared" si="47"/>
        <v/>
      </c>
    </row>
    <row r="118" spans="1:42" x14ac:dyDescent="0.25">
      <c r="A118" s="10"/>
      <c r="B118" s="10"/>
      <c r="C118" s="10"/>
      <c r="D118" s="10"/>
      <c r="E118" s="10"/>
      <c r="F118" s="10"/>
      <c r="G118" s="10"/>
      <c r="H118" s="17"/>
      <c r="I118" s="10"/>
      <c r="J118" s="10"/>
      <c r="K118" s="16" t="str">
        <f t="shared" si="26"/>
        <v/>
      </c>
      <c r="L118" s="23" t="str">
        <f t="shared" si="27"/>
        <v/>
      </c>
      <c r="M118" s="22" t="str">
        <f t="shared" si="28"/>
        <v/>
      </c>
      <c r="N118" s="72"/>
      <c r="O118" s="16" t="str">
        <f t="shared" si="29"/>
        <v/>
      </c>
      <c r="P118" s="16" t="str">
        <f t="shared" si="30"/>
        <v/>
      </c>
      <c r="Q118" s="16" t="str">
        <f t="shared" si="31"/>
        <v/>
      </c>
      <c r="R118" s="23" t="str">
        <f t="shared" si="32"/>
        <v/>
      </c>
      <c r="S118" s="23" t="str">
        <f t="shared" si="33"/>
        <v/>
      </c>
      <c r="T118" s="23" t="str">
        <f t="shared" si="34"/>
        <v/>
      </c>
      <c r="U118" s="23" t="str">
        <f t="shared" si="35"/>
        <v/>
      </c>
      <c r="V118" s="23" t="str">
        <f t="shared" si="36"/>
        <v/>
      </c>
      <c r="W118" s="70" t="str">
        <f t="shared" si="37"/>
        <v/>
      </c>
      <c r="X118" s="70" t="str">
        <f t="shared" si="38"/>
        <v/>
      </c>
      <c r="Y118" s="70" t="str">
        <f>IF(AND($A118&lt;&gt;"",$E118&gt;0),isLaptopBag($C118,$J118)*$D118,"")</f>
        <v/>
      </c>
      <c r="Z118" s="70" t="str">
        <f t="shared" si="39"/>
        <v/>
      </c>
      <c r="AA118" s="70" t="str">
        <f t="shared" si="40"/>
        <v/>
      </c>
      <c r="AB118" s="70" t="str">
        <f t="shared" si="41"/>
        <v/>
      </c>
      <c r="AC118" s="70" t="str">
        <f t="shared" si="42"/>
        <v/>
      </c>
      <c r="AD118" s="70" t="str">
        <f t="shared" si="43"/>
        <v/>
      </c>
      <c r="AE118" s="70" t="str">
        <f t="shared" si="44"/>
        <v/>
      </c>
      <c r="AF118" s="16"/>
      <c r="AG118" s="23"/>
      <c r="AH118" s="22"/>
      <c r="AJ118" s="83">
        <f t="shared" si="45"/>
        <v>0</v>
      </c>
      <c r="AO118" s="22" t="str">
        <f t="shared" si="46"/>
        <v/>
      </c>
      <c r="AP118" s="22" t="str">
        <f t="shared" si="47"/>
        <v/>
      </c>
    </row>
    <row r="119" spans="1:42" x14ac:dyDescent="0.25">
      <c r="A119" s="10"/>
      <c r="B119" s="10"/>
      <c r="C119" s="10"/>
      <c r="D119" s="10"/>
      <c r="E119" s="10"/>
      <c r="F119" s="10"/>
      <c r="G119" s="10"/>
      <c r="H119" s="17"/>
      <c r="I119" s="10"/>
      <c r="J119" s="10"/>
      <c r="K119" s="16" t="str">
        <f t="shared" si="26"/>
        <v/>
      </c>
      <c r="L119" s="23" t="str">
        <f t="shared" si="27"/>
        <v/>
      </c>
      <c r="M119" s="22" t="str">
        <f t="shared" si="28"/>
        <v/>
      </c>
      <c r="N119" s="72"/>
      <c r="O119" s="16" t="str">
        <f t="shared" si="29"/>
        <v/>
      </c>
      <c r="P119" s="16" t="str">
        <f t="shared" si="30"/>
        <v/>
      </c>
      <c r="Q119" s="16" t="str">
        <f t="shared" si="31"/>
        <v/>
      </c>
      <c r="R119" s="23" t="str">
        <f t="shared" si="32"/>
        <v/>
      </c>
      <c r="S119" s="23" t="str">
        <f t="shared" si="33"/>
        <v/>
      </c>
      <c r="T119" s="23" t="str">
        <f t="shared" si="34"/>
        <v/>
      </c>
      <c r="U119" s="23" t="str">
        <f t="shared" si="35"/>
        <v/>
      </c>
      <c r="V119" s="23" t="str">
        <f t="shared" si="36"/>
        <v/>
      </c>
      <c r="W119" s="70" t="str">
        <f t="shared" si="37"/>
        <v/>
      </c>
      <c r="X119" s="70" t="str">
        <f t="shared" si="38"/>
        <v/>
      </c>
      <c r="Y119" s="70" t="str">
        <f>IF(AND($A119&lt;&gt;"",$E119&gt;0),isLaptopBag($C119,$J119)*$D119,"")</f>
        <v/>
      </c>
      <c r="Z119" s="70" t="str">
        <f t="shared" si="39"/>
        <v/>
      </c>
      <c r="AA119" s="70" t="str">
        <f t="shared" si="40"/>
        <v/>
      </c>
      <c r="AB119" s="70" t="str">
        <f t="shared" si="41"/>
        <v/>
      </c>
      <c r="AC119" s="70" t="str">
        <f t="shared" si="42"/>
        <v/>
      </c>
      <c r="AD119" s="70" t="str">
        <f t="shared" si="43"/>
        <v/>
      </c>
      <c r="AE119" s="70" t="str">
        <f t="shared" si="44"/>
        <v/>
      </c>
      <c r="AF119" s="16"/>
      <c r="AG119" s="23"/>
      <c r="AH119" s="22"/>
      <c r="AJ119" s="83">
        <f t="shared" si="45"/>
        <v>0</v>
      </c>
      <c r="AO119" s="22" t="str">
        <f t="shared" si="46"/>
        <v/>
      </c>
      <c r="AP119" s="22" t="str">
        <f t="shared" si="47"/>
        <v/>
      </c>
    </row>
    <row r="120" spans="1:42" x14ac:dyDescent="0.25">
      <c r="A120" s="10"/>
      <c r="B120" s="10"/>
      <c r="C120" s="10"/>
      <c r="D120" s="10"/>
      <c r="E120" s="10"/>
      <c r="F120" s="10"/>
      <c r="G120" s="10"/>
      <c r="H120" s="17"/>
      <c r="I120" s="10"/>
      <c r="J120" s="10"/>
      <c r="K120" s="16" t="str">
        <f t="shared" si="26"/>
        <v/>
      </c>
      <c r="L120" s="23" t="str">
        <f t="shared" si="27"/>
        <v/>
      </c>
      <c r="M120" s="22" t="str">
        <f t="shared" si="28"/>
        <v/>
      </c>
      <c r="N120" s="72"/>
      <c r="O120" s="16" t="str">
        <f t="shared" si="29"/>
        <v/>
      </c>
      <c r="P120" s="16" t="str">
        <f t="shared" si="30"/>
        <v/>
      </c>
      <c r="Q120" s="16" t="str">
        <f t="shared" si="31"/>
        <v/>
      </c>
      <c r="R120" s="23" t="str">
        <f t="shared" si="32"/>
        <v/>
      </c>
      <c r="S120" s="23" t="str">
        <f t="shared" si="33"/>
        <v/>
      </c>
      <c r="T120" s="23" t="str">
        <f t="shared" si="34"/>
        <v/>
      </c>
      <c r="U120" s="23" t="str">
        <f t="shared" si="35"/>
        <v/>
      </c>
      <c r="V120" s="23" t="str">
        <f t="shared" si="36"/>
        <v/>
      </c>
      <c r="W120" s="70" t="str">
        <f t="shared" si="37"/>
        <v/>
      </c>
      <c r="X120" s="70" t="str">
        <f t="shared" si="38"/>
        <v/>
      </c>
      <c r="Y120" s="70" t="str">
        <f>IF(AND($A120&lt;&gt;"",$E120&gt;0),isLaptopBag($C120,$J120)*$D120,"")</f>
        <v/>
      </c>
      <c r="Z120" s="70" t="str">
        <f t="shared" si="39"/>
        <v/>
      </c>
      <c r="AA120" s="70" t="str">
        <f t="shared" si="40"/>
        <v/>
      </c>
      <c r="AB120" s="70" t="str">
        <f t="shared" si="41"/>
        <v/>
      </c>
      <c r="AC120" s="70" t="str">
        <f t="shared" si="42"/>
        <v/>
      </c>
      <c r="AD120" s="70" t="str">
        <f t="shared" si="43"/>
        <v/>
      </c>
      <c r="AE120" s="70" t="str">
        <f t="shared" si="44"/>
        <v/>
      </c>
      <c r="AF120" s="16"/>
      <c r="AG120" s="23"/>
      <c r="AH120" s="22"/>
      <c r="AJ120" s="83">
        <f t="shared" si="45"/>
        <v>0</v>
      </c>
      <c r="AO120" s="22" t="str">
        <f t="shared" si="46"/>
        <v/>
      </c>
      <c r="AP120" s="22" t="str">
        <f t="shared" si="47"/>
        <v/>
      </c>
    </row>
    <row r="121" spans="1:42" x14ac:dyDescent="0.25">
      <c r="A121" s="10"/>
      <c r="B121" s="10"/>
      <c r="C121" s="10"/>
      <c r="D121" s="10"/>
      <c r="E121" s="10"/>
      <c r="F121" s="10"/>
      <c r="G121" s="10"/>
      <c r="H121" s="17"/>
      <c r="I121" s="10"/>
      <c r="J121" s="10"/>
      <c r="K121" s="16" t="str">
        <f t="shared" si="26"/>
        <v/>
      </c>
      <c r="L121" s="23" t="str">
        <f t="shared" si="27"/>
        <v/>
      </c>
      <c r="M121" s="22" t="str">
        <f t="shared" si="28"/>
        <v/>
      </c>
      <c r="N121" s="72"/>
      <c r="O121" s="16" t="str">
        <f t="shared" si="29"/>
        <v/>
      </c>
      <c r="P121" s="16" t="str">
        <f t="shared" si="30"/>
        <v/>
      </c>
      <c r="Q121" s="16" t="str">
        <f t="shared" si="31"/>
        <v/>
      </c>
      <c r="R121" s="23" t="str">
        <f t="shared" si="32"/>
        <v/>
      </c>
      <c r="S121" s="23" t="str">
        <f t="shared" si="33"/>
        <v/>
      </c>
      <c r="T121" s="23" t="str">
        <f t="shared" si="34"/>
        <v/>
      </c>
      <c r="U121" s="23" t="str">
        <f t="shared" si="35"/>
        <v/>
      </c>
      <c r="V121" s="23" t="str">
        <f t="shared" si="36"/>
        <v/>
      </c>
      <c r="W121" s="70" t="str">
        <f t="shared" si="37"/>
        <v/>
      </c>
      <c r="X121" s="70" t="str">
        <f t="shared" si="38"/>
        <v/>
      </c>
      <c r="Y121" s="70" t="str">
        <f>IF(AND($A121&lt;&gt;"",$E121&gt;0),isLaptopBag($C121,$J121)*$D121,"")</f>
        <v/>
      </c>
      <c r="Z121" s="70" t="str">
        <f t="shared" si="39"/>
        <v/>
      </c>
      <c r="AA121" s="70" t="str">
        <f t="shared" si="40"/>
        <v/>
      </c>
      <c r="AB121" s="70" t="str">
        <f t="shared" si="41"/>
        <v/>
      </c>
      <c r="AC121" s="70" t="str">
        <f t="shared" si="42"/>
        <v/>
      </c>
      <c r="AD121" s="70" t="str">
        <f t="shared" si="43"/>
        <v/>
      </c>
      <c r="AE121" s="70" t="str">
        <f t="shared" si="44"/>
        <v/>
      </c>
      <c r="AF121" s="16"/>
      <c r="AG121" s="23"/>
      <c r="AH121" s="22"/>
      <c r="AJ121" s="83">
        <f t="shared" si="45"/>
        <v>0</v>
      </c>
      <c r="AO121" s="22" t="str">
        <f t="shared" si="46"/>
        <v/>
      </c>
      <c r="AP121" s="22" t="str">
        <f t="shared" si="47"/>
        <v/>
      </c>
    </row>
    <row r="122" spans="1:42" x14ac:dyDescent="0.25">
      <c r="A122" s="10"/>
      <c r="B122" s="10"/>
      <c r="C122" s="10"/>
      <c r="D122" s="10"/>
      <c r="E122" s="10"/>
      <c r="F122" s="10"/>
      <c r="G122" s="10"/>
      <c r="H122" s="17"/>
      <c r="I122" s="10"/>
      <c r="J122" s="10"/>
      <c r="K122" s="16" t="str">
        <f t="shared" si="26"/>
        <v/>
      </c>
      <c r="L122" s="23" t="str">
        <f t="shared" si="27"/>
        <v/>
      </c>
      <c r="M122" s="22" t="str">
        <f t="shared" si="28"/>
        <v/>
      </c>
      <c r="N122" s="72"/>
      <c r="O122" s="16" t="str">
        <f t="shared" si="29"/>
        <v/>
      </c>
      <c r="P122" s="16" t="str">
        <f t="shared" si="30"/>
        <v/>
      </c>
      <c r="Q122" s="16" t="str">
        <f t="shared" si="31"/>
        <v/>
      </c>
      <c r="R122" s="23" t="str">
        <f t="shared" si="32"/>
        <v/>
      </c>
      <c r="S122" s="23" t="str">
        <f t="shared" si="33"/>
        <v/>
      </c>
      <c r="T122" s="23" t="str">
        <f t="shared" si="34"/>
        <v/>
      </c>
      <c r="U122" s="23" t="str">
        <f t="shared" si="35"/>
        <v/>
      </c>
      <c r="V122" s="23" t="str">
        <f t="shared" si="36"/>
        <v/>
      </c>
      <c r="W122" s="70" t="str">
        <f t="shared" si="37"/>
        <v/>
      </c>
      <c r="X122" s="70" t="str">
        <f t="shared" si="38"/>
        <v/>
      </c>
      <c r="Y122" s="70" t="str">
        <f>IF(AND($A122&lt;&gt;"",$E122&gt;0),isLaptopBag($C122,$J122)*$D122,"")</f>
        <v/>
      </c>
      <c r="Z122" s="70" t="str">
        <f t="shared" si="39"/>
        <v/>
      </c>
      <c r="AA122" s="70" t="str">
        <f t="shared" si="40"/>
        <v/>
      </c>
      <c r="AB122" s="70" t="str">
        <f t="shared" si="41"/>
        <v/>
      </c>
      <c r="AC122" s="70" t="str">
        <f t="shared" si="42"/>
        <v/>
      </c>
      <c r="AD122" s="70" t="str">
        <f t="shared" si="43"/>
        <v/>
      </c>
      <c r="AE122" s="70" t="str">
        <f t="shared" si="44"/>
        <v/>
      </c>
      <c r="AF122" s="16"/>
      <c r="AG122" s="23"/>
      <c r="AH122" s="22"/>
      <c r="AJ122" s="83">
        <f t="shared" si="45"/>
        <v>0</v>
      </c>
      <c r="AO122" s="22" t="str">
        <f t="shared" si="46"/>
        <v/>
      </c>
      <c r="AP122" s="22" t="str">
        <f t="shared" si="47"/>
        <v/>
      </c>
    </row>
    <row r="123" spans="1:42" x14ac:dyDescent="0.25">
      <c r="A123" s="10"/>
      <c r="B123" s="10"/>
      <c r="C123" s="10"/>
      <c r="D123" s="10"/>
      <c r="E123" s="10"/>
      <c r="F123" s="10"/>
      <c r="G123" s="10"/>
      <c r="H123" s="17"/>
      <c r="I123" s="10"/>
      <c r="J123" s="10"/>
      <c r="K123" s="16" t="str">
        <f t="shared" si="26"/>
        <v/>
      </c>
      <c r="L123" s="23" t="str">
        <f t="shared" si="27"/>
        <v/>
      </c>
      <c r="M123" s="22" t="str">
        <f t="shared" si="28"/>
        <v/>
      </c>
      <c r="N123" s="72"/>
      <c r="O123" s="16" t="str">
        <f t="shared" si="29"/>
        <v/>
      </c>
      <c r="P123" s="16" t="str">
        <f t="shared" si="30"/>
        <v/>
      </c>
      <c r="Q123" s="16" t="str">
        <f t="shared" si="31"/>
        <v/>
      </c>
      <c r="R123" s="23" t="str">
        <f t="shared" si="32"/>
        <v/>
      </c>
      <c r="S123" s="23" t="str">
        <f t="shared" si="33"/>
        <v/>
      </c>
      <c r="T123" s="23" t="str">
        <f t="shared" si="34"/>
        <v/>
      </c>
      <c r="U123" s="23" t="str">
        <f t="shared" si="35"/>
        <v/>
      </c>
      <c r="V123" s="23" t="str">
        <f t="shared" si="36"/>
        <v/>
      </c>
      <c r="W123" s="70" t="str">
        <f t="shared" si="37"/>
        <v/>
      </c>
      <c r="X123" s="70" t="str">
        <f t="shared" si="38"/>
        <v/>
      </c>
      <c r="Y123" s="70" t="str">
        <f>IF(AND($A123&lt;&gt;"",$E123&gt;0),isLaptopBag($C123,$J123)*$D123,"")</f>
        <v/>
      </c>
      <c r="Z123" s="70" t="str">
        <f t="shared" si="39"/>
        <v/>
      </c>
      <c r="AA123" s="70" t="str">
        <f t="shared" si="40"/>
        <v/>
      </c>
      <c r="AB123" s="70" t="str">
        <f t="shared" si="41"/>
        <v/>
      </c>
      <c r="AC123" s="70" t="str">
        <f t="shared" si="42"/>
        <v/>
      </c>
      <c r="AD123" s="70" t="str">
        <f t="shared" si="43"/>
        <v/>
      </c>
      <c r="AE123" s="70" t="str">
        <f t="shared" si="44"/>
        <v/>
      </c>
      <c r="AF123" s="16"/>
      <c r="AG123" s="23"/>
      <c r="AH123" s="22"/>
      <c r="AJ123" s="83">
        <f t="shared" si="45"/>
        <v>0</v>
      </c>
      <c r="AO123" s="22" t="str">
        <f t="shared" si="46"/>
        <v/>
      </c>
      <c r="AP123" s="22" t="str">
        <f t="shared" si="47"/>
        <v/>
      </c>
    </row>
    <row r="124" spans="1:42" x14ac:dyDescent="0.25">
      <c r="A124" s="10"/>
      <c r="B124" s="10"/>
      <c r="C124" s="10"/>
      <c r="D124" s="10"/>
      <c r="E124" s="10"/>
      <c r="F124" s="10"/>
      <c r="G124" s="10"/>
      <c r="H124" s="17"/>
      <c r="I124" s="10"/>
      <c r="J124" s="10"/>
      <c r="K124" s="16" t="str">
        <f t="shared" si="26"/>
        <v/>
      </c>
      <c r="L124" s="23" t="str">
        <f t="shared" si="27"/>
        <v/>
      </c>
      <c r="M124" s="22" t="str">
        <f t="shared" si="28"/>
        <v/>
      </c>
      <c r="N124" s="72"/>
      <c r="O124" s="16" t="str">
        <f t="shared" si="29"/>
        <v/>
      </c>
      <c r="P124" s="16" t="str">
        <f t="shared" si="30"/>
        <v/>
      </c>
      <c r="Q124" s="16" t="str">
        <f t="shared" si="31"/>
        <v/>
      </c>
      <c r="R124" s="23" t="str">
        <f t="shared" si="32"/>
        <v/>
      </c>
      <c r="S124" s="23" t="str">
        <f t="shared" si="33"/>
        <v/>
      </c>
      <c r="T124" s="23" t="str">
        <f t="shared" si="34"/>
        <v/>
      </c>
      <c r="U124" s="23" t="str">
        <f t="shared" si="35"/>
        <v/>
      </c>
      <c r="V124" s="23" t="str">
        <f t="shared" si="36"/>
        <v/>
      </c>
      <c r="W124" s="70" t="str">
        <f t="shared" si="37"/>
        <v/>
      </c>
      <c r="X124" s="70" t="str">
        <f t="shared" si="38"/>
        <v/>
      </c>
      <c r="Y124" s="70" t="str">
        <f>IF(AND($A124&lt;&gt;"",$E124&gt;0),isLaptopBag($C124,$J124)*$D124,"")</f>
        <v/>
      </c>
      <c r="Z124" s="70" t="str">
        <f t="shared" si="39"/>
        <v/>
      </c>
      <c r="AA124" s="70" t="str">
        <f t="shared" si="40"/>
        <v/>
      </c>
      <c r="AB124" s="70" t="str">
        <f t="shared" si="41"/>
        <v/>
      </c>
      <c r="AC124" s="70" t="str">
        <f t="shared" si="42"/>
        <v/>
      </c>
      <c r="AD124" s="70" t="str">
        <f t="shared" si="43"/>
        <v/>
      </c>
      <c r="AE124" s="70" t="str">
        <f t="shared" si="44"/>
        <v/>
      </c>
      <c r="AF124" s="16"/>
      <c r="AG124" s="23"/>
      <c r="AH124" s="22"/>
      <c r="AJ124" s="83">
        <f t="shared" si="45"/>
        <v>0</v>
      </c>
      <c r="AO124" s="22" t="str">
        <f t="shared" si="46"/>
        <v/>
      </c>
      <c r="AP124" s="22" t="str">
        <f t="shared" si="47"/>
        <v/>
      </c>
    </row>
    <row r="125" spans="1:42" x14ac:dyDescent="0.25">
      <c r="A125" s="10"/>
      <c r="B125" s="10"/>
      <c r="C125" s="10"/>
      <c r="D125" s="10"/>
      <c r="E125" s="10"/>
      <c r="F125" s="10"/>
      <c r="G125" s="10"/>
      <c r="H125" s="17"/>
      <c r="I125" s="10"/>
      <c r="J125" s="10"/>
      <c r="K125" s="16" t="str">
        <f t="shared" si="26"/>
        <v/>
      </c>
      <c r="L125" s="23" t="str">
        <f t="shared" si="27"/>
        <v/>
      </c>
      <c r="M125" s="22" t="str">
        <f t="shared" si="28"/>
        <v/>
      </c>
      <c r="N125" s="72"/>
      <c r="O125" s="16" t="str">
        <f t="shared" si="29"/>
        <v/>
      </c>
      <c r="P125" s="16" t="str">
        <f t="shared" si="30"/>
        <v/>
      </c>
      <c r="Q125" s="16" t="str">
        <f t="shared" si="31"/>
        <v/>
      </c>
      <c r="R125" s="23" t="str">
        <f t="shared" si="32"/>
        <v/>
      </c>
      <c r="S125" s="23" t="str">
        <f t="shared" si="33"/>
        <v/>
      </c>
      <c r="T125" s="23" t="str">
        <f t="shared" si="34"/>
        <v/>
      </c>
      <c r="U125" s="23" t="str">
        <f t="shared" si="35"/>
        <v/>
      </c>
      <c r="V125" s="23" t="str">
        <f t="shared" si="36"/>
        <v/>
      </c>
      <c r="W125" s="70" t="str">
        <f t="shared" si="37"/>
        <v/>
      </c>
      <c r="X125" s="70" t="str">
        <f t="shared" si="38"/>
        <v/>
      </c>
      <c r="Y125" s="70" t="str">
        <f>IF(AND($A125&lt;&gt;"",$E125&gt;0),isLaptopBag($C125,$J125)*$D125,"")</f>
        <v/>
      </c>
      <c r="Z125" s="70" t="str">
        <f t="shared" si="39"/>
        <v/>
      </c>
      <c r="AA125" s="70" t="str">
        <f t="shared" si="40"/>
        <v/>
      </c>
      <c r="AB125" s="70" t="str">
        <f t="shared" si="41"/>
        <v/>
      </c>
      <c r="AC125" s="70" t="str">
        <f t="shared" si="42"/>
        <v/>
      </c>
      <c r="AD125" s="70" t="str">
        <f t="shared" si="43"/>
        <v/>
      </c>
      <c r="AE125" s="70" t="str">
        <f t="shared" si="44"/>
        <v/>
      </c>
      <c r="AF125" s="16"/>
      <c r="AG125" s="23"/>
      <c r="AH125" s="22"/>
      <c r="AJ125" s="83">
        <f t="shared" si="45"/>
        <v>0</v>
      </c>
      <c r="AO125" s="22" t="str">
        <f t="shared" si="46"/>
        <v/>
      </c>
      <c r="AP125" s="22" t="str">
        <f t="shared" si="47"/>
        <v/>
      </c>
    </row>
    <row r="126" spans="1:42" x14ac:dyDescent="0.25">
      <c r="A126" s="10"/>
      <c r="B126" s="10"/>
      <c r="C126" s="10"/>
      <c r="D126" s="10"/>
      <c r="E126" s="10"/>
      <c r="F126" s="10"/>
      <c r="G126" s="10"/>
      <c r="H126" s="17"/>
      <c r="I126" s="10"/>
      <c r="J126" s="10"/>
      <c r="K126" s="16" t="str">
        <f t="shared" si="26"/>
        <v/>
      </c>
      <c r="L126" s="23" t="str">
        <f t="shared" si="27"/>
        <v/>
      </c>
      <c r="M126" s="22" t="str">
        <f t="shared" si="28"/>
        <v/>
      </c>
      <c r="N126" s="72"/>
      <c r="O126" s="16" t="str">
        <f t="shared" si="29"/>
        <v/>
      </c>
      <c r="P126" s="16" t="str">
        <f t="shared" si="30"/>
        <v/>
      </c>
      <c r="Q126" s="16" t="str">
        <f t="shared" si="31"/>
        <v/>
      </c>
      <c r="R126" s="23" t="str">
        <f t="shared" si="32"/>
        <v/>
      </c>
      <c r="S126" s="23" t="str">
        <f t="shared" si="33"/>
        <v/>
      </c>
      <c r="T126" s="23" t="str">
        <f t="shared" si="34"/>
        <v/>
      </c>
      <c r="U126" s="23" t="str">
        <f t="shared" si="35"/>
        <v/>
      </c>
      <c r="V126" s="23" t="str">
        <f t="shared" si="36"/>
        <v/>
      </c>
      <c r="W126" s="70" t="str">
        <f t="shared" si="37"/>
        <v/>
      </c>
      <c r="X126" s="70" t="str">
        <f t="shared" si="38"/>
        <v/>
      </c>
      <c r="Y126" s="70" t="str">
        <f>IF(AND($A126&lt;&gt;"",$E126&gt;0),isLaptopBag($C126,$J126)*$D126,"")</f>
        <v/>
      </c>
      <c r="Z126" s="70" t="str">
        <f t="shared" si="39"/>
        <v/>
      </c>
      <c r="AA126" s="70" t="str">
        <f t="shared" si="40"/>
        <v/>
      </c>
      <c r="AB126" s="70" t="str">
        <f t="shared" si="41"/>
        <v/>
      </c>
      <c r="AC126" s="70" t="str">
        <f t="shared" si="42"/>
        <v/>
      </c>
      <c r="AD126" s="70" t="str">
        <f t="shared" si="43"/>
        <v/>
      </c>
      <c r="AE126" s="70" t="str">
        <f t="shared" si="44"/>
        <v/>
      </c>
      <c r="AF126" s="16"/>
      <c r="AG126" s="23"/>
      <c r="AH126" s="22"/>
      <c r="AJ126" s="83">
        <f t="shared" si="45"/>
        <v>0</v>
      </c>
      <c r="AO126" s="22" t="str">
        <f t="shared" si="46"/>
        <v/>
      </c>
      <c r="AP126" s="22" t="str">
        <f t="shared" si="47"/>
        <v/>
      </c>
    </row>
    <row r="127" spans="1:42" x14ac:dyDescent="0.25">
      <c r="A127" s="10"/>
      <c r="B127" s="10"/>
      <c r="C127" s="10"/>
      <c r="D127" s="10"/>
      <c r="E127" s="10"/>
      <c r="F127" s="10"/>
      <c r="G127" s="10"/>
      <c r="H127" s="17"/>
      <c r="I127" s="10"/>
      <c r="J127" s="10"/>
      <c r="K127" s="16" t="str">
        <f t="shared" si="26"/>
        <v/>
      </c>
      <c r="L127" s="23" t="str">
        <f t="shared" si="27"/>
        <v/>
      </c>
      <c r="M127" s="22" t="str">
        <f t="shared" si="28"/>
        <v/>
      </c>
      <c r="N127" s="72"/>
      <c r="O127" s="16" t="str">
        <f t="shared" si="29"/>
        <v/>
      </c>
      <c r="P127" s="16" t="str">
        <f t="shared" si="30"/>
        <v/>
      </c>
      <c r="Q127" s="16" t="str">
        <f t="shared" si="31"/>
        <v/>
      </c>
      <c r="R127" s="23" t="str">
        <f t="shared" si="32"/>
        <v/>
      </c>
      <c r="S127" s="23" t="str">
        <f t="shared" si="33"/>
        <v/>
      </c>
      <c r="T127" s="23" t="str">
        <f t="shared" si="34"/>
        <v/>
      </c>
      <c r="U127" s="23" t="str">
        <f t="shared" si="35"/>
        <v/>
      </c>
      <c r="V127" s="23" t="str">
        <f t="shared" si="36"/>
        <v/>
      </c>
      <c r="W127" s="70" t="str">
        <f t="shared" si="37"/>
        <v/>
      </c>
      <c r="X127" s="70" t="str">
        <f t="shared" si="38"/>
        <v/>
      </c>
      <c r="Y127" s="70" t="str">
        <f>IF(AND($A127&lt;&gt;"",$E127&gt;0),isLaptopBag($C127,$J127)*$D127,"")</f>
        <v/>
      </c>
      <c r="Z127" s="70" t="str">
        <f t="shared" si="39"/>
        <v/>
      </c>
      <c r="AA127" s="70" t="str">
        <f t="shared" si="40"/>
        <v/>
      </c>
      <c r="AB127" s="70" t="str">
        <f t="shared" si="41"/>
        <v/>
      </c>
      <c r="AC127" s="70" t="str">
        <f t="shared" si="42"/>
        <v/>
      </c>
      <c r="AD127" s="70" t="str">
        <f t="shared" si="43"/>
        <v/>
      </c>
      <c r="AE127" s="70" t="str">
        <f t="shared" si="44"/>
        <v/>
      </c>
      <c r="AF127" s="16"/>
      <c r="AG127" s="23"/>
      <c r="AH127" s="22"/>
      <c r="AJ127" s="83">
        <f t="shared" si="45"/>
        <v>0</v>
      </c>
      <c r="AO127" s="22" t="str">
        <f t="shared" si="46"/>
        <v/>
      </c>
      <c r="AP127" s="22" t="str">
        <f t="shared" si="47"/>
        <v/>
      </c>
    </row>
    <row r="128" spans="1:42" x14ac:dyDescent="0.25">
      <c r="A128" s="10"/>
      <c r="B128" s="10"/>
      <c r="C128" s="10"/>
      <c r="D128" s="10"/>
      <c r="E128" s="10"/>
      <c r="F128" s="10"/>
      <c r="G128" s="10"/>
      <c r="H128" s="17"/>
      <c r="I128" s="10"/>
      <c r="J128" s="10"/>
      <c r="K128" s="16" t="str">
        <f t="shared" si="26"/>
        <v/>
      </c>
      <c r="L128" s="23" t="str">
        <f t="shared" si="27"/>
        <v/>
      </c>
      <c r="M128" s="22" t="str">
        <f t="shared" si="28"/>
        <v/>
      </c>
      <c r="N128" s="72"/>
      <c r="O128" s="16" t="str">
        <f t="shared" si="29"/>
        <v/>
      </c>
      <c r="P128" s="16" t="str">
        <f t="shared" si="30"/>
        <v/>
      </c>
      <c r="Q128" s="16" t="str">
        <f t="shared" si="31"/>
        <v/>
      </c>
      <c r="R128" s="23" t="str">
        <f t="shared" si="32"/>
        <v/>
      </c>
      <c r="S128" s="23" t="str">
        <f t="shared" si="33"/>
        <v/>
      </c>
      <c r="T128" s="23" t="str">
        <f t="shared" si="34"/>
        <v/>
      </c>
      <c r="U128" s="23" t="str">
        <f t="shared" si="35"/>
        <v/>
      </c>
      <c r="V128" s="23" t="str">
        <f t="shared" si="36"/>
        <v/>
      </c>
      <c r="W128" s="70" t="str">
        <f t="shared" si="37"/>
        <v/>
      </c>
      <c r="X128" s="70" t="str">
        <f t="shared" si="38"/>
        <v/>
      </c>
      <c r="Y128" s="70" t="str">
        <f>IF(AND($A128&lt;&gt;"",$E128&gt;0),isLaptopBag($C128,$J128)*$D128,"")</f>
        <v/>
      </c>
      <c r="Z128" s="70" t="str">
        <f t="shared" si="39"/>
        <v/>
      </c>
      <c r="AA128" s="70" t="str">
        <f t="shared" si="40"/>
        <v/>
      </c>
      <c r="AB128" s="70" t="str">
        <f t="shared" si="41"/>
        <v/>
      </c>
      <c r="AC128" s="70" t="str">
        <f t="shared" si="42"/>
        <v/>
      </c>
      <c r="AD128" s="70" t="str">
        <f t="shared" si="43"/>
        <v/>
      </c>
      <c r="AE128" s="70" t="str">
        <f t="shared" si="44"/>
        <v/>
      </c>
      <c r="AF128" s="16"/>
      <c r="AG128" s="23"/>
      <c r="AH128" s="22"/>
      <c r="AJ128" s="83">
        <f t="shared" si="45"/>
        <v>0</v>
      </c>
      <c r="AO128" s="22" t="str">
        <f t="shared" si="46"/>
        <v/>
      </c>
      <c r="AP128" s="22" t="str">
        <f t="shared" si="47"/>
        <v/>
      </c>
    </row>
    <row r="129" spans="1:42" x14ac:dyDescent="0.25">
      <c r="A129" s="10"/>
      <c r="B129" s="10"/>
      <c r="C129" s="10"/>
      <c r="D129" s="10"/>
      <c r="E129" s="10"/>
      <c r="F129" s="10"/>
      <c r="G129" s="10"/>
      <c r="H129" s="17"/>
      <c r="I129" s="10"/>
      <c r="J129" s="10"/>
      <c r="K129" s="16" t="str">
        <f t="shared" si="26"/>
        <v/>
      </c>
      <c r="L129" s="23" t="str">
        <f t="shared" si="27"/>
        <v/>
      </c>
      <c r="M129" s="22" t="str">
        <f t="shared" si="28"/>
        <v/>
      </c>
      <c r="N129" s="72"/>
      <c r="O129" s="16" t="str">
        <f t="shared" si="29"/>
        <v/>
      </c>
      <c r="P129" s="16" t="str">
        <f t="shared" si="30"/>
        <v/>
      </c>
      <c r="Q129" s="16" t="str">
        <f t="shared" si="31"/>
        <v/>
      </c>
      <c r="R129" s="23" t="str">
        <f t="shared" si="32"/>
        <v/>
      </c>
      <c r="S129" s="23" t="str">
        <f t="shared" si="33"/>
        <v/>
      </c>
      <c r="T129" s="23" t="str">
        <f t="shared" si="34"/>
        <v/>
      </c>
      <c r="U129" s="23" t="str">
        <f t="shared" si="35"/>
        <v/>
      </c>
      <c r="V129" s="23" t="str">
        <f t="shared" si="36"/>
        <v/>
      </c>
      <c r="W129" s="70" t="str">
        <f t="shared" si="37"/>
        <v/>
      </c>
      <c r="X129" s="70" t="str">
        <f t="shared" si="38"/>
        <v/>
      </c>
      <c r="Y129" s="70" t="str">
        <f>IF(AND($A129&lt;&gt;"",$E129&gt;0),isLaptopBag($C129,$J129)*$D129,"")</f>
        <v/>
      </c>
      <c r="Z129" s="70" t="str">
        <f t="shared" si="39"/>
        <v/>
      </c>
      <c r="AA129" s="70" t="str">
        <f t="shared" si="40"/>
        <v/>
      </c>
      <c r="AB129" s="70" t="str">
        <f t="shared" si="41"/>
        <v/>
      </c>
      <c r="AC129" s="70" t="str">
        <f t="shared" si="42"/>
        <v/>
      </c>
      <c r="AD129" s="70" t="str">
        <f t="shared" si="43"/>
        <v/>
      </c>
      <c r="AE129" s="70" t="str">
        <f t="shared" si="44"/>
        <v/>
      </c>
      <c r="AF129" s="16"/>
      <c r="AG129" s="23"/>
      <c r="AH129" s="22"/>
      <c r="AJ129" s="83">
        <f t="shared" si="45"/>
        <v>0</v>
      </c>
      <c r="AO129" s="22" t="str">
        <f t="shared" si="46"/>
        <v/>
      </c>
      <c r="AP129" s="22" t="str">
        <f t="shared" si="47"/>
        <v/>
      </c>
    </row>
    <row r="130" spans="1:42" x14ac:dyDescent="0.25">
      <c r="A130" s="10"/>
      <c r="B130" s="10"/>
      <c r="C130" s="10"/>
      <c r="D130" s="10"/>
      <c r="E130" s="10"/>
      <c r="F130" s="10"/>
      <c r="G130" s="10"/>
      <c r="H130" s="17"/>
      <c r="I130" s="10"/>
      <c r="J130" s="10"/>
      <c r="K130" s="16" t="str">
        <f t="shared" si="26"/>
        <v/>
      </c>
      <c r="L130" s="23" t="str">
        <f t="shared" si="27"/>
        <v/>
      </c>
      <c r="M130" s="22" t="str">
        <f t="shared" si="28"/>
        <v/>
      </c>
      <c r="N130" s="72"/>
      <c r="O130" s="16" t="str">
        <f t="shared" si="29"/>
        <v/>
      </c>
      <c r="P130" s="16" t="str">
        <f t="shared" si="30"/>
        <v/>
      </c>
      <c r="Q130" s="16" t="str">
        <f t="shared" si="31"/>
        <v/>
      </c>
      <c r="R130" s="23" t="str">
        <f t="shared" si="32"/>
        <v/>
      </c>
      <c r="S130" s="23" t="str">
        <f t="shared" si="33"/>
        <v/>
      </c>
      <c r="T130" s="23" t="str">
        <f t="shared" si="34"/>
        <v/>
      </c>
      <c r="U130" s="23" t="str">
        <f t="shared" si="35"/>
        <v/>
      </c>
      <c r="V130" s="23" t="str">
        <f t="shared" si="36"/>
        <v/>
      </c>
      <c r="W130" s="70" t="str">
        <f t="shared" si="37"/>
        <v/>
      </c>
      <c r="X130" s="70" t="str">
        <f t="shared" si="38"/>
        <v/>
      </c>
      <c r="Y130" s="70" t="str">
        <f>IF(AND($A130&lt;&gt;"",$E130&gt;0),isLaptopBag($C130,$J130)*$D130,"")</f>
        <v/>
      </c>
      <c r="Z130" s="70" t="str">
        <f t="shared" si="39"/>
        <v/>
      </c>
      <c r="AA130" s="70" t="str">
        <f t="shared" si="40"/>
        <v/>
      </c>
      <c r="AB130" s="70" t="str">
        <f t="shared" si="41"/>
        <v/>
      </c>
      <c r="AC130" s="70" t="str">
        <f t="shared" si="42"/>
        <v/>
      </c>
      <c r="AD130" s="70" t="str">
        <f t="shared" si="43"/>
        <v/>
      </c>
      <c r="AE130" s="70" t="str">
        <f t="shared" si="44"/>
        <v/>
      </c>
      <c r="AF130" s="16"/>
      <c r="AG130" s="23"/>
      <c r="AH130" s="22"/>
      <c r="AJ130" s="83">
        <f t="shared" si="45"/>
        <v>0</v>
      </c>
      <c r="AO130" s="22" t="str">
        <f t="shared" si="46"/>
        <v/>
      </c>
      <c r="AP130" s="22" t="str">
        <f t="shared" si="47"/>
        <v/>
      </c>
    </row>
    <row r="131" spans="1:42" x14ac:dyDescent="0.25">
      <c r="A131" s="10"/>
      <c r="B131" s="10"/>
      <c r="C131" s="10"/>
      <c r="D131" s="10"/>
      <c r="E131" s="10"/>
      <c r="F131" s="10"/>
      <c r="G131" s="10"/>
      <c r="H131" s="17"/>
      <c r="I131" s="10"/>
      <c r="J131" s="10"/>
      <c r="K131" s="16" t="str">
        <f t="shared" si="26"/>
        <v/>
      </c>
      <c r="L131" s="23" t="str">
        <f t="shared" si="27"/>
        <v/>
      </c>
      <c r="M131" s="22" t="str">
        <f t="shared" si="28"/>
        <v/>
      </c>
      <c r="N131" s="72"/>
      <c r="O131" s="16" t="str">
        <f t="shared" si="29"/>
        <v/>
      </c>
      <c r="P131" s="16" t="str">
        <f t="shared" si="30"/>
        <v/>
      </c>
      <c r="Q131" s="16" t="str">
        <f t="shared" si="31"/>
        <v/>
      </c>
      <c r="R131" s="23" t="str">
        <f t="shared" si="32"/>
        <v/>
      </c>
      <c r="S131" s="23" t="str">
        <f t="shared" si="33"/>
        <v/>
      </c>
      <c r="T131" s="23" t="str">
        <f t="shared" si="34"/>
        <v/>
      </c>
      <c r="U131" s="23" t="str">
        <f t="shared" si="35"/>
        <v/>
      </c>
      <c r="V131" s="23" t="str">
        <f t="shared" si="36"/>
        <v/>
      </c>
      <c r="W131" s="70" t="str">
        <f t="shared" si="37"/>
        <v/>
      </c>
      <c r="X131" s="70" t="str">
        <f t="shared" si="38"/>
        <v/>
      </c>
      <c r="Y131" s="70" t="str">
        <f>IF(AND($A131&lt;&gt;"",$E131&gt;0),isLaptopBag($C131,$J131)*$D131,"")</f>
        <v/>
      </c>
      <c r="Z131" s="70" t="str">
        <f t="shared" si="39"/>
        <v/>
      </c>
      <c r="AA131" s="70" t="str">
        <f t="shared" si="40"/>
        <v/>
      </c>
      <c r="AB131" s="70" t="str">
        <f t="shared" si="41"/>
        <v/>
      </c>
      <c r="AC131" s="70" t="str">
        <f t="shared" si="42"/>
        <v/>
      </c>
      <c r="AD131" s="70" t="str">
        <f t="shared" si="43"/>
        <v/>
      </c>
      <c r="AE131" s="70" t="str">
        <f t="shared" si="44"/>
        <v/>
      </c>
      <c r="AF131" s="16"/>
      <c r="AG131" s="23"/>
      <c r="AH131" s="22"/>
      <c r="AJ131" s="83">
        <f t="shared" si="45"/>
        <v>0</v>
      </c>
      <c r="AO131" s="22" t="str">
        <f t="shared" si="46"/>
        <v/>
      </c>
      <c r="AP131" s="22" t="str">
        <f t="shared" si="47"/>
        <v/>
      </c>
    </row>
    <row r="132" spans="1:42" x14ac:dyDescent="0.25">
      <c r="A132" s="10"/>
      <c r="B132" s="10"/>
      <c r="C132" s="10"/>
      <c r="D132" s="10"/>
      <c r="E132" s="10"/>
      <c r="F132" s="10"/>
      <c r="G132" s="10"/>
      <c r="H132" s="17"/>
      <c r="I132" s="10"/>
      <c r="J132" s="10"/>
      <c r="K132" s="16" t="str">
        <f t="shared" si="26"/>
        <v/>
      </c>
      <c r="L132" s="23" t="str">
        <f t="shared" si="27"/>
        <v/>
      </c>
      <c r="M132" s="22" t="str">
        <f t="shared" si="28"/>
        <v/>
      </c>
      <c r="N132" s="72"/>
      <c r="O132" s="16" t="str">
        <f t="shared" si="29"/>
        <v/>
      </c>
      <c r="P132" s="16" t="str">
        <f t="shared" si="30"/>
        <v/>
      </c>
      <c r="Q132" s="16" t="str">
        <f t="shared" si="31"/>
        <v/>
      </c>
      <c r="R132" s="23" t="str">
        <f t="shared" si="32"/>
        <v/>
      </c>
      <c r="S132" s="23" t="str">
        <f t="shared" si="33"/>
        <v/>
      </c>
      <c r="T132" s="23" t="str">
        <f t="shared" si="34"/>
        <v/>
      </c>
      <c r="U132" s="23" t="str">
        <f t="shared" si="35"/>
        <v/>
      </c>
      <c r="V132" s="23" t="str">
        <f t="shared" si="36"/>
        <v/>
      </c>
      <c r="W132" s="70" t="str">
        <f t="shared" si="37"/>
        <v/>
      </c>
      <c r="X132" s="70" t="str">
        <f t="shared" si="38"/>
        <v/>
      </c>
      <c r="Y132" s="70" t="str">
        <f>IF(AND($A132&lt;&gt;"",$E132&gt;0),isLaptopBag($C132,$J132)*$D132,"")</f>
        <v/>
      </c>
      <c r="Z132" s="70" t="str">
        <f t="shared" si="39"/>
        <v/>
      </c>
      <c r="AA132" s="70" t="str">
        <f t="shared" si="40"/>
        <v/>
      </c>
      <c r="AB132" s="70" t="str">
        <f t="shared" si="41"/>
        <v/>
      </c>
      <c r="AC132" s="70" t="str">
        <f t="shared" si="42"/>
        <v/>
      </c>
      <c r="AD132" s="70" t="str">
        <f t="shared" si="43"/>
        <v/>
      </c>
      <c r="AE132" s="70" t="str">
        <f t="shared" si="44"/>
        <v/>
      </c>
      <c r="AF132" s="16"/>
      <c r="AG132" s="23"/>
      <c r="AH132" s="22"/>
      <c r="AJ132" s="83">
        <f t="shared" si="45"/>
        <v>0</v>
      </c>
      <c r="AO132" s="22" t="str">
        <f t="shared" si="46"/>
        <v/>
      </c>
      <c r="AP132" s="22" t="str">
        <f t="shared" si="47"/>
        <v/>
      </c>
    </row>
    <row r="133" spans="1:42" x14ac:dyDescent="0.25">
      <c r="A133" s="10"/>
      <c r="B133" s="10"/>
      <c r="C133" s="10"/>
      <c r="D133" s="10"/>
      <c r="E133" s="10"/>
      <c r="F133" s="10"/>
      <c r="G133" s="10"/>
      <c r="H133" s="17"/>
      <c r="I133" s="10"/>
      <c r="J133" s="10"/>
      <c r="K133" s="16" t="str">
        <f t="shared" si="26"/>
        <v/>
      </c>
      <c r="L133" s="23" t="str">
        <f t="shared" si="27"/>
        <v/>
      </c>
      <c r="M133" s="22" t="str">
        <f t="shared" si="28"/>
        <v/>
      </c>
      <c r="N133" s="72"/>
      <c r="O133" s="16" t="str">
        <f t="shared" si="29"/>
        <v/>
      </c>
      <c r="P133" s="16" t="str">
        <f t="shared" si="30"/>
        <v/>
      </c>
      <c r="Q133" s="16" t="str">
        <f t="shared" si="31"/>
        <v/>
      </c>
      <c r="R133" s="23" t="str">
        <f t="shared" si="32"/>
        <v/>
      </c>
      <c r="S133" s="23" t="str">
        <f t="shared" si="33"/>
        <v/>
      </c>
      <c r="T133" s="23" t="str">
        <f t="shared" si="34"/>
        <v/>
      </c>
      <c r="U133" s="23" t="str">
        <f t="shared" si="35"/>
        <v/>
      </c>
      <c r="V133" s="23" t="str">
        <f t="shared" si="36"/>
        <v/>
      </c>
      <c r="W133" s="70" t="str">
        <f t="shared" si="37"/>
        <v/>
      </c>
      <c r="X133" s="70" t="str">
        <f t="shared" si="38"/>
        <v/>
      </c>
      <c r="Y133" s="70" t="str">
        <f>IF(AND($A133&lt;&gt;"",$E133&gt;0),isLaptopBag($C133,$J133)*$D133,"")</f>
        <v/>
      </c>
      <c r="Z133" s="70" t="str">
        <f t="shared" si="39"/>
        <v/>
      </c>
      <c r="AA133" s="70" t="str">
        <f t="shared" si="40"/>
        <v/>
      </c>
      <c r="AB133" s="70" t="str">
        <f t="shared" si="41"/>
        <v/>
      </c>
      <c r="AC133" s="70" t="str">
        <f t="shared" si="42"/>
        <v/>
      </c>
      <c r="AD133" s="70" t="str">
        <f t="shared" si="43"/>
        <v/>
      </c>
      <c r="AE133" s="70" t="str">
        <f t="shared" si="44"/>
        <v/>
      </c>
      <c r="AF133" s="16"/>
      <c r="AG133" s="23"/>
      <c r="AH133" s="22"/>
      <c r="AJ133" s="83">
        <f t="shared" si="45"/>
        <v>0</v>
      </c>
      <c r="AO133" s="22" t="str">
        <f t="shared" si="46"/>
        <v/>
      </c>
      <c r="AP133" s="22" t="str">
        <f t="shared" si="47"/>
        <v/>
      </c>
    </row>
    <row r="134" spans="1:42" x14ac:dyDescent="0.25">
      <c r="A134" s="10"/>
      <c r="B134" s="10"/>
      <c r="C134" s="10"/>
      <c r="D134" s="10"/>
      <c r="E134" s="10"/>
      <c r="F134" s="10"/>
      <c r="G134" s="10"/>
      <c r="H134" s="17"/>
      <c r="I134" s="10"/>
      <c r="J134" s="10"/>
      <c r="K134" s="16" t="str">
        <f t="shared" si="26"/>
        <v/>
      </c>
      <c r="L134" s="23" t="str">
        <f t="shared" si="27"/>
        <v/>
      </c>
      <c r="M134" s="22" t="str">
        <f t="shared" si="28"/>
        <v/>
      </c>
      <c r="N134" s="72"/>
      <c r="O134" s="16" t="str">
        <f t="shared" si="29"/>
        <v/>
      </c>
      <c r="P134" s="16" t="str">
        <f t="shared" si="30"/>
        <v/>
      </c>
      <c r="Q134" s="16" t="str">
        <f t="shared" si="31"/>
        <v/>
      </c>
      <c r="R134" s="23" t="str">
        <f t="shared" si="32"/>
        <v/>
      </c>
      <c r="S134" s="23" t="str">
        <f t="shared" si="33"/>
        <v/>
      </c>
      <c r="T134" s="23" t="str">
        <f t="shared" si="34"/>
        <v/>
      </c>
      <c r="U134" s="23" t="str">
        <f t="shared" si="35"/>
        <v/>
      </c>
      <c r="V134" s="23" t="str">
        <f t="shared" si="36"/>
        <v/>
      </c>
      <c r="W134" s="70" t="str">
        <f t="shared" si="37"/>
        <v/>
      </c>
      <c r="X134" s="70" t="str">
        <f t="shared" si="38"/>
        <v/>
      </c>
      <c r="Y134" s="70" t="str">
        <f>IF(AND($A134&lt;&gt;"",$E134&gt;0),isLaptopBag($C134,$J134)*$D134,"")</f>
        <v/>
      </c>
      <c r="Z134" s="70" t="str">
        <f t="shared" si="39"/>
        <v/>
      </c>
      <c r="AA134" s="70" t="str">
        <f t="shared" si="40"/>
        <v/>
      </c>
      <c r="AB134" s="70" t="str">
        <f t="shared" si="41"/>
        <v/>
      </c>
      <c r="AC134" s="70" t="str">
        <f t="shared" si="42"/>
        <v/>
      </c>
      <c r="AD134" s="70" t="str">
        <f t="shared" si="43"/>
        <v/>
      </c>
      <c r="AE134" s="70" t="str">
        <f t="shared" si="44"/>
        <v/>
      </c>
      <c r="AF134" s="16"/>
      <c r="AG134" s="23"/>
      <c r="AH134" s="22"/>
      <c r="AJ134" s="83">
        <f t="shared" si="45"/>
        <v>0</v>
      </c>
      <c r="AO134" s="22" t="str">
        <f t="shared" si="46"/>
        <v/>
      </c>
      <c r="AP134" s="22" t="str">
        <f t="shared" si="47"/>
        <v/>
      </c>
    </row>
    <row r="135" spans="1:42" x14ac:dyDescent="0.25">
      <c r="A135" s="10"/>
      <c r="B135" s="10"/>
      <c r="C135" s="10"/>
      <c r="D135" s="10"/>
      <c r="E135" s="10"/>
      <c r="F135" s="10"/>
      <c r="G135" s="10"/>
      <c r="H135" s="17"/>
      <c r="I135" s="10"/>
      <c r="J135" s="10"/>
      <c r="K135" s="16" t="str">
        <f t="shared" si="26"/>
        <v/>
      </c>
      <c r="L135" s="23" t="str">
        <f t="shared" si="27"/>
        <v/>
      </c>
      <c r="M135" s="22" t="str">
        <f t="shared" si="28"/>
        <v/>
      </c>
      <c r="N135" s="72"/>
      <c r="O135" s="16" t="str">
        <f t="shared" si="29"/>
        <v/>
      </c>
      <c r="P135" s="16" t="str">
        <f t="shared" si="30"/>
        <v/>
      </c>
      <c r="Q135" s="16" t="str">
        <f t="shared" si="31"/>
        <v/>
      </c>
      <c r="R135" s="23" t="str">
        <f t="shared" si="32"/>
        <v/>
      </c>
      <c r="S135" s="23" t="str">
        <f t="shared" si="33"/>
        <v/>
      </c>
      <c r="T135" s="23" t="str">
        <f t="shared" si="34"/>
        <v/>
      </c>
      <c r="U135" s="23" t="str">
        <f t="shared" si="35"/>
        <v/>
      </c>
      <c r="V135" s="23" t="str">
        <f t="shared" si="36"/>
        <v/>
      </c>
      <c r="W135" s="70" t="str">
        <f t="shared" si="37"/>
        <v/>
      </c>
      <c r="X135" s="70" t="str">
        <f t="shared" si="38"/>
        <v/>
      </c>
      <c r="Y135" s="70" t="str">
        <f>IF(AND($A135&lt;&gt;"",$E135&gt;0),isLaptopBag($C135,$J135)*$D135,"")</f>
        <v/>
      </c>
      <c r="Z135" s="70" t="str">
        <f t="shared" si="39"/>
        <v/>
      </c>
      <c r="AA135" s="70" t="str">
        <f t="shared" si="40"/>
        <v/>
      </c>
      <c r="AB135" s="70" t="str">
        <f t="shared" si="41"/>
        <v/>
      </c>
      <c r="AC135" s="70" t="str">
        <f t="shared" si="42"/>
        <v/>
      </c>
      <c r="AD135" s="70" t="str">
        <f t="shared" si="43"/>
        <v/>
      </c>
      <c r="AE135" s="70" t="str">
        <f t="shared" si="44"/>
        <v/>
      </c>
      <c r="AF135" s="16"/>
      <c r="AG135" s="23"/>
      <c r="AH135" s="22"/>
      <c r="AJ135" s="83">
        <f t="shared" si="45"/>
        <v>0</v>
      </c>
      <c r="AO135" s="22" t="str">
        <f t="shared" si="46"/>
        <v/>
      </c>
      <c r="AP135" s="22" t="str">
        <f t="shared" si="47"/>
        <v/>
      </c>
    </row>
    <row r="136" spans="1:42" x14ac:dyDescent="0.25">
      <c r="A136" s="10"/>
      <c r="B136" s="10"/>
      <c r="C136" s="10"/>
      <c r="D136" s="10"/>
      <c r="E136" s="10"/>
      <c r="F136" s="10"/>
      <c r="G136" s="10"/>
      <c r="H136" s="17"/>
      <c r="I136" s="10"/>
      <c r="J136" s="10"/>
      <c r="K136" s="16" t="str">
        <f t="shared" si="26"/>
        <v/>
      </c>
      <c r="L136" s="23" t="str">
        <f t="shared" si="27"/>
        <v/>
      </c>
      <c r="M136" s="22" t="str">
        <f t="shared" si="28"/>
        <v/>
      </c>
      <c r="N136" s="72"/>
      <c r="O136" s="16" t="str">
        <f t="shared" si="29"/>
        <v/>
      </c>
      <c r="P136" s="16" t="str">
        <f t="shared" si="30"/>
        <v/>
      </c>
      <c r="Q136" s="16" t="str">
        <f t="shared" si="31"/>
        <v/>
      </c>
      <c r="R136" s="23" t="str">
        <f t="shared" si="32"/>
        <v/>
      </c>
      <c r="S136" s="23" t="str">
        <f t="shared" si="33"/>
        <v/>
      </c>
      <c r="T136" s="23" t="str">
        <f t="shared" si="34"/>
        <v/>
      </c>
      <c r="U136" s="23" t="str">
        <f t="shared" si="35"/>
        <v/>
      </c>
      <c r="V136" s="23" t="str">
        <f t="shared" si="36"/>
        <v/>
      </c>
      <c r="W136" s="70" t="str">
        <f t="shared" si="37"/>
        <v/>
      </c>
      <c r="X136" s="70" t="str">
        <f t="shared" si="38"/>
        <v/>
      </c>
      <c r="Y136" s="70" t="str">
        <f>IF(AND($A136&lt;&gt;"",$E136&gt;0),isLaptopBag($C136,$J136)*$D136,"")</f>
        <v/>
      </c>
      <c r="Z136" s="70" t="str">
        <f t="shared" si="39"/>
        <v/>
      </c>
      <c r="AA136" s="70" t="str">
        <f t="shared" si="40"/>
        <v/>
      </c>
      <c r="AB136" s="70" t="str">
        <f t="shared" si="41"/>
        <v/>
      </c>
      <c r="AC136" s="70" t="str">
        <f t="shared" si="42"/>
        <v/>
      </c>
      <c r="AD136" s="70" t="str">
        <f t="shared" si="43"/>
        <v/>
      </c>
      <c r="AE136" s="70" t="str">
        <f t="shared" si="44"/>
        <v/>
      </c>
      <c r="AF136" s="16"/>
      <c r="AG136" s="23"/>
      <c r="AH136" s="22"/>
      <c r="AJ136" s="83">
        <f t="shared" si="45"/>
        <v>0</v>
      </c>
      <c r="AO136" s="22" t="str">
        <f t="shared" si="46"/>
        <v/>
      </c>
      <c r="AP136" s="22" t="str">
        <f t="shared" si="47"/>
        <v/>
      </c>
    </row>
    <row r="137" spans="1:42" x14ac:dyDescent="0.25">
      <c r="A137" s="10"/>
      <c r="B137" s="10"/>
      <c r="C137" s="10"/>
      <c r="D137" s="10"/>
      <c r="E137" s="10"/>
      <c r="F137" s="10"/>
      <c r="G137" s="10"/>
      <c r="H137" s="17"/>
      <c r="I137" s="10"/>
      <c r="J137" s="10"/>
      <c r="K137" s="16" t="str">
        <f t="shared" si="26"/>
        <v/>
      </c>
      <c r="L137" s="23" t="str">
        <f t="shared" si="27"/>
        <v/>
      </c>
      <c r="M137" s="22" t="str">
        <f t="shared" si="28"/>
        <v/>
      </c>
      <c r="N137" s="72"/>
      <c r="O137" s="16" t="str">
        <f t="shared" si="29"/>
        <v/>
      </c>
      <c r="P137" s="16" t="str">
        <f t="shared" si="30"/>
        <v/>
      </c>
      <c r="Q137" s="16" t="str">
        <f t="shared" si="31"/>
        <v/>
      </c>
      <c r="R137" s="23" t="str">
        <f t="shared" si="32"/>
        <v/>
      </c>
      <c r="S137" s="23" t="str">
        <f t="shared" si="33"/>
        <v/>
      </c>
      <c r="T137" s="23" t="str">
        <f t="shared" si="34"/>
        <v/>
      </c>
      <c r="U137" s="23" t="str">
        <f t="shared" si="35"/>
        <v/>
      </c>
      <c r="V137" s="23" t="str">
        <f t="shared" si="36"/>
        <v/>
      </c>
      <c r="W137" s="70" t="str">
        <f t="shared" si="37"/>
        <v/>
      </c>
      <c r="X137" s="70" t="str">
        <f t="shared" si="38"/>
        <v/>
      </c>
      <c r="Y137" s="70" t="str">
        <f>IF(AND($A137&lt;&gt;"",$E137&gt;0),isLaptopBag($C137,$J137)*$D137,"")</f>
        <v/>
      </c>
      <c r="Z137" s="70" t="str">
        <f t="shared" si="39"/>
        <v/>
      </c>
      <c r="AA137" s="70" t="str">
        <f t="shared" si="40"/>
        <v/>
      </c>
      <c r="AB137" s="70" t="str">
        <f t="shared" si="41"/>
        <v/>
      </c>
      <c r="AC137" s="70" t="str">
        <f t="shared" si="42"/>
        <v/>
      </c>
      <c r="AD137" s="70" t="str">
        <f t="shared" si="43"/>
        <v/>
      </c>
      <c r="AE137" s="70" t="str">
        <f t="shared" si="44"/>
        <v/>
      </c>
      <c r="AF137" s="16"/>
      <c r="AG137" s="23"/>
      <c r="AH137" s="22"/>
      <c r="AJ137" s="83">
        <f t="shared" si="45"/>
        <v>0</v>
      </c>
      <c r="AO137" s="22" t="str">
        <f t="shared" si="46"/>
        <v/>
      </c>
      <c r="AP137" s="22" t="str">
        <f t="shared" si="47"/>
        <v/>
      </c>
    </row>
    <row r="138" spans="1:42" x14ac:dyDescent="0.25">
      <c r="A138" s="10"/>
      <c r="B138" s="10"/>
      <c r="C138" s="10"/>
      <c r="D138" s="10"/>
      <c r="E138" s="10"/>
      <c r="F138" s="10"/>
      <c r="G138" s="10"/>
      <c r="H138" s="17"/>
      <c r="I138" s="10"/>
      <c r="J138" s="10"/>
      <c r="K138" s="16" t="str">
        <f t="shared" si="26"/>
        <v/>
      </c>
      <c r="L138" s="23" t="str">
        <f t="shared" si="27"/>
        <v/>
      </c>
      <c r="M138" s="22" t="str">
        <f t="shared" si="28"/>
        <v/>
      </c>
      <c r="N138" s="72"/>
      <c r="O138" s="16" t="str">
        <f t="shared" si="29"/>
        <v/>
      </c>
      <c r="P138" s="16" t="str">
        <f t="shared" si="30"/>
        <v/>
      </c>
      <c r="Q138" s="16" t="str">
        <f t="shared" si="31"/>
        <v/>
      </c>
      <c r="R138" s="23" t="str">
        <f t="shared" si="32"/>
        <v/>
      </c>
      <c r="S138" s="23" t="str">
        <f t="shared" si="33"/>
        <v/>
      </c>
      <c r="T138" s="23" t="str">
        <f t="shared" si="34"/>
        <v/>
      </c>
      <c r="U138" s="23" t="str">
        <f t="shared" si="35"/>
        <v/>
      </c>
      <c r="V138" s="23" t="str">
        <f t="shared" si="36"/>
        <v/>
      </c>
      <c r="W138" s="70" t="str">
        <f t="shared" si="37"/>
        <v/>
      </c>
      <c r="X138" s="70" t="str">
        <f t="shared" si="38"/>
        <v/>
      </c>
      <c r="Y138" s="70" t="str">
        <f>IF(AND($A138&lt;&gt;"",$E138&gt;0),isLaptopBag($C138,$J138)*$D138,"")</f>
        <v/>
      </c>
      <c r="Z138" s="70" t="str">
        <f t="shared" si="39"/>
        <v/>
      </c>
      <c r="AA138" s="70" t="str">
        <f t="shared" si="40"/>
        <v/>
      </c>
      <c r="AB138" s="70" t="str">
        <f t="shared" si="41"/>
        <v/>
      </c>
      <c r="AC138" s="70" t="str">
        <f t="shared" si="42"/>
        <v/>
      </c>
      <c r="AD138" s="70" t="str">
        <f t="shared" si="43"/>
        <v/>
      </c>
      <c r="AE138" s="70" t="str">
        <f t="shared" si="44"/>
        <v/>
      </c>
      <c r="AF138" s="16"/>
      <c r="AG138" s="23"/>
      <c r="AH138" s="22"/>
      <c r="AJ138" s="83">
        <f t="shared" si="45"/>
        <v>0</v>
      </c>
      <c r="AO138" s="22" t="str">
        <f t="shared" si="46"/>
        <v/>
      </c>
      <c r="AP138" s="22" t="str">
        <f t="shared" si="47"/>
        <v/>
      </c>
    </row>
    <row r="139" spans="1:42" x14ac:dyDescent="0.25">
      <c r="A139" s="10"/>
      <c r="B139" s="10"/>
      <c r="C139" s="10"/>
      <c r="D139" s="10"/>
      <c r="E139" s="10"/>
      <c r="F139" s="10"/>
      <c r="G139" s="10"/>
      <c r="H139" s="17"/>
      <c r="I139" s="10"/>
      <c r="J139" s="10"/>
      <c r="K139" s="16" t="str">
        <f t="shared" si="26"/>
        <v/>
      </c>
      <c r="L139" s="23" t="str">
        <f t="shared" si="27"/>
        <v/>
      </c>
      <c r="M139" s="22" t="str">
        <f t="shared" si="28"/>
        <v/>
      </c>
      <c r="N139" s="72"/>
      <c r="O139" s="16" t="str">
        <f t="shared" si="29"/>
        <v/>
      </c>
      <c r="P139" s="16" t="str">
        <f t="shared" si="30"/>
        <v/>
      </c>
      <c r="Q139" s="16" t="str">
        <f t="shared" si="31"/>
        <v/>
      </c>
      <c r="R139" s="23" t="str">
        <f t="shared" si="32"/>
        <v/>
      </c>
      <c r="S139" s="23" t="str">
        <f t="shared" si="33"/>
        <v/>
      </c>
      <c r="T139" s="23" t="str">
        <f t="shared" si="34"/>
        <v/>
      </c>
      <c r="U139" s="23" t="str">
        <f t="shared" si="35"/>
        <v/>
      </c>
      <c r="V139" s="23" t="str">
        <f t="shared" si="36"/>
        <v/>
      </c>
      <c r="W139" s="70" t="str">
        <f t="shared" si="37"/>
        <v/>
      </c>
      <c r="X139" s="70" t="str">
        <f t="shared" si="38"/>
        <v/>
      </c>
      <c r="Y139" s="70" t="str">
        <f>IF(AND($A139&lt;&gt;"",$E139&gt;0),isLaptopBag($C139,$J139)*$D139,"")</f>
        <v/>
      </c>
      <c r="Z139" s="70" t="str">
        <f t="shared" si="39"/>
        <v/>
      </c>
      <c r="AA139" s="70" t="str">
        <f t="shared" si="40"/>
        <v/>
      </c>
      <c r="AB139" s="70" t="str">
        <f t="shared" si="41"/>
        <v/>
      </c>
      <c r="AC139" s="70" t="str">
        <f t="shared" si="42"/>
        <v/>
      </c>
      <c r="AD139" s="70" t="str">
        <f t="shared" si="43"/>
        <v/>
      </c>
      <c r="AE139" s="70" t="str">
        <f t="shared" si="44"/>
        <v/>
      </c>
      <c r="AF139" s="16"/>
      <c r="AG139" s="23"/>
      <c r="AH139" s="22"/>
      <c r="AJ139" s="83">
        <f t="shared" si="45"/>
        <v>0</v>
      </c>
      <c r="AO139" s="22" t="str">
        <f t="shared" si="46"/>
        <v/>
      </c>
      <c r="AP139" s="22" t="str">
        <f t="shared" si="47"/>
        <v/>
      </c>
    </row>
    <row r="140" spans="1:42" x14ac:dyDescent="0.25">
      <c r="A140" s="10"/>
      <c r="B140" s="10"/>
      <c r="C140" s="10"/>
      <c r="D140" s="10"/>
      <c r="E140" s="10"/>
      <c r="F140" s="10"/>
      <c r="G140" s="10"/>
      <c r="H140" s="17"/>
      <c r="I140" s="10"/>
      <c r="J140" s="10"/>
      <c r="K140" s="16" t="str">
        <f t="shared" si="26"/>
        <v/>
      </c>
      <c r="L140" s="23" t="str">
        <f t="shared" si="27"/>
        <v/>
      </c>
      <c r="M140" s="22" t="str">
        <f t="shared" si="28"/>
        <v/>
      </c>
      <c r="N140" s="72"/>
      <c r="O140" s="16" t="str">
        <f t="shared" si="29"/>
        <v/>
      </c>
      <c r="P140" s="16" t="str">
        <f t="shared" si="30"/>
        <v/>
      </c>
      <c r="Q140" s="16" t="str">
        <f t="shared" si="31"/>
        <v/>
      </c>
      <c r="R140" s="23" t="str">
        <f t="shared" si="32"/>
        <v/>
      </c>
      <c r="S140" s="23" t="str">
        <f t="shared" si="33"/>
        <v/>
      </c>
      <c r="T140" s="23" t="str">
        <f t="shared" si="34"/>
        <v/>
      </c>
      <c r="U140" s="23" t="str">
        <f t="shared" si="35"/>
        <v/>
      </c>
      <c r="V140" s="23" t="str">
        <f t="shared" si="36"/>
        <v/>
      </c>
      <c r="W140" s="70" t="str">
        <f t="shared" si="37"/>
        <v/>
      </c>
      <c r="X140" s="70" t="str">
        <f t="shared" si="38"/>
        <v/>
      </c>
      <c r="Y140" s="70" t="str">
        <f>IF(AND($A140&lt;&gt;"",$E140&gt;0),isLaptopBag($C140,$J140)*$D140,"")</f>
        <v/>
      </c>
      <c r="Z140" s="70" t="str">
        <f t="shared" si="39"/>
        <v/>
      </c>
      <c r="AA140" s="70" t="str">
        <f t="shared" si="40"/>
        <v/>
      </c>
      <c r="AB140" s="70" t="str">
        <f t="shared" si="41"/>
        <v/>
      </c>
      <c r="AC140" s="70" t="str">
        <f t="shared" si="42"/>
        <v/>
      </c>
      <c r="AD140" s="70" t="str">
        <f t="shared" si="43"/>
        <v/>
      </c>
      <c r="AE140" s="70" t="str">
        <f t="shared" si="44"/>
        <v/>
      </c>
      <c r="AF140" s="16"/>
      <c r="AG140" s="23"/>
      <c r="AH140" s="22"/>
      <c r="AJ140" s="83">
        <f t="shared" si="45"/>
        <v>0</v>
      </c>
      <c r="AO140" s="22" t="str">
        <f t="shared" si="46"/>
        <v/>
      </c>
      <c r="AP140" s="22" t="str">
        <f t="shared" si="47"/>
        <v/>
      </c>
    </row>
    <row r="141" spans="1:42" x14ac:dyDescent="0.25">
      <c r="A141" s="10"/>
      <c r="B141" s="10"/>
      <c r="C141" s="10"/>
      <c r="D141" s="10"/>
      <c r="E141" s="10"/>
      <c r="F141" s="10"/>
      <c r="G141" s="10"/>
      <c r="H141" s="17"/>
      <c r="I141" s="10"/>
      <c r="J141" s="10"/>
      <c r="K141" s="16" t="str">
        <f t="shared" ref="K141:K204" si="48">IF($AF141&lt;&gt;"",$AF141,IF(AND($A141&lt;&gt;"",$E141&gt;0),SUM($O141:$Q141),""))</f>
        <v/>
      </c>
      <c r="L141" s="23" t="str">
        <f t="shared" ref="L141:L204" si="49">IF($AG141&lt;&gt;"",$AG141,IF(AND($A141&lt;&gt;"",$E141&gt;0),SUM($R141:$V141),""))</f>
        <v/>
      </c>
      <c r="M141" s="22" t="str">
        <f t="shared" ref="M141:M204" si="50">IF($AH141&lt;&gt;"",$AH141,IF(AND($A141&lt;&gt;"",$E141&gt;0),SUM($W141:$AE141)+$AO141+$AP141,""))</f>
        <v/>
      </c>
      <c r="N141" s="72"/>
      <c r="O141" s="16" t="str">
        <f t="shared" ref="O141:O204" si="51">IF(AND($A141&lt;&gt;"",$E141&gt;0),IF(AND($J141="SONY",200000&lt;=$E141,$E141&lt;1000000),5000*$D141,0),"")</f>
        <v/>
      </c>
      <c r="P141" s="16" t="str">
        <f t="shared" ref="P141:P204" si="52">IF(AND($A141&lt;&gt;"",$E141&gt;0),IF(AND($J141="SONY",1000000&lt;=$E141,$E141&lt;2000000),10000*$D141,0),"")</f>
        <v/>
      </c>
      <c r="Q141" s="16" t="str">
        <f t="shared" ref="Q141:Q204" si="53">IF(AND($A141&lt;&gt;"",$E141&gt;0),IF(AND($J141="SONY",$E141&gt;=2000000),20000*$D141,0),"")</f>
        <v/>
      </c>
      <c r="R141" s="23" t="str">
        <f t="shared" ref="R141:R204" si="54">IF(AND($A141&lt;&gt;"",$E141&gt;0),IF(AND($J141&lt;&gt;"SONY",100000&lt;=$E141,$E141&lt;200000),5000*$D141,0),"")</f>
        <v/>
      </c>
      <c r="S141" s="23" t="str">
        <f t="shared" ref="S141:S204" si="55">IF(AND($A141&lt;&gt;"",$E141&gt;0),IF(AND($J141&lt;&gt;"SONY",200000&lt;=$E141,$E141&lt;500000),10000*$D141,0),"")</f>
        <v/>
      </c>
      <c r="T141" s="23" t="str">
        <f t="shared" ref="T141:T204" si="56">IF(AND($A141&lt;&gt;"",$E141&gt;0),IF(AND($J141&lt;&gt;"SONY",500000&lt;=$E141,$E141&lt;1000000),20000*$D141,0),"")</f>
        <v/>
      </c>
      <c r="U141" s="23" t="str">
        <f t="shared" ref="U141:U204" si="57">IF(AND($A141&lt;&gt;"",$E141&gt;0),IF(AND($J141&lt;&gt;"SONY",1000000&lt;=$E141,$E141&lt;1500000),50000*$D141,0),"")</f>
        <v/>
      </c>
      <c r="V141" s="23" t="str">
        <f t="shared" ref="V141:V204" si="58">IF(AND($A141&lt;&gt;"",$E141&gt;0),IF(AND($J141&lt;&gt;"SONY",1500000&lt;=$E141),100000*$D141,0),"")</f>
        <v/>
      </c>
      <c r="W141" s="70" t="str">
        <f t="shared" ref="W141:W204" si="59">IF(AND($E141&gt;0,$J141="ELECOM",$E141&gt;=500000,ISNUMBER(SEARCH("tai nghe",$C141))),20000*$D141,IF($A141&lt;&gt;"",0,""))</f>
        <v/>
      </c>
      <c r="X141" s="70" t="str">
        <f t="shared" ref="X141:X204" si="60">IF(AND($E141&gt;0,$J141="ELECOM",ISNUMBER(SEARCH("loa",$C141))),20000*$D141,IF($A141&lt;&gt;"",0,""))</f>
        <v/>
      </c>
      <c r="Y141" s="70" t="str">
        <f>IF(AND($A141&lt;&gt;"",$E141&gt;0),isLaptopBag($C141,$J141)*$D141,"")</f>
        <v/>
      </c>
      <c r="Z141" s="70" t="str">
        <f t="shared" ref="Z141:Z204" si="61">IF(AND($E141&gt;0,$J141="ELECOM",ISNUMBER(SEARCH("ốp",$C141))),20000*$D141,IF($A141&lt;&gt;"",0,""))</f>
        <v/>
      </c>
      <c r="AA141" s="70" t="str">
        <f t="shared" ref="AA141:AA204" si="62">IF(AND($E141&gt;0,$J141="ELECOM",ISNUMBER(SEARCH("Bút",$C141))),20000*$D141,IF($A141&lt;&gt;"",0,""))</f>
        <v/>
      </c>
      <c r="AB141" s="70" t="str">
        <f t="shared" ref="AB141:AB204" si="63">IF(AND($E141&gt;0,$J141="ELECOM",ISNUMBER(SEARCH("Chuột bi",$C141))),20000*$D141,IF($A141&lt;&gt;"",0,""))</f>
        <v/>
      </c>
      <c r="AC141" s="70" t="str">
        <f t="shared" ref="AC141:AC204" si="64">IF(AND($E141&gt;0,$J141="ELECOM",ISNUMBER(SEARCH("Chuột trackball",$C141))),20000*$D141,IF($A141&lt;&gt;"",0,""))</f>
        <v/>
      </c>
      <c r="AD141" s="70" t="str">
        <f t="shared" ref="AD141:AD204" si="65">IF(AND($E141&gt;0,$J141="ELECOM",ISNUMBER(SEARCH("Sạc không dây",$C141))),20000*$D141,IF($A141&lt;&gt;"",0,""))</f>
        <v/>
      </c>
      <c r="AE141" s="70" t="str">
        <f t="shared" ref="AE141:AE204" si="66">IF(AND($E141&gt;0,$J141="ELECOM",ISNUMBER(SEARCH("Sạc kd",$C141))),20000*$D141,IF($A141&lt;&gt;"",0,""))</f>
        <v/>
      </c>
      <c r="AF141" s="16"/>
      <c r="AG141" s="23"/>
      <c r="AH141" s="22"/>
      <c r="AJ141" s="83">
        <f t="shared" ref="AJ141:AJ204" si="67">DAY(H141)</f>
        <v>0</v>
      </c>
      <c r="AO141" s="22" t="str">
        <f t="shared" ref="AO141:AO204" si="68">IF(AND($E141&gt;0,ISNUMBER(SEARCH("Sạc dự phòng Energizer",$C141))),10000*$D141,IF($A141&lt;&gt;"",0,""))</f>
        <v/>
      </c>
      <c r="AP141" s="22" t="str">
        <f t="shared" ref="AP141:AP204" si="69">IF(AND($E141&gt;0,ISNUMBER(SEARCH("SDP Energizer",$C141))),10000*$D141,IF($A141&lt;&gt;"",0,""))</f>
        <v/>
      </c>
    </row>
    <row r="142" spans="1:42" x14ac:dyDescent="0.25">
      <c r="A142" s="10"/>
      <c r="B142" s="10"/>
      <c r="C142" s="10"/>
      <c r="D142" s="10"/>
      <c r="E142" s="10"/>
      <c r="F142" s="10"/>
      <c r="G142" s="10"/>
      <c r="H142" s="17"/>
      <c r="I142" s="10"/>
      <c r="J142" s="10"/>
      <c r="K142" s="16" t="str">
        <f t="shared" si="48"/>
        <v/>
      </c>
      <c r="L142" s="23" t="str">
        <f t="shared" si="49"/>
        <v/>
      </c>
      <c r="M142" s="22" t="str">
        <f t="shared" si="50"/>
        <v/>
      </c>
      <c r="N142" s="72"/>
      <c r="O142" s="16" t="str">
        <f t="shared" si="51"/>
        <v/>
      </c>
      <c r="P142" s="16" t="str">
        <f t="shared" si="52"/>
        <v/>
      </c>
      <c r="Q142" s="16" t="str">
        <f t="shared" si="53"/>
        <v/>
      </c>
      <c r="R142" s="23" t="str">
        <f t="shared" si="54"/>
        <v/>
      </c>
      <c r="S142" s="23" t="str">
        <f t="shared" si="55"/>
        <v/>
      </c>
      <c r="T142" s="23" t="str">
        <f t="shared" si="56"/>
        <v/>
      </c>
      <c r="U142" s="23" t="str">
        <f t="shared" si="57"/>
        <v/>
      </c>
      <c r="V142" s="23" t="str">
        <f t="shared" si="58"/>
        <v/>
      </c>
      <c r="W142" s="70" t="str">
        <f t="shared" si="59"/>
        <v/>
      </c>
      <c r="X142" s="70" t="str">
        <f t="shared" si="60"/>
        <v/>
      </c>
      <c r="Y142" s="70" t="str">
        <f>IF(AND($A142&lt;&gt;"",$E142&gt;0),isLaptopBag($C142,$J142)*$D142,"")</f>
        <v/>
      </c>
      <c r="Z142" s="70" t="str">
        <f t="shared" si="61"/>
        <v/>
      </c>
      <c r="AA142" s="70" t="str">
        <f t="shared" si="62"/>
        <v/>
      </c>
      <c r="AB142" s="70" t="str">
        <f t="shared" si="63"/>
        <v/>
      </c>
      <c r="AC142" s="70" t="str">
        <f t="shared" si="64"/>
        <v/>
      </c>
      <c r="AD142" s="70" t="str">
        <f t="shared" si="65"/>
        <v/>
      </c>
      <c r="AE142" s="70" t="str">
        <f t="shared" si="66"/>
        <v/>
      </c>
      <c r="AF142" s="16"/>
      <c r="AG142" s="23"/>
      <c r="AH142" s="22"/>
      <c r="AJ142" s="83">
        <f t="shared" si="67"/>
        <v>0</v>
      </c>
      <c r="AO142" s="22" t="str">
        <f t="shared" si="68"/>
        <v/>
      </c>
      <c r="AP142" s="22" t="str">
        <f t="shared" si="69"/>
        <v/>
      </c>
    </row>
    <row r="143" spans="1:42" x14ac:dyDescent="0.25">
      <c r="A143" s="10"/>
      <c r="B143" s="10"/>
      <c r="C143" s="10"/>
      <c r="D143" s="10"/>
      <c r="E143" s="10"/>
      <c r="F143" s="10"/>
      <c r="G143" s="10"/>
      <c r="H143" s="17"/>
      <c r="I143" s="10"/>
      <c r="J143" s="10"/>
      <c r="K143" s="16" t="str">
        <f t="shared" si="48"/>
        <v/>
      </c>
      <c r="L143" s="23" t="str">
        <f t="shared" si="49"/>
        <v/>
      </c>
      <c r="M143" s="22" t="str">
        <f t="shared" si="50"/>
        <v/>
      </c>
      <c r="N143" s="72"/>
      <c r="O143" s="16" t="str">
        <f t="shared" si="51"/>
        <v/>
      </c>
      <c r="P143" s="16" t="str">
        <f t="shared" si="52"/>
        <v/>
      </c>
      <c r="Q143" s="16" t="str">
        <f t="shared" si="53"/>
        <v/>
      </c>
      <c r="R143" s="23" t="str">
        <f t="shared" si="54"/>
        <v/>
      </c>
      <c r="S143" s="23" t="str">
        <f t="shared" si="55"/>
        <v/>
      </c>
      <c r="T143" s="23" t="str">
        <f t="shared" si="56"/>
        <v/>
      </c>
      <c r="U143" s="23" t="str">
        <f t="shared" si="57"/>
        <v/>
      </c>
      <c r="V143" s="23" t="str">
        <f t="shared" si="58"/>
        <v/>
      </c>
      <c r="W143" s="70" t="str">
        <f t="shared" si="59"/>
        <v/>
      </c>
      <c r="X143" s="70" t="str">
        <f t="shared" si="60"/>
        <v/>
      </c>
      <c r="Y143" s="70" t="str">
        <f>IF(AND($A143&lt;&gt;"",$E143&gt;0),isLaptopBag($C143,$J143)*$D143,"")</f>
        <v/>
      </c>
      <c r="Z143" s="70" t="str">
        <f t="shared" si="61"/>
        <v/>
      </c>
      <c r="AA143" s="70" t="str">
        <f t="shared" si="62"/>
        <v/>
      </c>
      <c r="AB143" s="70" t="str">
        <f t="shared" si="63"/>
        <v/>
      </c>
      <c r="AC143" s="70" t="str">
        <f t="shared" si="64"/>
        <v/>
      </c>
      <c r="AD143" s="70" t="str">
        <f t="shared" si="65"/>
        <v/>
      </c>
      <c r="AE143" s="70" t="str">
        <f t="shared" si="66"/>
        <v/>
      </c>
      <c r="AF143" s="16"/>
      <c r="AG143" s="23"/>
      <c r="AH143" s="22"/>
      <c r="AJ143" s="83">
        <f t="shared" si="67"/>
        <v>0</v>
      </c>
      <c r="AO143" s="22" t="str">
        <f t="shared" si="68"/>
        <v/>
      </c>
      <c r="AP143" s="22" t="str">
        <f t="shared" si="69"/>
        <v/>
      </c>
    </row>
    <row r="144" spans="1:42" x14ac:dyDescent="0.25">
      <c r="A144" s="10"/>
      <c r="B144" s="10"/>
      <c r="C144" s="10"/>
      <c r="D144" s="10"/>
      <c r="E144" s="10"/>
      <c r="F144" s="10"/>
      <c r="G144" s="10"/>
      <c r="H144" s="17"/>
      <c r="I144" s="10"/>
      <c r="J144" s="10"/>
      <c r="K144" s="16" t="str">
        <f t="shared" si="48"/>
        <v/>
      </c>
      <c r="L144" s="23" t="str">
        <f t="shared" si="49"/>
        <v/>
      </c>
      <c r="M144" s="22" t="str">
        <f t="shared" si="50"/>
        <v/>
      </c>
      <c r="N144" s="72"/>
      <c r="O144" s="16" t="str">
        <f t="shared" si="51"/>
        <v/>
      </c>
      <c r="P144" s="16" t="str">
        <f t="shared" si="52"/>
        <v/>
      </c>
      <c r="Q144" s="16" t="str">
        <f t="shared" si="53"/>
        <v/>
      </c>
      <c r="R144" s="23" t="str">
        <f t="shared" si="54"/>
        <v/>
      </c>
      <c r="S144" s="23" t="str">
        <f t="shared" si="55"/>
        <v/>
      </c>
      <c r="T144" s="23" t="str">
        <f t="shared" si="56"/>
        <v/>
      </c>
      <c r="U144" s="23" t="str">
        <f t="shared" si="57"/>
        <v/>
      </c>
      <c r="V144" s="23" t="str">
        <f t="shared" si="58"/>
        <v/>
      </c>
      <c r="W144" s="70" t="str">
        <f t="shared" si="59"/>
        <v/>
      </c>
      <c r="X144" s="70" t="str">
        <f t="shared" si="60"/>
        <v/>
      </c>
      <c r="Y144" s="70" t="str">
        <f>IF(AND($A144&lt;&gt;"",$E144&gt;0),isLaptopBag($C144,$J144)*$D144,"")</f>
        <v/>
      </c>
      <c r="Z144" s="70" t="str">
        <f t="shared" si="61"/>
        <v/>
      </c>
      <c r="AA144" s="70" t="str">
        <f t="shared" si="62"/>
        <v/>
      </c>
      <c r="AB144" s="70" t="str">
        <f t="shared" si="63"/>
        <v/>
      </c>
      <c r="AC144" s="70" t="str">
        <f t="shared" si="64"/>
        <v/>
      </c>
      <c r="AD144" s="70" t="str">
        <f t="shared" si="65"/>
        <v/>
      </c>
      <c r="AE144" s="70" t="str">
        <f t="shared" si="66"/>
        <v/>
      </c>
      <c r="AF144" s="16"/>
      <c r="AG144" s="23"/>
      <c r="AH144" s="22"/>
      <c r="AJ144" s="83">
        <f t="shared" si="67"/>
        <v>0</v>
      </c>
      <c r="AO144" s="22" t="str">
        <f t="shared" si="68"/>
        <v/>
      </c>
      <c r="AP144" s="22" t="str">
        <f t="shared" si="69"/>
        <v/>
      </c>
    </row>
    <row r="145" spans="1:42" x14ac:dyDescent="0.25">
      <c r="A145" s="10"/>
      <c r="B145" s="10"/>
      <c r="C145" s="10"/>
      <c r="D145" s="10"/>
      <c r="E145" s="10"/>
      <c r="F145" s="10"/>
      <c r="G145" s="10"/>
      <c r="H145" s="17"/>
      <c r="I145" s="10"/>
      <c r="J145" s="10"/>
      <c r="K145" s="16" t="str">
        <f t="shared" si="48"/>
        <v/>
      </c>
      <c r="L145" s="23" t="str">
        <f t="shared" si="49"/>
        <v/>
      </c>
      <c r="M145" s="22" t="str">
        <f t="shared" si="50"/>
        <v/>
      </c>
      <c r="N145" s="72"/>
      <c r="O145" s="16" t="str">
        <f t="shared" si="51"/>
        <v/>
      </c>
      <c r="P145" s="16" t="str">
        <f t="shared" si="52"/>
        <v/>
      </c>
      <c r="Q145" s="16" t="str">
        <f t="shared" si="53"/>
        <v/>
      </c>
      <c r="R145" s="23" t="str">
        <f t="shared" si="54"/>
        <v/>
      </c>
      <c r="S145" s="23" t="str">
        <f t="shared" si="55"/>
        <v/>
      </c>
      <c r="T145" s="23" t="str">
        <f t="shared" si="56"/>
        <v/>
      </c>
      <c r="U145" s="23" t="str">
        <f t="shared" si="57"/>
        <v/>
      </c>
      <c r="V145" s="23" t="str">
        <f t="shared" si="58"/>
        <v/>
      </c>
      <c r="W145" s="70" t="str">
        <f t="shared" si="59"/>
        <v/>
      </c>
      <c r="X145" s="70" t="str">
        <f t="shared" si="60"/>
        <v/>
      </c>
      <c r="Y145" s="70" t="str">
        <f>IF(AND($A145&lt;&gt;"",$E145&gt;0),isLaptopBag($C145,$J145)*$D145,"")</f>
        <v/>
      </c>
      <c r="Z145" s="70" t="str">
        <f t="shared" si="61"/>
        <v/>
      </c>
      <c r="AA145" s="70" t="str">
        <f t="shared" si="62"/>
        <v/>
      </c>
      <c r="AB145" s="70" t="str">
        <f t="shared" si="63"/>
        <v/>
      </c>
      <c r="AC145" s="70" t="str">
        <f t="shared" si="64"/>
        <v/>
      </c>
      <c r="AD145" s="70" t="str">
        <f t="shared" si="65"/>
        <v/>
      </c>
      <c r="AE145" s="70" t="str">
        <f t="shared" si="66"/>
        <v/>
      </c>
      <c r="AF145" s="16"/>
      <c r="AG145" s="23"/>
      <c r="AH145" s="22"/>
      <c r="AJ145" s="83">
        <f t="shared" si="67"/>
        <v>0</v>
      </c>
      <c r="AO145" s="22" t="str">
        <f t="shared" si="68"/>
        <v/>
      </c>
      <c r="AP145" s="22" t="str">
        <f t="shared" si="69"/>
        <v/>
      </c>
    </row>
    <row r="146" spans="1:42" x14ac:dyDescent="0.25">
      <c r="A146" s="10"/>
      <c r="B146" s="10"/>
      <c r="C146" s="10"/>
      <c r="D146" s="10"/>
      <c r="E146" s="10"/>
      <c r="F146" s="10"/>
      <c r="G146" s="10"/>
      <c r="H146" s="17"/>
      <c r="I146" s="10"/>
      <c r="J146" s="10"/>
      <c r="K146" s="16" t="str">
        <f t="shared" si="48"/>
        <v/>
      </c>
      <c r="L146" s="23" t="str">
        <f t="shared" si="49"/>
        <v/>
      </c>
      <c r="M146" s="22" t="str">
        <f t="shared" si="50"/>
        <v/>
      </c>
      <c r="N146" s="72"/>
      <c r="O146" s="16" t="str">
        <f t="shared" si="51"/>
        <v/>
      </c>
      <c r="P146" s="16" t="str">
        <f t="shared" si="52"/>
        <v/>
      </c>
      <c r="Q146" s="16" t="str">
        <f t="shared" si="53"/>
        <v/>
      </c>
      <c r="R146" s="23" t="str">
        <f t="shared" si="54"/>
        <v/>
      </c>
      <c r="S146" s="23" t="str">
        <f t="shared" si="55"/>
        <v/>
      </c>
      <c r="T146" s="23" t="str">
        <f t="shared" si="56"/>
        <v/>
      </c>
      <c r="U146" s="23" t="str">
        <f t="shared" si="57"/>
        <v/>
      </c>
      <c r="V146" s="23" t="str">
        <f t="shared" si="58"/>
        <v/>
      </c>
      <c r="W146" s="70" t="str">
        <f t="shared" si="59"/>
        <v/>
      </c>
      <c r="X146" s="70" t="str">
        <f t="shared" si="60"/>
        <v/>
      </c>
      <c r="Y146" s="70" t="str">
        <f>IF(AND($A146&lt;&gt;"",$E146&gt;0),isLaptopBag($C146,$J146)*$D146,"")</f>
        <v/>
      </c>
      <c r="Z146" s="70" t="str">
        <f t="shared" si="61"/>
        <v/>
      </c>
      <c r="AA146" s="70" t="str">
        <f t="shared" si="62"/>
        <v/>
      </c>
      <c r="AB146" s="70" t="str">
        <f t="shared" si="63"/>
        <v/>
      </c>
      <c r="AC146" s="70" t="str">
        <f t="shared" si="64"/>
        <v/>
      </c>
      <c r="AD146" s="70" t="str">
        <f t="shared" si="65"/>
        <v/>
      </c>
      <c r="AE146" s="70" t="str">
        <f t="shared" si="66"/>
        <v/>
      </c>
      <c r="AF146" s="16"/>
      <c r="AG146" s="23"/>
      <c r="AH146" s="22"/>
      <c r="AJ146" s="83">
        <f t="shared" si="67"/>
        <v>0</v>
      </c>
      <c r="AO146" s="22" t="str">
        <f t="shared" si="68"/>
        <v/>
      </c>
      <c r="AP146" s="22" t="str">
        <f t="shared" si="69"/>
        <v/>
      </c>
    </row>
    <row r="147" spans="1:42" x14ac:dyDescent="0.25">
      <c r="A147" s="10"/>
      <c r="B147" s="10"/>
      <c r="C147" s="10"/>
      <c r="D147" s="10"/>
      <c r="E147" s="10"/>
      <c r="F147" s="10"/>
      <c r="G147" s="10"/>
      <c r="H147" s="17"/>
      <c r="I147" s="10"/>
      <c r="J147" s="10"/>
      <c r="K147" s="16" t="str">
        <f t="shared" si="48"/>
        <v/>
      </c>
      <c r="L147" s="23" t="str">
        <f t="shared" si="49"/>
        <v/>
      </c>
      <c r="M147" s="22" t="str">
        <f t="shared" si="50"/>
        <v/>
      </c>
      <c r="N147" s="72"/>
      <c r="O147" s="16" t="str">
        <f t="shared" si="51"/>
        <v/>
      </c>
      <c r="P147" s="16" t="str">
        <f t="shared" si="52"/>
        <v/>
      </c>
      <c r="Q147" s="16" t="str">
        <f t="shared" si="53"/>
        <v/>
      </c>
      <c r="R147" s="23" t="str">
        <f t="shared" si="54"/>
        <v/>
      </c>
      <c r="S147" s="23" t="str">
        <f t="shared" si="55"/>
        <v/>
      </c>
      <c r="T147" s="23" t="str">
        <f t="shared" si="56"/>
        <v/>
      </c>
      <c r="U147" s="23" t="str">
        <f t="shared" si="57"/>
        <v/>
      </c>
      <c r="V147" s="23" t="str">
        <f t="shared" si="58"/>
        <v/>
      </c>
      <c r="W147" s="70" t="str">
        <f t="shared" si="59"/>
        <v/>
      </c>
      <c r="X147" s="70" t="str">
        <f t="shared" si="60"/>
        <v/>
      </c>
      <c r="Y147" s="70" t="str">
        <f>IF(AND($A147&lt;&gt;"",$E147&gt;0),isLaptopBag($C147,$J147)*$D147,"")</f>
        <v/>
      </c>
      <c r="Z147" s="70" t="str">
        <f t="shared" si="61"/>
        <v/>
      </c>
      <c r="AA147" s="70" t="str">
        <f t="shared" si="62"/>
        <v/>
      </c>
      <c r="AB147" s="70" t="str">
        <f t="shared" si="63"/>
        <v/>
      </c>
      <c r="AC147" s="70" t="str">
        <f t="shared" si="64"/>
        <v/>
      </c>
      <c r="AD147" s="70" t="str">
        <f t="shared" si="65"/>
        <v/>
      </c>
      <c r="AE147" s="70" t="str">
        <f t="shared" si="66"/>
        <v/>
      </c>
      <c r="AF147" s="16"/>
      <c r="AG147" s="23"/>
      <c r="AH147" s="22"/>
      <c r="AJ147" s="83">
        <f t="shared" si="67"/>
        <v>0</v>
      </c>
      <c r="AO147" s="22" t="str">
        <f t="shared" si="68"/>
        <v/>
      </c>
      <c r="AP147" s="22" t="str">
        <f t="shared" si="69"/>
        <v/>
      </c>
    </row>
    <row r="148" spans="1:42" x14ac:dyDescent="0.25">
      <c r="A148" s="10"/>
      <c r="B148" s="10"/>
      <c r="C148" s="10"/>
      <c r="D148" s="10"/>
      <c r="E148" s="10"/>
      <c r="F148" s="10"/>
      <c r="G148" s="10"/>
      <c r="H148" s="17"/>
      <c r="I148" s="10"/>
      <c r="J148" s="10"/>
      <c r="K148" s="16" t="str">
        <f t="shared" si="48"/>
        <v/>
      </c>
      <c r="L148" s="23" t="str">
        <f t="shared" si="49"/>
        <v/>
      </c>
      <c r="M148" s="22" t="str">
        <f t="shared" si="50"/>
        <v/>
      </c>
      <c r="N148" s="72"/>
      <c r="O148" s="16" t="str">
        <f t="shared" si="51"/>
        <v/>
      </c>
      <c r="P148" s="16" t="str">
        <f t="shared" si="52"/>
        <v/>
      </c>
      <c r="Q148" s="16" t="str">
        <f t="shared" si="53"/>
        <v/>
      </c>
      <c r="R148" s="23" t="str">
        <f t="shared" si="54"/>
        <v/>
      </c>
      <c r="S148" s="23" t="str">
        <f t="shared" si="55"/>
        <v/>
      </c>
      <c r="T148" s="23" t="str">
        <f t="shared" si="56"/>
        <v/>
      </c>
      <c r="U148" s="23" t="str">
        <f t="shared" si="57"/>
        <v/>
      </c>
      <c r="V148" s="23" t="str">
        <f t="shared" si="58"/>
        <v/>
      </c>
      <c r="W148" s="70" t="str">
        <f t="shared" si="59"/>
        <v/>
      </c>
      <c r="X148" s="70" t="str">
        <f t="shared" si="60"/>
        <v/>
      </c>
      <c r="Y148" s="70" t="str">
        <f>IF(AND($A148&lt;&gt;"",$E148&gt;0),isLaptopBag($C148,$J148)*$D148,"")</f>
        <v/>
      </c>
      <c r="Z148" s="70" t="str">
        <f t="shared" si="61"/>
        <v/>
      </c>
      <c r="AA148" s="70" t="str">
        <f t="shared" si="62"/>
        <v/>
      </c>
      <c r="AB148" s="70" t="str">
        <f t="shared" si="63"/>
        <v/>
      </c>
      <c r="AC148" s="70" t="str">
        <f t="shared" si="64"/>
        <v/>
      </c>
      <c r="AD148" s="70" t="str">
        <f t="shared" si="65"/>
        <v/>
      </c>
      <c r="AE148" s="70" t="str">
        <f t="shared" si="66"/>
        <v/>
      </c>
      <c r="AF148" s="16"/>
      <c r="AG148" s="23"/>
      <c r="AH148" s="22"/>
      <c r="AJ148" s="83">
        <f t="shared" si="67"/>
        <v>0</v>
      </c>
      <c r="AO148" s="22" t="str">
        <f t="shared" si="68"/>
        <v/>
      </c>
      <c r="AP148" s="22" t="str">
        <f t="shared" si="69"/>
        <v/>
      </c>
    </row>
    <row r="149" spans="1:42" x14ac:dyDescent="0.25">
      <c r="A149" s="10"/>
      <c r="B149" s="10"/>
      <c r="C149" s="10"/>
      <c r="D149" s="10"/>
      <c r="E149" s="10"/>
      <c r="F149" s="10"/>
      <c r="G149" s="10"/>
      <c r="H149" s="17"/>
      <c r="I149" s="10"/>
      <c r="J149" s="10"/>
      <c r="K149" s="16" t="str">
        <f t="shared" si="48"/>
        <v/>
      </c>
      <c r="L149" s="23" t="str">
        <f t="shared" si="49"/>
        <v/>
      </c>
      <c r="M149" s="22" t="str">
        <f t="shared" si="50"/>
        <v/>
      </c>
      <c r="N149" s="72"/>
      <c r="O149" s="16" t="str">
        <f t="shared" si="51"/>
        <v/>
      </c>
      <c r="P149" s="16" t="str">
        <f t="shared" si="52"/>
        <v/>
      </c>
      <c r="Q149" s="16" t="str">
        <f t="shared" si="53"/>
        <v/>
      </c>
      <c r="R149" s="23" t="str">
        <f t="shared" si="54"/>
        <v/>
      </c>
      <c r="S149" s="23" t="str">
        <f t="shared" si="55"/>
        <v/>
      </c>
      <c r="T149" s="23" t="str">
        <f t="shared" si="56"/>
        <v/>
      </c>
      <c r="U149" s="23" t="str">
        <f t="shared" si="57"/>
        <v/>
      </c>
      <c r="V149" s="23" t="str">
        <f t="shared" si="58"/>
        <v/>
      </c>
      <c r="W149" s="70" t="str">
        <f t="shared" si="59"/>
        <v/>
      </c>
      <c r="X149" s="70" t="str">
        <f t="shared" si="60"/>
        <v/>
      </c>
      <c r="Y149" s="70" t="str">
        <f>IF(AND($A149&lt;&gt;"",$E149&gt;0),isLaptopBag($C149,$J149)*$D149,"")</f>
        <v/>
      </c>
      <c r="Z149" s="70" t="str">
        <f t="shared" si="61"/>
        <v/>
      </c>
      <c r="AA149" s="70" t="str">
        <f t="shared" si="62"/>
        <v/>
      </c>
      <c r="AB149" s="70" t="str">
        <f t="shared" si="63"/>
        <v/>
      </c>
      <c r="AC149" s="70" t="str">
        <f t="shared" si="64"/>
        <v/>
      </c>
      <c r="AD149" s="70" t="str">
        <f t="shared" si="65"/>
        <v/>
      </c>
      <c r="AE149" s="70" t="str">
        <f t="shared" si="66"/>
        <v/>
      </c>
      <c r="AF149" s="16"/>
      <c r="AG149" s="23"/>
      <c r="AH149" s="22"/>
      <c r="AJ149" s="83">
        <f t="shared" si="67"/>
        <v>0</v>
      </c>
      <c r="AO149" s="22" t="str">
        <f t="shared" si="68"/>
        <v/>
      </c>
      <c r="AP149" s="22" t="str">
        <f t="shared" si="69"/>
        <v/>
      </c>
    </row>
    <row r="150" spans="1:42" x14ac:dyDescent="0.25">
      <c r="A150" s="10"/>
      <c r="B150" s="10"/>
      <c r="C150" s="10"/>
      <c r="D150" s="10"/>
      <c r="E150" s="10"/>
      <c r="F150" s="10"/>
      <c r="G150" s="10"/>
      <c r="H150" s="17"/>
      <c r="I150" s="10"/>
      <c r="J150" s="10"/>
      <c r="K150" s="16" t="str">
        <f t="shared" si="48"/>
        <v/>
      </c>
      <c r="L150" s="23" t="str">
        <f t="shared" si="49"/>
        <v/>
      </c>
      <c r="M150" s="22" t="str">
        <f t="shared" si="50"/>
        <v/>
      </c>
      <c r="N150" s="72"/>
      <c r="O150" s="16" t="str">
        <f t="shared" si="51"/>
        <v/>
      </c>
      <c r="P150" s="16" t="str">
        <f t="shared" si="52"/>
        <v/>
      </c>
      <c r="Q150" s="16" t="str">
        <f t="shared" si="53"/>
        <v/>
      </c>
      <c r="R150" s="23" t="str">
        <f t="shared" si="54"/>
        <v/>
      </c>
      <c r="S150" s="23" t="str">
        <f t="shared" si="55"/>
        <v/>
      </c>
      <c r="T150" s="23" t="str">
        <f t="shared" si="56"/>
        <v/>
      </c>
      <c r="U150" s="23" t="str">
        <f t="shared" si="57"/>
        <v/>
      </c>
      <c r="V150" s="23" t="str">
        <f t="shared" si="58"/>
        <v/>
      </c>
      <c r="W150" s="70" t="str">
        <f t="shared" si="59"/>
        <v/>
      </c>
      <c r="X150" s="70" t="str">
        <f t="shared" si="60"/>
        <v/>
      </c>
      <c r="Y150" s="70" t="str">
        <f>IF(AND($A150&lt;&gt;"",$E150&gt;0),isLaptopBag($C150,$J150)*$D150,"")</f>
        <v/>
      </c>
      <c r="Z150" s="70" t="str">
        <f t="shared" si="61"/>
        <v/>
      </c>
      <c r="AA150" s="70" t="str">
        <f t="shared" si="62"/>
        <v/>
      </c>
      <c r="AB150" s="70" t="str">
        <f t="shared" si="63"/>
        <v/>
      </c>
      <c r="AC150" s="70" t="str">
        <f t="shared" si="64"/>
        <v/>
      </c>
      <c r="AD150" s="70" t="str">
        <f t="shared" si="65"/>
        <v/>
      </c>
      <c r="AE150" s="70" t="str">
        <f t="shared" si="66"/>
        <v/>
      </c>
      <c r="AF150" s="16"/>
      <c r="AG150" s="23"/>
      <c r="AH150" s="22"/>
      <c r="AJ150" s="83">
        <f t="shared" si="67"/>
        <v>0</v>
      </c>
      <c r="AO150" s="22" t="str">
        <f t="shared" si="68"/>
        <v/>
      </c>
      <c r="AP150" s="22" t="str">
        <f t="shared" si="69"/>
        <v/>
      </c>
    </row>
    <row r="151" spans="1:42" x14ac:dyDescent="0.25">
      <c r="A151" s="10"/>
      <c r="B151" s="10"/>
      <c r="C151" s="10"/>
      <c r="D151" s="10"/>
      <c r="E151" s="10"/>
      <c r="F151" s="10"/>
      <c r="G151" s="10"/>
      <c r="H151" s="17"/>
      <c r="I151" s="10"/>
      <c r="J151" s="10"/>
      <c r="K151" s="16" t="str">
        <f t="shared" si="48"/>
        <v/>
      </c>
      <c r="L151" s="23" t="str">
        <f t="shared" si="49"/>
        <v/>
      </c>
      <c r="M151" s="22" t="str">
        <f t="shared" si="50"/>
        <v/>
      </c>
      <c r="N151" s="72"/>
      <c r="O151" s="16" t="str">
        <f t="shared" si="51"/>
        <v/>
      </c>
      <c r="P151" s="16" t="str">
        <f t="shared" si="52"/>
        <v/>
      </c>
      <c r="Q151" s="16" t="str">
        <f t="shared" si="53"/>
        <v/>
      </c>
      <c r="R151" s="23" t="str">
        <f t="shared" si="54"/>
        <v/>
      </c>
      <c r="S151" s="23" t="str">
        <f t="shared" si="55"/>
        <v/>
      </c>
      <c r="T151" s="23" t="str">
        <f t="shared" si="56"/>
        <v/>
      </c>
      <c r="U151" s="23" t="str">
        <f t="shared" si="57"/>
        <v/>
      </c>
      <c r="V151" s="23" t="str">
        <f t="shared" si="58"/>
        <v/>
      </c>
      <c r="W151" s="70" t="str">
        <f t="shared" si="59"/>
        <v/>
      </c>
      <c r="X151" s="70" t="str">
        <f t="shared" si="60"/>
        <v/>
      </c>
      <c r="Y151" s="70" t="str">
        <f>IF(AND($A151&lt;&gt;"",$E151&gt;0),isLaptopBag($C151,$J151)*$D151,"")</f>
        <v/>
      </c>
      <c r="Z151" s="70" t="str">
        <f t="shared" si="61"/>
        <v/>
      </c>
      <c r="AA151" s="70" t="str">
        <f t="shared" si="62"/>
        <v/>
      </c>
      <c r="AB151" s="70" t="str">
        <f t="shared" si="63"/>
        <v/>
      </c>
      <c r="AC151" s="70" t="str">
        <f t="shared" si="64"/>
        <v/>
      </c>
      <c r="AD151" s="70" t="str">
        <f t="shared" si="65"/>
        <v/>
      </c>
      <c r="AE151" s="70" t="str">
        <f t="shared" si="66"/>
        <v/>
      </c>
      <c r="AF151" s="16"/>
      <c r="AG151" s="23"/>
      <c r="AH151" s="22"/>
      <c r="AJ151" s="83">
        <f t="shared" si="67"/>
        <v>0</v>
      </c>
      <c r="AO151" s="22" t="str">
        <f t="shared" si="68"/>
        <v/>
      </c>
      <c r="AP151" s="22" t="str">
        <f t="shared" si="69"/>
        <v/>
      </c>
    </row>
    <row r="152" spans="1:42" x14ac:dyDescent="0.25">
      <c r="A152" s="10"/>
      <c r="B152" s="10"/>
      <c r="C152" s="10"/>
      <c r="D152" s="10"/>
      <c r="E152" s="10"/>
      <c r="F152" s="10"/>
      <c r="G152" s="10"/>
      <c r="H152" s="17"/>
      <c r="I152" s="10"/>
      <c r="J152" s="10"/>
      <c r="K152" s="16" t="str">
        <f t="shared" si="48"/>
        <v/>
      </c>
      <c r="L152" s="23" t="str">
        <f t="shared" si="49"/>
        <v/>
      </c>
      <c r="M152" s="22" t="str">
        <f t="shared" si="50"/>
        <v/>
      </c>
      <c r="N152" s="72"/>
      <c r="O152" s="16" t="str">
        <f t="shared" si="51"/>
        <v/>
      </c>
      <c r="P152" s="16" t="str">
        <f t="shared" si="52"/>
        <v/>
      </c>
      <c r="Q152" s="16" t="str">
        <f t="shared" si="53"/>
        <v/>
      </c>
      <c r="R152" s="23" t="str">
        <f t="shared" si="54"/>
        <v/>
      </c>
      <c r="S152" s="23" t="str">
        <f t="shared" si="55"/>
        <v/>
      </c>
      <c r="T152" s="23" t="str">
        <f t="shared" si="56"/>
        <v/>
      </c>
      <c r="U152" s="23" t="str">
        <f t="shared" si="57"/>
        <v/>
      </c>
      <c r="V152" s="23" t="str">
        <f t="shared" si="58"/>
        <v/>
      </c>
      <c r="W152" s="70" t="str">
        <f t="shared" si="59"/>
        <v/>
      </c>
      <c r="X152" s="70" t="str">
        <f t="shared" si="60"/>
        <v/>
      </c>
      <c r="Y152" s="70" t="str">
        <f>IF(AND($A152&lt;&gt;"",$E152&gt;0),isLaptopBag($C152,$J152)*$D152,"")</f>
        <v/>
      </c>
      <c r="Z152" s="70" t="str">
        <f t="shared" si="61"/>
        <v/>
      </c>
      <c r="AA152" s="70" t="str">
        <f t="shared" si="62"/>
        <v/>
      </c>
      <c r="AB152" s="70" t="str">
        <f t="shared" si="63"/>
        <v/>
      </c>
      <c r="AC152" s="70" t="str">
        <f t="shared" si="64"/>
        <v/>
      </c>
      <c r="AD152" s="70" t="str">
        <f t="shared" si="65"/>
        <v/>
      </c>
      <c r="AE152" s="70" t="str">
        <f t="shared" si="66"/>
        <v/>
      </c>
      <c r="AF152" s="16"/>
      <c r="AG152" s="23"/>
      <c r="AH152" s="22"/>
      <c r="AJ152" s="83">
        <f t="shared" si="67"/>
        <v>0</v>
      </c>
      <c r="AO152" s="22" t="str">
        <f t="shared" si="68"/>
        <v/>
      </c>
      <c r="AP152" s="22" t="str">
        <f t="shared" si="69"/>
        <v/>
      </c>
    </row>
    <row r="153" spans="1:42" x14ac:dyDescent="0.25">
      <c r="A153" s="10"/>
      <c r="B153" s="10"/>
      <c r="C153" s="10"/>
      <c r="D153" s="10"/>
      <c r="E153" s="10"/>
      <c r="F153" s="10"/>
      <c r="G153" s="10"/>
      <c r="H153" s="17"/>
      <c r="I153" s="10"/>
      <c r="J153" s="10"/>
      <c r="K153" s="16" t="str">
        <f t="shared" si="48"/>
        <v/>
      </c>
      <c r="L153" s="23" t="str">
        <f t="shared" si="49"/>
        <v/>
      </c>
      <c r="M153" s="22" t="str">
        <f t="shared" si="50"/>
        <v/>
      </c>
      <c r="N153" s="72"/>
      <c r="O153" s="16" t="str">
        <f t="shared" si="51"/>
        <v/>
      </c>
      <c r="P153" s="16" t="str">
        <f t="shared" si="52"/>
        <v/>
      </c>
      <c r="Q153" s="16" t="str">
        <f t="shared" si="53"/>
        <v/>
      </c>
      <c r="R153" s="23" t="str">
        <f t="shared" si="54"/>
        <v/>
      </c>
      <c r="S153" s="23" t="str">
        <f t="shared" si="55"/>
        <v/>
      </c>
      <c r="T153" s="23" t="str">
        <f t="shared" si="56"/>
        <v/>
      </c>
      <c r="U153" s="23" t="str">
        <f t="shared" si="57"/>
        <v/>
      </c>
      <c r="V153" s="23" t="str">
        <f t="shared" si="58"/>
        <v/>
      </c>
      <c r="W153" s="70" t="str">
        <f t="shared" si="59"/>
        <v/>
      </c>
      <c r="X153" s="70" t="str">
        <f t="shared" si="60"/>
        <v/>
      </c>
      <c r="Y153" s="70" t="str">
        <f>IF(AND($A153&lt;&gt;"",$E153&gt;0),isLaptopBag($C153,$J153)*$D153,"")</f>
        <v/>
      </c>
      <c r="Z153" s="70" t="str">
        <f t="shared" si="61"/>
        <v/>
      </c>
      <c r="AA153" s="70" t="str">
        <f t="shared" si="62"/>
        <v/>
      </c>
      <c r="AB153" s="70" t="str">
        <f t="shared" si="63"/>
        <v/>
      </c>
      <c r="AC153" s="70" t="str">
        <f t="shared" si="64"/>
        <v/>
      </c>
      <c r="AD153" s="70" t="str">
        <f t="shared" si="65"/>
        <v/>
      </c>
      <c r="AE153" s="70" t="str">
        <f t="shared" si="66"/>
        <v/>
      </c>
      <c r="AF153" s="16"/>
      <c r="AG153" s="23"/>
      <c r="AH153" s="22"/>
      <c r="AJ153" s="83">
        <f t="shared" si="67"/>
        <v>0</v>
      </c>
      <c r="AO153" s="22" t="str">
        <f t="shared" si="68"/>
        <v/>
      </c>
      <c r="AP153" s="22" t="str">
        <f t="shared" si="69"/>
        <v/>
      </c>
    </row>
    <row r="154" spans="1:42" x14ac:dyDescent="0.25">
      <c r="A154" s="10"/>
      <c r="B154" s="10"/>
      <c r="C154" s="10"/>
      <c r="D154" s="10"/>
      <c r="E154" s="10"/>
      <c r="F154" s="10"/>
      <c r="G154" s="10"/>
      <c r="H154" s="17"/>
      <c r="I154" s="10"/>
      <c r="J154" s="10"/>
      <c r="K154" s="16" t="str">
        <f t="shared" si="48"/>
        <v/>
      </c>
      <c r="L154" s="23" t="str">
        <f t="shared" si="49"/>
        <v/>
      </c>
      <c r="M154" s="22" t="str">
        <f t="shared" si="50"/>
        <v/>
      </c>
      <c r="N154" s="72"/>
      <c r="O154" s="16" t="str">
        <f t="shared" si="51"/>
        <v/>
      </c>
      <c r="P154" s="16" t="str">
        <f t="shared" si="52"/>
        <v/>
      </c>
      <c r="Q154" s="16" t="str">
        <f t="shared" si="53"/>
        <v/>
      </c>
      <c r="R154" s="23" t="str">
        <f t="shared" si="54"/>
        <v/>
      </c>
      <c r="S154" s="23" t="str">
        <f t="shared" si="55"/>
        <v/>
      </c>
      <c r="T154" s="23" t="str">
        <f t="shared" si="56"/>
        <v/>
      </c>
      <c r="U154" s="23" t="str">
        <f t="shared" si="57"/>
        <v/>
      </c>
      <c r="V154" s="23" t="str">
        <f t="shared" si="58"/>
        <v/>
      </c>
      <c r="W154" s="70" t="str">
        <f t="shared" si="59"/>
        <v/>
      </c>
      <c r="X154" s="70" t="str">
        <f t="shared" si="60"/>
        <v/>
      </c>
      <c r="Y154" s="70" t="str">
        <f>IF(AND($A154&lt;&gt;"",$E154&gt;0),isLaptopBag($C154,$J154)*$D154,"")</f>
        <v/>
      </c>
      <c r="Z154" s="70" t="str">
        <f t="shared" si="61"/>
        <v/>
      </c>
      <c r="AA154" s="70" t="str">
        <f t="shared" si="62"/>
        <v/>
      </c>
      <c r="AB154" s="70" t="str">
        <f t="shared" si="63"/>
        <v/>
      </c>
      <c r="AC154" s="70" t="str">
        <f t="shared" si="64"/>
        <v/>
      </c>
      <c r="AD154" s="70" t="str">
        <f t="shared" si="65"/>
        <v/>
      </c>
      <c r="AE154" s="70" t="str">
        <f t="shared" si="66"/>
        <v/>
      </c>
      <c r="AF154" s="16"/>
      <c r="AG154" s="23"/>
      <c r="AH154" s="22"/>
      <c r="AJ154" s="83">
        <f t="shared" si="67"/>
        <v>0</v>
      </c>
      <c r="AO154" s="22" t="str">
        <f t="shared" si="68"/>
        <v/>
      </c>
      <c r="AP154" s="22" t="str">
        <f t="shared" si="69"/>
        <v/>
      </c>
    </row>
    <row r="155" spans="1:42" x14ac:dyDescent="0.25">
      <c r="A155" s="10"/>
      <c r="B155" s="10"/>
      <c r="C155" s="10"/>
      <c r="D155" s="10"/>
      <c r="E155" s="10"/>
      <c r="F155" s="10"/>
      <c r="G155" s="10"/>
      <c r="H155" s="17"/>
      <c r="I155" s="10"/>
      <c r="J155" s="10"/>
      <c r="K155" s="16" t="str">
        <f t="shared" si="48"/>
        <v/>
      </c>
      <c r="L155" s="23" t="str">
        <f t="shared" si="49"/>
        <v/>
      </c>
      <c r="M155" s="22" t="str">
        <f t="shared" si="50"/>
        <v/>
      </c>
      <c r="N155" s="72"/>
      <c r="O155" s="16" t="str">
        <f t="shared" si="51"/>
        <v/>
      </c>
      <c r="P155" s="16" t="str">
        <f t="shared" si="52"/>
        <v/>
      </c>
      <c r="Q155" s="16" t="str">
        <f t="shared" si="53"/>
        <v/>
      </c>
      <c r="R155" s="23" t="str">
        <f t="shared" si="54"/>
        <v/>
      </c>
      <c r="S155" s="23" t="str">
        <f t="shared" si="55"/>
        <v/>
      </c>
      <c r="T155" s="23" t="str">
        <f t="shared" si="56"/>
        <v/>
      </c>
      <c r="U155" s="23" t="str">
        <f t="shared" si="57"/>
        <v/>
      </c>
      <c r="V155" s="23" t="str">
        <f t="shared" si="58"/>
        <v/>
      </c>
      <c r="W155" s="70" t="str">
        <f t="shared" si="59"/>
        <v/>
      </c>
      <c r="X155" s="70" t="str">
        <f t="shared" si="60"/>
        <v/>
      </c>
      <c r="Y155" s="70" t="str">
        <f>IF(AND($A155&lt;&gt;"",$E155&gt;0),isLaptopBag($C155,$J155)*$D155,"")</f>
        <v/>
      </c>
      <c r="Z155" s="70" t="str">
        <f t="shared" si="61"/>
        <v/>
      </c>
      <c r="AA155" s="70" t="str">
        <f t="shared" si="62"/>
        <v/>
      </c>
      <c r="AB155" s="70" t="str">
        <f t="shared" si="63"/>
        <v/>
      </c>
      <c r="AC155" s="70" t="str">
        <f t="shared" si="64"/>
        <v/>
      </c>
      <c r="AD155" s="70" t="str">
        <f t="shared" si="65"/>
        <v/>
      </c>
      <c r="AE155" s="70" t="str">
        <f t="shared" si="66"/>
        <v/>
      </c>
      <c r="AF155" s="16"/>
      <c r="AG155" s="23"/>
      <c r="AH155" s="22"/>
      <c r="AJ155" s="83">
        <f t="shared" si="67"/>
        <v>0</v>
      </c>
      <c r="AO155" s="22" t="str">
        <f t="shared" si="68"/>
        <v/>
      </c>
      <c r="AP155" s="22" t="str">
        <f t="shared" si="69"/>
        <v/>
      </c>
    </row>
    <row r="156" spans="1:42" x14ac:dyDescent="0.25">
      <c r="A156" s="10"/>
      <c r="B156" s="10"/>
      <c r="C156" s="10"/>
      <c r="D156" s="10"/>
      <c r="E156" s="10"/>
      <c r="F156" s="10"/>
      <c r="G156" s="10"/>
      <c r="H156" s="17"/>
      <c r="I156" s="10"/>
      <c r="J156" s="10"/>
      <c r="K156" s="16" t="str">
        <f t="shared" si="48"/>
        <v/>
      </c>
      <c r="L156" s="23" t="str">
        <f t="shared" si="49"/>
        <v/>
      </c>
      <c r="M156" s="22" t="str">
        <f t="shared" si="50"/>
        <v/>
      </c>
      <c r="N156" s="72"/>
      <c r="O156" s="16" t="str">
        <f t="shared" si="51"/>
        <v/>
      </c>
      <c r="P156" s="16" t="str">
        <f t="shared" si="52"/>
        <v/>
      </c>
      <c r="Q156" s="16" t="str">
        <f t="shared" si="53"/>
        <v/>
      </c>
      <c r="R156" s="23" t="str">
        <f t="shared" si="54"/>
        <v/>
      </c>
      <c r="S156" s="23" t="str">
        <f t="shared" si="55"/>
        <v/>
      </c>
      <c r="T156" s="23" t="str">
        <f t="shared" si="56"/>
        <v/>
      </c>
      <c r="U156" s="23" t="str">
        <f t="shared" si="57"/>
        <v/>
      </c>
      <c r="V156" s="23" t="str">
        <f t="shared" si="58"/>
        <v/>
      </c>
      <c r="W156" s="70" t="str">
        <f t="shared" si="59"/>
        <v/>
      </c>
      <c r="X156" s="70" t="str">
        <f t="shared" si="60"/>
        <v/>
      </c>
      <c r="Y156" s="70" t="str">
        <f>IF(AND($A156&lt;&gt;"",$E156&gt;0),isLaptopBag($C156,$J156)*$D156,"")</f>
        <v/>
      </c>
      <c r="Z156" s="70" t="str">
        <f t="shared" si="61"/>
        <v/>
      </c>
      <c r="AA156" s="70" t="str">
        <f t="shared" si="62"/>
        <v/>
      </c>
      <c r="AB156" s="70" t="str">
        <f t="shared" si="63"/>
        <v/>
      </c>
      <c r="AC156" s="70" t="str">
        <f t="shared" si="64"/>
        <v/>
      </c>
      <c r="AD156" s="70" t="str">
        <f t="shared" si="65"/>
        <v/>
      </c>
      <c r="AE156" s="70" t="str">
        <f t="shared" si="66"/>
        <v/>
      </c>
      <c r="AF156" s="16"/>
      <c r="AG156" s="23"/>
      <c r="AH156" s="22"/>
      <c r="AJ156" s="83">
        <f t="shared" si="67"/>
        <v>0</v>
      </c>
      <c r="AO156" s="22" t="str">
        <f t="shared" si="68"/>
        <v/>
      </c>
      <c r="AP156" s="22" t="str">
        <f t="shared" si="69"/>
        <v/>
      </c>
    </row>
    <row r="157" spans="1:42" x14ac:dyDescent="0.25">
      <c r="A157" s="10"/>
      <c r="B157" s="10"/>
      <c r="C157" s="10"/>
      <c r="D157" s="10"/>
      <c r="E157" s="10"/>
      <c r="F157" s="10"/>
      <c r="G157" s="10"/>
      <c r="H157" s="17"/>
      <c r="I157" s="10"/>
      <c r="J157" s="10"/>
      <c r="K157" s="16" t="str">
        <f t="shared" si="48"/>
        <v/>
      </c>
      <c r="L157" s="23" t="str">
        <f t="shared" si="49"/>
        <v/>
      </c>
      <c r="M157" s="22" t="str">
        <f t="shared" si="50"/>
        <v/>
      </c>
      <c r="N157" s="72"/>
      <c r="O157" s="16" t="str">
        <f t="shared" si="51"/>
        <v/>
      </c>
      <c r="P157" s="16" t="str">
        <f t="shared" si="52"/>
        <v/>
      </c>
      <c r="Q157" s="16" t="str">
        <f t="shared" si="53"/>
        <v/>
      </c>
      <c r="R157" s="23" t="str">
        <f t="shared" si="54"/>
        <v/>
      </c>
      <c r="S157" s="23" t="str">
        <f t="shared" si="55"/>
        <v/>
      </c>
      <c r="T157" s="23" t="str">
        <f t="shared" si="56"/>
        <v/>
      </c>
      <c r="U157" s="23" t="str">
        <f t="shared" si="57"/>
        <v/>
      </c>
      <c r="V157" s="23" t="str">
        <f t="shared" si="58"/>
        <v/>
      </c>
      <c r="W157" s="70" t="str">
        <f t="shared" si="59"/>
        <v/>
      </c>
      <c r="X157" s="70" t="str">
        <f t="shared" si="60"/>
        <v/>
      </c>
      <c r="Y157" s="70" t="str">
        <f>IF(AND($A157&lt;&gt;"",$E157&gt;0),isLaptopBag($C157,$J157)*$D157,"")</f>
        <v/>
      </c>
      <c r="Z157" s="70" t="str">
        <f t="shared" si="61"/>
        <v/>
      </c>
      <c r="AA157" s="70" t="str">
        <f t="shared" si="62"/>
        <v/>
      </c>
      <c r="AB157" s="70" t="str">
        <f t="shared" si="63"/>
        <v/>
      </c>
      <c r="AC157" s="70" t="str">
        <f t="shared" si="64"/>
        <v/>
      </c>
      <c r="AD157" s="70" t="str">
        <f t="shared" si="65"/>
        <v/>
      </c>
      <c r="AE157" s="70" t="str">
        <f t="shared" si="66"/>
        <v/>
      </c>
      <c r="AF157" s="16"/>
      <c r="AG157" s="23"/>
      <c r="AH157" s="22"/>
      <c r="AJ157" s="83">
        <f t="shared" si="67"/>
        <v>0</v>
      </c>
      <c r="AO157" s="22" t="str">
        <f t="shared" si="68"/>
        <v/>
      </c>
      <c r="AP157" s="22" t="str">
        <f t="shared" si="69"/>
        <v/>
      </c>
    </row>
    <row r="158" spans="1:42" x14ac:dyDescent="0.25">
      <c r="A158" s="10"/>
      <c r="B158" s="10"/>
      <c r="C158" s="10"/>
      <c r="D158" s="10"/>
      <c r="E158" s="10"/>
      <c r="F158" s="10"/>
      <c r="G158" s="10"/>
      <c r="H158" s="17"/>
      <c r="I158" s="10"/>
      <c r="J158" s="10"/>
      <c r="K158" s="16" t="str">
        <f t="shared" si="48"/>
        <v/>
      </c>
      <c r="L158" s="23" t="str">
        <f t="shared" si="49"/>
        <v/>
      </c>
      <c r="M158" s="22" t="str">
        <f t="shared" si="50"/>
        <v/>
      </c>
      <c r="N158" s="72"/>
      <c r="O158" s="16" t="str">
        <f t="shared" si="51"/>
        <v/>
      </c>
      <c r="P158" s="16" t="str">
        <f t="shared" si="52"/>
        <v/>
      </c>
      <c r="Q158" s="16" t="str">
        <f t="shared" si="53"/>
        <v/>
      </c>
      <c r="R158" s="23" t="str">
        <f t="shared" si="54"/>
        <v/>
      </c>
      <c r="S158" s="23" t="str">
        <f t="shared" si="55"/>
        <v/>
      </c>
      <c r="T158" s="23" t="str">
        <f t="shared" si="56"/>
        <v/>
      </c>
      <c r="U158" s="23" t="str">
        <f t="shared" si="57"/>
        <v/>
      </c>
      <c r="V158" s="23" t="str">
        <f t="shared" si="58"/>
        <v/>
      </c>
      <c r="W158" s="70" t="str">
        <f t="shared" si="59"/>
        <v/>
      </c>
      <c r="X158" s="70" t="str">
        <f t="shared" si="60"/>
        <v/>
      </c>
      <c r="Y158" s="70" t="str">
        <f>IF(AND($A158&lt;&gt;"",$E158&gt;0),isLaptopBag($C158,$J158)*$D158,"")</f>
        <v/>
      </c>
      <c r="Z158" s="70" t="str">
        <f t="shared" si="61"/>
        <v/>
      </c>
      <c r="AA158" s="70" t="str">
        <f t="shared" si="62"/>
        <v/>
      </c>
      <c r="AB158" s="70" t="str">
        <f t="shared" si="63"/>
        <v/>
      </c>
      <c r="AC158" s="70" t="str">
        <f t="shared" si="64"/>
        <v/>
      </c>
      <c r="AD158" s="70" t="str">
        <f t="shared" si="65"/>
        <v/>
      </c>
      <c r="AE158" s="70" t="str">
        <f t="shared" si="66"/>
        <v/>
      </c>
      <c r="AF158" s="16"/>
      <c r="AG158" s="23"/>
      <c r="AH158" s="22"/>
      <c r="AJ158" s="83">
        <f t="shared" si="67"/>
        <v>0</v>
      </c>
      <c r="AO158" s="22" t="str">
        <f t="shared" si="68"/>
        <v/>
      </c>
      <c r="AP158" s="22" t="str">
        <f t="shared" si="69"/>
        <v/>
      </c>
    </row>
    <row r="159" spans="1:42" x14ac:dyDescent="0.25">
      <c r="A159" s="10"/>
      <c r="B159" s="10"/>
      <c r="C159" s="10"/>
      <c r="D159" s="10"/>
      <c r="E159" s="10"/>
      <c r="F159" s="10"/>
      <c r="G159" s="10"/>
      <c r="H159" s="17"/>
      <c r="I159" s="10"/>
      <c r="J159" s="10"/>
      <c r="K159" s="16" t="str">
        <f t="shared" si="48"/>
        <v/>
      </c>
      <c r="L159" s="23" t="str">
        <f t="shared" si="49"/>
        <v/>
      </c>
      <c r="M159" s="22" t="str">
        <f t="shared" si="50"/>
        <v/>
      </c>
      <c r="N159" s="72"/>
      <c r="O159" s="16" t="str">
        <f t="shared" si="51"/>
        <v/>
      </c>
      <c r="P159" s="16" t="str">
        <f t="shared" si="52"/>
        <v/>
      </c>
      <c r="Q159" s="16" t="str">
        <f t="shared" si="53"/>
        <v/>
      </c>
      <c r="R159" s="23" t="str">
        <f t="shared" si="54"/>
        <v/>
      </c>
      <c r="S159" s="23" t="str">
        <f t="shared" si="55"/>
        <v/>
      </c>
      <c r="T159" s="23" t="str">
        <f t="shared" si="56"/>
        <v/>
      </c>
      <c r="U159" s="23" t="str">
        <f t="shared" si="57"/>
        <v/>
      </c>
      <c r="V159" s="23" t="str">
        <f t="shared" si="58"/>
        <v/>
      </c>
      <c r="W159" s="70" t="str">
        <f t="shared" si="59"/>
        <v/>
      </c>
      <c r="X159" s="70" t="str">
        <f t="shared" si="60"/>
        <v/>
      </c>
      <c r="Y159" s="70" t="str">
        <f>IF(AND($A159&lt;&gt;"",$E159&gt;0),isLaptopBag($C159,$J159)*$D159,"")</f>
        <v/>
      </c>
      <c r="Z159" s="70" t="str">
        <f t="shared" si="61"/>
        <v/>
      </c>
      <c r="AA159" s="70" t="str">
        <f t="shared" si="62"/>
        <v/>
      </c>
      <c r="AB159" s="70" t="str">
        <f t="shared" si="63"/>
        <v/>
      </c>
      <c r="AC159" s="70" t="str">
        <f t="shared" si="64"/>
        <v/>
      </c>
      <c r="AD159" s="70" t="str">
        <f t="shared" si="65"/>
        <v/>
      </c>
      <c r="AE159" s="70" t="str">
        <f t="shared" si="66"/>
        <v/>
      </c>
      <c r="AF159" s="16"/>
      <c r="AG159" s="23"/>
      <c r="AH159" s="22"/>
      <c r="AJ159" s="83">
        <f t="shared" si="67"/>
        <v>0</v>
      </c>
      <c r="AO159" s="22" t="str">
        <f t="shared" si="68"/>
        <v/>
      </c>
      <c r="AP159" s="22" t="str">
        <f t="shared" si="69"/>
        <v/>
      </c>
    </row>
    <row r="160" spans="1:42" x14ac:dyDescent="0.25">
      <c r="A160" s="10"/>
      <c r="B160" s="10"/>
      <c r="C160" s="10"/>
      <c r="D160" s="10"/>
      <c r="E160" s="10"/>
      <c r="F160" s="10"/>
      <c r="G160" s="10"/>
      <c r="H160" s="17"/>
      <c r="I160" s="10"/>
      <c r="J160" s="10"/>
      <c r="K160" s="16" t="str">
        <f t="shared" si="48"/>
        <v/>
      </c>
      <c r="L160" s="23" t="str">
        <f t="shared" si="49"/>
        <v/>
      </c>
      <c r="M160" s="22" t="str">
        <f t="shared" si="50"/>
        <v/>
      </c>
      <c r="N160" s="72"/>
      <c r="O160" s="16" t="str">
        <f t="shared" si="51"/>
        <v/>
      </c>
      <c r="P160" s="16" t="str">
        <f t="shared" si="52"/>
        <v/>
      </c>
      <c r="Q160" s="16" t="str">
        <f t="shared" si="53"/>
        <v/>
      </c>
      <c r="R160" s="23" t="str">
        <f t="shared" si="54"/>
        <v/>
      </c>
      <c r="S160" s="23" t="str">
        <f t="shared" si="55"/>
        <v/>
      </c>
      <c r="T160" s="23" t="str">
        <f t="shared" si="56"/>
        <v/>
      </c>
      <c r="U160" s="23" t="str">
        <f t="shared" si="57"/>
        <v/>
      </c>
      <c r="V160" s="23" t="str">
        <f t="shared" si="58"/>
        <v/>
      </c>
      <c r="W160" s="70" t="str">
        <f t="shared" si="59"/>
        <v/>
      </c>
      <c r="X160" s="70" t="str">
        <f t="shared" si="60"/>
        <v/>
      </c>
      <c r="Y160" s="70" t="str">
        <f>IF(AND($A160&lt;&gt;"",$E160&gt;0),isLaptopBag($C160,$J160)*$D160,"")</f>
        <v/>
      </c>
      <c r="Z160" s="70" t="str">
        <f t="shared" si="61"/>
        <v/>
      </c>
      <c r="AA160" s="70" t="str">
        <f t="shared" si="62"/>
        <v/>
      </c>
      <c r="AB160" s="70" t="str">
        <f t="shared" si="63"/>
        <v/>
      </c>
      <c r="AC160" s="70" t="str">
        <f t="shared" si="64"/>
        <v/>
      </c>
      <c r="AD160" s="70" t="str">
        <f t="shared" si="65"/>
        <v/>
      </c>
      <c r="AE160" s="70" t="str">
        <f t="shared" si="66"/>
        <v/>
      </c>
      <c r="AF160" s="16"/>
      <c r="AG160" s="23"/>
      <c r="AH160" s="22"/>
      <c r="AJ160" s="83">
        <f t="shared" si="67"/>
        <v>0</v>
      </c>
      <c r="AO160" s="22" t="str">
        <f t="shared" si="68"/>
        <v/>
      </c>
      <c r="AP160" s="22" t="str">
        <f t="shared" si="69"/>
        <v/>
      </c>
    </row>
    <row r="161" spans="1:42" x14ac:dyDescent="0.25">
      <c r="A161" s="10"/>
      <c r="B161" s="10"/>
      <c r="C161" s="10"/>
      <c r="D161" s="10"/>
      <c r="E161" s="10"/>
      <c r="F161" s="10"/>
      <c r="G161" s="10"/>
      <c r="H161" s="17"/>
      <c r="I161" s="10"/>
      <c r="J161" s="10"/>
      <c r="K161" s="16" t="str">
        <f t="shared" si="48"/>
        <v/>
      </c>
      <c r="L161" s="23" t="str">
        <f t="shared" si="49"/>
        <v/>
      </c>
      <c r="M161" s="22" t="str">
        <f t="shared" si="50"/>
        <v/>
      </c>
      <c r="N161" s="72"/>
      <c r="O161" s="16" t="str">
        <f t="shared" si="51"/>
        <v/>
      </c>
      <c r="P161" s="16" t="str">
        <f t="shared" si="52"/>
        <v/>
      </c>
      <c r="Q161" s="16" t="str">
        <f t="shared" si="53"/>
        <v/>
      </c>
      <c r="R161" s="23" t="str">
        <f t="shared" si="54"/>
        <v/>
      </c>
      <c r="S161" s="23" t="str">
        <f t="shared" si="55"/>
        <v/>
      </c>
      <c r="T161" s="23" t="str">
        <f t="shared" si="56"/>
        <v/>
      </c>
      <c r="U161" s="23" t="str">
        <f t="shared" si="57"/>
        <v/>
      </c>
      <c r="V161" s="23" t="str">
        <f t="shared" si="58"/>
        <v/>
      </c>
      <c r="W161" s="70" t="str">
        <f t="shared" si="59"/>
        <v/>
      </c>
      <c r="X161" s="70" t="str">
        <f t="shared" si="60"/>
        <v/>
      </c>
      <c r="Y161" s="70" t="str">
        <f>IF(AND($A161&lt;&gt;"",$E161&gt;0),isLaptopBag($C161,$J161)*$D161,"")</f>
        <v/>
      </c>
      <c r="Z161" s="70" t="str">
        <f t="shared" si="61"/>
        <v/>
      </c>
      <c r="AA161" s="70" t="str">
        <f t="shared" si="62"/>
        <v/>
      </c>
      <c r="AB161" s="70" t="str">
        <f t="shared" si="63"/>
        <v/>
      </c>
      <c r="AC161" s="70" t="str">
        <f t="shared" si="64"/>
        <v/>
      </c>
      <c r="AD161" s="70" t="str">
        <f t="shared" si="65"/>
        <v/>
      </c>
      <c r="AE161" s="70" t="str">
        <f t="shared" si="66"/>
        <v/>
      </c>
      <c r="AF161" s="16"/>
      <c r="AG161" s="23"/>
      <c r="AH161" s="22"/>
      <c r="AJ161" s="83">
        <f t="shared" si="67"/>
        <v>0</v>
      </c>
      <c r="AO161" s="22" t="str">
        <f t="shared" si="68"/>
        <v/>
      </c>
      <c r="AP161" s="22" t="str">
        <f t="shared" si="69"/>
        <v/>
      </c>
    </row>
    <row r="162" spans="1:42" x14ac:dyDescent="0.25">
      <c r="A162" s="10"/>
      <c r="B162" s="10"/>
      <c r="C162" s="10"/>
      <c r="D162" s="10"/>
      <c r="E162" s="10"/>
      <c r="F162" s="10"/>
      <c r="G162" s="10"/>
      <c r="H162" s="17"/>
      <c r="I162" s="10"/>
      <c r="J162" s="10"/>
      <c r="K162" s="16" t="str">
        <f t="shared" si="48"/>
        <v/>
      </c>
      <c r="L162" s="23" t="str">
        <f t="shared" si="49"/>
        <v/>
      </c>
      <c r="M162" s="22" t="str">
        <f t="shared" si="50"/>
        <v/>
      </c>
      <c r="N162" s="72"/>
      <c r="O162" s="16" t="str">
        <f t="shared" si="51"/>
        <v/>
      </c>
      <c r="P162" s="16" t="str">
        <f t="shared" si="52"/>
        <v/>
      </c>
      <c r="Q162" s="16" t="str">
        <f t="shared" si="53"/>
        <v/>
      </c>
      <c r="R162" s="23" t="str">
        <f t="shared" si="54"/>
        <v/>
      </c>
      <c r="S162" s="23" t="str">
        <f t="shared" si="55"/>
        <v/>
      </c>
      <c r="T162" s="23" t="str">
        <f t="shared" si="56"/>
        <v/>
      </c>
      <c r="U162" s="23" t="str">
        <f t="shared" si="57"/>
        <v/>
      </c>
      <c r="V162" s="23" t="str">
        <f t="shared" si="58"/>
        <v/>
      </c>
      <c r="W162" s="70" t="str">
        <f t="shared" si="59"/>
        <v/>
      </c>
      <c r="X162" s="70" t="str">
        <f t="shared" si="60"/>
        <v/>
      </c>
      <c r="Y162" s="70" t="str">
        <f>IF(AND($A162&lt;&gt;"",$E162&gt;0),isLaptopBag($C162,$J162)*$D162,"")</f>
        <v/>
      </c>
      <c r="Z162" s="70" t="str">
        <f t="shared" si="61"/>
        <v/>
      </c>
      <c r="AA162" s="70" t="str">
        <f t="shared" si="62"/>
        <v/>
      </c>
      <c r="AB162" s="70" t="str">
        <f t="shared" si="63"/>
        <v/>
      </c>
      <c r="AC162" s="70" t="str">
        <f t="shared" si="64"/>
        <v/>
      </c>
      <c r="AD162" s="70" t="str">
        <f t="shared" si="65"/>
        <v/>
      </c>
      <c r="AE162" s="70" t="str">
        <f t="shared" si="66"/>
        <v/>
      </c>
      <c r="AF162" s="16"/>
      <c r="AG162" s="23"/>
      <c r="AH162" s="22"/>
      <c r="AJ162" s="83">
        <f t="shared" si="67"/>
        <v>0</v>
      </c>
      <c r="AO162" s="22" t="str">
        <f t="shared" si="68"/>
        <v/>
      </c>
      <c r="AP162" s="22" t="str">
        <f t="shared" si="69"/>
        <v/>
      </c>
    </row>
    <row r="163" spans="1:42" x14ac:dyDescent="0.25">
      <c r="A163" s="10"/>
      <c r="B163" s="10"/>
      <c r="C163" s="10"/>
      <c r="D163" s="10"/>
      <c r="E163" s="10"/>
      <c r="F163" s="10"/>
      <c r="G163" s="10"/>
      <c r="H163" s="17"/>
      <c r="I163" s="10"/>
      <c r="J163" s="10"/>
      <c r="K163" s="16" t="str">
        <f t="shared" si="48"/>
        <v/>
      </c>
      <c r="L163" s="23" t="str">
        <f t="shared" si="49"/>
        <v/>
      </c>
      <c r="M163" s="22" t="str">
        <f t="shared" si="50"/>
        <v/>
      </c>
      <c r="N163" s="72"/>
      <c r="O163" s="16" t="str">
        <f t="shared" si="51"/>
        <v/>
      </c>
      <c r="P163" s="16" t="str">
        <f t="shared" si="52"/>
        <v/>
      </c>
      <c r="Q163" s="16" t="str">
        <f t="shared" si="53"/>
        <v/>
      </c>
      <c r="R163" s="23" t="str">
        <f t="shared" si="54"/>
        <v/>
      </c>
      <c r="S163" s="23" t="str">
        <f t="shared" si="55"/>
        <v/>
      </c>
      <c r="T163" s="23" t="str">
        <f t="shared" si="56"/>
        <v/>
      </c>
      <c r="U163" s="23" t="str">
        <f t="shared" si="57"/>
        <v/>
      </c>
      <c r="V163" s="23" t="str">
        <f t="shared" si="58"/>
        <v/>
      </c>
      <c r="W163" s="70" t="str">
        <f t="shared" si="59"/>
        <v/>
      </c>
      <c r="X163" s="70" t="str">
        <f t="shared" si="60"/>
        <v/>
      </c>
      <c r="Y163" s="70" t="str">
        <f>IF(AND($A163&lt;&gt;"",$E163&gt;0),isLaptopBag($C163,$J163)*$D163,"")</f>
        <v/>
      </c>
      <c r="Z163" s="70" t="str">
        <f t="shared" si="61"/>
        <v/>
      </c>
      <c r="AA163" s="70" t="str">
        <f t="shared" si="62"/>
        <v/>
      </c>
      <c r="AB163" s="70" t="str">
        <f t="shared" si="63"/>
        <v/>
      </c>
      <c r="AC163" s="70" t="str">
        <f t="shared" si="64"/>
        <v/>
      </c>
      <c r="AD163" s="70" t="str">
        <f t="shared" si="65"/>
        <v/>
      </c>
      <c r="AE163" s="70" t="str">
        <f t="shared" si="66"/>
        <v/>
      </c>
      <c r="AF163" s="16"/>
      <c r="AG163" s="23"/>
      <c r="AH163" s="22"/>
      <c r="AJ163" s="83">
        <f t="shared" si="67"/>
        <v>0</v>
      </c>
      <c r="AO163" s="22" t="str">
        <f t="shared" si="68"/>
        <v/>
      </c>
      <c r="AP163" s="22" t="str">
        <f t="shared" si="69"/>
        <v/>
      </c>
    </row>
    <row r="164" spans="1:42" x14ac:dyDescent="0.25">
      <c r="A164" s="10"/>
      <c r="B164" s="10"/>
      <c r="C164" s="10"/>
      <c r="D164" s="10"/>
      <c r="E164" s="10"/>
      <c r="F164" s="10"/>
      <c r="G164" s="10"/>
      <c r="H164" s="17"/>
      <c r="I164" s="10"/>
      <c r="J164" s="10"/>
      <c r="K164" s="16" t="str">
        <f t="shared" si="48"/>
        <v/>
      </c>
      <c r="L164" s="23" t="str">
        <f t="shared" si="49"/>
        <v/>
      </c>
      <c r="M164" s="22" t="str">
        <f t="shared" si="50"/>
        <v/>
      </c>
      <c r="N164" s="72"/>
      <c r="O164" s="16" t="str">
        <f t="shared" si="51"/>
        <v/>
      </c>
      <c r="P164" s="16" t="str">
        <f t="shared" si="52"/>
        <v/>
      </c>
      <c r="Q164" s="16" t="str">
        <f t="shared" si="53"/>
        <v/>
      </c>
      <c r="R164" s="23" t="str">
        <f t="shared" si="54"/>
        <v/>
      </c>
      <c r="S164" s="23" t="str">
        <f t="shared" si="55"/>
        <v/>
      </c>
      <c r="T164" s="23" t="str">
        <f t="shared" si="56"/>
        <v/>
      </c>
      <c r="U164" s="23" t="str">
        <f t="shared" si="57"/>
        <v/>
      </c>
      <c r="V164" s="23" t="str">
        <f t="shared" si="58"/>
        <v/>
      </c>
      <c r="W164" s="70" t="str">
        <f t="shared" si="59"/>
        <v/>
      </c>
      <c r="X164" s="70" t="str">
        <f t="shared" si="60"/>
        <v/>
      </c>
      <c r="Y164" s="70" t="str">
        <f>IF(AND($A164&lt;&gt;"",$E164&gt;0),isLaptopBag($C164,$J164)*$D164,"")</f>
        <v/>
      </c>
      <c r="Z164" s="70" t="str">
        <f t="shared" si="61"/>
        <v/>
      </c>
      <c r="AA164" s="70" t="str">
        <f t="shared" si="62"/>
        <v/>
      </c>
      <c r="AB164" s="70" t="str">
        <f t="shared" si="63"/>
        <v/>
      </c>
      <c r="AC164" s="70" t="str">
        <f t="shared" si="64"/>
        <v/>
      </c>
      <c r="AD164" s="70" t="str">
        <f t="shared" si="65"/>
        <v/>
      </c>
      <c r="AE164" s="70" t="str">
        <f t="shared" si="66"/>
        <v/>
      </c>
      <c r="AF164" s="16"/>
      <c r="AG164" s="23"/>
      <c r="AH164" s="22"/>
      <c r="AJ164" s="83">
        <f t="shared" si="67"/>
        <v>0</v>
      </c>
      <c r="AO164" s="22" t="str">
        <f t="shared" si="68"/>
        <v/>
      </c>
      <c r="AP164" s="22" t="str">
        <f t="shared" si="69"/>
        <v/>
      </c>
    </row>
    <row r="165" spans="1:42" x14ac:dyDescent="0.25">
      <c r="A165" s="10"/>
      <c r="B165" s="10"/>
      <c r="C165" s="10"/>
      <c r="D165" s="10"/>
      <c r="E165" s="10"/>
      <c r="F165" s="10"/>
      <c r="G165" s="10"/>
      <c r="H165" s="17"/>
      <c r="I165" s="10"/>
      <c r="J165" s="10"/>
      <c r="K165" s="16" t="str">
        <f t="shared" si="48"/>
        <v/>
      </c>
      <c r="L165" s="23" t="str">
        <f t="shared" si="49"/>
        <v/>
      </c>
      <c r="M165" s="22" t="str">
        <f t="shared" si="50"/>
        <v/>
      </c>
      <c r="N165" s="72"/>
      <c r="O165" s="16" t="str">
        <f t="shared" si="51"/>
        <v/>
      </c>
      <c r="P165" s="16" t="str">
        <f t="shared" si="52"/>
        <v/>
      </c>
      <c r="Q165" s="16" t="str">
        <f t="shared" si="53"/>
        <v/>
      </c>
      <c r="R165" s="23" t="str">
        <f t="shared" si="54"/>
        <v/>
      </c>
      <c r="S165" s="23" t="str">
        <f t="shared" si="55"/>
        <v/>
      </c>
      <c r="T165" s="23" t="str">
        <f t="shared" si="56"/>
        <v/>
      </c>
      <c r="U165" s="23" t="str">
        <f t="shared" si="57"/>
        <v/>
      </c>
      <c r="V165" s="23" t="str">
        <f t="shared" si="58"/>
        <v/>
      </c>
      <c r="W165" s="70" t="str">
        <f t="shared" si="59"/>
        <v/>
      </c>
      <c r="X165" s="70" t="str">
        <f t="shared" si="60"/>
        <v/>
      </c>
      <c r="Y165" s="70" t="str">
        <f>IF(AND($A165&lt;&gt;"",$E165&gt;0),isLaptopBag($C165,$J165)*$D165,"")</f>
        <v/>
      </c>
      <c r="Z165" s="70" t="str">
        <f t="shared" si="61"/>
        <v/>
      </c>
      <c r="AA165" s="70" t="str">
        <f t="shared" si="62"/>
        <v/>
      </c>
      <c r="AB165" s="70" t="str">
        <f t="shared" si="63"/>
        <v/>
      </c>
      <c r="AC165" s="70" t="str">
        <f t="shared" si="64"/>
        <v/>
      </c>
      <c r="AD165" s="70" t="str">
        <f t="shared" si="65"/>
        <v/>
      </c>
      <c r="AE165" s="70" t="str">
        <f t="shared" si="66"/>
        <v/>
      </c>
      <c r="AF165" s="16"/>
      <c r="AG165" s="23"/>
      <c r="AH165" s="22"/>
      <c r="AJ165" s="83">
        <f t="shared" si="67"/>
        <v>0</v>
      </c>
      <c r="AO165" s="22" t="str">
        <f t="shared" si="68"/>
        <v/>
      </c>
      <c r="AP165" s="22" t="str">
        <f t="shared" si="69"/>
        <v/>
      </c>
    </row>
    <row r="166" spans="1:42" x14ac:dyDescent="0.25">
      <c r="A166" s="10"/>
      <c r="B166" s="10"/>
      <c r="C166" s="10"/>
      <c r="D166" s="10"/>
      <c r="E166" s="10"/>
      <c r="F166" s="10"/>
      <c r="G166" s="10"/>
      <c r="H166" s="17"/>
      <c r="I166" s="10"/>
      <c r="J166" s="10"/>
      <c r="K166" s="16" t="str">
        <f t="shared" si="48"/>
        <v/>
      </c>
      <c r="L166" s="23" t="str">
        <f t="shared" si="49"/>
        <v/>
      </c>
      <c r="M166" s="22" t="str">
        <f t="shared" si="50"/>
        <v/>
      </c>
      <c r="N166" s="72"/>
      <c r="O166" s="16" t="str">
        <f t="shared" si="51"/>
        <v/>
      </c>
      <c r="P166" s="16" t="str">
        <f t="shared" si="52"/>
        <v/>
      </c>
      <c r="Q166" s="16" t="str">
        <f t="shared" si="53"/>
        <v/>
      </c>
      <c r="R166" s="23" t="str">
        <f t="shared" si="54"/>
        <v/>
      </c>
      <c r="S166" s="23" t="str">
        <f t="shared" si="55"/>
        <v/>
      </c>
      <c r="T166" s="23" t="str">
        <f t="shared" si="56"/>
        <v/>
      </c>
      <c r="U166" s="23" t="str">
        <f t="shared" si="57"/>
        <v/>
      </c>
      <c r="V166" s="23" t="str">
        <f t="shared" si="58"/>
        <v/>
      </c>
      <c r="W166" s="70" t="str">
        <f t="shared" si="59"/>
        <v/>
      </c>
      <c r="X166" s="70" t="str">
        <f t="shared" si="60"/>
        <v/>
      </c>
      <c r="Y166" s="70" t="str">
        <f>IF(AND($A166&lt;&gt;"",$E166&gt;0),isLaptopBag($C166,$J166)*$D166,"")</f>
        <v/>
      </c>
      <c r="Z166" s="70" t="str">
        <f t="shared" si="61"/>
        <v/>
      </c>
      <c r="AA166" s="70" t="str">
        <f t="shared" si="62"/>
        <v/>
      </c>
      <c r="AB166" s="70" t="str">
        <f t="shared" si="63"/>
        <v/>
      </c>
      <c r="AC166" s="70" t="str">
        <f t="shared" si="64"/>
        <v/>
      </c>
      <c r="AD166" s="70" t="str">
        <f t="shared" si="65"/>
        <v/>
      </c>
      <c r="AE166" s="70" t="str">
        <f t="shared" si="66"/>
        <v/>
      </c>
      <c r="AF166" s="16"/>
      <c r="AG166" s="23"/>
      <c r="AH166" s="22"/>
      <c r="AJ166" s="83">
        <f t="shared" si="67"/>
        <v>0</v>
      </c>
      <c r="AO166" s="22" t="str">
        <f t="shared" si="68"/>
        <v/>
      </c>
      <c r="AP166" s="22" t="str">
        <f t="shared" si="69"/>
        <v/>
      </c>
    </row>
    <row r="167" spans="1:42" x14ac:dyDescent="0.25">
      <c r="A167" s="10"/>
      <c r="B167" s="10"/>
      <c r="C167" s="10"/>
      <c r="D167" s="10"/>
      <c r="E167" s="10"/>
      <c r="F167" s="10"/>
      <c r="G167" s="10"/>
      <c r="H167" s="17"/>
      <c r="I167" s="10"/>
      <c r="J167" s="10"/>
      <c r="K167" s="16" t="str">
        <f t="shared" si="48"/>
        <v/>
      </c>
      <c r="L167" s="23" t="str">
        <f t="shared" si="49"/>
        <v/>
      </c>
      <c r="M167" s="22" t="str">
        <f t="shared" si="50"/>
        <v/>
      </c>
      <c r="N167" s="72"/>
      <c r="O167" s="16" t="str">
        <f t="shared" si="51"/>
        <v/>
      </c>
      <c r="P167" s="16" t="str">
        <f t="shared" si="52"/>
        <v/>
      </c>
      <c r="Q167" s="16" t="str">
        <f t="shared" si="53"/>
        <v/>
      </c>
      <c r="R167" s="23" t="str">
        <f t="shared" si="54"/>
        <v/>
      </c>
      <c r="S167" s="23" t="str">
        <f t="shared" si="55"/>
        <v/>
      </c>
      <c r="T167" s="23" t="str">
        <f t="shared" si="56"/>
        <v/>
      </c>
      <c r="U167" s="23" t="str">
        <f t="shared" si="57"/>
        <v/>
      </c>
      <c r="V167" s="23" t="str">
        <f t="shared" si="58"/>
        <v/>
      </c>
      <c r="W167" s="70" t="str">
        <f t="shared" si="59"/>
        <v/>
      </c>
      <c r="X167" s="70" t="str">
        <f t="shared" si="60"/>
        <v/>
      </c>
      <c r="Y167" s="70" t="str">
        <f>IF(AND($A167&lt;&gt;"",$E167&gt;0),isLaptopBag($C167,$J167)*$D167,"")</f>
        <v/>
      </c>
      <c r="Z167" s="70" t="str">
        <f t="shared" si="61"/>
        <v/>
      </c>
      <c r="AA167" s="70" t="str">
        <f t="shared" si="62"/>
        <v/>
      </c>
      <c r="AB167" s="70" t="str">
        <f t="shared" si="63"/>
        <v/>
      </c>
      <c r="AC167" s="70" t="str">
        <f t="shared" si="64"/>
        <v/>
      </c>
      <c r="AD167" s="70" t="str">
        <f t="shared" si="65"/>
        <v/>
      </c>
      <c r="AE167" s="70" t="str">
        <f t="shared" si="66"/>
        <v/>
      </c>
      <c r="AF167" s="16"/>
      <c r="AG167" s="23"/>
      <c r="AH167" s="22"/>
      <c r="AJ167" s="83">
        <f t="shared" si="67"/>
        <v>0</v>
      </c>
      <c r="AO167" s="22" t="str">
        <f t="shared" si="68"/>
        <v/>
      </c>
      <c r="AP167" s="22" t="str">
        <f t="shared" si="69"/>
        <v/>
      </c>
    </row>
    <row r="168" spans="1:42" x14ac:dyDescent="0.25">
      <c r="A168" s="10"/>
      <c r="B168" s="10"/>
      <c r="C168" s="10"/>
      <c r="D168" s="10"/>
      <c r="E168" s="10"/>
      <c r="F168" s="10"/>
      <c r="G168" s="10"/>
      <c r="H168" s="17"/>
      <c r="I168" s="10"/>
      <c r="J168" s="10"/>
      <c r="K168" s="16" t="str">
        <f t="shared" si="48"/>
        <v/>
      </c>
      <c r="L168" s="23" t="str">
        <f t="shared" si="49"/>
        <v/>
      </c>
      <c r="M168" s="22" t="str">
        <f t="shared" si="50"/>
        <v/>
      </c>
      <c r="N168" s="72"/>
      <c r="O168" s="16" t="str">
        <f t="shared" si="51"/>
        <v/>
      </c>
      <c r="P168" s="16" t="str">
        <f t="shared" si="52"/>
        <v/>
      </c>
      <c r="Q168" s="16" t="str">
        <f t="shared" si="53"/>
        <v/>
      </c>
      <c r="R168" s="23" t="str">
        <f t="shared" si="54"/>
        <v/>
      </c>
      <c r="S168" s="23" t="str">
        <f t="shared" si="55"/>
        <v/>
      </c>
      <c r="T168" s="23" t="str">
        <f t="shared" si="56"/>
        <v/>
      </c>
      <c r="U168" s="23" t="str">
        <f t="shared" si="57"/>
        <v/>
      </c>
      <c r="V168" s="23" t="str">
        <f t="shared" si="58"/>
        <v/>
      </c>
      <c r="W168" s="70" t="str">
        <f t="shared" si="59"/>
        <v/>
      </c>
      <c r="X168" s="70" t="str">
        <f t="shared" si="60"/>
        <v/>
      </c>
      <c r="Y168" s="70" t="str">
        <f>IF(AND($A168&lt;&gt;"",$E168&gt;0),isLaptopBag($C168,$J168)*$D168,"")</f>
        <v/>
      </c>
      <c r="Z168" s="70" t="str">
        <f t="shared" si="61"/>
        <v/>
      </c>
      <c r="AA168" s="70" t="str">
        <f t="shared" si="62"/>
        <v/>
      </c>
      <c r="AB168" s="70" t="str">
        <f t="shared" si="63"/>
        <v/>
      </c>
      <c r="AC168" s="70" t="str">
        <f t="shared" si="64"/>
        <v/>
      </c>
      <c r="AD168" s="70" t="str">
        <f t="shared" si="65"/>
        <v/>
      </c>
      <c r="AE168" s="70" t="str">
        <f t="shared" si="66"/>
        <v/>
      </c>
      <c r="AF168" s="16"/>
      <c r="AG168" s="23"/>
      <c r="AH168" s="22"/>
      <c r="AJ168" s="83">
        <f t="shared" si="67"/>
        <v>0</v>
      </c>
      <c r="AO168" s="22" t="str">
        <f t="shared" si="68"/>
        <v/>
      </c>
      <c r="AP168" s="22" t="str">
        <f t="shared" si="69"/>
        <v/>
      </c>
    </row>
    <row r="169" spans="1:42" x14ac:dyDescent="0.25">
      <c r="A169" s="10"/>
      <c r="B169" s="10"/>
      <c r="C169" s="10"/>
      <c r="D169" s="10"/>
      <c r="E169" s="10"/>
      <c r="F169" s="10"/>
      <c r="G169" s="10"/>
      <c r="H169" s="17"/>
      <c r="I169" s="10"/>
      <c r="J169" s="10"/>
      <c r="K169" s="16" t="str">
        <f t="shared" si="48"/>
        <v/>
      </c>
      <c r="L169" s="23" t="str">
        <f t="shared" si="49"/>
        <v/>
      </c>
      <c r="M169" s="22" t="str">
        <f t="shared" si="50"/>
        <v/>
      </c>
      <c r="N169" s="72"/>
      <c r="O169" s="16" t="str">
        <f t="shared" si="51"/>
        <v/>
      </c>
      <c r="P169" s="16" t="str">
        <f t="shared" si="52"/>
        <v/>
      </c>
      <c r="Q169" s="16" t="str">
        <f t="shared" si="53"/>
        <v/>
      </c>
      <c r="R169" s="23" t="str">
        <f t="shared" si="54"/>
        <v/>
      </c>
      <c r="S169" s="23" t="str">
        <f t="shared" si="55"/>
        <v/>
      </c>
      <c r="T169" s="23" t="str">
        <f t="shared" si="56"/>
        <v/>
      </c>
      <c r="U169" s="23" t="str">
        <f t="shared" si="57"/>
        <v/>
      </c>
      <c r="V169" s="23" t="str">
        <f t="shared" si="58"/>
        <v/>
      </c>
      <c r="W169" s="70" t="str">
        <f t="shared" si="59"/>
        <v/>
      </c>
      <c r="X169" s="70" t="str">
        <f t="shared" si="60"/>
        <v/>
      </c>
      <c r="Y169" s="70" t="str">
        <f>IF(AND($A169&lt;&gt;"",$E169&gt;0),isLaptopBag($C169,$J169)*$D169,"")</f>
        <v/>
      </c>
      <c r="Z169" s="70" t="str">
        <f t="shared" si="61"/>
        <v/>
      </c>
      <c r="AA169" s="70" t="str">
        <f t="shared" si="62"/>
        <v/>
      </c>
      <c r="AB169" s="70" t="str">
        <f t="shared" si="63"/>
        <v/>
      </c>
      <c r="AC169" s="70" t="str">
        <f t="shared" si="64"/>
        <v/>
      </c>
      <c r="AD169" s="70" t="str">
        <f t="shared" si="65"/>
        <v/>
      </c>
      <c r="AE169" s="70" t="str">
        <f t="shared" si="66"/>
        <v/>
      </c>
      <c r="AF169" s="16"/>
      <c r="AG169" s="23"/>
      <c r="AH169" s="22"/>
      <c r="AJ169" s="83">
        <f t="shared" si="67"/>
        <v>0</v>
      </c>
      <c r="AO169" s="22" t="str">
        <f t="shared" si="68"/>
        <v/>
      </c>
      <c r="AP169" s="22" t="str">
        <f t="shared" si="69"/>
        <v/>
      </c>
    </row>
    <row r="170" spans="1:42" x14ac:dyDescent="0.25">
      <c r="A170" s="10"/>
      <c r="B170" s="10"/>
      <c r="C170" s="10"/>
      <c r="D170" s="10"/>
      <c r="E170" s="10"/>
      <c r="F170" s="10"/>
      <c r="G170" s="10"/>
      <c r="H170" s="17"/>
      <c r="I170" s="10"/>
      <c r="J170" s="10"/>
      <c r="K170" s="16" t="str">
        <f t="shared" si="48"/>
        <v/>
      </c>
      <c r="L170" s="23" t="str">
        <f t="shared" si="49"/>
        <v/>
      </c>
      <c r="M170" s="22" t="str">
        <f t="shared" si="50"/>
        <v/>
      </c>
      <c r="N170" s="72"/>
      <c r="O170" s="16" t="str">
        <f t="shared" si="51"/>
        <v/>
      </c>
      <c r="P170" s="16" t="str">
        <f t="shared" si="52"/>
        <v/>
      </c>
      <c r="Q170" s="16" t="str">
        <f t="shared" si="53"/>
        <v/>
      </c>
      <c r="R170" s="23" t="str">
        <f t="shared" si="54"/>
        <v/>
      </c>
      <c r="S170" s="23" t="str">
        <f t="shared" si="55"/>
        <v/>
      </c>
      <c r="T170" s="23" t="str">
        <f t="shared" si="56"/>
        <v/>
      </c>
      <c r="U170" s="23" t="str">
        <f t="shared" si="57"/>
        <v/>
      </c>
      <c r="V170" s="23" t="str">
        <f t="shared" si="58"/>
        <v/>
      </c>
      <c r="W170" s="70" t="str">
        <f t="shared" si="59"/>
        <v/>
      </c>
      <c r="X170" s="70" t="str">
        <f t="shared" si="60"/>
        <v/>
      </c>
      <c r="Y170" s="70" t="str">
        <f>IF(AND($A170&lt;&gt;"",$E170&gt;0),isLaptopBag($C170,$J170)*$D170,"")</f>
        <v/>
      </c>
      <c r="Z170" s="70" t="str">
        <f t="shared" si="61"/>
        <v/>
      </c>
      <c r="AA170" s="70" t="str">
        <f t="shared" si="62"/>
        <v/>
      </c>
      <c r="AB170" s="70" t="str">
        <f t="shared" si="63"/>
        <v/>
      </c>
      <c r="AC170" s="70" t="str">
        <f t="shared" si="64"/>
        <v/>
      </c>
      <c r="AD170" s="70" t="str">
        <f t="shared" si="65"/>
        <v/>
      </c>
      <c r="AE170" s="70" t="str">
        <f t="shared" si="66"/>
        <v/>
      </c>
      <c r="AF170" s="16"/>
      <c r="AG170" s="23"/>
      <c r="AH170" s="22"/>
      <c r="AJ170" s="83">
        <f t="shared" si="67"/>
        <v>0</v>
      </c>
      <c r="AO170" s="22" t="str">
        <f t="shared" si="68"/>
        <v/>
      </c>
      <c r="AP170" s="22" t="str">
        <f t="shared" si="69"/>
        <v/>
      </c>
    </row>
    <row r="171" spans="1:42" x14ac:dyDescent="0.25">
      <c r="A171" s="10"/>
      <c r="B171" s="10"/>
      <c r="C171" s="10"/>
      <c r="D171" s="10"/>
      <c r="E171" s="10"/>
      <c r="F171" s="10"/>
      <c r="G171" s="10"/>
      <c r="H171" s="17"/>
      <c r="I171" s="10"/>
      <c r="J171" s="10"/>
      <c r="K171" s="16" t="str">
        <f t="shared" si="48"/>
        <v/>
      </c>
      <c r="L171" s="23" t="str">
        <f t="shared" si="49"/>
        <v/>
      </c>
      <c r="M171" s="22" t="str">
        <f t="shared" si="50"/>
        <v/>
      </c>
      <c r="N171" s="72"/>
      <c r="O171" s="16" t="str">
        <f t="shared" si="51"/>
        <v/>
      </c>
      <c r="P171" s="16" t="str">
        <f t="shared" si="52"/>
        <v/>
      </c>
      <c r="Q171" s="16" t="str">
        <f t="shared" si="53"/>
        <v/>
      </c>
      <c r="R171" s="23" t="str">
        <f t="shared" si="54"/>
        <v/>
      </c>
      <c r="S171" s="23" t="str">
        <f t="shared" si="55"/>
        <v/>
      </c>
      <c r="T171" s="23" t="str">
        <f t="shared" si="56"/>
        <v/>
      </c>
      <c r="U171" s="23" t="str">
        <f t="shared" si="57"/>
        <v/>
      </c>
      <c r="V171" s="23" t="str">
        <f t="shared" si="58"/>
        <v/>
      </c>
      <c r="W171" s="70" t="str">
        <f t="shared" si="59"/>
        <v/>
      </c>
      <c r="X171" s="70" t="str">
        <f t="shared" si="60"/>
        <v/>
      </c>
      <c r="Y171" s="70" t="str">
        <f>IF(AND($A171&lt;&gt;"",$E171&gt;0),isLaptopBag($C171,$J171)*$D171,"")</f>
        <v/>
      </c>
      <c r="Z171" s="70" t="str">
        <f t="shared" si="61"/>
        <v/>
      </c>
      <c r="AA171" s="70" t="str">
        <f t="shared" si="62"/>
        <v/>
      </c>
      <c r="AB171" s="70" t="str">
        <f t="shared" si="63"/>
        <v/>
      </c>
      <c r="AC171" s="70" t="str">
        <f t="shared" si="64"/>
        <v/>
      </c>
      <c r="AD171" s="70" t="str">
        <f t="shared" si="65"/>
        <v/>
      </c>
      <c r="AE171" s="70" t="str">
        <f t="shared" si="66"/>
        <v/>
      </c>
      <c r="AF171" s="16"/>
      <c r="AG171" s="23"/>
      <c r="AH171" s="22"/>
      <c r="AJ171" s="83">
        <f t="shared" si="67"/>
        <v>0</v>
      </c>
      <c r="AO171" s="22" t="str">
        <f t="shared" si="68"/>
        <v/>
      </c>
      <c r="AP171" s="22" t="str">
        <f t="shared" si="69"/>
        <v/>
      </c>
    </row>
    <row r="172" spans="1:42" x14ac:dyDescent="0.25">
      <c r="A172" s="10"/>
      <c r="B172" s="10"/>
      <c r="C172" s="10"/>
      <c r="D172" s="10"/>
      <c r="E172" s="10"/>
      <c r="F172" s="10"/>
      <c r="G172" s="10"/>
      <c r="H172" s="17"/>
      <c r="I172" s="10"/>
      <c r="J172" s="10"/>
      <c r="K172" s="16" t="str">
        <f t="shared" si="48"/>
        <v/>
      </c>
      <c r="L172" s="23" t="str">
        <f t="shared" si="49"/>
        <v/>
      </c>
      <c r="M172" s="22" t="str">
        <f t="shared" si="50"/>
        <v/>
      </c>
      <c r="N172" s="72"/>
      <c r="O172" s="16" t="str">
        <f t="shared" si="51"/>
        <v/>
      </c>
      <c r="P172" s="16" t="str">
        <f t="shared" si="52"/>
        <v/>
      </c>
      <c r="Q172" s="16" t="str">
        <f t="shared" si="53"/>
        <v/>
      </c>
      <c r="R172" s="23" t="str">
        <f t="shared" si="54"/>
        <v/>
      </c>
      <c r="S172" s="23" t="str">
        <f t="shared" si="55"/>
        <v/>
      </c>
      <c r="T172" s="23" t="str">
        <f t="shared" si="56"/>
        <v/>
      </c>
      <c r="U172" s="23" t="str">
        <f t="shared" si="57"/>
        <v/>
      </c>
      <c r="V172" s="23" t="str">
        <f t="shared" si="58"/>
        <v/>
      </c>
      <c r="W172" s="70" t="str">
        <f t="shared" si="59"/>
        <v/>
      </c>
      <c r="X172" s="70" t="str">
        <f t="shared" si="60"/>
        <v/>
      </c>
      <c r="Y172" s="70" t="str">
        <f>IF(AND($A172&lt;&gt;"",$E172&gt;0),isLaptopBag($C172,$J172)*$D172,"")</f>
        <v/>
      </c>
      <c r="Z172" s="70" t="str">
        <f t="shared" si="61"/>
        <v/>
      </c>
      <c r="AA172" s="70" t="str">
        <f t="shared" si="62"/>
        <v/>
      </c>
      <c r="AB172" s="70" t="str">
        <f t="shared" si="63"/>
        <v/>
      </c>
      <c r="AC172" s="70" t="str">
        <f t="shared" si="64"/>
        <v/>
      </c>
      <c r="AD172" s="70" t="str">
        <f t="shared" si="65"/>
        <v/>
      </c>
      <c r="AE172" s="70" t="str">
        <f t="shared" si="66"/>
        <v/>
      </c>
      <c r="AF172" s="16"/>
      <c r="AG172" s="23"/>
      <c r="AH172" s="22"/>
      <c r="AJ172" s="83">
        <f t="shared" si="67"/>
        <v>0</v>
      </c>
      <c r="AO172" s="22" t="str">
        <f t="shared" si="68"/>
        <v/>
      </c>
      <c r="AP172" s="22" t="str">
        <f t="shared" si="69"/>
        <v/>
      </c>
    </row>
    <row r="173" spans="1:42" x14ac:dyDescent="0.25">
      <c r="A173" s="10"/>
      <c r="B173" s="10"/>
      <c r="C173" s="10"/>
      <c r="D173" s="10"/>
      <c r="E173" s="10"/>
      <c r="F173" s="10"/>
      <c r="G173" s="10"/>
      <c r="H173" s="17"/>
      <c r="I173" s="10"/>
      <c r="J173" s="10"/>
      <c r="K173" s="16" t="str">
        <f t="shared" si="48"/>
        <v/>
      </c>
      <c r="L173" s="23" t="str">
        <f t="shared" si="49"/>
        <v/>
      </c>
      <c r="M173" s="22" t="str">
        <f t="shared" si="50"/>
        <v/>
      </c>
      <c r="N173" s="72"/>
      <c r="O173" s="16" t="str">
        <f t="shared" si="51"/>
        <v/>
      </c>
      <c r="P173" s="16" t="str">
        <f t="shared" si="52"/>
        <v/>
      </c>
      <c r="Q173" s="16" t="str">
        <f t="shared" si="53"/>
        <v/>
      </c>
      <c r="R173" s="23" t="str">
        <f t="shared" si="54"/>
        <v/>
      </c>
      <c r="S173" s="23" t="str">
        <f t="shared" si="55"/>
        <v/>
      </c>
      <c r="T173" s="23" t="str">
        <f t="shared" si="56"/>
        <v/>
      </c>
      <c r="U173" s="23" t="str">
        <f t="shared" si="57"/>
        <v/>
      </c>
      <c r="V173" s="23" t="str">
        <f t="shared" si="58"/>
        <v/>
      </c>
      <c r="W173" s="70" t="str">
        <f t="shared" si="59"/>
        <v/>
      </c>
      <c r="X173" s="70" t="str">
        <f t="shared" si="60"/>
        <v/>
      </c>
      <c r="Y173" s="70" t="str">
        <f>IF(AND($A173&lt;&gt;"",$E173&gt;0),isLaptopBag($C173,$J173)*$D173,"")</f>
        <v/>
      </c>
      <c r="Z173" s="70" t="str">
        <f t="shared" si="61"/>
        <v/>
      </c>
      <c r="AA173" s="70" t="str">
        <f t="shared" si="62"/>
        <v/>
      </c>
      <c r="AB173" s="70" t="str">
        <f t="shared" si="63"/>
        <v/>
      </c>
      <c r="AC173" s="70" t="str">
        <f t="shared" si="64"/>
        <v/>
      </c>
      <c r="AD173" s="70" t="str">
        <f t="shared" si="65"/>
        <v/>
      </c>
      <c r="AE173" s="70" t="str">
        <f t="shared" si="66"/>
        <v/>
      </c>
      <c r="AF173" s="16"/>
      <c r="AG173" s="23"/>
      <c r="AH173" s="22"/>
      <c r="AJ173" s="83">
        <f t="shared" si="67"/>
        <v>0</v>
      </c>
      <c r="AO173" s="22" t="str">
        <f t="shared" si="68"/>
        <v/>
      </c>
      <c r="AP173" s="22" t="str">
        <f t="shared" si="69"/>
        <v/>
      </c>
    </row>
    <row r="174" spans="1:42" x14ac:dyDescent="0.25">
      <c r="A174" s="10"/>
      <c r="B174" s="10"/>
      <c r="C174" s="10"/>
      <c r="D174" s="10"/>
      <c r="E174" s="10"/>
      <c r="F174" s="10"/>
      <c r="G174" s="10"/>
      <c r="H174" s="17"/>
      <c r="I174" s="10"/>
      <c r="J174" s="10"/>
      <c r="K174" s="16" t="str">
        <f t="shared" si="48"/>
        <v/>
      </c>
      <c r="L174" s="23" t="str">
        <f t="shared" si="49"/>
        <v/>
      </c>
      <c r="M174" s="22" t="str">
        <f t="shared" si="50"/>
        <v/>
      </c>
      <c r="N174" s="72"/>
      <c r="O174" s="16" t="str">
        <f t="shared" si="51"/>
        <v/>
      </c>
      <c r="P174" s="16" t="str">
        <f t="shared" si="52"/>
        <v/>
      </c>
      <c r="Q174" s="16" t="str">
        <f t="shared" si="53"/>
        <v/>
      </c>
      <c r="R174" s="23" t="str">
        <f t="shared" si="54"/>
        <v/>
      </c>
      <c r="S174" s="23" t="str">
        <f t="shared" si="55"/>
        <v/>
      </c>
      <c r="T174" s="23" t="str">
        <f t="shared" si="56"/>
        <v/>
      </c>
      <c r="U174" s="23" t="str">
        <f t="shared" si="57"/>
        <v/>
      </c>
      <c r="V174" s="23" t="str">
        <f t="shared" si="58"/>
        <v/>
      </c>
      <c r="W174" s="70" t="str">
        <f t="shared" si="59"/>
        <v/>
      </c>
      <c r="X174" s="70" t="str">
        <f t="shared" si="60"/>
        <v/>
      </c>
      <c r="Y174" s="70" t="str">
        <f>IF(AND($A174&lt;&gt;"",$E174&gt;0),isLaptopBag($C174,$J174)*$D174,"")</f>
        <v/>
      </c>
      <c r="Z174" s="70" t="str">
        <f t="shared" si="61"/>
        <v/>
      </c>
      <c r="AA174" s="70" t="str">
        <f t="shared" si="62"/>
        <v/>
      </c>
      <c r="AB174" s="70" t="str">
        <f t="shared" si="63"/>
        <v/>
      </c>
      <c r="AC174" s="70" t="str">
        <f t="shared" si="64"/>
        <v/>
      </c>
      <c r="AD174" s="70" t="str">
        <f t="shared" si="65"/>
        <v/>
      </c>
      <c r="AE174" s="70" t="str">
        <f t="shared" si="66"/>
        <v/>
      </c>
      <c r="AF174" s="16"/>
      <c r="AG174" s="23"/>
      <c r="AH174" s="22"/>
      <c r="AJ174" s="83">
        <f t="shared" si="67"/>
        <v>0</v>
      </c>
      <c r="AO174" s="22" t="str">
        <f t="shared" si="68"/>
        <v/>
      </c>
      <c r="AP174" s="22" t="str">
        <f t="shared" si="69"/>
        <v/>
      </c>
    </row>
    <row r="175" spans="1:42" x14ac:dyDescent="0.25">
      <c r="A175" s="10"/>
      <c r="B175" s="10"/>
      <c r="C175" s="10"/>
      <c r="D175" s="10"/>
      <c r="E175" s="10"/>
      <c r="F175" s="10"/>
      <c r="G175" s="10"/>
      <c r="H175" s="17"/>
      <c r="I175" s="10"/>
      <c r="J175" s="10"/>
      <c r="K175" s="16" t="str">
        <f t="shared" si="48"/>
        <v/>
      </c>
      <c r="L175" s="23" t="str">
        <f t="shared" si="49"/>
        <v/>
      </c>
      <c r="M175" s="22" t="str">
        <f t="shared" si="50"/>
        <v/>
      </c>
      <c r="N175" s="72"/>
      <c r="O175" s="16" t="str">
        <f t="shared" si="51"/>
        <v/>
      </c>
      <c r="P175" s="16" t="str">
        <f t="shared" si="52"/>
        <v/>
      </c>
      <c r="Q175" s="16" t="str">
        <f t="shared" si="53"/>
        <v/>
      </c>
      <c r="R175" s="23" t="str">
        <f t="shared" si="54"/>
        <v/>
      </c>
      <c r="S175" s="23" t="str">
        <f t="shared" si="55"/>
        <v/>
      </c>
      <c r="T175" s="23" t="str">
        <f t="shared" si="56"/>
        <v/>
      </c>
      <c r="U175" s="23" t="str">
        <f t="shared" si="57"/>
        <v/>
      </c>
      <c r="V175" s="23" t="str">
        <f t="shared" si="58"/>
        <v/>
      </c>
      <c r="W175" s="70" t="str">
        <f t="shared" si="59"/>
        <v/>
      </c>
      <c r="X175" s="70" t="str">
        <f t="shared" si="60"/>
        <v/>
      </c>
      <c r="Y175" s="70" t="str">
        <f>IF(AND($A175&lt;&gt;"",$E175&gt;0),isLaptopBag($C175,$J175)*$D175,"")</f>
        <v/>
      </c>
      <c r="Z175" s="70" t="str">
        <f t="shared" si="61"/>
        <v/>
      </c>
      <c r="AA175" s="70" t="str">
        <f t="shared" si="62"/>
        <v/>
      </c>
      <c r="AB175" s="70" t="str">
        <f t="shared" si="63"/>
        <v/>
      </c>
      <c r="AC175" s="70" t="str">
        <f t="shared" si="64"/>
        <v/>
      </c>
      <c r="AD175" s="70" t="str">
        <f t="shared" si="65"/>
        <v/>
      </c>
      <c r="AE175" s="70" t="str">
        <f t="shared" si="66"/>
        <v/>
      </c>
      <c r="AF175" s="16"/>
      <c r="AG175" s="23"/>
      <c r="AH175" s="22"/>
      <c r="AJ175" s="83">
        <f t="shared" si="67"/>
        <v>0</v>
      </c>
      <c r="AO175" s="22" t="str">
        <f t="shared" si="68"/>
        <v/>
      </c>
      <c r="AP175" s="22" t="str">
        <f t="shared" si="69"/>
        <v/>
      </c>
    </row>
    <row r="176" spans="1:42" x14ac:dyDescent="0.25">
      <c r="A176" s="10"/>
      <c r="B176" s="10"/>
      <c r="C176" s="10"/>
      <c r="D176" s="10"/>
      <c r="E176" s="10"/>
      <c r="F176" s="10"/>
      <c r="G176" s="10"/>
      <c r="H176" s="17"/>
      <c r="I176" s="10"/>
      <c r="J176" s="10"/>
      <c r="K176" s="16" t="str">
        <f t="shared" si="48"/>
        <v/>
      </c>
      <c r="L176" s="23" t="str">
        <f t="shared" si="49"/>
        <v/>
      </c>
      <c r="M176" s="22" t="str">
        <f t="shared" si="50"/>
        <v/>
      </c>
      <c r="N176" s="72"/>
      <c r="O176" s="16" t="str">
        <f t="shared" si="51"/>
        <v/>
      </c>
      <c r="P176" s="16" t="str">
        <f t="shared" si="52"/>
        <v/>
      </c>
      <c r="Q176" s="16" t="str">
        <f t="shared" si="53"/>
        <v/>
      </c>
      <c r="R176" s="23" t="str">
        <f t="shared" si="54"/>
        <v/>
      </c>
      <c r="S176" s="23" t="str">
        <f t="shared" si="55"/>
        <v/>
      </c>
      <c r="T176" s="23" t="str">
        <f t="shared" si="56"/>
        <v/>
      </c>
      <c r="U176" s="23" t="str">
        <f t="shared" si="57"/>
        <v/>
      </c>
      <c r="V176" s="23" t="str">
        <f t="shared" si="58"/>
        <v/>
      </c>
      <c r="W176" s="70" t="str">
        <f t="shared" si="59"/>
        <v/>
      </c>
      <c r="X176" s="70" t="str">
        <f t="shared" si="60"/>
        <v/>
      </c>
      <c r="Y176" s="70" t="str">
        <f>IF(AND($A176&lt;&gt;"",$E176&gt;0),isLaptopBag($C176,$J176)*$D176,"")</f>
        <v/>
      </c>
      <c r="Z176" s="70" t="str">
        <f t="shared" si="61"/>
        <v/>
      </c>
      <c r="AA176" s="70" t="str">
        <f t="shared" si="62"/>
        <v/>
      </c>
      <c r="AB176" s="70" t="str">
        <f t="shared" si="63"/>
        <v/>
      </c>
      <c r="AC176" s="70" t="str">
        <f t="shared" si="64"/>
        <v/>
      </c>
      <c r="AD176" s="70" t="str">
        <f t="shared" si="65"/>
        <v/>
      </c>
      <c r="AE176" s="70" t="str">
        <f t="shared" si="66"/>
        <v/>
      </c>
      <c r="AF176" s="16"/>
      <c r="AG176" s="23"/>
      <c r="AH176" s="22"/>
      <c r="AJ176" s="83">
        <f t="shared" si="67"/>
        <v>0</v>
      </c>
      <c r="AO176" s="22" t="str">
        <f t="shared" si="68"/>
        <v/>
      </c>
      <c r="AP176" s="22" t="str">
        <f t="shared" si="69"/>
        <v/>
      </c>
    </row>
    <row r="177" spans="1:42" x14ac:dyDescent="0.25">
      <c r="A177" s="10"/>
      <c r="B177" s="10"/>
      <c r="C177" s="10"/>
      <c r="D177" s="10"/>
      <c r="E177" s="10"/>
      <c r="F177" s="10"/>
      <c r="G177" s="10"/>
      <c r="H177" s="17"/>
      <c r="I177" s="10"/>
      <c r="J177" s="10"/>
      <c r="K177" s="16" t="str">
        <f t="shared" si="48"/>
        <v/>
      </c>
      <c r="L177" s="23" t="str">
        <f t="shared" si="49"/>
        <v/>
      </c>
      <c r="M177" s="22" t="str">
        <f t="shared" si="50"/>
        <v/>
      </c>
      <c r="N177" s="72"/>
      <c r="O177" s="16" t="str">
        <f t="shared" si="51"/>
        <v/>
      </c>
      <c r="P177" s="16" t="str">
        <f t="shared" si="52"/>
        <v/>
      </c>
      <c r="Q177" s="16" t="str">
        <f t="shared" si="53"/>
        <v/>
      </c>
      <c r="R177" s="23" t="str">
        <f t="shared" si="54"/>
        <v/>
      </c>
      <c r="S177" s="23" t="str">
        <f t="shared" si="55"/>
        <v/>
      </c>
      <c r="T177" s="23" t="str">
        <f t="shared" si="56"/>
        <v/>
      </c>
      <c r="U177" s="23" t="str">
        <f t="shared" si="57"/>
        <v/>
      </c>
      <c r="V177" s="23" t="str">
        <f t="shared" si="58"/>
        <v/>
      </c>
      <c r="W177" s="70" t="str">
        <f t="shared" si="59"/>
        <v/>
      </c>
      <c r="X177" s="70" t="str">
        <f t="shared" si="60"/>
        <v/>
      </c>
      <c r="Y177" s="70" t="str">
        <f>IF(AND($A177&lt;&gt;"",$E177&gt;0),isLaptopBag($C177,$J177)*$D177,"")</f>
        <v/>
      </c>
      <c r="Z177" s="70" t="str">
        <f t="shared" si="61"/>
        <v/>
      </c>
      <c r="AA177" s="70" t="str">
        <f t="shared" si="62"/>
        <v/>
      </c>
      <c r="AB177" s="70" t="str">
        <f t="shared" si="63"/>
        <v/>
      </c>
      <c r="AC177" s="70" t="str">
        <f t="shared" si="64"/>
        <v/>
      </c>
      <c r="AD177" s="70" t="str">
        <f t="shared" si="65"/>
        <v/>
      </c>
      <c r="AE177" s="70" t="str">
        <f t="shared" si="66"/>
        <v/>
      </c>
      <c r="AF177" s="16"/>
      <c r="AG177" s="23"/>
      <c r="AH177" s="22"/>
      <c r="AJ177" s="83">
        <f t="shared" si="67"/>
        <v>0</v>
      </c>
      <c r="AO177" s="22" t="str">
        <f t="shared" si="68"/>
        <v/>
      </c>
      <c r="AP177" s="22" t="str">
        <f t="shared" si="69"/>
        <v/>
      </c>
    </row>
    <row r="178" spans="1:42" x14ac:dyDescent="0.25">
      <c r="A178" s="10"/>
      <c r="B178" s="10"/>
      <c r="C178" s="10"/>
      <c r="D178" s="10"/>
      <c r="E178" s="10"/>
      <c r="F178" s="10"/>
      <c r="G178" s="10"/>
      <c r="H178" s="17"/>
      <c r="I178" s="10"/>
      <c r="J178" s="10"/>
      <c r="K178" s="16" t="str">
        <f t="shared" si="48"/>
        <v/>
      </c>
      <c r="L178" s="23" t="str">
        <f t="shared" si="49"/>
        <v/>
      </c>
      <c r="M178" s="22" t="str">
        <f t="shared" si="50"/>
        <v/>
      </c>
      <c r="N178" s="72"/>
      <c r="O178" s="16" t="str">
        <f t="shared" si="51"/>
        <v/>
      </c>
      <c r="P178" s="16" t="str">
        <f t="shared" si="52"/>
        <v/>
      </c>
      <c r="Q178" s="16" t="str">
        <f t="shared" si="53"/>
        <v/>
      </c>
      <c r="R178" s="23" t="str">
        <f t="shared" si="54"/>
        <v/>
      </c>
      <c r="S178" s="23" t="str">
        <f t="shared" si="55"/>
        <v/>
      </c>
      <c r="T178" s="23" t="str">
        <f t="shared" si="56"/>
        <v/>
      </c>
      <c r="U178" s="23" t="str">
        <f t="shared" si="57"/>
        <v/>
      </c>
      <c r="V178" s="23" t="str">
        <f t="shared" si="58"/>
        <v/>
      </c>
      <c r="W178" s="70" t="str">
        <f t="shared" si="59"/>
        <v/>
      </c>
      <c r="X178" s="70" t="str">
        <f t="shared" si="60"/>
        <v/>
      </c>
      <c r="Y178" s="70" t="str">
        <f>IF(AND($A178&lt;&gt;"",$E178&gt;0),isLaptopBag($C178,$J178)*$D178,"")</f>
        <v/>
      </c>
      <c r="Z178" s="70" t="str">
        <f t="shared" si="61"/>
        <v/>
      </c>
      <c r="AA178" s="70" t="str">
        <f t="shared" si="62"/>
        <v/>
      </c>
      <c r="AB178" s="70" t="str">
        <f t="shared" si="63"/>
        <v/>
      </c>
      <c r="AC178" s="70" t="str">
        <f t="shared" si="64"/>
        <v/>
      </c>
      <c r="AD178" s="70" t="str">
        <f t="shared" si="65"/>
        <v/>
      </c>
      <c r="AE178" s="70" t="str">
        <f t="shared" si="66"/>
        <v/>
      </c>
      <c r="AF178" s="16"/>
      <c r="AG178" s="23"/>
      <c r="AH178" s="22"/>
      <c r="AJ178" s="83">
        <f t="shared" si="67"/>
        <v>0</v>
      </c>
      <c r="AO178" s="22" t="str">
        <f t="shared" si="68"/>
        <v/>
      </c>
      <c r="AP178" s="22" t="str">
        <f t="shared" si="69"/>
        <v/>
      </c>
    </row>
    <row r="179" spans="1:42" x14ac:dyDescent="0.25">
      <c r="A179" s="10"/>
      <c r="B179" s="10"/>
      <c r="C179" s="10"/>
      <c r="D179" s="10"/>
      <c r="E179" s="10"/>
      <c r="F179" s="10"/>
      <c r="G179" s="10"/>
      <c r="H179" s="17"/>
      <c r="I179" s="10"/>
      <c r="J179" s="10"/>
      <c r="K179" s="16" t="str">
        <f t="shared" si="48"/>
        <v/>
      </c>
      <c r="L179" s="23" t="str">
        <f t="shared" si="49"/>
        <v/>
      </c>
      <c r="M179" s="22" t="str">
        <f t="shared" si="50"/>
        <v/>
      </c>
      <c r="N179" s="72"/>
      <c r="O179" s="16" t="str">
        <f t="shared" si="51"/>
        <v/>
      </c>
      <c r="P179" s="16" t="str">
        <f t="shared" si="52"/>
        <v/>
      </c>
      <c r="Q179" s="16" t="str">
        <f t="shared" si="53"/>
        <v/>
      </c>
      <c r="R179" s="23" t="str">
        <f t="shared" si="54"/>
        <v/>
      </c>
      <c r="S179" s="23" t="str">
        <f t="shared" si="55"/>
        <v/>
      </c>
      <c r="T179" s="23" t="str">
        <f t="shared" si="56"/>
        <v/>
      </c>
      <c r="U179" s="23" t="str">
        <f t="shared" si="57"/>
        <v/>
      </c>
      <c r="V179" s="23" t="str">
        <f t="shared" si="58"/>
        <v/>
      </c>
      <c r="W179" s="70" t="str">
        <f t="shared" si="59"/>
        <v/>
      </c>
      <c r="X179" s="70" t="str">
        <f t="shared" si="60"/>
        <v/>
      </c>
      <c r="Y179" s="70" t="str">
        <f>IF(AND($A179&lt;&gt;"",$E179&gt;0),isLaptopBag($C179,$J179)*$D179,"")</f>
        <v/>
      </c>
      <c r="Z179" s="70" t="str">
        <f t="shared" si="61"/>
        <v/>
      </c>
      <c r="AA179" s="70" t="str">
        <f t="shared" si="62"/>
        <v/>
      </c>
      <c r="AB179" s="70" t="str">
        <f t="shared" si="63"/>
        <v/>
      </c>
      <c r="AC179" s="70" t="str">
        <f t="shared" si="64"/>
        <v/>
      </c>
      <c r="AD179" s="70" t="str">
        <f t="shared" si="65"/>
        <v/>
      </c>
      <c r="AE179" s="70" t="str">
        <f t="shared" si="66"/>
        <v/>
      </c>
      <c r="AF179" s="16"/>
      <c r="AG179" s="23"/>
      <c r="AH179" s="22"/>
      <c r="AJ179" s="83">
        <f t="shared" si="67"/>
        <v>0</v>
      </c>
      <c r="AO179" s="22" t="str">
        <f t="shared" si="68"/>
        <v/>
      </c>
      <c r="AP179" s="22" t="str">
        <f t="shared" si="69"/>
        <v/>
      </c>
    </row>
    <row r="180" spans="1:42" x14ac:dyDescent="0.25">
      <c r="A180" s="10"/>
      <c r="B180" s="10"/>
      <c r="C180" s="10"/>
      <c r="D180" s="10"/>
      <c r="E180" s="10"/>
      <c r="F180" s="10"/>
      <c r="G180" s="10"/>
      <c r="H180" s="17"/>
      <c r="I180" s="10"/>
      <c r="J180" s="10"/>
      <c r="K180" s="16" t="str">
        <f t="shared" si="48"/>
        <v/>
      </c>
      <c r="L180" s="23" t="str">
        <f t="shared" si="49"/>
        <v/>
      </c>
      <c r="M180" s="22" t="str">
        <f t="shared" si="50"/>
        <v/>
      </c>
      <c r="N180" s="72"/>
      <c r="O180" s="16" t="str">
        <f t="shared" si="51"/>
        <v/>
      </c>
      <c r="P180" s="16" t="str">
        <f t="shared" si="52"/>
        <v/>
      </c>
      <c r="Q180" s="16" t="str">
        <f t="shared" si="53"/>
        <v/>
      </c>
      <c r="R180" s="23" t="str">
        <f t="shared" si="54"/>
        <v/>
      </c>
      <c r="S180" s="23" t="str">
        <f t="shared" si="55"/>
        <v/>
      </c>
      <c r="T180" s="23" t="str">
        <f t="shared" si="56"/>
        <v/>
      </c>
      <c r="U180" s="23" t="str">
        <f t="shared" si="57"/>
        <v/>
      </c>
      <c r="V180" s="23" t="str">
        <f t="shared" si="58"/>
        <v/>
      </c>
      <c r="W180" s="70" t="str">
        <f t="shared" si="59"/>
        <v/>
      </c>
      <c r="X180" s="70" t="str">
        <f t="shared" si="60"/>
        <v/>
      </c>
      <c r="Y180" s="70" t="str">
        <f>IF(AND($A180&lt;&gt;"",$E180&gt;0),isLaptopBag($C180,$J180)*$D180,"")</f>
        <v/>
      </c>
      <c r="Z180" s="70" t="str">
        <f t="shared" si="61"/>
        <v/>
      </c>
      <c r="AA180" s="70" t="str">
        <f t="shared" si="62"/>
        <v/>
      </c>
      <c r="AB180" s="70" t="str">
        <f t="shared" si="63"/>
        <v/>
      </c>
      <c r="AC180" s="70" t="str">
        <f t="shared" si="64"/>
        <v/>
      </c>
      <c r="AD180" s="70" t="str">
        <f t="shared" si="65"/>
        <v/>
      </c>
      <c r="AE180" s="70" t="str">
        <f t="shared" si="66"/>
        <v/>
      </c>
      <c r="AF180" s="16"/>
      <c r="AG180" s="23"/>
      <c r="AH180" s="22"/>
      <c r="AJ180" s="83">
        <f t="shared" si="67"/>
        <v>0</v>
      </c>
      <c r="AO180" s="22" t="str">
        <f t="shared" si="68"/>
        <v/>
      </c>
      <c r="AP180" s="22" t="str">
        <f t="shared" si="69"/>
        <v/>
      </c>
    </row>
    <row r="181" spans="1:42" x14ac:dyDescent="0.25">
      <c r="A181" s="10"/>
      <c r="B181" s="10"/>
      <c r="C181" s="10"/>
      <c r="D181" s="10"/>
      <c r="E181" s="10"/>
      <c r="F181" s="10"/>
      <c r="G181" s="10"/>
      <c r="H181" s="17"/>
      <c r="I181" s="10"/>
      <c r="J181" s="10"/>
      <c r="K181" s="16" t="str">
        <f t="shared" si="48"/>
        <v/>
      </c>
      <c r="L181" s="23" t="str">
        <f t="shared" si="49"/>
        <v/>
      </c>
      <c r="M181" s="22" t="str">
        <f t="shared" si="50"/>
        <v/>
      </c>
      <c r="N181" s="72"/>
      <c r="O181" s="16" t="str">
        <f t="shared" si="51"/>
        <v/>
      </c>
      <c r="P181" s="16" t="str">
        <f t="shared" si="52"/>
        <v/>
      </c>
      <c r="Q181" s="16" t="str">
        <f t="shared" si="53"/>
        <v/>
      </c>
      <c r="R181" s="23" t="str">
        <f t="shared" si="54"/>
        <v/>
      </c>
      <c r="S181" s="23" t="str">
        <f t="shared" si="55"/>
        <v/>
      </c>
      <c r="T181" s="23" t="str">
        <f t="shared" si="56"/>
        <v/>
      </c>
      <c r="U181" s="23" t="str">
        <f t="shared" si="57"/>
        <v/>
      </c>
      <c r="V181" s="23" t="str">
        <f t="shared" si="58"/>
        <v/>
      </c>
      <c r="W181" s="70" t="str">
        <f t="shared" si="59"/>
        <v/>
      </c>
      <c r="X181" s="70" t="str">
        <f t="shared" si="60"/>
        <v/>
      </c>
      <c r="Y181" s="70" t="str">
        <f>IF(AND($A181&lt;&gt;"",$E181&gt;0),isLaptopBag($C181,$J181)*$D181,"")</f>
        <v/>
      </c>
      <c r="Z181" s="70" t="str">
        <f t="shared" si="61"/>
        <v/>
      </c>
      <c r="AA181" s="70" t="str">
        <f t="shared" si="62"/>
        <v/>
      </c>
      <c r="AB181" s="70" t="str">
        <f t="shared" si="63"/>
        <v/>
      </c>
      <c r="AC181" s="70" t="str">
        <f t="shared" si="64"/>
        <v/>
      </c>
      <c r="AD181" s="70" t="str">
        <f t="shared" si="65"/>
        <v/>
      </c>
      <c r="AE181" s="70" t="str">
        <f t="shared" si="66"/>
        <v/>
      </c>
      <c r="AF181" s="16"/>
      <c r="AG181" s="23"/>
      <c r="AH181" s="22"/>
      <c r="AJ181" s="83">
        <f t="shared" si="67"/>
        <v>0</v>
      </c>
      <c r="AO181" s="22" t="str">
        <f t="shared" si="68"/>
        <v/>
      </c>
      <c r="AP181" s="22" t="str">
        <f t="shared" si="69"/>
        <v/>
      </c>
    </row>
    <row r="182" spans="1:42" x14ac:dyDescent="0.25">
      <c r="A182" s="10"/>
      <c r="B182" s="10"/>
      <c r="C182" s="10"/>
      <c r="D182" s="10"/>
      <c r="E182" s="10"/>
      <c r="F182" s="10"/>
      <c r="G182" s="10"/>
      <c r="H182" s="17"/>
      <c r="I182" s="10"/>
      <c r="J182" s="10"/>
      <c r="K182" s="16" t="str">
        <f t="shared" si="48"/>
        <v/>
      </c>
      <c r="L182" s="23" t="str">
        <f t="shared" si="49"/>
        <v/>
      </c>
      <c r="M182" s="22" t="str">
        <f t="shared" si="50"/>
        <v/>
      </c>
      <c r="N182" s="72"/>
      <c r="O182" s="16" t="str">
        <f t="shared" si="51"/>
        <v/>
      </c>
      <c r="P182" s="16" t="str">
        <f t="shared" si="52"/>
        <v/>
      </c>
      <c r="Q182" s="16" t="str">
        <f t="shared" si="53"/>
        <v/>
      </c>
      <c r="R182" s="23" t="str">
        <f t="shared" si="54"/>
        <v/>
      </c>
      <c r="S182" s="23" t="str">
        <f t="shared" si="55"/>
        <v/>
      </c>
      <c r="T182" s="23" t="str">
        <f t="shared" si="56"/>
        <v/>
      </c>
      <c r="U182" s="23" t="str">
        <f t="shared" si="57"/>
        <v/>
      </c>
      <c r="V182" s="23" t="str">
        <f t="shared" si="58"/>
        <v/>
      </c>
      <c r="W182" s="70" t="str">
        <f t="shared" si="59"/>
        <v/>
      </c>
      <c r="X182" s="70" t="str">
        <f t="shared" si="60"/>
        <v/>
      </c>
      <c r="Y182" s="70" t="str">
        <f>IF(AND($A182&lt;&gt;"",$E182&gt;0),isLaptopBag($C182,$J182)*$D182,"")</f>
        <v/>
      </c>
      <c r="Z182" s="70" t="str">
        <f t="shared" si="61"/>
        <v/>
      </c>
      <c r="AA182" s="70" t="str">
        <f t="shared" si="62"/>
        <v/>
      </c>
      <c r="AB182" s="70" t="str">
        <f t="shared" si="63"/>
        <v/>
      </c>
      <c r="AC182" s="70" t="str">
        <f t="shared" si="64"/>
        <v/>
      </c>
      <c r="AD182" s="70" t="str">
        <f t="shared" si="65"/>
        <v/>
      </c>
      <c r="AE182" s="70" t="str">
        <f t="shared" si="66"/>
        <v/>
      </c>
      <c r="AF182" s="16"/>
      <c r="AG182" s="23"/>
      <c r="AH182" s="22"/>
      <c r="AJ182" s="83">
        <f t="shared" si="67"/>
        <v>0</v>
      </c>
      <c r="AO182" s="22" t="str">
        <f t="shared" si="68"/>
        <v/>
      </c>
      <c r="AP182" s="22" t="str">
        <f t="shared" si="69"/>
        <v/>
      </c>
    </row>
    <row r="183" spans="1:42" x14ac:dyDescent="0.25">
      <c r="A183" s="10"/>
      <c r="B183" s="10"/>
      <c r="C183" s="10"/>
      <c r="D183" s="10"/>
      <c r="E183" s="10"/>
      <c r="F183" s="10"/>
      <c r="G183" s="10"/>
      <c r="H183" s="17"/>
      <c r="I183" s="10"/>
      <c r="J183" s="10"/>
      <c r="K183" s="16" t="str">
        <f t="shared" si="48"/>
        <v/>
      </c>
      <c r="L183" s="23" t="str">
        <f t="shared" si="49"/>
        <v/>
      </c>
      <c r="M183" s="22" t="str">
        <f t="shared" si="50"/>
        <v/>
      </c>
      <c r="N183" s="72"/>
      <c r="O183" s="16" t="str">
        <f t="shared" si="51"/>
        <v/>
      </c>
      <c r="P183" s="16" t="str">
        <f t="shared" si="52"/>
        <v/>
      </c>
      <c r="Q183" s="16" t="str">
        <f t="shared" si="53"/>
        <v/>
      </c>
      <c r="R183" s="23" t="str">
        <f t="shared" si="54"/>
        <v/>
      </c>
      <c r="S183" s="23" t="str">
        <f t="shared" si="55"/>
        <v/>
      </c>
      <c r="T183" s="23" t="str">
        <f t="shared" si="56"/>
        <v/>
      </c>
      <c r="U183" s="23" t="str">
        <f t="shared" si="57"/>
        <v/>
      </c>
      <c r="V183" s="23" t="str">
        <f t="shared" si="58"/>
        <v/>
      </c>
      <c r="W183" s="70" t="str">
        <f t="shared" si="59"/>
        <v/>
      </c>
      <c r="X183" s="70" t="str">
        <f t="shared" si="60"/>
        <v/>
      </c>
      <c r="Y183" s="70" t="str">
        <f>IF(AND($A183&lt;&gt;"",$E183&gt;0),isLaptopBag($C183,$J183)*$D183,"")</f>
        <v/>
      </c>
      <c r="Z183" s="70" t="str">
        <f t="shared" si="61"/>
        <v/>
      </c>
      <c r="AA183" s="70" t="str">
        <f t="shared" si="62"/>
        <v/>
      </c>
      <c r="AB183" s="70" t="str">
        <f t="shared" si="63"/>
        <v/>
      </c>
      <c r="AC183" s="70" t="str">
        <f t="shared" si="64"/>
        <v/>
      </c>
      <c r="AD183" s="70" t="str">
        <f t="shared" si="65"/>
        <v/>
      </c>
      <c r="AE183" s="70" t="str">
        <f t="shared" si="66"/>
        <v/>
      </c>
      <c r="AF183" s="16"/>
      <c r="AG183" s="23"/>
      <c r="AH183" s="22"/>
      <c r="AJ183" s="83">
        <f t="shared" si="67"/>
        <v>0</v>
      </c>
      <c r="AO183" s="22" t="str">
        <f t="shared" si="68"/>
        <v/>
      </c>
      <c r="AP183" s="22" t="str">
        <f t="shared" si="69"/>
        <v/>
      </c>
    </row>
    <row r="184" spans="1:42" x14ac:dyDescent="0.25">
      <c r="A184" s="10"/>
      <c r="B184" s="10"/>
      <c r="C184" s="10"/>
      <c r="D184" s="10"/>
      <c r="E184" s="10"/>
      <c r="F184" s="10"/>
      <c r="G184" s="10"/>
      <c r="H184" s="17"/>
      <c r="I184" s="10"/>
      <c r="J184" s="10"/>
      <c r="K184" s="16" t="str">
        <f t="shared" si="48"/>
        <v/>
      </c>
      <c r="L184" s="23" t="str">
        <f t="shared" si="49"/>
        <v/>
      </c>
      <c r="M184" s="22" t="str">
        <f t="shared" si="50"/>
        <v/>
      </c>
      <c r="N184" s="72"/>
      <c r="O184" s="16" t="str">
        <f t="shared" si="51"/>
        <v/>
      </c>
      <c r="P184" s="16" t="str">
        <f t="shared" si="52"/>
        <v/>
      </c>
      <c r="Q184" s="16" t="str">
        <f t="shared" si="53"/>
        <v/>
      </c>
      <c r="R184" s="23" t="str">
        <f t="shared" si="54"/>
        <v/>
      </c>
      <c r="S184" s="23" t="str">
        <f t="shared" si="55"/>
        <v/>
      </c>
      <c r="T184" s="23" t="str">
        <f t="shared" si="56"/>
        <v/>
      </c>
      <c r="U184" s="23" t="str">
        <f t="shared" si="57"/>
        <v/>
      </c>
      <c r="V184" s="23" t="str">
        <f t="shared" si="58"/>
        <v/>
      </c>
      <c r="W184" s="70" t="str">
        <f t="shared" si="59"/>
        <v/>
      </c>
      <c r="X184" s="70" t="str">
        <f t="shared" si="60"/>
        <v/>
      </c>
      <c r="Y184" s="70" t="str">
        <f>IF(AND($A184&lt;&gt;"",$E184&gt;0),isLaptopBag($C184,$J184)*$D184,"")</f>
        <v/>
      </c>
      <c r="Z184" s="70" t="str">
        <f t="shared" si="61"/>
        <v/>
      </c>
      <c r="AA184" s="70" t="str">
        <f t="shared" si="62"/>
        <v/>
      </c>
      <c r="AB184" s="70" t="str">
        <f t="shared" si="63"/>
        <v/>
      </c>
      <c r="AC184" s="70" t="str">
        <f t="shared" si="64"/>
        <v/>
      </c>
      <c r="AD184" s="70" t="str">
        <f t="shared" si="65"/>
        <v/>
      </c>
      <c r="AE184" s="70" t="str">
        <f t="shared" si="66"/>
        <v/>
      </c>
      <c r="AF184" s="16"/>
      <c r="AG184" s="23"/>
      <c r="AH184" s="22"/>
      <c r="AJ184" s="83">
        <f t="shared" si="67"/>
        <v>0</v>
      </c>
      <c r="AO184" s="22" t="str">
        <f t="shared" si="68"/>
        <v/>
      </c>
      <c r="AP184" s="22" t="str">
        <f t="shared" si="69"/>
        <v/>
      </c>
    </row>
    <row r="185" spans="1:42" x14ac:dyDescent="0.25">
      <c r="A185" s="10"/>
      <c r="B185" s="10"/>
      <c r="C185" s="10"/>
      <c r="D185" s="10"/>
      <c r="E185" s="10"/>
      <c r="F185" s="10"/>
      <c r="G185" s="10"/>
      <c r="H185" s="17"/>
      <c r="I185" s="10"/>
      <c r="J185" s="10"/>
      <c r="K185" s="16" t="str">
        <f t="shared" si="48"/>
        <v/>
      </c>
      <c r="L185" s="23" t="str">
        <f t="shared" si="49"/>
        <v/>
      </c>
      <c r="M185" s="22" t="str">
        <f t="shared" si="50"/>
        <v/>
      </c>
      <c r="N185" s="72"/>
      <c r="O185" s="16" t="str">
        <f t="shared" si="51"/>
        <v/>
      </c>
      <c r="P185" s="16" t="str">
        <f t="shared" si="52"/>
        <v/>
      </c>
      <c r="Q185" s="16" t="str">
        <f t="shared" si="53"/>
        <v/>
      </c>
      <c r="R185" s="23" t="str">
        <f t="shared" si="54"/>
        <v/>
      </c>
      <c r="S185" s="23" t="str">
        <f t="shared" si="55"/>
        <v/>
      </c>
      <c r="T185" s="23" t="str">
        <f t="shared" si="56"/>
        <v/>
      </c>
      <c r="U185" s="23" t="str">
        <f t="shared" si="57"/>
        <v/>
      </c>
      <c r="V185" s="23" t="str">
        <f t="shared" si="58"/>
        <v/>
      </c>
      <c r="W185" s="70" t="str">
        <f t="shared" si="59"/>
        <v/>
      </c>
      <c r="X185" s="70" t="str">
        <f t="shared" si="60"/>
        <v/>
      </c>
      <c r="Y185" s="70" t="str">
        <f>IF(AND($A185&lt;&gt;"",$E185&gt;0),isLaptopBag($C185,$J185)*$D185,"")</f>
        <v/>
      </c>
      <c r="Z185" s="70" t="str">
        <f t="shared" si="61"/>
        <v/>
      </c>
      <c r="AA185" s="70" t="str">
        <f t="shared" si="62"/>
        <v/>
      </c>
      <c r="AB185" s="70" t="str">
        <f t="shared" si="63"/>
        <v/>
      </c>
      <c r="AC185" s="70" t="str">
        <f t="shared" si="64"/>
        <v/>
      </c>
      <c r="AD185" s="70" t="str">
        <f t="shared" si="65"/>
        <v/>
      </c>
      <c r="AE185" s="70" t="str">
        <f t="shared" si="66"/>
        <v/>
      </c>
      <c r="AF185" s="16"/>
      <c r="AG185" s="23"/>
      <c r="AH185" s="22"/>
      <c r="AJ185" s="83">
        <f t="shared" si="67"/>
        <v>0</v>
      </c>
      <c r="AO185" s="22" t="str">
        <f t="shared" si="68"/>
        <v/>
      </c>
      <c r="AP185" s="22" t="str">
        <f t="shared" si="69"/>
        <v/>
      </c>
    </row>
    <row r="186" spans="1:42" x14ac:dyDescent="0.25">
      <c r="A186" s="10"/>
      <c r="B186" s="10"/>
      <c r="C186" s="10"/>
      <c r="D186" s="10"/>
      <c r="E186" s="10"/>
      <c r="F186" s="10"/>
      <c r="G186" s="10"/>
      <c r="H186" s="17"/>
      <c r="I186" s="10"/>
      <c r="J186" s="10"/>
      <c r="K186" s="16" t="str">
        <f t="shared" si="48"/>
        <v/>
      </c>
      <c r="L186" s="23" t="str">
        <f t="shared" si="49"/>
        <v/>
      </c>
      <c r="M186" s="22" t="str">
        <f t="shared" si="50"/>
        <v/>
      </c>
      <c r="N186" s="72"/>
      <c r="O186" s="16" t="str">
        <f t="shared" si="51"/>
        <v/>
      </c>
      <c r="P186" s="16" t="str">
        <f t="shared" si="52"/>
        <v/>
      </c>
      <c r="Q186" s="16" t="str">
        <f t="shared" si="53"/>
        <v/>
      </c>
      <c r="R186" s="23" t="str">
        <f t="shared" si="54"/>
        <v/>
      </c>
      <c r="S186" s="23" t="str">
        <f t="shared" si="55"/>
        <v/>
      </c>
      <c r="T186" s="23" t="str">
        <f t="shared" si="56"/>
        <v/>
      </c>
      <c r="U186" s="23" t="str">
        <f t="shared" si="57"/>
        <v/>
      </c>
      <c r="V186" s="23" t="str">
        <f t="shared" si="58"/>
        <v/>
      </c>
      <c r="W186" s="70" t="str">
        <f t="shared" si="59"/>
        <v/>
      </c>
      <c r="X186" s="70" t="str">
        <f t="shared" si="60"/>
        <v/>
      </c>
      <c r="Y186" s="70" t="str">
        <f>IF(AND($A186&lt;&gt;"",$E186&gt;0),isLaptopBag($C186,$J186)*$D186,"")</f>
        <v/>
      </c>
      <c r="Z186" s="70" t="str">
        <f t="shared" si="61"/>
        <v/>
      </c>
      <c r="AA186" s="70" t="str">
        <f t="shared" si="62"/>
        <v/>
      </c>
      <c r="AB186" s="70" t="str">
        <f t="shared" si="63"/>
        <v/>
      </c>
      <c r="AC186" s="70" t="str">
        <f t="shared" si="64"/>
        <v/>
      </c>
      <c r="AD186" s="70" t="str">
        <f t="shared" si="65"/>
        <v/>
      </c>
      <c r="AE186" s="70" t="str">
        <f t="shared" si="66"/>
        <v/>
      </c>
      <c r="AF186" s="16"/>
      <c r="AG186" s="23"/>
      <c r="AH186" s="22"/>
      <c r="AJ186" s="83">
        <f t="shared" si="67"/>
        <v>0</v>
      </c>
      <c r="AO186" s="22" t="str">
        <f t="shared" si="68"/>
        <v/>
      </c>
      <c r="AP186" s="22" t="str">
        <f t="shared" si="69"/>
        <v/>
      </c>
    </row>
    <row r="187" spans="1:42" x14ac:dyDescent="0.25">
      <c r="A187" s="10"/>
      <c r="B187" s="10"/>
      <c r="C187" s="10"/>
      <c r="D187" s="10"/>
      <c r="E187" s="10"/>
      <c r="F187" s="10"/>
      <c r="G187" s="10"/>
      <c r="H187" s="17"/>
      <c r="I187" s="10"/>
      <c r="J187" s="10"/>
      <c r="K187" s="16" t="str">
        <f t="shared" si="48"/>
        <v/>
      </c>
      <c r="L187" s="23" t="str">
        <f t="shared" si="49"/>
        <v/>
      </c>
      <c r="M187" s="22" t="str">
        <f t="shared" si="50"/>
        <v/>
      </c>
      <c r="N187" s="72"/>
      <c r="O187" s="16" t="str">
        <f t="shared" si="51"/>
        <v/>
      </c>
      <c r="P187" s="16" t="str">
        <f t="shared" si="52"/>
        <v/>
      </c>
      <c r="Q187" s="16" t="str">
        <f t="shared" si="53"/>
        <v/>
      </c>
      <c r="R187" s="23" t="str">
        <f t="shared" si="54"/>
        <v/>
      </c>
      <c r="S187" s="23" t="str">
        <f t="shared" si="55"/>
        <v/>
      </c>
      <c r="T187" s="23" t="str">
        <f t="shared" si="56"/>
        <v/>
      </c>
      <c r="U187" s="23" t="str">
        <f t="shared" si="57"/>
        <v/>
      </c>
      <c r="V187" s="23" t="str">
        <f t="shared" si="58"/>
        <v/>
      </c>
      <c r="W187" s="70" t="str">
        <f t="shared" si="59"/>
        <v/>
      </c>
      <c r="X187" s="70" t="str">
        <f t="shared" si="60"/>
        <v/>
      </c>
      <c r="Y187" s="70" t="str">
        <f>IF(AND($A187&lt;&gt;"",$E187&gt;0),isLaptopBag($C187,$J187)*$D187,"")</f>
        <v/>
      </c>
      <c r="Z187" s="70" t="str">
        <f t="shared" si="61"/>
        <v/>
      </c>
      <c r="AA187" s="70" t="str">
        <f t="shared" si="62"/>
        <v/>
      </c>
      <c r="AB187" s="70" t="str">
        <f t="shared" si="63"/>
        <v/>
      </c>
      <c r="AC187" s="70" t="str">
        <f t="shared" si="64"/>
        <v/>
      </c>
      <c r="AD187" s="70" t="str">
        <f t="shared" si="65"/>
        <v/>
      </c>
      <c r="AE187" s="70" t="str">
        <f t="shared" si="66"/>
        <v/>
      </c>
      <c r="AF187" s="16"/>
      <c r="AG187" s="23"/>
      <c r="AH187" s="22"/>
      <c r="AJ187" s="83">
        <f t="shared" si="67"/>
        <v>0</v>
      </c>
      <c r="AO187" s="22" t="str">
        <f t="shared" si="68"/>
        <v/>
      </c>
      <c r="AP187" s="22" t="str">
        <f t="shared" si="69"/>
        <v/>
      </c>
    </row>
    <row r="188" spans="1:42" x14ac:dyDescent="0.25">
      <c r="A188" s="10"/>
      <c r="B188" s="10"/>
      <c r="C188" s="10"/>
      <c r="D188" s="10"/>
      <c r="E188" s="10"/>
      <c r="F188" s="10"/>
      <c r="G188" s="10"/>
      <c r="H188" s="17"/>
      <c r="I188" s="10"/>
      <c r="J188" s="10"/>
      <c r="K188" s="16" t="str">
        <f t="shared" si="48"/>
        <v/>
      </c>
      <c r="L188" s="23" t="str">
        <f t="shared" si="49"/>
        <v/>
      </c>
      <c r="M188" s="22" t="str">
        <f t="shared" si="50"/>
        <v/>
      </c>
      <c r="N188" s="72"/>
      <c r="O188" s="16" t="str">
        <f t="shared" si="51"/>
        <v/>
      </c>
      <c r="P188" s="16" t="str">
        <f t="shared" si="52"/>
        <v/>
      </c>
      <c r="Q188" s="16" t="str">
        <f t="shared" si="53"/>
        <v/>
      </c>
      <c r="R188" s="23" t="str">
        <f t="shared" si="54"/>
        <v/>
      </c>
      <c r="S188" s="23" t="str">
        <f t="shared" si="55"/>
        <v/>
      </c>
      <c r="T188" s="23" t="str">
        <f t="shared" si="56"/>
        <v/>
      </c>
      <c r="U188" s="23" t="str">
        <f t="shared" si="57"/>
        <v/>
      </c>
      <c r="V188" s="23" t="str">
        <f t="shared" si="58"/>
        <v/>
      </c>
      <c r="W188" s="70" t="str">
        <f t="shared" si="59"/>
        <v/>
      </c>
      <c r="X188" s="70" t="str">
        <f t="shared" si="60"/>
        <v/>
      </c>
      <c r="Y188" s="70" t="str">
        <f>IF(AND($A188&lt;&gt;"",$E188&gt;0),isLaptopBag($C188,$J188)*$D188,"")</f>
        <v/>
      </c>
      <c r="Z188" s="70" t="str">
        <f t="shared" si="61"/>
        <v/>
      </c>
      <c r="AA188" s="70" t="str">
        <f t="shared" si="62"/>
        <v/>
      </c>
      <c r="AB188" s="70" t="str">
        <f t="shared" si="63"/>
        <v/>
      </c>
      <c r="AC188" s="70" t="str">
        <f t="shared" si="64"/>
        <v/>
      </c>
      <c r="AD188" s="70" t="str">
        <f t="shared" si="65"/>
        <v/>
      </c>
      <c r="AE188" s="70" t="str">
        <f t="shared" si="66"/>
        <v/>
      </c>
      <c r="AF188" s="16"/>
      <c r="AG188" s="23"/>
      <c r="AH188" s="22"/>
      <c r="AJ188" s="83">
        <f t="shared" si="67"/>
        <v>0</v>
      </c>
      <c r="AO188" s="22" t="str">
        <f t="shared" si="68"/>
        <v/>
      </c>
      <c r="AP188" s="22" t="str">
        <f t="shared" si="69"/>
        <v/>
      </c>
    </row>
    <row r="189" spans="1:42" x14ac:dyDescent="0.25">
      <c r="A189" s="10"/>
      <c r="B189" s="10"/>
      <c r="C189" s="10"/>
      <c r="D189" s="10"/>
      <c r="E189" s="10"/>
      <c r="F189" s="10"/>
      <c r="G189" s="10"/>
      <c r="H189" s="17"/>
      <c r="I189" s="10"/>
      <c r="J189" s="10"/>
      <c r="K189" s="16" t="str">
        <f t="shared" si="48"/>
        <v/>
      </c>
      <c r="L189" s="23" t="str">
        <f t="shared" si="49"/>
        <v/>
      </c>
      <c r="M189" s="22" t="str">
        <f t="shared" si="50"/>
        <v/>
      </c>
      <c r="N189" s="72"/>
      <c r="O189" s="16" t="str">
        <f t="shared" si="51"/>
        <v/>
      </c>
      <c r="P189" s="16" t="str">
        <f t="shared" si="52"/>
        <v/>
      </c>
      <c r="Q189" s="16" t="str">
        <f t="shared" si="53"/>
        <v/>
      </c>
      <c r="R189" s="23" t="str">
        <f t="shared" si="54"/>
        <v/>
      </c>
      <c r="S189" s="23" t="str">
        <f t="shared" si="55"/>
        <v/>
      </c>
      <c r="T189" s="23" t="str">
        <f t="shared" si="56"/>
        <v/>
      </c>
      <c r="U189" s="23" t="str">
        <f t="shared" si="57"/>
        <v/>
      </c>
      <c r="V189" s="23" t="str">
        <f t="shared" si="58"/>
        <v/>
      </c>
      <c r="W189" s="70" t="str">
        <f t="shared" si="59"/>
        <v/>
      </c>
      <c r="X189" s="70" t="str">
        <f t="shared" si="60"/>
        <v/>
      </c>
      <c r="Y189" s="70" t="str">
        <f>IF(AND($A189&lt;&gt;"",$E189&gt;0),isLaptopBag($C189,$J189)*$D189,"")</f>
        <v/>
      </c>
      <c r="Z189" s="70" t="str">
        <f t="shared" si="61"/>
        <v/>
      </c>
      <c r="AA189" s="70" t="str">
        <f t="shared" si="62"/>
        <v/>
      </c>
      <c r="AB189" s="70" t="str">
        <f t="shared" si="63"/>
        <v/>
      </c>
      <c r="AC189" s="70" t="str">
        <f t="shared" si="64"/>
        <v/>
      </c>
      <c r="AD189" s="70" t="str">
        <f t="shared" si="65"/>
        <v/>
      </c>
      <c r="AE189" s="70" t="str">
        <f t="shared" si="66"/>
        <v/>
      </c>
      <c r="AF189" s="16"/>
      <c r="AG189" s="23"/>
      <c r="AH189" s="22"/>
      <c r="AJ189" s="83">
        <f t="shared" si="67"/>
        <v>0</v>
      </c>
      <c r="AO189" s="22" t="str">
        <f t="shared" si="68"/>
        <v/>
      </c>
      <c r="AP189" s="22" t="str">
        <f t="shared" si="69"/>
        <v/>
      </c>
    </row>
    <row r="190" spans="1:42" x14ac:dyDescent="0.25">
      <c r="A190" s="10"/>
      <c r="B190" s="10"/>
      <c r="C190" s="10"/>
      <c r="D190" s="10"/>
      <c r="E190" s="10"/>
      <c r="F190" s="10"/>
      <c r="G190" s="10"/>
      <c r="H190" s="17"/>
      <c r="I190" s="10"/>
      <c r="J190" s="10"/>
      <c r="K190" s="16" t="str">
        <f t="shared" si="48"/>
        <v/>
      </c>
      <c r="L190" s="23" t="str">
        <f t="shared" si="49"/>
        <v/>
      </c>
      <c r="M190" s="22" t="str">
        <f t="shared" si="50"/>
        <v/>
      </c>
      <c r="N190" s="72"/>
      <c r="O190" s="16" t="str">
        <f t="shared" si="51"/>
        <v/>
      </c>
      <c r="P190" s="16" t="str">
        <f t="shared" si="52"/>
        <v/>
      </c>
      <c r="Q190" s="16" t="str">
        <f t="shared" si="53"/>
        <v/>
      </c>
      <c r="R190" s="23" t="str">
        <f t="shared" si="54"/>
        <v/>
      </c>
      <c r="S190" s="23" t="str">
        <f t="shared" si="55"/>
        <v/>
      </c>
      <c r="T190" s="23" t="str">
        <f t="shared" si="56"/>
        <v/>
      </c>
      <c r="U190" s="23" t="str">
        <f t="shared" si="57"/>
        <v/>
      </c>
      <c r="V190" s="23" t="str">
        <f t="shared" si="58"/>
        <v/>
      </c>
      <c r="W190" s="70" t="str">
        <f t="shared" si="59"/>
        <v/>
      </c>
      <c r="X190" s="70" t="str">
        <f t="shared" si="60"/>
        <v/>
      </c>
      <c r="Y190" s="70" t="str">
        <f>IF(AND($A190&lt;&gt;"",$E190&gt;0),isLaptopBag($C190,$J190)*$D190,"")</f>
        <v/>
      </c>
      <c r="Z190" s="70" t="str">
        <f t="shared" si="61"/>
        <v/>
      </c>
      <c r="AA190" s="70" t="str">
        <f t="shared" si="62"/>
        <v/>
      </c>
      <c r="AB190" s="70" t="str">
        <f t="shared" si="63"/>
        <v/>
      </c>
      <c r="AC190" s="70" t="str">
        <f t="shared" si="64"/>
        <v/>
      </c>
      <c r="AD190" s="70" t="str">
        <f t="shared" si="65"/>
        <v/>
      </c>
      <c r="AE190" s="70" t="str">
        <f t="shared" si="66"/>
        <v/>
      </c>
      <c r="AF190" s="16"/>
      <c r="AG190" s="23"/>
      <c r="AH190" s="22"/>
      <c r="AJ190" s="83">
        <f t="shared" si="67"/>
        <v>0</v>
      </c>
      <c r="AO190" s="22" t="str">
        <f t="shared" si="68"/>
        <v/>
      </c>
      <c r="AP190" s="22" t="str">
        <f t="shared" si="69"/>
        <v/>
      </c>
    </row>
    <row r="191" spans="1:42" x14ac:dyDescent="0.25">
      <c r="A191" s="10"/>
      <c r="B191" s="10"/>
      <c r="C191" s="10"/>
      <c r="D191" s="10"/>
      <c r="E191" s="10"/>
      <c r="F191" s="10"/>
      <c r="G191" s="10"/>
      <c r="H191" s="17"/>
      <c r="I191" s="10"/>
      <c r="J191" s="10"/>
      <c r="K191" s="16" t="str">
        <f t="shared" si="48"/>
        <v/>
      </c>
      <c r="L191" s="23" t="str">
        <f t="shared" si="49"/>
        <v/>
      </c>
      <c r="M191" s="22" t="str">
        <f t="shared" si="50"/>
        <v/>
      </c>
      <c r="N191" s="72"/>
      <c r="O191" s="16" t="str">
        <f t="shared" si="51"/>
        <v/>
      </c>
      <c r="P191" s="16" t="str">
        <f t="shared" si="52"/>
        <v/>
      </c>
      <c r="Q191" s="16" t="str">
        <f t="shared" si="53"/>
        <v/>
      </c>
      <c r="R191" s="23" t="str">
        <f t="shared" si="54"/>
        <v/>
      </c>
      <c r="S191" s="23" t="str">
        <f t="shared" si="55"/>
        <v/>
      </c>
      <c r="T191" s="23" t="str">
        <f t="shared" si="56"/>
        <v/>
      </c>
      <c r="U191" s="23" t="str">
        <f t="shared" si="57"/>
        <v/>
      </c>
      <c r="V191" s="23" t="str">
        <f t="shared" si="58"/>
        <v/>
      </c>
      <c r="W191" s="70" t="str">
        <f t="shared" si="59"/>
        <v/>
      </c>
      <c r="X191" s="70" t="str">
        <f t="shared" si="60"/>
        <v/>
      </c>
      <c r="Y191" s="70" t="str">
        <f>IF(AND($A191&lt;&gt;"",$E191&gt;0),isLaptopBag($C191,$J191)*$D191,"")</f>
        <v/>
      </c>
      <c r="Z191" s="70" t="str">
        <f t="shared" si="61"/>
        <v/>
      </c>
      <c r="AA191" s="70" t="str">
        <f t="shared" si="62"/>
        <v/>
      </c>
      <c r="AB191" s="70" t="str">
        <f t="shared" si="63"/>
        <v/>
      </c>
      <c r="AC191" s="70" t="str">
        <f t="shared" si="64"/>
        <v/>
      </c>
      <c r="AD191" s="70" t="str">
        <f t="shared" si="65"/>
        <v/>
      </c>
      <c r="AE191" s="70" t="str">
        <f t="shared" si="66"/>
        <v/>
      </c>
      <c r="AF191" s="16"/>
      <c r="AG191" s="23"/>
      <c r="AH191" s="22"/>
      <c r="AJ191" s="83">
        <f t="shared" si="67"/>
        <v>0</v>
      </c>
      <c r="AO191" s="22" t="str">
        <f t="shared" si="68"/>
        <v/>
      </c>
      <c r="AP191" s="22" t="str">
        <f t="shared" si="69"/>
        <v/>
      </c>
    </row>
    <row r="192" spans="1:42" x14ac:dyDescent="0.25">
      <c r="A192" s="10"/>
      <c r="B192" s="10"/>
      <c r="C192" s="10"/>
      <c r="D192" s="10"/>
      <c r="E192" s="10"/>
      <c r="F192" s="10"/>
      <c r="G192" s="10"/>
      <c r="H192" s="17"/>
      <c r="I192" s="10"/>
      <c r="J192" s="10"/>
      <c r="K192" s="16" t="str">
        <f t="shared" si="48"/>
        <v/>
      </c>
      <c r="L192" s="23" t="str">
        <f t="shared" si="49"/>
        <v/>
      </c>
      <c r="M192" s="22" t="str">
        <f t="shared" si="50"/>
        <v/>
      </c>
      <c r="N192" s="72"/>
      <c r="O192" s="16" t="str">
        <f t="shared" si="51"/>
        <v/>
      </c>
      <c r="P192" s="16" t="str">
        <f t="shared" si="52"/>
        <v/>
      </c>
      <c r="Q192" s="16" t="str">
        <f t="shared" si="53"/>
        <v/>
      </c>
      <c r="R192" s="23" t="str">
        <f t="shared" si="54"/>
        <v/>
      </c>
      <c r="S192" s="23" t="str">
        <f t="shared" si="55"/>
        <v/>
      </c>
      <c r="T192" s="23" t="str">
        <f t="shared" si="56"/>
        <v/>
      </c>
      <c r="U192" s="23" t="str">
        <f t="shared" si="57"/>
        <v/>
      </c>
      <c r="V192" s="23" t="str">
        <f t="shared" si="58"/>
        <v/>
      </c>
      <c r="W192" s="70" t="str">
        <f t="shared" si="59"/>
        <v/>
      </c>
      <c r="X192" s="70" t="str">
        <f t="shared" si="60"/>
        <v/>
      </c>
      <c r="Y192" s="70" t="str">
        <f>IF(AND($A192&lt;&gt;"",$E192&gt;0),isLaptopBag($C192,$J192)*$D192,"")</f>
        <v/>
      </c>
      <c r="Z192" s="70" t="str">
        <f t="shared" si="61"/>
        <v/>
      </c>
      <c r="AA192" s="70" t="str">
        <f t="shared" si="62"/>
        <v/>
      </c>
      <c r="AB192" s="70" t="str">
        <f t="shared" si="63"/>
        <v/>
      </c>
      <c r="AC192" s="70" t="str">
        <f t="shared" si="64"/>
        <v/>
      </c>
      <c r="AD192" s="70" t="str">
        <f t="shared" si="65"/>
        <v/>
      </c>
      <c r="AE192" s="70" t="str">
        <f t="shared" si="66"/>
        <v/>
      </c>
      <c r="AF192" s="16"/>
      <c r="AG192" s="23"/>
      <c r="AH192" s="22"/>
      <c r="AJ192" s="83">
        <f t="shared" si="67"/>
        <v>0</v>
      </c>
      <c r="AO192" s="22" t="str">
        <f t="shared" si="68"/>
        <v/>
      </c>
      <c r="AP192" s="22" t="str">
        <f t="shared" si="69"/>
        <v/>
      </c>
    </row>
    <row r="193" spans="1:42" x14ac:dyDescent="0.25">
      <c r="A193" s="10"/>
      <c r="B193" s="10"/>
      <c r="C193" s="10"/>
      <c r="D193" s="10"/>
      <c r="E193" s="10"/>
      <c r="F193" s="10"/>
      <c r="G193" s="10"/>
      <c r="H193" s="17"/>
      <c r="I193" s="10"/>
      <c r="J193" s="10"/>
      <c r="K193" s="16" t="str">
        <f t="shared" si="48"/>
        <v/>
      </c>
      <c r="L193" s="23" t="str">
        <f t="shared" si="49"/>
        <v/>
      </c>
      <c r="M193" s="22" t="str">
        <f t="shared" si="50"/>
        <v/>
      </c>
      <c r="N193" s="72"/>
      <c r="O193" s="16" t="str">
        <f t="shared" si="51"/>
        <v/>
      </c>
      <c r="P193" s="16" t="str">
        <f t="shared" si="52"/>
        <v/>
      </c>
      <c r="Q193" s="16" t="str">
        <f t="shared" si="53"/>
        <v/>
      </c>
      <c r="R193" s="23" t="str">
        <f t="shared" si="54"/>
        <v/>
      </c>
      <c r="S193" s="23" t="str">
        <f t="shared" si="55"/>
        <v/>
      </c>
      <c r="T193" s="23" t="str">
        <f t="shared" si="56"/>
        <v/>
      </c>
      <c r="U193" s="23" t="str">
        <f t="shared" si="57"/>
        <v/>
      </c>
      <c r="V193" s="23" t="str">
        <f t="shared" si="58"/>
        <v/>
      </c>
      <c r="W193" s="70" t="str">
        <f t="shared" si="59"/>
        <v/>
      </c>
      <c r="X193" s="70" t="str">
        <f t="shared" si="60"/>
        <v/>
      </c>
      <c r="Y193" s="70" t="str">
        <f>IF(AND($A193&lt;&gt;"",$E193&gt;0),isLaptopBag($C193,$J193)*$D193,"")</f>
        <v/>
      </c>
      <c r="Z193" s="70" t="str">
        <f t="shared" si="61"/>
        <v/>
      </c>
      <c r="AA193" s="70" t="str">
        <f t="shared" si="62"/>
        <v/>
      </c>
      <c r="AB193" s="70" t="str">
        <f t="shared" si="63"/>
        <v/>
      </c>
      <c r="AC193" s="70" t="str">
        <f t="shared" si="64"/>
        <v/>
      </c>
      <c r="AD193" s="70" t="str">
        <f t="shared" si="65"/>
        <v/>
      </c>
      <c r="AE193" s="70" t="str">
        <f t="shared" si="66"/>
        <v/>
      </c>
      <c r="AF193" s="16"/>
      <c r="AG193" s="23"/>
      <c r="AH193" s="22"/>
      <c r="AJ193" s="83">
        <f t="shared" si="67"/>
        <v>0</v>
      </c>
      <c r="AO193" s="22" t="str">
        <f t="shared" si="68"/>
        <v/>
      </c>
      <c r="AP193" s="22" t="str">
        <f t="shared" si="69"/>
        <v/>
      </c>
    </row>
    <row r="194" spans="1:42" x14ac:dyDescent="0.25">
      <c r="A194" s="10"/>
      <c r="B194" s="10"/>
      <c r="C194" s="10"/>
      <c r="D194" s="10"/>
      <c r="E194" s="10"/>
      <c r="F194" s="10"/>
      <c r="G194" s="10"/>
      <c r="H194" s="17"/>
      <c r="I194" s="10"/>
      <c r="J194" s="10"/>
      <c r="K194" s="16" t="str">
        <f t="shared" si="48"/>
        <v/>
      </c>
      <c r="L194" s="23" t="str">
        <f t="shared" si="49"/>
        <v/>
      </c>
      <c r="M194" s="22" t="str">
        <f t="shared" si="50"/>
        <v/>
      </c>
      <c r="N194" s="72"/>
      <c r="O194" s="16" t="str">
        <f t="shared" si="51"/>
        <v/>
      </c>
      <c r="P194" s="16" t="str">
        <f t="shared" si="52"/>
        <v/>
      </c>
      <c r="Q194" s="16" t="str">
        <f t="shared" si="53"/>
        <v/>
      </c>
      <c r="R194" s="23" t="str">
        <f t="shared" si="54"/>
        <v/>
      </c>
      <c r="S194" s="23" t="str">
        <f t="shared" si="55"/>
        <v/>
      </c>
      <c r="T194" s="23" t="str">
        <f t="shared" si="56"/>
        <v/>
      </c>
      <c r="U194" s="23" t="str">
        <f t="shared" si="57"/>
        <v/>
      </c>
      <c r="V194" s="23" t="str">
        <f t="shared" si="58"/>
        <v/>
      </c>
      <c r="W194" s="70" t="str">
        <f t="shared" si="59"/>
        <v/>
      </c>
      <c r="X194" s="70" t="str">
        <f t="shared" si="60"/>
        <v/>
      </c>
      <c r="Y194" s="70" t="str">
        <f>IF(AND($A194&lt;&gt;"",$E194&gt;0),isLaptopBag($C194,$J194)*$D194,"")</f>
        <v/>
      </c>
      <c r="Z194" s="70" t="str">
        <f t="shared" si="61"/>
        <v/>
      </c>
      <c r="AA194" s="70" t="str">
        <f t="shared" si="62"/>
        <v/>
      </c>
      <c r="AB194" s="70" t="str">
        <f t="shared" si="63"/>
        <v/>
      </c>
      <c r="AC194" s="70" t="str">
        <f t="shared" si="64"/>
        <v/>
      </c>
      <c r="AD194" s="70" t="str">
        <f t="shared" si="65"/>
        <v/>
      </c>
      <c r="AE194" s="70" t="str">
        <f t="shared" si="66"/>
        <v/>
      </c>
      <c r="AF194" s="16"/>
      <c r="AG194" s="23"/>
      <c r="AH194" s="22"/>
      <c r="AJ194" s="83">
        <f t="shared" si="67"/>
        <v>0</v>
      </c>
      <c r="AO194" s="22" t="str">
        <f t="shared" si="68"/>
        <v/>
      </c>
      <c r="AP194" s="22" t="str">
        <f t="shared" si="69"/>
        <v/>
      </c>
    </row>
    <row r="195" spans="1:42" x14ac:dyDescent="0.25">
      <c r="A195" s="10"/>
      <c r="B195" s="10"/>
      <c r="C195" s="10"/>
      <c r="D195" s="10"/>
      <c r="E195" s="10"/>
      <c r="F195" s="10"/>
      <c r="G195" s="10"/>
      <c r="H195" s="17"/>
      <c r="I195" s="10"/>
      <c r="J195" s="10"/>
      <c r="K195" s="16" t="str">
        <f t="shared" si="48"/>
        <v/>
      </c>
      <c r="L195" s="23" t="str">
        <f t="shared" si="49"/>
        <v/>
      </c>
      <c r="M195" s="22" t="str">
        <f t="shared" si="50"/>
        <v/>
      </c>
      <c r="N195" s="72"/>
      <c r="O195" s="16" t="str">
        <f t="shared" si="51"/>
        <v/>
      </c>
      <c r="P195" s="16" t="str">
        <f t="shared" si="52"/>
        <v/>
      </c>
      <c r="Q195" s="16" t="str">
        <f t="shared" si="53"/>
        <v/>
      </c>
      <c r="R195" s="23" t="str">
        <f t="shared" si="54"/>
        <v/>
      </c>
      <c r="S195" s="23" t="str">
        <f t="shared" si="55"/>
        <v/>
      </c>
      <c r="T195" s="23" t="str">
        <f t="shared" si="56"/>
        <v/>
      </c>
      <c r="U195" s="23" t="str">
        <f t="shared" si="57"/>
        <v/>
      </c>
      <c r="V195" s="23" t="str">
        <f t="shared" si="58"/>
        <v/>
      </c>
      <c r="W195" s="70" t="str">
        <f t="shared" si="59"/>
        <v/>
      </c>
      <c r="X195" s="70" t="str">
        <f t="shared" si="60"/>
        <v/>
      </c>
      <c r="Y195" s="70" t="str">
        <f>IF(AND($A195&lt;&gt;"",$E195&gt;0),isLaptopBag($C195,$J195)*$D195,"")</f>
        <v/>
      </c>
      <c r="Z195" s="70" t="str">
        <f t="shared" si="61"/>
        <v/>
      </c>
      <c r="AA195" s="70" t="str">
        <f t="shared" si="62"/>
        <v/>
      </c>
      <c r="AB195" s="70" t="str">
        <f t="shared" si="63"/>
        <v/>
      </c>
      <c r="AC195" s="70" t="str">
        <f t="shared" si="64"/>
        <v/>
      </c>
      <c r="AD195" s="70" t="str">
        <f t="shared" si="65"/>
        <v/>
      </c>
      <c r="AE195" s="70" t="str">
        <f t="shared" si="66"/>
        <v/>
      </c>
      <c r="AF195" s="16"/>
      <c r="AG195" s="23"/>
      <c r="AH195" s="22"/>
      <c r="AJ195" s="83">
        <f t="shared" si="67"/>
        <v>0</v>
      </c>
      <c r="AO195" s="22" t="str">
        <f t="shared" si="68"/>
        <v/>
      </c>
      <c r="AP195" s="22" t="str">
        <f t="shared" si="69"/>
        <v/>
      </c>
    </row>
    <row r="196" spans="1:42" x14ac:dyDescent="0.25">
      <c r="A196" s="10"/>
      <c r="B196" s="10"/>
      <c r="C196" s="10"/>
      <c r="D196" s="10"/>
      <c r="E196" s="10"/>
      <c r="F196" s="10"/>
      <c r="G196" s="10"/>
      <c r="H196" s="17"/>
      <c r="I196" s="10"/>
      <c r="J196" s="10"/>
      <c r="K196" s="16" t="str">
        <f t="shared" si="48"/>
        <v/>
      </c>
      <c r="L196" s="23" t="str">
        <f t="shared" si="49"/>
        <v/>
      </c>
      <c r="M196" s="22" t="str">
        <f t="shared" si="50"/>
        <v/>
      </c>
      <c r="N196" s="72"/>
      <c r="O196" s="16" t="str">
        <f t="shared" si="51"/>
        <v/>
      </c>
      <c r="P196" s="16" t="str">
        <f t="shared" si="52"/>
        <v/>
      </c>
      <c r="Q196" s="16" t="str">
        <f t="shared" si="53"/>
        <v/>
      </c>
      <c r="R196" s="23" t="str">
        <f t="shared" si="54"/>
        <v/>
      </c>
      <c r="S196" s="23" t="str">
        <f t="shared" si="55"/>
        <v/>
      </c>
      <c r="T196" s="23" t="str">
        <f t="shared" si="56"/>
        <v/>
      </c>
      <c r="U196" s="23" t="str">
        <f t="shared" si="57"/>
        <v/>
      </c>
      <c r="V196" s="23" t="str">
        <f t="shared" si="58"/>
        <v/>
      </c>
      <c r="W196" s="70" t="str">
        <f t="shared" si="59"/>
        <v/>
      </c>
      <c r="X196" s="70" t="str">
        <f t="shared" si="60"/>
        <v/>
      </c>
      <c r="Y196" s="70" t="str">
        <f>IF(AND($A196&lt;&gt;"",$E196&gt;0),isLaptopBag($C196,$J196)*$D196,"")</f>
        <v/>
      </c>
      <c r="Z196" s="70" t="str">
        <f t="shared" si="61"/>
        <v/>
      </c>
      <c r="AA196" s="70" t="str">
        <f t="shared" si="62"/>
        <v/>
      </c>
      <c r="AB196" s="70" t="str">
        <f t="shared" si="63"/>
        <v/>
      </c>
      <c r="AC196" s="70" t="str">
        <f t="shared" si="64"/>
        <v/>
      </c>
      <c r="AD196" s="70" t="str">
        <f t="shared" si="65"/>
        <v/>
      </c>
      <c r="AE196" s="70" t="str">
        <f t="shared" si="66"/>
        <v/>
      </c>
      <c r="AF196" s="16"/>
      <c r="AG196" s="23"/>
      <c r="AH196" s="22"/>
      <c r="AJ196" s="83">
        <f t="shared" si="67"/>
        <v>0</v>
      </c>
      <c r="AO196" s="22" t="str">
        <f t="shared" si="68"/>
        <v/>
      </c>
      <c r="AP196" s="22" t="str">
        <f t="shared" si="69"/>
        <v/>
      </c>
    </row>
    <row r="197" spans="1:42" x14ac:dyDescent="0.25">
      <c r="A197" s="10"/>
      <c r="B197" s="10"/>
      <c r="C197" s="10"/>
      <c r="D197" s="10"/>
      <c r="E197" s="10"/>
      <c r="F197" s="10"/>
      <c r="G197" s="10"/>
      <c r="H197" s="17"/>
      <c r="I197" s="10"/>
      <c r="J197" s="10"/>
      <c r="K197" s="16" t="str">
        <f t="shared" si="48"/>
        <v/>
      </c>
      <c r="L197" s="23" t="str">
        <f t="shared" si="49"/>
        <v/>
      </c>
      <c r="M197" s="22" t="str">
        <f t="shared" si="50"/>
        <v/>
      </c>
      <c r="N197" s="72"/>
      <c r="O197" s="16" t="str">
        <f t="shared" si="51"/>
        <v/>
      </c>
      <c r="P197" s="16" t="str">
        <f t="shared" si="52"/>
        <v/>
      </c>
      <c r="Q197" s="16" t="str">
        <f t="shared" si="53"/>
        <v/>
      </c>
      <c r="R197" s="23" t="str">
        <f t="shared" si="54"/>
        <v/>
      </c>
      <c r="S197" s="23" t="str">
        <f t="shared" si="55"/>
        <v/>
      </c>
      <c r="T197" s="23" t="str">
        <f t="shared" si="56"/>
        <v/>
      </c>
      <c r="U197" s="23" t="str">
        <f t="shared" si="57"/>
        <v/>
      </c>
      <c r="V197" s="23" t="str">
        <f t="shared" si="58"/>
        <v/>
      </c>
      <c r="W197" s="70" t="str">
        <f t="shared" si="59"/>
        <v/>
      </c>
      <c r="X197" s="70" t="str">
        <f t="shared" si="60"/>
        <v/>
      </c>
      <c r="Y197" s="70" t="str">
        <f>IF(AND($A197&lt;&gt;"",$E197&gt;0),isLaptopBag($C197,$J197)*$D197,"")</f>
        <v/>
      </c>
      <c r="Z197" s="70" t="str">
        <f t="shared" si="61"/>
        <v/>
      </c>
      <c r="AA197" s="70" t="str">
        <f t="shared" si="62"/>
        <v/>
      </c>
      <c r="AB197" s="70" t="str">
        <f t="shared" si="63"/>
        <v/>
      </c>
      <c r="AC197" s="70" t="str">
        <f t="shared" si="64"/>
        <v/>
      </c>
      <c r="AD197" s="70" t="str">
        <f t="shared" si="65"/>
        <v/>
      </c>
      <c r="AE197" s="70" t="str">
        <f t="shared" si="66"/>
        <v/>
      </c>
      <c r="AF197" s="16"/>
      <c r="AG197" s="23"/>
      <c r="AH197" s="22"/>
      <c r="AJ197" s="83">
        <f t="shared" si="67"/>
        <v>0</v>
      </c>
      <c r="AO197" s="22" t="str">
        <f t="shared" si="68"/>
        <v/>
      </c>
      <c r="AP197" s="22" t="str">
        <f t="shared" si="69"/>
        <v/>
      </c>
    </row>
    <row r="198" spans="1:42" x14ac:dyDescent="0.25">
      <c r="A198" s="10"/>
      <c r="B198" s="10"/>
      <c r="C198" s="10"/>
      <c r="D198" s="10"/>
      <c r="E198" s="10"/>
      <c r="F198" s="10"/>
      <c r="G198" s="10"/>
      <c r="H198" s="17"/>
      <c r="I198" s="10"/>
      <c r="J198" s="10"/>
      <c r="K198" s="16" t="str">
        <f t="shared" si="48"/>
        <v/>
      </c>
      <c r="L198" s="23" t="str">
        <f t="shared" si="49"/>
        <v/>
      </c>
      <c r="M198" s="22" t="str">
        <f t="shared" si="50"/>
        <v/>
      </c>
      <c r="N198" s="72"/>
      <c r="O198" s="16" t="str">
        <f t="shared" si="51"/>
        <v/>
      </c>
      <c r="P198" s="16" t="str">
        <f t="shared" si="52"/>
        <v/>
      </c>
      <c r="Q198" s="16" t="str">
        <f t="shared" si="53"/>
        <v/>
      </c>
      <c r="R198" s="23" t="str">
        <f t="shared" si="54"/>
        <v/>
      </c>
      <c r="S198" s="23" t="str">
        <f t="shared" si="55"/>
        <v/>
      </c>
      <c r="T198" s="23" t="str">
        <f t="shared" si="56"/>
        <v/>
      </c>
      <c r="U198" s="23" t="str">
        <f t="shared" si="57"/>
        <v/>
      </c>
      <c r="V198" s="23" t="str">
        <f t="shared" si="58"/>
        <v/>
      </c>
      <c r="W198" s="70" t="str">
        <f t="shared" si="59"/>
        <v/>
      </c>
      <c r="X198" s="70" t="str">
        <f t="shared" si="60"/>
        <v/>
      </c>
      <c r="Y198" s="70" t="str">
        <f>IF(AND($A198&lt;&gt;"",$E198&gt;0),isLaptopBag($C198,$J198)*$D198,"")</f>
        <v/>
      </c>
      <c r="Z198" s="70" t="str">
        <f t="shared" si="61"/>
        <v/>
      </c>
      <c r="AA198" s="70" t="str">
        <f t="shared" si="62"/>
        <v/>
      </c>
      <c r="AB198" s="70" t="str">
        <f t="shared" si="63"/>
        <v/>
      </c>
      <c r="AC198" s="70" t="str">
        <f t="shared" si="64"/>
        <v/>
      </c>
      <c r="AD198" s="70" t="str">
        <f t="shared" si="65"/>
        <v/>
      </c>
      <c r="AE198" s="70" t="str">
        <f t="shared" si="66"/>
        <v/>
      </c>
      <c r="AF198" s="16"/>
      <c r="AG198" s="23"/>
      <c r="AH198" s="22"/>
      <c r="AJ198" s="83">
        <f t="shared" si="67"/>
        <v>0</v>
      </c>
      <c r="AO198" s="22" t="str">
        <f t="shared" si="68"/>
        <v/>
      </c>
      <c r="AP198" s="22" t="str">
        <f t="shared" si="69"/>
        <v/>
      </c>
    </row>
    <row r="199" spans="1:42" x14ac:dyDescent="0.25">
      <c r="A199" s="10"/>
      <c r="B199" s="10"/>
      <c r="C199" s="10"/>
      <c r="D199" s="10"/>
      <c r="E199" s="10"/>
      <c r="F199" s="10"/>
      <c r="G199" s="10"/>
      <c r="H199" s="17"/>
      <c r="I199" s="10"/>
      <c r="J199" s="10"/>
      <c r="K199" s="16" t="str">
        <f t="shared" si="48"/>
        <v/>
      </c>
      <c r="L199" s="23" t="str">
        <f t="shared" si="49"/>
        <v/>
      </c>
      <c r="M199" s="22" t="str">
        <f t="shared" si="50"/>
        <v/>
      </c>
      <c r="N199" s="72"/>
      <c r="O199" s="16" t="str">
        <f t="shared" si="51"/>
        <v/>
      </c>
      <c r="P199" s="16" t="str">
        <f t="shared" si="52"/>
        <v/>
      </c>
      <c r="Q199" s="16" t="str">
        <f t="shared" si="53"/>
        <v/>
      </c>
      <c r="R199" s="23" t="str">
        <f t="shared" si="54"/>
        <v/>
      </c>
      <c r="S199" s="23" t="str">
        <f t="shared" si="55"/>
        <v/>
      </c>
      <c r="T199" s="23" t="str">
        <f t="shared" si="56"/>
        <v/>
      </c>
      <c r="U199" s="23" t="str">
        <f t="shared" si="57"/>
        <v/>
      </c>
      <c r="V199" s="23" t="str">
        <f t="shared" si="58"/>
        <v/>
      </c>
      <c r="W199" s="70" t="str">
        <f t="shared" si="59"/>
        <v/>
      </c>
      <c r="X199" s="70" t="str">
        <f t="shared" si="60"/>
        <v/>
      </c>
      <c r="Y199" s="70" t="str">
        <f>IF(AND($A199&lt;&gt;"",$E199&gt;0),isLaptopBag($C199,$J199)*$D199,"")</f>
        <v/>
      </c>
      <c r="Z199" s="70" t="str">
        <f t="shared" si="61"/>
        <v/>
      </c>
      <c r="AA199" s="70" t="str">
        <f t="shared" si="62"/>
        <v/>
      </c>
      <c r="AB199" s="70" t="str">
        <f t="shared" si="63"/>
        <v/>
      </c>
      <c r="AC199" s="70" t="str">
        <f t="shared" si="64"/>
        <v/>
      </c>
      <c r="AD199" s="70" t="str">
        <f t="shared" si="65"/>
        <v/>
      </c>
      <c r="AE199" s="70" t="str">
        <f t="shared" si="66"/>
        <v/>
      </c>
      <c r="AF199" s="16"/>
      <c r="AG199" s="23"/>
      <c r="AH199" s="22"/>
      <c r="AJ199" s="83">
        <f t="shared" si="67"/>
        <v>0</v>
      </c>
      <c r="AO199" s="22" t="str">
        <f t="shared" si="68"/>
        <v/>
      </c>
      <c r="AP199" s="22" t="str">
        <f t="shared" si="69"/>
        <v/>
      </c>
    </row>
    <row r="200" spans="1:42" x14ac:dyDescent="0.25">
      <c r="A200" s="10"/>
      <c r="B200" s="10"/>
      <c r="C200" s="10"/>
      <c r="D200" s="10"/>
      <c r="E200" s="10"/>
      <c r="F200" s="10"/>
      <c r="G200" s="10"/>
      <c r="H200" s="17"/>
      <c r="I200" s="10"/>
      <c r="J200" s="10"/>
      <c r="K200" s="16" t="str">
        <f t="shared" si="48"/>
        <v/>
      </c>
      <c r="L200" s="23" t="str">
        <f t="shared" si="49"/>
        <v/>
      </c>
      <c r="M200" s="22" t="str">
        <f t="shared" si="50"/>
        <v/>
      </c>
      <c r="N200" s="72"/>
      <c r="O200" s="16" t="str">
        <f t="shared" si="51"/>
        <v/>
      </c>
      <c r="P200" s="16" t="str">
        <f t="shared" si="52"/>
        <v/>
      </c>
      <c r="Q200" s="16" t="str">
        <f t="shared" si="53"/>
        <v/>
      </c>
      <c r="R200" s="23" t="str">
        <f t="shared" si="54"/>
        <v/>
      </c>
      <c r="S200" s="23" t="str">
        <f t="shared" si="55"/>
        <v/>
      </c>
      <c r="T200" s="23" t="str">
        <f t="shared" si="56"/>
        <v/>
      </c>
      <c r="U200" s="23" t="str">
        <f t="shared" si="57"/>
        <v/>
      </c>
      <c r="V200" s="23" t="str">
        <f t="shared" si="58"/>
        <v/>
      </c>
      <c r="W200" s="70" t="str">
        <f t="shared" si="59"/>
        <v/>
      </c>
      <c r="X200" s="70" t="str">
        <f t="shared" si="60"/>
        <v/>
      </c>
      <c r="Y200" s="70" t="str">
        <f>IF(AND($A200&lt;&gt;"",$E200&gt;0),isLaptopBag($C200,$J200)*$D200,"")</f>
        <v/>
      </c>
      <c r="Z200" s="70" t="str">
        <f t="shared" si="61"/>
        <v/>
      </c>
      <c r="AA200" s="70" t="str">
        <f t="shared" si="62"/>
        <v/>
      </c>
      <c r="AB200" s="70" t="str">
        <f t="shared" si="63"/>
        <v/>
      </c>
      <c r="AC200" s="70" t="str">
        <f t="shared" si="64"/>
        <v/>
      </c>
      <c r="AD200" s="70" t="str">
        <f t="shared" si="65"/>
        <v/>
      </c>
      <c r="AE200" s="70" t="str">
        <f t="shared" si="66"/>
        <v/>
      </c>
      <c r="AF200" s="16"/>
      <c r="AG200" s="23"/>
      <c r="AH200" s="22"/>
      <c r="AJ200" s="83">
        <f t="shared" si="67"/>
        <v>0</v>
      </c>
      <c r="AO200" s="22" t="str">
        <f t="shared" si="68"/>
        <v/>
      </c>
      <c r="AP200" s="22" t="str">
        <f t="shared" si="69"/>
        <v/>
      </c>
    </row>
    <row r="201" spans="1:42" x14ac:dyDescent="0.25">
      <c r="A201" s="10"/>
      <c r="B201" s="10"/>
      <c r="C201" s="10"/>
      <c r="D201" s="10"/>
      <c r="E201" s="10"/>
      <c r="F201" s="10"/>
      <c r="G201" s="10"/>
      <c r="H201" s="17"/>
      <c r="I201" s="10"/>
      <c r="J201" s="10"/>
      <c r="K201" s="16" t="str">
        <f t="shared" si="48"/>
        <v/>
      </c>
      <c r="L201" s="23" t="str">
        <f t="shared" si="49"/>
        <v/>
      </c>
      <c r="M201" s="22" t="str">
        <f t="shared" si="50"/>
        <v/>
      </c>
      <c r="N201" s="72"/>
      <c r="O201" s="16" t="str">
        <f t="shared" si="51"/>
        <v/>
      </c>
      <c r="P201" s="16" t="str">
        <f t="shared" si="52"/>
        <v/>
      </c>
      <c r="Q201" s="16" t="str">
        <f t="shared" si="53"/>
        <v/>
      </c>
      <c r="R201" s="23" t="str">
        <f t="shared" si="54"/>
        <v/>
      </c>
      <c r="S201" s="23" t="str">
        <f t="shared" si="55"/>
        <v/>
      </c>
      <c r="T201" s="23" t="str">
        <f t="shared" si="56"/>
        <v/>
      </c>
      <c r="U201" s="23" t="str">
        <f t="shared" si="57"/>
        <v/>
      </c>
      <c r="V201" s="23" t="str">
        <f t="shared" si="58"/>
        <v/>
      </c>
      <c r="W201" s="70" t="str">
        <f t="shared" si="59"/>
        <v/>
      </c>
      <c r="X201" s="70" t="str">
        <f t="shared" si="60"/>
        <v/>
      </c>
      <c r="Y201" s="70" t="str">
        <f>IF(AND($A201&lt;&gt;"",$E201&gt;0),isLaptopBag($C201,$J201)*$D201,"")</f>
        <v/>
      </c>
      <c r="Z201" s="70" t="str">
        <f t="shared" si="61"/>
        <v/>
      </c>
      <c r="AA201" s="70" t="str">
        <f t="shared" si="62"/>
        <v/>
      </c>
      <c r="AB201" s="70" t="str">
        <f t="shared" si="63"/>
        <v/>
      </c>
      <c r="AC201" s="70" t="str">
        <f t="shared" si="64"/>
        <v/>
      </c>
      <c r="AD201" s="70" t="str">
        <f t="shared" si="65"/>
        <v/>
      </c>
      <c r="AE201" s="70" t="str">
        <f t="shared" si="66"/>
        <v/>
      </c>
      <c r="AF201" s="16"/>
      <c r="AG201" s="23"/>
      <c r="AH201" s="22"/>
      <c r="AJ201" s="83">
        <f t="shared" si="67"/>
        <v>0</v>
      </c>
      <c r="AO201" s="22" t="str">
        <f t="shared" si="68"/>
        <v/>
      </c>
      <c r="AP201" s="22" t="str">
        <f t="shared" si="69"/>
        <v/>
      </c>
    </row>
    <row r="202" spans="1:42" x14ac:dyDescent="0.25">
      <c r="A202" s="10"/>
      <c r="B202" s="10"/>
      <c r="C202" s="10"/>
      <c r="D202" s="10"/>
      <c r="E202" s="10"/>
      <c r="F202" s="10"/>
      <c r="G202" s="10"/>
      <c r="H202" s="17"/>
      <c r="I202" s="10"/>
      <c r="J202" s="10"/>
      <c r="K202" s="16" t="str">
        <f t="shared" si="48"/>
        <v/>
      </c>
      <c r="L202" s="23" t="str">
        <f t="shared" si="49"/>
        <v/>
      </c>
      <c r="M202" s="22" t="str">
        <f t="shared" si="50"/>
        <v/>
      </c>
      <c r="N202" s="72"/>
      <c r="O202" s="16" t="str">
        <f t="shared" si="51"/>
        <v/>
      </c>
      <c r="P202" s="16" t="str">
        <f t="shared" si="52"/>
        <v/>
      </c>
      <c r="Q202" s="16" t="str">
        <f t="shared" si="53"/>
        <v/>
      </c>
      <c r="R202" s="23" t="str">
        <f t="shared" si="54"/>
        <v/>
      </c>
      <c r="S202" s="23" t="str">
        <f t="shared" si="55"/>
        <v/>
      </c>
      <c r="T202" s="23" t="str">
        <f t="shared" si="56"/>
        <v/>
      </c>
      <c r="U202" s="23" t="str">
        <f t="shared" si="57"/>
        <v/>
      </c>
      <c r="V202" s="23" t="str">
        <f t="shared" si="58"/>
        <v/>
      </c>
      <c r="W202" s="70" t="str">
        <f t="shared" si="59"/>
        <v/>
      </c>
      <c r="X202" s="70" t="str">
        <f t="shared" si="60"/>
        <v/>
      </c>
      <c r="Y202" s="70" t="str">
        <f>IF(AND($A202&lt;&gt;"",$E202&gt;0),isLaptopBag($C202,$J202)*$D202,"")</f>
        <v/>
      </c>
      <c r="Z202" s="70" t="str">
        <f t="shared" si="61"/>
        <v/>
      </c>
      <c r="AA202" s="70" t="str">
        <f t="shared" si="62"/>
        <v/>
      </c>
      <c r="AB202" s="70" t="str">
        <f t="shared" si="63"/>
        <v/>
      </c>
      <c r="AC202" s="70" t="str">
        <f t="shared" si="64"/>
        <v/>
      </c>
      <c r="AD202" s="70" t="str">
        <f t="shared" si="65"/>
        <v/>
      </c>
      <c r="AE202" s="70" t="str">
        <f t="shared" si="66"/>
        <v/>
      </c>
      <c r="AF202" s="16"/>
      <c r="AG202" s="23"/>
      <c r="AH202" s="22"/>
      <c r="AJ202" s="83">
        <f t="shared" si="67"/>
        <v>0</v>
      </c>
      <c r="AO202" s="22" t="str">
        <f t="shared" si="68"/>
        <v/>
      </c>
      <c r="AP202" s="22" t="str">
        <f t="shared" si="69"/>
        <v/>
      </c>
    </row>
    <row r="203" spans="1:42" x14ac:dyDescent="0.25">
      <c r="A203" s="10"/>
      <c r="B203" s="10"/>
      <c r="C203" s="10"/>
      <c r="D203" s="10"/>
      <c r="E203" s="10"/>
      <c r="F203" s="10"/>
      <c r="G203" s="10"/>
      <c r="H203" s="17"/>
      <c r="I203" s="10"/>
      <c r="J203" s="10"/>
      <c r="K203" s="16" t="str">
        <f t="shared" si="48"/>
        <v/>
      </c>
      <c r="L203" s="23" t="str">
        <f t="shared" si="49"/>
        <v/>
      </c>
      <c r="M203" s="22" t="str">
        <f t="shared" si="50"/>
        <v/>
      </c>
      <c r="N203" s="72"/>
      <c r="O203" s="16" t="str">
        <f t="shared" si="51"/>
        <v/>
      </c>
      <c r="P203" s="16" t="str">
        <f t="shared" si="52"/>
        <v/>
      </c>
      <c r="Q203" s="16" t="str">
        <f t="shared" si="53"/>
        <v/>
      </c>
      <c r="R203" s="23" t="str">
        <f t="shared" si="54"/>
        <v/>
      </c>
      <c r="S203" s="23" t="str">
        <f t="shared" si="55"/>
        <v/>
      </c>
      <c r="T203" s="23" t="str">
        <f t="shared" si="56"/>
        <v/>
      </c>
      <c r="U203" s="23" t="str">
        <f t="shared" si="57"/>
        <v/>
      </c>
      <c r="V203" s="23" t="str">
        <f t="shared" si="58"/>
        <v/>
      </c>
      <c r="W203" s="70" t="str">
        <f t="shared" si="59"/>
        <v/>
      </c>
      <c r="X203" s="70" t="str">
        <f t="shared" si="60"/>
        <v/>
      </c>
      <c r="Y203" s="70" t="str">
        <f>IF(AND($A203&lt;&gt;"",$E203&gt;0),isLaptopBag($C203,$J203)*$D203,"")</f>
        <v/>
      </c>
      <c r="Z203" s="70" t="str">
        <f t="shared" si="61"/>
        <v/>
      </c>
      <c r="AA203" s="70" t="str">
        <f t="shared" si="62"/>
        <v/>
      </c>
      <c r="AB203" s="70" t="str">
        <f t="shared" si="63"/>
        <v/>
      </c>
      <c r="AC203" s="70" t="str">
        <f t="shared" si="64"/>
        <v/>
      </c>
      <c r="AD203" s="70" t="str">
        <f t="shared" si="65"/>
        <v/>
      </c>
      <c r="AE203" s="70" t="str">
        <f t="shared" si="66"/>
        <v/>
      </c>
      <c r="AF203" s="16"/>
      <c r="AG203" s="23"/>
      <c r="AH203" s="22"/>
      <c r="AJ203" s="83">
        <f t="shared" si="67"/>
        <v>0</v>
      </c>
      <c r="AO203" s="22" t="str">
        <f t="shared" si="68"/>
        <v/>
      </c>
      <c r="AP203" s="22" t="str">
        <f t="shared" si="69"/>
        <v/>
      </c>
    </row>
    <row r="204" spans="1:42" x14ac:dyDescent="0.25">
      <c r="A204" s="10"/>
      <c r="B204" s="10"/>
      <c r="C204" s="10"/>
      <c r="D204" s="10"/>
      <c r="E204" s="10"/>
      <c r="F204" s="10"/>
      <c r="G204" s="10"/>
      <c r="H204" s="17"/>
      <c r="I204" s="10"/>
      <c r="J204" s="10"/>
      <c r="K204" s="16" t="str">
        <f t="shared" si="48"/>
        <v/>
      </c>
      <c r="L204" s="23" t="str">
        <f t="shared" si="49"/>
        <v/>
      </c>
      <c r="M204" s="22" t="str">
        <f t="shared" si="50"/>
        <v/>
      </c>
      <c r="N204" s="72"/>
      <c r="O204" s="16" t="str">
        <f t="shared" si="51"/>
        <v/>
      </c>
      <c r="P204" s="16" t="str">
        <f t="shared" si="52"/>
        <v/>
      </c>
      <c r="Q204" s="16" t="str">
        <f t="shared" si="53"/>
        <v/>
      </c>
      <c r="R204" s="23" t="str">
        <f t="shared" si="54"/>
        <v/>
      </c>
      <c r="S204" s="23" t="str">
        <f t="shared" si="55"/>
        <v/>
      </c>
      <c r="T204" s="23" t="str">
        <f t="shared" si="56"/>
        <v/>
      </c>
      <c r="U204" s="23" t="str">
        <f t="shared" si="57"/>
        <v/>
      </c>
      <c r="V204" s="23" t="str">
        <f t="shared" si="58"/>
        <v/>
      </c>
      <c r="W204" s="70" t="str">
        <f t="shared" si="59"/>
        <v/>
      </c>
      <c r="X204" s="70" t="str">
        <f t="shared" si="60"/>
        <v/>
      </c>
      <c r="Y204" s="70" t="str">
        <f>IF(AND($A204&lt;&gt;"",$E204&gt;0),isLaptopBag($C204,$J204)*$D204,"")</f>
        <v/>
      </c>
      <c r="Z204" s="70" t="str">
        <f t="shared" si="61"/>
        <v/>
      </c>
      <c r="AA204" s="70" t="str">
        <f t="shared" si="62"/>
        <v/>
      </c>
      <c r="AB204" s="70" t="str">
        <f t="shared" si="63"/>
        <v/>
      </c>
      <c r="AC204" s="70" t="str">
        <f t="shared" si="64"/>
        <v/>
      </c>
      <c r="AD204" s="70" t="str">
        <f t="shared" si="65"/>
        <v/>
      </c>
      <c r="AE204" s="70" t="str">
        <f t="shared" si="66"/>
        <v/>
      </c>
      <c r="AF204" s="16"/>
      <c r="AG204" s="23"/>
      <c r="AH204" s="22"/>
      <c r="AJ204" s="83">
        <f t="shared" si="67"/>
        <v>0</v>
      </c>
      <c r="AO204" s="22" t="str">
        <f t="shared" si="68"/>
        <v/>
      </c>
      <c r="AP204" s="22" t="str">
        <f t="shared" si="69"/>
        <v/>
      </c>
    </row>
    <row r="205" spans="1:42" x14ac:dyDescent="0.25">
      <c r="A205" s="10"/>
      <c r="B205" s="10"/>
      <c r="C205" s="10"/>
      <c r="D205" s="10"/>
      <c r="E205" s="10"/>
      <c r="F205" s="10"/>
      <c r="G205" s="10"/>
      <c r="H205" s="17"/>
      <c r="I205" s="10"/>
      <c r="J205" s="10"/>
      <c r="K205" s="16" t="str">
        <f t="shared" ref="K205:K268" si="70">IF($AF205&lt;&gt;"",$AF205,IF(AND($A205&lt;&gt;"",$E205&gt;0),SUM($O205:$Q205),""))</f>
        <v/>
      </c>
      <c r="L205" s="23" t="str">
        <f t="shared" ref="L205:L268" si="71">IF($AG205&lt;&gt;"",$AG205,IF(AND($A205&lt;&gt;"",$E205&gt;0),SUM($R205:$V205),""))</f>
        <v/>
      </c>
      <c r="M205" s="22" t="str">
        <f t="shared" ref="M205:M268" si="72">IF($AH205&lt;&gt;"",$AH205,IF(AND($A205&lt;&gt;"",$E205&gt;0),SUM($W205:$AE205)+$AO205+$AP205,""))</f>
        <v/>
      </c>
      <c r="N205" s="72"/>
      <c r="O205" s="16" t="str">
        <f t="shared" ref="O205:O268" si="73">IF(AND($A205&lt;&gt;"",$E205&gt;0),IF(AND($J205="SONY",200000&lt;=$E205,$E205&lt;1000000),5000*$D205,0),"")</f>
        <v/>
      </c>
      <c r="P205" s="16" t="str">
        <f t="shared" ref="P205:P268" si="74">IF(AND($A205&lt;&gt;"",$E205&gt;0),IF(AND($J205="SONY",1000000&lt;=$E205,$E205&lt;2000000),10000*$D205,0),"")</f>
        <v/>
      </c>
      <c r="Q205" s="16" t="str">
        <f t="shared" ref="Q205:Q268" si="75">IF(AND($A205&lt;&gt;"",$E205&gt;0),IF(AND($J205="SONY",$E205&gt;=2000000),20000*$D205,0),"")</f>
        <v/>
      </c>
      <c r="R205" s="23" t="str">
        <f t="shared" ref="R205:R268" si="76">IF(AND($A205&lt;&gt;"",$E205&gt;0),IF(AND($J205&lt;&gt;"SONY",100000&lt;=$E205,$E205&lt;200000),5000*$D205,0),"")</f>
        <v/>
      </c>
      <c r="S205" s="23" t="str">
        <f t="shared" ref="S205:S268" si="77">IF(AND($A205&lt;&gt;"",$E205&gt;0),IF(AND($J205&lt;&gt;"SONY",200000&lt;=$E205,$E205&lt;500000),10000*$D205,0),"")</f>
        <v/>
      </c>
      <c r="T205" s="23" t="str">
        <f t="shared" ref="T205:T268" si="78">IF(AND($A205&lt;&gt;"",$E205&gt;0),IF(AND($J205&lt;&gt;"SONY",500000&lt;=$E205,$E205&lt;1000000),20000*$D205,0),"")</f>
        <v/>
      </c>
      <c r="U205" s="23" t="str">
        <f t="shared" ref="U205:U268" si="79">IF(AND($A205&lt;&gt;"",$E205&gt;0),IF(AND($J205&lt;&gt;"SONY",1000000&lt;=$E205,$E205&lt;1500000),50000*$D205,0),"")</f>
        <v/>
      </c>
      <c r="V205" s="23" t="str">
        <f t="shared" ref="V205:V268" si="80">IF(AND($A205&lt;&gt;"",$E205&gt;0),IF(AND($J205&lt;&gt;"SONY",1500000&lt;=$E205),100000*$D205,0),"")</f>
        <v/>
      </c>
      <c r="W205" s="70" t="str">
        <f t="shared" ref="W205:W268" si="81">IF(AND($E205&gt;0,$J205="ELECOM",$E205&gt;=500000,ISNUMBER(SEARCH("tai nghe",$C205))),20000*$D205,IF($A205&lt;&gt;"",0,""))</f>
        <v/>
      </c>
      <c r="X205" s="70" t="str">
        <f t="shared" ref="X205:X268" si="82">IF(AND($E205&gt;0,$J205="ELECOM",ISNUMBER(SEARCH("loa",$C205))),20000*$D205,IF($A205&lt;&gt;"",0,""))</f>
        <v/>
      </c>
      <c r="Y205" s="70" t="str">
        <f>IF(AND($A205&lt;&gt;"",$E205&gt;0),isLaptopBag($C205,$J205)*$D205,"")</f>
        <v/>
      </c>
      <c r="Z205" s="70" t="str">
        <f t="shared" ref="Z205:Z268" si="83">IF(AND($E205&gt;0,$J205="ELECOM",ISNUMBER(SEARCH("ốp",$C205))),20000*$D205,IF($A205&lt;&gt;"",0,""))</f>
        <v/>
      </c>
      <c r="AA205" s="70" t="str">
        <f t="shared" ref="AA205:AA268" si="84">IF(AND($E205&gt;0,$J205="ELECOM",ISNUMBER(SEARCH("Bút",$C205))),20000*$D205,IF($A205&lt;&gt;"",0,""))</f>
        <v/>
      </c>
      <c r="AB205" s="70" t="str">
        <f t="shared" ref="AB205:AB268" si="85">IF(AND($E205&gt;0,$J205="ELECOM",ISNUMBER(SEARCH("Chuột bi",$C205))),20000*$D205,IF($A205&lt;&gt;"",0,""))</f>
        <v/>
      </c>
      <c r="AC205" s="70" t="str">
        <f t="shared" ref="AC205:AC268" si="86">IF(AND($E205&gt;0,$J205="ELECOM",ISNUMBER(SEARCH("Chuột trackball",$C205))),20000*$D205,IF($A205&lt;&gt;"",0,""))</f>
        <v/>
      </c>
      <c r="AD205" s="70" t="str">
        <f t="shared" ref="AD205:AD268" si="87">IF(AND($E205&gt;0,$J205="ELECOM",ISNUMBER(SEARCH("Sạc không dây",$C205))),20000*$D205,IF($A205&lt;&gt;"",0,""))</f>
        <v/>
      </c>
      <c r="AE205" s="70" t="str">
        <f t="shared" ref="AE205:AE268" si="88">IF(AND($E205&gt;0,$J205="ELECOM",ISNUMBER(SEARCH("Sạc kd",$C205))),20000*$D205,IF($A205&lt;&gt;"",0,""))</f>
        <v/>
      </c>
      <c r="AF205" s="16"/>
      <c r="AG205" s="23"/>
      <c r="AH205" s="22"/>
      <c r="AJ205" s="83">
        <f t="shared" ref="AJ205:AJ268" si="89">DAY(H205)</f>
        <v>0</v>
      </c>
      <c r="AO205" s="22" t="str">
        <f t="shared" ref="AO205:AO268" si="90">IF(AND($E205&gt;0,ISNUMBER(SEARCH("Sạc dự phòng Energizer",$C205))),10000*$D205,IF($A205&lt;&gt;"",0,""))</f>
        <v/>
      </c>
      <c r="AP205" s="22" t="str">
        <f t="shared" ref="AP205:AP268" si="91">IF(AND($E205&gt;0,ISNUMBER(SEARCH("SDP Energizer",$C205))),10000*$D205,IF($A205&lt;&gt;"",0,""))</f>
        <v/>
      </c>
    </row>
    <row r="206" spans="1:42" x14ac:dyDescent="0.25">
      <c r="A206" s="10"/>
      <c r="B206" s="10"/>
      <c r="C206" s="10"/>
      <c r="D206" s="10"/>
      <c r="E206" s="10"/>
      <c r="F206" s="10"/>
      <c r="G206" s="10"/>
      <c r="H206" s="17"/>
      <c r="I206" s="10"/>
      <c r="J206" s="10"/>
      <c r="K206" s="16" t="str">
        <f t="shared" si="70"/>
        <v/>
      </c>
      <c r="L206" s="23" t="str">
        <f t="shared" si="71"/>
        <v/>
      </c>
      <c r="M206" s="22" t="str">
        <f t="shared" si="72"/>
        <v/>
      </c>
      <c r="N206" s="72"/>
      <c r="O206" s="16" t="str">
        <f t="shared" si="73"/>
        <v/>
      </c>
      <c r="P206" s="16" t="str">
        <f t="shared" si="74"/>
        <v/>
      </c>
      <c r="Q206" s="16" t="str">
        <f t="shared" si="75"/>
        <v/>
      </c>
      <c r="R206" s="23" t="str">
        <f t="shared" si="76"/>
        <v/>
      </c>
      <c r="S206" s="23" t="str">
        <f t="shared" si="77"/>
        <v/>
      </c>
      <c r="T206" s="23" t="str">
        <f t="shared" si="78"/>
        <v/>
      </c>
      <c r="U206" s="23" t="str">
        <f t="shared" si="79"/>
        <v/>
      </c>
      <c r="V206" s="23" t="str">
        <f t="shared" si="80"/>
        <v/>
      </c>
      <c r="W206" s="70" t="str">
        <f t="shared" si="81"/>
        <v/>
      </c>
      <c r="X206" s="70" t="str">
        <f t="shared" si="82"/>
        <v/>
      </c>
      <c r="Y206" s="70" t="str">
        <f>IF(AND($A206&lt;&gt;"",$E206&gt;0),isLaptopBag($C206,$J206)*$D206,"")</f>
        <v/>
      </c>
      <c r="Z206" s="70" t="str">
        <f t="shared" si="83"/>
        <v/>
      </c>
      <c r="AA206" s="70" t="str">
        <f t="shared" si="84"/>
        <v/>
      </c>
      <c r="AB206" s="70" t="str">
        <f t="shared" si="85"/>
        <v/>
      </c>
      <c r="AC206" s="70" t="str">
        <f t="shared" si="86"/>
        <v/>
      </c>
      <c r="AD206" s="70" t="str">
        <f t="shared" si="87"/>
        <v/>
      </c>
      <c r="AE206" s="70" t="str">
        <f t="shared" si="88"/>
        <v/>
      </c>
      <c r="AF206" s="16"/>
      <c r="AG206" s="23"/>
      <c r="AH206" s="22"/>
      <c r="AJ206" s="83">
        <f t="shared" si="89"/>
        <v>0</v>
      </c>
      <c r="AO206" s="22" t="str">
        <f t="shared" si="90"/>
        <v/>
      </c>
      <c r="AP206" s="22" t="str">
        <f t="shared" si="91"/>
        <v/>
      </c>
    </row>
    <row r="207" spans="1:42" x14ac:dyDescent="0.25">
      <c r="A207" s="10"/>
      <c r="B207" s="10"/>
      <c r="C207" s="10"/>
      <c r="D207" s="10"/>
      <c r="E207" s="10"/>
      <c r="F207" s="10"/>
      <c r="G207" s="10"/>
      <c r="H207" s="17"/>
      <c r="I207" s="10"/>
      <c r="J207" s="10"/>
      <c r="K207" s="16" t="str">
        <f t="shared" si="70"/>
        <v/>
      </c>
      <c r="L207" s="23" t="str">
        <f t="shared" si="71"/>
        <v/>
      </c>
      <c r="M207" s="22" t="str">
        <f t="shared" si="72"/>
        <v/>
      </c>
      <c r="N207" s="72"/>
      <c r="O207" s="16" t="str">
        <f t="shared" si="73"/>
        <v/>
      </c>
      <c r="P207" s="16" t="str">
        <f t="shared" si="74"/>
        <v/>
      </c>
      <c r="Q207" s="16" t="str">
        <f t="shared" si="75"/>
        <v/>
      </c>
      <c r="R207" s="23" t="str">
        <f t="shared" si="76"/>
        <v/>
      </c>
      <c r="S207" s="23" t="str">
        <f t="shared" si="77"/>
        <v/>
      </c>
      <c r="T207" s="23" t="str">
        <f t="shared" si="78"/>
        <v/>
      </c>
      <c r="U207" s="23" t="str">
        <f t="shared" si="79"/>
        <v/>
      </c>
      <c r="V207" s="23" t="str">
        <f t="shared" si="80"/>
        <v/>
      </c>
      <c r="W207" s="70" t="str">
        <f t="shared" si="81"/>
        <v/>
      </c>
      <c r="X207" s="70" t="str">
        <f t="shared" si="82"/>
        <v/>
      </c>
      <c r="Y207" s="70" t="str">
        <f>IF(AND($A207&lt;&gt;"",$E207&gt;0),isLaptopBag($C207,$J207)*$D207,"")</f>
        <v/>
      </c>
      <c r="Z207" s="70" t="str">
        <f t="shared" si="83"/>
        <v/>
      </c>
      <c r="AA207" s="70" t="str">
        <f t="shared" si="84"/>
        <v/>
      </c>
      <c r="AB207" s="70" t="str">
        <f t="shared" si="85"/>
        <v/>
      </c>
      <c r="AC207" s="70" t="str">
        <f t="shared" si="86"/>
        <v/>
      </c>
      <c r="AD207" s="70" t="str">
        <f t="shared" si="87"/>
        <v/>
      </c>
      <c r="AE207" s="70" t="str">
        <f t="shared" si="88"/>
        <v/>
      </c>
      <c r="AF207" s="16"/>
      <c r="AG207" s="23"/>
      <c r="AH207" s="22"/>
      <c r="AJ207" s="83">
        <f t="shared" si="89"/>
        <v>0</v>
      </c>
      <c r="AO207" s="22" t="str">
        <f t="shared" si="90"/>
        <v/>
      </c>
      <c r="AP207" s="22" t="str">
        <f t="shared" si="91"/>
        <v/>
      </c>
    </row>
    <row r="208" spans="1:42" x14ac:dyDescent="0.25">
      <c r="A208" s="10"/>
      <c r="B208" s="10"/>
      <c r="C208" s="10"/>
      <c r="D208" s="10"/>
      <c r="E208" s="10"/>
      <c r="F208" s="10"/>
      <c r="G208" s="10"/>
      <c r="H208" s="17"/>
      <c r="I208" s="10"/>
      <c r="J208" s="10"/>
      <c r="K208" s="16" t="str">
        <f t="shared" si="70"/>
        <v/>
      </c>
      <c r="L208" s="23" t="str">
        <f t="shared" si="71"/>
        <v/>
      </c>
      <c r="M208" s="22" t="str">
        <f t="shared" si="72"/>
        <v/>
      </c>
      <c r="N208" s="72"/>
      <c r="O208" s="16" t="str">
        <f t="shared" si="73"/>
        <v/>
      </c>
      <c r="P208" s="16" t="str">
        <f t="shared" si="74"/>
        <v/>
      </c>
      <c r="Q208" s="16" t="str">
        <f t="shared" si="75"/>
        <v/>
      </c>
      <c r="R208" s="23" t="str">
        <f t="shared" si="76"/>
        <v/>
      </c>
      <c r="S208" s="23" t="str">
        <f t="shared" si="77"/>
        <v/>
      </c>
      <c r="T208" s="23" t="str">
        <f t="shared" si="78"/>
        <v/>
      </c>
      <c r="U208" s="23" t="str">
        <f t="shared" si="79"/>
        <v/>
      </c>
      <c r="V208" s="23" t="str">
        <f t="shared" si="80"/>
        <v/>
      </c>
      <c r="W208" s="70" t="str">
        <f t="shared" si="81"/>
        <v/>
      </c>
      <c r="X208" s="70" t="str">
        <f t="shared" si="82"/>
        <v/>
      </c>
      <c r="Y208" s="70" t="str">
        <f>IF(AND($A208&lt;&gt;"",$E208&gt;0),isLaptopBag($C208,$J208)*$D208,"")</f>
        <v/>
      </c>
      <c r="Z208" s="70" t="str">
        <f t="shared" si="83"/>
        <v/>
      </c>
      <c r="AA208" s="70" t="str">
        <f t="shared" si="84"/>
        <v/>
      </c>
      <c r="AB208" s="70" t="str">
        <f t="shared" si="85"/>
        <v/>
      </c>
      <c r="AC208" s="70" t="str">
        <f t="shared" si="86"/>
        <v/>
      </c>
      <c r="AD208" s="70" t="str">
        <f t="shared" si="87"/>
        <v/>
      </c>
      <c r="AE208" s="70" t="str">
        <f t="shared" si="88"/>
        <v/>
      </c>
      <c r="AF208" s="16"/>
      <c r="AG208" s="23"/>
      <c r="AH208" s="22"/>
      <c r="AJ208" s="83">
        <f t="shared" si="89"/>
        <v>0</v>
      </c>
      <c r="AO208" s="22" t="str">
        <f t="shared" si="90"/>
        <v/>
      </c>
      <c r="AP208" s="22" t="str">
        <f t="shared" si="91"/>
        <v/>
      </c>
    </row>
    <row r="209" spans="1:42" x14ac:dyDescent="0.25">
      <c r="A209" s="10"/>
      <c r="B209" s="10"/>
      <c r="C209" s="10"/>
      <c r="D209" s="10"/>
      <c r="E209" s="10"/>
      <c r="F209" s="10"/>
      <c r="G209" s="10"/>
      <c r="H209" s="17"/>
      <c r="I209" s="10"/>
      <c r="J209" s="10"/>
      <c r="K209" s="16" t="str">
        <f t="shared" si="70"/>
        <v/>
      </c>
      <c r="L209" s="23" t="str">
        <f t="shared" si="71"/>
        <v/>
      </c>
      <c r="M209" s="22" t="str">
        <f t="shared" si="72"/>
        <v/>
      </c>
      <c r="N209" s="72"/>
      <c r="O209" s="16" t="str">
        <f t="shared" si="73"/>
        <v/>
      </c>
      <c r="P209" s="16" t="str">
        <f t="shared" si="74"/>
        <v/>
      </c>
      <c r="Q209" s="16" t="str">
        <f t="shared" si="75"/>
        <v/>
      </c>
      <c r="R209" s="23" t="str">
        <f t="shared" si="76"/>
        <v/>
      </c>
      <c r="S209" s="23" t="str">
        <f t="shared" si="77"/>
        <v/>
      </c>
      <c r="T209" s="23" t="str">
        <f t="shared" si="78"/>
        <v/>
      </c>
      <c r="U209" s="23" t="str">
        <f t="shared" si="79"/>
        <v/>
      </c>
      <c r="V209" s="23" t="str">
        <f t="shared" si="80"/>
        <v/>
      </c>
      <c r="W209" s="70" t="str">
        <f t="shared" si="81"/>
        <v/>
      </c>
      <c r="X209" s="70" t="str">
        <f t="shared" si="82"/>
        <v/>
      </c>
      <c r="Y209" s="70" t="str">
        <f>IF(AND($A209&lt;&gt;"",$E209&gt;0),isLaptopBag($C209,$J209)*$D209,"")</f>
        <v/>
      </c>
      <c r="Z209" s="70" t="str">
        <f t="shared" si="83"/>
        <v/>
      </c>
      <c r="AA209" s="70" t="str">
        <f t="shared" si="84"/>
        <v/>
      </c>
      <c r="AB209" s="70" t="str">
        <f t="shared" si="85"/>
        <v/>
      </c>
      <c r="AC209" s="70" t="str">
        <f t="shared" si="86"/>
        <v/>
      </c>
      <c r="AD209" s="70" t="str">
        <f t="shared" si="87"/>
        <v/>
      </c>
      <c r="AE209" s="70" t="str">
        <f t="shared" si="88"/>
        <v/>
      </c>
      <c r="AF209" s="16"/>
      <c r="AG209" s="23"/>
      <c r="AH209" s="22"/>
      <c r="AJ209" s="83">
        <f t="shared" si="89"/>
        <v>0</v>
      </c>
      <c r="AO209" s="22" t="str">
        <f t="shared" si="90"/>
        <v/>
      </c>
      <c r="AP209" s="22" t="str">
        <f t="shared" si="91"/>
        <v/>
      </c>
    </row>
    <row r="210" spans="1:42" x14ac:dyDescent="0.25">
      <c r="A210" s="10"/>
      <c r="B210" s="10"/>
      <c r="C210" s="10"/>
      <c r="D210" s="10"/>
      <c r="E210" s="10"/>
      <c r="F210" s="10"/>
      <c r="G210" s="10"/>
      <c r="H210" s="17"/>
      <c r="I210" s="10"/>
      <c r="J210" s="10"/>
      <c r="K210" s="16" t="str">
        <f t="shared" si="70"/>
        <v/>
      </c>
      <c r="L210" s="23" t="str">
        <f t="shared" si="71"/>
        <v/>
      </c>
      <c r="M210" s="22" t="str">
        <f t="shared" si="72"/>
        <v/>
      </c>
      <c r="N210" s="72"/>
      <c r="O210" s="16" t="str">
        <f t="shared" si="73"/>
        <v/>
      </c>
      <c r="P210" s="16" t="str">
        <f t="shared" si="74"/>
        <v/>
      </c>
      <c r="Q210" s="16" t="str">
        <f t="shared" si="75"/>
        <v/>
      </c>
      <c r="R210" s="23" t="str">
        <f t="shared" si="76"/>
        <v/>
      </c>
      <c r="S210" s="23" t="str">
        <f t="shared" si="77"/>
        <v/>
      </c>
      <c r="T210" s="23" t="str">
        <f t="shared" si="78"/>
        <v/>
      </c>
      <c r="U210" s="23" t="str">
        <f t="shared" si="79"/>
        <v/>
      </c>
      <c r="V210" s="23" t="str">
        <f t="shared" si="80"/>
        <v/>
      </c>
      <c r="W210" s="70" t="str">
        <f t="shared" si="81"/>
        <v/>
      </c>
      <c r="X210" s="70" t="str">
        <f t="shared" si="82"/>
        <v/>
      </c>
      <c r="Y210" s="70" t="str">
        <f>IF(AND($A210&lt;&gt;"",$E210&gt;0),isLaptopBag($C210,$J210)*$D210,"")</f>
        <v/>
      </c>
      <c r="Z210" s="70" t="str">
        <f t="shared" si="83"/>
        <v/>
      </c>
      <c r="AA210" s="70" t="str">
        <f t="shared" si="84"/>
        <v/>
      </c>
      <c r="AB210" s="70" t="str">
        <f t="shared" si="85"/>
        <v/>
      </c>
      <c r="AC210" s="70" t="str">
        <f t="shared" si="86"/>
        <v/>
      </c>
      <c r="AD210" s="70" t="str">
        <f t="shared" si="87"/>
        <v/>
      </c>
      <c r="AE210" s="70" t="str">
        <f t="shared" si="88"/>
        <v/>
      </c>
      <c r="AF210" s="16"/>
      <c r="AG210" s="23"/>
      <c r="AH210" s="22"/>
      <c r="AJ210" s="83">
        <f t="shared" si="89"/>
        <v>0</v>
      </c>
      <c r="AO210" s="22" t="str">
        <f t="shared" si="90"/>
        <v/>
      </c>
      <c r="AP210" s="22" t="str">
        <f t="shared" si="91"/>
        <v/>
      </c>
    </row>
    <row r="211" spans="1:42" x14ac:dyDescent="0.25">
      <c r="A211" s="10"/>
      <c r="B211" s="10"/>
      <c r="C211" s="10"/>
      <c r="D211" s="10"/>
      <c r="E211" s="10"/>
      <c r="F211" s="10"/>
      <c r="G211" s="10"/>
      <c r="H211" s="17"/>
      <c r="I211" s="10"/>
      <c r="J211" s="10"/>
      <c r="K211" s="16" t="str">
        <f t="shared" si="70"/>
        <v/>
      </c>
      <c r="L211" s="23" t="str">
        <f t="shared" si="71"/>
        <v/>
      </c>
      <c r="M211" s="22" t="str">
        <f t="shared" si="72"/>
        <v/>
      </c>
      <c r="N211" s="72"/>
      <c r="O211" s="16" t="str">
        <f t="shared" si="73"/>
        <v/>
      </c>
      <c r="P211" s="16" t="str">
        <f t="shared" si="74"/>
        <v/>
      </c>
      <c r="Q211" s="16" t="str">
        <f t="shared" si="75"/>
        <v/>
      </c>
      <c r="R211" s="23" t="str">
        <f t="shared" si="76"/>
        <v/>
      </c>
      <c r="S211" s="23" t="str">
        <f t="shared" si="77"/>
        <v/>
      </c>
      <c r="T211" s="23" t="str">
        <f t="shared" si="78"/>
        <v/>
      </c>
      <c r="U211" s="23" t="str">
        <f t="shared" si="79"/>
        <v/>
      </c>
      <c r="V211" s="23" t="str">
        <f t="shared" si="80"/>
        <v/>
      </c>
      <c r="W211" s="70" t="str">
        <f t="shared" si="81"/>
        <v/>
      </c>
      <c r="X211" s="70" t="str">
        <f t="shared" si="82"/>
        <v/>
      </c>
      <c r="Y211" s="70" t="str">
        <f>IF(AND($A211&lt;&gt;"",$E211&gt;0),isLaptopBag($C211,$J211)*$D211,"")</f>
        <v/>
      </c>
      <c r="Z211" s="70" t="str">
        <f t="shared" si="83"/>
        <v/>
      </c>
      <c r="AA211" s="70" t="str">
        <f t="shared" si="84"/>
        <v/>
      </c>
      <c r="AB211" s="70" t="str">
        <f t="shared" si="85"/>
        <v/>
      </c>
      <c r="AC211" s="70" t="str">
        <f t="shared" si="86"/>
        <v/>
      </c>
      <c r="AD211" s="70" t="str">
        <f t="shared" si="87"/>
        <v/>
      </c>
      <c r="AE211" s="70" t="str">
        <f t="shared" si="88"/>
        <v/>
      </c>
      <c r="AF211" s="16"/>
      <c r="AG211" s="23"/>
      <c r="AH211" s="22"/>
      <c r="AJ211" s="83">
        <f t="shared" si="89"/>
        <v>0</v>
      </c>
      <c r="AO211" s="22" t="str">
        <f t="shared" si="90"/>
        <v/>
      </c>
      <c r="AP211" s="22" t="str">
        <f t="shared" si="91"/>
        <v/>
      </c>
    </row>
    <row r="212" spans="1:42" x14ac:dyDescent="0.25">
      <c r="A212" s="10"/>
      <c r="B212" s="10"/>
      <c r="C212" s="10"/>
      <c r="D212" s="10"/>
      <c r="E212" s="10"/>
      <c r="F212" s="10"/>
      <c r="G212" s="10"/>
      <c r="H212" s="17"/>
      <c r="I212" s="10"/>
      <c r="J212" s="10"/>
      <c r="K212" s="16" t="str">
        <f t="shared" si="70"/>
        <v/>
      </c>
      <c r="L212" s="23" t="str">
        <f t="shared" si="71"/>
        <v/>
      </c>
      <c r="M212" s="22" t="str">
        <f t="shared" si="72"/>
        <v/>
      </c>
      <c r="N212" s="72"/>
      <c r="O212" s="16" t="str">
        <f t="shared" si="73"/>
        <v/>
      </c>
      <c r="P212" s="16" t="str">
        <f t="shared" si="74"/>
        <v/>
      </c>
      <c r="Q212" s="16" t="str">
        <f t="shared" si="75"/>
        <v/>
      </c>
      <c r="R212" s="23" t="str">
        <f t="shared" si="76"/>
        <v/>
      </c>
      <c r="S212" s="23" t="str">
        <f t="shared" si="77"/>
        <v/>
      </c>
      <c r="T212" s="23" t="str">
        <f t="shared" si="78"/>
        <v/>
      </c>
      <c r="U212" s="23" t="str">
        <f t="shared" si="79"/>
        <v/>
      </c>
      <c r="V212" s="23" t="str">
        <f t="shared" si="80"/>
        <v/>
      </c>
      <c r="W212" s="70" t="str">
        <f t="shared" si="81"/>
        <v/>
      </c>
      <c r="X212" s="70" t="str">
        <f t="shared" si="82"/>
        <v/>
      </c>
      <c r="Y212" s="70" t="str">
        <f>IF(AND($A212&lt;&gt;"",$E212&gt;0),isLaptopBag($C212,$J212)*$D212,"")</f>
        <v/>
      </c>
      <c r="Z212" s="70" t="str">
        <f t="shared" si="83"/>
        <v/>
      </c>
      <c r="AA212" s="70" t="str">
        <f t="shared" si="84"/>
        <v/>
      </c>
      <c r="AB212" s="70" t="str">
        <f t="shared" si="85"/>
        <v/>
      </c>
      <c r="AC212" s="70" t="str">
        <f t="shared" si="86"/>
        <v/>
      </c>
      <c r="AD212" s="70" t="str">
        <f t="shared" si="87"/>
        <v/>
      </c>
      <c r="AE212" s="70" t="str">
        <f t="shared" si="88"/>
        <v/>
      </c>
      <c r="AF212" s="16"/>
      <c r="AG212" s="23"/>
      <c r="AH212" s="22"/>
      <c r="AJ212" s="83">
        <f t="shared" si="89"/>
        <v>0</v>
      </c>
      <c r="AO212" s="22" t="str">
        <f t="shared" si="90"/>
        <v/>
      </c>
      <c r="AP212" s="22" t="str">
        <f t="shared" si="91"/>
        <v/>
      </c>
    </row>
    <row r="213" spans="1:42" x14ac:dyDescent="0.25">
      <c r="A213" s="10"/>
      <c r="B213" s="10"/>
      <c r="C213" s="10"/>
      <c r="D213" s="10"/>
      <c r="E213" s="10"/>
      <c r="F213" s="10"/>
      <c r="G213" s="10"/>
      <c r="H213" s="17"/>
      <c r="I213" s="10"/>
      <c r="J213" s="10"/>
      <c r="K213" s="16" t="str">
        <f t="shared" si="70"/>
        <v/>
      </c>
      <c r="L213" s="23" t="str">
        <f t="shared" si="71"/>
        <v/>
      </c>
      <c r="M213" s="22" t="str">
        <f t="shared" si="72"/>
        <v/>
      </c>
      <c r="N213" s="72"/>
      <c r="O213" s="16" t="str">
        <f t="shared" si="73"/>
        <v/>
      </c>
      <c r="P213" s="16" t="str">
        <f t="shared" si="74"/>
        <v/>
      </c>
      <c r="Q213" s="16" t="str">
        <f t="shared" si="75"/>
        <v/>
      </c>
      <c r="R213" s="23" t="str">
        <f t="shared" si="76"/>
        <v/>
      </c>
      <c r="S213" s="23" t="str">
        <f t="shared" si="77"/>
        <v/>
      </c>
      <c r="T213" s="23" t="str">
        <f t="shared" si="78"/>
        <v/>
      </c>
      <c r="U213" s="23" t="str">
        <f t="shared" si="79"/>
        <v/>
      </c>
      <c r="V213" s="23" t="str">
        <f t="shared" si="80"/>
        <v/>
      </c>
      <c r="W213" s="70" t="str">
        <f t="shared" si="81"/>
        <v/>
      </c>
      <c r="X213" s="70" t="str">
        <f t="shared" si="82"/>
        <v/>
      </c>
      <c r="Y213" s="70" t="str">
        <f>IF(AND($A213&lt;&gt;"",$E213&gt;0),isLaptopBag($C213,$J213)*$D213,"")</f>
        <v/>
      </c>
      <c r="Z213" s="70" t="str">
        <f t="shared" si="83"/>
        <v/>
      </c>
      <c r="AA213" s="70" t="str">
        <f t="shared" si="84"/>
        <v/>
      </c>
      <c r="AB213" s="70" t="str">
        <f t="shared" si="85"/>
        <v/>
      </c>
      <c r="AC213" s="70" t="str">
        <f t="shared" si="86"/>
        <v/>
      </c>
      <c r="AD213" s="70" t="str">
        <f t="shared" si="87"/>
        <v/>
      </c>
      <c r="AE213" s="70" t="str">
        <f t="shared" si="88"/>
        <v/>
      </c>
      <c r="AF213" s="16"/>
      <c r="AG213" s="23"/>
      <c r="AH213" s="22"/>
      <c r="AJ213" s="83">
        <f t="shared" si="89"/>
        <v>0</v>
      </c>
      <c r="AO213" s="22" t="str">
        <f t="shared" si="90"/>
        <v/>
      </c>
      <c r="AP213" s="22" t="str">
        <f t="shared" si="91"/>
        <v/>
      </c>
    </row>
    <row r="214" spans="1:42" x14ac:dyDescent="0.25">
      <c r="A214" s="10"/>
      <c r="B214" s="10"/>
      <c r="C214" s="10"/>
      <c r="D214" s="10"/>
      <c r="E214" s="10"/>
      <c r="F214" s="10"/>
      <c r="G214" s="10"/>
      <c r="H214" s="17"/>
      <c r="I214" s="10"/>
      <c r="J214" s="10"/>
      <c r="K214" s="16" t="str">
        <f t="shared" si="70"/>
        <v/>
      </c>
      <c r="L214" s="23" t="str">
        <f t="shared" si="71"/>
        <v/>
      </c>
      <c r="M214" s="22" t="str">
        <f t="shared" si="72"/>
        <v/>
      </c>
      <c r="N214" s="72"/>
      <c r="O214" s="16" t="str">
        <f t="shared" si="73"/>
        <v/>
      </c>
      <c r="P214" s="16" t="str">
        <f t="shared" si="74"/>
        <v/>
      </c>
      <c r="Q214" s="16" t="str">
        <f t="shared" si="75"/>
        <v/>
      </c>
      <c r="R214" s="23" t="str">
        <f t="shared" si="76"/>
        <v/>
      </c>
      <c r="S214" s="23" t="str">
        <f t="shared" si="77"/>
        <v/>
      </c>
      <c r="T214" s="23" t="str">
        <f t="shared" si="78"/>
        <v/>
      </c>
      <c r="U214" s="23" t="str">
        <f t="shared" si="79"/>
        <v/>
      </c>
      <c r="V214" s="23" t="str">
        <f t="shared" si="80"/>
        <v/>
      </c>
      <c r="W214" s="70" t="str">
        <f t="shared" si="81"/>
        <v/>
      </c>
      <c r="X214" s="70" t="str">
        <f t="shared" si="82"/>
        <v/>
      </c>
      <c r="Y214" s="70" t="str">
        <f>IF(AND($A214&lt;&gt;"",$E214&gt;0),isLaptopBag($C214,$J214)*$D214,"")</f>
        <v/>
      </c>
      <c r="Z214" s="70" t="str">
        <f t="shared" si="83"/>
        <v/>
      </c>
      <c r="AA214" s="70" t="str">
        <f t="shared" si="84"/>
        <v/>
      </c>
      <c r="AB214" s="70" t="str">
        <f t="shared" si="85"/>
        <v/>
      </c>
      <c r="AC214" s="70" t="str">
        <f t="shared" si="86"/>
        <v/>
      </c>
      <c r="AD214" s="70" t="str">
        <f t="shared" si="87"/>
        <v/>
      </c>
      <c r="AE214" s="70" t="str">
        <f t="shared" si="88"/>
        <v/>
      </c>
      <c r="AF214" s="16"/>
      <c r="AG214" s="23"/>
      <c r="AH214" s="22"/>
      <c r="AJ214" s="83">
        <f t="shared" si="89"/>
        <v>0</v>
      </c>
      <c r="AO214" s="22" t="str">
        <f t="shared" si="90"/>
        <v/>
      </c>
      <c r="AP214" s="22" t="str">
        <f t="shared" si="91"/>
        <v/>
      </c>
    </row>
    <row r="215" spans="1:42" x14ac:dyDescent="0.25">
      <c r="A215" s="10"/>
      <c r="B215" s="10"/>
      <c r="C215" s="10"/>
      <c r="D215" s="10"/>
      <c r="E215" s="10"/>
      <c r="F215" s="10"/>
      <c r="G215" s="10"/>
      <c r="H215" s="17"/>
      <c r="I215" s="10"/>
      <c r="J215" s="10"/>
      <c r="K215" s="16" t="str">
        <f t="shared" si="70"/>
        <v/>
      </c>
      <c r="L215" s="23" t="str">
        <f t="shared" si="71"/>
        <v/>
      </c>
      <c r="M215" s="22" t="str">
        <f t="shared" si="72"/>
        <v/>
      </c>
      <c r="N215" s="72"/>
      <c r="O215" s="16" t="str">
        <f t="shared" si="73"/>
        <v/>
      </c>
      <c r="P215" s="16" t="str">
        <f t="shared" si="74"/>
        <v/>
      </c>
      <c r="Q215" s="16" t="str">
        <f t="shared" si="75"/>
        <v/>
      </c>
      <c r="R215" s="23" t="str">
        <f t="shared" si="76"/>
        <v/>
      </c>
      <c r="S215" s="23" t="str">
        <f t="shared" si="77"/>
        <v/>
      </c>
      <c r="T215" s="23" t="str">
        <f t="shared" si="78"/>
        <v/>
      </c>
      <c r="U215" s="23" t="str">
        <f t="shared" si="79"/>
        <v/>
      </c>
      <c r="V215" s="23" t="str">
        <f t="shared" si="80"/>
        <v/>
      </c>
      <c r="W215" s="70" t="str">
        <f t="shared" si="81"/>
        <v/>
      </c>
      <c r="X215" s="70" t="str">
        <f t="shared" si="82"/>
        <v/>
      </c>
      <c r="Y215" s="70" t="str">
        <f>IF(AND($A215&lt;&gt;"",$E215&gt;0),isLaptopBag($C215,$J215)*$D215,"")</f>
        <v/>
      </c>
      <c r="Z215" s="70" t="str">
        <f t="shared" si="83"/>
        <v/>
      </c>
      <c r="AA215" s="70" t="str">
        <f t="shared" si="84"/>
        <v/>
      </c>
      <c r="AB215" s="70" t="str">
        <f t="shared" si="85"/>
        <v/>
      </c>
      <c r="AC215" s="70" t="str">
        <f t="shared" si="86"/>
        <v/>
      </c>
      <c r="AD215" s="70" t="str">
        <f t="shared" si="87"/>
        <v/>
      </c>
      <c r="AE215" s="70" t="str">
        <f t="shared" si="88"/>
        <v/>
      </c>
      <c r="AF215" s="16"/>
      <c r="AG215" s="23"/>
      <c r="AH215" s="22"/>
      <c r="AJ215" s="83">
        <f t="shared" si="89"/>
        <v>0</v>
      </c>
      <c r="AO215" s="22" t="str">
        <f t="shared" si="90"/>
        <v/>
      </c>
      <c r="AP215" s="22" t="str">
        <f t="shared" si="91"/>
        <v/>
      </c>
    </row>
    <row r="216" spans="1:42" x14ac:dyDescent="0.25">
      <c r="A216" s="10"/>
      <c r="B216" s="10"/>
      <c r="C216" s="10"/>
      <c r="D216" s="10"/>
      <c r="E216" s="10"/>
      <c r="F216" s="10"/>
      <c r="G216" s="10"/>
      <c r="H216" s="17"/>
      <c r="I216" s="10"/>
      <c r="J216" s="10"/>
      <c r="K216" s="16" t="str">
        <f t="shared" si="70"/>
        <v/>
      </c>
      <c r="L216" s="23" t="str">
        <f t="shared" si="71"/>
        <v/>
      </c>
      <c r="M216" s="22" t="str">
        <f t="shared" si="72"/>
        <v/>
      </c>
      <c r="N216" s="72"/>
      <c r="O216" s="16" t="str">
        <f t="shared" si="73"/>
        <v/>
      </c>
      <c r="P216" s="16" t="str">
        <f t="shared" si="74"/>
        <v/>
      </c>
      <c r="Q216" s="16" t="str">
        <f t="shared" si="75"/>
        <v/>
      </c>
      <c r="R216" s="23" t="str">
        <f t="shared" si="76"/>
        <v/>
      </c>
      <c r="S216" s="23" t="str">
        <f t="shared" si="77"/>
        <v/>
      </c>
      <c r="T216" s="23" t="str">
        <f t="shared" si="78"/>
        <v/>
      </c>
      <c r="U216" s="23" t="str">
        <f t="shared" si="79"/>
        <v/>
      </c>
      <c r="V216" s="23" t="str">
        <f t="shared" si="80"/>
        <v/>
      </c>
      <c r="W216" s="70" t="str">
        <f t="shared" si="81"/>
        <v/>
      </c>
      <c r="X216" s="70" t="str">
        <f t="shared" si="82"/>
        <v/>
      </c>
      <c r="Y216" s="70" t="str">
        <f>IF(AND($A216&lt;&gt;"",$E216&gt;0),isLaptopBag($C216,$J216)*$D216,"")</f>
        <v/>
      </c>
      <c r="Z216" s="70" t="str">
        <f t="shared" si="83"/>
        <v/>
      </c>
      <c r="AA216" s="70" t="str">
        <f t="shared" si="84"/>
        <v/>
      </c>
      <c r="AB216" s="70" t="str">
        <f t="shared" si="85"/>
        <v/>
      </c>
      <c r="AC216" s="70" t="str">
        <f t="shared" si="86"/>
        <v/>
      </c>
      <c r="AD216" s="70" t="str">
        <f t="shared" si="87"/>
        <v/>
      </c>
      <c r="AE216" s="70" t="str">
        <f t="shared" si="88"/>
        <v/>
      </c>
      <c r="AF216" s="16"/>
      <c r="AG216" s="23"/>
      <c r="AH216" s="22"/>
      <c r="AJ216" s="83">
        <f t="shared" si="89"/>
        <v>0</v>
      </c>
      <c r="AO216" s="22" t="str">
        <f t="shared" si="90"/>
        <v/>
      </c>
      <c r="AP216" s="22" t="str">
        <f t="shared" si="91"/>
        <v/>
      </c>
    </row>
    <row r="217" spans="1:42" x14ac:dyDescent="0.25">
      <c r="A217" s="10"/>
      <c r="B217" s="10"/>
      <c r="C217" s="10"/>
      <c r="D217" s="10"/>
      <c r="E217" s="10"/>
      <c r="F217" s="10"/>
      <c r="G217" s="10"/>
      <c r="H217" s="17"/>
      <c r="I217" s="10"/>
      <c r="J217" s="10"/>
      <c r="K217" s="16" t="str">
        <f t="shared" si="70"/>
        <v/>
      </c>
      <c r="L217" s="23" t="str">
        <f t="shared" si="71"/>
        <v/>
      </c>
      <c r="M217" s="22" t="str">
        <f t="shared" si="72"/>
        <v/>
      </c>
      <c r="N217" s="72"/>
      <c r="O217" s="16" t="str">
        <f t="shared" si="73"/>
        <v/>
      </c>
      <c r="P217" s="16" t="str">
        <f t="shared" si="74"/>
        <v/>
      </c>
      <c r="Q217" s="16" t="str">
        <f t="shared" si="75"/>
        <v/>
      </c>
      <c r="R217" s="23" t="str">
        <f t="shared" si="76"/>
        <v/>
      </c>
      <c r="S217" s="23" t="str">
        <f t="shared" si="77"/>
        <v/>
      </c>
      <c r="T217" s="23" t="str">
        <f t="shared" si="78"/>
        <v/>
      </c>
      <c r="U217" s="23" t="str">
        <f t="shared" si="79"/>
        <v/>
      </c>
      <c r="V217" s="23" t="str">
        <f t="shared" si="80"/>
        <v/>
      </c>
      <c r="W217" s="70" t="str">
        <f t="shared" si="81"/>
        <v/>
      </c>
      <c r="X217" s="70" t="str">
        <f t="shared" si="82"/>
        <v/>
      </c>
      <c r="Y217" s="70" t="str">
        <f>IF(AND($A217&lt;&gt;"",$E217&gt;0),isLaptopBag($C217,$J217)*$D217,"")</f>
        <v/>
      </c>
      <c r="Z217" s="70" t="str">
        <f t="shared" si="83"/>
        <v/>
      </c>
      <c r="AA217" s="70" t="str">
        <f t="shared" si="84"/>
        <v/>
      </c>
      <c r="AB217" s="70" t="str">
        <f t="shared" si="85"/>
        <v/>
      </c>
      <c r="AC217" s="70" t="str">
        <f t="shared" si="86"/>
        <v/>
      </c>
      <c r="AD217" s="70" t="str">
        <f t="shared" si="87"/>
        <v/>
      </c>
      <c r="AE217" s="70" t="str">
        <f t="shared" si="88"/>
        <v/>
      </c>
      <c r="AF217" s="16"/>
      <c r="AG217" s="23"/>
      <c r="AH217" s="22"/>
      <c r="AJ217" s="83">
        <f t="shared" si="89"/>
        <v>0</v>
      </c>
      <c r="AO217" s="22" t="str">
        <f t="shared" si="90"/>
        <v/>
      </c>
      <c r="AP217" s="22" t="str">
        <f t="shared" si="91"/>
        <v/>
      </c>
    </row>
    <row r="218" spans="1:42" x14ac:dyDescent="0.25">
      <c r="A218" s="10"/>
      <c r="B218" s="10"/>
      <c r="C218" s="10"/>
      <c r="D218" s="10"/>
      <c r="E218" s="10"/>
      <c r="F218" s="10"/>
      <c r="G218" s="10"/>
      <c r="H218" s="17"/>
      <c r="I218" s="10"/>
      <c r="J218" s="10"/>
      <c r="K218" s="16" t="str">
        <f t="shared" si="70"/>
        <v/>
      </c>
      <c r="L218" s="23" t="str">
        <f t="shared" si="71"/>
        <v/>
      </c>
      <c r="M218" s="22" t="str">
        <f t="shared" si="72"/>
        <v/>
      </c>
      <c r="N218" s="72"/>
      <c r="O218" s="16" t="str">
        <f t="shared" si="73"/>
        <v/>
      </c>
      <c r="P218" s="16" t="str">
        <f t="shared" si="74"/>
        <v/>
      </c>
      <c r="Q218" s="16" t="str">
        <f t="shared" si="75"/>
        <v/>
      </c>
      <c r="R218" s="23" t="str">
        <f t="shared" si="76"/>
        <v/>
      </c>
      <c r="S218" s="23" t="str">
        <f t="shared" si="77"/>
        <v/>
      </c>
      <c r="T218" s="23" t="str">
        <f t="shared" si="78"/>
        <v/>
      </c>
      <c r="U218" s="23" t="str">
        <f t="shared" si="79"/>
        <v/>
      </c>
      <c r="V218" s="23" t="str">
        <f t="shared" si="80"/>
        <v/>
      </c>
      <c r="W218" s="70" t="str">
        <f t="shared" si="81"/>
        <v/>
      </c>
      <c r="X218" s="70" t="str">
        <f t="shared" si="82"/>
        <v/>
      </c>
      <c r="Y218" s="70" t="str">
        <f>IF(AND($A218&lt;&gt;"",$E218&gt;0),isLaptopBag($C218,$J218)*$D218,"")</f>
        <v/>
      </c>
      <c r="Z218" s="70" t="str">
        <f t="shared" si="83"/>
        <v/>
      </c>
      <c r="AA218" s="70" t="str">
        <f t="shared" si="84"/>
        <v/>
      </c>
      <c r="AB218" s="70" t="str">
        <f t="shared" si="85"/>
        <v/>
      </c>
      <c r="AC218" s="70" t="str">
        <f t="shared" si="86"/>
        <v/>
      </c>
      <c r="AD218" s="70" t="str">
        <f t="shared" si="87"/>
        <v/>
      </c>
      <c r="AE218" s="70" t="str">
        <f t="shared" si="88"/>
        <v/>
      </c>
      <c r="AF218" s="16"/>
      <c r="AG218" s="23"/>
      <c r="AH218" s="22"/>
      <c r="AJ218" s="83">
        <f t="shared" si="89"/>
        <v>0</v>
      </c>
      <c r="AO218" s="22" t="str">
        <f t="shared" si="90"/>
        <v/>
      </c>
      <c r="AP218" s="22" t="str">
        <f t="shared" si="91"/>
        <v/>
      </c>
    </row>
    <row r="219" spans="1:42" x14ac:dyDescent="0.25">
      <c r="A219" s="10"/>
      <c r="B219" s="10"/>
      <c r="C219" s="10"/>
      <c r="D219" s="10"/>
      <c r="E219" s="10"/>
      <c r="F219" s="10"/>
      <c r="G219" s="10"/>
      <c r="H219" s="17"/>
      <c r="I219" s="10"/>
      <c r="J219" s="10"/>
      <c r="K219" s="16" t="str">
        <f t="shared" si="70"/>
        <v/>
      </c>
      <c r="L219" s="23" t="str">
        <f t="shared" si="71"/>
        <v/>
      </c>
      <c r="M219" s="22" t="str">
        <f t="shared" si="72"/>
        <v/>
      </c>
      <c r="N219" s="72"/>
      <c r="O219" s="16" t="str">
        <f t="shared" si="73"/>
        <v/>
      </c>
      <c r="P219" s="16" t="str">
        <f t="shared" si="74"/>
        <v/>
      </c>
      <c r="Q219" s="16" t="str">
        <f t="shared" si="75"/>
        <v/>
      </c>
      <c r="R219" s="23" t="str">
        <f t="shared" si="76"/>
        <v/>
      </c>
      <c r="S219" s="23" t="str">
        <f t="shared" si="77"/>
        <v/>
      </c>
      <c r="T219" s="23" t="str">
        <f t="shared" si="78"/>
        <v/>
      </c>
      <c r="U219" s="23" t="str">
        <f t="shared" si="79"/>
        <v/>
      </c>
      <c r="V219" s="23" t="str">
        <f t="shared" si="80"/>
        <v/>
      </c>
      <c r="W219" s="70" t="str">
        <f t="shared" si="81"/>
        <v/>
      </c>
      <c r="X219" s="70" t="str">
        <f t="shared" si="82"/>
        <v/>
      </c>
      <c r="Y219" s="70" t="str">
        <f>IF(AND($A219&lt;&gt;"",$E219&gt;0),isLaptopBag($C219,$J219)*$D219,"")</f>
        <v/>
      </c>
      <c r="Z219" s="70" t="str">
        <f t="shared" si="83"/>
        <v/>
      </c>
      <c r="AA219" s="70" t="str">
        <f t="shared" si="84"/>
        <v/>
      </c>
      <c r="AB219" s="70" t="str">
        <f t="shared" si="85"/>
        <v/>
      </c>
      <c r="AC219" s="70" t="str">
        <f t="shared" si="86"/>
        <v/>
      </c>
      <c r="AD219" s="70" t="str">
        <f t="shared" si="87"/>
        <v/>
      </c>
      <c r="AE219" s="70" t="str">
        <f t="shared" si="88"/>
        <v/>
      </c>
      <c r="AF219" s="16"/>
      <c r="AG219" s="23"/>
      <c r="AH219" s="22"/>
      <c r="AJ219" s="83">
        <f t="shared" si="89"/>
        <v>0</v>
      </c>
      <c r="AO219" s="22" t="str">
        <f t="shared" si="90"/>
        <v/>
      </c>
      <c r="AP219" s="22" t="str">
        <f t="shared" si="91"/>
        <v/>
      </c>
    </row>
    <row r="220" spans="1:42" x14ac:dyDescent="0.25">
      <c r="A220" s="10"/>
      <c r="B220" s="10"/>
      <c r="C220" s="10"/>
      <c r="D220" s="10"/>
      <c r="E220" s="10"/>
      <c r="F220" s="10"/>
      <c r="G220" s="10"/>
      <c r="H220" s="17"/>
      <c r="I220" s="10"/>
      <c r="J220" s="10"/>
      <c r="K220" s="16" t="str">
        <f t="shared" si="70"/>
        <v/>
      </c>
      <c r="L220" s="23" t="str">
        <f t="shared" si="71"/>
        <v/>
      </c>
      <c r="M220" s="22" t="str">
        <f t="shared" si="72"/>
        <v/>
      </c>
      <c r="N220" s="72"/>
      <c r="O220" s="16" t="str">
        <f t="shared" si="73"/>
        <v/>
      </c>
      <c r="P220" s="16" t="str">
        <f t="shared" si="74"/>
        <v/>
      </c>
      <c r="Q220" s="16" t="str">
        <f t="shared" si="75"/>
        <v/>
      </c>
      <c r="R220" s="23" t="str">
        <f t="shared" si="76"/>
        <v/>
      </c>
      <c r="S220" s="23" t="str">
        <f t="shared" si="77"/>
        <v/>
      </c>
      <c r="T220" s="23" t="str">
        <f t="shared" si="78"/>
        <v/>
      </c>
      <c r="U220" s="23" t="str">
        <f t="shared" si="79"/>
        <v/>
      </c>
      <c r="V220" s="23" t="str">
        <f t="shared" si="80"/>
        <v/>
      </c>
      <c r="W220" s="70" t="str">
        <f t="shared" si="81"/>
        <v/>
      </c>
      <c r="X220" s="70" t="str">
        <f t="shared" si="82"/>
        <v/>
      </c>
      <c r="Y220" s="70" t="str">
        <f>IF(AND($A220&lt;&gt;"",$E220&gt;0),isLaptopBag($C220,$J220)*$D220,"")</f>
        <v/>
      </c>
      <c r="Z220" s="70" t="str">
        <f t="shared" si="83"/>
        <v/>
      </c>
      <c r="AA220" s="70" t="str">
        <f t="shared" si="84"/>
        <v/>
      </c>
      <c r="AB220" s="70" t="str">
        <f t="shared" si="85"/>
        <v/>
      </c>
      <c r="AC220" s="70" t="str">
        <f t="shared" si="86"/>
        <v/>
      </c>
      <c r="AD220" s="70" t="str">
        <f t="shared" si="87"/>
        <v/>
      </c>
      <c r="AE220" s="70" t="str">
        <f t="shared" si="88"/>
        <v/>
      </c>
      <c r="AF220" s="16"/>
      <c r="AG220" s="23"/>
      <c r="AH220" s="22"/>
      <c r="AJ220" s="83">
        <f t="shared" si="89"/>
        <v>0</v>
      </c>
      <c r="AO220" s="22" t="str">
        <f t="shared" si="90"/>
        <v/>
      </c>
      <c r="AP220" s="22" t="str">
        <f t="shared" si="91"/>
        <v/>
      </c>
    </row>
    <row r="221" spans="1:42" x14ac:dyDescent="0.25">
      <c r="A221" s="10"/>
      <c r="B221" s="10"/>
      <c r="C221" s="10"/>
      <c r="D221" s="10"/>
      <c r="E221" s="10"/>
      <c r="F221" s="10"/>
      <c r="G221" s="10"/>
      <c r="H221" s="17"/>
      <c r="I221" s="10"/>
      <c r="J221" s="10"/>
      <c r="K221" s="16" t="str">
        <f t="shared" si="70"/>
        <v/>
      </c>
      <c r="L221" s="23" t="str">
        <f t="shared" si="71"/>
        <v/>
      </c>
      <c r="M221" s="22" t="str">
        <f t="shared" si="72"/>
        <v/>
      </c>
      <c r="N221" s="72"/>
      <c r="O221" s="16" t="str">
        <f t="shared" si="73"/>
        <v/>
      </c>
      <c r="P221" s="16" t="str">
        <f t="shared" si="74"/>
        <v/>
      </c>
      <c r="Q221" s="16" t="str">
        <f t="shared" si="75"/>
        <v/>
      </c>
      <c r="R221" s="23" t="str">
        <f t="shared" si="76"/>
        <v/>
      </c>
      <c r="S221" s="23" t="str">
        <f t="shared" si="77"/>
        <v/>
      </c>
      <c r="T221" s="23" t="str">
        <f t="shared" si="78"/>
        <v/>
      </c>
      <c r="U221" s="23" t="str">
        <f t="shared" si="79"/>
        <v/>
      </c>
      <c r="V221" s="23" t="str">
        <f t="shared" si="80"/>
        <v/>
      </c>
      <c r="W221" s="70" t="str">
        <f t="shared" si="81"/>
        <v/>
      </c>
      <c r="X221" s="70" t="str">
        <f t="shared" si="82"/>
        <v/>
      </c>
      <c r="Y221" s="70" t="str">
        <f>IF(AND($A221&lt;&gt;"",$E221&gt;0),isLaptopBag($C221,$J221)*$D221,"")</f>
        <v/>
      </c>
      <c r="Z221" s="70" t="str">
        <f t="shared" si="83"/>
        <v/>
      </c>
      <c r="AA221" s="70" t="str">
        <f t="shared" si="84"/>
        <v/>
      </c>
      <c r="AB221" s="70" t="str">
        <f t="shared" si="85"/>
        <v/>
      </c>
      <c r="AC221" s="70" t="str">
        <f t="shared" si="86"/>
        <v/>
      </c>
      <c r="AD221" s="70" t="str">
        <f t="shared" si="87"/>
        <v/>
      </c>
      <c r="AE221" s="70" t="str">
        <f t="shared" si="88"/>
        <v/>
      </c>
      <c r="AF221" s="16"/>
      <c r="AG221" s="23"/>
      <c r="AH221" s="22"/>
      <c r="AJ221" s="83">
        <f t="shared" si="89"/>
        <v>0</v>
      </c>
      <c r="AO221" s="22" t="str">
        <f t="shared" si="90"/>
        <v/>
      </c>
      <c r="AP221" s="22" t="str">
        <f t="shared" si="91"/>
        <v/>
      </c>
    </row>
    <row r="222" spans="1:42" x14ac:dyDescent="0.25">
      <c r="A222" s="10"/>
      <c r="B222" s="10"/>
      <c r="C222" s="10"/>
      <c r="D222" s="10"/>
      <c r="E222" s="10"/>
      <c r="F222" s="10"/>
      <c r="G222" s="10"/>
      <c r="H222" s="17"/>
      <c r="I222" s="10"/>
      <c r="J222" s="10"/>
      <c r="K222" s="16" t="str">
        <f t="shared" si="70"/>
        <v/>
      </c>
      <c r="L222" s="23" t="str">
        <f t="shared" si="71"/>
        <v/>
      </c>
      <c r="M222" s="22" t="str">
        <f t="shared" si="72"/>
        <v/>
      </c>
      <c r="N222" s="72"/>
      <c r="O222" s="16" t="str">
        <f t="shared" si="73"/>
        <v/>
      </c>
      <c r="P222" s="16" t="str">
        <f t="shared" si="74"/>
        <v/>
      </c>
      <c r="Q222" s="16" t="str">
        <f t="shared" si="75"/>
        <v/>
      </c>
      <c r="R222" s="23" t="str">
        <f t="shared" si="76"/>
        <v/>
      </c>
      <c r="S222" s="23" t="str">
        <f t="shared" si="77"/>
        <v/>
      </c>
      <c r="T222" s="23" t="str">
        <f t="shared" si="78"/>
        <v/>
      </c>
      <c r="U222" s="23" t="str">
        <f t="shared" si="79"/>
        <v/>
      </c>
      <c r="V222" s="23" t="str">
        <f t="shared" si="80"/>
        <v/>
      </c>
      <c r="W222" s="70" t="str">
        <f t="shared" si="81"/>
        <v/>
      </c>
      <c r="X222" s="70" t="str">
        <f t="shared" si="82"/>
        <v/>
      </c>
      <c r="Y222" s="70" t="str">
        <f>IF(AND($A222&lt;&gt;"",$E222&gt;0),isLaptopBag($C222,$J222)*$D222,"")</f>
        <v/>
      </c>
      <c r="Z222" s="70" t="str">
        <f t="shared" si="83"/>
        <v/>
      </c>
      <c r="AA222" s="70" t="str">
        <f t="shared" si="84"/>
        <v/>
      </c>
      <c r="AB222" s="70" t="str">
        <f t="shared" si="85"/>
        <v/>
      </c>
      <c r="AC222" s="70" t="str">
        <f t="shared" si="86"/>
        <v/>
      </c>
      <c r="AD222" s="70" t="str">
        <f t="shared" si="87"/>
        <v/>
      </c>
      <c r="AE222" s="70" t="str">
        <f t="shared" si="88"/>
        <v/>
      </c>
      <c r="AF222" s="16"/>
      <c r="AG222" s="23"/>
      <c r="AH222" s="22"/>
      <c r="AJ222" s="83">
        <f t="shared" si="89"/>
        <v>0</v>
      </c>
      <c r="AO222" s="22" t="str">
        <f t="shared" si="90"/>
        <v/>
      </c>
      <c r="AP222" s="22" t="str">
        <f t="shared" si="91"/>
        <v/>
      </c>
    </row>
    <row r="223" spans="1:42" x14ac:dyDescent="0.25">
      <c r="A223" s="10"/>
      <c r="B223" s="10"/>
      <c r="C223" s="10"/>
      <c r="D223" s="10"/>
      <c r="E223" s="10"/>
      <c r="F223" s="10"/>
      <c r="G223" s="10"/>
      <c r="H223" s="17"/>
      <c r="I223" s="10"/>
      <c r="J223" s="10"/>
      <c r="K223" s="16" t="str">
        <f t="shared" si="70"/>
        <v/>
      </c>
      <c r="L223" s="23" t="str">
        <f t="shared" si="71"/>
        <v/>
      </c>
      <c r="M223" s="22" t="str">
        <f t="shared" si="72"/>
        <v/>
      </c>
      <c r="N223" s="72"/>
      <c r="O223" s="16" t="str">
        <f t="shared" si="73"/>
        <v/>
      </c>
      <c r="P223" s="16" t="str">
        <f t="shared" si="74"/>
        <v/>
      </c>
      <c r="Q223" s="16" t="str">
        <f t="shared" si="75"/>
        <v/>
      </c>
      <c r="R223" s="23" t="str">
        <f t="shared" si="76"/>
        <v/>
      </c>
      <c r="S223" s="23" t="str">
        <f t="shared" si="77"/>
        <v/>
      </c>
      <c r="T223" s="23" t="str">
        <f t="shared" si="78"/>
        <v/>
      </c>
      <c r="U223" s="23" t="str">
        <f t="shared" si="79"/>
        <v/>
      </c>
      <c r="V223" s="23" t="str">
        <f t="shared" si="80"/>
        <v/>
      </c>
      <c r="W223" s="70" t="str">
        <f t="shared" si="81"/>
        <v/>
      </c>
      <c r="X223" s="70" t="str">
        <f t="shared" si="82"/>
        <v/>
      </c>
      <c r="Y223" s="70" t="str">
        <f>IF(AND($A223&lt;&gt;"",$E223&gt;0),isLaptopBag($C223,$J223)*$D223,"")</f>
        <v/>
      </c>
      <c r="Z223" s="70" t="str">
        <f t="shared" si="83"/>
        <v/>
      </c>
      <c r="AA223" s="70" t="str">
        <f t="shared" si="84"/>
        <v/>
      </c>
      <c r="AB223" s="70" t="str">
        <f t="shared" si="85"/>
        <v/>
      </c>
      <c r="AC223" s="70" t="str">
        <f t="shared" si="86"/>
        <v/>
      </c>
      <c r="AD223" s="70" t="str">
        <f t="shared" si="87"/>
        <v/>
      </c>
      <c r="AE223" s="70" t="str">
        <f t="shared" si="88"/>
        <v/>
      </c>
      <c r="AF223" s="16"/>
      <c r="AG223" s="23"/>
      <c r="AH223" s="22"/>
      <c r="AJ223" s="83">
        <f t="shared" si="89"/>
        <v>0</v>
      </c>
      <c r="AO223" s="22" t="str">
        <f t="shared" si="90"/>
        <v/>
      </c>
      <c r="AP223" s="22" t="str">
        <f t="shared" si="91"/>
        <v/>
      </c>
    </row>
    <row r="224" spans="1:42" x14ac:dyDescent="0.25">
      <c r="A224" s="10"/>
      <c r="B224" s="10"/>
      <c r="C224" s="10"/>
      <c r="D224" s="10"/>
      <c r="E224" s="10"/>
      <c r="F224" s="10"/>
      <c r="G224" s="10"/>
      <c r="H224" s="17"/>
      <c r="I224" s="10"/>
      <c r="J224" s="10"/>
      <c r="K224" s="16" t="str">
        <f t="shared" si="70"/>
        <v/>
      </c>
      <c r="L224" s="23" t="str">
        <f t="shared" si="71"/>
        <v/>
      </c>
      <c r="M224" s="22" t="str">
        <f t="shared" si="72"/>
        <v/>
      </c>
      <c r="N224" s="72"/>
      <c r="O224" s="16" t="str">
        <f t="shared" si="73"/>
        <v/>
      </c>
      <c r="P224" s="16" t="str">
        <f t="shared" si="74"/>
        <v/>
      </c>
      <c r="Q224" s="16" t="str">
        <f t="shared" si="75"/>
        <v/>
      </c>
      <c r="R224" s="23" t="str">
        <f t="shared" si="76"/>
        <v/>
      </c>
      <c r="S224" s="23" t="str">
        <f t="shared" si="77"/>
        <v/>
      </c>
      <c r="T224" s="23" t="str">
        <f t="shared" si="78"/>
        <v/>
      </c>
      <c r="U224" s="23" t="str">
        <f t="shared" si="79"/>
        <v/>
      </c>
      <c r="V224" s="23" t="str">
        <f t="shared" si="80"/>
        <v/>
      </c>
      <c r="W224" s="70" t="str">
        <f t="shared" si="81"/>
        <v/>
      </c>
      <c r="X224" s="70" t="str">
        <f t="shared" si="82"/>
        <v/>
      </c>
      <c r="Y224" s="70" t="str">
        <f>IF(AND($A224&lt;&gt;"",$E224&gt;0),isLaptopBag($C224,$J224)*$D224,"")</f>
        <v/>
      </c>
      <c r="Z224" s="70" t="str">
        <f t="shared" si="83"/>
        <v/>
      </c>
      <c r="AA224" s="70" t="str">
        <f t="shared" si="84"/>
        <v/>
      </c>
      <c r="AB224" s="70" t="str">
        <f t="shared" si="85"/>
        <v/>
      </c>
      <c r="AC224" s="70" t="str">
        <f t="shared" si="86"/>
        <v/>
      </c>
      <c r="AD224" s="70" t="str">
        <f t="shared" si="87"/>
        <v/>
      </c>
      <c r="AE224" s="70" t="str">
        <f t="shared" si="88"/>
        <v/>
      </c>
      <c r="AF224" s="16"/>
      <c r="AG224" s="23"/>
      <c r="AH224" s="22"/>
      <c r="AJ224" s="83">
        <f t="shared" si="89"/>
        <v>0</v>
      </c>
      <c r="AO224" s="22" t="str">
        <f t="shared" si="90"/>
        <v/>
      </c>
      <c r="AP224" s="22" t="str">
        <f t="shared" si="91"/>
        <v/>
      </c>
    </row>
    <row r="225" spans="1:42" x14ac:dyDescent="0.25">
      <c r="A225" s="10"/>
      <c r="B225" s="10"/>
      <c r="C225" s="10"/>
      <c r="D225" s="10"/>
      <c r="E225" s="10"/>
      <c r="F225" s="10"/>
      <c r="G225" s="10"/>
      <c r="H225" s="17"/>
      <c r="I225" s="10"/>
      <c r="J225" s="10"/>
      <c r="K225" s="16" t="str">
        <f t="shared" si="70"/>
        <v/>
      </c>
      <c r="L225" s="23" t="str">
        <f t="shared" si="71"/>
        <v/>
      </c>
      <c r="M225" s="22" t="str">
        <f t="shared" si="72"/>
        <v/>
      </c>
      <c r="N225" s="72"/>
      <c r="O225" s="16" t="str">
        <f t="shared" si="73"/>
        <v/>
      </c>
      <c r="P225" s="16" t="str">
        <f t="shared" si="74"/>
        <v/>
      </c>
      <c r="Q225" s="16" t="str">
        <f t="shared" si="75"/>
        <v/>
      </c>
      <c r="R225" s="23" t="str">
        <f t="shared" si="76"/>
        <v/>
      </c>
      <c r="S225" s="23" t="str">
        <f t="shared" si="77"/>
        <v/>
      </c>
      <c r="T225" s="23" t="str">
        <f t="shared" si="78"/>
        <v/>
      </c>
      <c r="U225" s="23" t="str">
        <f t="shared" si="79"/>
        <v/>
      </c>
      <c r="V225" s="23" t="str">
        <f t="shared" si="80"/>
        <v/>
      </c>
      <c r="W225" s="70" t="str">
        <f t="shared" si="81"/>
        <v/>
      </c>
      <c r="X225" s="70" t="str">
        <f t="shared" si="82"/>
        <v/>
      </c>
      <c r="Y225" s="70" t="str">
        <f>IF(AND($A225&lt;&gt;"",$E225&gt;0),isLaptopBag($C225,$J225)*$D225,"")</f>
        <v/>
      </c>
      <c r="Z225" s="70" t="str">
        <f t="shared" si="83"/>
        <v/>
      </c>
      <c r="AA225" s="70" t="str">
        <f t="shared" si="84"/>
        <v/>
      </c>
      <c r="AB225" s="70" t="str">
        <f t="shared" si="85"/>
        <v/>
      </c>
      <c r="AC225" s="70" t="str">
        <f t="shared" si="86"/>
        <v/>
      </c>
      <c r="AD225" s="70" t="str">
        <f t="shared" si="87"/>
        <v/>
      </c>
      <c r="AE225" s="70" t="str">
        <f t="shared" si="88"/>
        <v/>
      </c>
      <c r="AF225" s="16"/>
      <c r="AG225" s="23"/>
      <c r="AH225" s="22"/>
      <c r="AJ225" s="83">
        <f t="shared" si="89"/>
        <v>0</v>
      </c>
      <c r="AO225" s="22" t="str">
        <f t="shared" si="90"/>
        <v/>
      </c>
      <c r="AP225" s="22" t="str">
        <f t="shared" si="91"/>
        <v/>
      </c>
    </row>
    <row r="226" spans="1:42" x14ac:dyDescent="0.25">
      <c r="A226" s="10"/>
      <c r="B226" s="10"/>
      <c r="C226" s="10"/>
      <c r="D226" s="10"/>
      <c r="E226" s="10"/>
      <c r="F226" s="10"/>
      <c r="G226" s="10"/>
      <c r="H226" s="17"/>
      <c r="I226" s="10"/>
      <c r="J226" s="10"/>
      <c r="K226" s="16" t="str">
        <f t="shared" si="70"/>
        <v/>
      </c>
      <c r="L226" s="23" t="str">
        <f t="shared" si="71"/>
        <v/>
      </c>
      <c r="M226" s="22" t="str">
        <f t="shared" si="72"/>
        <v/>
      </c>
      <c r="N226" s="72"/>
      <c r="O226" s="16" t="str">
        <f t="shared" si="73"/>
        <v/>
      </c>
      <c r="P226" s="16" t="str">
        <f t="shared" si="74"/>
        <v/>
      </c>
      <c r="Q226" s="16" t="str">
        <f t="shared" si="75"/>
        <v/>
      </c>
      <c r="R226" s="23" t="str">
        <f t="shared" si="76"/>
        <v/>
      </c>
      <c r="S226" s="23" t="str">
        <f t="shared" si="77"/>
        <v/>
      </c>
      <c r="T226" s="23" t="str">
        <f t="shared" si="78"/>
        <v/>
      </c>
      <c r="U226" s="23" t="str">
        <f t="shared" si="79"/>
        <v/>
      </c>
      <c r="V226" s="23" t="str">
        <f t="shared" si="80"/>
        <v/>
      </c>
      <c r="W226" s="70" t="str">
        <f t="shared" si="81"/>
        <v/>
      </c>
      <c r="X226" s="70" t="str">
        <f t="shared" si="82"/>
        <v/>
      </c>
      <c r="Y226" s="70" t="str">
        <f>IF(AND($A226&lt;&gt;"",$E226&gt;0),isLaptopBag($C226,$J226)*$D226,"")</f>
        <v/>
      </c>
      <c r="Z226" s="70" t="str">
        <f t="shared" si="83"/>
        <v/>
      </c>
      <c r="AA226" s="70" t="str">
        <f t="shared" si="84"/>
        <v/>
      </c>
      <c r="AB226" s="70" t="str">
        <f t="shared" si="85"/>
        <v/>
      </c>
      <c r="AC226" s="70" t="str">
        <f t="shared" si="86"/>
        <v/>
      </c>
      <c r="AD226" s="70" t="str">
        <f t="shared" si="87"/>
        <v/>
      </c>
      <c r="AE226" s="70" t="str">
        <f t="shared" si="88"/>
        <v/>
      </c>
      <c r="AF226" s="16"/>
      <c r="AG226" s="23"/>
      <c r="AH226" s="22"/>
      <c r="AJ226" s="83">
        <f t="shared" si="89"/>
        <v>0</v>
      </c>
      <c r="AO226" s="22" t="str">
        <f t="shared" si="90"/>
        <v/>
      </c>
      <c r="AP226" s="22" t="str">
        <f t="shared" si="91"/>
        <v/>
      </c>
    </row>
    <row r="227" spans="1:42" x14ac:dyDescent="0.25">
      <c r="A227" s="10"/>
      <c r="B227" s="10"/>
      <c r="C227" s="10"/>
      <c r="D227" s="10"/>
      <c r="E227" s="10"/>
      <c r="F227" s="10"/>
      <c r="G227" s="10"/>
      <c r="H227" s="17"/>
      <c r="I227" s="10"/>
      <c r="J227" s="10"/>
      <c r="K227" s="16" t="str">
        <f t="shared" si="70"/>
        <v/>
      </c>
      <c r="L227" s="23" t="str">
        <f t="shared" si="71"/>
        <v/>
      </c>
      <c r="M227" s="22" t="str">
        <f t="shared" si="72"/>
        <v/>
      </c>
      <c r="N227" s="72"/>
      <c r="O227" s="16" t="str">
        <f t="shared" si="73"/>
        <v/>
      </c>
      <c r="P227" s="16" t="str">
        <f t="shared" si="74"/>
        <v/>
      </c>
      <c r="Q227" s="16" t="str">
        <f t="shared" si="75"/>
        <v/>
      </c>
      <c r="R227" s="23" t="str">
        <f t="shared" si="76"/>
        <v/>
      </c>
      <c r="S227" s="23" t="str">
        <f t="shared" si="77"/>
        <v/>
      </c>
      <c r="T227" s="23" t="str">
        <f t="shared" si="78"/>
        <v/>
      </c>
      <c r="U227" s="23" t="str">
        <f t="shared" si="79"/>
        <v/>
      </c>
      <c r="V227" s="23" t="str">
        <f t="shared" si="80"/>
        <v/>
      </c>
      <c r="W227" s="70" t="str">
        <f t="shared" si="81"/>
        <v/>
      </c>
      <c r="X227" s="70" t="str">
        <f t="shared" si="82"/>
        <v/>
      </c>
      <c r="Y227" s="70" t="str">
        <f>IF(AND($A227&lt;&gt;"",$E227&gt;0),isLaptopBag($C227,$J227)*$D227,"")</f>
        <v/>
      </c>
      <c r="Z227" s="70" t="str">
        <f t="shared" si="83"/>
        <v/>
      </c>
      <c r="AA227" s="70" t="str">
        <f t="shared" si="84"/>
        <v/>
      </c>
      <c r="AB227" s="70" t="str">
        <f t="shared" si="85"/>
        <v/>
      </c>
      <c r="AC227" s="70" t="str">
        <f t="shared" si="86"/>
        <v/>
      </c>
      <c r="AD227" s="70" t="str">
        <f t="shared" si="87"/>
        <v/>
      </c>
      <c r="AE227" s="70" t="str">
        <f t="shared" si="88"/>
        <v/>
      </c>
      <c r="AF227" s="16"/>
      <c r="AG227" s="23"/>
      <c r="AH227" s="22"/>
      <c r="AJ227" s="83">
        <f t="shared" si="89"/>
        <v>0</v>
      </c>
      <c r="AO227" s="22" t="str">
        <f t="shared" si="90"/>
        <v/>
      </c>
      <c r="AP227" s="22" t="str">
        <f t="shared" si="91"/>
        <v/>
      </c>
    </row>
    <row r="228" spans="1:42" x14ac:dyDescent="0.25">
      <c r="A228" s="10"/>
      <c r="B228" s="10"/>
      <c r="C228" s="10"/>
      <c r="D228" s="10"/>
      <c r="E228" s="10"/>
      <c r="F228" s="10"/>
      <c r="G228" s="10"/>
      <c r="H228" s="17"/>
      <c r="I228" s="10"/>
      <c r="J228" s="10"/>
      <c r="K228" s="16" t="str">
        <f t="shared" si="70"/>
        <v/>
      </c>
      <c r="L228" s="23" t="str">
        <f t="shared" si="71"/>
        <v/>
      </c>
      <c r="M228" s="22" t="str">
        <f t="shared" si="72"/>
        <v/>
      </c>
      <c r="N228" s="72"/>
      <c r="O228" s="16" t="str">
        <f t="shared" si="73"/>
        <v/>
      </c>
      <c r="P228" s="16" t="str">
        <f t="shared" si="74"/>
        <v/>
      </c>
      <c r="Q228" s="16" t="str">
        <f t="shared" si="75"/>
        <v/>
      </c>
      <c r="R228" s="23" t="str">
        <f t="shared" si="76"/>
        <v/>
      </c>
      <c r="S228" s="23" t="str">
        <f t="shared" si="77"/>
        <v/>
      </c>
      <c r="T228" s="23" t="str">
        <f t="shared" si="78"/>
        <v/>
      </c>
      <c r="U228" s="23" t="str">
        <f t="shared" si="79"/>
        <v/>
      </c>
      <c r="V228" s="23" t="str">
        <f t="shared" si="80"/>
        <v/>
      </c>
      <c r="W228" s="70" t="str">
        <f t="shared" si="81"/>
        <v/>
      </c>
      <c r="X228" s="70" t="str">
        <f t="shared" si="82"/>
        <v/>
      </c>
      <c r="Y228" s="70" t="str">
        <f>IF(AND($A228&lt;&gt;"",$E228&gt;0),isLaptopBag($C228,$J228)*$D228,"")</f>
        <v/>
      </c>
      <c r="Z228" s="70" t="str">
        <f t="shared" si="83"/>
        <v/>
      </c>
      <c r="AA228" s="70" t="str">
        <f t="shared" si="84"/>
        <v/>
      </c>
      <c r="AB228" s="70" t="str">
        <f t="shared" si="85"/>
        <v/>
      </c>
      <c r="AC228" s="70" t="str">
        <f t="shared" si="86"/>
        <v/>
      </c>
      <c r="AD228" s="70" t="str">
        <f t="shared" si="87"/>
        <v/>
      </c>
      <c r="AE228" s="70" t="str">
        <f t="shared" si="88"/>
        <v/>
      </c>
      <c r="AF228" s="16"/>
      <c r="AG228" s="23"/>
      <c r="AH228" s="22"/>
      <c r="AJ228" s="83">
        <f t="shared" si="89"/>
        <v>0</v>
      </c>
      <c r="AO228" s="22" t="str">
        <f t="shared" si="90"/>
        <v/>
      </c>
      <c r="AP228" s="22" t="str">
        <f t="shared" si="91"/>
        <v/>
      </c>
    </row>
    <row r="229" spans="1:42" x14ac:dyDescent="0.25">
      <c r="A229" s="10"/>
      <c r="B229" s="10"/>
      <c r="C229" s="10"/>
      <c r="D229" s="10"/>
      <c r="E229" s="10"/>
      <c r="F229" s="10"/>
      <c r="G229" s="10"/>
      <c r="H229" s="17"/>
      <c r="I229" s="10"/>
      <c r="J229" s="10"/>
      <c r="K229" s="16" t="str">
        <f t="shared" si="70"/>
        <v/>
      </c>
      <c r="L229" s="23" t="str">
        <f t="shared" si="71"/>
        <v/>
      </c>
      <c r="M229" s="22" t="str">
        <f t="shared" si="72"/>
        <v/>
      </c>
      <c r="N229" s="72"/>
      <c r="O229" s="16" t="str">
        <f t="shared" si="73"/>
        <v/>
      </c>
      <c r="P229" s="16" t="str">
        <f t="shared" si="74"/>
        <v/>
      </c>
      <c r="Q229" s="16" t="str">
        <f t="shared" si="75"/>
        <v/>
      </c>
      <c r="R229" s="23" t="str">
        <f t="shared" si="76"/>
        <v/>
      </c>
      <c r="S229" s="23" t="str">
        <f t="shared" si="77"/>
        <v/>
      </c>
      <c r="T229" s="23" t="str">
        <f t="shared" si="78"/>
        <v/>
      </c>
      <c r="U229" s="23" t="str">
        <f t="shared" si="79"/>
        <v/>
      </c>
      <c r="V229" s="23" t="str">
        <f t="shared" si="80"/>
        <v/>
      </c>
      <c r="W229" s="70" t="str">
        <f t="shared" si="81"/>
        <v/>
      </c>
      <c r="X229" s="70" t="str">
        <f t="shared" si="82"/>
        <v/>
      </c>
      <c r="Y229" s="70" t="str">
        <f>IF(AND($A229&lt;&gt;"",$E229&gt;0),isLaptopBag($C229,$J229)*$D229,"")</f>
        <v/>
      </c>
      <c r="Z229" s="70" t="str">
        <f t="shared" si="83"/>
        <v/>
      </c>
      <c r="AA229" s="70" t="str">
        <f t="shared" si="84"/>
        <v/>
      </c>
      <c r="AB229" s="70" t="str">
        <f t="shared" si="85"/>
        <v/>
      </c>
      <c r="AC229" s="70" t="str">
        <f t="shared" si="86"/>
        <v/>
      </c>
      <c r="AD229" s="70" t="str">
        <f t="shared" si="87"/>
        <v/>
      </c>
      <c r="AE229" s="70" t="str">
        <f t="shared" si="88"/>
        <v/>
      </c>
      <c r="AF229" s="16"/>
      <c r="AG229" s="23"/>
      <c r="AH229" s="22"/>
      <c r="AJ229" s="83">
        <f t="shared" si="89"/>
        <v>0</v>
      </c>
      <c r="AO229" s="22" t="str">
        <f t="shared" si="90"/>
        <v/>
      </c>
      <c r="AP229" s="22" t="str">
        <f t="shared" si="91"/>
        <v/>
      </c>
    </row>
    <row r="230" spans="1:42" x14ac:dyDescent="0.25">
      <c r="A230" s="10"/>
      <c r="B230" s="10"/>
      <c r="C230" s="10"/>
      <c r="D230" s="10"/>
      <c r="E230" s="10"/>
      <c r="F230" s="10"/>
      <c r="G230" s="10"/>
      <c r="H230" s="17"/>
      <c r="I230" s="10"/>
      <c r="J230" s="10"/>
      <c r="K230" s="16" t="str">
        <f t="shared" si="70"/>
        <v/>
      </c>
      <c r="L230" s="23" t="str">
        <f t="shared" si="71"/>
        <v/>
      </c>
      <c r="M230" s="22" t="str">
        <f t="shared" si="72"/>
        <v/>
      </c>
      <c r="N230" s="72"/>
      <c r="O230" s="16" t="str">
        <f t="shared" si="73"/>
        <v/>
      </c>
      <c r="P230" s="16" t="str">
        <f t="shared" si="74"/>
        <v/>
      </c>
      <c r="Q230" s="16" t="str">
        <f t="shared" si="75"/>
        <v/>
      </c>
      <c r="R230" s="23" t="str">
        <f t="shared" si="76"/>
        <v/>
      </c>
      <c r="S230" s="23" t="str">
        <f t="shared" si="77"/>
        <v/>
      </c>
      <c r="T230" s="23" t="str">
        <f t="shared" si="78"/>
        <v/>
      </c>
      <c r="U230" s="23" t="str">
        <f t="shared" si="79"/>
        <v/>
      </c>
      <c r="V230" s="23" t="str">
        <f t="shared" si="80"/>
        <v/>
      </c>
      <c r="W230" s="70" t="str">
        <f t="shared" si="81"/>
        <v/>
      </c>
      <c r="X230" s="70" t="str">
        <f t="shared" si="82"/>
        <v/>
      </c>
      <c r="Y230" s="70" t="str">
        <f>IF(AND($A230&lt;&gt;"",$E230&gt;0),isLaptopBag($C230,$J230)*$D230,"")</f>
        <v/>
      </c>
      <c r="Z230" s="70" t="str">
        <f t="shared" si="83"/>
        <v/>
      </c>
      <c r="AA230" s="70" t="str">
        <f t="shared" si="84"/>
        <v/>
      </c>
      <c r="AB230" s="70" t="str">
        <f t="shared" si="85"/>
        <v/>
      </c>
      <c r="AC230" s="70" t="str">
        <f t="shared" si="86"/>
        <v/>
      </c>
      <c r="AD230" s="70" t="str">
        <f t="shared" si="87"/>
        <v/>
      </c>
      <c r="AE230" s="70" t="str">
        <f t="shared" si="88"/>
        <v/>
      </c>
      <c r="AF230" s="16"/>
      <c r="AG230" s="23"/>
      <c r="AH230" s="22"/>
      <c r="AJ230" s="83">
        <f t="shared" si="89"/>
        <v>0</v>
      </c>
      <c r="AO230" s="22" t="str">
        <f t="shared" si="90"/>
        <v/>
      </c>
      <c r="AP230" s="22" t="str">
        <f t="shared" si="91"/>
        <v/>
      </c>
    </row>
    <row r="231" spans="1:42" x14ac:dyDescent="0.25">
      <c r="A231" s="10"/>
      <c r="B231" s="10"/>
      <c r="C231" s="10"/>
      <c r="D231" s="10"/>
      <c r="E231" s="10"/>
      <c r="F231" s="10"/>
      <c r="G231" s="10"/>
      <c r="H231" s="17"/>
      <c r="I231" s="10"/>
      <c r="J231" s="10"/>
      <c r="K231" s="16" t="str">
        <f t="shared" si="70"/>
        <v/>
      </c>
      <c r="L231" s="23" t="str">
        <f t="shared" si="71"/>
        <v/>
      </c>
      <c r="M231" s="22" t="str">
        <f t="shared" si="72"/>
        <v/>
      </c>
      <c r="N231" s="72"/>
      <c r="O231" s="16" t="str">
        <f t="shared" si="73"/>
        <v/>
      </c>
      <c r="P231" s="16" t="str">
        <f t="shared" si="74"/>
        <v/>
      </c>
      <c r="Q231" s="16" t="str">
        <f t="shared" si="75"/>
        <v/>
      </c>
      <c r="R231" s="23" t="str">
        <f t="shared" si="76"/>
        <v/>
      </c>
      <c r="S231" s="23" t="str">
        <f t="shared" si="77"/>
        <v/>
      </c>
      <c r="T231" s="23" t="str">
        <f t="shared" si="78"/>
        <v/>
      </c>
      <c r="U231" s="23" t="str">
        <f t="shared" si="79"/>
        <v/>
      </c>
      <c r="V231" s="23" t="str">
        <f t="shared" si="80"/>
        <v/>
      </c>
      <c r="W231" s="70" t="str">
        <f t="shared" si="81"/>
        <v/>
      </c>
      <c r="X231" s="70" t="str">
        <f t="shared" si="82"/>
        <v/>
      </c>
      <c r="Y231" s="70" t="str">
        <f>IF(AND($A231&lt;&gt;"",$E231&gt;0),isLaptopBag($C231,$J231)*$D231,"")</f>
        <v/>
      </c>
      <c r="Z231" s="70" t="str">
        <f t="shared" si="83"/>
        <v/>
      </c>
      <c r="AA231" s="70" t="str">
        <f t="shared" si="84"/>
        <v/>
      </c>
      <c r="AB231" s="70" t="str">
        <f t="shared" si="85"/>
        <v/>
      </c>
      <c r="AC231" s="70" t="str">
        <f t="shared" si="86"/>
        <v/>
      </c>
      <c r="AD231" s="70" t="str">
        <f t="shared" si="87"/>
        <v/>
      </c>
      <c r="AE231" s="70" t="str">
        <f t="shared" si="88"/>
        <v/>
      </c>
      <c r="AF231" s="16"/>
      <c r="AG231" s="23"/>
      <c r="AH231" s="22"/>
      <c r="AJ231" s="83">
        <f t="shared" si="89"/>
        <v>0</v>
      </c>
      <c r="AO231" s="22" t="str">
        <f t="shared" si="90"/>
        <v/>
      </c>
      <c r="AP231" s="22" t="str">
        <f t="shared" si="91"/>
        <v/>
      </c>
    </row>
    <row r="232" spans="1:42" x14ac:dyDescent="0.25">
      <c r="A232" s="10"/>
      <c r="B232" s="10"/>
      <c r="C232" s="10"/>
      <c r="D232" s="10"/>
      <c r="E232" s="10"/>
      <c r="F232" s="10"/>
      <c r="G232" s="10"/>
      <c r="H232" s="17"/>
      <c r="I232" s="10"/>
      <c r="J232" s="10"/>
      <c r="K232" s="16" t="str">
        <f t="shared" si="70"/>
        <v/>
      </c>
      <c r="L232" s="23" t="str">
        <f t="shared" si="71"/>
        <v/>
      </c>
      <c r="M232" s="22" t="str">
        <f t="shared" si="72"/>
        <v/>
      </c>
      <c r="N232" s="72"/>
      <c r="O232" s="16" t="str">
        <f t="shared" si="73"/>
        <v/>
      </c>
      <c r="P232" s="16" t="str">
        <f t="shared" si="74"/>
        <v/>
      </c>
      <c r="Q232" s="16" t="str">
        <f t="shared" si="75"/>
        <v/>
      </c>
      <c r="R232" s="23" t="str">
        <f t="shared" si="76"/>
        <v/>
      </c>
      <c r="S232" s="23" t="str">
        <f t="shared" si="77"/>
        <v/>
      </c>
      <c r="T232" s="23" t="str">
        <f t="shared" si="78"/>
        <v/>
      </c>
      <c r="U232" s="23" t="str">
        <f t="shared" si="79"/>
        <v/>
      </c>
      <c r="V232" s="23" t="str">
        <f t="shared" si="80"/>
        <v/>
      </c>
      <c r="W232" s="70" t="str">
        <f t="shared" si="81"/>
        <v/>
      </c>
      <c r="X232" s="70" t="str">
        <f t="shared" si="82"/>
        <v/>
      </c>
      <c r="Y232" s="70" t="str">
        <f>IF(AND($A232&lt;&gt;"",$E232&gt;0),isLaptopBag($C232,$J232)*$D232,"")</f>
        <v/>
      </c>
      <c r="Z232" s="70" t="str">
        <f t="shared" si="83"/>
        <v/>
      </c>
      <c r="AA232" s="70" t="str">
        <f t="shared" si="84"/>
        <v/>
      </c>
      <c r="AB232" s="70" t="str">
        <f t="shared" si="85"/>
        <v/>
      </c>
      <c r="AC232" s="70" t="str">
        <f t="shared" si="86"/>
        <v/>
      </c>
      <c r="AD232" s="70" t="str">
        <f t="shared" si="87"/>
        <v/>
      </c>
      <c r="AE232" s="70" t="str">
        <f t="shared" si="88"/>
        <v/>
      </c>
      <c r="AF232" s="16"/>
      <c r="AG232" s="23"/>
      <c r="AH232" s="22"/>
      <c r="AJ232" s="83">
        <f t="shared" si="89"/>
        <v>0</v>
      </c>
      <c r="AO232" s="22" t="str">
        <f t="shared" si="90"/>
        <v/>
      </c>
      <c r="AP232" s="22" t="str">
        <f t="shared" si="91"/>
        <v/>
      </c>
    </row>
    <row r="233" spans="1:42" x14ac:dyDescent="0.25">
      <c r="A233" s="10"/>
      <c r="B233" s="10"/>
      <c r="C233" s="10"/>
      <c r="D233" s="10"/>
      <c r="E233" s="10"/>
      <c r="F233" s="10"/>
      <c r="G233" s="10"/>
      <c r="H233" s="17"/>
      <c r="I233" s="10"/>
      <c r="J233" s="10"/>
      <c r="K233" s="16" t="str">
        <f t="shared" si="70"/>
        <v/>
      </c>
      <c r="L233" s="23" t="str">
        <f t="shared" si="71"/>
        <v/>
      </c>
      <c r="M233" s="22" t="str">
        <f t="shared" si="72"/>
        <v/>
      </c>
      <c r="N233" s="72"/>
      <c r="O233" s="16" t="str">
        <f t="shared" si="73"/>
        <v/>
      </c>
      <c r="P233" s="16" t="str">
        <f t="shared" si="74"/>
        <v/>
      </c>
      <c r="Q233" s="16" t="str">
        <f t="shared" si="75"/>
        <v/>
      </c>
      <c r="R233" s="23" t="str">
        <f t="shared" si="76"/>
        <v/>
      </c>
      <c r="S233" s="23" t="str">
        <f t="shared" si="77"/>
        <v/>
      </c>
      <c r="T233" s="23" t="str">
        <f t="shared" si="78"/>
        <v/>
      </c>
      <c r="U233" s="23" t="str">
        <f t="shared" si="79"/>
        <v/>
      </c>
      <c r="V233" s="23" t="str">
        <f t="shared" si="80"/>
        <v/>
      </c>
      <c r="W233" s="70" t="str">
        <f t="shared" si="81"/>
        <v/>
      </c>
      <c r="X233" s="70" t="str">
        <f t="shared" si="82"/>
        <v/>
      </c>
      <c r="Y233" s="70" t="str">
        <f>IF(AND($A233&lt;&gt;"",$E233&gt;0),isLaptopBag($C233,$J233)*$D233,"")</f>
        <v/>
      </c>
      <c r="Z233" s="70" t="str">
        <f t="shared" si="83"/>
        <v/>
      </c>
      <c r="AA233" s="70" t="str">
        <f t="shared" si="84"/>
        <v/>
      </c>
      <c r="AB233" s="70" t="str">
        <f t="shared" si="85"/>
        <v/>
      </c>
      <c r="AC233" s="70" t="str">
        <f t="shared" si="86"/>
        <v/>
      </c>
      <c r="AD233" s="70" t="str">
        <f t="shared" si="87"/>
        <v/>
      </c>
      <c r="AE233" s="70" t="str">
        <f t="shared" si="88"/>
        <v/>
      </c>
      <c r="AF233" s="16"/>
      <c r="AG233" s="23"/>
      <c r="AH233" s="22"/>
      <c r="AJ233" s="83">
        <f t="shared" si="89"/>
        <v>0</v>
      </c>
      <c r="AO233" s="22" t="str">
        <f t="shared" si="90"/>
        <v/>
      </c>
      <c r="AP233" s="22" t="str">
        <f t="shared" si="91"/>
        <v/>
      </c>
    </row>
    <row r="234" spans="1:42" x14ac:dyDescent="0.25">
      <c r="A234" s="10"/>
      <c r="B234" s="10"/>
      <c r="C234" s="10"/>
      <c r="D234" s="10"/>
      <c r="E234" s="10"/>
      <c r="F234" s="10"/>
      <c r="G234" s="10"/>
      <c r="H234" s="17"/>
      <c r="I234" s="10"/>
      <c r="J234" s="10"/>
      <c r="K234" s="16" t="str">
        <f t="shared" si="70"/>
        <v/>
      </c>
      <c r="L234" s="23" t="str">
        <f t="shared" si="71"/>
        <v/>
      </c>
      <c r="M234" s="22" t="str">
        <f t="shared" si="72"/>
        <v/>
      </c>
      <c r="N234" s="72"/>
      <c r="O234" s="16" t="str">
        <f t="shared" si="73"/>
        <v/>
      </c>
      <c r="P234" s="16" t="str">
        <f t="shared" si="74"/>
        <v/>
      </c>
      <c r="Q234" s="16" t="str">
        <f t="shared" si="75"/>
        <v/>
      </c>
      <c r="R234" s="23" t="str">
        <f t="shared" si="76"/>
        <v/>
      </c>
      <c r="S234" s="23" t="str">
        <f t="shared" si="77"/>
        <v/>
      </c>
      <c r="T234" s="23" t="str">
        <f t="shared" si="78"/>
        <v/>
      </c>
      <c r="U234" s="23" t="str">
        <f t="shared" si="79"/>
        <v/>
      </c>
      <c r="V234" s="23" t="str">
        <f t="shared" si="80"/>
        <v/>
      </c>
      <c r="W234" s="70" t="str">
        <f t="shared" si="81"/>
        <v/>
      </c>
      <c r="X234" s="70" t="str">
        <f t="shared" si="82"/>
        <v/>
      </c>
      <c r="Y234" s="70" t="str">
        <f>IF(AND($A234&lt;&gt;"",$E234&gt;0),isLaptopBag($C234,$J234)*$D234,"")</f>
        <v/>
      </c>
      <c r="Z234" s="70" t="str">
        <f t="shared" si="83"/>
        <v/>
      </c>
      <c r="AA234" s="70" t="str">
        <f t="shared" si="84"/>
        <v/>
      </c>
      <c r="AB234" s="70" t="str">
        <f t="shared" si="85"/>
        <v/>
      </c>
      <c r="AC234" s="70" t="str">
        <f t="shared" si="86"/>
        <v/>
      </c>
      <c r="AD234" s="70" t="str">
        <f t="shared" si="87"/>
        <v/>
      </c>
      <c r="AE234" s="70" t="str">
        <f t="shared" si="88"/>
        <v/>
      </c>
      <c r="AF234" s="16"/>
      <c r="AG234" s="23"/>
      <c r="AH234" s="22"/>
      <c r="AJ234" s="83">
        <f t="shared" si="89"/>
        <v>0</v>
      </c>
      <c r="AO234" s="22" t="str">
        <f t="shared" si="90"/>
        <v/>
      </c>
      <c r="AP234" s="22" t="str">
        <f t="shared" si="91"/>
        <v/>
      </c>
    </row>
    <row r="235" spans="1:42" x14ac:dyDescent="0.25">
      <c r="A235" s="10"/>
      <c r="B235" s="10"/>
      <c r="C235" s="10"/>
      <c r="D235" s="10"/>
      <c r="E235" s="10"/>
      <c r="F235" s="10"/>
      <c r="G235" s="10"/>
      <c r="H235" s="17"/>
      <c r="I235" s="10"/>
      <c r="J235" s="10"/>
      <c r="K235" s="16" t="str">
        <f t="shared" si="70"/>
        <v/>
      </c>
      <c r="L235" s="23" t="str">
        <f t="shared" si="71"/>
        <v/>
      </c>
      <c r="M235" s="22" t="str">
        <f t="shared" si="72"/>
        <v/>
      </c>
      <c r="N235" s="72"/>
      <c r="O235" s="16" t="str">
        <f t="shared" si="73"/>
        <v/>
      </c>
      <c r="P235" s="16" t="str">
        <f t="shared" si="74"/>
        <v/>
      </c>
      <c r="Q235" s="16" t="str">
        <f t="shared" si="75"/>
        <v/>
      </c>
      <c r="R235" s="23" t="str">
        <f t="shared" si="76"/>
        <v/>
      </c>
      <c r="S235" s="23" t="str">
        <f t="shared" si="77"/>
        <v/>
      </c>
      <c r="T235" s="23" t="str">
        <f t="shared" si="78"/>
        <v/>
      </c>
      <c r="U235" s="23" t="str">
        <f t="shared" si="79"/>
        <v/>
      </c>
      <c r="V235" s="23" t="str">
        <f t="shared" si="80"/>
        <v/>
      </c>
      <c r="W235" s="70" t="str">
        <f t="shared" si="81"/>
        <v/>
      </c>
      <c r="X235" s="70" t="str">
        <f t="shared" si="82"/>
        <v/>
      </c>
      <c r="Y235" s="70" t="str">
        <f>IF(AND($A235&lt;&gt;"",$E235&gt;0),isLaptopBag($C235,$J235)*$D235,"")</f>
        <v/>
      </c>
      <c r="Z235" s="70" t="str">
        <f t="shared" si="83"/>
        <v/>
      </c>
      <c r="AA235" s="70" t="str">
        <f t="shared" si="84"/>
        <v/>
      </c>
      <c r="AB235" s="70" t="str">
        <f t="shared" si="85"/>
        <v/>
      </c>
      <c r="AC235" s="70" t="str">
        <f t="shared" si="86"/>
        <v/>
      </c>
      <c r="AD235" s="70" t="str">
        <f t="shared" si="87"/>
        <v/>
      </c>
      <c r="AE235" s="70" t="str">
        <f t="shared" si="88"/>
        <v/>
      </c>
      <c r="AF235" s="16"/>
      <c r="AG235" s="23"/>
      <c r="AH235" s="22"/>
      <c r="AJ235" s="83">
        <f t="shared" si="89"/>
        <v>0</v>
      </c>
      <c r="AO235" s="22" t="str">
        <f t="shared" si="90"/>
        <v/>
      </c>
      <c r="AP235" s="22" t="str">
        <f t="shared" si="91"/>
        <v/>
      </c>
    </row>
    <row r="236" spans="1:42" x14ac:dyDescent="0.25">
      <c r="A236" s="10"/>
      <c r="B236" s="10"/>
      <c r="C236" s="10"/>
      <c r="D236" s="10"/>
      <c r="E236" s="10"/>
      <c r="F236" s="10"/>
      <c r="G236" s="10"/>
      <c r="H236" s="17"/>
      <c r="I236" s="10"/>
      <c r="J236" s="10"/>
      <c r="K236" s="16" t="str">
        <f t="shared" si="70"/>
        <v/>
      </c>
      <c r="L236" s="23" t="str">
        <f t="shared" si="71"/>
        <v/>
      </c>
      <c r="M236" s="22" t="str">
        <f t="shared" si="72"/>
        <v/>
      </c>
      <c r="N236" s="72"/>
      <c r="O236" s="16" t="str">
        <f t="shared" si="73"/>
        <v/>
      </c>
      <c r="P236" s="16" t="str">
        <f t="shared" si="74"/>
        <v/>
      </c>
      <c r="Q236" s="16" t="str">
        <f t="shared" si="75"/>
        <v/>
      </c>
      <c r="R236" s="23" t="str">
        <f t="shared" si="76"/>
        <v/>
      </c>
      <c r="S236" s="23" t="str">
        <f t="shared" si="77"/>
        <v/>
      </c>
      <c r="T236" s="23" t="str">
        <f t="shared" si="78"/>
        <v/>
      </c>
      <c r="U236" s="23" t="str">
        <f t="shared" si="79"/>
        <v/>
      </c>
      <c r="V236" s="23" t="str">
        <f t="shared" si="80"/>
        <v/>
      </c>
      <c r="W236" s="70" t="str">
        <f t="shared" si="81"/>
        <v/>
      </c>
      <c r="X236" s="70" t="str">
        <f t="shared" si="82"/>
        <v/>
      </c>
      <c r="Y236" s="70" t="str">
        <f>IF(AND($A236&lt;&gt;"",$E236&gt;0),isLaptopBag($C236,$J236)*$D236,"")</f>
        <v/>
      </c>
      <c r="Z236" s="70" t="str">
        <f t="shared" si="83"/>
        <v/>
      </c>
      <c r="AA236" s="70" t="str">
        <f t="shared" si="84"/>
        <v/>
      </c>
      <c r="AB236" s="70" t="str">
        <f t="shared" si="85"/>
        <v/>
      </c>
      <c r="AC236" s="70" t="str">
        <f t="shared" si="86"/>
        <v/>
      </c>
      <c r="AD236" s="70" t="str">
        <f t="shared" si="87"/>
        <v/>
      </c>
      <c r="AE236" s="70" t="str">
        <f t="shared" si="88"/>
        <v/>
      </c>
      <c r="AF236" s="16"/>
      <c r="AG236" s="23"/>
      <c r="AH236" s="22"/>
      <c r="AJ236" s="83">
        <f t="shared" si="89"/>
        <v>0</v>
      </c>
      <c r="AO236" s="22" t="str">
        <f t="shared" si="90"/>
        <v/>
      </c>
      <c r="AP236" s="22" t="str">
        <f t="shared" si="91"/>
        <v/>
      </c>
    </row>
    <row r="237" spans="1:42" x14ac:dyDescent="0.25">
      <c r="A237" s="10"/>
      <c r="B237" s="10"/>
      <c r="C237" s="10"/>
      <c r="D237" s="10"/>
      <c r="E237" s="10"/>
      <c r="F237" s="10"/>
      <c r="G237" s="10"/>
      <c r="H237" s="17"/>
      <c r="I237" s="10"/>
      <c r="J237" s="10"/>
      <c r="K237" s="16" t="str">
        <f t="shared" si="70"/>
        <v/>
      </c>
      <c r="L237" s="23" t="str">
        <f t="shared" si="71"/>
        <v/>
      </c>
      <c r="M237" s="22" t="str">
        <f t="shared" si="72"/>
        <v/>
      </c>
      <c r="N237" s="72"/>
      <c r="O237" s="16" t="str">
        <f t="shared" si="73"/>
        <v/>
      </c>
      <c r="P237" s="16" t="str">
        <f t="shared" si="74"/>
        <v/>
      </c>
      <c r="Q237" s="16" t="str">
        <f t="shared" si="75"/>
        <v/>
      </c>
      <c r="R237" s="23" t="str">
        <f t="shared" si="76"/>
        <v/>
      </c>
      <c r="S237" s="23" t="str">
        <f t="shared" si="77"/>
        <v/>
      </c>
      <c r="T237" s="23" t="str">
        <f t="shared" si="78"/>
        <v/>
      </c>
      <c r="U237" s="23" t="str">
        <f t="shared" si="79"/>
        <v/>
      </c>
      <c r="V237" s="23" t="str">
        <f t="shared" si="80"/>
        <v/>
      </c>
      <c r="W237" s="70" t="str">
        <f t="shared" si="81"/>
        <v/>
      </c>
      <c r="X237" s="70" t="str">
        <f t="shared" si="82"/>
        <v/>
      </c>
      <c r="Y237" s="70" t="str">
        <f>IF(AND($A237&lt;&gt;"",$E237&gt;0),isLaptopBag($C237,$J237)*$D237,"")</f>
        <v/>
      </c>
      <c r="Z237" s="70" t="str">
        <f t="shared" si="83"/>
        <v/>
      </c>
      <c r="AA237" s="70" t="str">
        <f t="shared" si="84"/>
        <v/>
      </c>
      <c r="AB237" s="70" t="str">
        <f t="shared" si="85"/>
        <v/>
      </c>
      <c r="AC237" s="70" t="str">
        <f t="shared" si="86"/>
        <v/>
      </c>
      <c r="AD237" s="70" t="str">
        <f t="shared" si="87"/>
        <v/>
      </c>
      <c r="AE237" s="70" t="str">
        <f t="shared" si="88"/>
        <v/>
      </c>
      <c r="AF237" s="16"/>
      <c r="AG237" s="23"/>
      <c r="AH237" s="22"/>
      <c r="AJ237" s="83">
        <f t="shared" si="89"/>
        <v>0</v>
      </c>
      <c r="AO237" s="22" t="str">
        <f t="shared" si="90"/>
        <v/>
      </c>
      <c r="AP237" s="22" t="str">
        <f t="shared" si="91"/>
        <v/>
      </c>
    </row>
    <row r="238" spans="1:42" x14ac:dyDescent="0.25">
      <c r="A238" s="10"/>
      <c r="B238" s="10"/>
      <c r="C238" s="10"/>
      <c r="D238" s="10"/>
      <c r="E238" s="10"/>
      <c r="F238" s="10"/>
      <c r="G238" s="10"/>
      <c r="H238" s="17"/>
      <c r="I238" s="10"/>
      <c r="J238" s="10"/>
      <c r="K238" s="16" t="str">
        <f t="shared" si="70"/>
        <v/>
      </c>
      <c r="L238" s="23" t="str">
        <f t="shared" si="71"/>
        <v/>
      </c>
      <c r="M238" s="22" t="str">
        <f t="shared" si="72"/>
        <v/>
      </c>
      <c r="N238" s="72"/>
      <c r="O238" s="16" t="str">
        <f t="shared" si="73"/>
        <v/>
      </c>
      <c r="P238" s="16" t="str">
        <f t="shared" si="74"/>
        <v/>
      </c>
      <c r="Q238" s="16" t="str">
        <f t="shared" si="75"/>
        <v/>
      </c>
      <c r="R238" s="23" t="str">
        <f t="shared" si="76"/>
        <v/>
      </c>
      <c r="S238" s="23" t="str">
        <f t="shared" si="77"/>
        <v/>
      </c>
      <c r="T238" s="23" t="str">
        <f t="shared" si="78"/>
        <v/>
      </c>
      <c r="U238" s="23" t="str">
        <f t="shared" si="79"/>
        <v/>
      </c>
      <c r="V238" s="23" t="str">
        <f t="shared" si="80"/>
        <v/>
      </c>
      <c r="W238" s="70" t="str">
        <f t="shared" si="81"/>
        <v/>
      </c>
      <c r="X238" s="70" t="str">
        <f t="shared" si="82"/>
        <v/>
      </c>
      <c r="Y238" s="70" t="str">
        <f>IF(AND($A238&lt;&gt;"",$E238&gt;0),isLaptopBag($C238,$J238)*$D238,"")</f>
        <v/>
      </c>
      <c r="Z238" s="70" t="str">
        <f t="shared" si="83"/>
        <v/>
      </c>
      <c r="AA238" s="70" t="str">
        <f t="shared" si="84"/>
        <v/>
      </c>
      <c r="AB238" s="70" t="str">
        <f t="shared" si="85"/>
        <v/>
      </c>
      <c r="AC238" s="70" t="str">
        <f t="shared" si="86"/>
        <v/>
      </c>
      <c r="AD238" s="70" t="str">
        <f t="shared" si="87"/>
        <v/>
      </c>
      <c r="AE238" s="70" t="str">
        <f t="shared" si="88"/>
        <v/>
      </c>
      <c r="AF238" s="16"/>
      <c r="AG238" s="23"/>
      <c r="AH238" s="22"/>
      <c r="AJ238" s="83">
        <f t="shared" si="89"/>
        <v>0</v>
      </c>
      <c r="AO238" s="22" t="str">
        <f t="shared" si="90"/>
        <v/>
      </c>
      <c r="AP238" s="22" t="str">
        <f t="shared" si="91"/>
        <v/>
      </c>
    </row>
    <row r="239" spans="1:42" x14ac:dyDescent="0.25">
      <c r="A239" s="10"/>
      <c r="B239" s="10"/>
      <c r="C239" s="10"/>
      <c r="D239" s="10"/>
      <c r="E239" s="10"/>
      <c r="F239" s="10"/>
      <c r="G239" s="10"/>
      <c r="H239" s="17"/>
      <c r="I239" s="10"/>
      <c r="J239" s="10"/>
      <c r="K239" s="16" t="str">
        <f t="shared" si="70"/>
        <v/>
      </c>
      <c r="L239" s="23" t="str">
        <f t="shared" si="71"/>
        <v/>
      </c>
      <c r="M239" s="22" t="str">
        <f t="shared" si="72"/>
        <v/>
      </c>
      <c r="N239" s="72"/>
      <c r="O239" s="16" t="str">
        <f t="shared" si="73"/>
        <v/>
      </c>
      <c r="P239" s="16" t="str">
        <f t="shared" si="74"/>
        <v/>
      </c>
      <c r="Q239" s="16" t="str">
        <f t="shared" si="75"/>
        <v/>
      </c>
      <c r="R239" s="23" t="str">
        <f t="shared" si="76"/>
        <v/>
      </c>
      <c r="S239" s="23" t="str">
        <f t="shared" si="77"/>
        <v/>
      </c>
      <c r="T239" s="23" t="str">
        <f t="shared" si="78"/>
        <v/>
      </c>
      <c r="U239" s="23" t="str">
        <f t="shared" si="79"/>
        <v/>
      </c>
      <c r="V239" s="23" t="str">
        <f t="shared" si="80"/>
        <v/>
      </c>
      <c r="W239" s="70" t="str">
        <f t="shared" si="81"/>
        <v/>
      </c>
      <c r="X239" s="70" t="str">
        <f t="shared" si="82"/>
        <v/>
      </c>
      <c r="Y239" s="70" t="str">
        <f>IF(AND($A239&lt;&gt;"",$E239&gt;0),isLaptopBag($C239,$J239)*$D239,"")</f>
        <v/>
      </c>
      <c r="Z239" s="70" t="str">
        <f t="shared" si="83"/>
        <v/>
      </c>
      <c r="AA239" s="70" t="str">
        <f t="shared" si="84"/>
        <v/>
      </c>
      <c r="AB239" s="70" t="str">
        <f t="shared" si="85"/>
        <v/>
      </c>
      <c r="AC239" s="70" t="str">
        <f t="shared" si="86"/>
        <v/>
      </c>
      <c r="AD239" s="70" t="str">
        <f t="shared" si="87"/>
        <v/>
      </c>
      <c r="AE239" s="70" t="str">
        <f t="shared" si="88"/>
        <v/>
      </c>
      <c r="AF239" s="16"/>
      <c r="AG239" s="23"/>
      <c r="AH239" s="22"/>
      <c r="AJ239" s="83">
        <f t="shared" si="89"/>
        <v>0</v>
      </c>
      <c r="AO239" s="22" t="str">
        <f t="shared" si="90"/>
        <v/>
      </c>
      <c r="AP239" s="22" t="str">
        <f t="shared" si="91"/>
        <v/>
      </c>
    </row>
    <row r="240" spans="1:42" x14ac:dyDescent="0.25">
      <c r="A240" s="10"/>
      <c r="B240" s="10"/>
      <c r="C240" s="10"/>
      <c r="D240" s="10"/>
      <c r="E240" s="10"/>
      <c r="F240" s="10"/>
      <c r="G240" s="10"/>
      <c r="H240" s="17"/>
      <c r="I240" s="10"/>
      <c r="J240" s="10"/>
      <c r="K240" s="16" t="str">
        <f t="shared" si="70"/>
        <v/>
      </c>
      <c r="L240" s="23" t="str">
        <f t="shared" si="71"/>
        <v/>
      </c>
      <c r="M240" s="22" t="str">
        <f t="shared" si="72"/>
        <v/>
      </c>
      <c r="N240" s="72"/>
      <c r="O240" s="16" t="str">
        <f t="shared" si="73"/>
        <v/>
      </c>
      <c r="P240" s="16" t="str">
        <f t="shared" si="74"/>
        <v/>
      </c>
      <c r="Q240" s="16" t="str">
        <f t="shared" si="75"/>
        <v/>
      </c>
      <c r="R240" s="23" t="str">
        <f t="shared" si="76"/>
        <v/>
      </c>
      <c r="S240" s="23" t="str">
        <f t="shared" si="77"/>
        <v/>
      </c>
      <c r="T240" s="23" t="str">
        <f t="shared" si="78"/>
        <v/>
      </c>
      <c r="U240" s="23" t="str">
        <f t="shared" si="79"/>
        <v/>
      </c>
      <c r="V240" s="23" t="str">
        <f t="shared" si="80"/>
        <v/>
      </c>
      <c r="W240" s="70" t="str">
        <f t="shared" si="81"/>
        <v/>
      </c>
      <c r="X240" s="70" t="str">
        <f t="shared" si="82"/>
        <v/>
      </c>
      <c r="Y240" s="70" t="str">
        <f>IF(AND($A240&lt;&gt;"",$E240&gt;0),isLaptopBag($C240,$J240)*$D240,"")</f>
        <v/>
      </c>
      <c r="Z240" s="70" t="str">
        <f t="shared" si="83"/>
        <v/>
      </c>
      <c r="AA240" s="70" t="str">
        <f t="shared" si="84"/>
        <v/>
      </c>
      <c r="AB240" s="70" t="str">
        <f t="shared" si="85"/>
        <v/>
      </c>
      <c r="AC240" s="70" t="str">
        <f t="shared" si="86"/>
        <v/>
      </c>
      <c r="AD240" s="70" t="str">
        <f t="shared" si="87"/>
        <v/>
      </c>
      <c r="AE240" s="70" t="str">
        <f t="shared" si="88"/>
        <v/>
      </c>
      <c r="AF240" s="16"/>
      <c r="AG240" s="23"/>
      <c r="AH240" s="22"/>
      <c r="AJ240" s="83">
        <f t="shared" si="89"/>
        <v>0</v>
      </c>
      <c r="AO240" s="22" t="str">
        <f t="shared" si="90"/>
        <v/>
      </c>
      <c r="AP240" s="22" t="str">
        <f t="shared" si="91"/>
        <v/>
      </c>
    </row>
    <row r="241" spans="1:42" x14ac:dyDescent="0.25">
      <c r="A241" s="10"/>
      <c r="B241" s="10"/>
      <c r="C241" s="10"/>
      <c r="D241" s="10"/>
      <c r="E241" s="10"/>
      <c r="F241" s="10"/>
      <c r="G241" s="10"/>
      <c r="H241" s="17"/>
      <c r="I241" s="10"/>
      <c r="J241" s="10"/>
      <c r="K241" s="16" t="str">
        <f t="shared" si="70"/>
        <v/>
      </c>
      <c r="L241" s="23" t="str">
        <f t="shared" si="71"/>
        <v/>
      </c>
      <c r="M241" s="22" t="str">
        <f t="shared" si="72"/>
        <v/>
      </c>
      <c r="N241" s="72"/>
      <c r="O241" s="16" t="str">
        <f t="shared" si="73"/>
        <v/>
      </c>
      <c r="P241" s="16" t="str">
        <f t="shared" si="74"/>
        <v/>
      </c>
      <c r="Q241" s="16" t="str">
        <f t="shared" si="75"/>
        <v/>
      </c>
      <c r="R241" s="23" t="str">
        <f t="shared" si="76"/>
        <v/>
      </c>
      <c r="S241" s="23" t="str">
        <f t="shared" si="77"/>
        <v/>
      </c>
      <c r="T241" s="23" t="str">
        <f t="shared" si="78"/>
        <v/>
      </c>
      <c r="U241" s="23" t="str">
        <f t="shared" si="79"/>
        <v/>
      </c>
      <c r="V241" s="23" t="str">
        <f t="shared" si="80"/>
        <v/>
      </c>
      <c r="W241" s="70" t="str">
        <f t="shared" si="81"/>
        <v/>
      </c>
      <c r="X241" s="70" t="str">
        <f t="shared" si="82"/>
        <v/>
      </c>
      <c r="Y241" s="70" t="str">
        <f>IF(AND($A241&lt;&gt;"",$E241&gt;0),isLaptopBag($C241,$J241)*$D241,"")</f>
        <v/>
      </c>
      <c r="Z241" s="70" t="str">
        <f t="shared" si="83"/>
        <v/>
      </c>
      <c r="AA241" s="70" t="str">
        <f t="shared" si="84"/>
        <v/>
      </c>
      <c r="AB241" s="70" t="str">
        <f t="shared" si="85"/>
        <v/>
      </c>
      <c r="AC241" s="70" t="str">
        <f t="shared" si="86"/>
        <v/>
      </c>
      <c r="AD241" s="70" t="str">
        <f t="shared" si="87"/>
        <v/>
      </c>
      <c r="AE241" s="70" t="str">
        <f t="shared" si="88"/>
        <v/>
      </c>
      <c r="AF241" s="16"/>
      <c r="AG241" s="23"/>
      <c r="AH241" s="22"/>
      <c r="AJ241" s="83">
        <f t="shared" si="89"/>
        <v>0</v>
      </c>
      <c r="AO241" s="22" t="str">
        <f t="shared" si="90"/>
        <v/>
      </c>
      <c r="AP241" s="22" t="str">
        <f t="shared" si="91"/>
        <v/>
      </c>
    </row>
    <row r="242" spans="1:42" x14ac:dyDescent="0.25">
      <c r="A242" s="10"/>
      <c r="B242" s="10"/>
      <c r="C242" s="10"/>
      <c r="D242" s="10"/>
      <c r="E242" s="10"/>
      <c r="F242" s="10"/>
      <c r="G242" s="10"/>
      <c r="H242" s="17"/>
      <c r="I242" s="10"/>
      <c r="J242" s="10"/>
      <c r="K242" s="16" t="str">
        <f t="shared" si="70"/>
        <v/>
      </c>
      <c r="L242" s="23" t="str">
        <f t="shared" si="71"/>
        <v/>
      </c>
      <c r="M242" s="22" t="str">
        <f t="shared" si="72"/>
        <v/>
      </c>
      <c r="N242" s="72"/>
      <c r="O242" s="16" t="str">
        <f t="shared" si="73"/>
        <v/>
      </c>
      <c r="P242" s="16" t="str">
        <f t="shared" si="74"/>
        <v/>
      </c>
      <c r="Q242" s="16" t="str">
        <f t="shared" si="75"/>
        <v/>
      </c>
      <c r="R242" s="23" t="str">
        <f t="shared" si="76"/>
        <v/>
      </c>
      <c r="S242" s="23" t="str">
        <f t="shared" si="77"/>
        <v/>
      </c>
      <c r="T242" s="23" t="str">
        <f t="shared" si="78"/>
        <v/>
      </c>
      <c r="U242" s="23" t="str">
        <f t="shared" si="79"/>
        <v/>
      </c>
      <c r="V242" s="23" t="str">
        <f t="shared" si="80"/>
        <v/>
      </c>
      <c r="W242" s="70" t="str">
        <f t="shared" si="81"/>
        <v/>
      </c>
      <c r="X242" s="70" t="str">
        <f t="shared" si="82"/>
        <v/>
      </c>
      <c r="Y242" s="70" t="str">
        <f>IF(AND($A242&lt;&gt;"",$E242&gt;0),isLaptopBag($C242,$J242)*$D242,"")</f>
        <v/>
      </c>
      <c r="Z242" s="70" t="str">
        <f t="shared" si="83"/>
        <v/>
      </c>
      <c r="AA242" s="70" t="str">
        <f t="shared" si="84"/>
        <v/>
      </c>
      <c r="AB242" s="70" t="str">
        <f t="shared" si="85"/>
        <v/>
      </c>
      <c r="AC242" s="70" t="str">
        <f t="shared" si="86"/>
        <v/>
      </c>
      <c r="AD242" s="70" t="str">
        <f t="shared" si="87"/>
        <v/>
      </c>
      <c r="AE242" s="70" t="str">
        <f t="shared" si="88"/>
        <v/>
      </c>
      <c r="AF242" s="16"/>
      <c r="AG242" s="23"/>
      <c r="AH242" s="22"/>
      <c r="AJ242" s="83">
        <f t="shared" si="89"/>
        <v>0</v>
      </c>
      <c r="AO242" s="22" t="str">
        <f t="shared" si="90"/>
        <v/>
      </c>
      <c r="AP242" s="22" t="str">
        <f t="shared" si="91"/>
        <v/>
      </c>
    </row>
    <row r="243" spans="1:42" x14ac:dyDescent="0.25">
      <c r="A243" s="10"/>
      <c r="B243" s="10"/>
      <c r="C243" s="10"/>
      <c r="D243" s="10"/>
      <c r="E243" s="10"/>
      <c r="F243" s="10"/>
      <c r="G243" s="10"/>
      <c r="H243" s="17"/>
      <c r="I243" s="10"/>
      <c r="J243" s="10"/>
      <c r="K243" s="16" t="str">
        <f t="shared" si="70"/>
        <v/>
      </c>
      <c r="L243" s="23" t="str">
        <f t="shared" si="71"/>
        <v/>
      </c>
      <c r="M243" s="22" t="str">
        <f t="shared" si="72"/>
        <v/>
      </c>
      <c r="N243" s="72"/>
      <c r="O243" s="16" t="str">
        <f t="shared" si="73"/>
        <v/>
      </c>
      <c r="P243" s="16" t="str">
        <f t="shared" si="74"/>
        <v/>
      </c>
      <c r="Q243" s="16" t="str">
        <f t="shared" si="75"/>
        <v/>
      </c>
      <c r="R243" s="23" t="str">
        <f t="shared" si="76"/>
        <v/>
      </c>
      <c r="S243" s="23" t="str">
        <f t="shared" si="77"/>
        <v/>
      </c>
      <c r="T243" s="23" t="str">
        <f t="shared" si="78"/>
        <v/>
      </c>
      <c r="U243" s="23" t="str">
        <f t="shared" si="79"/>
        <v/>
      </c>
      <c r="V243" s="23" t="str">
        <f t="shared" si="80"/>
        <v/>
      </c>
      <c r="W243" s="70" t="str">
        <f t="shared" si="81"/>
        <v/>
      </c>
      <c r="X243" s="70" t="str">
        <f t="shared" si="82"/>
        <v/>
      </c>
      <c r="Y243" s="70" t="str">
        <f>IF(AND($A243&lt;&gt;"",$E243&gt;0),isLaptopBag($C243,$J243)*$D243,"")</f>
        <v/>
      </c>
      <c r="Z243" s="70" t="str">
        <f t="shared" si="83"/>
        <v/>
      </c>
      <c r="AA243" s="70" t="str">
        <f t="shared" si="84"/>
        <v/>
      </c>
      <c r="AB243" s="70" t="str">
        <f t="shared" si="85"/>
        <v/>
      </c>
      <c r="AC243" s="70" t="str">
        <f t="shared" si="86"/>
        <v/>
      </c>
      <c r="AD243" s="70" t="str">
        <f t="shared" si="87"/>
        <v/>
      </c>
      <c r="AE243" s="70" t="str">
        <f t="shared" si="88"/>
        <v/>
      </c>
      <c r="AF243" s="16"/>
      <c r="AG243" s="23"/>
      <c r="AH243" s="22"/>
      <c r="AJ243" s="83">
        <f t="shared" si="89"/>
        <v>0</v>
      </c>
      <c r="AO243" s="22" t="str">
        <f t="shared" si="90"/>
        <v/>
      </c>
      <c r="AP243" s="22" t="str">
        <f t="shared" si="91"/>
        <v/>
      </c>
    </row>
    <row r="244" spans="1:42" x14ac:dyDescent="0.25">
      <c r="A244" s="10"/>
      <c r="B244" s="10"/>
      <c r="C244" s="10"/>
      <c r="D244" s="10"/>
      <c r="E244" s="10"/>
      <c r="F244" s="10"/>
      <c r="G244" s="10"/>
      <c r="H244" s="17"/>
      <c r="I244" s="10"/>
      <c r="J244" s="10"/>
      <c r="K244" s="16" t="str">
        <f t="shared" si="70"/>
        <v/>
      </c>
      <c r="L244" s="23" t="str">
        <f t="shared" si="71"/>
        <v/>
      </c>
      <c r="M244" s="22" t="str">
        <f t="shared" si="72"/>
        <v/>
      </c>
      <c r="N244" s="72"/>
      <c r="O244" s="16" t="str">
        <f t="shared" si="73"/>
        <v/>
      </c>
      <c r="P244" s="16" t="str">
        <f t="shared" si="74"/>
        <v/>
      </c>
      <c r="Q244" s="16" t="str">
        <f t="shared" si="75"/>
        <v/>
      </c>
      <c r="R244" s="23" t="str">
        <f t="shared" si="76"/>
        <v/>
      </c>
      <c r="S244" s="23" t="str">
        <f t="shared" si="77"/>
        <v/>
      </c>
      <c r="T244" s="23" t="str">
        <f t="shared" si="78"/>
        <v/>
      </c>
      <c r="U244" s="23" t="str">
        <f t="shared" si="79"/>
        <v/>
      </c>
      <c r="V244" s="23" t="str">
        <f t="shared" si="80"/>
        <v/>
      </c>
      <c r="W244" s="70" t="str">
        <f t="shared" si="81"/>
        <v/>
      </c>
      <c r="X244" s="70" t="str">
        <f t="shared" si="82"/>
        <v/>
      </c>
      <c r="Y244" s="70" t="str">
        <f>IF(AND($A244&lt;&gt;"",$E244&gt;0),isLaptopBag($C244,$J244)*$D244,"")</f>
        <v/>
      </c>
      <c r="Z244" s="70" t="str">
        <f t="shared" si="83"/>
        <v/>
      </c>
      <c r="AA244" s="70" t="str">
        <f t="shared" si="84"/>
        <v/>
      </c>
      <c r="AB244" s="70" t="str">
        <f t="shared" si="85"/>
        <v/>
      </c>
      <c r="AC244" s="70" t="str">
        <f t="shared" si="86"/>
        <v/>
      </c>
      <c r="AD244" s="70" t="str">
        <f t="shared" si="87"/>
        <v/>
      </c>
      <c r="AE244" s="70" t="str">
        <f t="shared" si="88"/>
        <v/>
      </c>
      <c r="AF244" s="16"/>
      <c r="AG244" s="23"/>
      <c r="AH244" s="22"/>
      <c r="AJ244" s="83">
        <f t="shared" si="89"/>
        <v>0</v>
      </c>
      <c r="AO244" s="22" t="str">
        <f t="shared" si="90"/>
        <v/>
      </c>
      <c r="AP244" s="22" t="str">
        <f t="shared" si="91"/>
        <v/>
      </c>
    </row>
    <row r="245" spans="1:42" x14ac:dyDescent="0.25">
      <c r="A245" s="10"/>
      <c r="B245" s="10"/>
      <c r="C245" s="10"/>
      <c r="D245" s="10"/>
      <c r="E245" s="10"/>
      <c r="F245" s="10"/>
      <c r="G245" s="10"/>
      <c r="H245" s="17"/>
      <c r="I245" s="10"/>
      <c r="J245" s="10"/>
      <c r="K245" s="16" t="str">
        <f t="shared" si="70"/>
        <v/>
      </c>
      <c r="L245" s="23" t="str">
        <f t="shared" si="71"/>
        <v/>
      </c>
      <c r="M245" s="22" t="str">
        <f t="shared" si="72"/>
        <v/>
      </c>
      <c r="N245" s="72"/>
      <c r="O245" s="16" t="str">
        <f t="shared" si="73"/>
        <v/>
      </c>
      <c r="P245" s="16" t="str">
        <f t="shared" si="74"/>
        <v/>
      </c>
      <c r="Q245" s="16" t="str">
        <f t="shared" si="75"/>
        <v/>
      </c>
      <c r="R245" s="23" t="str">
        <f t="shared" si="76"/>
        <v/>
      </c>
      <c r="S245" s="23" t="str">
        <f t="shared" si="77"/>
        <v/>
      </c>
      <c r="T245" s="23" t="str">
        <f t="shared" si="78"/>
        <v/>
      </c>
      <c r="U245" s="23" t="str">
        <f t="shared" si="79"/>
        <v/>
      </c>
      <c r="V245" s="23" t="str">
        <f t="shared" si="80"/>
        <v/>
      </c>
      <c r="W245" s="70" t="str">
        <f t="shared" si="81"/>
        <v/>
      </c>
      <c r="X245" s="70" t="str">
        <f t="shared" si="82"/>
        <v/>
      </c>
      <c r="Y245" s="70" t="str">
        <f>IF(AND($A245&lt;&gt;"",$E245&gt;0),isLaptopBag($C245,$J245)*$D245,"")</f>
        <v/>
      </c>
      <c r="Z245" s="70" t="str">
        <f t="shared" si="83"/>
        <v/>
      </c>
      <c r="AA245" s="70" t="str">
        <f t="shared" si="84"/>
        <v/>
      </c>
      <c r="AB245" s="70" t="str">
        <f t="shared" si="85"/>
        <v/>
      </c>
      <c r="AC245" s="70" t="str">
        <f t="shared" si="86"/>
        <v/>
      </c>
      <c r="AD245" s="70" t="str">
        <f t="shared" si="87"/>
        <v/>
      </c>
      <c r="AE245" s="70" t="str">
        <f t="shared" si="88"/>
        <v/>
      </c>
      <c r="AF245" s="16"/>
      <c r="AG245" s="23"/>
      <c r="AH245" s="22"/>
      <c r="AJ245" s="83">
        <f t="shared" si="89"/>
        <v>0</v>
      </c>
      <c r="AO245" s="22" t="str">
        <f t="shared" si="90"/>
        <v/>
      </c>
      <c r="AP245" s="22" t="str">
        <f t="shared" si="91"/>
        <v/>
      </c>
    </row>
    <row r="246" spans="1:42" x14ac:dyDescent="0.25">
      <c r="A246" s="10"/>
      <c r="B246" s="10"/>
      <c r="C246" s="10"/>
      <c r="D246" s="10"/>
      <c r="E246" s="10"/>
      <c r="F246" s="10"/>
      <c r="G246" s="10"/>
      <c r="H246" s="17"/>
      <c r="I246" s="10"/>
      <c r="J246" s="10"/>
      <c r="K246" s="16" t="str">
        <f t="shared" si="70"/>
        <v/>
      </c>
      <c r="L246" s="23" t="str">
        <f t="shared" si="71"/>
        <v/>
      </c>
      <c r="M246" s="22" t="str">
        <f t="shared" si="72"/>
        <v/>
      </c>
      <c r="N246" s="72"/>
      <c r="O246" s="16" t="str">
        <f t="shared" si="73"/>
        <v/>
      </c>
      <c r="P246" s="16" t="str">
        <f t="shared" si="74"/>
        <v/>
      </c>
      <c r="Q246" s="16" t="str">
        <f t="shared" si="75"/>
        <v/>
      </c>
      <c r="R246" s="23" t="str">
        <f t="shared" si="76"/>
        <v/>
      </c>
      <c r="S246" s="23" t="str">
        <f t="shared" si="77"/>
        <v/>
      </c>
      <c r="T246" s="23" t="str">
        <f t="shared" si="78"/>
        <v/>
      </c>
      <c r="U246" s="23" t="str">
        <f t="shared" si="79"/>
        <v/>
      </c>
      <c r="V246" s="23" t="str">
        <f t="shared" si="80"/>
        <v/>
      </c>
      <c r="W246" s="70" t="str">
        <f t="shared" si="81"/>
        <v/>
      </c>
      <c r="X246" s="70" t="str">
        <f t="shared" si="82"/>
        <v/>
      </c>
      <c r="Y246" s="70" t="str">
        <f>IF(AND($A246&lt;&gt;"",$E246&gt;0),isLaptopBag($C246,$J246)*$D246,"")</f>
        <v/>
      </c>
      <c r="Z246" s="70" t="str">
        <f t="shared" si="83"/>
        <v/>
      </c>
      <c r="AA246" s="70" t="str">
        <f t="shared" si="84"/>
        <v/>
      </c>
      <c r="AB246" s="70" t="str">
        <f t="shared" si="85"/>
        <v/>
      </c>
      <c r="AC246" s="70" t="str">
        <f t="shared" si="86"/>
        <v/>
      </c>
      <c r="AD246" s="70" t="str">
        <f t="shared" si="87"/>
        <v/>
      </c>
      <c r="AE246" s="70" t="str">
        <f t="shared" si="88"/>
        <v/>
      </c>
      <c r="AF246" s="16"/>
      <c r="AG246" s="23"/>
      <c r="AH246" s="22"/>
      <c r="AJ246" s="83">
        <f t="shared" si="89"/>
        <v>0</v>
      </c>
      <c r="AO246" s="22" t="str">
        <f t="shared" si="90"/>
        <v/>
      </c>
      <c r="AP246" s="22" t="str">
        <f t="shared" si="91"/>
        <v/>
      </c>
    </row>
    <row r="247" spans="1:42" x14ac:dyDescent="0.25">
      <c r="A247" s="10"/>
      <c r="B247" s="10"/>
      <c r="C247" s="10"/>
      <c r="D247" s="10"/>
      <c r="E247" s="10"/>
      <c r="F247" s="10"/>
      <c r="G247" s="10"/>
      <c r="H247" s="17"/>
      <c r="I247" s="10"/>
      <c r="J247" s="10"/>
      <c r="K247" s="16" t="str">
        <f t="shared" si="70"/>
        <v/>
      </c>
      <c r="L247" s="23" t="str">
        <f t="shared" si="71"/>
        <v/>
      </c>
      <c r="M247" s="22" t="str">
        <f t="shared" si="72"/>
        <v/>
      </c>
      <c r="N247" s="72"/>
      <c r="O247" s="16" t="str">
        <f t="shared" si="73"/>
        <v/>
      </c>
      <c r="P247" s="16" t="str">
        <f t="shared" si="74"/>
        <v/>
      </c>
      <c r="Q247" s="16" t="str">
        <f t="shared" si="75"/>
        <v/>
      </c>
      <c r="R247" s="23" t="str">
        <f t="shared" si="76"/>
        <v/>
      </c>
      <c r="S247" s="23" t="str">
        <f t="shared" si="77"/>
        <v/>
      </c>
      <c r="T247" s="23" t="str">
        <f t="shared" si="78"/>
        <v/>
      </c>
      <c r="U247" s="23" t="str">
        <f t="shared" si="79"/>
        <v/>
      </c>
      <c r="V247" s="23" t="str">
        <f t="shared" si="80"/>
        <v/>
      </c>
      <c r="W247" s="70" t="str">
        <f t="shared" si="81"/>
        <v/>
      </c>
      <c r="X247" s="70" t="str">
        <f t="shared" si="82"/>
        <v/>
      </c>
      <c r="Y247" s="70" t="str">
        <f>IF(AND($A247&lt;&gt;"",$E247&gt;0),isLaptopBag($C247,$J247)*$D247,"")</f>
        <v/>
      </c>
      <c r="Z247" s="70" t="str">
        <f t="shared" si="83"/>
        <v/>
      </c>
      <c r="AA247" s="70" t="str">
        <f t="shared" si="84"/>
        <v/>
      </c>
      <c r="AB247" s="70" t="str">
        <f t="shared" si="85"/>
        <v/>
      </c>
      <c r="AC247" s="70" t="str">
        <f t="shared" si="86"/>
        <v/>
      </c>
      <c r="AD247" s="70" t="str">
        <f t="shared" si="87"/>
        <v/>
      </c>
      <c r="AE247" s="70" t="str">
        <f t="shared" si="88"/>
        <v/>
      </c>
      <c r="AF247" s="16"/>
      <c r="AG247" s="23"/>
      <c r="AH247" s="22"/>
      <c r="AJ247" s="83">
        <f t="shared" si="89"/>
        <v>0</v>
      </c>
      <c r="AO247" s="22" t="str">
        <f t="shared" si="90"/>
        <v/>
      </c>
      <c r="AP247" s="22" t="str">
        <f t="shared" si="91"/>
        <v/>
      </c>
    </row>
    <row r="248" spans="1:42" x14ac:dyDescent="0.25">
      <c r="A248" s="10"/>
      <c r="B248" s="10"/>
      <c r="C248" s="10"/>
      <c r="D248" s="10"/>
      <c r="E248" s="10"/>
      <c r="F248" s="10"/>
      <c r="G248" s="10"/>
      <c r="H248" s="17"/>
      <c r="I248" s="10"/>
      <c r="J248" s="10"/>
      <c r="K248" s="16" t="str">
        <f t="shared" si="70"/>
        <v/>
      </c>
      <c r="L248" s="23" t="str">
        <f t="shared" si="71"/>
        <v/>
      </c>
      <c r="M248" s="22" t="str">
        <f t="shared" si="72"/>
        <v/>
      </c>
      <c r="N248" s="72"/>
      <c r="O248" s="16" t="str">
        <f t="shared" si="73"/>
        <v/>
      </c>
      <c r="P248" s="16" t="str">
        <f t="shared" si="74"/>
        <v/>
      </c>
      <c r="Q248" s="16" t="str">
        <f t="shared" si="75"/>
        <v/>
      </c>
      <c r="R248" s="23" t="str">
        <f t="shared" si="76"/>
        <v/>
      </c>
      <c r="S248" s="23" t="str">
        <f t="shared" si="77"/>
        <v/>
      </c>
      <c r="T248" s="23" t="str">
        <f t="shared" si="78"/>
        <v/>
      </c>
      <c r="U248" s="23" t="str">
        <f t="shared" si="79"/>
        <v/>
      </c>
      <c r="V248" s="23" t="str">
        <f t="shared" si="80"/>
        <v/>
      </c>
      <c r="W248" s="70" t="str">
        <f t="shared" si="81"/>
        <v/>
      </c>
      <c r="X248" s="70" t="str">
        <f t="shared" si="82"/>
        <v/>
      </c>
      <c r="Y248" s="70" t="str">
        <f>IF(AND($A248&lt;&gt;"",$E248&gt;0),isLaptopBag($C248,$J248)*$D248,"")</f>
        <v/>
      </c>
      <c r="Z248" s="70" t="str">
        <f t="shared" si="83"/>
        <v/>
      </c>
      <c r="AA248" s="70" t="str">
        <f t="shared" si="84"/>
        <v/>
      </c>
      <c r="AB248" s="70" t="str">
        <f t="shared" si="85"/>
        <v/>
      </c>
      <c r="AC248" s="70" t="str">
        <f t="shared" si="86"/>
        <v/>
      </c>
      <c r="AD248" s="70" t="str">
        <f t="shared" si="87"/>
        <v/>
      </c>
      <c r="AE248" s="70" t="str">
        <f t="shared" si="88"/>
        <v/>
      </c>
      <c r="AF248" s="16"/>
      <c r="AG248" s="23"/>
      <c r="AH248" s="22"/>
      <c r="AJ248" s="83">
        <f t="shared" si="89"/>
        <v>0</v>
      </c>
      <c r="AO248" s="22" t="str">
        <f t="shared" si="90"/>
        <v/>
      </c>
      <c r="AP248" s="22" t="str">
        <f t="shared" si="91"/>
        <v/>
      </c>
    </row>
    <row r="249" spans="1:42" x14ac:dyDescent="0.25">
      <c r="A249" s="10"/>
      <c r="B249" s="10"/>
      <c r="C249" s="10"/>
      <c r="D249" s="10"/>
      <c r="E249" s="10"/>
      <c r="F249" s="10"/>
      <c r="G249" s="10"/>
      <c r="H249" s="17"/>
      <c r="I249" s="10"/>
      <c r="J249" s="10"/>
      <c r="K249" s="16" t="str">
        <f t="shared" si="70"/>
        <v/>
      </c>
      <c r="L249" s="23" t="str">
        <f t="shared" si="71"/>
        <v/>
      </c>
      <c r="M249" s="22" t="str">
        <f t="shared" si="72"/>
        <v/>
      </c>
      <c r="N249" s="72"/>
      <c r="O249" s="16" t="str">
        <f t="shared" si="73"/>
        <v/>
      </c>
      <c r="P249" s="16" t="str">
        <f t="shared" si="74"/>
        <v/>
      </c>
      <c r="Q249" s="16" t="str">
        <f t="shared" si="75"/>
        <v/>
      </c>
      <c r="R249" s="23" t="str">
        <f t="shared" si="76"/>
        <v/>
      </c>
      <c r="S249" s="23" t="str">
        <f t="shared" si="77"/>
        <v/>
      </c>
      <c r="T249" s="23" t="str">
        <f t="shared" si="78"/>
        <v/>
      </c>
      <c r="U249" s="23" t="str">
        <f t="shared" si="79"/>
        <v/>
      </c>
      <c r="V249" s="23" t="str">
        <f t="shared" si="80"/>
        <v/>
      </c>
      <c r="W249" s="70" t="str">
        <f t="shared" si="81"/>
        <v/>
      </c>
      <c r="X249" s="70" t="str">
        <f t="shared" si="82"/>
        <v/>
      </c>
      <c r="Y249" s="70" t="str">
        <f>IF(AND($A249&lt;&gt;"",$E249&gt;0),isLaptopBag($C249,$J249)*$D249,"")</f>
        <v/>
      </c>
      <c r="Z249" s="70" t="str">
        <f t="shared" si="83"/>
        <v/>
      </c>
      <c r="AA249" s="70" t="str">
        <f t="shared" si="84"/>
        <v/>
      </c>
      <c r="AB249" s="70" t="str">
        <f t="shared" si="85"/>
        <v/>
      </c>
      <c r="AC249" s="70" t="str">
        <f t="shared" si="86"/>
        <v/>
      </c>
      <c r="AD249" s="70" t="str">
        <f t="shared" si="87"/>
        <v/>
      </c>
      <c r="AE249" s="70" t="str">
        <f t="shared" si="88"/>
        <v/>
      </c>
      <c r="AF249" s="16"/>
      <c r="AG249" s="23"/>
      <c r="AH249" s="22"/>
      <c r="AJ249" s="83">
        <f t="shared" si="89"/>
        <v>0</v>
      </c>
      <c r="AO249" s="22" t="str">
        <f t="shared" si="90"/>
        <v/>
      </c>
      <c r="AP249" s="22" t="str">
        <f t="shared" si="91"/>
        <v/>
      </c>
    </row>
    <row r="250" spans="1:42" x14ac:dyDescent="0.25">
      <c r="A250" s="10"/>
      <c r="B250" s="10"/>
      <c r="C250" s="10"/>
      <c r="D250" s="10"/>
      <c r="E250" s="10"/>
      <c r="F250" s="10"/>
      <c r="G250" s="10"/>
      <c r="H250" s="17"/>
      <c r="I250" s="10"/>
      <c r="J250" s="10"/>
      <c r="K250" s="16" t="str">
        <f t="shared" si="70"/>
        <v/>
      </c>
      <c r="L250" s="23" t="str">
        <f t="shared" si="71"/>
        <v/>
      </c>
      <c r="M250" s="22" t="str">
        <f t="shared" si="72"/>
        <v/>
      </c>
      <c r="N250" s="72"/>
      <c r="O250" s="16" t="str">
        <f t="shared" si="73"/>
        <v/>
      </c>
      <c r="P250" s="16" t="str">
        <f t="shared" si="74"/>
        <v/>
      </c>
      <c r="Q250" s="16" t="str">
        <f t="shared" si="75"/>
        <v/>
      </c>
      <c r="R250" s="23" t="str">
        <f t="shared" si="76"/>
        <v/>
      </c>
      <c r="S250" s="23" t="str">
        <f t="shared" si="77"/>
        <v/>
      </c>
      <c r="T250" s="23" t="str">
        <f t="shared" si="78"/>
        <v/>
      </c>
      <c r="U250" s="23" t="str">
        <f t="shared" si="79"/>
        <v/>
      </c>
      <c r="V250" s="23" t="str">
        <f t="shared" si="80"/>
        <v/>
      </c>
      <c r="W250" s="70" t="str">
        <f t="shared" si="81"/>
        <v/>
      </c>
      <c r="X250" s="70" t="str">
        <f t="shared" si="82"/>
        <v/>
      </c>
      <c r="Y250" s="70" t="str">
        <f>IF(AND($A250&lt;&gt;"",$E250&gt;0),isLaptopBag($C250,$J250)*$D250,"")</f>
        <v/>
      </c>
      <c r="Z250" s="70" t="str">
        <f t="shared" si="83"/>
        <v/>
      </c>
      <c r="AA250" s="70" t="str">
        <f t="shared" si="84"/>
        <v/>
      </c>
      <c r="AB250" s="70" t="str">
        <f t="shared" si="85"/>
        <v/>
      </c>
      <c r="AC250" s="70" t="str">
        <f t="shared" si="86"/>
        <v/>
      </c>
      <c r="AD250" s="70" t="str">
        <f t="shared" si="87"/>
        <v/>
      </c>
      <c r="AE250" s="70" t="str">
        <f t="shared" si="88"/>
        <v/>
      </c>
      <c r="AF250" s="16"/>
      <c r="AG250" s="23"/>
      <c r="AH250" s="22"/>
      <c r="AJ250" s="83">
        <f t="shared" si="89"/>
        <v>0</v>
      </c>
      <c r="AO250" s="22" t="str">
        <f t="shared" si="90"/>
        <v/>
      </c>
      <c r="AP250" s="22" t="str">
        <f t="shared" si="91"/>
        <v/>
      </c>
    </row>
    <row r="251" spans="1:42" x14ac:dyDescent="0.25">
      <c r="A251" s="10"/>
      <c r="B251" s="10"/>
      <c r="C251" s="10"/>
      <c r="D251" s="10"/>
      <c r="E251" s="10"/>
      <c r="F251" s="10"/>
      <c r="G251" s="10"/>
      <c r="H251" s="17"/>
      <c r="I251" s="10"/>
      <c r="J251" s="10"/>
      <c r="K251" s="16" t="str">
        <f t="shared" si="70"/>
        <v/>
      </c>
      <c r="L251" s="23" t="str">
        <f t="shared" si="71"/>
        <v/>
      </c>
      <c r="M251" s="22" t="str">
        <f t="shared" si="72"/>
        <v/>
      </c>
      <c r="N251" s="72"/>
      <c r="O251" s="16" t="str">
        <f t="shared" si="73"/>
        <v/>
      </c>
      <c r="P251" s="16" t="str">
        <f t="shared" si="74"/>
        <v/>
      </c>
      <c r="Q251" s="16" t="str">
        <f t="shared" si="75"/>
        <v/>
      </c>
      <c r="R251" s="23" t="str">
        <f t="shared" si="76"/>
        <v/>
      </c>
      <c r="S251" s="23" t="str">
        <f t="shared" si="77"/>
        <v/>
      </c>
      <c r="T251" s="23" t="str">
        <f t="shared" si="78"/>
        <v/>
      </c>
      <c r="U251" s="23" t="str">
        <f t="shared" si="79"/>
        <v/>
      </c>
      <c r="V251" s="23" t="str">
        <f t="shared" si="80"/>
        <v/>
      </c>
      <c r="W251" s="70" t="str">
        <f t="shared" si="81"/>
        <v/>
      </c>
      <c r="X251" s="70" t="str">
        <f t="shared" si="82"/>
        <v/>
      </c>
      <c r="Y251" s="70" t="str">
        <f>IF(AND($A251&lt;&gt;"",$E251&gt;0),isLaptopBag($C251,$J251)*$D251,"")</f>
        <v/>
      </c>
      <c r="Z251" s="70" t="str">
        <f t="shared" si="83"/>
        <v/>
      </c>
      <c r="AA251" s="70" t="str">
        <f t="shared" si="84"/>
        <v/>
      </c>
      <c r="AB251" s="70" t="str">
        <f t="shared" si="85"/>
        <v/>
      </c>
      <c r="AC251" s="70" t="str">
        <f t="shared" si="86"/>
        <v/>
      </c>
      <c r="AD251" s="70" t="str">
        <f t="shared" si="87"/>
        <v/>
      </c>
      <c r="AE251" s="70" t="str">
        <f t="shared" si="88"/>
        <v/>
      </c>
      <c r="AF251" s="16"/>
      <c r="AG251" s="23"/>
      <c r="AH251" s="22"/>
      <c r="AJ251" s="83">
        <f t="shared" si="89"/>
        <v>0</v>
      </c>
      <c r="AO251" s="22" t="str">
        <f t="shared" si="90"/>
        <v/>
      </c>
      <c r="AP251" s="22" t="str">
        <f t="shared" si="91"/>
        <v/>
      </c>
    </row>
    <row r="252" spans="1:42" x14ac:dyDescent="0.25">
      <c r="A252" s="10"/>
      <c r="B252" s="10"/>
      <c r="C252" s="10"/>
      <c r="D252" s="10"/>
      <c r="E252" s="10"/>
      <c r="F252" s="10"/>
      <c r="G252" s="10"/>
      <c r="H252" s="17"/>
      <c r="I252" s="10"/>
      <c r="J252" s="10"/>
      <c r="K252" s="16" t="str">
        <f t="shared" si="70"/>
        <v/>
      </c>
      <c r="L252" s="23" t="str">
        <f t="shared" si="71"/>
        <v/>
      </c>
      <c r="M252" s="22" t="str">
        <f t="shared" si="72"/>
        <v/>
      </c>
      <c r="N252" s="72"/>
      <c r="O252" s="16" t="str">
        <f t="shared" si="73"/>
        <v/>
      </c>
      <c r="P252" s="16" t="str">
        <f t="shared" si="74"/>
        <v/>
      </c>
      <c r="Q252" s="16" t="str">
        <f t="shared" si="75"/>
        <v/>
      </c>
      <c r="R252" s="23" t="str">
        <f t="shared" si="76"/>
        <v/>
      </c>
      <c r="S252" s="23" t="str">
        <f t="shared" si="77"/>
        <v/>
      </c>
      <c r="T252" s="23" t="str">
        <f t="shared" si="78"/>
        <v/>
      </c>
      <c r="U252" s="23" t="str">
        <f t="shared" si="79"/>
        <v/>
      </c>
      <c r="V252" s="23" t="str">
        <f t="shared" si="80"/>
        <v/>
      </c>
      <c r="W252" s="70" t="str">
        <f t="shared" si="81"/>
        <v/>
      </c>
      <c r="X252" s="70" t="str">
        <f t="shared" si="82"/>
        <v/>
      </c>
      <c r="Y252" s="70" t="str">
        <f>IF(AND($A252&lt;&gt;"",$E252&gt;0),isLaptopBag($C252,$J252)*$D252,"")</f>
        <v/>
      </c>
      <c r="Z252" s="70" t="str">
        <f t="shared" si="83"/>
        <v/>
      </c>
      <c r="AA252" s="70" t="str">
        <f t="shared" si="84"/>
        <v/>
      </c>
      <c r="AB252" s="70" t="str">
        <f t="shared" si="85"/>
        <v/>
      </c>
      <c r="AC252" s="70" t="str">
        <f t="shared" si="86"/>
        <v/>
      </c>
      <c r="AD252" s="70" t="str">
        <f t="shared" si="87"/>
        <v/>
      </c>
      <c r="AE252" s="70" t="str">
        <f t="shared" si="88"/>
        <v/>
      </c>
      <c r="AF252" s="16"/>
      <c r="AG252" s="23"/>
      <c r="AH252" s="22"/>
      <c r="AJ252" s="83">
        <f t="shared" si="89"/>
        <v>0</v>
      </c>
      <c r="AO252" s="22" t="str">
        <f t="shared" si="90"/>
        <v/>
      </c>
      <c r="AP252" s="22" t="str">
        <f t="shared" si="91"/>
        <v/>
      </c>
    </row>
    <row r="253" spans="1:42" x14ac:dyDescent="0.25">
      <c r="A253" s="10"/>
      <c r="B253" s="10"/>
      <c r="C253" s="10"/>
      <c r="D253" s="10"/>
      <c r="E253" s="10"/>
      <c r="F253" s="10"/>
      <c r="G253" s="10"/>
      <c r="H253" s="17"/>
      <c r="I253" s="10"/>
      <c r="J253" s="10"/>
      <c r="K253" s="16" t="str">
        <f t="shared" si="70"/>
        <v/>
      </c>
      <c r="L253" s="23" t="str">
        <f t="shared" si="71"/>
        <v/>
      </c>
      <c r="M253" s="22" t="str">
        <f t="shared" si="72"/>
        <v/>
      </c>
      <c r="N253" s="72"/>
      <c r="O253" s="16" t="str">
        <f t="shared" si="73"/>
        <v/>
      </c>
      <c r="P253" s="16" t="str">
        <f t="shared" si="74"/>
        <v/>
      </c>
      <c r="Q253" s="16" t="str">
        <f t="shared" si="75"/>
        <v/>
      </c>
      <c r="R253" s="23" t="str">
        <f t="shared" si="76"/>
        <v/>
      </c>
      <c r="S253" s="23" t="str">
        <f t="shared" si="77"/>
        <v/>
      </c>
      <c r="T253" s="23" t="str">
        <f t="shared" si="78"/>
        <v/>
      </c>
      <c r="U253" s="23" t="str">
        <f t="shared" si="79"/>
        <v/>
      </c>
      <c r="V253" s="23" t="str">
        <f t="shared" si="80"/>
        <v/>
      </c>
      <c r="W253" s="70" t="str">
        <f t="shared" si="81"/>
        <v/>
      </c>
      <c r="X253" s="70" t="str">
        <f t="shared" si="82"/>
        <v/>
      </c>
      <c r="Y253" s="70" t="str">
        <f>IF(AND($A253&lt;&gt;"",$E253&gt;0),isLaptopBag($C253,$J253)*$D253,"")</f>
        <v/>
      </c>
      <c r="Z253" s="70" t="str">
        <f t="shared" si="83"/>
        <v/>
      </c>
      <c r="AA253" s="70" t="str">
        <f t="shared" si="84"/>
        <v/>
      </c>
      <c r="AB253" s="70" t="str">
        <f t="shared" si="85"/>
        <v/>
      </c>
      <c r="AC253" s="70" t="str">
        <f t="shared" si="86"/>
        <v/>
      </c>
      <c r="AD253" s="70" t="str">
        <f t="shared" si="87"/>
        <v/>
      </c>
      <c r="AE253" s="70" t="str">
        <f t="shared" si="88"/>
        <v/>
      </c>
      <c r="AF253" s="16"/>
      <c r="AG253" s="23"/>
      <c r="AH253" s="22"/>
      <c r="AJ253" s="83">
        <f t="shared" si="89"/>
        <v>0</v>
      </c>
      <c r="AO253" s="22" t="str">
        <f t="shared" si="90"/>
        <v/>
      </c>
      <c r="AP253" s="22" t="str">
        <f t="shared" si="91"/>
        <v/>
      </c>
    </row>
    <row r="254" spans="1:42" x14ac:dyDescent="0.25">
      <c r="A254" s="10"/>
      <c r="B254" s="10"/>
      <c r="C254" s="10"/>
      <c r="D254" s="10"/>
      <c r="E254" s="10"/>
      <c r="F254" s="10"/>
      <c r="G254" s="10"/>
      <c r="H254" s="17"/>
      <c r="I254" s="10"/>
      <c r="J254" s="10"/>
      <c r="K254" s="16" t="str">
        <f t="shared" si="70"/>
        <v/>
      </c>
      <c r="L254" s="23" t="str">
        <f t="shared" si="71"/>
        <v/>
      </c>
      <c r="M254" s="22" t="str">
        <f t="shared" si="72"/>
        <v/>
      </c>
      <c r="N254" s="72"/>
      <c r="O254" s="16" t="str">
        <f t="shared" si="73"/>
        <v/>
      </c>
      <c r="P254" s="16" t="str">
        <f t="shared" si="74"/>
        <v/>
      </c>
      <c r="Q254" s="16" t="str">
        <f t="shared" si="75"/>
        <v/>
      </c>
      <c r="R254" s="23" t="str">
        <f t="shared" si="76"/>
        <v/>
      </c>
      <c r="S254" s="23" t="str">
        <f t="shared" si="77"/>
        <v/>
      </c>
      <c r="T254" s="23" t="str">
        <f t="shared" si="78"/>
        <v/>
      </c>
      <c r="U254" s="23" t="str">
        <f t="shared" si="79"/>
        <v/>
      </c>
      <c r="V254" s="23" t="str">
        <f t="shared" si="80"/>
        <v/>
      </c>
      <c r="W254" s="70" t="str">
        <f t="shared" si="81"/>
        <v/>
      </c>
      <c r="X254" s="70" t="str">
        <f t="shared" si="82"/>
        <v/>
      </c>
      <c r="Y254" s="70" t="str">
        <f>IF(AND($A254&lt;&gt;"",$E254&gt;0),isLaptopBag($C254,$J254)*$D254,"")</f>
        <v/>
      </c>
      <c r="Z254" s="70" t="str">
        <f t="shared" si="83"/>
        <v/>
      </c>
      <c r="AA254" s="70" t="str">
        <f t="shared" si="84"/>
        <v/>
      </c>
      <c r="AB254" s="70" t="str">
        <f t="shared" si="85"/>
        <v/>
      </c>
      <c r="AC254" s="70" t="str">
        <f t="shared" si="86"/>
        <v/>
      </c>
      <c r="AD254" s="70" t="str">
        <f t="shared" si="87"/>
        <v/>
      </c>
      <c r="AE254" s="70" t="str">
        <f t="shared" si="88"/>
        <v/>
      </c>
      <c r="AF254" s="16"/>
      <c r="AG254" s="23"/>
      <c r="AH254" s="22"/>
      <c r="AJ254" s="83">
        <f t="shared" si="89"/>
        <v>0</v>
      </c>
      <c r="AO254" s="22" t="str">
        <f t="shared" si="90"/>
        <v/>
      </c>
      <c r="AP254" s="22" t="str">
        <f t="shared" si="91"/>
        <v/>
      </c>
    </row>
    <row r="255" spans="1:42" x14ac:dyDescent="0.25">
      <c r="A255" s="10"/>
      <c r="B255" s="10"/>
      <c r="C255" s="10"/>
      <c r="D255" s="10"/>
      <c r="E255" s="10"/>
      <c r="F255" s="10"/>
      <c r="G255" s="10"/>
      <c r="H255" s="17"/>
      <c r="I255" s="10"/>
      <c r="J255" s="10"/>
      <c r="K255" s="16" t="str">
        <f t="shared" si="70"/>
        <v/>
      </c>
      <c r="L255" s="23" t="str">
        <f t="shared" si="71"/>
        <v/>
      </c>
      <c r="M255" s="22" t="str">
        <f t="shared" si="72"/>
        <v/>
      </c>
      <c r="N255" s="72"/>
      <c r="O255" s="16" t="str">
        <f t="shared" si="73"/>
        <v/>
      </c>
      <c r="P255" s="16" t="str">
        <f t="shared" si="74"/>
        <v/>
      </c>
      <c r="Q255" s="16" t="str">
        <f t="shared" si="75"/>
        <v/>
      </c>
      <c r="R255" s="23" t="str">
        <f t="shared" si="76"/>
        <v/>
      </c>
      <c r="S255" s="23" t="str">
        <f t="shared" si="77"/>
        <v/>
      </c>
      <c r="T255" s="23" t="str">
        <f t="shared" si="78"/>
        <v/>
      </c>
      <c r="U255" s="23" t="str">
        <f t="shared" si="79"/>
        <v/>
      </c>
      <c r="V255" s="23" t="str">
        <f t="shared" si="80"/>
        <v/>
      </c>
      <c r="W255" s="70" t="str">
        <f t="shared" si="81"/>
        <v/>
      </c>
      <c r="X255" s="70" t="str">
        <f t="shared" si="82"/>
        <v/>
      </c>
      <c r="Y255" s="70" t="str">
        <f>IF(AND($A255&lt;&gt;"",$E255&gt;0),isLaptopBag($C255,$J255)*$D255,"")</f>
        <v/>
      </c>
      <c r="Z255" s="70" t="str">
        <f t="shared" si="83"/>
        <v/>
      </c>
      <c r="AA255" s="70" t="str">
        <f t="shared" si="84"/>
        <v/>
      </c>
      <c r="AB255" s="70" t="str">
        <f t="shared" si="85"/>
        <v/>
      </c>
      <c r="AC255" s="70" t="str">
        <f t="shared" si="86"/>
        <v/>
      </c>
      <c r="AD255" s="70" t="str">
        <f t="shared" si="87"/>
        <v/>
      </c>
      <c r="AE255" s="70" t="str">
        <f t="shared" si="88"/>
        <v/>
      </c>
      <c r="AF255" s="16"/>
      <c r="AG255" s="23"/>
      <c r="AH255" s="22"/>
      <c r="AJ255" s="83">
        <f t="shared" si="89"/>
        <v>0</v>
      </c>
      <c r="AO255" s="22" t="str">
        <f t="shared" si="90"/>
        <v/>
      </c>
      <c r="AP255" s="22" t="str">
        <f t="shared" si="91"/>
        <v/>
      </c>
    </row>
    <row r="256" spans="1:42" x14ac:dyDescent="0.25">
      <c r="A256" s="10"/>
      <c r="B256" s="10"/>
      <c r="C256" s="10"/>
      <c r="D256" s="10"/>
      <c r="E256" s="10"/>
      <c r="F256" s="10"/>
      <c r="G256" s="10"/>
      <c r="H256" s="17"/>
      <c r="I256" s="10"/>
      <c r="J256" s="10"/>
      <c r="K256" s="16" t="str">
        <f t="shared" si="70"/>
        <v/>
      </c>
      <c r="L256" s="23" t="str">
        <f t="shared" si="71"/>
        <v/>
      </c>
      <c r="M256" s="22" t="str">
        <f t="shared" si="72"/>
        <v/>
      </c>
      <c r="N256" s="72"/>
      <c r="O256" s="16" t="str">
        <f t="shared" si="73"/>
        <v/>
      </c>
      <c r="P256" s="16" t="str">
        <f t="shared" si="74"/>
        <v/>
      </c>
      <c r="Q256" s="16" t="str">
        <f t="shared" si="75"/>
        <v/>
      </c>
      <c r="R256" s="23" t="str">
        <f t="shared" si="76"/>
        <v/>
      </c>
      <c r="S256" s="23" t="str">
        <f t="shared" si="77"/>
        <v/>
      </c>
      <c r="T256" s="23" t="str">
        <f t="shared" si="78"/>
        <v/>
      </c>
      <c r="U256" s="23" t="str">
        <f t="shared" si="79"/>
        <v/>
      </c>
      <c r="V256" s="23" t="str">
        <f t="shared" si="80"/>
        <v/>
      </c>
      <c r="W256" s="70" t="str">
        <f t="shared" si="81"/>
        <v/>
      </c>
      <c r="X256" s="70" t="str">
        <f t="shared" si="82"/>
        <v/>
      </c>
      <c r="Y256" s="70" t="str">
        <f>IF(AND($A256&lt;&gt;"",$E256&gt;0),isLaptopBag($C256,$J256)*$D256,"")</f>
        <v/>
      </c>
      <c r="Z256" s="70" t="str">
        <f t="shared" si="83"/>
        <v/>
      </c>
      <c r="AA256" s="70" t="str">
        <f t="shared" si="84"/>
        <v/>
      </c>
      <c r="AB256" s="70" t="str">
        <f t="shared" si="85"/>
        <v/>
      </c>
      <c r="AC256" s="70" t="str">
        <f t="shared" si="86"/>
        <v/>
      </c>
      <c r="AD256" s="70" t="str">
        <f t="shared" si="87"/>
        <v/>
      </c>
      <c r="AE256" s="70" t="str">
        <f t="shared" si="88"/>
        <v/>
      </c>
      <c r="AF256" s="16"/>
      <c r="AG256" s="23"/>
      <c r="AH256" s="22"/>
      <c r="AJ256" s="83">
        <f t="shared" si="89"/>
        <v>0</v>
      </c>
      <c r="AO256" s="22" t="str">
        <f t="shared" si="90"/>
        <v/>
      </c>
      <c r="AP256" s="22" t="str">
        <f t="shared" si="91"/>
        <v/>
      </c>
    </row>
    <row r="257" spans="1:42" x14ac:dyDescent="0.25">
      <c r="A257" s="10"/>
      <c r="B257" s="10"/>
      <c r="C257" s="10"/>
      <c r="D257" s="10"/>
      <c r="E257" s="10"/>
      <c r="F257" s="10"/>
      <c r="G257" s="10"/>
      <c r="H257" s="17"/>
      <c r="I257" s="10"/>
      <c r="J257" s="10"/>
      <c r="K257" s="16" t="str">
        <f t="shared" si="70"/>
        <v/>
      </c>
      <c r="L257" s="23" t="str">
        <f t="shared" si="71"/>
        <v/>
      </c>
      <c r="M257" s="22" t="str">
        <f t="shared" si="72"/>
        <v/>
      </c>
      <c r="N257" s="72"/>
      <c r="O257" s="16" t="str">
        <f t="shared" si="73"/>
        <v/>
      </c>
      <c r="P257" s="16" t="str">
        <f t="shared" si="74"/>
        <v/>
      </c>
      <c r="Q257" s="16" t="str">
        <f t="shared" si="75"/>
        <v/>
      </c>
      <c r="R257" s="23" t="str">
        <f t="shared" si="76"/>
        <v/>
      </c>
      <c r="S257" s="23" t="str">
        <f t="shared" si="77"/>
        <v/>
      </c>
      <c r="T257" s="23" t="str">
        <f t="shared" si="78"/>
        <v/>
      </c>
      <c r="U257" s="23" t="str">
        <f t="shared" si="79"/>
        <v/>
      </c>
      <c r="V257" s="23" t="str">
        <f t="shared" si="80"/>
        <v/>
      </c>
      <c r="W257" s="70" t="str">
        <f t="shared" si="81"/>
        <v/>
      </c>
      <c r="X257" s="70" t="str">
        <f t="shared" si="82"/>
        <v/>
      </c>
      <c r="Y257" s="70" t="str">
        <f>IF(AND($A257&lt;&gt;"",$E257&gt;0),isLaptopBag($C257,$J257)*$D257,"")</f>
        <v/>
      </c>
      <c r="Z257" s="70" t="str">
        <f t="shared" si="83"/>
        <v/>
      </c>
      <c r="AA257" s="70" t="str">
        <f t="shared" si="84"/>
        <v/>
      </c>
      <c r="AB257" s="70" t="str">
        <f t="shared" si="85"/>
        <v/>
      </c>
      <c r="AC257" s="70" t="str">
        <f t="shared" si="86"/>
        <v/>
      </c>
      <c r="AD257" s="70" t="str">
        <f t="shared" si="87"/>
        <v/>
      </c>
      <c r="AE257" s="70" t="str">
        <f t="shared" si="88"/>
        <v/>
      </c>
      <c r="AF257" s="16"/>
      <c r="AG257" s="23"/>
      <c r="AH257" s="22"/>
      <c r="AJ257" s="83">
        <f t="shared" si="89"/>
        <v>0</v>
      </c>
      <c r="AO257" s="22" t="str">
        <f t="shared" si="90"/>
        <v/>
      </c>
      <c r="AP257" s="22" t="str">
        <f t="shared" si="91"/>
        <v/>
      </c>
    </row>
    <row r="258" spans="1:42" x14ac:dyDescent="0.25">
      <c r="A258" s="10"/>
      <c r="B258" s="10"/>
      <c r="C258" s="10"/>
      <c r="D258" s="10"/>
      <c r="E258" s="10"/>
      <c r="F258" s="10"/>
      <c r="G258" s="10"/>
      <c r="H258" s="17"/>
      <c r="I258" s="10"/>
      <c r="J258" s="10"/>
      <c r="K258" s="16" t="str">
        <f t="shared" si="70"/>
        <v/>
      </c>
      <c r="L258" s="23" t="str">
        <f t="shared" si="71"/>
        <v/>
      </c>
      <c r="M258" s="22" t="str">
        <f t="shared" si="72"/>
        <v/>
      </c>
      <c r="N258" s="72"/>
      <c r="O258" s="16" t="str">
        <f t="shared" si="73"/>
        <v/>
      </c>
      <c r="P258" s="16" t="str">
        <f t="shared" si="74"/>
        <v/>
      </c>
      <c r="Q258" s="16" t="str">
        <f t="shared" si="75"/>
        <v/>
      </c>
      <c r="R258" s="23" t="str">
        <f t="shared" si="76"/>
        <v/>
      </c>
      <c r="S258" s="23" t="str">
        <f t="shared" si="77"/>
        <v/>
      </c>
      <c r="T258" s="23" t="str">
        <f t="shared" si="78"/>
        <v/>
      </c>
      <c r="U258" s="23" t="str">
        <f t="shared" si="79"/>
        <v/>
      </c>
      <c r="V258" s="23" t="str">
        <f t="shared" si="80"/>
        <v/>
      </c>
      <c r="W258" s="70" t="str">
        <f t="shared" si="81"/>
        <v/>
      </c>
      <c r="X258" s="70" t="str">
        <f t="shared" si="82"/>
        <v/>
      </c>
      <c r="Y258" s="70" t="str">
        <f>IF(AND($A258&lt;&gt;"",$E258&gt;0),isLaptopBag($C258,$J258)*$D258,"")</f>
        <v/>
      </c>
      <c r="Z258" s="70" t="str">
        <f t="shared" si="83"/>
        <v/>
      </c>
      <c r="AA258" s="70" t="str">
        <f t="shared" si="84"/>
        <v/>
      </c>
      <c r="AB258" s="70" t="str">
        <f t="shared" si="85"/>
        <v/>
      </c>
      <c r="AC258" s="70" t="str">
        <f t="shared" si="86"/>
        <v/>
      </c>
      <c r="AD258" s="70" t="str">
        <f t="shared" si="87"/>
        <v/>
      </c>
      <c r="AE258" s="70" t="str">
        <f t="shared" si="88"/>
        <v/>
      </c>
      <c r="AF258" s="16"/>
      <c r="AG258" s="23"/>
      <c r="AH258" s="22"/>
      <c r="AJ258" s="83">
        <f t="shared" si="89"/>
        <v>0</v>
      </c>
      <c r="AO258" s="22" t="str">
        <f t="shared" si="90"/>
        <v/>
      </c>
      <c r="AP258" s="22" t="str">
        <f t="shared" si="91"/>
        <v/>
      </c>
    </row>
    <row r="259" spans="1:42" x14ac:dyDescent="0.25">
      <c r="A259" s="10"/>
      <c r="B259" s="10"/>
      <c r="C259" s="10"/>
      <c r="D259" s="10"/>
      <c r="E259" s="10"/>
      <c r="F259" s="10"/>
      <c r="G259" s="10"/>
      <c r="H259" s="17"/>
      <c r="I259" s="10"/>
      <c r="J259" s="10"/>
      <c r="K259" s="16" t="str">
        <f t="shared" si="70"/>
        <v/>
      </c>
      <c r="L259" s="23" t="str">
        <f t="shared" si="71"/>
        <v/>
      </c>
      <c r="M259" s="22" t="str">
        <f t="shared" si="72"/>
        <v/>
      </c>
      <c r="N259" s="72"/>
      <c r="O259" s="16" t="str">
        <f t="shared" si="73"/>
        <v/>
      </c>
      <c r="P259" s="16" t="str">
        <f t="shared" si="74"/>
        <v/>
      </c>
      <c r="Q259" s="16" t="str">
        <f t="shared" si="75"/>
        <v/>
      </c>
      <c r="R259" s="23" t="str">
        <f t="shared" si="76"/>
        <v/>
      </c>
      <c r="S259" s="23" t="str">
        <f t="shared" si="77"/>
        <v/>
      </c>
      <c r="T259" s="23" t="str">
        <f t="shared" si="78"/>
        <v/>
      </c>
      <c r="U259" s="23" t="str">
        <f t="shared" si="79"/>
        <v/>
      </c>
      <c r="V259" s="23" t="str">
        <f t="shared" si="80"/>
        <v/>
      </c>
      <c r="W259" s="70" t="str">
        <f t="shared" si="81"/>
        <v/>
      </c>
      <c r="X259" s="70" t="str">
        <f t="shared" si="82"/>
        <v/>
      </c>
      <c r="Y259" s="70" t="str">
        <f>IF(AND($A259&lt;&gt;"",$E259&gt;0),isLaptopBag($C259,$J259)*$D259,"")</f>
        <v/>
      </c>
      <c r="Z259" s="70" t="str">
        <f t="shared" si="83"/>
        <v/>
      </c>
      <c r="AA259" s="70" t="str">
        <f t="shared" si="84"/>
        <v/>
      </c>
      <c r="AB259" s="70" t="str">
        <f t="shared" si="85"/>
        <v/>
      </c>
      <c r="AC259" s="70" t="str">
        <f t="shared" si="86"/>
        <v/>
      </c>
      <c r="AD259" s="70" t="str">
        <f t="shared" si="87"/>
        <v/>
      </c>
      <c r="AE259" s="70" t="str">
        <f t="shared" si="88"/>
        <v/>
      </c>
      <c r="AF259" s="16"/>
      <c r="AG259" s="23"/>
      <c r="AH259" s="22"/>
      <c r="AJ259" s="83">
        <f t="shared" si="89"/>
        <v>0</v>
      </c>
      <c r="AO259" s="22" t="str">
        <f t="shared" si="90"/>
        <v/>
      </c>
      <c r="AP259" s="22" t="str">
        <f t="shared" si="91"/>
        <v/>
      </c>
    </row>
    <row r="260" spans="1:42" x14ac:dyDescent="0.25">
      <c r="A260" s="10"/>
      <c r="B260" s="10"/>
      <c r="C260" s="10"/>
      <c r="D260" s="10"/>
      <c r="E260" s="10"/>
      <c r="F260" s="10"/>
      <c r="G260" s="10"/>
      <c r="H260" s="17"/>
      <c r="I260" s="10"/>
      <c r="J260" s="10"/>
      <c r="K260" s="16" t="str">
        <f t="shared" si="70"/>
        <v/>
      </c>
      <c r="L260" s="23" t="str">
        <f t="shared" si="71"/>
        <v/>
      </c>
      <c r="M260" s="22" t="str">
        <f t="shared" si="72"/>
        <v/>
      </c>
      <c r="N260" s="72"/>
      <c r="O260" s="16" t="str">
        <f t="shared" si="73"/>
        <v/>
      </c>
      <c r="P260" s="16" t="str">
        <f t="shared" si="74"/>
        <v/>
      </c>
      <c r="Q260" s="16" t="str">
        <f t="shared" si="75"/>
        <v/>
      </c>
      <c r="R260" s="23" t="str">
        <f t="shared" si="76"/>
        <v/>
      </c>
      <c r="S260" s="23" t="str">
        <f t="shared" si="77"/>
        <v/>
      </c>
      <c r="T260" s="23" t="str">
        <f t="shared" si="78"/>
        <v/>
      </c>
      <c r="U260" s="23" t="str">
        <f t="shared" si="79"/>
        <v/>
      </c>
      <c r="V260" s="23" t="str">
        <f t="shared" si="80"/>
        <v/>
      </c>
      <c r="W260" s="70" t="str">
        <f t="shared" si="81"/>
        <v/>
      </c>
      <c r="X260" s="70" t="str">
        <f t="shared" si="82"/>
        <v/>
      </c>
      <c r="Y260" s="70" t="str">
        <f>IF(AND($A260&lt;&gt;"",$E260&gt;0),isLaptopBag($C260,$J260)*$D260,"")</f>
        <v/>
      </c>
      <c r="Z260" s="70" t="str">
        <f t="shared" si="83"/>
        <v/>
      </c>
      <c r="AA260" s="70" t="str">
        <f t="shared" si="84"/>
        <v/>
      </c>
      <c r="AB260" s="70" t="str">
        <f t="shared" si="85"/>
        <v/>
      </c>
      <c r="AC260" s="70" t="str">
        <f t="shared" si="86"/>
        <v/>
      </c>
      <c r="AD260" s="70" t="str">
        <f t="shared" si="87"/>
        <v/>
      </c>
      <c r="AE260" s="70" t="str">
        <f t="shared" si="88"/>
        <v/>
      </c>
      <c r="AF260" s="16"/>
      <c r="AG260" s="23"/>
      <c r="AH260" s="22"/>
      <c r="AJ260" s="83">
        <f t="shared" si="89"/>
        <v>0</v>
      </c>
      <c r="AO260" s="22" t="str">
        <f t="shared" si="90"/>
        <v/>
      </c>
      <c r="AP260" s="22" t="str">
        <f t="shared" si="91"/>
        <v/>
      </c>
    </row>
    <row r="261" spans="1:42" x14ac:dyDescent="0.25">
      <c r="A261" s="10"/>
      <c r="B261" s="10"/>
      <c r="C261" s="10"/>
      <c r="D261" s="10"/>
      <c r="E261" s="10"/>
      <c r="F261" s="10"/>
      <c r="G261" s="10"/>
      <c r="H261" s="17"/>
      <c r="I261" s="10"/>
      <c r="J261" s="10"/>
      <c r="K261" s="16" t="str">
        <f t="shared" si="70"/>
        <v/>
      </c>
      <c r="L261" s="23" t="str">
        <f t="shared" si="71"/>
        <v/>
      </c>
      <c r="M261" s="22" t="str">
        <f t="shared" si="72"/>
        <v/>
      </c>
      <c r="N261" s="72"/>
      <c r="O261" s="16" t="str">
        <f t="shared" si="73"/>
        <v/>
      </c>
      <c r="P261" s="16" t="str">
        <f t="shared" si="74"/>
        <v/>
      </c>
      <c r="Q261" s="16" t="str">
        <f t="shared" si="75"/>
        <v/>
      </c>
      <c r="R261" s="23" t="str">
        <f t="shared" si="76"/>
        <v/>
      </c>
      <c r="S261" s="23" t="str">
        <f t="shared" si="77"/>
        <v/>
      </c>
      <c r="T261" s="23" t="str">
        <f t="shared" si="78"/>
        <v/>
      </c>
      <c r="U261" s="23" t="str">
        <f t="shared" si="79"/>
        <v/>
      </c>
      <c r="V261" s="23" t="str">
        <f t="shared" si="80"/>
        <v/>
      </c>
      <c r="W261" s="70" t="str">
        <f t="shared" si="81"/>
        <v/>
      </c>
      <c r="X261" s="70" t="str">
        <f t="shared" si="82"/>
        <v/>
      </c>
      <c r="Y261" s="70" t="str">
        <f>IF(AND($A261&lt;&gt;"",$E261&gt;0),isLaptopBag($C261,$J261)*$D261,"")</f>
        <v/>
      </c>
      <c r="Z261" s="70" t="str">
        <f t="shared" si="83"/>
        <v/>
      </c>
      <c r="AA261" s="70" t="str">
        <f t="shared" si="84"/>
        <v/>
      </c>
      <c r="AB261" s="70" t="str">
        <f t="shared" si="85"/>
        <v/>
      </c>
      <c r="AC261" s="70" t="str">
        <f t="shared" si="86"/>
        <v/>
      </c>
      <c r="AD261" s="70" t="str">
        <f t="shared" si="87"/>
        <v/>
      </c>
      <c r="AE261" s="70" t="str">
        <f t="shared" si="88"/>
        <v/>
      </c>
      <c r="AF261" s="16"/>
      <c r="AG261" s="23"/>
      <c r="AH261" s="22"/>
      <c r="AJ261" s="83">
        <f t="shared" si="89"/>
        <v>0</v>
      </c>
      <c r="AO261" s="22" t="str">
        <f t="shared" si="90"/>
        <v/>
      </c>
      <c r="AP261" s="22" t="str">
        <f t="shared" si="91"/>
        <v/>
      </c>
    </row>
    <row r="262" spans="1:42" x14ac:dyDescent="0.25">
      <c r="A262" s="10"/>
      <c r="B262" s="10"/>
      <c r="C262" s="10"/>
      <c r="D262" s="10"/>
      <c r="E262" s="10"/>
      <c r="F262" s="10"/>
      <c r="G262" s="10"/>
      <c r="H262" s="17"/>
      <c r="I262" s="10"/>
      <c r="J262" s="10"/>
      <c r="K262" s="16" t="str">
        <f t="shared" si="70"/>
        <v/>
      </c>
      <c r="L262" s="23" t="str">
        <f t="shared" si="71"/>
        <v/>
      </c>
      <c r="M262" s="22" t="str">
        <f t="shared" si="72"/>
        <v/>
      </c>
      <c r="N262" s="72"/>
      <c r="O262" s="16" t="str">
        <f t="shared" si="73"/>
        <v/>
      </c>
      <c r="P262" s="16" t="str">
        <f t="shared" si="74"/>
        <v/>
      </c>
      <c r="Q262" s="16" t="str">
        <f t="shared" si="75"/>
        <v/>
      </c>
      <c r="R262" s="23" t="str">
        <f t="shared" si="76"/>
        <v/>
      </c>
      <c r="S262" s="23" t="str">
        <f t="shared" si="77"/>
        <v/>
      </c>
      <c r="T262" s="23" t="str">
        <f t="shared" si="78"/>
        <v/>
      </c>
      <c r="U262" s="23" t="str">
        <f t="shared" si="79"/>
        <v/>
      </c>
      <c r="V262" s="23" t="str">
        <f t="shared" si="80"/>
        <v/>
      </c>
      <c r="W262" s="70" t="str">
        <f t="shared" si="81"/>
        <v/>
      </c>
      <c r="X262" s="70" t="str">
        <f t="shared" si="82"/>
        <v/>
      </c>
      <c r="Y262" s="70" t="str">
        <f>IF(AND($A262&lt;&gt;"",$E262&gt;0),isLaptopBag($C262,$J262)*$D262,"")</f>
        <v/>
      </c>
      <c r="Z262" s="70" t="str">
        <f t="shared" si="83"/>
        <v/>
      </c>
      <c r="AA262" s="70" t="str">
        <f t="shared" si="84"/>
        <v/>
      </c>
      <c r="AB262" s="70" t="str">
        <f t="shared" si="85"/>
        <v/>
      </c>
      <c r="AC262" s="70" t="str">
        <f t="shared" si="86"/>
        <v/>
      </c>
      <c r="AD262" s="70" t="str">
        <f t="shared" si="87"/>
        <v/>
      </c>
      <c r="AE262" s="70" t="str">
        <f t="shared" si="88"/>
        <v/>
      </c>
      <c r="AF262" s="16"/>
      <c r="AG262" s="23"/>
      <c r="AH262" s="22"/>
      <c r="AJ262" s="83">
        <f t="shared" si="89"/>
        <v>0</v>
      </c>
      <c r="AO262" s="22" t="str">
        <f t="shared" si="90"/>
        <v/>
      </c>
      <c r="AP262" s="22" t="str">
        <f t="shared" si="91"/>
        <v/>
      </c>
    </row>
    <row r="263" spans="1:42" x14ac:dyDescent="0.25">
      <c r="A263" s="10"/>
      <c r="B263" s="10"/>
      <c r="C263" s="10"/>
      <c r="D263" s="10"/>
      <c r="E263" s="10"/>
      <c r="F263" s="10"/>
      <c r="G263" s="10"/>
      <c r="H263" s="17"/>
      <c r="I263" s="10"/>
      <c r="J263" s="10"/>
      <c r="K263" s="16" t="str">
        <f t="shared" si="70"/>
        <v/>
      </c>
      <c r="L263" s="23" t="str">
        <f t="shared" si="71"/>
        <v/>
      </c>
      <c r="M263" s="22" t="str">
        <f t="shared" si="72"/>
        <v/>
      </c>
      <c r="N263" s="72"/>
      <c r="O263" s="16" t="str">
        <f t="shared" si="73"/>
        <v/>
      </c>
      <c r="P263" s="16" t="str">
        <f t="shared" si="74"/>
        <v/>
      </c>
      <c r="Q263" s="16" t="str">
        <f t="shared" si="75"/>
        <v/>
      </c>
      <c r="R263" s="23" t="str">
        <f t="shared" si="76"/>
        <v/>
      </c>
      <c r="S263" s="23" t="str">
        <f t="shared" si="77"/>
        <v/>
      </c>
      <c r="T263" s="23" t="str">
        <f t="shared" si="78"/>
        <v/>
      </c>
      <c r="U263" s="23" t="str">
        <f t="shared" si="79"/>
        <v/>
      </c>
      <c r="V263" s="23" t="str">
        <f t="shared" si="80"/>
        <v/>
      </c>
      <c r="W263" s="70" t="str">
        <f t="shared" si="81"/>
        <v/>
      </c>
      <c r="X263" s="70" t="str">
        <f t="shared" si="82"/>
        <v/>
      </c>
      <c r="Y263" s="70" t="str">
        <f>IF(AND($A263&lt;&gt;"",$E263&gt;0),isLaptopBag($C263,$J263)*$D263,"")</f>
        <v/>
      </c>
      <c r="Z263" s="70" t="str">
        <f t="shared" si="83"/>
        <v/>
      </c>
      <c r="AA263" s="70" t="str">
        <f t="shared" si="84"/>
        <v/>
      </c>
      <c r="AB263" s="70" t="str">
        <f t="shared" si="85"/>
        <v/>
      </c>
      <c r="AC263" s="70" t="str">
        <f t="shared" si="86"/>
        <v/>
      </c>
      <c r="AD263" s="70" t="str">
        <f t="shared" si="87"/>
        <v/>
      </c>
      <c r="AE263" s="70" t="str">
        <f t="shared" si="88"/>
        <v/>
      </c>
      <c r="AF263" s="16"/>
      <c r="AG263" s="23"/>
      <c r="AH263" s="22"/>
      <c r="AJ263" s="83">
        <f t="shared" si="89"/>
        <v>0</v>
      </c>
      <c r="AO263" s="22" t="str">
        <f t="shared" si="90"/>
        <v/>
      </c>
      <c r="AP263" s="22" t="str">
        <f t="shared" si="91"/>
        <v/>
      </c>
    </row>
    <row r="264" spans="1:42" x14ac:dyDescent="0.25">
      <c r="A264" s="10"/>
      <c r="B264" s="10"/>
      <c r="C264" s="10"/>
      <c r="D264" s="10"/>
      <c r="E264" s="10"/>
      <c r="F264" s="10"/>
      <c r="G264" s="10"/>
      <c r="H264" s="17"/>
      <c r="I264" s="10"/>
      <c r="J264" s="10"/>
      <c r="K264" s="16" t="str">
        <f t="shared" si="70"/>
        <v/>
      </c>
      <c r="L264" s="23" t="str">
        <f t="shared" si="71"/>
        <v/>
      </c>
      <c r="M264" s="22" t="str">
        <f t="shared" si="72"/>
        <v/>
      </c>
      <c r="N264" s="72"/>
      <c r="O264" s="16" t="str">
        <f t="shared" si="73"/>
        <v/>
      </c>
      <c r="P264" s="16" t="str">
        <f t="shared" si="74"/>
        <v/>
      </c>
      <c r="Q264" s="16" t="str">
        <f t="shared" si="75"/>
        <v/>
      </c>
      <c r="R264" s="23" t="str">
        <f t="shared" si="76"/>
        <v/>
      </c>
      <c r="S264" s="23" t="str">
        <f t="shared" si="77"/>
        <v/>
      </c>
      <c r="T264" s="23" t="str">
        <f t="shared" si="78"/>
        <v/>
      </c>
      <c r="U264" s="23" t="str">
        <f t="shared" si="79"/>
        <v/>
      </c>
      <c r="V264" s="23" t="str">
        <f t="shared" si="80"/>
        <v/>
      </c>
      <c r="W264" s="70" t="str">
        <f t="shared" si="81"/>
        <v/>
      </c>
      <c r="X264" s="70" t="str">
        <f t="shared" si="82"/>
        <v/>
      </c>
      <c r="Y264" s="70" t="str">
        <f>IF(AND($A264&lt;&gt;"",$E264&gt;0),isLaptopBag($C264,$J264)*$D264,"")</f>
        <v/>
      </c>
      <c r="Z264" s="70" t="str">
        <f t="shared" si="83"/>
        <v/>
      </c>
      <c r="AA264" s="70" t="str">
        <f t="shared" si="84"/>
        <v/>
      </c>
      <c r="AB264" s="70" t="str">
        <f t="shared" si="85"/>
        <v/>
      </c>
      <c r="AC264" s="70" t="str">
        <f t="shared" si="86"/>
        <v/>
      </c>
      <c r="AD264" s="70" t="str">
        <f t="shared" si="87"/>
        <v/>
      </c>
      <c r="AE264" s="70" t="str">
        <f t="shared" si="88"/>
        <v/>
      </c>
      <c r="AF264" s="16"/>
      <c r="AG264" s="23"/>
      <c r="AH264" s="22"/>
      <c r="AJ264" s="83">
        <f t="shared" si="89"/>
        <v>0</v>
      </c>
      <c r="AO264" s="22" t="str">
        <f t="shared" si="90"/>
        <v/>
      </c>
      <c r="AP264" s="22" t="str">
        <f t="shared" si="91"/>
        <v/>
      </c>
    </row>
    <row r="265" spans="1:42" x14ac:dyDescent="0.25">
      <c r="A265" s="10"/>
      <c r="B265" s="10"/>
      <c r="C265" s="10"/>
      <c r="D265" s="10"/>
      <c r="E265" s="10"/>
      <c r="F265" s="10"/>
      <c r="G265" s="10"/>
      <c r="H265" s="17"/>
      <c r="I265" s="10"/>
      <c r="J265" s="10"/>
      <c r="K265" s="16" t="str">
        <f t="shared" si="70"/>
        <v/>
      </c>
      <c r="L265" s="23" t="str">
        <f t="shared" si="71"/>
        <v/>
      </c>
      <c r="M265" s="22" t="str">
        <f t="shared" si="72"/>
        <v/>
      </c>
      <c r="N265" s="72"/>
      <c r="O265" s="16" t="str">
        <f t="shared" si="73"/>
        <v/>
      </c>
      <c r="P265" s="16" t="str">
        <f t="shared" si="74"/>
        <v/>
      </c>
      <c r="Q265" s="16" t="str">
        <f t="shared" si="75"/>
        <v/>
      </c>
      <c r="R265" s="23" t="str">
        <f t="shared" si="76"/>
        <v/>
      </c>
      <c r="S265" s="23" t="str">
        <f t="shared" si="77"/>
        <v/>
      </c>
      <c r="T265" s="23" t="str">
        <f t="shared" si="78"/>
        <v/>
      </c>
      <c r="U265" s="23" t="str">
        <f t="shared" si="79"/>
        <v/>
      </c>
      <c r="V265" s="23" t="str">
        <f t="shared" si="80"/>
        <v/>
      </c>
      <c r="W265" s="70" t="str">
        <f t="shared" si="81"/>
        <v/>
      </c>
      <c r="X265" s="70" t="str">
        <f t="shared" si="82"/>
        <v/>
      </c>
      <c r="Y265" s="70" t="str">
        <f>IF(AND($A265&lt;&gt;"",$E265&gt;0),isLaptopBag($C265,$J265)*$D265,"")</f>
        <v/>
      </c>
      <c r="Z265" s="70" t="str">
        <f t="shared" si="83"/>
        <v/>
      </c>
      <c r="AA265" s="70" t="str">
        <f t="shared" si="84"/>
        <v/>
      </c>
      <c r="AB265" s="70" t="str">
        <f t="shared" si="85"/>
        <v/>
      </c>
      <c r="AC265" s="70" t="str">
        <f t="shared" si="86"/>
        <v/>
      </c>
      <c r="AD265" s="70" t="str">
        <f t="shared" si="87"/>
        <v/>
      </c>
      <c r="AE265" s="70" t="str">
        <f t="shared" si="88"/>
        <v/>
      </c>
      <c r="AF265" s="16"/>
      <c r="AG265" s="23"/>
      <c r="AH265" s="22"/>
      <c r="AJ265" s="83">
        <f t="shared" si="89"/>
        <v>0</v>
      </c>
      <c r="AO265" s="22" t="str">
        <f t="shared" si="90"/>
        <v/>
      </c>
      <c r="AP265" s="22" t="str">
        <f t="shared" si="91"/>
        <v/>
      </c>
    </row>
    <row r="266" spans="1:42" x14ac:dyDescent="0.25">
      <c r="A266" s="10"/>
      <c r="B266" s="10"/>
      <c r="C266" s="10"/>
      <c r="D266" s="10"/>
      <c r="E266" s="10"/>
      <c r="F266" s="10"/>
      <c r="G266" s="10"/>
      <c r="H266" s="17"/>
      <c r="I266" s="10"/>
      <c r="J266" s="10"/>
      <c r="K266" s="16" t="str">
        <f t="shared" si="70"/>
        <v/>
      </c>
      <c r="L266" s="23" t="str">
        <f t="shared" si="71"/>
        <v/>
      </c>
      <c r="M266" s="22" t="str">
        <f t="shared" si="72"/>
        <v/>
      </c>
      <c r="N266" s="72"/>
      <c r="O266" s="16" t="str">
        <f t="shared" si="73"/>
        <v/>
      </c>
      <c r="P266" s="16" t="str">
        <f t="shared" si="74"/>
        <v/>
      </c>
      <c r="Q266" s="16" t="str">
        <f t="shared" si="75"/>
        <v/>
      </c>
      <c r="R266" s="23" t="str">
        <f t="shared" si="76"/>
        <v/>
      </c>
      <c r="S266" s="23" t="str">
        <f t="shared" si="77"/>
        <v/>
      </c>
      <c r="T266" s="23" t="str">
        <f t="shared" si="78"/>
        <v/>
      </c>
      <c r="U266" s="23" t="str">
        <f t="shared" si="79"/>
        <v/>
      </c>
      <c r="V266" s="23" t="str">
        <f t="shared" si="80"/>
        <v/>
      </c>
      <c r="W266" s="70" t="str">
        <f t="shared" si="81"/>
        <v/>
      </c>
      <c r="X266" s="70" t="str">
        <f t="shared" si="82"/>
        <v/>
      </c>
      <c r="Y266" s="70" t="str">
        <f>IF(AND($A266&lt;&gt;"",$E266&gt;0),isLaptopBag($C266,$J266)*$D266,"")</f>
        <v/>
      </c>
      <c r="Z266" s="70" t="str">
        <f t="shared" si="83"/>
        <v/>
      </c>
      <c r="AA266" s="70" t="str">
        <f t="shared" si="84"/>
        <v/>
      </c>
      <c r="AB266" s="70" t="str">
        <f t="shared" si="85"/>
        <v/>
      </c>
      <c r="AC266" s="70" t="str">
        <f t="shared" si="86"/>
        <v/>
      </c>
      <c r="AD266" s="70" t="str">
        <f t="shared" si="87"/>
        <v/>
      </c>
      <c r="AE266" s="70" t="str">
        <f t="shared" si="88"/>
        <v/>
      </c>
      <c r="AF266" s="16"/>
      <c r="AG266" s="23"/>
      <c r="AH266" s="22"/>
      <c r="AJ266" s="83">
        <f t="shared" si="89"/>
        <v>0</v>
      </c>
      <c r="AO266" s="22" t="str">
        <f t="shared" si="90"/>
        <v/>
      </c>
      <c r="AP266" s="22" t="str">
        <f t="shared" si="91"/>
        <v/>
      </c>
    </row>
    <row r="267" spans="1:42" x14ac:dyDescent="0.25">
      <c r="A267" s="10"/>
      <c r="B267" s="10"/>
      <c r="C267" s="10"/>
      <c r="D267" s="10"/>
      <c r="E267" s="10"/>
      <c r="F267" s="10"/>
      <c r="G267" s="10"/>
      <c r="H267" s="17"/>
      <c r="I267" s="10"/>
      <c r="J267" s="10"/>
      <c r="K267" s="16" t="str">
        <f t="shared" si="70"/>
        <v/>
      </c>
      <c r="L267" s="23" t="str">
        <f t="shared" si="71"/>
        <v/>
      </c>
      <c r="M267" s="22" t="str">
        <f t="shared" si="72"/>
        <v/>
      </c>
      <c r="N267" s="72"/>
      <c r="O267" s="16" t="str">
        <f t="shared" si="73"/>
        <v/>
      </c>
      <c r="P267" s="16" t="str">
        <f t="shared" si="74"/>
        <v/>
      </c>
      <c r="Q267" s="16" t="str">
        <f t="shared" si="75"/>
        <v/>
      </c>
      <c r="R267" s="23" t="str">
        <f t="shared" si="76"/>
        <v/>
      </c>
      <c r="S267" s="23" t="str">
        <f t="shared" si="77"/>
        <v/>
      </c>
      <c r="T267" s="23" t="str">
        <f t="shared" si="78"/>
        <v/>
      </c>
      <c r="U267" s="23" t="str">
        <f t="shared" si="79"/>
        <v/>
      </c>
      <c r="V267" s="23" t="str">
        <f t="shared" si="80"/>
        <v/>
      </c>
      <c r="W267" s="70" t="str">
        <f t="shared" si="81"/>
        <v/>
      </c>
      <c r="X267" s="70" t="str">
        <f t="shared" si="82"/>
        <v/>
      </c>
      <c r="Y267" s="70" t="str">
        <f>IF(AND($A267&lt;&gt;"",$E267&gt;0),isLaptopBag($C267,$J267)*$D267,"")</f>
        <v/>
      </c>
      <c r="Z267" s="70" t="str">
        <f t="shared" si="83"/>
        <v/>
      </c>
      <c r="AA267" s="70" t="str">
        <f t="shared" si="84"/>
        <v/>
      </c>
      <c r="AB267" s="70" t="str">
        <f t="shared" si="85"/>
        <v/>
      </c>
      <c r="AC267" s="70" t="str">
        <f t="shared" si="86"/>
        <v/>
      </c>
      <c r="AD267" s="70" t="str">
        <f t="shared" si="87"/>
        <v/>
      </c>
      <c r="AE267" s="70" t="str">
        <f t="shared" si="88"/>
        <v/>
      </c>
      <c r="AF267" s="16"/>
      <c r="AG267" s="23"/>
      <c r="AH267" s="22"/>
      <c r="AJ267" s="83">
        <f t="shared" si="89"/>
        <v>0</v>
      </c>
      <c r="AO267" s="22" t="str">
        <f t="shared" si="90"/>
        <v/>
      </c>
      <c r="AP267" s="22" t="str">
        <f t="shared" si="91"/>
        <v/>
      </c>
    </row>
    <row r="268" spans="1:42" x14ac:dyDescent="0.25">
      <c r="A268" s="10"/>
      <c r="B268" s="10"/>
      <c r="C268" s="10"/>
      <c r="D268" s="10"/>
      <c r="E268" s="10"/>
      <c r="F268" s="10"/>
      <c r="G268" s="10"/>
      <c r="H268" s="17"/>
      <c r="I268" s="10"/>
      <c r="J268" s="10"/>
      <c r="K268" s="16" t="str">
        <f t="shared" si="70"/>
        <v/>
      </c>
      <c r="L268" s="23" t="str">
        <f t="shared" si="71"/>
        <v/>
      </c>
      <c r="M268" s="22" t="str">
        <f t="shared" si="72"/>
        <v/>
      </c>
      <c r="N268" s="72"/>
      <c r="O268" s="16" t="str">
        <f t="shared" si="73"/>
        <v/>
      </c>
      <c r="P268" s="16" t="str">
        <f t="shared" si="74"/>
        <v/>
      </c>
      <c r="Q268" s="16" t="str">
        <f t="shared" si="75"/>
        <v/>
      </c>
      <c r="R268" s="23" t="str">
        <f t="shared" si="76"/>
        <v/>
      </c>
      <c r="S268" s="23" t="str">
        <f t="shared" si="77"/>
        <v/>
      </c>
      <c r="T268" s="23" t="str">
        <f t="shared" si="78"/>
        <v/>
      </c>
      <c r="U268" s="23" t="str">
        <f t="shared" si="79"/>
        <v/>
      </c>
      <c r="V268" s="23" t="str">
        <f t="shared" si="80"/>
        <v/>
      </c>
      <c r="W268" s="70" t="str">
        <f t="shared" si="81"/>
        <v/>
      </c>
      <c r="X268" s="70" t="str">
        <f t="shared" si="82"/>
        <v/>
      </c>
      <c r="Y268" s="70" t="str">
        <f>IF(AND($A268&lt;&gt;"",$E268&gt;0),isLaptopBag($C268,$J268)*$D268,"")</f>
        <v/>
      </c>
      <c r="Z268" s="70" t="str">
        <f t="shared" si="83"/>
        <v/>
      </c>
      <c r="AA268" s="70" t="str">
        <f t="shared" si="84"/>
        <v/>
      </c>
      <c r="AB268" s="70" t="str">
        <f t="shared" si="85"/>
        <v/>
      </c>
      <c r="AC268" s="70" t="str">
        <f t="shared" si="86"/>
        <v/>
      </c>
      <c r="AD268" s="70" t="str">
        <f t="shared" si="87"/>
        <v/>
      </c>
      <c r="AE268" s="70" t="str">
        <f t="shared" si="88"/>
        <v/>
      </c>
      <c r="AF268" s="16"/>
      <c r="AG268" s="23"/>
      <c r="AH268" s="22"/>
      <c r="AJ268" s="83">
        <f t="shared" si="89"/>
        <v>0</v>
      </c>
      <c r="AO268" s="22" t="str">
        <f t="shared" si="90"/>
        <v/>
      </c>
      <c r="AP268" s="22" t="str">
        <f t="shared" si="91"/>
        <v/>
      </c>
    </row>
    <row r="269" spans="1:42" x14ac:dyDescent="0.25">
      <c r="A269" s="10"/>
      <c r="B269" s="10"/>
      <c r="C269" s="10"/>
      <c r="D269" s="10"/>
      <c r="E269" s="10"/>
      <c r="F269" s="10"/>
      <c r="G269" s="10"/>
      <c r="H269" s="17"/>
      <c r="I269" s="10"/>
      <c r="J269" s="10"/>
      <c r="K269" s="16" t="str">
        <f t="shared" ref="K269:K332" si="92">IF($AF269&lt;&gt;"",$AF269,IF(AND($A269&lt;&gt;"",$E269&gt;0),SUM($O269:$Q269),""))</f>
        <v/>
      </c>
      <c r="L269" s="23" t="str">
        <f t="shared" ref="L269:L332" si="93">IF($AG269&lt;&gt;"",$AG269,IF(AND($A269&lt;&gt;"",$E269&gt;0),SUM($R269:$V269),""))</f>
        <v/>
      </c>
      <c r="M269" s="22" t="str">
        <f t="shared" ref="M269:M332" si="94">IF($AH269&lt;&gt;"",$AH269,IF(AND($A269&lt;&gt;"",$E269&gt;0),SUM($W269:$AE269)+$AO269+$AP269,""))</f>
        <v/>
      </c>
      <c r="N269" s="72"/>
      <c r="O269" s="16" t="str">
        <f t="shared" ref="O269:O332" si="95">IF(AND($A269&lt;&gt;"",$E269&gt;0),IF(AND($J269="SONY",200000&lt;=$E269,$E269&lt;1000000),5000*$D269,0),"")</f>
        <v/>
      </c>
      <c r="P269" s="16" t="str">
        <f t="shared" ref="P269:P332" si="96">IF(AND($A269&lt;&gt;"",$E269&gt;0),IF(AND($J269="SONY",1000000&lt;=$E269,$E269&lt;2000000),10000*$D269,0),"")</f>
        <v/>
      </c>
      <c r="Q269" s="16" t="str">
        <f t="shared" ref="Q269:Q332" si="97">IF(AND($A269&lt;&gt;"",$E269&gt;0),IF(AND($J269="SONY",$E269&gt;=2000000),20000*$D269,0),"")</f>
        <v/>
      </c>
      <c r="R269" s="23" t="str">
        <f t="shared" ref="R269:R332" si="98">IF(AND($A269&lt;&gt;"",$E269&gt;0),IF(AND($J269&lt;&gt;"SONY",100000&lt;=$E269,$E269&lt;200000),5000*$D269,0),"")</f>
        <v/>
      </c>
      <c r="S269" s="23" t="str">
        <f t="shared" ref="S269:S332" si="99">IF(AND($A269&lt;&gt;"",$E269&gt;0),IF(AND($J269&lt;&gt;"SONY",200000&lt;=$E269,$E269&lt;500000),10000*$D269,0),"")</f>
        <v/>
      </c>
      <c r="T269" s="23" t="str">
        <f t="shared" ref="T269:T332" si="100">IF(AND($A269&lt;&gt;"",$E269&gt;0),IF(AND($J269&lt;&gt;"SONY",500000&lt;=$E269,$E269&lt;1000000),20000*$D269,0),"")</f>
        <v/>
      </c>
      <c r="U269" s="23" t="str">
        <f t="shared" ref="U269:U332" si="101">IF(AND($A269&lt;&gt;"",$E269&gt;0),IF(AND($J269&lt;&gt;"SONY",1000000&lt;=$E269,$E269&lt;1500000),50000*$D269,0),"")</f>
        <v/>
      </c>
      <c r="V269" s="23" t="str">
        <f t="shared" ref="V269:V332" si="102">IF(AND($A269&lt;&gt;"",$E269&gt;0),IF(AND($J269&lt;&gt;"SONY",1500000&lt;=$E269),100000*$D269,0),"")</f>
        <v/>
      </c>
      <c r="W269" s="70" t="str">
        <f t="shared" ref="W269:W332" si="103">IF(AND($E269&gt;0,$J269="ELECOM",$E269&gt;=500000,ISNUMBER(SEARCH("tai nghe",$C269))),20000*$D269,IF($A269&lt;&gt;"",0,""))</f>
        <v/>
      </c>
      <c r="X269" s="70" t="str">
        <f t="shared" ref="X269:X332" si="104">IF(AND($E269&gt;0,$J269="ELECOM",ISNUMBER(SEARCH("loa",$C269))),20000*$D269,IF($A269&lt;&gt;"",0,""))</f>
        <v/>
      </c>
      <c r="Y269" s="70" t="str">
        <f>IF(AND($A269&lt;&gt;"",$E269&gt;0),isLaptopBag($C269,$J269)*$D269,"")</f>
        <v/>
      </c>
      <c r="Z269" s="70" t="str">
        <f t="shared" ref="Z269:Z332" si="105">IF(AND($E269&gt;0,$J269="ELECOM",ISNUMBER(SEARCH("ốp",$C269))),20000*$D269,IF($A269&lt;&gt;"",0,""))</f>
        <v/>
      </c>
      <c r="AA269" s="70" t="str">
        <f t="shared" ref="AA269:AA332" si="106">IF(AND($E269&gt;0,$J269="ELECOM",ISNUMBER(SEARCH("Bút",$C269))),20000*$D269,IF($A269&lt;&gt;"",0,""))</f>
        <v/>
      </c>
      <c r="AB269" s="70" t="str">
        <f t="shared" ref="AB269:AB332" si="107">IF(AND($E269&gt;0,$J269="ELECOM",ISNUMBER(SEARCH("Chuột bi",$C269))),20000*$D269,IF($A269&lt;&gt;"",0,""))</f>
        <v/>
      </c>
      <c r="AC269" s="70" t="str">
        <f t="shared" ref="AC269:AC332" si="108">IF(AND($E269&gt;0,$J269="ELECOM",ISNUMBER(SEARCH("Chuột trackball",$C269))),20000*$D269,IF($A269&lt;&gt;"",0,""))</f>
        <v/>
      </c>
      <c r="AD269" s="70" t="str">
        <f t="shared" ref="AD269:AD332" si="109">IF(AND($E269&gt;0,$J269="ELECOM",ISNUMBER(SEARCH("Sạc không dây",$C269))),20000*$D269,IF($A269&lt;&gt;"",0,""))</f>
        <v/>
      </c>
      <c r="AE269" s="70" t="str">
        <f t="shared" ref="AE269:AE332" si="110">IF(AND($E269&gt;0,$J269="ELECOM",ISNUMBER(SEARCH("Sạc kd",$C269))),20000*$D269,IF($A269&lt;&gt;"",0,""))</f>
        <v/>
      </c>
      <c r="AF269" s="16"/>
      <c r="AG269" s="23"/>
      <c r="AH269" s="22"/>
      <c r="AJ269" s="83">
        <f t="shared" ref="AJ269:AJ332" si="111">DAY(H269)</f>
        <v>0</v>
      </c>
      <c r="AO269" s="22" t="str">
        <f t="shared" ref="AO269:AO332" si="112">IF(AND($E269&gt;0,ISNUMBER(SEARCH("Sạc dự phòng Energizer",$C269))),10000*$D269,IF($A269&lt;&gt;"",0,""))</f>
        <v/>
      </c>
      <c r="AP269" s="22" t="str">
        <f t="shared" ref="AP269:AP332" si="113">IF(AND($E269&gt;0,ISNUMBER(SEARCH("SDP Energizer",$C269))),10000*$D269,IF($A269&lt;&gt;"",0,""))</f>
        <v/>
      </c>
    </row>
    <row r="270" spans="1:42" x14ac:dyDescent="0.25">
      <c r="A270" s="10"/>
      <c r="B270" s="10"/>
      <c r="C270" s="10"/>
      <c r="D270" s="10"/>
      <c r="E270" s="10"/>
      <c r="F270" s="10"/>
      <c r="G270" s="10"/>
      <c r="H270" s="17"/>
      <c r="I270" s="10"/>
      <c r="J270" s="10"/>
      <c r="K270" s="16" t="str">
        <f t="shared" si="92"/>
        <v/>
      </c>
      <c r="L270" s="23" t="str">
        <f t="shared" si="93"/>
        <v/>
      </c>
      <c r="M270" s="22" t="str">
        <f t="shared" si="94"/>
        <v/>
      </c>
      <c r="N270" s="72"/>
      <c r="O270" s="16" t="str">
        <f t="shared" si="95"/>
        <v/>
      </c>
      <c r="P270" s="16" t="str">
        <f t="shared" si="96"/>
        <v/>
      </c>
      <c r="Q270" s="16" t="str">
        <f t="shared" si="97"/>
        <v/>
      </c>
      <c r="R270" s="23" t="str">
        <f t="shared" si="98"/>
        <v/>
      </c>
      <c r="S270" s="23" t="str">
        <f t="shared" si="99"/>
        <v/>
      </c>
      <c r="T270" s="23" t="str">
        <f t="shared" si="100"/>
        <v/>
      </c>
      <c r="U270" s="23" t="str">
        <f t="shared" si="101"/>
        <v/>
      </c>
      <c r="V270" s="23" t="str">
        <f t="shared" si="102"/>
        <v/>
      </c>
      <c r="W270" s="70" t="str">
        <f t="shared" si="103"/>
        <v/>
      </c>
      <c r="X270" s="70" t="str">
        <f t="shared" si="104"/>
        <v/>
      </c>
      <c r="Y270" s="70" t="str">
        <f>IF(AND($A270&lt;&gt;"",$E270&gt;0),isLaptopBag($C270,$J270)*$D270,"")</f>
        <v/>
      </c>
      <c r="Z270" s="70" t="str">
        <f t="shared" si="105"/>
        <v/>
      </c>
      <c r="AA270" s="70" t="str">
        <f t="shared" si="106"/>
        <v/>
      </c>
      <c r="AB270" s="70" t="str">
        <f t="shared" si="107"/>
        <v/>
      </c>
      <c r="AC270" s="70" t="str">
        <f t="shared" si="108"/>
        <v/>
      </c>
      <c r="AD270" s="70" t="str">
        <f t="shared" si="109"/>
        <v/>
      </c>
      <c r="AE270" s="70" t="str">
        <f t="shared" si="110"/>
        <v/>
      </c>
      <c r="AF270" s="16"/>
      <c r="AG270" s="23"/>
      <c r="AH270" s="22"/>
      <c r="AJ270" s="83">
        <f t="shared" si="111"/>
        <v>0</v>
      </c>
      <c r="AO270" s="22" t="str">
        <f t="shared" si="112"/>
        <v/>
      </c>
      <c r="AP270" s="22" t="str">
        <f t="shared" si="113"/>
        <v/>
      </c>
    </row>
    <row r="271" spans="1:42" x14ac:dyDescent="0.25">
      <c r="A271" s="10"/>
      <c r="B271" s="10"/>
      <c r="C271" s="10"/>
      <c r="D271" s="10"/>
      <c r="E271" s="10"/>
      <c r="F271" s="10"/>
      <c r="G271" s="10"/>
      <c r="H271" s="17"/>
      <c r="I271" s="10"/>
      <c r="J271" s="10"/>
      <c r="K271" s="16" t="str">
        <f t="shared" si="92"/>
        <v/>
      </c>
      <c r="L271" s="23" t="str">
        <f t="shared" si="93"/>
        <v/>
      </c>
      <c r="M271" s="22" t="str">
        <f t="shared" si="94"/>
        <v/>
      </c>
      <c r="N271" s="72"/>
      <c r="O271" s="16" t="str">
        <f t="shared" si="95"/>
        <v/>
      </c>
      <c r="P271" s="16" t="str">
        <f t="shared" si="96"/>
        <v/>
      </c>
      <c r="Q271" s="16" t="str">
        <f t="shared" si="97"/>
        <v/>
      </c>
      <c r="R271" s="23" t="str">
        <f t="shared" si="98"/>
        <v/>
      </c>
      <c r="S271" s="23" t="str">
        <f t="shared" si="99"/>
        <v/>
      </c>
      <c r="T271" s="23" t="str">
        <f t="shared" si="100"/>
        <v/>
      </c>
      <c r="U271" s="23" t="str">
        <f t="shared" si="101"/>
        <v/>
      </c>
      <c r="V271" s="23" t="str">
        <f t="shared" si="102"/>
        <v/>
      </c>
      <c r="W271" s="70" t="str">
        <f t="shared" si="103"/>
        <v/>
      </c>
      <c r="X271" s="70" t="str">
        <f t="shared" si="104"/>
        <v/>
      </c>
      <c r="Y271" s="70" t="str">
        <f>IF(AND($A271&lt;&gt;"",$E271&gt;0),isLaptopBag($C271,$J271)*$D271,"")</f>
        <v/>
      </c>
      <c r="Z271" s="70" t="str">
        <f t="shared" si="105"/>
        <v/>
      </c>
      <c r="AA271" s="70" t="str">
        <f t="shared" si="106"/>
        <v/>
      </c>
      <c r="AB271" s="70" t="str">
        <f t="shared" si="107"/>
        <v/>
      </c>
      <c r="AC271" s="70" t="str">
        <f t="shared" si="108"/>
        <v/>
      </c>
      <c r="AD271" s="70" t="str">
        <f t="shared" si="109"/>
        <v/>
      </c>
      <c r="AE271" s="70" t="str">
        <f t="shared" si="110"/>
        <v/>
      </c>
      <c r="AF271" s="16"/>
      <c r="AG271" s="23"/>
      <c r="AH271" s="22"/>
      <c r="AJ271" s="83">
        <f t="shared" si="111"/>
        <v>0</v>
      </c>
      <c r="AO271" s="22" t="str">
        <f t="shared" si="112"/>
        <v/>
      </c>
      <c r="AP271" s="22" t="str">
        <f t="shared" si="113"/>
        <v/>
      </c>
    </row>
    <row r="272" spans="1:42" x14ac:dyDescent="0.25">
      <c r="A272" s="10"/>
      <c r="B272" s="10"/>
      <c r="C272" s="10"/>
      <c r="D272" s="10"/>
      <c r="E272" s="10"/>
      <c r="F272" s="10"/>
      <c r="G272" s="10"/>
      <c r="H272" s="17"/>
      <c r="I272" s="10"/>
      <c r="J272" s="10"/>
      <c r="K272" s="16" t="str">
        <f t="shared" si="92"/>
        <v/>
      </c>
      <c r="L272" s="23" t="str">
        <f t="shared" si="93"/>
        <v/>
      </c>
      <c r="M272" s="22" t="str">
        <f t="shared" si="94"/>
        <v/>
      </c>
      <c r="N272" s="72"/>
      <c r="O272" s="16" t="str">
        <f t="shared" si="95"/>
        <v/>
      </c>
      <c r="P272" s="16" t="str">
        <f t="shared" si="96"/>
        <v/>
      </c>
      <c r="Q272" s="16" t="str">
        <f t="shared" si="97"/>
        <v/>
      </c>
      <c r="R272" s="23" t="str">
        <f t="shared" si="98"/>
        <v/>
      </c>
      <c r="S272" s="23" t="str">
        <f t="shared" si="99"/>
        <v/>
      </c>
      <c r="T272" s="23" t="str">
        <f t="shared" si="100"/>
        <v/>
      </c>
      <c r="U272" s="23" t="str">
        <f t="shared" si="101"/>
        <v/>
      </c>
      <c r="V272" s="23" t="str">
        <f t="shared" si="102"/>
        <v/>
      </c>
      <c r="W272" s="70" t="str">
        <f t="shared" si="103"/>
        <v/>
      </c>
      <c r="X272" s="70" t="str">
        <f t="shared" si="104"/>
        <v/>
      </c>
      <c r="Y272" s="70" t="str">
        <f>IF(AND($A272&lt;&gt;"",$E272&gt;0),isLaptopBag($C272,$J272)*$D272,"")</f>
        <v/>
      </c>
      <c r="Z272" s="70" t="str">
        <f t="shared" si="105"/>
        <v/>
      </c>
      <c r="AA272" s="70" t="str">
        <f t="shared" si="106"/>
        <v/>
      </c>
      <c r="AB272" s="70" t="str">
        <f t="shared" si="107"/>
        <v/>
      </c>
      <c r="AC272" s="70" t="str">
        <f t="shared" si="108"/>
        <v/>
      </c>
      <c r="AD272" s="70" t="str">
        <f t="shared" si="109"/>
        <v/>
      </c>
      <c r="AE272" s="70" t="str">
        <f t="shared" si="110"/>
        <v/>
      </c>
      <c r="AF272" s="16"/>
      <c r="AG272" s="23"/>
      <c r="AH272" s="22"/>
      <c r="AJ272" s="83">
        <f t="shared" si="111"/>
        <v>0</v>
      </c>
      <c r="AO272" s="22" t="str">
        <f t="shared" si="112"/>
        <v/>
      </c>
      <c r="AP272" s="22" t="str">
        <f t="shared" si="113"/>
        <v/>
      </c>
    </row>
    <row r="273" spans="1:42" x14ac:dyDescent="0.25">
      <c r="A273" s="10"/>
      <c r="B273" s="10"/>
      <c r="C273" s="10"/>
      <c r="D273" s="10"/>
      <c r="E273" s="10"/>
      <c r="F273" s="10"/>
      <c r="G273" s="10"/>
      <c r="H273" s="17"/>
      <c r="I273" s="10"/>
      <c r="J273" s="10"/>
      <c r="K273" s="16" t="str">
        <f t="shared" si="92"/>
        <v/>
      </c>
      <c r="L273" s="23" t="str">
        <f t="shared" si="93"/>
        <v/>
      </c>
      <c r="M273" s="22" t="str">
        <f t="shared" si="94"/>
        <v/>
      </c>
      <c r="N273" s="72"/>
      <c r="O273" s="16" t="str">
        <f t="shared" si="95"/>
        <v/>
      </c>
      <c r="P273" s="16" t="str">
        <f t="shared" si="96"/>
        <v/>
      </c>
      <c r="Q273" s="16" t="str">
        <f t="shared" si="97"/>
        <v/>
      </c>
      <c r="R273" s="23" t="str">
        <f t="shared" si="98"/>
        <v/>
      </c>
      <c r="S273" s="23" t="str">
        <f t="shared" si="99"/>
        <v/>
      </c>
      <c r="T273" s="23" t="str">
        <f t="shared" si="100"/>
        <v/>
      </c>
      <c r="U273" s="23" t="str">
        <f t="shared" si="101"/>
        <v/>
      </c>
      <c r="V273" s="23" t="str">
        <f t="shared" si="102"/>
        <v/>
      </c>
      <c r="W273" s="70" t="str">
        <f t="shared" si="103"/>
        <v/>
      </c>
      <c r="X273" s="70" t="str">
        <f t="shared" si="104"/>
        <v/>
      </c>
      <c r="Y273" s="70" t="str">
        <f>IF(AND($A273&lt;&gt;"",$E273&gt;0),isLaptopBag($C273,$J273)*$D273,"")</f>
        <v/>
      </c>
      <c r="Z273" s="70" t="str">
        <f t="shared" si="105"/>
        <v/>
      </c>
      <c r="AA273" s="70" t="str">
        <f t="shared" si="106"/>
        <v/>
      </c>
      <c r="AB273" s="70" t="str">
        <f t="shared" si="107"/>
        <v/>
      </c>
      <c r="AC273" s="70" t="str">
        <f t="shared" si="108"/>
        <v/>
      </c>
      <c r="AD273" s="70" t="str">
        <f t="shared" si="109"/>
        <v/>
      </c>
      <c r="AE273" s="70" t="str">
        <f t="shared" si="110"/>
        <v/>
      </c>
      <c r="AF273" s="16"/>
      <c r="AG273" s="23"/>
      <c r="AH273" s="22"/>
      <c r="AJ273" s="83">
        <f t="shared" si="111"/>
        <v>0</v>
      </c>
      <c r="AO273" s="22" t="str">
        <f t="shared" si="112"/>
        <v/>
      </c>
      <c r="AP273" s="22" t="str">
        <f t="shared" si="113"/>
        <v/>
      </c>
    </row>
    <row r="274" spans="1:42" x14ac:dyDescent="0.25">
      <c r="A274" s="10"/>
      <c r="B274" s="10"/>
      <c r="C274" s="10"/>
      <c r="D274" s="10"/>
      <c r="E274" s="10"/>
      <c r="F274" s="10"/>
      <c r="G274" s="10"/>
      <c r="H274" s="17"/>
      <c r="I274" s="10"/>
      <c r="J274" s="10"/>
      <c r="K274" s="16" t="str">
        <f t="shared" si="92"/>
        <v/>
      </c>
      <c r="L274" s="23" t="str">
        <f t="shared" si="93"/>
        <v/>
      </c>
      <c r="M274" s="22" t="str">
        <f t="shared" si="94"/>
        <v/>
      </c>
      <c r="N274" s="72"/>
      <c r="O274" s="16" t="str">
        <f t="shared" si="95"/>
        <v/>
      </c>
      <c r="P274" s="16" t="str">
        <f t="shared" si="96"/>
        <v/>
      </c>
      <c r="Q274" s="16" t="str">
        <f t="shared" si="97"/>
        <v/>
      </c>
      <c r="R274" s="23" t="str">
        <f t="shared" si="98"/>
        <v/>
      </c>
      <c r="S274" s="23" t="str">
        <f t="shared" si="99"/>
        <v/>
      </c>
      <c r="T274" s="23" t="str">
        <f t="shared" si="100"/>
        <v/>
      </c>
      <c r="U274" s="23" t="str">
        <f t="shared" si="101"/>
        <v/>
      </c>
      <c r="V274" s="23" t="str">
        <f t="shared" si="102"/>
        <v/>
      </c>
      <c r="W274" s="70" t="str">
        <f t="shared" si="103"/>
        <v/>
      </c>
      <c r="X274" s="70" t="str">
        <f t="shared" si="104"/>
        <v/>
      </c>
      <c r="Y274" s="70" t="str">
        <f>IF(AND($A274&lt;&gt;"",$E274&gt;0),isLaptopBag($C274,$J274)*$D274,"")</f>
        <v/>
      </c>
      <c r="Z274" s="70" t="str">
        <f t="shared" si="105"/>
        <v/>
      </c>
      <c r="AA274" s="70" t="str">
        <f t="shared" si="106"/>
        <v/>
      </c>
      <c r="AB274" s="70" t="str">
        <f t="shared" si="107"/>
        <v/>
      </c>
      <c r="AC274" s="70" t="str">
        <f t="shared" si="108"/>
        <v/>
      </c>
      <c r="AD274" s="70" t="str">
        <f t="shared" si="109"/>
        <v/>
      </c>
      <c r="AE274" s="70" t="str">
        <f t="shared" si="110"/>
        <v/>
      </c>
      <c r="AF274" s="16"/>
      <c r="AG274" s="23"/>
      <c r="AH274" s="22"/>
      <c r="AJ274" s="83">
        <f t="shared" si="111"/>
        <v>0</v>
      </c>
      <c r="AO274" s="22" t="str">
        <f t="shared" si="112"/>
        <v/>
      </c>
      <c r="AP274" s="22" t="str">
        <f t="shared" si="113"/>
        <v/>
      </c>
    </row>
    <row r="275" spans="1:42" x14ac:dyDescent="0.25">
      <c r="A275" s="10"/>
      <c r="B275" s="10"/>
      <c r="C275" s="10"/>
      <c r="D275" s="10"/>
      <c r="E275" s="10"/>
      <c r="F275" s="10"/>
      <c r="G275" s="10"/>
      <c r="H275" s="17"/>
      <c r="I275" s="10"/>
      <c r="J275" s="10"/>
      <c r="K275" s="16" t="str">
        <f t="shared" si="92"/>
        <v/>
      </c>
      <c r="L275" s="23" t="str">
        <f t="shared" si="93"/>
        <v/>
      </c>
      <c r="M275" s="22" t="str">
        <f t="shared" si="94"/>
        <v/>
      </c>
      <c r="N275" s="72"/>
      <c r="O275" s="16" t="str">
        <f t="shared" si="95"/>
        <v/>
      </c>
      <c r="P275" s="16" t="str">
        <f t="shared" si="96"/>
        <v/>
      </c>
      <c r="Q275" s="16" t="str">
        <f t="shared" si="97"/>
        <v/>
      </c>
      <c r="R275" s="23" t="str">
        <f t="shared" si="98"/>
        <v/>
      </c>
      <c r="S275" s="23" t="str">
        <f t="shared" si="99"/>
        <v/>
      </c>
      <c r="T275" s="23" t="str">
        <f t="shared" si="100"/>
        <v/>
      </c>
      <c r="U275" s="23" t="str">
        <f t="shared" si="101"/>
        <v/>
      </c>
      <c r="V275" s="23" t="str">
        <f t="shared" si="102"/>
        <v/>
      </c>
      <c r="W275" s="70" t="str">
        <f t="shared" si="103"/>
        <v/>
      </c>
      <c r="X275" s="70" t="str">
        <f t="shared" si="104"/>
        <v/>
      </c>
      <c r="Y275" s="70" t="str">
        <f>IF(AND($A275&lt;&gt;"",$E275&gt;0),isLaptopBag($C275,$J275)*$D275,"")</f>
        <v/>
      </c>
      <c r="Z275" s="70" t="str">
        <f t="shared" si="105"/>
        <v/>
      </c>
      <c r="AA275" s="70" t="str">
        <f t="shared" si="106"/>
        <v/>
      </c>
      <c r="AB275" s="70" t="str">
        <f t="shared" si="107"/>
        <v/>
      </c>
      <c r="AC275" s="70" t="str">
        <f t="shared" si="108"/>
        <v/>
      </c>
      <c r="AD275" s="70" t="str">
        <f t="shared" si="109"/>
        <v/>
      </c>
      <c r="AE275" s="70" t="str">
        <f t="shared" si="110"/>
        <v/>
      </c>
      <c r="AF275" s="16"/>
      <c r="AG275" s="23"/>
      <c r="AH275" s="22"/>
      <c r="AJ275" s="83">
        <f t="shared" si="111"/>
        <v>0</v>
      </c>
      <c r="AO275" s="22" t="str">
        <f t="shared" si="112"/>
        <v/>
      </c>
      <c r="AP275" s="22" t="str">
        <f t="shared" si="113"/>
        <v/>
      </c>
    </row>
    <row r="276" spans="1:42" x14ac:dyDescent="0.25">
      <c r="A276" s="10"/>
      <c r="B276" s="10"/>
      <c r="C276" s="10"/>
      <c r="D276" s="10"/>
      <c r="E276" s="10"/>
      <c r="F276" s="10"/>
      <c r="G276" s="10"/>
      <c r="H276" s="17"/>
      <c r="I276" s="10"/>
      <c r="J276" s="10"/>
      <c r="K276" s="16" t="str">
        <f t="shared" si="92"/>
        <v/>
      </c>
      <c r="L276" s="23" t="str">
        <f t="shared" si="93"/>
        <v/>
      </c>
      <c r="M276" s="22" t="str">
        <f t="shared" si="94"/>
        <v/>
      </c>
      <c r="N276" s="72"/>
      <c r="O276" s="16" t="str">
        <f t="shared" si="95"/>
        <v/>
      </c>
      <c r="P276" s="16" t="str">
        <f t="shared" si="96"/>
        <v/>
      </c>
      <c r="Q276" s="16" t="str">
        <f t="shared" si="97"/>
        <v/>
      </c>
      <c r="R276" s="23" t="str">
        <f t="shared" si="98"/>
        <v/>
      </c>
      <c r="S276" s="23" t="str">
        <f t="shared" si="99"/>
        <v/>
      </c>
      <c r="T276" s="23" t="str">
        <f t="shared" si="100"/>
        <v/>
      </c>
      <c r="U276" s="23" t="str">
        <f t="shared" si="101"/>
        <v/>
      </c>
      <c r="V276" s="23" t="str">
        <f t="shared" si="102"/>
        <v/>
      </c>
      <c r="W276" s="70" t="str">
        <f t="shared" si="103"/>
        <v/>
      </c>
      <c r="X276" s="70" t="str">
        <f t="shared" si="104"/>
        <v/>
      </c>
      <c r="Y276" s="70" t="str">
        <f>IF(AND($A276&lt;&gt;"",$E276&gt;0),isLaptopBag($C276,$J276)*$D276,"")</f>
        <v/>
      </c>
      <c r="Z276" s="70" t="str">
        <f t="shared" si="105"/>
        <v/>
      </c>
      <c r="AA276" s="70" t="str">
        <f t="shared" si="106"/>
        <v/>
      </c>
      <c r="AB276" s="70" t="str">
        <f t="shared" si="107"/>
        <v/>
      </c>
      <c r="AC276" s="70" t="str">
        <f t="shared" si="108"/>
        <v/>
      </c>
      <c r="AD276" s="70" t="str">
        <f t="shared" si="109"/>
        <v/>
      </c>
      <c r="AE276" s="70" t="str">
        <f t="shared" si="110"/>
        <v/>
      </c>
      <c r="AF276" s="16"/>
      <c r="AG276" s="23"/>
      <c r="AH276" s="22"/>
      <c r="AJ276" s="83">
        <f t="shared" si="111"/>
        <v>0</v>
      </c>
      <c r="AO276" s="22" t="str">
        <f t="shared" si="112"/>
        <v/>
      </c>
      <c r="AP276" s="22" t="str">
        <f t="shared" si="113"/>
        <v/>
      </c>
    </row>
    <row r="277" spans="1:42" x14ac:dyDescent="0.25">
      <c r="A277" s="10"/>
      <c r="B277" s="10"/>
      <c r="C277" s="10"/>
      <c r="D277" s="10"/>
      <c r="E277" s="10"/>
      <c r="F277" s="10"/>
      <c r="G277" s="10"/>
      <c r="H277" s="17"/>
      <c r="I277" s="10"/>
      <c r="J277" s="10"/>
      <c r="K277" s="16" t="str">
        <f t="shared" si="92"/>
        <v/>
      </c>
      <c r="L277" s="23" t="str">
        <f t="shared" si="93"/>
        <v/>
      </c>
      <c r="M277" s="22" t="str">
        <f t="shared" si="94"/>
        <v/>
      </c>
      <c r="N277" s="72"/>
      <c r="O277" s="16" t="str">
        <f t="shared" si="95"/>
        <v/>
      </c>
      <c r="P277" s="16" t="str">
        <f t="shared" si="96"/>
        <v/>
      </c>
      <c r="Q277" s="16" t="str">
        <f t="shared" si="97"/>
        <v/>
      </c>
      <c r="R277" s="23" t="str">
        <f t="shared" si="98"/>
        <v/>
      </c>
      <c r="S277" s="23" t="str">
        <f t="shared" si="99"/>
        <v/>
      </c>
      <c r="T277" s="23" t="str">
        <f t="shared" si="100"/>
        <v/>
      </c>
      <c r="U277" s="23" t="str">
        <f t="shared" si="101"/>
        <v/>
      </c>
      <c r="V277" s="23" t="str">
        <f t="shared" si="102"/>
        <v/>
      </c>
      <c r="W277" s="70" t="str">
        <f t="shared" si="103"/>
        <v/>
      </c>
      <c r="X277" s="70" t="str">
        <f t="shared" si="104"/>
        <v/>
      </c>
      <c r="Y277" s="70" t="str">
        <f>IF(AND($A277&lt;&gt;"",$E277&gt;0),isLaptopBag($C277,$J277)*$D277,"")</f>
        <v/>
      </c>
      <c r="Z277" s="70" t="str">
        <f t="shared" si="105"/>
        <v/>
      </c>
      <c r="AA277" s="70" t="str">
        <f t="shared" si="106"/>
        <v/>
      </c>
      <c r="AB277" s="70" t="str">
        <f t="shared" si="107"/>
        <v/>
      </c>
      <c r="AC277" s="70" t="str">
        <f t="shared" si="108"/>
        <v/>
      </c>
      <c r="AD277" s="70" t="str">
        <f t="shared" si="109"/>
        <v/>
      </c>
      <c r="AE277" s="70" t="str">
        <f t="shared" si="110"/>
        <v/>
      </c>
      <c r="AF277" s="16"/>
      <c r="AG277" s="23"/>
      <c r="AH277" s="22"/>
      <c r="AJ277" s="83">
        <f t="shared" si="111"/>
        <v>0</v>
      </c>
      <c r="AO277" s="22" t="str">
        <f t="shared" si="112"/>
        <v/>
      </c>
      <c r="AP277" s="22" t="str">
        <f t="shared" si="113"/>
        <v/>
      </c>
    </row>
    <row r="278" spans="1:42" x14ac:dyDescent="0.25">
      <c r="A278" s="10"/>
      <c r="B278" s="10"/>
      <c r="C278" s="10"/>
      <c r="D278" s="10"/>
      <c r="E278" s="10"/>
      <c r="F278" s="10"/>
      <c r="G278" s="10"/>
      <c r="H278" s="17"/>
      <c r="I278" s="10"/>
      <c r="J278" s="10"/>
      <c r="K278" s="16" t="str">
        <f t="shared" si="92"/>
        <v/>
      </c>
      <c r="L278" s="23" t="str">
        <f t="shared" si="93"/>
        <v/>
      </c>
      <c r="M278" s="22" t="str">
        <f t="shared" si="94"/>
        <v/>
      </c>
      <c r="N278" s="72"/>
      <c r="O278" s="16" t="str">
        <f t="shared" si="95"/>
        <v/>
      </c>
      <c r="P278" s="16" t="str">
        <f t="shared" si="96"/>
        <v/>
      </c>
      <c r="Q278" s="16" t="str">
        <f t="shared" si="97"/>
        <v/>
      </c>
      <c r="R278" s="23" t="str">
        <f t="shared" si="98"/>
        <v/>
      </c>
      <c r="S278" s="23" t="str">
        <f t="shared" si="99"/>
        <v/>
      </c>
      <c r="T278" s="23" t="str">
        <f t="shared" si="100"/>
        <v/>
      </c>
      <c r="U278" s="23" t="str">
        <f t="shared" si="101"/>
        <v/>
      </c>
      <c r="V278" s="23" t="str">
        <f t="shared" si="102"/>
        <v/>
      </c>
      <c r="W278" s="70" t="str">
        <f t="shared" si="103"/>
        <v/>
      </c>
      <c r="X278" s="70" t="str">
        <f t="shared" si="104"/>
        <v/>
      </c>
      <c r="Y278" s="70" t="str">
        <f>IF(AND($A278&lt;&gt;"",$E278&gt;0),isLaptopBag($C278,$J278)*$D278,"")</f>
        <v/>
      </c>
      <c r="Z278" s="70" t="str">
        <f t="shared" si="105"/>
        <v/>
      </c>
      <c r="AA278" s="70" t="str">
        <f t="shared" si="106"/>
        <v/>
      </c>
      <c r="AB278" s="70" t="str">
        <f t="shared" si="107"/>
        <v/>
      </c>
      <c r="AC278" s="70" t="str">
        <f t="shared" si="108"/>
        <v/>
      </c>
      <c r="AD278" s="70" t="str">
        <f t="shared" si="109"/>
        <v/>
      </c>
      <c r="AE278" s="70" t="str">
        <f t="shared" si="110"/>
        <v/>
      </c>
      <c r="AF278" s="16"/>
      <c r="AG278" s="23"/>
      <c r="AH278" s="22"/>
      <c r="AJ278" s="83">
        <f t="shared" si="111"/>
        <v>0</v>
      </c>
      <c r="AO278" s="22" t="str">
        <f t="shared" si="112"/>
        <v/>
      </c>
      <c r="AP278" s="22" t="str">
        <f t="shared" si="113"/>
        <v/>
      </c>
    </row>
    <row r="279" spans="1:42" x14ac:dyDescent="0.25">
      <c r="A279" s="10"/>
      <c r="B279" s="10"/>
      <c r="C279" s="10"/>
      <c r="D279" s="10"/>
      <c r="E279" s="10"/>
      <c r="F279" s="10"/>
      <c r="G279" s="10"/>
      <c r="H279" s="17"/>
      <c r="I279" s="10"/>
      <c r="J279" s="10"/>
      <c r="K279" s="16" t="str">
        <f t="shared" si="92"/>
        <v/>
      </c>
      <c r="L279" s="23" t="str">
        <f t="shared" si="93"/>
        <v/>
      </c>
      <c r="M279" s="22" t="str">
        <f t="shared" si="94"/>
        <v/>
      </c>
      <c r="N279" s="72"/>
      <c r="O279" s="16" t="str">
        <f t="shared" si="95"/>
        <v/>
      </c>
      <c r="P279" s="16" t="str">
        <f t="shared" si="96"/>
        <v/>
      </c>
      <c r="Q279" s="16" t="str">
        <f t="shared" si="97"/>
        <v/>
      </c>
      <c r="R279" s="23" t="str">
        <f t="shared" si="98"/>
        <v/>
      </c>
      <c r="S279" s="23" t="str">
        <f t="shared" si="99"/>
        <v/>
      </c>
      <c r="T279" s="23" t="str">
        <f t="shared" si="100"/>
        <v/>
      </c>
      <c r="U279" s="23" t="str">
        <f t="shared" si="101"/>
        <v/>
      </c>
      <c r="V279" s="23" t="str">
        <f t="shared" si="102"/>
        <v/>
      </c>
      <c r="W279" s="70" t="str">
        <f t="shared" si="103"/>
        <v/>
      </c>
      <c r="X279" s="70" t="str">
        <f t="shared" si="104"/>
        <v/>
      </c>
      <c r="Y279" s="70" t="str">
        <f>IF(AND($A279&lt;&gt;"",$E279&gt;0),isLaptopBag($C279,$J279)*$D279,"")</f>
        <v/>
      </c>
      <c r="Z279" s="70" t="str">
        <f t="shared" si="105"/>
        <v/>
      </c>
      <c r="AA279" s="70" t="str">
        <f t="shared" si="106"/>
        <v/>
      </c>
      <c r="AB279" s="70" t="str">
        <f t="shared" si="107"/>
        <v/>
      </c>
      <c r="AC279" s="70" t="str">
        <f t="shared" si="108"/>
        <v/>
      </c>
      <c r="AD279" s="70" t="str">
        <f t="shared" si="109"/>
        <v/>
      </c>
      <c r="AE279" s="70" t="str">
        <f t="shared" si="110"/>
        <v/>
      </c>
      <c r="AF279" s="16"/>
      <c r="AG279" s="23"/>
      <c r="AH279" s="22"/>
      <c r="AJ279" s="83">
        <f t="shared" si="111"/>
        <v>0</v>
      </c>
      <c r="AO279" s="22" t="str">
        <f t="shared" si="112"/>
        <v/>
      </c>
      <c r="AP279" s="22" t="str">
        <f t="shared" si="113"/>
        <v/>
      </c>
    </row>
    <row r="280" spans="1:42" x14ac:dyDescent="0.25">
      <c r="A280" s="10"/>
      <c r="B280" s="10"/>
      <c r="C280" s="10"/>
      <c r="D280" s="10"/>
      <c r="E280" s="10"/>
      <c r="F280" s="10"/>
      <c r="G280" s="10"/>
      <c r="H280" s="17"/>
      <c r="I280" s="10"/>
      <c r="J280" s="10"/>
      <c r="K280" s="16" t="str">
        <f t="shared" si="92"/>
        <v/>
      </c>
      <c r="L280" s="23" t="str">
        <f t="shared" si="93"/>
        <v/>
      </c>
      <c r="M280" s="22" t="str">
        <f t="shared" si="94"/>
        <v/>
      </c>
      <c r="N280" s="72"/>
      <c r="O280" s="16" t="str">
        <f t="shared" si="95"/>
        <v/>
      </c>
      <c r="P280" s="16" t="str">
        <f t="shared" si="96"/>
        <v/>
      </c>
      <c r="Q280" s="16" t="str">
        <f t="shared" si="97"/>
        <v/>
      </c>
      <c r="R280" s="23" t="str">
        <f t="shared" si="98"/>
        <v/>
      </c>
      <c r="S280" s="23" t="str">
        <f t="shared" si="99"/>
        <v/>
      </c>
      <c r="T280" s="23" t="str">
        <f t="shared" si="100"/>
        <v/>
      </c>
      <c r="U280" s="23" t="str">
        <f t="shared" si="101"/>
        <v/>
      </c>
      <c r="V280" s="23" t="str">
        <f t="shared" si="102"/>
        <v/>
      </c>
      <c r="W280" s="70" t="str">
        <f t="shared" si="103"/>
        <v/>
      </c>
      <c r="X280" s="70" t="str">
        <f t="shared" si="104"/>
        <v/>
      </c>
      <c r="Y280" s="70" t="str">
        <f>IF(AND($A280&lt;&gt;"",$E280&gt;0),isLaptopBag($C280,$J280)*$D280,"")</f>
        <v/>
      </c>
      <c r="Z280" s="70" t="str">
        <f t="shared" si="105"/>
        <v/>
      </c>
      <c r="AA280" s="70" t="str">
        <f t="shared" si="106"/>
        <v/>
      </c>
      <c r="AB280" s="70" t="str">
        <f t="shared" si="107"/>
        <v/>
      </c>
      <c r="AC280" s="70" t="str">
        <f t="shared" si="108"/>
        <v/>
      </c>
      <c r="AD280" s="70" t="str">
        <f t="shared" si="109"/>
        <v/>
      </c>
      <c r="AE280" s="70" t="str">
        <f t="shared" si="110"/>
        <v/>
      </c>
      <c r="AF280" s="16"/>
      <c r="AG280" s="23"/>
      <c r="AH280" s="22"/>
      <c r="AJ280" s="83">
        <f t="shared" si="111"/>
        <v>0</v>
      </c>
      <c r="AO280" s="22" t="str">
        <f t="shared" si="112"/>
        <v/>
      </c>
      <c r="AP280" s="22" t="str">
        <f t="shared" si="113"/>
        <v/>
      </c>
    </row>
    <row r="281" spans="1:42" x14ac:dyDescent="0.25">
      <c r="A281" s="10"/>
      <c r="B281" s="10"/>
      <c r="C281" s="10"/>
      <c r="D281" s="10"/>
      <c r="E281" s="10"/>
      <c r="F281" s="10"/>
      <c r="G281" s="10"/>
      <c r="H281" s="17"/>
      <c r="I281" s="10"/>
      <c r="J281" s="10"/>
      <c r="K281" s="16" t="str">
        <f t="shared" si="92"/>
        <v/>
      </c>
      <c r="L281" s="23" t="str">
        <f t="shared" si="93"/>
        <v/>
      </c>
      <c r="M281" s="22" t="str">
        <f t="shared" si="94"/>
        <v/>
      </c>
      <c r="N281" s="72"/>
      <c r="O281" s="16" t="str">
        <f t="shared" si="95"/>
        <v/>
      </c>
      <c r="P281" s="16" t="str">
        <f t="shared" si="96"/>
        <v/>
      </c>
      <c r="Q281" s="16" t="str">
        <f t="shared" si="97"/>
        <v/>
      </c>
      <c r="R281" s="23" t="str">
        <f t="shared" si="98"/>
        <v/>
      </c>
      <c r="S281" s="23" t="str">
        <f t="shared" si="99"/>
        <v/>
      </c>
      <c r="T281" s="23" t="str">
        <f t="shared" si="100"/>
        <v/>
      </c>
      <c r="U281" s="23" t="str">
        <f t="shared" si="101"/>
        <v/>
      </c>
      <c r="V281" s="23" t="str">
        <f t="shared" si="102"/>
        <v/>
      </c>
      <c r="W281" s="70" t="str">
        <f t="shared" si="103"/>
        <v/>
      </c>
      <c r="X281" s="70" t="str">
        <f t="shared" si="104"/>
        <v/>
      </c>
      <c r="Y281" s="70" t="str">
        <f>IF(AND($A281&lt;&gt;"",$E281&gt;0),isLaptopBag($C281,$J281)*$D281,"")</f>
        <v/>
      </c>
      <c r="Z281" s="70" t="str">
        <f t="shared" si="105"/>
        <v/>
      </c>
      <c r="AA281" s="70" t="str">
        <f t="shared" si="106"/>
        <v/>
      </c>
      <c r="AB281" s="70" t="str">
        <f t="shared" si="107"/>
        <v/>
      </c>
      <c r="AC281" s="70" t="str">
        <f t="shared" si="108"/>
        <v/>
      </c>
      <c r="AD281" s="70" t="str">
        <f t="shared" si="109"/>
        <v/>
      </c>
      <c r="AE281" s="70" t="str">
        <f t="shared" si="110"/>
        <v/>
      </c>
      <c r="AF281" s="16"/>
      <c r="AG281" s="23"/>
      <c r="AH281" s="22"/>
      <c r="AJ281" s="83">
        <f t="shared" si="111"/>
        <v>0</v>
      </c>
      <c r="AO281" s="22" t="str">
        <f t="shared" si="112"/>
        <v/>
      </c>
      <c r="AP281" s="22" t="str">
        <f t="shared" si="113"/>
        <v/>
      </c>
    </row>
    <row r="282" spans="1:42" x14ac:dyDescent="0.25">
      <c r="A282" s="10"/>
      <c r="B282" s="10"/>
      <c r="C282" s="10"/>
      <c r="D282" s="10"/>
      <c r="E282" s="10"/>
      <c r="F282" s="10"/>
      <c r="G282" s="10"/>
      <c r="H282" s="17"/>
      <c r="I282" s="10"/>
      <c r="J282" s="10"/>
      <c r="K282" s="16" t="str">
        <f t="shared" si="92"/>
        <v/>
      </c>
      <c r="L282" s="23" t="str">
        <f t="shared" si="93"/>
        <v/>
      </c>
      <c r="M282" s="22" t="str">
        <f t="shared" si="94"/>
        <v/>
      </c>
      <c r="N282" s="72"/>
      <c r="O282" s="16" t="str">
        <f t="shared" si="95"/>
        <v/>
      </c>
      <c r="P282" s="16" t="str">
        <f t="shared" si="96"/>
        <v/>
      </c>
      <c r="Q282" s="16" t="str">
        <f t="shared" si="97"/>
        <v/>
      </c>
      <c r="R282" s="23" t="str">
        <f t="shared" si="98"/>
        <v/>
      </c>
      <c r="S282" s="23" t="str">
        <f t="shared" si="99"/>
        <v/>
      </c>
      <c r="T282" s="23" t="str">
        <f t="shared" si="100"/>
        <v/>
      </c>
      <c r="U282" s="23" t="str">
        <f t="shared" si="101"/>
        <v/>
      </c>
      <c r="V282" s="23" t="str">
        <f t="shared" si="102"/>
        <v/>
      </c>
      <c r="W282" s="70" t="str">
        <f t="shared" si="103"/>
        <v/>
      </c>
      <c r="X282" s="70" t="str">
        <f t="shared" si="104"/>
        <v/>
      </c>
      <c r="Y282" s="70" t="str">
        <f>IF(AND($A282&lt;&gt;"",$E282&gt;0),isLaptopBag($C282,$J282)*$D282,"")</f>
        <v/>
      </c>
      <c r="Z282" s="70" t="str">
        <f t="shared" si="105"/>
        <v/>
      </c>
      <c r="AA282" s="70" t="str">
        <f t="shared" si="106"/>
        <v/>
      </c>
      <c r="AB282" s="70" t="str">
        <f t="shared" si="107"/>
        <v/>
      </c>
      <c r="AC282" s="70" t="str">
        <f t="shared" si="108"/>
        <v/>
      </c>
      <c r="AD282" s="70" t="str">
        <f t="shared" si="109"/>
        <v/>
      </c>
      <c r="AE282" s="70" t="str">
        <f t="shared" si="110"/>
        <v/>
      </c>
      <c r="AF282" s="16"/>
      <c r="AG282" s="23"/>
      <c r="AH282" s="22"/>
      <c r="AJ282" s="83">
        <f t="shared" si="111"/>
        <v>0</v>
      </c>
      <c r="AO282" s="22" t="str">
        <f t="shared" si="112"/>
        <v/>
      </c>
      <c r="AP282" s="22" t="str">
        <f t="shared" si="113"/>
        <v/>
      </c>
    </row>
    <row r="283" spans="1:42" x14ac:dyDescent="0.25">
      <c r="A283" s="10"/>
      <c r="B283" s="10"/>
      <c r="C283" s="10"/>
      <c r="D283" s="10"/>
      <c r="E283" s="10"/>
      <c r="F283" s="10"/>
      <c r="G283" s="10"/>
      <c r="H283" s="17"/>
      <c r="I283" s="10"/>
      <c r="J283" s="10"/>
      <c r="K283" s="16" t="str">
        <f t="shared" si="92"/>
        <v/>
      </c>
      <c r="L283" s="23" t="str">
        <f t="shared" si="93"/>
        <v/>
      </c>
      <c r="M283" s="22" t="str">
        <f t="shared" si="94"/>
        <v/>
      </c>
      <c r="N283" s="72"/>
      <c r="O283" s="16" t="str">
        <f t="shared" si="95"/>
        <v/>
      </c>
      <c r="P283" s="16" t="str">
        <f t="shared" si="96"/>
        <v/>
      </c>
      <c r="Q283" s="16" t="str">
        <f t="shared" si="97"/>
        <v/>
      </c>
      <c r="R283" s="23" t="str">
        <f t="shared" si="98"/>
        <v/>
      </c>
      <c r="S283" s="23" t="str">
        <f t="shared" si="99"/>
        <v/>
      </c>
      <c r="T283" s="23" t="str">
        <f t="shared" si="100"/>
        <v/>
      </c>
      <c r="U283" s="23" t="str">
        <f t="shared" si="101"/>
        <v/>
      </c>
      <c r="V283" s="23" t="str">
        <f t="shared" si="102"/>
        <v/>
      </c>
      <c r="W283" s="70" t="str">
        <f t="shared" si="103"/>
        <v/>
      </c>
      <c r="X283" s="70" t="str">
        <f t="shared" si="104"/>
        <v/>
      </c>
      <c r="Y283" s="70" t="str">
        <f>IF(AND($A283&lt;&gt;"",$E283&gt;0),isLaptopBag($C283,$J283)*$D283,"")</f>
        <v/>
      </c>
      <c r="Z283" s="70" t="str">
        <f t="shared" si="105"/>
        <v/>
      </c>
      <c r="AA283" s="70" t="str">
        <f t="shared" si="106"/>
        <v/>
      </c>
      <c r="AB283" s="70" t="str">
        <f t="shared" si="107"/>
        <v/>
      </c>
      <c r="AC283" s="70" t="str">
        <f t="shared" si="108"/>
        <v/>
      </c>
      <c r="AD283" s="70" t="str">
        <f t="shared" si="109"/>
        <v/>
      </c>
      <c r="AE283" s="70" t="str">
        <f t="shared" si="110"/>
        <v/>
      </c>
      <c r="AF283" s="16"/>
      <c r="AG283" s="23"/>
      <c r="AH283" s="22"/>
      <c r="AJ283" s="83">
        <f t="shared" si="111"/>
        <v>0</v>
      </c>
      <c r="AO283" s="22" t="str">
        <f t="shared" si="112"/>
        <v/>
      </c>
      <c r="AP283" s="22" t="str">
        <f t="shared" si="113"/>
        <v/>
      </c>
    </row>
    <row r="284" spans="1:42" x14ac:dyDescent="0.25">
      <c r="A284" s="10"/>
      <c r="B284" s="10"/>
      <c r="C284" s="10"/>
      <c r="D284" s="10"/>
      <c r="E284" s="10"/>
      <c r="F284" s="10"/>
      <c r="G284" s="10"/>
      <c r="H284" s="17"/>
      <c r="I284" s="10"/>
      <c r="J284" s="10"/>
      <c r="K284" s="16" t="str">
        <f t="shared" si="92"/>
        <v/>
      </c>
      <c r="L284" s="23" t="str">
        <f t="shared" si="93"/>
        <v/>
      </c>
      <c r="M284" s="22" t="str">
        <f t="shared" si="94"/>
        <v/>
      </c>
      <c r="N284" s="72"/>
      <c r="O284" s="16" t="str">
        <f t="shared" si="95"/>
        <v/>
      </c>
      <c r="P284" s="16" t="str">
        <f t="shared" si="96"/>
        <v/>
      </c>
      <c r="Q284" s="16" t="str">
        <f t="shared" si="97"/>
        <v/>
      </c>
      <c r="R284" s="23" t="str">
        <f t="shared" si="98"/>
        <v/>
      </c>
      <c r="S284" s="23" t="str">
        <f t="shared" si="99"/>
        <v/>
      </c>
      <c r="T284" s="23" t="str">
        <f t="shared" si="100"/>
        <v/>
      </c>
      <c r="U284" s="23" t="str">
        <f t="shared" si="101"/>
        <v/>
      </c>
      <c r="V284" s="23" t="str">
        <f t="shared" si="102"/>
        <v/>
      </c>
      <c r="W284" s="70" t="str">
        <f t="shared" si="103"/>
        <v/>
      </c>
      <c r="X284" s="70" t="str">
        <f t="shared" si="104"/>
        <v/>
      </c>
      <c r="Y284" s="70" t="str">
        <f>IF(AND($A284&lt;&gt;"",$E284&gt;0),isLaptopBag($C284,$J284)*$D284,"")</f>
        <v/>
      </c>
      <c r="Z284" s="70" t="str">
        <f t="shared" si="105"/>
        <v/>
      </c>
      <c r="AA284" s="70" t="str">
        <f t="shared" si="106"/>
        <v/>
      </c>
      <c r="AB284" s="70" t="str">
        <f t="shared" si="107"/>
        <v/>
      </c>
      <c r="AC284" s="70" t="str">
        <f t="shared" si="108"/>
        <v/>
      </c>
      <c r="AD284" s="70" t="str">
        <f t="shared" si="109"/>
        <v/>
      </c>
      <c r="AE284" s="70" t="str">
        <f t="shared" si="110"/>
        <v/>
      </c>
      <c r="AF284" s="16"/>
      <c r="AG284" s="23"/>
      <c r="AH284" s="22"/>
      <c r="AJ284" s="83">
        <f t="shared" si="111"/>
        <v>0</v>
      </c>
      <c r="AO284" s="22" t="str">
        <f t="shared" si="112"/>
        <v/>
      </c>
      <c r="AP284" s="22" t="str">
        <f t="shared" si="113"/>
        <v/>
      </c>
    </row>
    <row r="285" spans="1:42" x14ac:dyDescent="0.25">
      <c r="A285" s="10"/>
      <c r="B285" s="10"/>
      <c r="C285" s="10"/>
      <c r="D285" s="10"/>
      <c r="E285" s="10"/>
      <c r="F285" s="10"/>
      <c r="G285" s="10"/>
      <c r="H285" s="17"/>
      <c r="I285" s="10"/>
      <c r="J285" s="10"/>
      <c r="K285" s="16" t="str">
        <f t="shared" si="92"/>
        <v/>
      </c>
      <c r="L285" s="23" t="str">
        <f t="shared" si="93"/>
        <v/>
      </c>
      <c r="M285" s="22" t="str">
        <f t="shared" si="94"/>
        <v/>
      </c>
      <c r="N285" s="72"/>
      <c r="O285" s="16" t="str">
        <f t="shared" si="95"/>
        <v/>
      </c>
      <c r="P285" s="16" t="str">
        <f t="shared" si="96"/>
        <v/>
      </c>
      <c r="Q285" s="16" t="str">
        <f t="shared" si="97"/>
        <v/>
      </c>
      <c r="R285" s="23" t="str">
        <f t="shared" si="98"/>
        <v/>
      </c>
      <c r="S285" s="23" t="str">
        <f t="shared" si="99"/>
        <v/>
      </c>
      <c r="T285" s="23" t="str">
        <f t="shared" si="100"/>
        <v/>
      </c>
      <c r="U285" s="23" t="str">
        <f t="shared" si="101"/>
        <v/>
      </c>
      <c r="V285" s="23" t="str">
        <f t="shared" si="102"/>
        <v/>
      </c>
      <c r="W285" s="70" t="str">
        <f t="shared" si="103"/>
        <v/>
      </c>
      <c r="X285" s="70" t="str">
        <f t="shared" si="104"/>
        <v/>
      </c>
      <c r="Y285" s="70" t="str">
        <f>IF(AND($A285&lt;&gt;"",$E285&gt;0),isLaptopBag($C285,$J285)*$D285,"")</f>
        <v/>
      </c>
      <c r="Z285" s="70" t="str">
        <f t="shared" si="105"/>
        <v/>
      </c>
      <c r="AA285" s="70" t="str">
        <f t="shared" si="106"/>
        <v/>
      </c>
      <c r="AB285" s="70" t="str">
        <f t="shared" si="107"/>
        <v/>
      </c>
      <c r="AC285" s="70" t="str">
        <f t="shared" si="108"/>
        <v/>
      </c>
      <c r="AD285" s="70" t="str">
        <f t="shared" si="109"/>
        <v/>
      </c>
      <c r="AE285" s="70" t="str">
        <f t="shared" si="110"/>
        <v/>
      </c>
      <c r="AF285" s="16"/>
      <c r="AG285" s="23"/>
      <c r="AH285" s="22"/>
      <c r="AJ285" s="83">
        <f t="shared" si="111"/>
        <v>0</v>
      </c>
      <c r="AO285" s="22" t="str">
        <f t="shared" si="112"/>
        <v/>
      </c>
      <c r="AP285" s="22" t="str">
        <f t="shared" si="113"/>
        <v/>
      </c>
    </row>
    <row r="286" spans="1:42" x14ac:dyDescent="0.25">
      <c r="A286" s="10"/>
      <c r="B286" s="10"/>
      <c r="C286" s="10"/>
      <c r="D286" s="10"/>
      <c r="E286" s="10"/>
      <c r="F286" s="10"/>
      <c r="G286" s="10"/>
      <c r="H286" s="17"/>
      <c r="I286" s="10"/>
      <c r="J286" s="10"/>
      <c r="K286" s="16" t="str">
        <f t="shared" si="92"/>
        <v/>
      </c>
      <c r="L286" s="23" t="str">
        <f t="shared" si="93"/>
        <v/>
      </c>
      <c r="M286" s="22" t="str">
        <f t="shared" si="94"/>
        <v/>
      </c>
      <c r="N286" s="72"/>
      <c r="O286" s="16" t="str">
        <f t="shared" si="95"/>
        <v/>
      </c>
      <c r="P286" s="16" t="str">
        <f t="shared" si="96"/>
        <v/>
      </c>
      <c r="Q286" s="16" t="str">
        <f t="shared" si="97"/>
        <v/>
      </c>
      <c r="R286" s="23" t="str">
        <f t="shared" si="98"/>
        <v/>
      </c>
      <c r="S286" s="23" t="str">
        <f t="shared" si="99"/>
        <v/>
      </c>
      <c r="T286" s="23" t="str">
        <f t="shared" si="100"/>
        <v/>
      </c>
      <c r="U286" s="23" t="str">
        <f t="shared" si="101"/>
        <v/>
      </c>
      <c r="V286" s="23" t="str">
        <f t="shared" si="102"/>
        <v/>
      </c>
      <c r="W286" s="70" t="str">
        <f t="shared" si="103"/>
        <v/>
      </c>
      <c r="X286" s="70" t="str">
        <f t="shared" si="104"/>
        <v/>
      </c>
      <c r="Y286" s="70" t="str">
        <f>IF(AND($A286&lt;&gt;"",$E286&gt;0),isLaptopBag($C286,$J286)*$D286,"")</f>
        <v/>
      </c>
      <c r="Z286" s="70" t="str">
        <f t="shared" si="105"/>
        <v/>
      </c>
      <c r="AA286" s="70" t="str">
        <f t="shared" si="106"/>
        <v/>
      </c>
      <c r="AB286" s="70" t="str">
        <f t="shared" si="107"/>
        <v/>
      </c>
      <c r="AC286" s="70" t="str">
        <f t="shared" si="108"/>
        <v/>
      </c>
      <c r="AD286" s="70" t="str">
        <f t="shared" si="109"/>
        <v/>
      </c>
      <c r="AE286" s="70" t="str">
        <f t="shared" si="110"/>
        <v/>
      </c>
      <c r="AF286" s="16"/>
      <c r="AG286" s="23"/>
      <c r="AH286" s="22"/>
      <c r="AJ286" s="83">
        <f t="shared" si="111"/>
        <v>0</v>
      </c>
      <c r="AO286" s="22" t="str">
        <f t="shared" si="112"/>
        <v/>
      </c>
      <c r="AP286" s="22" t="str">
        <f t="shared" si="113"/>
        <v/>
      </c>
    </row>
    <row r="287" spans="1:42" x14ac:dyDescent="0.25">
      <c r="A287" s="10"/>
      <c r="B287" s="10"/>
      <c r="C287" s="10"/>
      <c r="D287" s="10"/>
      <c r="E287" s="10"/>
      <c r="F287" s="10"/>
      <c r="G287" s="10"/>
      <c r="H287" s="17"/>
      <c r="I287" s="10"/>
      <c r="J287" s="10"/>
      <c r="K287" s="16" t="str">
        <f t="shared" si="92"/>
        <v/>
      </c>
      <c r="L287" s="23" t="str">
        <f t="shared" si="93"/>
        <v/>
      </c>
      <c r="M287" s="22" t="str">
        <f t="shared" si="94"/>
        <v/>
      </c>
      <c r="N287" s="72"/>
      <c r="O287" s="16" t="str">
        <f t="shared" si="95"/>
        <v/>
      </c>
      <c r="P287" s="16" t="str">
        <f t="shared" si="96"/>
        <v/>
      </c>
      <c r="Q287" s="16" t="str">
        <f t="shared" si="97"/>
        <v/>
      </c>
      <c r="R287" s="23" t="str">
        <f t="shared" si="98"/>
        <v/>
      </c>
      <c r="S287" s="23" t="str">
        <f t="shared" si="99"/>
        <v/>
      </c>
      <c r="T287" s="23" t="str">
        <f t="shared" si="100"/>
        <v/>
      </c>
      <c r="U287" s="23" t="str">
        <f t="shared" si="101"/>
        <v/>
      </c>
      <c r="V287" s="23" t="str">
        <f t="shared" si="102"/>
        <v/>
      </c>
      <c r="W287" s="70" t="str">
        <f t="shared" si="103"/>
        <v/>
      </c>
      <c r="X287" s="70" t="str">
        <f t="shared" si="104"/>
        <v/>
      </c>
      <c r="Y287" s="70" t="str">
        <f>IF(AND($A287&lt;&gt;"",$E287&gt;0),isLaptopBag($C287,$J287)*$D287,"")</f>
        <v/>
      </c>
      <c r="Z287" s="70" t="str">
        <f t="shared" si="105"/>
        <v/>
      </c>
      <c r="AA287" s="70" t="str">
        <f t="shared" si="106"/>
        <v/>
      </c>
      <c r="AB287" s="70" t="str">
        <f t="shared" si="107"/>
        <v/>
      </c>
      <c r="AC287" s="70" t="str">
        <f t="shared" si="108"/>
        <v/>
      </c>
      <c r="AD287" s="70" t="str">
        <f t="shared" si="109"/>
        <v/>
      </c>
      <c r="AE287" s="70" t="str">
        <f t="shared" si="110"/>
        <v/>
      </c>
      <c r="AF287" s="16"/>
      <c r="AG287" s="23"/>
      <c r="AH287" s="22"/>
      <c r="AJ287" s="83">
        <f t="shared" si="111"/>
        <v>0</v>
      </c>
      <c r="AO287" s="22" t="str">
        <f t="shared" si="112"/>
        <v/>
      </c>
      <c r="AP287" s="22" t="str">
        <f t="shared" si="113"/>
        <v/>
      </c>
    </row>
    <row r="288" spans="1:42" x14ac:dyDescent="0.25">
      <c r="A288" s="10"/>
      <c r="B288" s="10"/>
      <c r="C288" s="10"/>
      <c r="D288" s="10"/>
      <c r="E288" s="10"/>
      <c r="F288" s="10"/>
      <c r="G288" s="10"/>
      <c r="H288" s="17"/>
      <c r="I288" s="10"/>
      <c r="J288" s="10"/>
      <c r="K288" s="16" t="str">
        <f t="shared" si="92"/>
        <v/>
      </c>
      <c r="L288" s="23" t="str">
        <f t="shared" si="93"/>
        <v/>
      </c>
      <c r="M288" s="22" t="str">
        <f t="shared" si="94"/>
        <v/>
      </c>
      <c r="N288" s="72"/>
      <c r="O288" s="16" t="str">
        <f t="shared" si="95"/>
        <v/>
      </c>
      <c r="P288" s="16" t="str">
        <f t="shared" si="96"/>
        <v/>
      </c>
      <c r="Q288" s="16" t="str">
        <f t="shared" si="97"/>
        <v/>
      </c>
      <c r="R288" s="23" t="str">
        <f t="shared" si="98"/>
        <v/>
      </c>
      <c r="S288" s="23" t="str">
        <f t="shared" si="99"/>
        <v/>
      </c>
      <c r="T288" s="23" t="str">
        <f t="shared" si="100"/>
        <v/>
      </c>
      <c r="U288" s="23" t="str">
        <f t="shared" si="101"/>
        <v/>
      </c>
      <c r="V288" s="23" t="str">
        <f t="shared" si="102"/>
        <v/>
      </c>
      <c r="W288" s="70" t="str">
        <f t="shared" si="103"/>
        <v/>
      </c>
      <c r="X288" s="70" t="str">
        <f t="shared" si="104"/>
        <v/>
      </c>
      <c r="Y288" s="70" t="str">
        <f>IF(AND($A288&lt;&gt;"",$E288&gt;0),isLaptopBag($C288,$J288)*$D288,"")</f>
        <v/>
      </c>
      <c r="Z288" s="70" t="str">
        <f t="shared" si="105"/>
        <v/>
      </c>
      <c r="AA288" s="70" t="str">
        <f t="shared" si="106"/>
        <v/>
      </c>
      <c r="AB288" s="70" t="str">
        <f t="shared" si="107"/>
        <v/>
      </c>
      <c r="AC288" s="70" t="str">
        <f t="shared" si="108"/>
        <v/>
      </c>
      <c r="AD288" s="70" t="str">
        <f t="shared" si="109"/>
        <v/>
      </c>
      <c r="AE288" s="70" t="str">
        <f t="shared" si="110"/>
        <v/>
      </c>
      <c r="AF288" s="16"/>
      <c r="AG288" s="23"/>
      <c r="AH288" s="22"/>
      <c r="AJ288" s="83">
        <f t="shared" si="111"/>
        <v>0</v>
      </c>
      <c r="AO288" s="22" t="str">
        <f t="shared" si="112"/>
        <v/>
      </c>
      <c r="AP288" s="22" t="str">
        <f t="shared" si="113"/>
        <v/>
      </c>
    </row>
    <row r="289" spans="1:42" x14ac:dyDescent="0.25">
      <c r="A289" s="10"/>
      <c r="B289" s="10"/>
      <c r="C289" s="10"/>
      <c r="D289" s="10"/>
      <c r="E289" s="10"/>
      <c r="F289" s="10"/>
      <c r="G289" s="10"/>
      <c r="H289" s="17"/>
      <c r="I289" s="10"/>
      <c r="J289" s="10"/>
      <c r="K289" s="16" t="str">
        <f t="shared" si="92"/>
        <v/>
      </c>
      <c r="L289" s="23" t="str">
        <f t="shared" si="93"/>
        <v/>
      </c>
      <c r="M289" s="22" t="str">
        <f t="shared" si="94"/>
        <v/>
      </c>
      <c r="N289" s="72"/>
      <c r="O289" s="16" t="str">
        <f t="shared" si="95"/>
        <v/>
      </c>
      <c r="P289" s="16" t="str">
        <f t="shared" si="96"/>
        <v/>
      </c>
      <c r="Q289" s="16" t="str">
        <f t="shared" si="97"/>
        <v/>
      </c>
      <c r="R289" s="23" t="str">
        <f t="shared" si="98"/>
        <v/>
      </c>
      <c r="S289" s="23" t="str">
        <f t="shared" si="99"/>
        <v/>
      </c>
      <c r="T289" s="23" t="str">
        <f t="shared" si="100"/>
        <v/>
      </c>
      <c r="U289" s="23" t="str">
        <f t="shared" si="101"/>
        <v/>
      </c>
      <c r="V289" s="23" t="str">
        <f t="shared" si="102"/>
        <v/>
      </c>
      <c r="W289" s="70" t="str">
        <f t="shared" si="103"/>
        <v/>
      </c>
      <c r="X289" s="70" t="str">
        <f t="shared" si="104"/>
        <v/>
      </c>
      <c r="Y289" s="70" t="str">
        <f>IF(AND($A289&lt;&gt;"",$E289&gt;0),isLaptopBag($C289,$J289)*$D289,"")</f>
        <v/>
      </c>
      <c r="Z289" s="70" t="str">
        <f t="shared" si="105"/>
        <v/>
      </c>
      <c r="AA289" s="70" t="str">
        <f t="shared" si="106"/>
        <v/>
      </c>
      <c r="AB289" s="70" t="str">
        <f t="shared" si="107"/>
        <v/>
      </c>
      <c r="AC289" s="70" t="str">
        <f t="shared" si="108"/>
        <v/>
      </c>
      <c r="AD289" s="70" t="str">
        <f t="shared" si="109"/>
        <v/>
      </c>
      <c r="AE289" s="70" t="str">
        <f t="shared" si="110"/>
        <v/>
      </c>
      <c r="AF289" s="16"/>
      <c r="AG289" s="23"/>
      <c r="AH289" s="22"/>
      <c r="AJ289" s="83">
        <f t="shared" si="111"/>
        <v>0</v>
      </c>
      <c r="AO289" s="22" t="str">
        <f t="shared" si="112"/>
        <v/>
      </c>
      <c r="AP289" s="22" t="str">
        <f t="shared" si="113"/>
        <v/>
      </c>
    </row>
    <row r="290" spans="1:42" x14ac:dyDescent="0.25">
      <c r="A290" s="10"/>
      <c r="B290" s="10"/>
      <c r="C290" s="10"/>
      <c r="D290" s="10"/>
      <c r="E290" s="10"/>
      <c r="F290" s="10"/>
      <c r="G290" s="10"/>
      <c r="H290" s="17"/>
      <c r="I290" s="10"/>
      <c r="J290" s="10"/>
      <c r="K290" s="16" t="str">
        <f t="shared" si="92"/>
        <v/>
      </c>
      <c r="L290" s="23" t="str">
        <f t="shared" si="93"/>
        <v/>
      </c>
      <c r="M290" s="22" t="str">
        <f t="shared" si="94"/>
        <v/>
      </c>
      <c r="N290" s="72"/>
      <c r="O290" s="16" t="str">
        <f t="shared" si="95"/>
        <v/>
      </c>
      <c r="P290" s="16" t="str">
        <f t="shared" si="96"/>
        <v/>
      </c>
      <c r="Q290" s="16" t="str">
        <f t="shared" si="97"/>
        <v/>
      </c>
      <c r="R290" s="23" t="str">
        <f t="shared" si="98"/>
        <v/>
      </c>
      <c r="S290" s="23" t="str">
        <f t="shared" si="99"/>
        <v/>
      </c>
      <c r="T290" s="23" t="str">
        <f t="shared" si="100"/>
        <v/>
      </c>
      <c r="U290" s="23" t="str">
        <f t="shared" si="101"/>
        <v/>
      </c>
      <c r="V290" s="23" t="str">
        <f t="shared" si="102"/>
        <v/>
      </c>
      <c r="W290" s="70" t="str">
        <f t="shared" si="103"/>
        <v/>
      </c>
      <c r="X290" s="70" t="str">
        <f t="shared" si="104"/>
        <v/>
      </c>
      <c r="Y290" s="70" t="str">
        <f>IF(AND($A290&lt;&gt;"",$E290&gt;0),isLaptopBag($C290,$J290)*$D290,"")</f>
        <v/>
      </c>
      <c r="Z290" s="70" t="str">
        <f t="shared" si="105"/>
        <v/>
      </c>
      <c r="AA290" s="70" t="str">
        <f t="shared" si="106"/>
        <v/>
      </c>
      <c r="AB290" s="70" t="str">
        <f t="shared" si="107"/>
        <v/>
      </c>
      <c r="AC290" s="70" t="str">
        <f t="shared" si="108"/>
        <v/>
      </c>
      <c r="AD290" s="70" t="str">
        <f t="shared" si="109"/>
        <v/>
      </c>
      <c r="AE290" s="70" t="str">
        <f t="shared" si="110"/>
        <v/>
      </c>
      <c r="AF290" s="16"/>
      <c r="AG290" s="23"/>
      <c r="AH290" s="22"/>
      <c r="AJ290" s="83">
        <f t="shared" si="111"/>
        <v>0</v>
      </c>
      <c r="AO290" s="22" t="str">
        <f t="shared" si="112"/>
        <v/>
      </c>
      <c r="AP290" s="22" t="str">
        <f t="shared" si="113"/>
        <v/>
      </c>
    </row>
    <row r="291" spans="1:42" x14ac:dyDescent="0.25">
      <c r="A291" s="10"/>
      <c r="B291" s="10"/>
      <c r="C291" s="10"/>
      <c r="D291" s="10"/>
      <c r="E291" s="10"/>
      <c r="F291" s="10"/>
      <c r="G291" s="10"/>
      <c r="H291" s="17"/>
      <c r="I291" s="10"/>
      <c r="J291" s="10"/>
      <c r="K291" s="16" t="str">
        <f t="shared" si="92"/>
        <v/>
      </c>
      <c r="L291" s="23" t="str">
        <f t="shared" si="93"/>
        <v/>
      </c>
      <c r="M291" s="22" t="str">
        <f t="shared" si="94"/>
        <v/>
      </c>
      <c r="N291" s="72"/>
      <c r="O291" s="16" t="str">
        <f t="shared" si="95"/>
        <v/>
      </c>
      <c r="P291" s="16" t="str">
        <f t="shared" si="96"/>
        <v/>
      </c>
      <c r="Q291" s="16" t="str">
        <f t="shared" si="97"/>
        <v/>
      </c>
      <c r="R291" s="23" t="str">
        <f t="shared" si="98"/>
        <v/>
      </c>
      <c r="S291" s="23" t="str">
        <f t="shared" si="99"/>
        <v/>
      </c>
      <c r="T291" s="23" t="str">
        <f t="shared" si="100"/>
        <v/>
      </c>
      <c r="U291" s="23" t="str">
        <f t="shared" si="101"/>
        <v/>
      </c>
      <c r="V291" s="23" t="str">
        <f t="shared" si="102"/>
        <v/>
      </c>
      <c r="W291" s="70" t="str">
        <f t="shared" si="103"/>
        <v/>
      </c>
      <c r="X291" s="70" t="str">
        <f t="shared" si="104"/>
        <v/>
      </c>
      <c r="Y291" s="70" t="str">
        <f>IF(AND($A291&lt;&gt;"",$E291&gt;0),isLaptopBag($C291,$J291)*$D291,"")</f>
        <v/>
      </c>
      <c r="Z291" s="70" t="str">
        <f t="shared" si="105"/>
        <v/>
      </c>
      <c r="AA291" s="70" t="str">
        <f t="shared" si="106"/>
        <v/>
      </c>
      <c r="AB291" s="70" t="str">
        <f t="shared" si="107"/>
        <v/>
      </c>
      <c r="AC291" s="70" t="str">
        <f t="shared" si="108"/>
        <v/>
      </c>
      <c r="AD291" s="70" t="str">
        <f t="shared" si="109"/>
        <v/>
      </c>
      <c r="AE291" s="70" t="str">
        <f t="shared" si="110"/>
        <v/>
      </c>
      <c r="AF291" s="16"/>
      <c r="AG291" s="23"/>
      <c r="AH291" s="22"/>
      <c r="AJ291" s="83">
        <f t="shared" si="111"/>
        <v>0</v>
      </c>
      <c r="AO291" s="22" t="str">
        <f t="shared" si="112"/>
        <v/>
      </c>
      <c r="AP291" s="22" t="str">
        <f t="shared" si="113"/>
        <v/>
      </c>
    </row>
    <row r="292" spans="1:42" x14ac:dyDescent="0.25">
      <c r="A292" s="10"/>
      <c r="B292" s="10"/>
      <c r="C292" s="10"/>
      <c r="D292" s="10"/>
      <c r="E292" s="10"/>
      <c r="F292" s="10"/>
      <c r="G292" s="10"/>
      <c r="H292" s="17"/>
      <c r="I292" s="10"/>
      <c r="J292" s="10"/>
      <c r="K292" s="16" t="str">
        <f t="shared" si="92"/>
        <v/>
      </c>
      <c r="L292" s="23" t="str">
        <f t="shared" si="93"/>
        <v/>
      </c>
      <c r="M292" s="22" t="str">
        <f t="shared" si="94"/>
        <v/>
      </c>
      <c r="N292" s="72"/>
      <c r="O292" s="16" t="str">
        <f t="shared" si="95"/>
        <v/>
      </c>
      <c r="P292" s="16" t="str">
        <f t="shared" si="96"/>
        <v/>
      </c>
      <c r="Q292" s="16" t="str">
        <f t="shared" si="97"/>
        <v/>
      </c>
      <c r="R292" s="23" t="str">
        <f t="shared" si="98"/>
        <v/>
      </c>
      <c r="S292" s="23" t="str">
        <f t="shared" si="99"/>
        <v/>
      </c>
      <c r="T292" s="23" t="str">
        <f t="shared" si="100"/>
        <v/>
      </c>
      <c r="U292" s="23" t="str">
        <f t="shared" si="101"/>
        <v/>
      </c>
      <c r="V292" s="23" t="str">
        <f t="shared" si="102"/>
        <v/>
      </c>
      <c r="W292" s="70" t="str">
        <f t="shared" si="103"/>
        <v/>
      </c>
      <c r="X292" s="70" t="str">
        <f t="shared" si="104"/>
        <v/>
      </c>
      <c r="Y292" s="70" t="str">
        <f>IF(AND($A292&lt;&gt;"",$E292&gt;0),isLaptopBag($C292,$J292)*$D292,"")</f>
        <v/>
      </c>
      <c r="Z292" s="70" t="str">
        <f t="shared" si="105"/>
        <v/>
      </c>
      <c r="AA292" s="70" t="str">
        <f t="shared" si="106"/>
        <v/>
      </c>
      <c r="AB292" s="70" t="str">
        <f t="shared" si="107"/>
        <v/>
      </c>
      <c r="AC292" s="70" t="str">
        <f t="shared" si="108"/>
        <v/>
      </c>
      <c r="AD292" s="70" t="str">
        <f t="shared" si="109"/>
        <v/>
      </c>
      <c r="AE292" s="70" t="str">
        <f t="shared" si="110"/>
        <v/>
      </c>
      <c r="AF292" s="16"/>
      <c r="AG292" s="23"/>
      <c r="AH292" s="22"/>
      <c r="AJ292" s="83">
        <f t="shared" si="111"/>
        <v>0</v>
      </c>
      <c r="AO292" s="22" t="str">
        <f t="shared" si="112"/>
        <v/>
      </c>
      <c r="AP292" s="22" t="str">
        <f t="shared" si="113"/>
        <v/>
      </c>
    </row>
    <row r="293" spans="1:42" x14ac:dyDescent="0.25">
      <c r="A293" s="10"/>
      <c r="B293" s="10"/>
      <c r="C293" s="10"/>
      <c r="D293" s="10"/>
      <c r="E293" s="10"/>
      <c r="F293" s="10"/>
      <c r="G293" s="10"/>
      <c r="H293" s="17"/>
      <c r="I293" s="10"/>
      <c r="J293" s="10"/>
      <c r="K293" s="16" t="str">
        <f t="shared" si="92"/>
        <v/>
      </c>
      <c r="L293" s="23" t="str">
        <f t="shared" si="93"/>
        <v/>
      </c>
      <c r="M293" s="22" t="str">
        <f t="shared" si="94"/>
        <v/>
      </c>
      <c r="N293" s="72"/>
      <c r="O293" s="16" t="str">
        <f t="shared" si="95"/>
        <v/>
      </c>
      <c r="P293" s="16" t="str">
        <f t="shared" si="96"/>
        <v/>
      </c>
      <c r="Q293" s="16" t="str">
        <f t="shared" si="97"/>
        <v/>
      </c>
      <c r="R293" s="23" t="str">
        <f t="shared" si="98"/>
        <v/>
      </c>
      <c r="S293" s="23" t="str">
        <f t="shared" si="99"/>
        <v/>
      </c>
      <c r="T293" s="23" t="str">
        <f t="shared" si="100"/>
        <v/>
      </c>
      <c r="U293" s="23" t="str">
        <f t="shared" si="101"/>
        <v/>
      </c>
      <c r="V293" s="23" t="str">
        <f t="shared" si="102"/>
        <v/>
      </c>
      <c r="W293" s="70" t="str">
        <f t="shared" si="103"/>
        <v/>
      </c>
      <c r="X293" s="70" t="str">
        <f t="shared" si="104"/>
        <v/>
      </c>
      <c r="Y293" s="70" t="str">
        <f>IF(AND($A293&lt;&gt;"",$E293&gt;0),isLaptopBag($C293,$J293)*$D293,"")</f>
        <v/>
      </c>
      <c r="Z293" s="70" t="str">
        <f t="shared" si="105"/>
        <v/>
      </c>
      <c r="AA293" s="70" t="str">
        <f t="shared" si="106"/>
        <v/>
      </c>
      <c r="AB293" s="70" t="str">
        <f t="shared" si="107"/>
        <v/>
      </c>
      <c r="AC293" s="70" t="str">
        <f t="shared" si="108"/>
        <v/>
      </c>
      <c r="AD293" s="70" t="str">
        <f t="shared" si="109"/>
        <v/>
      </c>
      <c r="AE293" s="70" t="str">
        <f t="shared" si="110"/>
        <v/>
      </c>
      <c r="AF293" s="16"/>
      <c r="AG293" s="23"/>
      <c r="AH293" s="22"/>
      <c r="AJ293" s="83">
        <f t="shared" si="111"/>
        <v>0</v>
      </c>
      <c r="AO293" s="22" t="str">
        <f t="shared" si="112"/>
        <v/>
      </c>
      <c r="AP293" s="22" t="str">
        <f t="shared" si="113"/>
        <v/>
      </c>
    </row>
    <row r="294" spans="1:42" x14ac:dyDescent="0.25">
      <c r="A294" s="10"/>
      <c r="B294" s="10"/>
      <c r="C294" s="10"/>
      <c r="D294" s="10"/>
      <c r="E294" s="10"/>
      <c r="F294" s="10"/>
      <c r="G294" s="10"/>
      <c r="H294" s="17"/>
      <c r="I294" s="10"/>
      <c r="J294" s="10"/>
      <c r="K294" s="16" t="str">
        <f t="shared" si="92"/>
        <v/>
      </c>
      <c r="L294" s="23" t="str">
        <f t="shared" si="93"/>
        <v/>
      </c>
      <c r="M294" s="22" t="str">
        <f t="shared" si="94"/>
        <v/>
      </c>
      <c r="N294" s="72"/>
      <c r="O294" s="16" t="str">
        <f t="shared" si="95"/>
        <v/>
      </c>
      <c r="P294" s="16" t="str">
        <f t="shared" si="96"/>
        <v/>
      </c>
      <c r="Q294" s="16" t="str">
        <f t="shared" si="97"/>
        <v/>
      </c>
      <c r="R294" s="23" t="str">
        <f t="shared" si="98"/>
        <v/>
      </c>
      <c r="S294" s="23" t="str">
        <f t="shared" si="99"/>
        <v/>
      </c>
      <c r="T294" s="23" t="str">
        <f t="shared" si="100"/>
        <v/>
      </c>
      <c r="U294" s="23" t="str">
        <f t="shared" si="101"/>
        <v/>
      </c>
      <c r="V294" s="23" t="str">
        <f t="shared" si="102"/>
        <v/>
      </c>
      <c r="W294" s="70" t="str">
        <f t="shared" si="103"/>
        <v/>
      </c>
      <c r="X294" s="70" t="str">
        <f t="shared" si="104"/>
        <v/>
      </c>
      <c r="Y294" s="70" t="str">
        <f>IF(AND($A294&lt;&gt;"",$E294&gt;0),isLaptopBag($C294,$J294)*$D294,"")</f>
        <v/>
      </c>
      <c r="Z294" s="70" t="str">
        <f t="shared" si="105"/>
        <v/>
      </c>
      <c r="AA294" s="70" t="str">
        <f t="shared" si="106"/>
        <v/>
      </c>
      <c r="AB294" s="70" t="str">
        <f t="shared" si="107"/>
        <v/>
      </c>
      <c r="AC294" s="70" t="str">
        <f t="shared" si="108"/>
        <v/>
      </c>
      <c r="AD294" s="70" t="str">
        <f t="shared" si="109"/>
        <v/>
      </c>
      <c r="AE294" s="70" t="str">
        <f t="shared" si="110"/>
        <v/>
      </c>
      <c r="AF294" s="16"/>
      <c r="AG294" s="23"/>
      <c r="AH294" s="22"/>
      <c r="AJ294" s="83">
        <f t="shared" si="111"/>
        <v>0</v>
      </c>
      <c r="AO294" s="22" t="str">
        <f t="shared" si="112"/>
        <v/>
      </c>
      <c r="AP294" s="22" t="str">
        <f t="shared" si="113"/>
        <v/>
      </c>
    </row>
    <row r="295" spans="1:42" x14ac:dyDescent="0.25">
      <c r="A295" s="10"/>
      <c r="B295" s="10"/>
      <c r="C295" s="10"/>
      <c r="D295" s="10"/>
      <c r="E295" s="10"/>
      <c r="F295" s="10"/>
      <c r="G295" s="10"/>
      <c r="H295" s="17"/>
      <c r="I295" s="10"/>
      <c r="J295" s="10"/>
      <c r="K295" s="16" t="str">
        <f t="shared" si="92"/>
        <v/>
      </c>
      <c r="L295" s="23" t="str">
        <f t="shared" si="93"/>
        <v/>
      </c>
      <c r="M295" s="22" t="str">
        <f t="shared" si="94"/>
        <v/>
      </c>
      <c r="N295" s="72"/>
      <c r="O295" s="16" t="str">
        <f t="shared" si="95"/>
        <v/>
      </c>
      <c r="P295" s="16" t="str">
        <f t="shared" si="96"/>
        <v/>
      </c>
      <c r="Q295" s="16" t="str">
        <f t="shared" si="97"/>
        <v/>
      </c>
      <c r="R295" s="23" t="str">
        <f t="shared" si="98"/>
        <v/>
      </c>
      <c r="S295" s="23" t="str">
        <f t="shared" si="99"/>
        <v/>
      </c>
      <c r="T295" s="23" t="str">
        <f t="shared" si="100"/>
        <v/>
      </c>
      <c r="U295" s="23" t="str">
        <f t="shared" si="101"/>
        <v/>
      </c>
      <c r="V295" s="23" t="str">
        <f t="shared" si="102"/>
        <v/>
      </c>
      <c r="W295" s="70" t="str">
        <f t="shared" si="103"/>
        <v/>
      </c>
      <c r="X295" s="70" t="str">
        <f t="shared" si="104"/>
        <v/>
      </c>
      <c r="Y295" s="70" t="str">
        <f>IF(AND($A295&lt;&gt;"",$E295&gt;0),isLaptopBag($C295,$J295)*$D295,"")</f>
        <v/>
      </c>
      <c r="Z295" s="70" t="str">
        <f t="shared" si="105"/>
        <v/>
      </c>
      <c r="AA295" s="70" t="str">
        <f t="shared" si="106"/>
        <v/>
      </c>
      <c r="AB295" s="70" t="str">
        <f t="shared" si="107"/>
        <v/>
      </c>
      <c r="AC295" s="70" t="str">
        <f t="shared" si="108"/>
        <v/>
      </c>
      <c r="AD295" s="70" t="str">
        <f t="shared" si="109"/>
        <v/>
      </c>
      <c r="AE295" s="70" t="str">
        <f t="shared" si="110"/>
        <v/>
      </c>
      <c r="AF295" s="16"/>
      <c r="AG295" s="23"/>
      <c r="AH295" s="22"/>
      <c r="AJ295" s="83">
        <f t="shared" si="111"/>
        <v>0</v>
      </c>
      <c r="AO295" s="22" t="str">
        <f t="shared" si="112"/>
        <v/>
      </c>
      <c r="AP295" s="22" t="str">
        <f t="shared" si="113"/>
        <v/>
      </c>
    </row>
    <row r="296" spans="1:42" x14ac:dyDescent="0.25">
      <c r="A296" s="10"/>
      <c r="B296" s="10"/>
      <c r="C296" s="10"/>
      <c r="D296" s="10"/>
      <c r="E296" s="10"/>
      <c r="F296" s="10"/>
      <c r="G296" s="10"/>
      <c r="H296" s="17"/>
      <c r="I296" s="10"/>
      <c r="J296" s="10"/>
      <c r="K296" s="16" t="str">
        <f t="shared" si="92"/>
        <v/>
      </c>
      <c r="L296" s="23" t="str">
        <f t="shared" si="93"/>
        <v/>
      </c>
      <c r="M296" s="22" t="str">
        <f t="shared" si="94"/>
        <v/>
      </c>
      <c r="N296" s="72"/>
      <c r="O296" s="16" t="str">
        <f t="shared" si="95"/>
        <v/>
      </c>
      <c r="P296" s="16" t="str">
        <f t="shared" si="96"/>
        <v/>
      </c>
      <c r="Q296" s="16" t="str">
        <f t="shared" si="97"/>
        <v/>
      </c>
      <c r="R296" s="23" t="str">
        <f t="shared" si="98"/>
        <v/>
      </c>
      <c r="S296" s="23" t="str">
        <f t="shared" si="99"/>
        <v/>
      </c>
      <c r="T296" s="23" t="str">
        <f t="shared" si="100"/>
        <v/>
      </c>
      <c r="U296" s="23" t="str">
        <f t="shared" si="101"/>
        <v/>
      </c>
      <c r="V296" s="23" t="str">
        <f t="shared" si="102"/>
        <v/>
      </c>
      <c r="W296" s="70" t="str">
        <f t="shared" si="103"/>
        <v/>
      </c>
      <c r="X296" s="70" t="str">
        <f t="shared" si="104"/>
        <v/>
      </c>
      <c r="Y296" s="70" t="str">
        <f>IF(AND($A296&lt;&gt;"",$E296&gt;0),isLaptopBag($C296,$J296)*$D296,"")</f>
        <v/>
      </c>
      <c r="Z296" s="70" t="str">
        <f t="shared" si="105"/>
        <v/>
      </c>
      <c r="AA296" s="70" t="str">
        <f t="shared" si="106"/>
        <v/>
      </c>
      <c r="AB296" s="70" t="str">
        <f t="shared" si="107"/>
        <v/>
      </c>
      <c r="AC296" s="70" t="str">
        <f t="shared" si="108"/>
        <v/>
      </c>
      <c r="AD296" s="70" t="str">
        <f t="shared" si="109"/>
        <v/>
      </c>
      <c r="AE296" s="70" t="str">
        <f t="shared" si="110"/>
        <v/>
      </c>
      <c r="AF296" s="16"/>
      <c r="AG296" s="23"/>
      <c r="AH296" s="22"/>
      <c r="AJ296" s="83">
        <f t="shared" si="111"/>
        <v>0</v>
      </c>
      <c r="AO296" s="22" t="str">
        <f t="shared" si="112"/>
        <v/>
      </c>
      <c r="AP296" s="22" t="str">
        <f t="shared" si="113"/>
        <v/>
      </c>
    </row>
    <row r="297" spans="1:42" x14ac:dyDescent="0.25">
      <c r="A297" s="10"/>
      <c r="B297" s="10"/>
      <c r="C297" s="10"/>
      <c r="D297" s="10"/>
      <c r="E297" s="10"/>
      <c r="F297" s="10"/>
      <c r="G297" s="10"/>
      <c r="H297" s="17"/>
      <c r="I297" s="10"/>
      <c r="J297" s="10"/>
      <c r="K297" s="16" t="str">
        <f t="shared" si="92"/>
        <v/>
      </c>
      <c r="L297" s="23" t="str">
        <f t="shared" si="93"/>
        <v/>
      </c>
      <c r="M297" s="22" t="str">
        <f t="shared" si="94"/>
        <v/>
      </c>
      <c r="N297" s="72"/>
      <c r="O297" s="16" t="str">
        <f t="shared" si="95"/>
        <v/>
      </c>
      <c r="P297" s="16" t="str">
        <f t="shared" si="96"/>
        <v/>
      </c>
      <c r="Q297" s="16" t="str">
        <f t="shared" si="97"/>
        <v/>
      </c>
      <c r="R297" s="23" t="str">
        <f t="shared" si="98"/>
        <v/>
      </c>
      <c r="S297" s="23" t="str">
        <f t="shared" si="99"/>
        <v/>
      </c>
      <c r="T297" s="23" t="str">
        <f t="shared" si="100"/>
        <v/>
      </c>
      <c r="U297" s="23" t="str">
        <f t="shared" si="101"/>
        <v/>
      </c>
      <c r="V297" s="23" t="str">
        <f t="shared" si="102"/>
        <v/>
      </c>
      <c r="W297" s="70" t="str">
        <f t="shared" si="103"/>
        <v/>
      </c>
      <c r="X297" s="70" t="str">
        <f t="shared" si="104"/>
        <v/>
      </c>
      <c r="Y297" s="70" t="str">
        <f>IF(AND($A297&lt;&gt;"",$E297&gt;0),isLaptopBag($C297,$J297)*$D297,"")</f>
        <v/>
      </c>
      <c r="Z297" s="70" t="str">
        <f t="shared" si="105"/>
        <v/>
      </c>
      <c r="AA297" s="70" t="str">
        <f t="shared" si="106"/>
        <v/>
      </c>
      <c r="AB297" s="70" t="str">
        <f t="shared" si="107"/>
        <v/>
      </c>
      <c r="AC297" s="70" t="str">
        <f t="shared" si="108"/>
        <v/>
      </c>
      <c r="AD297" s="70" t="str">
        <f t="shared" si="109"/>
        <v/>
      </c>
      <c r="AE297" s="70" t="str">
        <f t="shared" si="110"/>
        <v/>
      </c>
      <c r="AF297" s="16"/>
      <c r="AG297" s="23"/>
      <c r="AH297" s="22"/>
      <c r="AJ297" s="83">
        <f t="shared" si="111"/>
        <v>0</v>
      </c>
      <c r="AO297" s="22" t="str">
        <f t="shared" si="112"/>
        <v/>
      </c>
      <c r="AP297" s="22" t="str">
        <f t="shared" si="113"/>
        <v/>
      </c>
    </row>
    <row r="298" spans="1:42" x14ac:dyDescent="0.25">
      <c r="A298" s="10"/>
      <c r="B298" s="10"/>
      <c r="C298" s="10"/>
      <c r="D298" s="10"/>
      <c r="E298" s="10"/>
      <c r="F298" s="10"/>
      <c r="G298" s="10"/>
      <c r="H298" s="17"/>
      <c r="I298" s="10"/>
      <c r="J298" s="10"/>
      <c r="K298" s="16" t="str">
        <f t="shared" si="92"/>
        <v/>
      </c>
      <c r="L298" s="23" t="str">
        <f t="shared" si="93"/>
        <v/>
      </c>
      <c r="M298" s="22" t="str">
        <f t="shared" si="94"/>
        <v/>
      </c>
      <c r="N298" s="72"/>
      <c r="O298" s="16" t="str">
        <f t="shared" si="95"/>
        <v/>
      </c>
      <c r="P298" s="16" t="str">
        <f t="shared" si="96"/>
        <v/>
      </c>
      <c r="Q298" s="16" t="str">
        <f t="shared" si="97"/>
        <v/>
      </c>
      <c r="R298" s="23" t="str">
        <f t="shared" si="98"/>
        <v/>
      </c>
      <c r="S298" s="23" t="str">
        <f t="shared" si="99"/>
        <v/>
      </c>
      <c r="T298" s="23" t="str">
        <f t="shared" si="100"/>
        <v/>
      </c>
      <c r="U298" s="23" t="str">
        <f t="shared" si="101"/>
        <v/>
      </c>
      <c r="V298" s="23" t="str">
        <f t="shared" si="102"/>
        <v/>
      </c>
      <c r="W298" s="70" t="str">
        <f t="shared" si="103"/>
        <v/>
      </c>
      <c r="X298" s="70" t="str">
        <f t="shared" si="104"/>
        <v/>
      </c>
      <c r="Y298" s="70" t="str">
        <f>IF(AND($A298&lt;&gt;"",$E298&gt;0),isLaptopBag($C298,$J298)*$D298,"")</f>
        <v/>
      </c>
      <c r="Z298" s="70" t="str">
        <f t="shared" si="105"/>
        <v/>
      </c>
      <c r="AA298" s="70" t="str">
        <f t="shared" si="106"/>
        <v/>
      </c>
      <c r="AB298" s="70" t="str">
        <f t="shared" si="107"/>
        <v/>
      </c>
      <c r="AC298" s="70" t="str">
        <f t="shared" si="108"/>
        <v/>
      </c>
      <c r="AD298" s="70" t="str">
        <f t="shared" si="109"/>
        <v/>
      </c>
      <c r="AE298" s="70" t="str">
        <f t="shared" si="110"/>
        <v/>
      </c>
      <c r="AF298" s="16"/>
      <c r="AG298" s="23"/>
      <c r="AH298" s="22"/>
      <c r="AJ298" s="83">
        <f t="shared" si="111"/>
        <v>0</v>
      </c>
      <c r="AO298" s="22" t="str">
        <f t="shared" si="112"/>
        <v/>
      </c>
      <c r="AP298" s="22" t="str">
        <f t="shared" si="113"/>
        <v/>
      </c>
    </row>
    <row r="299" spans="1:42" x14ac:dyDescent="0.25">
      <c r="A299" s="10"/>
      <c r="B299" s="10"/>
      <c r="C299" s="10"/>
      <c r="D299" s="10"/>
      <c r="E299" s="10"/>
      <c r="F299" s="10"/>
      <c r="G299" s="10"/>
      <c r="H299" s="17"/>
      <c r="I299" s="10"/>
      <c r="J299" s="10"/>
      <c r="K299" s="16" t="str">
        <f t="shared" si="92"/>
        <v/>
      </c>
      <c r="L299" s="23" t="str">
        <f t="shared" si="93"/>
        <v/>
      </c>
      <c r="M299" s="22" t="str">
        <f t="shared" si="94"/>
        <v/>
      </c>
      <c r="N299" s="72"/>
      <c r="O299" s="16" t="str">
        <f t="shared" si="95"/>
        <v/>
      </c>
      <c r="P299" s="16" t="str">
        <f t="shared" si="96"/>
        <v/>
      </c>
      <c r="Q299" s="16" t="str">
        <f t="shared" si="97"/>
        <v/>
      </c>
      <c r="R299" s="23" t="str">
        <f t="shared" si="98"/>
        <v/>
      </c>
      <c r="S299" s="23" t="str">
        <f t="shared" si="99"/>
        <v/>
      </c>
      <c r="T299" s="23" t="str">
        <f t="shared" si="100"/>
        <v/>
      </c>
      <c r="U299" s="23" t="str">
        <f t="shared" si="101"/>
        <v/>
      </c>
      <c r="V299" s="23" t="str">
        <f t="shared" si="102"/>
        <v/>
      </c>
      <c r="W299" s="70" t="str">
        <f t="shared" si="103"/>
        <v/>
      </c>
      <c r="X299" s="70" t="str">
        <f t="shared" si="104"/>
        <v/>
      </c>
      <c r="Y299" s="70" t="str">
        <f>IF(AND($A299&lt;&gt;"",$E299&gt;0),isLaptopBag($C299,$J299)*$D299,"")</f>
        <v/>
      </c>
      <c r="Z299" s="70" t="str">
        <f t="shared" si="105"/>
        <v/>
      </c>
      <c r="AA299" s="70" t="str">
        <f t="shared" si="106"/>
        <v/>
      </c>
      <c r="AB299" s="70" t="str">
        <f t="shared" si="107"/>
        <v/>
      </c>
      <c r="AC299" s="70" t="str">
        <f t="shared" si="108"/>
        <v/>
      </c>
      <c r="AD299" s="70" t="str">
        <f t="shared" si="109"/>
        <v/>
      </c>
      <c r="AE299" s="70" t="str">
        <f t="shared" si="110"/>
        <v/>
      </c>
      <c r="AF299" s="16"/>
      <c r="AG299" s="23"/>
      <c r="AH299" s="22"/>
      <c r="AJ299" s="83">
        <f t="shared" si="111"/>
        <v>0</v>
      </c>
      <c r="AO299" s="22" t="str">
        <f t="shared" si="112"/>
        <v/>
      </c>
      <c r="AP299" s="22" t="str">
        <f t="shared" si="113"/>
        <v/>
      </c>
    </row>
    <row r="300" spans="1:42" x14ac:dyDescent="0.25">
      <c r="A300" s="10"/>
      <c r="B300" s="10"/>
      <c r="C300" s="10"/>
      <c r="D300" s="10"/>
      <c r="E300" s="10"/>
      <c r="F300" s="10"/>
      <c r="G300" s="10"/>
      <c r="H300" s="17"/>
      <c r="I300" s="10"/>
      <c r="J300" s="10"/>
      <c r="K300" s="16" t="str">
        <f t="shared" si="92"/>
        <v/>
      </c>
      <c r="L300" s="23" t="str">
        <f t="shared" si="93"/>
        <v/>
      </c>
      <c r="M300" s="22" t="str">
        <f t="shared" si="94"/>
        <v/>
      </c>
      <c r="N300" s="72"/>
      <c r="O300" s="16" t="str">
        <f t="shared" si="95"/>
        <v/>
      </c>
      <c r="P300" s="16" t="str">
        <f t="shared" si="96"/>
        <v/>
      </c>
      <c r="Q300" s="16" t="str">
        <f t="shared" si="97"/>
        <v/>
      </c>
      <c r="R300" s="23" t="str">
        <f t="shared" si="98"/>
        <v/>
      </c>
      <c r="S300" s="23" t="str">
        <f t="shared" si="99"/>
        <v/>
      </c>
      <c r="T300" s="23" t="str">
        <f t="shared" si="100"/>
        <v/>
      </c>
      <c r="U300" s="23" t="str">
        <f t="shared" si="101"/>
        <v/>
      </c>
      <c r="V300" s="23" t="str">
        <f t="shared" si="102"/>
        <v/>
      </c>
      <c r="W300" s="70" t="str">
        <f t="shared" si="103"/>
        <v/>
      </c>
      <c r="X300" s="70" t="str">
        <f t="shared" si="104"/>
        <v/>
      </c>
      <c r="Y300" s="70" t="str">
        <f>IF(AND($A300&lt;&gt;"",$E300&gt;0),isLaptopBag($C300,$J300)*$D300,"")</f>
        <v/>
      </c>
      <c r="Z300" s="70" t="str">
        <f t="shared" si="105"/>
        <v/>
      </c>
      <c r="AA300" s="70" t="str">
        <f t="shared" si="106"/>
        <v/>
      </c>
      <c r="AB300" s="70" t="str">
        <f t="shared" si="107"/>
        <v/>
      </c>
      <c r="AC300" s="70" t="str">
        <f t="shared" si="108"/>
        <v/>
      </c>
      <c r="AD300" s="70" t="str">
        <f t="shared" si="109"/>
        <v/>
      </c>
      <c r="AE300" s="70" t="str">
        <f t="shared" si="110"/>
        <v/>
      </c>
      <c r="AF300" s="16"/>
      <c r="AG300" s="23"/>
      <c r="AH300" s="22"/>
      <c r="AJ300" s="83">
        <f t="shared" si="111"/>
        <v>0</v>
      </c>
      <c r="AO300" s="22" t="str">
        <f t="shared" si="112"/>
        <v/>
      </c>
      <c r="AP300" s="22" t="str">
        <f t="shared" si="113"/>
        <v/>
      </c>
    </row>
    <row r="301" spans="1:42" x14ac:dyDescent="0.25">
      <c r="A301" s="10"/>
      <c r="B301" s="10"/>
      <c r="C301" s="10"/>
      <c r="D301" s="10"/>
      <c r="E301" s="10"/>
      <c r="F301" s="10"/>
      <c r="G301" s="10"/>
      <c r="H301" s="17"/>
      <c r="I301" s="10"/>
      <c r="J301" s="10"/>
      <c r="K301" s="16" t="str">
        <f t="shared" si="92"/>
        <v/>
      </c>
      <c r="L301" s="23" t="str">
        <f t="shared" si="93"/>
        <v/>
      </c>
      <c r="M301" s="22" t="str">
        <f t="shared" si="94"/>
        <v/>
      </c>
      <c r="N301" s="72"/>
      <c r="O301" s="16" t="str">
        <f t="shared" si="95"/>
        <v/>
      </c>
      <c r="P301" s="16" t="str">
        <f t="shared" si="96"/>
        <v/>
      </c>
      <c r="Q301" s="16" t="str">
        <f t="shared" si="97"/>
        <v/>
      </c>
      <c r="R301" s="23" t="str">
        <f t="shared" si="98"/>
        <v/>
      </c>
      <c r="S301" s="23" t="str">
        <f t="shared" si="99"/>
        <v/>
      </c>
      <c r="T301" s="23" t="str">
        <f t="shared" si="100"/>
        <v/>
      </c>
      <c r="U301" s="23" t="str">
        <f t="shared" si="101"/>
        <v/>
      </c>
      <c r="V301" s="23" t="str">
        <f t="shared" si="102"/>
        <v/>
      </c>
      <c r="W301" s="70" t="str">
        <f t="shared" si="103"/>
        <v/>
      </c>
      <c r="X301" s="70" t="str">
        <f t="shared" si="104"/>
        <v/>
      </c>
      <c r="Y301" s="70" t="str">
        <f>IF(AND($A301&lt;&gt;"",$E301&gt;0),isLaptopBag($C301,$J301)*$D301,"")</f>
        <v/>
      </c>
      <c r="Z301" s="70" t="str">
        <f t="shared" si="105"/>
        <v/>
      </c>
      <c r="AA301" s="70" t="str">
        <f t="shared" si="106"/>
        <v/>
      </c>
      <c r="AB301" s="70" t="str">
        <f t="shared" si="107"/>
        <v/>
      </c>
      <c r="AC301" s="70" t="str">
        <f t="shared" si="108"/>
        <v/>
      </c>
      <c r="AD301" s="70" t="str">
        <f t="shared" si="109"/>
        <v/>
      </c>
      <c r="AE301" s="70" t="str">
        <f t="shared" si="110"/>
        <v/>
      </c>
      <c r="AF301" s="16"/>
      <c r="AG301" s="23"/>
      <c r="AH301" s="22"/>
      <c r="AJ301" s="83">
        <f t="shared" si="111"/>
        <v>0</v>
      </c>
      <c r="AO301" s="22" t="str">
        <f t="shared" si="112"/>
        <v/>
      </c>
      <c r="AP301" s="22" t="str">
        <f t="shared" si="113"/>
        <v/>
      </c>
    </row>
    <row r="302" spans="1:42" x14ac:dyDescent="0.25">
      <c r="A302" s="10"/>
      <c r="B302" s="10"/>
      <c r="C302" s="10"/>
      <c r="D302" s="10"/>
      <c r="E302" s="10"/>
      <c r="F302" s="10"/>
      <c r="G302" s="10"/>
      <c r="H302" s="17"/>
      <c r="I302" s="10"/>
      <c r="J302" s="10"/>
      <c r="K302" s="16" t="str">
        <f t="shared" si="92"/>
        <v/>
      </c>
      <c r="L302" s="23" t="str">
        <f t="shared" si="93"/>
        <v/>
      </c>
      <c r="M302" s="22" t="str">
        <f t="shared" si="94"/>
        <v/>
      </c>
      <c r="N302" s="72"/>
      <c r="O302" s="16" t="str">
        <f t="shared" si="95"/>
        <v/>
      </c>
      <c r="P302" s="16" t="str">
        <f t="shared" si="96"/>
        <v/>
      </c>
      <c r="Q302" s="16" t="str">
        <f t="shared" si="97"/>
        <v/>
      </c>
      <c r="R302" s="23" t="str">
        <f t="shared" si="98"/>
        <v/>
      </c>
      <c r="S302" s="23" t="str">
        <f t="shared" si="99"/>
        <v/>
      </c>
      <c r="T302" s="23" t="str">
        <f t="shared" si="100"/>
        <v/>
      </c>
      <c r="U302" s="23" t="str">
        <f t="shared" si="101"/>
        <v/>
      </c>
      <c r="V302" s="23" t="str">
        <f t="shared" si="102"/>
        <v/>
      </c>
      <c r="W302" s="70" t="str">
        <f t="shared" si="103"/>
        <v/>
      </c>
      <c r="X302" s="70" t="str">
        <f t="shared" si="104"/>
        <v/>
      </c>
      <c r="Y302" s="70" t="str">
        <f>IF(AND($A302&lt;&gt;"",$E302&gt;0),isLaptopBag($C302,$J302)*$D302,"")</f>
        <v/>
      </c>
      <c r="Z302" s="70" t="str">
        <f t="shared" si="105"/>
        <v/>
      </c>
      <c r="AA302" s="70" t="str">
        <f t="shared" si="106"/>
        <v/>
      </c>
      <c r="AB302" s="70" t="str">
        <f t="shared" si="107"/>
        <v/>
      </c>
      <c r="AC302" s="70" t="str">
        <f t="shared" si="108"/>
        <v/>
      </c>
      <c r="AD302" s="70" t="str">
        <f t="shared" si="109"/>
        <v/>
      </c>
      <c r="AE302" s="70" t="str">
        <f t="shared" si="110"/>
        <v/>
      </c>
      <c r="AF302" s="16"/>
      <c r="AG302" s="23"/>
      <c r="AH302" s="22"/>
      <c r="AJ302" s="83">
        <f t="shared" si="111"/>
        <v>0</v>
      </c>
      <c r="AO302" s="22" t="str">
        <f t="shared" si="112"/>
        <v/>
      </c>
      <c r="AP302" s="22" t="str">
        <f t="shared" si="113"/>
        <v/>
      </c>
    </row>
    <row r="303" spans="1:42" x14ac:dyDescent="0.25">
      <c r="A303" s="10"/>
      <c r="B303" s="10"/>
      <c r="C303" s="10"/>
      <c r="D303" s="10"/>
      <c r="E303" s="10"/>
      <c r="F303" s="10"/>
      <c r="G303" s="10"/>
      <c r="H303" s="17"/>
      <c r="I303" s="10"/>
      <c r="J303" s="10"/>
      <c r="K303" s="16" t="str">
        <f t="shared" si="92"/>
        <v/>
      </c>
      <c r="L303" s="23" t="str">
        <f t="shared" si="93"/>
        <v/>
      </c>
      <c r="M303" s="22" t="str">
        <f t="shared" si="94"/>
        <v/>
      </c>
      <c r="N303" s="72"/>
      <c r="O303" s="16" t="str">
        <f t="shared" si="95"/>
        <v/>
      </c>
      <c r="P303" s="16" t="str">
        <f t="shared" si="96"/>
        <v/>
      </c>
      <c r="Q303" s="16" t="str">
        <f t="shared" si="97"/>
        <v/>
      </c>
      <c r="R303" s="23" t="str">
        <f t="shared" si="98"/>
        <v/>
      </c>
      <c r="S303" s="23" t="str">
        <f t="shared" si="99"/>
        <v/>
      </c>
      <c r="T303" s="23" t="str">
        <f t="shared" si="100"/>
        <v/>
      </c>
      <c r="U303" s="23" t="str">
        <f t="shared" si="101"/>
        <v/>
      </c>
      <c r="V303" s="23" t="str">
        <f t="shared" si="102"/>
        <v/>
      </c>
      <c r="W303" s="70" t="str">
        <f t="shared" si="103"/>
        <v/>
      </c>
      <c r="X303" s="70" t="str">
        <f t="shared" si="104"/>
        <v/>
      </c>
      <c r="Y303" s="70" t="str">
        <f>IF(AND($A303&lt;&gt;"",$E303&gt;0),isLaptopBag($C303,$J303)*$D303,"")</f>
        <v/>
      </c>
      <c r="Z303" s="70" t="str">
        <f t="shared" si="105"/>
        <v/>
      </c>
      <c r="AA303" s="70" t="str">
        <f t="shared" si="106"/>
        <v/>
      </c>
      <c r="AB303" s="70" t="str">
        <f t="shared" si="107"/>
        <v/>
      </c>
      <c r="AC303" s="70" t="str">
        <f t="shared" si="108"/>
        <v/>
      </c>
      <c r="AD303" s="70" t="str">
        <f t="shared" si="109"/>
        <v/>
      </c>
      <c r="AE303" s="70" t="str">
        <f t="shared" si="110"/>
        <v/>
      </c>
      <c r="AF303" s="16"/>
      <c r="AG303" s="23"/>
      <c r="AH303" s="22"/>
      <c r="AJ303" s="83">
        <f t="shared" si="111"/>
        <v>0</v>
      </c>
      <c r="AO303" s="22" t="str">
        <f t="shared" si="112"/>
        <v/>
      </c>
      <c r="AP303" s="22" t="str">
        <f t="shared" si="113"/>
        <v/>
      </c>
    </row>
    <row r="304" spans="1:42" x14ac:dyDescent="0.25">
      <c r="A304" s="10"/>
      <c r="B304" s="10"/>
      <c r="C304" s="10"/>
      <c r="D304" s="10"/>
      <c r="E304" s="10"/>
      <c r="F304" s="10"/>
      <c r="G304" s="10"/>
      <c r="H304" s="17"/>
      <c r="I304" s="10"/>
      <c r="J304" s="10"/>
      <c r="K304" s="16" t="str">
        <f t="shared" si="92"/>
        <v/>
      </c>
      <c r="L304" s="23" t="str">
        <f t="shared" si="93"/>
        <v/>
      </c>
      <c r="M304" s="22" t="str">
        <f t="shared" si="94"/>
        <v/>
      </c>
      <c r="N304" s="72"/>
      <c r="O304" s="16" t="str">
        <f t="shared" si="95"/>
        <v/>
      </c>
      <c r="P304" s="16" t="str">
        <f t="shared" si="96"/>
        <v/>
      </c>
      <c r="Q304" s="16" t="str">
        <f t="shared" si="97"/>
        <v/>
      </c>
      <c r="R304" s="23" t="str">
        <f t="shared" si="98"/>
        <v/>
      </c>
      <c r="S304" s="23" t="str">
        <f t="shared" si="99"/>
        <v/>
      </c>
      <c r="T304" s="23" t="str">
        <f t="shared" si="100"/>
        <v/>
      </c>
      <c r="U304" s="23" t="str">
        <f t="shared" si="101"/>
        <v/>
      </c>
      <c r="V304" s="23" t="str">
        <f t="shared" si="102"/>
        <v/>
      </c>
      <c r="W304" s="70" t="str">
        <f t="shared" si="103"/>
        <v/>
      </c>
      <c r="X304" s="70" t="str">
        <f t="shared" si="104"/>
        <v/>
      </c>
      <c r="Y304" s="70" t="str">
        <f>IF(AND($A304&lt;&gt;"",$E304&gt;0),isLaptopBag($C304,$J304)*$D304,"")</f>
        <v/>
      </c>
      <c r="Z304" s="70" t="str">
        <f t="shared" si="105"/>
        <v/>
      </c>
      <c r="AA304" s="70" t="str">
        <f t="shared" si="106"/>
        <v/>
      </c>
      <c r="AB304" s="70" t="str">
        <f t="shared" si="107"/>
        <v/>
      </c>
      <c r="AC304" s="70" t="str">
        <f t="shared" si="108"/>
        <v/>
      </c>
      <c r="AD304" s="70" t="str">
        <f t="shared" si="109"/>
        <v/>
      </c>
      <c r="AE304" s="70" t="str">
        <f t="shared" si="110"/>
        <v/>
      </c>
      <c r="AF304" s="16"/>
      <c r="AG304" s="23"/>
      <c r="AH304" s="22"/>
      <c r="AJ304" s="83">
        <f t="shared" si="111"/>
        <v>0</v>
      </c>
      <c r="AO304" s="22" t="str">
        <f t="shared" si="112"/>
        <v/>
      </c>
      <c r="AP304" s="22" t="str">
        <f t="shared" si="113"/>
        <v/>
      </c>
    </row>
    <row r="305" spans="1:42" x14ac:dyDescent="0.25">
      <c r="A305" s="10"/>
      <c r="B305" s="10"/>
      <c r="C305" s="10"/>
      <c r="D305" s="10"/>
      <c r="E305" s="10"/>
      <c r="F305" s="10"/>
      <c r="G305" s="10"/>
      <c r="H305" s="17"/>
      <c r="I305" s="10"/>
      <c r="J305" s="10"/>
      <c r="K305" s="16" t="str">
        <f t="shared" si="92"/>
        <v/>
      </c>
      <c r="L305" s="23" t="str">
        <f t="shared" si="93"/>
        <v/>
      </c>
      <c r="M305" s="22" t="str">
        <f t="shared" si="94"/>
        <v/>
      </c>
      <c r="N305" s="72"/>
      <c r="O305" s="16" t="str">
        <f t="shared" si="95"/>
        <v/>
      </c>
      <c r="P305" s="16" t="str">
        <f t="shared" si="96"/>
        <v/>
      </c>
      <c r="Q305" s="16" t="str">
        <f t="shared" si="97"/>
        <v/>
      </c>
      <c r="R305" s="23" t="str">
        <f t="shared" si="98"/>
        <v/>
      </c>
      <c r="S305" s="23" t="str">
        <f t="shared" si="99"/>
        <v/>
      </c>
      <c r="T305" s="23" t="str">
        <f t="shared" si="100"/>
        <v/>
      </c>
      <c r="U305" s="23" t="str">
        <f t="shared" si="101"/>
        <v/>
      </c>
      <c r="V305" s="23" t="str">
        <f t="shared" si="102"/>
        <v/>
      </c>
      <c r="W305" s="70" t="str">
        <f t="shared" si="103"/>
        <v/>
      </c>
      <c r="X305" s="70" t="str">
        <f t="shared" si="104"/>
        <v/>
      </c>
      <c r="Y305" s="70" t="str">
        <f>IF(AND($A305&lt;&gt;"",$E305&gt;0),isLaptopBag($C305,$J305)*$D305,"")</f>
        <v/>
      </c>
      <c r="Z305" s="70" t="str">
        <f t="shared" si="105"/>
        <v/>
      </c>
      <c r="AA305" s="70" t="str">
        <f t="shared" si="106"/>
        <v/>
      </c>
      <c r="AB305" s="70" t="str">
        <f t="shared" si="107"/>
        <v/>
      </c>
      <c r="AC305" s="70" t="str">
        <f t="shared" si="108"/>
        <v/>
      </c>
      <c r="AD305" s="70" t="str">
        <f t="shared" si="109"/>
        <v/>
      </c>
      <c r="AE305" s="70" t="str">
        <f t="shared" si="110"/>
        <v/>
      </c>
      <c r="AF305" s="16"/>
      <c r="AG305" s="23"/>
      <c r="AH305" s="22"/>
      <c r="AJ305" s="83">
        <f t="shared" si="111"/>
        <v>0</v>
      </c>
      <c r="AO305" s="22" t="str">
        <f t="shared" si="112"/>
        <v/>
      </c>
      <c r="AP305" s="22" t="str">
        <f t="shared" si="113"/>
        <v/>
      </c>
    </row>
    <row r="306" spans="1:42" x14ac:dyDescent="0.25">
      <c r="A306" s="10"/>
      <c r="B306" s="10"/>
      <c r="C306" s="10"/>
      <c r="D306" s="10"/>
      <c r="E306" s="10"/>
      <c r="F306" s="10"/>
      <c r="G306" s="10"/>
      <c r="H306" s="17"/>
      <c r="I306" s="10"/>
      <c r="J306" s="10"/>
      <c r="K306" s="16" t="str">
        <f t="shared" si="92"/>
        <v/>
      </c>
      <c r="L306" s="23" t="str">
        <f t="shared" si="93"/>
        <v/>
      </c>
      <c r="M306" s="22" t="str">
        <f t="shared" si="94"/>
        <v/>
      </c>
      <c r="N306" s="72"/>
      <c r="O306" s="16" t="str">
        <f t="shared" si="95"/>
        <v/>
      </c>
      <c r="P306" s="16" t="str">
        <f t="shared" si="96"/>
        <v/>
      </c>
      <c r="Q306" s="16" t="str">
        <f t="shared" si="97"/>
        <v/>
      </c>
      <c r="R306" s="23" t="str">
        <f t="shared" si="98"/>
        <v/>
      </c>
      <c r="S306" s="23" t="str">
        <f t="shared" si="99"/>
        <v/>
      </c>
      <c r="T306" s="23" t="str">
        <f t="shared" si="100"/>
        <v/>
      </c>
      <c r="U306" s="23" t="str">
        <f t="shared" si="101"/>
        <v/>
      </c>
      <c r="V306" s="23" t="str">
        <f t="shared" si="102"/>
        <v/>
      </c>
      <c r="W306" s="70" t="str">
        <f t="shared" si="103"/>
        <v/>
      </c>
      <c r="X306" s="70" t="str">
        <f t="shared" si="104"/>
        <v/>
      </c>
      <c r="Y306" s="70" t="str">
        <f>IF(AND($A306&lt;&gt;"",$E306&gt;0),isLaptopBag($C306,$J306)*$D306,"")</f>
        <v/>
      </c>
      <c r="Z306" s="70" t="str">
        <f t="shared" si="105"/>
        <v/>
      </c>
      <c r="AA306" s="70" t="str">
        <f t="shared" si="106"/>
        <v/>
      </c>
      <c r="AB306" s="70" t="str">
        <f t="shared" si="107"/>
        <v/>
      </c>
      <c r="AC306" s="70" t="str">
        <f t="shared" si="108"/>
        <v/>
      </c>
      <c r="AD306" s="70" t="str">
        <f t="shared" si="109"/>
        <v/>
      </c>
      <c r="AE306" s="70" t="str">
        <f t="shared" si="110"/>
        <v/>
      </c>
      <c r="AF306" s="16"/>
      <c r="AG306" s="23"/>
      <c r="AH306" s="22"/>
      <c r="AJ306" s="83">
        <f t="shared" si="111"/>
        <v>0</v>
      </c>
      <c r="AO306" s="22" t="str">
        <f t="shared" si="112"/>
        <v/>
      </c>
      <c r="AP306" s="22" t="str">
        <f t="shared" si="113"/>
        <v/>
      </c>
    </row>
    <row r="307" spans="1:42" x14ac:dyDescent="0.25">
      <c r="A307" s="10"/>
      <c r="B307" s="10"/>
      <c r="C307" s="10"/>
      <c r="D307" s="10"/>
      <c r="E307" s="10"/>
      <c r="F307" s="10"/>
      <c r="G307" s="10"/>
      <c r="H307" s="17"/>
      <c r="I307" s="10"/>
      <c r="J307" s="10"/>
      <c r="K307" s="16" t="str">
        <f t="shared" si="92"/>
        <v/>
      </c>
      <c r="L307" s="23" t="str">
        <f t="shared" si="93"/>
        <v/>
      </c>
      <c r="M307" s="22" t="str">
        <f t="shared" si="94"/>
        <v/>
      </c>
      <c r="N307" s="72"/>
      <c r="O307" s="16" t="str">
        <f t="shared" si="95"/>
        <v/>
      </c>
      <c r="P307" s="16" t="str">
        <f t="shared" si="96"/>
        <v/>
      </c>
      <c r="Q307" s="16" t="str">
        <f t="shared" si="97"/>
        <v/>
      </c>
      <c r="R307" s="23" t="str">
        <f t="shared" si="98"/>
        <v/>
      </c>
      <c r="S307" s="23" t="str">
        <f t="shared" si="99"/>
        <v/>
      </c>
      <c r="T307" s="23" t="str">
        <f t="shared" si="100"/>
        <v/>
      </c>
      <c r="U307" s="23" t="str">
        <f t="shared" si="101"/>
        <v/>
      </c>
      <c r="V307" s="23" t="str">
        <f t="shared" si="102"/>
        <v/>
      </c>
      <c r="W307" s="70" t="str">
        <f t="shared" si="103"/>
        <v/>
      </c>
      <c r="X307" s="70" t="str">
        <f t="shared" si="104"/>
        <v/>
      </c>
      <c r="Y307" s="70" t="str">
        <f>IF(AND($A307&lt;&gt;"",$E307&gt;0),isLaptopBag($C307,$J307)*$D307,"")</f>
        <v/>
      </c>
      <c r="Z307" s="70" t="str">
        <f t="shared" si="105"/>
        <v/>
      </c>
      <c r="AA307" s="70" t="str">
        <f t="shared" si="106"/>
        <v/>
      </c>
      <c r="AB307" s="70" t="str">
        <f t="shared" si="107"/>
        <v/>
      </c>
      <c r="AC307" s="70" t="str">
        <f t="shared" si="108"/>
        <v/>
      </c>
      <c r="AD307" s="70" t="str">
        <f t="shared" si="109"/>
        <v/>
      </c>
      <c r="AE307" s="70" t="str">
        <f t="shared" si="110"/>
        <v/>
      </c>
      <c r="AF307" s="16"/>
      <c r="AG307" s="23"/>
      <c r="AH307" s="22"/>
      <c r="AJ307" s="83">
        <f t="shared" si="111"/>
        <v>0</v>
      </c>
      <c r="AO307" s="22" t="str">
        <f t="shared" si="112"/>
        <v/>
      </c>
      <c r="AP307" s="22" t="str">
        <f t="shared" si="113"/>
        <v/>
      </c>
    </row>
    <row r="308" spans="1:42" x14ac:dyDescent="0.25">
      <c r="A308" s="10"/>
      <c r="B308" s="10"/>
      <c r="C308" s="10"/>
      <c r="D308" s="10"/>
      <c r="E308" s="10"/>
      <c r="F308" s="10"/>
      <c r="G308" s="10"/>
      <c r="H308" s="17"/>
      <c r="I308" s="10"/>
      <c r="J308" s="10"/>
      <c r="K308" s="16" t="str">
        <f t="shared" si="92"/>
        <v/>
      </c>
      <c r="L308" s="23" t="str">
        <f t="shared" si="93"/>
        <v/>
      </c>
      <c r="M308" s="22" t="str">
        <f t="shared" si="94"/>
        <v/>
      </c>
      <c r="N308" s="72"/>
      <c r="O308" s="16" t="str">
        <f t="shared" si="95"/>
        <v/>
      </c>
      <c r="P308" s="16" t="str">
        <f t="shared" si="96"/>
        <v/>
      </c>
      <c r="Q308" s="16" t="str">
        <f t="shared" si="97"/>
        <v/>
      </c>
      <c r="R308" s="23" t="str">
        <f t="shared" si="98"/>
        <v/>
      </c>
      <c r="S308" s="23" t="str">
        <f t="shared" si="99"/>
        <v/>
      </c>
      <c r="T308" s="23" t="str">
        <f t="shared" si="100"/>
        <v/>
      </c>
      <c r="U308" s="23" t="str">
        <f t="shared" si="101"/>
        <v/>
      </c>
      <c r="V308" s="23" t="str">
        <f t="shared" si="102"/>
        <v/>
      </c>
      <c r="W308" s="70" t="str">
        <f t="shared" si="103"/>
        <v/>
      </c>
      <c r="X308" s="70" t="str">
        <f t="shared" si="104"/>
        <v/>
      </c>
      <c r="Y308" s="70" t="str">
        <f>IF(AND($A308&lt;&gt;"",$E308&gt;0),isLaptopBag($C308,$J308)*$D308,"")</f>
        <v/>
      </c>
      <c r="Z308" s="70" t="str">
        <f t="shared" si="105"/>
        <v/>
      </c>
      <c r="AA308" s="70" t="str">
        <f t="shared" si="106"/>
        <v/>
      </c>
      <c r="AB308" s="70" t="str">
        <f t="shared" si="107"/>
        <v/>
      </c>
      <c r="AC308" s="70" t="str">
        <f t="shared" si="108"/>
        <v/>
      </c>
      <c r="AD308" s="70" t="str">
        <f t="shared" si="109"/>
        <v/>
      </c>
      <c r="AE308" s="70" t="str">
        <f t="shared" si="110"/>
        <v/>
      </c>
      <c r="AF308" s="16"/>
      <c r="AG308" s="23"/>
      <c r="AH308" s="22"/>
      <c r="AJ308" s="83">
        <f t="shared" si="111"/>
        <v>0</v>
      </c>
      <c r="AO308" s="22" t="str">
        <f t="shared" si="112"/>
        <v/>
      </c>
      <c r="AP308" s="22" t="str">
        <f t="shared" si="113"/>
        <v/>
      </c>
    </row>
    <row r="309" spans="1:42" x14ac:dyDescent="0.25">
      <c r="A309" s="10"/>
      <c r="B309" s="10"/>
      <c r="C309" s="10"/>
      <c r="D309" s="10"/>
      <c r="E309" s="10"/>
      <c r="F309" s="10"/>
      <c r="G309" s="10"/>
      <c r="H309" s="17"/>
      <c r="I309" s="10"/>
      <c r="J309" s="10"/>
      <c r="K309" s="16" t="str">
        <f t="shared" si="92"/>
        <v/>
      </c>
      <c r="L309" s="23" t="str">
        <f t="shared" si="93"/>
        <v/>
      </c>
      <c r="M309" s="22" t="str">
        <f t="shared" si="94"/>
        <v/>
      </c>
      <c r="N309" s="72"/>
      <c r="O309" s="16" t="str">
        <f t="shared" si="95"/>
        <v/>
      </c>
      <c r="P309" s="16" t="str">
        <f t="shared" si="96"/>
        <v/>
      </c>
      <c r="Q309" s="16" t="str">
        <f t="shared" si="97"/>
        <v/>
      </c>
      <c r="R309" s="23" t="str">
        <f t="shared" si="98"/>
        <v/>
      </c>
      <c r="S309" s="23" t="str">
        <f t="shared" si="99"/>
        <v/>
      </c>
      <c r="T309" s="23" t="str">
        <f t="shared" si="100"/>
        <v/>
      </c>
      <c r="U309" s="23" t="str">
        <f t="shared" si="101"/>
        <v/>
      </c>
      <c r="V309" s="23" t="str">
        <f t="shared" si="102"/>
        <v/>
      </c>
      <c r="W309" s="70" t="str">
        <f t="shared" si="103"/>
        <v/>
      </c>
      <c r="X309" s="70" t="str">
        <f t="shared" si="104"/>
        <v/>
      </c>
      <c r="Y309" s="70" t="str">
        <f>IF(AND($A309&lt;&gt;"",$E309&gt;0),isLaptopBag($C309,$J309)*$D309,"")</f>
        <v/>
      </c>
      <c r="Z309" s="70" t="str">
        <f t="shared" si="105"/>
        <v/>
      </c>
      <c r="AA309" s="70" t="str">
        <f t="shared" si="106"/>
        <v/>
      </c>
      <c r="AB309" s="70" t="str">
        <f t="shared" si="107"/>
        <v/>
      </c>
      <c r="AC309" s="70" t="str">
        <f t="shared" si="108"/>
        <v/>
      </c>
      <c r="AD309" s="70" t="str">
        <f t="shared" si="109"/>
        <v/>
      </c>
      <c r="AE309" s="70" t="str">
        <f t="shared" si="110"/>
        <v/>
      </c>
      <c r="AF309" s="16"/>
      <c r="AG309" s="23"/>
      <c r="AH309" s="22"/>
      <c r="AJ309" s="83">
        <f t="shared" si="111"/>
        <v>0</v>
      </c>
      <c r="AO309" s="22" t="str">
        <f t="shared" si="112"/>
        <v/>
      </c>
      <c r="AP309" s="22" t="str">
        <f t="shared" si="113"/>
        <v/>
      </c>
    </row>
    <row r="310" spans="1:42" x14ac:dyDescent="0.25">
      <c r="A310" s="10"/>
      <c r="B310" s="10"/>
      <c r="C310" s="10"/>
      <c r="D310" s="10"/>
      <c r="E310" s="10"/>
      <c r="F310" s="10"/>
      <c r="G310" s="10"/>
      <c r="H310" s="17"/>
      <c r="I310" s="10"/>
      <c r="J310" s="10"/>
      <c r="K310" s="16" t="str">
        <f t="shared" si="92"/>
        <v/>
      </c>
      <c r="L310" s="23" t="str">
        <f t="shared" si="93"/>
        <v/>
      </c>
      <c r="M310" s="22" t="str">
        <f t="shared" si="94"/>
        <v/>
      </c>
      <c r="N310" s="72"/>
      <c r="O310" s="16" t="str">
        <f t="shared" si="95"/>
        <v/>
      </c>
      <c r="P310" s="16" t="str">
        <f t="shared" si="96"/>
        <v/>
      </c>
      <c r="Q310" s="16" t="str">
        <f t="shared" si="97"/>
        <v/>
      </c>
      <c r="R310" s="23" t="str">
        <f t="shared" si="98"/>
        <v/>
      </c>
      <c r="S310" s="23" t="str">
        <f t="shared" si="99"/>
        <v/>
      </c>
      <c r="T310" s="23" t="str">
        <f t="shared" si="100"/>
        <v/>
      </c>
      <c r="U310" s="23" t="str">
        <f t="shared" si="101"/>
        <v/>
      </c>
      <c r="V310" s="23" t="str">
        <f t="shared" si="102"/>
        <v/>
      </c>
      <c r="W310" s="70" t="str">
        <f t="shared" si="103"/>
        <v/>
      </c>
      <c r="X310" s="70" t="str">
        <f t="shared" si="104"/>
        <v/>
      </c>
      <c r="Y310" s="70" t="str">
        <f>IF(AND($A310&lt;&gt;"",$E310&gt;0),isLaptopBag($C310,$J310)*$D310,"")</f>
        <v/>
      </c>
      <c r="Z310" s="70" t="str">
        <f t="shared" si="105"/>
        <v/>
      </c>
      <c r="AA310" s="70" t="str">
        <f t="shared" si="106"/>
        <v/>
      </c>
      <c r="AB310" s="70" t="str">
        <f t="shared" si="107"/>
        <v/>
      </c>
      <c r="AC310" s="70" t="str">
        <f t="shared" si="108"/>
        <v/>
      </c>
      <c r="AD310" s="70" t="str">
        <f t="shared" si="109"/>
        <v/>
      </c>
      <c r="AE310" s="70" t="str">
        <f t="shared" si="110"/>
        <v/>
      </c>
      <c r="AF310" s="16"/>
      <c r="AG310" s="23"/>
      <c r="AH310" s="22"/>
      <c r="AJ310" s="83">
        <f t="shared" si="111"/>
        <v>0</v>
      </c>
      <c r="AO310" s="22" t="str">
        <f t="shared" si="112"/>
        <v/>
      </c>
      <c r="AP310" s="22" t="str">
        <f t="shared" si="113"/>
        <v/>
      </c>
    </row>
    <row r="311" spans="1:42" x14ac:dyDescent="0.25">
      <c r="A311" s="10"/>
      <c r="B311" s="10"/>
      <c r="C311" s="10"/>
      <c r="D311" s="10"/>
      <c r="E311" s="10"/>
      <c r="F311" s="10"/>
      <c r="G311" s="10"/>
      <c r="H311" s="17"/>
      <c r="I311" s="10"/>
      <c r="J311" s="10"/>
      <c r="K311" s="16" t="str">
        <f t="shared" si="92"/>
        <v/>
      </c>
      <c r="L311" s="23" t="str">
        <f t="shared" si="93"/>
        <v/>
      </c>
      <c r="M311" s="22" t="str">
        <f t="shared" si="94"/>
        <v/>
      </c>
      <c r="N311" s="72"/>
      <c r="O311" s="16" t="str">
        <f t="shared" si="95"/>
        <v/>
      </c>
      <c r="P311" s="16" t="str">
        <f t="shared" si="96"/>
        <v/>
      </c>
      <c r="Q311" s="16" t="str">
        <f t="shared" si="97"/>
        <v/>
      </c>
      <c r="R311" s="23" t="str">
        <f t="shared" si="98"/>
        <v/>
      </c>
      <c r="S311" s="23" t="str">
        <f t="shared" si="99"/>
        <v/>
      </c>
      <c r="T311" s="23" t="str">
        <f t="shared" si="100"/>
        <v/>
      </c>
      <c r="U311" s="23" t="str">
        <f t="shared" si="101"/>
        <v/>
      </c>
      <c r="V311" s="23" t="str">
        <f t="shared" si="102"/>
        <v/>
      </c>
      <c r="W311" s="70" t="str">
        <f t="shared" si="103"/>
        <v/>
      </c>
      <c r="X311" s="70" t="str">
        <f t="shared" si="104"/>
        <v/>
      </c>
      <c r="Y311" s="70" t="str">
        <f>IF(AND($A311&lt;&gt;"",$E311&gt;0),isLaptopBag($C311,$J311)*$D311,"")</f>
        <v/>
      </c>
      <c r="Z311" s="70" t="str">
        <f t="shared" si="105"/>
        <v/>
      </c>
      <c r="AA311" s="70" t="str">
        <f t="shared" si="106"/>
        <v/>
      </c>
      <c r="AB311" s="70" t="str">
        <f t="shared" si="107"/>
        <v/>
      </c>
      <c r="AC311" s="70" t="str">
        <f t="shared" si="108"/>
        <v/>
      </c>
      <c r="AD311" s="70" t="str">
        <f t="shared" si="109"/>
        <v/>
      </c>
      <c r="AE311" s="70" t="str">
        <f t="shared" si="110"/>
        <v/>
      </c>
      <c r="AF311" s="16"/>
      <c r="AG311" s="23"/>
      <c r="AH311" s="22"/>
      <c r="AJ311" s="83">
        <f t="shared" si="111"/>
        <v>0</v>
      </c>
      <c r="AO311" s="22" t="str">
        <f t="shared" si="112"/>
        <v/>
      </c>
      <c r="AP311" s="22" t="str">
        <f t="shared" si="113"/>
        <v/>
      </c>
    </row>
    <row r="312" spans="1:42" x14ac:dyDescent="0.25">
      <c r="A312" s="10"/>
      <c r="B312" s="10"/>
      <c r="C312" s="10"/>
      <c r="D312" s="10"/>
      <c r="E312" s="10"/>
      <c r="F312" s="10"/>
      <c r="G312" s="10"/>
      <c r="H312" s="17"/>
      <c r="I312" s="10"/>
      <c r="J312" s="10"/>
      <c r="K312" s="16" t="str">
        <f t="shared" si="92"/>
        <v/>
      </c>
      <c r="L312" s="23" t="str">
        <f t="shared" si="93"/>
        <v/>
      </c>
      <c r="M312" s="22" t="str">
        <f t="shared" si="94"/>
        <v/>
      </c>
      <c r="N312" s="72"/>
      <c r="O312" s="16" t="str">
        <f t="shared" si="95"/>
        <v/>
      </c>
      <c r="P312" s="16" t="str">
        <f t="shared" si="96"/>
        <v/>
      </c>
      <c r="Q312" s="16" t="str">
        <f t="shared" si="97"/>
        <v/>
      </c>
      <c r="R312" s="23" t="str">
        <f t="shared" si="98"/>
        <v/>
      </c>
      <c r="S312" s="23" t="str">
        <f t="shared" si="99"/>
        <v/>
      </c>
      <c r="T312" s="23" t="str">
        <f t="shared" si="100"/>
        <v/>
      </c>
      <c r="U312" s="23" t="str">
        <f t="shared" si="101"/>
        <v/>
      </c>
      <c r="V312" s="23" t="str">
        <f t="shared" si="102"/>
        <v/>
      </c>
      <c r="W312" s="70" t="str">
        <f t="shared" si="103"/>
        <v/>
      </c>
      <c r="X312" s="70" t="str">
        <f t="shared" si="104"/>
        <v/>
      </c>
      <c r="Y312" s="70" t="str">
        <f>IF(AND($A312&lt;&gt;"",$E312&gt;0),isLaptopBag($C312,$J312)*$D312,"")</f>
        <v/>
      </c>
      <c r="Z312" s="70" t="str">
        <f t="shared" si="105"/>
        <v/>
      </c>
      <c r="AA312" s="70" t="str">
        <f t="shared" si="106"/>
        <v/>
      </c>
      <c r="AB312" s="70" t="str">
        <f t="shared" si="107"/>
        <v/>
      </c>
      <c r="AC312" s="70" t="str">
        <f t="shared" si="108"/>
        <v/>
      </c>
      <c r="AD312" s="70" t="str">
        <f t="shared" si="109"/>
        <v/>
      </c>
      <c r="AE312" s="70" t="str">
        <f t="shared" si="110"/>
        <v/>
      </c>
      <c r="AF312" s="16"/>
      <c r="AG312" s="23"/>
      <c r="AH312" s="22"/>
      <c r="AJ312" s="83">
        <f t="shared" si="111"/>
        <v>0</v>
      </c>
      <c r="AO312" s="22" t="str">
        <f t="shared" si="112"/>
        <v/>
      </c>
      <c r="AP312" s="22" t="str">
        <f t="shared" si="113"/>
        <v/>
      </c>
    </row>
    <row r="313" spans="1:42" x14ac:dyDescent="0.25">
      <c r="A313" s="10"/>
      <c r="B313" s="10"/>
      <c r="C313" s="10"/>
      <c r="D313" s="10"/>
      <c r="E313" s="10"/>
      <c r="F313" s="10"/>
      <c r="G313" s="10"/>
      <c r="H313" s="17"/>
      <c r="I313" s="10"/>
      <c r="J313" s="10"/>
      <c r="K313" s="16" t="str">
        <f t="shared" si="92"/>
        <v/>
      </c>
      <c r="L313" s="23" t="str">
        <f t="shared" si="93"/>
        <v/>
      </c>
      <c r="M313" s="22" t="str">
        <f t="shared" si="94"/>
        <v/>
      </c>
      <c r="N313" s="72"/>
      <c r="O313" s="16" t="str">
        <f t="shared" si="95"/>
        <v/>
      </c>
      <c r="P313" s="16" t="str">
        <f t="shared" si="96"/>
        <v/>
      </c>
      <c r="Q313" s="16" t="str">
        <f t="shared" si="97"/>
        <v/>
      </c>
      <c r="R313" s="23" t="str">
        <f t="shared" si="98"/>
        <v/>
      </c>
      <c r="S313" s="23" t="str">
        <f t="shared" si="99"/>
        <v/>
      </c>
      <c r="T313" s="23" t="str">
        <f t="shared" si="100"/>
        <v/>
      </c>
      <c r="U313" s="23" t="str">
        <f t="shared" si="101"/>
        <v/>
      </c>
      <c r="V313" s="23" t="str">
        <f t="shared" si="102"/>
        <v/>
      </c>
      <c r="W313" s="70" t="str">
        <f t="shared" si="103"/>
        <v/>
      </c>
      <c r="X313" s="70" t="str">
        <f t="shared" si="104"/>
        <v/>
      </c>
      <c r="Y313" s="70" t="str">
        <f>IF(AND($A313&lt;&gt;"",$E313&gt;0),isLaptopBag($C313,$J313)*$D313,"")</f>
        <v/>
      </c>
      <c r="Z313" s="70" t="str">
        <f t="shared" si="105"/>
        <v/>
      </c>
      <c r="AA313" s="70" t="str">
        <f t="shared" si="106"/>
        <v/>
      </c>
      <c r="AB313" s="70" t="str">
        <f t="shared" si="107"/>
        <v/>
      </c>
      <c r="AC313" s="70" t="str">
        <f t="shared" si="108"/>
        <v/>
      </c>
      <c r="AD313" s="70" t="str">
        <f t="shared" si="109"/>
        <v/>
      </c>
      <c r="AE313" s="70" t="str">
        <f t="shared" si="110"/>
        <v/>
      </c>
      <c r="AF313" s="16"/>
      <c r="AG313" s="23"/>
      <c r="AH313" s="22"/>
      <c r="AJ313" s="83">
        <f t="shared" si="111"/>
        <v>0</v>
      </c>
      <c r="AO313" s="22" t="str">
        <f t="shared" si="112"/>
        <v/>
      </c>
      <c r="AP313" s="22" t="str">
        <f t="shared" si="113"/>
        <v/>
      </c>
    </row>
    <row r="314" spans="1:42" x14ac:dyDescent="0.25">
      <c r="A314" s="10"/>
      <c r="B314" s="10"/>
      <c r="C314" s="10"/>
      <c r="D314" s="10"/>
      <c r="E314" s="10"/>
      <c r="F314" s="10"/>
      <c r="G314" s="10"/>
      <c r="H314" s="17"/>
      <c r="I314" s="10"/>
      <c r="J314" s="10"/>
      <c r="K314" s="16" t="str">
        <f t="shared" si="92"/>
        <v/>
      </c>
      <c r="L314" s="23" t="str">
        <f t="shared" si="93"/>
        <v/>
      </c>
      <c r="M314" s="22" t="str">
        <f t="shared" si="94"/>
        <v/>
      </c>
      <c r="N314" s="72"/>
      <c r="O314" s="16" t="str">
        <f t="shared" si="95"/>
        <v/>
      </c>
      <c r="P314" s="16" t="str">
        <f t="shared" si="96"/>
        <v/>
      </c>
      <c r="Q314" s="16" t="str">
        <f t="shared" si="97"/>
        <v/>
      </c>
      <c r="R314" s="23" t="str">
        <f t="shared" si="98"/>
        <v/>
      </c>
      <c r="S314" s="23" t="str">
        <f t="shared" si="99"/>
        <v/>
      </c>
      <c r="T314" s="23" t="str">
        <f t="shared" si="100"/>
        <v/>
      </c>
      <c r="U314" s="23" t="str">
        <f t="shared" si="101"/>
        <v/>
      </c>
      <c r="V314" s="23" t="str">
        <f t="shared" si="102"/>
        <v/>
      </c>
      <c r="W314" s="70" t="str">
        <f t="shared" si="103"/>
        <v/>
      </c>
      <c r="X314" s="70" t="str">
        <f t="shared" si="104"/>
        <v/>
      </c>
      <c r="Y314" s="70" t="str">
        <f>IF(AND($A314&lt;&gt;"",$E314&gt;0),isLaptopBag($C314,$J314)*$D314,"")</f>
        <v/>
      </c>
      <c r="Z314" s="70" t="str">
        <f t="shared" si="105"/>
        <v/>
      </c>
      <c r="AA314" s="70" t="str">
        <f t="shared" si="106"/>
        <v/>
      </c>
      <c r="AB314" s="70" t="str">
        <f t="shared" si="107"/>
        <v/>
      </c>
      <c r="AC314" s="70" t="str">
        <f t="shared" si="108"/>
        <v/>
      </c>
      <c r="AD314" s="70" t="str">
        <f t="shared" si="109"/>
        <v/>
      </c>
      <c r="AE314" s="70" t="str">
        <f t="shared" si="110"/>
        <v/>
      </c>
      <c r="AF314" s="16"/>
      <c r="AG314" s="23"/>
      <c r="AH314" s="22"/>
      <c r="AJ314" s="83">
        <f t="shared" si="111"/>
        <v>0</v>
      </c>
      <c r="AO314" s="22" t="str">
        <f t="shared" si="112"/>
        <v/>
      </c>
      <c r="AP314" s="22" t="str">
        <f t="shared" si="113"/>
        <v/>
      </c>
    </row>
    <row r="315" spans="1:42" x14ac:dyDescent="0.25">
      <c r="A315" s="10"/>
      <c r="B315" s="10"/>
      <c r="C315" s="10"/>
      <c r="D315" s="10"/>
      <c r="E315" s="10"/>
      <c r="F315" s="10"/>
      <c r="G315" s="10"/>
      <c r="H315" s="17"/>
      <c r="I315" s="10"/>
      <c r="J315" s="10"/>
      <c r="K315" s="16" t="str">
        <f t="shared" si="92"/>
        <v/>
      </c>
      <c r="L315" s="23" t="str">
        <f t="shared" si="93"/>
        <v/>
      </c>
      <c r="M315" s="22" t="str">
        <f t="shared" si="94"/>
        <v/>
      </c>
      <c r="N315" s="72"/>
      <c r="O315" s="16" t="str">
        <f t="shared" si="95"/>
        <v/>
      </c>
      <c r="P315" s="16" t="str">
        <f t="shared" si="96"/>
        <v/>
      </c>
      <c r="Q315" s="16" t="str">
        <f t="shared" si="97"/>
        <v/>
      </c>
      <c r="R315" s="23" t="str">
        <f t="shared" si="98"/>
        <v/>
      </c>
      <c r="S315" s="23" t="str">
        <f t="shared" si="99"/>
        <v/>
      </c>
      <c r="T315" s="23" t="str">
        <f t="shared" si="100"/>
        <v/>
      </c>
      <c r="U315" s="23" t="str">
        <f t="shared" si="101"/>
        <v/>
      </c>
      <c r="V315" s="23" t="str">
        <f t="shared" si="102"/>
        <v/>
      </c>
      <c r="W315" s="70" t="str">
        <f t="shared" si="103"/>
        <v/>
      </c>
      <c r="X315" s="70" t="str">
        <f t="shared" si="104"/>
        <v/>
      </c>
      <c r="Y315" s="70" t="str">
        <f>IF(AND($A315&lt;&gt;"",$E315&gt;0),isLaptopBag($C315,$J315)*$D315,"")</f>
        <v/>
      </c>
      <c r="Z315" s="70" t="str">
        <f t="shared" si="105"/>
        <v/>
      </c>
      <c r="AA315" s="70" t="str">
        <f t="shared" si="106"/>
        <v/>
      </c>
      <c r="AB315" s="70" t="str">
        <f t="shared" si="107"/>
        <v/>
      </c>
      <c r="AC315" s="70" t="str">
        <f t="shared" si="108"/>
        <v/>
      </c>
      <c r="AD315" s="70" t="str">
        <f t="shared" si="109"/>
        <v/>
      </c>
      <c r="AE315" s="70" t="str">
        <f t="shared" si="110"/>
        <v/>
      </c>
      <c r="AF315" s="16"/>
      <c r="AG315" s="23"/>
      <c r="AH315" s="22"/>
      <c r="AJ315" s="83">
        <f t="shared" si="111"/>
        <v>0</v>
      </c>
      <c r="AO315" s="22" t="str">
        <f t="shared" si="112"/>
        <v/>
      </c>
      <c r="AP315" s="22" t="str">
        <f t="shared" si="113"/>
        <v/>
      </c>
    </row>
    <row r="316" spans="1:42" x14ac:dyDescent="0.25">
      <c r="A316" s="10"/>
      <c r="B316" s="10"/>
      <c r="C316" s="10"/>
      <c r="D316" s="10"/>
      <c r="E316" s="10"/>
      <c r="F316" s="10"/>
      <c r="G316" s="10"/>
      <c r="H316" s="17"/>
      <c r="I316" s="10"/>
      <c r="J316" s="10"/>
      <c r="K316" s="16" t="str">
        <f t="shared" si="92"/>
        <v/>
      </c>
      <c r="L316" s="23" t="str">
        <f t="shared" si="93"/>
        <v/>
      </c>
      <c r="M316" s="22" t="str">
        <f t="shared" si="94"/>
        <v/>
      </c>
      <c r="N316" s="72"/>
      <c r="O316" s="16" t="str">
        <f t="shared" si="95"/>
        <v/>
      </c>
      <c r="P316" s="16" t="str">
        <f t="shared" si="96"/>
        <v/>
      </c>
      <c r="Q316" s="16" t="str">
        <f t="shared" si="97"/>
        <v/>
      </c>
      <c r="R316" s="23" t="str">
        <f t="shared" si="98"/>
        <v/>
      </c>
      <c r="S316" s="23" t="str">
        <f t="shared" si="99"/>
        <v/>
      </c>
      <c r="T316" s="23" t="str">
        <f t="shared" si="100"/>
        <v/>
      </c>
      <c r="U316" s="23" t="str">
        <f t="shared" si="101"/>
        <v/>
      </c>
      <c r="V316" s="23" t="str">
        <f t="shared" si="102"/>
        <v/>
      </c>
      <c r="W316" s="70" t="str">
        <f t="shared" si="103"/>
        <v/>
      </c>
      <c r="X316" s="70" t="str">
        <f t="shared" si="104"/>
        <v/>
      </c>
      <c r="Y316" s="70" t="str">
        <f>IF(AND($A316&lt;&gt;"",$E316&gt;0),isLaptopBag($C316,$J316)*$D316,"")</f>
        <v/>
      </c>
      <c r="Z316" s="70" t="str">
        <f t="shared" si="105"/>
        <v/>
      </c>
      <c r="AA316" s="70" t="str">
        <f t="shared" si="106"/>
        <v/>
      </c>
      <c r="AB316" s="70" t="str">
        <f t="shared" si="107"/>
        <v/>
      </c>
      <c r="AC316" s="70" t="str">
        <f t="shared" si="108"/>
        <v/>
      </c>
      <c r="AD316" s="70" t="str">
        <f t="shared" si="109"/>
        <v/>
      </c>
      <c r="AE316" s="70" t="str">
        <f t="shared" si="110"/>
        <v/>
      </c>
      <c r="AF316" s="16"/>
      <c r="AG316" s="23"/>
      <c r="AH316" s="22"/>
      <c r="AJ316" s="83">
        <f t="shared" si="111"/>
        <v>0</v>
      </c>
      <c r="AO316" s="22" t="str">
        <f t="shared" si="112"/>
        <v/>
      </c>
      <c r="AP316" s="22" t="str">
        <f t="shared" si="113"/>
        <v/>
      </c>
    </row>
    <row r="317" spans="1:42" x14ac:dyDescent="0.25">
      <c r="A317" s="10"/>
      <c r="B317" s="10"/>
      <c r="C317" s="10"/>
      <c r="D317" s="10"/>
      <c r="E317" s="10"/>
      <c r="F317" s="10"/>
      <c r="G317" s="10"/>
      <c r="H317" s="17"/>
      <c r="I317" s="10"/>
      <c r="J317" s="10"/>
      <c r="K317" s="16" t="str">
        <f t="shared" si="92"/>
        <v/>
      </c>
      <c r="L317" s="23" t="str">
        <f t="shared" si="93"/>
        <v/>
      </c>
      <c r="M317" s="22" t="str">
        <f t="shared" si="94"/>
        <v/>
      </c>
      <c r="N317" s="72"/>
      <c r="O317" s="16" t="str">
        <f t="shared" si="95"/>
        <v/>
      </c>
      <c r="P317" s="16" t="str">
        <f t="shared" si="96"/>
        <v/>
      </c>
      <c r="Q317" s="16" t="str">
        <f t="shared" si="97"/>
        <v/>
      </c>
      <c r="R317" s="23" t="str">
        <f t="shared" si="98"/>
        <v/>
      </c>
      <c r="S317" s="23" t="str">
        <f t="shared" si="99"/>
        <v/>
      </c>
      <c r="T317" s="23" t="str">
        <f t="shared" si="100"/>
        <v/>
      </c>
      <c r="U317" s="23" t="str">
        <f t="shared" si="101"/>
        <v/>
      </c>
      <c r="V317" s="23" t="str">
        <f t="shared" si="102"/>
        <v/>
      </c>
      <c r="W317" s="70" t="str">
        <f t="shared" si="103"/>
        <v/>
      </c>
      <c r="X317" s="70" t="str">
        <f t="shared" si="104"/>
        <v/>
      </c>
      <c r="Y317" s="70" t="str">
        <f>IF(AND($A317&lt;&gt;"",$E317&gt;0),isLaptopBag($C317,$J317)*$D317,"")</f>
        <v/>
      </c>
      <c r="Z317" s="70" t="str">
        <f t="shared" si="105"/>
        <v/>
      </c>
      <c r="AA317" s="70" t="str">
        <f t="shared" si="106"/>
        <v/>
      </c>
      <c r="AB317" s="70" t="str">
        <f t="shared" si="107"/>
        <v/>
      </c>
      <c r="AC317" s="70" t="str">
        <f t="shared" si="108"/>
        <v/>
      </c>
      <c r="AD317" s="70" t="str">
        <f t="shared" si="109"/>
        <v/>
      </c>
      <c r="AE317" s="70" t="str">
        <f t="shared" si="110"/>
        <v/>
      </c>
      <c r="AF317" s="16"/>
      <c r="AG317" s="23"/>
      <c r="AH317" s="22"/>
      <c r="AJ317" s="83">
        <f t="shared" si="111"/>
        <v>0</v>
      </c>
      <c r="AO317" s="22" t="str">
        <f t="shared" si="112"/>
        <v/>
      </c>
      <c r="AP317" s="22" t="str">
        <f t="shared" si="113"/>
        <v/>
      </c>
    </row>
    <row r="318" spans="1:42" x14ac:dyDescent="0.25">
      <c r="A318" s="10"/>
      <c r="B318" s="10"/>
      <c r="C318" s="10"/>
      <c r="D318" s="10"/>
      <c r="E318" s="10"/>
      <c r="F318" s="10"/>
      <c r="G318" s="10"/>
      <c r="H318" s="17"/>
      <c r="I318" s="10"/>
      <c r="J318" s="10"/>
      <c r="K318" s="16" t="str">
        <f t="shared" si="92"/>
        <v/>
      </c>
      <c r="L318" s="23" t="str">
        <f t="shared" si="93"/>
        <v/>
      </c>
      <c r="M318" s="22" t="str">
        <f t="shared" si="94"/>
        <v/>
      </c>
      <c r="N318" s="72"/>
      <c r="O318" s="16" t="str">
        <f t="shared" si="95"/>
        <v/>
      </c>
      <c r="P318" s="16" t="str">
        <f t="shared" si="96"/>
        <v/>
      </c>
      <c r="Q318" s="16" t="str">
        <f t="shared" si="97"/>
        <v/>
      </c>
      <c r="R318" s="23" t="str">
        <f t="shared" si="98"/>
        <v/>
      </c>
      <c r="S318" s="23" t="str">
        <f t="shared" si="99"/>
        <v/>
      </c>
      <c r="T318" s="23" t="str">
        <f t="shared" si="100"/>
        <v/>
      </c>
      <c r="U318" s="23" t="str">
        <f t="shared" si="101"/>
        <v/>
      </c>
      <c r="V318" s="23" t="str">
        <f t="shared" si="102"/>
        <v/>
      </c>
      <c r="W318" s="70" t="str">
        <f t="shared" si="103"/>
        <v/>
      </c>
      <c r="X318" s="70" t="str">
        <f t="shared" si="104"/>
        <v/>
      </c>
      <c r="Y318" s="70" t="str">
        <f>IF(AND($A318&lt;&gt;"",$E318&gt;0),isLaptopBag($C318,$J318)*$D318,"")</f>
        <v/>
      </c>
      <c r="Z318" s="70" t="str">
        <f t="shared" si="105"/>
        <v/>
      </c>
      <c r="AA318" s="70" t="str">
        <f t="shared" si="106"/>
        <v/>
      </c>
      <c r="AB318" s="70" t="str">
        <f t="shared" si="107"/>
        <v/>
      </c>
      <c r="AC318" s="70" t="str">
        <f t="shared" si="108"/>
        <v/>
      </c>
      <c r="AD318" s="70" t="str">
        <f t="shared" si="109"/>
        <v/>
      </c>
      <c r="AE318" s="70" t="str">
        <f t="shared" si="110"/>
        <v/>
      </c>
      <c r="AF318" s="16"/>
      <c r="AG318" s="23"/>
      <c r="AH318" s="22"/>
      <c r="AJ318" s="83">
        <f t="shared" si="111"/>
        <v>0</v>
      </c>
      <c r="AO318" s="22" t="str">
        <f t="shared" si="112"/>
        <v/>
      </c>
      <c r="AP318" s="22" t="str">
        <f t="shared" si="113"/>
        <v/>
      </c>
    </row>
    <row r="319" spans="1:42" x14ac:dyDescent="0.25">
      <c r="A319" s="10"/>
      <c r="B319" s="10"/>
      <c r="C319" s="10"/>
      <c r="D319" s="10"/>
      <c r="E319" s="10"/>
      <c r="F319" s="10"/>
      <c r="G319" s="10"/>
      <c r="H319" s="17"/>
      <c r="I319" s="10"/>
      <c r="J319" s="10"/>
      <c r="K319" s="16" t="str">
        <f t="shared" si="92"/>
        <v/>
      </c>
      <c r="L319" s="23" t="str">
        <f t="shared" si="93"/>
        <v/>
      </c>
      <c r="M319" s="22" t="str">
        <f t="shared" si="94"/>
        <v/>
      </c>
      <c r="N319" s="72"/>
      <c r="O319" s="16" t="str">
        <f t="shared" si="95"/>
        <v/>
      </c>
      <c r="P319" s="16" t="str">
        <f t="shared" si="96"/>
        <v/>
      </c>
      <c r="Q319" s="16" t="str">
        <f t="shared" si="97"/>
        <v/>
      </c>
      <c r="R319" s="23" t="str">
        <f t="shared" si="98"/>
        <v/>
      </c>
      <c r="S319" s="23" t="str">
        <f t="shared" si="99"/>
        <v/>
      </c>
      <c r="T319" s="23" t="str">
        <f t="shared" si="100"/>
        <v/>
      </c>
      <c r="U319" s="23" t="str">
        <f t="shared" si="101"/>
        <v/>
      </c>
      <c r="V319" s="23" t="str">
        <f t="shared" si="102"/>
        <v/>
      </c>
      <c r="W319" s="70" t="str">
        <f t="shared" si="103"/>
        <v/>
      </c>
      <c r="X319" s="70" t="str">
        <f t="shared" si="104"/>
        <v/>
      </c>
      <c r="Y319" s="70" t="str">
        <f>IF(AND($A319&lt;&gt;"",$E319&gt;0),isLaptopBag($C319,$J319)*$D319,"")</f>
        <v/>
      </c>
      <c r="Z319" s="70" t="str">
        <f t="shared" si="105"/>
        <v/>
      </c>
      <c r="AA319" s="70" t="str">
        <f t="shared" si="106"/>
        <v/>
      </c>
      <c r="AB319" s="70" t="str">
        <f t="shared" si="107"/>
        <v/>
      </c>
      <c r="AC319" s="70" t="str">
        <f t="shared" si="108"/>
        <v/>
      </c>
      <c r="AD319" s="70" t="str">
        <f t="shared" si="109"/>
        <v/>
      </c>
      <c r="AE319" s="70" t="str">
        <f t="shared" si="110"/>
        <v/>
      </c>
      <c r="AF319" s="16"/>
      <c r="AG319" s="23"/>
      <c r="AH319" s="22"/>
      <c r="AJ319" s="83">
        <f t="shared" si="111"/>
        <v>0</v>
      </c>
      <c r="AO319" s="22" t="str">
        <f t="shared" si="112"/>
        <v/>
      </c>
      <c r="AP319" s="22" t="str">
        <f t="shared" si="113"/>
        <v/>
      </c>
    </row>
    <row r="320" spans="1:42" x14ac:dyDescent="0.25">
      <c r="A320" s="10"/>
      <c r="B320" s="10"/>
      <c r="C320" s="10"/>
      <c r="D320" s="10"/>
      <c r="E320" s="10"/>
      <c r="F320" s="10"/>
      <c r="G320" s="10"/>
      <c r="H320" s="17"/>
      <c r="I320" s="10"/>
      <c r="J320" s="10"/>
      <c r="K320" s="16" t="str">
        <f t="shared" si="92"/>
        <v/>
      </c>
      <c r="L320" s="23" t="str">
        <f t="shared" si="93"/>
        <v/>
      </c>
      <c r="M320" s="22" t="str">
        <f t="shared" si="94"/>
        <v/>
      </c>
      <c r="N320" s="72"/>
      <c r="O320" s="16" t="str">
        <f t="shared" si="95"/>
        <v/>
      </c>
      <c r="P320" s="16" t="str">
        <f t="shared" si="96"/>
        <v/>
      </c>
      <c r="Q320" s="16" t="str">
        <f t="shared" si="97"/>
        <v/>
      </c>
      <c r="R320" s="23" t="str">
        <f t="shared" si="98"/>
        <v/>
      </c>
      <c r="S320" s="23" t="str">
        <f t="shared" si="99"/>
        <v/>
      </c>
      <c r="T320" s="23" t="str">
        <f t="shared" si="100"/>
        <v/>
      </c>
      <c r="U320" s="23" t="str">
        <f t="shared" si="101"/>
        <v/>
      </c>
      <c r="V320" s="23" t="str">
        <f t="shared" si="102"/>
        <v/>
      </c>
      <c r="W320" s="70" t="str">
        <f t="shared" si="103"/>
        <v/>
      </c>
      <c r="X320" s="70" t="str">
        <f t="shared" si="104"/>
        <v/>
      </c>
      <c r="Y320" s="70" t="str">
        <f>IF(AND($A320&lt;&gt;"",$E320&gt;0),isLaptopBag($C320,$J320)*$D320,"")</f>
        <v/>
      </c>
      <c r="Z320" s="70" t="str">
        <f t="shared" si="105"/>
        <v/>
      </c>
      <c r="AA320" s="70" t="str">
        <f t="shared" si="106"/>
        <v/>
      </c>
      <c r="AB320" s="70" t="str">
        <f t="shared" si="107"/>
        <v/>
      </c>
      <c r="AC320" s="70" t="str">
        <f t="shared" si="108"/>
        <v/>
      </c>
      <c r="AD320" s="70" t="str">
        <f t="shared" si="109"/>
        <v/>
      </c>
      <c r="AE320" s="70" t="str">
        <f t="shared" si="110"/>
        <v/>
      </c>
      <c r="AF320" s="16"/>
      <c r="AG320" s="23"/>
      <c r="AH320" s="22"/>
      <c r="AJ320" s="83">
        <f t="shared" si="111"/>
        <v>0</v>
      </c>
      <c r="AO320" s="22" t="str">
        <f t="shared" si="112"/>
        <v/>
      </c>
      <c r="AP320" s="22" t="str">
        <f t="shared" si="113"/>
        <v/>
      </c>
    </row>
    <row r="321" spans="1:42" x14ac:dyDescent="0.25">
      <c r="A321" s="10"/>
      <c r="B321" s="10"/>
      <c r="C321" s="10"/>
      <c r="D321" s="10"/>
      <c r="E321" s="10"/>
      <c r="F321" s="10"/>
      <c r="G321" s="10"/>
      <c r="H321" s="17"/>
      <c r="I321" s="10"/>
      <c r="J321" s="10"/>
      <c r="K321" s="16" t="str">
        <f t="shared" si="92"/>
        <v/>
      </c>
      <c r="L321" s="23" t="str">
        <f t="shared" si="93"/>
        <v/>
      </c>
      <c r="M321" s="22" t="str">
        <f t="shared" si="94"/>
        <v/>
      </c>
      <c r="N321" s="72"/>
      <c r="O321" s="16" t="str">
        <f t="shared" si="95"/>
        <v/>
      </c>
      <c r="P321" s="16" t="str">
        <f t="shared" si="96"/>
        <v/>
      </c>
      <c r="Q321" s="16" t="str">
        <f t="shared" si="97"/>
        <v/>
      </c>
      <c r="R321" s="23" t="str">
        <f t="shared" si="98"/>
        <v/>
      </c>
      <c r="S321" s="23" t="str">
        <f t="shared" si="99"/>
        <v/>
      </c>
      <c r="T321" s="23" t="str">
        <f t="shared" si="100"/>
        <v/>
      </c>
      <c r="U321" s="23" t="str">
        <f t="shared" si="101"/>
        <v/>
      </c>
      <c r="V321" s="23" t="str">
        <f t="shared" si="102"/>
        <v/>
      </c>
      <c r="W321" s="70" t="str">
        <f t="shared" si="103"/>
        <v/>
      </c>
      <c r="X321" s="70" t="str">
        <f t="shared" si="104"/>
        <v/>
      </c>
      <c r="Y321" s="70" t="str">
        <f>IF(AND($A321&lt;&gt;"",$E321&gt;0),isLaptopBag($C321,$J321)*$D321,"")</f>
        <v/>
      </c>
      <c r="Z321" s="70" t="str">
        <f t="shared" si="105"/>
        <v/>
      </c>
      <c r="AA321" s="70" t="str">
        <f t="shared" si="106"/>
        <v/>
      </c>
      <c r="AB321" s="70" t="str">
        <f t="shared" si="107"/>
        <v/>
      </c>
      <c r="AC321" s="70" t="str">
        <f t="shared" si="108"/>
        <v/>
      </c>
      <c r="AD321" s="70" t="str">
        <f t="shared" si="109"/>
        <v/>
      </c>
      <c r="AE321" s="70" t="str">
        <f t="shared" si="110"/>
        <v/>
      </c>
      <c r="AF321" s="16"/>
      <c r="AG321" s="23"/>
      <c r="AH321" s="22"/>
      <c r="AJ321" s="83">
        <f t="shared" si="111"/>
        <v>0</v>
      </c>
      <c r="AO321" s="22" t="str">
        <f t="shared" si="112"/>
        <v/>
      </c>
      <c r="AP321" s="22" t="str">
        <f t="shared" si="113"/>
        <v/>
      </c>
    </row>
    <row r="322" spans="1:42" x14ac:dyDescent="0.25">
      <c r="A322" s="10"/>
      <c r="B322" s="10"/>
      <c r="C322" s="10"/>
      <c r="D322" s="10"/>
      <c r="E322" s="10"/>
      <c r="F322" s="10"/>
      <c r="G322" s="10"/>
      <c r="H322" s="17"/>
      <c r="I322" s="10"/>
      <c r="J322" s="10"/>
      <c r="K322" s="16" t="str">
        <f t="shared" si="92"/>
        <v/>
      </c>
      <c r="L322" s="23" t="str">
        <f t="shared" si="93"/>
        <v/>
      </c>
      <c r="M322" s="22" t="str">
        <f t="shared" si="94"/>
        <v/>
      </c>
      <c r="N322" s="72"/>
      <c r="O322" s="16" t="str">
        <f t="shared" si="95"/>
        <v/>
      </c>
      <c r="P322" s="16" t="str">
        <f t="shared" si="96"/>
        <v/>
      </c>
      <c r="Q322" s="16" t="str">
        <f t="shared" si="97"/>
        <v/>
      </c>
      <c r="R322" s="23" t="str">
        <f t="shared" si="98"/>
        <v/>
      </c>
      <c r="S322" s="23" t="str">
        <f t="shared" si="99"/>
        <v/>
      </c>
      <c r="T322" s="23" t="str">
        <f t="shared" si="100"/>
        <v/>
      </c>
      <c r="U322" s="23" t="str">
        <f t="shared" si="101"/>
        <v/>
      </c>
      <c r="V322" s="23" t="str">
        <f t="shared" si="102"/>
        <v/>
      </c>
      <c r="W322" s="70" t="str">
        <f t="shared" si="103"/>
        <v/>
      </c>
      <c r="X322" s="70" t="str">
        <f t="shared" si="104"/>
        <v/>
      </c>
      <c r="Y322" s="70" t="str">
        <f>IF(AND($A322&lt;&gt;"",$E322&gt;0),isLaptopBag($C322,$J322)*$D322,"")</f>
        <v/>
      </c>
      <c r="Z322" s="70" t="str">
        <f t="shared" si="105"/>
        <v/>
      </c>
      <c r="AA322" s="70" t="str">
        <f t="shared" si="106"/>
        <v/>
      </c>
      <c r="AB322" s="70" t="str">
        <f t="shared" si="107"/>
        <v/>
      </c>
      <c r="AC322" s="70" t="str">
        <f t="shared" si="108"/>
        <v/>
      </c>
      <c r="AD322" s="70" t="str">
        <f t="shared" si="109"/>
        <v/>
      </c>
      <c r="AE322" s="70" t="str">
        <f t="shared" si="110"/>
        <v/>
      </c>
      <c r="AF322" s="16"/>
      <c r="AG322" s="23"/>
      <c r="AH322" s="22"/>
      <c r="AJ322" s="83">
        <f t="shared" si="111"/>
        <v>0</v>
      </c>
      <c r="AO322" s="22" t="str">
        <f t="shared" si="112"/>
        <v/>
      </c>
      <c r="AP322" s="22" t="str">
        <f t="shared" si="113"/>
        <v/>
      </c>
    </row>
    <row r="323" spans="1:42" x14ac:dyDescent="0.25">
      <c r="A323" s="10"/>
      <c r="B323" s="10"/>
      <c r="C323" s="10"/>
      <c r="D323" s="10"/>
      <c r="E323" s="10"/>
      <c r="F323" s="10"/>
      <c r="G323" s="10"/>
      <c r="H323" s="17"/>
      <c r="I323" s="10"/>
      <c r="J323" s="10"/>
      <c r="K323" s="16" t="str">
        <f t="shared" si="92"/>
        <v/>
      </c>
      <c r="L323" s="23" t="str">
        <f t="shared" si="93"/>
        <v/>
      </c>
      <c r="M323" s="22" t="str">
        <f t="shared" si="94"/>
        <v/>
      </c>
      <c r="N323" s="72"/>
      <c r="O323" s="16" t="str">
        <f t="shared" si="95"/>
        <v/>
      </c>
      <c r="P323" s="16" t="str">
        <f t="shared" si="96"/>
        <v/>
      </c>
      <c r="Q323" s="16" t="str">
        <f t="shared" si="97"/>
        <v/>
      </c>
      <c r="R323" s="23" t="str">
        <f t="shared" si="98"/>
        <v/>
      </c>
      <c r="S323" s="23" t="str">
        <f t="shared" si="99"/>
        <v/>
      </c>
      <c r="T323" s="23" t="str">
        <f t="shared" si="100"/>
        <v/>
      </c>
      <c r="U323" s="23" t="str">
        <f t="shared" si="101"/>
        <v/>
      </c>
      <c r="V323" s="23" t="str">
        <f t="shared" si="102"/>
        <v/>
      </c>
      <c r="W323" s="70" t="str">
        <f t="shared" si="103"/>
        <v/>
      </c>
      <c r="X323" s="70" t="str">
        <f t="shared" si="104"/>
        <v/>
      </c>
      <c r="Y323" s="70" t="str">
        <f>IF(AND($A323&lt;&gt;"",$E323&gt;0),isLaptopBag($C323,$J323)*$D323,"")</f>
        <v/>
      </c>
      <c r="Z323" s="70" t="str">
        <f t="shared" si="105"/>
        <v/>
      </c>
      <c r="AA323" s="70" t="str">
        <f t="shared" si="106"/>
        <v/>
      </c>
      <c r="AB323" s="70" t="str">
        <f t="shared" si="107"/>
        <v/>
      </c>
      <c r="AC323" s="70" t="str">
        <f t="shared" si="108"/>
        <v/>
      </c>
      <c r="AD323" s="70" t="str">
        <f t="shared" si="109"/>
        <v/>
      </c>
      <c r="AE323" s="70" t="str">
        <f t="shared" si="110"/>
        <v/>
      </c>
      <c r="AF323" s="16"/>
      <c r="AG323" s="23"/>
      <c r="AH323" s="22"/>
      <c r="AJ323" s="83">
        <f t="shared" si="111"/>
        <v>0</v>
      </c>
      <c r="AO323" s="22" t="str">
        <f t="shared" si="112"/>
        <v/>
      </c>
      <c r="AP323" s="22" t="str">
        <f t="shared" si="113"/>
        <v/>
      </c>
    </row>
    <row r="324" spans="1:42" x14ac:dyDescent="0.25">
      <c r="A324" s="10"/>
      <c r="B324" s="10"/>
      <c r="C324" s="10"/>
      <c r="D324" s="10"/>
      <c r="E324" s="10"/>
      <c r="F324" s="10"/>
      <c r="G324" s="10"/>
      <c r="H324" s="17"/>
      <c r="I324" s="10"/>
      <c r="J324" s="10"/>
      <c r="K324" s="16" t="str">
        <f t="shared" si="92"/>
        <v/>
      </c>
      <c r="L324" s="23" t="str">
        <f t="shared" si="93"/>
        <v/>
      </c>
      <c r="M324" s="22" t="str">
        <f t="shared" si="94"/>
        <v/>
      </c>
      <c r="N324" s="72"/>
      <c r="O324" s="16" t="str">
        <f t="shared" si="95"/>
        <v/>
      </c>
      <c r="P324" s="16" t="str">
        <f t="shared" si="96"/>
        <v/>
      </c>
      <c r="Q324" s="16" t="str">
        <f t="shared" si="97"/>
        <v/>
      </c>
      <c r="R324" s="23" t="str">
        <f t="shared" si="98"/>
        <v/>
      </c>
      <c r="S324" s="23" t="str">
        <f t="shared" si="99"/>
        <v/>
      </c>
      <c r="T324" s="23" t="str">
        <f t="shared" si="100"/>
        <v/>
      </c>
      <c r="U324" s="23" t="str">
        <f t="shared" si="101"/>
        <v/>
      </c>
      <c r="V324" s="23" t="str">
        <f t="shared" si="102"/>
        <v/>
      </c>
      <c r="W324" s="70" t="str">
        <f t="shared" si="103"/>
        <v/>
      </c>
      <c r="X324" s="70" t="str">
        <f t="shared" si="104"/>
        <v/>
      </c>
      <c r="Y324" s="70" t="str">
        <f>IF(AND($A324&lt;&gt;"",$E324&gt;0),isLaptopBag($C324,$J324)*$D324,"")</f>
        <v/>
      </c>
      <c r="Z324" s="70" t="str">
        <f t="shared" si="105"/>
        <v/>
      </c>
      <c r="AA324" s="70" t="str">
        <f t="shared" si="106"/>
        <v/>
      </c>
      <c r="AB324" s="70" t="str">
        <f t="shared" si="107"/>
        <v/>
      </c>
      <c r="AC324" s="70" t="str">
        <f t="shared" si="108"/>
        <v/>
      </c>
      <c r="AD324" s="70" t="str">
        <f t="shared" si="109"/>
        <v/>
      </c>
      <c r="AE324" s="70" t="str">
        <f t="shared" si="110"/>
        <v/>
      </c>
      <c r="AF324" s="16"/>
      <c r="AG324" s="23"/>
      <c r="AH324" s="22"/>
      <c r="AJ324" s="83">
        <f t="shared" si="111"/>
        <v>0</v>
      </c>
      <c r="AO324" s="22" t="str">
        <f t="shared" si="112"/>
        <v/>
      </c>
      <c r="AP324" s="22" t="str">
        <f t="shared" si="113"/>
        <v/>
      </c>
    </row>
    <row r="325" spans="1:42" x14ac:dyDescent="0.25">
      <c r="A325" s="10"/>
      <c r="B325" s="10"/>
      <c r="C325" s="10"/>
      <c r="D325" s="10"/>
      <c r="E325" s="10"/>
      <c r="F325" s="10"/>
      <c r="G325" s="10"/>
      <c r="H325" s="17"/>
      <c r="I325" s="10"/>
      <c r="J325" s="10"/>
      <c r="K325" s="16" t="str">
        <f t="shared" si="92"/>
        <v/>
      </c>
      <c r="L325" s="23" t="str">
        <f t="shared" si="93"/>
        <v/>
      </c>
      <c r="M325" s="22" t="str">
        <f t="shared" si="94"/>
        <v/>
      </c>
      <c r="N325" s="72"/>
      <c r="O325" s="16" t="str">
        <f t="shared" si="95"/>
        <v/>
      </c>
      <c r="P325" s="16" t="str">
        <f t="shared" si="96"/>
        <v/>
      </c>
      <c r="Q325" s="16" t="str">
        <f t="shared" si="97"/>
        <v/>
      </c>
      <c r="R325" s="23" t="str">
        <f t="shared" si="98"/>
        <v/>
      </c>
      <c r="S325" s="23" t="str">
        <f t="shared" si="99"/>
        <v/>
      </c>
      <c r="T325" s="23" t="str">
        <f t="shared" si="100"/>
        <v/>
      </c>
      <c r="U325" s="23" t="str">
        <f t="shared" si="101"/>
        <v/>
      </c>
      <c r="V325" s="23" t="str">
        <f t="shared" si="102"/>
        <v/>
      </c>
      <c r="W325" s="70" t="str">
        <f t="shared" si="103"/>
        <v/>
      </c>
      <c r="X325" s="70" t="str">
        <f t="shared" si="104"/>
        <v/>
      </c>
      <c r="Y325" s="70" t="str">
        <f>IF(AND($A325&lt;&gt;"",$E325&gt;0),isLaptopBag($C325,$J325)*$D325,"")</f>
        <v/>
      </c>
      <c r="Z325" s="70" t="str">
        <f t="shared" si="105"/>
        <v/>
      </c>
      <c r="AA325" s="70" t="str">
        <f t="shared" si="106"/>
        <v/>
      </c>
      <c r="AB325" s="70" t="str">
        <f t="shared" si="107"/>
        <v/>
      </c>
      <c r="AC325" s="70" t="str">
        <f t="shared" si="108"/>
        <v/>
      </c>
      <c r="AD325" s="70" t="str">
        <f t="shared" si="109"/>
        <v/>
      </c>
      <c r="AE325" s="70" t="str">
        <f t="shared" si="110"/>
        <v/>
      </c>
      <c r="AF325" s="16"/>
      <c r="AG325" s="23"/>
      <c r="AH325" s="22"/>
      <c r="AJ325" s="83">
        <f t="shared" si="111"/>
        <v>0</v>
      </c>
      <c r="AO325" s="22" t="str">
        <f t="shared" si="112"/>
        <v/>
      </c>
      <c r="AP325" s="22" t="str">
        <f t="shared" si="113"/>
        <v/>
      </c>
    </row>
    <row r="326" spans="1:42" x14ac:dyDescent="0.25">
      <c r="A326" s="10"/>
      <c r="B326" s="10"/>
      <c r="C326" s="10"/>
      <c r="D326" s="10"/>
      <c r="E326" s="10"/>
      <c r="F326" s="10"/>
      <c r="G326" s="10"/>
      <c r="H326" s="17"/>
      <c r="I326" s="10"/>
      <c r="J326" s="10"/>
      <c r="K326" s="16" t="str">
        <f t="shared" si="92"/>
        <v/>
      </c>
      <c r="L326" s="23" t="str">
        <f t="shared" si="93"/>
        <v/>
      </c>
      <c r="M326" s="22" t="str">
        <f t="shared" si="94"/>
        <v/>
      </c>
      <c r="N326" s="72"/>
      <c r="O326" s="16" t="str">
        <f t="shared" si="95"/>
        <v/>
      </c>
      <c r="P326" s="16" t="str">
        <f t="shared" si="96"/>
        <v/>
      </c>
      <c r="Q326" s="16" t="str">
        <f t="shared" si="97"/>
        <v/>
      </c>
      <c r="R326" s="23" t="str">
        <f t="shared" si="98"/>
        <v/>
      </c>
      <c r="S326" s="23" t="str">
        <f t="shared" si="99"/>
        <v/>
      </c>
      <c r="T326" s="23" t="str">
        <f t="shared" si="100"/>
        <v/>
      </c>
      <c r="U326" s="23" t="str">
        <f t="shared" si="101"/>
        <v/>
      </c>
      <c r="V326" s="23" t="str">
        <f t="shared" si="102"/>
        <v/>
      </c>
      <c r="W326" s="70" t="str">
        <f t="shared" si="103"/>
        <v/>
      </c>
      <c r="X326" s="70" t="str">
        <f t="shared" si="104"/>
        <v/>
      </c>
      <c r="Y326" s="70" t="str">
        <f>IF(AND($A326&lt;&gt;"",$E326&gt;0),isLaptopBag($C326,$J326)*$D326,"")</f>
        <v/>
      </c>
      <c r="Z326" s="70" t="str">
        <f t="shared" si="105"/>
        <v/>
      </c>
      <c r="AA326" s="70" t="str">
        <f t="shared" si="106"/>
        <v/>
      </c>
      <c r="AB326" s="70" t="str">
        <f t="shared" si="107"/>
        <v/>
      </c>
      <c r="AC326" s="70" t="str">
        <f t="shared" si="108"/>
        <v/>
      </c>
      <c r="AD326" s="70" t="str">
        <f t="shared" si="109"/>
        <v/>
      </c>
      <c r="AE326" s="70" t="str">
        <f t="shared" si="110"/>
        <v/>
      </c>
      <c r="AF326" s="16"/>
      <c r="AG326" s="23"/>
      <c r="AH326" s="22"/>
      <c r="AJ326" s="83">
        <f t="shared" si="111"/>
        <v>0</v>
      </c>
      <c r="AO326" s="22" t="str">
        <f t="shared" si="112"/>
        <v/>
      </c>
      <c r="AP326" s="22" t="str">
        <f t="shared" si="113"/>
        <v/>
      </c>
    </row>
    <row r="327" spans="1:42" x14ac:dyDescent="0.25">
      <c r="A327" s="10"/>
      <c r="B327" s="10"/>
      <c r="C327" s="10"/>
      <c r="D327" s="10"/>
      <c r="E327" s="10"/>
      <c r="F327" s="10"/>
      <c r="G327" s="10"/>
      <c r="H327" s="17"/>
      <c r="I327" s="10"/>
      <c r="J327" s="10"/>
      <c r="K327" s="16" t="str">
        <f t="shared" si="92"/>
        <v/>
      </c>
      <c r="L327" s="23" t="str">
        <f t="shared" si="93"/>
        <v/>
      </c>
      <c r="M327" s="22" t="str">
        <f t="shared" si="94"/>
        <v/>
      </c>
      <c r="N327" s="72"/>
      <c r="O327" s="16" t="str">
        <f t="shared" si="95"/>
        <v/>
      </c>
      <c r="P327" s="16" t="str">
        <f t="shared" si="96"/>
        <v/>
      </c>
      <c r="Q327" s="16" t="str">
        <f t="shared" si="97"/>
        <v/>
      </c>
      <c r="R327" s="23" t="str">
        <f t="shared" si="98"/>
        <v/>
      </c>
      <c r="S327" s="23" t="str">
        <f t="shared" si="99"/>
        <v/>
      </c>
      <c r="T327" s="23" t="str">
        <f t="shared" si="100"/>
        <v/>
      </c>
      <c r="U327" s="23" t="str">
        <f t="shared" si="101"/>
        <v/>
      </c>
      <c r="V327" s="23" t="str">
        <f t="shared" si="102"/>
        <v/>
      </c>
      <c r="W327" s="70" t="str">
        <f t="shared" si="103"/>
        <v/>
      </c>
      <c r="X327" s="70" t="str">
        <f t="shared" si="104"/>
        <v/>
      </c>
      <c r="Y327" s="70" t="str">
        <f>IF(AND($A327&lt;&gt;"",$E327&gt;0),isLaptopBag($C327,$J327)*$D327,"")</f>
        <v/>
      </c>
      <c r="Z327" s="70" t="str">
        <f t="shared" si="105"/>
        <v/>
      </c>
      <c r="AA327" s="70" t="str">
        <f t="shared" si="106"/>
        <v/>
      </c>
      <c r="AB327" s="70" t="str">
        <f t="shared" si="107"/>
        <v/>
      </c>
      <c r="AC327" s="70" t="str">
        <f t="shared" si="108"/>
        <v/>
      </c>
      <c r="AD327" s="70" t="str">
        <f t="shared" si="109"/>
        <v/>
      </c>
      <c r="AE327" s="70" t="str">
        <f t="shared" si="110"/>
        <v/>
      </c>
      <c r="AF327" s="16"/>
      <c r="AG327" s="23"/>
      <c r="AH327" s="22"/>
      <c r="AJ327" s="83">
        <f t="shared" si="111"/>
        <v>0</v>
      </c>
      <c r="AO327" s="22" t="str">
        <f t="shared" si="112"/>
        <v/>
      </c>
      <c r="AP327" s="22" t="str">
        <f t="shared" si="113"/>
        <v/>
      </c>
    </row>
    <row r="328" spans="1:42" x14ac:dyDescent="0.25">
      <c r="A328" s="10"/>
      <c r="B328" s="10"/>
      <c r="C328" s="10"/>
      <c r="D328" s="10"/>
      <c r="E328" s="10"/>
      <c r="F328" s="10"/>
      <c r="G328" s="10"/>
      <c r="H328" s="17"/>
      <c r="I328" s="10"/>
      <c r="J328" s="10"/>
      <c r="K328" s="16" t="str">
        <f t="shared" si="92"/>
        <v/>
      </c>
      <c r="L328" s="23" t="str">
        <f t="shared" si="93"/>
        <v/>
      </c>
      <c r="M328" s="22" t="str">
        <f t="shared" si="94"/>
        <v/>
      </c>
      <c r="N328" s="72"/>
      <c r="O328" s="16" t="str">
        <f t="shared" si="95"/>
        <v/>
      </c>
      <c r="P328" s="16" t="str">
        <f t="shared" si="96"/>
        <v/>
      </c>
      <c r="Q328" s="16" t="str">
        <f t="shared" si="97"/>
        <v/>
      </c>
      <c r="R328" s="23" t="str">
        <f t="shared" si="98"/>
        <v/>
      </c>
      <c r="S328" s="23" t="str">
        <f t="shared" si="99"/>
        <v/>
      </c>
      <c r="T328" s="23" t="str">
        <f t="shared" si="100"/>
        <v/>
      </c>
      <c r="U328" s="23" t="str">
        <f t="shared" si="101"/>
        <v/>
      </c>
      <c r="V328" s="23" t="str">
        <f t="shared" si="102"/>
        <v/>
      </c>
      <c r="W328" s="70" t="str">
        <f t="shared" si="103"/>
        <v/>
      </c>
      <c r="X328" s="70" t="str">
        <f t="shared" si="104"/>
        <v/>
      </c>
      <c r="Y328" s="70" t="str">
        <f>IF(AND($A328&lt;&gt;"",$E328&gt;0),isLaptopBag($C328,$J328)*$D328,"")</f>
        <v/>
      </c>
      <c r="Z328" s="70" t="str">
        <f t="shared" si="105"/>
        <v/>
      </c>
      <c r="AA328" s="70" t="str">
        <f t="shared" si="106"/>
        <v/>
      </c>
      <c r="AB328" s="70" t="str">
        <f t="shared" si="107"/>
        <v/>
      </c>
      <c r="AC328" s="70" t="str">
        <f t="shared" si="108"/>
        <v/>
      </c>
      <c r="AD328" s="70" t="str">
        <f t="shared" si="109"/>
        <v/>
      </c>
      <c r="AE328" s="70" t="str">
        <f t="shared" si="110"/>
        <v/>
      </c>
      <c r="AF328" s="16"/>
      <c r="AG328" s="23"/>
      <c r="AH328" s="22"/>
      <c r="AJ328" s="83">
        <f t="shared" si="111"/>
        <v>0</v>
      </c>
      <c r="AO328" s="22" t="str">
        <f t="shared" si="112"/>
        <v/>
      </c>
      <c r="AP328" s="22" t="str">
        <f t="shared" si="113"/>
        <v/>
      </c>
    </row>
    <row r="329" spans="1:42" x14ac:dyDescent="0.25">
      <c r="A329" s="10"/>
      <c r="B329" s="10"/>
      <c r="C329" s="10"/>
      <c r="D329" s="10"/>
      <c r="E329" s="10"/>
      <c r="F329" s="10"/>
      <c r="G329" s="10"/>
      <c r="H329" s="17"/>
      <c r="I329" s="10"/>
      <c r="J329" s="10"/>
      <c r="K329" s="16" t="str">
        <f t="shared" si="92"/>
        <v/>
      </c>
      <c r="L329" s="23" t="str">
        <f t="shared" si="93"/>
        <v/>
      </c>
      <c r="M329" s="22" t="str">
        <f t="shared" si="94"/>
        <v/>
      </c>
      <c r="N329" s="72"/>
      <c r="O329" s="16" t="str">
        <f t="shared" si="95"/>
        <v/>
      </c>
      <c r="P329" s="16" t="str">
        <f t="shared" si="96"/>
        <v/>
      </c>
      <c r="Q329" s="16" t="str">
        <f t="shared" si="97"/>
        <v/>
      </c>
      <c r="R329" s="23" t="str">
        <f t="shared" si="98"/>
        <v/>
      </c>
      <c r="S329" s="23" t="str">
        <f t="shared" si="99"/>
        <v/>
      </c>
      <c r="T329" s="23" t="str">
        <f t="shared" si="100"/>
        <v/>
      </c>
      <c r="U329" s="23" t="str">
        <f t="shared" si="101"/>
        <v/>
      </c>
      <c r="V329" s="23" t="str">
        <f t="shared" si="102"/>
        <v/>
      </c>
      <c r="W329" s="70" t="str">
        <f t="shared" si="103"/>
        <v/>
      </c>
      <c r="X329" s="70" t="str">
        <f t="shared" si="104"/>
        <v/>
      </c>
      <c r="Y329" s="70" t="str">
        <f>IF(AND($A329&lt;&gt;"",$E329&gt;0),isLaptopBag($C329,$J329)*$D329,"")</f>
        <v/>
      </c>
      <c r="Z329" s="70" t="str">
        <f t="shared" si="105"/>
        <v/>
      </c>
      <c r="AA329" s="70" t="str">
        <f t="shared" si="106"/>
        <v/>
      </c>
      <c r="AB329" s="70" t="str">
        <f t="shared" si="107"/>
        <v/>
      </c>
      <c r="AC329" s="70" t="str">
        <f t="shared" si="108"/>
        <v/>
      </c>
      <c r="AD329" s="70" t="str">
        <f t="shared" si="109"/>
        <v/>
      </c>
      <c r="AE329" s="70" t="str">
        <f t="shared" si="110"/>
        <v/>
      </c>
      <c r="AF329" s="16"/>
      <c r="AG329" s="23"/>
      <c r="AH329" s="22"/>
      <c r="AJ329" s="83">
        <f t="shared" si="111"/>
        <v>0</v>
      </c>
      <c r="AO329" s="22" t="str">
        <f t="shared" si="112"/>
        <v/>
      </c>
      <c r="AP329" s="22" t="str">
        <f t="shared" si="113"/>
        <v/>
      </c>
    </row>
    <row r="330" spans="1:42" x14ac:dyDescent="0.25">
      <c r="A330" s="10"/>
      <c r="B330" s="10"/>
      <c r="C330" s="10"/>
      <c r="D330" s="10"/>
      <c r="E330" s="10"/>
      <c r="F330" s="10"/>
      <c r="G330" s="10"/>
      <c r="H330" s="17"/>
      <c r="I330" s="10"/>
      <c r="J330" s="10"/>
      <c r="K330" s="16" t="str">
        <f t="shared" si="92"/>
        <v/>
      </c>
      <c r="L330" s="23" t="str">
        <f t="shared" si="93"/>
        <v/>
      </c>
      <c r="M330" s="22" t="str">
        <f t="shared" si="94"/>
        <v/>
      </c>
      <c r="N330" s="72"/>
      <c r="O330" s="16" t="str">
        <f t="shared" si="95"/>
        <v/>
      </c>
      <c r="P330" s="16" t="str">
        <f t="shared" si="96"/>
        <v/>
      </c>
      <c r="Q330" s="16" t="str">
        <f t="shared" si="97"/>
        <v/>
      </c>
      <c r="R330" s="23" t="str">
        <f t="shared" si="98"/>
        <v/>
      </c>
      <c r="S330" s="23" t="str">
        <f t="shared" si="99"/>
        <v/>
      </c>
      <c r="T330" s="23" t="str">
        <f t="shared" si="100"/>
        <v/>
      </c>
      <c r="U330" s="23" t="str">
        <f t="shared" si="101"/>
        <v/>
      </c>
      <c r="V330" s="23" t="str">
        <f t="shared" si="102"/>
        <v/>
      </c>
      <c r="W330" s="70" t="str">
        <f t="shared" si="103"/>
        <v/>
      </c>
      <c r="X330" s="70" t="str">
        <f t="shared" si="104"/>
        <v/>
      </c>
      <c r="Y330" s="70" t="str">
        <f>IF(AND($A330&lt;&gt;"",$E330&gt;0),isLaptopBag($C330,$J330)*$D330,"")</f>
        <v/>
      </c>
      <c r="Z330" s="70" t="str">
        <f t="shared" si="105"/>
        <v/>
      </c>
      <c r="AA330" s="70" t="str">
        <f t="shared" si="106"/>
        <v/>
      </c>
      <c r="AB330" s="70" t="str">
        <f t="shared" si="107"/>
        <v/>
      </c>
      <c r="AC330" s="70" t="str">
        <f t="shared" si="108"/>
        <v/>
      </c>
      <c r="AD330" s="70" t="str">
        <f t="shared" si="109"/>
        <v/>
      </c>
      <c r="AE330" s="70" t="str">
        <f t="shared" si="110"/>
        <v/>
      </c>
      <c r="AF330" s="16"/>
      <c r="AG330" s="23"/>
      <c r="AH330" s="22"/>
      <c r="AJ330" s="83">
        <f t="shared" si="111"/>
        <v>0</v>
      </c>
      <c r="AO330" s="22" t="str">
        <f t="shared" si="112"/>
        <v/>
      </c>
      <c r="AP330" s="22" t="str">
        <f t="shared" si="113"/>
        <v/>
      </c>
    </row>
    <row r="331" spans="1:42" x14ac:dyDescent="0.25">
      <c r="A331" s="10"/>
      <c r="B331" s="10"/>
      <c r="C331" s="10"/>
      <c r="D331" s="10"/>
      <c r="E331" s="10"/>
      <c r="F331" s="10"/>
      <c r="G331" s="10"/>
      <c r="H331" s="17"/>
      <c r="I331" s="10"/>
      <c r="J331" s="10"/>
      <c r="K331" s="16" t="str">
        <f t="shared" si="92"/>
        <v/>
      </c>
      <c r="L331" s="23" t="str">
        <f t="shared" si="93"/>
        <v/>
      </c>
      <c r="M331" s="22" t="str">
        <f t="shared" si="94"/>
        <v/>
      </c>
      <c r="N331" s="72"/>
      <c r="O331" s="16" t="str">
        <f t="shared" si="95"/>
        <v/>
      </c>
      <c r="P331" s="16" t="str">
        <f t="shared" si="96"/>
        <v/>
      </c>
      <c r="Q331" s="16" t="str">
        <f t="shared" si="97"/>
        <v/>
      </c>
      <c r="R331" s="23" t="str">
        <f t="shared" si="98"/>
        <v/>
      </c>
      <c r="S331" s="23" t="str">
        <f t="shared" si="99"/>
        <v/>
      </c>
      <c r="T331" s="23" t="str">
        <f t="shared" si="100"/>
        <v/>
      </c>
      <c r="U331" s="23" t="str">
        <f t="shared" si="101"/>
        <v/>
      </c>
      <c r="V331" s="23" t="str">
        <f t="shared" si="102"/>
        <v/>
      </c>
      <c r="W331" s="70" t="str">
        <f t="shared" si="103"/>
        <v/>
      </c>
      <c r="X331" s="70" t="str">
        <f t="shared" si="104"/>
        <v/>
      </c>
      <c r="Y331" s="70" t="str">
        <f>IF(AND($A331&lt;&gt;"",$E331&gt;0),isLaptopBag($C331,$J331)*$D331,"")</f>
        <v/>
      </c>
      <c r="Z331" s="70" t="str">
        <f t="shared" si="105"/>
        <v/>
      </c>
      <c r="AA331" s="70" t="str">
        <f t="shared" si="106"/>
        <v/>
      </c>
      <c r="AB331" s="70" t="str">
        <f t="shared" si="107"/>
        <v/>
      </c>
      <c r="AC331" s="70" t="str">
        <f t="shared" si="108"/>
        <v/>
      </c>
      <c r="AD331" s="70" t="str">
        <f t="shared" si="109"/>
        <v/>
      </c>
      <c r="AE331" s="70" t="str">
        <f t="shared" si="110"/>
        <v/>
      </c>
      <c r="AF331" s="16"/>
      <c r="AG331" s="23"/>
      <c r="AH331" s="22"/>
      <c r="AJ331" s="83">
        <f t="shared" si="111"/>
        <v>0</v>
      </c>
      <c r="AO331" s="22" t="str">
        <f t="shared" si="112"/>
        <v/>
      </c>
      <c r="AP331" s="22" t="str">
        <f t="shared" si="113"/>
        <v/>
      </c>
    </row>
    <row r="332" spans="1:42" x14ac:dyDescent="0.25">
      <c r="A332" s="10"/>
      <c r="B332" s="10"/>
      <c r="C332" s="10"/>
      <c r="D332" s="10"/>
      <c r="E332" s="10"/>
      <c r="F332" s="10"/>
      <c r="G332" s="10"/>
      <c r="H332" s="17"/>
      <c r="I332" s="10"/>
      <c r="J332" s="10"/>
      <c r="K332" s="16" t="str">
        <f t="shared" si="92"/>
        <v/>
      </c>
      <c r="L332" s="23" t="str">
        <f t="shared" si="93"/>
        <v/>
      </c>
      <c r="M332" s="22" t="str">
        <f t="shared" si="94"/>
        <v/>
      </c>
      <c r="N332" s="72"/>
      <c r="O332" s="16" t="str">
        <f t="shared" si="95"/>
        <v/>
      </c>
      <c r="P332" s="16" t="str">
        <f t="shared" si="96"/>
        <v/>
      </c>
      <c r="Q332" s="16" t="str">
        <f t="shared" si="97"/>
        <v/>
      </c>
      <c r="R332" s="23" t="str">
        <f t="shared" si="98"/>
        <v/>
      </c>
      <c r="S332" s="23" t="str">
        <f t="shared" si="99"/>
        <v/>
      </c>
      <c r="T332" s="23" t="str">
        <f t="shared" si="100"/>
        <v/>
      </c>
      <c r="U332" s="23" t="str">
        <f t="shared" si="101"/>
        <v/>
      </c>
      <c r="V332" s="23" t="str">
        <f t="shared" si="102"/>
        <v/>
      </c>
      <c r="W332" s="70" t="str">
        <f t="shared" si="103"/>
        <v/>
      </c>
      <c r="X332" s="70" t="str">
        <f t="shared" si="104"/>
        <v/>
      </c>
      <c r="Y332" s="70" t="str">
        <f>IF(AND($A332&lt;&gt;"",$E332&gt;0),isLaptopBag($C332,$J332)*$D332,"")</f>
        <v/>
      </c>
      <c r="Z332" s="70" t="str">
        <f t="shared" si="105"/>
        <v/>
      </c>
      <c r="AA332" s="70" t="str">
        <f t="shared" si="106"/>
        <v/>
      </c>
      <c r="AB332" s="70" t="str">
        <f t="shared" si="107"/>
        <v/>
      </c>
      <c r="AC332" s="70" t="str">
        <f t="shared" si="108"/>
        <v/>
      </c>
      <c r="AD332" s="70" t="str">
        <f t="shared" si="109"/>
        <v/>
      </c>
      <c r="AE332" s="70" t="str">
        <f t="shared" si="110"/>
        <v/>
      </c>
      <c r="AF332" s="16"/>
      <c r="AG332" s="23"/>
      <c r="AH332" s="22"/>
      <c r="AJ332" s="83">
        <f t="shared" si="111"/>
        <v>0</v>
      </c>
      <c r="AO332" s="22" t="str">
        <f t="shared" si="112"/>
        <v/>
      </c>
      <c r="AP332" s="22" t="str">
        <f t="shared" si="113"/>
        <v/>
      </c>
    </row>
    <row r="333" spans="1:42" x14ac:dyDescent="0.25">
      <c r="A333" s="10"/>
      <c r="B333" s="10"/>
      <c r="C333" s="10"/>
      <c r="D333" s="10"/>
      <c r="E333" s="10"/>
      <c r="F333" s="10"/>
      <c r="G333" s="10"/>
      <c r="H333" s="17"/>
      <c r="I333" s="10"/>
      <c r="J333" s="10"/>
      <c r="K333" s="16" t="str">
        <f t="shared" ref="K333:K396" si="114">IF($AF333&lt;&gt;"",$AF333,IF(AND($A333&lt;&gt;"",$E333&gt;0),SUM($O333:$Q333),""))</f>
        <v/>
      </c>
      <c r="L333" s="23" t="str">
        <f t="shared" ref="L333:L396" si="115">IF($AG333&lt;&gt;"",$AG333,IF(AND($A333&lt;&gt;"",$E333&gt;0),SUM($R333:$V333),""))</f>
        <v/>
      </c>
      <c r="M333" s="22" t="str">
        <f t="shared" ref="M333:M396" si="116">IF($AH333&lt;&gt;"",$AH333,IF(AND($A333&lt;&gt;"",$E333&gt;0),SUM($W333:$AE333)+$AO333+$AP333,""))</f>
        <v/>
      </c>
      <c r="N333" s="72"/>
      <c r="O333" s="16" t="str">
        <f t="shared" ref="O333:O396" si="117">IF(AND($A333&lt;&gt;"",$E333&gt;0),IF(AND($J333="SONY",200000&lt;=$E333,$E333&lt;1000000),5000*$D333,0),"")</f>
        <v/>
      </c>
      <c r="P333" s="16" t="str">
        <f t="shared" ref="P333:P396" si="118">IF(AND($A333&lt;&gt;"",$E333&gt;0),IF(AND($J333="SONY",1000000&lt;=$E333,$E333&lt;2000000),10000*$D333,0),"")</f>
        <v/>
      </c>
      <c r="Q333" s="16" t="str">
        <f t="shared" ref="Q333:Q396" si="119">IF(AND($A333&lt;&gt;"",$E333&gt;0),IF(AND($J333="SONY",$E333&gt;=2000000),20000*$D333,0),"")</f>
        <v/>
      </c>
      <c r="R333" s="23" t="str">
        <f t="shared" ref="R333:R396" si="120">IF(AND($A333&lt;&gt;"",$E333&gt;0),IF(AND($J333&lt;&gt;"SONY",100000&lt;=$E333,$E333&lt;200000),5000*$D333,0),"")</f>
        <v/>
      </c>
      <c r="S333" s="23" t="str">
        <f t="shared" ref="S333:S396" si="121">IF(AND($A333&lt;&gt;"",$E333&gt;0),IF(AND($J333&lt;&gt;"SONY",200000&lt;=$E333,$E333&lt;500000),10000*$D333,0),"")</f>
        <v/>
      </c>
      <c r="T333" s="23" t="str">
        <f t="shared" ref="T333:T396" si="122">IF(AND($A333&lt;&gt;"",$E333&gt;0),IF(AND($J333&lt;&gt;"SONY",500000&lt;=$E333,$E333&lt;1000000),20000*$D333,0),"")</f>
        <v/>
      </c>
      <c r="U333" s="23" t="str">
        <f t="shared" ref="U333:U396" si="123">IF(AND($A333&lt;&gt;"",$E333&gt;0),IF(AND($J333&lt;&gt;"SONY",1000000&lt;=$E333,$E333&lt;1500000),50000*$D333,0),"")</f>
        <v/>
      </c>
      <c r="V333" s="23" t="str">
        <f t="shared" ref="V333:V396" si="124">IF(AND($A333&lt;&gt;"",$E333&gt;0),IF(AND($J333&lt;&gt;"SONY",1500000&lt;=$E333),100000*$D333,0),"")</f>
        <v/>
      </c>
      <c r="W333" s="70" t="str">
        <f t="shared" ref="W333:W396" si="125">IF(AND($E333&gt;0,$J333="ELECOM",$E333&gt;=500000,ISNUMBER(SEARCH("tai nghe",$C333))),20000*$D333,IF($A333&lt;&gt;"",0,""))</f>
        <v/>
      </c>
      <c r="X333" s="70" t="str">
        <f t="shared" ref="X333:X396" si="126">IF(AND($E333&gt;0,$J333="ELECOM",ISNUMBER(SEARCH("loa",$C333))),20000*$D333,IF($A333&lt;&gt;"",0,""))</f>
        <v/>
      </c>
      <c r="Y333" s="70" t="str">
        <f>IF(AND($A333&lt;&gt;"",$E333&gt;0),isLaptopBag($C333,$J333)*$D333,"")</f>
        <v/>
      </c>
      <c r="Z333" s="70" t="str">
        <f t="shared" ref="Z333:Z396" si="127">IF(AND($E333&gt;0,$J333="ELECOM",ISNUMBER(SEARCH("ốp",$C333))),20000*$D333,IF($A333&lt;&gt;"",0,""))</f>
        <v/>
      </c>
      <c r="AA333" s="70" t="str">
        <f t="shared" ref="AA333:AA396" si="128">IF(AND($E333&gt;0,$J333="ELECOM",ISNUMBER(SEARCH("Bút",$C333))),20000*$D333,IF($A333&lt;&gt;"",0,""))</f>
        <v/>
      </c>
      <c r="AB333" s="70" t="str">
        <f t="shared" ref="AB333:AB396" si="129">IF(AND($E333&gt;0,$J333="ELECOM",ISNUMBER(SEARCH("Chuột bi",$C333))),20000*$D333,IF($A333&lt;&gt;"",0,""))</f>
        <v/>
      </c>
      <c r="AC333" s="70" t="str">
        <f t="shared" ref="AC333:AC396" si="130">IF(AND($E333&gt;0,$J333="ELECOM",ISNUMBER(SEARCH("Chuột trackball",$C333))),20000*$D333,IF($A333&lt;&gt;"",0,""))</f>
        <v/>
      </c>
      <c r="AD333" s="70" t="str">
        <f t="shared" ref="AD333:AD396" si="131">IF(AND($E333&gt;0,$J333="ELECOM",ISNUMBER(SEARCH("Sạc không dây",$C333))),20000*$D333,IF($A333&lt;&gt;"",0,""))</f>
        <v/>
      </c>
      <c r="AE333" s="70" t="str">
        <f t="shared" ref="AE333:AE396" si="132">IF(AND($E333&gt;0,$J333="ELECOM",ISNUMBER(SEARCH("Sạc kd",$C333))),20000*$D333,IF($A333&lt;&gt;"",0,""))</f>
        <v/>
      </c>
      <c r="AF333" s="16"/>
      <c r="AG333" s="23"/>
      <c r="AH333" s="22"/>
      <c r="AJ333" s="83">
        <f t="shared" ref="AJ333:AJ396" si="133">DAY(H333)</f>
        <v>0</v>
      </c>
      <c r="AO333" s="22" t="str">
        <f t="shared" ref="AO333:AO396" si="134">IF(AND($E333&gt;0,ISNUMBER(SEARCH("Sạc dự phòng Energizer",$C333))),10000*$D333,IF($A333&lt;&gt;"",0,""))</f>
        <v/>
      </c>
      <c r="AP333" s="22" t="str">
        <f t="shared" ref="AP333:AP396" si="135">IF(AND($E333&gt;0,ISNUMBER(SEARCH("SDP Energizer",$C333))),10000*$D333,IF($A333&lt;&gt;"",0,""))</f>
        <v/>
      </c>
    </row>
    <row r="334" spans="1:42" x14ac:dyDescent="0.25">
      <c r="A334" s="10"/>
      <c r="B334" s="10"/>
      <c r="C334" s="10"/>
      <c r="D334" s="10"/>
      <c r="E334" s="10"/>
      <c r="F334" s="10"/>
      <c r="G334" s="10"/>
      <c r="H334" s="17"/>
      <c r="I334" s="10"/>
      <c r="J334" s="10"/>
      <c r="K334" s="16" t="str">
        <f t="shared" si="114"/>
        <v/>
      </c>
      <c r="L334" s="23" t="str">
        <f t="shared" si="115"/>
        <v/>
      </c>
      <c r="M334" s="22" t="str">
        <f t="shared" si="116"/>
        <v/>
      </c>
      <c r="N334" s="72"/>
      <c r="O334" s="16" t="str">
        <f t="shared" si="117"/>
        <v/>
      </c>
      <c r="P334" s="16" t="str">
        <f t="shared" si="118"/>
        <v/>
      </c>
      <c r="Q334" s="16" t="str">
        <f t="shared" si="119"/>
        <v/>
      </c>
      <c r="R334" s="23" t="str">
        <f t="shared" si="120"/>
        <v/>
      </c>
      <c r="S334" s="23" t="str">
        <f t="shared" si="121"/>
        <v/>
      </c>
      <c r="T334" s="23" t="str">
        <f t="shared" si="122"/>
        <v/>
      </c>
      <c r="U334" s="23" t="str">
        <f t="shared" si="123"/>
        <v/>
      </c>
      <c r="V334" s="23" t="str">
        <f t="shared" si="124"/>
        <v/>
      </c>
      <c r="W334" s="70" t="str">
        <f t="shared" si="125"/>
        <v/>
      </c>
      <c r="X334" s="70" t="str">
        <f t="shared" si="126"/>
        <v/>
      </c>
      <c r="Y334" s="70" t="str">
        <f>IF(AND($A334&lt;&gt;"",$E334&gt;0),isLaptopBag($C334,$J334)*$D334,"")</f>
        <v/>
      </c>
      <c r="Z334" s="70" t="str">
        <f t="shared" si="127"/>
        <v/>
      </c>
      <c r="AA334" s="70" t="str">
        <f t="shared" si="128"/>
        <v/>
      </c>
      <c r="AB334" s="70" t="str">
        <f t="shared" si="129"/>
        <v/>
      </c>
      <c r="AC334" s="70" t="str">
        <f t="shared" si="130"/>
        <v/>
      </c>
      <c r="AD334" s="70" t="str">
        <f t="shared" si="131"/>
        <v/>
      </c>
      <c r="AE334" s="70" t="str">
        <f t="shared" si="132"/>
        <v/>
      </c>
      <c r="AF334" s="16"/>
      <c r="AG334" s="23"/>
      <c r="AH334" s="22"/>
      <c r="AJ334" s="83">
        <f t="shared" si="133"/>
        <v>0</v>
      </c>
      <c r="AO334" s="22" t="str">
        <f t="shared" si="134"/>
        <v/>
      </c>
      <c r="AP334" s="22" t="str">
        <f t="shared" si="135"/>
        <v/>
      </c>
    </row>
    <row r="335" spans="1:42" x14ac:dyDescent="0.25">
      <c r="A335" s="10"/>
      <c r="B335" s="10"/>
      <c r="C335" s="10"/>
      <c r="D335" s="10"/>
      <c r="E335" s="10"/>
      <c r="F335" s="10"/>
      <c r="G335" s="10"/>
      <c r="H335" s="17"/>
      <c r="I335" s="10"/>
      <c r="J335" s="10"/>
      <c r="K335" s="16" t="str">
        <f t="shared" si="114"/>
        <v/>
      </c>
      <c r="L335" s="23" t="str">
        <f t="shared" si="115"/>
        <v/>
      </c>
      <c r="M335" s="22" t="str">
        <f t="shared" si="116"/>
        <v/>
      </c>
      <c r="N335" s="72"/>
      <c r="O335" s="16" t="str">
        <f t="shared" si="117"/>
        <v/>
      </c>
      <c r="P335" s="16" t="str">
        <f t="shared" si="118"/>
        <v/>
      </c>
      <c r="Q335" s="16" t="str">
        <f t="shared" si="119"/>
        <v/>
      </c>
      <c r="R335" s="23" t="str">
        <f t="shared" si="120"/>
        <v/>
      </c>
      <c r="S335" s="23" t="str">
        <f t="shared" si="121"/>
        <v/>
      </c>
      <c r="T335" s="23" t="str">
        <f t="shared" si="122"/>
        <v/>
      </c>
      <c r="U335" s="23" t="str">
        <f t="shared" si="123"/>
        <v/>
      </c>
      <c r="V335" s="23" t="str">
        <f t="shared" si="124"/>
        <v/>
      </c>
      <c r="W335" s="70" t="str">
        <f t="shared" si="125"/>
        <v/>
      </c>
      <c r="X335" s="70" t="str">
        <f t="shared" si="126"/>
        <v/>
      </c>
      <c r="Y335" s="70" t="str">
        <f>IF(AND($A335&lt;&gt;"",$E335&gt;0),isLaptopBag($C335,$J335)*$D335,"")</f>
        <v/>
      </c>
      <c r="Z335" s="70" t="str">
        <f t="shared" si="127"/>
        <v/>
      </c>
      <c r="AA335" s="70" t="str">
        <f t="shared" si="128"/>
        <v/>
      </c>
      <c r="AB335" s="70" t="str">
        <f t="shared" si="129"/>
        <v/>
      </c>
      <c r="AC335" s="70" t="str">
        <f t="shared" si="130"/>
        <v/>
      </c>
      <c r="AD335" s="70" t="str">
        <f t="shared" si="131"/>
        <v/>
      </c>
      <c r="AE335" s="70" t="str">
        <f t="shared" si="132"/>
        <v/>
      </c>
      <c r="AF335" s="16"/>
      <c r="AG335" s="23"/>
      <c r="AH335" s="22"/>
      <c r="AJ335" s="83">
        <f t="shared" si="133"/>
        <v>0</v>
      </c>
      <c r="AO335" s="22" t="str">
        <f t="shared" si="134"/>
        <v/>
      </c>
      <c r="AP335" s="22" t="str">
        <f t="shared" si="135"/>
        <v/>
      </c>
    </row>
    <row r="336" spans="1:42" x14ac:dyDescent="0.25">
      <c r="A336" s="10"/>
      <c r="B336" s="10"/>
      <c r="C336" s="10"/>
      <c r="D336" s="10"/>
      <c r="E336" s="10"/>
      <c r="F336" s="10"/>
      <c r="G336" s="10"/>
      <c r="H336" s="17"/>
      <c r="I336" s="10"/>
      <c r="J336" s="10"/>
      <c r="K336" s="16" t="str">
        <f t="shared" si="114"/>
        <v/>
      </c>
      <c r="L336" s="23" t="str">
        <f t="shared" si="115"/>
        <v/>
      </c>
      <c r="M336" s="22" t="str">
        <f t="shared" si="116"/>
        <v/>
      </c>
      <c r="N336" s="72"/>
      <c r="O336" s="16" t="str">
        <f t="shared" si="117"/>
        <v/>
      </c>
      <c r="P336" s="16" t="str">
        <f t="shared" si="118"/>
        <v/>
      </c>
      <c r="Q336" s="16" t="str">
        <f t="shared" si="119"/>
        <v/>
      </c>
      <c r="R336" s="23" t="str">
        <f t="shared" si="120"/>
        <v/>
      </c>
      <c r="S336" s="23" t="str">
        <f t="shared" si="121"/>
        <v/>
      </c>
      <c r="T336" s="23" t="str">
        <f t="shared" si="122"/>
        <v/>
      </c>
      <c r="U336" s="23" t="str">
        <f t="shared" si="123"/>
        <v/>
      </c>
      <c r="V336" s="23" t="str">
        <f t="shared" si="124"/>
        <v/>
      </c>
      <c r="W336" s="70" t="str">
        <f t="shared" si="125"/>
        <v/>
      </c>
      <c r="X336" s="70" t="str">
        <f t="shared" si="126"/>
        <v/>
      </c>
      <c r="Y336" s="70" t="str">
        <f>IF(AND($A336&lt;&gt;"",$E336&gt;0),isLaptopBag($C336,$J336)*$D336,"")</f>
        <v/>
      </c>
      <c r="Z336" s="70" t="str">
        <f t="shared" si="127"/>
        <v/>
      </c>
      <c r="AA336" s="70" t="str">
        <f t="shared" si="128"/>
        <v/>
      </c>
      <c r="AB336" s="70" t="str">
        <f t="shared" si="129"/>
        <v/>
      </c>
      <c r="AC336" s="70" t="str">
        <f t="shared" si="130"/>
        <v/>
      </c>
      <c r="AD336" s="70" t="str">
        <f t="shared" si="131"/>
        <v/>
      </c>
      <c r="AE336" s="70" t="str">
        <f t="shared" si="132"/>
        <v/>
      </c>
      <c r="AF336" s="16"/>
      <c r="AG336" s="23"/>
      <c r="AH336" s="22"/>
      <c r="AJ336" s="83">
        <f t="shared" si="133"/>
        <v>0</v>
      </c>
      <c r="AO336" s="22" t="str">
        <f t="shared" si="134"/>
        <v/>
      </c>
      <c r="AP336" s="22" t="str">
        <f t="shared" si="135"/>
        <v/>
      </c>
    </row>
    <row r="337" spans="1:42" x14ac:dyDescent="0.25">
      <c r="A337" s="10"/>
      <c r="B337" s="10"/>
      <c r="C337" s="10"/>
      <c r="D337" s="10"/>
      <c r="E337" s="10"/>
      <c r="F337" s="10"/>
      <c r="G337" s="10"/>
      <c r="H337" s="17"/>
      <c r="I337" s="10"/>
      <c r="J337" s="10"/>
      <c r="K337" s="16" t="str">
        <f t="shared" si="114"/>
        <v/>
      </c>
      <c r="L337" s="23" t="str">
        <f t="shared" si="115"/>
        <v/>
      </c>
      <c r="M337" s="22" t="str">
        <f t="shared" si="116"/>
        <v/>
      </c>
      <c r="N337" s="72"/>
      <c r="O337" s="16" t="str">
        <f t="shared" si="117"/>
        <v/>
      </c>
      <c r="P337" s="16" t="str">
        <f t="shared" si="118"/>
        <v/>
      </c>
      <c r="Q337" s="16" t="str">
        <f t="shared" si="119"/>
        <v/>
      </c>
      <c r="R337" s="23" t="str">
        <f t="shared" si="120"/>
        <v/>
      </c>
      <c r="S337" s="23" t="str">
        <f t="shared" si="121"/>
        <v/>
      </c>
      <c r="T337" s="23" t="str">
        <f t="shared" si="122"/>
        <v/>
      </c>
      <c r="U337" s="23" t="str">
        <f t="shared" si="123"/>
        <v/>
      </c>
      <c r="V337" s="23" t="str">
        <f t="shared" si="124"/>
        <v/>
      </c>
      <c r="W337" s="70" t="str">
        <f t="shared" si="125"/>
        <v/>
      </c>
      <c r="X337" s="70" t="str">
        <f t="shared" si="126"/>
        <v/>
      </c>
      <c r="Y337" s="70" t="str">
        <f>IF(AND($A337&lt;&gt;"",$E337&gt;0),isLaptopBag($C337,$J337)*$D337,"")</f>
        <v/>
      </c>
      <c r="Z337" s="70" t="str">
        <f t="shared" si="127"/>
        <v/>
      </c>
      <c r="AA337" s="70" t="str">
        <f t="shared" si="128"/>
        <v/>
      </c>
      <c r="AB337" s="70" t="str">
        <f t="shared" si="129"/>
        <v/>
      </c>
      <c r="AC337" s="70" t="str">
        <f t="shared" si="130"/>
        <v/>
      </c>
      <c r="AD337" s="70" t="str">
        <f t="shared" si="131"/>
        <v/>
      </c>
      <c r="AE337" s="70" t="str">
        <f t="shared" si="132"/>
        <v/>
      </c>
      <c r="AF337" s="16"/>
      <c r="AG337" s="23"/>
      <c r="AH337" s="22"/>
      <c r="AJ337" s="83">
        <f t="shared" si="133"/>
        <v>0</v>
      </c>
      <c r="AO337" s="22" t="str">
        <f t="shared" si="134"/>
        <v/>
      </c>
      <c r="AP337" s="22" t="str">
        <f t="shared" si="135"/>
        <v/>
      </c>
    </row>
    <row r="338" spans="1:42" x14ac:dyDescent="0.25">
      <c r="A338" s="10"/>
      <c r="B338" s="10"/>
      <c r="C338" s="10"/>
      <c r="D338" s="10"/>
      <c r="E338" s="10"/>
      <c r="F338" s="10"/>
      <c r="G338" s="10"/>
      <c r="H338" s="17"/>
      <c r="I338" s="10"/>
      <c r="J338" s="10"/>
      <c r="K338" s="16" t="str">
        <f t="shared" si="114"/>
        <v/>
      </c>
      <c r="L338" s="23" t="str">
        <f t="shared" si="115"/>
        <v/>
      </c>
      <c r="M338" s="22" t="str">
        <f t="shared" si="116"/>
        <v/>
      </c>
      <c r="N338" s="72"/>
      <c r="O338" s="16" t="str">
        <f t="shared" si="117"/>
        <v/>
      </c>
      <c r="P338" s="16" t="str">
        <f t="shared" si="118"/>
        <v/>
      </c>
      <c r="Q338" s="16" t="str">
        <f t="shared" si="119"/>
        <v/>
      </c>
      <c r="R338" s="23" t="str">
        <f t="shared" si="120"/>
        <v/>
      </c>
      <c r="S338" s="23" t="str">
        <f t="shared" si="121"/>
        <v/>
      </c>
      <c r="T338" s="23" t="str">
        <f t="shared" si="122"/>
        <v/>
      </c>
      <c r="U338" s="23" t="str">
        <f t="shared" si="123"/>
        <v/>
      </c>
      <c r="V338" s="23" t="str">
        <f t="shared" si="124"/>
        <v/>
      </c>
      <c r="W338" s="70" t="str">
        <f t="shared" si="125"/>
        <v/>
      </c>
      <c r="X338" s="70" t="str">
        <f t="shared" si="126"/>
        <v/>
      </c>
      <c r="Y338" s="70" t="str">
        <f>IF(AND($A338&lt;&gt;"",$E338&gt;0),isLaptopBag($C338,$J338)*$D338,"")</f>
        <v/>
      </c>
      <c r="Z338" s="70" t="str">
        <f t="shared" si="127"/>
        <v/>
      </c>
      <c r="AA338" s="70" t="str">
        <f t="shared" si="128"/>
        <v/>
      </c>
      <c r="AB338" s="70" t="str">
        <f t="shared" si="129"/>
        <v/>
      </c>
      <c r="AC338" s="70" t="str">
        <f t="shared" si="130"/>
        <v/>
      </c>
      <c r="AD338" s="70" t="str">
        <f t="shared" si="131"/>
        <v/>
      </c>
      <c r="AE338" s="70" t="str">
        <f t="shared" si="132"/>
        <v/>
      </c>
      <c r="AF338" s="16"/>
      <c r="AG338" s="23"/>
      <c r="AH338" s="22"/>
      <c r="AJ338" s="83">
        <f t="shared" si="133"/>
        <v>0</v>
      </c>
      <c r="AO338" s="22" t="str">
        <f t="shared" si="134"/>
        <v/>
      </c>
      <c r="AP338" s="22" t="str">
        <f t="shared" si="135"/>
        <v/>
      </c>
    </row>
    <row r="339" spans="1:42" x14ac:dyDescent="0.25">
      <c r="A339" s="10"/>
      <c r="B339" s="10"/>
      <c r="C339" s="10"/>
      <c r="D339" s="10"/>
      <c r="E339" s="10"/>
      <c r="F339" s="10"/>
      <c r="G339" s="10"/>
      <c r="H339" s="17"/>
      <c r="I339" s="10"/>
      <c r="J339" s="10"/>
      <c r="K339" s="16" t="str">
        <f t="shared" si="114"/>
        <v/>
      </c>
      <c r="L339" s="23" t="str">
        <f t="shared" si="115"/>
        <v/>
      </c>
      <c r="M339" s="22" t="str">
        <f t="shared" si="116"/>
        <v/>
      </c>
      <c r="N339" s="72"/>
      <c r="O339" s="16" t="str">
        <f t="shared" si="117"/>
        <v/>
      </c>
      <c r="P339" s="16" t="str">
        <f t="shared" si="118"/>
        <v/>
      </c>
      <c r="Q339" s="16" t="str">
        <f t="shared" si="119"/>
        <v/>
      </c>
      <c r="R339" s="23" t="str">
        <f t="shared" si="120"/>
        <v/>
      </c>
      <c r="S339" s="23" t="str">
        <f t="shared" si="121"/>
        <v/>
      </c>
      <c r="T339" s="23" t="str">
        <f t="shared" si="122"/>
        <v/>
      </c>
      <c r="U339" s="23" t="str">
        <f t="shared" si="123"/>
        <v/>
      </c>
      <c r="V339" s="23" t="str">
        <f t="shared" si="124"/>
        <v/>
      </c>
      <c r="W339" s="70" t="str">
        <f t="shared" si="125"/>
        <v/>
      </c>
      <c r="X339" s="70" t="str">
        <f t="shared" si="126"/>
        <v/>
      </c>
      <c r="Y339" s="70" t="str">
        <f>IF(AND($A339&lt;&gt;"",$E339&gt;0),isLaptopBag($C339,$J339)*$D339,"")</f>
        <v/>
      </c>
      <c r="Z339" s="70" t="str">
        <f t="shared" si="127"/>
        <v/>
      </c>
      <c r="AA339" s="70" t="str">
        <f t="shared" si="128"/>
        <v/>
      </c>
      <c r="AB339" s="70" t="str">
        <f t="shared" si="129"/>
        <v/>
      </c>
      <c r="AC339" s="70" t="str">
        <f t="shared" si="130"/>
        <v/>
      </c>
      <c r="AD339" s="70" t="str">
        <f t="shared" si="131"/>
        <v/>
      </c>
      <c r="AE339" s="70" t="str">
        <f t="shared" si="132"/>
        <v/>
      </c>
      <c r="AF339" s="16"/>
      <c r="AG339" s="23"/>
      <c r="AH339" s="22"/>
      <c r="AJ339" s="83">
        <f t="shared" si="133"/>
        <v>0</v>
      </c>
      <c r="AO339" s="22" t="str">
        <f t="shared" si="134"/>
        <v/>
      </c>
      <c r="AP339" s="22" t="str">
        <f t="shared" si="135"/>
        <v/>
      </c>
    </row>
    <row r="340" spans="1:42" x14ac:dyDescent="0.25">
      <c r="A340" s="10"/>
      <c r="B340" s="10"/>
      <c r="C340" s="10"/>
      <c r="D340" s="10"/>
      <c r="E340" s="10"/>
      <c r="F340" s="10"/>
      <c r="G340" s="10"/>
      <c r="H340" s="17"/>
      <c r="I340" s="10"/>
      <c r="J340" s="10"/>
      <c r="K340" s="16" t="str">
        <f t="shared" si="114"/>
        <v/>
      </c>
      <c r="L340" s="23" t="str">
        <f t="shared" si="115"/>
        <v/>
      </c>
      <c r="M340" s="22" t="str">
        <f t="shared" si="116"/>
        <v/>
      </c>
      <c r="N340" s="72"/>
      <c r="O340" s="16" t="str">
        <f t="shared" si="117"/>
        <v/>
      </c>
      <c r="P340" s="16" t="str">
        <f t="shared" si="118"/>
        <v/>
      </c>
      <c r="Q340" s="16" t="str">
        <f t="shared" si="119"/>
        <v/>
      </c>
      <c r="R340" s="23" t="str">
        <f t="shared" si="120"/>
        <v/>
      </c>
      <c r="S340" s="23" t="str">
        <f t="shared" si="121"/>
        <v/>
      </c>
      <c r="T340" s="23" t="str">
        <f t="shared" si="122"/>
        <v/>
      </c>
      <c r="U340" s="23" t="str">
        <f t="shared" si="123"/>
        <v/>
      </c>
      <c r="V340" s="23" t="str">
        <f t="shared" si="124"/>
        <v/>
      </c>
      <c r="W340" s="70" t="str">
        <f t="shared" si="125"/>
        <v/>
      </c>
      <c r="X340" s="70" t="str">
        <f t="shared" si="126"/>
        <v/>
      </c>
      <c r="Y340" s="70" t="str">
        <f>IF(AND($A340&lt;&gt;"",$E340&gt;0),isLaptopBag($C340,$J340)*$D340,"")</f>
        <v/>
      </c>
      <c r="Z340" s="70" t="str">
        <f t="shared" si="127"/>
        <v/>
      </c>
      <c r="AA340" s="70" t="str">
        <f t="shared" si="128"/>
        <v/>
      </c>
      <c r="AB340" s="70" t="str">
        <f t="shared" si="129"/>
        <v/>
      </c>
      <c r="AC340" s="70" t="str">
        <f t="shared" si="130"/>
        <v/>
      </c>
      <c r="AD340" s="70" t="str">
        <f t="shared" si="131"/>
        <v/>
      </c>
      <c r="AE340" s="70" t="str">
        <f t="shared" si="132"/>
        <v/>
      </c>
      <c r="AF340" s="16"/>
      <c r="AG340" s="23"/>
      <c r="AH340" s="22"/>
      <c r="AJ340" s="83">
        <f t="shared" si="133"/>
        <v>0</v>
      </c>
      <c r="AO340" s="22" t="str">
        <f t="shared" si="134"/>
        <v/>
      </c>
      <c r="AP340" s="22" t="str">
        <f t="shared" si="135"/>
        <v/>
      </c>
    </row>
    <row r="341" spans="1:42" x14ac:dyDescent="0.25">
      <c r="A341" s="10"/>
      <c r="B341" s="10"/>
      <c r="C341" s="10"/>
      <c r="D341" s="10"/>
      <c r="E341" s="10"/>
      <c r="F341" s="10"/>
      <c r="G341" s="10"/>
      <c r="H341" s="17"/>
      <c r="I341" s="10"/>
      <c r="J341" s="10"/>
      <c r="K341" s="16" t="str">
        <f t="shared" si="114"/>
        <v/>
      </c>
      <c r="L341" s="23" t="str">
        <f t="shared" si="115"/>
        <v/>
      </c>
      <c r="M341" s="22" t="str">
        <f t="shared" si="116"/>
        <v/>
      </c>
      <c r="N341" s="72"/>
      <c r="O341" s="16" t="str">
        <f t="shared" si="117"/>
        <v/>
      </c>
      <c r="P341" s="16" t="str">
        <f t="shared" si="118"/>
        <v/>
      </c>
      <c r="Q341" s="16" t="str">
        <f t="shared" si="119"/>
        <v/>
      </c>
      <c r="R341" s="23" t="str">
        <f t="shared" si="120"/>
        <v/>
      </c>
      <c r="S341" s="23" t="str">
        <f t="shared" si="121"/>
        <v/>
      </c>
      <c r="T341" s="23" t="str">
        <f t="shared" si="122"/>
        <v/>
      </c>
      <c r="U341" s="23" t="str">
        <f t="shared" si="123"/>
        <v/>
      </c>
      <c r="V341" s="23" t="str">
        <f t="shared" si="124"/>
        <v/>
      </c>
      <c r="W341" s="70" t="str">
        <f t="shared" si="125"/>
        <v/>
      </c>
      <c r="X341" s="70" t="str">
        <f t="shared" si="126"/>
        <v/>
      </c>
      <c r="Y341" s="70" t="str">
        <f>IF(AND($A341&lt;&gt;"",$E341&gt;0),isLaptopBag($C341,$J341)*$D341,"")</f>
        <v/>
      </c>
      <c r="Z341" s="70" t="str">
        <f t="shared" si="127"/>
        <v/>
      </c>
      <c r="AA341" s="70" t="str">
        <f t="shared" si="128"/>
        <v/>
      </c>
      <c r="AB341" s="70" t="str">
        <f t="shared" si="129"/>
        <v/>
      </c>
      <c r="AC341" s="70" t="str">
        <f t="shared" si="130"/>
        <v/>
      </c>
      <c r="AD341" s="70" t="str">
        <f t="shared" si="131"/>
        <v/>
      </c>
      <c r="AE341" s="70" t="str">
        <f t="shared" si="132"/>
        <v/>
      </c>
      <c r="AF341" s="16"/>
      <c r="AG341" s="23"/>
      <c r="AH341" s="22"/>
      <c r="AJ341" s="83">
        <f t="shared" si="133"/>
        <v>0</v>
      </c>
      <c r="AO341" s="22" t="str">
        <f t="shared" si="134"/>
        <v/>
      </c>
      <c r="AP341" s="22" t="str">
        <f t="shared" si="135"/>
        <v/>
      </c>
    </row>
    <row r="342" spans="1:42" x14ac:dyDescent="0.25">
      <c r="A342" s="10"/>
      <c r="B342" s="10"/>
      <c r="C342" s="10"/>
      <c r="D342" s="10"/>
      <c r="E342" s="10"/>
      <c r="F342" s="10"/>
      <c r="G342" s="10"/>
      <c r="H342" s="17"/>
      <c r="I342" s="10"/>
      <c r="J342" s="10"/>
      <c r="K342" s="16" t="str">
        <f t="shared" si="114"/>
        <v/>
      </c>
      <c r="L342" s="23" t="str">
        <f t="shared" si="115"/>
        <v/>
      </c>
      <c r="M342" s="22" t="str">
        <f t="shared" si="116"/>
        <v/>
      </c>
      <c r="N342" s="72"/>
      <c r="O342" s="16" t="str">
        <f t="shared" si="117"/>
        <v/>
      </c>
      <c r="P342" s="16" t="str">
        <f t="shared" si="118"/>
        <v/>
      </c>
      <c r="Q342" s="16" t="str">
        <f t="shared" si="119"/>
        <v/>
      </c>
      <c r="R342" s="23" t="str">
        <f t="shared" si="120"/>
        <v/>
      </c>
      <c r="S342" s="23" t="str">
        <f t="shared" si="121"/>
        <v/>
      </c>
      <c r="T342" s="23" t="str">
        <f t="shared" si="122"/>
        <v/>
      </c>
      <c r="U342" s="23" t="str">
        <f t="shared" si="123"/>
        <v/>
      </c>
      <c r="V342" s="23" t="str">
        <f t="shared" si="124"/>
        <v/>
      </c>
      <c r="W342" s="70" t="str">
        <f t="shared" si="125"/>
        <v/>
      </c>
      <c r="X342" s="70" t="str">
        <f t="shared" si="126"/>
        <v/>
      </c>
      <c r="Y342" s="70" t="str">
        <f>IF(AND($A342&lt;&gt;"",$E342&gt;0),isLaptopBag($C342,$J342)*$D342,"")</f>
        <v/>
      </c>
      <c r="Z342" s="70" t="str">
        <f t="shared" si="127"/>
        <v/>
      </c>
      <c r="AA342" s="70" t="str">
        <f t="shared" si="128"/>
        <v/>
      </c>
      <c r="AB342" s="70" t="str">
        <f t="shared" si="129"/>
        <v/>
      </c>
      <c r="AC342" s="70" t="str">
        <f t="shared" si="130"/>
        <v/>
      </c>
      <c r="AD342" s="70" t="str">
        <f t="shared" si="131"/>
        <v/>
      </c>
      <c r="AE342" s="70" t="str">
        <f t="shared" si="132"/>
        <v/>
      </c>
      <c r="AF342" s="16"/>
      <c r="AG342" s="23"/>
      <c r="AH342" s="22"/>
      <c r="AJ342" s="83">
        <f t="shared" si="133"/>
        <v>0</v>
      </c>
      <c r="AO342" s="22" t="str">
        <f t="shared" si="134"/>
        <v/>
      </c>
      <c r="AP342" s="22" t="str">
        <f t="shared" si="135"/>
        <v/>
      </c>
    </row>
    <row r="343" spans="1:42" x14ac:dyDescent="0.25">
      <c r="A343" s="10"/>
      <c r="B343" s="10"/>
      <c r="C343" s="10"/>
      <c r="D343" s="10"/>
      <c r="E343" s="10"/>
      <c r="F343" s="10"/>
      <c r="G343" s="10"/>
      <c r="H343" s="17"/>
      <c r="I343" s="10"/>
      <c r="J343" s="10"/>
      <c r="K343" s="16" t="str">
        <f t="shared" si="114"/>
        <v/>
      </c>
      <c r="L343" s="23" t="str">
        <f t="shared" si="115"/>
        <v/>
      </c>
      <c r="M343" s="22" t="str">
        <f t="shared" si="116"/>
        <v/>
      </c>
      <c r="N343" s="72"/>
      <c r="O343" s="16" t="str">
        <f t="shared" si="117"/>
        <v/>
      </c>
      <c r="P343" s="16" t="str">
        <f t="shared" si="118"/>
        <v/>
      </c>
      <c r="Q343" s="16" t="str">
        <f t="shared" si="119"/>
        <v/>
      </c>
      <c r="R343" s="23" t="str">
        <f t="shared" si="120"/>
        <v/>
      </c>
      <c r="S343" s="23" t="str">
        <f t="shared" si="121"/>
        <v/>
      </c>
      <c r="T343" s="23" t="str">
        <f t="shared" si="122"/>
        <v/>
      </c>
      <c r="U343" s="23" t="str">
        <f t="shared" si="123"/>
        <v/>
      </c>
      <c r="V343" s="23" t="str">
        <f t="shared" si="124"/>
        <v/>
      </c>
      <c r="W343" s="70" t="str">
        <f t="shared" si="125"/>
        <v/>
      </c>
      <c r="X343" s="70" t="str">
        <f t="shared" si="126"/>
        <v/>
      </c>
      <c r="Y343" s="70" t="str">
        <f>IF(AND($A343&lt;&gt;"",$E343&gt;0),isLaptopBag($C343,$J343)*$D343,"")</f>
        <v/>
      </c>
      <c r="Z343" s="70" t="str">
        <f t="shared" si="127"/>
        <v/>
      </c>
      <c r="AA343" s="70" t="str">
        <f t="shared" si="128"/>
        <v/>
      </c>
      <c r="AB343" s="70" t="str">
        <f t="shared" si="129"/>
        <v/>
      </c>
      <c r="AC343" s="70" t="str">
        <f t="shared" si="130"/>
        <v/>
      </c>
      <c r="AD343" s="70" t="str">
        <f t="shared" si="131"/>
        <v/>
      </c>
      <c r="AE343" s="70" t="str">
        <f t="shared" si="132"/>
        <v/>
      </c>
      <c r="AF343" s="16"/>
      <c r="AG343" s="23"/>
      <c r="AH343" s="22"/>
      <c r="AJ343" s="83">
        <f t="shared" si="133"/>
        <v>0</v>
      </c>
      <c r="AO343" s="22" t="str">
        <f t="shared" si="134"/>
        <v/>
      </c>
      <c r="AP343" s="22" t="str">
        <f t="shared" si="135"/>
        <v/>
      </c>
    </row>
    <row r="344" spans="1:42" x14ac:dyDescent="0.25">
      <c r="A344" s="10"/>
      <c r="B344" s="10"/>
      <c r="C344" s="10"/>
      <c r="D344" s="10"/>
      <c r="E344" s="10"/>
      <c r="F344" s="10"/>
      <c r="G344" s="10"/>
      <c r="H344" s="17"/>
      <c r="I344" s="10"/>
      <c r="J344" s="10"/>
      <c r="K344" s="16" t="str">
        <f t="shared" si="114"/>
        <v/>
      </c>
      <c r="L344" s="23" t="str">
        <f t="shared" si="115"/>
        <v/>
      </c>
      <c r="M344" s="22" t="str">
        <f t="shared" si="116"/>
        <v/>
      </c>
      <c r="N344" s="72"/>
      <c r="O344" s="16" t="str">
        <f t="shared" si="117"/>
        <v/>
      </c>
      <c r="P344" s="16" t="str">
        <f t="shared" si="118"/>
        <v/>
      </c>
      <c r="Q344" s="16" t="str">
        <f t="shared" si="119"/>
        <v/>
      </c>
      <c r="R344" s="23" t="str">
        <f t="shared" si="120"/>
        <v/>
      </c>
      <c r="S344" s="23" t="str">
        <f t="shared" si="121"/>
        <v/>
      </c>
      <c r="T344" s="23" t="str">
        <f t="shared" si="122"/>
        <v/>
      </c>
      <c r="U344" s="23" t="str">
        <f t="shared" si="123"/>
        <v/>
      </c>
      <c r="V344" s="23" t="str">
        <f t="shared" si="124"/>
        <v/>
      </c>
      <c r="W344" s="70" t="str">
        <f t="shared" si="125"/>
        <v/>
      </c>
      <c r="X344" s="70" t="str">
        <f t="shared" si="126"/>
        <v/>
      </c>
      <c r="Y344" s="70" t="str">
        <f>IF(AND($A344&lt;&gt;"",$E344&gt;0),isLaptopBag($C344,$J344)*$D344,"")</f>
        <v/>
      </c>
      <c r="Z344" s="70" t="str">
        <f t="shared" si="127"/>
        <v/>
      </c>
      <c r="AA344" s="70" t="str">
        <f t="shared" si="128"/>
        <v/>
      </c>
      <c r="AB344" s="70" t="str">
        <f t="shared" si="129"/>
        <v/>
      </c>
      <c r="AC344" s="70" t="str">
        <f t="shared" si="130"/>
        <v/>
      </c>
      <c r="AD344" s="70" t="str">
        <f t="shared" si="131"/>
        <v/>
      </c>
      <c r="AE344" s="70" t="str">
        <f t="shared" si="132"/>
        <v/>
      </c>
      <c r="AF344" s="16"/>
      <c r="AG344" s="23"/>
      <c r="AH344" s="22"/>
      <c r="AJ344" s="83">
        <f t="shared" si="133"/>
        <v>0</v>
      </c>
      <c r="AO344" s="22" t="str">
        <f t="shared" si="134"/>
        <v/>
      </c>
      <c r="AP344" s="22" t="str">
        <f t="shared" si="135"/>
        <v/>
      </c>
    </row>
    <row r="345" spans="1:42" x14ac:dyDescent="0.25">
      <c r="A345" s="10"/>
      <c r="B345" s="10"/>
      <c r="C345" s="10"/>
      <c r="D345" s="10"/>
      <c r="E345" s="10"/>
      <c r="F345" s="10"/>
      <c r="G345" s="10"/>
      <c r="H345" s="17"/>
      <c r="I345" s="10"/>
      <c r="J345" s="10"/>
      <c r="K345" s="16" t="str">
        <f t="shared" si="114"/>
        <v/>
      </c>
      <c r="L345" s="23" t="str">
        <f t="shared" si="115"/>
        <v/>
      </c>
      <c r="M345" s="22" t="str">
        <f t="shared" si="116"/>
        <v/>
      </c>
      <c r="N345" s="72"/>
      <c r="O345" s="16" t="str">
        <f t="shared" si="117"/>
        <v/>
      </c>
      <c r="P345" s="16" t="str">
        <f t="shared" si="118"/>
        <v/>
      </c>
      <c r="Q345" s="16" t="str">
        <f t="shared" si="119"/>
        <v/>
      </c>
      <c r="R345" s="23" t="str">
        <f t="shared" si="120"/>
        <v/>
      </c>
      <c r="S345" s="23" t="str">
        <f t="shared" si="121"/>
        <v/>
      </c>
      <c r="T345" s="23" t="str">
        <f t="shared" si="122"/>
        <v/>
      </c>
      <c r="U345" s="23" t="str">
        <f t="shared" si="123"/>
        <v/>
      </c>
      <c r="V345" s="23" t="str">
        <f t="shared" si="124"/>
        <v/>
      </c>
      <c r="W345" s="70" t="str">
        <f t="shared" si="125"/>
        <v/>
      </c>
      <c r="X345" s="70" t="str">
        <f t="shared" si="126"/>
        <v/>
      </c>
      <c r="Y345" s="70" t="str">
        <f>IF(AND($A345&lt;&gt;"",$E345&gt;0),isLaptopBag($C345,$J345)*$D345,"")</f>
        <v/>
      </c>
      <c r="Z345" s="70" t="str">
        <f t="shared" si="127"/>
        <v/>
      </c>
      <c r="AA345" s="70" t="str">
        <f t="shared" si="128"/>
        <v/>
      </c>
      <c r="AB345" s="70" t="str">
        <f t="shared" si="129"/>
        <v/>
      </c>
      <c r="AC345" s="70" t="str">
        <f t="shared" si="130"/>
        <v/>
      </c>
      <c r="AD345" s="70" t="str">
        <f t="shared" si="131"/>
        <v/>
      </c>
      <c r="AE345" s="70" t="str">
        <f t="shared" si="132"/>
        <v/>
      </c>
      <c r="AF345" s="16"/>
      <c r="AG345" s="23"/>
      <c r="AH345" s="22"/>
      <c r="AJ345" s="83">
        <f t="shared" si="133"/>
        <v>0</v>
      </c>
      <c r="AO345" s="22" t="str">
        <f t="shared" si="134"/>
        <v/>
      </c>
      <c r="AP345" s="22" t="str">
        <f t="shared" si="135"/>
        <v/>
      </c>
    </row>
    <row r="346" spans="1:42" x14ac:dyDescent="0.25">
      <c r="A346" s="10"/>
      <c r="B346" s="10"/>
      <c r="C346" s="10"/>
      <c r="D346" s="10"/>
      <c r="E346" s="10"/>
      <c r="F346" s="10"/>
      <c r="G346" s="10"/>
      <c r="H346" s="17"/>
      <c r="I346" s="10"/>
      <c r="J346" s="10"/>
      <c r="K346" s="16" t="str">
        <f t="shared" si="114"/>
        <v/>
      </c>
      <c r="L346" s="23" t="str">
        <f t="shared" si="115"/>
        <v/>
      </c>
      <c r="M346" s="22" t="str">
        <f t="shared" si="116"/>
        <v/>
      </c>
      <c r="N346" s="72"/>
      <c r="O346" s="16" t="str">
        <f t="shared" si="117"/>
        <v/>
      </c>
      <c r="P346" s="16" t="str">
        <f t="shared" si="118"/>
        <v/>
      </c>
      <c r="Q346" s="16" t="str">
        <f t="shared" si="119"/>
        <v/>
      </c>
      <c r="R346" s="23" t="str">
        <f t="shared" si="120"/>
        <v/>
      </c>
      <c r="S346" s="23" t="str">
        <f t="shared" si="121"/>
        <v/>
      </c>
      <c r="T346" s="23" t="str">
        <f t="shared" si="122"/>
        <v/>
      </c>
      <c r="U346" s="23" t="str">
        <f t="shared" si="123"/>
        <v/>
      </c>
      <c r="V346" s="23" t="str">
        <f t="shared" si="124"/>
        <v/>
      </c>
      <c r="W346" s="70" t="str">
        <f t="shared" si="125"/>
        <v/>
      </c>
      <c r="X346" s="70" t="str">
        <f t="shared" si="126"/>
        <v/>
      </c>
      <c r="Y346" s="70" t="str">
        <f>IF(AND($A346&lt;&gt;"",$E346&gt;0),isLaptopBag($C346,$J346)*$D346,"")</f>
        <v/>
      </c>
      <c r="Z346" s="70" t="str">
        <f t="shared" si="127"/>
        <v/>
      </c>
      <c r="AA346" s="70" t="str">
        <f t="shared" si="128"/>
        <v/>
      </c>
      <c r="AB346" s="70" t="str">
        <f t="shared" si="129"/>
        <v/>
      </c>
      <c r="AC346" s="70" t="str">
        <f t="shared" si="130"/>
        <v/>
      </c>
      <c r="AD346" s="70" t="str">
        <f t="shared" si="131"/>
        <v/>
      </c>
      <c r="AE346" s="70" t="str">
        <f t="shared" si="132"/>
        <v/>
      </c>
      <c r="AF346" s="16"/>
      <c r="AG346" s="23"/>
      <c r="AH346" s="22"/>
      <c r="AJ346" s="83">
        <f t="shared" si="133"/>
        <v>0</v>
      </c>
      <c r="AO346" s="22" t="str">
        <f t="shared" si="134"/>
        <v/>
      </c>
      <c r="AP346" s="22" t="str">
        <f t="shared" si="135"/>
        <v/>
      </c>
    </row>
    <row r="347" spans="1:42" x14ac:dyDescent="0.25">
      <c r="A347" s="10"/>
      <c r="B347" s="10"/>
      <c r="C347" s="10"/>
      <c r="D347" s="10"/>
      <c r="E347" s="10"/>
      <c r="F347" s="10"/>
      <c r="G347" s="10"/>
      <c r="H347" s="17"/>
      <c r="I347" s="10"/>
      <c r="J347" s="10"/>
      <c r="K347" s="16" t="str">
        <f t="shared" si="114"/>
        <v/>
      </c>
      <c r="L347" s="23" t="str">
        <f t="shared" si="115"/>
        <v/>
      </c>
      <c r="M347" s="22" t="str">
        <f t="shared" si="116"/>
        <v/>
      </c>
      <c r="N347" s="72"/>
      <c r="O347" s="16" t="str">
        <f t="shared" si="117"/>
        <v/>
      </c>
      <c r="P347" s="16" t="str">
        <f t="shared" si="118"/>
        <v/>
      </c>
      <c r="Q347" s="16" t="str">
        <f t="shared" si="119"/>
        <v/>
      </c>
      <c r="R347" s="23" t="str">
        <f t="shared" si="120"/>
        <v/>
      </c>
      <c r="S347" s="23" t="str">
        <f t="shared" si="121"/>
        <v/>
      </c>
      <c r="T347" s="23" t="str">
        <f t="shared" si="122"/>
        <v/>
      </c>
      <c r="U347" s="23" t="str">
        <f t="shared" si="123"/>
        <v/>
      </c>
      <c r="V347" s="23" t="str">
        <f t="shared" si="124"/>
        <v/>
      </c>
      <c r="W347" s="70" t="str">
        <f t="shared" si="125"/>
        <v/>
      </c>
      <c r="X347" s="70" t="str">
        <f t="shared" si="126"/>
        <v/>
      </c>
      <c r="Y347" s="70" t="str">
        <f>IF(AND($A347&lt;&gt;"",$E347&gt;0),isLaptopBag($C347,$J347)*$D347,"")</f>
        <v/>
      </c>
      <c r="Z347" s="70" t="str">
        <f t="shared" si="127"/>
        <v/>
      </c>
      <c r="AA347" s="70" t="str">
        <f t="shared" si="128"/>
        <v/>
      </c>
      <c r="AB347" s="70" t="str">
        <f t="shared" si="129"/>
        <v/>
      </c>
      <c r="AC347" s="70" t="str">
        <f t="shared" si="130"/>
        <v/>
      </c>
      <c r="AD347" s="70" t="str">
        <f t="shared" si="131"/>
        <v/>
      </c>
      <c r="AE347" s="70" t="str">
        <f t="shared" si="132"/>
        <v/>
      </c>
      <c r="AF347" s="16"/>
      <c r="AG347" s="23"/>
      <c r="AH347" s="22"/>
      <c r="AJ347" s="83">
        <f t="shared" si="133"/>
        <v>0</v>
      </c>
      <c r="AO347" s="22" t="str">
        <f t="shared" si="134"/>
        <v/>
      </c>
      <c r="AP347" s="22" t="str">
        <f t="shared" si="135"/>
        <v/>
      </c>
    </row>
    <row r="348" spans="1:42" x14ac:dyDescent="0.25">
      <c r="A348" s="10"/>
      <c r="B348" s="10"/>
      <c r="C348" s="10"/>
      <c r="D348" s="10"/>
      <c r="E348" s="10"/>
      <c r="F348" s="10"/>
      <c r="G348" s="10"/>
      <c r="H348" s="17"/>
      <c r="I348" s="10"/>
      <c r="J348" s="10"/>
      <c r="K348" s="16" t="str">
        <f t="shared" si="114"/>
        <v/>
      </c>
      <c r="L348" s="23" t="str">
        <f t="shared" si="115"/>
        <v/>
      </c>
      <c r="M348" s="22" t="str">
        <f t="shared" si="116"/>
        <v/>
      </c>
      <c r="N348" s="72"/>
      <c r="O348" s="16" t="str">
        <f t="shared" si="117"/>
        <v/>
      </c>
      <c r="P348" s="16" t="str">
        <f t="shared" si="118"/>
        <v/>
      </c>
      <c r="Q348" s="16" t="str">
        <f t="shared" si="119"/>
        <v/>
      </c>
      <c r="R348" s="23" t="str">
        <f t="shared" si="120"/>
        <v/>
      </c>
      <c r="S348" s="23" t="str">
        <f t="shared" si="121"/>
        <v/>
      </c>
      <c r="T348" s="23" t="str">
        <f t="shared" si="122"/>
        <v/>
      </c>
      <c r="U348" s="23" t="str">
        <f t="shared" si="123"/>
        <v/>
      </c>
      <c r="V348" s="23" t="str">
        <f t="shared" si="124"/>
        <v/>
      </c>
      <c r="W348" s="70" t="str">
        <f t="shared" si="125"/>
        <v/>
      </c>
      <c r="X348" s="70" t="str">
        <f t="shared" si="126"/>
        <v/>
      </c>
      <c r="Y348" s="70" t="str">
        <f>IF(AND($A348&lt;&gt;"",$E348&gt;0),isLaptopBag($C348,$J348)*$D348,"")</f>
        <v/>
      </c>
      <c r="Z348" s="70" t="str">
        <f t="shared" si="127"/>
        <v/>
      </c>
      <c r="AA348" s="70" t="str">
        <f t="shared" si="128"/>
        <v/>
      </c>
      <c r="AB348" s="70" t="str">
        <f t="shared" si="129"/>
        <v/>
      </c>
      <c r="AC348" s="70" t="str">
        <f t="shared" si="130"/>
        <v/>
      </c>
      <c r="AD348" s="70" t="str">
        <f t="shared" si="131"/>
        <v/>
      </c>
      <c r="AE348" s="70" t="str">
        <f t="shared" si="132"/>
        <v/>
      </c>
      <c r="AF348" s="16"/>
      <c r="AG348" s="23"/>
      <c r="AH348" s="22"/>
      <c r="AJ348" s="83">
        <f t="shared" si="133"/>
        <v>0</v>
      </c>
      <c r="AO348" s="22" t="str">
        <f t="shared" si="134"/>
        <v/>
      </c>
      <c r="AP348" s="22" t="str">
        <f t="shared" si="135"/>
        <v/>
      </c>
    </row>
    <row r="349" spans="1:42" x14ac:dyDescent="0.25">
      <c r="A349" s="10"/>
      <c r="B349" s="10"/>
      <c r="C349" s="10"/>
      <c r="D349" s="10"/>
      <c r="E349" s="10"/>
      <c r="F349" s="10"/>
      <c r="G349" s="10"/>
      <c r="H349" s="17"/>
      <c r="I349" s="10"/>
      <c r="J349" s="10"/>
      <c r="K349" s="16" t="str">
        <f t="shared" si="114"/>
        <v/>
      </c>
      <c r="L349" s="23" t="str">
        <f t="shared" si="115"/>
        <v/>
      </c>
      <c r="M349" s="22" t="str">
        <f t="shared" si="116"/>
        <v/>
      </c>
      <c r="N349" s="72"/>
      <c r="O349" s="16" t="str">
        <f t="shared" si="117"/>
        <v/>
      </c>
      <c r="P349" s="16" t="str">
        <f t="shared" si="118"/>
        <v/>
      </c>
      <c r="Q349" s="16" t="str">
        <f t="shared" si="119"/>
        <v/>
      </c>
      <c r="R349" s="23" t="str">
        <f t="shared" si="120"/>
        <v/>
      </c>
      <c r="S349" s="23" t="str">
        <f t="shared" si="121"/>
        <v/>
      </c>
      <c r="T349" s="23" t="str">
        <f t="shared" si="122"/>
        <v/>
      </c>
      <c r="U349" s="23" t="str">
        <f t="shared" si="123"/>
        <v/>
      </c>
      <c r="V349" s="23" t="str">
        <f t="shared" si="124"/>
        <v/>
      </c>
      <c r="W349" s="70" t="str">
        <f t="shared" si="125"/>
        <v/>
      </c>
      <c r="X349" s="70" t="str">
        <f t="shared" si="126"/>
        <v/>
      </c>
      <c r="Y349" s="70" t="str">
        <f>IF(AND($A349&lt;&gt;"",$E349&gt;0),isLaptopBag($C349,$J349)*$D349,"")</f>
        <v/>
      </c>
      <c r="Z349" s="70" t="str">
        <f t="shared" si="127"/>
        <v/>
      </c>
      <c r="AA349" s="70" t="str">
        <f t="shared" si="128"/>
        <v/>
      </c>
      <c r="AB349" s="70" t="str">
        <f t="shared" si="129"/>
        <v/>
      </c>
      <c r="AC349" s="70" t="str">
        <f t="shared" si="130"/>
        <v/>
      </c>
      <c r="AD349" s="70" t="str">
        <f t="shared" si="131"/>
        <v/>
      </c>
      <c r="AE349" s="70" t="str">
        <f t="shared" si="132"/>
        <v/>
      </c>
      <c r="AF349" s="16"/>
      <c r="AG349" s="23"/>
      <c r="AH349" s="22"/>
      <c r="AJ349" s="83">
        <f t="shared" si="133"/>
        <v>0</v>
      </c>
      <c r="AO349" s="22" t="str">
        <f t="shared" si="134"/>
        <v/>
      </c>
      <c r="AP349" s="22" t="str">
        <f t="shared" si="135"/>
        <v/>
      </c>
    </row>
    <row r="350" spans="1:42" x14ac:dyDescent="0.25">
      <c r="A350" s="10"/>
      <c r="B350" s="10"/>
      <c r="C350" s="10"/>
      <c r="D350" s="10"/>
      <c r="E350" s="10"/>
      <c r="F350" s="10"/>
      <c r="G350" s="10"/>
      <c r="H350" s="17"/>
      <c r="I350" s="10"/>
      <c r="J350" s="10"/>
      <c r="K350" s="16" t="str">
        <f t="shared" si="114"/>
        <v/>
      </c>
      <c r="L350" s="23" t="str">
        <f t="shared" si="115"/>
        <v/>
      </c>
      <c r="M350" s="22" t="str">
        <f t="shared" si="116"/>
        <v/>
      </c>
      <c r="N350" s="72"/>
      <c r="O350" s="16" t="str">
        <f t="shared" si="117"/>
        <v/>
      </c>
      <c r="P350" s="16" t="str">
        <f t="shared" si="118"/>
        <v/>
      </c>
      <c r="Q350" s="16" t="str">
        <f t="shared" si="119"/>
        <v/>
      </c>
      <c r="R350" s="23" t="str">
        <f t="shared" si="120"/>
        <v/>
      </c>
      <c r="S350" s="23" t="str">
        <f t="shared" si="121"/>
        <v/>
      </c>
      <c r="T350" s="23" t="str">
        <f t="shared" si="122"/>
        <v/>
      </c>
      <c r="U350" s="23" t="str">
        <f t="shared" si="123"/>
        <v/>
      </c>
      <c r="V350" s="23" t="str">
        <f t="shared" si="124"/>
        <v/>
      </c>
      <c r="W350" s="70" t="str">
        <f t="shared" si="125"/>
        <v/>
      </c>
      <c r="X350" s="70" t="str">
        <f t="shared" si="126"/>
        <v/>
      </c>
      <c r="Y350" s="70" t="str">
        <f>IF(AND($A350&lt;&gt;"",$E350&gt;0),isLaptopBag($C350,$J350)*$D350,"")</f>
        <v/>
      </c>
      <c r="Z350" s="70" t="str">
        <f t="shared" si="127"/>
        <v/>
      </c>
      <c r="AA350" s="70" t="str">
        <f t="shared" si="128"/>
        <v/>
      </c>
      <c r="AB350" s="70" t="str">
        <f t="shared" si="129"/>
        <v/>
      </c>
      <c r="AC350" s="70" t="str">
        <f t="shared" si="130"/>
        <v/>
      </c>
      <c r="AD350" s="70" t="str">
        <f t="shared" si="131"/>
        <v/>
      </c>
      <c r="AE350" s="70" t="str">
        <f t="shared" si="132"/>
        <v/>
      </c>
      <c r="AF350" s="16"/>
      <c r="AG350" s="23"/>
      <c r="AH350" s="22"/>
      <c r="AJ350" s="83">
        <f t="shared" si="133"/>
        <v>0</v>
      </c>
      <c r="AO350" s="22" t="str">
        <f t="shared" si="134"/>
        <v/>
      </c>
      <c r="AP350" s="22" t="str">
        <f t="shared" si="135"/>
        <v/>
      </c>
    </row>
    <row r="351" spans="1:42" x14ac:dyDescent="0.25">
      <c r="A351" s="10"/>
      <c r="B351" s="10"/>
      <c r="C351" s="10"/>
      <c r="D351" s="10"/>
      <c r="E351" s="10"/>
      <c r="F351" s="10"/>
      <c r="G351" s="10"/>
      <c r="H351" s="17"/>
      <c r="I351" s="10"/>
      <c r="J351" s="10"/>
      <c r="K351" s="16" t="str">
        <f t="shared" si="114"/>
        <v/>
      </c>
      <c r="L351" s="23" t="str">
        <f t="shared" si="115"/>
        <v/>
      </c>
      <c r="M351" s="22" t="str">
        <f t="shared" si="116"/>
        <v/>
      </c>
      <c r="N351" s="72"/>
      <c r="O351" s="16" t="str">
        <f t="shared" si="117"/>
        <v/>
      </c>
      <c r="P351" s="16" t="str">
        <f t="shared" si="118"/>
        <v/>
      </c>
      <c r="Q351" s="16" t="str">
        <f t="shared" si="119"/>
        <v/>
      </c>
      <c r="R351" s="23" t="str">
        <f t="shared" si="120"/>
        <v/>
      </c>
      <c r="S351" s="23" t="str">
        <f t="shared" si="121"/>
        <v/>
      </c>
      <c r="T351" s="23" t="str">
        <f t="shared" si="122"/>
        <v/>
      </c>
      <c r="U351" s="23" t="str">
        <f t="shared" si="123"/>
        <v/>
      </c>
      <c r="V351" s="23" t="str">
        <f t="shared" si="124"/>
        <v/>
      </c>
      <c r="W351" s="70" t="str">
        <f t="shared" si="125"/>
        <v/>
      </c>
      <c r="X351" s="70" t="str">
        <f t="shared" si="126"/>
        <v/>
      </c>
      <c r="Y351" s="70" t="str">
        <f>IF(AND($A351&lt;&gt;"",$E351&gt;0),isLaptopBag($C351,$J351)*$D351,"")</f>
        <v/>
      </c>
      <c r="Z351" s="70" t="str">
        <f t="shared" si="127"/>
        <v/>
      </c>
      <c r="AA351" s="70" t="str">
        <f t="shared" si="128"/>
        <v/>
      </c>
      <c r="AB351" s="70" t="str">
        <f t="shared" si="129"/>
        <v/>
      </c>
      <c r="AC351" s="70" t="str">
        <f t="shared" si="130"/>
        <v/>
      </c>
      <c r="AD351" s="70" t="str">
        <f t="shared" si="131"/>
        <v/>
      </c>
      <c r="AE351" s="70" t="str">
        <f t="shared" si="132"/>
        <v/>
      </c>
      <c r="AF351" s="16"/>
      <c r="AG351" s="23"/>
      <c r="AH351" s="22"/>
      <c r="AJ351" s="83">
        <f t="shared" si="133"/>
        <v>0</v>
      </c>
      <c r="AO351" s="22" t="str">
        <f t="shared" si="134"/>
        <v/>
      </c>
      <c r="AP351" s="22" t="str">
        <f t="shared" si="135"/>
        <v/>
      </c>
    </row>
    <row r="352" spans="1:42" x14ac:dyDescent="0.25">
      <c r="A352" s="10"/>
      <c r="B352" s="10"/>
      <c r="C352" s="10"/>
      <c r="D352" s="10"/>
      <c r="E352" s="10"/>
      <c r="F352" s="10"/>
      <c r="G352" s="10"/>
      <c r="H352" s="17"/>
      <c r="I352" s="10"/>
      <c r="J352" s="10"/>
      <c r="K352" s="16" t="str">
        <f t="shared" si="114"/>
        <v/>
      </c>
      <c r="L352" s="23" t="str">
        <f t="shared" si="115"/>
        <v/>
      </c>
      <c r="M352" s="22" t="str">
        <f t="shared" si="116"/>
        <v/>
      </c>
      <c r="N352" s="72"/>
      <c r="O352" s="16" t="str">
        <f t="shared" si="117"/>
        <v/>
      </c>
      <c r="P352" s="16" t="str">
        <f t="shared" si="118"/>
        <v/>
      </c>
      <c r="Q352" s="16" t="str">
        <f t="shared" si="119"/>
        <v/>
      </c>
      <c r="R352" s="23" t="str">
        <f t="shared" si="120"/>
        <v/>
      </c>
      <c r="S352" s="23" t="str">
        <f t="shared" si="121"/>
        <v/>
      </c>
      <c r="T352" s="23" t="str">
        <f t="shared" si="122"/>
        <v/>
      </c>
      <c r="U352" s="23" t="str">
        <f t="shared" si="123"/>
        <v/>
      </c>
      <c r="V352" s="23" t="str">
        <f t="shared" si="124"/>
        <v/>
      </c>
      <c r="W352" s="70" t="str">
        <f t="shared" si="125"/>
        <v/>
      </c>
      <c r="X352" s="70" t="str">
        <f t="shared" si="126"/>
        <v/>
      </c>
      <c r="Y352" s="70" t="str">
        <f>IF(AND($A352&lt;&gt;"",$E352&gt;0),isLaptopBag($C352,$J352)*$D352,"")</f>
        <v/>
      </c>
      <c r="Z352" s="70" t="str">
        <f t="shared" si="127"/>
        <v/>
      </c>
      <c r="AA352" s="70" t="str">
        <f t="shared" si="128"/>
        <v/>
      </c>
      <c r="AB352" s="70" t="str">
        <f t="shared" si="129"/>
        <v/>
      </c>
      <c r="AC352" s="70" t="str">
        <f t="shared" si="130"/>
        <v/>
      </c>
      <c r="AD352" s="70" t="str">
        <f t="shared" si="131"/>
        <v/>
      </c>
      <c r="AE352" s="70" t="str">
        <f t="shared" si="132"/>
        <v/>
      </c>
      <c r="AF352" s="16"/>
      <c r="AG352" s="23"/>
      <c r="AH352" s="22"/>
      <c r="AJ352" s="83">
        <f t="shared" si="133"/>
        <v>0</v>
      </c>
      <c r="AO352" s="22" t="str">
        <f t="shared" si="134"/>
        <v/>
      </c>
      <c r="AP352" s="22" t="str">
        <f t="shared" si="135"/>
        <v/>
      </c>
    </row>
    <row r="353" spans="1:42" x14ac:dyDescent="0.25">
      <c r="A353" s="10"/>
      <c r="B353" s="10"/>
      <c r="C353" s="10"/>
      <c r="D353" s="10"/>
      <c r="E353" s="10"/>
      <c r="F353" s="10"/>
      <c r="G353" s="10"/>
      <c r="H353" s="17"/>
      <c r="I353" s="10"/>
      <c r="J353" s="10"/>
      <c r="K353" s="16" t="str">
        <f t="shared" si="114"/>
        <v/>
      </c>
      <c r="L353" s="23" t="str">
        <f t="shared" si="115"/>
        <v/>
      </c>
      <c r="M353" s="22" t="str">
        <f t="shared" si="116"/>
        <v/>
      </c>
      <c r="N353" s="72"/>
      <c r="O353" s="16" t="str">
        <f t="shared" si="117"/>
        <v/>
      </c>
      <c r="P353" s="16" t="str">
        <f t="shared" si="118"/>
        <v/>
      </c>
      <c r="Q353" s="16" t="str">
        <f t="shared" si="119"/>
        <v/>
      </c>
      <c r="R353" s="23" t="str">
        <f t="shared" si="120"/>
        <v/>
      </c>
      <c r="S353" s="23" t="str">
        <f t="shared" si="121"/>
        <v/>
      </c>
      <c r="T353" s="23" t="str">
        <f t="shared" si="122"/>
        <v/>
      </c>
      <c r="U353" s="23" t="str">
        <f t="shared" si="123"/>
        <v/>
      </c>
      <c r="V353" s="23" t="str">
        <f t="shared" si="124"/>
        <v/>
      </c>
      <c r="W353" s="70" t="str">
        <f t="shared" si="125"/>
        <v/>
      </c>
      <c r="X353" s="70" t="str">
        <f t="shared" si="126"/>
        <v/>
      </c>
      <c r="Y353" s="70" t="str">
        <f>IF(AND($A353&lt;&gt;"",$E353&gt;0),isLaptopBag($C353,$J353)*$D353,"")</f>
        <v/>
      </c>
      <c r="Z353" s="70" t="str">
        <f t="shared" si="127"/>
        <v/>
      </c>
      <c r="AA353" s="70" t="str">
        <f t="shared" si="128"/>
        <v/>
      </c>
      <c r="AB353" s="70" t="str">
        <f t="shared" si="129"/>
        <v/>
      </c>
      <c r="AC353" s="70" t="str">
        <f t="shared" si="130"/>
        <v/>
      </c>
      <c r="AD353" s="70" t="str">
        <f t="shared" si="131"/>
        <v/>
      </c>
      <c r="AE353" s="70" t="str">
        <f t="shared" si="132"/>
        <v/>
      </c>
      <c r="AF353" s="16"/>
      <c r="AG353" s="23"/>
      <c r="AH353" s="22"/>
      <c r="AJ353" s="83">
        <f t="shared" si="133"/>
        <v>0</v>
      </c>
      <c r="AO353" s="22" t="str">
        <f t="shared" si="134"/>
        <v/>
      </c>
      <c r="AP353" s="22" t="str">
        <f t="shared" si="135"/>
        <v/>
      </c>
    </row>
    <row r="354" spans="1:42" x14ac:dyDescent="0.25">
      <c r="A354" s="10"/>
      <c r="B354" s="10"/>
      <c r="C354" s="10"/>
      <c r="D354" s="10"/>
      <c r="E354" s="10"/>
      <c r="F354" s="10"/>
      <c r="G354" s="10"/>
      <c r="H354" s="17"/>
      <c r="I354" s="10"/>
      <c r="J354" s="10"/>
      <c r="K354" s="16" t="str">
        <f t="shared" si="114"/>
        <v/>
      </c>
      <c r="L354" s="23" t="str">
        <f t="shared" si="115"/>
        <v/>
      </c>
      <c r="M354" s="22" t="str">
        <f t="shared" si="116"/>
        <v/>
      </c>
      <c r="N354" s="72"/>
      <c r="O354" s="16" t="str">
        <f t="shared" si="117"/>
        <v/>
      </c>
      <c r="P354" s="16" t="str">
        <f t="shared" si="118"/>
        <v/>
      </c>
      <c r="Q354" s="16" t="str">
        <f t="shared" si="119"/>
        <v/>
      </c>
      <c r="R354" s="23" t="str">
        <f t="shared" si="120"/>
        <v/>
      </c>
      <c r="S354" s="23" t="str">
        <f t="shared" si="121"/>
        <v/>
      </c>
      <c r="T354" s="23" t="str">
        <f t="shared" si="122"/>
        <v/>
      </c>
      <c r="U354" s="23" t="str">
        <f t="shared" si="123"/>
        <v/>
      </c>
      <c r="V354" s="23" t="str">
        <f t="shared" si="124"/>
        <v/>
      </c>
      <c r="W354" s="70" t="str">
        <f t="shared" si="125"/>
        <v/>
      </c>
      <c r="X354" s="70" t="str">
        <f t="shared" si="126"/>
        <v/>
      </c>
      <c r="Y354" s="70" t="str">
        <f>IF(AND($A354&lt;&gt;"",$E354&gt;0),isLaptopBag($C354,$J354)*$D354,"")</f>
        <v/>
      </c>
      <c r="Z354" s="70" t="str">
        <f t="shared" si="127"/>
        <v/>
      </c>
      <c r="AA354" s="70" t="str">
        <f t="shared" si="128"/>
        <v/>
      </c>
      <c r="AB354" s="70" t="str">
        <f t="shared" si="129"/>
        <v/>
      </c>
      <c r="AC354" s="70" t="str">
        <f t="shared" si="130"/>
        <v/>
      </c>
      <c r="AD354" s="70" t="str">
        <f t="shared" si="131"/>
        <v/>
      </c>
      <c r="AE354" s="70" t="str">
        <f t="shared" si="132"/>
        <v/>
      </c>
      <c r="AF354" s="16"/>
      <c r="AG354" s="23"/>
      <c r="AH354" s="22"/>
      <c r="AJ354" s="83">
        <f t="shared" si="133"/>
        <v>0</v>
      </c>
      <c r="AO354" s="22" t="str">
        <f t="shared" si="134"/>
        <v/>
      </c>
      <c r="AP354" s="22" t="str">
        <f t="shared" si="135"/>
        <v/>
      </c>
    </row>
    <row r="355" spans="1:42" x14ac:dyDescent="0.25">
      <c r="A355" s="10"/>
      <c r="B355" s="10"/>
      <c r="C355" s="10"/>
      <c r="D355" s="10"/>
      <c r="E355" s="10"/>
      <c r="F355" s="10"/>
      <c r="G355" s="10"/>
      <c r="H355" s="17"/>
      <c r="I355" s="10"/>
      <c r="J355" s="10"/>
      <c r="K355" s="16" t="str">
        <f t="shared" si="114"/>
        <v/>
      </c>
      <c r="L355" s="23" t="str">
        <f t="shared" si="115"/>
        <v/>
      </c>
      <c r="M355" s="22" t="str">
        <f t="shared" si="116"/>
        <v/>
      </c>
      <c r="N355" s="72"/>
      <c r="O355" s="16" t="str">
        <f t="shared" si="117"/>
        <v/>
      </c>
      <c r="P355" s="16" t="str">
        <f t="shared" si="118"/>
        <v/>
      </c>
      <c r="Q355" s="16" t="str">
        <f t="shared" si="119"/>
        <v/>
      </c>
      <c r="R355" s="23" t="str">
        <f t="shared" si="120"/>
        <v/>
      </c>
      <c r="S355" s="23" t="str">
        <f t="shared" si="121"/>
        <v/>
      </c>
      <c r="T355" s="23" t="str">
        <f t="shared" si="122"/>
        <v/>
      </c>
      <c r="U355" s="23" t="str">
        <f t="shared" si="123"/>
        <v/>
      </c>
      <c r="V355" s="23" t="str">
        <f t="shared" si="124"/>
        <v/>
      </c>
      <c r="W355" s="70" t="str">
        <f t="shared" si="125"/>
        <v/>
      </c>
      <c r="X355" s="70" t="str">
        <f t="shared" si="126"/>
        <v/>
      </c>
      <c r="Y355" s="70" t="str">
        <f>IF(AND($A355&lt;&gt;"",$E355&gt;0),isLaptopBag($C355,$J355)*$D355,"")</f>
        <v/>
      </c>
      <c r="Z355" s="70" t="str">
        <f t="shared" si="127"/>
        <v/>
      </c>
      <c r="AA355" s="70" t="str">
        <f t="shared" si="128"/>
        <v/>
      </c>
      <c r="AB355" s="70" t="str">
        <f t="shared" si="129"/>
        <v/>
      </c>
      <c r="AC355" s="70" t="str">
        <f t="shared" si="130"/>
        <v/>
      </c>
      <c r="AD355" s="70" t="str">
        <f t="shared" si="131"/>
        <v/>
      </c>
      <c r="AE355" s="70" t="str">
        <f t="shared" si="132"/>
        <v/>
      </c>
      <c r="AF355" s="16"/>
      <c r="AG355" s="23"/>
      <c r="AH355" s="22"/>
      <c r="AJ355" s="83">
        <f t="shared" si="133"/>
        <v>0</v>
      </c>
      <c r="AO355" s="22" t="str">
        <f t="shared" si="134"/>
        <v/>
      </c>
      <c r="AP355" s="22" t="str">
        <f t="shared" si="135"/>
        <v/>
      </c>
    </row>
    <row r="356" spans="1:42" x14ac:dyDescent="0.25">
      <c r="A356" s="10"/>
      <c r="B356" s="10"/>
      <c r="C356" s="10"/>
      <c r="D356" s="10"/>
      <c r="E356" s="10"/>
      <c r="F356" s="10"/>
      <c r="G356" s="10"/>
      <c r="H356" s="17"/>
      <c r="I356" s="10"/>
      <c r="J356" s="10"/>
      <c r="K356" s="16" t="str">
        <f t="shared" si="114"/>
        <v/>
      </c>
      <c r="L356" s="23" t="str">
        <f t="shared" si="115"/>
        <v/>
      </c>
      <c r="M356" s="22" t="str">
        <f t="shared" si="116"/>
        <v/>
      </c>
      <c r="N356" s="72"/>
      <c r="O356" s="16" t="str">
        <f t="shared" si="117"/>
        <v/>
      </c>
      <c r="P356" s="16" t="str">
        <f t="shared" si="118"/>
        <v/>
      </c>
      <c r="Q356" s="16" t="str">
        <f t="shared" si="119"/>
        <v/>
      </c>
      <c r="R356" s="23" t="str">
        <f t="shared" si="120"/>
        <v/>
      </c>
      <c r="S356" s="23" t="str">
        <f t="shared" si="121"/>
        <v/>
      </c>
      <c r="T356" s="23" t="str">
        <f t="shared" si="122"/>
        <v/>
      </c>
      <c r="U356" s="23" t="str">
        <f t="shared" si="123"/>
        <v/>
      </c>
      <c r="V356" s="23" t="str">
        <f t="shared" si="124"/>
        <v/>
      </c>
      <c r="W356" s="70" t="str">
        <f t="shared" si="125"/>
        <v/>
      </c>
      <c r="X356" s="70" t="str">
        <f t="shared" si="126"/>
        <v/>
      </c>
      <c r="Y356" s="70" t="str">
        <f>IF(AND($A356&lt;&gt;"",$E356&gt;0),isLaptopBag($C356,$J356)*$D356,"")</f>
        <v/>
      </c>
      <c r="Z356" s="70" t="str">
        <f t="shared" si="127"/>
        <v/>
      </c>
      <c r="AA356" s="70" t="str">
        <f t="shared" si="128"/>
        <v/>
      </c>
      <c r="AB356" s="70" t="str">
        <f t="shared" si="129"/>
        <v/>
      </c>
      <c r="AC356" s="70" t="str">
        <f t="shared" si="130"/>
        <v/>
      </c>
      <c r="AD356" s="70" t="str">
        <f t="shared" si="131"/>
        <v/>
      </c>
      <c r="AE356" s="70" t="str">
        <f t="shared" si="132"/>
        <v/>
      </c>
      <c r="AF356" s="16"/>
      <c r="AG356" s="23"/>
      <c r="AH356" s="22"/>
      <c r="AJ356" s="83">
        <f t="shared" si="133"/>
        <v>0</v>
      </c>
      <c r="AO356" s="22" t="str">
        <f t="shared" si="134"/>
        <v/>
      </c>
      <c r="AP356" s="22" t="str">
        <f t="shared" si="135"/>
        <v/>
      </c>
    </row>
    <row r="357" spans="1:42" x14ac:dyDescent="0.25">
      <c r="A357" s="10"/>
      <c r="B357" s="10"/>
      <c r="C357" s="10"/>
      <c r="D357" s="10"/>
      <c r="E357" s="10"/>
      <c r="F357" s="10"/>
      <c r="G357" s="10"/>
      <c r="H357" s="17"/>
      <c r="I357" s="10"/>
      <c r="J357" s="10"/>
      <c r="K357" s="16" t="str">
        <f t="shared" si="114"/>
        <v/>
      </c>
      <c r="L357" s="23" t="str">
        <f t="shared" si="115"/>
        <v/>
      </c>
      <c r="M357" s="22" t="str">
        <f t="shared" si="116"/>
        <v/>
      </c>
      <c r="N357" s="72"/>
      <c r="O357" s="16" t="str">
        <f t="shared" si="117"/>
        <v/>
      </c>
      <c r="P357" s="16" t="str">
        <f t="shared" si="118"/>
        <v/>
      </c>
      <c r="Q357" s="16" t="str">
        <f t="shared" si="119"/>
        <v/>
      </c>
      <c r="R357" s="23" t="str">
        <f t="shared" si="120"/>
        <v/>
      </c>
      <c r="S357" s="23" t="str">
        <f t="shared" si="121"/>
        <v/>
      </c>
      <c r="T357" s="23" t="str">
        <f t="shared" si="122"/>
        <v/>
      </c>
      <c r="U357" s="23" t="str">
        <f t="shared" si="123"/>
        <v/>
      </c>
      <c r="V357" s="23" t="str">
        <f t="shared" si="124"/>
        <v/>
      </c>
      <c r="W357" s="70" t="str">
        <f t="shared" si="125"/>
        <v/>
      </c>
      <c r="X357" s="70" t="str">
        <f t="shared" si="126"/>
        <v/>
      </c>
      <c r="Y357" s="70" t="str">
        <f>IF(AND($A357&lt;&gt;"",$E357&gt;0),isLaptopBag($C357,$J357)*$D357,"")</f>
        <v/>
      </c>
      <c r="Z357" s="70" t="str">
        <f t="shared" si="127"/>
        <v/>
      </c>
      <c r="AA357" s="70" t="str">
        <f t="shared" si="128"/>
        <v/>
      </c>
      <c r="AB357" s="70" t="str">
        <f t="shared" si="129"/>
        <v/>
      </c>
      <c r="AC357" s="70" t="str">
        <f t="shared" si="130"/>
        <v/>
      </c>
      <c r="AD357" s="70" t="str">
        <f t="shared" si="131"/>
        <v/>
      </c>
      <c r="AE357" s="70" t="str">
        <f t="shared" si="132"/>
        <v/>
      </c>
      <c r="AF357" s="16"/>
      <c r="AG357" s="23"/>
      <c r="AH357" s="22"/>
      <c r="AJ357" s="83">
        <f t="shared" si="133"/>
        <v>0</v>
      </c>
      <c r="AO357" s="22" t="str">
        <f t="shared" si="134"/>
        <v/>
      </c>
      <c r="AP357" s="22" t="str">
        <f t="shared" si="135"/>
        <v/>
      </c>
    </row>
    <row r="358" spans="1:42" x14ac:dyDescent="0.25">
      <c r="A358" s="10"/>
      <c r="B358" s="10"/>
      <c r="C358" s="10"/>
      <c r="D358" s="10"/>
      <c r="E358" s="10"/>
      <c r="F358" s="10"/>
      <c r="G358" s="10"/>
      <c r="H358" s="17"/>
      <c r="I358" s="10"/>
      <c r="J358" s="10"/>
      <c r="K358" s="16" t="str">
        <f t="shared" si="114"/>
        <v/>
      </c>
      <c r="L358" s="23" t="str">
        <f t="shared" si="115"/>
        <v/>
      </c>
      <c r="M358" s="22" t="str">
        <f t="shared" si="116"/>
        <v/>
      </c>
      <c r="N358" s="72"/>
      <c r="O358" s="16" t="str">
        <f t="shared" si="117"/>
        <v/>
      </c>
      <c r="P358" s="16" t="str">
        <f t="shared" si="118"/>
        <v/>
      </c>
      <c r="Q358" s="16" t="str">
        <f t="shared" si="119"/>
        <v/>
      </c>
      <c r="R358" s="23" t="str">
        <f t="shared" si="120"/>
        <v/>
      </c>
      <c r="S358" s="23" t="str">
        <f t="shared" si="121"/>
        <v/>
      </c>
      <c r="T358" s="23" t="str">
        <f t="shared" si="122"/>
        <v/>
      </c>
      <c r="U358" s="23" t="str">
        <f t="shared" si="123"/>
        <v/>
      </c>
      <c r="V358" s="23" t="str">
        <f t="shared" si="124"/>
        <v/>
      </c>
      <c r="W358" s="70" t="str">
        <f t="shared" si="125"/>
        <v/>
      </c>
      <c r="X358" s="70" t="str">
        <f t="shared" si="126"/>
        <v/>
      </c>
      <c r="Y358" s="70" t="str">
        <f>IF(AND($A358&lt;&gt;"",$E358&gt;0),isLaptopBag($C358,$J358)*$D358,"")</f>
        <v/>
      </c>
      <c r="Z358" s="70" t="str">
        <f t="shared" si="127"/>
        <v/>
      </c>
      <c r="AA358" s="70" t="str">
        <f t="shared" si="128"/>
        <v/>
      </c>
      <c r="AB358" s="70" t="str">
        <f t="shared" si="129"/>
        <v/>
      </c>
      <c r="AC358" s="70" t="str">
        <f t="shared" si="130"/>
        <v/>
      </c>
      <c r="AD358" s="70" t="str">
        <f t="shared" si="131"/>
        <v/>
      </c>
      <c r="AE358" s="70" t="str">
        <f t="shared" si="132"/>
        <v/>
      </c>
      <c r="AF358" s="16"/>
      <c r="AG358" s="23"/>
      <c r="AH358" s="22"/>
      <c r="AJ358" s="83">
        <f t="shared" si="133"/>
        <v>0</v>
      </c>
      <c r="AO358" s="22" t="str">
        <f t="shared" si="134"/>
        <v/>
      </c>
      <c r="AP358" s="22" t="str">
        <f t="shared" si="135"/>
        <v/>
      </c>
    </row>
    <row r="359" spans="1:42" x14ac:dyDescent="0.25">
      <c r="A359" s="10"/>
      <c r="B359" s="10"/>
      <c r="C359" s="10"/>
      <c r="D359" s="10"/>
      <c r="E359" s="10"/>
      <c r="F359" s="10"/>
      <c r="G359" s="10"/>
      <c r="H359" s="17"/>
      <c r="I359" s="10"/>
      <c r="J359" s="10"/>
      <c r="K359" s="16" t="str">
        <f t="shared" si="114"/>
        <v/>
      </c>
      <c r="L359" s="23" t="str">
        <f t="shared" si="115"/>
        <v/>
      </c>
      <c r="M359" s="22" t="str">
        <f t="shared" si="116"/>
        <v/>
      </c>
      <c r="N359" s="72"/>
      <c r="O359" s="16" t="str">
        <f t="shared" si="117"/>
        <v/>
      </c>
      <c r="P359" s="16" t="str">
        <f t="shared" si="118"/>
        <v/>
      </c>
      <c r="Q359" s="16" t="str">
        <f t="shared" si="119"/>
        <v/>
      </c>
      <c r="R359" s="23" t="str">
        <f t="shared" si="120"/>
        <v/>
      </c>
      <c r="S359" s="23" t="str">
        <f t="shared" si="121"/>
        <v/>
      </c>
      <c r="T359" s="23" t="str">
        <f t="shared" si="122"/>
        <v/>
      </c>
      <c r="U359" s="23" t="str">
        <f t="shared" si="123"/>
        <v/>
      </c>
      <c r="V359" s="23" t="str">
        <f t="shared" si="124"/>
        <v/>
      </c>
      <c r="W359" s="70" t="str">
        <f t="shared" si="125"/>
        <v/>
      </c>
      <c r="X359" s="70" t="str">
        <f t="shared" si="126"/>
        <v/>
      </c>
      <c r="Y359" s="70" t="str">
        <f>IF(AND($A359&lt;&gt;"",$E359&gt;0),isLaptopBag($C359,$J359)*$D359,"")</f>
        <v/>
      </c>
      <c r="Z359" s="70" t="str">
        <f t="shared" si="127"/>
        <v/>
      </c>
      <c r="AA359" s="70" t="str">
        <f t="shared" si="128"/>
        <v/>
      </c>
      <c r="AB359" s="70" t="str">
        <f t="shared" si="129"/>
        <v/>
      </c>
      <c r="AC359" s="70" t="str">
        <f t="shared" si="130"/>
        <v/>
      </c>
      <c r="AD359" s="70" t="str">
        <f t="shared" si="131"/>
        <v/>
      </c>
      <c r="AE359" s="70" t="str">
        <f t="shared" si="132"/>
        <v/>
      </c>
      <c r="AF359" s="16"/>
      <c r="AG359" s="23"/>
      <c r="AH359" s="22"/>
      <c r="AJ359" s="83">
        <f t="shared" si="133"/>
        <v>0</v>
      </c>
      <c r="AO359" s="22" t="str">
        <f t="shared" si="134"/>
        <v/>
      </c>
      <c r="AP359" s="22" t="str">
        <f t="shared" si="135"/>
        <v/>
      </c>
    </row>
    <row r="360" spans="1:42" x14ac:dyDescent="0.25">
      <c r="A360" s="10"/>
      <c r="B360" s="10"/>
      <c r="C360" s="10"/>
      <c r="D360" s="10"/>
      <c r="E360" s="10"/>
      <c r="F360" s="10"/>
      <c r="G360" s="10"/>
      <c r="H360" s="17"/>
      <c r="I360" s="10"/>
      <c r="J360" s="10"/>
      <c r="K360" s="16" t="str">
        <f t="shared" si="114"/>
        <v/>
      </c>
      <c r="L360" s="23" t="str">
        <f t="shared" si="115"/>
        <v/>
      </c>
      <c r="M360" s="22" t="str">
        <f t="shared" si="116"/>
        <v/>
      </c>
      <c r="N360" s="72"/>
      <c r="O360" s="16" t="str">
        <f t="shared" si="117"/>
        <v/>
      </c>
      <c r="P360" s="16" t="str">
        <f t="shared" si="118"/>
        <v/>
      </c>
      <c r="Q360" s="16" t="str">
        <f t="shared" si="119"/>
        <v/>
      </c>
      <c r="R360" s="23" t="str">
        <f t="shared" si="120"/>
        <v/>
      </c>
      <c r="S360" s="23" t="str">
        <f t="shared" si="121"/>
        <v/>
      </c>
      <c r="T360" s="23" t="str">
        <f t="shared" si="122"/>
        <v/>
      </c>
      <c r="U360" s="23" t="str">
        <f t="shared" si="123"/>
        <v/>
      </c>
      <c r="V360" s="23" t="str">
        <f t="shared" si="124"/>
        <v/>
      </c>
      <c r="W360" s="70" t="str">
        <f t="shared" si="125"/>
        <v/>
      </c>
      <c r="X360" s="70" t="str">
        <f t="shared" si="126"/>
        <v/>
      </c>
      <c r="Y360" s="70" t="str">
        <f>IF(AND($A360&lt;&gt;"",$E360&gt;0),isLaptopBag($C360,$J360)*$D360,"")</f>
        <v/>
      </c>
      <c r="Z360" s="70" t="str">
        <f t="shared" si="127"/>
        <v/>
      </c>
      <c r="AA360" s="70" t="str">
        <f t="shared" si="128"/>
        <v/>
      </c>
      <c r="AB360" s="70" t="str">
        <f t="shared" si="129"/>
        <v/>
      </c>
      <c r="AC360" s="70" t="str">
        <f t="shared" si="130"/>
        <v/>
      </c>
      <c r="AD360" s="70" t="str">
        <f t="shared" si="131"/>
        <v/>
      </c>
      <c r="AE360" s="70" t="str">
        <f t="shared" si="132"/>
        <v/>
      </c>
      <c r="AF360" s="16"/>
      <c r="AG360" s="23"/>
      <c r="AH360" s="22"/>
      <c r="AJ360" s="83">
        <f t="shared" si="133"/>
        <v>0</v>
      </c>
      <c r="AO360" s="22" t="str">
        <f t="shared" si="134"/>
        <v/>
      </c>
      <c r="AP360" s="22" t="str">
        <f t="shared" si="135"/>
        <v/>
      </c>
    </row>
    <row r="361" spans="1:42" x14ac:dyDescent="0.25">
      <c r="A361" s="10"/>
      <c r="B361" s="10"/>
      <c r="C361" s="10"/>
      <c r="D361" s="10"/>
      <c r="E361" s="10"/>
      <c r="F361" s="10"/>
      <c r="G361" s="10"/>
      <c r="H361" s="17"/>
      <c r="I361" s="10"/>
      <c r="J361" s="10"/>
      <c r="K361" s="16" t="str">
        <f t="shared" si="114"/>
        <v/>
      </c>
      <c r="L361" s="23" t="str">
        <f t="shared" si="115"/>
        <v/>
      </c>
      <c r="M361" s="22" t="str">
        <f t="shared" si="116"/>
        <v/>
      </c>
      <c r="N361" s="72"/>
      <c r="O361" s="16" t="str">
        <f t="shared" si="117"/>
        <v/>
      </c>
      <c r="P361" s="16" t="str">
        <f t="shared" si="118"/>
        <v/>
      </c>
      <c r="Q361" s="16" t="str">
        <f t="shared" si="119"/>
        <v/>
      </c>
      <c r="R361" s="23" t="str">
        <f t="shared" si="120"/>
        <v/>
      </c>
      <c r="S361" s="23" t="str">
        <f t="shared" si="121"/>
        <v/>
      </c>
      <c r="T361" s="23" t="str">
        <f t="shared" si="122"/>
        <v/>
      </c>
      <c r="U361" s="23" t="str">
        <f t="shared" si="123"/>
        <v/>
      </c>
      <c r="V361" s="23" t="str">
        <f t="shared" si="124"/>
        <v/>
      </c>
      <c r="W361" s="70" t="str">
        <f t="shared" si="125"/>
        <v/>
      </c>
      <c r="X361" s="70" t="str">
        <f t="shared" si="126"/>
        <v/>
      </c>
      <c r="Y361" s="70" t="str">
        <f>IF(AND($A361&lt;&gt;"",$E361&gt;0),isLaptopBag($C361,$J361)*$D361,"")</f>
        <v/>
      </c>
      <c r="Z361" s="70" t="str">
        <f t="shared" si="127"/>
        <v/>
      </c>
      <c r="AA361" s="70" t="str">
        <f t="shared" si="128"/>
        <v/>
      </c>
      <c r="AB361" s="70" t="str">
        <f t="shared" si="129"/>
        <v/>
      </c>
      <c r="AC361" s="70" t="str">
        <f t="shared" si="130"/>
        <v/>
      </c>
      <c r="AD361" s="70" t="str">
        <f t="shared" si="131"/>
        <v/>
      </c>
      <c r="AE361" s="70" t="str">
        <f t="shared" si="132"/>
        <v/>
      </c>
      <c r="AF361" s="16"/>
      <c r="AG361" s="23"/>
      <c r="AH361" s="22"/>
      <c r="AJ361" s="83">
        <f t="shared" si="133"/>
        <v>0</v>
      </c>
      <c r="AO361" s="22" t="str">
        <f t="shared" si="134"/>
        <v/>
      </c>
      <c r="AP361" s="22" t="str">
        <f t="shared" si="135"/>
        <v/>
      </c>
    </row>
    <row r="362" spans="1:42" x14ac:dyDescent="0.25">
      <c r="A362" s="10"/>
      <c r="B362" s="10"/>
      <c r="C362" s="10"/>
      <c r="D362" s="10"/>
      <c r="E362" s="10"/>
      <c r="F362" s="10"/>
      <c r="G362" s="10"/>
      <c r="H362" s="17"/>
      <c r="I362" s="10"/>
      <c r="J362" s="10"/>
      <c r="K362" s="16" t="str">
        <f t="shared" si="114"/>
        <v/>
      </c>
      <c r="L362" s="23" t="str">
        <f t="shared" si="115"/>
        <v/>
      </c>
      <c r="M362" s="22" t="str">
        <f t="shared" si="116"/>
        <v/>
      </c>
      <c r="N362" s="72"/>
      <c r="O362" s="16" t="str">
        <f t="shared" si="117"/>
        <v/>
      </c>
      <c r="P362" s="16" t="str">
        <f t="shared" si="118"/>
        <v/>
      </c>
      <c r="Q362" s="16" t="str">
        <f t="shared" si="119"/>
        <v/>
      </c>
      <c r="R362" s="23" t="str">
        <f t="shared" si="120"/>
        <v/>
      </c>
      <c r="S362" s="23" t="str">
        <f t="shared" si="121"/>
        <v/>
      </c>
      <c r="T362" s="23" t="str">
        <f t="shared" si="122"/>
        <v/>
      </c>
      <c r="U362" s="23" t="str">
        <f t="shared" si="123"/>
        <v/>
      </c>
      <c r="V362" s="23" t="str">
        <f t="shared" si="124"/>
        <v/>
      </c>
      <c r="W362" s="70" t="str">
        <f t="shared" si="125"/>
        <v/>
      </c>
      <c r="X362" s="70" t="str">
        <f t="shared" si="126"/>
        <v/>
      </c>
      <c r="Y362" s="70" t="str">
        <f>IF(AND($A362&lt;&gt;"",$E362&gt;0),isLaptopBag($C362,$J362)*$D362,"")</f>
        <v/>
      </c>
      <c r="Z362" s="70" t="str">
        <f t="shared" si="127"/>
        <v/>
      </c>
      <c r="AA362" s="70" t="str">
        <f t="shared" si="128"/>
        <v/>
      </c>
      <c r="AB362" s="70" t="str">
        <f t="shared" si="129"/>
        <v/>
      </c>
      <c r="AC362" s="70" t="str">
        <f t="shared" si="130"/>
        <v/>
      </c>
      <c r="AD362" s="70" t="str">
        <f t="shared" si="131"/>
        <v/>
      </c>
      <c r="AE362" s="70" t="str">
        <f t="shared" si="132"/>
        <v/>
      </c>
      <c r="AF362" s="16"/>
      <c r="AG362" s="23"/>
      <c r="AH362" s="22"/>
      <c r="AJ362" s="83">
        <f t="shared" si="133"/>
        <v>0</v>
      </c>
      <c r="AO362" s="22" t="str">
        <f t="shared" si="134"/>
        <v/>
      </c>
      <c r="AP362" s="22" t="str">
        <f t="shared" si="135"/>
        <v/>
      </c>
    </row>
    <row r="363" spans="1:42" x14ac:dyDescent="0.25">
      <c r="A363" s="10"/>
      <c r="B363" s="10"/>
      <c r="C363" s="10"/>
      <c r="D363" s="10"/>
      <c r="E363" s="10"/>
      <c r="F363" s="10"/>
      <c r="G363" s="10"/>
      <c r="H363" s="17"/>
      <c r="I363" s="10"/>
      <c r="J363" s="10"/>
      <c r="K363" s="16" t="str">
        <f t="shared" si="114"/>
        <v/>
      </c>
      <c r="L363" s="23" t="str">
        <f t="shared" si="115"/>
        <v/>
      </c>
      <c r="M363" s="22" t="str">
        <f t="shared" si="116"/>
        <v/>
      </c>
      <c r="N363" s="72"/>
      <c r="O363" s="16" t="str">
        <f t="shared" si="117"/>
        <v/>
      </c>
      <c r="P363" s="16" t="str">
        <f t="shared" si="118"/>
        <v/>
      </c>
      <c r="Q363" s="16" t="str">
        <f t="shared" si="119"/>
        <v/>
      </c>
      <c r="R363" s="23" t="str">
        <f t="shared" si="120"/>
        <v/>
      </c>
      <c r="S363" s="23" t="str">
        <f t="shared" si="121"/>
        <v/>
      </c>
      <c r="T363" s="23" t="str">
        <f t="shared" si="122"/>
        <v/>
      </c>
      <c r="U363" s="23" t="str">
        <f t="shared" si="123"/>
        <v/>
      </c>
      <c r="V363" s="23" t="str">
        <f t="shared" si="124"/>
        <v/>
      </c>
      <c r="W363" s="70" t="str">
        <f t="shared" si="125"/>
        <v/>
      </c>
      <c r="X363" s="70" t="str">
        <f t="shared" si="126"/>
        <v/>
      </c>
      <c r="Y363" s="70" t="str">
        <f>IF(AND($A363&lt;&gt;"",$E363&gt;0),isLaptopBag($C363,$J363)*$D363,"")</f>
        <v/>
      </c>
      <c r="Z363" s="70" t="str">
        <f t="shared" si="127"/>
        <v/>
      </c>
      <c r="AA363" s="70" t="str">
        <f t="shared" si="128"/>
        <v/>
      </c>
      <c r="AB363" s="70" t="str">
        <f t="shared" si="129"/>
        <v/>
      </c>
      <c r="AC363" s="70" t="str">
        <f t="shared" si="130"/>
        <v/>
      </c>
      <c r="AD363" s="70" t="str">
        <f t="shared" si="131"/>
        <v/>
      </c>
      <c r="AE363" s="70" t="str">
        <f t="shared" si="132"/>
        <v/>
      </c>
      <c r="AF363" s="16"/>
      <c r="AG363" s="23"/>
      <c r="AH363" s="22"/>
      <c r="AJ363" s="83">
        <f t="shared" si="133"/>
        <v>0</v>
      </c>
      <c r="AO363" s="22" t="str">
        <f t="shared" si="134"/>
        <v/>
      </c>
      <c r="AP363" s="22" t="str">
        <f t="shared" si="135"/>
        <v/>
      </c>
    </row>
    <row r="364" spans="1:42" x14ac:dyDescent="0.25">
      <c r="A364" s="10"/>
      <c r="B364" s="10"/>
      <c r="C364" s="10"/>
      <c r="D364" s="10"/>
      <c r="E364" s="10"/>
      <c r="F364" s="10"/>
      <c r="G364" s="10"/>
      <c r="H364" s="17"/>
      <c r="I364" s="10"/>
      <c r="J364" s="10"/>
      <c r="K364" s="16" t="str">
        <f t="shared" si="114"/>
        <v/>
      </c>
      <c r="L364" s="23" t="str">
        <f t="shared" si="115"/>
        <v/>
      </c>
      <c r="M364" s="22" t="str">
        <f t="shared" si="116"/>
        <v/>
      </c>
      <c r="N364" s="72"/>
      <c r="O364" s="16" t="str">
        <f t="shared" si="117"/>
        <v/>
      </c>
      <c r="P364" s="16" t="str">
        <f t="shared" si="118"/>
        <v/>
      </c>
      <c r="Q364" s="16" t="str">
        <f t="shared" si="119"/>
        <v/>
      </c>
      <c r="R364" s="23" t="str">
        <f t="shared" si="120"/>
        <v/>
      </c>
      <c r="S364" s="23" t="str">
        <f t="shared" si="121"/>
        <v/>
      </c>
      <c r="T364" s="23" t="str">
        <f t="shared" si="122"/>
        <v/>
      </c>
      <c r="U364" s="23" t="str">
        <f t="shared" si="123"/>
        <v/>
      </c>
      <c r="V364" s="23" t="str">
        <f t="shared" si="124"/>
        <v/>
      </c>
      <c r="W364" s="70" t="str">
        <f t="shared" si="125"/>
        <v/>
      </c>
      <c r="X364" s="70" t="str">
        <f t="shared" si="126"/>
        <v/>
      </c>
      <c r="Y364" s="70" t="str">
        <f>IF(AND($A364&lt;&gt;"",$E364&gt;0),isLaptopBag($C364,$J364)*$D364,"")</f>
        <v/>
      </c>
      <c r="Z364" s="70" t="str">
        <f t="shared" si="127"/>
        <v/>
      </c>
      <c r="AA364" s="70" t="str">
        <f t="shared" si="128"/>
        <v/>
      </c>
      <c r="AB364" s="70" t="str">
        <f t="shared" si="129"/>
        <v/>
      </c>
      <c r="AC364" s="70" t="str">
        <f t="shared" si="130"/>
        <v/>
      </c>
      <c r="AD364" s="70" t="str">
        <f t="shared" si="131"/>
        <v/>
      </c>
      <c r="AE364" s="70" t="str">
        <f t="shared" si="132"/>
        <v/>
      </c>
      <c r="AF364" s="16"/>
      <c r="AG364" s="23"/>
      <c r="AH364" s="22"/>
      <c r="AJ364" s="83">
        <f t="shared" si="133"/>
        <v>0</v>
      </c>
      <c r="AO364" s="22" t="str">
        <f t="shared" si="134"/>
        <v/>
      </c>
      <c r="AP364" s="22" t="str">
        <f t="shared" si="135"/>
        <v/>
      </c>
    </row>
    <row r="365" spans="1:42" x14ac:dyDescent="0.25">
      <c r="A365" s="10"/>
      <c r="B365" s="10"/>
      <c r="C365" s="10"/>
      <c r="D365" s="10"/>
      <c r="E365" s="10"/>
      <c r="F365" s="10"/>
      <c r="G365" s="10"/>
      <c r="H365" s="17"/>
      <c r="I365" s="10"/>
      <c r="J365" s="10"/>
      <c r="K365" s="16" t="str">
        <f t="shared" si="114"/>
        <v/>
      </c>
      <c r="L365" s="23" t="str">
        <f t="shared" si="115"/>
        <v/>
      </c>
      <c r="M365" s="22" t="str">
        <f t="shared" si="116"/>
        <v/>
      </c>
      <c r="N365" s="72"/>
      <c r="O365" s="16" t="str">
        <f t="shared" si="117"/>
        <v/>
      </c>
      <c r="P365" s="16" t="str">
        <f t="shared" si="118"/>
        <v/>
      </c>
      <c r="Q365" s="16" t="str">
        <f t="shared" si="119"/>
        <v/>
      </c>
      <c r="R365" s="23" t="str">
        <f t="shared" si="120"/>
        <v/>
      </c>
      <c r="S365" s="23" t="str">
        <f t="shared" si="121"/>
        <v/>
      </c>
      <c r="T365" s="23" t="str">
        <f t="shared" si="122"/>
        <v/>
      </c>
      <c r="U365" s="23" t="str">
        <f t="shared" si="123"/>
        <v/>
      </c>
      <c r="V365" s="23" t="str">
        <f t="shared" si="124"/>
        <v/>
      </c>
      <c r="W365" s="70" t="str">
        <f t="shared" si="125"/>
        <v/>
      </c>
      <c r="X365" s="70" t="str">
        <f t="shared" si="126"/>
        <v/>
      </c>
      <c r="Y365" s="70" t="str">
        <f>IF(AND($A365&lt;&gt;"",$E365&gt;0),isLaptopBag($C365,$J365)*$D365,"")</f>
        <v/>
      </c>
      <c r="Z365" s="70" t="str">
        <f t="shared" si="127"/>
        <v/>
      </c>
      <c r="AA365" s="70" t="str">
        <f t="shared" si="128"/>
        <v/>
      </c>
      <c r="AB365" s="70" t="str">
        <f t="shared" si="129"/>
        <v/>
      </c>
      <c r="AC365" s="70" t="str">
        <f t="shared" si="130"/>
        <v/>
      </c>
      <c r="AD365" s="70" t="str">
        <f t="shared" si="131"/>
        <v/>
      </c>
      <c r="AE365" s="70" t="str">
        <f t="shared" si="132"/>
        <v/>
      </c>
      <c r="AF365" s="16"/>
      <c r="AG365" s="23"/>
      <c r="AH365" s="22"/>
      <c r="AJ365" s="83">
        <f t="shared" si="133"/>
        <v>0</v>
      </c>
      <c r="AO365" s="22" t="str">
        <f t="shared" si="134"/>
        <v/>
      </c>
      <c r="AP365" s="22" t="str">
        <f t="shared" si="135"/>
        <v/>
      </c>
    </row>
    <row r="366" spans="1:42" x14ac:dyDescent="0.25">
      <c r="A366" s="10"/>
      <c r="B366" s="10"/>
      <c r="C366" s="10"/>
      <c r="D366" s="10"/>
      <c r="E366" s="10"/>
      <c r="F366" s="10"/>
      <c r="G366" s="10"/>
      <c r="H366" s="17"/>
      <c r="I366" s="10"/>
      <c r="J366" s="10"/>
      <c r="K366" s="16" t="str">
        <f t="shared" si="114"/>
        <v/>
      </c>
      <c r="L366" s="23" t="str">
        <f t="shared" si="115"/>
        <v/>
      </c>
      <c r="M366" s="22" t="str">
        <f t="shared" si="116"/>
        <v/>
      </c>
      <c r="N366" s="72"/>
      <c r="O366" s="16" t="str">
        <f t="shared" si="117"/>
        <v/>
      </c>
      <c r="P366" s="16" t="str">
        <f t="shared" si="118"/>
        <v/>
      </c>
      <c r="Q366" s="16" t="str">
        <f t="shared" si="119"/>
        <v/>
      </c>
      <c r="R366" s="23" t="str">
        <f t="shared" si="120"/>
        <v/>
      </c>
      <c r="S366" s="23" t="str">
        <f t="shared" si="121"/>
        <v/>
      </c>
      <c r="T366" s="23" t="str">
        <f t="shared" si="122"/>
        <v/>
      </c>
      <c r="U366" s="23" t="str">
        <f t="shared" si="123"/>
        <v/>
      </c>
      <c r="V366" s="23" t="str">
        <f t="shared" si="124"/>
        <v/>
      </c>
      <c r="W366" s="70" t="str">
        <f t="shared" si="125"/>
        <v/>
      </c>
      <c r="X366" s="70" t="str">
        <f t="shared" si="126"/>
        <v/>
      </c>
      <c r="Y366" s="70" t="str">
        <f>IF(AND($A366&lt;&gt;"",$E366&gt;0),isLaptopBag($C366,$J366)*$D366,"")</f>
        <v/>
      </c>
      <c r="Z366" s="70" t="str">
        <f t="shared" si="127"/>
        <v/>
      </c>
      <c r="AA366" s="70" t="str">
        <f t="shared" si="128"/>
        <v/>
      </c>
      <c r="AB366" s="70" t="str">
        <f t="shared" si="129"/>
        <v/>
      </c>
      <c r="AC366" s="70" t="str">
        <f t="shared" si="130"/>
        <v/>
      </c>
      <c r="AD366" s="70" t="str">
        <f t="shared" si="131"/>
        <v/>
      </c>
      <c r="AE366" s="70" t="str">
        <f t="shared" si="132"/>
        <v/>
      </c>
      <c r="AF366" s="16"/>
      <c r="AG366" s="23"/>
      <c r="AH366" s="22"/>
      <c r="AJ366" s="83">
        <f t="shared" si="133"/>
        <v>0</v>
      </c>
      <c r="AO366" s="22" t="str">
        <f t="shared" si="134"/>
        <v/>
      </c>
      <c r="AP366" s="22" t="str">
        <f t="shared" si="135"/>
        <v/>
      </c>
    </row>
    <row r="367" spans="1:42" x14ac:dyDescent="0.25">
      <c r="A367" s="10"/>
      <c r="B367" s="10"/>
      <c r="C367" s="10"/>
      <c r="D367" s="10"/>
      <c r="E367" s="10"/>
      <c r="F367" s="10"/>
      <c r="G367" s="10"/>
      <c r="H367" s="17"/>
      <c r="I367" s="10"/>
      <c r="J367" s="10"/>
      <c r="K367" s="16" t="str">
        <f t="shared" si="114"/>
        <v/>
      </c>
      <c r="L367" s="23" t="str">
        <f t="shared" si="115"/>
        <v/>
      </c>
      <c r="M367" s="22" t="str">
        <f t="shared" si="116"/>
        <v/>
      </c>
      <c r="N367" s="72"/>
      <c r="O367" s="16" t="str">
        <f t="shared" si="117"/>
        <v/>
      </c>
      <c r="P367" s="16" t="str">
        <f t="shared" si="118"/>
        <v/>
      </c>
      <c r="Q367" s="16" t="str">
        <f t="shared" si="119"/>
        <v/>
      </c>
      <c r="R367" s="23" t="str">
        <f t="shared" si="120"/>
        <v/>
      </c>
      <c r="S367" s="23" t="str">
        <f t="shared" si="121"/>
        <v/>
      </c>
      <c r="T367" s="23" t="str">
        <f t="shared" si="122"/>
        <v/>
      </c>
      <c r="U367" s="23" t="str">
        <f t="shared" si="123"/>
        <v/>
      </c>
      <c r="V367" s="23" t="str">
        <f t="shared" si="124"/>
        <v/>
      </c>
      <c r="W367" s="70" t="str">
        <f t="shared" si="125"/>
        <v/>
      </c>
      <c r="X367" s="70" t="str">
        <f t="shared" si="126"/>
        <v/>
      </c>
      <c r="Y367" s="70" t="str">
        <f>IF(AND($A367&lt;&gt;"",$E367&gt;0),isLaptopBag($C367,$J367)*$D367,"")</f>
        <v/>
      </c>
      <c r="Z367" s="70" t="str">
        <f t="shared" si="127"/>
        <v/>
      </c>
      <c r="AA367" s="70" t="str">
        <f t="shared" si="128"/>
        <v/>
      </c>
      <c r="AB367" s="70" t="str">
        <f t="shared" si="129"/>
        <v/>
      </c>
      <c r="AC367" s="70" t="str">
        <f t="shared" si="130"/>
        <v/>
      </c>
      <c r="AD367" s="70" t="str">
        <f t="shared" si="131"/>
        <v/>
      </c>
      <c r="AE367" s="70" t="str">
        <f t="shared" si="132"/>
        <v/>
      </c>
      <c r="AF367" s="16"/>
      <c r="AG367" s="23"/>
      <c r="AH367" s="22"/>
      <c r="AJ367" s="83">
        <f t="shared" si="133"/>
        <v>0</v>
      </c>
      <c r="AO367" s="22" t="str">
        <f t="shared" si="134"/>
        <v/>
      </c>
      <c r="AP367" s="22" t="str">
        <f t="shared" si="135"/>
        <v/>
      </c>
    </row>
    <row r="368" spans="1:42" x14ac:dyDescent="0.25">
      <c r="A368" s="10"/>
      <c r="B368" s="10"/>
      <c r="C368" s="10"/>
      <c r="D368" s="10"/>
      <c r="E368" s="10"/>
      <c r="F368" s="10"/>
      <c r="G368" s="10"/>
      <c r="H368" s="17"/>
      <c r="I368" s="10"/>
      <c r="J368" s="10"/>
      <c r="K368" s="16" t="str">
        <f t="shared" si="114"/>
        <v/>
      </c>
      <c r="L368" s="23" t="str">
        <f t="shared" si="115"/>
        <v/>
      </c>
      <c r="M368" s="22" t="str">
        <f t="shared" si="116"/>
        <v/>
      </c>
      <c r="N368" s="72"/>
      <c r="O368" s="16" t="str">
        <f t="shared" si="117"/>
        <v/>
      </c>
      <c r="P368" s="16" t="str">
        <f t="shared" si="118"/>
        <v/>
      </c>
      <c r="Q368" s="16" t="str">
        <f t="shared" si="119"/>
        <v/>
      </c>
      <c r="R368" s="23" t="str">
        <f t="shared" si="120"/>
        <v/>
      </c>
      <c r="S368" s="23" t="str">
        <f t="shared" si="121"/>
        <v/>
      </c>
      <c r="T368" s="23" t="str">
        <f t="shared" si="122"/>
        <v/>
      </c>
      <c r="U368" s="23" t="str">
        <f t="shared" si="123"/>
        <v/>
      </c>
      <c r="V368" s="23" t="str">
        <f t="shared" si="124"/>
        <v/>
      </c>
      <c r="W368" s="70" t="str">
        <f t="shared" si="125"/>
        <v/>
      </c>
      <c r="X368" s="70" t="str">
        <f t="shared" si="126"/>
        <v/>
      </c>
      <c r="Y368" s="70" t="str">
        <f>IF(AND($A368&lt;&gt;"",$E368&gt;0),isLaptopBag($C368,$J368)*$D368,"")</f>
        <v/>
      </c>
      <c r="Z368" s="70" t="str">
        <f t="shared" si="127"/>
        <v/>
      </c>
      <c r="AA368" s="70" t="str">
        <f t="shared" si="128"/>
        <v/>
      </c>
      <c r="AB368" s="70" t="str">
        <f t="shared" si="129"/>
        <v/>
      </c>
      <c r="AC368" s="70" t="str">
        <f t="shared" si="130"/>
        <v/>
      </c>
      <c r="AD368" s="70" t="str">
        <f t="shared" si="131"/>
        <v/>
      </c>
      <c r="AE368" s="70" t="str">
        <f t="shared" si="132"/>
        <v/>
      </c>
      <c r="AF368" s="16"/>
      <c r="AG368" s="23"/>
      <c r="AH368" s="22"/>
      <c r="AJ368" s="83">
        <f t="shared" si="133"/>
        <v>0</v>
      </c>
      <c r="AO368" s="22" t="str">
        <f t="shared" si="134"/>
        <v/>
      </c>
      <c r="AP368" s="22" t="str">
        <f t="shared" si="135"/>
        <v/>
      </c>
    </row>
    <row r="369" spans="1:42" x14ac:dyDescent="0.25">
      <c r="A369" s="10"/>
      <c r="B369" s="10"/>
      <c r="C369" s="10"/>
      <c r="D369" s="10"/>
      <c r="E369" s="10"/>
      <c r="F369" s="10"/>
      <c r="G369" s="10"/>
      <c r="H369" s="17"/>
      <c r="I369" s="10"/>
      <c r="J369" s="10"/>
      <c r="K369" s="16" t="str">
        <f t="shared" si="114"/>
        <v/>
      </c>
      <c r="L369" s="23" t="str">
        <f t="shared" si="115"/>
        <v/>
      </c>
      <c r="M369" s="22" t="str">
        <f t="shared" si="116"/>
        <v/>
      </c>
      <c r="N369" s="72"/>
      <c r="O369" s="16" t="str">
        <f t="shared" si="117"/>
        <v/>
      </c>
      <c r="P369" s="16" t="str">
        <f t="shared" si="118"/>
        <v/>
      </c>
      <c r="Q369" s="16" t="str">
        <f t="shared" si="119"/>
        <v/>
      </c>
      <c r="R369" s="23" t="str">
        <f t="shared" si="120"/>
        <v/>
      </c>
      <c r="S369" s="23" t="str">
        <f t="shared" si="121"/>
        <v/>
      </c>
      <c r="T369" s="23" t="str">
        <f t="shared" si="122"/>
        <v/>
      </c>
      <c r="U369" s="23" t="str">
        <f t="shared" si="123"/>
        <v/>
      </c>
      <c r="V369" s="23" t="str">
        <f t="shared" si="124"/>
        <v/>
      </c>
      <c r="W369" s="70" t="str">
        <f t="shared" si="125"/>
        <v/>
      </c>
      <c r="X369" s="70" t="str">
        <f t="shared" si="126"/>
        <v/>
      </c>
      <c r="Y369" s="70" t="str">
        <f>IF(AND($A369&lt;&gt;"",$E369&gt;0),isLaptopBag($C369,$J369)*$D369,"")</f>
        <v/>
      </c>
      <c r="Z369" s="70" t="str">
        <f t="shared" si="127"/>
        <v/>
      </c>
      <c r="AA369" s="70" t="str">
        <f t="shared" si="128"/>
        <v/>
      </c>
      <c r="AB369" s="70" t="str">
        <f t="shared" si="129"/>
        <v/>
      </c>
      <c r="AC369" s="70" t="str">
        <f t="shared" si="130"/>
        <v/>
      </c>
      <c r="AD369" s="70" t="str">
        <f t="shared" si="131"/>
        <v/>
      </c>
      <c r="AE369" s="70" t="str">
        <f t="shared" si="132"/>
        <v/>
      </c>
      <c r="AF369" s="16"/>
      <c r="AG369" s="23"/>
      <c r="AH369" s="22"/>
      <c r="AJ369" s="83">
        <f t="shared" si="133"/>
        <v>0</v>
      </c>
      <c r="AO369" s="22" t="str">
        <f t="shared" si="134"/>
        <v/>
      </c>
      <c r="AP369" s="22" t="str">
        <f t="shared" si="135"/>
        <v/>
      </c>
    </row>
    <row r="370" spans="1:42" x14ac:dyDescent="0.25">
      <c r="A370" s="10"/>
      <c r="B370" s="10"/>
      <c r="C370" s="10"/>
      <c r="D370" s="10"/>
      <c r="E370" s="10"/>
      <c r="F370" s="10"/>
      <c r="G370" s="10"/>
      <c r="H370" s="17"/>
      <c r="I370" s="10"/>
      <c r="J370" s="10"/>
      <c r="K370" s="16" t="str">
        <f t="shared" si="114"/>
        <v/>
      </c>
      <c r="L370" s="23" t="str">
        <f t="shared" si="115"/>
        <v/>
      </c>
      <c r="M370" s="22" t="str">
        <f t="shared" si="116"/>
        <v/>
      </c>
      <c r="N370" s="72"/>
      <c r="O370" s="16" t="str">
        <f t="shared" si="117"/>
        <v/>
      </c>
      <c r="P370" s="16" t="str">
        <f t="shared" si="118"/>
        <v/>
      </c>
      <c r="Q370" s="16" t="str">
        <f t="shared" si="119"/>
        <v/>
      </c>
      <c r="R370" s="23" t="str">
        <f t="shared" si="120"/>
        <v/>
      </c>
      <c r="S370" s="23" t="str">
        <f t="shared" si="121"/>
        <v/>
      </c>
      <c r="T370" s="23" t="str">
        <f t="shared" si="122"/>
        <v/>
      </c>
      <c r="U370" s="23" t="str">
        <f t="shared" si="123"/>
        <v/>
      </c>
      <c r="V370" s="23" t="str">
        <f t="shared" si="124"/>
        <v/>
      </c>
      <c r="W370" s="70" t="str">
        <f t="shared" si="125"/>
        <v/>
      </c>
      <c r="X370" s="70" t="str">
        <f t="shared" si="126"/>
        <v/>
      </c>
      <c r="Y370" s="70" t="str">
        <f>IF(AND($A370&lt;&gt;"",$E370&gt;0),isLaptopBag($C370,$J370)*$D370,"")</f>
        <v/>
      </c>
      <c r="Z370" s="70" t="str">
        <f t="shared" si="127"/>
        <v/>
      </c>
      <c r="AA370" s="70" t="str">
        <f t="shared" si="128"/>
        <v/>
      </c>
      <c r="AB370" s="70" t="str">
        <f t="shared" si="129"/>
        <v/>
      </c>
      <c r="AC370" s="70" t="str">
        <f t="shared" si="130"/>
        <v/>
      </c>
      <c r="AD370" s="70" t="str">
        <f t="shared" si="131"/>
        <v/>
      </c>
      <c r="AE370" s="70" t="str">
        <f t="shared" si="132"/>
        <v/>
      </c>
      <c r="AF370" s="16"/>
      <c r="AG370" s="23"/>
      <c r="AH370" s="22"/>
      <c r="AJ370" s="83">
        <f t="shared" si="133"/>
        <v>0</v>
      </c>
      <c r="AO370" s="22" t="str">
        <f t="shared" si="134"/>
        <v/>
      </c>
      <c r="AP370" s="22" t="str">
        <f t="shared" si="135"/>
        <v/>
      </c>
    </row>
    <row r="371" spans="1:42" x14ac:dyDescent="0.25">
      <c r="A371" s="10"/>
      <c r="B371" s="10"/>
      <c r="C371" s="10"/>
      <c r="D371" s="10"/>
      <c r="E371" s="10"/>
      <c r="F371" s="10"/>
      <c r="G371" s="10"/>
      <c r="H371" s="17"/>
      <c r="I371" s="10"/>
      <c r="J371" s="10"/>
      <c r="K371" s="16" t="str">
        <f t="shared" si="114"/>
        <v/>
      </c>
      <c r="L371" s="23" t="str">
        <f t="shared" si="115"/>
        <v/>
      </c>
      <c r="M371" s="22" t="str">
        <f t="shared" si="116"/>
        <v/>
      </c>
      <c r="N371" s="72"/>
      <c r="O371" s="16" t="str">
        <f t="shared" si="117"/>
        <v/>
      </c>
      <c r="P371" s="16" t="str">
        <f t="shared" si="118"/>
        <v/>
      </c>
      <c r="Q371" s="16" t="str">
        <f t="shared" si="119"/>
        <v/>
      </c>
      <c r="R371" s="23" t="str">
        <f t="shared" si="120"/>
        <v/>
      </c>
      <c r="S371" s="23" t="str">
        <f t="shared" si="121"/>
        <v/>
      </c>
      <c r="T371" s="23" t="str">
        <f t="shared" si="122"/>
        <v/>
      </c>
      <c r="U371" s="23" t="str">
        <f t="shared" si="123"/>
        <v/>
      </c>
      <c r="V371" s="23" t="str">
        <f t="shared" si="124"/>
        <v/>
      </c>
      <c r="W371" s="70" t="str">
        <f t="shared" si="125"/>
        <v/>
      </c>
      <c r="X371" s="70" t="str">
        <f t="shared" si="126"/>
        <v/>
      </c>
      <c r="Y371" s="70" t="str">
        <f>IF(AND($A371&lt;&gt;"",$E371&gt;0),isLaptopBag($C371,$J371)*$D371,"")</f>
        <v/>
      </c>
      <c r="Z371" s="70" t="str">
        <f t="shared" si="127"/>
        <v/>
      </c>
      <c r="AA371" s="70" t="str">
        <f t="shared" si="128"/>
        <v/>
      </c>
      <c r="AB371" s="70" t="str">
        <f t="shared" si="129"/>
        <v/>
      </c>
      <c r="AC371" s="70" t="str">
        <f t="shared" si="130"/>
        <v/>
      </c>
      <c r="AD371" s="70" t="str">
        <f t="shared" si="131"/>
        <v/>
      </c>
      <c r="AE371" s="70" t="str">
        <f t="shared" si="132"/>
        <v/>
      </c>
      <c r="AF371" s="16"/>
      <c r="AG371" s="23"/>
      <c r="AH371" s="22"/>
      <c r="AJ371" s="83">
        <f t="shared" si="133"/>
        <v>0</v>
      </c>
      <c r="AO371" s="22" t="str">
        <f t="shared" si="134"/>
        <v/>
      </c>
      <c r="AP371" s="22" t="str">
        <f t="shared" si="135"/>
        <v/>
      </c>
    </row>
    <row r="372" spans="1:42" x14ac:dyDescent="0.25">
      <c r="A372" s="10"/>
      <c r="B372" s="10"/>
      <c r="C372" s="10"/>
      <c r="D372" s="10"/>
      <c r="E372" s="10"/>
      <c r="F372" s="10"/>
      <c r="G372" s="10"/>
      <c r="H372" s="17"/>
      <c r="I372" s="10"/>
      <c r="J372" s="10"/>
      <c r="K372" s="16" t="str">
        <f t="shared" si="114"/>
        <v/>
      </c>
      <c r="L372" s="23" t="str">
        <f t="shared" si="115"/>
        <v/>
      </c>
      <c r="M372" s="22" t="str">
        <f t="shared" si="116"/>
        <v/>
      </c>
      <c r="N372" s="72"/>
      <c r="O372" s="16" t="str">
        <f t="shared" si="117"/>
        <v/>
      </c>
      <c r="P372" s="16" t="str">
        <f t="shared" si="118"/>
        <v/>
      </c>
      <c r="Q372" s="16" t="str">
        <f t="shared" si="119"/>
        <v/>
      </c>
      <c r="R372" s="23" t="str">
        <f t="shared" si="120"/>
        <v/>
      </c>
      <c r="S372" s="23" t="str">
        <f t="shared" si="121"/>
        <v/>
      </c>
      <c r="T372" s="23" t="str">
        <f t="shared" si="122"/>
        <v/>
      </c>
      <c r="U372" s="23" t="str">
        <f t="shared" si="123"/>
        <v/>
      </c>
      <c r="V372" s="23" t="str">
        <f t="shared" si="124"/>
        <v/>
      </c>
      <c r="W372" s="70" t="str">
        <f t="shared" si="125"/>
        <v/>
      </c>
      <c r="X372" s="70" t="str">
        <f t="shared" si="126"/>
        <v/>
      </c>
      <c r="Y372" s="70" t="str">
        <f>IF(AND($A372&lt;&gt;"",$E372&gt;0),isLaptopBag($C372,$J372)*$D372,"")</f>
        <v/>
      </c>
      <c r="Z372" s="70" t="str">
        <f t="shared" si="127"/>
        <v/>
      </c>
      <c r="AA372" s="70" t="str">
        <f t="shared" si="128"/>
        <v/>
      </c>
      <c r="AB372" s="70" t="str">
        <f t="shared" si="129"/>
        <v/>
      </c>
      <c r="AC372" s="70" t="str">
        <f t="shared" si="130"/>
        <v/>
      </c>
      <c r="AD372" s="70" t="str">
        <f t="shared" si="131"/>
        <v/>
      </c>
      <c r="AE372" s="70" t="str">
        <f t="shared" si="132"/>
        <v/>
      </c>
      <c r="AF372" s="16"/>
      <c r="AG372" s="23"/>
      <c r="AH372" s="22"/>
      <c r="AJ372" s="83">
        <f t="shared" si="133"/>
        <v>0</v>
      </c>
      <c r="AO372" s="22" t="str">
        <f t="shared" si="134"/>
        <v/>
      </c>
      <c r="AP372" s="22" t="str">
        <f t="shared" si="135"/>
        <v/>
      </c>
    </row>
    <row r="373" spans="1:42" x14ac:dyDescent="0.25">
      <c r="A373" s="10"/>
      <c r="B373" s="10"/>
      <c r="C373" s="10"/>
      <c r="D373" s="10"/>
      <c r="E373" s="10"/>
      <c r="F373" s="10"/>
      <c r="G373" s="10"/>
      <c r="H373" s="17"/>
      <c r="I373" s="10"/>
      <c r="J373" s="10"/>
      <c r="K373" s="16" t="str">
        <f t="shared" si="114"/>
        <v/>
      </c>
      <c r="L373" s="23" t="str">
        <f t="shared" si="115"/>
        <v/>
      </c>
      <c r="M373" s="22" t="str">
        <f t="shared" si="116"/>
        <v/>
      </c>
      <c r="N373" s="72"/>
      <c r="O373" s="16" t="str">
        <f t="shared" si="117"/>
        <v/>
      </c>
      <c r="P373" s="16" t="str">
        <f t="shared" si="118"/>
        <v/>
      </c>
      <c r="Q373" s="16" t="str">
        <f t="shared" si="119"/>
        <v/>
      </c>
      <c r="R373" s="23" t="str">
        <f t="shared" si="120"/>
        <v/>
      </c>
      <c r="S373" s="23" t="str">
        <f t="shared" si="121"/>
        <v/>
      </c>
      <c r="T373" s="23" t="str">
        <f t="shared" si="122"/>
        <v/>
      </c>
      <c r="U373" s="23" t="str">
        <f t="shared" si="123"/>
        <v/>
      </c>
      <c r="V373" s="23" t="str">
        <f t="shared" si="124"/>
        <v/>
      </c>
      <c r="W373" s="70" t="str">
        <f t="shared" si="125"/>
        <v/>
      </c>
      <c r="X373" s="70" t="str">
        <f t="shared" si="126"/>
        <v/>
      </c>
      <c r="Y373" s="70" t="str">
        <f>IF(AND($A373&lt;&gt;"",$E373&gt;0),isLaptopBag($C373,$J373)*$D373,"")</f>
        <v/>
      </c>
      <c r="Z373" s="70" t="str">
        <f t="shared" si="127"/>
        <v/>
      </c>
      <c r="AA373" s="70" t="str">
        <f t="shared" si="128"/>
        <v/>
      </c>
      <c r="AB373" s="70" t="str">
        <f t="shared" si="129"/>
        <v/>
      </c>
      <c r="AC373" s="70" t="str">
        <f t="shared" si="130"/>
        <v/>
      </c>
      <c r="AD373" s="70" t="str">
        <f t="shared" si="131"/>
        <v/>
      </c>
      <c r="AE373" s="70" t="str">
        <f t="shared" si="132"/>
        <v/>
      </c>
      <c r="AF373" s="16"/>
      <c r="AG373" s="23"/>
      <c r="AH373" s="22"/>
      <c r="AJ373" s="83">
        <f t="shared" si="133"/>
        <v>0</v>
      </c>
      <c r="AO373" s="22" t="str">
        <f t="shared" si="134"/>
        <v/>
      </c>
      <c r="AP373" s="22" t="str">
        <f t="shared" si="135"/>
        <v/>
      </c>
    </row>
    <row r="374" spans="1:42" x14ac:dyDescent="0.25">
      <c r="A374" s="10"/>
      <c r="B374" s="10"/>
      <c r="C374" s="10"/>
      <c r="D374" s="10"/>
      <c r="E374" s="10"/>
      <c r="F374" s="10"/>
      <c r="G374" s="10"/>
      <c r="H374" s="17"/>
      <c r="I374" s="10"/>
      <c r="J374" s="10"/>
      <c r="K374" s="16" t="str">
        <f t="shared" si="114"/>
        <v/>
      </c>
      <c r="L374" s="23" t="str">
        <f t="shared" si="115"/>
        <v/>
      </c>
      <c r="M374" s="22" t="str">
        <f t="shared" si="116"/>
        <v/>
      </c>
      <c r="N374" s="72"/>
      <c r="O374" s="16" t="str">
        <f t="shared" si="117"/>
        <v/>
      </c>
      <c r="P374" s="16" t="str">
        <f t="shared" si="118"/>
        <v/>
      </c>
      <c r="Q374" s="16" t="str">
        <f t="shared" si="119"/>
        <v/>
      </c>
      <c r="R374" s="23" t="str">
        <f t="shared" si="120"/>
        <v/>
      </c>
      <c r="S374" s="23" t="str">
        <f t="shared" si="121"/>
        <v/>
      </c>
      <c r="T374" s="23" t="str">
        <f t="shared" si="122"/>
        <v/>
      </c>
      <c r="U374" s="23" t="str">
        <f t="shared" si="123"/>
        <v/>
      </c>
      <c r="V374" s="23" t="str">
        <f t="shared" si="124"/>
        <v/>
      </c>
      <c r="W374" s="70" t="str">
        <f t="shared" si="125"/>
        <v/>
      </c>
      <c r="X374" s="70" t="str">
        <f t="shared" si="126"/>
        <v/>
      </c>
      <c r="Y374" s="70" t="str">
        <f>IF(AND($A374&lt;&gt;"",$E374&gt;0),isLaptopBag($C374,$J374)*$D374,"")</f>
        <v/>
      </c>
      <c r="Z374" s="70" t="str">
        <f t="shared" si="127"/>
        <v/>
      </c>
      <c r="AA374" s="70" t="str">
        <f t="shared" si="128"/>
        <v/>
      </c>
      <c r="AB374" s="70" t="str">
        <f t="shared" si="129"/>
        <v/>
      </c>
      <c r="AC374" s="70" t="str">
        <f t="shared" si="130"/>
        <v/>
      </c>
      <c r="AD374" s="70" t="str">
        <f t="shared" si="131"/>
        <v/>
      </c>
      <c r="AE374" s="70" t="str">
        <f t="shared" si="132"/>
        <v/>
      </c>
      <c r="AF374" s="16"/>
      <c r="AG374" s="23"/>
      <c r="AH374" s="22"/>
      <c r="AJ374" s="83">
        <f t="shared" si="133"/>
        <v>0</v>
      </c>
      <c r="AO374" s="22" t="str">
        <f t="shared" si="134"/>
        <v/>
      </c>
      <c r="AP374" s="22" t="str">
        <f t="shared" si="135"/>
        <v/>
      </c>
    </row>
    <row r="375" spans="1:42" x14ac:dyDescent="0.25">
      <c r="A375" s="10"/>
      <c r="B375" s="10"/>
      <c r="C375" s="10"/>
      <c r="D375" s="10"/>
      <c r="E375" s="10"/>
      <c r="F375" s="10"/>
      <c r="G375" s="10"/>
      <c r="H375" s="17"/>
      <c r="I375" s="10"/>
      <c r="J375" s="10"/>
      <c r="K375" s="16" t="str">
        <f t="shared" si="114"/>
        <v/>
      </c>
      <c r="L375" s="23" t="str">
        <f t="shared" si="115"/>
        <v/>
      </c>
      <c r="M375" s="22" t="str">
        <f t="shared" si="116"/>
        <v/>
      </c>
      <c r="N375" s="72"/>
      <c r="O375" s="16" t="str">
        <f t="shared" si="117"/>
        <v/>
      </c>
      <c r="P375" s="16" t="str">
        <f t="shared" si="118"/>
        <v/>
      </c>
      <c r="Q375" s="16" t="str">
        <f t="shared" si="119"/>
        <v/>
      </c>
      <c r="R375" s="23" t="str">
        <f t="shared" si="120"/>
        <v/>
      </c>
      <c r="S375" s="23" t="str">
        <f t="shared" si="121"/>
        <v/>
      </c>
      <c r="T375" s="23" t="str">
        <f t="shared" si="122"/>
        <v/>
      </c>
      <c r="U375" s="23" t="str">
        <f t="shared" si="123"/>
        <v/>
      </c>
      <c r="V375" s="23" t="str">
        <f t="shared" si="124"/>
        <v/>
      </c>
      <c r="W375" s="70" t="str">
        <f t="shared" si="125"/>
        <v/>
      </c>
      <c r="X375" s="70" t="str">
        <f t="shared" si="126"/>
        <v/>
      </c>
      <c r="Y375" s="70" t="str">
        <f>IF(AND($A375&lt;&gt;"",$E375&gt;0),isLaptopBag($C375,$J375)*$D375,"")</f>
        <v/>
      </c>
      <c r="Z375" s="70" t="str">
        <f t="shared" si="127"/>
        <v/>
      </c>
      <c r="AA375" s="70" t="str">
        <f t="shared" si="128"/>
        <v/>
      </c>
      <c r="AB375" s="70" t="str">
        <f t="shared" si="129"/>
        <v/>
      </c>
      <c r="AC375" s="70" t="str">
        <f t="shared" si="130"/>
        <v/>
      </c>
      <c r="AD375" s="70" t="str">
        <f t="shared" si="131"/>
        <v/>
      </c>
      <c r="AE375" s="70" t="str">
        <f t="shared" si="132"/>
        <v/>
      </c>
      <c r="AF375" s="16"/>
      <c r="AG375" s="23"/>
      <c r="AH375" s="22"/>
      <c r="AJ375" s="83">
        <f t="shared" si="133"/>
        <v>0</v>
      </c>
      <c r="AO375" s="22" t="str">
        <f t="shared" si="134"/>
        <v/>
      </c>
      <c r="AP375" s="22" t="str">
        <f t="shared" si="135"/>
        <v/>
      </c>
    </row>
    <row r="376" spans="1:42" x14ac:dyDescent="0.25">
      <c r="A376" s="10"/>
      <c r="B376" s="10"/>
      <c r="C376" s="10"/>
      <c r="D376" s="10"/>
      <c r="E376" s="10"/>
      <c r="F376" s="10"/>
      <c r="G376" s="10"/>
      <c r="H376" s="17"/>
      <c r="I376" s="10"/>
      <c r="J376" s="10"/>
      <c r="K376" s="16" t="str">
        <f t="shared" si="114"/>
        <v/>
      </c>
      <c r="L376" s="23" t="str">
        <f t="shared" si="115"/>
        <v/>
      </c>
      <c r="M376" s="22" t="str">
        <f t="shared" si="116"/>
        <v/>
      </c>
      <c r="N376" s="72"/>
      <c r="O376" s="16" t="str">
        <f t="shared" si="117"/>
        <v/>
      </c>
      <c r="P376" s="16" t="str">
        <f t="shared" si="118"/>
        <v/>
      </c>
      <c r="Q376" s="16" t="str">
        <f t="shared" si="119"/>
        <v/>
      </c>
      <c r="R376" s="23" t="str">
        <f t="shared" si="120"/>
        <v/>
      </c>
      <c r="S376" s="23" t="str">
        <f t="shared" si="121"/>
        <v/>
      </c>
      <c r="T376" s="23" t="str">
        <f t="shared" si="122"/>
        <v/>
      </c>
      <c r="U376" s="23" t="str">
        <f t="shared" si="123"/>
        <v/>
      </c>
      <c r="V376" s="23" t="str">
        <f t="shared" si="124"/>
        <v/>
      </c>
      <c r="W376" s="70" t="str">
        <f t="shared" si="125"/>
        <v/>
      </c>
      <c r="X376" s="70" t="str">
        <f t="shared" si="126"/>
        <v/>
      </c>
      <c r="Y376" s="70" t="str">
        <f>IF(AND($A376&lt;&gt;"",$E376&gt;0),isLaptopBag($C376,$J376)*$D376,"")</f>
        <v/>
      </c>
      <c r="Z376" s="70" t="str">
        <f t="shared" si="127"/>
        <v/>
      </c>
      <c r="AA376" s="70" t="str">
        <f t="shared" si="128"/>
        <v/>
      </c>
      <c r="AB376" s="70" t="str">
        <f t="shared" si="129"/>
        <v/>
      </c>
      <c r="AC376" s="70" t="str">
        <f t="shared" si="130"/>
        <v/>
      </c>
      <c r="AD376" s="70" t="str">
        <f t="shared" si="131"/>
        <v/>
      </c>
      <c r="AE376" s="70" t="str">
        <f t="shared" si="132"/>
        <v/>
      </c>
      <c r="AF376" s="16"/>
      <c r="AG376" s="23"/>
      <c r="AH376" s="22"/>
      <c r="AJ376" s="83">
        <f t="shared" si="133"/>
        <v>0</v>
      </c>
      <c r="AO376" s="22" t="str">
        <f t="shared" si="134"/>
        <v/>
      </c>
      <c r="AP376" s="22" t="str">
        <f t="shared" si="135"/>
        <v/>
      </c>
    </row>
    <row r="377" spans="1:42" x14ac:dyDescent="0.25">
      <c r="A377" s="10"/>
      <c r="B377" s="10"/>
      <c r="C377" s="10"/>
      <c r="D377" s="10"/>
      <c r="E377" s="10"/>
      <c r="F377" s="10"/>
      <c r="G377" s="10"/>
      <c r="H377" s="17"/>
      <c r="I377" s="10"/>
      <c r="J377" s="10"/>
      <c r="K377" s="16" t="str">
        <f t="shared" si="114"/>
        <v/>
      </c>
      <c r="L377" s="23" t="str">
        <f t="shared" si="115"/>
        <v/>
      </c>
      <c r="M377" s="22" t="str">
        <f t="shared" si="116"/>
        <v/>
      </c>
      <c r="N377" s="72"/>
      <c r="O377" s="16" t="str">
        <f t="shared" si="117"/>
        <v/>
      </c>
      <c r="P377" s="16" t="str">
        <f t="shared" si="118"/>
        <v/>
      </c>
      <c r="Q377" s="16" t="str">
        <f t="shared" si="119"/>
        <v/>
      </c>
      <c r="R377" s="23" t="str">
        <f t="shared" si="120"/>
        <v/>
      </c>
      <c r="S377" s="23" t="str">
        <f t="shared" si="121"/>
        <v/>
      </c>
      <c r="T377" s="23" t="str">
        <f t="shared" si="122"/>
        <v/>
      </c>
      <c r="U377" s="23" t="str">
        <f t="shared" si="123"/>
        <v/>
      </c>
      <c r="V377" s="23" t="str">
        <f t="shared" si="124"/>
        <v/>
      </c>
      <c r="W377" s="70" t="str">
        <f t="shared" si="125"/>
        <v/>
      </c>
      <c r="X377" s="70" t="str">
        <f t="shared" si="126"/>
        <v/>
      </c>
      <c r="Y377" s="70" t="str">
        <f>IF(AND($A377&lt;&gt;"",$E377&gt;0),isLaptopBag($C377,$J377)*$D377,"")</f>
        <v/>
      </c>
      <c r="Z377" s="70" t="str">
        <f t="shared" si="127"/>
        <v/>
      </c>
      <c r="AA377" s="70" t="str">
        <f t="shared" si="128"/>
        <v/>
      </c>
      <c r="AB377" s="70" t="str">
        <f t="shared" si="129"/>
        <v/>
      </c>
      <c r="AC377" s="70" t="str">
        <f t="shared" si="130"/>
        <v/>
      </c>
      <c r="AD377" s="70" t="str">
        <f t="shared" si="131"/>
        <v/>
      </c>
      <c r="AE377" s="70" t="str">
        <f t="shared" si="132"/>
        <v/>
      </c>
      <c r="AF377" s="16"/>
      <c r="AG377" s="23"/>
      <c r="AH377" s="22"/>
      <c r="AJ377" s="83">
        <f t="shared" si="133"/>
        <v>0</v>
      </c>
      <c r="AO377" s="22" t="str">
        <f t="shared" si="134"/>
        <v/>
      </c>
      <c r="AP377" s="22" t="str">
        <f t="shared" si="135"/>
        <v/>
      </c>
    </row>
    <row r="378" spans="1:42" x14ac:dyDescent="0.25">
      <c r="A378" s="10"/>
      <c r="B378" s="10"/>
      <c r="C378" s="10"/>
      <c r="D378" s="10"/>
      <c r="E378" s="10"/>
      <c r="F378" s="10"/>
      <c r="G378" s="10"/>
      <c r="H378" s="17"/>
      <c r="I378" s="10"/>
      <c r="J378" s="10"/>
      <c r="K378" s="16" t="str">
        <f t="shared" si="114"/>
        <v/>
      </c>
      <c r="L378" s="23" t="str">
        <f t="shared" si="115"/>
        <v/>
      </c>
      <c r="M378" s="22" t="str">
        <f t="shared" si="116"/>
        <v/>
      </c>
      <c r="N378" s="72"/>
      <c r="O378" s="16" t="str">
        <f t="shared" si="117"/>
        <v/>
      </c>
      <c r="P378" s="16" t="str">
        <f t="shared" si="118"/>
        <v/>
      </c>
      <c r="Q378" s="16" t="str">
        <f t="shared" si="119"/>
        <v/>
      </c>
      <c r="R378" s="23" t="str">
        <f t="shared" si="120"/>
        <v/>
      </c>
      <c r="S378" s="23" t="str">
        <f t="shared" si="121"/>
        <v/>
      </c>
      <c r="T378" s="23" t="str">
        <f t="shared" si="122"/>
        <v/>
      </c>
      <c r="U378" s="23" t="str">
        <f t="shared" si="123"/>
        <v/>
      </c>
      <c r="V378" s="23" t="str">
        <f t="shared" si="124"/>
        <v/>
      </c>
      <c r="W378" s="70" t="str">
        <f t="shared" si="125"/>
        <v/>
      </c>
      <c r="X378" s="70" t="str">
        <f t="shared" si="126"/>
        <v/>
      </c>
      <c r="Y378" s="70" t="str">
        <f>IF(AND($A378&lt;&gt;"",$E378&gt;0),isLaptopBag($C378,$J378)*$D378,"")</f>
        <v/>
      </c>
      <c r="Z378" s="70" t="str">
        <f t="shared" si="127"/>
        <v/>
      </c>
      <c r="AA378" s="70" t="str">
        <f t="shared" si="128"/>
        <v/>
      </c>
      <c r="AB378" s="70" t="str">
        <f t="shared" si="129"/>
        <v/>
      </c>
      <c r="AC378" s="70" t="str">
        <f t="shared" si="130"/>
        <v/>
      </c>
      <c r="AD378" s="70" t="str">
        <f t="shared" si="131"/>
        <v/>
      </c>
      <c r="AE378" s="70" t="str">
        <f t="shared" si="132"/>
        <v/>
      </c>
      <c r="AF378" s="16"/>
      <c r="AG378" s="23"/>
      <c r="AH378" s="22"/>
      <c r="AJ378" s="83">
        <f t="shared" si="133"/>
        <v>0</v>
      </c>
      <c r="AO378" s="22" t="str">
        <f t="shared" si="134"/>
        <v/>
      </c>
      <c r="AP378" s="22" t="str">
        <f t="shared" si="135"/>
        <v/>
      </c>
    </row>
    <row r="379" spans="1:42" x14ac:dyDescent="0.25">
      <c r="A379" s="10"/>
      <c r="B379" s="10"/>
      <c r="C379" s="10"/>
      <c r="D379" s="10"/>
      <c r="E379" s="10"/>
      <c r="F379" s="10"/>
      <c r="G379" s="10"/>
      <c r="H379" s="17"/>
      <c r="I379" s="10"/>
      <c r="J379" s="10"/>
      <c r="K379" s="16" t="str">
        <f t="shared" si="114"/>
        <v/>
      </c>
      <c r="L379" s="23" t="str">
        <f t="shared" si="115"/>
        <v/>
      </c>
      <c r="M379" s="22" t="str">
        <f t="shared" si="116"/>
        <v/>
      </c>
      <c r="N379" s="72"/>
      <c r="O379" s="16" t="str">
        <f t="shared" si="117"/>
        <v/>
      </c>
      <c r="P379" s="16" t="str">
        <f t="shared" si="118"/>
        <v/>
      </c>
      <c r="Q379" s="16" t="str">
        <f t="shared" si="119"/>
        <v/>
      </c>
      <c r="R379" s="23" t="str">
        <f t="shared" si="120"/>
        <v/>
      </c>
      <c r="S379" s="23" t="str">
        <f t="shared" si="121"/>
        <v/>
      </c>
      <c r="T379" s="23" t="str">
        <f t="shared" si="122"/>
        <v/>
      </c>
      <c r="U379" s="23" t="str">
        <f t="shared" si="123"/>
        <v/>
      </c>
      <c r="V379" s="23" t="str">
        <f t="shared" si="124"/>
        <v/>
      </c>
      <c r="W379" s="70" t="str">
        <f t="shared" si="125"/>
        <v/>
      </c>
      <c r="X379" s="70" t="str">
        <f t="shared" si="126"/>
        <v/>
      </c>
      <c r="Y379" s="70" t="str">
        <f>IF(AND($A379&lt;&gt;"",$E379&gt;0),isLaptopBag($C379,$J379)*$D379,"")</f>
        <v/>
      </c>
      <c r="Z379" s="70" t="str">
        <f t="shared" si="127"/>
        <v/>
      </c>
      <c r="AA379" s="70" t="str">
        <f t="shared" si="128"/>
        <v/>
      </c>
      <c r="AB379" s="70" t="str">
        <f t="shared" si="129"/>
        <v/>
      </c>
      <c r="AC379" s="70" t="str">
        <f t="shared" si="130"/>
        <v/>
      </c>
      <c r="AD379" s="70" t="str">
        <f t="shared" si="131"/>
        <v/>
      </c>
      <c r="AE379" s="70" t="str">
        <f t="shared" si="132"/>
        <v/>
      </c>
      <c r="AF379" s="16"/>
      <c r="AG379" s="23"/>
      <c r="AH379" s="22"/>
      <c r="AJ379" s="83">
        <f t="shared" si="133"/>
        <v>0</v>
      </c>
      <c r="AO379" s="22" t="str">
        <f t="shared" si="134"/>
        <v/>
      </c>
      <c r="AP379" s="22" t="str">
        <f t="shared" si="135"/>
        <v/>
      </c>
    </row>
    <row r="380" spans="1:42" x14ac:dyDescent="0.25">
      <c r="A380" s="10"/>
      <c r="B380" s="10"/>
      <c r="C380" s="10"/>
      <c r="D380" s="10"/>
      <c r="E380" s="10"/>
      <c r="F380" s="10"/>
      <c r="G380" s="10"/>
      <c r="H380" s="17"/>
      <c r="I380" s="10"/>
      <c r="J380" s="10"/>
      <c r="K380" s="16" t="str">
        <f t="shared" si="114"/>
        <v/>
      </c>
      <c r="L380" s="23" t="str">
        <f t="shared" si="115"/>
        <v/>
      </c>
      <c r="M380" s="22" t="str">
        <f t="shared" si="116"/>
        <v/>
      </c>
      <c r="N380" s="72"/>
      <c r="O380" s="16" t="str">
        <f t="shared" si="117"/>
        <v/>
      </c>
      <c r="P380" s="16" t="str">
        <f t="shared" si="118"/>
        <v/>
      </c>
      <c r="Q380" s="16" t="str">
        <f t="shared" si="119"/>
        <v/>
      </c>
      <c r="R380" s="23" t="str">
        <f t="shared" si="120"/>
        <v/>
      </c>
      <c r="S380" s="23" t="str">
        <f t="shared" si="121"/>
        <v/>
      </c>
      <c r="T380" s="23" t="str">
        <f t="shared" si="122"/>
        <v/>
      </c>
      <c r="U380" s="23" t="str">
        <f t="shared" si="123"/>
        <v/>
      </c>
      <c r="V380" s="23" t="str">
        <f t="shared" si="124"/>
        <v/>
      </c>
      <c r="W380" s="70" t="str">
        <f t="shared" si="125"/>
        <v/>
      </c>
      <c r="X380" s="70" t="str">
        <f t="shared" si="126"/>
        <v/>
      </c>
      <c r="Y380" s="70" t="str">
        <f>IF(AND($A380&lt;&gt;"",$E380&gt;0),isLaptopBag($C380,$J380)*$D380,"")</f>
        <v/>
      </c>
      <c r="Z380" s="70" t="str">
        <f t="shared" si="127"/>
        <v/>
      </c>
      <c r="AA380" s="70" t="str">
        <f t="shared" si="128"/>
        <v/>
      </c>
      <c r="AB380" s="70" t="str">
        <f t="shared" si="129"/>
        <v/>
      </c>
      <c r="AC380" s="70" t="str">
        <f t="shared" si="130"/>
        <v/>
      </c>
      <c r="AD380" s="70" t="str">
        <f t="shared" si="131"/>
        <v/>
      </c>
      <c r="AE380" s="70" t="str">
        <f t="shared" si="132"/>
        <v/>
      </c>
      <c r="AF380" s="16"/>
      <c r="AG380" s="23"/>
      <c r="AH380" s="22"/>
      <c r="AJ380" s="83">
        <f t="shared" si="133"/>
        <v>0</v>
      </c>
      <c r="AO380" s="22" t="str">
        <f t="shared" si="134"/>
        <v/>
      </c>
      <c r="AP380" s="22" t="str">
        <f t="shared" si="135"/>
        <v/>
      </c>
    </row>
    <row r="381" spans="1:42" x14ac:dyDescent="0.25">
      <c r="A381" s="10"/>
      <c r="B381" s="10"/>
      <c r="C381" s="10"/>
      <c r="D381" s="10"/>
      <c r="E381" s="10"/>
      <c r="F381" s="10"/>
      <c r="G381" s="10"/>
      <c r="H381" s="17"/>
      <c r="I381" s="10"/>
      <c r="J381" s="10"/>
      <c r="K381" s="16" t="str">
        <f t="shared" si="114"/>
        <v/>
      </c>
      <c r="L381" s="23" t="str">
        <f t="shared" si="115"/>
        <v/>
      </c>
      <c r="M381" s="22" t="str">
        <f t="shared" si="116"/>
        <v/>
      </c>
      <c r="N381" s="72"/>
      <c r="O381" s="16" t="str">
        <f t="shared" si="117"/>
        <v/>
      </c>
      <c r="P381" s="16" t="str">
        <f t="shared" si="118"/>
        <v/>
      </c>
      <c r="Q381" s="16" t="str">
        <f t="shared" si="119"/>
        <v/>
      </c>
      <c r="R381" s="23" t="str">
        <f t="shared" si="120"/>
        <v/>
      </c>
      <c r="S381" s="23" t="str">
        <f t="shared" si="121"/>
        <v/>
      </c>
      <c r="T381" s="23" t="str">
        <f t="shared" si="122"/>
        <v/>
      </c>
      <c r="U381" s="23" t="str">
        <f t="shared" si="123"/>
        <v/>
      </c>
      <c r="V381" s="23" t="str">
        <f t="shared" si="124"/>
        <v/>
      </c>
      <c r="W381" s="70" t="str">
        <f t="shared" si="125"/>
        <v/>
      </c>
      <c r="X381" s="70" t="str">
        <f t="shared" si="126"/>
        <v/>
      </c>
      <c r="Y381" s="70" t="str">
        <f>IF(AND($A381&lt;&gt;"",$E381&gt;0),isLaptopBag($C381,$J381)*$D381,"")</f>
        <v/>
      </c>
      <c r="Z381" s="70" t="str">
        <f t="shared" si="127"/>
        <v/>
      </c>
      <c r="AA381" s="70" t="str">
        <f t="shared" si="128"/>
        <v/>
      </c>
      <c r="AB381" s="70" t="str">
        <f t="shared" si="129"/>
        <v/>
      </c>
      <c r="AC381" s="70" t="str">
        <f t="shared" si="130"/>
        <v/>
      </c>
      <c r="AD381" s="70" t="str">
        <f t="shared" si="131"/>
        <v/>
      </c>
      <c r="AE381" s="70" t="str">
        <f t="shared" si="132"/>
        <v/>
      </c>
      <c r="AF381" s="16"/>
      <c r="AG381" s="23"/>
      <c r="AH381" s="22"/>
      <c r="AJ381" s="83">
        <f t="shared" si="133"/>
        <v>0</v>
      </c>
      <c r="AO381" s="22" t="str">
        <f t="shared" si="134"/>
        <v/>
      </c>
      <c r="AP381" s="22" t="str">
        <f t="shared" si="135"/>
        <v/>
      </c>
    </row>
    <row r="382" spans="1:42" x14ac:dyDescent="0.25">
      <c r="A382" s="10"/>
      <c r="B382" s="10"/>
      <c r="C382" s="10"/>
      <c r="D382" s="10"/>
      <c r="E382" s="10"/>
      <c r="F382" s="10"/>
      <c r="G382" s="10"/>
      <c r="H382" s="17"/>
      <c r="I382" s="10"/>
      <c r="J382" s="10"/>
      <c r="K382" s="16" t="str">
        <f t="shared" si="114"/>
        <v/>
      </c>
      <c r="L382" s="23" t="str">
        <f t="shared" si="115"/>
        <v/>
      </c>
      <c r="M382" s="22" t="str">
        <f t="shared" si="116"/>
        <v/>
      </c>
      <c r="N382" s="72"/>
      <c r="O382" s="16" t="str">
        <f t="shared" si="117"/>
        <v/>
      </c>
      <c r="P382" s="16" t="str">
        <f t="shared" si="118"/>
        <v/>
      </c>
      <c r="Q382" s="16" t="str">
        <f t="shared" si="119"/>
        <v/>
      </c>
      <c r="R382" s="23" t="str">
        <f t="shared" si="120"/>
        <v/>
      </c>
      <c r="S382" s="23" t="str">
        <f t="shared" si="121"/>
        <v/>
      </c>
      <c r="T382" s="23" t="str">
        <f t="shared" si="122"/>
        <v/>
      </c>
      <c r="U382" s="23" t="str">
        <f t="shared" si="123"/>
        <v/>
      </c>
      <c r="V382" s="23" t="str">
        <f t="shared" si="124"/>
        <v/>
      </c>
      <c r="W382" s="70" t="str">
        <f t="shared" si="125"/>
        <v/>
      </c>
      <c r="X382" s="70" t="str">
        <f t="shared" si="126"/>
        <v/>
      </c>
      <c r="Y382" s="70" t="str">
        <f>IF(AND($A382&lt;&gt;"",$E382&gt;0),isLaptopBag($C382,$J382)*$D382,"")</f>
        <v/>
      </c>
      <c r="Z382" s="70" t="str">
        <f t="shared" si="127"/>
        <v/>
      </c>
      <c r="AA382" s="70" t="str">
        <f t="shared" si="128"/>
        <v/>
      </c>
      <c r="AB382" s="70" t="str">
        <f t="shared" si="129"/>
        <v/>
      </c>
      <c r="AC382" s="70" t="str">
        <f t="shared" si="130"/>
        <v/>
      </c>
      <c r="AD382" s="70" t="str">
        <f t="shared" si="131"/>
        <v/>
      </c>
      <c r="AE382" s="70" t="str">
        <f t="shared" si="132"/>
        <v/>
      </c>
      <c r="AF382" s="16"/>
      <c r="AG382" s="23"/>
      <c r="AH382" s="22"/>
      <c r="AJ382" s="83">
        <f t="shared" si="133"/>
        <v>0</v>
      </c>
      <c r="AO382" s="22" t="str">
        <f t="shared" si="134"/>
        <v/>
      </c>
      <c r="AP382" s="22" t="str">
        <f t="shared" si="135"/>
        <v/>
      </c>
    </row>
    <row r="383" spans="1:42" x14ac:dyDescent="0.25">
      <c r="A383" s="10"/>
      <c r="B383" s="10"/>
      <c r="C383" s="10"/>
      <c r="D383" s="10"/>
      <c r="E383" s="10"/>
      <c r="F383" s="10"/>
      <c r="G383" s="10"/>
      <c r="H383" s="17"/>
      <c r="I383" s="10"/>
      <c r="J383" s="10"/>
      <c r="K383" s="16" t="str">
        <f t="shared" si="114"/>
        <v/>
      </c>
      <c r="L383" s="23" t="str">
        <f t="shared" si="115"/>
        <v/>
      </c>
      <c r="M383" s="22" t="str">
        <f t="shared" si="116"/>
        <v/>
      </c>
      <c r="N383" s="72"/>
      <c r="O383" s="16" t="str">
        <f t="shared" si="117"/>
        <v/>
      </c>
      <c r="P383" s="16" t="str">
        <f t="shared" si="118"/>
        <v/>
      </c>
      <c r="Q383" s="16" t="str">
        <f t="shared" si="119"/>
        <v/>
      </c>
      <c r="R383" s="23" t="str">
        <f t="shared" si="120"/>
        <v/>
      </c>
      <c r="S383" s="23" t="str">
        <f t="shared" si="121"/>
        <v/>
      </c>
      <c r="T383" s="23" t="str">
        <f t="shared" si="122"/>
        <v/>
      </c>
      <c r="U383" s="23" t="str">
        <f t="shared" si="123"/>
        <v/>
      </c>
      <c r="V383" s="23" t="str">
        <f t="shared" si="124"/>
        <v/>
      </c>
      <c r="W383" s="70" t="str">
        <f t="shared" si="125"/>
        <v/>
      </c>
      <c r="X383" s="70" t="str">
        <f t="shared" si="126"/>
        <v/>
      </c>
      <c r="Y383" s="70" t="str">
        <f>IF(AND($A383&lt;&gt;"",$E383&gt;0),isLaptopBag($C383,$J383)*$D383,"")</f>
        <v/>
      </c>
      <c r="Z383" s="70" t="str">
        <f t="shared" si="127"/>
        <v/>
      </c>
      <c r="AA383" s="70" t="str">
        <f t="shared" si="128"/>
        <v/>
      </c>
      <c r="AB383" s="70" t="str">
        <f t="shared" si="129"/>
        <v/>
      </c>
      <c r="AC383" s="70" t="str">
        <f t="shared" si="130"/>
        <v/>
      </c>
      <c r="AD383" s="70" t="str">
        <f t="shared" si="131"/>
        <v/>
      </c>
      <c r="AE383" s="70" t="str">
        <f t="shared" si="132"/>
        <v/>
      </c>
      <c r="AF383" s="16"/>
      <c r="AG383" s="23"/>
      <c r="AH383" s="22"/>
      <c r="AJ383" s="83">
        <f t="shared" si="133"/>
        <v>0</v>
      </c>
      <c r="AO383" s="22" t="str">
        <f t="shared" si="134"/>
        <v/>
      </c>
      <c r="AP383" s="22" t="str">
        <f t="shared" si="135"/>
        <v/>
      </c>
    </row>
    <row r="384" spans="1:42" x14ac:dyDescent="0.25">
      <c r="A384" s="10"/>
      <c r="B384" s="10"/>
      <c r="C384" s="10"/>
      <c r="D384" s="10"/>
      <c r="E384" s="10"/>
      <c r="F384" s="10"/>
      <c r="G384" s="10"/>
      <c r="H384" s="17"/>
      <c r="I384" s="10"/>
      <c r="J384" s="10"/>
      <c r="K384" s="16" t="str">
        <f t="shared" si="114"/>
        <v/>
      </c>
      <c r="L384" s="23" t="str">
        <f t="shared" si="115"/>
        <v/>
      </c>
      <c r="M384" s="22" t="str">
        <f t="shared" si="116"/>
        <v/>
      </c>
      <c r="N384" s="72"/>
      <c r="O384" s="16" t="str">
        <f t="shared" si="117"/>
        <v/>
      </c>
      <c r="P384" s="16" t="str">
        <f t="shared" si="118"/>
        <v/>
      </c>
      <c r="Q384" s="16" t="str">
        <f t="shared" si="119"/>
        <v/>
      </c>
      <c r="R384" s="23" t="str">
        <f t="shared" si="120"/>
        <v/>
      </c>
      <c r="S384" s="23" t="str">
        <f t="shared" si="121"/>
        <v/>
      </c>
      <c r="T384" s="23" t="str">
        <f t="shared" si="122"/>
        <v/>
      </c>
      <c r="U384" s="23" t="str">
        <f t="shared" si="123"/>
        <v/>
      </c>
      <c r="V384" s="23" t="str">
        <f t="shared" si="124"/>
        <v/>
      </c>
      <c r="W384" s="70" t="str">
        <f t="shared" si="125"/>
        <v/>
      </c>
      <c r="X384" s="70" t="str">
        <f t="shared" si="126"/>
        <v/>
      </c>
      <c r="Y384" s="70" t="str">
        <f>IF(AND($A384&lt;&gt;"",$E384&gt;0),isLaptopBag($C384,$J384)*$D384,"")</f>
        <v/>
      </c>
      <c r="Z384" s="70" t="str">
        <f t="shared" si="127"/>
        <v/>
      </c>
      <c r="AA384" s="70" t="str">
        <f t="shared" si="128"/>
        <v/>
      </c>
      <c r="AB384" s="70" t="str">
        <f t="shared" si="129"/>
        <v/>
      </c>
      <c r="AC384" s="70" t="str">
        <f t="shared" si="130"/>
        <v/>
      </c>
      <c r="AD384" s="70" t="str">
        <f t="shared" si="131"/>
        <v/>
      </c>
      <c r="AE384" s="70" t="str">
        <f t="shared" si="132"/>
        <v/>
      </c>
      <c r="AF384" s="16"/>
      <c r="AG384" s="23"/>
      <c r="AH384" s="22"/>
      <c r="AJ384" s="83">
        <f t="shared" si="133"/>
        <v>0</v>
      </c>
      <c r="AO384" s="22" t="str">
        <f t="shared" si="134"/>
        <v/>
      </c>
      <c r="AP384" s="22" t="str">
        <f t="shared" si="135"/>
        <v/>
      </c>
    </row>
    <row r="385" spans="1:42" x14ac:dyDescent="0.25">
      <c r="A385" s="10"/>
      <c r="B385" s="10"/>
      <c r="C385" s="10"/>
      <c r="D385" s="10"/>
      <c r="E385" s="10"/>
      <c r="F385" s="10"/>
      <c r="G385" s="10"/>
      <c r="H385" s="17"/>
      <c r="I385" s="10"/>
      <c r="J385" s="10"/>
      <c r="K385" s="16" t="str">
        <f t="shared" si="114"/>
        <v/>
      </c>
      <c r="L385" s="23" t="str">
        <f t="shared" si="115"/>
        <v/>
      </c>
      <c r="M385" s="22" t="str">
        <f t="shared" si="116"/>
        <v/>
      </c>
      <c r="N385" s="72"/>
      <c r="O385" s="16" t="str">
        <f t="shared" si="117"/>
        <v/>
      </c>
      <c r="P385" s="16" t="str">
        <f t="shared" si="118"/>
        <v/>
      </c>
      <c r="Q385" s="16" t="str">
        <f t="shared" si="119"/>
        <v/>
      </c>
      <c r="R385" s="23" t="str">
        <f t="shared" si="120"/>
        <v/>
      </c>
      <c r="S385" s="23" t="str">
        <f t="shared" si="121"/>
        <v/>
      </c>
      <c r="T385" s="23" t="str">
        <f t="shared" si="122"/>
        <v/>
      </c>
      <c r="U385" s="23" t="str">
        <f t="shared" si="123"/>
        <v/>
      </c>
      <c r="V385" s="23" t="str">
        <f t="shared" si="124"/>
        <v/>
      </c>
      <c r="W385" s="70" t="str">
        <f t="shared" si="125"/>
        <v/>
      </c>
      <c r="X385" s="70" t="str">
        <f t="shared" si="126"/>
        <v/>
      </c>
      <c r="Y385" s="70" t="str">
        <f>IF(AND($A385&lt;&gt;"",$E385&gt;0),isLaptopBag($C385,$J385)*$D385,"")</f>
        <v/>
      </c>
      <c r="Z385" s="70" t="str">
        <f t="shared" si="127"/>
        <v/>
      </c>
      <c r="AA385" s="70" t="str">
        <f t="shared" si="128"/>
        <v/>
      </c>
      <c r="AB385" s="70" t="str">
        <f t="shared" si="129"/>
        <v/>
      </c>
      <c r="AC385" s="70" t="str">
        <f t="shared" si="130"/>
        <v/>
      </c>
      <c r="AD385" s="70" t="str">
        <f t="shared" si="131"/>
        <v/>
      </c>
      <c r="AE385" s="70" t="str">
        <f t="shared" si="132"/>
        <v/>
      </c>
      <c r="AF385" s="16"/>
      <c r="AG385" s="23"/>
      <c r="AH385" s="22"/>
      <c r="AJ385" s="83">
        <f t="shared" si="133"/>
        <v>0</v>
      </c>
      <c r="AO385" s="22" t="str">
        <f t="shared" si="134"/>
        <v/>
      </c>
      <c r="AP385" s="22" t="str">
        <f t="shared" si="135"/>
        <v/>
      </c>
    </row>
    <row r="386" spans="1:42" x14ac:dyDescent="0.25">
      <c r="A386" s="10"/>
      <c r="B386" s="10"/>
      <c r="C386" s="10"/>
      <c r="D386" s="10"/>
      <c r="E386" s="10"/>
      <c r="F386" s="10"/>
      <c r="G386" s="10"/>
      <c r="H386" s="17"/>
      <c r="I386" s="10"/>
      <c r="J386" s="10"/>
      <c r="K386" s="16" t="str">
        <f t="shared" si="114"/>
        <v/>
      </c>
      <c r="L386" s="23" t="str">
        <f t="shared" si="115"/>
        <v/>
      </c>
      <c r="M386" s="22" t="str">
        <f t="shared" si="116"/>
        <v/>
      </c>
      <c r="N386" s="72"/>
      <c r="O386" s="16" t="str">
        <f t="shared" si="117"/>
        <v/>
      </c>
      <c r="P386" s="16" t="str">
        <f t="shared" si="118"/>
        <v/>
      </c>
      <c r="Q386" s="16" t="str">
        <f t="shared" si="119"/>
        <v/>
      </c>
      <c r="R386" s="23" t="str">
        <f t="shared" si="120"/>
        <v/>
      </c>
      <c r="S386" s="23" t="str">
        <f t="shared" si="121"/>
        <v/>
      </c>
      <c r="T386" s="23" t="str">
        <f t="shared" si="122"/>
        <v/>
      </c>
      <c r="U386" s="23" t="str">
        <f t="shared" si="123"/>
        <v/>
      </c>
      <c r="V386" s="23" t="str">
        <f t="shared" si="124"/>
        <v/>
      </c>
      <c r="W386" s="70" t="str">
        <f t="shared" si="125"/>
        <v/>
      </c>
      <c r="X386" s="70" t="str">
        <f t="shared" si="126"/>
        <v/>
      </c>
      <c r="Y386" s="70" t="str">
        <f>IF(AND($A386&lt;&gt;"",$E386&gt;0),isLaptopBag($C386,$J386)*$D386,"")</f>
        <v/>
      </c>
      <c r="Z386" s="70" t="str">
        <f t="shared" si="127"/>
        <v/>
      </c>
      <c r="AA386" s="70" t="str">
        <f t="shared" si="128"/>
        <v/>
      </c>
      <c r="AB386" s="70" t="str">
        <f t="shared" si="129"/>
        <v/>
      </c>
      <c r="AC386" s="70" t="str">
        <f t="shared" si="130"/>
        <v/>
      </c>
      <c r="AD386" s="70" t="str">
        <f t="shared" si="131"/>
        <v/>
      </c>
      <c r="AE386" s="70" t="str">
        <f t="shared" si="132"/>
        <v/>
      </c>
      <c r="AF386" s="16"/>
      <c r="AG386" s="23"/>
      <c r="AH386" s="22"/>
      <c r="AJ386" s="83">
        <f t="shared" si="133"/>
        <v>0</v>
      </c>
      <c r="AO386" s="22" t="str">
        <f t="shared" si="134"/>
        <v/>
      </c>
      <c r="AP386" s="22" t="str">
        <f t="shared" si="135"/>
        <v/>
      </c>
    </row>
    <row r="387" spans="1:42" x14ac:dyDescent="0.25">
      <c r="A387" s="10"/>
      <c r="B387" s="10"/>
      <c r="C387" s="10"/>
      <c r="D387" s="10"/>
      <c r="E387" s="10"/>
      <c r="F387" s="10"/>
      <c r="G387" s="10"/>
      <c r="H387" s="17"/>
      <c r="I387" s="10"/>
      <c r="J387" s="10"/>
      <c r="K387" s="16" t="str">
        <f t="shared" si="114"/>
        <v/>
      </c>
      <c r="L387" s="23" t="str">
        <f t="shared" si="115"/>
        <v/>
      </c>
      <c r="M387" s="22" t="str">
        <f t="shared" si="116"/>
        <v/>
      </c>
      <c r="N387" s="72"/>
      <c r="O387" s="16" t="str">
        <f t="shared" si="117"/>
        <v/>
      </c>
      <c r="P387" s="16" t="str">
        <f t="shared" si="118"/>
        <v/>
      </c>
      <c r="Q387" s="16" t="str">
        <f t="shared" si="119"/>
        <v/>
      </c>
      <c r="R387" s="23" t="str">
        <f t="shared" si="120"/>
        <v/>
      </c>
      <c r="S387" s="23" t="str">
        <f t="shared" si="121"/>
        <v/>
      </c>
      <c r="T387" s="23" t="str">
        <f t="shared" si="122"/>
        <v/>
      </c>
      <c r="U387" s="23" t="str">
        <f t="shared" si="123"/>
        <v/>
      </c>
      <c r="V387" s="23" t="str">
        <f t="shared" si="124"/>
        <v/>
      </c>
      <c r="W387" s="70" t="str">
        <f t="shared" si="125"/>
        <v/>
      </c>
      <c r="X387" s="70" t="str">
        <f t="shared" si="126"/>
        <v/>
      </c>
      <c r="Y387" s="70" t="str">
        <f>IF(AND($A387&lt;&gt;"",$E387&gt;0),isLaptopBag($C387,$J387)*$D387,"")</f>
        <v/>
      </c>
      <c r="Z387" s="70" t="str">
        <f t="shared" si="127"/>
        <v/>
      </c>
      <c r="AA387" s="70" t="str">
        <f t="shared" si="128"/>
        <v/>
      </c>
      <c r="AB387" s="70" t="str">
        <f t="shared" si="129"/>
        <v/>
      </c>
      <c r="AC387" s="70" t="str">
        <f t="shared" si="130"/>
        <v/>
      </c>
      <c r="AD387" s="70" t="str">
        <f t="shared" si="131"/>
        <v/>
      </c>
      <c r="AE387" s="70" t="str">
        <f t="shared" si="132"/>
        <v/>
      </c>
      <c r="AF387" s="16"/>
      <c r="AG387" s="23"/>
      <c r="AH387" s="22"/>
      <c r="AJ387" s="83">
        <f t="shared" si="133"/>
        <v>0</v>
      </c>
      <c r="AO387" s="22" t="str">
        <f t="shared" si="134"/>
        <v/>
      </c>
      <c r="AP387" s="22" t="str">
        <f t="shared" si="135"/>
        <v/>
      </c>
    </row>
    <row r="388" spans="1:42" x14ac:dyDescent="0.25">
      <c r="A388" s="10"/>
      <c r="B388" s="10"/>
      <c r="C388" s="10"/>
      <c r="D388" s="10"/>
      <c r="E388" s="10"/>
      <c r="F388" s="10"/>
      <c r="G388" s="10"/>
      <c r="H388" s="17"/>
      <c r="I388" s="10"/>
      <c r="J388" s="10"/>
      <c r="K388" s="16" t="str">
        <f t="shared" si="114"/>
        <v/>
      </c>
      <c r="L388" s="23" t="str">
        <f t="shared" si="115"/>
        <v/>
      </c>
      <c r="M388" s="22" t="str">
        <f t="shared" si="116"/>
        <v/>
      </c>
      <c r="N388" s="72"/>
      <c r="O388" s="16" t="str">
        <f t="shared" si="117"/>
        <v/>
      </c>
      <c r="P388" s="16" t="str">
        <f t="shared" si="118"/>
        <v/>
      </c>
      <c r="Q388" s="16" t="str">
        <f t="shared" si="119"/>
        <v/>
      </c>
      <c r="R388" s="23" t="str">
        <f t="shared" si="120"/>
        <v/>
      </c>
      <c r="S388" s="23" t="str">
        <f t="shared" si="121"/>
        <v/>
      </c>
      <c r="T388" s="23" t="str">
        <f t="shared" si="122"/>
        <v/>
      </c>
      <c r="U388" s="23" t="str">
        <f t="shared" si="123"/>
        <v/>
      </c>
      <c r="V388" s="23" t="str">
        <f t="shared" si="124"/>
        <v/>
      </c>
      <c r="W388" s="70" t="str">
        <f t="shared" si="125"/>
        <v/>
      </c>
      <c r="X388" s="70" t="str">
        <f t="shared" si="126"/>
        <v/>
      </c>
      <c r="Y388" s="70" t="str">
        <f>IF(AND($A388&lt;&gt;"",$E388&gt;0),isLaptopBag($C388,$J388)*$D388,"")</f>
        <v/>
      </c>
      <c r="Z388" s="70" t="str">
        <f t="shared" si="127"/>
        <v/>
      </c>
      <c r="AA388" s="70" t="str">
        <f t="shared" si="128"/>
        <v/>
      </c>
      <c r="AB388" s="70" t="str">
        <f t="shared" si="129"/>
        <v/>
      </c>
      <c r="AC388" s="70" t="str">
        <f t="shared" si="130"/>
        <v/>
      </c>
      <c r="AD388" s="70" t="str">
        <f t="shared" si="131"/>
        <v/>
      </c>
      <c r="AE388" s="70" t="str">
        <f t="shared" si="132"/>
        <v/>
      </c>
      <c r="AF388" s="16"/>
      <c r="AG388" s="23"/>
      <c r="AH388" s="22"/>
      <c r="AJ388" s="83">
        <f t="shared" si="133"/>
        <v>0</v>
      </c>
      <c r="AO388" s="22" t="str">
        <f t="shared" si="134"/>
        <v/>
      </c>
      <c r="AP388" s="22" t="str">
        <f t="shared" si="135"/>
        <v/>
      </c>
    </row>
    <row r="389" spans="1:42" x14ac:dyDescent="0.25">
      <c r="A389" s="10"/>
      <c r="B389" s="10"/>
      <c r="C389" s="10"/>
      <c r="D389" s="10"/>
      <c r="E389" s="10"/>
      <c r="F389" s="10"/>
      <c r="G389" s="10"/>
      <c r="H389" s="17"/>
      <c r="I389" s="10"/>
      <c r="J389" s="10"/>
      <c r="K389" s="16" t="str">
        <f t="shared" si="114"/>
        <v/>
      </c>
      <c r="L389" s="23" t="str">
        <f t="shared" si="115"/>
        <v/>
      </c>
      <c r="M389" s="22" t="str">
        <f t="shared" si="116"/>
        <v/>
      </c>
      <c r="N389" s="72"/>
      <c r="O389" s="16" t="str">
        <f t="shared" si="117"/>
        <v/>
      </c>
      <c r="P389" s="16" t="str">
        <f t="shared" si="118"/>
        <v/>
      </c>
      <c r="Q389" s="16" t="str">
        <f t="shared" si="119"/>
        <v/>
      </c>
      <c r="R389" s="23" t="str">
        <f t="shared" si="120"/>
        <v/>
      </c>
      <c r="S389" s="23" t="str">
        <f t="shared" si="121"/>
        <v/>
      </c>
      <c r="T389" s="23" t="str">
        <f t="shared" si="122"/>
        <v/>
      </c>
      <c r="U389" s="23" t="str">
        <f t="shared" si="123"/>
        <v/>
      </c>
      <c r="V389" s="23" t="str">
        <f t="shared" si="124"/>
        <v/>
      </c>
      <c r="W389" s="70" t="str">
        <f t="shared" si="125"/>
        <v/>
      </c>
      <c r="X389" s="70" t="str">
        <f t="shared" si="126"/>
        <v/>
      </c>
      <c r="Y389" s="70" t="str">
        <f>IF(AND($A389&lt;&gt;"",$E389&gt;0),isLaptopBag($C389,$J389)*$D389,"")</f>
        <v/>
      </c>
      <c r="Z389" s="70" t="str">
        <f t="shared" si="127"/>
        <v/>
      </c>
      <c r="AA389" s="70" t="str">
        <f t="shared" si="128"/>
        <v/>
      </c>
      <c r="AB389" s="70" t="str">
        <f t="shared" si="129"/>
        <v/>
      </c>
      <c r="AC389" s="70" t="str">
        <f t="shared" si="130"/>
        <v/>
      </c>
      <c r="AD389" s="70" t="str">
        <f t="shared" si="131"/>
        <v/>
      </c>
      <c r="AE389" s="70" t="str">
        <f t="shared" si="132"/>
        <v/>
      </c>
      <c r="AF389" s="16"/>
      <c r="AG389" s="23"/>
      <c r="AH389" s="22"/>
      <c r="AJ389" s="83">
        <f t="shared" si="133"/>
        <v>0</v>
      </c>
      <c r="AO389" s="22" t="str">
        <f t="shared" si="134"/>
        <v/>
      </c>
      <c r="AP389" s="22" t="str">
        <f t="shared" si="135"/>
        <v/>
      </c>
    </row>
    <row r="390" spans="1:42" x14ac:dyDescent="0.25">
      <c r="A390" s="10"/>
      <c r="B390" s="10"/>
      <c r="C390" s="10"/>
      <c r="D390" s="10"/>
      <c r="E390" s="10"/>
      <c r="F390" s="10"/>
      <c r="G390" s="10"/>
      <c r="H390" s="17"/>
      <c r="I390" s="10"/>
      <c r="J390" s="10"/>
      <c r="K390" s="16" t="str">
        <f t="shared" si="114"/>
        <v/>
      </c>
      <c r="L390" s="23" t="str">
        <f t="shared" si="115"/>
        <v/>
      </c>
      <c r="M390" s="22" t="str">
        <f t="shared" si="116"/>
        <v/>
      </c>
      <c r="N390" s="72"/>
      <c r="O390" s="16" t="str">
        <f t="shared" si="117"/>
        <v/>
      </c>
      <c r="P390" s="16" t="str">
        <f t="shared" si="118"/>
        <v/>
      </c>
      <c r="Q390" s="16" t="str">
        <f t="shared" si="119"/>
        <v/>
      </c>
      <c r="R390" s="23" t="str">
        <f t="shared" si="120"/>
        <v/>
      </c>
      <c r="S390" s="23" t="str">
        <f t="shared" si="121"/>
        <v/>
      </c>
      <c r="T390" s="23" t="str">
        <f t="shared" si="122"/>
        <v/>
      </c>
      <c r="U390" s="23" t="str">
        <f t="shared" si="123"/>
        <v/>
      </c>
      <c r="V390" s="23" t="str">
        <f t="shared" si="124"/>
        <v/>
      </c>
      <c r="W390" s="70" t="str">
        <f t="shared" si="125"/>
        <v/>
      </c>
      <c r="X390" s="70" t="str">
        <f t="shared" si="126"/>
        <v/>
      </c>
      <c r="Y390" s="70" t="str">
        <f>IF(AND($A390&lt;&gt;"",$E390&gt;0),isLaptopBag($C390,$J390)*$D390,"")</f>
        <v/>
      </c>
      <c r="Z390" s="70" t="str">
        <f t="shared" si="127"/>
        <v/>
      </c>
      <c r="AA390" s="70" t="str">
        <f t="shared" si="128"/>
        <v/>
      </c>
      <c r="AB390" s="70" t="str">
        <f t="shared" si="129"/>
        <v/>
      </c>
      <c r="AC390" s="70" t="str">
        <f t="shared" si="130"/>
        <v/>
      </c>
      <c r="AD390" s="70" t="str">
        <f t="shared" si="131"/>
        <v/>
      </c>
      <c r="AE390" s="70" t="str">
        <f t="shared" si="132"/>
        <v/>
      </c>
      <c r="AF390" s="16"/>
      <c r="AG390" s="23"/>
      <c r="AH390" s="22"/>
      <c r="AJ390" s="83">
        <f t="shared" si="133"/>
        <v>0</v>
      </c>
      <c r="AO390" s="22" t="str">
        <f t="shared" si="134"/>
        <v/>
      </c>
      <c r="AP390" s="22" t="str">
        <f t="shared" si="135"/>
        <v/>
      </c>
    </row>
    <row r="391" spans="1:42" x14ac:dyDescent="0.25">
      <c r="A391" s="10"/>
      <c r="B391" s="10"/>
      <c r="C391" s="10"/>
      <c r="D391" s="10"/>
      <c r="E391" s="10"/>
      <c r="F391" s="10"/>
      <c r="G391" s="10"/>
      <c r="H391" s="17"/>
      <c r="I391" s="10"/>
      <c r="J391" s="10"/>
      <c r="K391" s="16" t="str">
        <f t="shared" si="114"/>
        <v/>
      </c>
      <c r="L391" s="23" t="str">
        <f t="shared" si="115"/>
        <v/>
      </c>
      <c r="M391" s="22" t="str">
        <f t="shared" si="116"/>
        <v/>
      </c>
      <c r="N391" s="72"/>
      <c r="O391" s="16" t="str">
        <f t="shared" si="117"/>
        <v/>
      </c>
      <c r="P391" s="16" t="str">
        <f t="shared" si="118"/>
        <v/>
      </c>
      <c r="Q391" s="16" t="str">
        <f t="shared" si="119"/>
        <v/>
      </c>
      <c r="R391" s="23" t="str">
        <f t="shared" si="120"/>
        <v/>
      </c>
      <c r="S391" s="23" t="str">
        <f t="shared" si="121"/>
        <v/>
      </c>
      <c r="T391" s="23" t="str">
        <f t="shared" si="122"/>
        <v/>
      </c>
      <c r="U391" s="23" t="str">
        <f t="shared" si="123"/>
        <v/>
      </c>
      <c r="V391" s="23" t="str">
        <f t="shared" si="124"/>
        <v/>
      </c>
      <c r="W391" s="70" t="str">
        <f t="shared" si="125"/>
        <v/>
      </c>
      <c r="X391" s="70" t="str">
        <f t="shared" si="126"/>
        <v/>
      </c>
      <c r="Y391" s="70" t="str">
        <f>IF(AND($A391&lt;&gt;"",$E391&gt;0),isLaptopBag($C391,$J391)*$D391,"")</f>
        <v/>
      </c>
      <c r="Z391" s="70" t="str">
        <f t="shared" si="127"/>
        <v/>
      </c>
      <c r="AA391" s="70" t="str">
        <f t="shared" si="128"/>
        <v/>
      </c>
      <c r="AB391" s="70" t="str">
        <f t="shared" si="129"/>
        <v/>
      </c>
      <c r="AC391" s="70" t="str">
        <f t="shared" si="130"/>
        <v/>
      </c>
      <c r="AD391" s="70" t="str">
        <f t="shared" si="131"/>
        <v/>
      </c>
      <c r="AE391" s="70" t="str">
        <f t="shared" si="132"/>
        <v/>
      </c>
      <c r="AF391" s="16"/>
      <c r="AG391" s="23"/>
      <c r="AH391" s="22"/>
      <c r="AJ391" s="83">
        <f t="shared" si="133"/>
        <v>0</v>
      </c>
      <c r="AO391" s="22" t="str">
        <f t="shared" si="134"/>
        <v/>
      </c>
      <c r="AP391" s="22" t="str">
        <f t="shared" si="135"/>
        <v/>
      </c>
    </row>
    <row r="392" spans="1:42" x14ac:dyDescent="0.25">
      <c r="A392" s="10"/>
      <c r="B392" s="10"/>
      <c r="C392" s="10"/>
      <c r="D392" s="10"/>
      <c r="E392" s="10"/>
      <c r="F392" s="10"/>
      <c r="G392" s="10"/>
      <c r="H392" s="17"/>
      <c r="I392" s="10"/>
      <c r="J392" s="10"/>
      <c r="K392" s="16" t="str">
        <f t="shared" si="114"/>
        <v/>
      </c>
      <c r="L392" s="23" t="str">
        <f t="shared" si="115"/>
        <v/>
      </c>
      <c r="M392" s="22" t="str">
        <f t="shared" si="116"/>
        <v/>
      </c>
      <c r="N392" s="72"/>
      <c r="O392" s="16" t="str">
        <f t="shared" si="117"/>
        <v/>
      </c>
      <c r="P392" s="16" t="str">
        <f t="shared" si="118"/>
        <v/>
      </c>
      <c r="Q392" s="16" t="str">
        <f t="shared" si="119"/>
        <v/>
      </c>
      <c r="R392" s="23" t="str">
        <f t="shared" si="120"/>
        <v/>
      </c>
      <c r="S392" s="23" t="str">
        <f t="shared" si="121"/>
        <v/>
      </c>
      <c r="T392" s="23" t="str">
        <f t="shared" si="122"/>
        <v/>
      </c>
      <c r="U392" s="23" t="str">
        <f t="shared" si="123"/>
        <v/>
      </c>
      <c r="V392" s="23" t="str">
        <f t="shared" si="124"/>
        <v/>
      </c>
      <c r="W392" s="70" t="str">
        <f t="shared" si="125"/>
        <v/>
      </c>
      <c r="X392" s="70" t="str">
        <f t="shared" si="126"/>
        <v/>
      </c>
      <c r="Y392" s="70" t="str">
        <f>IF(AND($A392&lt;&gt;"",$E392&gt;0),isLaptopBag($C392,$J392)*$D392,"")</f>
        <v/>
      </c>
      <c r="Z392" s="70" t="str">
        <f t="shared" si="127"/>
        <v/>
      </c>
      <c r="AA392" s="70" t="str">
        <f t="shared" si="128"/>
        <v/>
      </c>
      <c r="AB392" s="70" t="str">
        <f t="shared" si="129"/>
        <v/>
      </c>
      <c r="AC392" s="70" t="str">
        <f t="shared" si="130"/>
        <v/>
      </c>
      <c r="AD392" s="70" t="str">
        <f t="shared" si="131"/>
        <v/>
      </c>
      <c r="AE392" s="70" t="str">
        <f t="shared" si="132"/>
        <v/>
      </c>
      <c r="AF392" s="16"/>
      <c r="AG392" s="23"/>
      <c r="AH392" s="22"/>
      <c r="AJ392" s="83">
        <f t="shared" si="133"/>
        <v>0</v>
      </c>
      <c r="AO392" s="22" t="str">
        <f t="shared" si="134"/>
        <v/>
      </c>
      <c r="AP392" s="22" t="str">
        <f t="shared" si="135"/>
        <v/>
      </c>
    </row>
    <row r="393" spans="1:42" x14ac:dyDescent="0.25">
      <c r="A393" s="10"/>
      <c r="B393" s="10"/>
      <c r="C393" s="10"/>
      <c r="D393" s="10"/>
      <c r="E393" s="10"/>
      <c r="F393" s="10"/>
      <c r="G393" s="10"/>
      <c r="H393" s="17"/>
      <c r="I393" s="10"/>
      <c r="J393" s="10"/>
      <c r="K393" s="16" t="str">
        <f t="shared" si="114"/>
        <v/>
      </c>
      <c r="L393" s="23" t="str">
        <f t="shared" si="115"/>
        <v/>
      </c>
      <c r="M393" s="22" t="str">
        <f t="shared" si="116"/>
        <v/>
      </c>
      <c r="N393" s="72"/>
      <c r="O393" s="16" t="str">
        <f t="shared" si="117"/>
        <v/>
      </c>
      <c r="P393" s="16" t="str">
        <f t="shared" si="118"/>
        <v/>
      </c>
      <c r="Q393" s="16" t="str">
        <f t="shared" si="119"/>
        <v/>
      </c>
      <c r="R393" s="23" t="str">
        <f t="shared" si="120"/>
        <v/>
      </c>
      <c r="S393" s="23" t="str">
        <f t="shared" si="121"/>
        <v/>
      </c>
      <c r="T393" s="23" t="str">
        <f t="shared" si="122"/>
        <v/>
      </c>
      <c r="U393" s="23" t="str">
        <f t="shared" si="123"/>
        <v/>
      </c>
      <c r="V393" s="23" t="str">
        <f t="shared" si="124"/>
        <v/>
      </c>
      <c r="W393" s="70" t="str">
        <f t="shared" si="125"/>
        <v/>
      </c>
      <c r="X393" s="70" t="str">
        <f t="shared" si="126"/>
        <v/>
      </c>
      <c r="Y393" s="70" t="str">
        <f>IF(AND($A393&lt;&gt;"",$E393&gt;0),isLaptopBag($C393,$J393)*$D393,"")</f>
        <v/>
      </c>
      <c r="Z393" s="70" t="str">
        <f t="shared" si="127"/>
        <v/>
      </c>
      <c r="AA393" s="70" t="str">
        <f t="shared" si="128"/>
        <v/>
      </c>
      <c r="AB393" s="70" t="str">
        <f t="shared" si="129"/>
        <v/>
      </c>
      <c r="AC393" s="70" t="str">
        <f t="shared" si="130"/>
        <v/>
      </c>
      <c r="AD393" s="70" t="str">
        <f t="shared" si="131"/>
        <v/>
      </c>
      <c r="AE393" s="70" t="str">
        <f t="shared" si="132"/>
        <v/>
      </c>
      <c r="AF393" s="16"/>
      <c r="AG393" s="23"/>
      <c r="AH393" s="22"/>
      <c r="AJ393" s="83">
        <f t="shared" si="133"/>
        <v>0</v>
      </c>
      <c r="AO393" s="22" t="str">
        <f t="shared" si="134"/>
        <v/>
      </c>
      <c r="AP393" s="22" t="str">
        <f t="shared" si="135"/>
        <v/>
      </c>
    </row>
    <row r="394" spans="1:42" x14ac:dyDescent="0.25">
      <c r="A394" s="10"/>
      <c r="B394" s="10"/>
      <c r="C394" s="10"/>
      <c r="D394" s="10"/>
      <c r="E394" s="10"/>
      <c r="F394" s="10"/>
      <c r="G394" s="10"/>
      <c r="H394" s="17"/>
      <c r="I394" s="10"/>
      <c r="J394" s="10"/>
      <c r="K394" s="16" t="str">
        <f t="shared" si="114"/>
        <v/>
      </c>
      <c r="L394" s="23" t="str">
        <f t="shared" si="115"/>
        <v/>
      </c>
      <c r="M394" s="22" t="str">
        <f t="shared" si="116"/>
        <v/>
      </c>
      <c r="N394" s="72"/>
      <c r="O394" s="16" t="str">
        <f t="shared" si="117"/>
        <v/>
      </c>
      <c r="P394" s="16" t="str">
        <f t="shared" si="118"/>
        <v/>
      </c>
      <c r="Q394" s="16" t="str">
        <f t="shared" si="119"/>
        <v/>
      </c>
      <c r="R394" s="23" t="str">
        <f t="shared" si="120"/>
        <v/>
      </c>
      <c r="S394" s="23" t="str">
        <f t="shared" si="121"/>
        <v/>
      </c>
      <c r="T394" s="23" t="str">
        <f t="shared" si="122"/>
        <v/>
      </c>
      <c r="U394" s="23" t="str">
        <f t="shared" si="123"/>
        <v/>
      </c>
      <c r="V394" s="23" t="str">
        <f t="shared" si="124"/>
        <v/>
      </c>
      <c r="W394" s="70" t="str">
        <f t="shared" si="125"/>
        <v/>
      </c>
      <c r="X394" s="70" t="str">
        <f t="shared" si="126"/>
        <v/>
      </c>
      <c r="Y394" s="70" t="str">
        <f>IF(AND($A394&lt;&gt;"",$E394&gt;0),isLaptopBag($C394,$J394)*$D394,"")</f>
        <v/>
      </c>
      <c r="Z394" s="70" t="str">
        <f t="shared" si="127"/>
        <v/>
      </c>
      <c r="AA394" s="70" t="str">
        <f t="shared" si="128"/>
        <v/>
      </c>
      <c r="AB394" s="70" t="str">
        <f t="shared" si="129"/>
        <v/>
      </c>
      <c r="AC394" s="70" t="str">
        <f t="shared" si="130"/>
        <v/>
      </c>
      <c r="AD394" s="70" t="str">
        <f t="shared" si="131"/>
        <v/>
      </c>
      <c r="AE394" s="70" t="str">
        <f t="shared" si="132"/>
        <v/>
      </c>
      <c r="AF394" s="16"/>
      <c r="AG394" s="23"/>
      <c r="AH394" s="22"/>
      <c r="AJ394" s="83">
        <f t="shared" si="133"/>
        <v>0</v>
      </c>
      <c r="AO394" s="22" t="str">
        <f t="shared" si="134"/>
        <v/>
      </c>
      <c r="AP394" s="22" t="str">
        <f t="shared" si="135"/>
        <v/>
      </c>
    </row>
    <row r="395" spans="1:42" x14ac:dyDescent="0.25">
      <c r="A395" s="10"/>
      <c r="B395" s="10"/>
      <c r="C395" s="10"/>
      <c r="D395" s="10"/>
      <c r="E395" s="10"/>
      <c r="F395" s="10"/>
      <c r="G395" s="10"/>
      <c r="H395" s="17"/>
      <c r="I395" s="10"/>
      <c r="J395" s="10"/>
      <c r="K395" s="16" t="str">
        <f t="shared" si="114"/>
        <v/>
      </c>
      <c r="L395" s="23" t="str">
        <f t="shared" si="115"/>
        <v/>
      </c>
      <c r="M395" s="22" t="str">
        <f t="shared" si="116"/>
        <v/>
      </c>
      <c r="N395" s="72"/>
      <c r="O395" s="16" t="str">
        <f t="shared" si="117"/>
        <v/>
      </c>
      <c r="P395" s="16" t="str">
        <f t="shared" si="118"/>
        <v/>
      </c>
      <c r="Q395" s="16" t="str">
        <f t="shared" si="119"/>
        <v/>
      </c>
      <c r="R395" s="23" t="str">
        <f t="shared" si="120"/>
        <v/>
      </c>
      <c r="S395" s="23" t="str">
        <f t="shared" si="121"/>
        <v/>
      </c>
      <c r="T395" s="23" t="str">
        <f t="shared" si="122"/>
        <v/>
      </c>
      <c r="U395" s="23" t="str">
        <f t="shared" si="123"/>
        <v/>
      </c>
      <c r="V395" s="23" t="str">
        <f t="shared" si="124"/>
        <v/>
      </c>
      <c r="W395" s="70" t="str">
        <f t="shared" si="125"/>
        <v/>
      </c>
      <c r="X395" s="70" t="str">
        <f t="shared" si="126"/>
        <v/>
      </c>
      <c r="Y395" s="70" t="str">
        <f>IF(AND($A395&lt;&gt;"",$E395&gt;0),isLaptopBag($C395,$J395)*$D395,"")</f>
        <v/>
      </c>
      <c r="Z395" s="70" t="str">
        <f t="shared" si="127"/>
        <v/>
      </c>
      <c r="AA395" s="70" t="str">
        <f t="shared" si="128"/>
        <v/>
      </c>
      <c r="AB395" s="70" t="str">
        <f t="shared" si="129"/>
        <v/>
      </c>
      <c r="AC395" s="70" t="str">
        <f t="shared" si="130"/>
        <v/>
      </c>
      <c r="AD395" s="70" t="str">
        <f t="shared" si="131"/>
        <v/>
      </c>
      <c r="AE395" s="70" t="str">
        <f t="shared" si="132"/>
        <v/>
      </c>
      <c r="AF395" s="16"/>
      <c r="AG395" s="23"/>
      <c r="AH395" s="22"/>
      <c r="AJ395" s="83">
        <f t="shared" si="133"/>
        <v>0</v>
      </c>
      <c r="AO395" s="22" t="str">
        <f t="shared" si="134"/>
        <v/>
      </c>
      <c r="AP395" s="22" t="str">
        <f t="shared" si="135"/>
        <v/>
      </c>
    </row>
    <row r="396" spans="1:42" x14ac:dyDescent="0.25">
      <c r="A396" s="10"/>
      <c r="B396" s="10"/>
      <c r="C396" s="10"/>
      <c r="D396" s="10"/>
      <c r="E396" s="10"/>
      <c r="F396" s="10"/>
      <c r="G396" s="10"/>
      <c r="H396" s="17"/>
      <c r="I396" s="10"/>
      <c r="J396" s="10"/>
      <c r="K396" s="16" t="str">
        <f t="shared" si="114"/>
        <v/>
      </c>
      <c r="L396" s="23" t="str">
        <f t="shared" si="115"/>
        <v/>
      </c>
      <c r="M396" s="22" t="str">
        <f t="shared" si="116"/>
        <v/>
      </c>
      <c r="N396" s="72"/>
      <c r="O396" s="16" t="str">
        <f t="shared" si="117"/>
        <v/>
      </c>
      <c r="P396" s="16" t="str">
        <f t="shared" si="118"/>
        <v/>
      </c>
      <c r="Q396" s="16" t="str">
        <f t="shared" si="119"/>
        <v/>
      </c>
      <c r="R396" s="23" t="str">
        <f t="shared" si="120"/>
        <v/>
      </c>
      <c r="S396" s="23" t="str">
        <f t="shared" si="121"/>
        <v/>
      </c>
      <c r="T396" s="23" t="str">
        <f t="shared" si="122"/>
        <v/>
      </c>
      <c r="U396" s="23" t="str">
        <f t="shared" si="123"/>
        <v/>
      </c>
      <c r="V396" s="23" t="str">
        <f t="shared" si="124"/>
        <v/>
      </c>
      <c r="W396" s="70" t="str">
        <f t="shared" si="125"/>
        <v/>
      </c>
      <c r="X396" s="70" t="str">
        <f t="shared" si="126"/>
        <v/>
      </c>
      <c r="Y396" s="70" t="str">
        <f>IF(AND($A396&lt;&gt;"",$E396&gt;0),isLaptopBag($C396,$J396)*$D396,"")</f>
        <v/>
      </c>
      <c r="Z396" s="70" t="str">
        <f t="shared" si="127"/>
        <v/>
      </c>
      <c r="AA396" s="70" t="str">
        <f t="shared" si="128"/>
        <v/>
      </c>
      <c r="AB396" s="70" t="str">
        <f t="shared" si="129"/>
        <v/>
      </c>
      <c r="AC396" s="70" t="str">
        <f t="shared" si="130"/>
        <v/>
      </c>
      <c r="AD396" s="70" t="str">
        <f t="shared" si="131"/>
        <v/>
      </c>
      <c r="AE396" s="70" t="str">
        <f t="shared" si="132"/>
        <v/>
      </c>
      <c r="AF396" s="16"/>
      <c r="AG396" s="23"/>
      <c r="AH396" s="22"/>
      <c r="AJ396" s="83">
        <f t="shared" si="133"/>
        <v>0</v>
      </c>
      <c r="AO396" s="22" t="str">
        <f t="shared" si="134"/>
        <v/>
      </c>
      <c r="AP396" s="22" t="str">
        <f t="shared" si="135"/>
        <v/>
      </c>
    </row>
    <row r="397" spans="1:42" x14ac:dyDescent="0.25">
      <c r="A397" s="10"/>
      <c r="B397" s="10"/>
      <c r="C397" s="10"/>
      <c r="D397" s="10"/>
      <c r="E397" s="10"/>
      <c r="F397" s="10"/>
      <c r="G397" s="10"/>
      <c r="H397" s="17"/>
      <c r="I397" s="10"/>
      <c r="J397" s="10"/>
      <c r="K397" s="16" t="str">
        <f t="shared" ref="K397:K460" si="136">IF($AF397&lt;&gt;"",$AF397,IF(AND($A397&lt;&gt;"",$E397&gt;0),SUM($O397:$Q397),""))</f>
        <v/>
      </c>
      <c r="L397" s="23" t="str">
        <f t="shared" ref="L397:L460" si="137">IF($AG397&lt;&gt;"",$AG397,IF(AND($A397&lt;&gt;"",$E397&gt;0),SUM($R397:$V397),""))</f>
        <v/>
      </c>
      <c r="M397" s="22" t="str">
        <f t="shared" ref="M397:M460" si="138">IF($AH397&lt;&gt;"",$AH397,IF(AND($A397&lt;&gt;"",$E397&gt;0),SUM($W397:$AE397)+$AO397+$AP397,""))</f>
        <v/>
      </c>
      <c r="N397" s="72"/>
      <c r="O397" s="16" t="str">
        <f t="shared" ref="O397:O460" si="139">IF(AND($A397&lt;&gt;"",$E397&gt;0),IF(AND($J397="SONY",200000&lt;=$E397,$E397&lt;1000000),5000*$D397,0),"")</f>
        <v/>
      </c>
      <c r="P397" s="16" t="str">
        <f t="shared" ref="P397:P460" si="140">IF(AND($A397&lt;&gt;"",$E397&gt;0),IF(AND($J397="SONY",1000000&lt;=$E397,$E397&lt;2000000),10000*$D397,0),"")</f>
        <v/>
      </c>
      <c r="Q397" s="16" t="str">
        <f t="shared" ref="Q397:Q460" si="141">IF(AND($A397&lt;&gt;"",$E397&gt;0),IF(AND($J397="SONY",$E397&gt;=2000000),20000*$D397,0),"")</f>
        <v/>
      </c>
      <c r="R397" s="23" t="str">
        <f t="shared" ref="R397:R460" si="142">IF(AND($A397&lt;&gt;"",$E397&gt;0),IF(AND($J397&lt;&gt;"SONY",100000&lt;=$E397,$E397&lt;200000),5000*$D397,0),"")</f>
        <v/>
      </c>
      <c r="S397" s="23" t="str">
        <f t="shared" ref="S397:S460" si="143">IF(AND($A397&lt;&gt;"",$E397&gt;0),IF(AND($J397&lt;&gt;"SONY",200000&lt;=$E397,$E397&lt;500000),10000*$D397,0),"")</f>
        <v/>
      </c>
      <c r="T397" s="23" t="str">
        <f t="shared" ref="T397:T460" si="144">IF(AND($A397&lt;&gt;"",$E397&gt;0),IF(AND($J397&lt;&gt;"SONY",500000&lt;=$E397,$E397&lt;1000000),20000*$D397,0),"")</f>
        <v/>
      </c>
      <c r="U397" s="23" t="str">
        <f t="shared" ref="U397:U460" si="145">IF(AND($A397&lt;&gt;"",$E397&gt;0),IF(AND($J397&lt;&gt;"SONY",1000000&lt;=$E397,$E397&lt;1500000),50000*$D397,0),"")</f>
        <v/>
      </c>
      <c r="V397" s="23" t="str">
        <f t="shared" ref="V397:V460" si="146">IF(AND($A397&lt;&gt;"",$E397&gt;0),IF(AND($J397&lt;&gt;"SONY",1500000&lt;=$E397),100000*$D397,0),"")</f>
        <v/>
      </c>
      <c r="W397" s="70" t="str">
        <f t="shared" ref="W397:W460" si="147">IF(AND($E397&gt;0,$J397="ELECOM",$E397&gt;=500000,ISNUMBER(SEARCH("tai nghe",$C397))),20000*$D397,IF($A397&lt;&gt;"",0,""))</f>
        <v/>
      </c>
      <c r="X397" s="70" t="str">
        <f t="shared" ref="X397:X460" si="148">IF(AND($E397&gt;0,$J397="ELECOM",ISNUMBER(SEARCH("loa",$C397))),20000*$D397,IF($A397&lt;&gt;"",0,""))</f>
        <v/>
      </c>
      <c r="Y397" s="70" t="str">
        <f>IF(AND($A397&lt;&gt;"",$E397&gt;0),isLaptopBag($C397,$J397)*$D397,"")</f>
        <v/>
      </c>
      <c r="Z397" s="70" t="str">
        <f t="shared" ref="Z397:Z460" si="149">IF(AND($E397&gt;0,$J397="ELECOM",ISNUMBER(SEARCH("ốp",$C397))),20000*$D397,IF($A397&lt;&gt;"",0,""))</f>
        <v/>
      </c>
      <c r="AA397" s="70" t="str">
        <f t="shared" ref="AA397:AA460" si="150">IF(AND($E397&gt;0,$J397="ELECOM",ISNUMBER(SEARCH("Bút",$C397))),20000*$D397,IF($A397&lt;&gt;"",0,""))</f>
        <v/>
      </c>
      <c r="AB397" s="70" t="str">
        <f t="shared" ref="AB397:AB460" si="151">IF(AND($E397&gt;0,$J397="ELECOM",ISNUMBER(SEARCH("Chuột bi",$C397))),20000*$D397,IF($A397&lt;&gt;"",0,""))</f>
        <v/>
      </c>
      <c r="AC397" s="70" t="str">
        <f t="shared" ref="AC397:AC460" si="152">IF(AND($E397&gt;0,$J397="ELECOM",ISNUMBER(SEARCH("Chuột trackball",$C397))),20000*$D397,IF($A397&lt;&gt;"",0,""))</f>
        <v/>
      </c>
      <c r="AD397" s="70" t="str">
        <f t="shared" ref="AD397:AD460" si="153">IF(AND($E397&gt;0,$J397="ELECOM",ISNUMBER(SEARCH("Sạc không dây",$C397))),20000*$D397,IF($A397&lt;&gt;"",0,""))</f>
        <v/>
      </c>
      <c r="AE397" s="70" t="str">
        <f t="shared" ref="AE397:AE460" si="154">IF(AND($E397&gt;0,$J397="ELECOM",ISNUMBER(SEARCH("Sạc kd",$C397))),20000*$D397,IF($A397&lt;&gt;"",0,""))</f>
        <v/>
      </c>
      <c r="AF397" s="16"/>
      <c r="AG397" s="23"/>
      <c r="AH397" s="22"/>
      <c r="AJ397" s="83">
        <f t="shared" ref="AJ397:AJ460" si="155">DAY(H397)</f>
        <v>0</v>
      </c>
      <c r="AO397" s="22" t="str">
        <f t="shared" ref="AO397:AO460" si="156">IF(AND($E397&gt;0,ISNUMBER(SEARCH("Sạc dự phòng Energizer",$C397))),10000*$D397,IF($A397&lt;&gt;"",0,""))</f>
        <v/>
      </c>
      <c r="AP397" s="22" t="str">
        <f t="shared" ref="AP397:AP460" si="157">IF(AND($E397&gt;0,ISNUMBER(SEARCH("SDP Energizer",$C397))),10000*$D397,IF($A397&lt;&gt;"",0,""))</f>
        <v/>
      </c>
    </row>
    <row r="398" spans="1:42" x14ac:dyDescent="0.25">
      <c r="A398" s="10"/>
      <c r="B398" s="10"/>
      <c r="C398" s="10"/>
      <c r="D398" s="10"/>
      <c r="E398" s="10"/>
      <c r="F398" s="10"/>
      <c r="G398" s="10"/>
      <c r="H398" s="17"/>
      <c r="I398" s="10"/>
      <c r="J398" s="10"/>
      <c r="K398" s="16" t="str">
        <f t="shared" si="136"/>
        <v/>
      </c>
      <c r="L398" s="23" t="str">
        <f t="shared" si="137"/>
        <v/>
      </c>
      <c r="M398" s="22" t="str">
        <f t="shared" si="138"/>
        <v/>
      </c>
      <c r="N398" s="72"/>
      <c r="O398" s="16" t="str">
        <f t="shared" si="139"/>
        <v/>
      </c>
      <c r="P398" s="16" t="str">
        <f t="shared" si="140"/>
        <v/>
      </c>
      <c r="Q398" s="16" t="str">
        <f t="shared" si="141"/>
        <v/>
      </c>
      <c r="R398" s="23" t="str">
        <f t="shared" si="142"/>
        <v/>
      </c>
      <c r="S398" s="23" t="str">
        <f t="shared" si="143"/>
        <v/>
      </c>
      <c r="T398" s="23" t="str">
        <f t="shared" si="144"/>
        <v/>
      </c>
      <c r="U398" s="23" t="str">
        <f t="shared" si="145"/>
        <v/>
      </c>
      <c r="V398" s="23" t="str">
        <f t="shared" si="146"/>
        <v/>
      </c>
      <c r="W398" s="70" t="str">
        <f t="shared" si="147"/>
        <v/>
      </c>
      <c r="X398" s="70" t="str">
        <f t="shared" si="148"/>
        <v/>
      </c>
      <c r="Y398" s="70" t="str">
        <f>IF(AND($A398&lt;&gt;"",$E398&gt;0),isLaptopBag($C398,$J398)*$D398,"")</f>
        <v/>
      </c>
      <c r="Z398" s="70" t="str">
        <f t="shared" si="149"/>
        <v/>
      </c>
      <c r="AA398" s="70" t="str">
        <f t="shared" si="150"/>
        <v/>
      </c>
      <c r="AB398" s="70" t="str">
        <f t="shared" si="151"/>
        <v/>
      </c>
      <c r="AC398" s="70" t="str">
        <f t="shared" si="152"/>
        <v/>
      </c>
      <c r="AD398" s="70" t="str">
        <f t="shared" si="153"/>
        <v/>
      </c>
      <c r="AE398" s="70" t="str">
        <f t="shared" si="154"/>
        <v/>
      </c>
      <c r="AF398" s="16"/>
      <c r="AG398" s="23"/>
      <c r="AH398" s="22"/>
      <c r="AJ398" s="83">
        <f t="shared" si="155"/>
        <v>0</v>
      </c>
      <c r="AO398" s="22" t="str">
        <f t="shared" si="156"/>
        <v/>
      </c>
      <c r="AP398" s="22" t="str">
        <f t="shared" si="157"/>
        <v/>
      </c>
    </row>
    <row r="399" spans="1:42" x14ac:dyDescent="0.25">
      <c r="A399" s="10"/>
      <c r="B399" s="10"/>
      <c r="C399" s="10"/>
      <c r="D399" s="10"/>
      <c r="E399" s="10"/>
      <c r="F399" s="10"/>
      <c r="G399" s="10"/>
      <c r="H399" s="17"/>
      <c r="I399" s="10"/>
      <c r="J399" s="10"/>
      <c r="K399" s="16" t="str">
        <f t="shared" si="136"/>
        <v/>
      </c>
      <c r="L399" s="23" t="str">
        <f t="shared" si="137"/>
        <v/>
      </c>
      <c r="M399" s="22" t="str">
        <f t="shared" si="138"/>
        <v/>
      </c>
      <c r="N399" s="72"/>
      <c r="O399" s="16" t="str">
        <f t="shared" si="139"/>
        <v/>
      </c>
      <c r="P399" s="16" t="str">
        <f t="shared" si="140"/>
        <v/>
      </c>
      <c r="Q399" s="16" t="str">
        <f t="shared" si="141"/>
        <v/>
      </c>
      <c r="R399" s="23" t="str">
        <f t="shared" si="142"/>
        <v/>
      </c>
      <c r="S399" s="23" t="str">
        <f t="shared" si="143"/>
        <v/>
      </c>
      <c r="T399" s="23" t="str">
        <f t="shared" si="144"/>
        <v/>
      </c>
      <c r="U399" s="23" t="str">
        <f t="shared" si="145"/>
        <v/>
      </c>
      <c r="V399" s="23" t="str">
        <f t="shared" si="146"/>
        <v/>
      </c>
      <c r="W399" s="70" t="str">
        <f t="shared" si="147"/>
        <v/>
      </c>
      <c r="X399" s="70" t="str">
        <f t="shared" si="148"/>
        <v/>
      </c>
      <c r="Y399" s="70" t="str">
        <f>IF(AND($A399&lt;&gt;"",$E399&gt;0),isLaptopBag($C399,$J399)*$D399,"")</f>
        <v/>
      </c>
      <c r="Z399" s="70" t="str">
        <f t="shared" si="149"/>
        <v/>
      </c>
      <c r="AA399" s="70" t="str">
        <f t="shared" si="150"/>
        <v/>
      </c>
      <c r="AB399" s="70" t="str">
        <f t="shared" si="151"/>
        <v/>
      </c>
      <c r="AC399" s="70" t="str">
        <f t="shared" si="152"/>
        <v/>
      </c>
      <c r="AD399" s="70" t="str">
        <f t="shared" si="153"/>
        <v/>
      </c>
      <c r="AE399" s="70" t="str">
        <f t="shared" si="154"/>
        <v/>
      </c>
      <c r="AF399" s="16"/>
      <c r="AG399" s="23"/>
      <c r="AH399" s="22"/>
      <c r="AJ399" s="83">
        <f t="shared" si="155"/>
        <v>0</v>
      </c>
      <c r="AO399" s="22" t="str">
        <f t="shared" si="156"/>
        <v/>
      </c>
      <c r="AP399" s="22" t="str">
        <f t="shared" si="157"/>
        <v/>
      </c>
    </row>
    <row r="400" spans="1:42" x14ac:dyDescent="0.25">
      <c r="A400" s="10"/>
      <c r="B400" s="10"/>
      <c r="C400" s="10"/>
      <c r="D400" s="10"/>
      <c r="E400" s="10"/>
      <c r="F400" s="10"/>
      <c r="G400" s="10"/>
      <c r="H400" s="17"/>
      <c r="I400" s="10"/>
      <c r="J400" s="10"/>
      <c r="K400" s="16" t="str">
        <f t="shared" si="136"/>
        <v/>
      </c>
      <c r="L400" s="23" t="str">
        <f t="shared" si="137"/>
        <v/>
      </c>
      <c r="M400" s="22" t="str">
        <f t="shared" si="138"/>
        <v/>
      </c>
      <c r="N400" s="72"/>
      <c r="O400" s="16" t="str">
        <f t="shared" si="139"/>
        <v/>
      </c>
      <c r="P400" s="16" t="str">
        <f t="shared" si="140"/>
        <v/>
      </c>
      <c r="Q400" s="16" t="str">
        <f t="shared" si="141"/>
        <v/>
      </c>
      <c r="R400" s="23" t="str">
        <f t="shared" si="142"/>
        <v/>
      </c>
      <c r="S400" s="23" t="str">
        <f t="shared" si="143"/>
        <v/>
      </c>
      <c r="T400" s="23" t="str">
        <f t="shared" si="144"/>
        <v/>
      </c>
      <c r="U400" s="23" t="str">
        <f t="shared" si="145"/>
        <v/>
      </c>
      <c r="V400" s="23" t="str">
        <f t="shared" si="146"/>
        <v/>
      </c>
      <c r="W400" s="70" t="str">
        <f t="shared" si="147"/>
        <v/>
      </c>
      <c r="X400" s="70" t="str">
        <f t="shared" si="148"/>
        <v/>
      </c>
      <c r="Y400" s="70" t="str">
        <f>IF(AND($A400&lt;&gt;"",$E400&gt;0),isLaptopBag($C400,$J400)*$D400,"")</f>
        <v/>
      </c>
      <c r="Z400" s="70" t="str">
        <f t="shared" si="149"/>
        <v/>
      </c>
      <c r="AA400" s="70" t="str">
        <f t="shared" si="150"/>
        <v/>
      </c>
      <c r="AB400" s="70" t="str">
        <f t="shared" si="151"/>
        <v/>
      </c>
      <c r="AC400" s="70" t="str">
        <f t="shared" si="152"/>
        <v/>
      </c>
      <c r="AD400" s="70" t="str">
        <f t="shared" si="153"/>
        <v/>
      </c>
      <c r="AE400" s="70" t="str">
        <f t="shared" si="154"/>
        <v/>
      </c>
      <c r="AF400" s="16"/>
      <c r="AG400" s="23"/>
      <c r="AH400" s="22"/>
      <c r="AJ400" s="83">
        <f t="shared" si="155"/>
        <v>0</v>
      </c>
      <c r="AO400" s="22" t="str">
        <f t="shared" si="156"/>
        <v/>
      </c>
      <c r="AP400" s="22" t="str">
        <f t="shared" si="157"/>
        <v/>
      </c>
    </row>
    <row r="401" spans="1:42" x14ac:dyDescent="0.25">
      <c r="A401" s="10"/>
      <c r="B401" s="10"/>
      <c r="C401" s="10"/>
      <c r="D401" s="10"/>
      <c r="E401" s="10"/>
      <c r="F401" s="10"/>
      <c r="G401" s="10"/>
      <c r="H401" s="17"/>
      <c r="I401" s="10"/>
      <c r="J401" s="10"/>
      <c r="K401" s="16" t="str">
        <f t="shared" si="136"/>
        <v/>
      </c>
      <c r="L401" s="23" t="str">
        <f t="shared" si="137"/>
        <v/>
      </c>
      <c r="M401" s="22" t="str">
        <f t="shared" si="138"/>
        <v/>
      </c>
      <c r="N401" s="72"/>
      <c r="O401" s="16" t="str">
        <f t="shared" si="139"/>
        <v/>
      </c>
      <c r="P401" s="16" t="str">
        <f t="shared" si="140"/>
        <v/>
      </c>
      <c r="Q401" s="16" t="str">
        <f t="shared" si="141"/>
        <v/>
      </c>
      <c r="R401" s="23" t="str">
        <f t="shared" si="142"/>
        <v/>
      </c>
      <c r="S401" s="23" t="str">
        <f t="shared" si="143"/>
        <v/>
      </c>
      <c r="T401" s="23" t="str">
        <f t="shared" si="144"/>
        <v/>
      </c>
      <c r="U401" s="23" t="str">
        <f t="shared" si="145"/>
        <v/>
      </c>
      <c r="V401" s="23" t="str">
        <f t="shared" si="146"/>
        <v/>
      </c>
      <c r="W401" s="70" t="str">
        <f t="shared" si="147"/>
        <v/>
      </c>
      <c r="X401" s="70" t="str">
        <f t="shared" si="148"/>
        <v/>
      </c>
      <c r="Y401" s="70" t="str">
        <f>IF(AND($A401&lt;&gt;"",$E401&gt;0),isLaptopBag($C401,$J401)*$D401,"")</f>
        <v/>
      </c>
      <c r="Z401" s="70" t="str">
        <f t="shared" si="149"/>
        <v/>
      </c>
      <c r="AA401" s="70" t="str">
        <f t="shared" si="150"/>
        <v/>
      </c>
      <c r="AB401" s="70" t="str">
        <f t="shared" si="151"/>
        <v/>
      </c>
      <c r="AC401" s="70" t="str">
        <f t="shared" si="152"/>
        <v/>
      </c>
      <c r="AD401" s="70" t="str">
        <f t="shared" si="153"/>
        <v/>
      </c>
      <c r="AE401" s="70" t="str">
        <f t="shared" si="154"/>
        <v/>
      </c>
      <c r="AF401" s="16"/>
      <c r="AG401" s="23"/>
      <c r="AH401" s="22"/>
      <c r="AJ401" s="83">
        <f t="shared" si="155"/>
        <v>0</v>
      </c>
      <c r="AO401" s="22" t="str">
        <f t="shared" si="156"/>
        <v/>
      </c>
      <c r="AP401" s="22" t="str">
        <f t="shared" si="157"/>
        <v/>
      </c>
    </row>
    <row r="402" spans="1:42" x14ac:dyDescent="0.25">
      <c r="A402" s="10"/>
      <c r="B402" s="10"/>
      <c r="C402" s="10"/>
      <c r="D402" s="10"/>
      <c r="E402" s="10"/>
      <c r="F402" s="10"/>
      <c r="G402" s="10"/>
      <c r="H402" s="17"/>
      <c r="I402" s="10"/>
      <c r="J402" s="10"/>
      <c r="K402" s="16" t="str">
        <f t="shared" si="136"/>
        <v/>
      </c>
      <c r="L402" s="23" t="str">
        <f t="shared" si="137"/>
        <v/>
      </c>
      <c r="M402" s="22" t="str">
        <f t="shared" si="138"/>
        <v/>
      </c>
      <c r="N402" s="72"/>
      <c r="O402" s="16" t="str">
        <f t="shared" si="139"/>
        <v/>
      </c>
      <c r="P402" s="16" t="str">
        <f t="shared" si="140"/>
        <v/>
      </c>
      <c r="Q402" s="16" t="str">
        <f t="shared" si="141"/>
        <v/>
      </c>
      <c r="R402" s="23" t="str">
        <f t="shared" si="142"/>
        <v/>
      </c>
      <c r="S402" s="23" t="str">
        <f t="shared" si="143"/>
        <v/>
      </c>
      <c r="T402" s="23" t="str">
        <f t="shared" si="144"/>
        <v/>
      </c>
      <c r="U402" s="23" t="str">
        <f t="shared" si="145"/>
        <v/>
      </c>
      <c r="V402" s="23" t="str">
        <f t="shared" si="146"/>
        <v/>
      </c>
      <c r="W402" s="70" t="str">
        <f t="shared" si="147"/>
        <v/>
      </c>
      <c r="X402" s="70" t="str">
        <f t="shared" si="148"/>
        <v/>
      </c>
      <c r="Y402" s="70" t="str">
        <f>IF(AND($A402&lt;&gt;"",$E402&gt;0),isLaptopBag($C402,$J402)*$D402,"")</f>
        <v/>
      </c>
      <c r="Z402" s="70" t="str">
        <f t="shared" si="149"/>
        <v/>
      </c>
      <c r="AA402" s="70" t="str">
        <f t="shared" si="150"/>
        <v/>
      </c>
      <c r="AB402" s="70" t="str">
        <f t="shared" si="151"/>
        <v/>
      </c>
      <c r="AC402" s="70" t="str">
        <f t="shared" si="152"/>
        <v/>
      </c>
      <c r="AD402" s="70" t="str">
        <f t="shared" si="153"/>
        <v/>
      </c>
      <c r="AE402" s="70" t="str">
        <f t="shared" si="154"/>
        <v/>
      </c>
      <c r="AF402" s="16"/>
      <c r="AG402" s="23"/>
      <c r="AH402" s="22"/>
      <c r="AJ402" s="83">
        <f t="shared" si="155"/>
        <v>0</v>
      </c>
      <c r="AO402" s="22" t="str">
        <f t="shared" si="156"/>
        <v/>
      </c>
      <c r="AP402" s="22" t="str">
        <f t="shared" si="157"/>
        <v/>
      </c>
    </row>
    <row r="403" spans="1:42" x14ac:dyDescent="0.25">
      <c r="A403" s="10"/>
      <c r="B403" s="10"/>
      <c r="C403" s="10"/>
      <c r="D403" s="10"/>
      <c r="E403" s="10"/>
      <c r="F403" s="10"/>
      <c r="G403" s="10"/>
      <c r="H403" s="17"/>
      <c r="I403" s="10"/>
      <c r="J403" s="10"/>
      <c r="K403" s="16" t="str">
        <f t="shared" si="136"/>
        <v/>
      </c>
      <c r="L403" s="23" t="str">
        <f t="shared" si="137"/>
        <v/>
      </c>
      <c r="M403" s="22" t="str">
        <f t="shared" si="138"/>
        <v/>
      </c>
      <c r="N403" s="72"/>
      <c r="O403" s="16" t="str">
        <f t="shared" si="139"/>
        <v/>
      </c>
      <c r="P403" s="16" t="str">
        <f t="shared" si="140"/>
        <v/>
      </c>
      <c r="Q403" s="16" t="str">
        <f t="shared" si="141"/>
        <v/>
      </c>
      <c r="R403" s="23" t="str">
        <f t="shared" si="142"/>
        <v/>
      </c>
      <c r="S403" s="23" t="str">
        <f t="shared" si="143"/>
        <v/>
      </c>
      <c r="T403" s="23" t="str">
        <f t="shared" si="144"/>
        <v/>
      </c>
      <c r="U403" s="23" t="str">
        <f t="shared" si="145"/>
        <v/>
      </c>
      <c r="V403" s="23" t="str">
        <f t="shared" si="146"/>
        <v/>
      </c>
      <c r="W403" s="70" t="str">
        <f t="shared" si="147"/>
        <v/>
      </c>
      <c r="X403" s="70" t="str">
        <f t="shared" si="148"/>
        <v/>
      </c>
      <c r="Y403" s="70" t="str">
        <f>IF(AND($A403&lt;&gt;"",$E403&gt;0),isLaptopBag($C403,$J403)*$D403,"")</f>
        <v/>
      </c>
      <c r="Z403" s="70" t="str">
        <f t="shared" si="149"/>
        <v/>
      </c>
      <c r="AA403" s="70" t="str">
        <f t="shared" si="150"/>
        <v/>
      </c>
      <c r="AB403" s="70" t="str">
        <f t="shared" si="151"/>
        <v/>
      </c>
      <c r="AC403" s="70" t="str">
        <f t="shared" si="152"/>
        <v/>
      </c>
      <c r="AD403" s="70" t="str">
        <f t="shared" si="153"/>
        <v/>
      </c>
      <c r="AE403" s="70" t="str">
        <f t="shared" si="154"/>
        <v/>
      </c>
      <c r="AF403" s="16"/>
      <c r="AG403" s="23"/>
      <c r="AH403" s="22"/>
      <c r="AJ403" s="83">
        <f t="shared" si="155"/>
        <v>0</v>
      </c>
      <c r="AO403" s="22" t="str">
        <f t="shared" si="156"/>
        <v/>
      </c>
      <c r="AP403" s="22" t="str">
        <f t="shared" si="157"/>
        <v/>
      </c>
    </row>
    <row r="404" spans="1:42" x14ac:dyDescent="0.25">
      <c r="A404" s="10"/>
      <c r="B404" s="10"/>
      <c r="C404" s="10"/>
      <c r="D404" s="10"/>
      <c r="E404" s="10"/>
      <c r="F404" s="10"/>
      <c r="G404" s="10"/>
      <c r="H404" s="17"/>
      <c r="I404" s="10"/>
      <c r="J404" s="10"/>
      <c r="K404" s="16" t="str">
        <f t="shared" si="136"/>
        <v/>
      </c>
      <c r="L404" s="23" t="str">
        <f t="shared" si="137"/>
        <v/>
      </c>
      <c r="M404" s="22" t="str">
        <f t="shared" si="138"/>
        <v/>
      </c>
      <c r="N404" s="72"/>
      <c r="O404" s="16" t="str">
        <f t="shared" si="139"/>
        <v/>
      </c>
      <c r="P404" s="16" t="str">
        <f t="shared" si="140"/>
        <v/>
      </c>
      <c r="Q404" s="16" t="str">
        <f t="shared" si="141"/>
        <v/>
      </c>
      <c r="R404" s="23" t="str">
        <f t="shared" si="142"/>
        <v/>
      </c>
      <c r="S404" s="23" t="str">
        <f t="shared" si="143"/>
        <v/>
      </c>
      <c r="T404" s="23" t="str">
        <f t="shared" si="144"/>
        <v/>
      </c>
      <c r="U404" s="23" t="str">
        <f t="shared" si="145"/>
        <v/>
      </c>
      <c r="V404" s="23" t="str">
        <f t="shared" si="146"/>
        <v/>
      </c>
      <c r="W404" s="70" t="str">
        <f t="shared" si="147"/>
        <v/>
      </c>
      <c r="X404" s="70" t="str">
        <f t="shared" si="148"/>
        <v/>
      </c>
      <c r="Y404" s="70" t="str">
        <f>IF(AND($A404&lt;&gt;"",$E404&gt;0),isLaptopBag($C404,$J404)*$D404,"")</f>
        <v/>
      </c>
      <c r="Z404" s="70" t="str">
        <f t="shared" si="149"/>
        <v/>
      </c>
      <c r="AA404" s="70" t="str">
        <f t="shared" si="150"/>
        <v/>
      </c>
      <c r="AB404" s="70" t="str">
        <f t="shared" si="151"/>
        <v/>
      </c>
      <c r="AC404" s="70" t="str">
        <f t="shared" si="152"/>
        <v/>
      </c>
      <c r="AD404" s="70" t="str">
        <f t="shared" si="153"/>
        <v/>
      </c>
      <c r="AE404" s="70" t="str">
        <f t="shared" si="154"/>
        <v/>
      </c>
      <c r="AF404" s="16"/>
      <c r="AG404" s="23"/>
      <c r="AH404" s="22"/>
      <c r="AJ404" s="83">
        <f t="shared" si="155"/>
        <v>0</v>
      </c>
      <c r="AO404" s="22" t="str">
        <f t="shared" si="156"/>
        <v/>
      </c>
      <c r="AP404" s="22" t="str">
        <f t="shared" si="157"/>
        <v/>
      </c>
    </row>
    <row r="405" spans="1:42" x14ac:dyDescent="0.25">
      <c r="A405" s="10"/>
      <c r="B405" s="10"/>
      <c r="C405" s="10"/>
      <c r="D405" s="10"/>
      <c r="E405" s="10"/>
      <c r="F405" s="10"/>
      <c r="G405" s="10"/>
      <c r="H405" s="17"/>
      <c r="I405" s="10"/>
      <c r="J405" s="10"/>
      <c r="K405" s="16" t="str">
        <f t="shared" si="136"/>
        <v/>
      </c>
      <c r="L405" s="23" t="str">
        <f t="shared" si="137"/>
        <v/>
      </c>
      <c r="M405" s="22" t="str">
        <f t="shared" si="138"/>
        <v/>
      </c>
      <c r="N405" s="72"/>
      <c r="O405" s="16" t="str">
        <f t="shared" si="139"/>
        <v/>
      </c>
      <c r="P405" s="16" t="str">
        <f t="shared" si="140"/>
        <v/>
      </c>
      <c r="Q405" s="16" t="str">
        <f t="shared" si="141"/>
        <v/>
      </c>
      <c r="R405" s="23" t="str">
        <f t="shared" si="142"/>
        <v/>
      </c>
      <c r="S405" s="23" t="str">
        <f t="shared" si="143"/>
        <v/>
      </c>
      <c r="T405" s="23" t="str">
        <f t="shared" si="144"/>
        <v/>
      </c>
      <c r="U405" s="23" t="str">
        <f t="shared" si="145"/>
        <v/>
      </c>
      <c r="V405" s="23" t="str">
        <f t="shared" si="146"/>
        <v/>
      </c>
      <c r="W405" s="70" t="str">
        <f t="shared" si="147"/>
        <v/>
      </c>
      <c r="X405" s="70" t="str">
        <f t="shared" si="148"/>
        <v/>
      </c>
      <c r="Y405" s="70" t="str">
        <f>IF(AND($A405&lt;&gt;"",$E405&gt;0),isLaptopBag($C405,$J405)*$D405,"")</f>
        <v/>
      </c>
      <c r="Z405" s="70" t="str">
        <f t="shared" si="149"/>
        <v/>
      </c>
      <c r="AA405" s="70" t="str">
        <f t="shared" si="150"/>
        <v/>
      </c>
      <c r="AB405" s="70" t="str">
        <f t="shared" si="151"/>
        <v/>
      </c>
      <c r="AC405" s="70" t="str">
        <f t="shared" si="152"/>
        <v/>
      </c>
      <c r="AD405" s="70" t="str">
        <f t="shared" si="153"/>
        <v/>
      </c>
      <c r="AE405" s="70" t="str">
        <f t="shared" si="154"/>
        <v/>
      </c>
      <c r="AF405" s="16"/>
      <c r="AG405" s="23"/>
      <c r="AH405" s="22"/>
      <c r="AJ405" s="83">
        <f t="shared" si="155"/>
        <v>0</v>
      </c>
      <c r="AO405" s="22" t="str">
        <f t="shared" si="156"/>
        <v/>
      </c>
      <c r="AP405" s="22" t="str">
        <f t="shared" si="157"/>
        <v/>
      </c>
    </row>
    <row r="406" spans="1:42" x14ac:dyDescent="0.25">
      <c r="A406" s="10"/>
      <c r="B406" s="10"/>
      <c r="C406" s="10"/>
      <c r="D406" s="10"/>
      <c r="E406" s="10"/>
      <c r="F406" s="10"/>
      <c r="G406" s="10"/>
      <c r="H406" s="17"/>
      <c r="I406" s="10"/>
      <c r="J406" s="10"/>
      <c r="K406" s="16" t="str">
        <f t="shared" si="136"/>
        <v/>
      </c>
      <c r="L406" s="23" t="str">
        <f t="shared" si="137"/>
        <v/>
      </c>
      <c r="M406" s="22" t="str">
        <f t="shared" si="138"/>
        <v/>
      </c>
      <c r="N406" s="72"/>
      <c r="O406" s="16" t="str">
        <f t="shared" si="139"/>
        <v/>
      </c>
      <c r="P406" s="16" t="str">
        <f t="shared" si="140"/>
        <v/>
      </c>
      <c r="Q406" s="16" t="str">
        <f t="shared" si="141"/>
        <v/>
      </c>
      <c r="R406" s="23" t="str">
        <f t="shared" si="142"/>
        <v/>
      </c>
      <c r="S406" s="23" t="str">
        <f t="shared" si="143"/>
        <v/>
      </c>
      <c r="T406" s="23" t="str">
        <f t="shared" si="144"/>
        <v/>
      </c>
      <c r="U406" s="23" t="str">
        <f t="shared" si="145"/>
        <v/>
      </c>
      <c r="V406" s="23" t="str">
        <f t="shared" si="146"/>
        <v/>
      </c>
      <c r="W406" s="70" t="str">
        <f t="shared" si="147"/>
        <v/>
      </c>
      <c r="X406" s="70" t="str">
        <f t="shared" si="148"/>
        <v/>
      </c>
      <c r="Y406" s="70" t="str">
        <f>IF(AND($A406&lt;&gt;"",$E406&gt;0),isLaptopBag($C406,$J406)*$D406,"")</f>
        <v/>
      </c>
      <c r="Z406" s="70" t="str">
        <f t="shared" si="149"/>
        <v/>
      </c>
      <c r="AA406" s="70" t="str">
        <f t="shared" si="150"/>
        <v/>
      </c>
      <c r="AB406" s="70" t="str">
        <f t="shared" si="151"/>
        <v/>
      </c>
      <c r="AC406" s="70" t="str">
        <f t="shared" si="152"/>
        <v/>
      </c>
      <c r="AD406" s="70" t="str">
        <f t="shared" si="153"/>
        <v/>
      </c>
      <c r="AE406" s="70" t="str">
        <f t="shared" si="154"/>
        <v/>
      </c>
      <c r="AF406" s="16"/>
      <c r="AG406" s="23"/>
      <c r="AH406" s="22"/>
      <c r="AJ406" s="83">
        <f t="shared" si="155"/>
        <v>0</v>
      </c>
      <c r="AO406" s="22" t="str">
        <f t="shared" si="156"/>
        <v/>
      </c>
      <c r="AP406" s="22" t="str">
        <f t="shared" si="157"/>
        <v/>
      </c>
    </row>
    <row r="407" spans="1:42" x14ac:dyDescent="0.25">
      <c r="A407" s="10"/>
      <c r="B407" s="10"/>
      <c r="C407" s="10"/>
      <c r="D407" s="10"/>
      <c r="E407" s="10"/>
      <c r="F407" s="10"/>
      <c r="G407" s="10"/>
      <c r="H407" s="17"/>
      <c r="I407" s="10"/>
      <c r="J407" s="10"/>
      <c r="K407" s="16" t="str">
        <f t="shared" si="136"/>
        <v/>
      </c>
      <c r="L407" s="23" t="str">
        <f t="shared" si="137"/>
        <v/>
      </c>
      <c r="M407" s="22" t="str">
        <f t="shared" si="138"/>
        <v/>
      </c>
      <c r="N407" s="72"/>
      <c r="O407" s="16" t="str">
        <f t="shared" si="139"/>
        <v/>
      </c>
      <c r="P407" s="16" t="str">
        <f t="shared" si="140"/>
        <v/>
      </c>
      <c r="Q407" s="16" t="str">
        <f t="shared" si="141"/>
        <v/>
      </c>
      <c r="R407" s="23" t="str">
        <f t="shared" si="142"/>
        <v/>
      </c>
      <c r="S407" s="23" t="str">
        <f t="shared" si="143"/>
        <v/>
      </c>
      <c r="T407" s="23" t="str">
        <f t="shared" si="144"/>
        <v/>
      </c>
      <c r="U407" s="23" t="str">
        <f t="shared" si="145"/>
        <v/>
      </c>
      <c r="V407" s="23" t="str">
        <f t="shared" si="146"/>
        <v/>
      </c>
      <c r="W407" s="70" t="str">
        <f t="shared" si="147"/>
        <v/>
      </c>
      <c r="X407" s="70" t="str">
        <f t="shared" si="148"/>
        <v/>
      </c>
      <c r="Y407" s="70" t="str">
        <f>IF(AND($A407&lt;&gt;"",$E407&gt;0),isLaptopBag($C407,$J407)*$D407,"")</f>
        <v/>
      </c>
      <c r="Z407" s="70" t="str">
        <f t="shared" si="149"/>
        <v/>
      </c>
      <c r="AA407" s="70" t="str">
        <f t="shared" si="150"/>
        <v/>
      </c>
      <c r="AB407" s="70" t="str">
        <f t="shared" si="151"/>
        <v/>
      </c>
      <c r="AC407" s="70" t="str">
        <f t="shared" si="152"/>
        <v/>
      </c>
      <c r="AD407" s="70" t="str">
        <f t="shared" si="153"/>
        <v/>
      </c>
      <c r="AE407" s="70" t="str">
        <f t="shared" si="154"/>
        <v/>
      </c>
      <c r="AF407" s="16"/>
      <c r="AG407" s="23"/>
      <c r="AH407" s="22"/>
      <c r="AJ407" s="83">
        <f t="shared" si="155"/>
        <v>0</v>
      </c>
      <c r="AO407" s="22" t="str">
        <f t="shared" si="156"/>
        <v/>
      </c>
      <c r="AP407" s="22" t="str">
        <f t="shared" si="157"/>
        <v/>
      </c>
    </row>
    <row r="408" spans="1:42" x14ac:dyDescent="0.25">
      <c r="A408" s="10"/>
      <c r="B408" s="10"/>
      <c r="C408" s="10"/>
      <c r="D408" s="10"/>
      <c r="E408" s="10"/>
      <c r="F408" s="10"/>
      <c r="G408" s="10"/>
      <c r="H408" s="17"/>
      <c r="I408" s="10"/>
      <c r="J408" s="10"/>
      <c r="K408" s="16" t="str">
        <f t="shared" si="136"/>
        <v/>
      </c>
      <c r="L408" s="23" t="str">
        <f t="shared" si="137"/>
        <v/>
      </c>
      <c r="M408" s="22" t="str">
        <f t="shared" si="138"/>
        <v/>
      </c>
      <c r="N408" s="72"/>
      <c r="O408" s="16" t="str">
        <f t="shared" si="139"/>
        <v/>
      </c>
      <c r="P408" s="16" t="str">
        <f t="shared" si="140"/>
        <v/>
      </c>
      <c r="Q408" s="16" t="str">
        <f t="shared" si="141"/>
        <v/>
      </c>
      <c r="R408" s="23" t="str">
        <f t="shared" si="142"/>
        <v/>
      </c>
      <c r="S408" s="23" t="str">
        <f t="shared" si="143"/>
        <v/>
      </c>
      <c r="T408" s="23" t="str">
        <f t="shared" si="144"/>
        <v/>
      </c>
      <c r="U408" s="23" t="str">
        <f t="shared" si="145"/>
        <v/>
      </c>
      <c r="V408" s="23" t="str">
        <f t="shared" si="146"/>
        <v/>
      </c>
      <c r="W408" s="70" t="str">
        <f t="shared" si="147"/>
        <v/>
      </c>
      <c r="X408" s="70" t="str">
        <f t="shared" si="148"/>
        <v/>
      </c>
      <c r="Y408" s="70" t="str">
        <f>IF(AND($A408&lt;&gt;"",$E408&gt;0),isLaptopBag($C408,$J408)*$D408,"")</f>
        <v/>
      </c>
      <c r="Z408" s="70" t="str">
        <f t="shared" si="149"/>
        <v/>
      </c>
      <c r="AA408" s="70" t="str">
        <f t="shared" si="150"/>
        <v/>
      </c>
      <c r="AB408" s="70" t="str">
        <f t="shared" si="151"/>
        <v/>
      </c>
      <c r="AC408" s="70" t="str">
        <f t="shared" si="152"/>
        <v/>
      </c>
      <c r="AD408" s="70" t="str">
        <f t="shared" si="153"/>
        <v/>
      </c>
      <c r="AE408" s="70" t="str">
        <f t="shared" si="154"/>
        <v/>
      </c>
      <c r="AF408" s="16"/>
      <c r="AG408" s="23"/>
      <c r="AH408" s="22"/>
      <c r="AJ408" s="83">
        <f t="shared" si="155"/>
        <v>0</v>
      </c>
      <c r="AO408" s="22" t="str">
        <f t="shared" si="156"/>
        <v/>
      </c>
      <c r="AP408" s="22" t="str">
        <f t="shared" si="157"/>
        <v/>
      </c>
    </row>
    <row r="409" spans="1:42" x14ac:dyDescent="0.25">
      <c r="A409" s="10"/>
      <c r="B409" s="10"/>
      <c r="C409" s="10"/>
      <c r="D409" s="10"/>
      <c r="E409" s="10"/>
      <c r="F409" s="10"/>
      <c r="G409" s="10"/>
      <c r="H409" s="17"/>
      <c r="I409" s="10"/>
      <c r="J409" s="10"/>
      <c r="K409" s="16" t="str">
        <f t="shared" si="136"/>
        <v/>
      </c>
      <c r="L409" s="23" t="str">
        <f t="shared" si="137"/>
        <v/>
      </c>
      <c r="M409" s="22" t="str">
        <f t="shared" si="138"/>
        <v/>
      </c>
      <c r="N409" s="72"/>
      <c r="O409" s="16" t="str">
        <f t="shared" si="139"/>
        <v/>
      </c>
      <c r="P409" s="16" t="str">
        <f t="shared" si="140"/>
        <v/>
      </c>
      <c r="Q409" s="16" t="str">
        <f t="shared" si="141"/>
        <v/>
      </c>
      <c r="R409" s="23" t="str">
        <f t="shared" si="142"/>
        <v/>
      </c>
      <c r="S409" s="23" t="str">
        <f t="shared" si="143"/>
        <v/>
      </c>
      <c r="T409" s="23" t="str">
        <f t="shared" si="144"/>
        <v/>
      </c>
      <c r="U409" s="23" t="str">
        <f t="shared" si="145"/>
        <v/>
      </c>
      <c r="V409" s="23" t="str">
        <f t="shared" si="146"/>
        <v/>
      </c>
      <c r="W409" s="70" t="str">
        <f t="shared" si="147"/>
        <v/>
      </c>
      <c r="X409" s="70" t="str">
        <f t="shared" si="148"/>
        <v/>
      </c>
      <c r="Y409" s="70" t="str">
        <f>IF(AND($A409&lt;&gt;"",$E409&gt;0),isLaptopBag($C409,$J409)*$D409,"")</f>
        <v/>
      </c>
      <c r="Z409" s="70" t="str">
        <f t="shared" si="149"/>
        <v/>
      </c>
      <c r="AA409" s="70" t="str">
        <f t="shared" si="150"/>
        <v/>
      </c>
      <c r="AB409" s="70" t="str">
        <f t="shared" si="151"/>
        <v/>
      </c>
      <c r="AC409" s="70" t="str">
        <f t="shared" si="152"/>
        <v/>
      </c>
      <c r="AD409" s="70" t="str">
        <f t="shared" si="153"/>
        <v/>
      </c>
      <c r="AE409" s="70" t="str">
        <f t="shared" si="154"/>
        <v/>
      </c>
      <c r="AF409" s="16"/>
      <c r="AG409" s="23"/>
      <c r="AH409" s="22"/>
      <c r="AJ409" s="83">
        <f t="shared" si="155"/>
        <v>0</v>
      </c>
      <c r="AO409" s="22" t="str">
        <f t="shared" si="156"/>
        <v/>
      </c>
      <c r="AP409" s="22" t="str">
        <f t="shared" si="157"/>
        <v/>
      </c>
    </row>
    <row r="410" spans="1:42" x14ac:dyDescent="0.25">
      <c r="A410" s="10"/>
      <c r="B410" s="10"/>
      <c r="C410" s="10"/>
      <c r="D410" s="10"/>
      <c r="E410" s="10"/>
      <c r="F410" s="10"/>
      <c r="G410" s="10"/>
      <c r="H410" s="17"/>
      <c r="I410" s="10"/>
      <c r="J410" s="10"/>
      <c r="K410" s="16" t="str">
        <f t="shared" si="136"/>
        <v/>
      </c>
      <c r="L410" s="23" t="str">
        <f t="shared" si="137"/>
        <v/>
      </c>
      <c r="M410" s="22" t="str">
        <f t="shared" si="138"/>
        <v/>
      </c>
      <c r="N410" s="72"/>
      <c r="O410" s="16" t="str">
        <f t="shared" si="139"/>
        <v/>
      </c>
      <c r="P410" s="16" t="str">
        <f t="shared" si="140"/>
        <v/>
      </c>
      <c r="Q410" s="16" t="str">
        <f t="shared" si="141"/>
        <v/>
      </c>
      <c r="R410" s="23" t="str">
        <f t="shared" si="142"/>
        <v/>
      </c>
      <c r="S410" s="23" t="str">
        <f t="shared" si="143"/>
        <v/>
      </c>
      <c r="T410" s="23" t="str">
        <f t="shared" si="144"/>
        <v/>
      </c>
      <c r="U410" s="23" t="str">
        <f t="shared" si="145"/>
        <v/>
      </c>
      <c r="V410" s="23" t="str">
        <f t="shared" si="146"/>
        <v/>
      </c>
      <c r="W410" s="70" t="str">
        <f t="shared" si="147"/>
        <v/>
      </c>
      <c r="X410" s="70" t="str">
        <f t="shared" si="148"/>
        <v/>
      </c>
      <c r="Y410" s="70" t="str">
        <f>IF(AND($A410&lt;&gt;"",$E410&gt;0),isLaptopBag($C410,$J410)*$D410,"")</f>
        <v/>
      </c>
      <c r="Z410" s="70" t="str">
        <f t="shared" si="149"/>
        <v/>
      </c>
      <c r="AA410" s="70" t="str">
        <f t="shared" si="150"/>
        <v/>
      </c>
      <c r="AB410" s="70" t="str">
        <f t="shared" si="151"/>
        <v/>
      </c>
      <c r="AC410" s="70" t="str">
        <f t="shared" si="152"/>
        <v/>
      </c>
      <c r="AD410" s="70" t="str">
        <f t="shared" si="153"/>
        <v/>
      </c>
      <c r="AE410" s="70" t="str">
        <f t="shared" si="154"/>
        <v/>
      </c>
      <c r="AF410" s="16"/>
      <c r="AG410" s="23"/>
      <c r="AH410" s="22"/>
      <c r="AJ410" s="83">
        <f t="shared" si="155"/>
        <v>0</v>
      </c>
      <c r="AO410" s="22" t="str">
        <f t="shared" si="156"/>
        <v/>
      </c>
      <c r="AP410" s="22" t="str">
        <f t="shared" si="157"/>
        <v/>
      </c>
    </row>
    <row r="411" spans="1:42" x14ac:dyDescent="0.25">
      <c r="A411" s="10"/>
      <c r="B411" s="10"/>
      <c r="C411" s="10"/>
      <c r="D411" s="10"/>
      <c r="E411" s="10"/>
      <c r="F411" s="10"/>
      <c r="G411" s="10"/>
      <c r="H411" s="17"/>
      <c r="I411" s="10"/>
      <c r="J411" s="10"/>
      <c r="K411" s="16" t="str">
        <f t="shared" si="136"/>
        <v/>
      </c>
      <c r="L411" s="23" t="str">
        <f t="shared" si="137"/>
        <v/>
      </c>
      <c r="M411" s="22" t="str">
        <f t="shared" si="138"/>
        <v/>
      </c>
      <c r="N411" s="72"/>
      <c r="O411" s="16" t="str">
        <f t="shared" si="139"/>
        <v/>
      </c>
      <c r="P411" s="16" t="str">
        <f t="shared" si="140"/>
        <v/>
      </c>
      <c r="Q411" s="16" t="str">
        <f t="shared" si="141"/>
        <v/>
      </c>
      <c r="R411" s="23" t="str">
        <f t="shared" si="142"/>
        <v/>
      </c>
      <c r="S411" s="23" t="str">
        <f t="shared" si="143"/>
        <v/>
      </c>
      <c r="T411" s="23" t="str">
        <f t="shared" si="144"/>
        <v/>
      </c>
      <c r="U411" s="23" t="str">
        <f t="shared" si="145"/>
        <v/>
      </c>
      <c r="V411" s="23" t="str">
        <f t="shared" si="146"/>
        <v/>
      </c>
      <c r="W411" s="70" t="str">
        <f t="shared" si="147"/>
        <v/>
      </c>
      <c r="X411" s="70" t="str">
        <f t="shared" si="148"/>
        <v/>
      </c>
      <c r="Y411" s="70" t="str">
        <f>IF(AND($A411&lt;&gt;"",$E411&gt;0),isLaptopBag($C411,$J411)*$D411,"")</f>
        <v/>
      </c>
      <c r="Z411" s="70" t="str">
        <f t="shared" si="149"/>
        <v/>
      </c>
      <c r="AA411" s="70" t="str">
        <f t="shared" si="150"/>
        <v/>
      </c>
      <c r="AB411" s="70" t="str">
        <f t="shared" si="151"/>
        <v/>
      </c>
      <c r="AC411" s="70" t="str">
        <f t="shared" si="152"/>
        <v/>
      </c>
      <c r="AD411" s="70" t="str">
        <f t="shared" si="153"/>
        <v/>
      </c>
      <c r="AE411" s="70" t="str">
        <f t="shared" si="154"/>
        <v/>
      </c>
      <c r="AF411" s="16"/>
      <c r="AG411" s="23"/>
      <c r="AH411" s="22"/>
      <c r="AJ411" s="83">
        <f t="shared" si="155"/>
        <v>0</v>
      </c>
      <c r="AO411" s="22" t="str">
        <f t="shared" si="156"/>
        <v/>
      </c>
      <c r="AP411" s="22" t="str">
        <f t="shared" si="157"/>
        <v/>
      </c>
    </row>
    <row r="412" spans="1:42" x14ac:dyDescent="0.25">
      <c r="A412" s="10"/>
      <c r="B412" s="10"/>
      <c r="C412" s="10"/>
      <c r="D412" s="10"/>
      <c r="E412" s="10"/>
      <c r="F412" s="10"/>
      <c r="G412" s="10"/>
      <c r="H412" s="17"/>
      <c r="I412" s="10"/>
      <c r="J412" s="10"/>
      <c r="K412" s="16" t="str">
        <f t="shared" si="136"/>
        <v/>
      </c>
      <c r="L412" s="23" t="str">
        <f t="shared" si="137"/>
        <v/>
      </c>
      <c r="M412" s="22" t="str">
        <f t="shared" si="138"/>
        <v/>
      </c>
      <c r="N412" s="72"/>
      <c r="O412" s="16" t="str">
        <f t="shared" si="139"/>
        <v/>
      </c>
      <c r="P412" s="16" t="str">
        <f t="shared" si="140"/>
        <v/>
      </c>
      <c r="Q412" s="16" t="str">
        <f t="shared" si="141"/>
        <v/>
      </c>
      <c r="R412" s="23" t="str">
        <f t="shared" si="142"/>
        <v/>
      </c>
      <c r="S412" s="23" t="str">
        <f t="shared" si="143"/>
        <v/>
      </c>
      <c r="T412" s="23" t="str">
        <f t="shared" si="144"/>
        <v/>
      </c>
      <c r="U412" s="23" t="str">
        <f t="shared" si="145"/>
        <v/>
      </c>
      <c r="V412" s="23" t="str">
        <f t="shared" si="146"/>
        <v/>
      </c>
      <c r="W412" s="70" t="str">
        <f t="shared" si="147"/>
        <v/>
      </c>
      <c r="X412" s="70" t="str">
        <f t="shared" si="148"/>
        <v/>
      </c>
      <c r="Y412" s="70" t="str">
        <f>IF(AND($A412&lt;&gt;"",$E412&gt;0),isLaptopBag($C412,$J412)*$D412,"")</f>
        <v/>
      </c>
      <c r="Z412" s="70" t="str">
        <f t="shared" si="149"/>
        <v/>
      </c>
      <c r="AA412" s="70" t="str">
        <f t="shared" si="150"/>
        <v/>
      </c>
      <c r="AB412" s="70" t="str">
        <f t="shared" si="151"/>
        <v/>
      </c>
      <c r="AC412" s="70" t="str">
        <f t="shared" si="152"/>
        <v/>
      </c>
      <c r="AD412" s="70" t="str">
        <f t="shared" si="153"/>
        <v/>
      </c>
      <c r="AE412" s="70" t="str">
        <f t="shared" si="154"/>
        <v/>
      </c>
      <c r="AF412" s="16"/>
      <c r="AG412" s="23"/>
      <c r="AH412" s="22"/>
      <c r="AJ412" s="83">
        <f t="shared" si="155"/>
        <v>0</v>
      </c>
      <c r="AO412" s="22" t="str">
        <f t="shared" si="156"/>
        <v/>
      </c>
      <c r="AP412" s="22" t="str">
        <f t="shared" si="157"/>
        <v/>
      </c>
    </row>
    <row r="413" spans="1:42" x14ac:dyDescent="0.25">
      <c r="A413" s="10"/>
      <c r="B413" s="10"/>
      <c r="C413" s="10"/>
      <c r="D413" s="10"/>
      <c r="E413" s="10"/>
      <c r="F413" s="10"/>
      <c r="G413" s="10"/>
      <c r="H413" s="17"/>
      <c r="I413" s="10"/>
      <c r="J413" s="10"/>
      <c r="K413" s="16" t="str">
        <f t="shared" si="136"/>
        <v/>
      </c>
      <c r="L413" s="23" t="str">
        <f t="shared" si="137"/>
        <v/>
      </c>
      <c r="M413" s="22" t="str">
        <f t="shared" si="138"/>
        <v/>
      </c>
      <c r="N413" s="72"/>
      <c r="O413" s="16" t="str">
        <f t="shared" si="139"/>
        <v/>
      </c>
      <c r="P413" s="16" t="str">
        <f t="shared" si="140"/>
        <v/>
      </c>
      <c r="Q413" s="16" t="str">
        <f t="shared" si="141"/>
        <v/>
      </c>
      <c r="R413" s="23" t="str">
        <f t="shared" si="142"/>
        <v/>
      </c>
      <c r="S413" s="23" t="str">
        <f t="shared" si="143"/>
        <v/>
      </c>
      <c r="T413" s="23" t="str">
        <f t="shared" si="144"/>
        <v/>
      </c>
      <c r="U413" s="23" t="str">
        <f t="shared" si="145"/>
        <v/>
      </c>
      <c r="V413" s="23" t="str">
        <f t="shared" si="146"/>
        <v/>
      </c>
      <c r="W413" s="70" t="str">
        <f t="shared" si="147"/>
        <v/>
      </c>
      <c r="X413" s="70" t="str">
        <f t="shared" si="148"/>
        <v/>
      </c>
      <c r="Y413" s="70" t="str">
        <f>IF(AND($A413&lt;&gt;"",$E413&gt;0),isLaptopBag($C413,$J413)*$D413,"")</f>
        <v/>
      </c>
      <c r="Z413" s="70" t="str">
        <f t="shared" si="149"/>
        <v/>
      </c>
      <c r="AA413" s="70" t="str">
        <f t="shared" si="150"/>
        <v/>
      </c>
      <c r="AB413" s="70" t="str">
        <f t="shared" si="151"/>
        <v/>
      </c>
      <c r="AC413" s="70" t="str">
        <f t="shared" si="152"/>
        <v/>
      </c>
      <c r="AD413" s="70" t="str">
        <f t="shared" si="153"/>
        <v/>
      </c>
      <c r="AE413" s="70" t="str">
        <f t="shared" si="154"/>
        <v/>
      </c>
      <c r="AF413" s="16"/>
      <c r="AG413" s="23"/>
      <c r="AH413" s="22"/>
      <c r="AJ413" s="83">
        <f t="shared" si="155"/>
        <v>0</v>
      </c>
      <c r="AO413" s="22" t="str">
        <f t="shared" si="156"/>
        <v/>
      </c>
      <c r="AP413" s="22" t="str">
        <f t="shared" si="157"/>
        <v/>
      </c>
    </row>
    <row r="414" spans="1:42" x14ac:dyDescent="0.25">
      <c r="A414" s="10"/>
      <c r="B414" s="10"/>
      <c r="C414" s="10"/>
      <c r="D414" s="10"/>
      <c r="E414" s="10"/>
      <c r="F414" s="10"/>
      <c r="G414" s="10"/>
      <c r="H414" s="17"/>
      <c r="I414" s="10"/>
      <c r="J414" s="10"/>
      <c r="K414" s="16" t="str">
        <f t="shared" si="136"/>
        <v/>
      </c>
      <c r="L414" s="23" t="str">
        <f t="shared" si="137"/>
        <v/>
      </c>
      <c r="M414" s="22" t="str">
        <f t="shared" si="138"/>
        <v/>
      </c>
      <c r="N414" s="72"/>
      <c r="O414" s="16" t="str">
        <f t="shared" si="139"/>
        <v/>
      </c>
      <c r="P414" s="16" t="str">
        <f t="shared" si="140"/>
        <v/>
      </c>
      <c r="Q414" s="16" t="str">
        <f t="shared" si="141"/>
        <v/>
      </c>
      <c r="R414" s="23" t="str">
        <f t="shared" si="142"/>
        <v/>
      </c>
      <c r="S414" s="23" t="str">
        <f t="shared" si="143"/>
        <v/>
      </c>
      <c r="T414" s="23" t="str">
        <f t="shared" si="144"/>
        <v/>
      </c>
      <c r="U414" s="23" t="str">
        <f t="shared" si="145"/>
        <v/>
      </c>
      <c r="V414" s="23" t="str">
        <f t="shared" si="146"/>
        <v/>
      </c>
      <c r="W414" s="70" t="str">
        <f t="shared" si="147"/>
        <v/>
      </c>
      <c r="X414" s="70" t="str">
        <f t="shared" si="148"/>
        <v/>
      </c>
      <c r="Y414" s="70" t="str">
        <f>IF(AND($A414&lt;&gt;"",$E414&gt;0),isLaptopBag($C414,$J414)*$D414,"")</f>
        <v/>
      </c>
      <c r="Z414" s="70" t="str">
        <f t="shared" si="149"/>
        <v/>
      </c>
      <c r="AA414" s="70" t="str">
        <f t="shared" si="150"/>
        <v/>
      </c>
      <c r="AB414" s="70" t="str">
        <f t="shared" si="151"/>
        <v/>
      </c>
      <c r="AC414" s="70" t="str">
        <f t="shared" si="152"/>
        <v/>
      </c>
      <c r="AD414" s="70" t="str">
        <f t="shared" si="153"/>
        <v/>
      </c>
      <c r="AE414" s="70" t="str">
        <f t="shared" si="154"/>
        <v/>
      </c>
      <c r="AF414" s="16"/>
      <c r="AG414" s="23"/>
      <c r="AH414" s="22"/>
      <c r="AJ414" s="83">
        <f t="shared" si="155"/>
        <v>0</v>
      </c>
      <c r="AO414" s="22" t="str">
        <f t="shared" si="156"/>
        <v/>
      </c>
      <c r="AP414" s="22" t="str">
        <f t="shared" si="157"/>
        <v/>
      </c>
    </row>
    <row r="415" spans="1:42" x14ac:dyDescent="0.25">
      <c r="A415" s="10"/>
      <c r="B415" s="10"/>
      <c r="C415" s="10"/>
      <c r="D415" s="10"/>
      <c r="E415" s="10"/>
      <c r="F415" s="10"/>
      <c r="G415" s="10"/>
      <c r="H415" s="17"/>
      <c r="I415" s="10"/>
      <c r="J415" s="10"/>
      <c r="K415" s="16" t="str">
        <f t="shared" si="136"/>
        <v/>
      </c>
      <c r="L415" s="23" t="str">
        <f t="shared" si="137"/>
        <v/>
      </c>
      <c r="M415" s="22" t="str">
        <f t="shared" si="138"/>
        <v/>
      </c>
      <c r="N415" s="72"/>
      <c r="O415" s="16" t="str">
        <f t="shared" si="139"/>
        <v/>
      </c>
      <c r="P415" s="16" t="str">
        <f t="shared" si="140"/>
        <v/>
      </c>
      <c r="Q415" s="16" t="str">
        <f t="shared" si="141"/>
        <v/>
      </c>
      <c r="R415" s="23" t="str">
        <f t="shared" si="142"/>
        <v/>
      </c>
      <c r="S415" s="23" t="str">
        <f t="shared" si="143"/>
        <v/>
      </c>
      <c r="T415" s="23" t="str">
        <f t="shared" si="144"/>
        <v/>
      </c>
      <c r="U415" s="23" t="str">
        <f t="shared" si="145"/>
        <v/>
      </c>
      <c r="V415" s="23" t="str">
        <f t="shared" si="146"/>
        <v/>
      </c>
      <c r="W415" s="70" t="str">
        <f t="shared" si="147"/>
        <v/>
      </c>
      <c r="X415" s="70" t="str">
        <f t="shared" si="148"/>
        <v/>
      </c>
      <c r="Y415" s="70" t="str">
        <f>IF(AND($A415&lt;&gt;"",$E415&gt;0),isLaptopBag($C415,$J415)*$D415,"")</f>
        <v/>
      </c>
      <c r="Z415" s="70" t="str">
        <f t="shared" si="149"/>
        <v/>
      </c>
      <c r="AA415" s="70" t="str">
        <f t="shared" si="150"/>
        <v/>
      </c>
      <c r="AB415" s="70" t="str">
        <f t="shared" si="151"/>
        <v/>
      </c>
      <c r="AC415" s="70" t="str">
        <f t="shared" si="152"/>
        <v/>
      </c>
      <c r="AD415" s="70" t="str">
        <f t="shared" si="153"/>
        <v/>
      </c>
      <c r="AE415" s="70" t="str">
        <f t="shared" si="154"/>
        <v/>
      </c>
      <c r="AF415" s="16"/>
      <c r="AG415" s="23"/>
      <c r="AH415" s="22"/>
      <c r="AJ415" s="83">
        <f t="shared" si="155"/>
        <v>0</v>
      </c>
      <c r="AO415" s="22" t="str">
        <f t="shared" si="156"/>
        <v/>
      </c>
      <c r="AP415" s="22" t="str">
        <f t="shared" si="157"/>
        <v/>
      </c>
    </row>
    <row r="416" spans="1:42" x14ac:dyDescent="0.25">
      <c r="A416" s="10"/>
      <c r="B416" s="10"/>
      <c r="C416" s="10"/>
      <c r="D416" s="10"/>
      <c r="E416" s="10"/>
      <c r="F416" s="10"/>
      <c r="G416" s="10"/>
      <c r="H416" s="17"/>
      <c r="I416" s="10"/>
      <c r="J416" s="10"/>
      <c r="K416" s="16" t="str">
        <f t="shared" si="136"/>
        <v/>
      </c>
      <c r="L416" s="23" t="str">
        <f t="shared" si="137"/>
        <v/>
      </c>
      <c r="M416" s="22" t="str">
        <f t="shared" si="138"/>
        <v/>
      </c>
      <c r="N416" s="72"/>
      <c r="O416" s="16" t="str">
        <f t="shared" si="139"/>
        <v/>
      </c>
      <c r="P416" s="16" t="str">
        <f t="shared" si="140"/>
        <v/>
      </c>
      <c r="Q416" s="16" t="str">
        <f t="shared" si="141"/>
        <v/>
      </c>
      <c r="R416" s="23" t="str">
        <f t="shared" si="142"/>
        <v/>
      </c>
      <c r="S416" s="23" t="str">
        <f t="shared" si="143"/>
        <v/>
      </c>
      <c r="T416" s="23" t="str">
        <f t="shared" si="144"/>
        <v/>
      </c>
      <c r="U416" s="23" t="str">
        <f t="shared" si="145"/>
        <v/>
      </c>
      <c r="V416" s="23" t="str">
        <f t="shared" si="146"/>
        <v/>
      </c>
      <c r="W416" s="70" t="str">
        <f t="shared" si="147"/>
        <v/>
      </c>
      <c r="X416" s="70" t="str">
        <f t="shared" si="148"/>
        <v/>
      </c>
      <c r="Y416" s="70" t="str">
        <f>IF(AND($A416&lt;&gt;"",$E416&gt;0),isLaptopBag($C416,$J416)*$D416,"")</f>
        <v/>
      </c>
      <c r="Z416" s="70" t="str">
        <f t="shared" si="149"/>
        <v/>
      </c>
      <c r="AA416" s="70" t="str">
        <f t="shared" si="150"/>
        <v/>
      </c>
      <c r="AB416" s="70" t="str">
        <f t="shared" si="151"/>
        <v/>
      </c>
      <c r="AC416" s="70" t="str">
        <f t="shared" si="152"/>
        <v/>
      </c>
      <c r="AD416" s="70" t="str">
        <f t="shared" si="153"/>
        <v/>
      </c>
      <c r="AE416" s="70" t="str">
        <f t="shared" si="154"/>
        <v/>
      </c>
      <c r="AF416" s="16"/>
      <c r="AG416" s="23"/>
      <c r="AH416" s="22"/>
      <c r="AJ416" s="83">
        <f t="shared" si="155"/>
        <v>0</v>
      </c>
      <c r="AO416" s="22" t="str">
        <f t="shared" si="156"/>
        <v/>
      </c>
      <c r="AP416" s="22" t="str">
        <f t="shared" si="157"/>
        <v/>
      </c>
    </row>
    <row r="417" spans="1:42" x14ac:dyDescent="0.25">
      <c r="A417" s="10"/>
      <c r="B417" s="10"/>
      <c r="C417" s="10"/>
      <c r="D417" s="10"/>
      <c r="E417" s="10"/>
      <c r="F417" s="10"/>
      <c r="G417" s="10"/>
      <c r="H417" s="17"/>
      <c r="I417" s="10"/>
      <c r="J417" s="10"/>
      <c r="K417" s="16" t="str">
        <f t="shared" si="136"/>
        <v/>
      </c>
      <c r="L417" s="23" t="str">
        <f t="shared" si="137"/>
        <v/>
      </c>
      <c r="M417" s="22" t="str">
        <f t="shared" si="138"/>
        <v/>
      </c>
      <c r="N417" s="72"/>
      <c r="O417" s="16" t="str">
        <f t="shared" si="139"/>
        <v/>
      </c>
      <c r="P417" s="16" t="str">
        <f t="shared" si="140"/>
        <v/>
      </c>
      <c r="Q417" s="16" t="str">
        <f t="shared" si="141"/>
        <v/>
      </c>
      <c r="R417" s="23" t="str">
        <f t="shared" si="142"/>
        <v/>
      </c>
      <c r="S417" s="23" t="str">
        <f t="shared" si="143"/>
        <v/>
      </c>
      <c r="T417" s="23" t="str">
        <f t="shared" si="144"/>
        <v/>
      </c>
      <c r="U417" s="23" t="str">
        <f t="shared" si="145"/>
        <v/>
      </c>
      <c r="V417" s="23" t="str">
        <f t="shared" si="146"/>
        <v/>
      </c>
      <c r="W417" s="70" t="str">
        <f t="shared" si="147"/>
        <v/>
      </c>
      <c r="X417" s="70" t="str">
        <f t="shared" si="148"/>
        <v/>
      </c>
      <c r="Y417" s="70" t="str">
        <f>IF(AND($A417&lt;&gt;"",$E417&gt;0),isLaptopBag($C417,$J417)*$D417,"")</f>
        <v/>
      </c>
      <c r="Z417" s="70" t="str">
        <f t="shared" si="149"/>
        <v/>
      </c>
      <c r="AA417" s="70" t="str">
        <f t="shared" si="150"/>
        <v/>
      </c>
      <c r="AB417" s="70" t="str">
        <f t="shared" si="151"/>
        <v/>
      </c>
      <c r="AC417" s="70" t="str">
        <f t="shared" si="152"/>
        <v/>
      </c>
      <c r="AD417" s="70" t="str">
        <f t="shared" si="153"/>
        <v/>
      </c>
      <c r="AE417" s="70" t="str">
        <f t="shared" si="154"/>
        <v/>
      </c>
      <c r="AF417" s="16"/>
      <c r="AG417" s="23"/>
      <c r="AH417" s="22"/>
      <c r="AJ417" s="83">
        <f t="shared" si="155"/>
        <v>0</v>
      </c>
      <c r="AO417" s="22" t="str">
        <f t="shared" si="156"/>
        <v/>
      </c>
      <c r="AP417" s="22" t="str">
        <f t="shared" si="157"/>
        <v/>
      </c>
    </row>
    <row r="418" spans="1:42" x14ac:dyDescent="0.25">
      <c r="A418" s="10"/>
      <c r="B418" s="10"/>
      <c r="C418" s="10"/>
      <c r="D418" s="10"/>
      <c r="E418" s="10"/>
      <c r="F418" s="10"/>
      <c r="G418" s="10"/>
      <c r="H418" s="17"/>
      <c r="I418" s="10"/>
      <c r="J418" s="10"/>
      <c r="K418" s="16" t="str">
        <f t="shared" si="136"/>
        <v/>
      </c>
      <c r="L418" s="23" t="str">
        <f t="shared" si="137"/>
        <v/>
      </c>
      <c r="M418" s="22" t="str">
        <f t="shared" si="138"/>
        <v/>
      </c>
      <c r="N418" s="72"/>
      <c r="O418" s="16" t="str">
        <f t="shared" si="139"/>
        <v/>
      </c>
      <c r="P418" s="16" t="str">
        <f t="shared" si="140"/>
        <v/>
      </c>
      <c r="Q418" s="16" t="str">
        <f t="shared" si="141"/>
        <v/>
      </c>
      <c r="R418" s="23" t="str">
        <f t="shared" si="142"/>
        <v/>
      </c>
      <c r="S418" s="23" t="str">
        <f t="shared" si="143"/>
        <v/>
      </c>
      <c r="T418" s="23" t="str">
        <f t="shared" si="144"/>
        <v/>
      </c>
      <c r="U418" s="23" t="str">
        <f t="shared" si="145"/>
        <v/>
      </c>
      <c r="V418" s="23" t="str">
        <f t="shared" si="146"/>
        <v/>
      </c>
      <c r="W418" s="70" t="str">
        <f t="shared" si="147"/>
        <v/>
      </c>
      <c r="X418" s="70" t="str">
        <f t="shared" si="148"/>
        <v/>
      </c>
      <c r="Y418" s="70" t="str">
        <f>IF(AND($A418&lt;&gt;"",$E418&gt;0),isLaptopBag($C418,$J418)*$D418,"")</f>
        <v/>
      </c>
      <c r="Z418" s="70" t="str">
        <f t="shared" si="149"/>
        <v/>
      </c>
      <c r="AA418" s="70" t="str">
        <f t="shared" si="150"/>
        <v/>
      </c>
      <c r="AB418" s="70" t="str">
        <f t="shared" si="151"/>
        <v/>
      </c>
      <c r="AC418" s="70" t="str">
        <f t="shared" si="152"/>
        <v/>
      </c>
      <c r="AD418" s="70" t="str">
        <f t="shared" si="153"/>
        <v/>
      </c>
      <c r="AE418" s="70" t="str">
        <f t="shared" si="154"/>
        <v/>
      </c>
      <c r="AF418" s="16"/>
      <c r="AG418" s="23"/>
      <c r="AH418" s="22"/>
      <c r="AJ418" s="83">
        <f t="shared" si="155"/>
        <v>0</v>
      </c>
      <c r="AO418" s="22" t="str">
        <f t="shared" si="156"/>
        <v/>
      </c>
      <c r="AP418" s="22" t="str">
        <f t="shared" si="157"/>
        <v/>
      </c>
    </row>
    <row r="419" spans="1:42" x14ac:dyDescent="0.25">
      <c r="A419" s="10"/>
      <c r="B419" s="10"/>
      <c r="C419" s="10"/>
      <c r="D419" s="10"/>
      <c r="E419" s="10"/>
      <c r="F419" s="10"/>
      <c r="G419" s="10"/>
      <c r="H419" s="17"/>
      <c r="I419" s="10"/>
      <c r="J419" s="10"/>
      <c r="K419" s="16" t="str">
        <f t="shared" si="136"/>
        <v/>
      </c>
      <c r="L419" s="23" t="str">
        <f t="shared" si="137"/>
        <v/>
      </c>
      <c r="M419" s="22" t="str">
        <f t="shared" si="138"/>
        <v/>
      </c>
      <c r="N419" s="72"/>
      <c r="O419" s="16" t="str">
        <f t="shared" si="139"/>
        <v/>
      </c>
      <c r="P419" s="16" t="str">
        <f t="shared" si="140"/>
        <v/>
      </c>
      <c r="Q419" s="16" t="str">
        <f t="shared" si="141"/>
        <v/>
      </c>
      <c r="R419" s="23" t="str">
        <f t="shared" si="142"/>
        <v/>
      </c>
      <c r="S419" s="23" t="str">
        <f t="shared" si="143"/>
        <v/>
      </c>
      <c r="T419" s="23" t="str">
        <f t="shared" si="144"/>
        <v/>
      </c>
      <c r="U419" s="23" t="str">
        <f t="shared" si="145"/>
        <v/>
      </c>
      <c r="V419" s="23" t="str">
        <f t="shared" si="146"/>
        <v/>
      </c>
      <c r="W419" s="70" t="str">
        <f t="shared" si="147"/>
        <v/>
      </c>
      <c r="X419" s="70" t="str">
        <f t="shared" si="148"/>
        <v/>
      </c>
      <c r="Y419" s="70" t="str">
        <f>IF(AND($A419&lt;&gt;"",$E419&gt;0),isLaptopBag($C419,$J419)*$D419,"")</f>
        <v/>
      </c>
      <c r="Z419" s="70" t="str">
        <f t="shared" si="149"/>
        <v/>
      </c>
      <c r="AA419" s="70" t="str">
        <f t="shared" si="150"/>
        <v/>
      </c>
      <c r="AB419" s="70" t="str">
        <f t="shared" si="151"/>
        <v/>
      </c>
      <c r="AC419" s="70" t="str">
        <f t="shared" si="152"/>
        <v/>
      </c>
      <c r="AD419" s="70" t="str">
        <f t="shared" si="153"/>
        <v/>
      </c>
      <c r="AE419" s="70" t="str">
        <f t="shared" si="154"/>
        <v/>
      </c>
      <c r="AF419" s="16"/>
      <c r="AG419" s="23"/>
      <c r="AH419" s="22"/>
      <c r="AJ419" s="83">
        <f t="shared" si="155"/>
        <v>0</v>
      </c>
      <c r="AO419" s="22" t="str">
        <f t="shared" si="156"/>
        <v/>
      </c>
      <c r="AP419" s="22" t="str">
        <f t="shared" si="157"/>
        <v/>
      </c>
    </row>
    <row r="420" spans="1:42" x14ac:dyDescent="0.25">
      <c r="A420" s="10"/>
      <c r="B420" s="10"/>
      <c r="C420" s="10"/>
      <c r="D420" s="10"/>
      <c r="E420" s="10"/>
      <c r="F420" s="10"/>
      <c r="G420" s="10"/>
      <c r="H420" s="17"/>
      <c r="I420" s="10"/>
      <c r="J420" s="10"/>
      <c r="K420" s="16" t="str">
        <f t="shared" si="136"/>
        <v/>
      </c>
      <c r="L420" s="23" t="str">
        <f t="shared" si="137"/>
        <v/>
      </c>
      <c r="M420" s="22" t="str">
        <f t="shared" si="138"/>
        <v/>
      </c>
      <c r="N420" s="72"/>
      <c r="O420" s="16" t="str">
        <f t="shared" si="139"/>
        <v/>
      </c>
      <c r="P420" s="16" t="str">
        <f t="shared" si="140"/>
        <v/>
      </c>
      <c r="Q420" s="16" t="str">
        <f t="shared" si="141"/>
        <v/>
      </c>
      <c r="R420" s="23" t="str">
        <f t="shared" si="142"/>
        <v/>
      </c>
      <c r="S420" s="23" t="str">
        <f t="shared" si="143"/>
        <v/>
      </c>
      <c r="T420" s="23" t="str">
        <f t="shared" si="144"/>
        <v/>
      </c>
      <c r="U420" s="23" t="str">
        <f t="shared" si="145"/>
        <v/>
      </c>
      <c r="V420" s="23" t="str">
        <f t="shared" si="146"/>
        <v/>
      </c>
      <c r="W420" s="70" t="str">
        <f t="shared" si="147"/>
        <v/>
      </c>
      <c r="X420" s="70" t="str">
        <f t="shared" si="148"/>
        <v/>
      </c>
      <c r="Y420" s="70" t="str">
        <f>IF(AND($A420&lt;&gt;"",$E420&gt;0),isLaptopBag($C420,$J420)*$D420,"")</f>
        <v/>
      </c>
      <c r="Z420" s="70" t="str">
        <f t="shared" si="149"/>
        <v/>
      </c>
      <c r="AA420" s="70" t="str">
        <f t="shared" si="150"/>
        <v/>
      </c>
      <c r="AB420" s="70" t="str">
        <f t="shared" si="151"/>
        <v/>
      </c>
      <c r="AC420" s="70" t="str">
        <f t="shared" si="152"/>
        <v/>
      </c>
      <c r="AD420" s="70" t="str">
        <f t="shared" si="153"/>
        <v/>
      </c>
      <c r="AE420" s="70" t="str">
        <f t="shared" si="154"/>
        <v/>
      </c>
      <c r="AF420" s="16"/>
      <c r="AG420" s="23"/>
      <c r="AH420" s="22"/>
      <c r="AJ420" s="83">
        <f t="shared" si="155"/>
        <v>0</v>
      </c>
      <c r="AO420" s="22" t="str">
        <f t="shared" si="156"/>
        <v/>
      </c>
      <c r="AP420" s="22" t="str">
        <f t="shared" si="157"/>
        <v/>
      </c>
    </row>
    <row r="421" spans="1:42" x14ac:dyDescent="0.25">
      <c r="A421" s="10"/>
      <c r="B421" s="10"/>
      <c r="C421" s="10"/>
      <c r="D421" s="10"/>
      <c r="E421" s="10"/>
      <c r="F421" s="10"/>
      <c r="G421" s="10"/>
      <c r="H421" s="17"/>
      <c r="I421" s="10"/>
      <c r="J421" s="10"/>
      <c r="K421" s="16" t="str">
        <f t="shared" si="136"/>
        <v/>
      </c>
      <c r="L421" s="23" t="str">
        <f t="shared" si="137"/>
        <v/>
      </c>
      <c r="M421" s="22" t="str">
        <f t="shared" si="138"/>
        <v/>
      </c>
      <c r="N421" s="72"/>
      <c r="O421" s="16" t="str">
        <f t="shared" si="139"/>
        <v/>
      </c>
      <c r="P421" s="16" t="str">
        <f t="shared" si="140"/>
        <v/>
      </c>
      <c r="Q421" s="16" t="str">
        <f t="shared" si="141"/>
        <v/>
      </c>
      <c r="R421" s="23" t="str">
        <f t="shared" si="142"/>
        <v/>
      </c>
      <c r="S421" s="23" t="str">
        <f t="shared" si="143"/>
        <v/>
      </c>
      <c r="T421" s="23" t="str">
        <f t="shared" si="144"/>
        <v/>
      </c>
      <c r="U421" s="23" t="str">
        <f t="shared" si="145"/>
        <v/>
      </c>
      <c r="V421" s="23" t="str">
        <f t="shared" si="146"/>
        <v/>
      </c>
      <c r="W421" s="70" t="str">
        <f t="shared" si="147"/>
        <v/>
      </c>
      <c r="X421" s="70" t="str">
        <f t="shared" si="148"/>
        <v/>
      </c>
      <c r="Y421" s="70" t="str">
        <f>IF(AND($A421&lt;&gt;"",$E421&gt;0),isLaptopBag($C421,$J421)*$D421,"")</f>
        <v/>
      </c>
      <c r="Z421" s="70" t="str">
        <f t="shared" si="149"/>
        <v/>
      </c>
      <c r="AA421" s="70" t="str">
        <f t="shared" si="150"/>
        <v/>
      </c>
      <c r="AB421" s="70" t="str">
        <f t="shared" si="151"/>
        <v/>
      </c>
      <c r="AC421" s="70" t="str">
        <f t="shared" si="152"/>
        <v/>
      </c>
      <c r="AD421" s="70" t="str">
        <f t="shared" si="153"/>
        <v/>
      </c>
      <c r="AE421" s="70" t="str">
        <f t="shared" si="154"/>
        <v/>
      </c>
      <c r="AF421" s="16"/>
      <c r="AG421" s="23"/>
      <c r="AH421" s="22"/>
      <c r="AJ421" s="83">
        <f t="shared" si="155"/>
        <v>0</v>
      </c>
      <c r="AO421" s="22" t="str">
        <f t="shared" si="156"/>
        <v/>
      </c>
      <c r="AP421" s="22" t="str">
        <f t="shared" si="157"/>
        <v/>
      </c>
    </row>
    <row r="422" spans="1:42" x14ac:dyDescent="0.25">
      <c r="A422" s="10"/>
      <c r="B422" s="10"/>
      <c r="C422" s="10"/>
      <c r="D422" s="10"/>
      <c r="E422" s="10"/>
      <c r="F422" s="10"/>
      <c r="G422" s="10"/>
      <c r="H422" s="17"/>
      <c r="I422" s="10"/>
      <c r="J422" s="10"/>
      <c r="K422" s="16" t="str">
        <f t="shared" si="136"/>
        <v/>
      </c>
      <c r="L422" s="23" t="str">
        <f t="shared" si="137"/>
        <v/>
      </c>
      <c r="M422" s="22" t="str">
        <f t="shared" si="138"/>
        <v/>
      </c>
      <c r="N422" s="72"/>
      <c r="O422" s="16" t="str">
        <f t="shared" si="139"/>
        <v/>
      </c>
      <c r="P422" s="16" t="str">
        <f t="shared" si="140"/>
        <v/>
      </c>
      <c r="Q422" s="16" t="str">
        <f t="shared" si="141"/>
        <v/>
      </c>
      <c r="R422" s="23" t="str">
        <f t="shared" si="142"/>
        <v/>
      </c>
      <c r="S422" s="23" t="str">
        <f t="shared" si="143"/>
        <v/>
      </c>
      <c r="T422" s="23" t="str">
        <f t="shared" si="144"/>
        <v/>
      </c>
      <c r="U422" s="23" t="str">
        <f t="shared" si="145"/>
        <v/>
      </c>
      <c r="V422" s="23" t="str">
        <f t="shared" si="146"/>
        <v/>
      </c>
      <c r="W422" s="70" t="str">
        <f t="shared" si="147"/>
        <v/>
      </c>
      <c r="X422" s="70" t="str">
        <f t="shared" si="148"/>
        <v/>
      </c>
      <c r="Y422" s="70" t="str">
        <f>IF(AND($A422&lt;&gt;"",$E422&gt;0),isLaptopBag($C422,$J422)*$D422,"")</f>
        <v/>
      </c>
      <c r="Z422" s="70" t="str">
        <f t="shared" si="149"/>
        <v/>
      </c>
      <c r="AA422" s="70" t="str">
        <f t="shared" si="150"/>
        <v/>
      </c>
      <c r="AB422" s="70" t="str">
        <f t="shared" si="151"/>
        <v/>
      </c>
      <c r="AC422" s="70" t="str">
        <f t="shared" si="152"/>
        <v/>
      </c>
      <c r="AD422" s="70" t="str">
        <f t="shared" si="153"/>
        <v/>
      </c>
      <c r="AE422" s="70" t="str">
        <f t="shared" si="154"/>
        <v/>
      </c>
      <c r="AF422" s="16"/>
      <c r="AG422" s="23"/>
      <c r="AH422" s="22"/>
      <c r="AJ422" s="83">
        <f t="shared" si="155"/>
        <v>0</v>
      </c>
      <c r="AO422" s="22" t="str">
        <f t="shared" si="156"/>
        <v/>
      </c>
      <c r="AP422" s="22" t="str">
        <f t="shared" si="157"/>
        <v/>
      </c>
    </row>
    <row r="423" spans="1:42" x14ac:dyDescent="0.25">
      <c r="A423" s="10"/>
      <c r="B423" s="10"/>
      <c r="C423" s="10"/>
      <c r="D423" s="10"/>
      <c r="E423" s="10"/>
      <c r="F423" s="10"/>
      <c r="G423" s="10"/>
      <c r="H423" s="17"/>
      <c r="I423" s="10"/>
      <c r="J423" s="10"/>
      <c r="K423" s="16" t="str">
        <f t="shared" si="136"/>
        <v/>
      </c>
      <c r="L423" s="23" t="str">
        <f t="shared" si="137"/>
        <v/>
      </c>
      <c r="M423" s="22" t="str">
        <f t="shared" si="138"/>
        <v/>
      </c>
      <c r="N423" s="72"/>
      <c r="O423" s="16" t="str">
        <f t="shared" si="139"/>
        <v/>
      </c>
      <c r="P423" s="16" t="str">
        <f t="shared" si="140"/>
        <v/>
      </c>
      <c r="Q423" s="16" t="str">
        <f t="shared" si="141"/>
        <v/>
      </c>
      <c r="R423" s="23" t="str">
        <f t="shared" si="142"/>
        <v/>
      </c>
      <c r="S423" s="23" t="str">
        <f t="shared" si="143"/>
        <v/>
      </c>
      <c r="T423" s="23" t="str">
        <f t="shared" si="144"/>
        <v/>
      </c>
      <c r="U423" s="23" t="str">
        <f t="shared" si="145"/>
        <v/>
      </c>
      <c r="V423" s="23" t="str">
        <f t="shared" si="146"/>
        <v/>
      </c>
      <c r="W423" s="70" t="str">
        <f t="shared" si="147"/>
        <v/>
      </c>
      <c r="X423" s="70" t="str">
        <f t="shared" si="148"/>
        <v/>
      </c>
      <c r="Y423" s="70" t="str">
        <f>IF(AND($A423&lt;&gt;"",$E423&gt;0),isLaptopBag($C423,$J423)*$D423,"")</f>
        <v/>
      </c>
      <c r="Z423" s="70" t="str">
        <f t="shared" si="149"/>
        <v/>
      </c>
      <c r="AA423" s="70" t="str">
        <f t="shared" si="150"/>
        <v/>
      </c>
      <c r="AB423" s="70" t="str">
        <f t="shared" si="151"/>
        <v/>
      </c>
      <c r="AC423" s="70" t="str">
        <f t="shared" si="152"/>
        <v/>
      </c>
      <c r="AD423" s="70" t="str">
        <f t="shared" si="153"/>
        <v/>
      </c>
      <c r="AE423" s="70" t="str">
        <f t="shared" si="154"/>
        <v/>
      </c>
      <c r="AF423" s="16"/>
      <c r="AG423" s="23"/>
      <c r="AH423" s="22"/>
      <c r="AJ423" s="83">
        <f t="shared" si="155"/>
        <v>0</v>
      </c>
      <c r="AO423" s="22" t="str">
        <f t="shared" si="156"/>
        <v/>
      </c>
      <c r="AP423" s="22" t="str">
        <f t="shared" si="157"/>
        <v/>
      </c>
    </row>
    <row r="424" spans="1:42" x14ac:dyDescent="0.25">
      <c r="A424" s="10"/>
      <c r="B424" s="10"/>
      <c r="C424" s="10"/>
      <c r="D424" s="10"/>
      <c r="E424" s="10"/>
      <c r="F424" s="10"/>
      <c r="G424" s="10"/>
      <c r="H424" s="17"/>
      <c r="I424" s="10"/>
      <c r="J424" s="10"/>
      <c r="K424" s="16" t="str">
        <f t="shared" si="136"/>
        <v/>
      </c>
      <c r="L424" s="23" t="str">
        <f t="shared" si="137"/>
        <v/>
      </c>
      <c r="M424" s="22" t="str">
        <f t="shared" si="138"/>
        <v/>
      </c>
      <c r="N424" s="72"/>
      <c r="O424" s="16" t="str">
        <f t="shared" si="139"/>
        <v/>
      </c>
      <c r="P424" s="16" t="str">
        <f t="shared" si="140"/>
        <v/>
      </c>
      <c r="Q424" s="16" t="str">
        <f t="shared" si="141"/>
        <v/>
      </c>
      <c r="R424" s="23" t="str">
        <f t="shared" si="142"/>
        <v/>
      </c>
      <c r="S424" s="23" t="str">
        <f t="shared" si="143"/>
        <v/>
      </c>
      <c r="T424" s="23" t="str">
        <f t="shared" si="144"/>
        <v/>
      </c>
      <c r="U424" s="23" t="str">
        <f t="shared" si="145"/>
        <v/>
      </c>
      <c r="V424" s="23" t="str">
        <f t="shared" si="146"/>
        <v/>
      </c>
      <c r="W424" s="70" t="str">
        <f t="shared" si="147"/>
        <v/>
      </c>
      <c r="X424" s="70" t="str">
        <f t="shared" si="148"/>
        <v/>
      </c>
      <c r="Y424" s="70" t="str">
        <f>IF(AND($A424&lt;&gt;"",$E424&gt;0),isLaptopBag($C424,$J424)*$D424,"")</f>
        <v/>
      </c>
      <c r="Z424" s="70" t="str">
        <f t="shared" si="149"/>
        <v/>
      </c>
      <c r="AA424" s="70" t="str">
        <f t="shared" si="150"/>
        <v/>
      </c>
      <c r="AB424" s="70" t="str">
        <f t="shared" si="151"/>
        <v/>
      </c>
      <c r="AC424" s="70" t="str">
        <f t="shared" si="152"/>
        <v/>
      </c>
      <c r="AD424" s="70" t="str">
        <f t="shared" si="153"/>
        <v/>
      </c>
      <c r="AE424" s="70" t="str">
        <f t="shared" si="154"/>
        <v/>
      </c>
      <c r="AF424" s="16"/>
      <c r="AG424" s="23"/>
      <c r="AH424" s="22"/>
      <c r="AJ424" s="83">
        <f t="shared" si="155"/>
        <v>0</v>
      </c>
      <c r="AO424" s="22" t="str">
        <f t="shared" si="156"/>
        <v/>
      </c>
      <c r="AP424" s="22" t="str">
        <f t="shared" si="157"/>
        <v/>
      </c>
    </row>
    <row r="425" spans="1:42" x14ac:dyDescent="0.25">
      <c r="A425" s="10"/>
      <c r="B425" s="10"/>
      <c r="C425" s="10"/>
      <c r="D425" s="10"/>
      <c r="E425" s="10"/>
      <c r="F425" s="10"/>
      <c r="G425" s="10"/>
      <c r="H425" s="17"/>
      <c r="I425" s="10"/>
      <c r="J425" s="10"/>
      <c r="K425" s="16" t="str">
        <f t="shared" si="136"/>
        <v/>
      </c>
      <c r="L425" s="23" t="str">
        <f t="shared" si="137"/>
        <v/>
      </c>
      <c r="M425" s="22" t="str">
        <f t="shared" si="138"/>
        <v/>
      </c>
      <c r="N425" s="72"/>
      <c r="O425" s="16" t="str">
        <f t="shared" si="139"/>
        <v/>
      </c>
      <c r="P425" s="16" t="str">
        <f t="shared" si="140"/>
        <v/>
      </c>
      <c r="Q425" s="16" t="str">
        <f t="shared" si="141"/>
        <v/>
      </c>
      <c r="R425" s="23" t="str">
        <f t="shared" si="142"/>
        <v/>
      </c>
      <c r="S425" s="23" t="str">
        <f t="shared" si="143"/>
        <v/>
      </c>
      <c r="T425" s="23" t="str">
        <f t="shared" si="144"/>
        <v/>
      </c>
      <c r="U425" s="23" t="str">
        <f t="shared" si="145"/>
        <v/>
      </c>
      <c r="V425" s="23" t="str">
        <f t="shared" si="146"/>
        <v/>
      </c>
      <c r="W425" s="70" t="str">
        <f t="shared" si="147"/>
        <v/>
      </c>
      <c r="X425" s="70" t="str">
        <f t="shared" si="148"/>
        <v/>
      </c>
      <c r="Y425" s="70" t="str">
        <f>IF(AND($A425&lt;&gt;"",$E425&gt;0),isLaptopBag($C425,$J425)*$D425,"")</f>
        <v/>
      </c>
      <c r="Z425" s="70" t="str">
        <f t="shared" si="149"/>
        <v/>
      </c>
      <c r="AA425" s="70" t="str">
        <f t="shared" si="150"/>
        <v/>
      </c>
      <c r="AB425" s="70" t="str">
        <f t="shared" si="151"/>
        <v/>
      </c>
      <c r="AC425" s="70" t="str">
        <f t="shared" si="152"/>
        <v/>
      </c>
      <c r="AD425" s="70" t="str">
        <f t="shared" si="153"/>
        <v/>
      </c>
      <c r="AE425" s="70" t="str">
        <f t="shared" si="154"/>
        <v/>
      </c>
      <c r="AF425" s="16"/>
      <c r="AG425" s="23"/>
      <c r="AH425" s="22"/>
      <c r="AJ425" s="83">
        <f t="shared" si="155"/>
        <v>0</v>
      </c>
      <c r="AO425" s="22" t="str">
        <f t="shared" si="156"/>
        <v/>
      </c>
      <c r="AP425" s="22" t="str">
        <f t="shared" si="157"/>
        <v/>
      </c>
    </row>
    <row r="426" spans="1:42" x14ac:dyDescent="0.25">
      <c r="A426" s="10"/>
      <c r="B426" s="10"/>
      <c r="C426" s="10"/>
      <c r="D426" s="10"/>
      <c r="E426" s="10"/>
      <c r="F426" s="10"/>
      <c r="G426" s="10"/>
      <c r="H426" s="17"/>
      <c r="I426" s="10"/>
      <c r="J426" s="10"/>
      <c r="K426" s="16" t="str">
        <f t="shared" si="136"/>
        <v/>
      </c>
      <c r="L426" s="23" t="str">
        <f t="shared" si="137"/>
        <v/>
      </c>
      <c r="M426" s="22" t="str">
        <f t="shared" si="138"/>
        <v/>
      </c>
      <c r="N426" s="72"/>
      <c r="O426" s="16" t="str">
        <f t="shared" si="139"/>
        <v/>
      </c>
      <c r="P426" s="16" t="str">
        <f t="shared" si="140"/>
        <v/>
      </c>
      <c r="Q426" s="16" t="str">
        <f t="shared" si="141"/>
        <v/>
      </c>
      <c r="R426" s="23" t="str">
        <f t="shared" si="142"/>
        <v/>
      </c>
      <c r="S426" s="23" t="str">
        <f t="shared" si="143"/>
        <v/>
      </c>
      <c r="T426" s="23" t="str">
        <f t="shared" si="144"/>
        <v/>
      </c>
      <c r="U426" s="23" t="str">
        <f t="shared" si="145"/>
        <v/>
      </c>
      <c r="V426" s="23" t="str">
        <f t="shared" si="146"/>
        <v/>
      </c>
      <c r="W426" s="70" t="str">
        <f t="shared" si="147"/>
        <v/>
      </c>
      <c r="X426" s="70" t="str">
        <f t="shared" si="148"/>
        <v/>
      </c>
      <c r="Y426" s="70" t="str">
        <f>IF(AND($A426&lt;&gt;"",$E426&gt;0),isLaptopBag($C426,$J426)*$D426,"")</f>
        <v/>
      </c>
      <c r="Z426" s="70" t="str">
        <f t="shared" si="149"/>
        <v/>
      </c>
      <c r="AA426" s="70" t="str">
        <f t="shared" si="150"/>
        <v/>
      </c>
      <c r="AB426" s="70" t="str">
        <f t="shared" si="151"/>
        <v/>
      </c>
      <c r="AC426" s="70" t="str">
        <f t="shared" si="152"/>
        <v/>
      </c>
      <c r="AD426" s="70" t="str">
        <f t="shared" si="153"/>
        <v/>
      </c>
      <c r="AE426" s="70" t="str">
        <f t="shared" si="154"/>
        <v/>
      </c>
      <c r="AF426" s="16"/>
      <c r="AG426" s="23"/>
      <c r="AH426" s="22"/>
      <c r="AJ426" s="83">
        <f t="shared" si="155"/>
        <v>0</v>
      </c>
      <c r="AO426" s="22" t="str">
        <f t="shared" si="156"/>
        <v/>
      </c>
      <c r="AP426" s="22" t="str">
        <f t="shared" si="157"/>
        <v/>
      </c>
    </row>
    <row r="427" spans="1:42" x14ac:dyDescent="0.25">
      <c r="A427" s="10"/>
      <c r="B427" s="10"/>
      <c r="C427" s="10"/>
      <c r="D427" s="10"/>
      <c r="E427" s="10"/>
      <c r="F427" s="10"/>
      <c r="G427" s="10"/>
      <c r="H427" s="17"/>
      <c r="I427" s="10"/>
      <c r="J427" s="10"/>
      <c r="K427" s="16" t="str">
        <f t="shared" si="136"/>
        <v/>
      </c>
      <c r="L427" s="23" t="str">
        <f t="shared" si="137"/>
        <v/>
      </c>
      <c r="M427" s="22" t="str">
        <f t="shared" si="138"/>
        <v/>
      </c>
      <c r="N427" s="72"/>
      <c r="O427" s="16" t="str">
        <f t="shared" si="139"/>
        <v/>
      </c>
      <c r="P427" s="16" t="str">
        <f t="shared" si="140"/>
        <v/>
      </c>
      <c r="Q427" s="16" t="str">
        <f t="shared" si="141"/>
        <v/>
      </c>
      <c r="R427" s="23" t="str">
        <f t="shared" si="142"/>
        <v/>
      </c>
      <c r="S427" s="23" t="str">
        <f t="shared" si="143"/>
        <v/>
      </c>
      <c r="T427" s="23" t="str">
        <f t="shared" si="144"/>
        <v/>
      </c>
      <c r="U427" s="23" t="str">
        <f t="shared" si="145"/>
        <v/>
      </c>
      <c r="V427" s="23" t="str">
        <f t="shared" si="146"/>
        <v/>
      </c>
      <c r="W427" s="70" t="str">
        <f t="shared" si="147"/>
        <v/>
      </c>
      <c r="X427" s="70" t="str">
        <f t="shared" si="148"/>
        <v/>
      </c>
      <c r="Y427" s="70" t="str">
        <f>IF(AND($A427&lt;&gt;"",$E427&gt;0),isLaptopBag($C427,$J427)*$D427,"")</f>
        <v/>
      </c>
      <c r="Z427" s="70" t="str">
        <f t="shared" si="149"/>
        <v/>
      </c>
      <c r="AA427" s="70" t="str">
        <f t="shared" si="150"/>
        <v/>
      </c>
      <c r="AB427" s="70" t="str">
        <f t="shared" si="151"/>
        <v/>
      </c>
      <c r="AC427" s="70" t="str">
        <f t="shared" si="152"/>
        <v/>
      </c>
      <c r="AD427" s="70" t="str">
        <f t="shared" si="153"/>
        <v/>
      </c>
      <c r="AE427" s="70" t="str">
        <f t="shared" si="154"/>
        <v/>
      </c>
      <c r="AF427" s="16"/>
      <c r="AG427" s="23"/>
      <c r="AH427" s="22"/>
      <c r="AJ427" s="83">
        <f t="shared" si="155"/>
        <v>0</v>
      </c>
      <c r="AO427" s="22" t="str">
        <f t="shared" si="156"/>
        <v/>
      </c>
      <c r="AP427" s="22" t="str">
        <f t="shared" si="157"/>
        <v/>
      </c>
    </row>
    <row r="428" spans="1:42" x14ac:dyDescent="0.25">
      <c r="A428" s="10"/>
      <c r="B428" s="10"/>
      <c r="C428" s="10"/>
      <c r="D428" s="10"/>
      <c r="E428" s="10"/>
      <c r="F428" s="10"/>
      <c r="G428" s="10"/>
      <c r="H428" s="17"/>
      <c r="I428" s="10"/>
      <c r="J428" s="10"/>
      <c r="K428" s="16" t="str">
        <f t="shared" si="136"/>
        <v/>
      </c>
      <c r="L428" s="23" t="str">
        <f t="shared" si="137"/>
        <v/>
      </c>
      <c r="M428" s="22" t="str">
        <f t="shared" si="138"/>
        <v/>
      </c>
      <c r="N428" s="72"/>
      <c r="O428" s="16" t="str">
        <f t="shared" si="139"/>
        <v/>
      </c>
      <c r="P428" s="16" t="str">
        <f t="shared" si="140"/>
        <v/>
      </c>
      <c r="Q428" s="16" t="str">
        <f t="shared" si="141"/>
        <v/>
      </c>
      <c r="R428" s="23" t="str">
        <f t="shared" si="142"/>
        <v/>
      </c>
      <c r="S428" s="23" t="str">
        <f t="shared" si="143"/>
        <v/>
      </c>
      <c r="T428" s="23" t="str">
        <f t="shared" si="144"/>
        <v/>
      </c>
      <c r="U428" s="23" t="str">
        <f t="shared" si="145"/>
        <v/>
      </c>
      <c r="V428" s="23" t="str">
        <f t="shared" si="146"/>
        <v/>
      </c>
      <c r="W428" s="70" t="str">
        <f t="shared" si="147"/>
        <v/>
      </c>
      <c r="X428" s="70" t="str">
        <f t="shared" si="148"/>
        <v/>
      </c>
      <c r="Y428" s="70" t="str">
        <f>IF(AND($A428&lt;&gt;"",$E428&gt;0),isLaptopBag($C428,$J428)*$D428,"")</f>
        <v/>
      </c>
      <c r="Z428" s="70" t="str">
        <f t="shared" si="149"/>
        <v/>
      </c>
      <c r="AA428" s="70" t="str">
        <f t="shared" si="150"/>
        <v/>
      </c>
      <c r="AB428" s="70" t="str">
        <f t="shared" si="151"/>
        <v/>
      </c>
      <c r="AC428" s="70" t="str">
        <f t="shared" si="152"/>
        <v/>
      </c>
      <c r="AD428" s="70" t="str">
        <f t="shared" si="153"/>
        <v/>
      </c>
      <c r="AE428" s="70" t="str">
        <f t="shared" si="154"/>
        <v/>
      </c>
      <c r="AF428" s="16"/>
      <c r="AG428" s="23"/>
      <c r="AH428" s="22"/>
      <c r="AJ428" s="83">
        <f t="shared" si="155"/>
        <v>0</v>
      </c>
      <c r="AO428" s="22" t="str">
        <f t="shared" si="156"/>
        <v/>
      </c>
      <c r="AP428" s="22" t="str">
        <f t="shared" si="157"/>
        <v/>
      </c>
    </row>
    <row r="429" spans="1:42" x14ac:dyDescent="0.25">
      <c r="A429" s="10"/>
      <c r="B429" s="10"/>
      <c r="C429" s="10"/>
      <c r="D429" s="10"/>
      <c r="E429" s="10"/>
      <c r="F429" s="10"/>
      <c r="G429" s="10"/>
      <c r="H429" s="17"/>
      <c r="I429" s="10"/>
      <c r="J429" s="10"/>
      <c r="K429" s="16" t="str">
        <f t="shared" si="136"/>
        <v/>
      </c>
      <c r="L429" s="23" t="str">
        <f t="shared" si="137"/>
        <v/>
      </c>
      <c r="M429" s="22" t="str">
        <f t="shared" si="138"/>
        <v/>
      </c>
      <c r="N429" s="72"/>
      <c r="O429" s="16" t="str">
        <f t="shared" si="139"/>
        <v/>
      </c>
      <c r="P429" s="16" t="str">
        <f t="shared" si="140"/>
        <v/>
      </c>
      <c r="Q429" s="16" t="str">
        <f t="shared" si="141"/>
        <v/>
      </c>
      <c r="R429" s="23" t="str">
        <f t="shared" si="142"/>
        <v/>
      </c>
      <c r="S429" s="23" t="str">
        <f t="shared" si="143"/>
        <v/>
      </c>
      <c r="T429" s="23" t="str">
        <f t="shared" si="144"/>
        <v/>
      </c>
      <c r="U429" s="23" t="str">
        <f t="shared" si="145"/>
        <v/>
      </c>
      <c r="V429" s="23" t="str">
        <f t="shared" si="146"/>
        <v/>
      </c>
      <c r="W429" s="70" t="str">
        <f t="shared" si="147"/>
        <v/>
      </c>
      <c r="X429" s="70" t="str">
        <f t="shared" si="148"/>
        <v/>
      </c>
      <c r="Y429" s="70" t="str">
        <f>IF(AND($A429&lt;&gt;"",$E429&gt;0),isLaptopBag($C429,$J429)*$D429,"")</f>
        <v/>
      </c>
      <c r="Z429" s="70" t="str">
        <f t="shared" si="149"/>
        <v/>
      </c>
      <c r="AA429" s="70" t="str">
        <f t="shared" si="150"/>
        <v/>
      </c>
      <c r="AB429" s="70" t="str">
        <f t="shared" si="151"/>
        <v/>
      </c>
      <c r="AC429" s="70" t="str">
        <f t="shared" si="152"/>
        <v/>
      </c>
      <c r="AD429" s="70" t="str">
        <f t="shared" si="153"/>
        <v/>
      </c>
      <c r="AE429" s="70" t="str">
        <f t="shared" si="154"/>
        <v/>
      </c>
      <c r="AF429" s="16"/>
      <c r="AG429" s="23"/>
      <c r="AH429" s="22"/>
      <c r="AJ429" s="83">
        <f t="shared" si="155"/>
        <v>0</v>
      </c>
      <c r="AO429" s="22" t="str">
        <f t="shared" si="156"/>
        <v/>
      </c>
      <c r="AP429" s="22" t="str">
        <f t="shared" si="157"/>
        <v/>
      </c>
    </row>
    <row r="430" spans="1:42" x14ac:dyDescent="0.25">
      <c r="A430" s="10"/>
      <c r="B430" s="10"/>
      <c r="C430" s="10"/>
      <c r="D430" s="10"/>
      <c r="E430" s="10"/>
      <c r="F430" s="10"/>
      <c r="G430" s="10"/>
      <c r="H430" s="17"/>
      <c r="I430" s="10"/>
      <c r="J430" s="10"/>
      <c r="K430" s="16" t="str">
        <f t="shared" si="136"/>
        <v/>
      </c>
      <c r="L430" s="23" t="str">
        <f t="shared" si="137"/>
        <v/>
      </c>
      <c r="M430" s="22" t="str">
        <f t="shared" si="138"/>
        <v/>
      </c>
      <c r="N430" s="72"/>
      <c r="O430" s="16" t="str">
        <f t="shared" si="139"/>
        <v/>
      </c>
      <c r="P430" s="16" t="str">
        <f t="shared" si="140"/>
        <v/>
      </c>
      <c r="Q430" s="16" t="str">
        <f t="shared" si="141"/>
        <v/>
      </c>
      <c r="R430" s="23" t="str">
        <f t="shared" si="142"/>
        <v/>
      </c>
      <c r="S430" s="23" t="str">
        <f t="shared" si="143"/>
        <v/>
      </c>
      <c r="T430" s="23" t="str">
        <f t="shared" si="144"/>
        <v/>
      </c>
      <c r="U430" s="23" t="str">
        <f t="shared" si="145"/>
        <v/>
      </c>
      <c r="V430" s="23" t="str">
        <f t="shared" si="146"/>
        <v/>
      </c>
      <c r="W430" s="70" t="str">
        <f t="shared" si="147"/>
        <v/>
      </c>
      <c r="X430" s="70" t="str">
        <f t="shared" si="148"/>
        <v/>
      </c>
      <c r="Y430" s="70" t="str">
        <f>IF(AND($A430&lt;&gt;"",$E430&gt;0),isLaptopBag($C430,$J430)*$D430,"")</f>
        <v/>
      </c>
      <c r="Z430" s="70" t="str">
        <f t="shared" si="149"/>
        <v/>
      </c>
      <c r="AA430" s="70" t="str">
        <f t="shared" si="150"/>
        <v/>
      </c>
      <c r="AB430" s="70" t="str">
        <f t="shared" si="151"/>
        <v/>
      </c>
      <c r="AC430" s="70" t="str">
        <f t="shared" si="152"/>
        <v/>
      </c>
      <c r="AD430" s="70" t="str">
        <f t="shared" si="153"/>
        <v/>
      </c>
      <c r="AE430" s="70" t="str">
        <f t="shared" si="154"/>
        <v/>
      </c>
      <c r="AF430" s="16"/>
      <c r="AG430" s="23"/>
      <c r="AH430" s="22"/>
      <c r="AJ430" s="83">
        <f t="shared" si="155"/>
        <v>0</v>
      </c>
      <c r="AO430" s="22" t="str">
        <f t="shared" si="156"/>
        <v/>
      </c>
      <c r="AP430" s="22" t="str">
        <f t="shared" si="157"/>
        <v/>
      </c>
    </row>
    <row r="431" spans="1:42" x14ac:dyDescent="0.25">
      <c r="A431" s="10"/>
      <c r="B431" s="10"/>
      <c r="C431" s="10"/>
      <c r="D431" s="10"/>
      <c r="E431" s="10"/>
      <c r="F431" s="10"/>
      <c r="G431" s="10"/>
      <c r="H431" s="17"/>
      <c r="I431" s="10"/>
      <c r="J431" s="10"/>
      <c r="K431" s="16" t="str">
        <f t="shared" si="136"/>
        <v/>
      </c>
      <c r="L431" s="23" t="str">
        <f t="shared" si="137"/>
        <v/>
      </c>
      <c r="M431" s="22" t="str">
        <f t="shared" si="138"/>
        <v/>
      </c>
      <c r="N431" s="72"/>
      <c r="O431" s="16" t="str">
        <f t="shared" si="139"/>
        <v/>
      </c>
      <c r="P431" s="16" t="str">
        <f t="shared" si="140"/>
        <v/>
      </c>
      <c r="Q431" s="16" t="str">
        <f t="shared" si="141"/>
        <v/>
      </c>
      <c r="R431" s="23" t="str">
        <f t="shared" si="142"/>
        <v/>
      </c>
      <c r="S431" s="23" t="str">
        <f t="shared" si="143"/>
        <v/>
      </c>
      <c r="T431" s="23" t="str">
        <f t="shared" si="144"/>
        <v/>
      </c>
      <c r="U431" s="23" t="str">
        <f t="shared" si="145"/>
        <v/>
      </c>
      <c r="V431" s="23" t="str">
        <f t="shared" si="146"/>
        <v/>
      </c>
      <c r="W431" s="70" t="str">
        <f t="shared" si="147"/>
        <v/>
      </c>
      <c r="X431" s="70" t="str">
        <f t="shared" si="148"/>
        <v/>
      </c>
      <c r="Y431" s="70" t="str">
        <f>IF(AND($A431&lt;&gt;"",$E431&gt;0),isLaptopBag($C431,$J431)*$D431,"")</f>
        <v/>
      </c>
      <c r="Z431" s="70" t="str">
        <f t="shared" si="149"/>
        <v/>
      </c>
      <c r="AA431" s="70" t="str">
        <f t="shared" si="150"/>
        <v/>
      </c>
      <c r="AB431" s="70" t="str">
        <f t="shared" si="151"/>
        <v/>
      </c>
      <c r="AC431" s="70" t="str">
        <f t="shared" si="152"/>
        <v/>
      </c>
      <c r="AD431" s="70" t="str">
        <f t="shared" si="153"/>
        <v/>
      </c>
      <c r="AE431" s="70" t="str">
        <f t="shared" si="154"/>
        <v/>
      </c>
      <c r="AF431" s="16"/>
      <c r="AG431" s="23"/>
      <c r="AH431" s="22"/>
      <c r="AJ431" s="83">
        <f t="shared" si="155"/>
        <v>0</v>
      </c>
      <c r="AO431" s="22" t="str">
        <f t="shared" si="156"/>
        <v/>
      </c>
      <c r="AP431" s="22" t="str">
        <f t="shared" si="157"/>
        <v/>
      </c>
    </row>
    <row r="432" spans="1:42" x14ac:dyDescent="0.25">
      <c r="A432" s="10"/>
      <c r="B432" s="10"/>
      <c r="C432" s="10"/>
      <c r="D432" s="10"/>
      <c r="E432" s="10"/>
      <c r="F432" s="10"/>
      <c r="G432" s="10"/>
      <c r="H432" s="17"/>
      <c r="I432" s="10"/>
      <c r="J432" s="10"/>
      <c r="K432" s="16" t="str">
        <f t="shared" si="136"/>
        <v/>
      </c>
      <c r="L432" s="23" t="str">
        <f t="shared" si="137"/>
        <v/>
      </c>
      <c r="M432" s="22" t="str">
        <f t="shared" si="138"/>
        <v/>
      </c>
      <c r="N432" s="72"/>
      <c r="O432" s="16" t="str">
        <f t="shared" si="139"/>
        <v/>
      </c>
      <c r="P432" s="16" t="str">
        <f t="shared" si="140"/>
        <v/>
      </c>
      <c r="Q432" s="16" t="str">
        <f t="shared" si="141"/>
        <v/>
      </c>
      <c r="R432" s="23" t="str">
        <f t="shared" si="142"/>
        <v/>
      </c>
      <c r="S432" s="23" t="str">
        <f t="shared" si="143"/>
        <v/>
      </c>
      <c r="T432" s="23" t="str">
        <f t="shared" si="144"/>
        <v/>
      </c>
      <c r="U432" s="23" t="str">
        <f t="shared" si="145"/>
        <v/>
      </c>
      <c r="V432" s="23" t="str">
        <f t="shared" si="146"/>
        <v/>
      </c>
      <c r="W432" s="70" t="str">
        <f t="shared" si="147"/>
        <v/>
      </c>
      <c r="X432" s="70" t="str">
        <f t="shared" si="148"/>
        <v/>
      </c>
      <c r="Y432" s="70" t="str">
        <f>IF(AND($A432&lt;&gt;"",$E432&gt;0),isLaptopBag($C432,$J432)*$D432,"")</f>
        <v/>
      </c>
      <c r="Z432" s="70" t="str">
        <f t="shared" si="149"/>
        <v/>
      </c>
      <c r="AA432" s="70" t="str">
        <f t="shared" si="150"/>
        <v/>
      </c>
      <c r="AB432" s="70" t="str">
        <f t="shared" si="151"/>
        <v/>
      </c>
      <c r="AC432" s="70" t="str">
        <f t="shared" si="152"/>
        <v/>
      </c>
      <c r="AD432" s="70" t="str">
        <f t="shared" si="153"/>
        <v/>
      </c>
      <c r="AE432" s="70" t="str">
        <f t="shared" si="154"/>
        <v/>
      </c>
      <c r="AF432" s="16"/>
      <c r="AG432" s="23"/>
      <c r="AH432" s="22"/>
      <c r="AJ432" s="83">
        <f t="shared" si="155"/>
        <v>0</v>
      </c>
      <c r="AO432" s="22" t="str">
        <f t="shared" si="156"/>
        <v/>
      </c>
      <c r="AP432" s="22" t="str">
        <f t="shared" si="157"/>
        <v/>
      </c>
    </row>
    <row r="433" spans="1:42" x14ac:dyDescent="0.25">
      <c r="A433" s="10"/>
      <c r="B433" s="10"/>
      <c r="C433" s="10"/>
      <c r="D433" s="10"/>
      <c r="E433" s="10"/>
      <c r="F433" s="10"/>
      <c r="G433" s="10"/>
      <c r="H433" s="17"/>
      <c r="I433" s="10"/>
      <c r="J433" s="10"/>
      <c r="K433" s="16" t="str">
        <f t="shared" si="136"/>
        <v/>
      </c>
      <c r="L433" s="23" t="str">
        <f t="shared" si="137"/>
        <v/>
      </c>
      <c r="M433" s="22" t="str">
        <f t="shared" si="138"/>
        <v/>
      </c>
      <c r="N433" s="72"/>
      <c r="O433" s="16" t="str">
        <f t="shared" si="139"/>
        <v/>
      </c>
      <c r="P433" s="16" t="str">
        <f t="shared" si="140"/>
        <v/>
      </c>
      <c r="Q433" s="16" t="str">
        <f t="shared" si="141"/>
        <v/>
      </c>
      <c r="R433" s="23" t="str">
        <f t="shared" si="142"/>
        <v/>
      </c>
      <c r="S433" s="23" t="str">
        <f t="shared" si="143"/>
        <v/>
      </c>
      <c r="T433" s="23" t="str">
        <f t="shared" si="144"/>
        <v/>
      </c>
      <c r="U433" s="23" t="str">
        <f t="shared" si="145"/>
        <v/>
      </c>
      <c r="V433" s="23" t="str">
        <f t="shared" si="146"/>
        <v/>
      </c>
      <c r="W433" s="70" t="str">
        <f t="shared" si="147"/>
        <v/>
      </c>
      <c r="X433" s="70" t="str">
        <f t="shared" si="148"/>
        <v/>
      </c>
      <c r="Y433" s="70" t="str">
        <f>IF(AND($A433&lt;&gt;"",$E433&gt;0),isLaptopBag($C433,$J433)*$D433,"")</f>
        <v/>
      </c>
      <c r="Z433" s="70" t="str">
        <f t="shared" si="149"/>
        <v/>
      </c>
      <c r="AA433" s="70" t="str">
        <f t="shared" si="150"/>
        <v/>
      </c>
      <c r="AB433" s="70" t="str">
        <f t="shared" si="151"/>
        <v/>
      </c>
      <c r="AC433" s="70" t="str">
        <f t="shared" si="152"/>
        <v/>
      </c>
      <c r="AD433" s="70" t="str">
        <f t="shared" si="153"/>
        <v/>
      </c>
      <c r="AE433" s="70" t="str">
        <f t="shared" si="154"/>
        <v/>
      </c>
      <c r="AF433" s="16"/>
      <c r="AG433" s="23"/>
      <c r="AH433" s="22"/>
      <c r="AJ433" s="83">
        <f t="shared" si="155"/>
        <v>0</v>
      </c>
      <c r="AO433" s="22" t="str">
        <f t="shared" si="156"/>
        <v/>
      </c>
      <c r="AP433" s="22" t="str">
        <f t="shared" si="157"/>
        <v/>
      </c>
    </row>
    <row r="434" spans="1:42" x14ac:dyDescent="0.25">
      <c r="A434" s="10"/>
      <c r="B434" s="10"/>
      <c r="C434" s="10"/>
      <c r="D434" s="10"/>
      <c r="E434" s="10"/>
      <c r="F434" s="10"/>
      <c r="G434" s="10"/>
      <c r="H434" s="17"/>
      <c r="I434" s="10"/>
      <c r="J434" s="10"/>
      <c r="K434" s="16" t="str">
        <f t="shared" si="136"/>
        <v/>
      </c>
      <c r="L434" s="23" t="str">
        <f t="shared" si="137"/>
        <v/>
      </c>
      <c r="M434" s="22" t="str">
        <f t="shared" si="138"/>
        <v/>
      </c>
      <c r="N434" s="72"/>
      <c r="O434" s="16" t="str">
        <f t="shared" si="139"/>
        <v/>
      </c>
      <c r="P434" s="16" t="str">
        <f t="shared" si="140"/>
        <v/>
      </c>
      <c r="Q434" s="16" t="str">
        <f t="shared" si="141"/>
        <v/>
      </c>
      <c r="R434" s="23" t="str">
        <f t="shared" si="142"/>
        <v/>
      </c>
      <c r="S434" s="23" t="str">
        <f t="shared" si="143"/>
        <v/>
      </c>
      <c r="T434" s="23" t="str">
        <f t="shared" si="144"/>
        <v/>
      </c>
      <c r="U434" s="23" t="str">
        <f t="shared" si="145"/>
        <v/>
      </c>
      <c r="V434" s="23" t="str">
        <f t="shared" si="146"/>
        <v/>
      </c>
      <c r="W434" s="70" t="str">
        <f t="shared" si="147"/>
        <v/>
      </c>
      <c r="X434" s="70" t="str">
        <f t="shared" si="148"/>
        <v/>
      </c>
      <c r="Y434" s="70" t="str">
        <f>IF(AND($A434&lt;&gt;"",$E434&gt;0),isLaptopBag($C434,$J434)*$D434,"")</f>
        <v/>
      </c>
      <c r="Z434" s="70" t="str">
        <f t="shared" si="149"/>
        <v/>
      </c>
      <c r="AA434" s="70" t="str">
        <f t="shared" si="150"/>
        <v/>
      </c>
      <c r="AB434" s="70" t="str">
        <f t="shared" si="151"/>
        <v/>
      </c>
      <c r="AC434" s="70" t="str">
        <f t="shared" si="152"/>
        <v/>
      </c>
      <c r="AD434" s="70" t="str">
        <f t="shared" si="153"/>
        <v/>
      </c>
      <c r="AE434" s="70" t="str">
        <f t="shared" si="154"/>
        <v/>
      </c>
      <c r="AF434" s="16"/>
      <c r="AG434" s="23"/>
      <c r="AH434" s="22"/>
      <c r="AJ434" s="83">
        <f t="shared" si="155"/>
        <v>0</v>
      </c>
      <c r="AO434" s="22" t="str">
        <f t="shared" si="156"/>
        <v/>
      </c>
      <c r="AP434" s="22" t="str">
        <f t="shared" si="157"/>
        <v/>
      </c>
    </row>
    <row r="435" spans="1:42" x14ac:dyDescent="0.25">
      <c r="A435" s="10"/>
      <c r="B435" s="10"/>
      <c r="C435" s="10"/>
      <c r="D435" s="10"/>
      <c r="E435" s="10"/>
      <c r="F435" s="10"/>
      <c r="G435" s="10"/>
      <c r="H435" s="17"/>
      <c r="I435" s="10"/>
      <c r="J435" s="10"/>
      <c r="K435" s="16" t="str">
        <f t="shared" si="136"/>
        <v/>
      </c>
      <c r="L435" s="23" t="str">
        <f t="shared" si="137"/>
        <v/>
      </c>
      <c r="M435" s="22" t="str">
        <f t="shared" si="138"/>
        <v/>
      </c>
      <c r="N435" s="72"/>
      <c r="O435" s="16" t="str">
        <f t="shared" si="139"/>
        <v/>
      </c>
      <c r="P435" s="16" t="str">
        <f t="shared" si="140"/>
        <v/>
      </c>
      <c r="Q435" s="16" t="str">
        <f t="shared" si="141"/>
        <v/>
      </c>
      <c r="R435" s="23" t="str">
        <f t="shared" si="142"/>
        <v/>
      </c>
      <c r="S435" s="23" t="str">
        <f t="shared" si="143"/>
        <v/>
      </c>
      <c r="T435" s="23" t="str">
        <f t="shared" si="144"/>
        <v/>
      </c>
      <c r="U435" s="23" t="str">
        <f t="shared" si="145"/>
        <v/>
      </c>
      <c r="V435" s="23" t="str">
        <f t="shared" si="146"/>
        <v/>
      </c>
      <c r="W435" s="70" t="str">
        <f t="shared" si="147"/>
        <v/>
      </c>
      <c r="X435" s="70" t="str">
        <f t="shared" si="148"/>
        <v/>
      </c>
      <c r="Y435" s="70" t="str">
        <f>IF(AND($A435&lt;&gt;"",$E435&gt;0),isLaptopBag($C435,$J435)*$D435,"")</f>
        <v/>
      </c>
      <c r="Z435" s="70" t="str">
        <f t="shared" si="149"/>
        <v/>
      </c>
      <c r="AA435" s="70" t="str">
        <f t="shared" si="150"/>
        <v/>
      </c>
      <c r="AB435" s="70" t="str">
        <f t="shared" si="151"/>
        <v/>
      </c>
      <c r="AC435" s="70" t="str">
        <f t="shared" si="152"/>
        <v/>
      </c>
      <c r="AD435" s="70" t="str">
        <f t="shared" si="153"/>
        <v/>
      </c>
      <c r="AE435" s="70" t="str">
        <f t="shared" si="154"/>
        <v/>
      </c>
      <c r="AF435" s="16"/>
      <c r="AG435" s="23"/>
      <c r="AH435" s="22"/>
      <c r="AJ435" s="83">
        <f t="shared" si="155"/>
        <v>0</v>
      </c>
      <c r="AO435" s="22" t="str">
        <f t="shared" si="156"/>
        <v/>
      </c>
      <c r="AP435" s="22" t="str">
        <f t="shared" si="157"/>
        <v/>
      </c>
    </row>
    <row r="436" spans="1:42" x14ac:dyDescent="0.25">
      <c r="A436" s="10"/>
      <c r="B436" s="10"/>
      <c r="C436" s="10"/>
      <c r="D436" s="10"/>
      <c r="E436" s="10"/>
      <c r="F436" s="10"/>
      <c r="G436" s="10"/>
      <c r="H436" s="17"/>
      <c r="I436" s="10"/>
      <c r="J436" s="10"/>
      <c r="K436" s="16" t="str">
        <f t="shared" si="136"/>
        <v/>
      </c>
      <c r="L436" s="23" t="str">
        <f t="shared" si="137"/>
        <v/>
      </c>
      <c r="M436" s="22" t="str">
        <f t="shared" si="138"/>
        <v/>
      </c>
      <c r="N436" s="72"/>
      <c r="O436" s="16" t="str">
        <f t="shared" si="139"/>
        <v/>
      </c>
      <c r="P436" s="16" t="str">
        <f t="shared" si="140"/>
        <v/>
      </c>
      <c r="Q436" s="16" t="str">
        <f t="shared" si="141"/>
        <v/>
      </c>
      <c r="R436" s="23" t="str">
        <f t="shared" si="142"/>
        <v/>
      </c>
      <c r="S436" s="23" t="str">
        <f t="shared" si="143"/>
        <v/>
      </c>
      <c r="T436" s="23" t="str">
        <f t="shared" si="144"/>
        <v/>
      </c>
      <c r="U436" s="23" t="str">
        <f t="shared" si="145"/>
        <v/>
      </c>
      <c r="V436" s="23" t="str">
        <f t="shared" si="146"/>
        <v/>
      </c>
      <c r="W436" s="70" t="str">
        <f t="shared" si="147"/>
        <v/>
      </c>
      <c r="X436" s="70" t="str">
        <f t="shared" si="148"/>
        <v/>
      </c>
      <c r="Y436" s="70" t="str">
        <f>IF(AND($A436&lt;&gt;"",$E436&gt;0),isLaptopBag($C436,$J436)*$D436,"")</f>
        <v/>
      </c>
      <c r="Z436" s="70" t="str">
        <f t="shared" si="149"/>
        <v/>
      </c>
      <c r="AA436" s="70" t="str">
        <f t="shared" si="150"/>
        <v/>
      </c>
      <c r="AB436" s="70" t="str">
        <f t="shared" si="151"/>
        <v/>
      </c>
      <c r="AC436" s="70" t="str">
        <f t="shared" si="152"/>
        <v/>
      </c>
      <c r="AD436" s="70" t="str">
        <f t="shared" si="153"/>
        <v/>
      </c>
      <c r="AE436" s="70" t="str">
        <f t="shared" si="154"/>
        <v/>
      </c>
      <c r="AF436" s="16"/>
      <c r="AG436" s="23"/>
      <c r="AH436" s="22"/>
      <c r="AJ436" s="83">
        <f t="shared" si="155"/>
        <v>0</v>
      </c>
      <c r="AO436" s="22" t="str">
        <f t="shared" si="156"/>
        <v/>
      </c>
      <c r="AP436" s="22" t="str">
        <f t="shared" si="157"/>
        <v/>
      </c>
    </row>
    <row r="437" spans="1:42" x14ac:dyDescent="0.25">
      <c r="A437" s="10"/>
      <c r="B437" s="10"/>
      <c r="C437" s="10"/>
      <c r="D437" s="10"/>
      <c r="E437" s="10"/>
      <c r="F437" s="10"/>
      <c r="G437" s="10"/>
      <c r="H437" s="17"/>
      <c r="I437" s="10"/>
      <c r="J437" s="10"/>
      <c r="K437" s="16" t="str">
        <f t="shared" si="136"/>
        <v/>
      </c>
      <c r="L437" s="23" t="str">
        <f t="shared" si="137"/>
        <v/>
      </c>
      <c r="M437" s="22" t="str">
        <f t="shared" si="138"/>
        <v/>
      </c>
      <c r="N437" s="72"/>
      <c r="O437" s="16" t="str">
        <f t="shared" si="139"/>
        <v/>
      </c>
      <c r="P437" s="16" t="str">
        <f t="shared" si="140"/>
        <v/>
      </c>
      <c r="Q437" s="16" t="str">
        <f t="shared" si="141"/>
        <v/>
      </c>
      <c r="R437" s="23" t="str">
        <f t="shared" si="142"/>
        <v/>
      </c>
      <c r="S437" s="23" t="str">
        <f t="shared" si="143"/>
        <v/>
      </c>
      <c r="T437" s="23" t="str">
        <f t="shared" si="144"/>
        <v/>
      </c>
      <c r="U437" s="23" t="str">
        <f t="shared" si="145"/>
        <v/>
      </c>
      <c r="V437" s="23" t="str">
        <f t="shared" si="146"/>
        <v/>
      </c>
      <c r="W437" s="70" t="str">
        <f t="shared" si="147"/>
        <v/>
      </c>
      <c r="X437" s="70" t="str">
        <f t="shared" si="148"/>
        <v/>
      </c>
      <c r="Y437" s="70" t="str">
        <f>IF(AND($A437&lt;&gt;"",$E437&gt;0),isLaptopBag($C437,$J437)*$D437,"")</f>
        <v/>
      </c>
      <c r="Z437" s="70" t="str">
        <f t="shared" si="149"/>
        <v/>
      </c>
      <c r="AA437" s="70" t="str">
        <f t="shared" si="150"/>
        <v/>
      </c>
      <c r="AB437" s="70" t="str">
        <f t="shared" si="151"/>
        <v/>
      </c>
      <c r="AC437" s="70" t="str">
        <f t="shared" si="152"/>
        <v/>
      </c>
      <c r="AD437" s="70" t="str">
        <f t="shared" si="153"/>
        <v/>
      </c>
      <c r="AE437" s="70" t="str">
        <f t="shared" si="154"/>
        <v/>
      </c>
      <c r="AF437" s="16"/>
      <c r="AG437" s="23"/>
      <c r="AH437" s="22"/>
      <c r="AJ437" s="83">
        <f t="shared" si="155"/>
        <v>0</v>
      </c>
      <c r="AO437" s="22" t="str">
        <f t="shared" si="156"/>
        <v/>
      </c>
      <c r="AP437" s="22" t="str">
        <f t="shared" si="157"/>
        <v/>
      </c>
    </row>
    <row r="438" spans="1:42" x14ac:dyDescent="0.25">
      <c r="A438" s="10"/>
      <c r="B438" s="10"/>
      <c r="C438" s="10"/>
      <c r="D438" s="10"/>
      <c r="E438" s="10"/>
      <c r="F438" s="10"/>
      <c r="G438" s="10"/>
      <c r="H438" s="17"/>
      <c r="I438" s="10"/>
      <c r="J438" s="10"/>
      <c r="K438" s="16" t="str">
        <f t="shared" si="136"/>
        <v/>
      </c>
      <c r="L438" s="23" t="str">
        <f t="shared" si="137"/>
        <v/>
      </c>
      <c r="M438" s="22" t="str">
        <f t="shared" si="138"/>
        <v/>
      </c>
      <c r="N438" s="72"/>
      <c r="O438" s="16" t="str">
        <f t="shared" si="139"/>
        <v/>
      </c>
      <c r="P438" s="16" t="str">
        <f t="shared" si="140"/>
        <v/>
      </c>
      <c r="Q438" s="16" t="str">
        <f t="shared" si="141"/>
        <v/>
      </c>
      <c r="R438" s="23" t="str">
        <f t="shared" si="142"/>
        <v/>
      </c>
      <c r="S438" s="23" t="str">
        <f t="shared" si="143"/>
        <v/>
      </c>
      <c r="T438" s="23" t="str">
        <f t="shared" si="144"/>
        <v/>
      </c>
      <c r="U438" s="23" t="str">
        <f t="shared" si="145"/>
        <v/>
      </c>
      <c r="V438" s="23" t="str">
        <f t="shared" si="146"/>
        <v/>
      </c>
      <c r="W438" s="70" t="str">
        <f t="shared" si="147"/>
        <v/>
      </c>
      <c r="X438" s="70" t="str">
        <f t="shared" si="148"/>
        <v/>
      </c>
      <c r="Y438" s="70" t="str">
        <f>IF(AND($A438&lt;&gt;"",$E438&gt;0),isLaptopBag($C438,$J438)*$D438,"")</f>
        <v/>
      </c>
      <c r="Z438" s="70" t="str">
        <f t="shared" si="149"/>
        <v/>
      </c>
      <c r="AA438" s="70" t="str">
        <f t="shared" si="150"/>
        <v/>
      </c>
      <c r="AB438" s="70" t="str">
        <f t="shared" si="151"/>
        <v/>
      </c>
      <c r="AC438" s="70" t="str">
        <f t="shared" si="152"/>
        <v/>
      </c>
      <c r="AD438" s="70" t="str">
        <f t="shared" si="153"/>
        <v/>
      </c>
      <c r="AE438" s="70" t="str">
        <f t="shared" si="154"/>
        <v/>
      </c>
      <c r="AF438" s="16"/>
      <c r="AG438" s="23"/>
      <c r="AH438" s="22"/>
      <c r="AJ438" s="83">
        <f t="shared" si="155"/>
        <v>0</v>
      </c>
      <c r="AO438" s="22" t="str">
        <f t="shared" si="156"/>
        <v/>
      </c>
      <c r="AP438" s="22" t="str">
        <f t="shared" si="157"/>
        <v/>
      </c>
    </row>
    <row r="439" spans="1:42" x14ac:dyDescent="0.25">
      <c r="A439" s="10"/>
      <c r="B439" s="10"/>
      <c r="C439" s="10"/>
      <c r="D439" s="10"/>
      <c r="E439" s="10"/>
      <c r="F439" s="10"/>
      <c r="G439" s="10"/>
      <c r="H439" s="17"/>
      <c r="I439" s="10"/>
      <c r="J439" s="10"/>
      <c r="K439" s="16" t="str">
        <f t="shared" si="136"/>
        <v/>
      </c>
      <c r="L439" s="23" t="str">
        <f t="shared" si="137"/>
        <v/>
      </c>
      <c r="M439" s="22" t="str">
        <f t="shared" si="138"/>
        <v/>
      </c>
      <c r="N439" s="72"/>
      <c r="O439" s="16" t="str">
        <f t="shared" si="139"/>
        <v/>
      </c>
      <c r="P439" s="16" t="str">
        <f t="shared" si="140"/>
        <v/>
      </c>
      <c r="Q439" s="16" t="str">
        <f t="shared" si="141"/>
        <v/>
      </c>
      <c r="R439" s="23" t="str">
        <f t="shared" si="142"/>
        <v/>
      </c>
      <c r="S439" s="23" t="str">
        <f t="shared" si="143"/>
        <v/>
      </c>
      <c r="T439" s="23" t="str">
        <f t="shared" si="144"/>
        <v/>
      </c>
      <c r="U439" s="23" t="str">
        <f t="shared" si="145"/>
        <v/>
      </c>
      <c r="V439" s="23" t="str">
        <f t="shared" si="146"/>
        <v/>
      </c>
      <c r="W439" s="70" t="str">
        <f t="shared" si="147"/>
        <v/>
      </c>
      <c r="X439" s="70" t="str">
        <f t="shared" si="148"/>
        <v/>
      </c>
      <c r="Y439" s="70" t="str">
        <f>IF(AND($A439&lt;&gt;"",$E439&gt;0),isLaptopBag($C439,$J439)*$D439,"")</f>
        <v/>
      </c>
      <c r="Z439" s="70" t="str">
        <f t="shared" si="149"/>
        <v/>
      </c>
      <c r="AA439" s="70" t="str">
        <f t="shared" si="150"/>
        <v/>
      </c>
      <c r="AB439" s="70" t="str">
        <f t="shared" si="151"/>
        <v/>
      </c>
      <c r="AC439" s="70" t="str">
        <f t="shared" si="152"/>
        <v/>
      </c>
      <c r="AD439" s="70" t="str">
        <f t="shared" si="153"/>
        <v/>
      </c>
      <c r="AE439" s="70" t="str">
        <f t="shared" si="154"/>
        <v/>
      </c>
      <c r="AF439" s="16"/>
      <c r="AG439" s="23"/>
      <c r="AH439" s="22"/>
      <c r="AJ439" s="83">
        <f t="shared" si="155"/>
        <v>0</v>
      </c>
      <c r="AO439" s="22" t="str">
        <f t="shared" si="156"/>
        <v/>
      </c>
      <c r="AP439" s="22" t="str">
        <f t="shared" si="157"/>
        <v/>
      </c>
    </row>
    <row r="440" spans="1:42" x14ac:dyDescent="0.25">
      <c r="A440" s="10"/>
      <c r="B440" s="10"/>
      <c r="C440" s="10"/>
      <c r="D440" s="10"/>
      <c r="E440" s="10"/>
      <c r="F440" s="10"/>
      <c r="G440" s="10"/>
      <c r="H440" s="17"/>
      <c r="I440" s="10"/>
      <c r="J440" s="10"/>
      <c r="K440" s="16" t="str">
        <f t="shared" si="136"/>
        <v/>
      </c>
      <c r="L440" s="23" t="str">
        <f t="shared" si="137"/>
        <v/>
      </c>
      <c r="M440" s="22" t="str">
        <f t="shared" si="138"/>
        <v/>
      </c>
      <c r="N440" s="72"/>
      <c r="O440" s="16" t="str">
        <f t="shared" si="139"/>
        <v/>
      </c>
      <c r="P440" s="16" t="str">
        <f t="shared" si="140"/>
        <v/>
      </c>
      <c r="Q440" s="16" t="str">
        <f t="shared" si="141"/>
        <v/>
      </c>
      <c r="R440" s="23" t="str">
        <f t="shared" si="142"/>
        <v/>
      </c>
      <c r="S440" s="23" t="str">
        <f t="shared" si="143"/>
        <v/>
      </c>
      <c r="T440" s="23" t="str">
        <f t="shared" si="144"/>
        <v/>
      </c>
      <c r="U440" s="23" t="str">
        <f t="shared" si="145"/>
        <v/>
      </c>
      <c r="V440" s="23" t="str">
        <f t="shared" si="146"/>
        <v/>
      </c>
      <c r="W440" s="70" t="str">
        <f t="shared" si="147"/>
        <v/>
      </c>
      <c r="X440" s="70" t="str">
        <f t="shared" si="148"/>
        <v/>
      </c>
      <c r="Y440" s="70" t="str">
        <f>IF(AND($A440&lt;&gt;"",$E440&gt;0),isLaptopBag($C440,$J440)*$D440,"")</f>
        <v/>
      </c>
      <c r="Z440" s="70" t="str">
        <f t="shared" si="149"/>
        <v/>
      </c>
      <c r="AA440" s="70" t="str">
        <f t="shared" si="150"/>
        <v/>
      </c>
      <c r="AB440" s="70" t="str">
        <f t="shared" si="151"/>
        <v/>
      </c>
      <c r="AC440" s="70" t="str">
        <f t="shared" si="152"/>
        <v/>
      </c>
      <c r="AD440" s="70" t="str">
        <f t="shared" si="153"/>
        <v/>
      </c>
      <c r="AE440" s="70" t="str">
        <f t="shared" si="154"/>
        <v/>
      </c>
      <c r="AF440" s="16"/>
      <c r="AG440" s="23"/>
      <c r="AH440" s="22"/>
      <c r="AJ440" s="83">
        <f t="shared" si="155"/>
        <v>0</v>
      </c>
      <c r="AO440" s="22" t="str">
        <f t="shared" si="156"/>
        <v/>
      </c>
      <c r="AP440" s="22" t="str">
        <f t="shared" si="157"/>
        <v/>
      </c>
    </row>
    <row r="441" spans="1:42" x14ac:dyDescent="0.25">
      <c r="A441" s="10"/>
      <c r="B441" s="10"/>
      <c r="C441" s="10"/>
      <c r="D441" s="10"/>
      <c r="E441" s="10"/>
      <c r="F441" s="10"/>
      <c r="G441" s="10"/>
      <c r="H441" s="17"/>
      <c r="I441" s="10"/>
      <c r="J441" s="10"/>
      <c r="K441" s="16" t="str">
        <f t="shared" si="136"/>
        <v/>
      </c>
      <c r="L441" s="23" t="str">
        <f t="shared" si="137"/>
        <v/>
      </c>
      <c r="M441" s="22" t="str">
        <f t="shared" si="138"/>
        <v/>
      </c>
      <c r="N441" s="72"/>
      <c r="O441" s="16" t="str">
        <f t="shared" si="139"/>
        <v/>
      </c>
      <c r="P441" s="16" t="str">
        <f t="shared" si="140"/>
        <v/>
      </c>
      <c r="Q441" s="16" t="str">
        <f t="shared" si="141"/>
        <v/>
      </c>
      <c r="R441" s="23" t="str">
        <f t="shared" si="142"/>
        <v/>
      </c>
      <c r="S441" s="23" t="str">
        <f t="shared" si="143"/>
        <v/>
      </c>
      <c r="T441" s="23" t="str">
        <f t="shared" si="144"/>
        <v/>
      </c>
      <c r="U441" s="23" t="str">
        <f t="shared" si="145"/>
        <v/>
      </c>
      <c r="V441" s="23" t="str">
        <f t="shared" si="146"/>
        <v/>
      </c>
      <c r="W441" s="70" t="str">
        <f t="shared" si="147"/>
        <v/>
      </c>
      <c r="X441" s="70" t="str">
        <f t="shared" si="148"/>
        <v/>
      </c>
      <c r="Y441" s="70" t="str">
        <f>IF(AND($A441&lt;&gt;"",$E441&gt;0),isLaptopBag($C441,$J441)*$D441,"")</f>
        <v/>
      </c>
      <c r="Z441" s="70" t="str">
        <f t="shared" si="149"/>
        <v/>
      </c>
      <c r="AA441" s="70" t="str">
        <f t="shared" si="150"/>
        <v/>
      </c>
      <c r="AB441" s="70" t="str">
        <f t="shared" si="151"/>
        <v/>
      </c>
      <c r="AC441" s="70" t="str">
        <f t="shared" si="152"/>
        <v/>
      </c>
      <c r="AD441" s="70" t="str">
        <f t="shared" si="153"/>
        <v/>
      </c>
      <c r="AE441" s="70" t="str">
        <f t="shared" si="154"/>
        <v/>
      </c>
      <c r="AF441" s="16"/>
      <c r="AG441" s="23"/>
      <c r="AH441" s="22"/>
      <c r="AJ441" s="83">
        <f t="shared" si="155"/>
        <v>0</v>
      </c>
      <c r="AO441" s="22" t="str">
        <f t="shared" si="156"/>
        <v/>
      </c>
      <c r="AP441" s="22" t="str">
        <f t="shared" si="157"/>
        <v/>
      </c>
    </row>
    <row r="442" spans="1:42" x14ac:dyDescent="0.25">
      <c r="A442" s="10"/>
      <c r="B442" s="10"/>
      <c r="C442" s="10"/>
      <c r="D442" s="10"/>
      <c r="E442" s="10"/>
      <c r="F442" s="10"/>
      <c r="G442" s="10"/>
      <c r="H442" s="17"/>
      <c r="I442" s="10"/>
      <c r="J442" s="10"/>
      <c r="K442" s="16" t="str">
        <f t="shared" si="136"/>
        <v/>
      </c>
      <c r="L442" s="23" t="str">
        <f t="shared" si="137"/>
        <v/>
      </c>
      <c r="M442" s="22" t="str">
        <f t="shared" si="138"/>
        <v/>
      </c>
      <c r="N442" s="72"/>
      <c r="O442" s="16" t="str">
        <f t="shared" si="139"/>
        <v/>
      </c>
      <c r="P442" s="16" t="str">
        <f t="shared" si="140"/>
        <v/>
      </c>
      <c r="Q442" s="16" t="str">
        <f t="shared" si="141"/>
        <v/>
      </c>
      <c r="R442" s="23" t="str">
        <f t="shared" si="142"/>
        <v/>
      </c>
      <c r="S442" s="23" t="str">
        <f t="shared" si="143"/>
        <v/>
      </c>
      <c r="T442" s="23" t="str">
        <f t="shared" si="144"/>
        <v/>
      </c>
      <c r="U442" s="23" t="str">
        <f t="shared" si="145"/>
        <v/>
      </c>
      <c r="V442" s="23" t="str">
        <f t="shared" si="146"/>
        <v/>
      </c>
      <c r="W442" s="70" t="str">
        <f t="shared" si="147"/>
        <v/>
      </c>
      <c r="X442" s="70" t="str">
        <f t="shared" si="148"/>
        <v/>
      </c>
      <c r="Y442" s="70" t="str">
        <f>IF(AND($A442&lt;&gt;"",$E442&gt;0),isLaptopBag($C442,$J442)*$D442,"")</f>
        <v/>
      </c>
      <c r="Z442" s="70" t="str">
        <f t="shared" si="149"/>
        <v/>
      </c>
      <c r="AA442" s="70" t="str">
        <f t="shared" si="150"/>
        <v/>
      </c>
      <c r="AB442" s="70" t="str">
        <f t="shared" si="151"/>
        <v/>
      </c>
      <c r="AC442" s="70" t="str">
        <f t="shared" si="152"/>
        <v/>
      </c>
      <c r="AD442" s="70" t="str">
        <f t="shared" si="153"/>
        <v/>
      </c>
      <c r="AE442" s="70" t="str">
        <f t="shared" si="154"/>
        <v/>
      </c>
      <c r="AF442" s="16"/>
      <c r="AG442" s="23"/>
      <c r="AH442" s="22"/>
      <c r="AJ442" s="83">
        <f t="shared" si="155"/>
        <v>0</v>
      </c>
      <c r="AO442" s="22" t="str">
        <f t="shared" si="156"/>
        <v/>
      </c>
      <c r="AP442" s="22" t="str">
        <f t="shared" si="157"/>
        <v/>
      </c>
    </row>
    <row r="443" spans="1:42" x14ac:dyDescent="0.25">
      <c r="A443" s="10"/>
      <c r="B443" s="10"/>
      <c r="C443" s="10"/>
      <c r="D443" s="10"/>
      <c r="E443" s="10"/>
      <c r="F443" s="10"/>
      <c r="G443" s="10"/>
      <c r="H443" s="17"/>
      <c r="I443" s="10"/>
      <c r="J443" s="10"/>
      <c r="K443" s="16" t="str">
        <f t="shared" si="136"/>
        <v/>
      </c>
      <c r="L443" s="23" t="str">
        <f t="shared" si="137"/>
        <v/>
      </c>
      <c r="M443" s="22" t="str">
        <f t="shared" si="138"/>
        <v/>
      </c>
      <c r="N443" s="72"/>
      <c r="O443" s="16" t="str">
        <f t="shared" si="139"/>
        <v/>
      </c>
      <c r="P443" s="16" t="str">
        <f t="shared" si="140"/>
        <v/>
      </c>
      <c r="Q443" s="16" t="str">
        <f t="shared" si="141"/>
        <v/>
      </c>
      <c r="R443" s="23" t="str">
        <f t="shared" si="142"/>
        <v/>
      </c>
      <c r="S443" s="23" t="str">
        <f t="shared" si="143"/>
        <v/>
      </c>
      <c r="T443" s="23" t="str">
        <f t="shared" si="144"/>
        <v/>
      </c>
      <c r="U443" s="23" t="str">
        <f t="shared" si="145"/>
        <v/>
      </c>
      <c r="V443" s="23" t="str">
        <f t="shared" si="146"/>
        <v/>
      </c>
      <c r="W443" s="70" t="str">
        <f t="shared" si="147"/>
        <v/>
      </c>
      <c r="X443" s="70" t="str">
        <f t="shared" si="148"/>
        <v/>
      </c>
      <c r="Y443" s="70" t="str">
        <f>IF(AND($A443&lt;&gt;"",$E443&gt;0),isLaptopBag($C443,$J443)*$D443,"")</f>
        <v/>
      </c>
      <c r="Z443" s="70" t="str">
        <f t="shared" si="149"/>
        <v/>
      </c>
      <c r="AA443" s="70" t="str">
        <f t="shared" si="150"/>
        <v/>
      </c>
      <c r="AB443" s="70" t="str">
        <f t="shared" si="151"/>
        <v/>
      </c>
      <c r="AC443" s="70" t="str">
        <f t="shared" si="152"/>
        <v/>
      </c>
      <c r="AD443" s="70" t="str">
        <f t="shared" si="153"/>
        <v/>
      </c>
      <c r="AE443" s="70" t="str">
        <f t="shared" si="154"/>
        <v/>
      </c>
      <c r="AF443" s="16"/>
      <c r="AG443" s="23"/>
      <c r="AH443" s="22"/>
      <c r="AJ443" s="83">
        <f t="shared" si="155"/>
        <v>0</v>
      </c>
      <c r="AO443" s="22" t="str">
        <f t="shared" si="156"/>
        <v/>
      </c>
      <c r="AP443" s="22" t="str">
        <f t="shared" si="157"/>
        <v/>
      </c>
    </row>
    <row r="444" spans="1:42" x14ac:dyDescent="0.25">
      <c r="A444" s="10"/>
      <c r="B444" s="10"/>
      <c r="C444" s="10"/>
      <c r="D444" s="10"/>
      <c r="E444" s="10"/>
      <c r="F444" s="10"/>
      <c r="G444" s="10"/>
      <c r="H444" s="17"/>
      <c r="I444" s="10"/>
      <c r="J444" s="10"/>
      <c r="K444" s="16" t="str">
        <f t="shared" si="136"/>
        <v/>
      </c>
      <c r="L444" s="23" t="str">
        <f t="shared" si="137"/>
        <v/>
      </c>
      <c r="M444" s="22" t="str">
        <f t="shared" si="138"/>
        <v/>
      </c>
      <c r="N444" s="72"/>
      <c r="O444" s="16" t="str">
        <f t="shared" si="139"/>
        <v/>
      </c>
      <c r="P444" s="16" t="str">
        <f t="shared" si="140"/>
        <v/>
      </c>
      <c r="Q444" s="16" t="str">
        <f t="shared" si="141"/>
        <v/>
      </c>
      <c r="R444" s="23" t="str">
        <f t="shared" si="142"/>
        <v/>
      </c>
      <c r="S444" s="23" t="str">
        <f t="shared" si="143"/>
        <v/>
      </c>
      <c r="T444" s="23" t="str">
        <f t="shared" si="144"/>
        <v/>
      </c>
      <c r="U444" s="23" t="str">
        <f t="shared" si="145"/>
        <v/>
      </c>
      <c r="V444" s="23" t="str">
        <f t="shared" si="146"/>
        <v/>
      </c>
      <c r="W444" s="70" t="str">
        <f t="shared" si="147"/>
        <v/>
      </c>
      <c r="X444" s="70" t="str">
        <f t="shared" si="148"/>
        <v/>
      </c>
      <c r="Y444" s="70" t="str">
        <f>IF(AND($A444&lt;&gt;"",$E444&gt;0),isLaptopBag($C444,$J444)*$D444,"")</f>
        <v/>
      </c>
      <c r="Z444" s="70" t="str">
        <f t="shared" si="149"/>
        <v/>
      </c>
      <c r="AA444" s="70" t="str">
        <f t="shared" si="150"/>
        <v/>
      </c>
      <c r="AB444" s="70" t="str">
        <f t="shared" si="151"/>
        <v/>
      </c>
      <c r="AC444" s="70" t="str">
        <f t="shared" si="152"/>
        <v/>
      </c>
      <c r="AD444" s="70" t="str">
        <f t="shared" si="153"/>
        <v/>
      </c>
      <c r="AE444" s="70" t="str">
        <f t="shared" si="154"/>
        <v/>
      </c>
      <c r="AF444" s="16"/>
      <c r="AG444" s="23"/>
      <c r="AH444" s="22"/>
      <c r="AJ444" s="83">
        <f t="shared" si="155"/>
        <v>0</v>
      </c>
      <c r="AO444" s="22" t="str">
        <f t="shared" si="156"/>
        <v/>
      </c>
      <c r="AP444" s="22" t="str">
        <f t="shared" si="157"/>
        <v/>
      </c>
    </row>
    <row r="445" spans="1:42" x14ac:dyDescent="0.25">
      <c r="A445" s="10"/>
      <c r="B445" s="10"/>
      <c r="C445" s="10"/>
      <c r="D445" s="10"/>
      <c r="E445" s="10"/>
      <c r="F445" s="10"/>
      <c r="G445" s="10"/>
      <c r="H445" s="17"/>
      <c r="I445" s="10"/>
      <c r="J445" s="10"/>
      <c r="K445" s="16" t="str">
        <f t="shared" si="136"/>
        <v/>
      </c>
      <c r="L445" s="23" t="str">
        <f t="shared" si="137"/>
        <v/>
      </c>
      <c r="M445" s="22" t="str">
        <f t="shared" si="138"/>
        <v/>
      </c>
      <c r="N445" s="72"/>
      <c r="O445" s="16" t="str">
        <f t="shared" si="139"/>
        <v/>
      </c>
      <c r="P445" s="16" t="str">
        <f t="shared" si="140"/>
        <v/>
      </c>
      <c r="Q445" s="16" t="str">
        <f t="shared" si="141"/>
        <v/>
      </c>
      <c r="R445" s="23" t="str">
        <f t="shared" si="142"/>
        <v/>
      </c>
      <c r="S445" s="23" t="str">
        <f t="shared" si="143"/>
        <v/>
      </c>
      <c r="T445" s="23" t="str">
        <f t="shared" si="144"/>
        <v/>
      </c>
      <c r="U445" s="23" t="str">
        <f t="shared" si="145"/>
        <v/>
      </c>
      <c r="V445" s="23" t="str">
        <f t="shared" si="146"/>
        <v/>
      </c>
      <c r="W445" s="70" t="str">
        <f t="shared" si="147"/>
        <v/>
      </c>
      <c r="X445" s="70" t="str">
        <f t="shared" si="148"/>
        <v/>
      </c>
      <c r="Y445" s="70" t="str">
        <f>IF(AND($A445&lt;&gt;"",$E445&gt;0),isLaptopBag($C445,$J445)*$D445,"")</f>
        <v/>
      </c>
      <c r="Z445" s="70" t="str">
        <f t="shared" si="149"/>
        <v/>
      </c>
      <c r="AA445" s="70" t="str">
        <f t="shared" si="150"/>
        <v/>
      </c>
      <c r="AB445" s="70" t="str">
        <f t="shared" si="151"/>
        <v/>
      </c>
      <c r="AC445" s="70" t="str">
        <f t="shared" si="152"/>
        <v/>
      </c>
      <c r="AD445" s="70" t="str">
        <f t="shared" si="153"/>
        <v/>
      </c>
      <c r="AE445" s="70" t="str">
        <f t="shared" si="154"/>
        <v/>
      </c>
      <c r="AF445" s="16"/>
      <c r="AG445" s="23"/>
      <c r="AH445" s="22"/>
      <c r="AJ445" s="83">
        <f t="shared" si="155"/>
        <v>0</v>
      </c>
      <c r="AO445" s="22" t="str">
        <f t="shared" si="156"/>
        <v/>
      </c>
      <c r="AP445" s="22" t="str">
        <f t="shared" si="157"/>
        <v/>
      </c>
    </row>
    <row r="446" spans="1:42" x14ac:dyDescent="0.25">
      <c r="A446" s="10"/>
      <c r="B446" s="10"/>
      <c r="C446" s="10"/>
      <c r="D446" s="10"/>
      <c r="E446" s="10"/>
      <c r="F446" s="10"/>
      <c r="G446" s="10"/>
      <c r="H446" s="17"/>
      <c r="I446" s="10"/>
      <c r="J446" s="10"/>
      <c r="K446" s="16" t="str">
        <f t="shared" si="136"/>
        <v/>
      </c>
      <c r="L446" s="23" t="str">
        <f t="shared" si="137"/>
        <v/>
      </c>
      <c r="M446" s="22" t="str">
        <f t="shared" si="138"/>
        <v/>
      </c>
      <c r="N446" s="72"/>
      <c r="O446" s="16" t="str">
        <f t="shared" si="139"/>
        <v/>
      </c>
      <c r="P446" s="16" t="str">
        <f t="shared" si="140"/>
        <v/>
      </c>
      <c r="Q446" s="16" t="str">
        <f t="shared" si="141"/>
        <v/>
      </c>
      <c r="R446" s="23" t="str">
        <f t="shared" si="142"/>
        <v/>
      </c>
      <c r="S446" s="23" t="str">
        <f t="shared" si="143"/>
        <v/>
      </c>
      <c r="T446" s="23" t="str">
        <f t="shared" si="144"/>
        <v/>
      </c>
      <c r="U446" s="23" t="str">
        <f t="shared" si="145"/>
        <v/>
      </c>
      <c r="V446" s="23" t="str">
        <f t="shared" si="146"/>
        <v/>
      </c>
      <c r="W446" s="70" t="str">
        <f t="shared" si="147"/>
        <v/>
      </c>
      <c r="X446" s="70" t="str">
        <f t="shared" si="148"/>
        <v/>
      </c>
      <c r="Y446" s="70" t="str">
        <f>IF(AND($A446&lt;&gt;"",$E446&gt;0),isLaptopBag($C446,$J446)*$D446,"")</f>
        <v/>
      </c>
      <c r="Z446" s="70" t="str">
        <f t="shared" si="149"/>
        <v/>
      </c>
      <c r="AA446" s="70" t="str">
        <f t="shared" si="150"/>
        <v/>
      </c>
      <c r="AB446" s="70" t="str">
        <f t="shared" si="151"/>
        <v/>
      </c>
      <c r="AC446" s="70" t="str">
        <f t="shared" si="152"/>
        <v/>
      </c>
      <c r="AD446" s="70" t="str">
        <f t="shared" si="153"/>
        <v/>
      </c>
      <c r="AE446" s="70" t="str">
        <f t="shared" si="154"/>
        <v/>
      </c>
      <c r="AF446" s="16"/>
      <c r="AG446" s="23"/>
      <c r="AH446" s="22"/>
      <c r="AJ446" s="83">
        <f t="shared" si="155"/>
        <v>0</v>
      </c>
      <c r="AO446" s="22" t="str">
        <f t="shared" si="156"/>
        <v/>
      </c>
      <c r="AP446" s="22" t="str">
        <f t="shared" si="157"/>
        <v/>
      </c>
    </row>
    <row r="447" spans="1:42" x14ac:dyDescent="0.25">
      <c r="A447" s="10"/>
      <c r="B447" s="10"/>
      <c r="C447" s="10"/>
      <c r="D447" s="10"/>
      <c r="E447" s="10"/>
      <c r="F447" s="10"/>
      <c r="G447" s="10"/>
      <c r="H447" s="17"/>
      <c r="I447" s="10"/>
      <c r="J447" s="10"/>
      <c r="K447" s="16" t="str">
        <f t="shared" si="136"/>
        <v/>
      </c>
      <c r="L447" s="23" t="str">
        <f t="shared" si="137"/>
        <v/>
      </c>
      <c r="M447" s="22" t="str">
        <f t="shared" si="138"/>
        <v/>
      </c>
      <c r="N447" s="72"/>
      <c r="O447" s="16" t="str">
        <f t="shared" si="139"/>
        <v/>
      </c>
      <c r="P447" s="16" t="str">
        <f t="shared" si="140"/>
        <v/>
      </c>
      <c r="Q447" s="16" t="str">
        <f t="shared" si="141"/>
        <v/>
      </c>
      <c r="R447" s="23" t="str">
        <f t="shared" si="142"/>
        <v/>
      </c>
      <c r="S447" s="23" t="str">
        <f t="shared" si="143"/>
        <v/>
      </c>
      <c r="T447" s="23" t="str">
        <f t="shared" si="144"/>
        <v/>
      </c>
      <c r="U447" s="23" t="str">
        <f t="shared" si="145"/>
        <v/>
      </c>
      <c r="V447" s="23" t="str">
        <f t="shared" si="146"/>
        <v/>
      </c>
      <c r="W447" s="70" t="str">
        <f t="shared" si="147"/>
        <v/>
      </c>
      <c r="X447" s="70" t="str">
        <f t="shared" si="148"/>
        <v/>
      </c>
      <c r="Y447" s="70" t="str">
        <f>IF(AND($A447&lt;&gt;"",$E447&gt;0),isLaptopBag($C447,$J447)*$D447,"")</f>
        <v/>
      </c>
      <c r="Z447" s="70" t="str">
        <f t="shared" si="149"/>
        <v/>
      </c>
      <c r="AA447" s="70" t="str">
        <f t="shared" si="150"/>
        <v/>
      </c>
      <c r="AB447" s="70" t="str">
        <f t="shared" si="151"/>
        <v/>
      </c>
      <c r="AC447" s="70" t="str">
        <f t="shared" si="152"/>
        <v/>
      </c>
      <c r="AD447" s="70" t="str">
        <f t="shared" si="153"/>
        <v/>
      </c>
      <c r="AE447" s="70" t="str">
        <f t="shared" si="154"/>
        <v/>
      </c>
      <c r="AF447" s="16"/>
      <c r="AG447" s="23"/>
      <c r="AH447" s="22"/>
      <c r="AJ447" s="83">
        <f t="shared" si="155"/>
        <v>0</v>
      </c>
      <c r="AO447" s="22" t="str">
        <f t="shared" si="156"/>
        <v/>
      </c>
      <c r="AP447" s="22" t="str">
        <f t="shared" si="157"/>
        <v/>
      </c>
    </row>
    <row r="448" spans="1:42" x14ac:dyDescent="0.25">
      <c r="A448" s="10"/>
      <c r="B448" s="10"/>
      <c r="C448" s="10"/>
      <c r="D448" s="10"/>
      <c r="E448" s="10"/>
      <c r="F448" s="10"/>
      <c r="G448" s="10"/>
      <c r="H448" s="17"/>
      <c r="I448" s="10"/>
      <c r="J448" s="10"/>
      <c r="K448" s="16" t="str">
        <f t="shared" si="136"/>
        <v/>
      </c>
      <c r="L448" s="23" t="str">
        <f t="shared" si="137"/>
        <v/>
      </c>
      <c r="M448" s="22" t="str">
        <f t="shared" si="138"/>
        <v/>
      </c>
      <c r="N448" s="72"/>
      <c r="O448" s="16" t="str">
        <f t="shared" si="139"/>
        <v/>
      </c>
      <c r="P448" s="16" t="str">
        <f t="shared" si="140"/>
        <v/>
      </c>
      <c r="Q448" s="16" t="str">
        <f t="shared" si="141"/>
        <v/>
      </c>
      <c r="R448" s="23" t="str">
        <f t="shared" si="142"/>
        <v/>
      </c>
      <c r="S448" s="23" t="str">
        <f t="shared" si="143"/>
        <v/>
      </c>
      <c r="T448" s="23" t="str">
        <f t="shared" si="144"/>
        <v/>
      </c>
      <c r="U448" s="23" t="str">
        <f t="shared" si="145"/>
        <v/>
      </c>
      <c r="V448" s="23" t="str">
        <f t="shared" si="146"/>
        <v/>
      </c>
      <c r="W448" s="70" t="str">
        <f t="shared" si="147"/>
        <v/>
      </c>
      <c r="X448" s="70" t="str">
        <f t="shared" si="148"/>
        <v/>
      </c>
      <c r="Y448" s="70" t="str">
        <f>IF(AND($A448&lt;&gt;"",$E448&gt;0),isLaptopBag($C448,$J448)*$D448,"")</f>
        <v/>
      </c>
      <c r="Z448" s="70" t="str">
        <f t="shared" si="149"/>
        <v/>
      </c>
      <c r="AA448" s="70" t="str">
        <f t="shared" si="150"/>
        <v/>
      </c>
      <c r="AB448" s="70" t="str">
        <f t="shared" si="151"/>
        <v/>
      </c>
      <c r="AC448" s="70" t="str">
        <f t="shared" si="152"/>
        <v/>
      </c>
      <c r="AD448" s="70" t="str">
        <f t="shared" si="153"/>
        <v/>
      </c>
      <c r="AE448" s="70" t="str">
        <f t="shared" si="154"/>
        <v/>
      </c>
      <c r="AF448" s="16"/>
      <c r="AG448" s="23"/>
      <c r="AH448" s="22"/>
      <c r="AJ448" s="83">
        <f t="shared" si="155"/>
        <v>0</v>
      </c>
      <c r="AO448" s="22" t="str">
        <f t="shared" si="156"/>
        <v/>
      </c>
      <c r="AP448" s="22" t="str">
        <f t="shared" si="157"/>
        <v/>
      </c>
    </row>
    <row r="449" spans="1:42" x14ac:dyDescent="0.25">
      <c r="A449" s="10"/>
      <c r="B449" s="10"/>
      <c r="C449" s="10"/>
      <c r="D449" s="10"/>
      <c r="E449" s="10"/>
      <c r="F449" s="10"/>
      <c r="G449" s="10"/>
      <c r="H449" s="17"/>
      <c r="I449" s="10"/>
      <c r="J449" s="10"/>
      <c r="K449" s="16" t="str">
        <f t="shared" si="136"/>
        <v/>
      </c>
      <c r="L449" s="23" t="str">
        <f t="shared" si="137"/>
        <v/>
      </c>
      <c r="M449" s="22" t="str">
        <f t="shared" si="138"/>
        <v/>
      </c>
      <c r="N449" s="72"/>
      <c r="O449" s="16" t="str">
        <f t="shared" si="139"/>
        <v/>
      </c>
      <c r="P449" s="16" t="str">
        <f t="shared" si="140"/>
        <v/>
      </c>
      <c r="Q449" s="16" t="str">
        <f t="shared" si="141"/>
        <v/>
      </c>
      <c r="R449" s="23" t="str">
        <f t="shared" si="142"/>
        <v/>
      </c>
      <c r="S449" s="23" t="str">
        <f t="shared" si="143"/>
        <v/>
      </c>
      <c r="T449" s="23" t="str">
        <f t="shared" si="144"/>
        <v/>
      </c>
      <c r="U449" s="23" t="str">
        <f t="shared" si="145"/>
        <v/>
      </c>
      <c r="V449" s="23" t="str">
        <f t="shared" si="146"/>
        <v/>
      </c>
      <c r="W449" s="70" t="str">
        <f t="shared" si="147"/>
        <v/>
      </c>
      <c r="X449" s="70" t="str">
        <f t="shared" si="148"/>
        <v/>
      </c>
      <c r="Y449" s="70" t="str">
        <f>IF(AND($A449&lt;&gt;"",$E449&gt;0),isLaptopBag($C449,$J449)*$D449,"")</f>
        <v/>
      </c>
      <c r="Z449" s="70" t="str">
        <f t="shared" si="149"/>
        <v/>
      </c>
      <c r="AA449" s="70" t="str">
        <f t="shared" si="150"/>
        <v/>
      </c>
      <c r="AB449" s="70" t="str">
        <f t="shared" si="151"/>
        <v/>
      </c>
      <c r="AC449" s="70" t="str">
        <f t="shared" si="152"/>
        <v/>
      </c>
      <c r="AD449" s="70" t="str">
        <f t="shared" si="153"/>
        <v/>
      </c>
      <c r="AE449" s="70" t="str">
        <f t="shared" si="154"/>
        <v/>
      </c>
      <c r="AF449" s="16"/>
      <c r="AG449" s="23"/>
      <c r="AH449" s="22"/>
      <c r="AJ449" s="83">
        <f t="shared" si="155"/>
        <v>0</v>
      </c>
      <c r="AO449" s="22" t="str">
        <f t="shared" si="156"/>
        <v/>
      </c>
      <c r="AP449" s="22" t="str">
        <f t="shared" si="157"/>
        <v/>
      </c>
    </row>
    <row r="450" spans="1:42" x14ac:dyDescent="0.25">
      <c r="A450" s="10"/>
      <c r="B450" s="10"/>
      <c r="C450" s="10"/>
      <c r="D450" s="10"/>
      <c r="E450" s="10"/>
      <c r="F450" s="10"/>
      <c r="G450" s="10"/>
      <c r="H450" s="17"/>
      <c r="I450" s="10"/>
      <c r="J450" s="10"/>
      <c r="K450" s="16" t="str">
        <f t="shared" si="136"/>
        <v/>
      </c>
      <c r="L450" s="23" t="str">
        <f t="shared" si="137"/>
        <v/>
      </c>
      <c r="M450" s="22" t="str">
        <f t="shared" si="138"/>
        <v/>
      </c>
      <c r="N450" s="72"/>
      <c r="O450" s="16" t="str">
        <f t="shared" si="139"/>
        <v/>
      </c>
      <c r="P450" s="16" t="str">
        <f t="shared" si="140"/>
        <v/>
      </c>
      <c r="Q450" s="16" t="str">
        <f t="shared" si="141"/>
        <v/>
      </c>
      <c r="R450" s="23" t="str">
        <f t="shared" si="142"/>
        <v/>
      </c>
      <c r="S450" s="23" t="str">
        <f t="shared" si="143"/>
        <v/>
      </c>
      <c r="T450" s="23" t="str">
        <f t="shared" si="144"/>
        <v/>
      </c>
      <c r="U450" s="23" t="str">
        <f t="shared" si="145"/>
        <v/>
      </c>
      <c r="V450" s="23" t="str">
        <f t="shared" si="146"/>
        <v/>
      </c>
      <c r="W450" s="70" t="str">
        <f t="shared" si="147"/>
        <v/>
      </c>
      <c r="X450" s="70" t="str">
        <f t="shared" si="148"/>
        <v/>
      </c>
      <c r="Y450" s="70" t="str">
        <f>IF(AND($A450&lt;&gt;"",$E450&gt;0),isLaptopBag($C450,$J450)*$D450,"")</f>
        <v/>
      </c>
      <c r="Z450" s="70" t="str">
        <f t="shared" si="149"/>
        <v/>
      </c>
      <c r="AA450" s="70" t="str">
        <f t="shared" si="150"/>
        <v/>
      </c>
      <c r="AB450" s="70" t="str">
        <f t="shared" si="151"/>
        <v/>
      </c>
      <c r="AC450" s="70" t="str">
        <f t="shared" si="152"/>
        <v/>
      </c>
      <c r="AD450" s="70" t="str">
        <f t="shared" si="153"/>
        <v/>
      </c>
      <c r="AE450" s="70" t="str">
        <f t="shared" si="154"/>
        <v/>
      </c>
      <c r="AF450" s="16"/>
      <c r="AG450" s="23"/>
      <c r="AH450" s="22"/>
      <c r="AJ450" s="83">
        <f t="shared" si="155"/>
        <v>0</v>
      </c>
      <c r="AO450" s="22" t="str">
        <f t="shared" si="156"/>
        <v/>
      </c>
      <c r="AP450" s="22" t="str">
        <f t="shared" si="157"/>
        <v/>
      </c>
    </row>
    <row r="451" spans="1:42" x14ac:dyDescent="0.25">
      <c r="A451" s="10"/>
      <c r="B451" s="10"/>
      <c r="C451" s="10"/>
      <c r="D451" s="10"/>
      <c r="E451" s="10"/>
      <c r="F451" s="10"/>
      <c r="G451" s="10"/>
      <c r="H451" s="17"/>
      <c r="I451" s="10"/>
      <c r="J451" s="10"/>
      <c r="K451" s="16" t="str">
        <f t="shared" si="136"/>
        <v/>
      </c>
      <c r="L451" s="23" t="str">
        <f t="shared" si="137"/>
        <v/>
      </c>
      <c r="M451" s="22" t="str">
        <f t="shared" si="138"/>
        <v/>
      </c>
      <c r="N451" s="72"/>
      <c r="O451" s="16" t="str">
        <f t="shared" si="139"/>
        <v/>
      </c>
      <c r="P451" s="16" t="str">
        <f t="shared" si="140"/>
        <v/>
      </c>
      <c r="Q451" s="16" t="str">
        <f t="shared" si="141"/>
        <v/>
      </c>
      <c r="R451" s="23" t="str">
        <f t="shared" si="142"/>
        <v/>
      </c>
      <c r="S451" s="23" t="str">
        <f t="shared" si="143"/>
        <v/>
      </c>
      <c r="T451" s="23" t="str">
        <f t="shared" si="144"/>
        <v/>
      </c>
      <c r="U451" s="23" t="str">
        <f t="shared" si="145"/>
        <v/>
      </c>
      <c r="V451" s="23" t="str">
        <f t="shared" si="146"/>
        <v/>
      </c>
      <c r="W451" s="70" t="str">
        <f t="shared" si="147"/>
        <v/>
      </c>
      <c r="X451" s="70" t="str">
        <f t="shared" si="148"/>
        <v/>
      </c>
      <c r="Y451" s="70" t="str">
        <f>IF(AND($A451&lt;&gt;"",$E451&gt;0),isLaptopBag($C451,$J451)*$D451,"")</f>
        <v/>
      </c>
      <c r="Z451" s="70" t="str">
        <f t="shared" si="149"/>
        <v/>
      </c>
      <c r="AA451" s="70" t="str">
        <f t="shared" si="150"/>
        <v/>
      </c>
      <c r="AB451" s="70" t="str">
        <f t="shared" si="151"/>
        <v/>
      </c>
      <c r="AC451" s="70" t="str">
        <f t="shared" si="152"/>
        <v/>
      </c>
      <c r="AD451" s="70" t="str">
        <f t="shared" si="153"/>
        <v/>
      </c>
      <c r="AE451" s="70" t="str">
        <f t="shared" si="154"/>
        <v/>
      </c>
      <c r="AF451" s="16"/>
      <c r="AG451" s="23"/>
      <c r="AH451" s="22"/>
      <c r="AJ451" s="83">
        <f t="shared" si="155"/>
        <v>0</v>
      </c>
      <c r="AO451" s="22" t="str">
        <f t="shared" si="156"/>
        <v/>
      </c>
      <c r="AP451" s="22" t="str">
        <f t="shared" si="157"/>
        <v/>
      </c>
    </row>
    <row r="452" spans="1:42" x14ac:dyDescent="0.25">
      <c r="A452" s="10"/>
      <c r="B452" s="10"/>
      <c r="C452" s="10"/>
      <c r="D452" s="10"/>
      <c r="E452" s="10"/>
      <c r="F452" s="10"/>
      <c r="G452" s="10"/>
      <c r="H452" s="17"/>
      <c r="I452" s="10"/>
      <c r="J452" s="10"/>
      <c r="K452" s="16" t="str">
        <f t="shared" si="136"/>
        <v/>
      </c>
      <c r="L452" s="23" t="str">
        <f t="shared" si="137"/>
        <v/>
      </c>
      <c r="M452" s="22" t="str">
        <f t="shared" si="138"/>
        <v/>
      </c>
      <c r="N452" s="72"/>
      <c r="O452" s="16" t="str">
        <f t="shared" si="139"/>
        <v/>
      </c>
      <c r="P452" s="16" t="str">
        <f t="shared" si="140"/>
        <v/>
      </c>
      <c r="Q452" s="16" t="str">
        <f t="shared" si="141"/>
        <v/>
      </c>
      <c r="R452" s="23" t="str">
        <f t="shared" si="142"/>
        <v/>
      </c>
      <c r="S452" s="23" t="str">
        <f t="shared" si="143"/>
        <v/>
      </c>
      <c r="T452" s="23" t="str">
        <f t="shared" si="144"/>
        <v/>
      </c>
      <c r="U452" s="23" t="str">
        <f t="shared" si="145"/>
        <v/>
      </c>
      <c r="V452" s="23" t="str">
        <f t="shared" si="146"/>
        <v/>
      </c>
      <c r="W452" s="70" t="str">
        <f t="shared" si="147"/>
        <v/>
      </c>
      <c r="X452" s="70" t="str">
        <f t="shared" si="148"/>
        <v/>
      </c>
      <c r="Y452" s="70" t="str">
        <f>IF(AND($A452&lt;&gt;"",$E452&gt;0),isLaptopBag($C452,$J452)*$D452,"")</f>
        <v/>
      </c>
      <c r="Z452" s="70" t="str">
        <f t="shared" si="149"/>
        <v/>
      </c>
      <c r="AA452" s="70" t="str">
        <f t="shared" si="150"/>
        <v/>
      </c>
      <c r="AB452" s="70" t="str">
        <f t="shared" si="151"/>
        <v/>
      </c>
      <c r="AC452" s="70" t="str">
        <f t="shared" si="152"/>
        <v/>
      </c>
      <c r="AD452" s="70" t="str">
        <f t="shared" si="153"/>
        <v/>
      </c>
      <c r="AE452" s="70" t="str">
        <f t="shared" si="154"/>
        <v/>
      </c>
      <c r="AF452" s="16"/>
      <c r="AG452" s="23"/>
      <c r="AH452" s="22"/>
      <c r="AJ452" s="83">
        <f t="shared" si="155"/>
        <v>0</v>
      </c>
      <c r="AO452" s="22" t="str">
        <f t="shared" si="156"/>
        <v/>
      </c>
      <c r="AP452" s="22" t="str">
        <f t="shared" si="157"/>
        <v/>
      </c>
    </row>
    <row r="453" spans="1:42" x14ac:dyDescent="0.25">
      <c r="A453" s="10"/>
      <c r="B453" s="10"/>
      <c r="C453" s="10"/>
      <c r="D453" s="10"/>
      <c r="E453" s="10"/>
      <c r="F453" s="10"/>
      <c r="G453" s="10"/>
      <c r="H453" s="17"/>
      <c r="I453" s="10"/>
      <c r="J453" s="10"/>
      <c r="K453" s="16" t="str">
        <f t="shared" si="136"/>
        <v/>
      </c>
      <c r="L453" s="23" t="str">
        <f t="shared" si="137"/>
        <v/>
      </c>
      <c r="M453" s="22" t="str">
        <f t="shared" si="138"/>
        <v/>
      </c>
      <c r="N453" s="72"/>
      <c r="O453" s="16" t="str">
        <f t="shared" si="139"/>
        <v/>
      </c>
      <c r="P453" s="16" t="str">
        <f t="shared" si="140"/>
        <v/>
      </c>
      <c r="Q453" s="16" t="str">
        <f t="shared" si="141"/>
        <v/>
      </c>
      <c r="R453" s="23" t="str">
        <f t="shared" si="142"/>
        <v/>
      </c>
      <c r="S453" s="23" t="str">
        <f t="shared" si="143"/>
        <v/>
      </c>
      <c r="T453" s="23" t="str">
        <f t="shared" si="144"/>
        <v/>
      </c>
      <c r="U453" s="23" t="str">
        <f t="shared" si="145"/>
        <v/>
      </c>
      <c r="V453" s="23" t="str">
        <f t="shared" si="146"/>
        <v/>
      </c>
      <c r="W453" s="70" t="str">
        <f t="shared" si="147"/>
        <v/>
      </c>
      <c r="X453" s="70" t="str">
        <f t="shared" si="148"/>
        <v/>
      </c>
      <c r="Y453" s="70" t="str">
        <f>IF(AND($A453&lt;&gt;"",$E453&gt;0),isLaptopBag($C453,$J453)*$D453,"")</f>
        <v/>
      </c>
      <c r="Z453" s="70" t="str">
        <f t="shared" si="149"/>
        <v/>
      </c>
      <c r="AA453" s="70" t="str">
        <f t="shared" si="150"/>
        <v/>
      </c>
      <c r="AB453" s="70" t="str">
        <f t="shared" si="151"/>
        <v/>
      </c>
      <c r="AC453" s="70" t="str">
        <f t="shared" si="152"/>
        <v/>
      </c>
      <c r="AD453" s="70" t="str">
        <f t="shared" si="153"/>
        <v/>
      </c>
      <c r="AE453" s="70" t="str">
        <f t="shared" si="154"/>
        <v/>
      </c>
      <c r="AF453" s="16"/>
      <c r="AG453" s="23"/>
      <c r="AH453" s="22"/>
      <c r="AJ453" s="83">
        <f t="shared" si="155"/>
        <v>0</v>
      </c>
      <c r="AO453" s="22" t="str">
        <f t="shared" si="156"/>
        <v/>
      </c>
      <c r="AP453" s="22" t="str">
        <f t="shared" si="157"/>
        <v/>
      </c>
    </row>
    <row r="454" spans="1:42" x14ac:dyDescent="0.25">
      <c r="A454" s="10"/>
      <c r="B454" s="10"/>
      <c r="C454" s="10"/>
      <c r="D454" s="10"/>
      <c r="E454" s="10"/>
      <c r="F454" s="10"/>
      <c r="G454" s="10"/>
      <c r="H454" s="17"/>
      <c r="I454" s="10"/>
      <c r="J454" s="10"/>
      <c r="K454" s="16" t="str">
        <f t="shared" si="136"/>
        <v/>
      </c>
      <c r="L454" s="23" t="str">
        <f t="shared" si="137"/>
        <v/>
      </c>
      <c r="M454" s="22" t="str">
        <f t="shared" si="138"/>
        <v/>
      </c>
      <c r="N454" s="72"/>
      <c r="O454" s="16" t="str">
        <f t="shared" si="139"/>
        <v/>
      </c>
      <c r="P454" s="16" t="str">
        <f t="shared" si="140"/>
        <v/>
      </c>
      <c r="Q454" s="16" t="str">
        <f t="shared" si="141"/>
        <v/>
      </c>
      <c r="R454" s="23" t="str">
        <f t="shared" si="142"/>
        <v/>
      </c>
      <c r="S454" s="23" t="str">
        <f t="shared" si="143"/>
        <v/>
      </c>
      <c r="T454" s="23" t="str">
        <f t="shared" si="144"/>
        <v/>
      </c>
      <c r="U454" s="23" t="str">
        <f t="shared" si="145"/>
        <v/>
      </c>
      <c r="V454" s="23" t="str">
        <f t="shared" si="146"/>
        <v/>
      </c>
      <c r="W454" s="70" t="str">
        <f t="shared" si="147"/>
        <v/>
      </c>
      <c r="X454" s="70" t="str">
        <f t="shared" si="148"/>
        <v/>
      </c>
      <c r="Y454" s="70" t="str">
        <f>IF(AND($A454&lt;&gt;"",$E454&gt;0),isLaptopBag($C454,$J454)*$D454,"")</f>
        <v/>
      </c>
      <c r="Z454" s="70" t="str">
        <f t="shared" si="149"/>
        <v/>
      </c>
      <c r="AA454" s="70" t="str">
        <f t="shared" si="150"/>
        <v/>
      </c>
      <c r="AB454" s="70" t="str">
        <f t="shared" si="151"/>
        <v/>
      </c>
      <c r="AC454" s="70" t="str">
        <f t="shared" si="152"/>
        <v/>
      </c>
      <c r="AD454" s="70" t="str">
        <f t="shared" si="153"/>
        <v/>
      </c>
      <c r="AE454" s="70" t="str">
        <f t="shared" si="154"/>
        <v/>
      </c>
      <c r="AF454" s="16"/>
      <c r="AG454" s="23"/>
      <c r="AH454" s="22"/>
      <c r="AJ454" s="83">
        <f t="shared" si="155"/>
        <v>0</v>
      </c>
      <c r="AO454" s="22" t="str">
        <f t="shared" si="156"/>
        <v/>
      </c>
      <c r="AP454" s="22" t="str">
        <f t="shared" si="157"/>
        <v/>
      </c>
    </row>
    <row r="455" spans="1:42" x14ac:dyDescent="0.25">
      <c r="A455" s="10"/>
      <c r="B455" s="10"/>
      <c r="C455" s="10"/>
      <c r="D455" s="10"/>
      <c r="E455" s="10"/>
      <c r="F455" s="10"/>
      <c r="G455" s="10"/>
      <c r="H455" s="17"/>
      <c r="I455" s="10"/>
      <c r="J455" s="10"/>
      <c r="K455" s="16" t="str">
        <f t="shared" si="136"/>
        <v/>
      </c>
      <c r="L455" s="23" t="str">
        <f t="shared" si="137"/>
        <v/>
      </c>
      <c r="M455" s="22" t="str">
        <f t="shared" si="138"/>
        <v/>
      </c>
      <c r="N455" s="72"/>
      <c r="O455" s="16" t="str">
        <f t="shared" si="139"/>
        <v/>
      </c>
      <c r="P455" s="16" t="str">
        <f t="shared" si="140"/>
        <v/>
      </c>
      <c r="Q455" s="16" t="str">
        <f t="shared" si="141"/>
        <v/>
      </c>
      <c r="R455" s="23" t="str">
        <f t="shared" si="142"/>
        <v/>
      </c>
      <c r="S455" s="23" t="str">
        <f t="shared" si="143"/>
        <v/>
      </c>
      <c r="T455" s="23" t="str">
        <f t="shared" si="144"/>
        <v/>
      </c>
      <c r="U455" s="23" t="str">
        <f t="shared" si="145"/>
        <v/>
      </c>
      <c r="V455" s="23" t="str">
        <f t="shared" si="146"/>
        <v/>
      </c>
      <c r="W455" s="70" t="str">
        <f t="shared" si="147"/>
        <v/>
      </c>
      <c r="X455" s="70" t="str">
        <f t="shared" si="148"/>
        <v/>
      </c>
      <c r="Y455" s="70" t="str">
        <f>IF(AND($A455&lt;&gt;"",$E455&gt;0),isLaptopBag($C455,$J455)*$D455,"")</f>
        <v/>
      </c>
      <c r="Z455" s="70" t="str">
        <f t="shared" si="149"/>
        <v/>
      </c>
      <c r="AA455" s="70" t="str">
        <f t="shared" si="150"/>
        <v/>
      </c>
      <c r="AB455" s="70" t="str">
        <f t="shared" si="151"/>
        <v/>
      </c>
      <c r="AC455" s="70" t="str">
        <f t="shared" si="152"/>
        <v/>
      </c>
      <c r="AD455" s="70" t="str">
        <f t="shared" si="153"/>
        <v/>
      </c>
      <c r="AE455" s="70" t="str">
        <f t="shared" si="154"/>
        <v/>
      </c>
      <c r="AF455" s="16"/>
      <c r="AG455" s="23"/>
      <c r="AH455" s="22"/>
      <c r="AJ455" s="83">
        <f t="shared" si="155"/>
        <v>0</v>
      </c>
      <c r="AO455" s="22" t="str">
        <f t="shared" si="156"/>
        <v/>
      </c>
      <c r="AP455" s="22" t="str">
        <f t="shared" si="157"/>
        <v/>
      </c>
    </row>
    <row r="456" spans="1:42" x14ac:dyDescent="0.25">
      <c r="A456" s="10"/>
      <c r="B456" s="10"/>
      <c r="C456" s="10"/>
      <c r="D456" s="10"/>
      <c r="E456" s="10"/>
      <c r="F456" s="10"/>
      <c r="G456" s="10"/>
      <c r="H456" s="17"/>
      <c r="I456" s="10"/>
      <c r="J456" s="10"/>
      <c r="K456" s="16" t="str">
        <f t="shared" si="136"/>
        <v/>
      </c>
      <c r="L456" s="23" t="str">
        <f t="shared" si="137"/>
        <v/>
      </c>
      <c r="M456" s="22" t="str">
        <f t="shared" si="138"/>
        <v/>
      </c>
      <c r="N456" s="72"/>
      <c r="O456" s="16" t="str">
        <f t="shared" si="139"/>
        <v/>
      </c>
      <c r="P456" s="16" t="str">
        <f t="shared" si="140"/>
        <v/>
      </c>
      <c r="Q456" s="16" t="str">
        <f t="shared" si="141"/>
        <v/>
      </c>
      <c r="R456" s="23" t="str">
        <f t="shared" si="142"/>
        <v/>
      </c>
      <c r="S456" s="23" t="str">
        <f t="shared" si="143"/>
        <v/>
      </c>
      <c r="T456" s="23" t="str">
        <f t="shared" si="144"/>
        <v/>
      </c>
      <c r="U456" s="23" t="str">
        <f t="shared" si="145"/>
        <v/>
      </c>
      <c r="V456" s="23" t="str">
        <f t="shared" si="146"/>
        <v/>
      </c>
      <c r="W456" s="70" t="str">
        <f t="shared" si="147"/>
        <v/>
      </c>
      <c r="X456" s="70" t="str">
        <f t="shared" si="148"/>
        <v/>
      </c>
      <c r="Y456" s="70" t="str">
        <f>IF(AND($A456&lt;&gt;"",$E456&gt;0),isLaptopBag($C456,$J456)*$D456,"")</f>
        <v/>
      </c>
      <c r="Z456" s="70" t="str">
        <f t="shared" si="149"/>
        <v/>
      </c>
      <c r="AA456" s="70" t="str">
        <f t="shared" si="150"/>
        <v/>
      </c>
      <c r="AB456" s="70" t="str">
        <f t="shared" si="151"/>
        <v/>
      </c>
      <c r="AC456" s="70" t="str">
        <f t="shared" si="152"/>
        <v/>
      </c>
      <c r="AD456" s="70" t="str">
        <f t="shared" si="153"/>
        <v/>
      </c>
      <c r="AE456" s="70" t="str">
        <f t="shared" si="154"/>
        <v/>
      </c>
      <c r="AF456" s="16"/>
      <c r="AG456" s="23"/>
      <c r="AH456" s="22"/>
      <c r="AJ456" s="83">
        <f t="shared" si="155"/>
        <v>0</v>
      </c>
      <c r="AO456" s="22" t="str">
        <f t="shared" si="156"/>
        <v/>
      </c>
      <c r="AP456" s="22" t="str">
        <f t="shared" si="157"/>
        <v/>
      </c>
    </row>
    <row r="457" spans="1:42" x14ac:dyDescent="0.25">
      <c r="A457" s="10"/>
      <c r="B457" s="10"/>
      <c r="C457" s="10"/>
      <c r="D457" s="10"/>
      <c r="E457" s="10"/>
      <c r="F457" s="10"/>
      <c r="G457" s="10"/>
      <c r="H457" s="17"/>
      <c r="I457" s="10"/>
      <c r="J457" s="10"/>
      <c r="K457" s="16" t="str">
        <f t="shared" si="136"/>
        <v/>
      </c>
      <c r="L457" s="23" t="str">
        <f t="shared" si="137"/>
        <v/>
      </c>
      <c r="M457" s="22" t="str">
        <f t="shared" si="138"/>
        <v/>
      </c>
      <c r="N457" s="72"/>
      <c r="O457" s="16" t="str">
        <f t="shared" si="139"/>
        <v/>
      </c>
      <c r="P457" s="16" t="str">
        <f t="shared" si="140"/>
        <v/>
      </c>
      <c r="Q457" s="16" t="str">
        <f t="shared" si="141"/>
        <v/>
      </c>
      <c r="R457" s="23" t="str">
        <f t="shared" si="142"/>
        <v/>
      </c>
      <c r="S457" s="23" t="str">
        <f t="shared" si="143"/>
        <v/>
      </c>
      <c r="T457" s="23" t="str">
        <f t="shared" si="144"/>
        <v/>
      </c>
      <c r="U457" s="23" t="str">
        <f t="shared" si="145"/>
        <v/>
      </c>
      <c r="V457" s="23" t="str">
        <f t="shared" si="146"/>
        <v/>
      </c>
      <c r="W457" s="70" t="str">
        <f t="shared" si="147"/>
        <v/>
      </c>
      <c r="X457" s="70" t="str">
        <f t="shared" si="148"/>
        <v/>
      </c>
      <c r="Y457" s="70" t="str">
        <f>IF(AND($A457&lt;&gt;"",$E457&gt;0),isLaptopBag($C457,$J457)*$D457,"")</f>
        <v/>
      </c>
      <c r="Z457" s="70" t="str">
        <f t="shared" si="149"/>
        <v/>
      </c>
      <c r="AA457" s="70" t="str">
        <f t="shared" si="150"/>
        <v/>
      </c>
      <c r="AB457" s="70" t="str">
        <f t="shared" si="151"/>
        <v/>
      </c>
      <c r="AC457" s="70" t="str">
        <f t="shared" si="152"/>
        <v/>
      </c>
      <c r="AD457" s="70" t="str">
        <f t="shared" si="153"/>
        <v/>
      </c>
      <c r="AE457" s="70" t="str">
        <f t="shared" si="154"/>
        <v/>
      </c>
      <c r="AF457" s="16"/>
      <c r="AG457" s="23"/>
      <c r="AH457" s="22"/>
      <c r="AJ457" s="83">
        <f t="shared" si="155"/>
        <v>0</v>
      </c>
      <c r="AO457" s="22" t="str">
        <f t="shared" si="156"/>
        <v/>
      </c>
      <c r="AP457" s="22" t="str">
        <f t="shared" si="157"/>
        <v/>
      </c>
    </row>
    <row r="458" spans="1:42" x14ac:dyDescent="0.25">
      <c r="A458" s="10"/>
      <c r="B458" s="10"/>
      <c r="C458" s="10"/>
      <c r="D458" s="10"/>
      <c r="E458" s="10"/>
      <c r="F458" s="10"/>
      <c r="G458" s="10"/>
      <c r="H458" s="17"/>
      <c r="I458" s="10"/>
      <c r="J458" s="10"/>
      <c r="K458" s="16" t="str">
        <f t="shared" si="136"/>
        <v/>
      </c>
      <c r="L458" s="23" t="str">
        <f t="shared" si="137"/>
        <v/>
      </c>
      <c r="M458" s="22" t="str">
        <f t="shared" si="138"/>
        <v/>
      </c>
      <c r="N458" s="72"/>
      <c r="O458" s="16" t="str">
        <f t="shared" si="139"/>
        <v/>
      </c>
      <c r="P458" s="16" t="str">
        <f t="shared" si="140"/>
        <v/>
      </c>
      <c r="Q458" s="16" t="str">
        <f t="shared" si="141"/>
        <v/>
      </c>
      <c r="R458" s="23" t="str">
        <f t="shared" si="142"/>
        <v/>
      </c>
      <c r="S458" s="23" t="str">
        <f t="shared" si="143"/>
        <v/>
      </c>
      <c r="T458" s="23" t="str">
        <f t="shared" si="144"/>
        <v/>
      </c>
      <c r="U458" s="23" t="str">
        <f t="shared" si="145"/>
        <v/>
      </c>
      <c r="V458" s="23" t="str">
        <f t="shared" si="146"/>
        <v/>
      </c>
      <c r="W458" s="70" t="str">
        <f t="shared" si="147"/>
        <v/>
      </c>
      <c r="X458" s="70" t="str">
        <f t="shared" si="148"/>
        <v/>
      </c>
      <c r="Y458" s="70" t="str">
        <f>IF(AND($A458&lt;&gt;"",$E458&gt;0),isLaptopBag($C458,$J458)*$D458,"")</f>
        <v/>
      </c>
      <c r="Z458" s="70" t="str">
        <f t="shared" si="149"/>
        <v/>
      </c>
      <c r="AA458" s="70" t="str">
        <f t="shared" si="150"/>
        <v/>
      </c>
      <c r="AB458" s="70" t="str">
        <f t="shared" si="151"/>
        <v/>
      </c>
      <c r="AC458" s="70" t="str">
        <f t="shared" si="152"/>
        <v/>
      </c>
      <c r="AD458" s="70" t="str">
        <f t="shared" si="153"/>
        <v/>
      </c>
      <c r="AE458" s="70" t="str">
        <f t="shared" si="154"/>
        <v/>
      </c>
      <c r="AF458" s="16"/>
      <c r="AG458" s="23"/>
      <c r="AH458" s="22"/>
      <c r="AJ458" s="83">
        <f t="shared" si="155"/>
        <v>0</v>
      </c>
      <c r="AO458" s="22" t="str">
        <f t="shared" si="156"/>
        <v/>
      </c>
      <c r="AP458" s="22" t="str">
        <f t="shared" si="157"/>
        <v/>
      </c>
    </row>
    <row r="459" spans="1:42" x14ac:dyDescent="0.25">
      <c r="A459" s="10"/>
      <c r="B459" s="10"/>
      <c r="C459" s="10"/>
      <c r="D459" s="10"/>
      <c r="E459" s="10"/>
      <c r="F459" s="10"/>
      <c r="G459" s="10"/>
      <c r="H459" s="17"/>
      <c r="I459" s="10"/>
      <c r="J459" s="10"/>
      <c r="K459" s="16" t="str">
        <f t="shared" si="136"/>
        <v/>
      </c>
      <c r="L459" s="23" t="str">
        <f t="shared" si="137"/>
        <v/>
      </c>
      <c r="M459" s="22" t="str">
        <f t="shared" si="138"/>
        <v/>
      </c>
      <c r="N459" s="72"/>
      <c r="O459" s="16" t="str">
        <f t="shared" si="139"/>
        <v/>
      </c>
      <c r="P459" s="16" t="str">
        <f t="shared" si="140"/>
        <v/>
      </c>
      <c r="Q459" s="16" t="str">
        <f t="shared" si="141"/>
        <v/>
      </c>
      <c r="R459" s="23" t="str">
        <f t="shared" si="142"/>
        <v/>
      </c>
      <c r="S459" s="23" t="str">
        <f t="shared" si="143"/>
        <v/>
      </c>
      <c r="T459" s="23" t="str">
        <f t="shared" si="144"/>
        <v/>
      </c>
      <c r="U459" s="23" t="str">
        <f t="shared" si="145"/>
        <v/>
      </c>
      <c r="V459" s="23" t="str">
        <f t="shared" si="146"/>
        <v/>
      </c>
      <c r="W459" s="70" t="str">
        <f t="shared" si="147"/>
        <v/>
      </c>
      <c r="X459" s="70" t="str">
        <f t="shared" si="148"/>
        <v/>
      </c>
      <c r="Y459" s="70" t="str">
        <f>IF(AND($A459&lt;&gt;"",$E459&gt;0),isLaptopBag($C459,$J459)*$D459,"")</f>
        <v/>
      </c>
      <c r="Z459" s="70" t="str">
        <f t="shared" si="149"/>
        <v/>
      </c>
      <c r="AA459" s="70" t="str">
        <f t="shared" si="150"/>
        <v/>
      </c>
      <c r="AB459" s="70" t="str">
        <f t="shared" si="151"/>
        <v/>
      </c>
      <c r="AC459" s="70" t="str">
        <f t="shared" si="152"/>
        <v/>
      </c>
      <c r="AD459" s="70" t="str">
        <f t="shared" si="153"/>
        <v/>
      </c>
      <c r="AE459" s="70" t="str">
        <f t="shared" si="154"/>
        <v/>
      </c>
      <c r="AF459" s="16"/>
      <c r="AG459" s="23"/>
      <c r="AH459" s="22"/>
      <c r="AJ459" s="83">
        <f t="shared" si="155"/>
        <v>0</v>
      </c>
      <c r="AO459" s="22" t="str">
        <f t="shared" si="156"/>
        <v/>
      </c>
      <c r="AP459" s="22" t="str">
        <f t="shared" si="157"/>
        <v/>
      </c>
    </row>
    <row r="460" spans="1:42" x14ac:dyDescent="0.25">
      <c r="A460" s="10"/>
      <c r="B460" s="10"/>
      <c r="C460" s="10"/>
      <c r="D460" s="10"/>
      <c r="E460" s="10"/>
      <c r="F460" s="10"/>
      <c r="G460" s="10"/>
      <c r="H460" s="17"/>
      <c r="I460" s="10"/>
      <c r="J460" s="10"/>
      <c r="K460" s="16" t="str">
        <f t="shared" si="136"/>
        <v/>
      </c>
      <c r="L460" s="23" t="str">
        <f t="shared" si="137"/>
        <v/>
      </c>
      <c r="M460" s="22" t="str">
        <f t="shared" si="138"/>
        <v/>
      </c>
      <c r="N460" s="72"/>
      <c r="O460" s="16" t="str">
        <f t="shared" si="139"/>
        <v/>
      </c>
      <c r="P460" s="16" t="str">
        <f t="shared" si="140"/>
        <v/>
      </c>
      <c r="Q460" s="16" t="str">
        <f t="shared" si="141"/>
        <v/>
      </c>
      <c r="R460" s="23" t="str">
        <f t="shared" si="142"/>
        <v/>
      </c>
      <c r="S460" s="23" t="str">
        <f t="shared" si="143"/>
        <v/>
      </c>
      <c r="T460" s="23" t="str">
        <f t="shared" si="144"/>
        <v/>
      </c>
      <c r="U460" s="23" t="str">
        <f t="shared" si="145"/>
        <v/>
      </c>
      <c r="V460" s="23" t="str">
        <f t="shared" si="146"/>
        <v/>
      </c>
      <c r="W460" s="70" t="str">
        <f t="shared" si="147"/>
        <v/>
      </c>
      <c r="X460" s="70" t="str">
        <f t="shared" si="148"/>
        <v/>
      </c>
      <c r="Y460" s="70" t="str">
        <f>IF(AND($A460&lt;&gt;"",$E460&gt;0),isLaptopBag($C460,$J460)*$D460,"")</f>
        <v/>
      </c>
      <c r="Z460" s="70" t="str">
        <f t="shared" si="149"/>
        <v/>
      </c>
      <c r="AA460" s="70" t="str">
        <f t="shared" si="150"/>
        <v/>
      </c>
      <c r="AB460" s="70" t="str">
        <f t="shared" si="151"/>
        <v/>
      </c>
      <c r="AC460" s="70" t="str">
        <f t="shared" si="152"/>
        <v/>
      </c>
      <c r="AD460" s="70" t="str">
        <f t="shared" si="153"/>
        <v/>
      </c>
      <c r="AE460" s="70" t="str">
        <f t="shared" si="154"/>
        <v/>
      </c>
      <c r="AF460" s="16"/>
      <c r="AG460" s="23"/>
      <c r="AH460" s="22"/>
      <c r="AJ460" s="83">
        <f t="shared" si="155"/>
        <v>0</v>
      </c>
      <c r="AO460" s="22" t="str">
        <f t="shared" si="156"/>
        <v/>
      </c>
      <c r="AP460" s="22" t="str">
        <f t="shared" si="157"/>
        <v/>
      </c>
    </row>
    <row r="461" spans="1:42" x14ac:dyDescent="0.25">
      <c r="A461" s="10"/>
      <c r="B461" s="10"/>
      <c r="C461" s="10"/>
      <c r="D461" s="10"/>
      <c r="E461" s="10"/>
      <c r="F461" s="10"/>
      <c r="G461" s="10"/>
      <c r="H461" s="17"/>
      <c r="I461" s="10"/>
      <c r="J461" s="10"/>
      <c r="K461" s="16" t="str">
        <f t="shared" ref="K461:K524" si="158">IF($AF461&lt;&gt;"",$AF461,IF(AND($A461&lt;&gt;"",$E461&gt;0),SUM($O461:$Q461),""))</f>
        <v/>
      </c>
      <c r="L461" s="23" t="str">
        <f t="shared" ref="L461:L524" si="159">IF($AG461&lt;&gt;"",$AG461,IF(AND($A461&lt;&gt;"",$E461&gt;0),SUM($R461:$V461),""))</f>
        <v/>
      </c>
      <c r="M461" s="22" t="str">
        <f t="shared" ref="M461:M524" si="160">IF($AH461&lt;&gt;"",$AH461,IF(AND($A461&lt;&gt;"",$E461&gt;0),SUM($W461:$AE461)+$AO461+$AP461,""))</f>
        <v/>
      </c>
      <c r="N461" s="72"/>
      <c r="O461" s="16" t="str">
        <f t="shared" ref="O461:O524" si="161">IF(AND($A461&lt;&gt;"",$E461&gt;0),IF(AND($J461="SONY",200000&lt;=$E461,$E461&lt;1000000),5000*$D461,0),"")</f>
        <v/>
      </c>
      <c r="P461" s="16" t="str">
        <f t="shared" ref="P461:P524" si="162">IF(AND($A461&lt;&gt;"",$E461&gt;0),IF(AND($J461="SONY",1000000&lt;=$E461,$E461&lt;2000000),10000*$D461,0),"")</f>
        <v/>
      </c>
      <c r="Q461" s="16" t="str">
        <f t="shared" ref="Q461:Q524" si="163">IF(AND($A461&lt;&gt;"",$E461&gt;0),IF(AND($J461="SONY",$E461&gt;=2000000),20000*$D461,0),"")</f>
        <v/>
      </c>
      <c r="R461" s="23" t="str">
        <f t="shared" ref="R461:R524" si="164">IF(AND($A461&lt;&gt;"",$E461&gt;0),IF(AND($J461&lt;&gt;"SONY",100000&lt;=$E461,$E461&lt;200000),5000*$D461,0),"")</f>
        <v/>
      </c>
      <c r="S461" s="23" t="str">
        <f t="shared" ref="S461:S524" si="165">IF(AND($A461&lt;&gt;"",$E461&gt;0),IF(AND($J461&lt;&gt;"SONY",200000&lt;=$E461,$E461&lt;500000),10000*$D461,0),"")</f>
        <v/>
      </c>
      <c r="T461" s="23" t="str">
        <f t="shared" ref="T461:T524" si="166">IF(AND($A461&lt;&gt;"",$E461&gt;0),IF(AND($J461&lt;&gt;"SONY",500000&lt;=$E461,$E461&lt;1000000),20000*$D461,0),"")</f>
        <v/>
      </c>
      <c r="U461" s="23" t="str">
        <f t="shared" ref="U461:U524" si="167">IF(AND($A461&lt;&gt;"",$E461&gt;0),IF(AND($J461&lt;&gt;"SONY",1000000&lt;=$E461,$E461&lt;1500000),50000*$D461,0),"")</f>
        <v/>
      </c>
      <c r="V461" s="23" t="str">
        <f t="shared" ref="V461:V524" si="168">IF(AND($A461&lt;&gt;"",$E461&gt;0),IF(AND($J461&lt;&gt;"SONY",1500000&lt;=$E461),100000*$D461,0),"")</f>
        <v/>
      </c>
      <c r="W461" s="70" t="str">
        <f t="shared" ref="W461:W524" si="169">IF(AND($E461&gt;0,$J461="ELECOM",$E461&gt;=500000,ISNUMBER(SEARCH("tai nghe",$C461))),20000*$D461,IF($A461&lt;&gt;"",0,""))</f>
        <v/>
      </c>
      <c r="X461" s="70" t="str">
        <f t="shared" ref="X461:X524" si="170">IF(AND($E461&gt;0,$J461="ELECOM",ISNUMBER(SEARCH("loa",$C461))),20000*$D461,IF($A461&lt;&gt;"",0,""))</f>
        <v/>
      </c>
      <c r="Y461" s="70" t="str">
        <f>IF(AND($A461&lt;&gt;"",$E461&gt;0),isLaptopBag($C461,$J461)*$D461,"")</f>
        <v/>
      </c>
      <c r="Z461" s="70" t="str">
        <f t="shared" ref="Z461:Z524" si="171">IF(AND($E461&gt;0,$J461="ELECOM",ISNUMBER(SEARCH("ốp",$C461))),20000*$D461,IF($A461&lt;&gt;"",0,""))</f>
        <v/>
      </c>
      <c r="AA461" s="70" t="str">
        <f t="shared" ref="AA461:AA524" si="172">IF(AND($E461&gt;0,$J461="ELECOM",ISNUMBER(SEARCH("Bút",$C461))),20000*$D461,IF($A461&lt;&gt;"",0,""))</f>
        <v/>
      </c>
      <c r="AB461" s="70" t="str">
        <f t="shared" ref="AB461:AB524" si="173">IF(AND($E461&gt;0,$J461="ELECOM",ISNUMBER(SEARCH("Chuột bi",$C461))),20000*$D461,IF($A461&lt;&gt;"",0,""))</f>
        <v/>
      </c>
      <c r="AC461" s="70" t="str">
        <f t="shared" ref="AC461:AC524" si="174">IF(AND($E461&gt;0,$J461="ELECOM",ISNUMBER(SEARCH("Chuột trackball",$C461))),20000*$D461,IF($A461&lt;&gt;"",0,""))</f>
        <v/>
      </c>
      <c r="AD461" s="70" t="str">
        <f t="shared" ref="AD461:AD524" si="175">IF(AND($E461&gt;0,$J461="ELECOM",ISNUMBER(SEARCH("Sạc không dây",$C461))),20000*$D461,IF($A461&lt;&gt;"",0,""))</f>
        <v/>
      </c>
      <c r="AE461" s="70" t="str">
        <f t="shared" ref="AE461:AE524" si="176">IF(AND($E461&gt;0,$J461="ELECOM",ISNUMBER(SEARCH("Sạc kd",$C461))),20000*$D461,IF($A461&lt;&gt;"",0,""))</f>
        <v/>
      </c>
      <c r="AF461" s="16"/>
      <c r="AG461" s="23"/>
      <c r="AH461" s="22"/>
      <c r="AJ461" s="83">
        <f t="shared" ref="AJ461:AJ524" si="177">DAY(H461)</f>
        <v>0</v>
      </c>
      <c r="AO461" s="22" t="str">
        <f t="shared" ref="AO461:AO524" si="178">IF(AND($E461&gt;0,ISNUMBER(SEARCH("Sạc dự phòng Energizer",$C461))),10000*$D461,IF($A461&lt;&gt;"",0,""))</f>
        <v/>
      </c>
      <c r="AP461" s="22" t="str">
        <f t="shared" ref="AP461:AP524" si="179">IF(AND($E461&gt;0,ISNUMBER(SEARCH("SDP Energizer",$C461))),10000*$D461,IF($A461&lt;&gt;"",0,""))</f>
        <v/>
      </c>
    </row>
    <row r="462" spans="1:42" x14ac:dyDescent="0.25">
      <c r="A462" s="10"/>
      <c r="B462" s="10"/>
      <c r="C462" s="10"/>
      <c r="D462" s="10"/>
      <c r="E462" s="10"/>
      <c r="F462" s="10"/>
      <c r="G462" s="10"/>
      <c r="H462" s="17"/>
      <c r="I462" s="10"/>
      <c r="J462" s="10"/>
      <c r="K462" s="16" t="str">
        <f t="shared" si="158"/>
        <v/>
      </c>
      <c r="L462" s="23" t="str">
        <f t="shared" si="159"/>
        <v/>
      </c>
      <c r="M462" s="22" t="str">
        <f t="shared" si="160"/>
        <v/>
      </c>
      <c r="N462" s="72"/>
      <c r="O462" s="16" t="str">
        <f t="shared" si="161"/>
        <v/>
      </c>
      <c r="P462" s="16" t="str">
        <f t="shared" si="162"/>
        <v/>
      </c>
      <c r="Q462" s="16" t="str">
        <f t="shared" si="163"/>
        <v/>
      </c>
      <c r="R462" s="23" t="str">
        <f t="shared" si="164"/>
        <v/>
      </c>
      <c r="S462" s="23" t="str">
        <f t="shared" si="165"/>
        <v/>
      </c>
      <c r="T462" s="23" t="str">
        <f t="shared" si="166"/>
        <v/>
      </c>
      <c r="U462" s="23" t="str">
        <f t="shared" si="167"/>
        <v/>
      </c>
      <c r="V462" s="23" t="str">
        <f t="shared" si="168"/>
        <v/>
      </c>
      <c r="W462" s="70" t="str">
        <f t="shared" si="169"/>
        <v/>
      </c>
      <c r="X462" s="70" t="str">
        <f t="shared" si="170"/>
        <v/>
      </c>
      <c r="Y462" s="70" t="str">
        <f>IF(AND($A462&lt;&gt;"",$E462&gt;0),isLaptopBag($C462,$J462)*$D462,"")</f>
        <v/>
      </c>
      <c r="Z462" s="70" t="str">
        <f t="shared" si="171"/>
        <v/>
      </c>
      <c r="AA462" s="70" t="str">
        <f t="shared" si="172"/>
        <v/>
      </c>
      <c r="AB462" s="70" t="str">
        <f t="shared" si="173"/>
        <v/>
      </c>
      <c r="AC462" s="70" t="str">
        <f t="shared" si="174"/>
        <v/>
      </c>
      <c r="AD462" s="70" t="str">
        <f t="shared" si="175"/>
        <v/>
      </c>
      <c r="AE462" s="70" t="str">
        <f t="shared" si="176"/>
        <v/>
      </c>
      <c r="AF462" s="16"/>
      <c r="AG462" s="23"/>
      <c r="AH462" s="22"/>
      <c r="AJ462" s="83">
        <f t="shared" si="177"/>
        <v>0</v>
      </c>
      <c r="AO462" s="22" t="str">
        <f t="shared" si="178"/>
        <v/>
      </c>
      <c r="AP462" s="22" t="str">
        <f t="shared" si="179"/>
        <v/>
      </c>
    </row>
    <row r="463" spans="1:42" x14ac:dyDescent="0.25">
      <c r="A463" s="10"/>
      <c r="B463" s="10"/>
      <c r="C463" s="10"/>
      <c r="D463" s="10"/>
      <c r="E463" s="10"/>
      <c r="F463" s="10"/>
      <c r="G463" s="10"/>
      <c r="H463" s="17"/>
      <c r="I463" s="10"/>
      <c r="J463" s="10"/>
      <c r="K463" s="16" t="str">
        <f t="shared" si="158"/>
        <v/>
      </c>
      <c r="L463" s="23" t="str">
        <f t="shared" si="159"/>
        <v/>
      </c>
      <c r="M463" s="22" t="str">
        <f t="shared" si="160"/>
        <v/>
      </c>
      <c r="N463" s="72"/>
      <c r="O463" s="16" t="str">
        <f t="shared" si="161"/>
        <v/>
      </c>
      <c r="P463" s="16" t="str">
        <f t="shared" si="162"/>
        <v/>
      </c>
      <c r="Q463" s="16" t="str">
        <f t="shared" si="163"/>
        <v/>
      </c>
      <c r="R463" s="23" t="str">
        <f t="shared" si="164"/>
        <v/>
      </c>
      <c r="S463" s="23" t="str">
        <f t="shared" si="165"/>
        <v/>
      </c>
      <c r="T463" s="23" t="str">
        <f t="shared" si="166"/>
        <v/>
      </c>
      <c r="U463" s="23" t="str">
        <f t="shared" si="167"/>
        <v/>
      </c>
      <c r="V463" s="23" t="str">
        <f t="shared" si="168"/>
        <v/>
      </c>
      <c r="W463" s="70" t="str">
        <f t="shared" si="169"/>
        <v/>
      </c>
      <c r="X463" s="70" t="str">
        <f t="shared" si="170"/>
        <v/>
      </c>
      <c r="Y463" s="70" t="str">
        <f>IF(AND($A463&lt;&gt;"",$E463&gt;0),isLaptopBag($C463,$J463)*$D463,"")</f>
        <v/>
      </c>
      <c r="Z463" s="70" t="str">
        <f t="shared" si="171"/>
        <v/>
      </c>
      <c r="AA463" s="70" t="str">
        <f t="shared" si="172"/>
        <v/>
      </c>
      <c r="AB463" s="70" t="str">
        <f t="shared" si="173"/>
        <v/>
      </c>
      <c r="AC463" s="70" t="str">
        <f t="shared" si="174"/>
        <v/>
      </c>
      <c r="AD463" s="70" t="str">
        <f t="shared" si="175"/>
        <v/>
      </c>
      <c r="AE463" s="70" t="str">
        <f t="shared" si="176"/>
        <v/>
      </c>
      <c r="AF463" s="16"/>
      <c r="AG463" s="23"/>
      <c r="AH463" s="22"/>
      <c r="AJ463" s="83">
        <f t="shared" si="177"/>
        <v>0</v>
      </c>
      <c r="AO463" s="22" t="str">
        <f t="shared" si="178"/>
        <v/>
      </c>
      <c r="AP463" s="22" t="str">
        <f t="shared" si="179"/>
        <v/>
      </c>
    </row>
    <row r="464" spans="1:42" x14ac:dyDescent="0.25">
      <c r="A464" s="10"/>
      <c r="B464" s="10"/>
      <c r="C464" s="10"/>
      <c r="D464" s="10"/>
      <c r="E464" s="10"/>
      <c r="F464" s="10"/>
      <c r="G464" s="10"/>
      <c r="H464" s="17"/>
      <c r="I464" s="10"/>
      <c r="J464" s="10"/>
      <c r="K464" s="16" t="str">
        <f t="shared" si="158"/>
        <v/>
      </c>
      <c r="L464" s="23" t="str">
        <f t="shared" si="159"/>
        <v/>
      </c>
      <c r="M464" s="22" t="str">
        <f t="shared" si="160"/>
        <v/>
      </c>
      <c r="N464" s="72"/>
      <c r="O464" s="16" t="str">
        <f t="shared" si="161"/>
        <v/>
      </c>
      <c r="P464" s="16" t="str">
        <f t="shared" si="162"/>
        <v/>
      </c>
      <c r="Q464" s="16" t="str">
        <f t="shared" si="163"/>
        <v/>
      </c>
      <c r="R464" s="23" t="str">
        <f t="shared" si="164"/>
        <v/>
      </c>
      <c r="S464" s="23" t="str">
        <f t="shared" si="165"/>
        <v/>
      </c>
      <c r="T464" s="23" t="str">
        <f t="shared" si="166"/>
        <v/>
      </c>
      <c r="U464" s="23" t="str">
        <f t="shared" si="167"/>
        <v/>
      </c>
      <c r="V464" s="23" t="str">
        <f t="shared" si="168"/>
        <v/>
      </c>
      <c r="W464" s="70" t="str">
        <f t="shared" si="169"/>
        <v/>
      </c>
      <c r="X464" s="70" t="str">
        <f t="shared" si="170"/>
        <v/>
      </c>
      <c r="Y464" s="70" t="str">
        <f>IF(AND($A464&lt;&gt;"",$E464&gt;0),isLaptopBag($C464,$J464)*$D464,"")</f>
        <v/>
      </c>
      <c r="Z464" s="70" t="str">
        <f t="shared" si="171"/>
        <v/>
      </c>
      <c r="AA464" s="70" t="str">
        <f t="shared" si="172"/>
        <v/>
      </c>
      <c r="AB464" s="70" t="str">
        <f t="shared" si="173"/>
        <v/>
      </c>
      <c r="AC464" s="70" t="str">
        <f t="shared" si="174"/>
        <v/>
      </c>
      <c r="AD464" s="70" t="str">
        <f t="shared" si="175"/>
        <v/>
      </c>
      <c r="AE464" s="70" t="str">
        <f t="shared" si="176"/>
        <v/>
      </c>
      <c r="AF464" s="16"/>
      <c r="AG464" s="23"/>
      <c r="AH464" s="22"/>
      <c r="AJ464" s="83">
        <f t="shared" si="177"/>
        <v>0</v>
      </c>
      <c r="AO464" s="22" t="str">
        <f t="shared" si="178"/>
        <v/>
      </c>
      <c r="AP464" s="22" t="str">
        <f t="shared" si="179"/>
        <v/>
      </c>
    </row>
    <row r="465" spans="1:42" x14ac:dyDescent="0.25">
      <c r="A465" s="10"/>
      <c r="B465" s="10"/>
      <c r="C465" s="10"/>
      <c r="D465" s="10"/>
      <c r="E465" s="10"/>
      <c r="F465" s="10"/>
      <c r="G465" s="10"/>
      <c r="H465" s="17"/>
      <c r="I465" s="10"/>
      <c r="J465" s="10"/>
      <c r="K465" s="16" t="str">
        <f t="shared" si="158"/>
        <v/>
      </c>
      <c r="L465" s="23" t="str">
        <f t="shared" si="159"/>
        <v/>
      </c>
      <c r="M465" s="22" t="str">
        <f t="shared" si="160"/>
        <v/>
      </c>
      <c r="N465" s="72"/>
      <c r="O465" s="16" t="str">
        <f t="shared" si="161"/>
        <v/>
      </c>
      <c r="P465" s="16" t="str">
        <f t="shared" si="162"/>
        <v/>
      </c>
      <c r="Q465" s="16" t="str">
        <f t="shared" si="163"/>
        <v/>
      </c>
      <c r="R465" s="23" t="str">
        <f t="shared" si="164"/>
        <v/>
      </c>
      <c r="S465" s="23" t="str">
        <f t="shared" si="165"/>
        <v/>
      </c>
      <c r="T465" s="23" t="str">
        <f t="shared" si="166"/>
        <v/>
      </c>
      <c r="U465" s="23" t="str">
        <f t="shared" si="167"/>
        <v/>
      </c>
      <c r="V465" s="23" t="str">
        <f t="shared" si="168"/>
        <v/>
      </c>
      <c r="W465" s="70" t="str">
        <f t="shared" si="169"/>
        <v/>
      </c>
      <c r="X465" s="70" t="str">
        <f t="shared" si="170"/>
        <v/>
      </c>
      <c r="Y465" s="70" t="str">
        <f>IF(AND($A465&lt;&gt;"",$E465&gt;0),isLaptopBag($C465,$J465)*$D465,"")</f>
        <v/>
      </c>
      <c r="Z465" s="70" t="str">
        <f t="shared" si="171"/>
        <v/>
      </c>
      <c r="AA465" s="70" t="str">
        <f t="shared" si="172"/>
        <v/>
      </c>
      <c r="AB465" s="70" t="str">
        <f t="shared" si="173"/>
        <v/>
      </c>
      <c r="AC465" s="70" t="str">
        <f t="shared" si="174"/>
        <v/>
      </c>
      <c r="AD465" s="70" t="str">
        <f t="shared" si="175"/>
        <v/>
      </c>
      <c r="AE465" s="70" t="str">
        <f t="shared" si="176"/>
        <v/>
      </c>
      <c r="AF465" s="16"/>
      <c r="AG465" s="23"/>
      <c r="AH465" s="22"/>
      <c r="AJ465" s="83">
        <f t="shared" si="177"/>
        <v>0</v>
      </c>
      <c r="AO465" s="22" t="str">
        <f t="shared" si="178"/>
        <v/>
      </c>
      <c r="AP465" s="22" t="str">
        <f t="shared" si="179"/>
        <v/>
      </c>
    </row>
    <row r="466" spans="1:42" x14ac:dyDescent="0.25">
      <c r="A466" s="10"/>
      <c r="B466" s="10"/>
      <c r="C466" s="10"/>
      <c r="D466" s="10"/>
      <c r="E466" s="10"/>
      <c r="F466" s="10"/>
      <c r="G466" s="10"/>
      <c r="H466" s="17"/>
      <c r="I466" s="10"/>
      <c r="J466" s="10"/>
      <c r="K466" s="16" t="str">
        <f t="shared" si="158"/>
        <v/>
      </c>
      <c r="L466" s="23" t="str">
        <f t="shared" si="159"/>
        <v/>
      </c>
      <c r="M466" s="22" t="str">
        <f t="shared" si="160"/>
        <v/>
      </c>
      <c r="N466" s="72"/>
      <c r="O466" s="16" t="str">
        <f t="shared" si="161"/>
        <v/>
      </c>
      <c r="P466" s="16" t="str">
        <f t="shared" si="162"/>
        <v/>
      </c>
      <c r="Q466" s="16" t="str">
        <f t="shared" si="163"/>
        <v/>
      </c>
      <c r="R466" s="23" t="str">
        <f t="shared" si="164"/>
        <v/>
      </c>
      <c r="S466" s="23" t="str">
        <f t="shared" si="165"/>
        <v/>
      </c>
      <c r="T466" s="23" t="str">
        <f t="shared" si="166"/>
        <v/>
      </c>
      <c r="U466" s="23" t="str">
        <f t="shared" si="167"/>
        <v/>
      </c>
      <c r="V466" s="23" t="str">
        <f t="shared" si="168"/>
        <v/>
      </c>
      <c r="W466" s="70" t="str">
        <f t="shared" si="169"/>
        <v/>
      </c>
      <c r="X466" s="70" t="str">
        <f t="shared" si="170"/>
        <v/>
      </c>
      <c r="Y466" s="70" t="str">
        <f>IF(AND($A466&lt;&gt;"",$E466&gt;0),isLaptopBag($C466,$J466)*$D466,"")</f>
        <v/>
      </c>
      <c r="Z466" s="70" t="str">
        <f t="shared" si="171"/>
        <v/>
      </c>
      <c r="AA466" s="70" t="str">
        <f t="shared" si="172"/>
        <v/>
      </c>
      <c r="AB466" s="70" t="str">
        <f t="shared" si="173"/>
        <v/>
      </c>
      <c r="AC466" s="70" t="str">
        <f t="shared" si="174"/>
        <v/>
      </c>
      <c r="AD466" s="70" t="str">
        <f t="shared" si="175"/>
        <v/>
      </c>
      <c r="AE466" s="70" t="str">
        <f t="shared" si="176"/>
        <v/>
      </c>
      <c r="AF466" s="16"/>
      <c r="AG466" s="23"/>
      <c r="AH466" s="22"/>
      <c r="AJ466" s="83">
        <f t="shared" si="177"/>
        <v>0</v>
      </c>
      <c r="AO466" s="22" t="str">
        <f t="shared" si="178"/>
        <v/>
      </c>
      <c r="AP466" s="22" t="str">
        <f t="shared" si="179"/>
        <v/>
      </c>
    </row>
    <row r="467" spans="1:42" x14ac:dyDescent="0.25">
      <c r="A467" s="10"/>
      <c r="B467" s="10"/>
      <c r="C467" s="10"/>
      <c r="D467" s="10"/>
      <c r="E467" s="10"/>
      <c r="F467" s="10"/>
      <c r="G467" s="10"/>
      <c r="H467" s="17"/>
      <c r="I467" s="10"/>
      <c r="J467" s="10"/>
      <c r="K467" s="16" t="str">
        <f t="shared" si="158"/>
        <v/>
      </c>
      <c r="L467" s="23" t="str">
        <f t="shared" si="159"/>
        <v/>
      </c>
      <c r="M467" s="22" t="str">
        <f t="shared" si="160"/>
        <v/>
      </c>
      <c r="N467" s="72"/>
      <c r="O467" s="16" t="str">
        <f t="shared" si="161"/>
        <v/>
      </c>
      <c r="P467" s="16" t="str">
        <f t="shared" si="162"/>
        <v/>
      </c>
      <c r="Q467" s="16" t="str">
        <f t="shared" si="163"/>
        <v/>
      </c>
      <c r="R467" s="23" t="str">
        <f t="shared" si="164"/>
        <v/>
      </c>
      <c r="S467" s="23" t="str">
        <f t="shared" si="165"/>
        <v/>
      </c>
      <c r="T467" s="23" t="str">
        <f t="shared" si="166"/>
        <v/>
      </c>
      <c r="U467" s="23" t="str">
        <f t="shared" si="167"/>
        <v/>
      </c>
      <c r="V467" s="23" t="str">
        <f t="shared" si="168"/>
        <v/>
      </c>
      <c r="W467" s="70" t="str">
        <f t="shared" si="169"/>
        <v/>
      </c>
      <c r="X467" s="70" t="str">
        <f t="shared" si="170"/>
        <v/>
      </c>
      <c r="Y467" s="70" t="str">
        <f>IF(AND($A467&lt;&gt;"",$E467&gt;0),isLaptopBag($C467,$J467)*$D467,"")</f>
        <v/>
      </c>
      <c r="Z467" s="70" t="str">
        <f t="shared" si="171"/>
        <v/>
      </c>
      <c r="AA467" s="70" t="str">
        <f t="shared" si="172"/>
        <v/>
      </c>
      <c r="AB467" s="70" t="str">
        <f t="shared" si="173"/>
        <v/>
      </c>
      <c r="AC467" s="70" t="str">
        <f t="shared" si="174"/>
        <v/>
      </c>
      <c r="AD467" s="70" t="str">
        <f t="shared" si="175"/>
        <v/>
      </c>
      <c r="AE467" s="70" t="str">
        <f t="shared" si="176"/>
        <v/>
      </c>
      <c r="AF467" s="16"/>
      <c r="AG467" s="23"/>
      <c r="AH467" s="22"/>
      <c r="AJ467" s="83">
        <f t="shared" si="177"/>
        <v>0</v>
      </c>
      <c r="AO467" s="22" t="str">
        <f t="shared" si="178"/>
        <v/>
      </c>
      <c r="AP467" s="22" t="str">
        <f t="shared" si="179"/>
        <v/>
      </c>
    </row>
    <row r="468" spans="1:42" x14ac:dyDescent="0.25">
      <c r="A468" s="10"/>
      <c r="B468" s="10"/>
      <c r="C468" s="10"/>
      <c r="D468" s="10"/>
      <c r="E468" s="10"/>
      <c r="F468" s="10"/>
      <c r="G468" s="10"/>
      <c r="H468" s="17"/>
      <c r="I468" s="10"/>
      <c r="J468" s="10"/>
      <c r="K468" s="16" t="str">
        <f t="shared" si="158"/>
        <v/>
      </c>
      <c r="L468" s="23" t="str">
        <f t="shared" si="159"/>
        <v/>
      </c>
      <c r="M468" s="22" t="str">
        <f t="shared" si="160"/>
        <v/>
      </c>
      <c r="N468" s="72"/>
      <c r="O468" s="16" t="str">
        <f t="shared" si="161"/>
        <v/>
      </c>
      <c r="P468" s="16" t="str">
        <f t="shared" si="162"/>
        <v/>
      </c>
      <c r="Q468" s="16" t="str">
        <f t="shared" si="163"/>
        <v/>
      </c>
      <c r="R468" s="23" t="str">
        <f t="shared" si="164"/>
        <v/>
      </c>
      <c r="S468" s="23" t="str">
        <f t="shared" si="165"/>
        <v/>
      </c>
      <c r="T468" s="23" t="str">
        <f t="shared" si="166"/>
        <v/>
      </c>
      <c r="U468" s="23" t="str">
        <f t="shared" si="167"/>
        <v/>
      </c>
      <c r="V468" s="23" t="str">
        <f t="shared" si="168"/>
        <v/>
      </c>
      <c r="W468" s="70" t="str">
        <f t="shared" si="169"/>
        <v/>
      </c>
      <c r="X468" s="70" t="str">
        <f t="shared" si="170"/>
        <v/>
      </c>
      <c r="Y468" s="70" t="str">
        <f>IF(AND($A468&lt;&gt;"",$E468&gt;0),isLaptopBag($C468,$J468)*$D468,"")</f>
        <v/>
      </c>
      <c r="Z468" s="70" t="str">
        <f t="shared" si="171"/>
        <v/>
      </c>
      <c r="AA468" s="70" t="str">
        <f t="shared" si="172"/>
        <v/>
      </c>
      <c r="AB468" s="70" t="str">
        <f t="shared" si="173"/>
        <v/>
      </c>
      <c r="AC468" s="70" t="str">
        <f t="shared" si="174"/>
        <v/>
      </c>
      <c r="AD468" s="70" t="str">
        <f t="shared" si="175"/>
        <v/>
      </c>
      <c r="AE468" s="70" t="str">
        <f t="shared" si="176"/>
        <v/>
      </c>
      <c r="AF468" s="16"/>
      <c r="AG468" s="23"/>
      <c r="AH468" s="22"/>
      <c r="AJ468" s="83">
        <f t="shared" si="177"/>
        <v>0</v>
      </c>
      <c r="AO468" s="22" t="str">
        <f t="shared" si="178"/>
        <v/>
      </c>
      <c r="AP468" s="22" t="str">
        <f t="shared" si="179"/>
        <v/>
      </c>
    </row>
    <row r="469" spans="1:42" x14ac:dyDescent="0.25">
      <c r="A469" s="10"/>
      <c r="B469" s="10"/>
      <c r="C469" s="10"/>
      <c r="D469" s="10"/>
      <c r="E469" s="10"/>
      <c r="F469" s="10"/>
      <c r="G469" s="10"/>
      <c r="H469" s="17"/>
      <c r="I469" s="10"/>
      <c r="J469" s="10"/>
      <c r="K469" s="16" t="str">
        <f t="shared" si="158"/>
        <v/>
      </c>
      <c r="L469" s="23" t="str">
        <f t="shared" si="159"/>
        <v/>
      </c>
      <c r="M469" s="22" t="str">
        <f t="shared" si="160"/>
        <v/>
      </c>
      <c r="N469" s="72"/>
      <c r="O469" s="16" t="str">
        <f t="shared" si="161"/>
        <v/>
      </c>
      <c r="P469" s="16" t="str">
        <f t="shared" si="162"/>
        <v/>
      </c>
      <c r="Q469" s="16" t="str">
        <f t="shared" si="163"/>
        <v/>
      </c>
      <c r="R469" s="23" t="str">
        <f t="shared" si="164"/>
        <v/>
      </c>
      <c r="S469" s="23" t="str">
        <f t="shared" si="165"/>
        <v/>
      </c>
      <c r="T469" s="23" t="str">
        <f t="shared" si="166"/>
        <v/>
      </c>
      <c r="U469" s="23" t="str">
        <f t="shared" si="167"/>
        <v/>
      </c>
      <c r="V469" s="23" t="str">
        <f t="shared" si="168"/>
        <v/>
      </c>
      <c r="W469" s="70" t="str">
        <f t="shared" si="169"/>
        <v/>
      </c>
      <c r="X469" s="70" t="str">
        <f t="shared" si="170"/>
        <v/>
      </c>
      <c r="Y469" s="70" t="str">
        <f>IF(AND($A469&lt;&gt;"",$E469&gt;0),isLaptopBag($C469,$J469)*$D469,"")</f>
        <v/>
      </c>
      <c r="Z469" s="70" t="str">
        <f t="shared" si="171"/>
        <v/>
      </c>
      <c r="AA469" s="70" t="str">
        <f t="shared" si="172"/>
        <v/>
      </c>
      <c r="AB469" s="70" t="str">
        <f t="shared" si="173"/>
        <v/>
      </c>
      <c r="AC469" s="70" t="str">
        <f t="shared" si="174"/>
        <v/>
      </c>
      <c r="AD469" s="70" t="str">
        <f t="shared" si="175"/>
        <v/>
      </c>
      <c r="AE469" s="70" t="str">
        <f t="shared" si="176"/>
        <v/>
      </c>
      <c r="AF469" s="16"/>
      <c r="AG469" s="23"/>
      <c r="AH469" s="22"/>
      <c r="AJ469" s="83">
        <f t="shared" si="177"/>
        <v>0</v>
      </c>
      <c r="AO469" s="22" t="str">
        <f t="shared" si="178"/>
        <v/>
      </c>
      <c r="AP469" s="22" t="str">
        <f t="shared" si="179"/>
        <v/>
      </c>
    </row>
    <row r="470" spans="1:42" x14ac:dyDescent="0.25">
      <c r="A470" s="10"/>
      <c r="B470" s="10"/>
      <c r="C470" s="10"/>
      <c r="D470" s="10"/>
      <c r="E470" s="10"/>
      <c r="F470" s="10"/>
      <c r="G470" s="10"/>
      <c r="H470" s="17"/>
      <c r="I470" s="10"/>
      <c r="J470" s="10"/>
      <c r="K470" s="16" t="str">
        <f t="shared" si="158"/>
        <v/>
      </c>
      <c r="L470" s="23" t="str">
        <f t="shared" si="159"/>
        <v/>
      </c>
      <c r="M470" s="22" t="str">
        <f t="shared" si="160"/>
        <v/>
      </c>
      <c r="N470" s="72"/>
      <c r="O470" s="16" t="str">
        <f t="shared" si="161"/>
        <v/>
      </c>
      <c r="P470" s="16" t="str">
        <f t="shared" si="162"/>
        <v/>
      </c>
      <c r="Q470" s="16" t="str">
        <f t="shared" si="163"/>
        <v/>
      </c>
      <c r="R470" s="23" t="str">
        <f t="shared" si="164"/>
        <v/>
      </c>
      <c r="S470" s="23" t="str">
        <f t="shared" si="165"/>
        <v/>
      </c>
      <c r="T470" s="23" t="str">
        <f t="shared" si="166"/>
        <v/>
      </c>
      <c r="U470" s="23" t="str">
        <f t="shared" si="167"/>
        <v/>
      </c>
      <c r="V470" s="23" t="str">
        <f t="shared" si="168"/>
        <v/>
      </c>
      <c r="W470" s="70" t="str">
        <f t="shared" si="169"/>
        <v/>
      </c>
      <c r="X470" s="70" t="str">
        <f t="shared" si="170"/>
        <v/>
      </c>
      <c r="Y470" s="70" t="str">
        <f>IF(AND($A470&lt;&gt;"",$E470&gt;0),isLaptopBag($C470,$J470)*$D470,"")</f>
        <v/>
      </c>
      <c r="Z470" s="70" t="str">
        <f t="shared" si="171"/>
        <v/>
      </c>
      <c r="AA470" s="70" t="str">
        <f t="shared" si="172"/>
        <v/>
      </c>
      <c r="AB470" s="70" t="str">
        <f t="shared" si="173"/>
        <v/>
      </c>
      <c r="AC470" s="70" t="str">
        <f t="shared" si="174"/>
        <v/>
      </c>
      <c r="AD470" s="70" t="str">
        <f t="shared" si="175"/>
        <v/>
      </c>
      <c r="AE470" s="70" t="str">
        <f t="shared" si="176"/>
        <v/>
      </c>
      <c r="AF470" s="16"/>
      <c r="AG470" s="23"/>
      <c r="AH470" s="22"/>
      <c r="AJ470" s="83">
        <f t="shared" si="177"/>
        <v>0</v>
      </c>
      <c r="AO470" s="22" t="str">
        <f t="shared" si="178"/>
        <v/>
      </c>
      <c r="AP470" s="22" t="str">
        <f t="shared" si="179"/>
        <v/>
      </c>
    </row>
    <row r="471" spans="1:42" x14ac:dyDescent="0.25">
      <c r="A471" s="10"/>
      <c r="B471" s="10"/>
      <c r="C471" s="10"/>
      <c r="D471" s="10"/>
      <c r="E471" s="10"/>
      <c r="F471" s="10"/>
      <c r="G471" s="10"/>
      <c r="H471" s="17"/>
      <c r="I471" s="10"/>
      <c r="J471" s="10"/>
      <c r="K471" s="16" t="str">
        <f t="shared" si="158"/>
        <v/>
      </c>
      <c r="L471" s="23" t="str">
        <f t="shared" si="159"/>
        <v/>
      </c>
      <c r="M471" s="22" t="str">
        <f t="shared" si="160"/>
        <v/>
      </c>
      <c r="N471" s="72"/>
      <c r="O471" s="16" t="str">
        <f t="shared" si="161"/>
        <v/>
      </c>
      <c r="P471" s="16" t="str">
        <f t="shared" si="162"/>
        <v/>
      </c>
      <c r="Q471" s="16" t="str">
        <f t="shared" si="163"/>
        <v/>
      </c>
      <c r="R471" s="23" t="str">
        <f t="shared" si="164"/>
        <v/>
      </c>
      <c r="S471" s="23" t="str">
        <f t="shared" si="165"/>
        <v/>
      </c>
      <c r="T471" s="23" t="str">
        <f t="shared" si="166"/>
        <v/>
      </c>
      <c r="U471" s="23" t="str">
        <f t="shared" si="167"/>
        <v/>
      </c>
      <c r="V471" s="23" t="str">
        <f t="shared" si="168"/>
        <v/>
      </c>
      <c r="W471" s="70" t="str">
        <f t="shared" si="169"/>
        <v/>
      </c>
      <c r="X471" s="70" t="str">
        <f t="shared" si="170"/>
        <v/>
      </c>
      <c r="Y471" s="70" t="str">
        <f>IF(AND($A471&lt;&gt;"",$E471&gt;0),isLaptopBag($C471,$J471)*$D471,"")</f>
        <v/>
      </c>
      <c r="Z471" s="70" t="str">
        <f t="shared" si="171"/>
        <v/>
      </c>
      <c r="AA471" s="70" t="str">
        <f t="shared" si="172"/>
        <v/>
      </c>
      <c r="AB471" s="70" t="str">
        <f t="shared" si="173"/>
        <v/>
      </c>
      <c r="AC471" s="70" t="str">
        <f t="shared" si="174"/>
        <v/>
      </c>
      <c r="AD471" s="70" t="str">
        <f t="shared" si="175"/>
        <v/>
      </c>
      <c r="AE471" s="70" t="str">
        <f t="shared" si="176"/>
        <v/>
      </c>
      <c r="AF471" s="16"/>
      <c r="AG471" s="23"/>
      <c r="AH471" s="22"/>
      <c r="AJ471" s="83">
        <f t="shared" si="177"/>
        <v>0</v>
      </c>
      <c r="AO471" s="22" t="str">
        <f t="shared" si="178"/>
        <v/>
      </c>
      <c r="AP471" s="22" t="str">
        <f t="shared" si="179"/>
        <v/>
      </c>
    </row>
    <row r="472" spans="1:42" x14ac:dyDescent="0.25">
      <c r="A472" s="10"/>
      <c r="B472" s="10"/>
      <c r="C472" s="10"/>
      <c r="D472" s="10"/>
      <c r="E472" s="10"/>
      <c r="F472" s="10"/>
      <c r="G472" s="10"/>
      <c r="H472" s="17"/>
      <c r="I472" s="10"/>
      <c r="J472" s="10"/>
      <c r="K472" s="16" t="str">
        <f t="shared" si="158"/>
        <v/>
      </c>
      <c r="L472" s="23" t="str">
        <f t="shared" si="159"/>
        <v/>
      </c>
      <c r="M472" s="22" t="str">
        <f t="shared" si="160"/>
        <v/>
      </c>
      <c r="N472" s="72"/>
      <c r="O472" s="16" t="str">
        <f t="shared" si="161"/>
        <v/>
      </c>
      <c r="P472" s="16" t="str">
        <f t="shared" si="162"/>
        <v/>
      </c>
      <c r="Q472" s="16" t="str">
        <f t="shared" si="163"/>
        <v/>
      </c>
      <c r="R472" s="23" t="str">
        <f t="shared" si="164"/>
        <v/>
      </c>
      <c r="S472" s="23" t="str">
        <f t="shared" si="165"/>
        <v/>
      </c>
      <c r="T472" s="23" t="str">
        <f t="shared" si="166"/>
        <v/>
      </c>
      <c r="U472" s="23" t="str">
        <f t="shared" si="167"/>
        <v/>
      </c>
      <c r="V472" s="23" t="str">
        <f t="shared" si="168"/>
        <v/>
      </c>
      <c r="W472" s="70" t="str">
        <f t="shared" si="169"/>
        <v/>
      </c>
      <c r="X472" s="70" t="str">
        <f t="shared" si="170"/>
        <v/>
      </c>
      <c r="Y472" s="70" t="str">
        <f>IF(AND($A472&lt;&gt;"",$E472&gt;0),isLaptopBag($C472,$J472)*$D472,"")</f>
        <v/>
      </c>
      <c r="Z472" s="70" t="str">
        <f t="shared" si="171"/>
        <v/>
      </c>
      <c r="AA472" s="70" t="str">
        <f t="shared" si="172"/>
        <v/>
      </c>
      <c r="AB472" s="70" t="str">
        <f t="shared" si="173"/>
        <v/>
      </c>
      <c r="AC472" s="70" t="str">
        <f t="shared" si="174"/>
        <v/>
      </c>
      <c r="AD472" s="70" t="str">
        <f t="shared" si="175"/>
        <v/>
      </c>
      <c r="AE472" s="70" t="str">
        <f t="shared" si="176"/>
        <v/>
      </c>
      <c r="AF472" s="16"/>
      <c r="AG472" s="23"/>
      <c r="AH472" s="22"/>
      <c r="AJ472" s="83">
        <f t="shared" si="177"/>
        <v>0</v>
      </c>
      <c r="AO472" s="22" t="str">
        <f t="shared" si="178"/>
        <v/>
      </c>
      <c r="AP472" s="22" t="str">
        <f t="shared" si="179"/>
        <v/>
      </c>
    </row>
    <row r="473" spans="1:42" x14ac:dyDescent="0.25">
      <c r="A473" s="10"/>
      <c r="B473" s="10"/>
      <c r="C473" s="10"/>
      <c r="D473" s="10"/>
      <c r="E473" s="10"/>
      <c r="F473" s="10"/>
      <c r="G473" s="10"/>
      <c r="H473" s="17"/>
      <c r="I473" s="10"/>
      <c r="J473" s="10"/>
      <c r="K473" s="16" t="str">
        <f t="shared" si="158"/>
        <v/>
      </c>
      <c r="L473" s="23" t="str">
        <f t="shared" si="159"/>
        <v/>
      </c>
      <c r="M473" s="22" t="str">
        <f t="shared" si="160"/>
        <v/>
      </c>
      <c r="N473" s="72"/>
      <c r="O473" s="16" t="str">
        <f t="shared" si="161"/>
        <v/>
      </c>
      <c r="P473" s="16" t="str">
        <f t="shared" si="162"/>
        <v/>
      </c>
      <c r="Q473" s="16" t="str">
        <f t="shared" si="163"/>
        <v/>
      </c>
      <c r="R473" s="23" t="str">
        <f t="shared" si="164"/>
        <v/>
      </c>
      <c r="S473" s="23" t="str">
        <f t="shared" si="165"/>
        <v/>
      </c>
      <c r="T473" s="23" t="str">
        <f t="shared" si="166"/>
        <v/>
      </c>
      <c r="U473" s="23" t="str">
        <f t="shared" si="167"/>
        <v/>
      </c>
      <c r="V473" s="23" t="str">
        <f t="shared" si="168"/>
        <v/>
      </c>
      <c r="W473" s="70" t="str">
        <f t="shared" si="169"/>
        <v/>
      </c>
      <c r="X473" s="70" t="str">
        <f t="shared" si="170"/>
        <v/>
      </c>
      <c r="Y473" s="70" t="str">
        <f>IF(AND($A473&lt;&gt;"",$E473&gt;0),isLaptopBag($C473,$J473)*$D473,"")</f>
        <v/>
      </c>
      <c r="Z473" s="70" t="str">
        <f t="shared" si="171"/>
        <v/>
      </c>
      <c r="AA473" s="70" t="str">
        <f t="shared" si="172"/>
        <v/>
      </c>
      <c r="AB473" s="70" t="str">
        <f t="shared" si="173"/>
        <v/>
      </c>
      <c r="AC473" s="70" t="str">
        <f t="shared" si="174"/>
        <v/>
      </c>
      <c r="AD473" s="70" t="str">
        <f t="shared" si="175"/>
        <v/>
      </c>
      <c r="AE473" s="70" t="str">
        <f t="shared" si="176"/>
        <v/>
      </c>
      <c r="AF473" s="16"/>
      <c r="AG473" s="23"/>
      <c r="AH473" s="22"/>
      <c r="AJ473" s="83">
        <f t="shared" si="177"/>
        <v>0</v>
      </c>
      <c r="AO473" s="22" t="str">
        <f t="shared" si="178"/>
        <v/>
      </c>
      <c r="AP473" s="22" t="str">
        <f t="shared" si="179"/>
        <v/>
      </c>
    </row>
    <row r="474" spans="1:42" x14ac:dyDescent="0.25">
      <c r="A474" s="10"/>
      <c r="B474" s="10"/>
      <c r="C474" s="10"/>
      <c r="D474" s="10"/>
      <c r="E474" s="10"/>
      <c r="F474" s="10"/>
      <c r="G474" s="10"/>
      <c r="H474" s="17"/>
      <c r="I474" s="10"/>
      <c r="J474" s="10"/>
      <c r="K474" s="16" t="str">
        <f t="shared" si="158"/>
        <v/>
      </c>
      <c r="L474" s="23" t="str">
        <f t="shared" si="159"/>
        <v/>
      </c>
      <c r="M474" s="22" t="str">
        <f t="shared" si="160"/>
        <v/>
      </c>
      <c r="N474" s="72"/>
      <c r="O474" s="16" t="str">
        <f t="shared" si="161"/>
        <v/>
      </c>
      <c r="P474" s="16" t="str">
        <f t="shared" si="162"/>
        <v/>
      </c>
      <c r="Q474" s="16" t="str">
        <f t="shared" si="163"/>
        <v/>
      </c>
      <c r="R474" s="23" t="str">
        <f t="shared" si="164"/>
        <v/>
      </c>
      <c r="S474" s="23" t="str">
        <f t="shared" si="165"/>
        <v/>
      </c>
      <c r="T474" s="23" t="str">
        <f t="shared" si="166"/>
        <v/>
      </c>
      <c r="U474" s="23" t="str">
        <f t="shared" si="167"/>
        <v/>
      </c>
      <c r="V474" s="23" t="str">
        <f t="shared" si="168"/>
        <v/>
      </c>
      <c r="W474" s="70" t="str">
        <f t="shared" si="169"/>
        <v/>
      </c>
      <c r="X474" s="70" t="str">
        <f t="shared" si="170"/>
        <v/>
      </c>
      <c r="Y474" s="70" t="str">
        <f>IF(AND($A474&lt;&gt;"",$E474&gt;0),isLaptopBag($C474,$J474)*$D474,"")</f>
        <v/>
      </c>
      <c r="Z474" s="70" t="str">
        <f t="shared" si="171"/>
        <v/>
      </c>
      <c r="AA474" s="70" t="str">
        <f t="shared" si="172"/>
        <v/>
      </c>
      <c r="AB474" s="70" t="str">
        <f t="shared" si="173"/>
        <v/>
      </c>
      <c r="AC474" s="70" t="str">
        <f t="shared" si="174"/>
        <v/>
      </c>
      <c r="AD474" s="70" t="str">
        <f t="shared" si="175"/>
        <v/>
      </c>
      <c r="AE474" s="70" t="str">
        <f t="shared" si="176"/>
        <v/>
      </c>
      <c r="AF474" s="16"/>
      <c r="AG474" s="23"/>
      <c r="AH474" s="22"/>
      <c r="AJ474" s="83">
        <f t="shared" si="177"/>
        <v>0</v>
      </c>
      <c r="AO474" s="22" t="str">
        <f t="shared" si="178"/>
        <v/>
      </c>
      <c r="AP474" s="22" t="str">
        <f t="shared" si="179"/>
        <v/>
      </c>
    </row>
    <row r="475" spans="1:42" x14ac:dyDescent="0.25">
      <c r="A475" s="10"/>
      <c r="B475" s="10"/>
      <c r="C475" s="10"/>
      <c r="D475" s="10"/>
      <c r="E475" s="10"/>
      <c r="F475" s="10"/>
      <c r="G475" s="10"/>
      <c r="H475" s="17"/>
      <c r="I475" s="10"/>
      <c r="J475" s="10"/>
      <c r="K475" s="16" t="str">
        <f t="shared" si="158"/>
        <v/>
      </c>
      <c r="L475" s="23" t="str">
        <f t="shared" si="159"/>
        <v/>
      </c>
      <c r="M475" s="22" t="str">
        <f t="shared" si="160"/>
        <v/>
      </c>
      <c r="N475" s="72"/>
      <c r="O475" s="16" t="str">
        <f t="shared" si="161"/>
        <v/>
      </c>
      <c r="P475" s="16" t="str">
        <f t="shared" si="162"/>
        <v/>
      </c>
      <c r="Q475" s="16" t="str">
        <f t="shared" si="163"/>
        <v/>
      </c>
      <c r="R475" s="23" t="str">
        <f t="shared" si="164"/>
        <v/>
      </c>
      <c r="S475" s="23" t="str">
        <f t="shared" si="165"/>
        <v/>
      </c>
      <c r="T475" s="23" t="str">
        <f t="shared" si="166"/>
        <v/>
      </c>
      <c r="U475" s="23" t="str">
        <f t="shared" si="167"/>
        <v/>
      </c>
      <c r="V475" s="23" t="str">
        <f t="shared" si="168"/>
        <v/>
      </c>
      <c r="W475" s="70" t="str">
        <f t="shared" si="169"/>
        <v/>
      </c>
      <c r="X475" s="70" t="str">
        <f t="shared" si="170"/>
        <v/>
      </c>
      <c r="Y475" s="70" t="str">
        <f>IF(AND($A475&lt;&gt;"",$E475&gt;0),isLaptopBag($C475,$J475)*$D475,"")</f>
        <v/>
      </c>
      <c r="Z475" s="70" t="str">
        <f t="shared" si="171"/>
        <v/>
      </c>
      <c r="AA475" s="70" t="str">
        <f t="shared" si="172"/>
        <v/>
      </c>
      <c r="AB475" s="70" t="str">
        <f t="shared" si="173"/>
        <v/>
      </c>
      <c r="AC475" s="70" t="str">
        <f t="shared" si="174"/>
        <v/>
      </c>
      <c r="AD475" s="70" t="str">
        <f t="shared" si="175"/>
        <v/>
      </c>
      <c r="AE475" s="70" t="str">
        <f t="shared" si="176"/>
        <v/>
      </c>
      <c r="AF475" s="16"/>
      <c r="AG475" s="23"/>
      <c r="AH475" s="22"/>
      <c r="AJ475" s="83">
        <f t="shared" si="177"/>
        <v>0</v>
      </c>
      <c r="AO475" s="22" t="str">
        <f t="shared" si="178"/>
        <v/>
      </c>
      <c r="AP475" s="22" t="str">
        <f t="shared" si="179"/>
        <v/>
      </c>
    </row>
    <row r="476" spans="1:42" x14ac:dyDescent="0.25">
      <c r="A476" s="10"/>
      <c r="B476" s="10"/>
      <c r="C476" s="10"/>
      <c r="D476" s="10"/>
      <c r="E476" s="10"/>
      <c r="F476" s="10"/>
      <c r="G476" s="10"/>
      <c r="H476" s="17"/>
      <c r="I476" s="10"/>
      <c r="J476" s="10"/>
      <c r="K476" s="16" t="str">
        <f t="shared" si="158"/>
        <v/>
      </c>
      <c r="L476" s="23" t="str">
        <f t="shared" si="159"/>
        <v/>
      </c>
      <c r="M476" s="22" t="str">
        <f t="shared" si="160"/>
        <v/>
      </c>
      <c r="N476" s="72"/>
      <c r="O476" s="16" t="str">
        <f t="shared" si="161"/>
        <v/>
      </c>
      <c r="P476" s="16" t="str">
        <f t="shared" si="162"/>
        <v/>
      </c>
      <c r="Q476" s="16" t="str">
        <f t="shared" si="163"/>
        <v/>
      </c>
      <c r="R476" s="23" t="str">
        <f t="shared" si="164"/>
        <v/>
      </c>
      <c r="S476" s="23" t="str">
        <f t="shared" si="165"/>
        <v/>
      </c>
      <c r="T476" s="23" t="str">
        <f t="shared" si="166"/>
        <v/>
      </c>
      <c r="U476" s="23" t="str">
        <f t="shared" si="167"/>
        <v/>
      </c>
      <c r="V476" s="23" t="str">
        <f t="shared" si="168"/>
        <v/>
      </c>
      <c r="W476" s="70" t="str">
        <f t="shared" si="169"/>
        <v/>
      </c>
      <c r="X476" s="70" t="str">
        <f t="shared" si="170"/>
        <v/>
      </c>
      <c r="Y476" s="70" t="str">
        <f>IF(AND($A476&lt;&gt;"",$E476&gt;0),isLaptopBag($C476,$J476)*$D476,"")</f>
        <v/>
      </c>
      <c r="Z476" s="70" t="str">
        <f t="shared" si="171"/>
        <v/>
      </c>
      <c r="AA476" s="70" t="str">
        <f t="shared" si="172"/>
        <v/>
      </c>
      <c r="AB476" s="70" t="str">
        <f t="shared" si="173"/>
        <v/>
      </c>
      <c r="AC476" s="70" t="str">
        <f t="shared" si="174"/>
        <v/>
      </c>
      <c r="AD476" s="70" t="str">
        <f t="shared" si="175"/>
        <v/>
      </c>
      <c r="AE476" s="70" t="str">
        <f t="shared" si="176"/>
        <v/>
      </c>
      <c r="AF476" s="16"/>
      <c r="AG476" s="23"/>
      <c r="AH476" s="22"/>
      <c r="AJ476" s="83">
        <f t="shared" si="177"/>
        <v>0</v>
      </c>
      <c r="AO476" s="22" t="str">
        <f t="shared" si="178"/>
        <v/>
      </c>
      <c r="AP476" s="22" t="str">
        <f t="shared" si="179"/>
        <v/>
      </c>
    </row>
    <row r="477" spans="1:42" x14ac:dyDescent="0.25">
      <c r="A477" s="10"/>
      <c r="B477" s="10"/>
      <c r="C477" s="10"/>
      <c r="D477" s="10"/>
      <c r="E477" s="10"/>
      <c r="F477" s="10"/>
      <c r="G477" s="10"/>
      <c r="H477" s="17"/>
      <c r="I477" s="10"/>
      <c r="J477" s="10"/>
      <c r="K477" s="16" t="str">
        <f t="shared" si="158"/>
        <v/>
      </c>
      <c r="L477" s="23" t="str">
        <f t="shared" si="159"/>
        <v/>
      </c>
      <c r="M477" s="22" t="str">
        <f t="shared" si="160"/>
        <v/>
      </c>
      <c r="N477" s="72"/>
      <c r="O477" s="16" t="str">
        <f t="shared" si="161"/>
        <v/>
      </c>
      <c r="P477" s="16" t="str">
        <f t="shared" si="162"/>
        <v/>
      </c>
      <c r="Q477" s="16" t="str">
        <f t="shared" si="163"/>
        <v/>
      </c>
      <c r="R477" s="23" t="str">
        <f t="shared" si="164"/>
        <v/>
      </c>
      <c r="S477" s="23" t="str">
        <f t="shared" si="165"/>
        <v/>
      </c>
      <c r="T477" s="23" t="str">
        <f t="shared" si="166"/>
        <v/>
      </c>
      <c r="U477" s="23" t="str">
        <f t="shared" si="167"/>
        <v/>
      </c>
      <c r="V477" s="23" t="str">
        <f t="shared" si="168"/>
        <v/>
      </c>
      <c r="W477" s="70" t="str">
        <f t="shared" si="169"/>
        <v/>
      </c>
      <c r="X477" s="70" t="str">
        <f t="shared" si="170"/>
        <v/>
      </c>
      <c r="Y477" s="70" t="str">
        <f>IF(AND($A477&lt;&gt;"",$E477&gt;0),isLaptopBag($C477,$J477)*$D477,"")</f>
        <v/>
      </c>
      <c r="Z477" s="70" t="str">
        <f t="shared" si="171"/>
        <v/>
      </c>
      <c r="AA477" s="70" t="str">
        <f t="shared" si="172"/>
        <v/>
      </c>
      <c r="AB477" s="70" t="str">
        <f t="shared" si="173"/>
        <v/>
      </c>
      <c r="AC477" s="70" t="str">
        <f t="shared" si="174"/>
        <v/>
      </c>
      <c r="AD477" s="70" t="str">
        <f t="shared" si="175"/>
        <v/>
      </c>
      <c r="AE477" s="70" t="str">
        <f t="shared" si="176"/>
        <v/>
      </c>
      <c r="AF477" s="16"/>
      <c r="AG477" s="23"/>
      <c r="AH477" s="22"/>
      <c r="AJ477" s="83">
        <f t="shared" si="177"/>
        <v>0</v>
      </c>
      <c r="AO477" s="22" t="str">
        <f t="shared" si="178"/>
        <v/>
      </c>
      <c r="AP477" s="22" t="str">
        <f t="shared" si="179"/>
        <v/>
      </c>
    </row>
    <row r="478" spans="1:42" x14ac:dyDescent="0.25">
      <c r="A478" s="10"/>
      <c r="B478" s="10"/>
      <c r="C478" s="10"/>
      <c r="D478" s="10"/>
      <c r="E478" s="10"/>
      <c r="F478" s="10"/>
      <c r="G478" s="10"/>
      <c r="H478" s="17"/>
      <c r="I478" s="10"/>
      <c r="J478" s="10"/>
      <c r="K478" s="16" t="str">
        <f t="shared" si="158"/>
        <v/>
      </c>
      <c r="L478" s="23" t="str">
        <f t="shared" si="159"/>
        <v/>
      </c>
      <c r="M478" s="22" t="str">
        <f t="shared" si="160"/>
        <v/>
      </c>
      <c r="N478" s="72"/>
      <c r="O478" s="16" t="str">
        <f t="shared" si="161"/>
        <v/>
      </c>
      <c r="P478" s="16" t="str">
        <f t="shared" si="162"/>
        <v/>
      </c>
      <c r="Q478" s="16" t="str">
        <f t="shared" si="163"/>
        <v/>
      </c>
      <c r="R478" s="23" t="str">
        <f t="shared" si="164"/>
        <v/>
      </c>
      <c r="S478" s="23" t="str">
        <f t="shared" si="165"/>
        <v/>
      </c>
      <c r="T478" s="23" t="str">
        <f t="shared" si="166"/>
        <v/>
      </c>
      <c r="U478" s="23" t="str">
        <f t="shared" si="167"/>
        <v/>
      </c>
      <c r="V478" s="23" t="str">
        <f t="shared" si="168"/>
        <v/>
      </c>
      <c r="W478" s="70" t="str">
        <f t="shared" si="169"/>
        <v/>
      </c>
      <c r="X478" s="70" t="str">
        <f t="shared" si="170"/>
        <v/>
      </c>
      <c r="Y478" s="70" t="str">
        <f>IF(AND($A478&lt;&gt;"",$E478&gt;0),isLaptopBag($C478,$J478)*$D478,"")</f>
        <v/>
      </c>
      <c r="Z478" s="70" t="str">
        <f t="shared" si="171"/>
        <v/>
      </c>
      <c r="AA478" s="70" t="str">
        <f t="shared" si="172"/>
        <v/>
      </c>
      <c r="AB478" s="70" t="str">
        <f t="shared" si="173"/>
        <v/>
      </c>
      <c r="AC478" s="70" t="str">
        <f t="shared" si="174"/>
        <v/>
      </c>
      <c r="AD478" s="70" t="str">
        <f t="shared" si="175"/>
        <v/>
      </c>
      <c r="AE478" s="70" t="str">
        <f t="shared" si="176"/>
        <v/>
      </c>
      <c r="AF478" s="16"/>
      <c r="AG478" s="23"/>
      <c r="AH478" s="22"/>
      <c r="AJ478" s="83">
        <f t="shared" si="177"/>
        <v>0</v>
      </c>
      <c r="AO478" s="22" t="str">
        <f t="shared" si="178"/>
        <v/>
      </c>
      <c r="AP478" s="22" t="str">
        <f t="shared" si="179"/>
        <v/>
      </c>
    </row>
    <row r="479" spans="1:42" x14ac:dyDescent="0.25">
      <c r="A479" s="10"/>
      <c r="B479" s="10"/>
      <c r="C479" s="10"/>
      <c r="D479" s="10"/>
      <c r="E479" s="10"/>
      <c r="F479" s="10"/>
      <c r="G479" s="10"/>
      <c r="H479" s="17"/>
      <c r="I479" s="10"/>
      <c r="J479" s="10"/>
      <c r="K479" s="16" t="str">
        <f t="shared" si="158"/>
        <v/>
      </c>
      <c r="L479" s="23" t="str">
        <f t="shared" si="159"/>
        <v/>
      </c>
      <c r="M479" s="22" t="str">
        <f t="shared" si="160"/>
        <v/>
      </c>
      <c r="N479" s="72"/>
      <c r="O479" s="16" t="str">
        <f t="shared" si="161"/>
        <v/>
      </c>
      <c r="P479" s="16" t="str">
        <f t="shared" si="162"/>
        <v/>
      </c>
      <c r="Q479" s="16" t="str">
        <f t="shared" si="163"/>
        <v/>
      </c>
      <c r="R479" s="23" t="str">
        <f t="shared" si="164"/>
        <v/>
      </c>
      <c r="S479" s="23" t="str">
        <f t="shared" si="165"/>
        <v/>
      </c>
      <c r="T479" s="23" t="str">
        <f t="shared" si="166"/>
        <v/>
      </c>
      <c r="U479" s="23" t="str">
        <f t="shared" si="167"/>
        <v/>
      </c>
      <c r="V479" s="23" t="str">
        <f t="shared" si="168"/>
        <v/>
      </c>
      <c r="W479" s="70" t="str">
        <f t="shared" si="169"/>
        <v/>
      </c>
      <c r="X479" s="70" t="str">
        <f t="shared" si="170"/>
        <v/>
      </c>
      <c r="Y479" s="70" t="str">
        <f>IF(AND($A479&lt;&gt;"",$E479&gt;0),isLaptopBag($C479,$J479)*$D479,"")</f>
        <v/>
      </c>
      <c r="Z479" s="70" t="str">
        <f t="shared" si="171"/>
        <v/>
      </c>
      <c r="AA479" s="70" t="str">
        <f t="shared" si="172"/>
        <v/>
      </c>
      <c r="AB479" s="70" t="str">
        <f t="shared" si="173"/>
        <v/>
      </c>
      <c r="AC479" s="70" t="str">
        <f t="shared" si="174"/>
        <v/>
      </c>
      <c r="AD479" s="70" t="str">
        <f t="shared" si="175"/>
        <v/>
      </c>
      <c r="AE479" s="70" t="str">
        <f t="shared" si="176"/>
        <v/>
      </c>
      <c r="AF479" s="16"/>
      <c r="AG479" s="23"/>
      <c r="AH479" s="22"/>
      <c r="AJ479" s="83">
        <f t="shared" si="177"/>
        <v>0</v>
      </c>
      <c r="AO479" s="22" t="str">
        <f t="shared" si="178"/>
        <v/>
      </c>
      <c r="AP479" s="22" t="str">
        <f t="shared" si="179"/>
        <v/>
      </c>
    </row>
    <row r="480" spans="1:42" x14ac:dyDescent="0.25">
      <c r="A480" s="10"/>
      <c r="B480" s="10"/>
      <c r="C480" s="10"/>
      <c r="D480" s="10"/>
      <c r="E480" s="10"/>
      <c r="F480" s="10"/>
      <c r="G480" s="10"/>
      <c r="H480" s="17"/>
      <c r="I480" s="10"/>
      <c r="J480" s="10"/>
      <c r="K480" s="16" t="str">
        <f t="shared" si="158"/>
        <v/>
      </c>
      <c r="L480" s="23" t="str">
        <f t="shared" si="159"/>
        <v/>
      </c>
      <c r="M480" s="22" t="str">
        <f t="shared" si="160"/>
        <v/>
      </c>
      <c r="N480" s="72"/>
      <c r="O480" s="16" t="str">
        <f t="shared" si="161"/>
        <v/>
      </c>
      <c r="P480" s="16" t="str">
        <f t="shared" si="162"/>
        <v/>
      </c>
      <c r="Q480" s="16" t="str">
        <f t="shared" si="163"/>
        <v/>
      </c>
      <c r="R480" s="23" t="str">
        <f t="shared" si="164"/>
        <v/>
      </c>
      <c r="S480" s="23" t="str">
        <f t="shared" si="165"/>
        <v/>
      </c>
      <c r="T480" s="23" t="str">
        <f t="shared" si="166"/>
        <v/>
      </c>
      <c r="U480" s="23" t="str">
        <f t="shared" si="167"/>
        <v/>
      </c>
      <c r="V480" s="23" t="str">
        <f t="shared" si="168"/>
        <v/>
      </c>
      <c r="W480" s="70" t="str">
        <f t="shared" si="169"/>
        <v/>
      </c>
      <c r="X480" s="70" t="str">
        <f t="shared" si="170"/>
        <v/>
      </c>
      <c r="Y480" s="70" t="str">
        <f>IF(AND($A480&lt;&gt;"",$E480&gt;0),isLaptopBag($C480,$J480)*$D480,"")</f>
        <v/>
      </c>
      <c r="Z480" s="70" t="str">
        <f t="shared" si="171"/>
        <v/>
      </c>
      <c r="AA480" s="70" t="str">
        <f t="shared" si="172"/>
        <v/>
      </c>
      <c r="AB480" s="70" t="str">
        <f t="shared" si="173"/>
        <v/>
      </c>
      <c r="AC480" s="70" t="str">
        <f t="shared" si="174"/>
        <v/>
      </c>
      <c r="AD480" s="70" t="str">
        <f t="shared" si="175"/>
        <v/>
      </c>
      <c r="AE480" s="70" t="str">
        <f t="shared" si="176"/>
        <v/>
      </c>
      <c r="AF480" s="16"/>
      <c r="AG480" s="23"/>
      <c r="AH480" s="22"/>
      <c r="AJ480" s="83">
        <f t="shared" si="177"/>
        <v>0</v>
      </c>
      <c r="AO480" s="22" t="str">
        <f t="shared" si="178"/>
        <v/>
      </c>
      <c r="AP480" s="22" t="str">
        <f t="shared" si="179"/>
        <v/>
      </c>
    </row>
    <row r="481" spans="1:42" x14ac:dyDescent="0.25">
      <c r="A481" s="10"/>
      <c r="B481" s="10"/>
      <c r="C481" s="10"/>
      <c r="D481" s="10"/>
      <c r="E481" s="10"/>
      <c r="F481" s="10"/>
      <c r="G481" s="10"/>
      <c r="H481" s="17"/>
      <c r="I481" s="10"/>
      <c r="J481" s="10"/>
      <c r="K481" s="16" t="str">
        <f t="shared" si="158"/>
        <v/>
      </c>
      <c r="L481" s="23" t="str">
        <f t="shared" si="159"/>
        <v/>
      </c>
      <c r="M481" s="22" t="str">
        <f t="shared" si="160"/>
        <v/>
      </c>
      <c r="N481" s="72"/>
      <c r="O481" s="16" t="str">
        <f t="shared" si="161"/>
        <v/>
      </c>
      <c r="P481" s="16" t="str">
        <f t="shared" si="162"/>
        <v/>
      </c>
      <c r="Q481" s="16" t="str">
        <f t="shared" si="163"/>
        <v/>
      </c>
      <c r="R481" s="23" t="str">
        <f t="shared" si="164"/>
        <v/>
      </c>
      <c r="S481" s="23" t="str">
        <f t="shared" si="165"/>
        <v/>
      </c>
      <c r="T481" s="23" t="str">
        <f t="shared" si="166"/>
        <v/>
      </c>
      <c r="U481" s="23" t="str">
        <f t="shared" si="167"/>
        <v/>
      </c>
      <c r="V481" s="23" t="str">
        <f t="shared" si="168"/>
        <v/>
      </c>
      <c r="W481" s="70" t="str">
        <f t="shared" si="169"/>
        <v/>
      </c>
      <c r="X481" s="70" t="str">
        <f t="shared" si="170"/>
        <v/>
      </c>
      <c r="Y481" s="70" t="str">
        <f>IF(AND($A481&lt;&gt;"",$E481&gt;0),isLaptopBag($C481,$J481)*$D481,"")</f>
        <v/>
      </c>
      <c r="Z481" s="70" t="str">
        <f t="shared" si="171"/>
        <v/>
      </c>
      <c r="AA481" s="70" t="str">
        <f t="shared" si="172"/>
        <v/>
      </c>
      <c r="AB481" s="70" t="str">
        <f t="shared" si="173"/>
        <v/>
      </c>
      <c r="AC481" s="70" t="str">
        <f t="shared" si="174"/>
        <v/>
      </c>
      <c r="AD481" s="70" t="str">
        <f t="shared" si="175"/>
        <v/>
      </c>
      <c r="AE481" s="70" t="str">
        <f t="shared" si="176"/>
        <v/>
      </c>
      <c r="AF481" s="16"/>
      <c r="AG481" s="23"/>
      <c r="AH481" s="22"/>
      <c r="AJ481" s="83">
        <f t="shared" si="177"/>
        <v>0</v>
      </c>
      <c r="AO481" s="22" t="str">
        <f t="shared" si="178"/>
        <v/>
      </c>
      <c r="AP481" s="22" t="str">
        <f t="shared" si="179"/>
        <v/>
      </c>
    </row>
    <row r="482" spans="1:42" x14ac:dyDescent="0.25">
      <c r="A482" s="10"/>
      <c r="B482" s="10"/>
      <c r="C482" s="10"/>
      <c r="D482" s="10"/>
      <c r="E482" s="10"/>
      <c r="F482" s="10"/>
      <c r="G482" s="10"/>
      <c r="H482" s="17"/>
      <c r="I482" s="10"/>
      <c r="J482" s="10"/>
      <c r="K482" s="16" t="str">
        <f t="shared" si="158"/>
        <v/>
      </c>
      <c r="L482" s="23" t="str">
        <f t="shared" si="159"/>
        <v/>
      </c>
      <c r="M482" s="22" t="str">
        <f t="shared" si="160"/>
        <v/>
      </c>
      <c r="N482" s="72"/>
      <c r="O482" s="16" t="str">
        <f t="shared" si="161"/>
        <v/>
      </c>
      <c r="P482" s="16" t="str">
        <f t="shared" si="162"/>
        <v/>
      </c>
      <c r="Q482" s="16" t="str">
        <f t="shared" si="163"/>
        <v/>
      </c>
      <c r="R482" s="23" t="str">
        <f t="shared" si="164"/>
        <v/>
      </c>
      <c r="S482" s="23" t="str">
        <f t="shared" si="165"/>
        <v/>
      </c>
      <c r="T482" s="23" t="str">
        <f t="shared" si="166"/>
        <v/>
      </c>
      <c r="U482" s="23" t="str">
        <f t="shared" si="167"/>
        <v/>
      </c>
      <c r="V482" s="23" t="str">
        <f t="shared" si="168"/>
        <v/>
      </c>
      <c r="W482" s="70" t="str">
        <f t="shared" si="169"/>
        <v/>
      </c>
      <c r="X482" s="70" t="str">
        <f t="shared" si="170"/>
        <v/>
      </c>
      <c r="Y482" s="70" t="str">
        <f>IF(AND($A482&lt;&gt;"",$E482&gt;0),isLaptopBag($C482,$J482)*$D482,"")</f>
        <v/>
      </c>
      <c r="Z482" s="70" t="str">
        <f t="shared" si="171"/>
        <v/>
      </c>
      <c r="AA482" s="70" t="str">
        <f t="shared" si="172"/>
        <v/>
      </c>
      <c r="AB482" s="70" t="str">
        <f t="shared" si="173"/>
        <v/>
      </c>
      <c r="AC482" s="70" t="str">
        <f t="shared" si="174"/>
        <v/>
      </c>
      <c r="AD482" s="70" t="str">
        <f t="shared" si="175"/>
        <v/>
      </c>
      <c r="AE482" s="70" t="str">
        <f t="shared" si="176"/>
        <v/>
      </c>
      <c r="AF482" s="16"/>
      <c r="AG482" s="23"/>
      <c r="AH482" s="22"/>
      <c r="AJ482" s="83">
        <f t="shared" si="177"/>
        <v>0</v>
      </c>
      <c r="AO482" s="22" t="str">
        <f t="shared" si="178"/>
        <v/>
      </c>
      <c r="AP482" s="22" t="str">
        <f t="shared" si="179"/>
        <v/>
      </c>
    </row>
    <row r="483" spans="1:42" x14ac:dyDescent="0.25">
      <c r="A483" s="10"/>
      <c r="B483" s="10"/>
      <c r="C483" s="10"/>
      <c r="D483" s="10"/>
      <c r="E483" s="10"/>
      <c r="F483" s="10"/>
      <c r="G483" s="10"/>
      <c r="H483" s="17"/>
      <c r="I483" s="10"/>
      <c r="J483" s="10"/>
      <c r="K483" s="16" t="str">
        <f t="shared" si="158"/>
        <v/>
      </c>
      <c r="L483" s="23" t="str">
        <f t="shared" si="159"/>
        <v/>
      </c>
      <c r="M483" s="22" t="str">
        <f t="shared" si="160"/>
        <v/>
      </c>
      <c r="N483" s="72"/>
      <c r="O483" s="16" t="str">
        <f t="shared" si="161"/>
        <v/>
      </c>
      <c r="P483" s="16" t="str">
        <f t="shared" si="162"/>
        <v/>
      </c>
      <c r="Q483" s="16" t="str">
        <f t="shared" si="163"/>
        <v/>
      </c>
      <c r="R483" s="23" t="str">
        <f t="shared" si="164"/>
        <v/>
      </c>
      <c r="S483" s="23" t="str">
        <f t="shared" si="165"/>
        <v/>
      </c>
      <c r="T483" s="23" t="str">
        <f t="shared" si="166"/>
        <v/>
      </c>
      <c r="U483" s="23" t="str">
        <f t="shared" si="167"/>
        <v/>
      </c>
      <c r="V483" s="23" t="str">
        <f t="shared" si="168"/>
        <v/>
      </c>
      <c r="W483" s="70" t="str">
        <f t="shared" si="169"/>
        <v/>
      </c>
      <c r="X483" s="70" t="str">
        <f t="shared" si="170"/>
        <v/>
      </c>
      <c r="Y483" s="70" t="str">
        <f>IF(AND($A483&lt;&gt;"",$E483&gt;0),isLaptopBag($C483,$J483)*$D483,"")</f>
        <v/>
      </c>
      <c r="Z483" s="70" t="str">
        <f t="shared" si="171"/>
        <v/>
      </c>
      <c r="AA483" s="70" t="str">
        <f t="shared" si="172"/>
        <v/>
      </c>
      <c r="AB483" s="70" t="str">
        <f t="shared" si="173"/>
        <v/>
      </c>
      <c r="AC483" s="70" t="str">
        <f t="shared" si="174"/>
        <v/>
      </c>
      <c r="AD483" s="70" t="str">
        <f t="shared" si="175"/>
        <v/>
      </c>
      <c r="AE483" s="70" t="str">
        <f t="shared" si="176"/>
        <v/>
      </c>
      <c r="AF483" s="16"/>
      <c r="AG483" s="23"/>
      <c r="AH483" s="22"/>
      <c r="AJ483" s="83">
        <f t="shared" si="177"/>
        <v>0</v>
      </c>
      <c r="AO483" s="22" t="str">
        <f t="shared" si="178"/>
        <v/>
      </c>
      <c r="AP483" s="22" t="str">
        <f t="shared" si="179"/>
        <v/>
      </c>
    </row>
    <row r="484" spans="1:42" x14ac:dyDescent="0.25">
      <c r="A484" s="10"/>
      <c r="B484" s="10"/>
      <c r="C484" s="10"/>
      <c r="D484" s="10"/>
      <c r="E484" s="10"/>
      <c r="F484" s="10"/>
      <c r="G484" s="10"/>
      <c r="H484" s="17"/>
      <c r="I484" s="10"/>
      <c r="J484" s="10"/>
      <c r="K484" s="16" t="str">
        <f t="shared" si="158"/>
        <v/>
      </c>
      <c r="L484" s="23" t="str">
        <f t="shared" si="159"/>
        <v/>
      </c>
      <c r="M484" s="22" t="str">
        <f t="shared" si="160"/>
        <v/>
      </c>
      <c r="N484" s="72"/>
      <c r="O484" s="16" t="str">
        <f t="shared" si="161"/>
        <v/>
      </c>
      <c r="P484" s="16" t="str">
        <f t="shared" si="162"/>
        <v/>
      </c>
      <c r="Q484" s="16" t="str">
        <f t="shared" si="163"/>
        <v/>
      </c>
      <c r="R484" s="23" t="str">
        <f t="shared" si="164"/>
        <v/>
      </c>
      <c r="S484" s="23" t="str">
        <f t="shared" si="165"/>
        <v/>
      </c>
      <c r="T484" s="23" t="str">
        <f t="shared" si="166"/>
        <v/>
      </c>
      <c r="U484" s="23" t="str">
        <f t="shared" si="167"/>
        <v/>
      </c>
      <c r="V484" s="23" t="str">
        <f t="shared" si="168"/>
        <v/>
      </c>
      <c r="W484" s="70" t="str">
        <f t="shared" si="169"/>
        <v/>
      </c>
      <c r="X484" s="70" t="str">
        <f t="shared" si="170"/>
        <v/>
      </c>
      <c r="Y484" s="70" t="str">
        <f>IF(AND($A484&lt;&gt;"",$E484&gt;0),isLaptopBag($C484,$J484)*$D484,"")</f>
        <v/>
      </c>
      <c r="Z484" s="70" t="str">
        <f t="shared" si="171"/>
        <v/>
      </c>
      <c r="AA484" s="70" t="str">
        <f t="shared" si="172"/>
        <v/>
      </c>
      <c r="AB484" s="70" t="str">
        <f t="shared" si="173"/>
        <v/>
      </c>
      <c r="AC484" s="70" t="str">
        <f t="shared" si="174"/>
        <v/>
      </c>
      <c r="AD484" s="70" t="str">
        <f t="shared" si="175"/>
        <v/>
      </c>
      <c r="AE484" s="70" t="str">
        <f t="shared" si="176"/>
        <v/>
      </c>
      <c r="AF484" s="16"/>
      <c r="AG484" s="23"/>
      <c r="AH484" s="22"/>
      <c r="AJ484" s="83">
        <f t="shared" si="177"/>
        <v>0</v>
      </c>
      <c r="AO484" s="22" t="str">
        <f t="shared" si="178"/>
        <v/>
      </c>
      <c r="AP484" s="22" t="str">
        <f t="shared" si="179"/>
        <v/>
      </c>
    </row>
    <row r="485" spans="1:42" x14ac:dyDescent="0.25">
      <c r="A485" s="10"/>
      <c r="B485" s="10"/>
      <c r="C485" s="10"/>
      <c r="D485" s="10"/>
      <c r="E485" s="10"/>
      <c r="F485" s="10"/>
      <c r="G485" s="10"/>
      <c r="H485" s="17"/>
      <c r="I485" s="10"/>
      <c r="J485" s="10"/>
      <c r="K485" s="16" t="str">
        <f t="shared" si="158"/>
        <v/>
      </c>
      <c r="L485" s="23" t="str">
        <f t="shared" si="159"/>
        <v/>
      </c>
      <c r="M485" s="22" t="str">
        <f t="shared" si="160"/>
        <v/>
      </c>
      <c r="N485" s="72"/>
      <c r="O485" s="16" t="str">
        <f t="shared" si="161"/>
        <v/>
      </c>
      <c r="P485" s="16" t="str">
        <f t="shared" si="162"/>
        <v/>
      </c>
      <c r="Q485" s="16" t="str">
        <f t="shared" si="163"/>
        <v/>
      </c>
      <c r="R485" s="23" t="str">
        <f t="shared" si="164"/>
        <v/>
      </c>
      <c r="S485" s="23" t="str">
        <f t="shared" si="165"/>
        <v/>
      </c>
      <c r="T485" s="23" t="str">
        <f t="shared" si="166"/>
        <v/>
      </c>
      <c r="U485" s="23" t="str">
        <f t="shared" si="167"/>
        <v/>
      </c>
      <c r="V485" s="23" t="str">
        <f t="shared" si="168"/>
        <v/>
      </c>
      <c r="W485" s="70" t="str">
        <f t="shared" si="169"/>
        <v/>
      </c>
      <c r="X485" s="70" t="str">
        <f t="shared" si="170"/>
        <v/>
      </c>
      <c r="Y485" s="70" t="str">
        <f>IF(AND($A485&lt;&gt;"",$E485&gt;0),isLaptopBag($C485,$J485)*$D485,"")</f>
        <v/>
      </c>
      <c r="Z485" s="70" t="str">
        <f t="shared" si="171"/>
        <v/>
      </c>
      <c r="AA485" s="70" t="str">
        <f t="shared" si="172"/>
        <v/>
      </c>
      <c r="AB485" s="70" t="str">
        <f t="shared" si="173"/>
        <v/>
      </c>
      <c r="AC485" s="70" t="str">
        <f t="shared" si="174"/>
        <v/>
      </c>
      <c r="AD485" s="70" t="str">
        <f t="shared" si="175"/>
        <v/>
      </c>
      <c r="AE485" s="70" t="str">
        <f t="shared" si="176"/>
        <v/>
      </c>
      <c r="AF485" s="16"/>
      <c r="AG485" s="23"/>
      <c r="AH485" s="22"/>
      <c r="AJ485" s="83">
        <f t="shared" si="177"/>
        <v>0</v>
      </c>
      <c r="AO485" s="22" t="str">
        <f t="shared" si="178"/>
        <v/>
      </c>
      <c r="AP485" s="22" t="str">
        <f t="shared" si="179"/>
        <v/>
      </c>
    </row>
    <row r="486" spans="1:42" x14ac:dyDescent="0.25">
      <c r="A486" s="10"/>
      <c r="B486" s="10"/>
      <c r="C486" s="10"/>
      <c r="D486" s="10"/>
      <c r="E486" s="10"/>
      <c r="F486" s="10"/>
      <c r="G486" s="10"/>
      <c r="H486" s="17"/>
      <c r="I486" s="10"/>
      <c r="J486" s="10"/>
      <c r="K486" s="16" t="str">
        <f t="shared" si="158"/>
        <v/>
      </c>
      <c r="L486" s="23" t="str">
        <f t="shared" si="159"/>
        <v/>
      </c>
      <c r="M486" s="22" t="str">
        <f t="shared" si="160"/>
        <v/>
      </c>
      <c r="N486" s="72"/>
      <c r="O486" s="16" t="str">
        <f t="shared" si="161"/>
        <v/>
      </c>
      <c r="P486" s="16" t="str">
        <f t="shared" si="162"/>
        <v/>
      </c>
      <c r="Q486" s="16" t="str">
        <f t="shared" si="163"/>
        <v/>
      </c>
      <c r="R486" s="23" t="str">
        <f t="shared" si="164"/>
        <v/>
      </c>
      <c r="S486" s="23" t="str">
        <f t="shared" si="165"/>
        <v/>
      </c>
      <c r="T486" s="23" t="str">
        <f t="shared" si="166"/>
        <v/>
      </c>
      <c r="U486" s="23" t="str">
        <f t="shared" si="167"/>
        <v/>
      </c>
      <c r="V486" s="23" t="str">
        <f t="shared" si="168"/>
        <v/>
      </c>
      <c r="W486" s="70" t="str">
        <f t="shared" si="169"/>
        <v/>
      </c>
      <c r="X486" s="70" t="str">
        <f t="shared" si="170"/>
        <v/>
      </c>
      <c r="Y486" s="70" t="str">
        <f>IF(AND($A486&lt;&gt;"",$E486&gt;0),isLaptopBag($C486,$J486)*$D486,"")</f>
        <v/>
      </c>
      <c r="Z486" s="70" t="str">
        <f t="shared" si="171"/>
        <v/>
      </c>
      <c r="AA486" s="70" t="str">
        <f t="shared" si="172"/>
        <v/>
      </c>
      <c r="AB486" s="70" t="str">
        <f t="shared" si="173"/>
        <v/>
      </c>
      <c r="AC486" s="70" t="str">
        <f t="shared" si="174"/>
        <v/>
      </c>
      <c r="AD486" s="70" t="str">
        <f t="shared" si="175"/>
        <v/>
      </c>
      <c r="AE486" s="70" t="str">
        <f t="shared" si="176"/>
        <v/>
      </c>
      <c r="AF486" s="16"/>
      <c r="AG486" s="23"/>
      <c r="AH486" s="22"/>
      <c r="AJ486" s="83">
        <f t="shared" si="177"/>
        <v>0</v>
      </c>
      <c r="AO486" s="22" t="str">
        <f t="shared" si="178"/>
        <v/>
      </c>
      <c r="AP486" s="22" t="str">
        <f t="shared" si="179"/>
        <v/>
      </c>
    </row>
    <row r="487" spans="1:42" x14ac:dyDescent="0.25">
      <c r="A487" s="10"/>
      <c r="B487" s="10"/>
      <c r="C487" s="10"/>
      <c r="D487" s="10"/>
      <c r="E487" s="10"/>
      <c r="F487" s="10"/>
      <c r="G487" s="10"/>
      <c r="H487" s="17"/>
      <c r="I487" s="10"/>
      <c r="J487" s="10"/>
      <c r="K487" s="16" t="str">
        <f t="shared" si="158"/>
        <v/>
      </c>
      <c r="L487" s="23" t="str">
        <f t="shared" si="159"/>
        <v/>
      </c>
      <c r="M487" s="22" t="str">
        <f t="shared" si="160"/>
        <v/>
      </c>
      <c r="N487" s="72"/>
      <c r="O487" s="16" t="str">
        <f t="shared" si="161"/>
        <v/>
      </c>
      <c r="P487" s="16" t="str">
        <f t="shared" si="162"/>
        <v/>
      </c>
      <c r="Q487" s="16" t="str">
        <f t="shared" si="163"/>
        <v/>
      </c>
      <c r="R487" s="23" t="str">
        <f t="shared" si="164"/>
        <v/>
      </c>
      <c r="S487" s="23" t="str">
        <f t="shared" si="165"/>
        <v/>
      </c>
      <c r="T487" s="23" t="str">
        <f t="shared" si="166"/>
        <v/>
      </c>
      <c r="U487" s="23" t="str">
        <f t="shared" si="167"/>
        <v/>
      </c>
      <c r="V487" s="23" t="str">
        <f t="shared" si="168"/>
        <v/>
      </c>
      <c r="W487" s="70" t="str">
        <f t="shared" si="169"/>
        <v/>
      </c>
      <c r="X487" s="70" t="str">
        <f t="shared" si="170"/>
        <v/>
      </c>
      <c r="Y487" s="70" t="str">
        <f>IF(AND($A487&lt;&gt;"",$E487&gt;0),isLaptopBag($C487,$J487)*$D487,"")</f>
        <v/>
      </c>
      <c r="Z487" s="70" t="str">
        <f t="shared" si="171"/>
        <v/>
      </c>
      <c r="AA487" s="70" t="str">
        <f t="shared" si="172"/>
        <v/>
      </c>
      <c r="AB487" s="70" t="str">
        <f t="shared" si="173"/>
        <v/>
      </c>
      <c r="AC487" s="70" t="str">
        <f t="shared" si="174"/>
        <v/>
      </c>
      <c r="AD487" s="70" t="str">
        <f t="shared" si="175"/>
        <v/>
      </c>
      <c r="AE487" s="70" t="str">
        <f t="shared" si="176"/>
        <v/>
      </c>
      <c r="AF487" s="16"/>
      <c r="AG487" s="23"/>
      <c r="AH487" s="22"/>
      <c r="AJ487" s="83">
        <f t="shared" si="177"/>
        <v>0</v>
      </c>
      <c r="AO487" s="22" t="str">
        <f t="shared" si="178"/>
        <v/>
      </c>
      <c r="AP487" s="22" t="str">
        <f t="shared" si="179"/>
        <v/>
      </c>
    </row>
    <row r="488" spans="1:42" x14ac:dyDescent="0.25">
      <c r="A488" s="10"/>
      <c r="B488" s="10"/>
      <c r="C488" s="10"/>
      <c r="D488" s="10"/>
      <c r="E488" s="10"/>
      <c r="F488" s="10"/>
      <c r="G488" s="10"/>
      <c r="H488" s="17"/>
      <c r="I488" s="10"/>
      <c r="J488" s="10"/>
      <c r="K488" s="16" t="str">
        <f t="shared" si="158"/>
        <v/>
      </c>
      <c r="L488" s="23" t="str">
        <f t="shared" si="159"/>
        <v/>
      </c>
      <c r="M488" s="22" t="str">
        <f t="shared" si="160"/>
        <v/>
      </c>
      <c r="N488" s="72"/>
      <c r="O488" s="16" t="str">
        <f t="shared" si="161"/>
        <v/>
      </c>
      <c r="P488" s="16" t="str">
        <f t="shared" si="162"/>
        <v/>
      </c>
      <c r="Q488" s="16" t="str">
        <f t="shared" si="163"/>
        <v/>
      </c>
      <c r="R488" s="23" t="str">
        <f t="shared" si="164"/>
        <v/>
      </c>
      <c r="S488" s="23" t="str">
        <f t="shared" si="165"/>
        <v/>
      </c>
      <c r="T488" s="23" t="str">
        <f t="shared" si="166"/>
        <v/>
      </c>
      <c r="U488" s="23" t="str">
        <f t="shared" si="167"/>
        <v/>
      </c>
      <c r="V488" s="23" t="str">
        <f t="shared" si="168"/>
        <v/>
      </c>
      <c r="W488" s="70" t="str">
        <f t="shared" si="169"/>
        <v/>
      </c>
      <c r="X488" s="70" t="str">
        <f t="shared" si="170"/>
        <v/>
      </c>
      <c r="Y488" s="70" t="str">
        <f>IF(AND($A488&lt;&gt;"",$E488&gt;0),isLaptopBag($C488,$J488)*$D488,"")</f>
        <v/>
      </c>
      <c r="Z488" s="70" t="str">
        <f t="shared" si="171"/>
        <v/>
      </c>
      <c r="AA488" s="70" t="str">
        <f t="shared" si="172"/>
        <v/>
      </c>
      <c r="AB488" s="70" t="str">
        <f t="shared" si="173"/>
        <v/>
      </c>
      <c r="AC488" s="70" t="str">
        <f t="shared" si="174"/>
        <v/>
      </c>
      <c r="AD488" s="70" t="str">
        <f t="shared" si="175"/>
        <v/>
      </c>
      <c r="AE488" s="70" t="str">
        <f t="shared" si="176"/>
        <v/>
      </c>
      <c r="AF488" s="16"/>
      <c r="AG488" s="23"/>
      <c r="AH488" s="22"/>
      <c r="AJ488" s="83">
        <f t="shared" si="177"/>
        <v>0</v>
      </c>
      <c r="AO488" s="22" t="str">
        <f t="shared" si="178"/>
        <v/>
      </c>
      <c r="AP488" s="22" t="str">
        <f t="shared" si="179"/>
        <v/>
      </c>
    </row>
    <row r="489" spans="1:42" x14ac:dyDescent="0.25">
      <c r="A489" s="10"/>
      <c r="B489" s="10"/>
      <c r="C489" s="10"/>
      <c r="D489" s="10"/>
      <c r="E489" s="10"/>
      <c r="F489" s="10"/>
      <c r="G489" s="10"/>
      <c r="H489" s="17"/>
      <c r="I489" s="10"/>
      <c r="J489" s="10"/>
      <c r="K489" s="16" t="str">
        <f t="shared" si="158"/>
        <v/>
      </c>
      <c r="L489" s="23" t="str">
        <f t="shared" si="159"/>
        <v/>
      </c>
      <c r="M489" s="22" t="str">
        <f t="shared" si="160"/>
        <v/>
      </c>
      <c r="N489" s="72"/>
      <c r="O489" s="16" t="str">
        <f t="shared" si="161"/>
        <v/>
      </c>
      <c r="P489" s="16" t="str">
        <f t="shared" si="162"/>
        <v/>
      </c>
      <c r="Q489" s="16" t="str">
        <f t="shared" si="163"/>
        <v/>
      </c>
      <c r="R489" s="23" t="str">
        <f t="shared" si="164"/>
        <v/>
      </c>
      <c r="S489" s="23" t="str">
        <f t="shared" si="165"/>
        <v/>
      </c>
      <c r="T489" s="23" t="str">
        <f t="shared" si="166"/>
        <v/>
      </c>
      <c r="U489" s="23" t="str">
        <f t="shared" si="167"/>
        <v/>
      </c>
      <c r="V489" s="23" t="str">
        <f t="shared" si="168"/>
        <v/>
      </c>
      <c r="W489" s="70" t="str">
        <f t="shared" si="169"/>
        <v/>
      </c>
      <c r="X489" s="70" t="str">
        <f t="shared" si="170"/>
        <v/>
      </c>
      <c r="Y489" s="70" t="str">
        <f>IF(AND($A489&lt;&gt;"",$E489&gt;0),isLaptopBag($C489,$J489)*$D489,"")</f>
        <v/>
      </c>
      <c r="Z489" s="70" t="str">
        <f t="shared" si="171"/>
        <v/>
      </c>
      <c r="AA489" s="70" t="str">
        <f t="shared" si="172"/>
        <v/>
      </c>
      <c r="AB489" s="70" t="str">
        <f t="shared" si="173"/>
        <v/>
      </c>
      <c r="AC489" s="70" t="str">
        <f t="shared" si="174"/>
        <v/>
      </c>
      <c r="AD489" s="70" t="str">
        <f t="shared" si="175"/>
        <v/>
      </c>
      <c r="AE489" s="70" t="str">
        <f t="shared" si="176"/>
        <v/>
      </c>
      <c r="AF489" s="16"/>
      <c r="AG489" s="23"/>
      <c r="AH489" s="22"/>
      <c r="AJ489" s="83">
        <f t="shared" si="177"/>
        <v>0</v>
      </c>
      <c r="AO489" s="22" t="str">
        <f t="shared" si="178"/>
        <v/>
      </c>
      <c r="AP489" s="22" t="str">
        <f t="shared" si="179"/>
        <v/>
      </c>
    </row>
    <row r="490" spans="1:42" x14ac:dyDescent="0.25">
      <c r="A490" s="10"/>
      <c r="B490" s="10"/>
      <c r="C490" s="10"/>
      <c r="D490" s="10"/>
      <c r="E490" s="10"/>
      <c r="F490" s="10"/>
      <c r="G490" s="10"/>
      <c r="H490" s="17"/>
      <c r="I490" s="10"/>
      <c r="J490" s="10"/>
      <c r="K490" s="16" t="str">
        <f t="shared" si="158"/>
        <v/>
      </c>
      <c r="L490" s="23" t="str">
        <f t="shared" si="159"/>
        <v/>
      </c>
      <c r="M490" s="22" t="str">
        <f t="shared" si="160"/>
        <v/>
      </c>
      <c r="N490" s="72"/>
      <c r="O490" s="16" t="str">
        <f t="shared" si="161"/>
        <v/>
      </c>
      <c r="P490" s="16" t="str">
        <f t="shared" si="162"/>
        <v/>
      </c>
      <c r="Q490" s="16" t="str">
        <f t="shared" si="163"/>
        <v/>
      </c>
      <c r="R490" s="23" t="str">
        <f t="shared" si="164"/>
        <v/>
      </c>
      <c r="S490" s="23" t="str">
        <f t="shared" si="165"/>
        <v/>
      </c>
      <c r="T490" s="23" t="str">
        <f t="shared" si="166"/>
        <v/>
      </c>
      <c r="U490" s="23" t="str">
        <f t="shared" si="167"/>
        <v/>
      </c>
      <c r="V490" s="23" t="str">
        <f t="shared" si="168"/>
        <v/>
      </c>
      <c r="W490" s="70" t="str">
        <f t="shared" si="169"/>
        <v/>
      </c>
      <c r="X490" s="70" t="str">
        <f t="shared" si="170"/>
        <v/>
      </c>
      <c r="Y490" s="70" t="str">
        <f>IF(AND($A490&lt;&gt;"",$E490&gt;0),isLaptopBag($C490,$J490)*$D490,"")</f>
        <v/>
      </c>
      <c r="Z490" s="70" t="str">
        <f t="shared" si="171"/>
        <v/>
      </c>
      <c r="AA490" s="70" t="str">
        <f t="shared" si="172"/>
        <v/>
      </c>
      <c r="AB490" s="70" t="str">
        <f t="shared" si="173"/>
        <v/>
      </c>
      <c r="AC490" s="70" t="str">
        <f t="shared" si="174"/>
        <v/>
      </c>
      <c r="AD490" s="70" t="str">
        <f t="shared" si="175"/>
        <v/>
      </c>
      <c r="AE490" s="70" t="str">
        <f t="shared" si="176"/>
        <v/>
      </c>
      <c r="AF490" s="16"/>
      <c r="AG490" s="23"/>
      <c r="AH490" s="22"/>
      <c r="AJ490" s="83">
        <f t="shared" si="177"/>
        <v>0</v>
      </c>
      <c r="AO490" s="22" t="str">
        <f t="shared" si="178"/>
        <v/>
      </c>
      <c r="AP490" s="22" t="str">
        <f t="shared" si="179"/>
        <v/>
      </c>
    </row>
    <row r="491" spans="1:42" x14ac:dyDescent="0.25">
      <c r="A491" s="10"/>
      <c r="B491" s="10"/>
      <c r="C491" s="10"/>
      <c r="D491" s="10"/>
      <c r="E491" s="10"/>
      <c r="F491" s="10"/>
      <c r="G491" s="10"/>
      <c r="H491" s="17"/>
      <c r="I491" s="10"/>
      <c r="J491" s="10"/>
      <c r="K491" s="16" t="str">
        <f t="shared" si="158"/>
        <v/>
      </c>
      <c r="L491" s="23" t="str">
        <f t="shared" si="159"/>
        <v/>
      </c>
      <c r="M491" s="22" t="str">
        <f t="shared" si="160"/>
        <v/>
      </c>
      <c r="N491" s="72"/>
      <c r="O491" s="16" t="str">
        <f t="shared" si="161"/>
        <v/>
      </c>
      <c r="P491" s="16" t="str">
        <f t="shared" si="162"/>
        <v/>
      </c>
      <c r="Q491" s="16" t="str">
        <f t="shared" si="163"/>
        <v/>
      </c>
      <c r="R491" s="23" t="str">
        <f t="shared" si="164"/>
        <v/>
      </c>
      <c r="S491" s="23" t="str">
        <f t="shared" si="165"/>
        <v/>
      </c>
      <c r="T491" s="23" t="str">
        <f t="shared" si="166"/>
        <v/>
      </c>
      <c r="U491" s="23" t="str">
        <f t="shared" si="167"/>
        <v/>
      </c>
      <c r="V491" s="23" t="str">
        <f t="shared" si="168"/>
        <v/>
      </c>
      <c r="W491" s="70" t="str">
        <f t="shared" si="169"/>
        <v/>
      </c>
      <c r="X491" s="70" t="str">
        <f t="shared" si="170"/>
        <v/>
      </c>
      <c r="Y491" s="70" t="str">
        <f>IF(AND($A491&lt;&gt;"",$E491&gt;0),isLaptopBag($C491,$J491)*$D491,"")</f>
        <v/>
      </c>
      <c r="Z491" s="70" t="str">
        <f t="shared" si="171"/>
        <v/>
      </c>
      <c r="AA491" s="70" t="str">
        <f t="shared" si="172"/>
        <v/>
      </c>
      <c r="AB491" s="70" t="str">
        <f t="shared" si="173"/>
        <v/>
      </c>
      <c r="AC491" s="70" t="str">
        <f t="shared" si="174"/>
        <v/>
      </c>
      <c r="AD491" s="70" t="str">
        <f t="shared" si="175"/>
        <v/>
      </c>
      <c r="AE491" s="70" t="str">
        <f t="shared" si="176"/>
        <v/>
      </c>
      <c r="AF491" s="16"/>
      <c r="AG491" s="23"/>
      <c r="AH491" s="22"/>
      <c r="AJ491" s="83">
        <f t="shared" si="177"/>
        <v>0</v>
      </c>
      <c r="AO491" s="22" t="str">
        <f t="shared" si="178"/>
        <v/>
      </c>
      <c r="AP491" s="22" t="str">
        <f t="shared" si="179"/>
        <v/>
      </c>
    </row>
    <row r="492" spans="1:42" x14ac:dyDescent="0.25">
      <c r="A492" s="10"/>
      <c r="B492" s="10"/>
      <c r="C492" s="10"/>
      <c r="D492" s="10"/>
      <c r="E492" s="10"/>
      <c r="F492" s="10"/>
      <c r="G492" s="10"/>
      <c r="H492" s="17"/>
      <c r="I492" s="10"/>
      <c r="J492" s="10"/>
      <c r="K492" s="16" t="str">
        <f t="shared" si="158"/>
        <v/>
      </c>
      <c r="L492" s="23" t="str">
        <f t="shared" si="159"/>
        <v/>
      </c>
      <c r="M492" s="22" t="str">
        <f t="shared" si="160"/>
        <v/>
      </c>
      <c r="N492" s="72"/>
      <c r="O492" s="16" t="str">
        <f t="shared" si="161"/>
        <v/>
      </c>
      <c r="P492" s="16" t="str">
        <f t="shared" si="162"/>
        <v/>
      </c>
      <c r="Q492" s="16" t="str">
        <f t="shared" si="163"/>
        <v/>
      </c>
      <c r="R492" s="23" t="str">
        <f t="shared" si="164"/>
        <v/>
      </c>
      <c r="S492" s="23" t="str">
        <f t="shared" si="165"/>
        <v/>
      </c>
      <c r="T492" s="23" t="str">
        <f t="shared" si="166"/>
        <v/>
      </c>
      <c r="U492" s="23" t="str">
        <f t="shared" si="167"/>
        <v/>
      </c>
      <c r="V492" s="23" t="str">
        <f t="shared" si="168"/>
        <v/>
      </c>
      <c r="W492" s="70" t="str">
        <f t="shared" si="169"/>
        <v/>
      </c>
      <c r="X492" s="70" t="str">
        <f t="shared" si="170"/>
        <v/>
      </c>
      <c r="Y492" s="70" t="str">
        <f>IF(AND($A492&lt;&gt;"",$E492&gt;0),isLaptopBag($C492,$J492)*$D492,"")</f>
        <v/>
      </c>
      <c r="Z492" s="70" t="str">
        <f t="shared" si="171"/>
        <v/>
      </c>
      <c r="AA492" s="70" t="str">
        <f t="shared" si="172"/>
        <v/>
      </c>
      <c r="AB492" s="70" t="str">
        <f t="shared" si="173"/>
        <v/>
      </c>
      <c r="AC492" s="70" t="str">
        <f t="shared" si="174"/>
        <v/>
      </c>
      <c r="AD492" s="70" t="str">
        <f t="shared" si="175"/>
        <v/>
      </c>
      <c r="AE492" s="70" t="str">
        <f t="shared" si="176"/>
        <v/>
      </c>
      <c r="AF492" s="16"/>
      <c r="AG492" s="23"/>
      <c r="AH492" s="22"/>
      <c r="AJ492" s="83">
        <f t="shared" si="177"/>
        <v>0</v>
      </c>
      <c r="AO492" s="22" t="str">
        <f t="shared" si="178"/>
        <v/>
      </c>
      <c r="AP492" s="22" t="str">
        <f t="shared" si="179"/>
        <v/>
      </c>
    </row>
    <row r="493" spans="1:42" x14ac:dyDescent="0.25">
      <c r="A493" s="10"/>
      <c r="B493" s="10"/>
      <c r="C493" s="10"/>
      <c r="D493" s="10"/>
      <c r="E493" s="10"/>
      <c r="F493" s="10"/>
      <c r="G493" s="10"/>
      <c r="H493" s="17"/>
      <c r="I493" s="10"/>
      <c r="J493" s="10"/>
      <c r="K493" s="16" t="str">
        <f t="shared" si="158"/>
        <v/>
      </c>
      <c r="L493" s="23" t="str">
        <f t="shared" si="159"/>
        <v/>
      </c>
      <c r="M493" s="22" t="str">
        <f t="shared" si="160"/>
        <v/>
      </c>
      <c r="N493" s="72"/>
      <c r="O493" s="16" t="str">
        <f t="shared" si="161"/>
        <v/>
      </c>
      <c r="P493" s="16" t="str">
        <f t="shared" si="162"/>
        <v/>
      </c>
      <c r="Q493" s="16" t="str">
        <f t="shared" si="163"/>
        <v/>
      </c>
      <c r="R493" s="23" t="str">
        <f t="shared" si="164"/>
        <v/>
      </c>
      <c r="S493" s="23" t="str">
        <f t="shared" si="165"/>
        <v/>
      </c>
      <c r="T493" s="23" t="str">
        <f t="shared" si="166"/>
        <v/>
      </c>
      <c r="U493" s="23" t="str">
        <f t="shared" si="167"/>
        <v/>
      </c>
      <c r="V493" s="23" t="str">
        <f t="shared" si="168"/>
        <v/>
      </c>
      <c r="W493" s="70" t="str">
        <f t="shared" si="169"/>
        <v/>
      </c>
      <c r="X493" s="70" t="str">
        <f t="shared" si="170"/>
        <v/>
      </c>
      <c r="Y493" s="70" t="str">
        <f>IF(AND($A493&lt;&gt;"",$E493&gt;0),isLaptopBag($C493,$J493)*$D493,"")</f>
        <v/>
      </c>
      <c r="Z493" s="70" t="str">
        <f t="shared" si="171"/>
        <v/>
      </c>
      <c r="AA493" s="70" t="str">
        <f t="shared" si="172"/>
        <v/>
      </c>
      <c r="AB493" s="70" t="str">
        <f t="shared" si="173"/>
        <v/>
      </c>
      <c r="AC493" s="70" t="str">
        <f t="shared" si="174"/>
        <v/>
      </c>
      <c r="AD493" s="70" t="str">
        <f t="shared" si="175"/>
        <v/>
      </c>
      <c r="AE493" s="70" t="str">
        <f t="shared" si="176"/>
        <v/>
      </c>
      <c r="AF493" s="16"/>
      <c r="AG493" s="23"/>
      <c r="AH493" s="22"/>
      <c r="AJ493" s="83">
        <f t="shared" si="177"/>
        <v>0</v>
      </c>
      <c r="AO493" s="22" t="str">
        <f t="shared" si="178"/>
        <v/>
      </c>
      <c r="AP493" s="22" t="str">
        <f t="shared" si="179"/>
        <v/>
      </c>
    </row>
    <row r="494" spans="1:42" x14ac:dyDescent="0.25">
      <c r="A494" s="10"/>
      <c r="B494" s="10"/>
      <c r="C494" s="10"/>
      <c r="D494" s="10"/>
      <c r="E494" s="10"/>
      <c r="F494" s="10"/>
      <c r="G494" s="10"/>
      <c r="H494" s="17"/>
      <c r="I494" s="10"/>
      <c r="J494" s="10"/>
      <c r="K494" s="16" t="str">
        <f t="shared" si="158"/>
        <v/>
      </c>
      <c r="L494" s="23" t="str">
        <f t="shared" si="159"/>
        <v/>
      </c>
      <c r="M494" s="22" t="str">
        <f t="shared" si="160"/>
        <v/>
      </c>
      <c r="N494" s="72"/>
      <c r="O494" s="16" t="str">
        <f t="shared" si="161"/>
        <v/>
      </c>
      <c r="P494" s="16" t="str">
        <f t="shared" si="162"/>
        <v/>
      </c>
      <c r="Q494" s="16" t="str">
        <f t="shared" si="163"/>
        <v/>
      </c>
      <c r="R494" s="23" t="str">
        <f t="shared" si="164"/>
        <v/>
      </c>
      <c r="S494" s="23" t="str">
        <f t="shared" si="165"/>
        <v/>
      </c>
      <c r="T494" s="23" t="str">
        <f t="shared" si="166"/>
        <v/>
      </c>
      <c r="U494" s="23" t="str">
        <f t="shared" si="167"/>
        <v/>
      </c>
      <c r="V494" s="23" t="str">
        <f t="shared" si="168"/>
        <v/>
      </c>
      <c r="W494" s="70" t="str">
        <f t="shared" si="169"/>
        <v/>
      </c>
      <c r="X494" s="70" t="str">
        <f t="shared" si="170"/>
        <v/>
      </c>
      <c r="Y494" s="70" t="str">
        <f>IF(AND($A494&lt;&gt;"",$E494&gt;0),isLaptopBag($C494,$J494)*$D494,"")</f>
        <v/>
      </c>
      <c r="Z494" s="70" t="str">
        <f t="shared" si="171"/>
        <v/>
      </c>
      <c r="AA494" s="70" t="str">
        <f t="shared" si="172"/>
        <v/>
      </c>
      <c r="AB494" s="70" t="str">
        <f t="shared" si="173"/>
        <v/>
      </c>
      <c r="AC494" s="70" t="str">
        <f t="shared" si="174"/>
        <v/>
      </c>
      <c r="AD494" s="70" t="str">
        <f t="shared" si="175"/>
        <v/>
      </c>
      <c r="AE494" s="70" t="str">
        <f t="shared" si="176"/>
        <v/>
      </c>
      <c r="AF494" s="16"/>
      <c r="AG494" s="23"/>
      <c r="AH494" s="22"/>
      <c r="AJ494" s="83">
        <f t="shared" si="177"/>
        <v>0</v>
      </c>
      <c r="AO494" s="22" t="str">
        <f t="shared" si="178"/>
        <v/>
      </c>
      <c r="AP494" s="22" t="str">
        <f t="shared" si="179"/>
        <v/>
      </c>
    </row>
    <row r="495" spans="1:42" x14ac:dyDescent="0.25">
      <c r="A495" s="10"/>
      <c r="B495" s="10"/>
      <c r="C495" s="10"/>
      <c r="D495" s="10"/>
      <c r="E495" s="10"/>
      <c r="F495" s="10"/>
      <c r="G495" s="10"/>
      <c r="H495" s="17"/>
      <c r="I495" s="10"/>
      <c r="J495" s="10"/>
      <c r="K495" s="16" t="str">
        <f t="shared" si="158"/>
        <v/>
      </c>
      <c r="L495" s="23" t="str">
        <f t="shared" si="159"/>
        <v/>
      </c>
      <c r="M495" s="22" t="str">
        <f t="shared" si="160"/>
        <v/>
      </c>
      <c r="N495" s="72"/>
      <c r="O495" s="16" t="str">
        <f t="shared" si="161"/>
        <v/>
      </c>
      <c r="P495" s="16" t="str">
        <f t="shared" si="162"/>
        <v/>
      </c>
      <c r="Q495" s="16" t="str">
        <f t="shared" si="163"/>
        <v/>
      </c>
      <c r="R495" s="23" t="str">
        <f t="shared" si="164"/>
        <v/>
      </c>
      <c r="S495" s="23" t="str">
        <f t="shared" si="165"/>
        <v/>
      </c>
      <c r="T495" s="23" t="str">
        <f t="shared" si="166"/>
        <v/>
      </c>
      <c r="U495" s="23" t="str">
        <f t="shared" si="167"/>
        <v/>
      </c>
      <c r="V495" s="23" t="str">
        <f t="shared" si="168"/>
        <v/>
      </c>
      <c r="W495" s="70" t="str">
        <f t="shared" si="169"/>
        <v/>
      </c>
      <c r="X495" s="70" t="str">
        <f t="shared" si="170"/>
        <v/>
      </c>
      <c r="Y495" s="70" t="str">
        <f>IF(AND($A495&lt;&gt;"",$E495&gt;0),isLaptopBag($C495,$J495)*$D495,"")</f>
        <v/>
      </c>
      <c r="Z495" s="70" t="str">
        <f t="shared" si="171"/>
        <v/>
      </c>
      <c r="AA495" s="70" t="str">
        <f t="shared" si="172"/>
        <v/>
      </c>
      <c r="AB495" s="70" t="str">
        <f t="shared" si="173"/>
        <v/>
      </c>
      <c r="AC495" s="70" t="str">
        <f t="shared" si="174"/>
        <v/>
      </c>
      <c r="AD495" s="70" t="str">
        <f t="shared" si="175"/>
        <v/>
      </c>
      <c r="AE495" s="70" t="str">
        <f t="shared" si="176"/>
        <v/>
      </c>
      <c r="AF495" s="16"/>
      <c r="AG495" s="23"/>
      <c r="AH495" s="22"/>
      <c r="AJ495" s="83">
        <f t="shared" si="177"/>
        <v>0</v>
      </c>
      <c r="AO495" s="22" t="str">
        <f t="shared" si="178"/>
        <v/>
      </c>
      <c r="AP495" s="22" t="str">
        <f t="shared" si="179"/>
        <v/>
      </c>
    </row>
    <row r="496" spans="1:42" x14ac:dyDescent="0.25">
      <c r="A496" s="10"/>
      <c r="B496" s="10"/>
      <c r="C496" s="10"/>
      <c r="D496" s="10"/>
      <c r="E496" s="10"/>
      <c r="F496" s="10"/>
      <c r="G496" s="10"/>
      <c r="H496" s="17"/>
      <c r="I496" s="10"/>
      <c r="J496" s="10"/>
      <c r="K496" s="16" t="str">
        <f t="shared" si="158"/>
        <v/>
      </c>
      <c r="L496" s="23" t="str">
        <f t="shared" si="159"/>
        <v/>
      </c>
      <c r="M496" s="22" t="str">
        <f t="shared" si="160"/>
        <v/>
      </c>
      <c r="N496" s="72"/>
      <c r="O496" s="16" t="str">
        <f t="shared" si="161"/>
        <v/>
      </c>
      <c r="P496" s="16" t="str">
        <f t="shared" si="162"/>
        <v/>
      </c>
      <c r="Q496" s="16" t="str">
        <f t="shared" si="163"/>
        <v/>
      </c>
      <c r="R496" s="23" t="str">
        <f t="shared" si="164"/>
        <v/>
      </c>
      <c r="S496" s="23" t="str">
        <f t="shared" si="165"/>
        <v/>
      </c>
      <c r="T496" s="23" t="str">
        <f t="shared" si="166"/>
        <v/>
      </c>
      <c r="U496" s="23" t="str">
        <f t="shared" si="167"/>
        <v/>
      </c>
      <c r="V496" s="23" t="str">
        <f t="shared" si="168"/>
        <v/>
      </c>
      <c r="W496" s="70" t="str">
        <f t="shared" si="169"/>
        <v/>
      </c>
      <c r="X496" s="70" t="str">
        <f t="shared" si="170"/>
        <v/>
      </c>
      <c r="Y496" s="70" t="str">
        <f>IF(AND($A496&lt;&gt;"",$E496&gt;0),isLaptopBag($C496,$J496)*$D496,"")</f>
        <v/>
      </c>
      <c r="Z496" s="70" t="str">
        <f t="shared" si="171"/>
        <v/>
      </c>
      <c r="AA496" s="70" t="str">
        <f t="shared" si="172"/>
        <v/>
      </c>
      <c r="AB496" s="70" t="str">
        <f t="shared" si="173"/>
        <v/>
      </c>
      <c r="AC496" s="70" t="str">
        <f t="shared" si="174"/>
        <v/>
      </c>
      <c r="AD496" s="70" t="str">
        <f t="shared" si="175"/>
        <v/>
      </c>
      <c r="AE496" s="70" t="str">
        <f t="shared" si="176"/>
        <v/>
      </c>
      <c r="AF496" s="16"/>
      <c r="AG496" s="23"/>
      <c r="AH496" s="22"/>
      <c r="AJ496" s="83">
        <f t="shared" si="177"/>
        <v>0</v>
      </c>
      <c r="AO496" s="22" t="str">
        <f t="shared" si="178"/>
        <v/>
      </c>
      <c r="AP496" s="22" t="str">
        <f t="shared" si="179"/>
        <v/>
      </c>
    </row>
    <row r="497" spans="1:42" x14ac:dyDescent="0.25">
      <c r="A497" s="10"/>
      <c r="B497" s="10"/>
      <c r="C497" s="10"/>
      <c r="D497" s="10"/>
      <c r="E497" s="10"/>
      <c r="F497" s="10"/>
      <c r="G497" s="10"/>
      <c r="H497" s="17"/>
      <c r="I497" s="10"/>
      <c r="J497" s="10"/>
      <c r="K497" s="16" t="str">
        <f t="shared" si="158"/>
        <v/>
      </c>
      <c r="L497" s="23" t="str">
        <f t="shared" si="159"/>
        <v/>
      </c>
      <c r="M497" s="22" t="str">
        <f t="shared" si="160"/>
        <v/>
      </c>
      <c r="N497" s="72"/>
      <c r="O497" s="16" t="str">
        <f t="shared" si="161"/>
        <v/>
      </c>
      <c r="P497" s="16" t="str">
        <f t="shared" si="162"/>
        <v/>
      </c>
      <c r="Q497" s="16" t="str">
        <f t="shared" si="163"/>
        <v/>
      </c>
      <c r="R497" s="23" t="str">
        <f t="shared" si="164"/>
        <v/>
      </c>
      <c r="S497" s="23" t="str">
        <f t="shared" si="165"/>
        <v/>
      </c>
      <c r="T497" s="23" t="str">
        <f t="shared" si="166"/>
        <v/>
      </c>
      <c r="U497" s="23" t="str">
        <f t="shared" si="167"/>
        <v/>
      </c>
      <c r="V497" s="23" t="str">
        <f t="shared" si="168"/>
        <v/>
      </c>
      <c r="W497" s="70" t="str">
        <f t="shared" si="169"/>
        <v/>
      </c>
      <c r="X497" s="70" t="str">
        <f t="shared" si="170"/>
        <v/>
      </c>
      <c r="Y497" s="70" t="str">
        <f>IF(AND($A497&lt;&gt;"",$E497&gt;0),isLaptopBag($C497,$J497)*$D497,"")</f>
        <v/>
      </c>
      <c r="Z497" s="70" t="str">
        <f t="shared" si="171"/>
        <v/>
      </c>
      <c r="AA497" s="70" t="str">
        <f t="shared" si="172"/>
        <v/>
      </c>
      <c r="AB497" s="70" t="str">
        <f t="shared" si="173"/>
        <v/>
      </c>
      <c r="AC497" s="70" t="str">
        <f t="shared" si="174"/>
        <v/>
      </c>
      <c r="AD497" s="70" t="str">
        <f t="shared" si="175"/>
        <v/>
      </c>
      <c r="AE497" s="70" t="str">
        <f t="shared" si="176"/>
        <v/>
      </c>
      <c r="AF497" s="16"/>
      <c r="AG497" s="23"/>
      <c r="AH497" s="22"/>
      <c r="AJ497" s="83">
        <f t="shared" si="177"/>
        <v>0</v>
      </c>
      <c r="AO497" s="22" t="str">
        <f t="shared" si="178"/>
        <v/>
      </c>
      <c r="AP497" s="22" t="str">
        <f t="shared" si="179"/>
        <v/>
      </c>
    </row>
    <row r="498" spans="1:42" x14ac:dyDescent="0.25">
      <c r="A498" s="10"/>
      <c r="B498" s="10"/>
      <c r="C498" s="10"/>
      <c r="D498" s="10"/>
      <c r="E498" s="10"/>
      <c r="F498" s="10"/>
      <c r="G498" s="10"/>
      <c r="H498" s="17"/>
      <c r="I498" s="10"/>
      <c r="J498" s="10"/>
      <c r="K498" s="16" t="str">
        <f t="shared" si="158"/>
        <v/>
      </c>
      <c r="L498" s="23" t="str">
        <f t="shared" si="159"/>
        <v/>
      </c>
      <c r="M498" s="22" t="str">
        <f t="shared" si="160"/>
        <v/>
      </c>
      <c r="N498" s="72"/>
      <c r="O498" s="16" t="str">
        <f t="shared" si="161"/>
        <v/>
      </c>
      <c r="P498" s="16" t="str">
        <f t="shared" si="162"/>
        <v/>
      </c>
      <c r="Q498" s="16" t="str">
        <f t="shared" si="163"/>
        <v/>
      </c>
      <c r="R498" s="23" t="str">
        <f t="shared" si="164"/>
        <v/>
      </c>
      <c r="S498" s="23" t="str">
        <f t="shared" si="165"/>
        <v/>
      </c>
      <c r="T498" s="23" t="str">
        <f t="shared" si="166"/>
        <v/>
      </c>
      <c r="U498" s="23" t="str">
        <f t="shared" si="167"/>
        <v/>
      </c>
      <c r="V498" s="23" t="str">
        <f t="shared" si="168"/>
        <v/>
      </c>
      <c r="W498" s="70" t="str">
        <f t="shared" si="169"/>
        <v/>
      </c>
      <c r="X498" s="70" t="str">
        <f t="shared" si="170"/>
        <v/>
      </c>
      <c r="Y498" s="70" t="str">
        <f>IF(AND($A498&lt;&gt;"",$E498&gt;0),isLaptopBag($C498,$J498)*$D498,"")</f>
        <v/>
      </c>
      <c r="Z498" s="70" t="str">
        <f t="shared" si="171"/>
        <v/>
      </c>
      <c r="AA498" s="70" t="str">
        <f t="shared" si="172"/>
        <v/>
      </c>
      <c r="AB498" s="70" t="str">
        <f t="shared" si="173"/>
        <v/>
      </c>
      <c r="AC498" s="70" t="str">
        <f t="shared" si="174"/>
        <v/>
      </c>
      <c r="AD498" s="70" t="str">
        <f t="shared" si="175"/>
        <v/>
      </c>
      <c r="AE498" s="70" t="str">
        <f t="shared" si="176"/>
        <v/>
      </c>
      <c r="AF498" s="16"/>
      <c r="AG498" s="23"/>
      <c r="AH498" s="22"/>
      <c r="AJ498" s="83">
        <f t="shared" si="177"/>
        <v>0</v>
      </c>
      <c r="AO498" s="22" t="str">
        <f t="shared" si="178"/>
        <v/>
      </c>
      <c r="AP498" s="22" t="str">
        <f t="shared" si="179"/>
        <v/>
      </c>
    </row>
    <row r="499" spans="1:42" x14ac:dyDescent="0.25">
      <c r="A499" s="10"/>
      <c r="B499" s="10"/>
      <c r="C499" s="10"/>
      <c r="D499" s="10"/>
      <c r="E499" s="10"/>
      <c r="F499" s="10"/>
      <c r="G499" s="10"/>
      <c r="H499" s="17"/>
      <c r="I499" s="10"/>
      <c r="J499" s="10"/>
      <c r="K499" s="16" t="str">
        <f t="shared" si="158"/>
        <v/>
      </c>
      <c r="L499" s="23" t="str">
        <f t="shared" si="159"/>
        <v/>
      </c>
      <c r="M499" s="22" t="str">
        <f t="shared" si="160"/>
        <v/>
      </c>
      <c r="N499" s="72"/>
      <c r="O499" s="16" t="str">
        <f t="shared" si="161"/>
        <v/>
      </c>
      <c r="P499" s="16" t="str">
        <f t="shared" si="162"/>
        <v/>
      </c>
      <c r="Q499" s="16" t="str">
        <f t="shared" si="163"/>
        <v/>
      </c>
      <c r="R499" s="23" t="str">
        <f t="shared" si="164"/>
        <v/>
      </c>
      <c r="S499" s="23" t="str">
        <f t="shared" si="165"/>
        <v/>
      </c>
      <c r="T499" s="23" t="str">
        <f t="shared" si="166"/>
        <v/>
      </c>
      <c r="U499" s="23" t="str">
        <f t="shared" si="167"/>
        <v/>
      </c>
      <c r="V499" s="23" t="str">
        <f t="shared" si="168"/>
        <v/>
      </c>
      <c r="W499" s="70" t="str">
        <f t="shared" si="169"/>
        <v/>
      </c>
      <c r="X499" s="70" t="str">
        <f t="shared" si="170"/>
        <v/>
      </c>
      <c r="Y499" s="70" t="str">
        <f>IF(AND($A499&lt;&gt;"",$E499&gt;0),isLaptopBag($C499,$J499)*$D499,"")</f>
        <v/>
      </c>
      <c r="Z499" s="70" t="str">
        <f t="shared" si="171"/>
        <v/>
      </c>
      <c r="AA499" s="70" t="str">
        <f t="shared" si="172"/>
        <v/>
      </c>
      <c r="AB499" s="70" t="str">
        <f t="shared" si="173"/>
        <v/>
      </c>
      <c r="AC499" s="70" t="str">
        <f t="shared" si="174"/>
        <v/>
      </c>
      <c r="AD499" s="70" t="str">
        <f t="shared" si="175"/>
        <v/>
      </c>
      <c r="AE499" s="70" t="str">
        <f t="shared" si="176"/>
        <v/>
      </c>
      <c r="AF499" s="16"/>
      <c r="AG499" s="23"/>
      <c r="AH499" s="22"/>
      <c r="AJ499" s="83">
        <f t="shared" si="177"/>
        <v>0</v>
      </c>
      <c r="AO499" s="22" t="str">
        <f t="shared" si="178"/>
        <v/>
      </c>
      <c r="AP499" s="22" t="str">
        <f t="shared" si="179"/>
        <v/>
      </c>
    </row>
    <row r="500" spans="1:42" x14ac:dyDescent="0.25">
      <c r="A500" s="10"/>
      <c r="B500" s="10"/>
      <c r="C500" s="10"/>
      <c r="D500" s="10"/>
      <c r="E500" s="10"/>
      <c r="F500" s="10"/>
      <c r="G500" s="10"/>
      <c r="H500" s="17"/>
      <c r="I500" s="10"/>
      <c r="J500" s="10"/>
      <c r="K500" s="16" t="str">
        <f t="shared" si="158"/>
        <v/>
      </c>
      <c r="L500" s="23" t="str">
        <f t="shared" si="159"/>
        <v/>
      </c>
      <c r="M500" s="22" t="str">
        <f t="shared" si="160"/>
        <v/>
      </c>
      <c r="N500" s="72"/>
      <c r="O500" s="16" t="str">
        <f t="shared" si="161"/>
        <v/>
      </c>
      <c r="P500" s="16" t="str">
        <f t="shared" si="162"/>
        <v/>
      </c>
      <c r="Q500" s="16" t="str">
        <f t="shared" si="163"/>
        <v/>
      </c>
      <c r="R500" s="23" t="str">
        <f t="shared" si="164"/>
        <v/>
      </c>
      <c r="S500" s="23" t="str">
        <f t="shared" si="165"/>
        <v/>
      </c>
      <c r="T500" s="23" t="str">
        <f t="shared" si="166"/>
        <v/>
      </c>
      <c r="U500" s="23" t="str">
        <f t="shared" si="167"/>
        <v/>
      </c>
      <c r="V500" s="23" t="str">
        <f t="shared" si="168"/>
        <v/>
      </c>
      <c r="W500" s="70" t="str">
        <f t="shared" si="169"/>
        <v/>
      </c>
      <c r="X500" s="70" t="str">
        <f t="shared" si="170"/>
        <v/>
      </c>
      <c r="Y500" s="70" t="str">
        <f>IF(AND($A500&lt;&gt;"",$E500&gt;0),isLaptopBag($C500,$J500)*$D500,"")</f>
        <v/>
      </c>
      <c r="Z500" s="70" t="str">
        <f t="shared" si="171"/>
        <v/>
      </c>
      <c r="AA500" s="70" t="str">
        <f t="shared" si="172"/>
        <v/>
      </c>
      <c r="AB500" s="70" t="str">
        <f t="shared" si="173"/>
        <v/>
      </c>
      <c r="AC500" s="70" t="str">
        <f t="shared" si="174"/>
        <v/>
      </c>
      <c r="AD500" s="70" t="str">
        <f t="shared" si="175"/>
        <v/>
      </c>
      <c r="AE500" s="70" t="str">
        <f t="shared" si="176"/>
        <v/>
      </c>
      <c r="AF500" s="16"/>
      <c r="AG500" s="23"/>
      <c r="AH500" s="22"/>
      <c r="AJ500" s="83">
        <f t="shared" si="177"/>
        <v>0</v>
      </c>
      <c r="AO500" s="22" t="str">
        <f t="shared" si="178"/>
        <v/>
      </c>
      <c r="AP500" s="22" t="str">
        <f t="shared" si="179"/>
        <v/>
      </c>
    </row>
    <row r="501" spans="1:42" x14ac:dyDescent="0.25">
      <c r="A501" s="10"/>
      <c r="B501" s="10"/>
      <c r="C501" s="10"/>
      <c r="D501" s="10"/>
      <c r="E501" s="10"/>
      <c r="F501" s="10"/>
      <c r="G501" s="10"/>
      <c r="H501" s="17"/>
      <c r="I501" s="10"/>
      <c r="J501" s="10"/>
      <c r="K501" s="16" t="str">
        <f t="shared" si="158"/>
        <v/>
      </c>
      <c r="L501" s="23" t="str">
        <f t="shared" si="159"/>
        <v/>
      </c>
      <c r="M501" s="22" t="str">
        <f t="shared" si="160"/>
        <v/>
      </c>
      <c r="N501" s="72"/>
      <c r="O501" s="16" t="str">
        <f t="shared" si="161"/>
        <v/>
      </c>
      <c r="P501" s="16" t="str">
        <f t="shared" si="162"/>
        <v/>
      </c>
      <c r="Q501" s="16" t="str">
        <f t="shared" si="163"/>
        <v/>
      </c>
      <c r="R501" s="23" t="str">
        <f t="shared" si="164"/>
        <v/>
      </c>
      <c r="S501" s="23" t="str">
        <f t="shared" si="165"/>
        <v/>
      </c>
      <c r="T501" s="23" t="str">
        <f t="shared" si="166"/>
        <v/>
      </c>
      <c r="U501" s="23" t="str">
        <f t="shared" si="167"/>
        <v/>
      </c>
      <c r="V501" s="23" t="str">
        <f t="shared" si="168"/>
        <v/>
      </c>
      <c r="W501" s="70" t="str">
        <f t="shared" si="169"/>
        <v/>
      </c>
      <c r="X501" s="70" t="str">
        <f t="shared" si="170"/>
        <v/>
      </c>
      <c r="Y501" s="70" t="str">
        <f>IF(AND($A501&lt;&gt;"",$E501&gt;0),isLaptopBag($C501,$J501)*$D501,"")</f>
        <v/>
      </c>
      <c r="Z501" s="70" t="str">
        <f t="shared" si="171"/>
        <v/>
      </c>
      <c r="AA501" s="70" t="str">
        <f t="shared" si="172"/>
        <v/>
      </c>
      <c r="AB501" s="70" t="str">
        <f t="shared" si="173"/>
        <v/>
      </c>
      <c r="AC501" s="70" t="str">
        <f t="shared" si="174"/>
        <v/>
      </c>
      <c r="AD501" s="70" t="str">
        <f t="shared" si="175"/>
        <v/>
      </c>
      <c r="AE501" s="70" t="str">
        <f t="shared" si="176"/>
        <v/>
      </c>
      <c r="AF501" s="16"/>
      <c r="AG501" s="23"/>
      <c r="AH501" s="22"/>
      <c r="AJ501" s="83">
        <f t="shared" si="177"/>
        <v>0</v>
      </c>
      <c r="AO501" s="22" t="str">
        <f t="shared" si="178"/>
        <v/>
      </c>
      <c r="AP501" s="22" t="str">
        <f t="shared" si="179"/>
        <v/>
      </c>
    </row>
    <row r="502" spans="1:42" x14ac:dyDescent="0.25">
      <c r="A502" s="10"/>
      <c r="B502" s="10"/>
      <c r="C502" s="10"/>
      <c r="D502" s="10"/>
      <c r="E502" s="10"/>
      <c r="F502" s="10"/>
      <c r="G502" s="10"/>
      <c r="H502" s="17"/>
      <c r="I502" s="10"/>
      <c r="J502" s="10"/>
      <c r="K502" s="16" t="str">
        <f t="shared" si="158"/>
        <v/>
      </c>
      <c r="L502" s="23" t="str">
        <f t="shared" si="159"/>
        <v/>
      </c>
      <c r="M502" s="22" t="str">
        <f t="shared" si="160"/>
        <v/>
      </c>
      <c r="N502" s="72"/>
      <c r="O502" s="16" t="str">
        <f t="shared" si="161"/>
        <v/>
      </c>
      <c r="P502" s="16" t="str">
        <f t="shared" si="162"/>
        <v/>
      </c>
      <c r="Q502" s="16" t="str">
        <f t="shared" si="163"/>
        <v/>
      </c>
      <c r="R502" s="23" t="str">
        <f t="shared" si="164"/>
        <v/>
      </c>
      <c r="S502" s="23" t="str">
        <f t="shared" si="165"/>
        <v/>
      </c>
      <c r="T502" s="23" t="str">
        <f t="shared" si="166"/>
        <v/>
      </c>
      <c r="U502" s="23" t="str">
        <f t="shared" si="167"/>
        <v/>
      </c>
      <c r="V502" s="23" t="str">
        <f t="shared" si="168"/>
        <v/>
      </c>
      <c r="W502" s="70" t="str">
        <f t="shared" si="169"/>
        <v/>
      </c>
      <c r="X502" s="70" t="str">
        <f t="shared" si="170"/>
        <v/>
      </c>
      <c r="Y502" s="70" t="str">
        <f>IF(AND($A502&lt;&gt;"",$E502&gt;0),isLaptopBag($C502,$J502)*$D502,"")</f>
        <v/>
      </c>
      <c r="Z502" s="70" t="str">
        <f t="shared" si="171"/>
        <v/>
      </c>
      <c r="AA502" s="70" t="str">
        <f t="shared" si="172"/>
        <v/>
      </c>
      <c r="AB502" s="70" t="str">
        <f t="shared" si="173"/>
        <v/>
      </c>
      <c r="AC502" s="70" t="str">
        <f t="shared" si="174"/>
        <v/>
      </c>
      <c r="AD502" s="70" t="str">
        <f t="shared" si="175"/>
        <v/>
      </c>
      <c r="AE502" s="70" t="str">
        <f t="shared" si="176"/>
        <v/>
      </c>
      <c r="AF502" s="16"/>
      <c r="AG502" s="23"/>
      <c r="AH502" s="22"/>
      <c r="AJ502" s="83">
        <f t="shared" si="177"/>
        <v>0</v>
      </c>
      <c r="AO502" s="22" t="str">
        <f t="shared" si="178"/>
        <v/>
      </c>
      <c r="AP502" s="22" t="str">
        <f t="shared" si="179"/>
        <v/>
      </c>
    </row>
    <row r="503" spans="1:42" x14ac:dyDescent="0.25">
      <c r="A503" s="10"/>
      <c r="B503" s="10"/>
      <c r="C503" s="10"/>
      <c r="D503" s="10"/>
      <c r="E503" s="10"/>
      <c r="F503" s="10"/>
      <c r="G503" s="10"/>
      <c r="H503" s="17"/>
      <c r="I503" s="10"/>
      <c r="J503" s="10"/>
      <c r="K503" s="16" t="str">
        <f t="shared" si="158"/>
        <v/>
      </c>
      <c r="L503" s="23" t="str">
        <f t="shared" si="159"/>
        <v/>
      </c>
      <c r="M503" s="22" t="str">
        <f t="shared" si="160"/>
        <v/>
      </c>
      <c r="N503" s="72"/>
      <c r="O503" s="16" t="str">
        <f t="shared" si="161"/>
        <v/>
      </c>
      <c r="P503" s="16" t="str">
        <f t="shared" si="162"/>
        <v/>
      </c>
      <c r="Q503" s="16" t="str">
        <f t="shared" si="163"/>
        <v/>
      </c>
      <c r="R503" s="23" t="str">
        <f t="shared" si="164"/>
        <v/>
      </c>
      <c r="S503" s="23" t="str">
        <f t="shared" si="165"/>
        <v/>
      </c>
      <c r="T503" s="23" t="str">
        <f t="shared" si="166"/>
        <v/>
      </c>
      <c r="U503" s="23" t="str">
        <f t="shared" si="167"/>
        <v/>
      </c>
      <c r="V503" s="23" t="str">
        <f t="shared" si="168"/>
        <v/>
      </c>
      <c r="W503" s="70" t="str">
        <f t="shared" si="169"/>
        <v/>
      </c>
      <c r="X503" s="70" t="str">
        <f t="shared" si="170"/>
        <v/>
      </c>
      <c r="Y503" s="70" t="str">
        <f>IF(AND($A503&lt;&gt;"",$E503&gt;0),isLaptopBag($C503,$J503)*$D503,"")</f>
        <v/>
      </c>
      <c r="Z503" s="70" t="str">
        <f t="shared" si="171"/>
        <v/>
      </c>
      <c r="AA503" s="70" t="str">
        <f t="shared" si="172"/>
        <v/>
      </c>
      <c r="AB503" s="70" t="str">
        <f t="shared" si="173"/>
        <v/>
      </c>
      <c r="AC503" s="70" t="str">
        <f t="shared" si="174"/>
        <v/>
      </c>
      <c r="AD503" s="70" t="str">
        <f t="shared" si="175"/>
        <v/>
      </c>
      <c r="AE503" s="70" t="str">
        <f t="shared" si="176"/>
        <v/>
      </c>
      <c r="AF503" s="16"/>
      <c r="AG503" s="23"/>
      <c r="AH503" s="22"/>
      <c r="AJ503" s="83">
        <f t="shared" si="177"/>
        <v>0</v>
      </c>
      <c r="AO503" s="22" t="str">
        <f t="shared" si="178"/>
        <v/>
      </c>
      <c r="AP503" s="22" t="str">
        <f t="shared" si="179"/>
        <v/>
      </c>
    </row>
    <row r="504" spans="1:42" x14ac:dyDescent="0.25">
      <c r="A504" s="10"/>
      <c r="B504" s="10"/>
      <c r="C504" s="10"/>
      <c r="D504" s="10"/>
      <c r="E504" s="10"/>
      <c r="F504" s="10"/>
      <c r="G504" s="10"/>
      <c r="H504" s="17"/>
      <c r="I504" s="10"/>
      <c r="J504" s="10"/>
      <c r="K504" s="16" t="str">
        <f t="shared" si="158"/>
        <v/>
      </c>
      <c r="L504" s="23" t="str">
        <f t="shared" si="159"/>
        <v/>
      </c>
      <c r="M504" s="22" t="str">
        <f t="shared" si="160"/>
        <v/>
      </c>
      <c r="N504" s="72"/>
      <c r="O504" s="16" t="str">
        <f t="shared" si="161"/>
        <v/>
      </c>
      <c r="P504" s="16" t="str">
        <f t="shared" si="162"/>
        <v/>
      </c>
      <c r="Q504" s="16" t="str">
        <f t="shared" si="163"/>
        <v/>
      </c>
      <c r="R504" s="23" t="str">
        <f t="shared" si="164"/>
        <v/>
      </c>
      <c r="S504" s="23" t="str">
        <f t="shared" si="165"/>
        <v/>
      </c>
      <c r="T504" s="23" t="str">
        <f t="shared" si="166"/>
        <v/>
      </c>
      <c r="U504" s="23" t="str">
        <f t="shared" si="167"/>
        <v/>
      </c>
      <c r="V504" s="23" t="str">
        <f t="shared" si="168"/>
        <v/>
      </c>
      <c r="W504" s="70" t="str">
        <f t="shared" si="169"/>
        <v/>
      </c>
      <c r="X504" s="70" t="str">
        <f t="shared" si="170"/>
        <v/>
      </c>
      <c r="Y504" s="70" t="str">
        <f>IF(AND($A504&lt;&gt;"",$E504&gt;0),isLaptopBag($C504,$J504)*$D504,"")</f>
        <v/>
      </c>
      <c r="Z504" s="70" t="str">
        <f t="shared" si="171"/>
        <v/>
      </c>
      <c r="AA504" s="70" t="str">
        <f t="shared" si="172"/>
        <v/>
      </c>
      <c r="AB504" s="70" t="str">
        <f t="shared" si="173"/>
        <v/>
      </c>
      <c r="AC504" s="70" t="str">
        <f t="shared" si="174"/>
        <v/>
      </c>
      <c r="AD504" s="70" t="str">
        <f t="shared" si="175"/>
        <v/>
      </c>
      <c r="AE504" s="70" t="str">
        <f t="shared" si="176"/>
        <v/>
      </c>
      <c r="AF504" s="16"/>
      <c r="AG504" s="23"/>
      <c r="AH504" s="22"/>
      <c r="AJ504" s="83">
        <f t="shared" si="177"/>
        <v>0</v>
      </c>
      <c r="AO504" s="22" t="str">
        <f t="shared" si="178"/>
        <v/>
      </c>
      <c r="AP504" s="22" t="str">
        <f t="shared" si="179"/>
        <v/>
      </c>
    </row>
    <row r="505" spans="1:42" x14ac:dyDescent="0.25">
      <c r="A505" s="10"/>
      <c r="B505" s="10"/>
      <c r="C505" s="10"/>
      <c r="D505" s="10"/>
      <c r="E505" s="10"/>
      <c r="F505" s="10"/>
      <c r="G505" s="10"/>
      <c r="H505" s="17"/>
      <c r="I505" s="10"/>
      <c r="J505" s="10"/>
      <c r="K505" s="16" t="str">
        <f t="shared" si="158"/>
        <v/>
      </c>
      <c r="L505" s="23" t="str">
        <f t="shared" si="159"/>
        <v/>
      </c>
      <c r="M505" s="22" t="str">
        <f t="shared" si="160"/>
        <v/>
      </c>
      <c r="N505" s="72"/>
      <c r="O505" s="16" t="str">
        <f t="shared" si="161"/>
        <v/>
      </c>
      <c r="P505" s="16" t="str">
        <f t="shared" si="162"/>
        <v/>
      </c>
      <c r="Q505" s="16" t="str">
        <f t="shared" si="163"/>
        <v/>
      </c>
      <c r="R505" s="23" t="str">
        <f t="shared" si="164"/>
        <v/>
      </c>
      <c r="S505" s="23" t="str">
        <f t="shared" si="165"/>
        <v/>
      </c>
      <c r="T505" s="23" t="str">
        <f t="shared" si="166"/>
        <v/>
      </c>
      <c r="U505" s="23" t="str">
        <f t="shared" si="167"/>
        <v/>
      </c>
      <c r="V505" s="23" t="str">
        <f t="shared" si="168"/>
        <v/>
      </c>
      <c r="W505" s="70" t="str">
        <f t="shared" si="169"/>
        <v/>
      </c>
      <c r="X505" s="70" t="str">
        <f t="shared" si="170"/>
        <v/>
      </c>
      <c r="Y505" s="70" t="str">
        <f>IF(AND($A505&lt;&gt;"",$E505&gt;0),isLaptopBag($C505,$J505)*$D505,"")</f>
        <v/>
      </c>
      <c r="Z505" s="70" t="str">
        <f t="shared" si="171"/>
        <v/>
      </c>
      <c r="AA505" s="70" t="str">
        <f t="shared" si="172"/>
        <v/>
      </c>
      <c r="AB505" s="70" t="str">
        <f t="shared" si="173"/>
        <v/>
      </c>
      <c r="AC505" s="70" t="str">
        <f t="shared" si="174"/>
        <v/>
      </c>
      <c r="AD505" s="70" t="str">
        <f t="shared" si="175"/>
        <v/>
      </c>
      <c r="AE505" s="70" t="str">
        <f t="shared" si="176"/>
        <v/>
      </c>
      <c r="AF505" s="16"/>
      <c r="AG505" s="23"/>
      <c r="AH505" s="22"/>
      <c r="AJ505" s="83">
        <f t="shared" si="177"/>
        <v>0</v>
      </c>
      <c r="AO505" s="22" t="str">
        <f t="shared" si="178"/>
        <v/>
      </c>
      <c r="AP505" s="22" t="str">
        <f t="shared" si="179"/>
        <v/>
      </c>
    </row>
    <row r="506" spans="1:42" x14ac:dyDescent="0.25">
      <c r="A506" s="10"/>
      <c r="B506" s="10"/>
      <c r="C506" s="10"/>
      <c r="D506" s="10"/>
      <c r="E506" s="10"/>
      <c r="F506" s="10"/>
      <c r="G506" s="10"/>
      <c r="H506" s="17"/>
      <c r="I506" s="10"/>
      <c r="J506" s="10"/>
      <c r="K506" s="16" t="str">
        <f t="shared" si="158"/>
        <v/>
      </c>
      <c r="L506" s="23" t="str">
        <f t="shared" si="159"/>
        <v/>
      </c>
      <c r="M506" s="22" t="str">
        <f t="shared" si="160"/>
        <v/>
      </c>
      <c r="N506" s="72"/>
      <c r="O506" s="16" t="str">
        <f t="shared" si="161"/>
        <v/>
      </c>
      <c r="P506" s="16" t="str">
        <f t="shared" si="162"/>
        <v/>
      </c>
      <c r="Q506" s="16" t="str">
        <f t="shared" si="163"/>
        <v/>
      </c>
      <c r="R506" s="23" t="str">
        <f t="shared" si="164"/>
        <v/>
      </c>
      <c r="S506" s="23" t="str">
        <f t="shared" si="165"/>
        <v/>
      </c>
      <c r="T506" s="23" t="str">
        <f t="shared" si="166"/>
        <v/>
      </c>
      <c r="U506" s="23" t="str">
        <f t="shared" si="167"/>
        <v/>
      </c>
      <c r="V506" s="23" t="str">
        <f t="shared" si="168"/>
        <v/>
      </c>
      <c r="W506" s="70" t="str">
        <f t="shared" si="169"/>
        <v/>
      </c>
      <c r="X506" s="70" t="str">
        <f t="shared" si="170"/>
        <v/>
      </c>
      <c r="Y506" s="70" t="str">
        <f>IF(AND($A506&lt;&gt;"",$E506&gt;0),isLaptopBag($C506,$J506)*$D506,"")</f>
        <v/>
      </c>
      <c r="Z506" s="70" t="str">
        <f t="shared" si="171"/>
        <v/>
      </c>
      <c r="AA506" s="70" t="str">
        <f t="shared" si="172"/>
        <v/>
      </c>
      <c r="AB506" s="70" t="str">
        <f t="shared" si="173"/>
        <v/>
      </c>
      <c r="AC506" s="70" t="str">
        <f t="shared" si="174"/>
        <v/>
      </c>
      <c r="AD506" s="70" t="str">
        <f t="shared" si="175"/>
        <v/>
      </c>
      <c r="AE506" s="70" t="str">
        <f t="shared" si="176"/>
        <v/>
      </c>
      <c r="AF506" s="16"/>
      <c r="AG506" s="23"/>
      <c r="AH506" s="22"/>
      <c r="AJ506" s="83">
        <f t="shared" si="177"/>
        <v>0</v>
      </c>
      <c r="AO506" s="22" t="str">
        <f t="shared" si="178"/>
        <v/>
      </c>
      <c r="AP506" s="22" t="str">
        <f t="shared" si="179"/>
        <v/>
      </c>
    </row>
    <row r="507" spans="1:42" x14ac:dyDescent="0.25">
      <c r="A507" s="10"/>
      <c r="B507" s="10"/>
      <c r="C507" s="10"/>
      <c r="D507" s="10"/>
      <c r="E507" s="10"/>
      <c r="F507" s="10"/>
      <c r="G507" s="10"/>
      <c r="H507" s="17"/>
      <c r="I507" s="10"/>
      <c r="J507" s="10"/>
      <c r="K507" s="16" t="str">
        <f t="shared" si="158"/>
        <v/>
      </c>
      <c r="L507" s="23" t="str">
        <f t="shared" si="159"/>
        <v/>
      </c>
      <c r="M507" s="22" t="str">
        <f t="shared" si="160"/>
        <v/>
      </c>
      <c r="N507" s="72"/>
      <c r="O507" s="16" t="str">
        <f t="shared" si="161"/>
        <v/>
      </c>
      <c r="P507" s="16" t="str">
        <f t="shared" si="162"/>
        <v/>
      </c>
      <c r="Q507" s="16" t="str">
        <f t="shared" si="163"/>
        <v/>
      </c>
      <c r="R507" s="23" t="str">
        <f t="shared" si="164"/>
        <v/>
      </c>
      <c r="S507" s="23" t="str">
        <f t="shared" si="165"/>
        <v/>
      </c>
      <c r="T507" s="23" t="str">
        <f t="shared" si="166"/>
        <v/>
      </c>
      <c r="U507" s="23" t="str">
        <f t="shared" si="167"/>
        <v/>
      </c>
      <c r="V507" s="23" t="str">
        <f t="shared" si="168"/>
        <v/>
      </c>
      <c r="W507" s="70" t="str">
        <f t="shared" si="169"/>
        <v/>
      </c>
      <c r="X507" s="70" t="str">
        <f t="shared" si="170"/>
        <v/>
      </c>
      <c r="Y507" s="70" t="str">
        <f>IF(AND($A507&lt;&gt;"",$E507&gt;0),isLaptopBag($C507,$J507)*$D507,"")</f>
        <v/>
      </c>
      <c r="Z507" s="70" t="str">
        <f t="shared" si="171"/>
        <v/>
      </c>
      <c r="AA507" s="70" t="str">
        <f t="shared" si="172"/>
        <v/>
      </c>
      <c r="AB507" s="70" t="str">
        <f t="shared" si="173"/>
        <v/>
      </c>
      <c r="AC507" s="70" t="str">
        <f t="shared" si="174"/>
        <v/>
      </c>
      <c r="AD507" s="70" t="str">
        <f t="shared" si="175"/>
        <v/>
      </c>
      <c r="AE507" s="70" t="str">
        <f t="shared" si="176"/>
        <v/>
      </c>
      <c r="AF507" s="16"/>
      <c r="AG507" s="23"/>
      <c r="AH507" s="22"/>
      <c r="AJ507" s="83">
        <f t="shared" si="177"/>
        <v>0</v>
      </c>
      <c r="AO507" s="22" t="str">
        <f t="shared" si="178"/>
        <v/>
      </c>
      <c r="AP507" s="22" t="str">
        <f t="shared" si="179"/>
        <v/>
      </c>
    </row>
    <row r="508" spans="1:42" x14ac:dyDescent="0.25">
      <c r="A508" s="10"/>
      <c r="B508" s="10"/>
      <c r="C508" s="10"/>
      <c r="D508" s="10"/>
      <c r="E508" s="10"/>
      <c r="F508" s="10"/>
      <c r="G508" s="10"/>
      <c r="H508" s="17"/>
      <c r="I508" s="10"/>
      <c r="J508" s="10"/>
      <c r="K508" s="16" t="str">
        <f t="shared" si="158"/>
        <v/>
      </c>
      <c r="L508" s="23" t="str">
        <f t="shared" si="159"/>
        <v/>
      </c>
      <c r="M508" s="22" t="str">
        <f t="shared" si="160"/>
        <v/>
      </c>
      <c r="N508" s="72"/>
      <c r="O508" s="16" t="str">
        <f t="shared" si="161"/>
        <v/>
      </c>
      <c r="P508" s="16" t="str">
        <f t="shared" si="162"/>
        <v/>
      </c>
      <c r="Q508" s="16" t="str">
        <f t="shared" si="163"/>
        <v/>
      </c>
      <c r="R508" s="23" t="str">
        <f t="shared" si="164"/>
        <v/>
      </c>
      <c r="S508" s="23" t="str">
        <f t="shared" si="165"/>
        <v/>
      </c>
      <c r="T508" s="23" t="str">
        <f t="shared" si="166"/>
        <v/>
      </c>
      <c r="U508" s="23" t="str">
        <f t="shared" si="167"/>
        <v/>
      </c>
      <c r="V508" s="23" t="str">
        <f t="shared" si="168"/>
        <v/>
      </c>
      <c r="W508" s="70" t="str">
        <f t="shared" si="169"/>
        <v/>
      </c>
      <c r="X508" s="70" t="str">
        <f t="shared" si="170"/>
        <v/>
      </c>
      <c r="Y508" s="70" t="str">
        <f>IF(AND($A508&lt;&gt;"",$E508&gt;0),isLaptopBag($C508,$J508)*$D508,"")</f>
        <v/>
      </c>
      <c r="Z508" s="70" t="str">
        <f t="shared" si="171"/>
        <v/>
      </c>
      <c r="AA508" s="70" t="str">
        <f t="shared" si="172"/>
        <v/>
      </c>
      <c r="AB508" s="70" t="str">
        <f t="shared" si="173"/>
        <v/>
      </c>
      <c r="AC508" s="70" t="str">
        <f t="shared" si="174"/>
        <v/>
      </c>
      <c r="AD508" s="70" t="str">
        <f t="shared" si="175"/>
        <v/>
      </c>
      <c r="AE508" s="70" t="str">
        <f t="shared" si="176"/>
        <v/>
      </c>
      <c r="AF508" s="16"/>
      <c r="AG508" s="23"/>
      <c r="AH508" s="22"/>
      <c r="AJ508" s="83">
        <f t="shared" si="177"/>
        <v>0</v>
      </c>
      <c r="AO508" s="22" t="str">
        <f t="shared" si="178"/>
        <v/>
      </c>
      <c r="AP508" s="22" t="str">
        <f t="shared" si="179"/>
        <v/>
      </c>
    </row>
    <row r="509" spans="1:42" x14ac:dyDescent="0.25">
      <c r="A509" s="10"/>
      <c r="B509" s="10"/>
      <c r="C509" s="10"/>
      <c r="D509" s="10"/>
      <c r="E509" s="10"/>
      <c r="F509" s="10"/>
      <c r="G509" s="10"/>
      <c r="H509" s="17"/>
      <c r="I509" s="10"/>
      <c r="J509" s="10"/>
      <c r="K509" s="16" t="str">
        <f t="shared" si="158"/>
        <v/>
      </c>
      <c r="L509" s="23" t="str">
        <f t="shared" si="159"/>
        <v/>
      </c>
      <c r="M509" s="22" t="str">
        <f t="shared" si="160"/>
        <v/>
      </c>
      <c r="N509" s="72"/>
      <c r="O509" s="16" t="str">
        <f t="shared" si="161"/>
        <v/>
      </c>
      <c r="P509" s="16" t="str">
        <f t="shared" si="162"/>
        <v/>
      </c>
      <c r="Q509" s="16" t="str">
        <f t="shared" si="163"/>
        <v/>
      </c>
      <c r="R509" s="23" t="str">
        <f t="shared" si="164"/>
        <v/>
      </c>
      <c r="S509" s="23" t="str">
        <f t="shared" si="165"/>
        <v/>
      </c>
      <c r="T509" s="23" t="str">
        <f t="shared" si="166"/>
        <v/>
      </c>
      <c r="U509" s="23" t="str">
        <f t="shared" si="167"/>
        <v/>
      </c>
      <c r="V509" s="23" t="str">
        <f t="shared" si="168"/>
        <v/>
      </c>
      <c r="W509" s="70" t="str">
        <f t="shared" si="169"/>
        <v/>
      </c>
      <c r="X509" s="70" t="str">
        <f t="shared" si="170"/>
        <v/>
      </c>
      <c r="Y509" s="70" t="str">
        <f>IF(AND($A509&lt;&gt;"",$E509&gt;0),isLaptopBag($C509,$J509)*$D509,"")</f>
        <v/>
      </c>
      <c r="Z509" s="70" t="str">
        <f t="shared" si="171"/>
        <v/>
      </c>
      <c r="AA509" s="70" t="str">
        <f t="shared" si="172"/>
        <v/>
      </c>
      <c r="AB509" s="70" t="str">
        <f t="shared" si="173"/>
        <v/>
      </c>
      <c r="AC509" s="70" t="str">
        <f t="shared" si="174"/>
        <v/>
      </c>
      <c r="AD509" s="70" t="str">
        <f t="shared" si="175"/>
        <v/>
      </c>
      <c r="AE509" s="70" t="str">
        <f t="shared" si="176"/>
        <v/>
      </c>
      <c r="AF509" s="16"/>
      <c r="AG509" s="23"/>
      <c r="AH509" s="22"/>
      <c r="AJ509" s="83">
        <f t="shared" si="177"/>
        <v>0</v>
      </c>
      <c r="AO509" s="22" t="str">
        <f t="shared" si="178"/>
        <v/>
      </c>
      <c r="AP509" s="22" t="str">
        <f t="shared" si="179"/>
        <v/>
      </c>
    </row>
    <row r="510" spans="1:42" x14ac:dyDescent="0.25">
      <c r="A510" s="10"/>
      <c r="B510" s="10"/>
      <c r="C510" s="10"/>
      <c r="D510" s="10"/>
      <c r="E510" s="10"/>
      <c r="F510" s="10"/>
      <c r="G510" s="10"/>
      <c r="H510" s="17"/>
      <c r="I510" s="10"/>
      <c r="J510" s="10"/>
      <c r="K510" s="16" t="str">
        <f t="shared" si="158"/>
        <v/>
      </c>
      <c r="L510" s="23" t="str">
        <f t="shared" si="159"/>
        <v/>
      </c>
      <c r="M510" s="22" t="str">
        <f t="shared" si="160"/>
        <v/>
      </c>
      <c r="N510" s="72"/>
      <c r="O510" s="16" t="str">
        <f t="shared" si="161"/>
        <v/>
      </c>
      <c r="P510" s="16" t="str">
        <f t="shared" si="162"/>
        <v/>
      </c>
      <c r="Q510" s="16" t="str">
        <f t="shared" si="163"/>
        <v/>
      </c>
      <c r="R510" s="23" t="str">
        <f t="shared" si="164"/>
        <v/>
      </c>
      <c r="S510" s="23" t="str">
        <f t="shared" si="165"/>
        <v/>
      </c>
      <c r="T510" s="23" t="str">
        <f t="shared" si="166"/>
        <v/>
      </c>
      <c r="U510" s="23" t="str">
        <f t="shared" si="167"/>
        <v/>
      </c>
      <c r="V510" s="23" t="str">
        <f t="shared" si="168"/>
        <v/>
      </c>
      <c r="W510" s="70" t="str">
        <f t="shared" si="169"/>
        <v/>
      </c>
      <c r="X510" s="70" t="str">
        <f t="shared" si="170"/>
        <v/>
      </c>
      <c r="Y510" s="70" t="str">
        <f>IF(AND($A510&lt;&gt;"",$E510&gt;0),isLaptopBag($C510,$J510)*$D510,"")</f>
        <v/>
      </c>
      <c r="Z510" s="70" t="str">
        <f t="shared" si="171"/>
        <v/>
      </c>
      <c r="AA510" s="70" t="str">
        <f t="shared" si="172"/>
        <v/>
      </c>
      <c r="AB510" s="70" t="str">
        <f t="shared" si="173"/>
        <v/>
      </c>
      <c r="AC510" s="70" t="str">
        <f t="shared" si="174"/>
        <v/>
      </c>
      <c r="AD510" s="70" t="str">
        <f t="shared" si="175"/>
        <v/>
      </c>
      <c r="AE510" s="70" t="str">
        <f t="shared" si="176"/>
        <v/>
      </c>
      <c r="AF510" s="16"/>
      <c r="AG510" s="23"/>
      <c r="AH510" s="22"/>
      <c r="AJ510" s="83">
        <f t="shared" si="177"/>
        <v>0</v>
      </c>
      <c r="AO510" s="22" t="str">
        <f t="shared" si="178"/>
        <v/>
      </c>
      <c r="AP510" s="22" t="str">
        <f t="shared" si="179"/>
        <v/>
      </c>
    </row>
    <row r="511" spans="1:42" x14ac:dyDescent="0.25">
      <c r="A511" s="10"/>
      <c r="B511" s="10"/>
      <c r="C511" s="10"/>
      <c r="D511" s="10"/>
      <c r="E511" s="10"/>
      <c r="F511" s="10"/>
      <c r="G511" s="10"/>
      <c r="H511" s="17"/>
      <c r="I511" s="10"/>
      <c r="J511" s="10"/>
      <c r="K511" s="16" t="str">
        <f t="shared" si="158"/>
        <v/>
      </c>
      <c r="L511" s="23" t="str">
        <f t="shared" si="159"/>
        <v/>
      </c>
      <c r="M511" s="22" t="str">
        <f t="shared" si="160"/>
        <v/>
      </c>
      <c r="N511" s="72"/>
      <c r="O511" s="16" t="str">
        <f t="shared" si="161"/>
        <v/>
      </c>
      <c r="P511" s="16" t="str">
        <f t="shared" si="162"/>
        <v/>
      </c>
      <c r="Q511" s="16" t="str">
        <f t="shared" si="163"/>
        <v/>
      </c>
      <c r="R511" s="23" t="str">
        <f t="shared" si="164"/>
        <v/>
      </c>
      <c r="S511" s="23" t="str">
        <f t="shared" si="165"/>
        <v/>
      </c>
      <c r="T511" s="23" t="str">
        <f t="shared" si="166"/>
        <v/>
      </c>
      <c r="U511" s="23" t="str">
        <f t="shared" si="167"/>
        <v/>
      </c>
      <c r="V511" s="23" t="str">
        <f t="shared" si="168"/>
        <v/>
      </c>
      <c r="W511" s="70" t="str">
        <f t="shared" si="169"/>
        <v/>
      </c>
      <c r="X511" s="70" t="str">
        <f t="shared" si="170"/>
        <v/>
      </c>
      <c r="Y511" s="70" t="str">
        <f>IF(AND($A511&lt;&gt;"",$E511&gt;0),isLaptopBag($C511,$J511)*$D511,"")</f>
        <v/>
      </c>
      <c r="Z511" s="70" t="str">
        <f t="shared" si="171"/>
        <v/>
      </c>
      <c r="AA511" s="70" t="str">
        <f t="shared" si="172"/>
        <v/>
      </c>
      <c r="AB511" s="70" t="str">
        <f t="shared" si="173"/>
        <v/>
      </c>
      <c r="AC511" s="70" t="str">
        <f t="shared" si="174"/>
        <v/>
      </c>
      <c r="AD511" s="70" t="str">
        <f t="shared" si="175"/>
        <v/>
      </c>
      <c r="AE511" s="70" t="str">
        <f t="shared" si="176"/>
        <v/>
      </c>
      <c r="AF511" s="16"/>
      <c r="AG511" s="23"/>
      <c r="AH511" s="22"/>
      <c r="AJ511" s="83">
        <f t="shared" si="177"/>
        <v>0</v>
      </c>
      <c r="AO511" s="22" t="str">
        <f t="shared" si="178"/>
        <v/>
      </c>
      <c r="AP511" s="22" t="str">
        <f t="shared" si="179"/>
        <v/>
      </c>
    </row>
    <row r="512" spans="1:42" x14ac:dyDescent="0.25">
      <c r="A512" s="10"/>
      <c r="B512" s="10"/>
      <c r="C512" s="10"/>
      <c r="D512" s="10"/>
      <c r="E512" s="10"/>
      <c r="F512" s="10"/>
      <c r="G512" s="10"/>
      <c r="H512" s="17"/>
      <c r="I512" s="10"/>
      <c r="J512" s="10"/>
      <c r="K512" s="16" t="str">
        <f t="shared" si="158"/>
        <v/>
      </c>
      <c r="L512" s="23" t="str">
        <f t="shared" si="159"/>
        <v/>
      </c>
      <c r="M512" s="22" t="str">
        <f t="shared" si="160"/>
        <v/>
      </c>
      <c r="N512" s="72"/>
      <c r="O512" s="16" t="str">
        <f t="shared" si="161"/>
        <v/>
      </c>
      <c r="P512" s="16" t="str">
        <f t="shared" si="162"/>
        <v/>
      </c>
      <c r="Q512" s="16" t="str">
        <f t="shared" si="163"/>
        <v/>
      </c>
      <c r="R512" s="23" t="str">
        <f t="shared" si="164"/>
        <v/>
      </c>
      <c r="S512" s="23" t="str">
        <f t="shared" si="165"/>
        <v/>
      </c>
      <c r="T512" s="23" t="str">
        <f t="shared" si="166"/>
        <v/>
      </c>
      <c r="U512" s="23" t="str">
        <f t="shared" si="167"/>
        <v/>
      </c>
      <c r="V512" s="23" t="str">
        <f t="shared" si="168"/>
        <v/>
      </c>
      <c r="W512" s="70" t="str">
        <f t="shared" si="169"/>
        <v/>
      </c>
      <c r="X512" s="70" t="str">
        <f t="shared" si="170"/>
        <v/>
      </c>
      <c r="Y512" s="70" t="str">
        <f>IF(AND($A512&lt;&gt;"",$E512&gt;0),isLaptopBag($C512,$J512)*$D512,"")</f>
        <v/>
      </c>
      <c r="Z512" s="70" t="str">
        <f t="shared" si="171"/>
        <v/>
      </c>
      <c r="AA512" s="70" t="str">
        <f t="shared" si="172"/>
        <v/>
      </c>
      <c r="AB512" s="70" t="str">
        <f t="shared" si="173"/>
        <v/>
      </c>
      <c r="AC512" s="70" t="str">
        <f t="shared" si="174"/>
        <v/>
      </c>
      <c r="AD512" s="70" t="str">
        <f t="shared" si="175"/>
        <v/>
      </c>
      <c r="AE512" s="70" t="str">
        <f t="shared" si="176"/>
        <v/>
      </c>
      <c r="AF512" s="16"/>
      <c r="AG512" s="23"/>
      <c r="AH512" s="22"/>
      <c r="AJ512" s="83">
        <f t="shared" si="177"/>
        <v>0</v>
      </c>
      <c r="AO512" s="22" t="str">
        <f t="shared" si="178"/>
        <v/>
      </c>
      <c r="AP512" s="22" t="str">
        <f t="shared" si="179"/>
        <v/>
      </c>
    </row>
    <row r="513" spans="1:42" x14ac:dyDescent="0.25">
      <c r="A513" s="10"/>
      <c r="B513" s="10"/>
      <c r="C513" s="10"/>
      <c r="D513" s="10"/>
      <c r="E513" s="10"/>
      <c r="F513" s="10"/>
      <c r="G513" s="10"/>
      <c r="H513" s="17"/>
      <c r="I513" s="10"/>
      <c r="J513" s="10"/>
      <c r="K513" s="16" t="str">
        <f t="shared" si="158"/>
        <v/>
      </c>
      <c r="L513" s="23" t="str">
        <f t="shared" si="159"/>
        <v/>
      </c>
      <c r="M513" s="22" t="str">
        <f t="shared" si="160"/>
        <v/>
      </c>
      <c r="N513" s="72"/>
      <c r="O513" s="16" t="str">
        <f t="shared" si="161"/>
        <v/>
      </c>
      <c r="P513" s="16" t="str">
        <f t="shared" si="162"/>
        <v/>
      </c>
      <c r="Q513" s="16" t="str">
        <f t="shared" si="163"/>
        <v/>
      </c>
      <c r="R513" s="23" t="str">
        <f t="shared" si="164"/>
        <v/>
      </c>
      <c r="S513" s="23" t="str">
        <f t="shared" si="165"/>
        <v/>
      </c>
      <c r="T513" s="23" t="str">
        <f t="shared" si="166"/>
        <v/>
      </c>
      <c r="U513" s="23" t="str">
        <f t="shared" si="167"/>
        <v/>
      </c>
      <c r="V513" s="23" t="str">
        <f t="shared" si="168"/>
        <v/>
      </c>
      <c r="W513" s="70" t="str">
        <f t="shared" si="169"/>
        <v/>
      </c>
      <c r="X513" s="70" t="str">
        <f t="shared" si="170"/>
        <v/>
      </c>
      <c r="Y513" s="70" t="str">
        <f>IF(AND($A513&lt;&gt;"",$E513&gt;0),isLaptopBag($C513,$J513)*$D513,"")</f>
        <v/>
      </c>
      <c r="Z513" s="70" t="str">
        <f t="shared" si="171"/>
        <v/>
      </c>
      <c r="AA513" s="70" t="str">
        <f t="shared" si="172"/>
        <v/>
      </c>
      <c r="AB513" s="70" t="str">
        <f t="shared" si="173"/>
        <v/>
      </c>
      <c r="AC513" s="70" t="str">
        <f t="shared" si="174"/>
        <v/>
      </c>
      <c r="AD513" s="70" t="str">
        <f t="shared" si="175"/>
        <v/>
      </c>
      <c r="AE513" s="70" t="str">
        <f t="shared" si="176"/>
        <v/>
      </c>
      <c r="AF513" s="16"/>
      <c r="AG513" s="23"/>
      <c r="AH513" s="22"/>
      <c r="AJ513" s="83">
        <f t="shared" si="177"/>
        <v>0</v>
      </c>
      <c r="AO513" s="22" t="str">
        <f t="shared" si="178"/>
        <v/>
      </c>
      <c r="AP513" s="22" t="str">
        <f t="shared" si="179"/>
        <v/>
      </c>
    </row>
    <row r="514" spans="1:42" x14ac:dyDescent="0.25">
      <c r="A514" s="10"/>
      <c r="B514" s="10"/>
      <c r="C514" s="10"/>
      <c r="D514" s="10"/>
      <c r="E514" s="10"/>
      <c r="F514" s="10"/>
      <c r="G514" s="10"/>
      <c r="H514" s="17"/>
      <c r="I514" s="10"/>
      <c r="J514" s="10"/>
      <c r="K514" s="16" t="str">
        <f t="shared" si="158"/>
        <v/>
      </c>
      <c r="L514" s="23" t="str">
        <f t="shared" si="159"/>
        <v/>
      </c>
      <c r="M514" s="22" t="str">
        <f t="shared" si="160"/>
        <v/>
      </c>
      <c r="N514" s="72"/>
      <c r="O514" s="16" t="str">
        <f t="shared" si="161"/>
        <v/>
      </c>
      <c r="P514" s="16" t="str">
        <f t="shared" si="162"/>
        <v/>
      </c>
      <c r="Q514" s="16" t="str">
        <f t="shared" si="163"/>
        <v/>
      </c>
      <c r="R514" s="23" t="str">
        <f t="shared" si="164"/>
        <v/>
      </c>
      <c r="S514" s="23" t="str">
        <f t="shared" si="165"/>
        <v/>
      </c>
      <c r="T514" s="23" t="str">
        <f t="shared" si="166"/>
        <v/>
      </c>
      <c r="U514" s="23" t="str">
        <f t="shared" si="167"/>
        <v/>
      </c>
      <c r="V514" s="23" t="str">
        <f t="shared" si="168"/>
        <v/>
      </c>
      <c r="W514" s="70" t="str">
        <f t="shared" si="169"/>
        <v/>
      </c>
      <c r="X514" s="70" t="str">
        <f t="shared" si="170"/>
        <v/>
      </c>
      <c r="Y514" s="70" t="str">
        <f>IF(AND($A514&lt;&gt;"",$E514&gt;0),isLaptopBag($C514,$J514)*$D514,"")</f>
        <v/>
      </c>
      <c r="Z514" s="70" t="str">
        <f t="shared" si="171"/>
        <v/>
      </c>
      <c r="AA514" s="70" t="str">
        <f t="shared" si="172"/>
        <v/>
      </c>
      <c r="AB514" s="70" t="str">
        <f t="shared" si="173"/>
        <v/>
      </c>
      <c r="AC514" s="70" t="str">
        <f t="shared" si="174"/>
        <v/>
      </c>
      <c r="AD514" s="70" t="str">
        <f t="shared" si="175"/>
        <v/>
      </c>
      <c r="AE514" s="70" t="str">
        <f t="shared" si="176"/>
        <v/>
      </c>
      <c r="AF514" s="16"/>
      <c r="AG514" s="23"/>
      <c r="AH514" s="22"/>
      <c r="AJ514" s="83">
        <f t="shared" si="177"/>
        <v>0</v>
      </c>
      <c r="AO514" s="22" t="str">
        <f t="shared" si="178"/>
        <v/>
      </c>
      <c r="AP514" s="22" t="str">
        <f t="shared" si="179"/>
        <v/>
      </c>
    </row>
    <row r="515" spans="1:42" x14ac:dyDescent="0.25">
      <c r="A515" s="10"/>
      <c r="B515" s="10"/>
      <c r="C515" s="10"/>
      <c r="D515" s="10"/>
      <c r="E515" s="10"/>
      <c r="F515" s="10"/>
      <c r="G515" s="10"/>
      <c r="H515" s="17"/>
      <c r="I515" s="10"/>
      <c r="J515" s="10"/>
      <c r="K515" s="16" t="str">
        <f t="shared" si="158"/>
        <v/>
      </c>
      <c r="L515" s="23" t="str">
        <f t="shared" si="159"/>
        <v/>
      </c>
      <c r="M515" s="22" t="str">
        <f t="shared" si="160"/>
        <v/>
      </c>
      <c r="N515" s="72"/>
      <c r="O515" s="16" t="str">
        <f t="shared" si="161"/>
        <v/>
      </c>
      <c r="P515" s="16" t="str">
        <f t="shared" si="162"/>
        <v/>
      </c>
      <c r="Q515" s="16" t="str">
        <f t="shared" si="163"/>
        <v/>
      </c>
      <c r="R515" s="23" t="str">
        <f t="shared" si="164"/>
        <v/>
      </c>
      <c r="S515" s="23" t="str">
        <f t="shared" si="165"/>
        <v/>
      </c>
      <c r="T515" s="23" t="str">
        <f t="shared" si="166"/>
        <v/>
      </c>
      <c r="U515" s="23" t="str">
        <f t="shared" si="167"/>
        <v/>
      </c>
      <c r="V515" s="23" t="str">
        <f t="shared" si="168"/>
        <v/>
      </c>
      <c r="W515" s="70" t="str">
        <f t="shared" si="169"/>
        <v/>
      </c>
      <c r="X515" s="70" t="str">
        <f t="shared" si="170"/>
        <v/>
      </c>
      <c r="Y515" s="70" t="str">
        <f>IF(AND($A515&lt;&gt;"",$E515&gt;0),isLaptopBag($C515,$J515)*$D515,"")</f>
        <v/>
      </c>
      <c r="Z515" s="70" t="str">
        <f t="shared" si="171"/>
        <v/>
      </c>
      <c r="AA515" s="70" t="str">
        <f t="shared" si="172"/>
        <v/>
      </c>
      <c r="AB515" s="70" t="str">
        <f t="shared" si="173"/>
        <v/>
      </c>
      <c r="AC515" s="70" t="str">
        <f t="shared" si="174"/>
        <v/>
      </c>
      <c r="AD515" s="70" t="str">
        <f t="shared" si="175"/>
        <v/>
      </c>
      <c r="AE515" s="70" t="str">
        <f t="shared" si="176"/>
        <v/>
      </c>
      <c r="AF515" s="16"/>
      <c r="AG515" s="23"/>
      <c r="AH515" s="22"/>
      <c r="AJ515" s="83">
        <f t="shared" si="177"/>
        <v>0</v>
      </c>
      <c r="AO515" s="22" t="str">
        <f t="shared" si="178"/>
        <v/>
      </c>
      <c r="AP515" s="22" t="str">
        <f t="shared" si="179"/>
        <v/>
      </c>
    </row>
    <row r="516" spans="1:42" x14ac:dyDescent="0.25">
      <c r="A516" s="10"/>
      <c r="B516" s="10"/>
      <c r="C516" s="10"/>
      <c r="D516" s="10"/>
      <c r="E516" s="10"/>
      <c r="F516" s="10"/>
      <c r="G516" s="10"/>
      <c r="H516" s="17"/>
      <c r="I516" s="10"/>
      <c r="J516" s="10"/>
      <c r="K516" s="16" t="str">
        <f t="shared" si="158"/>
        <v/>
      </c>
      <c r="L516" s="23" t="str">
        <f t="shared" si="159"/>
        <v/>
      </c>
      <c r="M516" s="22" t="str">
        <f t="shared" si="160"/>
        <v/>
      </c>
      <c r="N516" s="72"/>
      <c r="O516" s="16" t="str">
        <f t="shared" si="161"/>
        <v/>
      </c>
      <c r="P516" s="16" t="str">
        <f t="shared" si="162"/>
        <v/>
      </c>
      <c r="Q516" s="16" t="str">
        <f t="shared" si="163"/>
        <v/>
      </c>
      <c r="R516" s="23" t="str">
        <f t="shared" si="164"/>
        <v/>
      </c>
      <c r="S516" s="23" t="str">
        <f t="shared" si="165"/>
        <v/>
      </c>
      <c r="T516" s="23" t="str">
        <f t="shared" si="166"/>
        <v/>
      </c>
      <c r="U516" s="23" t="str">
        <f t="shared" si="167"/>
        <v/>
      </c>
      <c r="V516" s="23" t="str">
        <f t="shared" si="168"/>
        <v/>
      </c>
      <c r="W516" s="70" t="str">
        <f t="shared" si="169"/>
        <v/>
      </c>
      <c r="X516" s="70" t="str">
        <f t="shared" si="170"/>
        <v/>
      </c>
      <c r="Y516" s="70" t="str">
        <f>IF(AND($A516&lt;&gt;"",$E516&gt;0),isLaptopBag($C516,$J516)*$D516,"")</f>
        <v/>
      </c>
      <c r="Z516" s="70" t="str">
        <f t="shared" si="171"/>
        <v/>
      </c>
      <c r="AA516" s="70" t="str">
        <f t="shared" si="172"/>
        <v/>
      </c>
      <c r="AB516" s="70" t="str">
        <f t="shared" si="173"/>
        <v/>
      </c>
      <c r="AC516" s="70" t="str">
        <f t="shared" si="174"/>
        <v/>
      </c>
      <c r="AD516" s="70" t="str">
        <f t="shared" si="175"/>
        <v/>
      </c>
      <c r="AE516" s="70" t="str">
        <f t="shared" si="176"/>
        <v/>
      </c>
      <c r="AF516" s="16"/>
      <c r="AG516" s="23"/>
      <c r="AH516" s="22"/>
      <c r="AJ516" s="83">
        <f t="shared" si="177"/>
        <v>0</v>
      </c>
      <c r="AO516" s="22" t="str">
        <f t="shared" si="178"/>
        <v/>
      </c>
      <c r="AP516" s="22" t="str">
        <f t="shared" si="179"/>
        <v/>
      </c>
    </row>
    <row r="517" spans="1:42" x14ac:dyDescent="0.25">
      <c r="A517" s="10"/>
      <c r="B517" s="10"/>
      <c r="C517" s="10"/>
      <c r="D517" s="10"/>
      <c r="E517" s="10"/>
      <c r="F517" s="10"/>
      <c r="G517" s="10"/>
      <c r="H517" s="17"/>
      <c r="I517" s="10"/>
      <c r="J517" s="10"/>
      <c r="K517" s="16" t="str">
        <f t="shared" si="158"/>
        <v/>
      </c>
      <c r="L517" s="23" t="str">
        <f t="shared" si="159"/>
        <v/>
      </c>
      <c r="M517" s="22" t="str">
        <f t="shared" si="160"/>
        <v/>
      </c>
      <c r="N517" s="72"/>
      <c r="O517" s="16" t="str">
        <f t="shared" si="161"/>
        <v/>
      </c>
      <c r="P517" s="16" t="str">
        <f t="shared" si="162"/>
        <v/>
      </c>
      <c r="Q517" s="16" t="str">
        <f t="shared" si="163"/>
        <v/>
      </c>
      <c r="R517" s="23" t="str">
        <f t="shared" si="164"/>
        <v/>
      </c>
      <c r="S517" s="23" t="str">
        <f t="shared" si="165"/>
        <v/>
      </c>
      <c r="T517" s="23" t="str">
        <f t="shared" si="166"/>
        <v/>
      </c>
      <c r="U517" s="23" t="str">
        <f t="shared" si="167"/>
        <v/>
      </c>
      <c r="V517" s="23" t="str">
        <f t="shared" si="168"/>
        <v/>
      </c>
      <c r="W517" s="70" t="str">
        <f t="shared" si="169"/>
        <v/>
      </c>
      <c r="X517" s="70" t="str">
        <f t="shared" si="170"/>
        <v/>
      </c>
      <c r="Y517" s="70" t="str">
        <f>IF(AND($A517&lt;&gt;"",$E517&gt;0),isLaptopBag($C517,$J517)*$D517,"")</f>
        <v/>
      </c>
      <c r="Z517" s="70" t="str">
        <f t="shared" si="171"/>
        <v/>
      </c>
      <c r="AA517" s="70" t="str">
        <f t="shared" si="172"/>
        <v/>
      </c>
      <c r="AB517" s="70" t="str">
        <f t="shared" si="173"/>
        <v/>
      </c>
      <c r="AC517" s="70" t="str">
        <f t="shared" si="174"/>
        <v/>
      </c>
      <c r="AD517" s="70" t="str">
        <f t="shared" si="175"/>
        <v/>
      </c>
      <c r="AE517" s="70" t="str">
        <f t="shared" si="176"/>
        <v/>
      </c>
      <c r="AF517" s="16"/>
      <c r="AG517" s="23"/>
      <c r="AH517" s="22"/>
      <c r="AJ517" s="83">
        <f t="shared" si="177"/>
        <v>0</v>
      </c>
      <c r="AO517" s="22" t="str">
        <f t="shared" si="178"/>
        <v/>
      </c>
      <c r="AP517" s="22" t="str">
        <f t="shared" si="179"/>
        <v/>
      </c>
    </row>
    <row r="518" spans="1:42" x14ac:dyDescent="0.25">
      <c r="A518" s="10"/>
      <c r="B518" s="10"/>
      <c r="C518" s="10"/>
      <c r="D518" s="10"/>
      <c r="E518" s="10"/>
      <c r="F518" s="10"/>
      <c r="G518" s="10"/>
      <c r="H518" s="17"/>
      <c r="I518" s="10"/>
      <c r="J518" s="10"/>
      <c r="K518" s="16" t="str">
        <f t="shared" si="158"/>
        <v/>
      </c>
      <c r="L518" s="23" t="str">
        <f t="shared" si="159"/>
        <v/>
      </c>
      <c r="M518" s="22" t="str">
        <f t="shared" si="160"/>
        <v/>
      </c>
      <c r="N518" s="72"/>
      <c r="O518" s="16" t="str">
        <f t="shared" si="161"/>
        <v/>
      </c>
      <c r="P518" s="16" t="str">
        <f t="shared" si="162"/>
        <v/>
      </c>
      <c r="Q518" s="16" t="str">
        <f t="shared" si="163"/>
        <v/>
      </c>
      <c r="R518" s="23" t="str">
        <f t="shared" si="164"/>
        <v/>
      </c>
      <c r="S518" s="23" t="str">
        <f t="shared" si="165"/>
        <v/>
      </c>
      <c r="T518" s="23" t="str">
        <f t="shared" si="166"/>
        <v/>
      </c>
      <c r="U518" s="23" t="str">
        <f t="shared" si="167"/>
        <v/>
      </c>
      <c r="V518" s="23" t="str">
        <f t="shared" si="168"/>
        <v/>
      </c>
      <c r="W518" s="70" t="str">
        <f t="shared" si="169"/>
        <v/>
      </c>
      <c r="X518" s="70" t="str">
        <f t="shared" si="170"/>
        <v/>
      </c>
      <c r="Y518" s="70" t="str">
        <f>IF(AND($A518&lt;&gt;"",$E518&gt;0),isLaptopBag($C518,$J518)*$D518,"")</f>
        <v/>
      </c>
      <c r="Z518" s="70" t="str">
        <f t="shared" si="171"/>
        <v/>
      </c>
      <c r="AA518" s="70" t="str">
        <f t="shared" si="172"/>
        <v/>
      </c>
      <c r="AB518" s="70" t="str">
        <f t="shared" si="173"/>
        <v/>
      </c>
      <c r="AC518" s="70" t="str">
        <f t="shared" si="174"/>
        <v/>
      </c>
      <c r="AD518" s="70" t="str">
        <f t="shared" si="175"/>
        <v/>
      </c>
      <c r="AE518" s="70" t="str">
        <f t="shared" si="176"/>
        <v/>
      </c>
      <c r="AF518" s="16"/>
      <c r="AG518" s="23"/>
      <c r="AH518" s="22"/>
      <c r="AJ518" s="83">
        <f t="shared" si="177"/>
        <v>0</v>
      </c>
      <c r="AO518" s="22" t="str">
        <f t="shared" si="178"/>
        <v/>
      </c>
      <c r="AP518" s="22" t="str">
        <f t="shared" si="179"/>
        <v/>
      </c>
    </row>
    <row r="519" spans="1:42" x14ac:dyDescent="0.25">
      <c r="A519" s="10"/>
      <c r="B519" s="10"/>
      <c r="C519" s="10"/>
      <c r="D519" s="10"/>
      <c r="E519" s="10"/>
      <c r="F519" s="10"/>
      <c r="G519" s="10"/>
      <c r="H519" s="17"/>
      <c r="I519" s="10"/>
      <c r="J519" s="10"/>
      <c r="K519" s="16" t="str">
        <f t="shared" si="158"/>
        <v/>
      </c>
      <c r="L519" s="23" t="str">
        <f t="shared" si="159"/>
        <v/>
      </c>
      <c r="M519" s="22" t="str">
        <f t="shared" si="160"/>
        <v/>
      </c>
      <c r="N519" s="72"/>
      <c r="O519" s="16" t="str">
        <f t="shared" si="161"/>
        <v/>
      </c>
      <c r="P519" s="16" t="str">
        <f t="shared" si="162"/>
        <v/>
      </c>
      <c r="Q519" s="16" t="str">
        <f t="shared" si="163"/>
        <v/>
      </c>
      <c r="R519" s="23" t="str">
        <f t="shared" si="164"/>
        <v/>
      </c>
      <c r="S519" s="23" t="str">
        <f t="shared" si="165"/>
        <v/>
      </c>
      <c r="T519" s="23" t="str">
        <f t="shared" si="166"/>
        <v/>
      </c>
      <c r="U519" s="23" t="str">
        <f t="shared" si="167"/>
        <v/>
      </c>
      <c r="V519" s="23" t="str">
        <f t="shared" si="168"/>
        <v/>
      </c>
      <c r="W519" s="70" t="str">
        <f t="shared" si="169"/>
        <v/>
      </c>
      <c r="X519" s="70" t="str">
        <f t="shared" si="170"/>
        <v/>
      </c>
      <c r="Y519" s="70" t="str">
        <f>IF(AND($A519&lt;&gt;"",$E519&gt;0),isLaptopBag($C519,$J519)*$D519,"")</f>
        <v/>
      </c>
      <c r="Z519" s="70" t="str">
        <f t="shared" si="171"/>
        <v/>
      </c>
      <c r="AA519" s="70" t="str">
        <f t="shared" si="172"/>
        <v/>
      </c>
      <c r="AB519" s="70" t="str">
        <f t="shared" si="173"/>
        <v/>
      </c>
      <c r="AC519" s="70" t="str">
        <f t="shared" si="174"/>
        <v/>
      </c>
      <c r="AD519" s="70" t="str">
        <f t="shared" si="175"/>
        <v/>
      </c>
      <c r="AE519" s="70" t="str">
        <f t="shared" si="176"/>
        <v/>
      </c>
      <c r="AF519" s="16"/>
      <c r="AG519" s="23"/>
      <c r="AH519" s="22"/>
      <c r="AJ519" s="83">
        <f t="shared" si="177"/>
        <v>0</v>
      </c>
      <c r="AO519" s="22" t="str">
        <f t="shared" si="178"/>
        <v/>
      </c>
      <c r="AP519" s="22" t="str">
        <f t="shared" si="179"/>
        <v/>
      </c>
    </row>
    <row r="520" spans="1:42" x14ac:dyDescent="0.25">
      <c r="A520" s="10"/>
      <c r="B520" s="10"/>
      <c r="C520" s="10"/>
      <c r="D520" s="10"/>
      <c r="E520" s="10"/>
      <c r="F520" s="10"/>
      <c r="G520" s="10"/>
      <c r="H520" s="17"/>
      <c r="I520" s="10"/>
      <c r="J520" s="10"/>
      <c r="K520" s="16" t="str">
        <f t="shared" si="158"/>
        <v/>
      </c>
      <c r="L520" s="23" t="str">
        <f t="shared" si="159"/>
        <v/>
      </c>
      <c r="M520" s="22" t="str">
        <f t="shared" si="160"/>
        <v/>
      </c>
      <c r="N520" s="72"/>
      <c r="O520" s="16" t="str">
        <f t="shared" si="161"/>
        <v/>
      </c>
      <c r="P520" s="16" t="str">
        <f t="shared" si="162"/>
        <v/>
      </c>
      <c r="Q520" s="16" t="str">
        <f t="shared" si="163"/>
        <v/>
      </c>
      <c r="R520" s="23" t="str">
        <f t="shared" si="164"/>
        <v/>
      </c>
      <c r="S520" s="23" t="str">
        <f t="shared" si="165"/>
        <v/>
      </c>
      <c r="T520" s="23" t="str">
        <f t="shared" si="166"/>
        <v/>
      </c>
      <c r="U520" s="23" t="str">
        <f t="shared" si="167"/>
        <v/>
      </c>
      <c r="V520" s="23" t="str">
        <f t="shared" si="168"/>
        <v/>
      </c>
      <c r="W520" s="70" t="str">
        <f t="shared" si="169"/>
        <v/>
      </c>
      <c r="X520" s="70" t="str">
        <f t="shared" si="170"/>
        <v/>
      </c>
      <c r="Y520" s="70" t="str">
        <f>IF(AND($A520&lt;&gt;"",$E520&gt;0),isLaptopBag($C520,$J520)*$D520,"")</f>
        <v/>
      </c>
      <c r="Z520" s="70" t="str">
        <f t="shared" si="171"/>
        <v/>
      </c>
      <c r="AA520" s="70" t="str">
        <f t="shared" si="172"/>
        <v/>
      </c>
      <c r="AB520" s="70" t="str">
        <f t="shared" si="173"/>
        <v/>
      </c>
      <c r="AC520" s="70" t="str">
        <f t="shared" si="174"/>
        <v/>
      </c>
      <c r="AD520" s="70" t="str">
        <f t="shared" si="175"/>
        <v/>
      </c>
      <c r="AE520" s="70" t="str">
        <f t="shared" si="176"/>
        <v/>
      </c>
      <c r="AF520" s="16"/>
      <c r="AG520" s="23"/>
      <c r="AH520" s="22"/>
      <c r="AJ520" s="83">
        <f t="shared" si="177"/>
        <v>0</v>
      </c>
      <c r="AO520" s="22" t="str">
        <f t="shared" si="178"/>
        <v/>
      </c>
      <c r="AP520" s="22" t="str">
        <f t="shared" si="179"/>
        <v/>
      </c>
    </row>
    <row r="521" spans="1:42" x14ac:dyDescent="0.25">
      <c r="A521" s="10"/>
      <c r="B521" s="10"/>
      <c r="C521" s="10"/>
      <c r="D521" s="10"/>
      <c r="E521" s="10"/>
      <c r="F521" s="10"/>
      <c r="G521" s="10"/>
      <c r="H521" s="17"/>
      <c r="I521" s="10"/>
      <c r="J521" s="10"/>
      <c r="K521" s="16" t="str">
        <f t="shared" si="158"/>
        <v/>
      </c>
      <c r="L521" s="23" t="str">
        <f t="shared" si="159"/>
        <v/>
      </c>
      <c r="M521" s="22" t="str">
        <f t="shared" si="160"/>
        <v/>
      </c>
      <c r="N521" s="72"/>
      <c r="O521" s="16" t="str">
        <f t="shared" si="161"/>
        <v/>
      </c>
      <c r="P521" s="16" t="str">
        <f t="shared" si="162"/>
        <v/>
      </c>
      <c r="Q521" s="16" t="str">
        <f t="shared" si="163"/>
        <v/>
      </c>
      <c r="R521" s="23" t="str">
        <f t="shared" si="164"/>
        <v/>
      </c>
      <c r="S521" s="23" t="str">
        <f t="shared" si="165"/>
        <v/>
      </c>
      <c r="T521" s="23" t="str">
        <f t="shared" si="166"/>
        <v/>
      </c>
      <c r="U521" s="23" t="str">
        <f t="shared" si="167"/>
        <v/>
      </c>
      <c r="V521" s="23" t="str">
        <f t="shared" si="168"/>
        <v/>
      </c>
      <c r="W521" s="70" t="str">
        <f t="shared" si="169"/>
        <v/>
      </c>
      <c r="X521" s="70" t="str">
        <f t="shared" si="170"/>
        <v/>
      </c>
      <c r="Y521" s="70" t="str">
        <f>IF(AND($A521&lt;&gt;"",$E521&gt;0),isLaptopBag($C521,$J521)*$D521,"")</f>
        <v/>
      </c>
      <c r="Z521" s="70" t="str">
        <f t="shared" si="171"/>
        <v/>
      </c>
      <c r="AA521" s="70" t="str">
        <f t="shared" si="172"/>
        <v/>
      </c>
      <c r="AB521" s="70" t="str">
        <f t="shared" si="173"/>
        <v/>
      </c>
      <c r="AC521" s="70" t="str">
        <f t="shared" si="174"/>
        <v/>
      </c>
      <c r="AD521" s="70" t="str">
        <f t="shared" si="175"/>
        <v/>
      </c>
      <c r="AE521" s="70" t="str">
        <f t="shared" si="176"/>
        <v/>
      </c>
      <c r="AF521" s="16"/>
      <c r="AG521" s="23"/>
      <c r="AH521" s="22"/>
      <c r="AJ521" s="83">
        <f t="shared" si="177"/>
        <v>0</v>
      </c>
      <c r="AO521" s="22" t="str">
        <f t="shared" si="178"/>
        <v/>
      </c>
      <c r="AP521" s="22" t="str">
        <f t="shared" si="179"/>
        <v/>
      </c>
    </row>
    <row r="522" spans="1:42" x14ac:dyDescent="0.25">
      <c r="A522" s="10"/>
      <c r="B522" s="10"/>
      <c r="C522" s="10"/>
      <c r="D522" s="10"/>
      <c r="E522" s="10"/>
      <c r="F522" s="10"/>
      <c r="G522" s="10"/>
      <c r="H522" s="17"/>
      <c r="I522" s="10"/>
      <c r="J522" s="10"/>
      <c r="K522" s="16" t="str">
        <f t="shared" si="158"/>
        <v/>
      </c>
      <c r="L522" s="23" t="str">
        <f t="shared" si="159"/>
        <v/>
      </c>
      <c r="M522" s="22" t="str">
        <f t="shared" si="160"/>
        <v/>
      </c>
      <c r="N522" s="72"/>
      <c r="O522" s="16" t="str">
        <f t="shared" si="161"/>
        <v/>
      </c>
      <c r="P522" s="16" t="str">
        <f t="shared" si="162"/>
        <v/>
      </c>
      <c r="Q522" s="16" t="str">
        <f t="shared" si="163"/>
        <v/>
      </c>
      <c r="R522" s="23" t="str">
        <f t="shared" si="164"/>
        <v/>
      </c>
      <c r="S522" s="23" t="str">
        <f t="shared" si="165"/>
        <v/>
      </c>
      <c r="T522" s="23" t="str">
        <f t="shared" si="166"/>
        <v/>
      </c>
      <c r="U522" s="23" t="str">
        <f t="shared" si="167"/>
        <v/>
      </c>
      <c r="V522" s="23" t="str">
        <f t="shared" si="168"/>
        <v/>
      </c>
      <c r="W522" s="70" t="str">
        <f t="shared" si="169"/>
        <v/>
      </c>
      <c r="X522" s="70" t="str">
        <f t="shared" si="170"/>
        <v/>
      </c>
      <c r="Y522" s="70" t="str">
        <f>IF(AND($A522&lt;&gt;"",$E522&gt;0),isLaptopBag($C522,$J522)*$D522,"")</f>
        <v/>
      </c>
      <c r="Z522" s="70" t="str">
        <f t="shared" si="171"/>
        <v/>
      </c>
      <c r="AA522" s="70" t="str">
        <f t="shared" si="172"/>
        <v/>
      </c>
      <c r="AB522" s="70" t="str">
        <f t="shared" si="173"/>
        <v/>
      </c>
      <c r="AC522" s="70" t="str">
        <f t="shared" si="174"/>
        <v/>
      </c>
      <c r="AD522" s="70" t="str">
        <f t="shared" si="175"/>
        <v/>
      </c>
      <c r="AE522" s="70" t="str">
        <f t="shared" si="176"/>
        <v/>
      </c>
      <c r="AF522" s="16"/>
      <c r="AG522" s="23"/>
      <c r="AH522" s="22"/>
      <c r="AJ522" s="83">
        <f t="shared" si="177"/>
        <v>0</v>
      </c>
      <c r="AO522" s="22" t="str">
        <f t="shared" si="178"/>
        <v/>
      </c>
      <c r="AP522" s="22" t="str">
        <f t="shared" si="179"/>
        <v/>
      </c>
    </row>
    <row r="523" spans="1:42" x14ac:dyDescent="0.25">
      <c r="A523" s="10"/>
      <c r="B523" s="10"/>
      <c r="C523" s="10"/>
      <c r="D523" s="10"/>
      <c r="E523" s="10"/>
      <c r="F523" s="10"/>
      <c r="G523" s="10"/>
      <c r="H523" s="17"/>
      <c r="I523" s="10"/>
      <c r="J523" s="10"/>
      <c r="K523" s="16" t="str">
        <f t="shared" si="158"/>
        <v/>
      </c>
      <c r="L523" s="23" t="str">
        <f t="shared" si="159"/>
        <v/>
      </c>
      <c r="M523" s="22" t="str">
        <f t="shared" si="160"/>
        <v/>
      </c>
      <c r="N523" s="72"/>
      <c r="O523" s="16" t="str">
        <f t="shared" si="161"/>
        <v/>
      </c>
      <c r="P523" s="16" t="str">
        <f t="shared" si="162"/>
        <v/>
      </c>
      <c r="Q523" s="16" t="str">
        <f t="shared" si="163"/>
        <v/>
      </c>
      <c r="R523" s="23" t="str">
        <f t="shared" si="164"/>
        <v/>
      </c>
      <c r="S523" s="23" t="str">
        <f t="shared" si="165"/>
        <v/>
      </c>
      <c r="T523" s="23" t="str">
        <f t="shared" si="166"/>
        <v/>
      </c>
      <c r="U523" s="23" t="str">
        <f t="shared" si="167"/>
        <v/>
      </c>
      <c r="V523" s="23" t="str">
        <f t="shared" si="168"/>
        <v/>
      </c>
      <c r="W523" s="70" t="str">
        <f t="shared" si="169"/>
        <v/>
      </c>
      <c r="X523" s="70" t="str">
        <f t="shared" si="170"/>
        <v/>
      </c>
      <c r="Y523" s="70" t="str">
        <f>IF(AND($A523&lt;&gt;"",$E523&gt;0),isLaptopBag($C523,$J523)*$D523,"")</f>
        <v/>
      </c>
      <c r="Z523" s="70" t="str">
        <f t="shared" si="171"/>
        <v/>
      </c>
      <c r="AA523" s="70" t="str">
        <f t="shared" si="172"/>
        <v/>
      </c>
      <c r="AB523" s="70" t="str">
        <f t="shared" si="173"/>
        <v/>
      </c>
      <c r="AC523" s="70" t="str">
        <f t="shared" si="174"/>
        <v/>
      </c>
      <c r="AD523" s="70" t="str">
        <f t="shared" si="175"/>
        <v/>
      </c>
      <c r="AE523" s="70" t="str">
        <f t="shared" si="176"/>
        <v/>
      </c>
      <c r="AF523" s="16"/>
      <c r="AG523" s="23"/>
      <c r="AH523" s="22"/>
      <c r="AJ523" s="83">
        <f t="shared" si="177"/>
        <v>0</v>
      </c>
      <c r="AO523" s="22" t="str">
        <f t="shared" si="178"/>
        <v/>
      </c>
      <c r="AP523" s="22" t="str">
        <f t="shared" si="179"/>
        <v/>
      </c>
    </row>
    <row r="524" spans="1:42" x14ac:dyDescent="0.25">
      <c r="A524" s="10"/>
      <c r="B524" s="10"/>
      <c r="C524" s="10"/>
      <c r="D524" s="10"/>
      <c r="E524" s="10"/>
      <c r="F524" s="10"/>
      <c r="G524" s="10"/>
      <c r="H524" s="17"/>
      <c r="I524" s="10"/>
      <c r="J524" s="10"/>
      <c r="K524" s="16" t="str">
        <f t="shared" si="158"/>
        <v/>
      </c>
      <c r="L524" s="23" t="str">
        <f t="shared" si="159"/>
        <v/>
      </c>
      <c r="M524" s="22" t="str">
        <f t="shared" si="160"/>
        <v/>
      </c>
      <c r="N524" s="72"/>
      <c r="O524" s="16" t="str">
        <f t="shared" si="161"/>
        <v/>
      </c>
      <c r="P524" s="16" t="str">
        <f t="shared" si="162"/>
        <v/>
      </c>
      <c r="Q524" s="16" t="str">
        <f t="shared" si="163"/>
        <v/>
      </c>
      <c r="R524" s="23" t="str">
        <f t="shared" si="164"/>
        <v/>
      </c>
      <c r="S524" s="23" t="str">
        <f t="shared" si="165"/>
        <v/>
      </c>
      <c r="T524" s="23" t="str">
        <f t="shared" si="166"/>
        <v/>
      </c>
      <c r="U524" s="23" t="str">
        <f t="shared" si="167"/>
        <v/>
      </c>
      <c r="V524" s="23" t="str">
        <f t="shared" si="168"/>
        <v/>
      </c>
      <c r="W524" s="70" t="str">
        <f t="shared" si="169"/>
        <v/>
      </c>
      <c r="X524" s="70" t="str">
        <f t="shared" si="170"/>
        <v/>
      </c>
      <c r="Y524" s="70" t="str">
        <f>IF(AND($A524&lt;&gt;"",$E524&gt;0),isLaptopBag($C524,$J524)*$D524,"")</f>
        <v/>
      </c>
      <c r="Z524" s="70" t="str">
        <f t="shared" si="171"/>
        <v/>
      </c>
      <c r="AA524" s="70" t="str">
        <f t="shared" si="172"/>
        <v/>
      </c>
      <c r="AB524" s="70" t="str">
        <f t="shared" si="173"/>
        <v/>
      </c>
      <c r="AC524" s="70" t="str">
        <f t="shared" si="174"/>
        <v/>
      </c>
      <c r="AD524" s="70" t="str">
        <f t="shared" si="175"/>
        <v/>
      </c>
      <c r="AE524" s="70" t="str">
        <f t="shared" si="176"/>
        <v/>
      </c>
      <c r="AF524" s="16"/>
      <c r="AG524" s="23"/>
      <c r="AH524" s="22"/>
      <c r="AJ524" s="83">
        <f t="shared" si="177"/>
        <v>0</v>
      </c>
      <c r="AO524" s="22" t="str">
        <f t="shared" si="178"/>
        <v/>
      </c>
      <c r="AP524" s="22" t="str">
        <f t="shared" si="179"/>
        <v/>
      </c>
    </row>
    <row r="525" spans="1:42" x14ac:dyDescent="0.25">
      <c r="A525" s="10"/>
      <c r="B525" s="10"/>
      <c r="C525" s="10"/>
      <c r="D525" s="10"/>
      <c r="E525" s="10"/>
      <c r="F525" s="10"/>
      <c r="G525" s="10"/>
      <c r="H525" s="17"/>
      <c r="I525" s="10"/>
      <c r="J525" s="10"/>
      <c r="K525" s="16" t="str">
        <f t="shared" ref="K525:K588" si="180">IF($AF525&lt;&gt;"",$AF525,IF(AND($A525&lt;&gt;"",$E525&gt;0),SUM($O525:$Q525),""))</f>
        <v/>
      </c>
      <c r="L525" s="23" t="str">
        <f t="shared" ref="L525:L588" si="181">IF($AG525&lt;&gt;"",$AG525,IF(AND($A525&lt;&gt;"",$E525&gt;0),SUM($R525:$V525),""))</f>
        <v/>
      </c>
      <c r="M525" s="22" t="str">
        <f t="shared" ref="M525:M588" si="182">IF($AH525&lt;&gt;"",$AH525,IF(AND($A525&lt;&gt;"",$E525&gt;0),SUM($W525:$AE525)+$AO525+$AP525,""))</f>
        <v/>
      </c>
      <c r="N525" s="72"/>
      <c r="O525" s="16" t="str">
        <f t="shared" ref="O525:O588" si="183">IF(AND($A525&lt;&gt;"",$E525&gt;0),IF(AND($J525="SONY",200000&lt;=$E525,$E525&lt;1000000),5000*$D525,0),"")</f>
        <v/>
      </c>
      <c r="P525" s="16" t="str">
        <f t="shared" ref="P525:P588" si="184">IF(AND($A525&lt;&gt;"",$E525&gt;0),IF(AND($J525="SONY",1000000&lt;=$E525,$E525&lt;2000000),10000*$D525,0),"")</f>
        <v/>
      </c>
      <c r="Q525" s="16" t="str">
        <f t="shared" ref="Q525:Q588" si="185">IF(AND($A525&lt;&gt;"",$E525&gt;0),IF(AND($J525="SONY",$E525&gt;=2000000),20000*$D525,0),"")</f>
        <v/>
      </c>
      <c r="R525" s="23" t="str">
        <f t="shared" ref="R525:R588" si="186">IF(AND($A525&lt;&gt;"",$E525&gt;0),IF(AND($J525&lt;&gt;"SONY",100000&lt;=$E525,$E525&lt;200000),5000*$D525,0),"")</f>
        <v/>
      </c>
      <c r="S525" s="23" t="str">
        <f t="shared" ref="S525:S588" si="187">IF(AND($A525&lt;&gt;"",$E525&gt;0),IF(AND($J525&lt;&gt;"SONY",200000&lt;=$E525,$E525&lt;500000),10000*$D525,0),"")</f>
        <v/>
      </c>
      <c r="T525" s="23" t="str">
        <f t="shared" ref="T525:T588" si="188">IF(AND($A525&lt;&gt;"",$E525&gt;0),IF(AND($J525&lt;&gt;"SONY",500000&lt;=$E525,$E525&lt;1000000),20000*$D525,0),"")</f>
        <v/>
      </c>
      <c r="U525" s="23" t="str">
        <f t="shared" ref="U525:U588" si="189">IF(AND($A525&lt;&gt;"",$E525&gt;0),IF(AND($J525&lt;&gt;"SONY",1000000&lt;=$E525,$E525&lt;1500000),50000*$D525,0),"")</f>
        <v/>
      </c>
      <c r="V525" s="23" t="str">
        <f t="shared" ref="V525:V588" si="190">IF(AND($A525&lt;&gt;"",$E525&gt;0),IF(AND($J525&lt;&gt;"SONY",1500000&lt;=$E525),100000*$D525,0),"")</f>
        <v/>
      </c>
      <c r="W525" s="70" t="str">
        <f t="shared" ref="W525:W588" si="191">IF(AND($E525&gt;0,$J525="ELECOM",$E525&gt;=500000,ISNUMBER(SEARCH("tai nghe",$C525))),20000*$D525,IF($A525&lt;&gt;"",0,""))</f>
        <v/>
      </c>
      <c r="X525" s="70" t="str">
        <f t="shared" ref="X525:X588" si="192">IF(AND($E525&gt;0,$J525="ELECOM",ISNUMBER(SEARCH("loa",$C525))),20000*$D525,IF($A525&lt;&gt;"",0,""))</f>
        <v/>
      </c>
      <c r="Y525" s="70" t="str">
        <f>IF(AND($A525&lt;&gt;"",$E525&gt;0),isLaptopBag($C525,$J525)*$D525,"")</f>
        <v/>
      </c>
      <c r="Z525" s="70" t="str">
        <f t="shared" ref="Z525:Z588" si="193">IF(AND($E525&gt;0,$J525="ELECOM",ISNUMBER(SEARCH("ốp",$C525))),20000*$D525,IF($A525&lt;&gt;"",0,""))</f>
        <v/>
      </c>
      <c r="AA525" s="70" t="str">
        <f t="shared" ref="AA525:AA588" si="194">IF(AND($E525&gt;0,$J525="ELECOM",ISNUMBER(SEARCH("Bút",$C525))),20000*$D525,IF($A525&lt;&gt;"",0,""))</f>
        <v/>
      </c>
      <c r="AB525" s="70" t="str">
        <f t="shared" ref="AB525:AB588" si="195">IF(AND($E525&gt;0,$J525="ELECOM",ISNUMBER(SEARCH("Chuột bi",$C525))),20000*$D525,IF($A525&lt;&gt;"",0,""))</f>
        <v/>
      </c>
      <c r="AC525" s="70" t="str">
        <f t="shared" ref="AC525:AC588" si="196">IF(AND($E525&gt;0,$J525="ELECOM",ISNUMBER(SEARCH("Chuột trackball",$C525))),20000*$D525,IF($A525&lt;&gt;"",0,""))</f>
        <v/>
      </c>
      <c r="AD525" s="70" t="str">
        <f t="shared" ref="AD525:AD588" si="197">IF(AND($E525&gt;0,$J525="ELECOM",ISNUMBER(SEARCH("Sạc không dây",$C525))),20000*$D525,IF($A525&lt;&gt;"",0,""))</f>
        <v/>
      </c>
      <c r="AE525" s="70" t="str">
        <f t="shared" ref="AE525:AE588" si="198">IF(AND($E525&gt;0,$J525="ELECOM",ISNUMBER(SEARCH("Sạc kd",$C525))),20000*$D525,IF($A525&lt;&gt;"",0,""))</f>
        <v/>
      </c>
      <c r="AF525" s="16"/>
      <c r="AG525" s="23"/>
      <c r="AH525" s="22"/>
      <c r="AJ525" s="83">
        <f t="shared" ref="AJ525:AJ588" si="199">DAY(H525)</f>
        <v>0</v>
      </c>
      <c r="AO525" s="22" t="str">
        <f t="shared" ref="AO525:AO588" si="200">IF(AND($E525&gt;0,ISNUMBER(SEARCH("Sạc dự phòng Energizer",$C525))),10000*$D525,IF($A525&lt;&gt;"",0,""))</f>
        <v/>
      </c>
      <c r="AP525" s="22" t="str">
        <f t="shared" ref="AP525:AP588" si="201">IF(AND($E525&gt;0,ISNUMBER(SEARCH("SDP Energizer",$C525))),10000*$D525,IF($A525&lt;&gt;"",0,""))</f>
        <v/>
      </c>
    </row>
    <row r="526" spans="1:42" x14ac:dyDescent="0.25">
      <c r="A526" s="10"/>
      <c r="B526" s="10"/>
      <c r="C526" s="10"/>
      <c r="D526" s="10"/>
      <c r="E526" s="10"/>
      <c r="F526" s="10"/>
      <c r="G526" s="10"/>
      <c r="H526" s="17"/>
      <c r="I526" s="10"/>
      <c r="J526" s="10"/>
      <c r="K526" s="16" t="str">
        <f t="shared" si="180"/>
        <v/>
      </c>
      <c r="L526" s="23" t="str">
        <f t="shared" si="181"/>
        <v/>
      </c>
      <c r="M526" s="22" t="str">
        <f t="shared" si="182"/>
        <v/>
      </c>
      <c r="N526" s="72"/>
      <c r="O526" s="16" t="str">
        <f t="shared" si="183"/>
        <v/>
      </c>
      <c r="P526" s="16" t="str">
        <f t="shared" si="184"/>
        <v/>
      </c>
      <c r="Q526" s="16" t="str">
        <f t="shared" si="185"/>
        <v/>
      </c>
      <c r="R526" s="23" t="str">
        <f t="shared" si="186"/>
        <v/>
      </c>
      <c r="S526" s="23" t="str">
        <f t="shared" si="187"/>
        <v/>
      </c>
      <c r="T526" s="23" t="str">
        <f t="shared" si="188"/>
        <v/>
      </c>
      <c r="U526" s="23" t="str">
        <f t="shared" si="189"/>
        <v/>
      </c>
      <c r="V526" s="23" t="str">
        <f t="shared" si="190"/>
        <v/>
      </c>
      <c r="W526" s="70" t="str">
        <f t="shared" si="191"/>
        <v/>
      </c>
      <c r="X526" s="70" t="str">
        <f t="shared" si="192"/>
        <v/>
      </c>
      <c r="Y526" s="70" t="str">
        <f>IF(AND($A526&lt;&gt;"",$E526&gt;0),isLaptopBag($C526,$J526)*$D526,"")</f>
        <v/>
      </c>
      <c r="Z526" s="70" t="str">
        <f t="shared" si="193"/>
        <v/>
      </c>
      <c r="AA526" s="70" t="str">
        <f t="shared" si="194"/>
        <v/>
      </c>
      <c r="AB526" s="70" t="str">
        <f t="shared" si="195"/>
        <v/>
      </c>
      <c r="AC526" s="70" t="str">
        <f t="shared" si="196"/>
        <v/>
      </c>
      <c r="AD526" s="70" t="str">
        <f t="shared" si="197"/>
        <v/>
      </c>
      <c r="AE526" s="70" t="str">
        <f t="shared" si="198"/>
        <v/>
      </c>
      <c r="AF526" s="16"/>
      <c r="AG526" s="23"/>
      <c r="AH526" s="22"/>
      <c r="AJ526" s="83">
        <f t="shared" si="199"/>
        <v>0</v>
      </c>
      <c r="AO526" s="22" t="str">
        <f t="shared" si="200"/>
        <v/>
      </c>
      <c r="AP526" s="22" t="str">
        <f t="shared" si="201"/>
        <v/>
      </c>
    </row>
    <row r="527" spans="1:42" x14ac:dyDescent="0.25">
      <c r="A527" s="10"/>
      <c r="B527" s="10"/>
      <c r="C527" s="10"/>
      <c r="D527" s="10"/>
      <c r="E527" s="10"/>
      <c r="F527" s="10"/>
      <c r="G527" s="10"/>
      <c r="H527" s="17"/>
      <c r="I527" s="10"/>
      <c r="J527" s="10"/>
      <c r="K527" s="16" t="str">
        <f t="shared" si="180"/>
        <v/>
      </c>
      <c r="L527" s="23" t="str">
        <f t="shared" si="181"/>
        <v/>
      </c>
      <c r="M527" s="22" t="str">
        <f t="shared" si="182"/>
        <v/>
      </c>
      <c r="N527" s="72"/>
      <c r="O527" s="16" t="str">
        <f t="shared" si="183"/>
        <v/>
      </c>
      <c r="P527" s="16" t="str">
        <f t="shared" si="184"/>
        <v/>
      </c>
      <c r="Q527" s="16" t="str">
        <f t="shared" si="185"/>
        <v/>
      </c>
      <c r="R527" s="23" t="str">
        <f t="shared" si="186"/>
        <v/>
      </c>
      <c r="S527" s="23" t="str">
        <f t="shared" si="187"/>
        <v/>
      </c>
      <c r="T527" s="23" t="str">
        <f t="shared" si="188"/>
        <v/>
      </c>
      <c r="U527" s="23" t="str">
        <f t="shared" si="189"/>
        <v/>
      </c>
      <c r="V527" s="23" t="str">
        <f t="shared" si="190"/>
        <v/>
      </c>
      <c r="W527" s="70" t="str">
        <f t="shared" si="191"/>
        <v/>
      </c>
      <c r="X527" s="70" t="str">
        <f t="shared" si="192"/>
        <v/>
      </c>
      <c r="Y527" s="70" t="str">
        <f>IF(AND($A527&lt;&gt;"",$E527&gt;0),isLaptopBag($C527,$J527)*$D527,"")</f>
        <v/>
      </c>
      <c r="Z527" s="70" t="str">
        <f t="shared" si="193"/>
        <v/>
      </c>
      <c r="AA527" s="70" t="str">
        <f t="shared" si="194"/>
        <v/>
      </c>
      <c r="AB527" s="70" t="str">
        <f t="shared" si="195"/>
        <v/>
      </c>
      <c r="AC527" s="70" t="str">
        <f t="shared" si="196"/>
        <v/>
      </c>
      <c r="AD527" s="70" t="str">
        <f t="shared" si="197"/>
        <v/>
      </c>
      <c r="AE527" s="70" t="str">
        <f t="shared" si="198"/>
        <v/>
      </c>
      <c r="AF527" s="16"/>
      <c r="AG527" s="23"/>
      <c r="AH527" s="22"/>
      <c r="AJ527" s="83">
        <f t="shared" si="199"/>
        <v>0</v>
      </c>
      <c r="AO527" s="22" t="str">
        <f t="shared" si="200"/>
        <v/>
      </c>
      <c r="AP527" s="22" t="str">
        <f t="shared" si="201"/>
        <v/>
      </c>
    </row>
    <row r="528" spans="1:42" x14ac:dyDescent="0.25">
      <c r="A528" s="10"/>
      <c r="B528" s="10"/>
      <c r="C528" s="10"/>
      <c r="D528" s="10"/>
      <c r="E528" s="10"/>
      <c r="F528" s="10"/>
      <c r="G528" s="10"/>
      <c r="H528" s="17"/>
      <c r="I528" s="10"/>
      <c r="J528" s="10"/>
      <c r="K528" s="16" t="str">
        <f t="shared" si="180"/>
        <v/>
      </c>
      <c r="L528" s="23" t="str">
        <f t="shared" si="181"/>
        <v/>
      </c>
      <c r="M528" s="22" t="str">
        <f t="shared" si="182"/>
        <v/>
      </c>
      <c r="N528" s="72"/>
      <c r="O528" s="16" t="str">
        <f t="shared" si="183"/>
        <v/>
      </c>
      <c r="P528" s="16" t="str">
        <f t="shared" si="184"/>
        <v/>
      </c>
      <c r="Q528" s="16" t="str">
        <f t="shared" si="185"/>
        <v/>
      </c>
      <c r="R528" s="23" t="str">
        <f t="shared" si="186"/>
        <v/>
      </c>
      <c r="S528" s="23" t="str">
        <f t="shared" si="187"/>
        <v/>
      </c>
      <c r="T528" s="23" t="str">
        <f t="shared" si="188"/>
        <v/>
      </c>
      <c r="U528" s="23" t="str">
        <f t="shared" si="189"/>
        <v/>
      </c>
      <c r="V528" s="23" t="str">
        <f t="shared" si="190"/>
        <v/>
      </c>
      <c r="W528" s="70" t="str">
        <f t="shared" si="191"/>
        <v/>
      </c>
      <c r="X528" s="70" t="str">
        <f t="shared" si="192"/>
        <v/>
      </c>
      <c r="Y528" s="70" t="str">
        <f>IF(AND($A528&lt;&gt;"",$E528&gt;0),isLaptopBag($C528,$J528)*$D528,"")</f>
        <v/>
      </c>
      <c r="Z528" s="70" t="str">
        <f t="shared" si="193"/>
        <v/>
      </c>
      <c r="AA528" s="70" t="str">
        <f t="shared" si="194"/>
        <v/>
      </c>
      <c r="AB528" s="70" t="str">
        <f t="shared" si="195"/>
        <v/>
      </c>
      <c r="AC528" s="70" t="str">
        <f t="shared" si="196"/>
        <v/>
      </c>
      <c r="AD528" s="70" t="str">
        <f t="shared" si="197"/>
        <v/>
      </c>
      <c r="AE528" s="70" t="str">
        <f t="shared" si="198"/>
        <v/>
      </c>
      <c r="AF528" s="16"/>
      <c r="AG528" s="23"/>
      <c r="AH528" s="22"/>
      <c r="AJ528" s="83">
        <f t="shared" si="199"/>
        <v>0</v>
      </c>
      <c r="AO528" s="22" t="str">
        <f t="shared" si="200"/>
        <v/>
      </c>
      <c r="AP528" s="22" t="str">
        <f t="shared" si="201"/>
        <v/>
      </c>
    </row>
    <row r="529" spans="1:42" x14ac:dyDescent="0.25">
      <c r="A529" s="10"/>
      <c r="B529" s="10"/>
      <c r="C529" s="10"/>
      <c r="D529" s="10"/>
      <c r="E529" s="10"/>
      <c r="F529" s="10"/>
      <c r="G529" s="10"/>
      <c r="H529" s="17"/>
      <c r="I529" s="10"/>
      <c r="J529" s="10"/>
      <c r="K529" s="16" t="str">
        <f t="shared" si="180"/>
        <v/>
      </c>
      <c r="L529" s="23" t="str">
        <f t="shared" si="181"/>
        <v/>
      </c>
      <c r="M529" s="22" t="str">
        <f t="shared" si="182"/>
        <v/>
      </c>
      <c r="N529" s="72"/>
      <c r="O529" s="16" t="str">
        <f t="shared" si="183"/>
        <v/>
      </c>
      <c r="P529" s="16" t="str">
        <f t="shared" si="184"/>
        <v/>
      </c>
      <c r="Q529" s="16" t="str">
        <f t="shared" si="185"/>
        <v/>
      </c>
      <c r="R529" s="23" t="str">
        <f t="shared" si="186"/>
        <v/>
      </c>
      <c r="S529" s="23" t="str">
        <f t="shared" si="187"/>
        <v/>
      </c>
      <c r="T529" s="23" t="str">
        <f t="shared" si="188"/>
        <v/>
      </c>
      <c r="U529" s="23" t="str">
        <f t="shared" si="189"/>
        <v/>
      </c>
      <c r="V529" s="23" t="str">
        <f t="shared" si="190"/>
        <v/>
      </c>
      <c r="W529" s="70" t="str">
        <f t="shared" si="191"/>
        <v/>
      </c>
      <c r="X529" s="70" t="str">
        <f t="shared" si="192"/>
        <v/>
      </c>
      <c r="Y529" s="70" t="str">
        <f>IF(AND($A529&lt;&gt;"",$E529&gt;0),isLaptopBag($C529,$J529)*$D529,"")</f>
        <v/>
      </c>
      <c r="Z529" s="70" t="str">
        <f t="shared" si="193"/>
        <v/>
      </c>
      <c r="AA529" s="70" t="str">
        <f t="shared" si="194"/>
        <v/>
      </c>
      <c r="AB529" s="70" t="str">
        <f t="shared" si="195"/>
        <v/>
      </c>
      <c r="AC529" s="70" t="str">
        <f t="shared" si="196"/>
        <v/>
      </c>
      <c r="AD529" s="70" t="str">
        <f t="shared" si="197"/>
        <v/>
      </c>
      <c r="AE529" s="70" t="str">
        <f t="shared" si="198"/>
        <v/>
      </c>
      <c r="AF529" s="16"/>
      <c r="AG529" s="23"/>
      <c r="AH529" s="22"/>
      <c r="AJ529" s="83">
        <f t="shared" si="199"/>
        <v>0</v>
      </c>
      <c r="AO529" s="22" t="str">
        <f t="shared" si="200"/>
        <v/>
      </c>
      <c r="AP529" s="22" t="str">
        <f t="shared" si="201"/>
        <v/>
      </c>
    </row>
    <row r="530" spans="1:42" x14ac:dyDescent="0.25">
      <c r="A530" s="10"/>
      <c r="B530" s="10"/>
      <c r="C530" s="10"/>
      <c r="D530" s="10"/>
      <c r="E530" s="10"/>
      <c r="F530" s="10"/>
      <c r="G530" s="10"/>
      <c r="H530" s="17"/>
      <c r="I530" s="10"/>
      <c r="J530" s="10"/>
      <c r="K530" s="16" t="str">
        <f t="shared" si="180"/>
        <v/>
      </c>
      <c r="L530" s="23" t="str">
        <f t="shared" si="181"/>
        <v/>
      </c>
      <c r="M530" s="22" t="str">
        <f t="shared" si="182"/>
        <v/>
      </c>
      <c r="N530" s="72"/>
      <c r="O530" s="16" t="str">
        <f t="shared" si="183"/>
        <v/>
      </c>
      <c r="P530" s="16" t="str">
        <f t="shared" si="184"/>
        <v/>
      </c>
      <c r="Q530" s="16" t="str">
        <f t="shared" si="185"/>
        <v/>
      </c>
      <c r="R530" s="23" t="str">
        <f t="shared" si="186"/>
        <v/>
      </c>
      <c r="S530" s="23" t="str">
        <f t="shared" si="187"/>
        <v/>
      </c>
      <c r="T530" s="23" t="str">
        <f t="shared" si="188"/>
        <v/>
      </c>
      <c r="U530" s="23" t="str">
        <f t="shared" si="189"/>
        <v/>
      </c>
      <c r="V530" s="23" t="str">
        <f t="shared" si="190"/>
        <v/>
      </c>
      <c r="W530" s="70" t="str">
        <f t="shared" si="191"/>
        <v/>
      </c>
      <c r="X530" s="70" t="str">
        <f t="shared" si="192"/>
        <v/>
      </c>
      <c r="Y530" s="70" t="str">
        <f>IF(AND($A530&lt;&gt;"",$E530&gt;0),isLaptopBag($C530,$J530)*$D530,"")</f>
        <v/>
      </c>
      <c r="Z530" s="70" t="str">
        <f t="shared" si="193"/>
        <v/>
      </c>
      <c r="AA530" s="70" t="str">
        <f t="shared" si="194"/>
        <v/>
      </c>
      <c r="AB530" s="70" t="str">
        <f t="shared" si="195"/>
        <v/>
      </c>
      <c r="AC530" s="70" t="str">
        <f t="shared" si="196"/>
        <v/>
      </c>
      <c r="AD530" s="70" t="str">
        <f t="shared" si="197"/>
        <v/>
      </c>
      <c r="AE530" s="70" t="str">
        <f t="shared" si="198"/>
        <v/>
      </c>
      <c r="AF530" s="16"/>
      <c r="AG530" s="23"/>
      <c r="AH530" s="22"/>
      <c r="AJ530" s="83">
        <f t="shared" si="199"/>
        <v>0</v>
      </c>
      <c r="AO530" s="22" t="str">
        <f t="shared" si="200"/>
        <v/>
      </c>
      <c r="AP530" s="22" t="str">
        <f t="shared" si="201"/>
        <v/>
      </c>
    </row>
    <row r="531" spans="1:42" x14ac:dyDescent="0.25">
      <c r="A531" s="10"/>
      <c r="B531" s="10"/>
      <c r="C531" s="10"/>
      <c r="D531" s="10"/>
      <c r="E531" s="10"/>
      <c r="F531" s="10"/>
      <c r="G531" s="10"/>
      <c r="H531" s="17"/>
      <c r="I531" s="10"/>
      <c r="J531" s="10"/>
      <c r="K531" s="16" t="str">
        <f t="shared" si="180"/>
        <v/>
      </c>
      <c r="L531" s="23" t="str">
        <f t="shared" si="181"/>
        <v/>
      </c>
      <c r="M531" s="22" t="str">
        <f t="shared" si="182"/>
        <v/>
      </c>
      <c r="N531" s="72"/>
      <c r="O531" s="16" t="str">
        <f t="shared" si="183"/>
        <v/>
      </c>
      <c r="P531" s="16" t="str">
        <f t="shared" si="184"/>
        <v/>
      </c>
      <c r="Q531" s="16" t="str">
        <f t="shared" si="185"/>
        <v/>
      </c>
      <c r="R531" s="23" t="str">
        <f t="shared" si="186"/>
        <v/>
      </c>
      <c r="S531" s="23" t="str">
        <f t="shared" si="187"/>
        <v/>
      </c>
      <c r="T531" s="23" t="str">
        <f t="shared" si="188"/>
        <v/>
      </c>
      <c r="U531" s="23" t="str">
        <f t="shared" si="189"/>
        <v/>
      </c>
      <c r="V531" s="23" t="str">
        <f t="shared" si="190"/>
        <v/>
      </c>
      <c r="W531" s="70" t="str">
        <f t="shared" si="191"/>
        <v/>
      </c>
      <c r="X531" s="70" t="str">
        <f t="shared" si="192"/>
        <v/>
      </c>
      <c r="Y531" s="70" t="str">
        <f>IF(AND($A531&lt;&gt;"",$E531&gt;0),isLaptopBag($C531,$J531)*$D531,"")</f>
        <v/>
      </c>
      <c r="Z531" s="70" t="str">
        <f t="shared" si="193"/>
        <v/>
      </c>
      <c r="AA531" s="70" t="str">
        <f t="shared" si="194"/>
        <v/>
      </c>
      <c r="AB531" s="70" t="str">
        <f t="shared" si="195"/>
        <v/>
      </c>
      <c r="AC531" s="70" t="str">
        <f t="shared" si="196"/>
        <v/>
      </c>
      <c r="AD531" s="70" t="str">
        <f t="shared" si="197"/>
        <v/>
      </c>
      <c r="AE531" s="70" t="str">
        <f t="shared" si="198"/>
        <v/>
      </c>
      <c r="AF531" s="16"/>
      <c r="AG531" s="23"/>
      <c r="AH531" s="22"/>
      <c r="AJ531" s="83">
        <f t="shared" si="199"/>
        <v>0</v>
      </c>
      <c r="AO531" s="22" t="str">
        <f t="shared" si="200"/>
        <v/>
      </c>
      <c r="AP531" s="22" t="str">
        <f t="shared" si="201"/>
        <v/>
      </c>
    </row>
    <row r="532" spans="1:42" x14ac:dyDescent="0.25">
      <c r="A532" s="10"/>
      <c r="B532" s="10"/>
      <c r="C532" s="10"/>
      <c r="D532" s="10"/>
      <c r="E532" s="10"/>
      <c r="F532" s="10"/>
      <c r="G532" s="10"/>
      <c r="H532" s="17"/>
      <c r="I532" s="10"/>
      <c r="J532" s="10"/>
      <c r="K532" s="16" t="str">
        <f t="shared" si="180"/>
        <v/>
      </c>
      <c r="L532" s="23" t="str">
        <f t="shared" si="181"/>
        <v/>
      </c>
      <c r="M532" s="22" t="str">
        <f t="shared" si="182"/>
        <v/>
      </c>
      <c r="N532" s="72"/>
      <c r="O532" s="16" t="str">
        <f t="shared" si="183"/>
        <v/>
      </c>
      <c r="P532" s="16" t="str">
        <f t="shared" si="184"/>
        <v/>
      </c>
      <c r="Q532" s="16" t="str">
        <f t="shared" si="185"/>
        <v/>
      </c>
      <c r="R532" s="23" t="str">
        <f t="shared" si="186"/>
        <v/>
      </c>
      <c r="S532" s="23" t="str">
        <f t="shared" si="187"/>
        <v/>
      </c>
      <c r="T532" s="23" t="str">
        <f t="shared" si="188"/>
        <v/>
      </c>
      <c r="U532" s="23" t="str">
        <f t="shared" si="189"/>
        <v/>
      </c>
      <c r="V532" s="23" t="str">
        <f t="shared" si="190"/>
        <v/>
      </c>
      <c r="W532" s="70" t="str">
        <f t="shared" si="191"/>
        <v/>
      </c>
      <c r="X532" s="70" t="str">
        <f t="shared" si="192"/>
        <v/>
      </c>
      <c r="Y532" s="70" t="str">
        <f>IF(AND($A532&lt;&gt;"",$E532&gt;0),isLaptopBag($C532,$J532)*$D532,"")</f>
        <v/>
      </c>
      <c r="Z532" s="70" t="str">
        <f t="shared" si="193"/>
        <v/>
      </c>
      <c r="AA532" s="70" t="str">
        <f t="shared" si="194"/>
        <v/>
      </c>
      <c r="AB532" s="70" t="str">
        <f t="shared" si="195"/>
        <v/>
      </c>
      <c r="AC532" s="70" t="str">
        <f t="shared" si="196"/>
        <v/>
      </c>
      <c r="AD532" s="70" t="str">
        <f t="shared" si="197"/>
        <v/>
      </c>
      <c r="AE532" s="70" t="str">
        <f t="shared" si="198"/>
        <v/>
      </c>
      <c r="AF532" s="16"/>
      <c r="AG532" s="23"/>
      <c r="AH532" s="22"/>
      <c r="AJ532" s="83">
        <f t="shared" si="199"/>
        <v>0</v>
      </c>
      <c r="AO532" s="22" t="str">
        <f t="shared" si="200"/>
        <v/>
      </c>
      <c r="AP532" s="22" t="str">
        <f t="shared" si="201"/>
        <v/>
      </c>
    </row>
    <row r="533" spans="1:42" x14ac:dyDescent="0.25">
      <c r="A533" s="10"/>
      <c r="B533" s="10"/>
      <c r="C533" s="10"/>
      <c r="D533" s="10"/>
      <c r="E533" s="10"/>
      <c r="F533" s="10"/>
      <c r="G533" s="10"/>
      <c r="H533" s="17"/>
      <c r="I533" s="10"/>
      <c r="J533" s="10"/>
      <c r="K533" s="16" t="str">
        <f t="shared" si="180"/>
        <v/>
      </c>
      <c r="L533" s="23" t="str">
        <f t="shared" si="181"/>
        <v/>
      </c>
      <c r="M533" s="22" t="str">
        <f t="shared" si="182"/>
        <v/>
      </c>
      <c r="N533" s="72"/>
      <c r="O533" s="16" t="str">
        <f t="shared" si="183"/>
        <v/>
      </c>
      <c r="P533" s="16" t="str">
        <f t="shared" si="184"/>
        <v/>
      </c>
      <c r="Q533" s="16" t="str">
        <f t="shared" si="185"/>
        <v/>
      </c>
      <c r="R533" s="23" t="str">
        <f t="shared" si="186"/>
        <v/>
      </c>
      <c r="S533" s="23" t="str">
        <f t="shared" si="187"/>
        <v/>
      </c>
      <c r="T533" s="23" t="str">
        <f t="shared" si="188"/>
        <v/>
      </c>
      <c r="U533" s="23" t="str">
        <f t="shared" si="189"/>
        <v/>
      </c>
      <c r="V533" s="23" t="str">
        <f t="shared" si="190"/>
        <v/>
      </c>
      <c r="W533" s="70" t="str">
        <f t="shared" si="191"/>
        <v/>
      </c>
      <c r="X533" s="70" t="str">
        <f t="shared" si="192"/>
        <v/>
      </c>
      <c r="Y533" s="70" t="str">
        <f>IF(AND($A533&lt;&gt;"",$E533&gt;0),isLaptopBag($C533,$J533)*$D533,"")</f>
        <v/>
      </c>
      <c r="Z533" s="70" t="str">
        <f t="shared" si="193"/>
        <v/>
      </c>
      <c r="AA533" s="70" t="str">
        <f t="shared" si="194"/>
        <v/>
      </c>
      <c r="AB533" s="70" t="str">
        <f t="shared" si="195"/>
        <v/>
      </c>
      <c r="AC533" s="70" t="str">
        <f t="shared" si="196"/>
        <v/>
      </c>
      <c r="AD533" s="70" t="str">
        <f t="shared" si="197"/>
        <v/>
      </c>
      <c r="AE533" s="70" t="str">
        <f t="shared" si="198"/>
        <v/>
      </c>
      <c r="AF533" s="16"/>
      <c r="AG533" s="23"/>
      <c r="AH533" s="22"/>
      <c r="AJ533" s="83">
        <f t="shared" si="199"/>
        <v>0</v>
      </c>
      <c r="AO533" s="22" t="str">
        <f t="shared" si="200"/>
        <v/>
      </c>
      <c r="AP533" s="22" t="str">
        <f t="shared" si="201"/>
        <v/>
      </c>
    </row>
    <row r="534" spans="1:42" x14ac:dyDescent="0.25">
      <c r="A534" s="10"/>
      <c r="B534" s="10"/>
      <c r="C534" s="10"/>
      <c r="D534" s="10"/>
      <c r="E534" s="10"/>
      <c r="F534" s="10"/>
      <c r="G534" s="10"/>
      <c r="H534" s="17"/>
      <c r="I534" s="10"/>
      <c r="J534" s="10"/>
      <c r="K534" s="16" t="str">
        <f t="shared" si="180"/>
        <v/>
      </c>
      <c r="L534" s="23" t="str">
        <f t="shared" si="181"/>
        <v/>
      </c>
      <c r="M534" s="22" t="str">
        <f t="shared" si="182"/>
        <v/>
      </c>
      <c r="N534" s="72"/>
      <c r="O534" s="16" t="str">
        <f t="shared" si="183"/>
        <v/>
      </c>
      <c r="P534" s="16" t="str">
        <f t="shared" si="184"/>
        <v/>
      </c>
      <c r="Q534" s="16" t="str">
        <f t="shared" si="185"/>
        <v/>
      </c>
      <c r="R534" s="23" t="str">
        <f t="shared" si="186"/>
        <v/>
      </c>
      <c r="S534" s="23" t="str">
        <f t="shared" si="187"/>
        <v/>
      </c>
      <c r="T534" s="23" t="str">
        <f t="shared" si="188"/>
        <v/>
      </c>
      <c r="U534" s="23" t="str">
        <f t="shared" si="189"/>
        <v/>
      </c>
      <c r="V534" s="23" t="str">
        <f t="shared" si="190"/>
        <v/>
      </c>
      <c r="W534" s="70" t="str">
        <f t="shared" si="191"/>
        <v/>
      </c>
      <c r="X534" s="70" t="str">
        <f t="shared" si="192"/>
        <v/>
      </c>
      <c r="Y534" s="70" t="str">
        <f>IF(AND($A534&lt;&gt;"",$E534&gt;0),isLaptopBag($C534,$J534)*$D534,"")</f>
        <v/>
      </c>
      <c r="Z534" s="70" t="str">
        <f t="shared" si="193"/>
        <v/>
      </c>
      <c r="AA534" s="70" t="str">
        <f t="shared" si="194"/>
        <v/>
      </c>
      <c r="AB534" s="70" t="str">
        <f t="shared" si="195"/>
        <v/>
      </c>
      <c r="AC534" s="70" t="str">
        <f t="shared" si="196"/>
        <v/>
      </c>
      <c r="AD534" s="70" t="str">
        <f t="shared" si="197"/>
        <v/>
      </c>
      <c r="AE534" s="70" t="str">
        <f t="shared" si="198"/>
        <v/>
      </c>
      <c r="AF534" s="16"/>
      <c r="AG534" s="23"/>
      <c r="AH534" s="22"/>
      <c r="AJ534" s="83">
        <f t="shared" si="199"/>
        <v>0</v>
      </c>
      <c r="AO534" s="22" t="str">
        <f t="shared" si="200"/>
        <v/>
      </c>
      <c r="AP534" s="22" t="str">
        <f t="shared" si="201"/>
        <v/>
      </c>
    </row>
    <row r="535" spans="1:42" x14ac:dyDescent="0.25">
      <c r="A535" s="10"/>
      <c r="B535" s="10"/>
      <c r="C535" s="10"/>
      <c r="D535" s="10"/>
      <c r="E535" s="10"/>
      <c r="F535" s="10"/>
      <c r="G535" s="10"/>
      <c r="H535" s="17"/>
      <c r="I535" s="10"/>
      <c r="J535" s="10"/>
      <c r="K535" s="16" t="str">
        <f t="shared" si="180"/>
        <v/>
      </c>
      <c r="L535" s="23" t="str">
        <f t="shared" si="181"/>
        <v/>
      </c>
      <c r="M535" s="22" t="str">
        <f t="shared" si="182"/>
        <v/>
      </c>
      <c r="N535" s="72"/>
      <c r="O535" s="16" t="str">
        <f t="shared" si="183"/>
        <v/>
      </c>
      <c r="P535" s="16" t="str">
        <f t="shared" si="184"/>
        <v/>
      </c>
      <c r="Q535" s="16" t="str">
        <f t="shared" si="185"/>
        <v/>
      </c>
      <c r="R535" s="23" t="str">
        <f t="shared" si="186"/>
        <v/>
      </c>
      <c r="S535" s="23" t="str">
        <f t="shared" si="187"/>
        <v/>
      </c>
      <c r="T535" s="23" t="str">
        <f t="shared" si="188"/>
        <v/>
      </c>
      <c r="U535" s="23" t="str">
        <f t="shared" si="189"/>
        <v/>
      </c>
      <c r="V535" s="23" t="str">
        <f t="shared" si="190"/>
        <v/>
      </c>
      <c r="W535" s="70" t="str">
        <f t="shared" si="191"/>
        <v/>
      </c>
      <c r="X535" s="70" t="str">
        <f t="shared" si="192"/>
        <v/>
      </c>
      <c r="Y535" s="70" t="str">
        <f>IF(AND($A535&lt;&gt;"",$E535&gt;0),isLaptopBag($C535,$J535)*$D535,"")</f>
        <v/>
      </c>
      <c r="Z535" s="70" t="str">
        <f t="shared" si="193"/>
        <v/>
      </c>
      <c r="AA535" s="70" t="str">
        <f t="shared" si="194"/>
        <v/>
      </c>
      <c r="AB535" s="70" t="str">
        <f t="shared" si="195"/>
        <v/>
      </c>
      <c r="AC535" s="70" t="str">
        <f t="shared" si="196"/>
        <v/>
      </c>
      <c r="AD535" s="70" t="str">
        <f t="shared" si="197"/>
        <v/>
      </c>
      <c r="AE535" s="70" t="str">
        <f t="shared" si="198"/>
        <v/>
      </c>
      <c r="AF535" s="16"/>
      <c r="AG535" s="23"/>
      <c r="AH535" s="22"/>
      <c r="AJ535" s="83">
        <f t="shared" si="199"/>
        <v>0</v>
      </c>
      <c r="AO535" s="22" t="str">
        <f t="shared" si="200"/>
        <v/>
      </c>
      <c r="AP535" s="22" t="str">
        <f t="shared" si="201"/>
        <v/>
      </c>
    </row>
    <row r="536" spans="1:42" x14ac:dyDescent="0.25">
      <c r="A536" s="10"/>
      <c r="B536" s="10"/>
      <c r="C536" s="10"/>
      <c r="D536" s="10"/>
      <c r="E536" s="10"/>
      <c r="F536" s="10"/>
      <c r="G536" s="10"/>
      <c r="H536" s="17"/>
      <c r="I536" s="10"/>
      <c r="J536" s="10"/>
      <c r="K536" s="16" t="str">
        <f t="shared" si="180"/>
        <v/>
      </c>
      <c r="L536" s="23" t="str">
        <f t="shared" si="181"/>
        <v/>
      </c>
      <c r="M536" s="22" t="str">
        <f t="shared" si="182"/>
        <v/>
      </c>
      <c r="N536" s="72"/>
      <c r="O536" s="16" t="str">
        <f t="shared" si="183"/>
        <v/>
      </c>
      <c r="P536" s="16" t="str">
        <f t="shared" si="184"/>
        <v/>
      </c>
      <c r="Q536" s="16" t="str">
        <f t="shared" si="185"/>
        <v/>
      </c>
      <c r="R536" s="23" t="str">
        <f t="shared" si="186"/>
        <v/>
      </c>
      <c r="S536" s="23" t="str">
        <f t="shared" si="187"/>
        <v/>
      </c>
      <c r="T536" s="23" t="str">
        <f t="shared" si="188"/>
        <v/>
      </c>
      <c r="U536" s="23" t="str">
        <f t="shared" si="189"/>
        <v/>
      </c>
      <c r="V536" s="23" t="str">
        <f t="shared" si="190"/>
        <v/>
      </c>
      <c r="W536" s="70" t="str">
        <f t="shared" si="191"/>
        <v/>
      </c>
      <c r="X536" s="70" t="str">
        <f t="shared" si="192"/>
        <v/>
      </c>
      <c r="Y536" s="70" t="str">
        <f>IF(AND($A536&lt;&gt;"",$E536&gt;0),isLaptopBag($C536,$J536)*$D536,"")</f>
        <v/>
      </c>
      <c r="Z536" s="70" t="str">
        <f t="shared" si="193"/>
        <v/>
      </c>
      <c r="AA536" s="70" t="str">
        <f t="shared" si="194"/>
        <v/>
      </c>
      <c r="AB536" s="70" t="str">
        <f t="shared" si="195"/>
        <v/>
      </c>
      <c r="AC536" s="70" t="str">
        <f t="shared" si="196"/>
        <v/>
      </c>
      <c r="AD536" s="70" t="str">
        <f t="shared" si="197"/>
        <v/>
      </c>
      <c r="AE536" s="70" t="str">
        <f t="shared" si="198"/>
        <v/>
      </c>
      <c r="AF536" s="16"/>
      <c r="AG536" s="23"/>
      <c r="AH536" s="22"/>
      <c r="AJ536" s="83">
        <f t="shared" si="199"/>
        <v>0</v>
      </c>
      <c r="AO536" s="22" t="str">
        <f t="shared" si="200"/>
        <v/>
      </c>
      <c r="AP536" s="22" t="str">
        <f t="shared" si="201"/>
        <v/>
      </c>
    </row>
    <row r="537" spans="1:42" x14ac:dyDescent="0.25">
      <c r="A537" s="10"/>
      <c r="B537" s="10"/>
      <c r="C537" s="10"/>
      <c r="D537" s="10"/>
      <c r="E537" s="10"/>
      <c r="F537" s="10"/>
      <c r="G537" s="10"/>
      <c r="H537" s="17"/>
      <c r="I537" s="10"/>
      <c r="J537" s="10"/>
      <c r="K537" s="16" t="str">
        <f t="shared" si="180"/>
        <v/>
      </c>
      <c r="L537" s="23" t="str">
        <f t="shared" si="181"/>
        <v/>
      </c>
      <c r="M537" s="22" t="str">
        <f t="shared" si="182"/>
        <v/>
      </c>
      <c r="N537" s="72"/>
      <c r="O537" s="16" t="str">
        <f t="shared" si="183"/>
        <v/>
      </c>
      <c r="P537" s="16" t="str">
        <f t="shared" si="184"/>
        <v/>
      </c>
      <c r="Q537" s="16" t="str">
        <f t="shared" si="185"/>
        <v/>
      </c>
      <c r="R537" s="23" t="str">
        <f t="shared" si="186"/>
        <v/>
      </c>
      <c r="S537" s="23" t="str">
        <f t="shared" si="187"/>
        <v/>
      </c>
      <c r="T537" s="23" t="str">
        <f t="shared" si="188"/>
        <v/>
      </c>
      <c r="U537" s="23" t="str">
        <f t="shared" si="189"/>
        <v/>
      </c>
      <c r="V537" s="23" t="str">
        <f t="shared" si="190"/>
        <v/>
      </c>
      <c r="W537" s="70" t="str">
        <f t="shared" si="191"/>
        <v/>
      </c>
      <c r="X537" s="70" t="str">
        <f t="shared" si="192"/>
        <v/>
      </c>
      <c r="Y537" s="70" t="str">
        <f>IF(AND($A537&lt;&gt;"",$E537&gt;0),isLaptopBag($C537,$J537)*$D537,"")</f>
        <v/>
      </c>
      <c r="Z537" s="70" t="str">
        <f t="shared" si="193"/>
        <v/>
      </c>
      <c r="AA537" s="70" t="str">
        <f t="shared" si="194"/>
        <v/>
      </c>
      <c r="AB537" s="70" t="str">
        <f t="shared" si="195"/>
        <v/>
      </c>
      <c r="AC537" s="70" t="str">
        <f t="shared" si="196"/>
        <v/>
      </c>
      <c r="AD537" s="70" t="str">
        <f t="shared" si="197"/>
        <v/>
      </c>
      <c r="AE537" s="70" t="str">
        <f t="shared" si="198"/>
        <v/>
      </c>
      <c r="AF537" s="16"/>
      <c r="AG537" s="23"/>
      <c r="AH537" s="22"/>
      <c r="AJ537" s="83">
        <f t="shared" si="199"/>
        <v>0</v>
      </c>
      <c r="AO537" s="22" t="str">
        <f t="shared" si="200"/>
        <v/>
      </c>
      <c r="AP537" s="22" t="str">
        <f t="shared" si="201"/>
        <v/>
      </c>
    </row>
    <row r="538" spans="1:42" x14ac:dyDescent="0.25">
      <c r="A538" s="10"/>
      <c r="B538" s="10"/>
      <c r="C538" s="10"/>
      <c r="D538" s="10"/>
      <c r="E538" s="10"/>
      <c r="F538" s="10"/>
      <c r="G538" s="10"/>
      <c r="H538" s="17"/>
      <c r="I538" s="10"/>
      <c r="J538" s="10"/>
      <c r="K538" s="16" t="str">
        <f t="shared" si="180"/>
        <v/>
      </c>
      <c r="L538" s="23" t="str">
        <f t="shared" si="181"/>
        <v/>
      </c>
      <c r="M538" s="22" t="str">
        <f t="shared" si="182"/>
        <v/>
      </c>
      <c r="N538" s="72"/>
      <c r="O538" s="16" t="str">
        <f t="shared" si="183"/>
        <v/>
      </c>
      <c r="P538" s="16" t="str">
        <f t="shared" si="184"/>
        <v/>
      </c>
      <c r="Q538" s="16" t="str">
        <f t="shared" si="185"/>
        <v/>
      </c>
      <c r="R538" s="23" t="str">
        <f t="shared" si="186"/>
        <v/>
      </c>
      <c r="S538" s="23" t="str">
        <f t="shared" si="187"/>
        <v/>
      </c>
      <c r="T538" s="23" t="str">
        <f t="shared" si="188"/>
        <v/>
      </c>
      <c r="U538" s="23" t="str">
        <f t="shared" si="189"/>
        <v/>
      </c>
      <c r="V538" s="23" t="str">
        <f t="shared" si="190"/>
        <v/>
      </c>
      <c r="W538" s="70" t="str">
        <f t="shared" si="191"/>
        <v/>
      </c>
      <c r="X538" s="70" t="str">
        <f t="shared" si="192"/>
        <v/>
      </c>
      <c r="Y538" s="70" t="str">
        <f>IF(AND($A538&lt;&gt;"",$E538&gt;0),isLaptopBag($C538,$J538)*$D538,"")</f>
        <v/>
      </c>
      <c r="Z538" s="70" t="str">
        <f t="shared" si="193"/>
        <v/>
      </c>
      <c r="AA538" s="70" t="str">
        <f t="shared" si="194"/>
        <v/>
      </c>
      <c r="AB538" s="70" t="str">
        <f t="shared" si="195"/>
        <v/>
      </c>
      <c r="AC538" s="70" t="str">
        <f t="shared" si="196"/>
        <v/>
      </c>
      <c r="AD538" s="70" t="str">
        <f t="shared" si="197"/>
        <v/>
      </c>
      <c r="AE538" s="70" t="str">
        <f t="shared" si="198"/>
        <v/>
      </c>
      <c r="AF538" s="16"/>
      <c r="AG538" s="23"/>
      <c r="AH538" s="22"/>
      <c r="AJ538" s="83">
        <f t="shared" si="199"/>
        <v>0</v>
      </c>
      <c r="AO538" s="22" t="str">
        <f t="shared" si="200"/>
        <v/>
      </c>
      <c r="AP538" s="22" t="str">
        <f t="shared" si="201"/>
        <v/>
      </c>
    </row>
    <row r="539" spans="1:42" x14ac:dyDescent="0.25">
      <c r="A539" s="10"/>
      <c r="B539" s="10"/>
      <c r="C539" s="10"/>
      <c r="D539" s="10"/>
      <c r="E539" s="10"/>
      <c r="F539" s="10"/>
      <c r="G539" s="10"/>
      <c r="H539" s="17"/>
      <c r="I539" s="10"/>
      <c r="J539" s="10"/>
      <c r="K539" s="16" t="str">
        <f t="shared" si="180"/>
        <v/>
      </c>
      <c r="L539" s="23" t="str">
        <f t="shared" si="181"/>
        <v/>
      </c>
      <c r="M539" s="22" t="str">
        <f t="shared" si="182"/>
        <v/>
      </c>
      <c r="N539" s="72"/>
      <c r="O539" s="16" t="str">
        <f t="shared" si="183"/>
        <v/>
      </c>
      <c r="P539" s="16" t="str">
        <f t="shared" si="184"/>
        <v/>
      </c>
      <c r="Q539" s="16" t="str">
        <f t="shared" si="185"/>
        <v/>
      </c>
      <c r="R539" s="23" t="str">
        <f t="shared" si="186"/>
        <v/>
      </c>
      <c r="S539" s="23" t="str">
        <f t="shared" si="187"/>
        <v/>
      </c>
      <c r="T539" s="23" t="str">
        <f t="shared" si="188"/>
        <v/>
      </c>
      <c r="U539" s="23" t="str">
        <f t="shared" si="189"/>
        <v/>
      </c>
      <c r="V539" s="23" t="str">
        <f t="shared" si="190"/>
        <v/>
      </c>
      <c r="W539" s="70" t="str">
        <f t="shared" si="191"/>
        <v/>
      </c>
      <c r="X539" s="70" t="str">
        <f t="shared" si="192"/>
        <v/>
      </c>
      <c r="Y539" s="70" t="str">
        <f>IF(AND($A539&lt;&gt;"",$E539&gt;0),isLaptopBag($C539,$J539)*$D539,"")</f>
        <v/>
      </c>
      <c r="Z539" s="70" t="str">
        <f t="shared" si="193"/>
        <v/>
      </c>
      <c r="AA539" s="70" t="str">
        <f t="shared" si="194"/>
        <v/>
      </c>
      <c r="AB539" s="70" t="str">
        <f t="shared" si="195"/>
        <v/>
      </c>
      <c r="AC539" s="70" t="str">
        <f t="shared" si="196"/>
        <v/>
      </c>
      <c r="AD539" s="70" t="str">
        <f t="shared" si="197"/>
        <v/>
      </c>
      <c r="AE539" s="70" t="str">
        <f t="shared" si="198"/>
        <v/>
      </c>
      <c r="AF539" s="16"/>
      <c r="AG539" s="23"/>
      <c r="AH539" s="22"/>
      <c r="AJ539" s="83">
        <f t="shared" si="199"/>
        <v>0</v>
      </c>
      <c r="AO539" s="22" t="str">
        <f t="shared" si="200"/>
        <v/>
      </c>
      <c r="AP539" s="22" t="str">
        <f t="shared" si="201"/>
        <v/>
      </c>
    </row>
    <row r="540" spans="1:42" x14ac:dyDescent="0.25">
      <c r="A540" s="10"/>
      <c r="B540" s="10"/>
      <c r="C540" s="10"/>
      <c r="D540" s="10"/>
      <c r="E540" s="10"/>
      <c r="F540" s="10"/>
      <c r="G540" s="10"/>
      <c r="H540" s="17"/>
      <c r="I540" s="10"/>
      <c r="J540" s="10"/>
      <c r="K540" s="16" t="str">
        <f t="shared" si="180"/>
        <v/>
      </c>
      <c r="L540" s="23" t="str">
        <f t="shared" si="181"/>
        <v/>
      </c>
      <c r="M540" s="22" t="str">
        <f t="shared" si="182"/>
        <v/>
      </c>
      <c r="N540" s="72"/>
      <c r="O540" s="16" t="str">
        <f t="shared" si="183"/>
        <v/>
      </c>
      <c r="P540" s="16" t="str">
        <f t="shared" si="184"/>
        <v/>
      </c>
      <c r="Q540" s="16" t="str">
        <f t="shared" si="185"/>
        <v/>
      </c>
      <c r="R540" s="23" t="str">
        <f t="shared" si="186"/>
        <v/>
      </c>
      <c r="S540" s="23" t="str">
        <f t="shared" si="187"/>
        <v/>
      </c>
      <c r="T540" s="23" t="str">
        <f t="shared" si="188"/>
        <v/>
      </c>
      <c r="U540" s="23" t="str">
        <f t="shared" si="189"/>
        <v/>
      </c>
      <c r="V540" s="23" t="str">
        <f t="shared" si="190"/>
        <v/>
      </c>
      <c r="W540" s="70" t="str">
        <f t="shared" si="191"/>
        <v/>
      </c>
      <c r="X540" s="70" t="str">
        <f t="shared" si="192"/>
        <v/>
      </c>
      <c r="Y540" s="70" t="str">
        <f>IF(AND($A540&lt;&gt;"",$E540&gt;0),isLaptopBag($C540,$J540)*$D540,"")</f>
        <v/>
      </c>
      <c r="Z540" s="70" t="str">
        <f t="shared" si="193"/>
        <v/>
      </c>
      <c r="AA540" s="70" t="str">
        <f t="shared" si="194"/>
        <v/>
      </c>
      <c r="AB540" s="70" t="str">
        <f t="shared" si="195"/>
        <v/>
      </c>
      <c r="AC540" s="70" t="str">
        <f t="shared" si="196"/>
        <v/>
      </c>
      <c r="AD540" s="70" t="str">
        <f t="shared" si="197"/>
        <v/>
      </c>
      <c r="AE540" s="70" t="str">
        <f t="shared" si="198"/>
        <v/>
      </c>
      <c r="AF540" s="16"/>
      <c r="AG540" s="23"/>
      <c r="AH540" s="22"/>
      <c r="AJ540" s="83">
        <f t="shared" si="199"/>
        <v>0</v>
      </c>
      <c r="AO540" s="22" t="str">
        <f t="shared" si="200"/>
        <v/>
      </c>
      <c r="AP540" s="22" t="str">
        <f t="shared" si="201"/>
        <v/>
      </c>
    </row>
    <row r="541" spans="1:42" x14ac:dyDescent="0.25">
      <c r="A541" s="10"/>
      <c r="B541" s="10"/>
      <c r="C541" s="10"/>
      <c r="D541" s="10"/>
      <c r="E541" s="10"/>
      <c r="F541" s="10"/>
      <c r="G541" s="10"/>
      <c r="H541" s="17"/>
      <c r="I541" s="10"/>
      <c r="J541" s="10"/>
      <c r="K541" s="16" t="str">
        <f t="shared" si="180"/>
        <v/>
      </c>
      <c r="L541" s="23" t="str">
        <f t="shared" si="181"/>
        <v/>
      </c>
      <c r="M541" s="22" t="str">
        <f t="shared" si="182"/>
        <v/>
      </c>
      <c r="N541" s="72"/>
      <c r="O541" s="16" t="str">
        <f t="shared" si="183"/>
        <v/>
      </c>
      <c r="P541" s="16" t="str">
        <f t="shared" si="184"/>
        <v/>
      </c>
      <c r="Q541" s="16" t="str">
        <f t="shared" si="185"/>
        <v/>
      </c>
      <c r="R541" s="23" t="str">
        <f t="shared" si="186"/>
        <v/>
      </c>
      <c r="S541" s="23" t="str">
        <f t="shared" si="187"/>
        <v/>
      </c>
      <c r="T541" s="23" t="str">
        <f t="shared" si="188"/>
        <v/>
      </c>
      <c r="U541" s="23" t="str">
        <f t="shared" si="189"/>
        <v/>
      </c>
      <c r="V541" s="23" t="str">
        <f t="shared" si="190"/>
        <v/>
      </c>
      <c r="W541" s="70" t="str">
        <f t="shared" si="191"/>
        <v/>
      </c>
      <c r="X541" s="70" t="str">
        <f t="shared" si="192"/>
        <v/>
      </c>
      <c r="Y541" s="70" t="str">
        <f>IF(AND($A541&lt;&gt;"",$E541&gt;0),isLaptopBag($C541,$J541)*$D541,"")</f>
        <v/>
      </c>
      <c r="Z541" s="70" t="str">
        <f t="shared" si="193"/>
        <v/>
      </c>
      <c r="AA541" s="70" t="str">
        <f t="shared" si="194"/>
        <v/>
      </c>
      <c r="AB541" s="70" t="str">
        <f t="shared" si="195"/>
        <v/>
      </c>
      <c r="AC541" s="70" t="str">
        <f t="shared" si="196"/>
        <v/>
      </c>
      <c r="AD541" s="70" t="str">
        <f t="shared" si="197"/>
        <v/>
      </c>
      <c r="AE541" s="70" t="str">
        <f t="shared" si="198"/>
        <v/>
      </c>
      <c r="AF541" s="16"/>
      <c r="AG541" s="23"/>
      <c r="AH541" s="22"/>
      <c r="AJ541" s="83">
        <f t="shared" si="199"/>
        <v>0</v>
      </c>
      <c r="AO541" s="22" t="str">
        <f t="shared" si="200"/>
        <v/>
      </c>
      <c r="AP541" s="22" t="str">
        <f t="shared" si="201"/>
        <v/>
      </c>
    </row>
    <row r="542" spans="1:42" x14ac:dyDescent="0.25">
      <c r="A542" s="10"/>
      <c r="B542" s="10"/>
      <c r="C542" s="10"/>
      <c r="D542" s="10"/>
      <c r="E542" s="10"/>
      <c r="F542" s="10"/>
      <c r="G542" s="10"/>
      <c r="H542" s="17"/>
      <c r="I542" s="10"/>
      <c r="J542" s="10"/>
      <c r="K542" s="16" t="str">
        <f t="shared" si="180"/>
        <v/>
      </c>
      <c r="L542" s="23" t="str">
        <f t="shared" si="181"/>
        <v/>
      </c>
      <c r="M542" s="22" t="str">
        <f t="shared" si="182"/>
        <v/>
      </c>
      <c r="N542" s="72"/>
      <c r="O542" s="16" t="str">
        <f t="shared" si="183"/>
        <v/>
      </c>
      <c r="P542" s="16" t="str">
        <f t="shared" si="184"/>
        <v/>
      </c>
      <c r="Q542" s="16" t="str">
        <f t="shared" si="185"/>
        <v/>
      </c>
      <c r="R542" s="23" t="str">
        <f t="shared" si="186"/>
        <v/>
      </c>
      <c r="S542" s="23" t="str">
        <f t="shared" si="187"/>
        <v/>
      </c>
      <c r="T542" s="23" t="str">
        <f t="shared" si="188"/>
        <v/>
      </c>
      <c r="U542" s="23" t="str">
        <f t="shared" si="189"/>
        <v/>
      </c>
      <c r="V542" s="23" t="str">
        <f t="shared" si="190"/>
        <v/>
      </c>
      <c r="W542" s="70" t="str">
        <f t="shared" si="191"/>
        <v/>
      </c>
      <c r="X542" s="70" t="str">
        <f t="shared" si="192"/>
        <v/>
      </c>
      <c r="Y542" s="70" t="str">
        <f>IF(AND($A542&lt;&gt;"",$E542&gt;0),isLaptopBag($C542,$J542)*$D542,"")</f>
        <v/>
      </c>
      <c r="Z542" s="70" t="str">
        <f t="shared" si="193"/>
        <v/>
      </c>
      <c r="AA542" s="70" t="str">
        <f t="shared" si="194"/>
        <v/>
      </c>
      <c r="AB542" s="70" t="str">
        <f t="shared" si="195"/>
        <v/>
      </c>
      <c r="AC542" s="70" t="str">
        <f t="shared" si="196"/>
        <v/>
      </c>
      <c r="AD542" s="70" t="str">
        <f t="shared" si="197"/>
        <v/>
      </c>
      <c r="AE542" s="70" t="str">
        <f t="shared" si="198"/>
        <v/>
      </c>
      <c r="AF542" s="16"/>
      <c r="AG542" s="23"/>
      <c r="AH542" s="22"/>
      <c r="AJ542" s="83">
        <f t="shared" si="199"/>
        <v>0</v>
      </c>
      <c r="AO542" s="22" t="str">
        <f t="shared" si="200"/>
        <v/>
      </c>
      <c r="AP542" s="22" t="str">
        <f t="shared" si="201"/>
        <v/>
      </c>
    </row>
    <row r="543" spans="1:42" x14ac:dyDescent="0.25">
      <c r="A543" s="10"/>
      <c r="B543" s="10"/>
      <c r="C543" s="10"/>
      <c r="D543" s="10"/>
      <c r="E543" s="10"/>
      <c r="F543" s="10"/>
      <c r="G543" s="10"/>
      <c r="H543" s="17"/>
      <c r="I543" s="10"/>
      <c r="J543" s="10"/>
      <c r="K543" s="16" t="str">
        <f t="shared" si="180"/>
        <v/>
      </c>
      <c r="L543" s="23" t="str">
        <f t="shared" si="181"/>
        <v/>
      </c>
      <c r="M543" s="22" t="str">
        <f t="shared" si="182"/>
        <v/>
      </c>
      <c r="N543" s="72"/>
      <c r="O543" s="16" t="str">
        <f t="shared" si="183"/>
        <v/>
      </c>
      <c r="P543" s="16" t="str">
        <f t="shared" si="184"/>
        <v/>
      </c>
      <c r="Q543" s="16" t="str">
        <f t="shared" si="185"/>
        <v/>
      </c>
      <c r="R543" s="23" t="str">
        <f t="shared" si="186"/>
        <v/>
      </c>
      <c r="S543" s="23" t="str">
        <f t="shared" si="187"/>
        <v/>
      </c>
      <c r="T543" s="23" t="str">
        <f t="shared" si="188"/>
        <v/>
      </c>
      <c r="U543" s="23" t="str">
        <f t="shared" si="189"/>
        <v/>
      </c>
      <c r="V543" s="23" t="str">
        <f t="shared" si="190"/>
        <v/>
      </c>
      <c r="W543" s="70" t="str">
        <f t="shared" si="191"/>
        <v/>
      </c>
      <c r="X543" s="70" t="str">
        <f t="shared" si="192"/>
        <v/>
      </c>
      <c r="Y543" s="70" t="str">
        <f>IF(AND($A543&lt;&gt;"",$E543&gt;0),isLaptopBag($C543,$J543)*$D543,"")</f>
        <v/>
      </c>
      <c r="Z543" s="70" t="str">
        <f t="shared" si="193"/>
        <v/>
      </c>
      <c r="AA543" s="70" t="str">
        <f t="shared" si="194"/>
        <v/>
      </c>
      <c r="AB543" s="70" t="str">
        <f t="shared" si="195"/>
        <v/>
      </c>
      <c r="AC543" s="70" t="str">
        <f t="shared" si="196"/>
        <v/>
      </c>
      <c r="AD543" s="70" t="str">
        <f t="shared" si="197"/>
        <v/>
      </c>
      <c r="AE543" s="70" t="str">
        <f t="shared" si="198"/>
        <v/>
      </c>
      <c r="AF543" s="16"/>
      <c r="AG543" s="23"/>
      <c r="AH543" s="22"/>
      <c r="AJ543" s="83">
        <f t="shared" si="199"/>
        <v>0</v>
      </c>
      <c r="AO543" s="22" t="str">
        <f t="shared" si="200"/>
        <v/>
      </c>
      <c r="AP543" s="22" t="str">
        <f t="shared" si="201"/>
        <v/>
      </c>
    </row>
    <row r="544" spans="1:42" x14ac:dyDescent="0.25">
      <c r="A544" s="10"/>
      <c r="B544" s="10"/>
      <c r="C544" s="10"/>
      <c r="D544" s="10"/>
      <c r="E544" s="10"/>
      <c r="F544" s="10"/>
      <c r="G544" s="10"/>
      <c r="H544" s="17"/>
      <c r="I544" s="10"/>
      <c r="J544" s="10"/>
      <c r="K544" s="16" t="str">
        <f t="shared" si="180"/>
        <v/>
      </c>
      <c r="L544" s="23" t="str">
        <f t="shared" si="181"/>
        <v/>
      </c>
      <c r="M544" s="22" t="str">
        <f t="shared" si="182"/>
        <v/>
      </c>
      <c r="N544" s="72"/>
      <c r="O544" s="16" t="str">
        <f t="shared" si="183"/>
        <v/>
      </c>
      <c r="P544" s="16" t="str">
        <f t="shared" si="184"/>
        <v/>
      </c>
      <c r="Q544" s="16" t="str">
        <f t="shared" si="185"/>
        <v/>
      </c>
      <c r="R544" s="23" t="str">
        <f t="shared" si="186"/>
        <v/>
      </c>
      <c r="S544" s="23" t="str">
        <f t="shared" si="187"/>
        <v/>
      </c>
      <c r="T544" s="23" t="str">
        <f t="shared" si="188"/>
        <v/>
      </c>
      <c r="U544" s="23" t="str">
        <f t="shared" si="189"/>
        <v/>
      </c>
      <c r="V544" s="23" t="str">
        <f t="shared" si="190"/>
        <v/>
      </c>
      <c r="W544" s="70" t="str">
        <f t="shared" si="191"/>
        <v/>
      </c>
      <c r="X544" s="70" t="str">
        <f t="shared" si="192"/>
        <v/>
      </c>
      <c r="Y544" s="70" t="str">
        <f>IF(AND($A544&lt;&gt;"",$E544&gt;0),isLaptopBag($C544,$J544)*$D544,"")</f>
        <v/>
      </c>
      <c r="Z544" s="70" t="str">
        <f t="shared" si="193"/>
        <v/>
      </c>
      <c r="AA544" s="70" t="str">
        <f t="shared" si="194"/>
        <v/>
      </c>
      <c r="AB544" s="70" t="str">
        <f t="shared" si="195"/>
        <v/>
      </c>
      <c r="AC544" s="70" t="str">
        <f t="shared" si="196"/>
        <v/>
      </c>
      <c r="AD544" s="70" t="str">
        <f t="shared" si="197"/>
        <v/>
      </c>
      <c r="AE544" s="70" t="str">
        <f t="shared" si="198"/>
        <v/>
      </c>
      <c r="AF544" s="16"/>
      <c r="AG544" s="23"/>
      <c r="AH544" s="22"/>
      <c r="AJ544" s="83">
        <f t="shared" si="199"/>
        <v>0</v>
      </c>
      <c r="AO544" s="22" t="str">
        <f t="shared" si="200"/>
        <v/>
      </c>
      <c r="AP544" s="22" t="str">
        <f t="shared" si="201"/>
        <v/>
      </c>
    </row>
    <row r="545" spans="1:42" x14ac:dyDescent="0.25">
      <c r="A545" s="10"/>
      <c r="B545" s="10"/>
      <c r="C545" s="10"/>
      <c r="D545" s="10"/>
      <c r="E545" s="10"/>
      <c r="F545" s="10"/>
      <c r="G545" s="10"/>
      <c r="H545" s="17"/>
      <c r="I545" s="10"/>
      <c r="J545" s="10"/>
      <c r="K545" s="16" t="str">
        <f t="shared" si="180"/>
        <v/>
      </c>
      <c r="L545" s="23" t="str">
        <f t="shared" si="181"/>
        <v/>
      </c>
      <c r="M545" s="22" t="str">
        <f t="shared" si="182"/>
        <v/>
      </c>
      <c r="N545" s="72"/>
      <c r="O545" s="16" t="str">
        <f t="shared" si="183"/>
        <v/>
      </c>
      <c r="P545" s="16" t="str">
        <f t="shared" si="184"/>
        <v/>
      </c>
      <c r="Q545" s="16" t="str">
        <f t="shared" si="185"/>
        <v/>
      </c>
      <c r="R545" s="23" t="str">
        <f t="shared" si="186"/>
        <v/>
      </c>
      <c r="S545" s="23" t="str">
        <f t="shared" si="187"/>
        <v/>
      </c>
      <c r="T545" s="23" t="str">
        <f t="shared" si="188"/>
        <v/>
      </c>
      <c r="U545" s="23" t="str">
        <f t="shared" si="189"/>
        <v/>
      </c>
      <c r="V545" s="23" t="str">
        <f t="shared" si="190"/>
        <v/>
      </c>
      <c r="W545" s="70" t="str">
        <f t="shared" si="191"/>
        <v/>
      </c>
      <c r="X545" s="70" t="str">
        <f t="shared" si="192"/>
        <v/>
      </c>
      <c r="Y545" s="70" t="str">
        <f>IF(AND($A545&lt;&gt;"",$E545&gt;0),isLaptopBag($C545,$J545)*$D545,"")</f>
        <v/>
      </c>
      <c r="Z545" s="70" t="str">
        <f t="shared" si="193"/>
        <v/>
      </c>
      <c r="AA545" s="70" t="str">
        <f t="shared" si="194"/>
        <v/>
      </c>
      <c r="AB545" s="70" t="str">
        <f t="shared" si="195"/>
        <v/>
      </c>
      <c r="AC545" s="70" t="str">
        <f t="shared" si="196"/>
        <v/>
      </c>
      <c r="AD545" s="70" t="str">
        <f t="shared" si="197"/>
        <v/>
      </c>
      <c r="AE545" s="70" t="str">
        <f t="shared" si="198"/>
        <v/>
      </c>
      <c r="AF545" s="16"/>
      <c r="AG545" s="23"/>
      <c r="AH545" s="22"/>
      <c r="AJ545" s="83">
        <f t="shared" si="199"/>
        <v>0</v>
      </c>
      <c r="AO545" s="22" t="str">
        <f t="shared" si="200"/>
        <v/>
      </c>
      <c r="AP545" s="22" t="str">
        <f t="shared" si="201"/>
        <v/>
      </c>
    </row>
    <row r="546" spans="1:42" x14ac:dyDescent="0.25">
      <c r="A546" s="10"/>
      <c r="B546" s="10"/>
      <c r="C546" s="10"/>
      <c r="D546" s="10"/>
      <c r="E546" s="10"/>
      <c r="F546" s="10"/>
      <c r="G546" s="10"/>
      <c r="H546" s="17"/>
      <c r="I546" s="10"/>
      <c r="J546" s="10"/>
      <c r="K546" s="16" t="str">
        <f t="shared" si="180"/>
        <v/>
      </c>
      <c r="L546" s="23" t="str">
        <f t="shared" si="181"/>
        <v/>
      </c>
      <c r="M546" s="22" t="str">
        <f t="shared" si="182"/>
        <v/>
      </c>
      <c r="N546" s="72"/>
      <c r="O546" s="16" t="str">
        <f t="shared" si="183"/>
        <v/>
      </c>
      <c r="P546" s="16" t="str">
        <f t="shared" si="184"/>
        <v/>
      </c>
      <c r="Q546" s="16" t="str">
        <f t="shared" si="185"/>
        <v/>
      </c>
      <c r="R546" s="23" t="str">
        <f t="shared" si="186"/>
        <v/>
      </c>
      <c r="S546" s="23" t="str">
        <f t="shared" si="187"/>
        <v/>
      </c>
      <c r="T546" s="23" t="str">
        <f t="shared" si="188"/>
        <v/>
      </c>
      <c r="U546" s="23" t="str">
        <f t="shared" si="189"/>
        <v/>
      </c>
      <c r="V546" s="23" t="str">
        <f t="shared" si="190"/>
        <v/>
      </c>
      <c r="W546" s="70" t="str">
        <f t="shared" si="191"/>
        <v/>
      </c>
      <c r="X546" s="70" t="str">
        <f t="shared" si="192"/>
        <v/>
      </c>
      <c r="Y546" s="70" t="str">
        <f>IF(AND($A546&lt;&gt;"",$E546&gt;0),isLaptopBag($C546,$J546)*$D546,"")</f>
        <v/>
      </c>
      <c r="Z546" s="70" t="str">
        <f t="shared" si="193"/>
        <v/>
      </c>
      <c r="AA546" s="70" t="str">
        <f t="shared" si="194"/>
        <v/>
      </c>
      <c r="AB546" s="70" t="str">
        <f t="shared" si="195"/>
        <v/>
      </c>
      <c r="AC546" s="70" t="str">
        <f t="shared" si="196"/>
        <v/>
      </c>
      <c r="AD546" s="70" t="str">
        <f t="shared" si="197"/>
        <v/>
      </c>
      <c r="AE546" s="70" t="str">
        <f t="shared" si="198"/>
        <v/>
      </c>
      <c r="AF546" s="16"/>
      <c r="AG546" s="23"/>
      <c r="AH546" s="22"/>
      <c r="AJ546" s="83">
        <f t="shared" si="199"/>
        <v>0</v>
      </c>
      <c r="AO546" s="22" t="str">
        <f t="shared" si="200"/>
        <v/>
      </c>
      <c r="AP546" s="22" t="str">
        <f t="shared" si="201"/>
        <v/>
      </c>
    </row>
    <row r="547" spans="1:42" x14ac:dyDescent="0.25">
      <c r="A547" s="10"/>
      <c r="B547" s="10"/>
      <c r="C547" s="10"/>
      <c r="D547" s="10"/>
      <c r="E547" s="10"/>
      <c r="F547" s="10"/>
      <c r="G547" s="10"/>
      <c r="H547" s="17"/>
      <c r="I547" s="10"/>
      <c r="J547" s="10"/>
      <c r="K547" s="16" t="str">
        <f t="shared" si="180"/>
        <v/>
      </c>
      <c r="L547" s="23" t="str">
        <f t="shared" si="181"/>
        <v/>
      </c>
      <c r="M547" s="22" t="str">
        <f t="shared" si="182"/>
        <v/>
      </c>
      <c r="N547" s="72"/>
      <c r="O547" s="16" t="str">
        <f t="shared" si="183"/>
        <v/>
      </c>
      <c r="P547" s="16" t="str">
        <f t="shared" si="184"/>
        <v/>
      </c>
      <c r="Q547" s="16" t="str">
        <f t="shared" si="185"/>
        <v/>
      </c>
      <c r="R547" s="23" t="str">
        <f t="shared" si="186"/>
        <v/>
      </c>
      <c r="S547" s="23" t="str">
        <f t="shared" si="187"/>
        <v/>
      </c>
      <c r="T547" s="23" t="str">
        <f t="shared" si="188"/>
        <v/>
      </c>
      <c r="U547" s="23" t="str">
        <f t="shared" si="189"/>
        <v/>
      </c>
      <c r="V547" s="23" t="str">
        <f t="shared" si="190"/>
        <v/>
      </c>
      <c r="W547" s="70" t="str">
        <f t="shared" si="191"/>
        <v/>
      </c>
      <c r="X547" s="70" t="str">
        <f t="shared" si="192"/>
        <v/>
      </c>
      <c r="Y547" s="70" t="str">
        <f>IF(AND($A547&lt;&gt;"",$E547&gt;0),isLaptopBag($C547,$J547)*$D547,"")</f>
        <v/>
      </c>
      <c r="Z547" s="70" t="str">
        <f t="shared" si="193"/>
        <v/>
      </c>
      <c r="AA547" s="70" t="str">
        <f t="shared" si="194"/>
        <v/>
      </c>
      <c r="AB547" s="70" t="str">
        <f t="shared" si="195"/>
        <v/>
      </c>
      <c r="AC547" s="70" t="str">
        <f t="shared" si="196"/>
        <v/>
      </c>
      <c r="AD547" s="70" t="str">
        <f t="shared" si="197"/>
        <v/>
      </c>
      <c r="AE547" s="70" t="str">
        <f t="shared" si="198"/>
        <v/>
      </c>
      <c r="AF547" s="16"/>
      <c r="AG547" s="23"/>
      <c r="AH547" s="22"/>
      <c r="AJ547" s="83">
        <f t="shared" si="199"/>
        <v>0</v>
      </c>
      <c r="AO547" s="22" t="str">
        <f t="shared" si="200"/>
        <v/>
      </c>
      <c r="AP547" s="22" t="str">
        <f t="shared" si="201"/>
        <v/>
      </c>
    </row>
    <row r="548" spans="1:42" x14ac:dyDescent="0.25">
      <c r="A548" s="10"/>
      <c r="B548" s="10"/>
      <c r="C548" s="10"/>
      <c r="D548" s="10"/>
      <c r="E548" s="10"/>
      <c r="F548" s="10"/>
      <c r="G548" s="10"/>
      <c r="H548" s="17"/>
      <c r="I548" s="10"/>
      <c r="J548" s="10"/>
      <c r="K548" s="16" t="str">
        <f t="shared" si="180"/>
        <v/>
      </c>
      <c r="L548" s="23" t="str">
        <f t="shared" si="181"/>
        <v/>
      </c>
      <c r="M548" s="22" t="str">
        <f t="shared" si="182"/>
        <v/>
      </c>
      <c r="N548" s="72"/>
      <c r="O548" s="16" t="str">
        <f t="shared" si="183"/>
        <v/>
      </c>
      <c r="P548" s="16" t="str">
        <f t="shared" si="184"/>
        <v/>
      </c>
      <c r="Q548" s="16" t="str">
        <f t="shared" si="185"/>
        <v/>
      </c>
      <c r="R548" s="23" t="str">
        <f t="shared" si="186"/>
        <v/>
      </c>
      <c r="S548" s="23" t="str">
        <f t="shared" si="187"/>
        <v/>
      </c>
      <c r="T548" s="23" t="str">
        <f t="shared" si="188"/>
        <v/>
      </c>
      <c r="U548" s="23" t="str">
        <f t="shared" si="189"/>
        <v/>
      </c>
      <c r="V548" s="23" t="str">
        <f t="shared" si="190"/>
        <v/>
      </c>
      <c r="W548" s="70" t="str">
        <f t="shared" si="191"/>
        <v/>
      </c>
      <c r="X548" s="70" t="str">
        <f t="shared" si="192"/>
        <v/>
      </c>
      <c r="Y548" s="70" t="str">
        <f>IF(AND($A548&lt;&gt;"",$E548&gt;0),isLaptopBag($C548,$J548)*$D548,"")</f>
        <v/>
      </c>
      <c r="Z548" s="70" t="str">
        <f t="shared" si="193"/>
        <v/>
      </c>
      <c r="AA548" s="70" t="str">
        <f t="shared" si="194"/>
        <v/>
      </c>
      <c r="AB548" s="70" t="str">
        <f t="shared" si="195"/>
        <v/>
      </c>
      <c r="AC548" s="70" t="str">
        <f t="shared" si="196"/>
        <v/>
      </c>
      <c r="AD548" s="70" t="str">
        <f t="shared" si="197"/>
        <v/>
      </c>
      <c r="AE548" s="70" t="str">
        <f t="shared" si="198"/>
        <v/>
      </c>
      <c r="AF548" s="16"/>
      <c r="AG548" s="23"/>
      <c r="AH548" s="22"/>
      <c r="AJ548" s="83">
        <f t="shared" si="199"/>
        <v>0</v>
      </c>
      <c r="AO548" s="22" t="str">
        <f t="shared" si="200"/>
        <v/>
      </c>
      <c r="AP548" s="22" t="str">
        <f t="shared" si="201"/>
        <v/>
      </c>
    </row>
    <row r="549" spans="1:42" x14ac:dyDescent="0.25">
      <c r="A549" s="10"/>
      <c r="B549" s="10"/>
      <c r="C549" s="10"/>
      <c r="D549" s="10"/>
      <c r="E549" s="10"/>
      <c r="F549" s="10"/>
      <c r="G549" s="10"/>
      <c r="H549" s="17"/>
      <c r="I549" s="10"/>
      <c r="J549" s="10"/>
      <c r="K549" s="16" t="str">
        <f t="shared" si="180"/>
        <v/>
      </c>
      <c r="L549" s="23" t="str">
        <f t="shared" si="181"/>
        <v/>
      </c>
      <c r="M549" s="22" t="str">
        <f t="shared" si="182"/>
        <v/>
      </c>
      <c r="N549" s="72"/>
      <c r="O549" s="16" t="str">
        <f t="shared" si="183"/>
        <v/>
      </c>
      <c r="P549" s="16" t="str">
        <f t="shared" si="184"/>
        <v/>
      </c>
      <c r="Q549" s="16" t="str">
        <f t="shared" si="185"/>
        <v/>
      </c>
      <c r="R549" s="23" t="str">
        <f t="shared" si="186"/>
        <v/>
      </c>
      <c r="S549" s="23" t="str">
        <f t="shared" si="187"/>
        <v/>
      </c>
      <c r="T549" s="23" t="str">
        <f t="shared" si="188"/>
        <v/>
      </c>
      <c r="U549" s="23" t="str">
        <f t="shared" si="189"/>
        <v/>
      </c>
      <c r="V549" s="23" t="str">
        <f t="shared" si="190"/>
        <v/>
      </c>
      <c r="W549" s="70" t="str">
        <f t="shared" si="191"/>
        <v/>
      </c>
      <c r="X549" s="70" t="str">
        <f t="shared" si="192"/>
        <v/>
      </c>
      <c r="Y549" s="70" t="str">
        <f>IF(AND($A549&lt;&gt;"",$E549&gt;0),isLaptopBag($C549,$J549)*$D549,"")</f>
        <v/>
      </c>
      <c r="Z549" s="70" t="str">
        <f t="shared" si="193"/>
        <v/>
      </c>
      <c r="AA549" s="70" t="str">
        <f t="shared" si="194"/>
        <v/>
      </c>
      <c r="AB549" s="70" t="str">
        <f t="shared" si="195"/>
        <v/>
      </c>
      <c r="AC549" s="70" t="str">
        <f t="shared" si="196"/>
        <v/>
      </c>
      <c r="AD549" s="70" t="str">
        <f t="shared" si="197"/>
        <v/>
      </c>
      <c r="AE549" s="70" t="str">
        <f t="shared" si="198"/>
        <v/>
      </c>
      <c r="AF549" s="16"/>
      <c r="AG549" s="23"/>
      <c r="AH549" s="22"/>
      <c r="AJ549" s="83">
        <f t="shared" si="199"/>
        <v>0</v>
      </c>
      <c r="AO549" s="22" t="str">
        <f t="shared" si="200"/>
        <v/>
      </c>
      <c r="AP549" s="22" t="str">
        <f t="shared" si="201"/>
        <v/>
      </c>
    </row>
    <row r="550" spans="1:42" x14ac:dyDescent="0.25">
      <c r="A550" s="10"/>
      <c r="B550" s="10"/>
      <c r="C550" s="10"/>
      <c r="D550" s="10"/>
      <c r="E550" s="10"/>
      <c r="F550" s="10"/>
      <c r="G550" s="10"/>
      <c r="H550" s="17"/>
      <c r="I550" s="10"/>
      <c r="J550" s="10"/>
      <c r="K550" s="16" t="str">
        <f t="shared" si="180"/>
        <v/>
      </c>
      <c r="L550" s="23" t="str">
        <f t="shared" si="181"/>
        <v/>
      </c>
      <c r="M550" s="22" t="str">
        <f t="shared" si="182"/>
        <v/>
      </c>
      <c r="N550" s="72"/>
      <c r="O550" s="16" t="str">
        <f t="shared" si="183"/>
        <v/>
      </c>
      <c r="P550" s="16" t="str">
        <f t="shared" si="184"/>
        <v/>
      </c>
      <c r="Q550" s="16" t="str">
        <f t="shared" si="185"/>
        <v/>
      </c>
      <c r="R550" s="23" t="str">
        <f t="shared" si="186"/>
        <v/>
      </c>
      <c r="S550" s="23" t="str">
        <f t="shared" si="187"/>
        <v/>
      </c>
      <c r="T550" s="23" t="str">
        <f t="shared" si="188"/>
        <v/>
      </c>
      <c r="U550" s="23" t="str">
        <f t="shared" si="189"/>
        <v/>
      </c>
      <c r="V550" s="23" t="str">
        <f t="shared" si="190"/>
        <v/>
      </c>
      <c r="W550" s="70" t="str">
        <f t="shared" si="191"/>
        <v/>
      </c>
      <c r="X550" s="70" t="str">
        <f t="shared" si="192"/>
        <v/>
      </c>
      <c r="Y550" s="70" t="str">
        <f>IF(AND($A550&lt;&gt;"",$E550&gt;0),isLaptopBag($C550,$J550)*$D550,"")</f>
        <v/>
      </c>
      <c r="Z550" s="70" t="str">
        <f t="shared" si="193"/>
        <v/>
      </c>
      <c r="AA550" s="70" t="str">
        <f t="shared" si="194"/>
        <v/>
      </c>
      <c r="AB550" s="70" t="str">
        <f t="shared" si="195"/>
        <v/>
      </c>
      <c r="AC550" s="70" t="str">
        <f t="shared" si="196"/>
        <v/>
      </c>
      <c r="AD550" s="70" t="str">
        <f t="shared" si="197"/>
        <v/>
      </c>
      <c r="AE550" s="70" t="str">
        <f t="shared" si="198"/>
        <v/>
      </c>
      <c r="AF550" s="16"/>
      <c r="AG550" s="23"/>
      <c r="AH550" s="22"/>
      <c r="AJ550" s="83">
        <f t="shared" si="199"/>
        <v>0</v>
      </c>
      <c r="AO550" s="22" t="str">
        <f t="shared" si="200"/>
        <v/>
      </c>
      <c r="AP550" s="22" t="str">
        <f t="shared" si="201"/>
        <v/>
      </c>
    </row>
    <row r="551" spans="1:42" x14ac:dyDescent="0.25">
      <c r="A551" s="10"/>
      <c r="B551" s="10"/>
      <c r="C551" s="10"/>
      <c r="D551" s="10"/>
      <c r="E551" s="10"/>
      <c r="F551" s="10"/>
      <c r="G551" s="10"/>
      <c r="H551" s="17"/>
      <c r="I551" s="10"/>
      <c r="J551" s="10"/>
      <c r="K551" s="16" t="str">
        <f t="shared" si="180"/>
        <v/>
      </c>
      <c r="L551" s="23" t="str">
        <f t="shared" si="181"/>
        <v/>
      </c>
      <c r="M551" s="22" t="str">
        <f t="shared" si="182"/>
        <v/>
      </c>
      <c r="N551" s="72"/>
      <c r="O551" s="16" t="str">
        <f t="shared" si="183"/>
        <v/>
      </c>
      <c r="P551" s="16" t="str">
        <f t="shared" si="184"/>
        <v/>
      </c>
      <c r="Q551" s="16" t="str">
        <f t="shared" si="185"/>
        <v/>
      </c>
      <c r="R551" s="23" t="str">
        <f t="shared" si="186"/>
        <v/>
      </c>
      <c r="S551" s="23" t="str">
        <f t="shared" si="187"/>
        <v/>
      </c>
      <c r="T551" s="23" t="str">
        <f t="shared" si="188"/>
        <v/>
      </c>
      <c r="U551" s="23" t="str">
        <f t="shared" si="189"/>
        <v/>
      </c>
      <c r="V551" s="23" t="str">
        <f t="shared" si="190"/>
        <v/>
      </c>
      <c r="W551" s="70" t="str">
        <f t="shared" si="191"/>
        <v/>
      </c>
      <c r="X551" s="70" t="str">
        <f t="shared" si="192"/>
        <v/>
      </c>
      <c r="Y551" s="70" t="str">
        <f>IF(AND($A551&lt;&gt;"",$E551&gt;0),isLaptopBag($C551,$J551)*$D551,"")</f>
        <v/>
      </c>
      <c r="Z551" s="70" t="str">
        <f t="shared" si="193"/>
        <v/>
      </c>
      <c r="AA551" s="70" t="str">
        <f t="shared" si="194"/>
        <v/>
      </c>
      <c r="AB551" s="70" t="str">
        <f t="shared" si="195"/>
        <v/>
      </c>
      <c r="AC551" s="70" t="str">
        <f t="shared" si="196"/>
        <v/>
      </c>
      <c r="AD551" s="70" t="str">
        <f t="shared" si="197"/>
        <v/>
      </c>
      <c r="AE551" s="70" t="str">
        <f t="shared" si="198"/>
        <v/>
      </c>
      <c r="AF551" s="16"/>
      <c r="AG551" s="23"/>
      <c r="AH551" s="22"/>
      <c r="AJ551" s="83">
        <f t="shared" si="199"/>
        <v>0</v>
      </c>
      <c r="AO551" s="22" t="str">
        <f t="shared" si="200"/>
        <v/>
      </c>
      <c r="AP551" s="22" t="str">
        <f t="shared" si="201"/>
        <v/>
      </c>
    </row>
    <row r="552" spans="1:42" x14ac:dyDescent="0.25">
      <c r="A552" s="10"/>
      <c r="B552" s="10"/>
      <c r="C552" s="10"/>
      <c r="D552" s="10"/>
      <c r="E552" s="10"/>
      <c r="F552" s="10"/>
      <c r="G552" s="10"/>
      <c r="H552" s="17"/>
      <c r="I552" s="10"/>
      <c r="J552" s="10"/>
      <c r="K552" s="16" t="str">
        <f t="shared" si="180"/>
        <v/>
      </c>
      <c r="L552" s="23" t="str">
        <f t="shared" si="181"/>
        <v/>
      </c>
      <c r="M552" s="22" t="str">
        <f t="shared" si="182"/>
        <v/>
      </c>
      <c r="N552" s="72"/>
      <c r="O552" s="16" t="str">
        <f t="shared" si="183"/>
        <v/>
      </c>
      <c r="P552" s="16" t="str">
        <f t="shared" si="184"/>
        <v/>
      </c>
      <c r="Q552" s="16" t="str">
        <f t="shared" si="185"/>
        <v/>
      </c>
      <c r="R552" s="23" t="str">
        <f t="shared" si="186"/>
        <v/>
      </c>
      <c r="S552" s="23" t="str">
        <f t="shared" si="187"/>
        <v/>
      </c>
      <c r="T552" s="23" t="str">
        <f t="shared" si="188"/>
        <v/>
      </c>
      <c r="U552" s="23" t="str">
        <f t="shared" si="189"/>
        <v/>
      </c>
      <c r="V552" s="23" t="str">
        <f t="shared" si="190"/>
        <v/>
      </c>
      <c r="W552" s="70" t="str">
        <f t="shared" si="191"/>
        <v/>
      </c>
      <c r="X552" s="70" t="str">
        <f t="shared" si="192"/>
        <v/>
      </c>
      <c r="Y552" s="70" t="str">
        <f>IF(AND($A552&lt;&gt;"",$E552&gt;0),isLaptopBag($C552,$J552)*$D552,"")</f>
        <v/>
      </c>
      <c r="Z552" s="70" t="str">
        <f t="shared" si="193"/>
        <v/>
      </c>
      <c r="AA552" s="70" t="str">
        <f t="shared" si="194"/>
        <v/>
      </c>
      <c r="AB552" s="70" t="str">
        <f t="shared" si="195"/>
        <v/>
      </c>
      <c r="AC552" s="70" t="str">
        <f t="shared" si="196"/>
        <v/>
      </c>
      <c r="AD552" s="70" t="str">
        <f t="shared" si="197"/>
        <v/>
      </c>
      <c r="AE552" s="70" t="str">
        <f t="shared" si="198"/>
        <v/>
      </c>
      <c r="AF552" s="16"/>
      <c r="AG552" s="23"/>
      <c r="AH552" s="22"/>
      <c r="AJ552" s="83">
        <f t="shared" si="199"/>
        <v>0</v>
      </c>
      <c r="AO552" s="22" t="str">
        <f t="shared" si="200"/>
        <v/>
      </c>
      <c r="AP552" s="22" t="str">
        <f t="shared" si="201"/>
        <v/>
      </c>
    </row>
    <row r="553" spans="1:42" x14ac:dyDescent="0.25">
      <c r="A553" s="10"/>
      <c r="B553" s="10"/>
      <c r="C553" s="10"/>
      <c r="D553" s="10"/>
      <c r="E553" s="10"/>
      <c r="F553" s="10"/>
      <c r="G553" s="10"/>
      <c r="H553" s="17"/>
      <c r="I553" s="10"/>
      <c r="J553" s="10"/>
      <c r="K553" s="16" t="str">
        <f t="shared" si="180"/>
        <v/>
      </c>
      <c r="L553" s="23" t="str">
        <f t="shared" si="181"/>
        <v/>
      </c>
      <c r="M553" s="22" t="str">
        <f t="shared" si="182"/>
        <v/>
      </c>
      <c r="N553" s="72"/>
      <c r="O553" s="16" t="str">
        <f t="shared" si="183"/>
        <v/>
      </c>
      <c r="P553" s="16" t="str">
        <f t="shared" si="184"/>
        <v/>
      </c>
      <c r="Q553" s="16" t="str">
        <f t="shared" si="185"/>
        <v/>
      </c>
      <c r="R553" s="23" t="str">
        <f t="shared" si="186"/>
        <v/>
      </c>
      <c r="S553" s="23" t="str">
        <f t="shared" si="187"/>
        <v/>
      </c>
      <c r="T553" s="23" t="str">
        <f t="shared" si="188"/>
        <v/>
      </c>
      <c r="U553" s="23" t="str">
        <f t="shared" si="189"/>
        <v/>
      </c>
      <c r="V553" s="23" t="str">
        <f t="shared" si="190"/>
        <v/>
      </c>
      <c r="W553" s="70" t="str">
        <f t="shared" si="191"/>
        <v/>
      </c>
      <c r="X553" s="70" t="str">
        <f t="shared" si="192"/>
        <v/>
      </c>
      <c r="Y553" s="70" t="str">
        <f>IF(AND($A553&lt;&gt;"",$E553&gt;0),isLaptopBag($C553,$J553)*$D553,"")</f>
        <v/>
      </c>
      <c r="Z553" s="70" t="str">
        <f t="shared" si="193"/>
        <v/>
      </c>
      <c r="AA553" s="70" t="str">
        <f t="shared" si="194"/>
        <v/>
      </c>
      <c r="AB553" s="70" t="str">
        <f t="shared" si="195"/>
        <v/>
      </c>
      <c r="AC553" s="70" t="str">
        <f t="shared" si="196"/>
        <v/>
      </c>
      <c r="AD553" s="70" t="str">
        <f t="shared" si="197"/>
        <v/>
      </c>
      <c r="AE553" s="70" t="str">
        <f t="shared" si="198"/>
        <v/>
      </c>
      <c r="AF553" s="16"/>
      <c r="AG553" s="23"/>
      <c r="AH553" s="22"/>
      <c r="AJ553" s="83">
        <f t="shared" si="199"/>
        <v>0</v>
      </c>
      <c r="AO553" s="22" t="str">
        <f t="shared" si="200"/>
        <v/>
      </c>
      <c r="AP553" s="22" t="str">
        <f t="shared" si="201"/>
        <v/>
      </c>
    </row>
    <row r="554" spans="1:42" x14ac:dyDescent="0.25">
      <c r="A554" s="10"/>
      <c r="B554" s="10"/>
      <c r="C554" s="10"/>
      <c r="D554" s="10"/>
      <c r="E554" s="10"/>
      <c r="F554" s="10"/>
      <c r="G554" s="10"/>
      <c r="H554" s="17"/>
      <c r="I554" s="10"/>
      <c r="J554" s="10"/>
      <c r="K554" s="16" t="str">
        <f t="shared" si="180"/>
        <v/>
      </c>
      <c r="L554" s="23" t="str">
        <f t="shared" si="181"/>
        <v/>
      </c>
      <c r="M554" s="22" t="str">
        <f t="shared" si="182"/>
        <v/>
      </c>
      <c r="N554" s="72"/>
      <c r="O554" s="16" t="str">
        <f t="shared" si="183"/>
        <v/>
      </c>
      <c r="P554" s="16" t="str">
        <f t="shared" si="184"/>
        <v/>
      </c>
      <c r="Q554" s="16" t="str">
        <f t="shared" si="185"/>
        <v/>
      </c>
      <c r="R554" s="23" t="str">
        <f t="shared" si="186"/>
        <v/>
      </c>
      <c r="S554" s="23" t="str">
        <f t="shared" si="187"/>
        <v/>
      </c>
      <c r="T554" s="23" t="str">
        <f t="shared" si="188"/>
        <v/>
      </c>
      <c r="U554" s="23" t="str">
        <f t="shared" si="189"/>
        <v/>
      </c>
      <c r="V554" s="23" t="str">
        <f t="shared" si="190"/>
        <v/>
      </c>
      <c r="W554" s="70" t="str">
        <f t="shared" si="191"/>
        <v/>
      </c>
      <c r="X554" s="70" t="str">
        <f t="shared" si="192"/>
        <v/>
      </c>
      <c r="Y554" s="70" t="str">
        <f>IF(AND($A554&lt;&gt;"",$E554&gt;0),isLaptopBag($C554,$J554)*$D554,"")</f>
        <v/>
      </c>
      <c r="Z554" s="70" t="str">
        <f t="shared" si="193"/>
        <v/>
      </c>
      <c r="AA554" s="70" t="str">
        <f t="shared" si="194"/>
        <v/>
      </c>
      <c r="AB554" s="70" t="str">
        <f t="shared" si="195"/>
        <v/>
      </c>
      <c r="AC554" s="70" t="str">
        <f t="shared" si="196"/>
        <v/>
      </c>
      <c r="AD554" s="70" t="str">
        <f t="shared" si="197"/>
        <v/>
      </c>
      <c r="AE554" s="70" t="str">
        <f t="shared" si="198"/>
        <v/>
      </c>
      <c r="AF554" s="16"/>
      <c r="AG554" s="23"/>
      <c r="AH554" s="22"/>
      <c r="AJ554" s="83">
        <f t="shared" si="199"/>
        <v>0</v>
      </c>
      <c r="AO554" s="22" t="str">
        <f t="shared" si="200"/>
        <v/>
      </c>
      <c r="AP554" s="22" t="str">
        <f t="shared" si="201"/>
        <v/>
      </c>
    </row>
    <row r="555" spans="1:42" x14ac:dyDescent="0.25">
      <c r="A555" s="10"/>
      <c r="B555" s="10"/>
      <c r="C555" s="10"/>
      <c r="D555" s="10"/>
      <c r="E555" s="10"/>
      <c r="F555" s="10"/>
      <c r="G555" s="10"/>
      <c r="H555" s="17"/>
      <c r="I555" s="10"/>
      <c r="J555" s="10"/>
      <c r="K555" s="16" t="str">
        <f t="shared" si="180"/>
        <v/>
      </c>
      <c r="L555" s="23" t="str">
        <f t="shared" si="181"/>
        <v/>
      </c>
      <c r="M555" s="22" t="str">
        <f t="shared" si="182"/>
        <v/>
      </c>
      <c r="N555" s="72"/>
      <c r="O555" s="16" t="str">
        <f t="shared" si="183"/>
        <v/>
      </c>
      <c r="P555" s="16" t="str">
        <f t="shared" si="184"/>
        <v/>
      </c>
      <c r="Q555" s="16" t="str">
        <f t="shared" si="185"/>
        <v/>
      </c>
      <c r="R555" s="23" t="str">
        <f t="shared" si="186"/>
        <v/>
      </c>
      <c r="S555" s="23" t="str">
        <f t="shared" si="187"/>
        <v/>
      </c>
      <c r="T555" s="23" t="str">
        <f t="shared" si="188"/>
        <v/>
      </c>
      <c r="U555" s="23" t="str">
        <f t="shared" si="189"/>
        <v/>
      </c>
      <c r="V555" s="23" t="str">
        <f t="shared" si="190"/>
        <v/>
      </c>
      <c r="W555" s="70" t="str">
        <f t="shared" si="191"/>
        <v/>
      </c>
      <c r="X555" s="70" t="str">
        <f t="shared" si="192"/>
        <v/>
      </c>
      <c r="Y555" s="70" t="str">
        <f>IF(AND($A555&lt;&gt;"",$E555&gt;0),isLaptopBag($C555,$J555)*$D555,"")</f>
        <v/>
      </c>
      <c r="Z555" s="70" t="str">
        <f t="shared" si="193"/>
        <v/>
      </c>
      <c r="AA555" s="70" t="str">
        <f t="shared" si="194"/>
        <v/>
      </c>
      <c r="AB555" s="70" t="str">
        <f t="shared" si="195"/>
        <v/>
      </c>
      <c r="AC555" s="70" t="str">
        <f t="shared" si="196"/>
        <v/>
      </c>
      <c r="AD555" s="70" t="str">
        <f t="shared" si="197"/>
        <v/>
      </c>
      <c r="AE555" s="70" t="str">
        <f t="shared" si="198"/>
        <v/>
      </c>
      <c r="AF555" s="16"/>
      <c r="AG555" s="23"/>
      <c r="AH555" s="22"/>
      <c r="AJ555" s="83">
        <f t="shared" si="199"/>
        <v>0</v>
      </c>
      <c r="AO555" s="22" t="str">
        <f t="shared" si="200"/>
        <v/>
      </c>
      <c r="AP555" s="22" t="str">
        <f t="shared" si="201"/>
        <v/>
      </c>
    </row>
    <row r="556" spans="1:42" x14ac:dyDescent="0.25">
      <c r="A556" s="10"/>
      <c r="B556" s="10"/>
      <c r="C556" s="10"/>
      <c r="D556" s="10"/>
      <c r="E556" s="10"/>
      <c r="F556" s="10"/>
      <c r="G556" s="10"/>
      <c r="H556" s="17"/>
      <c r="I556" s="10"/>
      <c r="J556" s="10"/>
      <c r="K556" s="16" t="str">
        <f t="shared" si="180"/>
        <v/>
      </c>
      <c r="L556" s="23" t="str">
        <f t="shared" si="181"/>
        <v/>
      </c>
      <c r="M556" s="22" t="str">
        <f t="shared" si="182"/>
        <v/>
      </c>
      <c r="N556" s="72"/>
      <c r="O556" s="16" t="str">
        <f t="shared" si="183"/>
        <v/>
      </c>
      <c r="P556" s="16" t="str">
        <f t="shared" si="184"/>
        <v/>
      </c>
      <c r="Q556" s="16" t="str">
        <f t="shared" si="185"/>
        <v/>
      </c>
      <c r="R556" s="23" t="str">
        <f t="shared" si="186"/>
        <v/>
      </c>
      <c r="S556" s="23" t="str">
        <f t="shared" si="187"/>
        <v/>
      </c>
      <c r="T556" s="23" t="str">
        <f t="shared" si="188"/>
        <v/>
      </c>
      <c r="U556" s="23" t="str">
        <f t="shared" si="189"/>
        <v/>
      </c>
      <c r="V556" s="23" t="str">
        <f t="shared" si="190"/>
        <v/>
      </c>
      <c r="W556" s="70" t="str">
        <f t="shared" si="191"/>
        <v/>
      </c>
      <c r="X556" s="70" t="str">
        <f t="shared" si="192"/>
        <v/>
      </c>
      <c r="Y556" s="70" t="str">
        <f>IF(AND($A556&lt;&gt;"",$E556&gt;0),isLaptopBag($C556,$J556)*$D556,"")</f>
        <v/>
      </c>
      <c r="Z556" s="70" t="str">
        <f t="shared" si="193"/>
        <v/>
      </c>
      <c r="AA556" s="70" t="str">
        <f t="shared" si="194"/>
        <v/>
      </c>
      <c r="AB556" s="70" t="str">
        <f t="shared" si="195"/>
        <v/>
      </c>
      <c r="AC556" s="70" t="str">
        <f t="shared" si="196"/>
        <v/>
      </c>
      <c r="AD556" s="70" t="str">
        <f t="shared" si="197"/>
        <v/>
      </c>
      <c r="AE556" s="70" t="str">
        <f t="shared" si="198"/>
        <v/>
      </c>
      <c r="AF556" s="16"/>
      <c r="AG556" s="23"/>
      <c r="AH556" s="22"/>
      <c r="AJ556" s="83">
        <f t="shared" si="199"/>
        <v>0</v>
      </c>
      <c r="AO556" s="22" t="str">
        <f t="shared" si="200"/>
        <v/>
      </c>
      <c r="AP556" s="22" t="str">
        <f t="shared" si="201"/>
        <v/>
      </c>
    </row>
    <row r="557" spans="1:42" x14ac:dyDescent="0.25">
      <c r="A557" s="10"/>
      <c r="B557" s="10"/>
      <c r="C557" s="10"/>
      <c r="D557" s="10"/>
      <c r="E557" s="10"/>
      <c r="F557" s="10"/>
      <c r="G557" s="10"/>
      <c r="H557" s="17"/>
      <c r="I557" s="10"/>
      <c r="J557" s="10"/>
      <c r="K557" s="16" t="str">
        <f t="shared" si="180"/>
        <v/>
      </c>
      <c r="L557" s="23" t="str">
        <f t="shared" si="181"/>
        <v/>
      </c>
      <c r="M557" s="22" t="str">
        <f t="shared" si="182"/>
        <v/>
      </c>
      <c r="N557" s="72"/>
      <c r="O557" s="16" t="str">
        <f t="shared" si="183"/>
        <v/>
      </c>
      <c r="P557" s="16" t="str">
        <f t="shared" si="184"/>
        <v/>
      </c>
      <c r="Q557" s="16" t="str">
        <f t="shared" si="185"/>
        <v/>
      </c>
      <c r="R557" s="23" t="str">
        <f t="shared" si="186"/>
        <v/>
      </c>
      <c r="S557" s="23" t="str">
        <f t="shared" si="187"/>
        <v/>
      </c>
      <c r="T557" s="23" t="str">
        <f t="shared" si="188"/>
        <v/>
      </c>
      <c r="U557" s="23" t="str">
        <f t="shared" si="189"/>
        <v/>
      </c>
      <c r="V557" s="23" t="str">
        <f t="shared" si="190"/>
        <v/>
      </c>
      <c r="W557" s="70" t="str">
        <f t="shared" si="191"/>
        <v/>
      </c>
      <c r="X557" s="70" t="str">
        <f t="shared" si="192"/>
        <v/>
      </c>
      <c r="Y557" s="70" t="str">
        <f>IF(AND($A557&lt;&gt;"",$E557&gt;0),isLaptopBag($C557,$J557)*$D557,"")</f>
        <v/>
      </c>
      <c r="Z557" s="70" t="str">
        <f t="shared" si="193"/>
        <v/>
      </c>
      <c r="AA557" s="70" t="str">
        <f t="shared" si="194"/>
        <v/>
      </c>
      <c r="AB557" s="70" t="str">
        <f t="shared" si="195"/>
        <v/>
      </c>
      <c r="AC557" s="70" t="str">
        <f t="shared" si="196"/>
        <v/>
      </c>
      <c r="AD557" s="70" t="str">
        <f t="shared" si="197"/>
        <v/>
      </c>
      <c r="AE557" s="70" t="str">
        <f t="shared" si="198"/>
        <v/>
      </c>
      <c r="AF557" s="16"/>
      <c r="AG557" s="23"/>
      <c r="AH557" s="22"/>
      <c r="AJ557" s="83">
        <f t="shared" si="199"/>
        <v>0</v>
      </c>
      <c r="AO557" s="22" t="str">
        <f t="shared" si="200"/>
        <v/>
      </c>
      <c r="AP557" s="22" t="str">
        <f t="shared" si="201"/>
        <v/>
      </c>
    </row>
    <row r="558" spans="1:42" x14ac:dyDescent="0.25">
      <c r="A558" s="10"/>
      <c r="B558" s="10"/>
      <c r="C558" s="10"/>
      <c r="D558" s="10"/>
      <c r="E558" s="10"/>
      <c r="F558" s="10"/>
      <c r="G558" s="10"/>
      <c r="H558" s="17"/>
      <c r="I558" s="10"/>
      <c r="J558" s="10"/>
      <c r="K558" s="16" t="str">
        <f t="shared" si="180"/>
        <v/>
      </c>
      <c r="L558" s="23" t="str">
        <f t="shared" si="181"/>
        <v/>
      </c>
      <c r="M558" s="22" t="str">
        <f t="shared" si="182"/>
        <v/>
      </c>
      <c r="N558" s="72"/>
      <c r="O558" s="16" t="str">
        <f t="shared" si="183"/>
        <v/>
      </c>
      <c r="P558" s="16" t="str">
        <f t="shared" si="184"/>
        <v/>
      </c>
      <c r="Q558" s="16" t="str">
        <f t="shared" si="185"/>
        <v/>
      </c>
      <c r="R558" s="23" t="str">
        <f t="shared" si="186"/>
        <v/>
      </c>
      <c r="S558" s="23" t="str">
        <f t="shared" si="187"/>
        <v/>
      </c>
      <c r="T558" s="23" t="str">
        <f t="shared" si="188"/>
        <v/>
      </c>
      <c r="U558" s="23" t="str">
        <f t="shared" si="189"/>
        <v/>
      </c>
      <c r="V558" s="23" t="str">
        <f t="shared" si="190"/>
        <v/>
      </c>
      <c r="W558" s="70" t="str">
        <f t="shared" si="191"/>
        <v/>
      </c>
      <c r="X558" s="70" t="str">
        <f t="shared" si="192"/>
        <v/>
      </c>
      <c r="Y558" s="70" t="str">
        <f>IF(AND($A558&lt;&gt;"",$E558&gt;0),isLaptopBag($C558,$J558)*$D558,"")</f>
        <v/>
      </c>
      <c r="Z558" s="70" t="str">
        <f t="shared" si="193"/>
        <v/>
      </c>
      <c r="AA558" s="70" t="str">
        <f t="shared" si="194"/>
        <v/>
      </c>
      <c r="AB558" s="70" t="str">
        <f t="shared" si="195"/>
        <v/>
      </c>
      <c r="AC558" s="70" t="str">
        <f t="shared" si="196"/>
        <v/>
      </c>
      <c r="AD558" s="70" t="str">
        <f t="shared" si="197"/>
        <v/>
      </c>
      <c r="AE558" s="70" t="str">
        <f t="shared" si="198"/>
        <v/>
      </c>
      <c r="AF558" s="16"/>
      <c r="AG558" s="23"/>
      <c r="AH558" s="22"/>
      <c r="AJ558" s="83">
        <f t="shared" si="199"/>
        <v>0</v>
      </c>
      <c r="AO558" s="22" t="str">
        <f t="shared" si="200"/>
        <v/>
      </c>
      <c r="AP558" s="22" t="str">
        <f t="shared" si="201"/>
        <v/>
      </c>
    </row>
    <row r="559" spans="1:42" x14ac:dyDescent="0.25">
      <c r="A559" s="10"/>
      <c r="B559" s="10"/>
      <c r="C559" s="10"/>
      <c r="D559" s="10"/>
      <c r="E559" s="10"/>
      <c r="F559" s="10"/>
      <c r="G559" s="10"/>
      <c r="H559" s="17"/>
      <c r="I559" s="10"/>
      <c r="J559" s="10"/>
      <c r="K559" s="16" t="str">
        <f t="shared" si="180"/>
        <v/>
      </c>
      <c r="L559" s="23" t="str">
        <f t="shared" si="181"/>
        <v/>
      </c>
      <c r="M559" s="22" t="str">
        <f t="shared" si="182"/>
        <v/>
      </c>
      <c r="N559" s="72"/>
      <c r="O559" s="16" t="str">
        <f t="shared" si="183"/>
        <v/>
      </c>
      <c r="P559" s="16" t="str">
        <f t="shared" si="184"/>
        <v/>
      </c>
      <c r="Q559" s="16" t="str">
        <f t="shared" si="185"/>
        <v/>
      </c>
      <c r="R559" s="23" t="str">
        <f t="shared" si="186"/>
        <v/>
      </c>
      <c r="S559" s="23" t="str">
        <f t="shared" si="187"/>
        <v/>
      </c>
      <c r="T559" s="23" t="str">
        <f t="shared" si="188"/>
        <v/>
      </c>
      <c r="U559" s="23" t="str">
        <f t="shared" si="189"/>
        <v/>
      </c>
      <c r="V559" s="23" t="str">
        <f t="shared" si="190"/>
        <v/>
      </c>
      <c r="W559" s="70" t="str">
        <f t="shared" si="191"/>
        <v/>
      </c>
      <c r="X559" s="70" t="str">
        <f t="shared" si="192"/>
        <v/>
      </c>
      <c r="Y559" s="70" t="str">
        <f>IF(AND($A559&lt;&gt;"",$E559&gt;0),isLaptopBag($C559,$J559)*$D559,"")</f>
        <v/>
      </c>
      <c r="Z559" s="70" t="str">
        <f t="shared" si="193"/>
        <v/>
      </c>
      <c r="AA559" s="70" t="str">
        <f t="shared" si="194"/>
        <v/>
      </c>
      <c r="AB559" s="70" t="str">
        <f t="shared" si="195"/>
        <v/>
      </c>
      <c r="AC559" s="70" t="str">
        <f t="shared" si="196"/>
        <v/>
      </c>
      <c r="AD559" s="70" t="str">
        <f t="shared" si="197"/>
        <v/>
      </c>
      <c r="AE559" s="70" t="str">
        <f t="shared" si="198"/>
        <v/>
      </c>
      <c r="AF559" s="16"/>
      <c r="AG559" s="23"/>
      <c r="AH559" s="22"/>
      <c r="AJ559" s="83">
        <f t="shared" si="199"/>
        <v>0</v>
      </c>
      <c r="AO559" s="22" t="str">
        <f t="shared" si="200"/>
        <v/>
      </c>
      <c r="AP559" s="22" t="str">
        <f t="shared" si="201"/>
        <v/>
      </c>
    </row>
    <row r="560" spans="1:42" x14ac:dyDescent="0.25">
      <c r="A560" s="10"/>
      <c r="B560" s="10"/>
      <c r="C560" s="10"/>
      <c r="D560" s="10"/>
      <c r="E560" s="10"/>
      <c r="F560" s="10"/>
      <c r="G560" s="10"/>
      <c r="H560" s="17"/>
      <c r="I560" s="10"/>
      <c r="J560" s="10"/>
      <c r="K560" s="16" t="str">
        <f t="shared" si="180"/>
        <v/>
      </c>
      <c r="L560" s="23" t="str">
        <f t="shared" si="181"/>
        <v/>
      </c>
      <c r="M560" s="22" t="str">
        <f t="shared" si="182"/>
        <v/>
      </c>
      <c r="N560" s="72"/>
      <c r="O560" s="16" t="str">
        <f t="shared" si="183"/>
        <v/>
      </c>
      <c r="P560" s="16" t="str">
        <f t="shared" si="184"/>
        <v/>
      </c>
      <c r="Q560" s="16" t="str">
        <f t="shared" si="185"/>
        <v/>
      </c>
      <c r="R560" s="23" t="str">
        <f t="shared" si="186"/>
        <v/>
      </c>
      <c r="S560" s="23" t="str">
        <f t="shared" si="187"/>
        <v/>
      </c>
      <c r="T560" s="23" t="str">
        <f t="shared" si="188"/>
        <v/>
      </c>
      <c r="U560" s="23" t="str">
        <f t="shared" si="189"/>
        <v/>
      </c>
      <c r="V560" s="23" t="str">
        <f t="shared" si="190"/>
        <v/>
      </c>
      <c r="W560" s="70" t="str">
        <f t="shared" si="191"/>
        <v/>
      </c>
      <c r="X560" s="70" t="str">
        <f t="shared" si="192"/>
        <v/>
      </c>
      <c r="Y560" s="70" t="str">
        <f>IF(AND($A560&lt;&gt;"",$E560&gt;0),isLaptopBag($C560,$J560)*$D560,"")</f>
        <v/>
      </c>
      <c r="Z560" s="70" t="str">
        <f t="shared" si="193"/>
        <v/>
      </c>
      <c r="AA560" s="70" t="str">
        <f t="shared" si="194"/>
        <v/>
      </c>
      <c r="AB560" s="70" t="str">
        <f t="shared" si="195"/>
        <v/>
      </c>
      <c r="AC560" s="70" t="str">
        <f t="shared" si="196"/>
        <v/>
      </c>
      <c r="AD560" s="70" t="str">
        <f t="shared" si="197"/>
        <v/>
      </c>
      <c r="AE560" s="70" t="str">
        <f t="shared" si="198"/>
        <v/>
      </c>
      <c r="AF560" s="16"/>
      <c r="AG560" s="23"/>
      <c r="AH560" s="22"/>
      <c r="AJ560" s="83">
        <f t="shared" si="199"/>
        <v>0</v>
      </c>
      <c r="AO560" s="22" t="str">
        <f t="shared" si="200"/>
        <v/>
      </c>
      <c r="AP560" s="22" t="str">
        <f t="shared" si="201"/>
        <v/>
      </c>
    </row>
    <row r="561" spans="1:42" x14ac:dyDescent="0.25">
      <c r="A561" s="10"/>
      <c r="B561" s="10"/>
      <c r="C561" s="10"/>
      <c r="D561" s="10"/>
      <c r="E561" s="10"/>
      <c r="F561" s="10"/>
      <c r="G561" s="10"/>
      <c r="H561" s="17"/>
      <c r="I561" s="10"/>
      <c r="J561" s="10"/>
      <c r="K561" s="16" t="str">
        <f t="shared" si="180"/>
        <v/>
      </c>
      <c r="L561" s="23" t="str">
        <f t="shared" si="181"/>
        <v/>
      </c>
      <c r="M561" s="22" t="str">
        <f t="shared" si="182"/>
        <v/>
      </c>
      <c r="N561" s="72"/>
      <c r="O561" s="16" t="str">
        <f t="shared" si="183"/>
        <v/>
      </c>
      <c r="P561" s="16" t="str">
        <f t="shared" si="184"/>
        <v/>
      </c>
      <c r="Q561" s="16" t="str">
        <f t="shared" si="185"/>
        <v/>
      </c>
      <c r="R561" s="23" t="str">
        <f t="shared" si="186"/>
        <v/>
      </c>
      <c r="S561" s="23" t="str">
        <f t="shared" si="187"/>
        <v/>
      </c>
      <c r="T561" s="23" t="str">
        <f t="shared" si="188"/>
        <v/>
      </c>
      <c r="U561" s="23" t="str">
        <f t="shared" si="189"/>
        <v/>
      </c>
      <c r="V561" s="23" t="str">
        <f t="shared" si="190"/>
        <v/>
      </c>
      <c r="W561" s="70" t="str">
        <f t="shared" si="191"/>
        <v/>
      </c>
      <c r="X561" s="70" t="str">
        <f t="shared" si="192"/>
        <v/>
      </c>
      <c r="Y561" s="70" t="str">
        <f>IF(AND($A561&lt;&gt;"",$E561&gt;0),isLaptopBag($C561,$J561)*$D561,"")</f>
        <v/>
      </c>
      <c r="Z561" s="70" t="str">
        <f t="shared" si="193"/>
        <v/>
      </c>
      <c r="AA561" s="70" t="str">
        <f t="shared" si="194"/>
        <v/>
      </c>
      <c r="AB561" s="70" t="str">
        <f t="shared" si="195"/>
        <v/>
      </c>
      <c r="AC561" s="70" t="str">
        <f t="shared" si="196"/>
        <v/>
      </c>
      <c r="AD561" s="70" t="str">
        <f t="shared" si="197"/>
        <v/>
      </c>
      <c r="AE561" s="70" t="str">
        <f t="shared" si="198"/>
        <v/>
      </c>
      <c r="AF561" s="16"/>
      <c r="AG561" s="23"/>
      <c r="AH561" s="22"/>
      <c r="AJ561" s="83">
        <f t="shared" si="199"/>
        <v>0</v>
      </c>
      <c r="AO561" s="22" t="str">
        <f t="shared" si="200"/>
        <v/>
      </c>
      <c r="AP561" s="22" t="str">
        <f t="shared" si="201"/>
        <v/>
      </c>
    </row>
    <row r="562" spans="1:42" x14ac:dyDescent="0.25">
      <c r="A562" s="10"/>
      <c r="B562" s="10"/>
      <c r="C562" s="10"/>
      <c r="D562" s="10"/>
      <c r="E562" s="10"/>
      <c r="F562" s="10"/>
      <c r="G562" s="10"/>
      <c r="H562" s="17"/>
      <c r="I562" s="10"/>
      <c r="J562" s="10"/>
      <c r="K562" s="16" t="str">
        <f t="shared" si="180"/>
        <v/>
      </c>
      <c r="L562" s="23" t="str">
        <f t="shared" si="181"/>
        <v/>
      </c>
      <c r="M562" s="22" t="str">
        <f t="shared" si="182"/>
        <v/>
      </c>
      <c r="N562" s="72"/>
      <c r="O562" s="16" t="str">
        <f t="shared" si="183"/>
        <v/>
      </c>
      <c r="P562" s="16" t="str">
        <f t="shared" si="184"/>
        <v/>
      </c>
      <c r="Q562" s="16" t="str">
        <f t="shared" si="185"/>
        <v/>
      </c>
      <c r="R562" s="23" t="str">
        <f t="shared" si="186"/>
        <v/>
      </c>
      <c r="S562" s="23" t="str">
        <f t="shared" si="187"/>
        <v/>
      </c>
      <c r="T562" s="23" t="str">
        <f t="shared" si="188"/>
        <v/>
      </c>
      <c r="U562" s="23" t="str">
        <f t="shared" si="189"/>
        <v/>
      </c>
      <c r="V562" s="23" t="str">
        <f t="shared" si="190"/>
        <v/>
      </c>
      <c r="W562" s="70" t="str">
        <f t="shared" si="191"/>
        <v/>
      </c>
      <c r="X562" s="70" t="str">
        <f t="shared" si="192"/>
        <v/>
      </c>
      <c r="Y562" s="70" t="str">
        <f>IF(AND($A562&lt;&gt;"",$E562&gt;0),isLaptopBag($C562,$J562)*$D562,"")</f>
        <v/>
      </c>
      <c r="Z562" s="70" t="str">
        <f t="shared" si="193"/>
        <v/>
      </c>
      <c r="AA562" s="70" t="str">
        <f t="shared" si="194"/>
        <v/>
      </c>
      <c r="AB562" s="70" t="str">
        <f t="shared" si="195"/>
        <v/>
      </c>
      <c r="AC562" s="70" t="str">
        <f t="shared" si="196"/>
        <v/>
      </c>
      <c r="AD562" s="70" t="str">
        <f t="shared" si="197"/>
        <v/>
      </c>
      <c r="AE562" s="70" t="str">
        <f t="shared" si="198"/>
        <v/>
      </c>
      <c r="AF562" s="16"/>
      <c r="AG562" s="23"/>
      <c r="AH562" s="22"/>
      <c r="AJ562" s="83">
        <f t="shared" si="199"/>
        <v>0</v>
      </c>
      <c r="AO562" s="22" t="str">
        <f t="shared" si="200"/>
        <v/>
      </c>
      <c r="AP562" s="22" t="str">
        <f t="shared" si="201"/>
        <v/>
      </c>
    </row>
    <row r="563" spans="1:42" x14ac:dyDescent="0.25">
      <c r="A563" s="10"/>
      <c r="B563" s="10"/>
      <c r="C563" s="10"/>
      <c r="D563" s="10"/>
      <c r="E563" s="10"/>
      <c r="F563" s="10"/>
      <c r="G563" s="10"/>
      <c r="H563" s="17"/>
      <c r="I563" s="10"/>
      <c r="J563" s="10"/>
      <c r="K563" s="16" t="str">
        <f t="shared" si="180"/>
        <v/>
      </c>
      <c r="L563" s="23" t="str">
        <f t="shared" si="181"/>
        <v/>
      </c>
      <c r="M563" s="22" t="str">
        <f t="shared" si="182"/>
        <v/>
      </c>
      <c r="N563" s="72"/>
      <c r="O563" s="16" t="str">
        <f t="shared" si="183"/>
        <v/>
      </c>
      <c r="P563" s="16" t="str">
        <f t="shared" si="184"/>
        <v/>
      </c>
      <c r="Q563" s="16" t="str">
        <f t="shared" si="185"/>
        <v/>
      </c>
      <c r="R563" s="23" t="str">
        <f t="shared" si="186"/>
        <v/>
      </c>
      <c r="S563" s="23" t="str">
        <f t="shared" si="187"/>
        <v/>
      </c>
      <c r="T563" s="23" t="str">
        <f t="shared" si="188"/>
        <v/>
      </c>
      <c r="U563" s="23" t="str">
        <f t="shared" si="189"/>
        <v/>
      </c>
      <c r="V563" s="23" t="str">
        <f t="shared" si="190"/>
        <v/>
      </c>
      <c r="W563" s="70" t="str">
        <f t="shared" si="191"/>
        <v/>
      </c>
      <c r="X563" s="70" t="str">
        <f t="shared" si="192"/>
        <v/>
      </c>
      <c r="Y563" s="70" t="str">
        <f>IF(AND($A563&lt;&gt;"",$E563&gt;0),isLaptopBag($C563,$J563)*$D563,"")</f>
        <v/>
      </c>
      <c r="Z563" s="70" t="str">
        <f t="shared" si="193"/>
        <v/>
      </c>
      <c r="AA563" s="70" t="str">
        <f t="shared" si="194"/>
        <v/>
      </c>
      <c r="AB563" s="70" t="str">
        <f t="shared" si="195"/>
        <v/>
      </c>
      <c r="AC563" s="70" t="str">
        <f t="shared" si="196"/>
        <v/>
      </c>
      <c r="AD563" s="70" t="str">
        <f t="shared" si="197"/>
        <v/>
      </c>
      <c r="AE563" s="70" t="str">
        <f t="shared" si="198"/>
        <v/>
      </c>
      <c r="AF563" s="16"/>
      <c r="AG563" s="23"/>
      <c r="AH563" s="22"/>
      <c r="AJ563" s="83">
        <f t="shared" si="199"/>
        <v>0</v>
      </c>
      <c r="AO563" s="22" t="str">
        <f t="shared" si="200"/>
        <v/>
      </c>
      <c r="AP563" s="22" t="str">
        <f t="shared" si="201"/>
        <v/>
      </c>
    </row>
    <row r="564" spans="1:42" x14ac:dyDescent="0.25">
      <c r="A564" s="10"/>
      <c r="B564" s="10"/>
      <c r="C564" s="10"/>
      <c r="D564" s="10"/>
      <c r="E564" s="10"/>
      <c r="F564" s="10"/>
      <c r="G564" s="10"/>
      <c r="H564" s="17"/>
      <c r="I564" s="10"/>
      <c r="J564" s="10"/>
      <c r="K564" s="16" t="str">
        <f t="shared" si="180"/>
        <v/>
      </c>
      <c r="L564" s="23" t="str">
        <f t="shared" si="181"/>
        <v/>
      </c>
      <c r="M564" s="22" t="str">
        <f t="shared" si="182"/>
        <v/>
      </c>
      <c r="N564" s="72"/>
      <c r="O564" s="16" t="str">
        <f t="shared" si="183"/>
        <v/>
      </c>
      <c r="P564" s="16" t="str">
        <f t="shared" si="184"/>
        <v/>
      </c>
      <c r="Q564" s="16" t="str">
        <f t="shared" si="185"/>
        <v/>
      </c>
      <c r="R564" s="23" t="str">
        <f t="shared" si="186"/>
        <v/>
      </c>
      <c r="S564" s="23" t="str">
        <f t="shared" si="187"/>
        <v/>
      </c>
      <c r="T564" s="23" t="str">
        <f t="shared" si="188"/>
        <v/>
      </c>
      <c r="U564" s="23" t="str">
        <f t="shared" si="189"/>
        <v/>
      </c>
      <c r="V564" s="23" t="str">
        <f t="shared" si="190"/>
        <v/>
      </c>
      <c r="W564" s="70" t="str">
        <f t="shared" si="191"/>
        <v/>
      </c>
      <c r="X564" s="70" t="str">
        <f t="shared" si="192"/>
        <v/>
      </c>
      <c r="Y564" s="70" t="str">
        <f>IF(AND($A564&lt;&gt;"",$E564&gt;0),isLaptopBag($C564,$J564)*$D564,"")</f>
        <v/>
      </c>
      <c r="Z564" s="70" t="str">
        <f t="shared" si="193"/>
        <v/>
      </c>
      <c r="AA564" s="70" t="str">
        <f t="shared" si="194"/>
        <v/>
      </c>
      <c r="AB564" s="70" t="str">
        <f t="shared" si="195"/>
        <v/>
      </c>
      <c r="AC564" s="70" t="str">
        <f t="shared" si="196"/>
        <v/>
      </c>
      <c r="AD564" s="70" t="str">
        <f t="shared" si="197"/>
        <v/>
      </c>
      <c r="AE564" s="70" t="str">
        <f t="shared" si="198"/>
        <v/>
      </c>
      <c r="AF564" s="16"/>
      <c r="AG564" s="23"/>
      <c r="AH564" s="22"/>
      <c r="AJ564" s="83">
        <f t="shared" si="199"/>
        <v>0</v>
      </c>
      <c r="AO564" s="22" t="str">
        <f t="shared" si="200"/>
        <v/>
      </c>
      <c r="AP564" s="22" t="str">
        <f t="shared" si="201"/>
        <v/>
      </c>
    </row>
    <row r="565" spans="1:42" x14ac:dyDescent="0.25">
      <c r="A565" s="10"/>
      <c r="B565" s="10"/>
      <c r="C565" s="10"/>
      <c r="D565" s="10"/>
      <c r="E565" s="10"/>
      <c r="F565" s="10"/>
      <c r="G565" s="10"/>
      <c r="H565" s="17"/>
      <c r="I565" s="10"/>
      <c r="J565" s="10"/>
      <c r="K565" s="16" t="str">
        <f t="shared" si="180"/>
        <v/>
      </c>
      <c r="L565" s="23" t="str">
        <f t="shared" si="181"/>
        <v/>
      </c>
      <c r="M565" s="22" t="str">
        <f t="shared" si="182"/>
        <v/>
      </c>
      <c r="N565" s="72"/>
      <c r="O565" s="16" t="str">
        <f t="shared" si="183"/>
        <v/>
      </c>
      <c r="P565" s="16" t="str">
        <f t="shared" si="184"/>
        <v/>
      </c>
      <c r="Q565" s="16" t="str">
        <f t="shared" si="185"/>
        <v/>
      </c>
      <c r="R565" s="23" t="str">
        <f t="shared" si="186"/>
        <v/>
      </c>
      <c r="S565" s="23" t="str">
        <f t="shared" si="187"/>
        <v/>
      </c>
      <c r="T565" s="23" t="str">
        <f t="shared" si="188"/>
        <v/>
      </c>
      <c r="U565" s="23" t="str">
        <f t="shared" si="189"/>
        <v/>
      </c>
      <c r="V565" s="23" t="str">
        <f t="shared" si="190"/>
        <v/>
      </c>
      <c r="W565" s="70" t="str">
        <f t="shared" si="191"/>
        <v/>
      </c>
      <c r="X565" s="70" t="str">
        <f t="shared" si="192"/>
        <v/>
      </c>
      <c r="Y565" s="70" t="str">
        <f>IF(AND($A565&lt;&gt;"",$E565&gt;0),isLaptopBag($C565,$J565)*$D565,"")</f>
        <v/>
      </c>
      <c r="Z565" s="70" t="str">
        <f t="shared" si="193"/>
        <v/>
      </c>
      <c r="AA565" s="70" t="str">
        <f t="shared" si="194"/>
        <v/>
      </c>
      <c r="AB565" s="70" t="str">
        <f t="shared" si="195"/>
        <v/>
      </c>
      <c r="AC565" s="70" t="str">
        <f t="shared" si="196"/>
        <v/>
      </c>
      <c r="AD565" s="70" t="str">
        <f t="shared" si="197"/>
        <v/>
      </c>
      <c r="AE565" s="70" t="str">
        <f t="shared" si="198"/>
        <v/>
      </c>
      <c r="AF565" s="16"/>
      <c r="AG565" s="23"/>
      <c r="AH565" s="22"/>
      <c r="AJ565" s="83">
        <f t="shared" si="199"/>
        <v>0</v>
      </c>
      <c r="AO565" s="22" t="str">
        <f t="shared" si="200"/>
        <v/>
      </c>
      <c r="AP565" s="22" t="str">
        <f t="shared" si="201"/>
        <v/>
      </c>
    </row>
    <row r="566" spans="1:42" x14ac:dyDescent="0.25">
      <c r="A566" s="10"/>
      <c r="B566" s="10"/>
      <c r="C566" s="10"/>
      <c r="D566" s="10"/>
      <c r="E566" s="10"/>
      <c r="F566" s="10"/>
      <c r="G566" s="10"/>
      <c r="H566" s="17"/>
      <c r="I566" s="10"/>
      <c r="J566" s="10"/>
      <c r="K566" s="16" t="str">
        <f t="shared" si="180"/>
        <v/>
      </c>
      <c r="L566" s="23" t="str">
        <f t="shared" si="181"/>
        <v/>
      </c>
      <c r="M566" s="22" t="str">
        <f t="shared" si="182"/>
        <v/>
      </c>
      <c r="N566" s="72"/>
      <c r="O566" s="16" t="str">
        <f t="shared" si="183"/>
        <v/>
      </c>
      <c r="P566" s="16" t="str">
        <f t="shared" si="184"/>
        <v/>
      </c>
      <c r="Q566" s="16" t="str">
        <f t="shared" si="185"/>
        <v/>
      </c>
      <c r="R566" s="23" t="str">
        <f t="shared" si="186"/>
        <v/>
      </c>
      <c r="S566" s="23" t="str">
        <f t="shared" si="187"/>
        <v/>
      </c>
      <c r="T566" s="23" t="str">
        <f t="shared" si="188"/>
        <v/>
      </c>
      <c r="U566" s="23" t="str">
        <f t="shared" si="189"/>
        <v/>
      </c>
      <c r="V566" s="23" t="str">
        <f t="shared" si="190"/>
        <v/>
      </c>
      <c r="W566" s="70" t="str">
        <f t="shared" si="191"/>
        <v/>
      </c>
      <c r="X566" s="70" t="str">
        <f t="shared" si="192"/>
        <v/>
      </c>
      <c r="Y566" s="70" t="str">
        <f>IF(AND($A566&lt;&gt;"",$E566&gt;0),isLaptopBag($C566,$J566)*$D566,"")</f>
        <v/>
      </c>
      <c r="Z566" s="70" t="str">
        <f t="shared" si="193"/>
        <v/>
      </c>
      <c r="AA566" s="70" t="str">
        <f t="shared" si="194"/>
        <v/>
      </c>
      <c r="AB566" s="70" t="str">
        <f t="shared" si="195"/>
        <v/>
      </c>
      <c r="AC566" s="70" t="str">
        <f t="shared" si="196"/>
        <v/>
      </c>
      <c r="AD566" s="70" t="str">
        <f t="shared" si="197"/>
        <v/>
      </c>
      <c r="AE566" s="70" t="str">
        <f t="shared" si="198"/>
        <v/>
      </c>
      <c r="AF566" s="16"/>
      <c r="AG566" s="23"/>
      <c r="AH566" s="22"/>
      <c r="AJ566" s="83">
        <f t="shared" si="199"/>
        <v>0</v>
      </c>
      <c r="AO566" s="22" t="str">
        <f t="shared" si="200"/>
        <v/>
      </c>
      <c r="AP566" s="22" t="str">
        <f t="shared" si="201"/>
        <v/>
      </c>
    </row>
    <row r="567" spans="1:42" x14ac:dyDescent="0.25">
      <c r="A567" s="10"/>
      <c r="B567" s="10"/>
      <c r="C567" s="10"/>
      <c r="D567" s="10"/>
      <c r="E567" s="10"/>
      <c r="F567" s="10"/>
      <c r="G567" s="10"/>
      <c r="H567" s="17"/>
      <c r="I567" s="10"/>
      <c r="J567" s="10"/>
      <c r="K567" s="16" t="str">
        <f t="shared" si="180"/>
        <v/>
      </c>
      <c r="L567" s="23" t="str">
        <f t="shared" si="181"/>
        <v/>
      </c>
      <c r="M567" s="22" t="str">
        <f t="shared" si="182"/>
        <v/>
      </c>
      <c r="N567" s="72"/>
      <c r="O567" s="16" t="str">
        <f t="shared" si="183"/>
        <v/>
      </c>
      <c r="P567" s="16" t="str">
        <f t="shared" si="184"/>
        <v/>
      </c>
      <c r="Q567" s="16" t="str">
        <f t="shared" si="185"/>
        <v/>
      </c>
      <c r="R567" s="23" t="str">
        <f t="shared" si="186"/>
        <v/>
      </c>
      <c r="S567" s="23" t="str">
        <f t="shared" si="187"/>
        <v/>
      </c>
      <c r="T567" s="23" t="str">
        <f t="shared" si="188"/>
        <v/>
      </c>
      <c r="U567" s="23" t="str">
        <f t="shared" si="189"/>
        <v/>
      </c>
      <c r="V567" s="23" t="str">
        <f t="shared" si="190"/>
        <v/>
      </c>
      <c r="W567" s="70" t="str">
        <f t="shared" si="191"/>
        <v/>
      </c>
      <c r="X567" s="70" t="str">
        <f t="shared" si="192"/>
        <v/>
      </c>
      <c r="Y567" s="70" t="str">
        <f>IF(AND($A567&lt;&gt;"",$E567&gt;0),isLaptopBag($C567,$J567)*$D567,"")</f>
        <v/>
      </c>
      <c r="Z567" s="70" t="str">
        <f t="shared" si="193"/>
        <v/>
      </c>
      <c r="AA567" s="70" t="str">
        <f t="shared" si="194"/>
        <v/>
      </c>
      <c r="AB567" s="70" t="str">
        <f t="shared" si="195"/>
        <v/>
      </c>
      <c r="AC567" s="70" t="str">
        <f t="shared" si="196"/>
        <v/>
      </c>
      <c r="AD567" s="70" t="str">
        <f t="shared" si="197"/>
        <v/>
      </c>
      <c r="AE567" s="70" t="str">
        <f t="shared" si="198"/>
        <v/>
      </c>
      <c r="AF567" s="16"/>
      <c r="AG567" s="23"/>
      <c r="AH567" s="22"/>
      <c r="AJ567" s="83">
        <f t="shared" si="199"/>
        <v>0</v>
      </c>
      <c r="AO567" s="22" t="str">
        <f t="shared" si="200"/>
        <v/>
      </c>
      <c r="AP567" s="22" t="str">
        <f t="shared" si="201"/>
        <v/>
      </c>
    </row>
    <row r="568" spans="1:42" x14ac:dyDescent="0.25">
      <c r="A568" s="10"/>
      <c r="B568" s="10"/>
      <c r="C568" s="10"/>
      <c r="D568" s="10"/>
      <c r="E568" s="10"/>
      <c r="F568" s="10"/>
      <c r="G568" s="10"/>
      <c r="H568" s="17"/>
      <c r="I568" s="10"/>
      <c r="J568" s="10"/>
      <c r="K568" s="16" t="str">
        <f t="shared" si="180"/>
        <v/>
      </c>
      <c r="L568" s="23" t="str">
        <f t="shared" si="181"/>
        <v/>
      </c>
      <c r="M568" s="22" t="str">
        <f t="shared" si="182"/>
        <v/>
      </c>
      <c r="N568" s="72"/>
      <c r="O568" s="16" t="str">
        <f t="shared" si="183"/>
        <v/>
      </c>
      <c r="P568" s="16" t="str">
        <f t="shared" si="184"/>
        <v/>
      </c>
      <c r="Q568" s="16" t="str">
        <f t="shared" si="185"/>
        <v/>
      </c>
      <c r="R568" s="23" t="str">
        <f t="shared" si="186"/>
        <v/>
      </c>
      <c r="S568" s="23" t="str">
        <f t="shared" si="187"/>
        <v/>
      </c>
      <c r="T568" s="23" t="str">
        <f t="shared" si="188"/>
        <v/>
      </c>
      <c r="U568" s="23" t="str">
        <f t="shared" si="189"/>
        <v/>
      </c>
      <c r="V568" s="23" t="str">
        <f t="shared" si="190"/>
        <v/>
      </c>
      <c r="W568" s="70" t="str">
        <f t="shared" si="191"/>
        <v/>
      </c>
      <c r="X568" s="70" t="str">
        <f t="shared" si="192"/>
        <v/>
      </c>
      <c r="Y568" s="70" t="str">
        <f>IF(AND($A568&lt;&gt;"",$E568&gt;0),isLaptopBag($C568,$J568)*$D568,"")</f>
        <v/>
      </c>
      <c r="Z568" s="70" t="str">
        <f t="shared" si="193"/>
        <v/>
      </c>
      <c r="AA568" s="70" t="str">
        <f t="shared" si="194"/>
        <v/>
      </c>
      <c r="AB568" s="70" t="str">
        <f t="shared" si="195"/>
        <v/>
      </c>
      <c r="AC568" s="70" t="str">
        <f t="shared" si="196"/>
        <v/>
      </c>
      <c r="AD568" s="70" t="str">
        <f t="shared" si="197"/>
        <v/>
      </c>
      <c r="AE568" s="70" t="str">
        <f t="shared" si="198"/>
        <v/>
      </c>
      <c r="AF568" s="16"/>
      <c r="AG568" s="23"/>
      <c r="AH568" s="22"/>
      <c r="AJ568" s="83">
        <f t="shared" si="199"/>
        <v>0</v>
      </c>
      <c r="AO568" s="22" t="str">
        <f t="shared" si="200"/>
        <v/>
      </c>
      <c r="AP568" s="22" t="str">
        <f t="shared" si="201"/>
        <v/>
      </c>
    </row>
    <row r="569" spans="1:42" x14ac:dyDescent="0.25">
      <c r="A569" s="10"/>
      <c r="B569" s="10"/>
      <c r="C569" s="10"/>
      <c r="D569" s="10"/>
      <c r="E569" s="10"/>
      <c r="F569" s="10"/>
      <c r="G569" s="10"/>
      <c r="H569" s="17"/>
      <c r="I569" s="10"/>
      <c r="J569" s="10"/>
      <c r="K569" s="16" t="str">
        <f t="shared" si="180"/>
        <v/>
      </c>
      <c r="L569" s="23" t="str">
        <f t="shared" si="181"/>
        <v/>
      </c>
      <c r="M569" s="22" t="str">
        <f t="shared" si="182"/>
        <v/>
      </c>
      <c r="N569" s="72"/>
      <c r="O569" s="16" t="str">
        <f t="shared" si="183"/>
        <v/>
      </c>
      <c r="P569" s="16" t="str">
        <f t="shared" si="184"/>
        <v/>
      </c>
      <c r="Q569" s="16" t="str">
        <f t="shared" si="185"/>
        <v/>
      </c>
      <c r="R569" s="23" t="str">
        <f t="shared" si="186"/>
        <v/>
      </c>
      <c r="S569" s="23" t="str">
        <f t="shared" si="187"/>
        <v/>
      </c>
      <c r="T569" s="23" t="str">
        <f t="shared" si="188"/>
        <v/>
      </c>
      <c r="U569" s="23" t="str">
        <f t="shared" si="189"/>
        <v/>
      </c>
      <c r="V569" s="23" t="str">
        <f t="shared" si="190"/>
        <v/>
      </c>
      <c r="W569" s="70" t="str">
        <f t="shared" si="191"/>
        <v/>
      </c>
      <c r="X569" s="70" t="str">
        <f t="shared" si="192"/>
        <v/>
      </c>
      <c r="Y569" s="70" t="str">
        <f>IF(AND($A569&lt;&gt;"",$E569&gt;0),isLaptopBag($C569,$J569)*$D569,"")</f>
        <v/>
      </c>
      <c r="Z569" s="70" t="str">
        <f t="shared" si="193"/>
        <v/>
      </c>
      <c r="AA569" s="70" t="str">
        <f t="shared" si="194"/>
        <v/>
      </c>
      <c r="AB569" s="70" t="str">
        <f t="shared" si="195"/>
        <v/>
      </c>
      <c r="AC569" s="70" t="str">
        <f t="shared" si="196"/>
        <v/>
      </c>
      <c r="AD569" s="70" t="str">
        <f t="shared" si="197"/>
        <v/>
      </c>
      <c r="AE569" s="70" t="str">
        <f t="shared" si="198"/>
        <v/>
      </c>
      <c r="AF569" s="16"/>
      <c r="AG569" s="23"/>
      <c r="AH569" s="22"/>
      <c r="AJ569" s="83">
        <f t="shared" si="199"/>
        <v>0</v>
      </c>
      <c r="AO569" s="22" t="str">
        <f t="shared" si="200"/>
        <v/>
      </c>
      <c r="AP569" s="22" t="str">
        <f t="shared" si="201"/>
        <v/>
      </c>
    </row>
    <row r="570" spans="1:42" x14ac:dyDescent="0.25">
      <c r="A570" s="10"/>
      <c r="B570" s="10"/>
      <c r="C570" s="10"/>
      <c r="D570" s="10"/>
      <c r="E570" s="10"/>
      <c r="F570" s="10"/>
      <c r="G570" s="10"/>
      <c r="H570" s="17"/>
      <c r="I570" s="10"/>
      <c r="J570" s="10"/>
      <c r="K570" s="16" t="str">
        <f t="shared" si="180"/>
        <v/>
      </c>
      <c r="L570" s="23" t="str">
        <f t="shared" si="181"/>
        <v/>
      </c>
      <c r="M570" s="22" t="str">
        <f t="shared" si="182"/>
        <v/>
      </c>
      <c r="N570" s="72"/>
      <c r="O570" s="16" t="str">
        <f t="shared" si="183"/>
        <v/>
      </c>
      <c r="P570" s="16" t="str">
        <f t="shared" si="184"/>
        <v/>
      </c>
      <c r="Q570" s="16" t="str">
        <f t="shared" si="185"/>
        <v/>
      </c>
      <c r="R570" s="23" t="str">
        <f t="shared" si="186"/>
        <v/>
      </c>
      <c r="S570" s="23" t="str">
        <f t="shared" si="187"/>
        <v/>
      </c>
      <c r="T570" s="23" t="str">
        <f t="shared" si="188"/>
        <v/>
      </c>
      <c r="U570" s="23" t="str">
        <f t="shared" si="189"/>
        <v/>
      </c>
      <c r="V570" s="23" t="str">
        <f t="shared" si="190"/>
        <v/>
      </c>
      <c r="W570" s="70" t="str">
        <f t="shared" si="191"/>
        <v/>
      </c>
      <c r="X570" s="70" t="str">
        <f t="shared" si="192"/>
        <v/>
      </c>
      <c r="Y570" s="70" t="str">
        <f>IF(AND($A570&lt;&gt;"",$E570&gt;0),isLaptopBag($C570,$J570)*$D570,"")</f>
        <v/>
      </c>
      <c r="Z570" s="70" t="str">
        <f t="shared" si="193"/>
        <v/>
      </c>
      <c r="AA570" s="70" t="str">
        <f t="shared" si="194"/>
        <v/>
      </c>
      <c r="AB570" s="70" t="str">
        <f t="shared" si="195"/>
        <v/>
      </c>
      <c r="AC570" s="70" t="str">
        <f t="shared" si="196"/>
        <v/>
      </c>
      <c r="AD570" s="70" t="str">
        <f t="shared" si="197"/>
        <v/>
      </c>
      <c r="AE570" s="70" t="str">
        <f t="shared" si="198"/>
        <v/>
      </c>
      <c r="AF570" s="16"/>
      <c r="AG570" s="23"/>
      <c r="AH570" s="22"/>
      <c r="AJ570" s="83">
        <f t="shared" si="199"/>
        <v>0</v>
      </c>
      <c r="AO570" s="22" t="str">
        <f t="shared" si="200"/>
        <v/>
      </c>
      <c r="AP570" s="22" t="str">
        <f t="shared" si="201"/>
        <v/>
      </c>
    </row>
    <row r="571" spans="1:42" x14ac:dyDescent="0.25">
      <c r="A571" s="10"/>
      <c r="B571" s="10"/>
      <c r="C571" s="10"/>
      <c r="D571" s="10"/>
      <c r="E571" s="10"/>
      <c r="F571" s="10"/>
      <c r="G571" s="10"/>
      <c r="H571" s="17"/>
      <c r="I571" s="10"/>
      <c r="J571" s="10"/>
      <c r="K571" s="16" t="str">
        <f t="shared" si="180"/>
        <v/>
      </c>
      <c r="L571" s="23" t="str">
        <f t="shared" si="181"/>
        <v/>
      </c>
      <c r="M571" s="22" t="str">
        <f t="shared" si="182"/>
        <v/>
      </c>
      <c r="N571" s="72"/>
      <c r="O571" s="16" t="str">
        <f t="shared" si="183"/>
        <v/>
      </c>
      <c r="P571" s="16" t="str">
        <f t="shared" si="184"/>
        <v/>
      </c>
      <c r="Q571" s="16" t="str">
        <f t="shared" si="185"/>
        <v/>
      </c>
      <c r="R571" s="23" t="str">
        <f t="shared" si="186"/>
        <v/>
      </c>
      <c r="S571" s="23" t="str">
        <f t="shared" si="187"/>
        <v/>
      </c>
      <c r="T571" s="23" t="str">
        <f t="shared" si="188"/>
        <v/>
      </c>
      <c r="U571" s="23" t="str">
        <f t="shared" si="189"/>
        <v/>
      </c>
      <c r="V571" s="23" t="str">
        <f t="shared" si="190"/>
        <v/>
      </c>
      <c r="W571" s="70" t="str">
        <f t="shared" si="191"/>
        <v/>
      </c>
      <c r="X571" s="70" t="str">
        <f t="shared" si="192"/>
        <v/>
      </c>
      <c r="Y571" s="70" t="str">
        <f>IF(AND($A571&lt;&gt;"",$E571&gt;0),isLaptopBag($C571,$J571)*$D571,"")</f>
        <v/>
      </c>
      <c r="Z571" s="70" t="str">
        <f t="shared" si="193"/>
        <v/>
      </c>
      <c r="AA571" s="70" t="str">
        <f t="shared" si="194"/>
        <v/>
      </c>
      <c r="AB571" s="70" t="str">
        <f t="shared" si="195"/>
        <v/>
      </c>
      <c r="AC571" s="70" t="str">
        <f t="shared" si="196"/>
        <v/>
      </c>
      <c r="AD571" s="70" t="str">
        <f t="shared" si="197"/>
        <v/>
      </c>
      <c r="AE571" s="70" t="str">
        <f t="shared" si="198"/>
        <v/>
      </c>
      <c r="AF571" s="16"/>
      <c r="AG571" s="23"/>
      <c r="AH571" s="22"/>
      <c r="AJ571" s="83">
        <f t="shared" si="199"/>
        <v>0</v>
      </c>
      <c r="AO571" s="22" t="str">
        <f t="shared" si="200"/>
        <v/>
      </c>
      <c r="AP571" s="22" t="str">
        <f t="shared" si="201"/>
        <v/>
      </c>
    </row>
    <row r="572" spans="1:42" x14ac:dyDescent="0.25">
      <c r="A572" s="10"/>
      <c r="B572" s="10"/>
      <c r="C572" s="10"/>
      <c r="D572" s="10"/>
      <c r="E572" s="10"/>
      <c r="F572" s="10"/>
      <c r="G572" s="10"/>
      <c r="H572" s="17"/>
      <c r="I572" s="10"/>
      <c r="J572" s="10"/>
      <c r="K572" s="16" t="str">
        <f t="shared" si="180"/>
        <v/>
      </c>
      <c r="L572" s="23" t="str">
        <f t="shared" si="181"/>
        <v/>
      </c>
      <c r="M572" s="22" t="str">
        <f t="shared" si="182"/>
        <v/>
      </c>
      <c r="N572" s="72"/>
      <c r="O572" s="16" t="str">
        <f t="shared" si="183"/>
        <v/>
      </c>
      <c r="P572" s="16" t="str">
        <f t="shared" si="184"/>
        <v/>
      </c>
      <c r="Q572" s="16" t="str">
        <f t="shared" si="185"/>
        <v/>
      </c>
      <c r="R572" s="23" t="str">
        <f t="shared" si="186"/>
        <v/>
      </c>
      <c r="S572" s="23" t="str">
        <f t="shared" si="187"/>
        <v/>
      </c>
      <c r="T572" s="23" t="str">
        <f t="shared" si="188"/>
        <v/>
      </c>
      <c r="U572" s="23" t="str">
        <f t="shared" si="189"/>
        <v/>
      </c>
      <c r="V572" s="23" t="str">
        <f t="shared" si="190"/>
        <v/>
      </c>
      <c r="W572" s="70" t="str">
        <f t="shared" si="191"/>
        <v/>
      </c>
      <c r="X572" s="70" t="str">
        <f t="shared" si="192"/>
        <v/>
      </c>
      <c r="Y572" s="70" t="str">
        <f>IF(AND($A572&lt;&gt;"",$E572&gt;0),isLaptopBag($C572,$J572)*$D572,"")</f>
        <v/>
      </c>
      <c r="Z572" s="70" t="str">
        <f t="shared" si="193"/>
        <v/>
      </c>
      <c r="AA572" s="70" t="str">
        <f t="shared" si="194"/>
        <v/>
      </c>
      <c r="AB572" s="70" t="str">
        <f t="shared" si="195"/>
        <v/>
      </c>
      <c r="AC572" s="70" t="str">
        <f t="shared" si="196"/>
        <v/>
      </c>
      <c r="AD572" s="70" t="str">
        <f t="shared" si="197"/>
        <v/>
      </c>
      <c r="AE572" s="70" t="str">
        <f t="shared" si="198"/>
        <v/>
      </c>
      <c r="AF572" s="16"/>
      <c r="AG572" s="23"/>
      <c r="AH572" s="22"/>
      <c r="AJ572" s="83">
        <f t="shared" si="199"/>
        <v>0</v>
      </c>
      <c r="AO572" s="22" t="str">
        <f t="shared" si="200"/>
        <v/>
      </c>
      <c r="AP572" s="22" t="str">
        <f t="shared" si="201"/>
        <v/>
      </c>
    </row>
    <row r="573" spans="1:42" x14ac:dyDescent="0.25">
      <c r="A573" s="10"/>
      <c r="B573" s="10"/>
      <c r="C573" s="10"/>
      <c r="D573" s="10"/>
      <c r="E573" s="10"/>
      <c r="F573" s="10"/>
      <c r="G573" s="10"/>
      <c r="H573" s="17"/>
      <c r="I573" s="10"/>
      <c r="J573" s="10"/>
      <c r="K573" s="16" t="str">
        <f t="shared" si="180"/>
        <v/>
      </c>
      <c r="L573" s="23" t="str">
        <f t="shared" si="181"/>
        <v/>
      </c>
      <c r="M573" s="22" t="str">
        <f t="shared" si="182"/>
        <v/>
      </c>
      <c r="N573" s="72"/>
      <c r="O573" s="16" t="str">
        <f t="shared" si="183"/>
        <v/>
      </c>
      <c r="P573" s="16" t="str">
        <f t="shared" si="184"/>
        <v/>
      </c>
      <c r="Q573" s="16" t="str">
        <f t="shared" si="185"/>
        <v/>
      </c>
      <c r="R573" s="23" t="str">
        <f t="shared" si="186"/>
        <v/>
      </c>
      <c r="S573" s="23" t="str">
        <f t="shared" si="187"/>
        <v/>
      </c>
      <c r="T573" s="23" t="str">
        <f t="shared" si="188"/>
        <v/>
      </c>
      <c r="U573" s="23" t="str">
        <f t="shared" si="189"/>
        <v/>
      </c>
      <c r="V573" s="23" t="str">
        <f t="shared" si="190"/>
        <v/>
      </c>
      <c r="W573" s="70" t="str">
        <f t="shared" si="191"/>
        <v/>
      </c>
      <c r="X573" s="70" t="str">
        <f t="shared" si="192"/>
        <v/>
      </c>
      <c r="Y573" s="70" t="str">
        <f>IF(AND($A573&lt;&gt;"",$E573&gt;0),isLaptopBag($C573,$J573)*$D573,"")</f>
        <v/>
      </c>
      <c r="Z573" s="70" t="str">
        <f t="shared" si="193"/>
        <v/>
      </c>
      <c r="AA573" s="70" t="str">
        <f t="shared" si="194"/>
        <v/>
      </c>
      <c r="AB573" s="70" t="str">
        <f t="shared" si="195"/>
        <v/>
      </c>
      <c r="AC573" s="70" t="str">
        <f t="shared" si="196"/>
        <v/>
      </c>
      <c r="AD573" s="70" t="str">
        <f t="shared" si="197"/>
        <v/>
      </c>
      <c r="AE573" s="70" t="str">
        <f t="shared" si="198"/>
        <v/>
      </c>
      <c r="AF573" s="16"/>
      <c r="AG573" s="23"/>
      <c r="AH573" s="22"/>
      <c r="AJ573" s="83">
        <f t="shared" si="199"/>
        <v>0</v>
      </c>
      <c r="AO573" s="22" t="str">
        <f t="shared" si="200"/>
        <v/>
      </c>
      <c r="AP573" s="22" t="str">
        <f t="shared" si="201"/>
        <v/>
      </c>
    </row>
    <row r="574" spans="1:42" x14ac:dyDescent="0.25">
      <c r="A574" s="10"/>
      <c r="B574" s="10"/>
      <c r="C574" s="10"/>
      <c r="D574" s="10"/>
      <c r="E574" s="10"/>
      <c r="F574" s="10"/>
      <c r="G574" s="10"/>
      <c r="H574" s="17"/>
      <c r="I574" s="10"/>
      <c r="J574" s="10"/>
      <c r="K574" s="16" t="str">
        <f t="shared" si="180"/>
        <v/>
      </c>
      <c r="L574" s="23" t="str">
        <f t="shared" si="181"/>
        <v/>
      </c>
      <c r="M574" s="22" t="str">
        <f t="shared" si="182"/>
        <v/>
      </c>
      <c r="N574" s="72"/>
      <c r="O574" s="16" t="str">
        <f t="shared" si="183"/>
        <v/>
      </c>
      <c r="P574" s="16" t="str">
        <f t="shared" si="184"/>
        <v/>
      </c>
      <c r="Q574" s="16" t="str">
        <f t="shared" si="185"/>
        <v/>
      </c>
      <c r="R574" s="23" t="str">
        <f t="shared" si="186"/>
        <v/>
      </c>
      <c r="S574" s="23" t="str">
        <f t="shared" si="187"/>
        <v/>
      </c>
      <c r="T574" s="23" t="str">
        <f t="shared" si="188"/>
        <v/>
      </c>
      <c r="U574" s="23" t="str">
        <f t="shared" si="189"/>
        <v/>
      </c>
      <c r="V574" s="23" t="str">
        <f t="shared" si="190"/>
        <v/>
      </c>
      <c r="W574" s="70" t="str">
        <f t="shared" si="191"/>
        <v/>
      </c>
      <c r="X574" s="70" t="str">
        <f t="shared" si="192"/>
        <v/>
      </c>
      <c r="Y574" s="70" t="str">
        <f>IF(AND($A574&lt;&gt;"",$E574&gt;0),isLaptopBag($C574,$J574)*$D574,"")</f>
        <v/>
      </c>
      <c r="Z574" s="70" t="str">
        <f t="shared" si="193"/>
        <v/>
      </c>
      <c r="AA574" s="70" t="str">
        <f t="shared" si="194"/>
        <v/>
      </c>
      <c r="AB574" s="70" t="str">
        <f t="shared" si="195"/>
        <v/>
      </c>
      <c r="AC574" s="70" t="str">
        <f t="shared" si="196"/>
        <v/>
      </c>
      <c r="AD574" s="70" t="str">
        <f t="shared" si="197"/>
        <v/>
      </c>
      <c r="AE574" s="70" t="str">
        <f t="shared" si="198"/>
        <v/>
      </c>
      <c r="AF574" s="16"/>
      <c r="AG574" s="23"/>
      <c r="AH574" s="22"/>
      <c r="AJ574" s="83">
        <f t="shared" si="199"/>
        <v>0</v>
      </c>
      <c r="AO574" s="22" t="str">
        <f t="shared" si="200"/>
        <v/>
      </c>
      <c r="AP574" s="22" t="str">
        <f t="shared" si="201"/>
        <v/>
      </c>
    </row>
    <row r="575" spans="1:42" x14ac:dyDescent="0.25">
      <c r="A575" s="10"/>
      <c r="B575" s="10"/>
      <c r="C575" s="10"/>
      <c r="D575" s="10"/>
      <c r="E575" s="10"/>
      <c r="F575" s="10"/>
      <c r="G575" s="10"/>
      <c r="H575" s="17"/>
      <c r="I575" s="10"/>
      <c r="J575" s="10"/>
      <c r="K575" s="16" t="str">
        <f t="shared" si="180"/>
        <v/>
      </c>
      <c r="L575" s="23" t="str">
        <f t="shared" si="181"/>
        <v/>
      </c>
      <c r="M575" s="22" t="str">
        <f t="shared" si="182"/>
        <v/>
      </c>
      <c r="N575" s="72"/>
      <c r="O575" s="16" t="str">
        <f t="shared" si="183"/>
        <v/>
      </c>
      <c r="P575" s="16" t="str">
        <f t="shared" si="184"/>
        <v/>
      </c>
      <c r="Q575" s="16" t="str">
        <f t="shared" si="185"/>
        <v/>
      </c>
      <c r="R575" s="23" t="str">
        <f t="shared" si="186"/>
        <v/>
      </c>
      <c r="S575" s="23" t="str">
        <f t="shared" si="187"/>
        <v/>
      </c>
      <c r="T575" s="23" t="str">
        <f t="shared" si="188"/>
        <v/>
      </c>
      <c r="U575" s="23" t="str">
        <f t="shared" si="189"/>
        <v/>
      </c>
      <c r="V575" s="23" t="str">
        <f t="shared" si="190"/>
        <v/>
      </c>
      <c r="W575" s="70" t="str">
        <f t="shared" si="191"/>
        <v/>
      </c>
      <c r="X575" s="70" t="str">
        <f t="shared" si="192"/>
        <v/>
      </c>
      <c r="Y575" s="70" t="str">
        <f>IF(AND($A575&lt;&gt;"",$E575&gt;0),isLaptopBag($C575,$J575)*$D575,"")</f>
        <v/>
      </c>
      <c r="Z575" s="70" t="str">
        <f t="shared" si="193"/>
        <v/>
      </c>
      <c r="AA575" s="70" t="str">
        <f t="shared" si="194"/>
        <v/>
      </c>
      <c r="AB575" s="70" t="str">
        <f t="shared" si="195"/>
        <v/>
      </c>
      <c r="AC575" s="70" t="str">
        <f t="shared" si="196"/>
        <v/>
      </c>
      <c r="AD575" s="70" t="str">
        <f t="shared" si="197"/>
        <v/>
      </c>
      <c r="AE575" s="70" t="str">
        <f t="shared" si="198"/>
        <v/>
      </c>
      <c r="AF575" s="16"/>
      <c r="AG575" s="23"/>
      <c r="AH575" s="22"/>
      <c r="AJ575" s="83">
        <f t="shared" si="199"/>
        <v>0</v>
      </c>
      <c r="AO575" s="22" t="str">
        <f t="shared" si="200"/>
        <v/>
      </c>
      <c r="AP575" s="22" t="str">
        <f t="shared" si="201"/>
        <v/>
      </c>
    </row>
    <row r="576" spans="1:42" x14ac:dyDescent="0.25">
      <c r="A576" s="10"/>
      <c r="B576" s="10"/>
      <c r="C576" s="10"/>
      <c r="D576" s="10"/>
      <c r="E576" s="10"/>
      <c r="F576" s="10"/>
      <c r="G576" s="10"/>
      <c r="H576" s="17"/>
      <c r="I576" s="10"/>
      <c r="J576" s="10"/>
      <c r="K576" s="16" t="str">
        <f t="shared" si="180"/>
        <v/>
      </c>
      <c r="L576" s="23" t="str">
        <f t="shared" si="181"/>
        <v/>
      </c>
      <c r="M576" s="22" t="str">
        <f t="shared" si="182"/>
        <v/>
      </c>
      <c r="N576" s="72"/>
      <c r="O576" s="16" t="str">
        <f t="shared" si="183"/>
        <v/>
      </c>
      <c r="P576" s="16" t="str">
        <f t="shared" si="184"/>
        <v/>
      </c>
      <c r="Q576" s="16" t="str">
        <f t="shared" si="185"/>
        <v/>
      </c>
      <c r="R576" s="23" t="str">
        <f t="shared" si="186"/>
        <v/>
      </c>
      <c r="S576" s="23" t="str">
        <f t="shared" si="187"/>
        <v/>
      </c>
      <c r="T576" s="23" t="str">
        <f t="shared" si="188"/>
        <v/>
      </c>
      <c r="U576" s="23" t="str">
        <f t="shared" si="189"/>
        <v/>
      </c>
      <c r="V576" s="23" t="str">
        <f t="shared" si="190"/>
        <v/>
      </c>
      <c r="W576" s="70" t="str">
        <f t="shared" si="191"/>
        <v/>
      </c>
      <c r="X576" s="70" t="str">
        <f t="shared" si="192"/>
        <v/>
      </c>
      <c r="Y576" s="70" t="str">
        <f>IF(AND($A576&lt;&gt;"",$E576&gt;0),isLaptopBag($C576,$J576)*$D576,"")</f>
        <v/>
      </c>
      <c r="Z576" s="70" t="str">
        <f t="shared" si="193"/>
        <v/>
      </c>
      <c r="AA576" s="70" t="str">
        <f t="shared" si="194"/>
        <v/>
      </c>
      <c r="AB576" s="70" t="str">
        <f t="shared" si="195"/>
        <v/>
      </c>
      <c r="AC576" s="70" t="str">
        <f t="shared" si="196"/>
        <v/>
      </c>
      <c r="AD576" s="70" t="str">
        <f t="shared" si="197"/>
        <v/>
      </c>
      <c r="AE576" s="70" t="str">
        <f t="shared" si="198"/>
        <v/>
      </c>
      <c r="AF576" s="16"/>
      <c r="AG576" s="23"/>
      <c r="AH576" s="22"/>
      <c r="AJ576" s="83">
        <f t="shared" si="199"/>
        <v>0</v>
      </c>
      <c r="AO576" s="22" t="str">
        <f t="shared" si="200"/>
        <v/>
      </c>
      <c r="AP576" s="22" t="str">
        <f t="shared" si="201"/>
        <v/>
      </c>
    </row>
    <row r="577" spans="1:42" x14ac:dyDescent="0.25">
      <c r="A577" s="10"/>
      <c r="B577" s="10"/>
      <c r="C577" s="10"/>
      <c r="D577" s="10"/>
      <c r="E577" s="10"/>
      <c r="F577" s="10"/>
      <c r="G577" s="10"/>
      <c r="H577" s="17"/>
      <c r="I577" s="10"/>
      <c r="J577" s="10"/>
      <c r="K577" s="16" t="str">
        <f t="shared" si="180"/>
        <v/>
      </c>
      <c r="L577" s="23" t="str">
        <f t="shared" si="181"/>
        <v/>
      </c>
      <c r="M577" s="22" t="str">
        <f t="shared" si="182"/>
        <v/>
      </c>
      <c r="N577" s="72"/>
      <c r="O577" s="16" t="str">
        <f t="shared" si="183"/>
        <v/>
      </c>
      <c r="P577" s="16" t="str">
        <f t="shared" si="184"/>
        <v/>
      </c>
      <c r="Q577" s="16" t="str">
        <f t="shared" si="185"/>
        <v/>
      </c>
      <c r="R577" s="23" t="str">
        <f t="shared" si="186"/>
        <v/>
      </c>
      <c r="S577" s="23" t="str">
        <f t="shared" si="187"/>
        <v/>
      </c>
      <c r="T577" s="23" t="str">
        <f t="shared" si="188"/>
        <v/>
      </c>
      <c r="U577" s="23" t="str">
        <f t="shared" si="189"/>
        <v/>
      </c>
      <c r="V577" s="23" t="str">
        <f t="shared" si="190"/>
        <v/>
      </c>
      <c r="W577" s="70" t="str">
        <f t="shared" si="191"/>
        <v/>
      </c>
      <c r="X577" s="70" t="str">
        <f t="shared" si="192"/>
        <v/>
      </c>
      <c r="Y577" s="70" t="str">
        <f>IF(AND($A577&lt;&gt;"",$E577&gt;0),isLaptopBag($C577,$J577)*$D577,"")</f>
        <v/>
      </c>
      <c r="Z577" s="70" t="str">
        <f t="shared" si="193"/>
        <v/>
      </c>
      <c r="AA577" s="70" t="str">
        <f t="shared" si="194"/>
        <v/>
      </c>
      <c r="AB577" s="70" t="str">
        <f t="shared" si="195"/>
        <v/>
      </c>
      <c r="AC577" s="70" t="str">
        <f t="shared" si="196"/>
        <v/>
      </c>
      <c r="AD577" s="70" t="str">
        <f t="shared" si="197"/>
        <v/>
      </c>
      <c r="AE577" s="70" t="str">
        <f t="shared" si="198"/>
        <v/>
      </c>
      <c r="AF577" s="16"/>
      <c r="AG577" s="23"/>
      <c r="AH577" s="22"/>
      <c r="AJ577" s="83">
        <f t="shared" si="199"/>
        <v>0</v>
      </c>
      <c r="AO577" s="22" t="str">
        <f t="shared" si="200"/>
        <v/>
      </c>
      <c r="AP577" s="22" t="str">
        <f t="shared" si="201"/>
        <v/>
      </c>
    </row>
    <row r="578" spans="1:42" x14ac:dyDescent="0.25">
      <c r="A578" s="10"/>
      <c r="B578" s="10"/>
      <c r="C578" s="10"/>
      <c r="D578" s="10"/>
      <c r="E578" s="10"/>
      <c r="F578" s="10"/>
      <c r="G578" s="10"/>
      <c r="H578" s="17"/>
      <c r="I578" s="10"/>
      <c r="J578" s="10"/>
      <c r="K578" s="16" t="str">
        <f t="shared" si="180"/>
        <v/>
      </c>
      <c r="L578" s="23" t="str">
        <f t="shared" si="181"/>
        <v/>
      </c>
      <c r="M578" s="22" t="str">
        <f t="shared" si="182"/>
        <v/>
      </c>
      <c r="N578" s="72"/>
      <c r="O578" s="16" t="str">
        <f t="shared" si="183"/>
        <v/>
      </c>
      <c r="P578" s="16" t="str">
        <f t="shared" si="184"/>
        <v/>
      </c>
      <c r="Q578" s="16" t="str">
        <f t="shared" si="185"/>
        <v/>
      </c>
      <c r="R578" s="23" t="str">
        <f t="shared" si="186"/>
        <v/>
      </c>
      <c r="S578" s="23" t="str">
        <f t="shared" si="187"/>
        <v/>
      </c>
      <c r="T578" s="23" t="str">
        <f t="shared" si="188"/>
        <v/>
      </c>
      <c r="U578" s="23" t="str">
        <f t="shared" si="189"/>
        <v/>
      </c>
      <c r="V578" s="23" t="str">
        <f t="shared" si="190"/>
        <v/>
      </c>
      <c r="W578" s="70" t="str">
        <f t="shared" si="191"/>
        <v/>
      </c>
      <c r="X578" s="70" t="str">
        <f t="shared" si="192"/>
        <v/>
      </c>
      <c r="Y578" s="70" t="str">
        <f>IF(AND($A578&lt;&gt;"",$E578&gt;0),isLaptopBag($C578,$J578)*$D578,"")</f>
        <v/>
      </c>
      <c r="Z578" s="70" t="str">
        <f t="shared" si="193"/>
        <v/>
      </c>
      <c r="AA578" s="70" t="str">
        <f t="shared" si="194"/>
        <v/>
      </c>
      <c r="AB578" s="70" t="str">
        <f t="shared" si="195"/>
        <v/>
      </c>
      <c r="AC578" s="70" t="str">
        <f t="shared" si="196"/>
        <v/>
      </c>
      <c r="AD578" s="70" t="str">
        <f t="shared" si="197"/>
        <v/>
      </c>
      <c r="AE578" s="70" t="str">
        <f t="shared" si="198"/>
        <v/>
      </c>
      <c r="AF578" s="16"/>
      <c r="AG578" s="23"/>
      <c r="AH578" s="22"/>
      <c r="AJ578" s="83">
        <f t="shared" si="199"/>
        <v>0</v>
      </c>
      <c r="AO578" s="22" t="str">
        <f t="shared" si="200"/>
        <v/>
      </c>
      <c r="AP578" s="22" t="str">
        <f t="shared" si="201"/>
        <v/>
      </c>
    </row>
    <row r="579" spans="1:42" x14ac:dyDescent="0.25">
      <c r="A579" s="10"/>
      <c r="B579" s="10"/>
      <c r="C579" s="10"/>
      <c r="D579" s="10"/>
      <c r="E579" s="10"/>
      <c r="F579" s="10"/>
      <c r="G579" s="10"/>
      <c r="H579" s="17"/>
      <c r="I579" s="10"/>
      <c r="J579" s="10"/>
      <c r="K579" s="16" t="str">
        <f t="shared" si="180"/>
        <v/>
      </c>
      <c r="L579" s="23" t="str">
        <f t="shared" si="181"/>
        <v/>
      </c>
      <c r="M579" s="22" t="str">
        <f t="shared" si="182"/>
        <v/>
      </c>
      <c r="N579" s="72"/>
      <c r="O579" s="16" t="str">
        <f t="shared" si="183"/>
        <v/>
      </c>
      <c r="P579" s="16" t="str">
        <f t="shared" si="184"/>
        <v/>
      </c>
      <c r="Q579" s="16" t="str">
        <f t="shared" si="185"/>
        <v/>
      </c>
      <c r="R579" s="23" t="str">
        <f t="shared" si="186"/>
        <v/>
      </c>
      <c r="S579" s="23" t="str">
        <f t="shared" si="187"/>
        <v/>
      </c>
      <c r="T579" s="23" t="str">
        <f t="shared" si="188"/>
        <v/>
      </c>
      <c r="U579" s="23" t="str">
        <f t="shared" si="189"/>
        <v/>
      </c>
      <c r="V579" s="23" t="str">
        <f t="shared" si="190"/>
        <v/>
      </c>
      <c r="W579" s="70" t="str">
        <f t="shared" si="191"/>
        <v/>
      </c>
      <c r="X579" s="70" t="str">
        <f t="shared" si="192"/>
        <v/>
      </c>
      <c r="Y579" s="70" t="str">
        <f>IF(AND($A579&lt;&gt;"",$E579&gt;0),isLaptopBag($C579,$J579)*$D579,"")</f>
        <v/>
      </c>
      <c r="Z579" s="70" t="str">
        <f t="shared" si="193"/>
        <v/>
      </c>
      <c r="AA579" s="70" t="str">
        <f t="shared" si="194"/>
        <v/>
      </c>
      <c r="AB579" s="70" t="str">
        <f t="shared" si="195"/>
        <v/>
      </c>
      <c r="AC579" s="70" t="str">
        <f t="shared" si="196"/>
        <v/>
      </c>
      <c r="AD579" s="70" t="str">
        <f t="shared" si="197"/>
        <v/>
      </c>
      <c r="AE579" s="70" t="str">
        <f t="shared" si="198"/>
        <v/>
      </c>
      <c r="AF579" s="16"/>
      <c r="AG579" s="23"/>
      <c r="AH579" s="22"/>
      <c r="AJ579" s="83">
        <f t="shared" si="199"/>
        <v>0</v>
      </c>
      <c r="AO579" s="22" t="str">
        <f t="shared" si="200"/>
        <v/>
      </c>
      <c r="AP579" s="22" t="str">
        <f t="shared" si="201"/>
        <v/>
      </c>
    </row>
    <row r="580" spans="1:42" x14ac:dyDescent="0.25">
      <c r="A580" s="10"/>
      <c r="B580" s="10"/>
      <c r="C580" s="10"/>
      <c r="D580" s="10"/>
      <c r="E580" s="10"/>
      <c r="F580" s="10"/>
      <c r="G580" s="10"/>
      <c r="H580" s="17"/>
      <c r="I580" s="10"/>
      <c r="J580" s="10"/>
      <c r="K580" s="16" t="str">
        <f t="shared" si="180"/>
        <v/>
      </c>
      <c r="L580" s="23" t="str">
        <f t="shared" si="181"/>
        <v/>
      </c>
      <c r="M580" s="22" t="str">
        <f t="shared" si="182"/>
        <v/>
      </c>
      <c r="N580" s="72"/>
      <c r="O580" s="16" t="str">
        <f t="shared" si="183"/>
        <v/>
      </c>
      <c r="P580" s="16" t="str">
        <f t="shared" si="184"/>
        <v/>
      </c>
      <c r="Q580" s="16" t="str">
        <f t="shared" si="185"/>
        <v/>
      </c>
      <c r="R580" s="23" t="str">
        <f t="shared" si="186"/>
        <v/>
      </c>
      <c r="S580" s="23" t="str">
        <f t="shared" si="187"/>
        <v/>
      </c>
      <c r="T580" s="23" t="str">
        <f t="shared" si="188"/>
        <v/>
      </c>
      <c r="U580" s="23" t="str">
        <f t="shared" si="189"/>
        <v/>
      </c>
      <c r="V580" s="23" t="str">
        <f t="shared" si="190"/>
        <v/>
      </c>
      <c r="W580" s="70" t="str">
        <f t="shared" si="191"/>
        <v/>
      </c>
      <c r="X580" s="70" t="str">
        <f t="shared" si="192"/>
        <v/>
      </c>
      <c r="Y580" s="70" t="str">
        <f>IF(AND($A580&lt;&gt;"",$E580&gt;0),isLaptopBag($C580,$J580)*$D580,"")</f>
        <v/>
      </c>
      <c r="Z580" s="70" t="str">
        <f t="shared" si="193"/>
        <v/>
      </c>
      <c r="AA580" s="70" t="str">
        <f t="shared" si="194"/>
        <v/>
      </c>
      <c r="AB580" s="70" t="str">
        <f t="shared" si="195"/>
        <v/>
      </c>
      <c r="AC580" s="70" t="str">
        <f t="shared" si="196"/>
        <v/>
      </c>
      <c r="AD580" s="70" t="str">
        <f t="shared" si="197"/>
        <v/>
      </c>
      <c r="AE580" s="70" t="str">
        <f t="shared" si="198"/>
        <v/>
      </c>
      <c r="AF580" s="16"/>
      <c r="AG580" s="23"/>
      <c r="AH580" s="22"/>
      <c r="AJ580" s="83">
        <f t="shared" si="199"/>
        <v>0</v>
      </c>
      <c r="AO580" s="22" t="str">
        <f t="shared" si="200"/>
        <v/>
      </c>
      <c r="AP580" s="22" t="str">
        <f t="shared" si="201"/>
        <v/>
      </c>
    </row>
    <row r="581" spans="1:42" x14ac:dyDescent="0.25">
      <c r="A581" s="10"/>
      <c r="B581" s="10"/>
      <c r="C581" s="10"/>
      <c r="D581" s="10"/>
      <c r="E581" s="10"/>
      <c r="F581" s="10"/>
      <c r="G581" s="10"/>
      <c r="H581" s="17"/>
      <c r="I581" s="10"/>
      <c r="J581" s="10"/>
      <c r="K581" s="16" t="str">
        <f t="shared" si="180"/>
        <v/>
      </c>
      <c r="L581" s="23" t="str">
        <f t="shared" si="181"/>
        <v/>
      </c>
      <c r="M581" s="22" t="str">
        <f t="shared" si="182"/>
        <v/>
      </c>
      <c r="N581" s="72"/>
      <c r="O581" s="16" t="str">
        <f t="shared" si="183"/>
        <v/>
      </c>
      <c r="P581" s="16" t="str">
        <f t="shared" si="184"/>
        <v/>
      </c>
      <c r="Q581" s="16" t="str">
        <f t="shared" si="185"/>
        <v/>
      </c>
      <c r="R581" s="23" t="str">
        <f t="shared" si="186"/>
        <v/>
      </c>
      <c r="S581" s="23" t="str">
        <f t="shared" si="187"/>
        <v/>
      </c>
      <c r="T581" s="23" t="str">
        <f t="shared" si="188"/>
        <v/>
      </c>
      <c r="U581" s="23" t="str">
        <f t="shared" si="189"/>
        <v/>
      </c>
      <c r="V581" s="23" t="str">
        <f t="shared" si="190"/>
        <v/>
      </c>
      <c r="W581" s="70" t="str">
        <f t="shared" si="191"/>
        <v/>
      </c>
      <c r="X581" s="70" t="str">
        <f t="shared" si="192"/>
        <v/>
      </c>
      <c r="Y581" s="70" t="str">
        <f>IF(AND($A581&lt;&gt;"",$E581&gt;0),isLaptopBag($C581,$J581)*$D581,"")</f>
        <v/>
      </c>
      <c r="Z581" s="70" t="str">
        <f t="shared" si="193"/>
        <v/>
      </c>
      <c r="AA581" s="70" t="str">
        <f t="shared" si="194"/>
        <v/>
      </c>
      <c r="AB581" s="70" t="str">
        <f t="shared" si="195"/>
        <v/>
      </c>
      <c r="AC581" s="70" t="str">
        <f t="shared" si="196"/>
        <v/>
      </c>
      <c r="AD581" s="70" t="str">
        <f t="shared" si="197"/>
        <v/>
      </c>
      <c r="AE581" s="70" t="str">
        <f t="shared" si="198"/>
        <v/>
      </c>
      <c r="AF581" s="16"/>
      <c r="AG581" s="23"/>
      <c r="AH581" s="22"/>
      <c r="AJ581" s="83">
        <f t="shared" si="199"/>
        <v>0</v>
      </c>
      <c r="AO581" s="22" t="str">
        <f t="shared" si="200"/>
        <v/>
      </c>
      <c r="AP581" s="22" t="str">
        <f t="shared" si="201"/>
        <v/>
      </c>
    </row>
    <row r="582" spans="1:42" x14ac:dyDescent="0.25">
      <c r="A582" s="10"/>
      <c r="B582" s="10"/>
      <c r="C582" s="10"/>
      <c r="D582" s="10"/>
      <c r="E582" s="10"/>
      <c r="F582" s="10"/>
      <c r="G582" s="10"/>
      <c r="H582" s="17"/>
      <c r="I582" s="10"/>
      <c r="J582" s="10"/>
      <c r="K582" s="16" t="str">
        <f t="shared" si="180"/>
        <v/>
      </c>
      <c r="L582" s="23" t="str">
        <f t="shared" si="181"/>
        <v/>
      </c>
      <c r="M582" s="22" t="str">
        <f t="shared" si="182"/>
        <v/>
      </c>
      <c r="N582" s="72"/>
      <c r="O582" s="16" t="str">
        <f t="shared" si="183"/>
        <v/>
      </c>
      <c r="P582" s="16" t="str">
        <f t="shared" si="184"/>
        <v/>
      </c>
      <c r="Q582" s="16" t="str">
        <f t="shared" si="185"/>
        <v/>
      </c>
      <c r="R582" s="23" t="str">
        <f t="shared" si="186"/>
        <v/>
      </c>
      <c r="S582" s="23" t="str">
        <f t="shared" si="187"/>
        <v/>
      </c>
      <c r="T582" s="23" t="str">
        <f t="shared" si="188"/>
        <v/>
      </c>
      <c r="U582" s="23" t="str">
        <f t="shared" si="189"/>
        <v/>
      </c>
      <c r="V582" s="23" t="str">
        <f t="shared" si="190"/>
        <v/>
      </c>
      <c r="W582" s="70" t="str">
        <f t="shared" si="191"/>
        <v/>
      </c>
      <c r="X582" s="70" t="str">
        <f t="shared" si="192"/>
        <v/>
      </c>
      <c r="Y582" s="70" t="str">
        <f>IF(AND($A582&lt;&gt;"",$E582&gt;0),isLaptopBag($C582,$J582)*$D582,"")</f>
        <v/>
      </c>
      <c r="Z582" s="70" t="str">
        <f t="shared" si="193"/>
        <v/>
      </c>
      <c r="AA582" s="70" t="str">
        <f t="shared" si="194"/>
        <v/>
      </c>
      <c r="AB582" s="70" t="str">
        <f t="shared" si="195"/>
        <v/>
      </c>
      <c r="AC582" s="70" t="str">
        <f t="shared" si="196"/>
        <v/>
      </c>
      <c r="AD582" s="70" t="str">
        <f t="shared" si="197"/>
        <v/>
      </c>
      <c r="AE582" s="70" t="str">
        <f t="shared" si="198"/>
        <v/>
      </c>
      <c r="AF582" s="16"/>
      <c r="AG582" s="23"/>
      <c r="AH582" s="22"/>
      <c r="AJ582" s="83">
        <f t="shared" si="199"/>
        <v>0</v>
      </c>
      <c r="AO582" s="22" t="str">
        <f t="shared" si="200"/>
        <v/>
      </c>
      <c r="AP582" s="22" t="str">
        <f t="shared" si="201"/>
        <v/>
      </c>
    </row>
    <row r="583" spans="1:42" x14ac:dyDescent="0.25">
      <c r="A583" s="10"/>
      <c r="B583" s="10"/>
      <c r="C583" s="10"/>
      <c r="D583" s="10"/>
      <c r="E583" s="10"/>
      <c r="F583" s="10"/>
      <c r="G583" s="10"/>
      <c r="H583" s="17"/>
      <c r="I583" s="10"/>
      <c r="J583" s="10"/>
      <c r="K583" s="16" t="str">
        <f t="shared" si="180"/>
        <v/>
      </c>
      <c r="L583" s="23" t="str">
        <f t="shared" si="181"/>
        <v/>
      </c>
      <c r="M583" s="22" t="str">
        <f t="shared" si="182"/>
        <v/>
      </c>
      <c r="N583" s="72"/>
      <c r="O583" s="16" t="str">
        <f t="shared" si="183"/>
        <v/>
      </c>
      <c r="P583" s="16" t="str">
        <f t="shared" si="184"/>
        <v/>
      </c>
      <c r="Q583" s="16" t="str">
        <f t="shared" si="185"/>
        <v/>
      </c>
      <c r="R583" s="23" t="str">
        <f t="shared" si="186"/>
        <v/>
      </c>
      <c r="S583" s="23" t="str">
        <f t="shared" si="187"/>
        <v/>
      </c>
      <c r="T583" s="23" t="str">
        <f t="shared" si="188"/>
        <v/>
      </c>
      <c r="U583" s="23" t="str">
        <f t="shared" si="189"/>
        <v/>
      </c>
      <c r="V583" s="23" t="str">
        <f t="shared" si="190"/>
        <v/>
      </c>
      <c r="W583" s="70" t="str">
        <f t="shared" si="191"/>
        <v/>
      </c>
      <c r="X583" s="70" t="str">
        <f t="shared" si="192"/>
        <v/>
      </c>
      <c r="Y583" s="70" t="str">
        <f>IF(AND($A583&lt;&gt;"",$E583&gt;0),isLaptopBag($C583,$J583)*$D583,"")</f>
        <v/>
      </c>
      <c r="Z583" s="70" t="str">
        <f t="shared" si="193"/>
        <v/>
      </c>
      <c r="AA583" s="70" t="str">
        <f t="shared" si="194"/>
        <v/>
      </c>
      <c r="AB583" s="70" t="str">
        <f t="shared" si="195"/>
        <v/>
      </c>
      <c r="AC583" s="70" t="str">
        <f t="shared" si="196"/>
        <v/>
      </c>
      <c r="AD583" s="70" t="str">
        <f t="shared" si="197"/>
        <v/>
      </c>
      <c r="AE583" s="70" t="str">
        <f t="shared" si="198"/>
        <v/>
      </c>
      <c r="AF583" s="16"/>
      <c r="AG583" s="23"/>
      <c r="AH583" s="22"/>
      <c r="AJ583" s="83">
        <f t="shared" si="199"/>
        <v>0</v>
      </c>
      <c r="AO583" s="22" t="str">
        <f t="shared" si="200"/>
        <v/>
      </c>
      <c r="AP583" s="22" t="str">
        <f t="shared" si="201"/>
        <v/>
      </c>
    </row>
    <row r="584" spans="1:42" x14ac:dyDescent="0.25">
      <c r="A584" s="10"/>
      <c r="B584" s="10"/>
      <c r="C584" s="10"/>
      <c r="D584" s="10"/>
      <c r="E584" s="10"/>
      <c r="F584" s="10"/>
      <c r="G584" s="10"/>
      <c r="H584" s="17"/>
      <c r="I584" s="10"/>
      <c r="J584" s="10"/>
      <c r="K584" s="16" t="str">
        <f t="shared" si="180"/>
        <v/>
      </c>
      <c r="L584" s="23" t="str">
        <f t="shared" si="181"/>
        <v/>
      </c>
      <c r="M584" s="22" t="str">
        <f t="shared" si="182"/>
        <v/>
      </c>
      <c r="N584" s="72"/>
      <c r="O584" s="16" t="str">
        <f t="shared" si="183"/>
        <v/>
      </c>
      <c r="P584" s="16" t="str">
        <f t="shared" si="184"/>
        <v/>
      </c>
      <c r="Q584" s="16" t="str">
        <f t="shared" si="185"/>
        <v/>
      </c>
      <c r="R584" s="23" t="str">
        <f t="shared" si="186"/>
        <v/>
      </c>
      <c r="S584" s="23" t="str">
        <f t="shared" si="187"/>
        <v/>
      </c>
      <c r="T584" s="23" t="str">
        <f t="shared" si="188"/>
        <v/>
      </c>
      <c r="U584" s="23" t="str">
        <f t="shared" si="189"/>
        <v/>
      </c>
      <c r="V584" s="23" t="str">
        <f t="shared" si="190"/>
        <v/>
      </c>
      <c r="W584" s="70" t="str">
        <f t="shared" si="191"/>
        <v/>
      </c>
      <c r="X584" s="70" t="str">
        <f t="shared" si="192"/>
        <v/>
      </c>
      <c r="Y584" s="70" t="str">
        <f>IF(AND($A584&lt;&gt;"",$E584&gt;0),isLaptopBag($C584,$J584)*$D584,"")</f>
        <v/>
      </c>
      <c r="Z584" s="70" t="str">
        <f t="shared" si="193"/>
        <v/>
      </c>
      <c r="AA584" s="70" t="str">
        <f t="shared" si="194"/>
        <v/>
      </c>
      <c r="AB584" s="70" t="str">
        <f t="shared" si="195"/>
        <v/>
      </c>
      <c r="AC584" s="70" t="str">
        <f t="shared" si="196"/>
        <v/>
      </c>
      <c r="AD584" s="70" t="str">
        <f t="shared" si="197"/>
        <v/>
      </c>
      <c r="AE584" s="70" t="str">
        <f t="shared" si="198"/>
        <v/>
      </c>
      <c r="AF584" s="16"/>
      <c r="AG584" s="23"/>
      <c r="AH584" s="22"/>
      <c r="AJ584" s="83">
        <f t="shared" si="199"/>
        <v>0</v>
      </c>
      <c r="AO584" s="22" t="str">
        <f t="shared" si="200"/>
        <v/>
      </c>
      <c r="AP584" s="22" t="str">
        <f t="shared" si="201"/>
        <v/>
      </c>
    </row>
    <row r="585" spans="1:42" x14ac:dyDescent="0.25">
      <c r="A585" s="10"/>
      <c r="B585" s="10"/>
      <c r="C585" s="10"/>
      <c r="D585" s="10"/>
      <c r="E585" s="10"/>
      <c r="F585" s="10"/>
      <c r="G585" s="10"/>
      <c r="H585" s="17"/>
      <c r="I585" s="10"/>
      <c r="J585" s="10"/>
      <c r="K585" s="16" t="str">
        <f t="shared" si="180"/>
        <v/>
      </c>
      <c r="L585" s="23" t="str">
        <f t="shared" si="181"/>
        <v/>
      </c>
      <c r="M585" s="22" t="str">
        <f t="shared" si="182"/>
        <v/>
      </c>
      <c r="N585" s="72"/>
      <c r="O585" s="16" t="str">
        <f t="shared" si="183"/>
        <v/>
      </c>
      <c r="P585" s="16" t="str">
        <f t="shared" si="184"/>
        <v/>
      </c>
      <c r="Q585" s="16" t="str">
        <f t="shared" si="185"/>
        <v/>
      </c>
      <c r="R585" s="23" t="str">
        <f t="shared" si="186"/>
        <v/>
      </c>
      <c r="S585" s="23" t="str">
        <f t="shared" si="187"/>
        <v/>
      </c>
      <c r="T585" s="23" t="str">
        <f t="shared" si="188"/>
        <v/>
      </c>
      <c r="U585" s="23" t="str">
        <f t="shared" si="189"/>
        <v/>
      </c>
      <c r="V585" s="23" t="str">
        <f t="shared" si="190"/>
        <v/>
      </c>
      <c r="W585" s="70" t="str">
        <f t="shared" si="191"/>
        <v/>
      </c>
      <c r="X585" s="70" t="str">
        <f t="shared" si="192"/>
        <v/>
      </c>
      <c r="Y585" s="70" t="str">
        <f>IF(AND($A585&lt;&gt;"",$E585&gt;0),isLaptopBag($C585,$J585)*$D585,"")</f>
        <v/>
      </c>
      <c r="Z585" s="70" t="str">
        <f t="shared" si="193"/>
        <v/>
      </c>
      <c r="AA585" s="70" t="str">
        <f t="shared" si="194"/>
        <v/>
      </c>
      <c r="AB585" s="70" t="str">
        <f t="shared" si="195"/>
        <v/>
      </c>
      <c r="AC585" s="70" t="str">
        <f t="shared" si="196"/>
        <v/>
      </c>
      <c r="AD585" s="70" t="str">
        <f t="shared" si="197"/>
        <v/>
      </c>
      <c r="AE585" s="70" t="str">
        <f t="shared" si="198"/>
        <v/>
      </c>
      <c r="AF585" s="16"/>
      <c r="AG585" s="23"/>
      <c r="AH585" s="22"/>
      <c r="AJ585" s="83">
        <f t="shared" si="199"/>
        <v>0</v>
      </c>
      <c r="AO585" s="22" t="str">
        <f t="shared" si="200"/>
        <v/>
      </c>
      <c r="AP585" s="22" t="str">
        <f t="shared" si="201"/>
        <v/>
      </c>
    </row>
    <row r="586" spans="1:42" x14ac:dyDescent="0.25">
      <c r="A586" s="10"/>
      <c r="B586" s="10"/>
      <c r="C586" s="10"/>
      <c r="D586" s="10"/>
      <c r="E586" s="10"/>
      <c r="F586" s="10"/>
      <c r="G586" s="10"/>
      <c r="H586" s="17"/>
      <c r="I586" s="10"/>
      <c r="J586" s="10"/>
      <c r="K586" s="16" t="str">
        <f t="shared" si="180"/>
        <v/>
      </c>
      <c r="L586" s="23" t="str">
        <f t="shared" si="181"/>
        <v/>
      </c>
      <c r="M586" s="22" t="str">
        <f t="shared" si="182"/>
        <v/>
      </c>
      <c r="N586" s="72"/>
      <c r="O586" s="16" t="str">
        <f t="shared" si="183"/>
        <v/>
      </c>
      <c r="P586" s="16" t="str">
        <f t="shared" si="184"/>
        <v/>
      </c>
      <c r="Q586" s="16" t="str">
        <f t="shared" si="185"/>
        <v/>
      </c>
      <c r="R586" s="23" t="str">
        <f t="shared" si="186"/>
        <v/>
      </c>
      <c r="S586" s="23" t="str">
        <f t="shared" si="187"/>
        <v/>
      </c>
      <c r="T586" s="23" t="str">
        <f t="shared" si="188"/>
        <v/>
      </c>
      <c r="U586" s="23" t="str">
        <f t="shared" si="189"/>
        <v/>
      </c>
      <c r="V586" s="23" t="str">
        <f t="shared" si="190"/>
        <v/>
      </c>
      <c r="W586" s="70" t="str">
        <f t="shared" si="191"/>
        <v/>
      </c>
      <c r="X586" s="70" t="str">
        <f t="shared" si="192"/>
        <v/>
      </c>
      <c r="Y586" s="70" t="str">
        <f>IF(AND($A586&lt;&gt;"",$E586&gt;0),isLaptopBag($C586,$J586)*$D586,"")</f>
        <v/>
      </c>
      <c r="Z586" s="70" t="str">
        <f t="shared" si="193"/>
        <v/>
      </c>
      <c r="AA586" s="70" t="str">
        <f t="shared" si="194"/>
        <v/>
      </c>
      <c r="AB586" s="70" t="str">
        <f t="shared" si="195"/>
        <v/>
      </c>
      <c r="AC586" s="70" t="str">
        <f t="shared" si="196"/>
        <v/>
      </c>
      <c r="AD586" s="70" t="str">
        <f t="shared" si="197"/>
        <v/>
      </c>
      <c r="AE586" s="70" t="str">
        <f t="shared" si="198"/>
        <v/>
      </c>
      <c r="AF586" s="16"/>
      <c r="AG586" s="23"/>
      <c r="AH586" s="22"/>
      <c r="AJ586" s="83">
        <f t="shared" si="199"/>
        <v>0</v>
      </c>
      <c r="AO586" s="22" t="str">
        <f t="shared" si="200"/>
        <v/>
      </c>
      <c r="AP586" s="22" t="str">
        <f t="shared" si="201"/>
        <v/>
      </c>
    </row>
    <row r="587" spans="1:42" x14ac:dyDescent="0.25">
      <c r="A587" s="10"/>
      <c r="B587" s="10"/>
      <c r="C587" s="10"/>
      <c r="D587" s="10"/>
      <c r="E587" s="10"/>
      <c r="F587" s="10"/>
      <c r="G587" s="10"/>
      <c r="H587" s="17"/>
      <c r="I587" s="10"/>
      <c r="J587" s="10"/>
      <c r="K587" s="16" t="str">
        <f t="shared" si="180"/>
        <v/>
      </c>
      <c r="L587" s="23" t="str">
        <f t="shared" si="181"/>
        <v/>
      </c>
      <c r="M587" s="22" t="str">
        <f t="shared" si="182"/>
        <v/>
      </c>
      <c r="N587" s="72"/>
      <c r="O587" s="16" t="str">
        <f t="shared" si="183"/>
        <v/>
      </c>
      <c r="P587" s="16" t="str">
        <f t="shared" si="184"/>
        <v/>
      </c>
      <c r="Q587" s="16" t="str">
        <f t="shared" si="185"/>
        <v/>
      </c>
      <c r="R587" s="23" t="str">
        <f t="shared" si="186"/>
        <v/>
      </c>
      <c r="S587" s="23" t="str">
        <f t="shared" si="187"/>
        <v/>
      </c>
      <c r="T587" s="23" t="str">
        <f t="shared" si="188"/>
        <v/>
      </c>
      <c r="U587" s="23" t="str">
        <f t="shared" si="189"/>
        <v/>
      </c>
      <c r="V587" s="23" t="str">
        <f t="shared" si="190"/>
        <v/>
      </c>
      <c r="W587" s="70" t="str">
        <f t="shared" si="191"/>
        <v/>
      </c>
      <c r="X587" s="70" t="str">
        <f t="shared" si="192"/>
        <v/>
      </c>
      <c r="Y587" s="70" t="str">
        <f>IF(AND($A587&lt;&gt;"",$E587&gt;0),isLaptopBag($C587,$J587)*$D587,"")</f>
        <v/>
      </c>
      <c r="Z587" s="70" t="str">
        <f t="shared" si="193"/>
        <v/>
      </c>
      <c r="AA587" s="70" t="str">
        <f t="shared" si="194"/>
        <v/>
      </c>
      <c r="AB587" s="70" t="str">
        <f t="shared" si="195"/>
        <v/>
      </c>
      <c r="AC587" s="70" t="str">
        <f t="shared" si="196"/>
        <v/>
      </c>
      <c r="AD587" s="70" t="str">
        <f t="shared" si="197"/>
        <v/>
      </c>
      <c r="AE587" s="70" t="str">
        <f t="shared" si="198"/>
        <v/>
      </c>
      <c r="AF587" s="16"/>
      <c r="AG587" s="23"/>
      <c r="AH587" s="22"/>
      <c r="AJ587" s="83">
        <f t="shared" si="199"/>
        <v>0</v>
      </c>
      <c r="AO587" s="22" t="str">
        <f t="shared" si="200"/>
        <v/>
      </c>
      <c r="AP587" s="22" t="str">
        <f t="shared" si="201"/>
        <v/>
      </c>
    </row>
    <row r="588" spans="1:42" x14ac:dyDescent="0.25">
      <c r="A588" s="10"/>
      <c r="B588" s="10"/>
      <c r="C588" s="10"/>
      <c r="D588" s="10"/>
      <c r="E588" s="10"/>
      <c r="F588" s="10"/>
      <c r="G588" s="10"/>
      <c r="H588" s="17"/>
      <c r="I588" s="10"/>
      <c r="J588" s="10"/>
      <c r="K588" s="16" t="str">
        <f t="shared" si="180"/>
        <v/>
      </c>
      <c r="L588" s="23" t="str">
        <f t="shared" si="181"/>
        <v/>
      </c>
      <c r="M588" s="22" t="str">
        <f t="shared" si="182"/>
        <v/>
      </c>
      <c r="N588" s="72"/>
      <c r="O588" s="16" t="str">
        <f t="shared" si="183"/>
        <v/>
      </c>
      <c r="P588" s="16" t="str">
        <f t="shared" si="184"/>
        <v/>
      </c>
      <c r="Q588" s="16" t="str">
        <f t="shared" si="185"/>
        <v/>
      </c>
      <c r="R588" s="23" t="str">
        <f t="shared" si="186"/>
        <v/>
      </c>
      <c r="S588" s="23" t="str">
        <f t="shared" si="187"/>
        <v/>
      </c>
      <c r="T588" s="23" t="str">
        <f t="shared" si="188"/>
        <v/>
      </c>
      <c r="U588" s="23" t="str">
        <f t="shared" si="189"/>
        <v/>
      </c>
      <c r="V588" s="23" t="str">
        <f t="shared" si="190"/>
        <v/>
      </c>
      <c r="W588" s="70" t="str">
        <f t="shared" si="191"/>
        <v/>
      </c>
      <c r="X588" s="70" t="str">
        <f t="shared" si="192"/>
        <v/>
      </c>
      <c r="Y588" s="70" t="str">
        <f>IF(AND($A588&lt;&gt;"",$E588&gt;0),isLaptopBag($C588,$J588)*$D588,"")</f>
        <v/>
      </c>
      <c r="Z588" s="70" t="str">
        <f t="shared" si="193"/>
        <v/>
      </c>
      <c r="AA588" s="70" t="str">
        <f t="shared" si="194"/>
        <v/>
      </c>
      <c r="AB588" s="70" t="str">
        <f t="shared" si="195"/>
        <v/>
      </c>
      <c r="AC588" s="70" t="str">
        <f t="shared" si="196"/>
        <v/>
      </c>
      <c r="AD588" s="70" t="str">
        <f t="shared" si="197"/>
        <v/>
      </c>
      <c r="AE588" s="70" t="str">
        <f t="shared" si="198"/>
        <v/>
      </c>
      <c r="AF588" s="16"/>
      <c r="AG588" s="23"/>
      <c r="AH588" s="22"/>
      <c r="AJ588" s="83">
        <f t="shared" si="199"/>
        <v>0</v>
      </c>
      <c r="AO588" s="22" t="str">
        <f t="shared" si="200"/>
        <v/>
      </c>
      <c r="AP588" s="22" t="str">
        <f t="shared" si="201"/>
        <v/>
      </c>
    </row>
    <row r="589" spans="1:42" x14ac:dyDescent="0.25">
      <c r="A589" s="10"/>
      <c r="B589" s="10"/>
      <c r="C589" s="10"/>
      <c r="D589" s="10"/>
      <c r="E589" s="10"/>
      <c r="F589" s="10"/>
      <c r="G589" s="10"/>
      <c r="H589" s="17"/>
      <c r="I589" s="10"/>
      <c r="J589" s="10"/>
      <c r="K589" s="16" t="str">
        <f t="shared" ref="K589:K652" si="202">IF($AF589&lt;&gt;"",$AF589,IF(AND($A589&lt;&gt;"",$E589&gt;0),SUM($O589:$Q589),""))</f>
        <v/>
      </c>
      <c r="L589" s="23" t="str">
        <f t="shared" ref="L589:L652" si="203">IF($AG589&lt;&gt;"",$AG589,IF(AND($A589&lt;&gt;"",$E589&gt;0),SUM($R589:$V589),""))</f>
        <v/>
      </c>
      <c r="M589" s="22" t="str">
        <f t="shared" ref="M589:M652" si="204">IF($AH589&lt;&gt;"",$AH589,IF(AND($A589&lt;&gt;"",$E589&gt;0),SUM($W589:$AE589)+$AO589+$AP589,""))</f>
        <v/>
      </c>
      <c r="N589" s="72"/>
      <c r="O589" s="16" t="str">
        <f t="shared" ref="O589:O652" si="205">IF(AND($A589&lt;&gt;"",$E589&gt;0),IF(AND($J589="SONY",200000&lt;=$E589,$E589&lt;1000000),5000*$D589,0),"")</f>
        <v/>
      </c>
      <c r="P589" s="16" t="str">
        <f t="shared" ref="P589:P652" si="206">IF(AND($A589&lt;&gt;"",$E589&gt;0),IF(AND($J589="SONY",1000000&lt;=$E589,$E589&lt;2000000),10000*$D589,0),"")</f>
        <v/>
      </c>
      <c r="Q589" s="16" t="str">
        <f t="shared" ref="Q589:Q652" si="207">IF(AND($A589&lt;&gt;"",$E589&gt;0),IF(AND($J589="SONY",$E589&gt;=2000000),20000*$D589,0),"")</f>
        <v/>
      </c>
      <c r="R589" s="23" t="str">
        <f t="shared" ref="R589:R652" si="208">IF(AND($A589&lt;&gt;"",$E589&gt;0),IF(AND($J589&lt;&gt;"SONY",100000&lt;=$E589,$E589&lt;200000),5000*$D589,0),"")</f>
        <v/>
      </c>
      <c r="S589" s="23" t="str">
        <f t="shared" ref="S589:S652" si="209">IF(AND($A589&lt;&gt;"",$E589&gt;0),IF(AND($J589&lt;&gt;"SONY",200000&lt;=$E589,$E589&lt;500000),10000*$D589,0),"")</f>
        <v/>
      </c>
      <c r="T589" s="23" t="str">
        <f t="shared" ref="T589:T652" si="210">IF(AND($A589&lt;&gt;"",$E589&gt;0),IF(AND($J589&lt;&gt;"SONY",500000&lt;=$E589,$E589&lt;1000000),20000*$D589,0),"")</f>
        <v/>
      </c>
      <c r="U589" s="23" t="str">
        <f t="shared" ref="U589:U652" si="211">IF(AND($A589&lt;&gt;"",$E589&gt;0),IF(AND($J589&lt;&gt;"SONY",1000000&lt;=$E589,$E589&lt;1500000),50000*$D589,0),"")</f>
        <v/>
      </c>
      <c r="V589" s="23" t="str">
        <f t="shared" ref="V589:V652" si="212">IF(AND($A589&lt;&gt;"",$E589&gt;0),IF(AND($J589&lt;&gt;"SONY",1500000&lt;=$E589),100000*$D589,0),"")</f>
        <v/>
      </c>
      <c r="W589" s="70" t="str">
        <f t="shared" ref="W589:W652" si="213">IF(AND($E589&gt;0,$J589="ELECOM",$E589&gt;=500000,ISNUMBER(SEARCH("tai nghe",$C589))),20000*$D589,IF($A589&lt;&gt;"",0,""))</f>
        <v/>
      </c>
      <c r="X589" s="70" t="str">
        <f t="shared" ref="X589:X652" si="214">IF(AND($E589&gt;0,$J589="ELECOM",ISNUMBER(SEARCH("loa",$C589))),20000*$D589,IF($A589&lt;&gt;"",0,""))</f>
        <v/>
      </c>
      <c r="Y589" s="70" t="str">
        <f>IF(AND($A589&lt;&gt;"",$E589&gt;0),isLaptopBag($C589,$J589)*$D589,"")</f>
        <v/>
      </c>
      <c r="Z589" s="70" t="str">
        <f t="shared" ref="Z589:Z652" si="215">IF(AND($E589&gt;0,$J589="ELECOM",ISNUMBER(SEARCH("ốp",$C589))),20000*$D589,IF($A589&lt;&gt;"",0,""))</f>
        <v/>
      </c>
      <c r="AA589" s="70" t="str">
        <f t="shared" ref="AA589:AA652" si="216">IF(AND($E589&gt;0,$J589="ELECOM",ISNUMBER(SEARCH("Bút",$C589))),20000*$D589,IF($A589&lt;&gt;"",0,""))</f>
        <v/>
      </c>
      <c r="AB589" s="70" t="str">
        <f t="shared" ref="AB589:AB652" si="217">IF(AND($E589&gt;0,$J589="ELECOM",ISNUMBER(SEARCH("Chuột bi",$C589))),20000*$D589,IF($A589&lt;&gt;"",0,""))</f>
        <v/>
      </c>
      <c r="AC589" s="70" t="str">
        <f t="shared" ref="AC589:AC652" si="218">IF(AND($E589&gt;0,$J589="ELECOM",ISNUMBER(SEARCH("Chuột trackball",$C589))),20000*$D589,IF($A589&lt;&gt;"",0,""))</f>
        <v/>
      </c>
      <c r="AD589" s="70" t="str">
        <f t="shared" ref="AD589:AD652" si="219">IF(AND($E589&gt;0,$J589="ELECOM",ISNUMBER(SEARCH("Sạc không dây",$C589))),20000*$D589,IF($A589&lt;&gt;"",0,""))</f>
        <v/>
      </c>
      <c r="AE589" s="70" t="str">
        <f t="shared" ref="AE589:AE652" si="220">IF(AND($E589&gt;0,$J589="ELECOM",ISNUMBER(SEARCH("Sạc kd",$C589))),20000*$D589,IF($A589&lt;&gt;"",0,""))</f>
        <v/>
      </c>
      <c r="AF589" s="16"/>
      <c r="AG589" s="23"/>
      <c r="AH589" s="22"/>
      <c r="AJ589" s="83">
        <f t="shared" ref="AJ589:AJ652" si="221">DAY(H589)</f>
        <v>0</v>
      </c>
      <c r="AO589" s="22" t="str">
        <f t="shared" ref="AO589:AO652" si="222">IF(AND($E589&gt;0,ISNUMBER(SEARCH("Sạc dự phòng Energizer",$C589))),10000*$D589,IF($A589&lt;&gt;"",0,""))</f>
        <v/>
      </c>
      <c r="AP589" s="22" t="str">
        <f t="shared" ref="AP589:AP652" si="223">IF(AND($E589&gt;0,ISNUMBER(SEARCH("SDP Energizer",$C589))),10000*$D589,IF($A589&lt;&gt;"",0,""))</f>
        <v/>
      </c>
    </row>
    <row r="590" spans="1:42" x14ac:dyDescent="0.25">
      <c r="A590" s="10"/>
      <c r="B590" s="10"/>
      <c r="C590" s="10"/>
      <c r="D590" s="10"/>
      <c r="E590" s="10"/>
      <c r="F590" s="10"/>
      <c r="G590" s="10"/>
      <c r="H590" s="17"/>
      <c r="I590" s="10"/>
      <c r="J590" s="10"/>
      <c r="K590" s="16" t="str">
        <f t="shared" si="202"/>
        <v/>
      </c>
      <c r="L590" s="23" t="str">
        <f t="shared" si="203"/>
        <v/>
      </c>
      <c r="M590" s="22" t="str">
        <f t="shared" si="204"/>
        <v/>
      </c>
      <c r="N590" s="72"/>
      <c r="O590" s="16" t="str">
        <f t="shared" si="205"/>
        <v/>
      </c>
      <c r="P590" s="16" t="str">
        <f t="shared" si="206"/>
        <v/>
      </c>
      <c r="Q590" s="16" t="str">
        <f t="shared" si="207"/>
        <v/>
      </c>
      <c r="R590" s="23" t="str">
        <f t="shared" si="208"/>
        <v/>
      </c>
      <c r="S590" s="23" t="str">
        <f t="shared" si="209"/>
        <v/>
      </c>
      <c r="T590" s="23" t="str">
        <f t="shared" si="210"/>
        <v/>
      </c>
      <c r="U590" s="23" t="str">
        <f t="shared" si="211"/>
        <v/>
      </c>
      <c r="V590" s="23" t="str">
        <f t="shared" si="212"/>
        <v/>
      </c>
      <c r="W590" s="70" t="str">
        <f t="shared" si="213"/>
        <v/>
      </c>
      <c r="X590" s="70" t="str">
        <f t="shared" si="214"/>
        <v/>
      </c>
      <c r="Y590" s="70" t="str">
        <f>IF(AND($A590&lt;&gt;"",$E590&gt;0),isLaptopBag($C590,$J590)*$D590,"")</f>
        <v/>
      </c>
      <c r="Z590" s="70" t="str">
        <f t="shared" si="215"/>
        <v/>
      </c>
      <c r="AA590" s="70" t="str">
        <f t="shared" si="216"/>
        <v/>
      </c>
      <c r="AB590" s="70" t="str">
        <f t="shared" si="217"/>
        <v/>
      </c>
      <c r="AC590" s="70" t="str">
        <f t="shared" si="218"/>
        <v/>
      </c>
      <c r="AD590" s="70" t="str">
        <f t="shared" si="219"/>
        <v/>
      </c>
      <c r="AE590" s="70" t="str">
        <f t="shared" si="220"/>
        <v/>
      </c>
      <c r="AF590" s="16"/>
      <c r="AG590" s="23"/>
      <c r="AH590" s="22"/>
      <c r="AJ590" s="83">
        <f t="shared" si="221"/>
        <v>0</v>
      </c>
      <c r="AO590" s="22" t="str">
        <f t="shared" si="222"/>
        <v/>
      </c>
      <c r="AP590" s="22" t="str">
        <f t="shared" si="223"/>
        <v/>
      </c>
    </row>
    <row r="591" spans="1:42" x14ac:dyDescent="0.25">
      <c r="A591" s="10"/>
      <c r="B591" s="10"/>
      <c r="C591" s="10"/>
      <c r="D591" s="10"/>
      <c r="E591" s="10"/>
      <c r="F591" s="10"/>
      <c r="G591" s="10"/>
      <c r="H591" s="17"/>
      <c r="I591" s="10"/>
      <c r="J591" s="10"/>
      <c r="K591" s="16" t="str">
        <f t="shared" si="202"/>
        <v/>
      </c>
      <c r="L591" s="23" t="str">
        <f t="shared" si="203"/>
        <v/>
      </c>
      <c r="M591" s="22" t="str">
        <f t="shared" si="204"/>
        <v/>
      </c>
      <c r="N591" s="72"/>
      <c r="O591" s="16" t="str">
        <f t="shared" si="205"/>
        <v/>
      </c>
      <c r="P591" s="16" t="str">
        <f t="shared" si="206"/>
        <v/>
      </c>
      <c r="Q591" s="16" t="str">
        <f t="shared" si="207"/>
        <v/>
      </c>
      <c r="R591" s="23" t="str">
        <f t="shared" si="208"/>
        <v/>
      </c>
      <c r="S591" s="23" t="str">
        <f t="shared" si="209"/>
        <v/>
      </c>
      <c r="T591" s="23" t="str">
        <f t="shared" si="210"/>
        <v/>
      </c>
      <c r="U591" s="23" t="str">
        <f t="shared" si="211"/>
        <v/>
      </c>
      <c r="V591" s="23" t="str">
        <f t="shared" si="212"/>
        <v/>
      </c>
      <c r="W591" s="70" t="str">
        <f t="shared" si="213"/>
        <v/>
      </c>
      <c r="X591" s="70" t="str">
        <f t="shared" si="214"/>
        <v/>
      </c>
      <c r="Y591" s="70" t="str">
        <f>IF(AND($A591&lt;&gt;"",$E591&gt;0),isLaptopBag($C591,$J591)*$D591,"")</f>
        <v/>
      </c>
      <c r="Z591" s="70" t="str">
        <f t="shared" si="215"/>
        <v/>
      </c>
      <c r="AA591" s="70" t="str">
        <f t="shared" si="216"/>
        <v/>
      </c>
      <c r="AB591" s="70" t="str">
        <f t="shared" si="217"/>
        <v/>
      </c>
      <c r="AC591" s="70" t="str">
        <f t="shared" si="218"/>
        <v/>
      </c>
      <c r="AD591" s="70" t="str">
        <f t="shared" si="219"/>
        <v/>
      </c>
      <c r="AE591" s="70" t="str">
        <f t="shared" si="220"/>
        <v/>
      </c>
      <c r="AF591" s="16"/>
      <c r="AG591" s="23"/>
      <c r="AH591" s="22"/>
      <c r="AJ591" s="83">
        <f t="shared" si="221"/>
        <v>0</v>
      </c>
      <c r="AO591" s="22" t="str">
        <f t="shared" si="222"/>
        <v/>
      </c>
      <c r="AP591" s="22" t="str">
        <f t="shared" si="223"/>
        <v/>
      </c>
    </row>
    <row r="592" spans="1:42" x14ac:dyDescent="0.25">
      <c r="A592" s="10"/>
      <c r="B592" s="10"/>
      <c r="C592" s="10"/>
      <c r="D592" s="10"/>
      <c r="E592" s="10"/>
      <c r="F592" s="10"/>
      <c r="G592" s="10"/>
      <c r="H592" s="17"/>
      <c r="I592" s="10"/>
      <c r="J592" s="10"/>
      <c r="K592" s="16" t="str">
        <f t="shared" si="202"/>
        <v/>
      </c>
      <c r="L592" s="23" t="str">
        <f t="shared" si="203"/>
        <v/>
      </c>
      <c r="M592" s="22" t="str">
        <f t="shared" si="204"/>
        <v/>
      </c>
      <c r="N592" s="72"/>
      <c r="O592" s="16" t="str">
        <f t="shared" si="205"/>
        <v/>
      </c>
      <c r="P592" s="16" t="str">
        <f t="shared" si="206"/>
        <v/>
      </c>
      <c r="Q592" s="16" t="str">
        <f t="shared" si="207"/>
        <v/>
      </c>
      <c r="R592" s="23" t="str">
        <f t="shared" si="208"/>
        <v/>
      </c>
      <c r="S592" s="23" t="str">
        <f t="shared" si="209"/>
        <v/>
      </c>
      <c r="T592" s="23" t="str">
        <f t="shared" si="210"/>
        <v/>
      </c>
      <c r="U592" s="23" t="str">
        <f t="shared" si="211"/>
        <v/>
      </c>
      <c r="V592" s="23" t="str">
        <f t="shared" si="212"/>
        <v/>
      </c>
      <c r="W592" s="70" t="str">
        <f t="shared" si="213"/>
        <v/>
      </c>
      <c r="X592" s="70" t="str">
        <f t="shared" si="214"/>
        <v/>
      </c>
      <c r="Y592" s="70" t="str">
        <f>IF(AND($A592&lt;&gt;"",$E592&gt;0),isLaptopBag($C592,$J592)*$D592,"")</f>
        <v/>
      </c>
      <c r="Z592" s="70" t="str">
        <f t="shared" si="215"/>
        <v/>
      </c>
      <c r="AA592" s="70" t="str">
        <f t="shared" si="216"/>
        <v/>
      </c>
      <c r="AB592" s="70" t="str">
        <f t="shared" si="217"/>
        <v/>
      </c>
      <c r="AC592" s="70" t="str">
        <f t="shared" si="218"/>
        <v/>
      </c>
      <c r="AD592" s="70" t="str">
        <f t="shared" si="219"/>
        <v/>
      </c>
      <c r="AE592" s="70" t="str">
        <f t="shared" si="220"/>
        <v/>
      </c>
      <c r="AF592" s="16"/>
      <c r="AG592" s="23"/>
      <c r="AH592" s="22"/>
      <c r="AJ592" s="83">
        <f t="shared" si="221"/>
        <v>0</v>
      </c>
      <c r="AO592" s="22" t="str">
        <f t="shared" si="222"/>
        <v/>
      </c>
      <c r="AP592" s="22" t="str">
        <f t="shared" si="223"/>
        <v/>
      </c>
    </row>
    <row r="593" spans="1:42" x14ac:dyDescent="0.25">
      <c r="A593" s="10"/>
      <c r="B593" s="10"/>
      <c r="C593" s="10"/>
      <c r="D593" s="10"/>
      <c r="E593" s="10"/>
      <c r="F593" s="10"/>
      <c r="G593" s="10"/>
      <c r="H593" s="17"/>
      <c r="I593" s="10"/>
      <c r="J593" s="10"/>
      <c r="K593" s="16" t="str">
        <f t="shared" si="202"/>
        <v/>
      </c>
      <c r="L593" s="23" t="str">
        <f t="shared" si="203"/>
        <v/>
      </c>
      <c r="M593" s="22" t="str">
        <f t="shared" si="204"/>
        <v/>
      </c>
      <c r="N593" s="72"/>
      <c r="O593" s="16" t="str">
        <f t="shared" si="205"/>
        <v/>
      </c>
      <c r="P593" s="16" t="str">
        <f t="shared" si="206"/>
        <v/>
      </c>
      <c r="Q593" s="16" t="str">
        <f t="shared" si="207"/>
        <v/>
      </c>
      <c r="R593" s="23" t="str">
        <f t="shared" si="208"/>
        <v/>
      </c>
      <c r="S593" s="23" t="str">
        <f t="shared" si="209"/>
        <v/>
      </c>
      <c r="T593" s="23" t="str">
        <f t="shared" si="210"/>
        <v/>
      </c>
      <c r="U593" s="23" t="str">
        <f t="shared" si="211"/>
        <v/>
      </c>
      <c r="V593" s="23" t="str">
        <f t="shared" si="212"/>
        <v/>
      </c>
      <c r="W593" s="70" t="str">
        <f t="shared" si="213"/>
        <v/>
      </c>
      <c r="X593" s="70" t="str">
        <f t="shared" si="214"/>
        <v/>
      </c>
      <c r="Y593" s="70" t="str">
        <f>IF(AND($A593&lt;&gt;"",$E593&gt;0),isLaptopBag($C593,$J593)*$D593,"")</f>
        <v/>
      </c>
      <c r="Z593" s="70" t="str">
        <f t="shared" si="215"/>
        <v/>
      </c>
      <c r="AA593" s="70" t="str">
        <f t="shared" si="216"/>
        <v/>
      </c>
      <c r="AB593" s="70" t="str">
        <f t="shared" si="217"/>
        <v/>
      </c>
      <c r="AC593" s="70" t="str">
        <f t="shared" si="218"/>
        <v/>
      </c>
      <c r="AD593" s="70" t="str">
        <f t="shared" si="219"/>
        <v/>
      </c>
      <c r="AE593" s="70" t="str">
        <f t="shared" si="220"/>
        <v/>
      </c>
      <c r="AF593" s="16"/>
      <c r="AG593" s="23"/>
      <c r="AH593" s="22"/>
      <c r="AJ593" s="83">
        <f t="shared" si="221"/>
        <v>0</v>
      </c>
      <c r="AO593" s="22" t="str">
        <f t="shared" si="222"/>
        <v/>
      </c>
      <c r="AP593" s="22" t="str">
        <f t="shared" si="223"/>
        <v/>
      </c>
    </row>
    <row r="594" spans="1:42" x14ac:dyDescent="0.25">
      <c r="A594" s="10"/>
      <c r="B594" s="10"/>
      <c r="C594" s="10"/>
      <c r="D594" s="10"/>
      <c r="E594" s="10"/>
      <c r="F594" s="10"/>
      <c r="G594" s="10"/>
      <c r="H594" s="17"/>
      <c r="I594" s="10"/>
      <c r="J594" s="10"/>
      <c r="K594" s="16" t="str">
        <f t="shared" si="202"/>
        <v/>
      </c>
      <c r="L594" s="23" t="str">
        <f t="shared" si="203"/>
        <v/>
      </c>
      <c r="M594" s="22" t="str">
        <f t="shared" si="204"/>
        <v/>
      </c>
      <c r="N594" s="72"/>
      <c r="O594" s="16" t="str">
        <f t="shared" si="205"/>
        <v/>
      </c>
      <c r="P594" s="16" t="str">
        <f t="shared" si="206"/>
        <v/>
      </c>
      <c r="Q594" s="16" t="str">
        <f t="shared" si="207"/>
        <v/>
      </c>
      <c r="R594" s="23" t="str">
        <f t="shared" si="208"/>
        <v/>
      </c>
      <c r="S594" s="23" t="str">
        <f t="shared" si="209"/>
        <v/>
      </c>
      <c r="T594" s="23" t="str">
        <f t="shared" si="210"/>
        <v/>
      </c>
      <c r="U594" s="23" t="str">
        <f t="shared" si="211"/>
        <v/>
      </c>
      <c r="V594" s="23" t="str">
        <f t="shared" si="212"/>
        <v/>
      </c>
      <c r="W594" s="70" t="str">
        <f t="shared" si="213"/>
        <v/>
      </c>
      <c r="X594" s="70" t="str">
        <f t="shared" si="214"/>
        <v/>
      </c>
      <c r="Y594" s="70" t="str">
        <f>IF(AND($A594&lt;&gt;"",$E594&gt;0),isLaptopBag($C594,$J594)*$D594,"")</f>
        <v/>
      </c>
      <c r="Z594" s="70" t="str">
        <f t="shared" si="215"/>
        <v/>
      </c>
      <c r="AA594" s="70" t="str">
        <f t="shared" si="216"/>
        <v/>
      </c>
      <c r="AB594" s="70" t="str">
        <f t="shared" si="217"/>
        <v/>
      </c>
      <c r="AC594" s="70" t="str">
        <f t="shared" si="218"/>
        <v/>
      </c>
      <c r="AD594" s="70" t="str">
        <f t="shared" si="219"/>
        <v/>
      </c>
      <c r="AE594" s="70" t="str">
        <f t="shared" si="220"/>
        <v/>
      </c>
      <c r="AF594" s="16"/>
      <c r="AG594" s="23"/>
      <c r="AH594" s="22"/>
      <c r="AJ594" s="83">
        <f t="shared" si="221"/>
        <v>0</v>
      </c>
      <c r="AO594" s="22" t="str">
        <f t="shared" si="222"/>
        <v/>
      </c>
      <c r="AP594" s="22" t="str">
        <f t="shared" si="223"/>
        <v/>
      </c>
    </row>
    <row r="595" spans="1:42" x14ac:dyDescent="0.25">
      <c r="A595" s="10"/>
      <c r="B595" s="10"/>
      <c r="C595" s="10"/>
      <c r="D595" s="10"/>
      <c r="E595" s="10"/>
      <c r="F595" s="10"/>
      <c r="G595" s="10"/>
      <c r="H595" s="17"/>
      <c r="I595" s="10"/>
      <c r="J595" s="10"/>
      <c r="K595" s="16" t="str">
        <f t="shared" si="202"/>
        <v/>
      </c>
      <c r="L595" s="23" t="str">
        <f t="shared" si="203"/>
        <v/>
      </c>
      <c r="M595" s="22" t="str">
        <f t="shared" si="204"/>
        <v/>
      </c>
      <c r="N595" s="72"/>
      <c r="O595" s="16" t="str">
        <f t="shared" si="205"/>
        <v/>
      </c>
      <c r="P595" s="16" t="str">
        <f t="shared" si="206"/>
        <v/>
      </c>
      <c r="Q595" s="16" t="str">
        <f t="shared" si="207"/>
        <v/>
      </c>
      <c r="R595" s="23" t="str">
        <f t="shared" si="208"/>
        <v/>
      </c>
      <c r="S595" s="23" t="str">
        <f t="shared" si="209"/>
        <v/>
      </c>
      <c r="T595" s="23" t="str">
        <f t="shared" si="210"/>
        <v/>
      </c>
      <c r="U595" s="23" t="str">
        <f t="shared" si="211"/>
        <v/>
      </c>
      <c r="V595" s="23" t="str">
        <f t="shared" si="212"/>
        <v/>
      </c>
      <c r="W595" s="70" t="str">
        <f t="shared" si="213"/>
        <v/>
      </c>
      <c r="X595" s="70" t="str">
        <f t="shared" si="214"/>
        <v/>
      </c>
      <c r="Y595" s="70" t="str">
        <f>IF(AND($A595&lt;&gt;"",$E595&gt;0),isLaptopBag($C595,$J595)*$D595,"")</f>
        <v/>
      </c>
      <c r="Z595" s="70" t="str">
        <f t="shared" si="215"/>
        <v/>
      </c>
      <c r="AA595" s="70" t="str">
        <f t="shared" si="216"/>
        <v/>
      </c>
      <c r="AB595" s="70" t="str">
        <f t="shared" si="217"/>
        <v/>
      </c>
      <c r="AC595" s="70" t="str">
        <f t="shared" si="218"/>
        <v/>
      </c>
      <c r="AD595" s="70" t="str">
        <f t="shared" si="219"/>
        <v/>
      </c>
      <c r="AE595" s="70" t="str">
        <f t="shared" si="220"/>
        <v/>
      </c>
      <c r="AF595" s="16"/>
      <c r="AG595" s="23"/>
      <c r="AH595" s="22"/>
      <c r="AJ595" s="83">
        <f t="shared" si="221"/>
        <v>0</v>
      </c>
      <c r="AO595" s="22" t="str">
        <f t="shared" si="222"/>
        <v/>
      </c>
      <c r="AP595" s="22" t="str">
        <f t="shared" si="223"/>
        <v/>
      </c>
    </row>
    <row r="596" spans="1:42" x14ac:dyDescent="0.25">
      <c r="A596" s="10"/>
      <c r="B596" s="10"/>
      <c r="C596" s="10"/>
      <c r="D596" s="10"/>
      <c r="E596" s="10"/>
      <c r="F596" s="10"/>
      <c r="G596" s="10"/>
      <c r="H596" s="17"/>
      <c r="I596" s="10"/>
      <c r="J596" s="10"/>
      <c r="K596" s="16" t="str">
        <f t="shared" si="202"/>
        <v/>
      </c>
      <c r="L596" s="23" t="str">
        <f t="shared" si="203"/>
        <v/>
      </c>
      <c r="M596" s="22" t="str">
        <f t="shared" si="204"/>
        <v/>
      </c>
      <c r="N596" s="72"/>
      <c r="O596" s="16" t="str">
        <f t="shared" si="205"/>
        <v/>
      </c>
      <c r="P596" s="16" t="str">
        <f t="shared" si="206"/>
        <v/>
      </c>
      <c r="Q596" s="16" t="str">
        <f t="shared" si="207"/>
        <v/>
      </c>
      <c r="R596" s="23" t="str">
        <f t="shared" si="208"/>
        <v/>
      </c>
      <c r="S596" s="23" t="str">
        <f t="shared" si="209"/>
        <v/>
      </c>
      <c r="T596" s="23" t="str">
        <f t="shared" si="210"/>
        <v/>
      </c>
      <c r="U596" s="23" t="str">
        <f t="shared" si="211"/>
        <v/>
      </c>
      <c r="V596" s="23" t="str">
        <f t="shared" si="212"/>
        <v/>
      </c>
      <c r="W596" s="70" t="str">
        <f t="shared" si="213"/>
        <v/>
      </c>
      <c r="X596" s="70" t="str">
        <f t="shared" si="214"/>
        <v/>
      </c>
      <c r="Y596" s="70" t="str">
        <f>IF(AND($A596&lt;&gt;"",$E596&gt;0),isLaptopBag($C596,$J596)*$D596,"")</f>
        <v/>
      </c>
      <c r="Z596" s="70" t="str">
        <f t="shared" si="215"/>
        <v/>
      </c>
      <c r="AA596" s="70" t="str">
        <f t="shared" si="216"/>
        <v/>
      </c>
      <c r="AB596" s="70" t="str">
        <f t="shared" si="217"/>
        <v/>
      </c>
      <c r="AC596" s="70" t="str">
        <f t="shared" si="218"/>
        <v/>
      </c>
      <c r="AD596" s="70" t="str">
        <f t="shared" si="219"/>
        <v/>
      </c>
      <c r="AE596" s="70" t="str">
        <f t="shared" si="220"/>
        <v/>
      </c>
      <c r="AF596" s="16"/>
      <c r="AG596" s="23"/>
      <c r="AH596" s="22"/>
      <c r="AJ596" s="83">
        <f t="shared" si="221"/>
        <v>0</v>
      </c>
      <c r="AO596" s="22" t="str">
        <f t="shared" si="222"/>
        <v/>
      </c>
      <c r="AP596" s="22" t="str">
        <f t="shared" si="223"/>
        <v/>
      </c>
    </row>
    <row r="597" spans="1:42" x14ac:dyDescent="0.25">
      <c r="A597" s="10"/>
      <c r="B597" s="10"/>
      <c r="C597" s="10"/>
      <c r="D597" s="10"/>
      <c r="E597" s="10"/>
      <c r="F597" s="10"/>
      <c r="G597" s="10"/>
      <c r="H597" s="17"/>
      <c r="I597" s="10"/>
      <c r="J597" s="10"/>
      <c r="K597" s="16" t="str">
        <f t="shared" si="202"/>
        <v/>
      </c>
      <c r="L597" s="23" t="str">
        <f t="shared" si="203"/>
        <v/>
      </c>
      <c r="M597" s="22" t="str">
        <f t="shared" si="204"/>
        <v/>
      </c>
      <c r="N597" s="72"/>
      <c r="O597" s="16" t="str">
        <f t="shared" si="205"/>
        <v/>
      </c>
      <c r="P597" s="16" t="str">
        <f t="shared" si="206"/>
        <v/>
      </c>
      <c r="Q597" s="16" t="str">
        <f t="shared" si="207"/>
        <v/>
      </c>
      <c r="R597" s="23" t="str">
        <f t="shared" si="208"/>
        <v/>
      </c>
      <c r="S597" s="23" t="str">
        <f t="shared" si="209"/>
        <v/>
      </c>
      <c r="T597" s="23" t="str">
        <f t="shared" si="210"/>
        <v/>
      </c>
      <c r="U597" s="23" t="str">
        <f t="shared" si="211"/>
        <v/>
      </c>
      <c r="V597" s="23" t="str">
        <f t="shared" si="212"/>
        <v/>
      </c>
      <c r="W597" s="70" t="str">
        <f t="shared" si="213"/>
        <v/>
      </c>
      <c r="X597" s="70" t="str">
        <f t="shared" si="214"/>
        <v/>
      </c>
      <c r="Y597" s="70" t="str">
        <f>IF(AND($A597&lt;&gt;"",$E597&gt;0),isLaptopBag($C597,$J597)*$D597,"")</f>
        <v/>
      </c>
      <c r="Z597" s="70" t="str">
        <f t="shared" si="215"/>
        <v/>
      </c>
      <c r="AA597" s="70" t="str">
        <f t="shared" si="216"/>
        <v/>
      </c>
      <c r="AB597" s="70" t="str">
        <f t="shared" si="217"/>
        <v/>
      </c>
      <c r="AC597" s="70" t="str">
        <f t="shared" si="218"/>
        <v/>
      </c>
      <c r="AD597" s="70" t="str">
        <f t="shared" si="219"/>
        <v/>
      </c>
      <c r="AE597" s="70" t="str">
        <f t="shared" si="220"/>
        <v/>
      </c>
      <c r="AF597" s="16"/>
      <c r="AG597" s="23"/>
      <c r="AH597" s="22"/>
      <c r="AJ597" s="83">
        <f t="shared" si="221"/>
        <v>0</v>
      </c>
      <c r="AO597" s="22" t="str">
        <f t="shared" si="222"/>
        <v/>
      </c>
      <c r="AP597" s="22" t="str">
        <f t="shared" si="223"/>
        <v/>
      </c>
    </row>
    <row r="598" spans="1:42" x14ac:dyDescent="0.25">
      <c r="A598" s="10"/>
      <c r="B598" s="10"/>
      <c r="C598" s="10"/>
      <c r="D598" s="10"/>
      <c r="E598" s="10"/>
      <c r="F598" s="10"/>
      <c r="G598" s="10"/>
      <c r="H598" s="17"/>
      <c r="I598" s="10"/>
      <c r="J598" s="10"/>
      <c r="K598" s="16" t="str">
        <f t="shared" si="202"/>
        <v/>
      </c>
      <c r="L598" s="23" t="str">
        <f t="shared" si="203"/>
        <v/>
      </c>
      <c r="M598" s="22" t="str">
        <f t="shared" si="204"/>
        <v/>
      </c>
      <c r="N598" s="72"/>
      <c r="O598" s="16" t="str">
        <f t="shared" si="205"/>
        <v/>
      </c>
      <c r="P598" s="16" t="str">
        <f t="shared" si="206"/>
        <v/>
      </c>
      <c r="Q598" s="16" t="str">
        <f t="shared" si="207"/>
        <v/>
      </c>
      <c r="R598" s="23" t="str">
        <f t="shared" si="208"/>
        <v/>
      </c>
      <c r="S598" s="23" t="str">
        <f t="shared" si="209"/>
        <v/>
      </c>
      <c r="T598" s="23" t="str">
        <f t="shared" si="210"/>
        <v/>
      </c>
      <c r="U598" s="23" t="str">
        <f t="shared" si="211"/>
        <v/>
      </c>
      <c r="V598" s="23" t="str">
        <f t="shared" si="212"/>
        <v/>
      </c>
      <c r="W598" s="70" t="str">
        <f t="shared" si="213"/>
        <v/>
      </c>
      <c r="X598" s="70" t="str">
        <f t="shared" si="214"/>
        <v/>
      </c>
      <c r="Y598" s="70" t="str">
        <f>IF(AND($A598&lt;&gt;"",$E598&gt;0),isLaptopBag($C598,$J598)*$D598,"")</f>
        <v/>
      </c>
      <c r="Z598" s="70" t="str">
        <f t="shared" si="215"/>
        <v/>
      </c>
      <c r="AA598" s="70" t="str">
        <f t="shared" si="216"/>
        <v/>
      </c>
      <c r="AB598" s="70" t="str">
        <f t="shared" si="217"/>
        <v/>
      </c>
      <c r="AC598" s="70" t="str">
        <f t="shared" si="218"/>
        <v/>
      </c>
      <c r="AD598" s="70" t="str">
        <f t="shared" si="219"/>
        <v/>
      </c>
      <c r="AE598" s="70" t="str">
        <f t="shared" si="220"/>
        <v/>
      </c>
      <c r="AF598" s="16"/>
      <c r="AG598" s="23"/>
      <c r="AH598" s="22"/>
      <c r="AJ598" s="83">
        <f t="shared" si="221"/>
        <v>0</v>
      </c>
      <c r="AO598" s="22" t="str">
        <f t="shared" si="222"/>
        <v/>
      </c>
      <c r="AP598" s="22" t="str">
        <f t="shared" si="223"/>
        <v/>
      </c>
    </row>
    <row r="599" spans="1:42" x14ac:dyDescent="0.25">
      <c r="A599" s="10"/>
      <c r="B599" s="10"/>
      <c r="C599" s="10"/>
      <c r="D599" s="10"/>
      <c r="E599" s="10"/>
      <c r="F599" s="10"/>
      <c r="G599" s="10"/>
      <c r="H599" s="17"/>
      <c r="I599" s="10"/>
      <c r="J599" s="10"/>
      <c r="K599" s="16" t="str">
        <f t="shared" si="202"/>
        <v/>
      </c>
      <c r="L599" s="23" t="str">
        <f t="shared" si="203"/>
        <v/>
      </c>
      <c r="M599" s="22" t="str">
        <f t="shared" si="204"/>
        <v/>
      </c>
      <c r="N599" s="72"/>
      <c r="O599" s="16" t="str">
        <f t="shared" si="205"/>
        <v/>
      </c>
      <c r="P599" s="16" t="str">
        <f t="shared" si="206"/>
        <v/>
      </c>
      <c r="Q599" s="16" t="str">
        <f t="shared" si="207"/>
        <v/>
      </c>
      <c r="R599" s="23" t="str">
        <f t="shared" si="208"/>
        <v/>
      </c>
      <c r="S599" s="23" t="str">
        <f t="shared" si="209"/>
        <v/>
      </c>
      <c r="T599" s="23" t="str">
        <f t="shared" si="210"/>
        <v/>
      </c>
      <c r="U599" s="23" t="str">
        <f t="shared" si="211"/>
        <v/>
      </c>
      <c r="V599" s="23" t="str">
        <f t="shared" si="212"/>
        <v/>
      </c>
      <c r="W599" s="70" t="str">
        <f t="shared" si="213"/>
        <v/>
      </c>
      <c r="X599" s="70" t="str">
        <f t="shared" si="214"/>
        <v/>
      </c>
      <c r="Y599" s="70" t="str">
        <f>IF(AND($A599&lt;&gt;"",$E599&gt;0),isLaptopBag($C599,$J599)*$D599,"")</f>
        <v/>
      </c>
      <c r="Z599" s="70" t="str">
        <f t="shared" si="215"/>
        <v/>
      </c>
      <c r="AA599" s="70" t="str">
        <f t="shared" si="216"/>
        <v/>
      </c>
      <c r="AB599" s="70" t="str">
        <f t="shared" si="217"/>
        <v/>
      </c>
      <c r="AC599" s="70" t="str">
        <f t="shared" si="218"/>
        <v/>
      </c>
      <c r="AD599" s="70" t="str">
        <f t="shared" si="219"/>
        <v/>
      </c>
      <c r="AE599" s="70" t="str">
        <f t="shared" si="220"/>
        <v/>
      </c>
      <c r="AF599" s="16"/>
      <c r="AG599" s="23"/>
      <c r="AH599" s="22"/>
      <c r="AJ599" s="83">
        <f t="shared" si="221"/>
        <v>0</v>
      </c>
      <c r="AO599" s="22" t="str">
        <f t="shared" si="222"/>
        <v/>
      </c>
      <c r="AP599" s="22" t="str">
        <f t="shared" si="223"/>
        <v/>
      </c>
    </row>
    <row r="600" spans="1:42" x14ac:dyDescent="0.25">
      <c r="A600" s="10"/>
      <c r="B600" s="10"/>
      <c r="C600" s="10"/>
      <c r="D600" s="10"/>
      <c r="E600" s="10"/>
      <c r="F600" s="10"/>
      <c r="G600" s="10"/>
      <c r="H600" s="17"/>
      <c r="I600" s="10"/>
      <c r="J600" s="10"/>
      <c r="K600" s="16" t="str">
        <f t="shared" si="202"/>
        <v/>
      </c>
      <c r="L600" s="23" t="str">
        <f t="shared" si="203"/>
        <v/>
      </c>
      <c r="M600" s="22" t="str">
        <f t="shared" si="204"/>
        <v/>
      </c>
      <c r="N600" s="72"/>
      <c r="O600" s="16" t="str">
        <f t="shared" si="205"/>
        <v/>
      </c>
      <c r="P600" s="16" t="str">
        <f t="shared" si="206"/>
        <v/>
      </c>
      <c r="Q600" s="16" t="str">
        <f t="shared" si="207"/>
        <v/>
      </c>
      <c r="R600" s="23" t="str">
        <f t="shared" si="208"/>
        <v/>
      </c>
      <c r="S600" s="23" t="str">
        <f t="shared" si="209"/>
        <v/>
      </c>
      <c r="T600" s="23" t="str">
        <f t="shared" si="210"/>
        <v/>
      </c>
      <c r="U600" s="23" t="str">
        <f t="shared" si="211"/>
        <v/>
      </c>
      <c r="V600" s="23" t="str">
        <f t="shared" si="212"/>
        <v/>
      </c>
      <c r="W600" s="70" t="str">
        <f t="shared" si="213"/>
        <v/>
      </c>
      <c r="X600" s="70" t="str">
        <f t="shared" si="214"/>
        <v/>
      </c>
      <c r="Y600" s="70" t="str">
        <f>IF(AND($A600&lt;&gt;"",$E600&gt;0),isLaptopBag($C600,$J600)*$D600,"")</f>
        <v/>
      </c>
      <c r="Z600" s="70" t="str">
        <f t="shared" si="215"/>
        <v/>
      </c>
      <c r="AA600" s="70" t="str">
        <f t="shared" si="216"/>
        <v/>
      </c>
      <c r="AB600" s="70" t="str">
        <f t="shared" si="217"/>
        <v/>
      </c>
      <c r="AC600" s="70" t="str">
        <f t="shared" si="218"/>
        <v/>
      </c>
      <c r="AD600" s="70" t="str">
        <f t="shared" si="219"/>
        <v/>
      </c>
      <c r="AE600" s="70" t="str">
        <f t="shared" si="220"/>
        <v/>
      </c>
      <c r="AF600" s="16"/>
      <c r="AG600" s="23"/>
      <c r="AH600" s="22"/>
      <c r="AJ600" s="83">
        <f t="shared" si="221"/>
        <v>0</v>
      </c>
      <c r="AO600" s="22" t="str">
        <f t="shared" si="222"/>
        <v/>
      </c>
      <c r="AP600" s="22" t="str">
        <f t="shared" si="223"/>
        <v/>
      </c>
    </row>
    <row r="601" spans="1:42" x14ac:dyDescent="0.25">
      <c r="A601" s="10"/>
      <c r="B601" s="10"/>
      <c r="C601" s="10"/>
      <c r="D601" s="10"/>
      <c r="E601" s="10"/>
      <c r="F601" s="10"/>
      <c r="G601" s="10"/>
      <c r="H601" s="17"/>
      <c r="I601" s="10"/>
      <c r="J601" s="10"/>
      <c r="K601" s="16" t="str">
        <f t="shared" si="202"/>
        <v/>
      </c>
      <c r="L601" s="23" t="str">
        <f t="shared" si="203"/>
        <v/>
      </c>
      <c r="M601" s="22" t="str">
        <f t="shared" si="204"/>
        <v/>
      </c>
      <c r="N601" s="72"/>
      <c r="O601" s="16" t="str">
        <f t="shared" si="205"/>
        <v/>
      </c>
      <c r="P601" s="16" t="str">
        <f t="shared" si="206"/>
        <v/>
      </c>
      <c r="Q601" s="16" t="str">
        <f t="shared" si="207"/>
        <v/>
      </c>
      <c r="R601" s="23" t="str">
        <f t="shared" si="208"/>
        <v/>
      </c>
      <c r="S601" s="23" t="str">
        <f t="shared" si="209"/>
        <v/>
      </c>
      <c r="T601" s="23" t="str">
        <f t="shared" si="210"/>
        <v/>
      </c>
      <c r="U601" s="23" t="str">
        <f t="shared" si="211"/>
        <v/>
      </c>
      <c r="V601" s="23" t="str">
        <f t="shared" si="212"/>
        <v/>
      </c>
      <c r="W601" s="70" t="str">
        <f t="shared" si="213"/>
        <v/>
      </c>
      <c r="X601" s="70" t="str">
        <f t="shared" si="214"/>
        <v/>
      </c>
      <c r="Y601" s="70" t="str">
        <f>IF(AND($A601&lt;&gt;"",$E601&gt;0),isLaptopBag($C601,$J601)*$D601,"")</f>
        <v/>
      </c>
      <c r="Z601" s="70" t="str">
        <f t="shared" si="215"/>
        <v/>
      </c>
      <c r="AA601" s="70" t="str">
        <f t="shared" si="216"/>
        <v/>
      </c>
      <c r="AB601" s="70" t="str">
        <f t="shared" si="217"/>
        <v/>
      </c>
      <c r="AC601" s="70" t="str">
        <f t="shared" si="218"/>
        <v/>
      </c>
      <c r="AD601" s="70" t="str">
        <f t="shared" si="219"/>
        <v/>
      </c>
      <c r="AE601" s="70" t="str">
        <f t="shared" si="220"/>
        <v/>
      </c>
      <c r="AF601" s="16"/>
      <c r="AG601" s="23"/>
      <c r="AH601" s="22"/>
      <c r="AJ601" s="83">
        <f t="shared" si="221"/>
        <v>0</v>
      </c>
      <c r="AO601" s="22" t="str">
        <f t="shared" si="222"/>
        <v/>
      </c>
      <c r="AP601" s="22" t="str">
        <f t="shared" si="223"/>
        <v/>
      </c>
    </row>
    <row r="602" spans="1:42" x14ac:dyDescent="0.25">
      <c r="A602" s="10"/>
      <c r="B602" s="10"/>
      <c r="C602" s="10"/>
      <c r="D602" s="10"/>
      <c r="E602" s="10"/>
      <c r="F602" s="10"/>
      <c r="G602" s="10"/>
      <c r="H602" s="17"/>
      <c r="I602" s="10"/>
      <c r="J602" s="10"/>
      <c r="K602" s="16" t="str">
        <f t="shared" si="202"/>
        <v/>
      </c>
      <c r="L602" s="23" t="str">
        <f t="shared" si="203"/>
        <v/>
      </c>
      <c r="M602" s="22" t="str">
        <f t="shared" si="204"/>
        <v/>
      </c>
      <c r="N602" s="72"/>
      <c r="O602" s="16" t="str">
        <f t="shared" si="205"/>
        <v/>
      </c>
      <c r="P602" s="16" t="str">
        <f t="shared" si="206"/>
        <v/>
      </c>
      <c r="Q602" s="16" t="str">
        <f t="shared" si="207"/>
        <v/>
      </c>
      <c r="R602" s="23" t="str">
        <f t="shared" si="208"/>
        <v/>
      </c>
      <c r="S602" s="23" t="str">
        <f t="shared" si="209"/>
        <v/>
      </c>
      <c r="T602" s="23" t="str">
        <f t="shared" si="210"/>
        <v/>
      </c>
      <c r="U602" s="23" t="str">
        <f t="shared" si="211"/>
        <v/>
      </c>
      <c r="V602" s="23" t="str">
        <f t="shared" si="212"/>
        <v/>
      </c>
      <c r="W602" s="70" t="str">
        <f t="shared" si="213"/>
        <v/>
      </c>
      <c r="X602" s="70" t="str">
        <f t="shared" si="214"/>
        <v/>
      </c>
      <c r="Y602" s="70" t="str">
        <f>IF(AND($A602&lt;&gt;"",$E602&gt;0),isLaptopBag($C602,$J602)*$D602,"")</f>
        <v/>
      </c>
      <c r="Z602" s="70" t="str">
        <f t="shared" si="215"/>
        <v/>
      </c>
      <c r="AA602" s="70" t="str">
        <f t="shared" si="216"/>
        <v/>
      </c>
      <c r="AB602" s="70" t="str">
        <f t="shared" si="217"/>
        <v/>
      </c>
      <c r="AC602" s="70" t="str">
        <f t="shared" si="218"/>
        <v/>
      </c>
      <c r="AD602" s="70" t="str">
        <f t="shared" si="219"/>
        <v/>
      </c>
      <c r="AE602" s="70" t="str">
        <f t="shared" si="220"/>
        <v/>
      </c>
      <c r="AF602" s="16"/>
      <c r="AG602" s="23"/>
      <c r="AH602" s="22"/>
      <c r="AJ602" s="83">
        <f t="shared" si="221"/>
        <v>0</v>
      </c>
      <c r="AO602" s="22" t="str">
        <f t="shared" si="222"/>
        <v/>
      </c>
      <c r="AP602" s="22" t="str">
        <f t="shared" si="223"/>
        <v/>
      </c>
    </row>
    <row r="603" spans="1:42" x14ac:dyDescent="0.25">
      <c r="A603" s="10"/>
      <c r="B603" s="10"/>
      <c r="C603" s="10"/>
      <c r="D603" s="10"/>
      <c r="E603" s="10"/>
      <c r="F603" s="10"/>
      <c r="G603" s="10"/>
      <c r="H603" s="17"/>
      <c r="I603" s="10"/>
      <c r="J603" s="10"/>
      <c r="K603" s="16" t="str">
        <f t="shared" si="202"/>
        <v/>
      </c>
      <c r="L603" s="23" t="str">
        <f t="shared" si="203"/>
        <v/>
      </c>
      <c r="M603" s="22" t="str">
        <f t="shared" si="204"/>
        <v/>
      </c>
      <c r="N603" s="72"/>
      <c r="O603" s="16" t="str">
        <f t="shared" si="205"/>
        <v/>
      </c>
      <c r="P603" s="16" t="str">
        <f t="shared" si="206"/>
        <v/>
      </c>
      <c r="Q603" s="16" t="str">
        <f t="shared" si="207"/>
        <v/>
      </c>
      <c r="R603" s="23" t="str">
        <f t="shared" si="208"/>
        <v/>
      </c>
      <c r="S603" s="23" t="str">
        <f t="shared" si="209"/>
        <v/>
      </c>
      <c r="T603" s="23" t="str">
        <f t="shared" si="210"/>
        <v/>
      </c>
      <c r="U603" s="23" t="str">
        <f t="shared" si="211"/>
        <v/>
      </c>
      <c r="V603" s="23" t="str">
        <f t="shared" si="212"/>
        <v/>
      </c>
      <c r="W603" s="70" t="str">
        <f t="shared" si="213"/>
        <v/>
      </c>
      <c r="X603" s="70" t="str">
        <f t="shared" si="214"/>
        <v/>
      </c>
      <c r="Y603" s="70" t="str">
        <f>IF(AND($A603&lt;&gt;"",$E603&gt;0),isLaptopBag($C603,$J603)*$D603,"")</f>
        <v/>
      </c>
      <c r="Z603" s="70" t="str">
        <f t="shared" si="215"/>
        <v/>
      </c>
      <c r="AA603" s="70" t="str">
        <f t="shared" si="216"/>
        <v/>
      </c>
      <c r="AB603" s="70" t="str">
        <f t="shared" si="217"/>
        <v/>
      </c>
      <c r="AC603" s="70" t="str">
        <f t="shared" si="218"/>
        <v/>
      </c>
      <c r="AD603" s="70" t="str">
        <f t="shared" si="219"/>
        <v/>
      </c>
      <c r="AE603" s="70" t="str">
        <f t="shared" si="220"/>
        <v/>
      </c>
      <c r="AF603" s="16"/>
      <c r="AG603" s="23"/>
      <c r="AH603" s="22"/>
      <c r="AJ603" s="83">
        <f t="shared" si="221"/>
        <v>0</v>
      </c>
      <c r="AO603" s="22" t="str">
        <f t="shared" si="222"/>
        <v/>
      </c>
      <c r="AP603" s="22" t="str">
        <f t="shared" si="223"/>
        <v/>
      </c>
    </row>
    <row r="604" spans="1:42" x14ac:dyDescent="0.25">
      <c r="A604" s="10"/>
      <c r="B604" s="10"/>
      <c r="C604" s="10"/>
      <c r="D604" s="10"/>
      <c r="E604" s="10"/>
      <c r="F604" s="10"/>
      <c r="G604" s="10"/>
      <c r="H604" s="17"/>
      <c r="I604" s="10"/>
      <c r="J604" s="10"/>
      <c r="K604" s="16" t="str">
        <f t="shared" si="202"/>
        <v/>
      </c>
      <c r="L604" s="23" t="str">
        <f t="shared" si="203"/>
        <v/>
      </c>
      <c r="M604" s="22" t="str">
        <f t="shared" si="204"/>
        <v/>
      </c>
      <c r="N604" s="72"/>
      <c r="O604" s="16" t="str">
        <f t="shared" si="205"/>
        <v/>
      </c>
      <c r="P604" s="16" t="str">
        <f t="shared" si="206"/>
        <v/>
      </c>
      <c r="Q604" s="16" t="str">
        <f t="shared" si="207"/>
        <v/>
      </c>
      <c r="R604" s="23" t="str">
        <f t="shared" si="208"/>
        <v/>
      </c>
      <c r="S604" s="23" t="str">
        <f t="shared" si="209"/>
        <v/>
      </c>
      <c r="T604" s="23" t="str">
        <f t="shared" si="210"/>
        <v/>
      </c>
      <c r="U604" s="23" t="str">
        <f t="shared" si="211"/>
        <v/>
      </c>
      <c r="V604" s="23" t="str">
        <f t="shared" si="212"/>
        <v/>
      </c>
      <c r="W604" s="70" t="str">
        <f t="shared" si="213"/>
        <v/>
      </c>
      <c r="X604" s="70" t="str">
        <f t="shared" si="214"/>
        <v/>
      </c>
      <c r="Y604" s="70" t="str">
        <f>IF(AND($A604&lt;&gt;"",$E604&gt;0),isLaptopBag($C604,$J604)*$D604,"")</f>
        <v/>
      </c>
      <c r="Z604" s="70" t="str">
        <f t="shared" si="215"/>
        <v/>
      </c>
      <c r="AA604" s="70" t="str">
        <f t="shared" si="216"/>
        <v/>
      </c>
      <c r="AB604" s="70" t="str">
        <f t="shared" si="217"/>
        <v/>
      </c>
      <c r="AC604" s="70" t="str">
        <f t="shared" si="218"/>
        <v/>
      </c>
      <c r="AD604" s="70" t="str">
        <f t="shared" si="219"/>
        <v/>
      </c>
      <c r="AE604" s="70" t="str">
        <f t="shared" si="220"/>
        <v/>
      </c>
      <c r="AF604" s="16"/>
      <c r="AG604" s="23"/>
      <c r="AH604" s="22"/>
      <c r="AJ604" s="83">
        <f t="shared" si="221"/>
        <v>0</v>
      </c>
      <c r="AO604" s="22" t="str">
        <f t="shared" si="222"/>
        <v/>
      </c>
      <c r="AP604" s="22" t="str">
        <f t="shared" si="223"/>
        <v/>
      </c>
    </row>
    <row r="605" spans="1:42" x14ac:dyDescent="0.25">
      <c r="A605" s="10"/>
      <c r="B605" s="10"/>
      <c r="C605" s="10"/>
      <c r="D605" s="10"/>
      <c r="E605" s="10"/>
      <c r="F605" s="10"/>
      <c r="G605" s="10"/>
      <c r="H605" s="17"/>
      <c r="I605" s="10"/>
      <c r="J605" s="10"/>
      <c r="K605" s="16" t="str">
        <f t="shared" si="202"/>
        <v/>
      </c>
      <c r="L605" s="23" t="str">
        <f t="shared" si="203"/>
        <v/>
      </c>
      <c r="M605" s="22" t="str">
        <f t="shared" si="204"/>
        <v/>
      </c>
      <c r="N605" s="72"/>
      <c r="O605" s="16" t="str">
        <f t="shared" si="205"/>
        <v/>
      </c>
      <c r="P605" s="16" t="str">
        <f t="shared" si="206"/>
        <v/>
      </c>
      <c r="Q605" s="16" t="str">
        <f t="shared" si="207"/>
        <v/>
      </c>
      <c r="R605" s="23" t="str">
        <f t="shared" si="208"/>
        <v/>
      </c>
      <c r="S605" s="23" t="str">
        <f t="shared" si="209"/>
        <v/>
      </c>
      <c r="T605" s="23" t="str">
        <f t="shared" si="210"/>
        <v/>
      </c>
      <c r="U605" s="23" t="str">
        <f t="shared" si="211"/>
        <v/>
      </c>
      <c r="V605" s="23" t="str">
        <f t="shared" si="212"/>
        <v/>
      </c>
      <c r="W605" s="70" t="str">
        <f t="shared" si="213"/>
        <v/>
      </c>
      <c r="X605" s="70" t="str">
        <f t="shared" si="214"/>
        <v/>
      </c>
      <c r="Y605" s="70" t="str">
        <f>IF(AND($A605&lt;&gt;"",$E605&gt;0),isLaptopBag($C605,$J605)*$D605,"")</f>
        <v/>
      </c>
      <c r="Z605" s="70" t="str">
        <f t="shared" si="215"/>
        <v/>
      </c>
      <c r="AA605" s="70" t="str">
        <f t="shared" si="216"/>
        <v/>
      </c>
      <c r="AB605" s="70" t="str">
        <f t="shared" si="217"/>
        <v/>
      </c>
      <c r="AC605" s="70" t="str">
        <f t="shared" si="218"/>
        <v/>
      </c>
      <c r="AD605" s="70" t="str">
        <f t="shared" si="219"/>
        <v/>
      </c>
      <c r="AE605" s="70" t="str">
        <f t="shared" si="220"/>
        <v/>
      </c>
      <c r="AF605" s="16"/>
      <c r="AG605" s="23"/>
      <c r="AH605" s="22"/>
      <c r="AJ605" s="83">
        <f t="shared" si="221"/>
        <v>0</v>
      </c>
      <c r="AO605" s="22" t="str">
        <f t="shared" si="222"/>
        <v/>
      </c>
      <c r="AP605" s="22" t="str">
        <f t="shared" si="223"/>
        <v/>
      </c>
    </row>
    <row r="606" spans="1:42" x14ac:dyDescent="0.25">
      <c r="A606" s="10"/>
      <c r="B606" s="10"/>
      <c r="C606" s="10"/>
      <c r="D606" s="10"/>
      <c r="E606" s="10"/>
      <c r="F606" s="10"/>
      <c r="G606" s="10"/>
      <c r="H606" s="17"/>
      <c r="I606" s="10"/>
      <c r="J606" s="10"/>
      <c r="K606" s="16" t="str">
        <f t="shared" si="202"/>
        <v/>
      </c>
      <c r="L606" s="23" t="str">
        <f t="shared" si="203"/>
        <v/>
      </c>
      <c r="M606" s="22" t="str">
        <f t="shared" si="204"/>
        <v/>
      </c>
      <c r="N606" s="72"/>
      <c r="O606" s="16" t="str">
        <f t="shared" si="205"/>
        <v/>
      </c>
      <c r="P606" s="16" t="str">
        <f t="shared" si="206"/>
        <v/>
      </c>
      <c r="Q606" s="16" t="str">
        <f t="shared" si="207"/>
        <v/>
      </c>
      <c r="R606" s="23" t="str">
        <f t="shared" si="208"/>
        <v/>
      </c>
      <c r="S606" s="23" t="str">
        <f t="shared" si="209"/>
        <v/>
      </c>
      <c r="T606" s="23" t="str">
        <f t="shared" si="210"/>
        <v/>
      </c>
      <c r="U606" s="23" t="str">
        <f t="shared" si="211"/>
        <v/>
      </c>
      <c r="V606" s="23" t="str">
        <f t="shared" si="212"/>
        <v/>
      </c>
      <c r="W606" s="70" t="str">
        <f t="shared" si="213"/>
        <v/>
      </c>
      <c r="X606" s="70" t="str">
        <f t="shared" si="214"/>
        <v/>
      </c>
      <c r="Y606" s="70" t="str">
        <f>IF(AND($A606&lt;&gt;"",$E606&gt;0),isLaptopBag($C606,$J606)*$D606,"")</f>
        <v/>
      </c>
      <c r="Z606" s="70" t="str">
        <f t="shared" si="215"/>
        <v/>
      </c>
      <c r="AA606" s="70" t="str">
        <f t="shared" si="216"/>
        <v/>
      </c>
      <c r="AB606" s="70" t="str">
        <f t="shared" si="217"/>
        <v/>
      </c>
      <c r="AC606" s="70" t="str">
        <f t="shared" si="218"/>
        <v/>
      </c>
      <c r="AD606" s="70" t="str">
        <f t="shared" si="219"/>
        <v/>
      </c>
      <c r="AE606" s="70" t="str">
        <f t="shared" si="220"/>
        <v/>
      </c>
      <c r="AF606" s="16"/>
      <c r="AG606" s="23"/>
      <c r="AH606" s="22"/>
      <c r="AJ606" s="83">
        <f t="shared" si="221"/>
        <v>0</v>
      </c>
      <c r="AO606" s="22" t="str">
        <f t="shared" si="222"/>
        <v/>
      </c>
      <c r="AP606" s="22" t="str">
        <f t="shared" si="223"/>
        <v/>
      </c>
    </row>
    <row r="607" spans="1:42" x14ac:dyDescent="0.25">
      <c r="A607" s="10"/>
      <c r="B607" s="10"/>
      <c r="C607" s="10"/>
      <c r="D607" s="10"/>
      <c r="E607" s="10"/>
      <c r="F607" s="10"/>
      <c r="G607" s="10"/>
      <c r="H607" s="17"/>
      <c r="I607" s="10"/>
      <c r="J607" s="10"/>
      <c r="K607" s="16" t="str">
        <f t="shared" si="202"/>
        <v/>
      </c>
      <c r="L607" s="23" t="str">
        <f t="shared" si="203"/>
        <v/>
      </c>
      <c r="M607" s="22" t="str">
        <f t="shared" si="204"/>
        <v/>
      </c>
      <c r="N607" s="72"/>
      <c r="O607" s="16" t="str">
        <f t="shared" si="205"/>
        <v/>
      </c>
      <c r="P607" s="16" t="str">
        <f t="shared" si="206"/>
        <v/>
      </c>
      <c r="Q607" s="16" t="str">
        <f t="shared" si="207"/>
        <v/>
      </c>
      <c r="R607" s="23" t="str">
        <f t="shared" si="208"/>
        <v/>
      </c>
      <c r="S607" s="23" t="str">
        <f t="shared" si="209"/>
        <v/>
      </c>
      <c r="T607" s="23" t="str">
        <f t="shared" si="210"/>
        <v/>
      </c>
      <c r="U607" s="23" t="str">
        <f t="shared" si="211"/>
        <v/>
      </c>
      <c r="V607" s="23" t="str">
        <f t="shared" si="212"/>
        <v/>
      </c>
      <c r="W607" s="70" t="str">
        <f t="shared" si="213"/>
        <v/>
      </c>
      <c r="X607" s="70" t="str">
        <f t="shared" si="214"/>
        <v/>
      </c>
      <c r="Y607" s="70" t="str">
        <f>IF(AND($A607&lt;&gt;"",$E607&gt;0),isLaptopBag($C607,$J607)*$D607,"")</f>
        <v/>
      </c>
      <c r="Z607" s="70" t="str">
        <f t="shared" si="215"/>
        <v/>
      </c>
      <c r="AA607" s="70" t="str">
        <f t="shared" si="216"/>
        <v/>
      </c>
      <c r="AB607" s="70" t="str">
        <f t="shared" si="217"/>
        <v/>
      </c>
      <c r="AC607" s="70" t="str">
        <f t="shared" si="218"/>
        <v/>
      </c>
      <c r="AD607" s="70" t="str">
        <f t="shared" si="219"/>
        <v/>
      </c>
      <c r="AE607" s="70" t="str">
        <f t="shared" si="220"/>
        <v/>
      </c>
      <c r="AF607" s="16"/>
      <c r="AG607" s="23"/>
      <c r="AH607" s="22"/>
      <c r="AJ607" s="83">
        <f t="shared" si="221"/>
        <v>0</v>
      </c>
      <c r="AO607" s="22" t="str">
        <f t="shared" si="222"/>
        <v/>
      </c>
      <c r="AP607" s="22" t="str">
        <f t="shared" si="223"/>
        <v/>
      </c>
    </row>
    <row r="608" spans="1:42" x14ac:dyDescent="0.25">
      <c r="A608" s="10"/>
      <c r="B608" s="10"/>
      <c r="C608" s="10"/>
      <c r="D608" s="10"/>
      <c r="E608" s="10"/>
      <c r="F608" s="10"/>
      <c r="G608" s="10"/>
      <c r="H608" s="17"/>
      <c r="I608" s="10"/>
      <c r="J608" s="10"/>
      <c r="K608" s="16" t="str">
        <f t="shared" si="202"/>
        <v/>
      </c>
      <c r="L608" s="23" t="str">
        <f t="shared" si="203"/>
        <v/>
      </c>
      <c r="M608" s="22" t="str">
        <f t="shared" si="204"/>
        <v/>
      </c>
      <c r="N608" s="72"/>
      <c r="O608" s="16" t="str">
        <f t="shared" si="205"/>
        <v/>
      </c>
      <c r="P608" s="16" t="str">
        <f t="shared" si="206"/>
        <v/>
      </c>
      <c r="Q608" s="16" t="str">
        <f t="shared" si="207"/>
        <v/>
      </c>
      <c r="R608" s="23" t="str">
        <f t="shared" si="208"/>
        <v/>
      </c>
      <c r="S608" s="23" t="str">
        <f t="shared" si="209"/>
        <v/>
      </c>
      <c r="T608" s="23" t="str">
        <f t="shared" si="210"/>
        <v/>
      </c>
      <c r="U608" s="23" t="str">
        <f t="shared" si="211"/>
        <v/>
      </c>
      <c r="V608" s="23" t="str">
        <f t="shared" si="212"/>
        <v/>
      </c>
      <c r="W608" s="70" t="str">
        <f t="shared" si="213"/>
        <v/>
      </c>
      <c r="X608" s="70" t="str">
        <f t="shared" si="214"/>
        <v/>
      </c>
      <c r="Y608" s="70" t="str">
        <f>IF(AND($A608&lt;&gt;"",$E608&gt;0),isLaptopBag($C608,$J608)*$D608,"")</f>
        <v/>
      </c>
      <c r="Z608" s="70" t="str">
        <f t="shared" si="215"/>
        <v/>
      </c>
      <c r="AA608" s="70" t="str">
        <f t="shared" si="216"/>
        <v/>
      </c>
      <c r="AB608" s="70" t="str">
        <f t="shared" si="217"/>
        <v/>
      </c>
      <c r="AC608" s="70" t="str">
        <f t="shared" si="218"/>
        <v/>
      </c>
      <c r="AD608" s="70" t="str">
        <f t="shared" si="219"/>
        <v/>
      </c>
      <c r="AE608" s="70" t="str">
        <f t="shared" si="220"/>
        <v/>
      </c>
      <c r="AF608" s="16"/>
      <c r="AG608" s="23"/>
      <c r="AH608" s="22"/>
      <c r="AJ608" s="83">
        <f t="shared" si="221"/>
        <v>0</v>
      </c>
      <c r="AO608" s="22" t="str">
        <f t="shared" si="222"/>
        <v/>
      </c>
      <c r="AP608" s="22" t="str">
        <f t="shared" si="223"/>
        <v/>
      </c>
    </row>
    <row r="609" spans="1:42" x14ac:dyDescent="0.25">
      <c r="A609" s="10"/>
      <c r="B609" s="10"/>
      <c r="C609" s="10"/>
      <c r="D609" s="10"/>
      <c r="E609" s="10"/>
      <c r="F609" s="10"/>
      <c r="G609" s="10"/>
      <c r="H609" s="17"/>
      <c r="I609" s="10"/>
      <c r="J609" s="10"/>
      <c r="K609" s="16" t="str">
        <f t="shared" si="202"/>
        <v/>
      </c>
      <c r="L609" s="23" t="str">
        <f t="shared" si="203"/>
        <v/>
      </c>
      <c r="M609" s="22" t="str">
        <f t="shared" si="204"/>
        <v/>
      </c>
      <c r="N609" s="72"/>
      <c r="O609" s="16" t="str">
        <f t="shared" si="205"/>
        <v/>
      </c>
      <c r="P609" s="16" t="str">
        <f t="shared" si="206"/>
        <v/>
      </c>
      <c r="Q609" s="16" t="str">
        <f t="shared" si="207"/>
        <v/>
      </c>
      <c r="R609" s="23" t="str">
        <f t="shared" si="208"/>
        <v/>
      </c>
      <c r="S609" s="23" t="str">
        <f t="shared" si="209"/>
        <v/>
      </c>
      <c r="T609" s="23" t="str">
        <f t="shared" si="210"/>
        <v/>
      </c>
      <c r="U609" s="23" t="str">
        <f t="shared" si="211"/>
        <v/>
      </c>
      <c r="V609" s="23" t="str">
        <f t="shared" si="212"/>
        <v/>
      </c>
      <c r="W609" s="70" t="str">
        <f t="shared" si="213"/>
        <v/>
      </c>
      <c r="X609" s="70" t="str">
        <f t="shared" si="214"/>
        <v/>
      </c>
      <c r="Y609" s="70" t="str">
        <f>IF(AND($A609&lt;&gt;"",$E609&gt;0),isLaptopBag($C609,$J609)*$D609,"")</f>
        <v/>
      </c>
      <c r="Z609" s="70" t="str">
        <f t="shared" si="215"/>
        <v/>
      </c>
      <c r="AA609" s="70" t="str">
        <f t="shared" si="216"/>
        <v/>
      </c>
      <c r="AB609" s="70" t="str">
        <f t="shared" si="217"/>
        <v/>
      </c>
      <c r="AC609" s="70" t="str">
        <f t="shared" si="218"/>
        <v/>
      </c>
      <c r="AD609" s="70" t="str">
        <f t="shared" si="219"/>
        <v/>
      </c>
      <c r="AE609" s="70" t="str">
        <f t="shared" si="220"/>
        <v/>
      </c>
      <c r="AF609" s="16"/>
      <c r="AG609" s="23"/>
      <c r="AH609" s="22"/>
      <c r="AJ609" s="83">
        <f t="shared" si="221"/>
        <v>0</v>
      </c>
      <c r="AO609" s="22" t="str">
        <f t="shared" si="222"/>
        <v/>
      </c>
      <c r="AP609" s="22" t="str">
        <f t="shared" si="223"/>
        <v/>
      </c>
    </row>
    <row r="610" spans="1:42" x14ac:dyDescent="0.25">
      <c r="A610" s="10"/>
      <c r="B610" s="10"/>
      <c r="C610" s="10"/>
      <c r="D610" s="10"/>
      <c r="E610" s="10"/>
      <c r="F610" s="10"/>
      <c r="G610" s="10"/>
      <c r="H610" s="17"/>
      <c r="I610" s="10"/>
      <c r="J610" s="10"/>
      <c r="K610" s="16" t="str">
        <f t="shared" si="202"/>
        <v/>
      </c>
      <c r="L610" s="23" t="str">
        <f t="shared" si="203"/>
        <v/>
      </c>
      <c r="M610" s="22" t="str">
        <f t="shared" si="204"/>
        <v/>
      </c>
      <c r="N610" s="72"/>
      <c r="O610" s="16" t="str">
        <f t="shared" si="205"/>
        <v/>
      </c>
      <c r="P610" s="16" t="str">
        <f t="shared" si="206"/>
        <v/>
      </c>
      <c r="Q610" s="16" t="str">
        <f t="shared" si="207"/>
        <v/>
      </c>
      <c r="R610" s="23" t="str">
        <f t="shared" si="208"/>
        <v/>
      </c>
      <c r="S610" s="23" t="str">
        <f t="shared" si="209"/>
        <v/>
      </c>
      <c r="T610" s="23" t="str">
        <f t="shared" si="210"/>
        <v/>
      </c>
      <c r="U610" s="23" t="str">
        <f t="shared" si="211"/>
        <v/>
      </c>
      <c r="V610" s="23" t="str">
        <f t="shared" si="212"/>
        <v/>
      </c>
      <c r="W610" s="70" t="str">
        <f t="shared" si="213"/>
        <v/>
      </c>
      <c r="X610" s="70" t="str">
        <f t="shared" si="214"/>
        <v/>
      </c>
      <c r="Y610" s="70" t="str">
        <f>IF(AND($A610&lt;&gt;"",$E610&gt;0),isLaptopBag($C610,$J610)*$D610,"")</f>
        <v/>
      </c>
      <c r="Z610" s="70" t="str">
        <f t="shared" si="215"/>
        <v/>
      </c>
      <c r="AA610" s="70" t="str">
        <f t="shared" si="216"/>
        <v/>
      </c>
      <c r="AB610" s="70" t="str">
        <f t="shared" si="217"/>
        <v/>
      </c>
      <c r="AC610" s="70" t="str">
        <f t="shared" si="218"/>
        <v/>
      </c>
      <c r="AD610" s="70" t="str">
        <f t="shared" si="219"/>
        <v/>
      </c>
      <c r="AE610" s="70" t="str">
        <f t="shared" si="220"/>
        <v/>
      </c>
      <c r="AF610" s="16"/>
      <c r="AG610" s="23"/>
      <c r="AH610" s="22"/>
      <c r="AJ610" s="83">
        <f t="shared" si="221"/>
        <v>0</v>
      </c>
      <c r="AO610" s="22" t="str">
        <f t="shared" si="222"/>
        <v/>
      </c>
      <c r="AP610" s="22" t="str">
        <f t="shared" si="223"/>
        <v/>
      </c>
    </row>
    <row r="611" spans="1:42" x14ac:dyDescent="0.25">
      <c r="A611" s="10"/>
      <c r="B611" s="10"/>
      <c r="C611" s="10"/>
      <c r="D611" s="10"/>
      <c r="E611" s="10"/>
      <c r="F611" s="10"/>
      <c r="G611" s="10"/>
      <c r="H611" s="17"/>
      <c r="I611" s="10"/>
      <c r="J611" s="10"/>
      <c r="K611" s="16" t="str">
        <f t="shared" si="202"/>
        <v/>
      </c>
      <c r="L611" s="23" t="str">
        <f t="shared" si="203"/>
        <v/>
      </c>
      <c r="M611" s="22" t="str">
        <f t="shared" si="204"/>
        <v/>
      </c>
      <c r="N611" s="72"/>
      <c r="O611" s="16" t="str">
        <f t="shared" si="205"/>
        <v/>
      </c>
      <c r="P611" s="16" t="str">
        <f t="shared" si="206"/>
        <v/>
      </c>
      <c r="Q611" s="16" t="str">
        <f t="shared" si="207"/>
        <v/>
      </c>
      <c r="R611" s="23" t="str">
        <f t="shared" si="208"/>
        <v/>
      </c>
      <c r="S611" s="23" t="str">
        <f t="shared" si="209"/>
        <v/>
      </c>
      <c r="T611" s="23" t="str">
        <f t="shared" si="210"/>
        <v/>
      </c>
      <c r="U611" s="23" t="str">
        <f t="shared" si="211"/>
        <v/>
      </c>
      <c r="V611" s="23" t="str">
        <f t="shared" si="212"/>
        <v/>
      </c>
      <c r="W611" s="70" t="str">
        <f t="shared" si="213"/>
        <v/>
      </c>
      <c r="X611" s="70" t="str">
        <f t="shared" si="214"/>
        <v/>
      </c>
      <c r="Y611" s="70" t="str">
        <f>IF(AND($A611&lt;&gt;"",$E611&gt;0),isLaptopBag($C611,$J611)*$D611,"")</f>
        <v/>
      </c>
      <c r="Z611" s="70" t="str">
        <f t="shared" si="215"/>
        <v/>
      </c>
      <c r="AA611" s="70" t="str">
        <f t="shared" si="216"/>
        <v/>
      </c>
      <c r="AB611" s="70" t="str">
        <f t="shared" si="217"/>
        <v/>
      </c>
      <c r="AC611" s="70" t="str">
        <f t="shared" si="218"/>
        <v/>
      </c>
      <c r="AD611" s="70" t="str">
        <f t="shared" si="219"/>
        <v/>
      </c>
      <c r="AE611" s="70" t="str">
        <f t="shared" si="220"/>
        <v/>
      </c>
      <c r="AF611" s="16"/>
      <c r="AG611" s="23"/>
      <c r="AH611" s="22"/>
      <c r="AJ611" s="83">
        <f t="shared" si="221"/>
        <v>0</v>
      </c>
      <c r="AO611" s="22" t="str">
        <f t="shared" si="222"/>
        <v/>
      </c>
      <c r="AP611" s="22" t="str">
        <f t="shared" si="223"/>
        <v/>
      </c>
    </row>
    <row r="612" spans="1:42" x14ac:dyDescent="0.25">
      <c r="A612" s="10"/>
      <c r="B612" s="10"/>
      <c r="C612" s="10"/>
      <c r="D612" s="10"/>
      <c r="E612" s="10"/>
      <c r="F612" s="10"/>
      <c r="G612" s="10"/>
      <c r="H612" s="17"/>
      <c r="I612" s="10"/>
      <c r="J612" s="10"/>
      <c r="K612" s="16" t="str">
        <f t="shared" si="202"/>
        <v/>
      </c>
      <c r="L612" s="23" t="str">
        <f t="shared" si="203"/>
        <v/>
      </c>
      <c r="M612" s="22" t="str">
        <f t="shared" si="204"/>
        <v/>
      </c>
      <c r="N612" s="72"/>
      <c r="O612" s="16" t="str">
        <f t="shared" si="205"/>
        <v/>
      </c>
      <c r="P612" s="16" t="str">
        <f t="shared" si="206"/>
        <v/>
      </c>
      <c r="Q612" s="16" t="str">
        <f t="shared" si="207"/>
        <v/>
      </c>
      <c r="R612" s="23" t="str">
        <f t="shared" si="208"/>
        <v/>
      </c>
      <c r="S612" s="23" t="str">
        <f t="shared" si="209"/>
        <v/>
      </c>
      <c r="T612" s="23" t="str">
        <f t="shared" si="210"/>
        <v/>
      </c>
      <c r="U612" s="23" t="str">
        <f t="shared" si="211"/>
        <v/>
      </c>
      <c r="V612" s="23" t="str">
        <f t="shared" si="212"/>
        <v/>
      </c>
      <c r="W612" s="70" t="str">
        <f t="shared" si="213"/>
        <v/>
      </c>
      <c r="X612" s="70" t="str">
        <f t="shared" si="214"/>
        <v/>
      </c>
      <c r="Y612" s="70" t="str">
        <f>IF(AND($A612&lt;&gt;"",$E612&gt;0),isLaptopBag($C612,$J612)*$D612,"")</f>
        <v/>
      </c>
      <c r="Z612" s="70" t="str">
        <f t="shared" si="215"/>
        <v/>
      </c>
      <c r="AA612" s="70" t="str">
        <f t="shared" si="216"/>
        <v/>
      </c>
      <c r="AB612" s="70" t="str">
        <f t="shared" si="217"/>
        <v/>
      </c>
      <c r="AC612" s="70" t="str">
        <f t="shared" si="218"/>
        <v/>
      </c>
      <c r="AD612" s="70" t="str">
        <f t="shared" si="219"/>
        <v/>
      </c>
      <c r="AE612" s="70" t="str">
        <f t="shared" si="220"/>
        <v/>
      </c>
      <c r="AF612" s="16"/>
      <c r="AG612" s="23"/>
      <c r="AH612" s="22"/>
      <c r="AJ612" s="83">
        <f t="shared" si="221"/>
        <v>0</v>
      </c>
      <c r="AO612" s="22" t="str">
        <f t="shared" si="222"/>
        <v/>
      </c>
      <c r="AP612" s="22" t="str">
        <f t="shared" si="223"/>
        <v/>
      </c>
    </row>
    <row r="613" spans="1:42" x14ac:dyDescent="0.25">
      <c r="A613" s="10"/>
      <c r="B613" s="10"/>
      <c r="C613" s="10"/>
      <c r="D613" s="10"/>
      <c r="E613" s="10"/>
      <c r="F613" s="10"/>
      <c r="G613" s="10"/>
      <c r="H613" s="17"/>
      <c r="I613" s="10"/>
      <c r="J613" s="10"/>
      <c r="K613" s="16" t="str">
        <f t="shared" si="202"/>
        <v/>
      </c>
      <c r="L613" s="23" t="str">
        <f t="shared" si="203"/>
        <v/>
      </c>
      <c r="M613" s="22" t="str">
        <f t="shared" si="204"/>
        <v/>
      </c>
      <c r="N613" s="72"/>
      <c r="O613" s="16" t="str">
        <f t="shared" si="205"/>
        <v/>
      </c>
      <c r="P613" s="16" t="str">
        <f t="shared" si="206"/>
        <v/>
      </c>
      <c r="Q613" s="16" t="str">
        <f t="shared" si="207"/>
        <v/>
      </c>
      <c r="R613" s="23" t="str">
        <f t="shared" si="208"/>
        <v/>
      </c>
      <c r="S613" s="23" t="str">
        <f t="shared" si="209"/>
        <v/>
      </c>
      <c r="T613" s="23" t="str">
        <f t="shared" si="210"/>
        <v/>
      </c>
      <c r="U613" s="23" t="str">
        <f t="shared" si="211"/>
        <v/>
      </c>
      <c r="V613" s="23" t="str">
        <f t="shared" si="212"/>
        <v/>
      </c>
      <c r="W613" s="70" t="str">
        <f t="shared" si="213"/>
        <v/>
      </c>
      <c r="X613" s="70" t="str">
        <f t="shared" si="214"/>
        <v/>
      </c>
      <c r="Y613" s="70" t="str">
        <f>IF(AND($A613&lt;&gt;"",$E613&gt;0),isLaptopBag($C613,$J613)*$D613,"")</f>
        <v/>
      </c>
      <c r="Z613" s="70" t="str">
        <f t="shared" si="215"/>
        <v/>
      </c>
      <c r="AA613" s="70" t="str">
        <f t="shared" si="216"/>
        <v/>
      </c>
      <c r="AB613" s="70" t="str">
        <f t="shared" si="217"/>
        <v/>
      </c>
      <c r="AC613" s="70" t="str">
        <f t="shared" si="218"/>
        <v/>
      </c>
      <c r="AD613" s="70" t="str">
        <f t="shared" si="219"/>
        <v/>
      </c>
      <c r="AE613" s="70" t="str">
        <f t="shared" si="220"/>
        <v/>
      </c>
      <c r="AF613" s="16"/>
      <c r="AG613" s="23"/>
      <c r="AH613" s="22"/>
      <c r="AJ613" s="83">
        <f t="shared" si="221"/>
        <v>0</v>
      </c>
      <c r="AO613" s="22" t="str">
        <f t="shared" si="222"/>
        <v/>
      </c>
      <c r="AP613" s="22" t="str">
        <f t="shared" si="223"/>
        <v/>
      </c>
    </row>
    <row r="614" spans="1:42" x14ac:dyDescent="0.25">
      <c r="A614" s="10"/>
      <c r="B614" s="10"/>
      <c r="C614" s="10"/>
      <c r="D614" s="10"/>
      <c r="E614" s="10"/>
      <c r="F614" s="10"/>
      <c r="G614" s="10"/>
      <c r="H614" s="17"/>
      <c r="I614" s="10"/>
      <c r="J614" s="10"/>
      <c r="K614" s="16" t="str">
        <f t="shared" si="202"/>
        <v/>
      </c>
      <c r="L614" s="23" t="str">
        <f t="shared" si="203"/>
        <v/>
      </c>
      <c r="M614" s="22" t="str">
        <f t="shared" si="204"/>
        <v/>
      </c>
      <c r="N614" s="72"/>
      <c r="O614" s="16" t="str">
        <f t="shared" si="205"/>
        <v/>
      </c>
      <c r="P614" s="16" t="str">
        <f t="shared" si="206"/>
        <v/>
      </c>
      <c r="Q614" s="16" t="str">
        <f t="shared" si="207"/>
        <v/>
      </c>
      <c r="R614" s="23" t="str">
        <f t="shared" si="208"/>
        <v/>
      </c>
      <c r="S614" s="23" t="str">
        <f t="shared" si="209"/>
        <v/>
      </c>
      <c r="T614" s="23" t="str">
        <f t="shared" si="210"/>
        <v/>
      </c>
      <c r="U614" s="23" t="str">
        <f t="shared" si="211"/>
        <v/>
      </c>
      <c r="V614" s="23" t="str">
        <f t="shared" si="212"/>
        <v/>
      </c>
      <c r="W614" s="70" t="str">
        <f t="shared" si="213"/>
        <v/>
      </c>
      <c r="X614" s="70" t="str">
        <f t="shared" si="214"/>
        <v/>
      </c>
      <c r="Y614" s="70" t="str">
        <f>IF(AND($A614&lt;&gt;"",$E614&gt;0),isLaptopBag($C614,$J614)*$D614,"")</f>
        <v/>
      </c>
      <c r="Z614" s="70" t="str">
        <f t="shared" si="215"/>
        <v/>
      </c>
      <c r="AA614" s="70" t="str">
        <f t="shared" si="216"/>
        <v/>
      </c>
      <c r="AB614" s="70" t="str">
        <f t="shared" si="217"/>
        <v/>
      </c>
      <c r="AC614" s="70" t="str">
        <f t="shared" si="218"/>
        <v/>
      </c>
      <c r="AD614" s="70" t="str">
        <f t="shared" si="219"/>
        <v/>
      </c>
      <c r="AE614" s="70" t="str">
        <f t="shared" si="220"/>
        <v/>
      </c>
      <c r="AF614" s="16"/>
      <c r="AG614" s="23"/>
      <c r="AH614" s="22"/>
      <c r="AJ614" s="83">
        <f t="shared" si="221"/>
        <v>0</v>
      </c>
      <c r="AO614" s="22" t="str">
        <f t="shared" si="222"/>
        <v/>
      </c>
      <c r="AP614" s="22" t="str">
        <f t="shared" si="223"/>
        <v/>
      </c>
    </row>
    <row r="615" spans="1:42" x14ac:dyDescent="0.25">
      <c r="A615" s="10"/>
      <c r="B615" s="10"/>
      <c r="C615" s="10"/>
      <c r="D615" s="10"/>
      <c r="E615" s="10"/>
      <c r="F615" s="10"/>
      <c r="G615" s="10"/>
      <c r="H615" s="17"/>
      <c r="I615" s="10"/>
      <c r="J615" s="10"/>
      <c r="K615" s="16" t="str">
        <f t="shared" si="202"/>
        <v/>
      </c>
      <c r="L615" s="23" t="str">
        <f t="shared" si="203"/>
        <v/>
      </c>
      <c r="M615" s="22" t="str">
        <f t="shared" si="204"/>
        <v/>
      </c>
      <c r="N615" s="72"/>
      <c r="O615" s="16" t="str">
        <f t="shared" si="205"/>
        <v/>
      </c>
      <c r="P615" s="16" t="str">
        <f t="shared" si="206"/>
        <v/>
      </c>
      <c r="Q615" s="16" t="str">
        <f t="shared" si="207"/>
        <v/>
      </c>
      <c r="R615" s="23" t="str">
        <f t="shared" si="208"/>
        <v/>
      </c>
      <c r="S615" s="23" t="str">
        <f t="shared" si="209"/>
        <v/>
      </c>
      <c r="T615" s="23" t="str">
        <f t="shared" si="210"/>
        <v/>
      </c>
      <c r="U615" s="23" t="str">
        <f t="shared" si="211"/>
        <v/>
      </c>
      <c r="V615" s="23" t="str">
        <f t="shared" si="212"/>
        <v/>
      </c>
      <c r="W615" s="70" t="str">
        <f t="shared" si="213"/>
        <v/>
      </c>
      <c r="X615" s="70" t="str">
        <f t="shared" si="214"/>
        <v/>
      </c>
      <c r="Y615" s="70" t="str">
        <f>IF(AND($A615&lt;&gt;"",$E615&gt;0),isLaptopBag($C615,$J615)*$D615,"")</f>
        <v/>
      </c>
      <c r="Z615" s="70" t="str">
        <f t="shared" si="215"/>
        <v/>
      </c>
      <c r="AA615" s="70" t="str">
        <f t="shared" si="216"/>
        <v/>
      </c>
      <c r="AB615" s="70" t="str">
        <f t="shared" si="217"/>
        <v/>
      </c>
      <c r="AC615" s="70" t="str">
        <f t="shared" si="218"/>
        <v/>
      </c>
      <c r="AD615" s="70" t="str">
        <f t="shared" si="219"/>
        <v/>
      </c>
      <c r="AE615" s="70" t="str">
        <f t="shared" si="220"/>
        <v/>
      </c>
      <c r="AF615" s="16"/>
      <c r="AG615" s="23"/>
      <c r="AH615" s="22"/>
      <c r="AJ615" s="83">
        <f t="shared" si="221"/>
        <v>0</v>
      </c>
      <c r="AO615" s="22" t="str">
        <f t="shared" si="222"/>
        <v/>
      </c>
      <c r="AP615" s="22" t="str">
        <f t="shared" si="223"/>
        <v/>
      </c>
    </row>
    <row r="616" spans="1:42" x14ac:dyDescent="0.25">
      <c r="A616" s="10"/>
      <c r="B616" s="10"/>
      <c r="C616" s="10"/>
      <c r="D616" s="10"/>
      <c r="E616" s="10"/>
      <c r="F616" s="10"/>
      <c r="G616" s="10"/>
      <c r="H616" s="17"/>
      <c r="I616" s="10"/>
      <c r="J616" s="10"/>
      <c r="K616" s="16" t="str">
        <f t="shared" si="202"/>
        <v/>
      </c>
      <c r="L616" s="23" t="str">
        <f t="shared" si="203"/>
        <v/>
      </c>
      <c r="M616" s="22" t="str">
        <f t="shared" si="204"/>
        <v/>
      </c>
      <c r="N616" s="72"/>
      <c r="O616" s="16" t="str">
        <f t="shared" si="205"/>
        <v/>
      </c>
      <c r="P616" s="16" t="str">
        <f t="shared" si="206"/>
        <v/>
      </c>
      <c r="Q616" s="16" t="str">
        <f t="shared" si="207"/>
        <v/>
      </c>
      <c r="R616" s="23" t="str">
        <f t="shared" si="208"/>
        <v/>
      </c>
      <c r="S616" s="23" t="str">
        <f t="shared" si="209"/>
        <v/>
      </c>
      <c r="T616" s="23" t="str">
        <f t="shared" si="210"/>
        <v/>
      </c>
      <c r="U616" s="23" t="str">
        <f t="shared" si="211"/>
        <v/>
      </c>
      <c r="V616" s="23" t="str">
        <f t="shared" si="212"/>
        <v/>
      </c>
      <c r="W616" s="70" t="str">
        <f t="shared" si="213"/>
        <v/>
      </c>
      <c r="X616" s="70" t="str">
        <f t="shared" si="214"/>
        <v/>
      </c>
      <c r="Y616" s="70" t="str">
        <f>IF(AND($A616&lt;&gt;"",$E616&gt;0),isLaptopBag($C616,$J616)*$D616,"")</f>
        <v/>
      </c>
      <c r="Z616" s="70" t="str">
        <f t="shared" si="215"/>
        <v/>
      </c>
      <c r="AA616" s="70" t="str">
        <f t="shared" si="216"/>
        <v/>
      </c>
      <c r="AB616" s="70" t="str">
        <f t="shared" si="217"/>
        <v/>
      </c>
      <c r="AC616" s="70" t="str">
        <f t="shared" si="218"/>
        <v/>
      </c>
      <c r="AD616" s="70" t="str">
        <f t="shared" si="219"/>
        <v/>
      </c>
      <c r="AE616" s="70" t="str">
        <f t="shared" si="220"/>
        <v/>
      </c>
      <c r="AF616" s="16"/>
      <c r="AG616" s="23"/>
      <c r="AH616" s="22"/>
      <c r="AJ616" s="83">
        <f t="shared" si="221"/>
        <v>0</v>
      </c>
      <c r="AO616" s="22" t="str">
        <f t="shared" si="222"/>
        <v/>
      </c>
      <c r="AP616" s="22" t="str">
        <f t="shared" si="223"/>
        <v/>
      </c>
    </row>
    <row r="617" spans="1:42" x14ac:dyDescent="0.25">
      <c r="A617" s="10"/>
      <c r="B617" s="10"/>
      <c r="C617" s="10"/>
      <c r="D617" s="10"/>
      <c r="E617" s="10"/>
      <c r="F617" s="10"/>
      <c r="G617" s="10"/>
      <c r="H617" s="17"/>
      <c r="I617" s="10"/>
      <c r="J617" s="10"/>
      <c r="K617" s="16" t="str">
        <f t="shared" si="202"/>
        <v/>
      </c>
      <c r="L617" s="23" t="str">
        <f t="shared" si="203"/>
        <v/>
      </c>
      <c r="M617" s="22" t="str">
        <f t="shared" si="204"/>
        <v/>
      </c>
      <c r="N617" s="72"/>
      <c r="O617" s="16" t="str">
        <f t="shared" si="205"/>
        <v/>
      </c>
      <c r="P617" s="16" t="str">
        <f t="shared" si="206"/>
        <v/>
      </c>
      <c r="Q617" s="16" t="str">
        <f t="shared" si="207"/>
        <v/>
      </c>
      <c r="R617" s="23" t="str">
        <f t="shared" si="208"/>
        <v/>
      </c>
      <c r="S617" s="23" t="str">
        <f t="shared" si="209"/>
        <v/>
      </c>
      <c r="T617" s="23" t="str">
        <f t="shared" si="210"/>
        <v/>
      </c>
      <c r="U617" s="23" t="str">
        <f t="shared" si="211"/>
        <v/>
      </c>
      <c r="V617" s="23" t="str">
        <f t="shared" si="212"/>
        <v/>
      </c>
      <c r="W617" s="70" t="str">
        <f t="shared" si="213"/>
        <v/>
      </c>
      <c r="X617" s="70" t="str">
        <f t="shared" si="214"/>
        <v/>
      </c>
      <c r="Y617" s="70" t="str">
        <f>IF(AND($A617&lt;&gt;"",$E617&gt;0),isLaptopBag($C617,$J617)*$D617,"")</f>
        <v/>
      </c>
      <c r="Z617" s="70" t="str">
        <f t="shared" si="215"/>
        <v/>
      </c>
      <c r="AA617" s="70" t="str">
        <f t="shared" si="216"/>
        <v/>
      </c>
      <c r="AB617" s="70" t="str">
        <f t="shared" si="217"/>
        <v/>
      </c>
      <c r="AC617" s="70" t="str">
        <f t="shared" si="218"/>
        <v/>
      </c>
      <c r="AD617" s="70" t="str">
        <f t="shared" si="219"/>
        <v/>
      </c>
      <c r="AE617" s="70" t="str">
        <f t="shared" si="220"/>
        <v/>
      </c>
      <c r="AF617" s="16"/>
      <c r="AG617" s="23"/>
      <c r="AH617" s="22"/>
      <c r="AJ617" s="83">
        <f t="shared" si="221"/>
        <v>0</v>
      </c>
      <c r="AO617" s="22" t="str">
        <f t="shared" si="222"/>
        <v/>
      </c>
      <c r="AP617" s="22" t="str">
        <f t="shared" si="223"/>
        <v/>
      </c>
    </row>
    <row r="618" spans="1:42" x14ac:dyDescent="0.25">
      <c r="A618" s="10"/>
      <c r="B618" s="10"/>
      <c r="C618" s="10"/>
      <c r="D618" s="10"/>
      <c r="E618" s="10"/>
      <c r="F618" s="10"/>
      <c r="G618" s="10"/>
      <c r="H618" s="17"/>
      <c r="I618" s="10"/>
      <c r="J618" s="10"/>
      <c r="K618" s="16" t="str">
        <f t="shared" si="202"/>
        <v/>
      </c>
      <c r="L618" s="23" t="str">
        <f t="shared" si="203"/>
        <v/>
      </c>
      <c r="M618" s="22" t="str">
        <f t="shared" si="204"/>
        <v/>
      </c>
      <c r="N618" s="72"/>
      <c r="O618" s="16" t="str">
        <f t="shared" si="205"/>
        <v/>
      </c>
      <c r="P618" s="16" t="str">
        <f t="shared" si="206"/>
        <v/>
      </c>
      <c r="Q618" s="16" t="str">
        <f t="shared" si="207"/>
        <v/>
      </c>
      <c r="R618" s="23" t="str">
        <f t="shared" si="208"/>
        <v/>
      </c>
      <c r="S618" s="23" t="str">
        <f t="shared" si="209"/>
        <v/>
      </c>
      <c r="T618" s="23" t="str">
        <f t="shared" si="210"/>
        <v/>
      </c>
      <c r="U618" s="23" t="str">
        <f t="shared" si="211"/>
        <v/>
      </c>
      <c r="V618" s="23" t="str">
        <f t="shared" si="212"/>
        <v/>
      </c>
      <c r="W618" s="70" t="str">
        <f t="shared" si="213"/>
        <v/>
      </c>
      <c r="X618" s="70" t="str">
        <f t="shared" si="214"/>
        <v/>
      </c>
      <c r="Y618" s="70" t="str">
        <f>IF(AND($A618&lt;&gt;"",$E618&gt;0),isLaptopBag($C618,$J618)*$D618,"")</f>
        <v/>
      </c>
      <c r="Z618" s="70" t="str">
        <f t="shared" si="215"/>
        <v/>
      </c>
      <c r="AA618" s="70" t="str">
        <f t="shared" si="216"/>
        <v/>
      </c>
      <c r="AB618" s="70" t="str">
        <f t="shared" si="217"/>
        <v/>
      </c>
      <c r="AC618" s="70" t="str">
        <f t="shared" si="218"/>
        <v/>
      </c>
      <c r="AD618" s="70" t="str">
        <f t="shared" si="219"/>
        <v/>
      </c>
      <c r="AE618" s="70" t="str">
        <f t="shared" si="220"/>
        <v/>
      </c>
      <c r="AF618" s="16"/>
      <c r="AG618" s="23"/>
      <c r="AH618" s="22"/>
      <c r="AJ618" s="83">
        <f t="shared" si="221"/>
        <v>0</v>
      </c>
      <c r="AO618" s="22" t="str">
        <f t="shared" si="222"/>
        <v/>
      </c>
      <c r="AP618" s="22" t="str">
        <f t="shared" si="223"/>
        <v/>
      </c>
    </row>
    <row r="619" spans="1:42" x14ac:dyDescent="0.25">
      <c r="A619" s="10"/>
      <c r="B619" s="10"/>
      <c r="C619" s="10"/>
      <c r="D619" s="10"/>
      <c r="E619" s="10"/>
      <c r="F619" s="10"/>
      <c r="G619" s="10"/>
      <c r="H619" s="17"/>
      <c r="I619" s="10"/>
      <c r="J619" s="10"/>
      <c r="K619" s="16" t="str">
        <f t="shared" si="202"/>
        <v/>
      </c>
      <c r="L619" s="23" t="str">
        <f t="shared" si="203"/>
        <v/>
      </c>
      <c r="M619" s="22" t="str">
        <f t="shared" si="204"/>
        <v/>
      </c>
      <c r="N619" s="72"/>
      <c r="O619" s="16" t="str">
        <f t="shared" si="205"/>
        <v/>
      </c>
      <c r="P619" s="16" t="str">
        <f t="shared" si="206"/>
        <v/>
      </c>
      <c r="Q619" s="16" t="str">
        <f t="shared" si="207"/>
        <v/>
      </c>
      <c r="R619" s="23" t="str">
        <f t="shared" si="208"/>
        <v/>
      </c>
      <c r="S619" s="23" t="str">
        <f t="shared" si="209"/>
        <v/>
      </c>
      <c r="T619" s="23" t="str">
        <f t="shared" si="210"/>
        <v/>
      </c>
      <c r="U619" s="23" t="str">
        <f t="shared" si="211"/>
        <v/>
      </c>
      <c r="V619" s="23" t="str">
        <f t="shared" si="212"/>
        <v/>
      </c>
      <c r="W619" s="70" t="str">
        <f t="shared" si="213"/>
        <v/>
      </c>
      <c r="X619" s="70" t="str">
        <f t="shared" si="214"/>
        <v/>
      </c>
      <c r="Y619" s="70" t="str">
        <f>IF(AND($A619&lt;&gt;"",$E619&gt;0),isLaptopBag($C619,$J619)*$D619,"")</f>
        <v/>
      </c>
      <c r="Z619" s="70" t="str">
        <f t="shared" si="215"/>
        <v/>
      </c>
      <c r="AA619" s="70" t="str">
        <f t="shared" si="216"/>
        <v/>
      </c>
      <c r="AB619" s="70" t="str">
        <f t="shared" si="217"/>
        <v/>
      </c>
      <c r="AC619" s="70" t="str">
        <f t="shared" si="218"/>
        <v/>
      </c>
      <c r="AD619" s="70" t="str">
        <f t="shared" si="219"/>
        <v/>
      </c>
      <c r="AE619" s="70" t="str">
        <f t="shared" si="220"/>
        <v/>
      </c>
      <c r="AF619" s="16"/>
      <c r="AG619" s="23"/>
      <c r="AH619" s="22"/>
      <c r="AJ619" s="83">
        <f t="shared" si="221"/>
        <v>0</v>
      </c>
      <c r="AO619" s="22" t="str">
        <f t="shared" si="222"/>
        <v/>
      </c>
      <c r="AP619" s="22" t="str">
        <f t="shared" si="223"/>
        <v/>
      </c>
    </row>
    <row r="620" spans="1:42" x14ac:dyDescent="0.25">
      <c r="A620" s="10"/>
      <c r="B620" s="10"/>
      <c r="C620" s="10"/>
      <c r="D620" s="10"/>
      <c r="E620" s="10"/>
      <c r="F620" s="10"/>
      <c r="G620" s="10"/>
      <c r="H620" s="17"/>
      <c r="I620" s="10"/>
      <c r="J620" s="10"/>
      <c r="K620" s="16" t="str">
        <f t="shared" si="202"/>
        <v/>
      </c>
      <c r="L620" s="23" t="str">
        <f t="shared" si="203"/>
        <v/>
      </c>
      <c r="M620" s="22" t="str">
        <f t="shared" si="204"/>
        <v/>
      </c>
      <c r="N620" s="72"/>
      <c r="O620" s="16" t="str">
        <f t="shared" si="205"/>
        <v/>
      </c>
      <c r="P620" s="16" t="str">
        <f t="shared" si="206"/>
        <v/>
      </c>
      <c r="Q620" s="16" t="str">
        <f t="shared" si="207"/>
        <v/>
      </c>
      <c r="R620" s="23" t="str">
        <f t="shared" si="208"/>
        <v/>
      </c>
      <c r="S620" s="23" t="str">
        <f t="shared" si="209"/>
        <v/>
      </c>
      <c r="T620" s="23" t="str">
        <f t="shared" si="210"/>
        <v/>
      </c>
      <c r="U620" s="23" t="str">
        <f t="shared" si="211"/>
        <v/>
      </c>
      <c r="V620" s="23" t="str">
        <f t="shared" si="212"/>
        <v/>
      </c>
      <c r="W620" s="70" t="str">
        <f t="shared" si="213"/>
        <v/>
      </c>
      <c r="X620" s="70" t="str">
        <f t="shared" si="214"/>
        <v/>
      </c>
      <c r="Y620" s="70" t="str">
        <f>IF(AND($A620&lt;&gt;"",$E620&gt;0),isLaptopBag($C620,$J620)*$D620,"")</f>
        <v/>
      </c>
      <c r="Z620" s="70" t="str">
        <f t="shared" si="215"/>
        <v/>
      </c>
      <c r="AA620" s="70" t="str">
        <f t="shared" si="216"/>
        <v/>
      </c>
      <c r="AB620" s="70" t="str">
        <f t="shared" si="217"/>
        <v/>
      </c>
      <c r="AC620" s="70" t="str">
        <f t="shared" si="218"/>
        <v/>
      </c>
      <c r="AD620" s="70" t="str">
        <f t="shared" si="219"/>
        <v/>
      </c>
      <c r="AE620" s="70" t="str">
        <f t="shared" si="220"/>
        <v/>
      </c>
      <c r="AF620" s="16"/>
      <c r="AG620" s="23"/>
      <c r="AH620" s="22"/>
      <c r="AJ620" s="83">
        <f t="shared" si="221"/>
        <v>0</v>
      </c>
      <c r="AO620" s="22" t="str">
        <f t="shared" si="222"/>
        <v/>
      </c>
      <c r="AP620" s="22" t="str">
        <f t="shared" si="223"/>
        <v/>
      </c>
    </row>
    <row r="621" spans="1:42" x14ac:dyDescent="0.25">
      <c r="A621" s="10"/>
      <c r="B621" s="10"/>
      <c r="C621" s="10"/>
      <c r="D621" s="10"/>
      <c r="E621" s="10"/>
      <c r="F621" s="10"/>
      <c r="G621" s="10"/>
      <c r="H621" s="17"/>
      <c r="I621" s="10"/>
      <c r="J621" s="10"/>
      <c r="K621" s="16" t="str">
        <f t="shared" si="202"/>
        <v/>
      </c>
      <c r="L621" s="23" t="str">
        <f t="shared" si="203"/>
        <v/>
      </c>
      <c r="M621" s="22" t="str">
        <f t="shared" si="204"/>
        <v/>
      </c>
      <c r="N621" s="72"/>
      <c r="O621" s="16" t="str">
        <f t="shared" si="205"/>
        <v/>
      </c>
      <c r="P621" s="16" t="str">
        <f t="shared" si="206"/>
        <v/>
      </c>
      <c r="Q621" s="16" t="str">
        <f t="shared" si="207"/>
        <v/>
      </c>
      <c r="R621" s="23" t="str">
        <f t="shared" si="208"/>
        <v/>
      </c>
      <c r="S621" s="23" t="str">
        <f t="shared" si="209"/>
        <v/>
      </c>
      <c r="T621" s="23" t="str">
        <f t="shared" si="210"/>
        <v/>
      </c>
      <c r="U621" s="23" t="str">
        <f t="shared" si="211"/>
        <v/>
      </c>
      <c r="V621" s="23" t="str">
        <f t="shared" si="212"/>
        <v/>
      </c>
      <c r="W621" s="70" t="str">
        <f t="shared" si="213"/>
        <v/>
      </c>
      <c r="X621" s="70" t="str">
        <f t="shared" si="214"/>
        <v/>
      </c>
      <c r="Y621" s="70" t="str">
        <f>IF(AND($A621&lt;&gt;"",$E621&gt;0),isLaptopBag($C621,$J621)*$D621,"")</f>
        <v/>
      </c>
      <c r="Z621" s="70" t="str">
        <f t="shared" si="215"/>
        <v/>
      </c>
      <c r="AA621" s="70" t="str">
        <f t="shared" si="216"/>
        <v/>
      </c>
      <c r="AB621" s="70" t="str">
        <f t="shared" si="217"/>
        <v/>
      </c>
      <c r="AC621" s="70" t="str">
        <f t="shared" si="218"/>
        <v/>
      </c>
      <c r="AD621" s="70" t="str">
        <f t="shared" si="219"/>
        <v/>
      </c>
      <c r="AE621" s="70" t="str">
        <f t="shared" si="220"/>
        <v/>
      </c>
      <c r="AF621" s="16"/>
      <c r="AG621" s="23"/>
      <c r="AH621" s="22"/>
      <c r="AJ621" s="83">
        <f t="shared" si="221"/>
        <v>0</v>
      </c>
      <c r="AO621" s="22" t="str">
        <f t="shared" si="222"/>
        <v/>
      </c>
      <c r="AP621" s="22" t="str">
        <f t="shared" si="223"/>
        <v/>
      </c>
    </row>
    <row r="622" spans="1:42" x14ac:dyDescent="0.25">
      <c r="A622" s="10"/>
      <c r="B622" s="10"/>
      <c r="C622" s="10"/>
      <c r="D622" s="10"/>
      <c r="E622" s="10"/>
      <c r="F622" s="10"/>
      <c r="G622" s="10"/>
      <c r="H622" s="17"/>
      <c r="I622" s="10"/>
      <c r="J622" s="10"/>
      <c r="K622" s="16" t="str">
        <f t="shared" si="202"/>
        <v/>
      </c>
      <c r="L622" s="23" t="str">
        <f t="shared" si="203"/>
        <v/>
      </c>
      <c r="M622" s="22" t="str">
        <f t="shared" si="204"/>
        <v/>
      </c>
      <c r="N622" s="72"/>
      <c r="O622" s="16" t="str">
        <f t="shared" si="205"/>
        <v/>
      </c>
      <c r="P622" s="16" t="str">
        <f t="shared" si="206"/>
        <v/>
      </c>
      <c r="Q622" s="16" t="str">
        <f t="shared" si="207"/>
        <v/>
      </c>
      <c r="R622" s="23" t="str">
        <f t="shared" si="208"/>
        <v/>
      </c>
      <c r="S622" s="23" t="str">
        <f t="shared" si="209"/>
        <v/>
      </c>
      <c r="T622" s="23" t="str">
        <f t="shared" si="210"/>
        <v/>
      </c>
      <c r="U622" s="23" t="str">
        <f t="shared" si="211"/>
        <v/>
      </c>
      <c r="V622" s="23" t="str">
        <f t="shared" si="212"/>
        <v/>
      </c>
      <c r="W622" s="70" t="str">
        <f t="shared" si="213"/>
        <v/>
      </c>
      <c r="X622" s="70" t="str">
        <f t="shared" si="214"/>
        <v/>
      </c>
      <c r="Y622" s="70" t="str">
        <f>IF(AND($A622&lt;&gt;"",$E622&gt;0),isLaptopBag($C622,$J622)*$D622,"")</f>
        <v/>
      </c>
      <c r="Z622" s="70" t="str">
        <f t="shared" si="215"/>
        <v/>
      </c>
      <c r="AA622" s="70" t="str">
        <f t="shared" si="216"/>
        <v/>
      </c>
      <c r="AB622" s="70" t="str">
        <f t="shared" si="217"/>
        <v/>
      </c>
      <c r="AC622" s="70" t="str">
        <f t="shared" si="218"/>
        <v/>
      </c>
      <c r="AD622" s="70" t="str">
        <f t="shared" si="219"/>
        <v/>
      </c>
      <c r="AE622" s="70" t="str">
        <f t="shared" si="220"/>
        <v/>
      </c>
      <c r="AF622" s="16"/>
      <c r="AG622" s="23"/>
      <c r="AH622" s="22"/>
      <c r="AJ622" s="83">
        <f t="shared" si="221"/>
        <v>0</v>
      </c>
      <c r="AO622" s="22" t="str">
        <f t="shared" si="222"/>
        <v/>
      </c>
      <c r="AP622" s="22" t="str">
        <f t="shared" si="223"/>
        <v/>
      </c>
    </row>
    <row r="623" spans="1:42" x14ac:dyDescent="0.25">
      <c r="A623" s="10"/>
      <c r="B623" s="10"/>
      <c r="C623" s="10"/>
      <c r="D623" s="10"/>
      <c r="E623" s="10"/>
      <c r="F623" s="10"/>
      <c r="G623" s="10"/>
      <c r="H623" s="17"/>
      <c r="I623" s="10"/>
      <c r="J623" s="10"/>
      <c r="K623" s="16" t="str">
        <f t="shared" si="202"/>
        <v/>
      </c>
      <c r="L623" s="23" t="str">
        <f t="shared" si="203"/>
        <v/>
      </c>
      <c r="M623" s="22" t="str">
        <f t="shared" si="204"/>
        <v/>
      </c>
      <c r="N623" s="72"/>
      <c r="O623" s="16" t="str">
        <f t="shared" si="205"/>
        <v/>
      </c>
      <c r="P623" s="16" t="str">
        <f t="shared" si="206"/>
        <v/>
      </c>
      <c r="Q623" s="16" t="str">
        <f t="shared" si="207"/>
        <v/>
      </c>
      <c r="R623" s="23" t="str">
        <f t="shared" si="208"/>
        <v/>
      </c>
      <c r="S623" s="23" t="str">
        <f t="shared" si="209"/>
        <v/>
      </c>
      <c r="T623" s="23" t="str">
        <f t="shared" si="210"/>
        <v/>
      </c>
      <c r="U623" s="23" t="str">
        <f t="shared" si="211"/>
        <v/>
      </c>
      <c r="V623" s="23" t="str">
        <f t="shared" si="212"/>
        <v/>
      </c>
      <c r="W623" s="70" t="str">
        <f t="shared" si="213"/>
        <v/>
      </c>
      <c r="X623" s="70" t="str">
        <f t="shared" si="214"/>
        <v/>
      </c>
      <c r="Y623" s="70" t="str">
        <f>IF(AND($A623&lt;&gt;"",$E623&gt;0),isLaptopBag($C623,$J623)*$D623,"")</f>
        <v/>
      </c>
      <c r="Z623" s="70" t="str">
        <f t="shared" si="215"/>
        <v/>
      </c>
      <c r="AA623" s="70" t="str">
        <f t="shared" si="216"/>
        <v/>
      </c>
      <c r="AB623" s="70" t="str">
        <f t="shared" si="217"/>
        <v/>
      </c>
      <c r="AC623" s="70" t="str">
        <f t="shared" si="218"/>
        <v/>
      </c>
      <c r="AD623" s="70" t="str">
        <f t="shared" si="219"/>
        <v/>
      </c>
      <c r="AE623" s="70" t="str">
        <f t="shared" si="220"/>
        <v/>
      </c>
      <c r="AF623" s="16"/>
      <c r="AG623" s="23"/>
      <c r="AH623" s="22"/>
      <c r="AJ623" s="83">
        <f t="shared" si="221"/>
        <v>0</v>
      </c>
      <c r="AO623" s="22" t="str">
        <f t="shared" si="222"/>
        <v/>
      </c>
      <c r="AP623" s="22" t="str">
        <f t="shared" si="223"/>
        <v/>
      </c>
    </row>
    <row r="624" spans="1:42" x14ac:dyDescent="0.25">
      <c r="A624" s="10"/>
      <c r="B624" s="10"/>
      <c r="C624" s="10"/>
      <c r="D624" s="10"/>
      <c r="E624" s="10"/>
      <c r="F624" s="10"/>
      <c r="G624" s="10"/>
      <c r="H624" s="17"/>
      <c r="I624" s="10"/>
      <c r="J624" s="10"/>
      <c r="K624" s="16" t="str">
        <f t="shared" si="202"/>
        <v/>
      </c>
      <c r="L624" s="23" t="str">
        <f t="shared" si="203"/>
        <v/>
      </c>
      <c r="M624" s="22" t="str">
        <f t="shared" si="204"/>
        <v/>
      </c>
      <c r="N624" s="72"/>
      <c r="O624" s="16" t="str">
        <f t="shared" si="205"/>
        <v/>
      </c>
      <c r="P624" s="16" t="str">
        <f t="shared" si="206"/>
        <v/>
      </c>
      <c r="Q624" s="16" t="str">
        <f t="shared" si="207"/>
        <v/>
      </c>
      <c r="R624" s="23" t="str">
        <f t="shared" si="208"/>
        <v/>
      </c>
      <c r="S624" s="23" t="str">
        <f t="shared" si="209"/>
        <v/>
      </c>
      <c r="T624" s="23" t="str">
        <f t="shared" si="210"/>
        <v/>
      </c>
      <c r="U624" s="23" t="str">
        <f t="shared" si="211"/>
        <v/>
      </c>
      <c r="V624" s="23" t="str">
        <f t="shared" si="212"/>
        <v/>
      </c>
      <c r="W624" s="70" t="str">
        <f t="shared" si="213"/>
        <v/>
      </c>
      <c r="X624" s="70" t="str">
        <f t="shared" si="214"/>
        <v/>
      </c>
      <c r="Y624" s="70" t="str">
        <f>IF(AND($A624&lt;&gt;"",$E624&gt;0),isLaptopBag($C624,$J624)*$D624,"")</f>
        <v/>
      </c>
      <c r="Z624" s="70" t="str">
        <f t="shared" si="215"/>
        <v/>
      </c>
      <c r="AA624" s="70" t="str">
        <f t="shared" si="216"/>
        <v/>
      </c>
      <c r="AB624" s="70" t="str">
        <f t="shared" si="217"/>
        <v/>
      </c>
      <c r="AC624" s="70" t="str">
        <f t="shared" si="218"/>
        <v/>
      </c>
      <c r="AD624" s="70" t="str">
        <f t="shared" si="219"/>
        <v/>
      </c>
      <c r="AE624" s="70" t="str">
        <f t="shared" si="220"/>
        <v/>
      </c>
      <c r="AF624" s="16"/>
      <c r="AG624" s="23"/>
      <c r="AH624" s="22"/>
      <c r="AJ624" s="83">
        <f t="shared" si="221"/>
        <v>0</v>
      </c>
      <c r="AO624" s="22" t="str">
        <f t="shared" si="222"/>
        <v/>
      </c>
      <c r="AP624" s="22" t="str">
        <f t="shared" si="223"/>
        <v/>
      </c>
    </row>
    <row r="625" spans="1:42" x14ac:dyDescent="0.25">
      <c r="A625" s="10"/>
      <c r="B625" s="10"/>
      <c r="C625" s="10"/>
      <c r="D625" s="10"/>
      <c r="E625" s="10"/>
      <c r="F625" s="10"/>
      <c r="G625" s="10"/>
      <c r="H625" s="17"/>
      <c r="I625" s="10"/>
      <c r="J625" s="10"/>
      <c r="K625" s="16" t="str">
        <f t="shared" si="202"/>
        <v/>
      </c>
      <c r="L625" s="23" t="str">
        <f t="shared" si="203"/>
        <v/>
      </c>
      <c r="M625" s="22" t="str">
        <f t="shared" si="204"/>
        <v/>
      </c>
      <c r="N625" s="72"/>
      <c r="O625" s="16" t="str">
        <f t="shared" si="205"/>
        <v/>
      </c>
      <c r="P625" s="16" t="str">
        <f t="shared" si="206"/>
        <v/>
      </c>
      <c r="Q625" s="16" t="str">
        <f t="shared" si="207"/>
        <v/>
      </c>
      <c r="R625" s="23" t="str">
        <f t="shared" si="208"/>
        <v/>
      </c>
      <c r="S625" s="23" t="str">
        <f t="shared" si="209"/>
        <v/>
      </c>
      <c r="T625" s="23" t="str">
        <f t="shared" si="210"/>
        <v/>
      </c>
      <c r="U625" s="23" t="str">
        <f t="shared" si="211"/>
        <v/>
      </c>
      <c r="V625" s="23" t="str">
        <f t="shared" si="212"/>
        <v/>
      </c>
      <c r="W625" s="70" t="str">
        <f t="shared" si="213"/>
        <v/>
      </c>
      <c r="X625" s="70" t="str">
        <f t="shared" si="214"/>
        <v/>
      </c>
      <c r="Y625" s="70" t="str">
        <f>IF(AND($A625&lt;&gt;"",$E625&gt;0),isLaptopBag($C625,$J625)*$D625,"")</f>
        <v/>
      </c>
      <c r="Z625" s="70" t="str">
        <f t="shared" si="215"/>
        <v/>
      </c>
      <c r="AA625" s="70" t="str">
        <f t="shared" si="216"/>
        <v/>
      </c>
      <c r="AB625" s="70" t="str">
        <f t="shared" si="217"/>
        <v/>
      </c>
      <c r="AC625" s="70" t="str">
        <f t="shared" si="218"/>
        <v/>
      </c>
      <c r="AD625" s="70" t="str">
        <f t="shared" si="219"/>
        <v/>
      </c>
      <c r="AE625" s="70" t="str">
        <f t="shared" si="220"/>
        <v/>
      </c>
      <c r="AF625" s="16"/>
      <c r="AG625" s="23"/>
      <c r="AH625" s="22"/>
      <c r="AJ625" s="83">
        <f t="shared" si="221"/>
        <v>0</v>
      </c>
      <c r="AO625" s="22" t="str">
        <f t="shared" si="222"/>
        <v/>
      </c>
      <c r="AP625" s="22" t="str">
        <f t="shared" si="223"/>
        <v/>
      </c>
    </row>
    <row r="626" spans="1:42" x14ac:dyDescent="0.25">
      <c r="A626" s="10"/>
      <c r="B626" s="10"/>
      <c r="C626" s="10"/>
      <c r="D626" s="10"/>
      <c r="E626" s="10"/>
      <c r="F626" s="10"/>
      <c r="G626" s="10"/>
      <c r="H626" s="17"/>
      <c r="I626" s="10"/>
      <c r="J626" s="10"/>
      <c r="K626" s="16" t="str">
        <f t="shared" si="202"/>
        <v/>
      </c>
      <c r="L626" s="23" t="str">
        <f t="shared" si="203"/>
        <v/>
      </c>
      <c r="M626" s="22" t="str">
        <f t="shared" si="204"/>
        <v/>
      </c>
      <c r="N626" s="72"/>
      <c r="O626" s="16" t="str">
        <f t="shared" si="205"/>
        <v/>
      </c>
      <c r="P626" s="16" t="str">
        <f t="shared" si="206"/>
        <v/>
      </c>
      <c r="Q626" s="16" t="str">
        <f t="shared" si="207"/>
        <v/>
      </c>
      <c r="R626" s="23" t="str">
        <f t="shared" si="208"/>
        <v/>
      </c>
      <c r="S626" s="23" t="str">
        <f t="shared" si="209"/>
        <v/>
      </c>
      <c r="T626" s="23" t="str">
        <f t="shared" si="210"/>
        <v/>
      </c>
      <c r="U626" s="23" t="str">
        <f t="shared" si="211"/>
        <v/>
      </c>
      <c r="V626" s="23" t="str">
        <f t="shared" si="212"/>
        <v/>
      </c>
      <c r="W626" s="70" t="str">
        <f t="shared" si="213"/>
        <v/>
      </c>
      <c r="X626" s="70" t="str">
        <f t="shared" si="214"/>
        <v/>
      </c>
      <c r="Y626" s="70" t="str">
        <f>IF(AND($A626&lt;&gt;"",$E626&gt;0),isLaptopBag($C626,$J626)*$D626,"")</f>
        <v/>
      </c>
      <c r="Z626" s="70" t="str">
        <f t="shared" si="215"/>
        <v/>
      </c>
      <c r="AA626" s="70" t="str">
        <f t="shared" si="216"/>
        <v/>
      </c>
      <c r="AB626" s="70" t="str">
        <f t="shared" si="217"/>
        <v/>
      </c>
      <c r="AC626" s="70" t="str">
        <f t="shared" si="218"/>
        <v/>
      </c>
      <c r="AD626" s="70" t="str">
        <f t="shared" si="219"/>
        <v/>
      </c>
      <c r="AE626" s="70" t="str">
        <f t="shared" si="220"/>
        <v/>
      </c>
      <c r="AF626" s="16"/>
      <c r="AG626" s="23"/>
      <c r="AH626" s="22"/>
      <c r="AJ626" s="83">
        <f t="shared" si="221"/>
        <v>0</v>
      </c>
      <c r="AO626" s="22" t="str">
        <f t="shared" si="222"/>
        <v/>
      </c>
      <c r="AP626" s="22" t="str">
        <f t="shared" si="223"/>
        <v/>
      </c>
    </row>
    <row r="627" spans="1:42" x14ac:dyDescent="0.25">
      <c r="A627" s="10"/>
      <c r="B627" s="10"/>
      <c r="C627" s="10"/>
      <c r="D627" s="10"/>
      <c r="E627" s="10"/>
      <c r="F627" s="10"/>
      <c r="G627" s="10"/>
      <c r="H627" s="17"/>
      <c r="I627" s="10"/>
      <c r="J627" s="10"/>
      <c r="K627" s="16" t="str">
        <f t="shared" si="202"/>
        <v/>
      </c>
      <c r="L627" s="23" t="str">
        <f t="shared" si="203"/>
        <v/>
      </c>
      <c r="M627" s="22" t="str">
        <f t="shared" si="204"/>
        <v/>
      </c>
      <c r="N627" s="72"/>
      <c r="O627" s="16" t="str">
        <f t="shared" si="205"/>
        <v/>
      </c>
      <c r="P627" s="16" t="str">
        <f t="shared" si="206"/>
        <v/>
      </c>
      <c r="Q627" s="16" t="str">
        <f t="shared" si="207"/>
        <v/>
      </c>
      <c r="R627" s="23" t="str">
        <f t="shared" si="208"/>
        <v/>
      </c>
      <c r="S627" s="23" t="str">
        <f t="shared" si="209"/>
        <v/>
      </c>
      <c r="T627" s="23" t="str">
        <f t="shared" si="210"/>
        <v/>
      </c>
      <c r="U627" s="23" t="str">
        <f t="shared" si="211"/>
        <v/>
      </c>
      <c r="V627" s="23" t="str">
        <f t="shared" si="212"/>
        <v/>
      </c>
      <c r="W627" s="70" t="str">
        <f t="shared" si="213"/>
        <v/>
      </c>
      <c r="X627" s="70" t="str">
        <f t="shared" si="214"/>
        <v/>
      </c>
      <c r="Y627" s="70" t="str">
        <f>IF(AND($A627&lt;&gt;"",$E627&gt;0),isLaptopBag($C627,$J627)*$D627,"")</f>
        <v/>
      </c>
      <c r="Z627" s="70" t="str">
        <f t="shared" si="215"/>
        <v/>
      </c>
      <c r="AA627" s="70" t="str">
        <f t="shared" si="216"/>
        <v/>
      </c>
      <c r="AB627" s="70" t="str">
        <f t="shared" si="217"/>
        <v/>
      </c>
      <c r="AC627" s="70" t="str">
        <f t="shared" si="218"/>
        <v/>
      </c>
      <c r="AD627" s="70" t="str">
        <f t="shared" si="219"/>
        <v/>
      </c>
      <c r="AE627" s="70" t="str">
        <f t="shared" si="220"/>
        <v/>
      </c>
      <c r="AF627" s="16"/>
      <c r="AG627" s="23"/>
      <c r="AH627" s="22"/>
      <c r="AJ627" s="83">
        <f t="shared" si="221"/>
        <v>0</v>
      </c>
      <c r="AO627" s="22" t="str">
        <f t="shared" si="222"/>
        <v/>
      </c>
      <c r="AP627" s="22" t="str">
        <f t="shared" si="223"/>
        <v/>
      </c>
    </row>
    <row r="628" spans="1:42" x14ac:dyDescent="0.25">
      <c r="A628" s="10"/>
      <c r="B628" s="10"/>
      <c r="C628" s="10"/>
      <c r="D628" s="10"/>
      <c r="E628" s="10"/>
      <c r="F628" s="10"/>
      <c r="G628" s="10"/>
      <c r="H628" s="17"/>
      <c r="I628" s="10"/>
      <c r="J628" s="10"/>
      <c r="K628" s="16" t="str">
        <f t="shared" si="202"/>
        <v/>
      </c>
      <c r="L628" s="23" t="str">
        <f t="shared" si="203"/>
        <v/>
      </c>
      <c r="M628" s="22" t="str">
        <f t="shared" si="204"/>
        <v/>
      </c>
      <c r="N628" s="72"/>
      <c r="O628" s="16" t="str">
        <f t="shared" si="205"/>
        <v/>
      </c>
      <c r="P628" s="16" t="str">
        <f t="shared" si="206"/>
        <v/>
      </c>
      <c r="Q628" s="16" t="str">
        <f t="shared" si="207"/>
        <v/>
      </c>
      <c r="R628" s="23" t="str">
        <f t="shared" si="208"/>
        <v/>
      </c>
      <c r="S628" s="23" t="str">
        <f t="shared" si="209"/>
        <v/>
      </c>
      <c r="T628" s="23" t="str">
        <f t="shared" si="210"/>
        <v/>
      </c>
      <c r="U628" s="23" t="str">
        <f t="shared" si="211"/>
        <v/>
      </c>
      <c r="V628" s="23" t="str">
        <f t="shared" si="212"/>
        <v/>
      </c>
      <c r="W628" s="70" t="str">
        <f t="shared" si="213"/>
        <v/>
      </c>
      <c r="X628" s="70" t="str">
        <f t="shared" si="214"/>
        <v/>
      </c>
      <c r="Y628" s="70" t="str">
        <f>IF(AND($A628&lt;&gt;"",$E628&gt;0),isLaptopBag($C628,$J628)*$D628,"")</f>
        <v/>
      </c>
      <c r="Z628" s="70" t="str">
        <f t="shared" si="215"/>
        <v/>
      </c>
      <c r="AA628" s="70" t="str">
        <f t="shared" si="216"/>
        <v/>
      </c>
      <c r="AB628" s="70" t="str">
        <f t="shared" si="217"/>
        <v/>
      </c>
      <c r="AC628" s="70" t="str">
        <f t="shared" si="218"/>
        <v/>
      </c>
      <c r="AD628" s="70" t="str">
        <f t="shared" si="219"/>
        <v/>
      </c>
      <c r="AE628" s="70" t="str">
        <f t="shared" si="220"/>
        <v/>
      </c>
      <c r="AF628" s="16"/>
      <c r="AG628" s="23"/>
      <c r="AH628" s="22"/>
      <c r="AJ628" s="83">
        <f t="shared" si="221"/>
        <v>0</v>
      </c>
      <c r="AO628" s="22" t="str">
        <f t="shared" si="222"/>
        <v/>
      </c>
      <c r="AP628" s="22" t="str">
        <f t="shared" si="223"/>
        <v/>
      </c>
    </row>
    <row r="629" spans="1:42" x14ac:dyDescent="0.25">
      <c r="A629" s="10"/>
      <c r="B629" s="10"/>
      <c r="C629" s="10"/>
      <c r="D629" s="10"/>
      <c r="E629" s="10"/>
      <c r="F629" s="10"/>
      <c r="G629" s="10"/>
      <c r="H629" s="17"/>
      <c r="I629" s="10"/>
      <c r="J629" s="10"/>
      <c r="K629" s="16" t="str">
        <f t="shared" si="202"/>
        <v/>
      </c>
      <c r="L629" s="23" t="str">
        <f t="shared" si="203"/>
        <v/>
      </c>
      <c r="M629" s="22" t="str">
        <f t="shared" si="204"/>
        <v/>
      </c>
      <c r="N629" s="72"/>
      <c r="O629" s="16" t="str">
        <f t="shared" si="205"/>
        <v/>
      </c>
      <c r="P629" s="16" t="str">
        <f t="shared" si="206"/>
        <v/>
      </c>
      <c r="Q629" s="16" t="str">
        <f t="shared" si="207"/>
        <v/>
      </c>
      <c r="R629" s="23" t="str">
        <f t="shared" si="208"/>
        <v/>
      </c>
      <c r="S629" s="23" t="str">
        <f t="shared" si="209"/>
        <v/>
      </c>
      <c r="T629" s="23" t="str">
        <f t="shared" si="210"/>
        <v/>
      </c>
      <c r="U629" s="23" t="str">
        <f t="shared" si="211"/>
        <v/>
      </c>
      <c r="V629" s="23" t="str">
        <f t="shared" si="212"/>
        <v/>
      </c>
      <c r="W629" s="70" t="str">
        <f t="shared" si="213"/>
        <v/>
      </c>
      <c r="X629" s="70" t="str">
        <f t="shared" si="214"/>
        <v/>
      </c>
      <c r="Y629" s="70" t="str">
        <f>IF(AND($A629&lt;&gt;"",$E629&gt;0),isLaptopBag($C629,$J629)*$D629,"")</f>
        <v/>
      </c>
      <c r="Z629" s="70" t="str">
        <f t="shared" si="215"/>
        <v/>
      </c>
      <c r="AA629" s="70" t="str">
        <f t="shared" si="216"/>
        <v/>
      </c>
      <c r="AB629" s="70" t="str">
        <f t="shared" si="217"/>
        <v/>
      </c>
      <c r="AC629" s="70" t="str">
        <f t="shared" si="218"/>
        <v/>
      </c>
      <c r="AD629" s="70" t="str">
        <f t="shared" si="219"/>
        <v/>
      </c>
      <c r="AE629" s="70" t="str">
        <f t="shared" si="220"/>
        <v/>
      </c>
      <c r="AF629" s="16"/>
      <c r="AG629" s="23"/>
      <c r="AH629" s="22"/>
      <c r="AJ629" s="83">
        <f t="shared" si="221"/>
        <v>0</v>
      </c>
      <c r="AO629" s="22" t="str">
        <f t="shared" si="222"/>
        <v/>
      </c>
      <c r="AP629" s="22" t="str">
        <f t="shared" si="223"/>
        <v/>
      </c>
    </row>
    <row r="630" spans="1:42" x14ac:dyDescent="0.25">
      <c r="A630" s="10"/>
      <c r="B630" s="10"/>
      <c r="C630" s="10"/>
      <c r="D630" s="10"/>
      <c r="E630" s="10"/>
      <c r="F630" s="10"/>
      <c r="G630" s="10"/>
      <c r="H630" s="17"/>
      <c r="I630" s="10"/>
      <c r="J630" s="10"/>
      <c r="K630" s="16" t="str">
        <f t="shared" si="202"/>
        <v/>
      </c>
      <c r="L630" s="23" t="str">
        <f t="shared" si="203"/>
        <v/>
      </c>
      <c r="M630" s="22" t="str">
        <f t="shared" si="204"/>
        <v/>
      </c>
      <c r="N630" s="72"/>
      <c r="O630" s="16" t="str">
        <f t="shared" si="205"/>
        <v/>
      </c>
      <c r="P630" s="16" t="str">
        <f t="shared" si="206"/>
        <v/>
      </c>
      <c r="Q630" s="16" t="str">
        <f t="shared" si="207"/>
        <v/>
      </c>
      <c r="R630" s="23" t="str">
        <f t="shared" si="208"/>
        <v/>
      </c>
      <c r="S630" s="23" t="str">
        <f t="shared" si="209"/>
        <v/>
      </c>
      <c r="T630" s="23" t="str">
        <f t="shared" si="210"/>
        <v/>
      </c>
      <c r="U630" s="23" t="str">
        <f t="shared" si="211"/>
        <v/>
      </c>
      <c r="V630" s="23" t="str">
        <f t="shared" si="212"/>
        <v/>
      </c>
      <c r="W630" s="70" t="str">
        <f t="shared" si="213"/>
        <v/>
      </c>
      <c r="X630" s="70" t="str">
        <f t="shared" si="214"/>
        <v/>
      </c>
      <c r="Y630" s="70" t="str">
        <f>IF(AND($A630&lt;&gt;"",$E630&gt;0),isLaptopBag($C630,$J630)*$D630,"")</f>
        <v/>
      </c>
      <c r="Z630" s="70" t="str">
        <f t="shared" si="215"/>
        <v/>
      </c>
      <c r="AA630" s="70" t="str">
        <f t="shared" si="216"/>
        <v/>
      </c>
      <c r="AB630" s="70" t="str">
        <f t="shared" si="217"/>
        <v/>
      </c>
      <c r="AC630" s="70" t="str">
        <f t="shared" si="218"/>
        <v/>
      </c>
      <c r="AD630" s="70" t="str">
        <f t="shared" si="219"/>
        <v/>
      </c>
      <c r="AE630" s="70" t="str">
        <f t="shared" si="220"/>
        <v/>
      </c>
      <c r="AF630" s="16"/>
      <c r="AG630" s="23"/>
      <c r="AH630" s="22"/>
      <c r="AJ630" s="83">
        <f t="shared" si="221"/>
        <v>0</v>
      </c>
      <c r="AO630" s="22" t="str">
        <f t="shared" si="222"/>
        <v/>
      </c>
      <c r="AP630" s="22" t="str">
        <f t="shared" si="223"/>
        <v/>
      </c>
    </row>
    <row r="631" spans="1:42" x14ac:dyDescent="0.25">
      <c r="A631" s="10"/>
      <c r="B631" s="10"/>
      <c r="C631" s="10"/>
      <c r="D631" s="10"/>
      <c r="E631" s="10"/>
      <c r="F631" s="10"/>
      <c r="G631" s="10"/>
      <c r="H631" s="17"/>
      <c r="I631" s="10"/>
      <c r="J631" s="10"/>
      <c r="K631" s="16" t="str">
        <f t="shared" si="202"/>
        <v/>
      </c>
      <c r="L631" s="23" t="str">
        <f t="shared" si="203"/>
        <v/>
      </c>
      <c r="M631" s="22" t="str">
        <f t="shared" si="204"/>
        <v/>
      </c>
      <c r="N631" s="72"/>
      <c r="O631" s="16" t="str">
        <f t="shared" si="205"/>
        <v/>
      </c>
      <c r="P631" s="16" t="str">
        <f t="shared" si="206"/>
        <v/>
      </c>
      <c r="Q631" s="16" t="str">
        <f t="shared" si="207"/>
        <v/>
      </c>
      <c r="R631" s="23" t="str">
        <f t="shared" si="208"/>
        <v/>
      </c>
      <c r="S631" s="23" t="str">
        <f t="shared" si="209"/>
        <v/>
      </c>
      <c r="T631" s="23" t="str">
        <f t="shared" si="210"/>
        <v/>
      </c>
      <c r="U631" s="23" t="str">
        <f t="shared" si="211"/>
        <v/>
      </c>
      <c r="V631" s="23" t="str">
        <f t="shared" si="212"/>
        <v/>
      </c>
      <c r="W631" s="70" t="str">
        <f t="shared" si="213"/>
        <v/>
      </c>
      <c r="X631" s="70" t="str">
        <f t="shared" si="214"/>
        <v/>
      </c>
      <c r="Y631" s="70" t="str">
        <f>IF(AND($A631&lt;&gt;"",$E631&gt;0),isLaptopBag($C631,$J631)*$D631,"")</f>
        <v/>
      </c>
      <c r="Z631" s="70" t="str">
        <f t="shared" si="215"/>
        <v/>
      </c>
      <c r="AA631" s="70" t="str">
        <f t="shared" si="216"/>
        <v/>
      </c>
      <c r="AB631" s="70" t="str">
        <f t="shared" si="217"/>
        <v/>
      </c>
      <c r="AC631" s="70" t="str">
        <f t="shared" si="218"/>
        <v/>
      </c>
      <c r="AD631" s="70" t="str">
        <f t="shared" si="219"/>
        <v/>
      </c>
      <c r="AE631" s="70" t="str">
        <f t="shared" si="220"/>
        <v/>
      </c>
      <c r="AF631" s="16"/>
      <c r="AG631" s="23"/>
      <c r="AH631" s="22"/>
      <c r="AJ631" s="83">
        <f t="shared" si="221"/>
        <v>0</v>
      </c>
      <c r="AO631" s="22" t="str">
        <f t="shared" si="222"/>
        <v/>
      </c>
      <c r="AP631" s="22" t="str">
        <f t="shared" si="223"/>
        <v/>
      </c>
    </row>
    <row r="632" spans="1:42" x14ac:dyDescent="0.25">
      <c r="A632" s="10"/>
      <c r="B632" s="10"/>
      <c r="C632" s="10"/>
      <c r="D632" s="10"/>
      <c r="E632" s="10"/>
      <c r="F632" s="10"/>
      <c r="G632" s="10"/>
      <c r="H632" s="17"/>
      <c r="I632" s="10"/>
      <c r="J632" s="10"/>
      <c r="K632" s="16" t="str">
        <f t="shared" si="202"/>
        <v/>
      </c>
      <c r="L632" s="23" t="str">
        <f t="shared" si="203"/>
        <v/>
      </c>
      <c r="M632" s="22" t="str">
        <f t="shared" si="204"/>
        <v/>
      </c>
      <c r="N632" s="72"/>
      <c r="O632" s="16" t="str">
        <f t="shared" si="205"/>
        <v/>
      </c>
      <c r="P632" s="16" t="str">
        <f t="shared" si="206"/>
        <v/>
      </c>
      <c r="Q632" s="16" t="str">
        <f t="shared" si="207"/>
        <v/>
      </c>
      <c r="R632" s="23" t="str">
        <f t="shared" si="208"/>
        <v/>
      </c>
      <c r="S632" s="23" t="str">
        <f t="shared" si="209"/>
        <v/>
      </c>
      <c r="T632" s="23" t="str">
        <f t="shared" si="210"/>
        <v/>
      </c>
      <c r="U632" s="23" t="str">
        <f t="shared" si="211"/>
        <v/>
      </c>
      <c r="V632" s="23" t="str">
        <f t="shared" si="212"/>
        <v/>
      </c>
      <c r="W632" s="70" t="str">
        <f t="shared" si="213"/>
        <v/>
      </c>
      <c r="X632" s="70" t="str">
        <f t="shared" si="214"/>
        <v/>
      </c>
      <c r="Y632" s="70" t="str">
        <f>IF(AND($A632&lt;&gt;"",$E632&gt;0),isLaptopBag($C632,$J632)*$D632,"")</f>
        <v/>
      </c>
      <c r="Z632" s="70" t="str">
        <f t="shared" si="215"/>
        <v/>
      </c>
      <c r="AA632" s="70" t="str">
        <f t="shared" si="216"/>
        <v/>
      </c>
      <c r="AB632" s="70" t="str">
        <f t="shared" si="217"/>
        <v/>
      </c>
      <c r="AC632" s="70" t="str">
        <f t="shared" si="218"/>
        <v/>
      </c>
      <c r="AD632" s="70" t="str">
        <f t="shared" si="219"/>
        <v/>
      </c>
      <c r="AE632" s="70" t="str">
        <f t="shared" si="220"/>
        <v/>
      </c>
      <c r="AF632" s="16"/>
      <c r="AG632" s="23"/>
      <c r="AH632" s="22"/>
      <c r="AJ632" s="83">
        <f t="shared" si="221"/>
        <v>0</v>
      </c>
      <c r="AO632" s="22" t="str">
        <f t="shared" si="222"/>
        <v/>
      </c>
      <c r="AP632" s="22" t="str">
        <f t="shared" si="223"/>
        <v/>
      </c>
    </row>
    <row r="633" spans="1:42" x14ac:dyDescent="0.25">
      <c r="A633" s="10"/>
      <c r="B633" s="10"/>
      <c r="C633" s="10"/>
      <c r="D633" s="10"/>
      <c r="E633" s="10"/>
      <c r="F633" s="10"/>
      <c r="G633" s="10"/>
      <c r="H633" s="17"/>
      <c r="I633" s="10"/>
      <c r="J633" s="10"/>
      <c r="K633" s="16" t="str">
        <f t="shared" si="202"/>
        <v/>
      </c>
      <c r="L633" s="23" t="str">
        <f t="shared" si="203"/>
        <v/>
      </c>
      <c r="M633" s="22" t="str">
        <f t="shared" si="204"/>
        <v/>
      </c>
      <c r="N633" s="72"/>
      <c r="O633" s="16" t="str">
        <f t="shared" si="205"/>
        <v/>
      </c>
      <c r="P633" s="16" t="str">
        <f t="shared" si="206"/>
        <v/>
      </c>
      <c r="Q633" s="16" t="str">
        <f t="shared" si="207"/>
        <v/>
      </c>
      <c r="R633" s="23" t="str">
        <f t="shared" si="208"/>
        <v/>
      </c>
      <c r="S633" s="23" t="str">
        <f t="shared" si="209"/>
        <v/>
      </c>
      <c r="T633" s="23" t="str">
        <f t="shared" si="210"/>
        <v/>
      </c>
      <c r="U633" s="23" t="str">
        <f t="shared" si="211"/>
        <v/>
      </c>
      <c r="V633" s="23" t="str">
        <f t="shared" si="212"/>
        <v/>
      </c>
      <c r="W633" s="70" t="str">
        <f t="shared" si="213"/>
        <v/>
      </c>
      <c r="X633" s="70" t="str">
        <f t="shared" si="214"/>
        <v/>
      </c>
      <c r="Y633" s="70" t="str">
        <f>IF(AND($A633&lt;&gt;"",$E633&gt;0),isLaptopBag($C633,$J633)*$D633,"")</f>
        <v/>
      </c>
      <c r="Z633" s="70" t="str">
        <f t="shared" si="215"/>
        <v/>
      </c>
      <c r="AA633" s="70" t="str">
        <f t="shared" si="216"/>
        <v/>
      </c>
      <c r="AB633" s="70" t="str">
        <f t="shared" si="217"/>
        <v/>
      </c>
      <c r="AC633" s="70" t="str">
        <f t="shared" si="218"/>
        <v/>
      </c>
      <c r="AD633" s="70" t="str">
        <f t="shared" si="219"/>
        <v/>
      </c>
      <c r="AE633" s="70" t="str">
        <f t="shared" si="220"/>
        <v/>
      </c>
      <c r="AF633" s="16"/>
      <c r="AG633" s="23"/>
      <c r="AH633" s="22"/>
      <c r="AJ633" s="83">
        <f t="shared" si="221"/>
        <v>0</v>
      </c>
      <c r="AO633" s="22" t="str">
        <f t="shared" si="222"/>
        <v/>
      </c>
      <c r="AP633" s="22" t="str">
        <f t="shared" si="223"/>
        <v/>
      </c>
    </row>
    <row r="634" spans="1:42" x14ac:dyDescent="0.25">
      <c r="A634" s="10"/>
      <c r="B634" s="10"/>
      <c r="C634" s="10"/>
      <c r="D634" s="10"/>
      <c r="E634" s="10"/>
      <c r="F634" s="10"/>
      <c r="G634" s="10"/>
      <c r="H634" s="17"/>
      <c r="I634" s="10"/>
      <c r="J634" s="10"/>
      <c r="K634" s="16" t="str">
        <f t="shared" si="202"/>
        <v/>
      </c>
      <c r="L634" s="23" t="str">
        <f t="shared" si="203"/>
        <v/>
      </c>
      <c r="M634" s="22" t="str">
        <f t="shared" si="204"/>
        <v/>
      </c>
      <c r="N634" s="72"/>
      <c r="O634" s="16" t="str">
        <f t="shared" si="205"/>
        <v/>
      </c>
      <c r="P634" s="16" t="str">
        <f t="shared" si="206"/>
        <v/>
      </c>
      <c r="Q634" s="16" t="str">
        <f t="shared" si="207"/>
        <v/>
      </c>
      <c r="R634" s="23" t="str">
        <f t="shared" si="208"/>
        <v/>
      </c>
      <c r="S634" s="23" t="str">
        <f t="shared" si="209"/>
        <v/>
      </c>
      <c r="T634" s="23" t="str">
        <f t="shared" si="210"/>
        <v/>
      </c>
      <c r="U634" s="23" t="str">
        <f t="shared" si="211"/>
        <v/>
      </c>
      <c r="V634" s="23" t="str">
        <f t="shared" si="212"/>
        <v/>
      </c>
      <c r="W634" s="70" t="str">
        <f t="shared" si="213"/>
        <v/>
      </c>
      <c r="X634" s="70" t="str">
        <f t="shared" si="214"/>
        <v/>
      </c>
      <c r="Y634" s="70" t="str">
        <f>IF(AND($A634&lt;&gt;"",$E634&gt;0),isLaptopBag($C634,$J634)*$D634,"")</f>
        <v/>
      </c>
      <c r="Z634" s="70" t="str">
        <f t="shared" si="215"/>
        <v/>
      </c>
      <c r="AA634" s="70" t="str">
        <f t="shared" si="216"/>
        <v/>
      </c>
      <c r="AB634" s="70" t="str">
        <f t="shared" si="217"/>
        <v/>
      </c>
      <c r="AC634" s="70" t="str">
        <f t="shared" si="218"/>
        <v/>
      </c>
      <c r="AD634" s="70" t="str">
        <f t="shared" si="219"/>
        <v/>
      </c>
      <c r="AE634" s="70" t="str">
        <f t="shared" si="220"/>
        <v/>
      </c>
      <c r="AF634" s="16"/>
      <c r="AG634" s="23"/>
      <c r="AH634" s="22"/>
      <c r="AJ634" s="83">
        <f t="shared" si="221"/>
        <v>0</v>
      </c>
      <c r="AO634" s="22" t="str">
        <f t="shared" si="222"/>
        <v/>
      </c>
      <c r="AP634" s="22" t="str">
        <f t="shared" si="223"/>
        <v/>
      </c>
    </row>
    <row r="635" spans="1:42" x14ac:dyDescent="0.25">
      <c r="A635" s="10"/>
      <c r="B635" s="10"/>
      <c r="C635" s="10"/>
      <c r="D635" s="10"/>
      <c r="E635" s="10"/>
      <c r="F635" s="10"/>
      <c r="G635" s="10"/>
      <c r="H635" s="17"/>
      <c r="I635" s="10"/>
      <c r="J635" s="10"/>
      <c r="K635" s="16" t="str">
        <f t="shared" si="202"/>
        <v/>
      </c>
      <c r="L635" s="23" t="str">
        <f t="shared" si="203"/>
        <v/>
      </c>
      <c r="M635" s="22" t="str">
        <f t="shared" si="204"/>
        <v/>
      </c>
      <c r="N635" s="72"/>
      <c r="O635" s="16" t="str">
        <f t="shared" si="205"/>
        <v/>
      </c>
      <c r="P635" s="16" t="str">
        <f t="shared" si="206"/>
        <v/>
      </c>
      <c r="Q635" s="16" t="str">
        <f t="shared" si="207"/>
        <v/>
      </c>
      <c r="R635" s="23" t="str">
        <f t="shared" si="208"/>
        <v/>
      </c>
      <c r="S635" s="23" t="str">
        <f t="shared" si="209"/>
        <v/>
      </c>
      <c r="T635" s="23" t="str">
        <f t="shared" si="210"/>
        <v/>
      </c>
      <c r="U635" s="23" t="str">
        <f t="shared" si="211"/>
        <v/>
      </c>
      <c r="V635" s="23" t="str">
        <f t="shared" si="212"/>
        <v/>
      </c>
      <c r="W635" s="70" t="str">
        <f t="shared" si="213"/>
        <v/>
      </c>
      <c r="X635" s="70" t="str">
        <f t="shared" si="214"/>
        <v/>
      </c>
      <c r="Y635" s="70" t="str">
        <f>IF(AND($A635&lt;&gt;"",$E635&gt;0),isLaptopBag($C635,$J635)*$D635,"")</f>
        <v/>
      </c>
      <c r="Z635" s="70" t="str">
        <f t="shared" si="215"/>
        <v/>
      </c>
      <c r="AA635" s="70" t="str">
        <f t="shared" si="216"/>
        <v/>
      </c>
      <c r="AB635" s="70" t="str">
        <f t="shared" si="217"/>
        <v/>
      </c>
      <c r="AC635" s="70" t="str">
        <f t="shared" si="218"/>
        <v/>
      </c>
      <c r="AD635" s="70" t="str">
        <f t="shared" si="219"/>
        <v/>
      </c>
      <c r="AE635" s="70" t="str">
        <f t="shared" si="220"/>
        <v/>
      </c>
      <c r="AF635" s="16"/>
      <c r="AG635" s="23"/>
      <c r="AH635" s="22"/>
      <c r="AJ635" s="83">
        <f t="shared" si="221"/>
        <v>0</v>
      </c>
      <c r="AO635" s="22" t="str">
        <f t="shared" si="222"/>
        <v/>
      </c>
      <c r="AP635" s="22" t="str">
        <f t="shared" si="223"/>
        <v/>
      </c>
    </row>
    <row r="636" spans="1:42" x14ac:dyDescent="0.25">
      <c r="A636" s="10"/>
      <c r="B636" s="10"/>
      <c r="C636" s="10"/>
      <c r="D636" s="10"/>
      <c r="E636" s="10"/>
      <c r="F636" s="10"/>
      <c r="G636" s="10"/>
      <c r="H636" s="17"/>
      <c r="I636" s="10"/>
      <c r="J636" s="10"/>
      <c r="K636" s="16" t="str">
        <f t="shared" si="202"/>
        <v/>
      </c>
      <c r="L636" s="23" t="str">
        <f t="shared" si="203"/>
        <v/>
      </c>
      <c r="M636" s="22" t="str">
        <f t="shared" si="204"/>
        <v/>
      </c>
      <c r="N636" s="72"/>
      <c r="O636" s="16" t="str">
        <f t="shared" si="205"/>
        <v/>
      </c>
      <c r="P636" s="16" t="str">
        <f t="shared" si="206"/>
        <v/>
      </c>
      <c r="Q636" s="16" t="str">
        <f t="shared" si="207"/>
        <v/>
      </c>
      <c r="R636" s="23" t="str">
        <f t="shared" si="208"/>
        <v/>
      </c>
      <c r="S636" s="23" t="str">
        <f t="shared" si="209"/>
        <v/>
      </c>
      <c r="T636" s="23" t="str">
        <f t="shared" si="210"/>
        <v/>
      </c>
      <c r="U636" s="23" t="str">
        <f t="shared" si="211"/>
        <v/>
      </c>
      <c r="V636" s="23" t="str">
        <f t="shared" si="212"/>
        <v/>
      </c>
      <c r="W636" s="70" t="str">
        <f t="shared" si="213"/>
        <v/>
      </c>
      <c r="X636" s="70" t="str">
        <f t="shared" si="214"/>
        <v/>
      </c>
      <c r="Y636" s="70" t="str">
        <f>IF(AND($A636&lt;&gt;"",$E636&gt;0),isLaptopBag($C636,$J636)*$D636,"")</f>
        <v/>
      </c>
      <c r="Z636" s="70" t="str">
        <f t="shared" si="215"/>
        <v/>
      </c>
      <c r="AA636" s="70" t="str">
        <f t="shared" si="216"/>
        <v/>
      </c>
      <c r="AB636" s="70" t="str">
        <f t="shared" si="217"/>
        <v/>
      </c>
      <c r="AC636" s="70" t="str">
        <f t="shared" si="218"/>
        <v/>
      </c>
      <c r="AD636" s="70" t="str">
        <f t="shared" si="219"/>
        <v/>
      </c>
      <c r="AE636" s="70" t="str">
        <f t="shared" si="220"/>
        <v/>
      </c>
      <c r="AF636" s="16"/>
      <c r="AG636" s="23"/>
      <c r="AH636" s="22"/>
      <c r="AJ636" s="83">
        <f t="shared" si="221"/>
        <v>0</v>
      </c>
      <c r="AO636" s="22" t="str">
        <f t="shared" si="222"/>
        <v/>
      </c>
      <c r="AP636" s="22" t="str">
        <f t="shared" si="223"/>
        <v/>
      </c>
    </row>
    <row r="637" spans="1:42" x14ac:dyDescent="0.25">
      <c r="A637" s="10"/>
      <c r="B637" s="10"/>
      <c r="C637" s="10"/>
      <c r="D637" s="10"/>
      <c r="E637" s="10"/>
      <c r="F637" s="10"/>
      <c r="G637" s="10"/>
      <c r="H637" s="17"/>
      <c r="I637" s="10"/>
      <c r="J637" s="10"/>
      <c r="K637" s="16" t="str">
        <f t="shared" si="202"/>
        <v/>
      </c>
      <c r="L637" s="23" t="str">
        <f t="shared" si="203"/>
        <v/>
      </c>
      <c r="M637" s="22" t="str">
        <f t="shared" si="204"/>
        <v/>
      </c>
      <c r="N637" s="72"/>
      <c r="O637" s="16" t="str">
        <f t="shared" si="205"/>
        <v/>
      </c>
      <c r="P637" s="16" t="str">
        <f t="shared" si="206"/>
        <v/>
      </c>
      <c r="Q637" s="16" t="str">
        <f t="shared" si="207"/>
        <v/>
      </c>
      <c r="R637" s="23" t="str">
        <f t="shared" si="208"/>
        <v/>
      </c>
      <c r="S637" s="23" t="str">
        <f t="shared" si="209"/>
        <v/>
      </c>
      <c r="T637" s="23" t="str">
        <f t="shared" si="210"/>
        <v/>
      </c>
      <c r="U637" s="23" t="str">
        <f t="shared" si="211"/>
        <v/>
      </c>
      <c r="V637" s="23" t="str">
        <f t="shared" si="212"/>
        <v/>
      </c>
      <c r="W637" s="70" t="str">
        <f t="shared" si="213"/>
        <v/>
      </c>
      <c r="X637" s="70" t="str">
        <f t="shared" si="214"/>
        <v/>
      </c>
      <c r="Y637" s="70" t="str">
        <f>IF(AND($A637&lt;&gt;"",$E637&gt;0),isLaptopBag($C637,$J637)*$D637,"")</f>
        <v/>
      </c>
      <c r="Z637" s="70" t="str">
        <f t="shared" si="215"/>
        <v/>
      </c>
      <c r="AA637" s="70" t="str">
        <f t="shared" si="216"/>
        <v/>
      </c>
      <c r="AB637" s="70" t="str">
        <f t="shared" si="217"/>
        <v/>
      </c>
      <c r="AC637" s="70" t="str">
        <f t="shared" si="218"/>
        <v/>
      </c>
      <c r="AD637" s="70" t="str">
        <f t="shared" si="219"/>
        <v/>
      </c>
      <c r="AE637" s="70" t="str">
        <f t="shared" si="220"/>
        <v/>
      </c>
      <c r="AF637" s="16"/>
      <c r="AG637" s="23"/>
      <c r="AH637" s="22"/>
      <c r="AJ637" s="83">
        <f t="shared" si="221"/>
        <v>0</v>
      </c>
      <c r="AO637" s="22" t="str">
        <f t="shared" si="222"/>
        <v/>
      </c>
      <c r="AP637" s="22" t="str">
        <f t="shared" si="223"/>
        <v/>
      </c>
    </row>
    <row r="638" spans="1:42" x14ac:dyDescent="0.25">
      <c r="A638" s="10"/>
      <c r="B638" s="10"/>
      <c r="C638" s="10"/>
      <c r="D638" s="10"/>
      <c r="E638" s="10"/>
      <c r="F638" s="10"/>
      <c r="G638" s="10"/>
      <c r="H638" s="17"/>
      <c r="I638" s="10"/>
      <c r="J638" s="10"/>
      <c r="K638" s="16" t="str">
        <f t="shared" si="202"/>
        <v/>
      </c>
      <c r="L638" s="23" t="str">
        <f t="shared" si="203"/>
        <v/>
      </c>
      <c r="M638" s="22" t="str">
        <f t="shared" si="204"/>
        <v/>
      </c>
      <c r="N638" s="72"/>
      <c r="O638" s="16" t="str">
        <f t="shared" si="205"/>
        <v/>
      </c>
      <c r="P638" s="16" t="str">
        <f t="shared" si="206"/>
        <v/>
      </c>
      <c r="Q638" s="16" t="str">
        <f t="shared" si="207"/>
        <v/>
      </c>
      <c r="R638" s="23" t="str">
        <f t="shared" si="208"/>
        <v/>
      </c>
      <c r="S638" s="23" t="str">
        <f t="shared" si="209"/>
        <v/>
      </c>
      <c r="T638" s="23" t="str">
        <f t="shared" si="210"/>
        <v/>
      </c>
      <c r="U638" s="23" t="str">
        <f t="shared" si="211"/>
        <v/>
      </c>
      <c r="V638" s="23" t="str">
        <f t="shared" si="212"/>
        <v/>
      </c>
      <c r="W638" s="70" t="str">
        <f t="shared" si="213"/>
        <v/>
      </c>
      <c r="X638" s="70" t="str">
        <f t="shared" si="214"/>
        <v/>
      </c>
      <c r="Y638" s="70" t="str">
        <f>IF(AND($A638&lt;&gt;"",$E638&gt;0),isLaptopBag($C638,$J638)*$D638,"")</f>
        <v/>
      </c>
      <c r="Z638" s="70" t="str">
        <f t="shared" si="215"/>
        <v/>
      </c>
      <c r="AA638" s="70" t="str">
        <f t="shared" si="216"/>
        <v/>
      </c>
      <c r="AB638" s="70" t="str">
        <f t="shared" si="217"/>
        <v/>
      </c>
      <c r="AC638" s="70" t="str">
        <f t="shared" si="218"/>
        <v/>
      </c>
      <c r="AD638" s="70" t="str">
        <f t="shared" si="219"/>
        <v/>
      </c>
      <c r="AE638" s="70" t="str">
        <f t="shared" si="220"/>
        <v/>
      </c>
      <c r="AF638" s="16"/>
      <c r="AG638" s="23"/>
      <c r="AH638" s="22"/>
      <c r="AJ638" s="83">
        <f t="shared" si="221"/>
        <v>0</v>
      </c>
      <c r="AO638" s="22" t="str">
        <f t="shared" si="222"/>
        <v/>
      </c>
      <c r="AP638" s="22" t="str">
        <f t="shared" si="223"/>
        <v/>
      </c>
    </row>
    <row r="639" spans="1:42" x14ac:dyDescent="0.25">
      <c r="A639" s="10"/>
      <c r="B639" s="10"/>
      <c r="C639" s="10"/>
      <c r="D639" s="10"/>
      <c r="E639" s="10"/>
      <c r="F639" s="10"/>
      <c r="G639" s="10"/>
      <c r="H639" s="17"/>
      <c r="I639" s="10"/>
      <c r="J639" s="10"/>
      <c r="K639" s="16" t="str">
        <f t="shared" si="202"/>
        <v/>
      </c>
      <c r="L639" s="23" t="str">
        <f t="shared" si="203"/>
        <v/>
      </c>
      <c r="M639" s="22" t="str">
        <f t="shared" si="204"/>
        <v/>
      </c>
      <c r="N639" s="72"/>
      <c r="O639" s="16" t="str">
        <f t="shared" si="205"/>
        <v/>
      </c>
      <c r="P639" s="16" t="str">
        <f t="shared" si="206"/>
        <v/>
      </c>
      <c r="Q639" s="16" t="str">
        <f t="shared" si="207"/>
        <v/>
      </c>
      <c r="R639" s="23" t="str">
        <f t="shared" si="208"/>
        <v/>
      </c>
      <c r="S639" s="23" t="str">
        <f t="shared" si="209"/>
        <v/>
      </c>
      <c r="T639" s="23" t="str">
        <f t="shared" si="210"/>
        <v/>
      </c>
      <c r="U639" s="23" t="str">
        <f t="shared" si="211"/>
        <v/>
      </c>
      <c r="V639" s="23" t="str">
        <f t="shared" si="212"/>
        <v/>
      </c>
      <c r="W639" s="70" t="str">
        <f t="shared" si="213"/>
        <v/>
      </c>
      <c r="X639" s="70" t="str">
        <f t="shared" si="214"/>
        <v/>
      </c>
      <c r="Y639" s="70" t="str">
        <f>IF(AND($A639&lt;&gt;"",$E639&gt;0),isLaptopBag($C639,$J639)*$D639,"")</f>
        <v/>
      </c>
      <c r="Z639" s="70" t="str">
        <f t="shared" si="215"/>
        <v/>
      </c>
      <c r="AA639" s="70" t="str">
        <f t="shared" si="216"/>
        <v/>
      </c>
      <c r="AB639" s="70" t="str">
        <f t="shared" si="217"/>
        <v/>
      </c>
      <c r="AC639" s="70" t="str">
        <f t="shared" si="218"/>
        <v/>
      </c>
      <c r="AD639" s="70" t="str">
        <f t="shared" si="219"/>
        <v/>
      </c>
      <c r="AE639" s="70" t="str">
        <f t="shared" si="220"/>
        <v/>
      </c>
      <c r="AF639" s="16"/>
      <c r="AG639" s="23"/>
      <c r="AH639" s="22"/>
      <c r="AJ639" s="83">
        <f t="shared" si="221"/>
        <v>0</v>
      </c>
      <c r="AO639" s="22" t="str">
        <f t="shared" si="222"/>
        <v/>
      </c>
      <c r="AP639" s="22" t="str">
        <f t="shared" si="223"/>
        <v/>
      </c>
    </row>
    <row r="640" spans="1:42" x14ac:dyDescent="0.25">
      <c r="A640" s="10"/>
      <c r="B640" s="10"/>
      <c r="C640" s="10"/>
      <c r="D640" s="10"/>
      <c r="E640" s="10"/>
      <c r="F640" s="10"/>
      <c r="G640" s="10"/>
      <c r="H640" s="17"/>
      <c r="I640" s="10"/>
      <c r="J640" s="10"/>
      <c r="K640" s="16" t="str">
        <f t="shared" si="202"/>
        <v/>
      </c>
      <c r="L640" s="23" t="str">
        <f t="shared" si="203"/>
        <v/>
      </c>
      <c r="M640" s="22" t="str">
        <f t="shared" si="204"/>
        <v/>
      </c>
      <c r="N640" s="72"/>
      <c r="O640" s="16" t="str">
        <f t="shared" si="205"/>
        <v/>
      </c>
      <c r="P640" s="16" t="str">
        <f t="shared" si="206"/>
        <v/>
      </c>
      <c r="Q640" s="16" t="str">
        <f t="shared" si="207"/>
        <v/>
      </c>
      <c r="R640" s="23" t="str">
        <f t="shared" si="208"/>
        <v/>
      </c>
      <c r="S640" s="23" t="str">
        <f t="shared" si="209"/>
        <v/>
      </c>
      <c r="T640" s="23" t="str">
        <f t="shared" si="210"/>
        <v/>
      </c>
      <c r="U640" s="23" t="str">
        <f t="shared" si="211"/>
        <v/>
      </c>
      <c r="V640" s="23" t="str">
        <f t="shared" si="212"/>
        <v/>
      </c>
      <c r="W640" s="70" t="str">
        <f t="shared" si="213"/>
        <v/>
      </c>
      <c r="X640" s="70" t="str">
        <f t="shared" si="214"/>
        <v/>
      </c>
      <c r="Y640" s="70" t="str">
        <f>IF(AND($A640&lt;&gt;"",$E640&gt;0),isLaptopBag($C640,$J640)*$D640,"")</f>
        <v/>
      </c>
      <c r="Z640" s="70" t="str">
        <f t="shared" si="215"/>
        <v/>
      </c>
      <c r="AA640" s="70" t="str">
        <f t="shared" si="216"/>
        <v/>
      </c>
      <c r="AB640" s="70" t="str">
        <f t="shared" si="217"/>
        <v/>
      </c>
      <c r="AC640" s="70" t="str">
        <f t="shared" si="218"/>
        <v/>
      </c>
      <c r="AD640" s="70" t="str">
        <f t="shared" si="219"/>
        <v/>
      </c>
      <c r="AE640" s="70" t="str">
        <f t="shared" si="220"/>
        <v/>
      </c>
      <c r="AF640" s="16"/>
      <c r="AG640" s="23"/>
      <c r="AH640" s="22"/>
      <c r="AJ640" s="83">
        <f t="shared" si="221"/>
        <v>0</v>
      </c>
      <c r="AO640" s="22" t="str">
        <f t="shared" si="222"/>
        <v/>
      </c>
      <c r="AP640" s="22" t="str">
        <f t="shared" si="223"/>
        <v/>
      </c>
    </row>
    <row r="641" spans="1:42" x14ac:dyDescent="0.25">
      <c r="A641" s="10"/>
      <c r="B641" s="10"/>
      <c r="C641" s="10"/>
      <c r="D641" s="10"/>
      <c r="E641" s="10"/>
      <c r="F641" s="10"/>
      <c r="G641" s="10"/>
      <c r="H641" s="17"/>
      <c r="I641" s="10"/>
      <c r="J641" s="10"/>
      <c r="K641" s="16" t="str">
        <f t="shared" si="202"/>
        <v/>
      </c>
      <c r="L641" s="23" t="str">
        <f t="shared" si="203"/>
        <v/>
      </c>
      <c r="M641" s="22" t="str">
        <f t="shared" si="204"/>
        <v/>
      </c>
      <c r="N641" s="72"/>
      <c r="O641" s="16" t="str">
        <f t="shared" si="205"/>
        <v/>
      </c>
      <c r="P641" s="16" t="str">
        <f t="shared" si="206"/>
        <v/>
      </c>
      <c r="Q641" s="16" t="str">
        <f t="shared" si="207"/>
        <v/>
      </c>
      <c r="R641" s="23" t="str">
        <f t="shared" si="208"/>
        <v/>
      </c>
      <c r="S641" s="23" t="str">
        <f t="shared" si="209"/>
        <v/>
      </c>
      <c r="T641" s="23" t="str">
        <f t="shared" si="210"/>
        <v/>
      </c>
      <c r="U641" s="23" t="str">
        <f t="shared" si="211"/>
        <v/>
      </c>
      <c r="V641" s="23" t="str">
        <f t="shared" si="212"/>
        <v/>
      </c>
      <c r="W641" s="70" t="str">
        <f t="shared" si="213"/>
        <v/>
      </c>
      <c r="X641" s="70" t="str">
        <f t="shared" si="214"/>
        <v/>
      </c>
      <c r="Y641" s="70" t="str">
        <f>IF(AND($A641&lt;&gt;"",$E641&gt;0),isLaptopBag($C641,$J641)*$D641,"")</f>
        <v/>
      </c>
      <c r="Z641" s="70" t="str">
        <f t="shared" si="215"/>
        <v/>
      </c>
      <c r="AA641" s="70" t="str">
        <f t="shared" si="216"/>
        <v/>
      </c>
      <c r="AB641" s="70" t="str">
        <f t="shared" si="217"/>
        <v/>
      </c>
      <c r="AC641" s="70" t="str">
        <f t="shared" si="218"/>
        <v/>
      </c>
      <c r="AD641" s="70" t="str">
        <f t="shared" si="219"/>
        <v/>
      </c>
      <c r="AE641" s="70" t="str">
        <f t="shared" si="220"/>
        <v/>
      </c>
      <c r="AF641" s="16"/>
      <c r="AG641" s="23"/>
      <c r="AH641" s="22"/>
      <c r="AJ641" s="83">
        <f t="shared" si="221"/>
        <v>0</v>
      </c>
      <c r="AO641" s="22" t="str">
        <f t="shared" si="222"/>
        <v/>
      </c>
      <c r="AP641" s="22" t="str">
        <f t="shared" si="223"/>
        <v/>
      </c>
    </row>
    <row r="642" spans="1:42" x14ac:dyDescent="0.25">
      <c r="A642" s="10"/>
      <c r="B642" s="10"/>
      <c r="C642" s="10"/>
      <c r="D642" s="10"/>
      <c r="E642" s="10"/>
      <c r="F642" s="10"/>
      <c r="G642" s="10"/>
      <c r="H642" s="17"/>
      <c r="I642" s="10"/>
      <c r="J642" s="10"/>
      <c r="K642" s="16" t="str">
        <f t="shared" si="202"/>
        <v/>
      </c>
      <c r="L642" s="23" t="str">
        <f t="shared" si="203"/>
        <v/>
      </c>
      <c r="M642" s="22" t="str">
        <f t="shared" si="204"/>
        <v/>
      </c>
      <c r="N642" s="72"/>
      <c r="O642" s="16" t="str">
        <f t="shared" si="205"/>
        <v/>
      </c>
      <c r="P642" s="16" t="str">
        <f t="shared" si="206"/>
        <v/>
      </c>
      <c r="Q642" s="16" t="str">
        <f t="shared" si="207"/>
        <v/>
      </c>
      <c r="R642" s="23" t="str">
        <f t="shared" si="208"/>
        <v/>
      </c>
      <c r="S642" s="23" t="str">
        <f t="shared" si="209"/>
        <v/>
      </c>
      <c r="T642" s="23" t="str">
        <f t="shared" si="210"/>
        <v/>
      </c>
      <c r="U642" s="23" t="str">
        <f t="shared" si="211"/>
        <v/>
      </c>
      <c r="V642" s="23" t="str">
        <f t="shared" si="212"/>
        <v/>
      </c>
      <c r="W642" s="70" t="str">
        <f t="shared" si="213"/>
        <v/>
      </c>
      <c r="X642" s="70" t="str">
        <f t="shared" si="214"/>
        <v/>
      </c>
      <c r="Y642" s="70" t="str">
        <f>IF(AND($A642&lt;&gt;"",$E642&gt;0),isLaptopBag($C642,$J642)*$D642,"")</f>
        <v/>
      </c>
      <c r="Z642" s="70" t="str">
        <f t="shared" si="215"/>
        <v/>
      </c>
      <c r="AA642" s="70" t="str">
        <f t="shared" si="216"/>
        <v/>
      </c>
      <c r="AB642" s="70" t="str">
        <f t="shared" si="217"/>
        <v/>
      </c>
      <c r="AC642" s="70" t="str">
        <f t="shared" si="218"/>
        <v/>
      </c>
      <c r="AD642" s="70" t="str">
        <f t="shared" si="219"/>
        <v/>
      </c>
      <c r="AE642" s="70" t="str">
        <f t="shared" si="220"/>
        <v/>
      </c>
      <c r="AF642" s="16"/>
      <c r="AG642" s="23"/>
      <c r="AH642" s="22"/>
      <c r="AJ642" s="83">
        <f t="shared" si="221"/>
        <v>0</v>
      </c>
      <c r="AO642" s="22" t="str">
        <f t="shared" si="222"/>
        <v/>
      </c>
      <c r="AP642" s="22" t="str">
        <f t="shared" si="223"/>
        <v/>
      </c>
    </row>
    <row r="643" spans="1:42" x14ac:dyDescent="0.25">
      <c r="A643" s="10"/>
      <c r="B643" s="10"/>
      <c r="C643" s="10"/>
      <c r="D643" s="10"/>
      <c r="E643" s="10"/>
      <c r="F643" s="10"/>
      <c r="G643" s="10"/>
      <c r="H643" s="17"/>
      <c r="I643" s="10"/>
      <c r="J643" s="10"/>
      <c r="K643" s="16" t="str">
        <f t="shared" si="202"/>
        <v/>
      </c>
      <c r="L643" s="23" t="str">
        <f t="shared" si="203"/>
        <v/>
      </c>
      <c r="M643" s="22" t="str">
        <f t="shared" si="204"/>
        <v/>
      </c>
      <c r="N643" s="72"/>
      <c r="O643" s="16" t="str">
        <f t="shared" si="205"/>
        <v/>
      </c>
      <c r="P643" s="16" t="str">
        <f t="shared" si="206"/>
        <v/>
      </c>
      <c r="Q643" s="16" t="str">
        <f t="shared" si="207"/>
        <v/>
      </c>
      <c r="R643" s="23" t="str">
        <f t="shared" si="208"/>
        <v/>
      </c>
      <c r="S643" s="23" t="str">
        <f t="shared" si="209"/>
        <v/>
      </c>
      <c r="T643" s="23" t="str">
        <f t="shared" si="210"/>
        <v/>
      </c>
      <c r="U643" s="23" t="str">
        <f t="shared" si="211"/>
        <v/>
      </c>
      <c r="V643" s="23" t="str">
        <f t="shared" si="212"/>
        <v/>
      </c>
      <c r="W643" s="70" t="str">
        <f t="shared" si="213"/>
        <v/>
      </c>
      <c r="X643" s="70" t="str">
        <f t="shared" si="214"/>
        <v/>
      </c>
      <c r="Y643" s="70" t="str">
        <f>IF(AND($A643&lt;&gt;"",$E643&gt;0),isLaptopBag($C643,$J643)*$D643,"")</f>
        <v/>
      </c>
      <c r="Z643" s="70" t="str">
        <f t="shared" si="215"/>
        <v/>
      </c>
      <c r="AA643" s="70" t="str">
        <f t="shared" si="216"/>
        <v/>
      </c>
      <c r="AB643" s="70" t="str">
        <f t="shared" si="217"/>
        <v/>
      </c>
      <c r="AC643" s="70" t="str">
        <f t="shared" si="218"/>
        <v/>
      </c>
      <c r="AD643" s="70" t="str">
        <f t="shared" si="219"/>
        <v/>
      </c>
      <c r="AE643" s="70" t="str">
        <f t="shared" si="220"/>
        <v/>
      </c>
      <c r="AF643" s="16"/>
      <c r="AG643" s="23"/>
      <c r="AH643" s="22"/>
      <c r="AJ643" s="83">
        <f t="shared" si="221"/>
        <v>0</v>
      </c>
      <c r="AO643" s="22" t="str">
        <f t="shared" si="222"/>
        <v/>
      </c>
      <c r="AP643" s="22" t="str">
        <f t="shared" si="223"/>
        <v/>
      </c>
    </row>
    <row r="644" spans="1:42" x14ac:dyDescent="0.25">
      <c r="A644" s="10"/>
      <c r="B644" s="10"/>
      <c r="C644" s="10"/>
      <c r="D644" s="10"/>
      <c r="E644" s="10"/>
      <c r="F644" s="10"/>
      <c r="G644" s="10"/>
      <c r="H644" s="17"/>
      <c r="I644" s="10"/>
      <c r="J644" s="10"/>
      <c r="K644" s="16" t="str">
        <f t="shared" si="202"/>
        <v/>
      </c>
      <c r="L644" s="23" t="str">
        <f t="shared" si="203"/>
        <v/>
      </c>
      <c r="M644" s="22" t="str">
        <f t="shared" si="204"/>
        <v/>
      </c>
      <c r="N644" s="72"/>
      <c r="O644" s="16" t="str">
        <f t="shared" si="205"/>
        <v/>
      </c>
      <c r="P644" s="16" t="str">
        <f t="shared" si="206"/>
        <v/>
      </c>
      <c r="Q644" s="16" t="str">
        <f t="shared" si="207"/>
        <v/>
      </c>
      <c r="R644" s="23" t="str">
        <f t="shared" si="208"/>
        <v/>
      </c>
      <c r="S644" s="23" t="str">
        <f t="shared" si="209"/>
        <v/>
      </c>
      <c r="T644" s="23" t="str">
        <f t="shared" si="210"/>
        <v/>
      </c>
      <c r="U644" s="23" t="str">
        <f t="shared" si="211"/>
        <v/>
      </c>
      <c r="V644" s="23" t="str">
        <f t="shared" si="212"/>
        <v/>
      </c>
      <c r="W644" s="70" t="str">
        <f t="shared" si="213"/>
        <v/>
      </c>
      <c r="X644" s="70" t="str">
        <f t="shared" si="214"/>
        <v/>
      </c>
      <c r="Y644" s="70" t="str">
        <f>IF(AND($A644&lt;&gt;"",$E644&gt;0),isLaptopBag($C644,$J644)*$D644,"")</f>
        <v/>
      </c>
      <c r="Z644" s="70" t="str">
        <f t="shared" si="215"/>
        <v/>
      </c>
      <c r="AA644" s="70" t="str">
        <f t="shared" si="216"/>
        <v/>
      </c>
      <c r="AB644" s="70" t="str">
        <f t="shared" si="217"/>
        <v/>
      </c>
      <c r="AC644" s="70" t="str">
        <f t="shared" si="218"/>
        <v/>
      </c>
      <c r="AD644" s="70" t="str">
        <f t="shared" si="219"/>
        <v/>
      </c>
      <c r="AE644" s="70" t="str">
        <f t="shared" si="220"/>
        <v/>
      </c>
      <c r="AF644" s="16"/>
      <c r="AG644" s="23"/>
      <c r="AH644" s="22"/>
      <c r="AJ644" s="83">
        <f t="shared" si="221"/>
        <v>0</v>
      </c>
      <c r="AO644" s="22" t="str">
        <f t="shared" si="222"/>
        <v/>
      </c>
      <c r="AP644" s="22" t="str">
        <f t="shared" si="223"/>
        <v/>
      </c>
    </row>
    <row r="645" spans="1:42" x14ac:dyDescent="0.25">
      <c r="A645" s="10"/>
      <c r="B645" s="10"/>
      <c r="C645" s="10"/>
      <c r="D645" s="10"/>
      <c r="E645" s="10"/>
      <c r="F645" s="10"/>
      <c r="G645" s="10"/>
      <c r="H645" s="17"/>
      <c r="I645" s="10"/>
      <c r="J645" s="10"/>
      <c r="K645" s="16" t="str">
        <f t="shared" si="202"/>
        <v/>
      </c>
      <c r="L645" s="23" t="str">
        <f t="shared" si="203"/>
        <v/>
      </c>
      <c r="M645" s="22" t="str">
        <f t="shared" si="204"/>
        <v/>
      </c>
      <c r="N645" s="72"/>
      <c r="O645" s="16" t="str">
        <f t="shared" si="205"/>
        <v/>
      </c>
      <c r="P645" s="16" t="str">
        <f t="shared" si="206"/>
        <v/>
      </c>
      <c r="Q645" s="16" t="str">
        <f t="shared" si="207"/>
        <v/>
      </c>
      <c r="R645" s="23" t="str">
        <f t="shared" si="208"/>
        <v/>
      </c>
      <c r="S645" s="23" t="str">
        <f t="shared" si="209"/>
        <v/>
      </c>
      <c r="T645" s="23" t="str">
        <f t="shared" si="210"/>
        <v/>
      </c>
      <c r="U645" s="23" t="str">
        <f t="shared" si="211"/>
        <v/>
      </c>
      <c r="V645" s="23" t="str">
        <f t="shared" si="212"/>
        <v/>
      </c>
      <c r="W645" s="70" t="str">
        <f t="shared" si="213"/>
        <v/>
      </c>
      <c r="X645" s="70" t="str">
        <f t="shared" si="214"/>
        <v/>
      </c>
      <c r="Y645" s="70" t="str">
        <f>IF(AND($A645&lt;&gt;"",$E645&gt;0),isLaptopBag($C645,$J645)*$D645,"")</f>
        <v/>
      </c>
      <c r="Z645" s="70" t="str">
        <f t="shared" si="215"/>
        <v/>
      </c>
      <c r="AA645" s="70" t="str">
        <f t="shared" si="216"/>
        <v/>
      </c>
      <c r="AB645" s="70" t="str">
        <f t="shared" si="217"/>
        <v/>
      </c>
      <c r="AC645" s="70" t="str">
        <f t="shared" si="218"/>
        <v/>
      </c>
      <c r="AD645" s="70" t="str">
        <f t="shared" si="219"/>
        <v/>
      </c>
      <c r="AE645" s="70" t="str">
        <f t="shared" si="220"/>
        <v/>
      </c>
      <c r="AF645" s="16"/>
      <c r="AG645" s="23"/>
      <c r="AH645" s="22"/>
      <c r="AJ645" s="83">
        <f t="shared" si="221"/>
        <v>0</v>
      </c>
      <c r="AO645" s="22" t="str">
        <f t="shared" si="222"/>
        <v/>
      </c>
      <c r="AP645" s="22" t="str">
        <f t="shared" si="223"/>
        <v/>
      </c>
    </row>
    <row r="646" spans="1:42" x14ac:dyDescent="0.25">
      <c r="A646" s="10"/>
      <c r="B646" s="10"/>
      <c r="C646" s="10"/>
      <c r="D646" s="10"/>
      <c r="E646" s="10"/>
      <c r="F646" s="10"/>
      <c r="G646" s="10"/>
      <c r="H646" s="17"/>
      <c r="I646" s="10"/>
      <c r="J646" s="10"/>
      <c r="K646" s="16" t="str">
        <f t="shared" si="202"/>
        <v/>
      </c>
      <c r="L646" s="23" t="str">
        <f t="shared" si="203"/>
        <v/>
      </c>
      <c r="M646" s="22" t="str">
        <f t="shared" si="204"/>
        <v/>
      </c>
      <c r="N646" s="72"/>
      <c r="O646" s="16" t="str">
        <f t="shared" si="205"/>
        <v/>
      </c>
      <c r="P646" s="16" t="str">
        <f t="shared" si="206"/>
        <v/>
      </c>
      <c r="Q646" s="16" t="str">
        <f t="shared" si="207"/>
        <v/>
      </c>
      <c r="R646" s="23" t="str">
        <f t="shared" si="208"/>
        <v/>
      </c>
      <c r="S646" s="23" t="str">
        <f t="shared" si="209"/>
        <v/>
      </c>
      <c r="T646" s="23" t="str">
        <f t="shared" si="210"/>
        <v/>
      </c>
      <c r="U646" s="23" t="str">
        <f t="shared" si="211"/>
        <v/>
      </c>
      <c r="V646" s="23" t="str">
        <f t="shared" si="212"/>
        <v/>
      </c>
      <c r="W646" s="70" t="str">
        <f t="shared" si="213"/>
        <v/>
      </c>
      <c r="X646" s="70" t="str">
        <f t="shared" si="214"/>
        <v/>
      </c>
      <c r="Y646" s="70" t="str">
        <f>IF(AND($A646&lt;&gt;"",$E646&gt;0),isLaptopBag($C646,$J646)*$D646,"")</f>
        <v/>
      </c>
      <c r="Z646" s="70" t="str">
        <f t="shared" si="215"/>
        <v/>
      </c>
      <c r="AA646" s="70" t="str">
        <f t="shared" si="216"/>
        <v/>
      </c>
      <c r="AB646" s="70" t="str">
        <f t="shared" si="217"/>
        <v/>
      </c>
      <c r="AC646" s="70" t="str">
        <f t="shared" si="218"/>
        <v/>
      </c>
      <c r="AD646" s="70" t="str">
        <f t="shared" si="219"/>
        <v/>
      </c>
      <c r="AE646" s="70" t="str">
        <f t="shared" si="220"/>
        <v/>
      </c>
      <c r="AF646" s="16"/>
      <c r="AG646" s="23"/>
      <c r="AH646" s="22"/>
      <c r="AJ646" s="83">
        <f t="shared" si="221"/>
        <v>0</v>
      </c>
      <c r="AO646" s="22" t="str">
        <f t="shared" si="222"/>
        <v/>
      </c>
      <c r="AP646" s="22" t="str">
        <f t="shared" si="223"/>
        <v/>
      </c>
    </row>
    <row r="647" spans="1:42" x14ac:dyDescent="0.25">
      <c r="A647" s="10"/>
      <c r="B647" s="10"/>
      <c r="C647" s="10"/>
      <c r="D647" s="10"/>
      <c r="E647" s="10"/>
      <c r="F647" s="10"/>
      <c r="G647" s="10"/>
      <c r="H647" s="17"/>
      <c r="I647" s="10"/>
      <c r="J647" s="10"/>
      <c r="K647" s="16" t="str">
        <f t="shared" si="202"/>
        <v/>
      </c>
      <c r="L647" s="23" t="str">
        <f t="shared" si="203"/>
        <v/>
      </c>
      <c r="M647" s="22" t="str">
        <f t="shared" si="204"/>
        <v/>
      </c>
      <c r="N647" s="72"/>
      <c r="O647" s="16" t="str">
        <f t="shared" si="205"/>
        <v/>
      </c>
      <c r="P647" s="16" t="str">
        <f t="shared" si="206"/>
        <v/>
      </c>
      <c r="Q647" s="16" t="str">
        <f t="shared" si="207"/>
        <v/>
      </c>
      <c r="R647" s="23" t="str">
        <f t="shared" si="208"/>
        <v/>
      </c>
      <c r="S647" s="23" t="str">
        <f t="shared" si="209"/>
        <v/>
      </c>
      <c r="T647" s="23" t="str">
        <f t="shared" si="210"/>
        <v/>
      </c>
      <c r="U647" s="23" t="str">
        <f t="shared" si="211"/>
        <v/>
      </c>
      <c r="V647" s="23" t="str">
        <f t="shared" si="212"/>
        <v/>
      </c>
      <c r="W647" s="70" t="str">
        <f t="shared" si="213"/>
        <v/>
      </c>
      <c r="X647" s="70" t="str">
        <f t="shared" si="214"/>
        <v/>
      </c>
      <c r="Y647" s="70" t="str">
        <f>IF(AND($A647&lt;&gt;"",$E647&gt;0),isLaptopBag($C647,$J647)*$D647,"")</f>
        <v/>
      </c>
      <c r="Z647" s="70" t="str">
        <f t="shared" si="215"/>
        <v/>
      </c>
      <c r="AA647" s="70" t="str">
        <f t="shared" si="216"/>
        <v/>
      </c>
      <c r="AB647" s="70" t="str">
        <f t="shared" si="217"/>
        <v/>
      </c>
      <c r="AC647" s="70" t="str">
        <f t="shared" si="218"/>
        <v/>
      </c>
      <c r="AD647" s="70" t="str">
        <f t="shared" si="219"/>
        <v/>
      </c>
      <c r="AE647" s="70" t="str">
        <f t="shared" si="220"/>
        <v/>
      </c>
      <c r="AF647" s="16"/>
      <c r="AG647" s="23"/>
      <c r="AH647" s="22"/>
      <c r="AJ647" s="83">
        <f t="shared" si="221"/>
        <v>0</v>
      </c>
      <c r="AO647" s="22" t="str">
        <f t="shared" si="222"/>
        <v/>
      </c>
      <c r="AP647" s="22" t="str">
        <f t="shared" si="223"/>
        <v/>
      </c>
    </row>
    <row r="648" spans="1:42" x14ac:dyDescent="0.25">
      <c r="A648" s="10"/>
      <c r="B648" s="10"/>
      <c r="C648" s="10"/>
      <c r="D648" s="10"/>
      <c r="E648" s="10"/>
      <c r="F648" s="10"/>
      <c r="G648" s="10"/>
      <c r="H648" s="17"/>
      <c r="I648" s="10"/>
      <c r="J648" s="10"/>
      <c r="K648" s="16" t="str">
        <f t="shared" si="202"/>
        <v/>
      </c>
      <c r="L648" s="23" t="str">
        <f t="shared" si="203"/>
        <v/>
      </c>
      <c r="M648" s="22" t="str">
        <f t="shared" si="204"/>
        <v/>
      </c>
      <c r="N648" s="72"/>
      <c r="O648" s="16" t="str">
        <f t="shared" si="205"/>
        <v/>
      </c>
      <c r="P648" s="16" t="str">
        <f t="shared" si="206"/>
        <v/>
      </c>
      <c r="Q648" s="16" t="str">
        <f t="shared" si="207"/>
        <v/>
      </c>
      <c r="R648" s="23" t="str">
        <f t="shared" si="208"/>
        <v/>
      </c>
      <c r="S648" s="23" t="str">
        <f t="shared" si="209"/>
        <v/>
      </c>
      <c r="T648" s="23" t="str">
        <f t="shared" si="210"/>
        <v/>
      </c>
      <c r="U648" s="23" t="str">
        <f t="shared" si="211"/>
        <v/>
      </c>
      <c r="V648" s="23" t="str">
        <f t="shared" si="212"/>
        <v/>
      </c>
      <c r="W648" s="70" t="str">
        <f t="shared" si="213"/>
        <v/>
      </c>
      <c r="X648" s="70" t="str">
        <f t="shared" si="214"/>
        <v/>
      </c>
      <c r="Y648" s="70" t="str">
        <f>IF(AND($A648&lt;&gt;"",$E648&gt;0),isLaptopBag($C648,$J648)*$D648,"")</f>
        <v/>
      </c>
      <c r="Z648" s="70" t="str">
        <f t="shared" si="215"/>
        <v/>
      </c>
      <c r="AA648" s="70" t="str">
        <f t="shared" si="216"/>
        <v/>
      </c>
      <c r="AB648" s="70" t="str">
        <f t="shared" si="217"/>
        <v/>
      </c>
      <c r="AC648" s="70" t="str">
        <f t="shared" si="218"/>
        <v/>
      </c>
      <c r="AD648" s="70" t="str">
        <f t="shared" si="219"/>
        <v/>
      </c>
      <c r="AE648" s="70" t="str">
        <f t="shared" si="220"/>
        <v/>
      </c>
      <c r="AF648" s="16"/>
      <c r="AG648" s="23"/>
      <c r="AH648" s="22"/>
      <c r="AJ648" s="83">
        <f t="shared" si="221"/>
        <v>0</v>
      </c>
      <c r="AO648" s="22" t="str">
        <f t="shared" si="222"/>
        <v/>
      </c>
      <c r="AP648" s="22" t="str">
        <f t="shared" si="223"/>
        <v/>
      </c>
    </row>
    <row r="649" spans="1:42" x14ac:dyDescent="0.25">
      <c r="A649" s="10"/>
      <c r="B649" s="10"/>
      <c r="C649" s="10"/>
      <c r="D649" s="10"/>
      <c r="E649" s="10"/>
      <c r="F649" s="10"/>
      <c r="G649" s="10"/>
      <c r="H649" s="17"/>
      <c r="I649" s="10"/>
      <c r="J649" s="10"/>
      <c r="K649" s="16" t="str">
        <f t="shared" si="202"/>
        <v/>
      </c>
      <c r="L649" s="23" t="str">
        <f t="shared" si="203"/>
        <v/>
      </c>
      <c r="M649" s="22" t="str">
        <f t="shared" si="204"/>
        <v/>
      </c>
      <c r="N649" s="72"/>
      <c r="O649" s="16" t="str">
        <f t="shared" si="205"/>
        <v/>
      </c>
      <c r="P649" s="16" t="str">
        <f t="shared" si="206"/>
        <v/>
      </c>
      <c r="Q649" s="16" t="str">
        <f t="shared" si="207"/>
        <v/>
      </c>
      <c r="R649" s="23" t="str">
        <f t="shared" si="208"/>
        <v/>
      </c>
      <c r="S649" s="23" t="str">
        <f t="shared" si="209"/>
        <v/>
      </c>
      <c r="T649" s="23" t="str">
        <f t="shared" si="210"/>
        <v/>
      </c>
      <c r="U649" s="23" t="str">
        <f t="shared" si="211"/>
        <v/>
      </c>
      <c r="V649" s="23" t="str">
        <f t="shared" si="212"/>
        <v/>
      </c>
      <c r="W649" s="70" t="str">
        <f t="shared" si="213"/>
        <v/>
      </c>
      <c r="X649" s="70" t="str">
        <f t="shared" si="214"/>
        <v/>
      </c>
      <c r="Y649" s="70" t="str">
        <f>IF(AND($A649&lt;&gt;"",$E649&gt;0),isLaptopBag($C649,$J649)*$D649,"")</f>
        <v/>
      </c>
      <c r="Z649" s="70" t="str">
        <f t="shared" si="215"/>
        <v/>
      </c>
      <c r="AA649" s="70" t="str">
        <f t="shared" si="216"/>
        <v/>
      </c>
      <c r="AB649" s="70" t="str">
        <f t="shared" si="217"/>
        <v/>
      </c>
      <c r="AC649" s="70" t="str">
        <f t="shared" si="218"/>
        <v/>
      </c>
      <c r="AD649" s="70" t="str">
        <f t="shared" si="219"/>
        <v/>
      </c>
      <c r="AE649" s="70" t="str">
        <f t="shared" si="220"/>
        <v/>
      </c>
      <c r="AF649" s="16"/>
      <c r="AG649" s="23"/>
      <c r="AH649" s="22"/>
      <c r="AJ649" s="83">
        <f t="shared" si="221"/>
        <v>0</v>
      </c>
      <c r="AO649" s="22" t="str">
        <f t="shared" si="222"/>
        <v/>
      </c>
      <c r="AP649" s="22" t="str">
        <f t="shared" si="223"/>
        <v/>
      </c>
    </row>
    <row r="650" spans="1:42" x14ac:dyDescent="0.25">
      <c r="A650" s="10"/>
      <c r="B650" s="10"/>
      <c r="C650" s="10"/>
      <c r="D650" s="10"/>
      <c r="E650" s="10"/>
      <c r="F650" s="10"/>
      <c r="G650" s="10"/>
      <c r="H650" s="17"/>
      <c r="I650" s="10"/>
      <c r="J650" s="10"/>
      <c r="K650" s="16" t="str">
        <f t="shared" si="202"/>
        <v/>
      </c>
      <c r="L650" s="23" t="str">
        <f t="shared" si="203"/>
        <v/>
      </c>
      <c r="M650" s="22" t="str">
        <f t="shared" si="204"/>
        <v/>
      </c>
      <c r="N650" s="72"/>
      <c r="O650" s="16" t="str">
        <f t="shared" si="205"/>
        <v/>
      </c>
      <c r="P650" s="16" t="str">
        <f t="shared" si="206"/>
        <v/>
      </c>
      <c r="Q650" s="16" t="str">
        <f t="shared" si="207"/>
        <v/>
      </c>
      <c r="R650" s="23" t="str">
        <f t="shared" si="208"/>
        <v/>
      </c>
      <c r="S650" s="23" t="str">
        <f t="shared" si="209"/>
        <v/>
      </c>
      <c r="T650" s="23" t="str">
        <f t="shared" si="210"/>
        <v/>
      </c>
      <c r="U650" s="23" t="str">
        <f t="shared" si="211"/>
        <v/>
      </c>
      <c r="V650" s="23" t="str">
        <f t="shared" si="212"/>
        <v/>
      </c>
      <c r="W650" s="70" t="str">
        <f t="shared" si="213"/>
        <v/>
      </c>
      <c r="X650" s="70" t="str">
        <f t="shared" si="214"/>
        <v/>
      </c>
      <c r="Y650" s="70" t="str">
        <f>IF(AND($A650&lt;&gt;"",$E650&gt;0),isLaptopBag($C650,$J650)*$D650,"")</f>
        <v/>
      </c>
      <c r="Z650" s="70" t="str">
        <f t="shared" si="215"/>
        <v/>
      </c>
      <c r="AA650" s="70" t="str">
        <f t="shared" si="216"/>
        <v/>
      </c>
      <c r="AB650" s="70" t="str">
        <f t="shared" si="217"/>
        <v/>
      </c>
      <c r="AC650" s="70" t="str">
        <f t="shared" si="218"/>
        <v/>
      </c>
      <c r="AD650" s="70" t="str">
        <f t="shared" si="219"/>
        <v/>
      </c>
      <c r="AE650" s="70" t="str">
        <f t="shared" si="220"/>
        <v/>
      </c>
      <c r="AF650" s="16"/>
      <c r="AG650" s="23"/>
      <c r="AH650" s="22"/>
      <c r="AJ650" s="83">
        <f t="shared" si="221"/>
        <v>0</v>
      </c>
      <c r="AO650" s="22" t="str">
        <f t="shared" si="222"/>
        <v/>
      </c>
      <c r="AP650" s="22" t="str">
        <f t="shared" si="223"/>
        <v/>
      </c>
    </row>
    <row r="651" spans="1:42" x14ac:dyDescent="0.25">
      <c r="A651" s="10"/>
      <c r="B651" s="10"/>
      <c r="C651" s="10"/>
      <c r="D651" s="10"/>
      <c r="E651" s="10"/>
      <c r="F651" s="10"/>
      <c r="G651" s="10"/>
      <c r="H651" s="17"/>
      <c r="I651" s="10"/>
      <c r="J651" s="10"/>
      <c r="K651" s="16" t="str">
        <f t="shared" si="202"/>
        <v/>
      </c>
      <c r="L651" s="23" t="str">
        <f t="shared" si="203"/>
        <v/>
      </c>
      <c r="M651" s="22" t="str">
        <f t="shared" si="204"/>
        <v/>
      </c>
      <c r="N651" s="72"/>
      <c r="O651" s="16" t="str">
        <f t="shared" si="205"/>
        <v/>
      </c>
      <c r="P651" s="16" t="str">
        <f t="shared" si="206"/>
        <v/>
      </c>
      <c r="Q651" s="16" t="str">
        <f t="shared" si="207"/>
        <v/>
      </c>
      <c r="R651" s="23" t="str">
        <f t="shared" si="208"/>
        <v/>
      </c>
      <c r="S651" s="23" t="str">
        <f t="shared" si="209"/>
        <v/>
      </c>
      <c r="T651" s="23" t="str">
        <f t="shared" si="210"/>
        <v/>
      </c>
      <c r="U651" s="23" t="str">
        <f t="shared" si="211"/>
        <v/>
      </c>
      <c r="V651" s="23" t="str">
        <f t="shared" si="212"/>
        <v/>
      </c>
      <c r="W651" s="70" t="str">
        <f t="shared" si="213"/>
        <v/>
      </c>
      <c r="X651" s="70" t="str">
        <f t="shared" si="214"/>
        <v/>
      </c>
      <c r="Y651" s="70" t="str">
        <f>IF(AND($A651&lt;&gt;"",$E651&gt;0),isLaptopBag($C651,$J651)*$D651,"")</f>
        <v/>
      </c>
      <c r="Z651" s="70" t="str">
        <f t="shared" si="215"/>
        <v/>
      </c>
      <c r="AA651" s="70" t="str">
        <f t="shared" si="216"/>
        <v/>
      </c>
      <c r="AB651" s="70" t="str">
        <f t="shared" si="217"/>
        <v/>
      </c>
      <c r="AC651" s="70" t="str">
        <f t="shared" si="218"/>
        <v/>
      </c>
      <c r="AD651" s="70" t="str">
        <f t="shared" si="219"/>
        <v/>
      </c>
      <c r="AE651" s="70" t="str">
        <f t="shared" si="220"/>
        <v/>
      </c>
      <c r="AF651" s="16"/>
      <c r="AG651" s="23"/>
      <c r="AH651" s="22"/>
      <c r="AJ651" s="83">
        <f t="shared" si="221"/>
        <v>0</v>
      </c>
      <c r="AO651" s="22" t="str">
        <f t="shared" si="222"/>
        <v/>
      </c>
      <c r="AP651" s="22" t="str">
        <f t="shared" si="223"/>
        <v/>
      </c>
    </row>
    <row r="652" spans="1:42" x14ac:dyDescent="0.25">
      <c r="A652" s="10"/>
      <c r="B652" s="10"/>
      <c r="C652" s="10"/>
      <c r="D652" s="10"/>
      <c r="E652" s="10"/>
      <c r="F652" s="10"/>
      <c r="G652" s="10"/>
      <c r="H652" s="17"/>
      <c r="I652" s="10"/>
      <c r="J652" s="10"/>
      <c r="K652" s="16" t="str">
        <f t="shared" si="202"/>
        <v/>
      </c>
      <c r="L652" s="23" t="str">
        <f t="shared" si="203"/>
        <v/>
      </c>
      <c r="M652" s="22" t="str">
        <f t="shared" si="204"/>
        <v/>
      </c>
      <c r="N652" s="72"/>
      <c r="O652" s="16" t="str">
        <f t="shared" si="205"/>
        <v/>
      </c>
      <c r="P652" s="16" t="str">
        <f t="shared" si="206"/>
        <v/>
      </c>
      <c r="Q652" s="16" t="str">
        <f t="shared" si="207"/>
        <v/>
      </c>
      <c r="R652" s="23" t="str">
        <f t="shared" si="208"/>
        <v/>
      </c>
      <c r="S652" s="23" t="str">
        <f t="shared" si="209"/>
        <v/>
      </c>
      <c r="T652" s="23" t="str">
        <f t="shared" si="210"/>
        <v/>
      </c>
      <c r="U652" s="23" t="str">
        <f t="shared" si="211"/>
        <v/>
      </c>
      <c r="V652" s="23" t="str">
        <f t="shared" si="212"/>
        <v/>
      </c>
      <c r="W652" s="70" t="str">
        <f t="shared" si="213"/>
        <v/>
      </c>
      <c r="X652" s="70" t="str">
        <f t="shared" si="214"/>
        <v/>
      </c>
      <c r="Y652" s="70" t="str">
        <f>IF(AND($A652&lt;&gt;"",$E652&gt;0),isLaptopBag($C652,$J652)*$D652,"")</f>
        <v/>
      </c>
      <c r="Z652" s="70" t="str">
        <f t="shared" si="215"/>
        <v/>
      </c>
      <c r="AA652" s="70" t="str">
        <f t="shared" si="216"/>
        <v/>
      </c>
      <c r="AB652" s="70" t="str">
        <f t="shared" si="217"/>
        <v/>
      </c>
      <c r="AC652" s="70" t="str">
        <f t="shared" si="218"/>
        <v/>
      </c>
      <c r="AD652" s="70" t="str">
        <f t="shared" si="219"/>
        <v/>
      </c>
      <c r="AE652" s="70" t="str">
        <f t="shared" si="220"/>
        <v/>
      </c>
      <c r="AF652" s="16"/>
      <c r="AG652" s="23"/>
      <c r="AH652" s="22"/>
      <c r="AJ652" s="83">
        <f t="shared" si="221"/>
        <v>0</v>
      </c>
      <c r="AO652" s="22" t="str">
        <f t="shared" si="222"/>
        <v/>
      </c>
      <c r="AP652" s="22" t="str">
        <f t="shared" si="223"/>
        <v/>
      </c>
    </row>
    <row r="653" spans="1:42" x14ac:dyDescent="0.25">
      <c r="A653" s="10"/>
      <c r="B653" s="10"/>
      <c r="C653" s="10"/>
      <c r="D653" s="10"/>
      <c r="E653" s="10"/>
      <c r="F653" s="10"/>
      <c r="G653" s="10"/>
      <c r="H653" s="17"/>
      <c r="I653" s="10"/>
      <c r="J653" s="10"/>
      <c r="K653" s="16" t="str">
        <f t="shared" ref="K653:K716" si="224">IF($AF653&lt;&gt;"",$AF653,IF(AND($A653&lt;&gt;"",$E653&gt;0),SUM($O653:$Q653),""))</f>
        <v/>
      </c>
      <c r="L653" s="23" t="str">
        <f t="shared" ref="L653:L716" si="225">IF($AG653&lt;&gt;"",$AG653,IF(AND($A653&lt;&gt;"",$E653&gt;0),SUM($R653:$V653),""))</f>
        <v/>
      </c>
      <c r="M653" s="22" t="str">
        <f t="shared" ref="M653:M716" si="226">IF($AH653&lt;&gt;"",$AH653,IF(AND($A653&lt;&gt;"",$E653&gt;0),SUM($W653:$AE653)+$AO653+$AP653,""))</f>
        <v/>
      </c>
      <c r="N653" s="72"/>
      <c r="O653" s="16" t="str">
        <f t="shared" ref="O653:O716" si="227">IF(AND($A653&lt;&gt;"",$E653&gt;0),IF(AND($J653="SONY",200000&lt;=$E653,$E653&lt;1000000),5000*$D653,0),"")</f>
        <v/>
      </c>
      <c r="P653" s="16" t="str">
        <f t="shared" ref="P653:P716" si="228">IF(AND($A653&lt;&gt;"",$E653&gt;0),IF(AND($J653="SONY",1000000&lt;=$E653,$E653&lt;2000000),10000*$D653,0),"")</f>
        <v/>
      </c>
      <c r="Q653" s="16" t="str">
        <f t="shared" ref="Q653:Q716" si="229">IF(AND($A653&lt;&gt;"",$E653&gt;0),IF(AND($J653="SONY",$E653&gt;=2000000),20000*$D653,0),"")</f>
        <v/>
      </c>
      <c r="R653" s="23" t="str">
        <f t="shared" ref="R653:R716" si="230">IF(AND($A653&lt;&gt;"",$E653&gt;0),IF(AND($J653&lt;&gt;"SONY",100000&lt;=$E653,$E653&lt;200000),5000*$D653,0),"")</f>
        <v/>
      </c>
      <c r="S653" s="23" t="str">
        <f t="shared" ref="S653:S716" si="231">IF(AND($A653&lt;&gt;"",$E653&gt;0),IF(AND($J653&lt;&gt;"SONY",200000&lt;=$E653,$E653&lt;500000),10000*$D653,0),"")</f>
        <v/>
      </c>
      <c r="T653" s="23" t="str">
        <f t="shared" ref="T653:T716" si="232">IF(AND($A653&lt;&gt;"",$E653&gt;0),IF(AND($J653&lt;&gt;"SONY",500000&lt;=$E653,$E653&lt;1000000),20000*$D653,0),"")</f>
        <v/>
      </c>
      <c r="U653" s="23" t="str">
        <f t="shared" ref="U653:U716" si="233">IF(AND($A653&lt;&gt;"",$E653&gt;0),IF(AND($J653&lt;&gt;"SONY",1000000&lt;=$E653,$E653&lt;1500000),50000*$D653,0),"")</f>
        <v/>
      </c>
      <c r="V653" s="23" t="str">
        <f t="shared" ref="V653:V716" si="234">IF(AND($A653&lt;&gt;"",$E653&gt;0),IF(AND($J653&lt;&gt;"SONY",1500000&lt;=$E653),100000*$D653,0),"")</f>
        <v/>
      </c>
      <c r="W653" s="70" t="str">
        <f t="shared" ref="W653:W716" si="235">IF(AND($E653&gt;0,$J653="ELECOM",$E653&gt;=500000,ISNUMBER(SEARCH("tai nghe",$C653))),20000*$D653,IF($A653&lt;&gt;"",0,""))</f>
        <v/>
      </c>
      <c r="X653" s="70" t="str">
        <f t="shared" ref="X653:X716" si="236">IF(AND($E653&gt;0,$J653="ELECOM",ISNUMBER(SEARCH("loa",$C653))),20000*$D653,IF($A653&lt;&gt;"",0,""))</f>
        <v/>
      </c>
      <c r="Y653" s="70" t="str">
        <f>IF(AND($A653&lt;&gt;"",$E653&gt;0),isLaptopBag($C653,$J653)*$D653,"")</f>
        <v/>
      </c>
      <c r="Z653" s="70" t="str">
        <f t="shared" ref="Z653:Z716" si="237">IF(AND($E653&gt;0,$J653="ELECOM",ISNUMBER(SEARCH("ốp",$C653))),20000*$D653,IF($A653&lt;&gt;"",0,""))</f>
        <v/>
      </c>
      <c r="AA653" s="70" t="str">
        <f t="shared" ref="AA653:AA716" si="238">IF(AND($E653&gt;0,$J653="ELECOM",ISNUMBER(SEARCH("Bút",$C653))),20000*$D653,IF($A653&lt;&gt;"",0,""))</f>
        <v/>
      </c>
      <c r="AB653" s="70" t="str">
        <f t="shared" ref="AB653:AB716" si="239">IF(AND($E653&gt;0,$J653="ELECOM",ISNUMBER(SEARCH("Chuột bi",$C653))),20000*$D653,IF($A653&lt;&gt;"",0,""))</f>
        <v/>
      </c>
      <c r="AC653" s="70" t="str">
        <f t="shared" ref="AC653:AC716" si="240">IF(AND($E653&gt;0,$J653="ELECOM",ISNUMBER(SEARCH("Chuột trackball",$C653))),20000*$D653,IF($A653&lt;&gt;"",0,""))</f>
        <v/>
      </c>
      <c r="AD653" s="70" t="str">
        <f t="shared" ref="AD653:AD716" si="241">IF(AND($E653&gt;0,$J653="ELECOM",ISNUMBER(SEARCH("Sạc không dây",$C653))),20000*$D653,IF($A653&lt;&gt;"",0,""))</f>
        <v/>
      </c>
      <c r="AE653" s="70" t="str">
        <f t="shared" ref="AE653:AE716" si="242">IF(AND($E653&gt;0,$J653="ELECOM",ISNUMBER(SEARCH("Sạc kd",$C653))),20000*$D653,IF($A653&lt;&gt;"",0,""))</f>
        <v/>
      </c>
      <c r="AF653" s="16"/>
      <c r="AG653" s="23"/>
      <c r="AH653" s="22"/>
      <c r="AJ653" s="83">
        <f t="shared" ref="AJ653:AJ716" si="243">DAY(H653)</f>
        <v>0</v>
      </c>
      <c r="AO653" s="22" t="str">
        <f t="shared" ref="AO653:AO716" si="244">IF(AND($E653&gt;0,ISNUMBER(SEARCH("Sạc dự phòng Energizer",$C653))),10000*$D653,IF($A653&lt;&gt;"",0,""))</f>
        <v/>
      </c>
      <c r="AP653" s="22" t="str">
        <f t="shared" ref="AP653:AP716" si="245">IF(AND($E653&gt;0,ISNUMBER(SEARCH("SDP Energizer",$C653))),10000*$D653,IF($A653&lt;&gt;"",0,""))</f>
        <v/>
      </c>
    </row>
    <row r="654" spans="1:42" x14ac:dyDescent="0.25">
      <c r="A654" s="10"/>
      <c r="B654" s="10"/>
      <c r="C654" s="10"/>
      <c r="D654" s="10"/>
      <c r="E654" s="10"/>
      <c r="F654" s="10"/>
      <c r="G654" s="10"/>
      <c r="H654" s="17"/>
      <c r="I654" s="10"/>
      <c r="J654" s="10"/>
      <c r="K654" s="16" t="str">
        <f t="shared" si="224"/>
        <v/>
      </c>
      <c r="L654" s="23" t="str">
        <f t="shared" si="225"/>
        <v/>
      </c>
      <c r="M654" s="22" t="str">
        <f t="shared" si="226"/>
        <v/>
      </c>
      <c r="N654" s="72"/>
      <c r="O654" s="16" t="str">
        <f t="shared" si="227"/>
        <v/>
      </c>
      <c r="P654" s="16" t="str">
        <f t="shared" si="228"/>
        <v/>
      </c>
      <c r="Q654" s="16" t="str">
        <f t="shared" si="229"/>
        <v/>
      </c>
      <c r="R654" s="23" t="str">
        <f t="shared" si="230"/>
        <v/>
      </c>
      <c r="S654" s="23" t="str">
        <f t="shared" si="231"/>
        <v/>
      </c>
      <c r="T654" s="23" t="str">
        <f t="shared" si="232"/>
        <v/>
      </c>
      <c r="U654" s="23" t="str">
        <f t="shared" si="233"/>
        <v/>
      </c>
      <c r="V654" s="23" t="str">
        <f t="shared" si="234"/>
        <v/>
      </c>
      <c r="W654" s="70" t="str">
        <f t="shared" si="235"/>
        <v/>
      </c>
      <c r="X654" s="70" t="str">
        <f t="shared" si="236"/>
        <v/>
      </c>
      <c r="Y654" s="70" t="str">
        <f>IF(AND($A654&lt;&gt;"",$E654&gt;0),isLaptopBag($C654,$J654)*$D654,"")</f>
        <v/>
      </c>
      <c r="Z654" s="70" t="str">
        <f t="shared" si="237"/>
        <v/>
      </c>
      <c r="AA654" s="70" t="str">
        <f t="shared" si="238"/>
        <v/>
      </c>
      <c r="AB654" s="70" t="str">
        <f t="shared" si="239"/>
        <v/>
      </c>
      <c r="AC654" s="70" t="str">
        <f t="shared" si="240"/>
        <v/>
      </c>
      <c r="AD654" s="70" t="str">
        <f t="shared" si="241"/>
        <v/>
      </c>
      <c r="AE654" s="70" t="str">
        <f t="shared" si="242"/>
        <v/>
      </c>
      <c r="AF654" s="16"/>
      <c r="AG654" s="23"/>
      <c r="AH654" s="22"/>
      <c r="AJ654" s="83">
        <f t="shared" si="243"/>
        <v>0</v>
      </c>
      <c r="AO654" s="22" t="str">
        <f t="shared" si="244"/>
        <v/>
      </c>
      <c r="AP654" s="22" t="str">
        <f t="shared" si="245"/>
        <v/>
      </c>
    </row>
    <row r="655" spans="1:42" x14ac:dyDescent="0.25">
      <c r="A655" s="10"/>
      <c r="B655" s="10"/>
      <c r="C655" s="10"/>
      <c r="D655" s="10"/>
      <c r="E655" s="10"/>
      <c r="F655" s="10"/>
      <c r="G655" s="10"/>
      <c r="H655" s="17"/>
      <c r="I655" s="10"/>
      <c r="J655" s="10"/>
      <c r="K655" s="16" t="str">
        <f t="shared" si="224"/>
        <v/>
      </c>
      <c r="L655" s="23" t="str">
        <f t="shared" si="225"/>
        <v/>
      </c>
      <c r="M655" s="22" t="str">
        <f t="shared" si="226"/>
        <v/>
      </c>
      <c r="N655" s="72"/>
      <c r="O655" s="16" t="str">
        <f t="shared" si="227"/>
        <v/>
      </c>
      <c r="P655" s="16" t="str">
        <f t="shared" si="228"/>
        <v/>
      </c>
      <c r="Q655" s="16" t="str">
        <f t="shared" si="229"/>
        <v/>
      </c>
      <c r="R655" s="23" t="str">
        <f t="shared" si="230"/>
        <v/>
      </c>
      <c r="S655" s="23" t="str">
        <f t="shared" si="231"/>
        <v/>
      </c>
      <c r="T655" s="23" t="str">
        <f t="shared" si="232"/>
        <v/>
      </c>
      <c r="U655" s="23" t="str">
        <f t="shared" si="233"/>
        <v/>
      </c>
      <c r="V655" s="23" t="str">
        <f t="shared" si="234"/>
        <v/>
      </c>
      <c r="W655" s="70" t="str">
        <f t="shared" si="235"/>
        <v/>
      </c>
      <c r="X655" s="70" t="str">
        <f t="shared" si="236"/>
        <v/>
      </c>
      <c r="Y655" s="70" t="str">
        <f>IF(AND($A655&lt;&gt;"",$E655&gt;0),isLaptopBag($C655,$J655)*$D655,"")</f>
        <v/>
      </c>
      <c r="Z655" s="70" t="str">
        <f t="shared" si="237"/>
        <v/>
      </c>
      <c r="AA655" s="70" t="str">
        <f t="shared" si="238"/>
        <v/>
      </c>
      <c r="AB655" s="70" t="str">
        <f t="shared" si="239"/>
        <v/>
      </c>
      <c r="AC655" s="70" t="str">
        <f t="shared" si="240"/>
        <v/>
      </c>
      <c r="AD655" s="70" t="str">
        <f t="shared" si="241"/>
        <v/>
      </c>
      <c r="AE655" s="70" t="str">
        <f t="shared" si="242"/>
        <v/>
      </c>
      <c r="AF655" s="16"/>
      <c r="AG655" s="23"/>
      <c r="AH655" s="22"/>
      <c r="AJ655" s="83">
        <f t="shared" si="243"/>
        <v>0</v>
      </c>
      <c r="AO655" s="22" t="str">
        <f t="shared" si="244"/>
        <v/>
      </c>
      <c r="AP655" s="22" t="str">
        <f t="shared" si="245"/>
        <v/>
      </c>
    </row>
    <row r="656" spans="1:42" x14ac:dyDescent="0.25">
      <c r="A656" s="10"/>
      <c r="B656" s="10"/>
      <c r="C656" s="10"/>
      <c r="D656" s="10"/>
      <c r="E656" s="10"/>
      <c r="F656" s="10"/>
      <c r="G656" s="10"/>
      <c r="H656" s="17"/>
      <c r="I656" s="10"/>
      <c r="J656" s="10"/>
      <c r="K656" s="16" t="str">
        <f t="shared" si="224"/>
        <v/>
      </c>
      <c r="L656" s="23" t="str">
        <f t="shared" si="225"/>
        <v/>
      </c>
      <c r="M656" s="22" t="str">
        <f t="shared" si="226"/>
        <v/>
      </c>
      <c r="N656" s="72"/>
      <c r="O656" s="16" t="str">
        <f t="shared" si="227"/>
        <v/>
      </c>
      <c r="P656" s="16" t="str">
        <f t="shared" si="228"/>
        <v/>
      </c>
      <c r="Q656" s="16" t="str">
        <f t="shared" si="229"/>
        <v/>
      </c>
      <c r="R656" s="23" t="str">
        <f t="shared" si="230"/>
        <v/>
      </c>
      <c r="S656" s="23" t="str">
        <f t="shared" si="231"/>
        <v/>
      </c>
      <c r="T656" s="23" t="str">
        <f t="shared" si="232"/>
        <v/>
      </c>
      <c r="U656" s="23" t="str">
        <f t="shared" si="233"/>
        <v/>
      </c>
      <c r="V656" s="23" t="str">
        <f t="shared" si="234"/>
        <v/>
      </c>
      <c r="W656" s="70" t="str">
        <f t="shared" si="235"/>
        <v/>
      </c>
      <c r="X656" s="70" t="str">
        <f t="shared" si="236"/>
        <v/>
      </c>
      <c r="Y656" s="70" t="str">
        <f>IF(AND($A656&lt;&gt;"",$E656&gt;0),isLaptopBag($C656,$J656)*$D656,"")</f>
        <v/>
      </c>
      <c r="Z656" s="70" t="str">
        <f t="shared" si="237"/>
        <v/>
      </c>
      <c r="AA656" s="70" t="str">
        <f t="shared" si="238"/>
        <v/>
      </c>
      <c r="AB656" s="70" t="str">
        <f t="shared" si="239"/>
        <v/>
      </c>
      <c r="AC656" s="70" t="str">
        <f t="shared" si="240"/>
        <v/>
      </c>
      <c r="AD656" s="70" t="str">
        <f t="shared" si="241"/>
        <v/>
      </c>
      <c r="AE656" s="70" t="str">
        <f t="shared" si="242"/>
        <v/>
      </c>
      <c r="AF656" s="16"/>
      <c r="AG656" s="23"/>
      <c r="AH656" s="22"/>
      <c r="AJ656" s="83">
        <f t="shared" si="243"/>
        <v>0</v>
      </c>
      <c r="AO656" s="22" t="str">
        <f t="shared" si="244"/>
        <v/>
      </c>
      <c r="AP656" s="22" t="str">
        <f t="shared" si="245"/>
        <v/>
      </c>
    </row>
    <row r="657" spans="1:42" x14ac:dyDescent="0.25">
      <c r="A657" s="10"/>
      <c r="B657" s="10"/>
      <c r="C657" s="10"/>
      <c r="D657" s="10"/>
      <c r="E657" s="10"/>
      <c r="F657" s="10"/>
      <c r="G657" s="10"/>
      <c r="H657" s="17"/>
      <c r="I657" s="10"/>
      <c r="J657" s="10"/>
      <c r="K657" s="16" t="str">
        <f t="shared" si="224"/>
        <v/>
      </c>
      <c r="L657" s="23" t="str">
        <f t="shared" si="225"/>
        <v/>
      </c>
      <c r="M657" s="22" t="str">
        <f t="shared" si="226"/>
        <v/>
      </c>
      <c r="N657" s="72"/>
      <c r="O657" s="16" t="str">
        <f t="shared" si="227"/>
        <v/>
      </c>
      <c r="P657" s="16" t="str">
        <f t="shared" si="228"/>
        <v/>
      </c>
      <c r="Q657" s="16" t="str">
        <f t="shared" si="229"/>
        <v/>
      </c>
      <c r="R657" s="23" t="str">
        <f t="shared" si="230"/>
        <v/>
      </c>
      <c r="S657" s="23" t="str">
        <f t="shared" si="231"/>
        <v/>
      </c>
      <c r="T657" s="23" t="str">
        <f t="shared" si="232"/>
        <v/>
      </c>
      <c r="U657" s="23" t="str">
        <f t="shared" si="233"/>
        <v/>
      </c>
      <c r="V657" s="23" t="str">
        <f t="shared" si="234"/>
        <v/>
      </c>
      <c r="W657" s="70" t="str">
        <f t="shared" si="235"/>
        <v/>
      </c>
      <c r="X657" s="70" t="str">
        <f t="shared" si="236"/>
        <v/>
      </c>
      <c r="Y657" s="70" t="str">
        <f>IF(AND($A657&lt;&gt;"",$E657&gt;0),isLaptopBag($C657,$J657)*$D657,"")</f>
        <v/>
      </c>
      <c r="Z657" s="70" t="str">
        <f t="shared" si="237"/>
        <v/>
      </c>
      <c r="AA657" s="70" t="str">
        <f t="shared" si="238"/>
        <v/>
      </c>
      <c r="AB657" s="70" t="str">
        <f t="shared" si="239"/>
        <v/>
      </c>
      <c r="AC657" s="70" t="str">
        <f t="shared" si="240"/>
        <v/>
      </c>
      <c r="AD657" s="70" t="str">
        <f t="shared" si="241"/>
        <v/>
      </c>
      <c r="AE657" s="70" t="str">
        <f t="shared" si="242"/>
        <v/>
      </c>
      <c r="AF657" s="16"/>
      <c r="AG657" s="23"/>
      <c r="AH657" s="22"/>
      <c r="AJ657" s="83">
        <f t="shared" si="243"/>
        <v>0</v>
      </c>
      <c r="AO657" s="22" t="str">
        <f t="shared" si="244"/>
        <v/>
      </c>
      <c r="AP657" s="22" t="str">
        <f t="shared" si="245"/>
        <v/>
      </c>
    </row>
    <row r="658" spans="1:42" x14ac:dyDescent="0.25">
      <c r="A658" s="10"/>
      <c r="B658" s="10"/>
      <c r="C658" s="10"/>
      <c r="D658" s="10"/>
      <c r="E658" s="10"/>
      <c r="F658" s="10"/>
      <c r="G658" s="10"/>
      <c r="H658" s="17"/>
      <c r="I658" s="10"/>
      <c r="J658" s="10"/>
      <c r="K658" s="16" t="str">
        <f t="shared" si="224"/>
        <v/>
      </c>
      <c r="L658" s="23" t="str">
        <f t="shared" si="225"/>
        <v/>
      </c>
      <c r="M658" s="22" t="str">
        <f t="shared" si="226"/>
        <v/>
      </c>
      <c r="N658" s="72"/>
      <c r="O658" s="16" t="str">
        <f t="shared" si="227"/>
        <v/>
      </c>
      <c r="P658" s="16" t="str">
        <f t="shared" si="228"/>
        <v/>
      </c>
      <c r="Q658" s="16" t="str">
        <f t="shared" si="229"/>
        <v/>
      </c>
      <c r="R658" s="23" t="str">
        <f t="shared" si="230"/>
        <v/>
      </c>
      <c r="S658" s="23" t="str">
        <f t="shared" si="231"/>
        <v/>
      </c>
      <c r="T658" s="23" t="str">
        <f t="shared" si="232"/>
        <v/>
      </c>
      <c r="U658" s="23" t="str">
        <f t="shared" si="233"/>
        <v/>
      </c>
      <c r="V658" s="23" t="str">
        <f t="shared" si="234"/>
        <v/>
      </c>
      <c r="W658" s="70" t="str">
        <f t="shared" si="235"/>
        <v/>
      </c>
      <c r="X658" s="70" t="str">
        <f t="shared" si="236"/>
        <v/>
      </c>
      <c r="Y658" s="70" t="str">
        <f>IF(AND($A658&lt;&gt;"",$E658&gt;0),isLaptopBag($C658,$J658)*$D658,"")</f>
        <v/>
      </c>
      <c r="Z658" s="70" t="str">
        <f t="shared" si="237"/>
        <v/>
      </c>
      <c r="AA658" s="70" t="str">
        <f t="shared" si="238"/>
        <v/>
      </c>
      <c r="AB658" s="70" t="str">
        <f t="shared" si="239"/>
        <v/>
      </c>
      <c r="AC658" s="70" t="str">
        <f t="shared" si="240"/>
        <v/>
      </c>
      <c r="AD658" s="70" t="str">
        <f t="shared" si="241"/>
        <v/>
      </c>
      <c r="AE658" s="70" t="str">
        <f t="shared" si="242"/>
        <v/>
      </c>
      <c r="AF658" s="16"/>
      <c r="AG658" s="23"/>
      <c r="AH658" s="22"/>
      <c r="AJ658" s="83">
        <f t="shared" si="243"/>
        <v>0</v>
      </c>
      <c r="AO658" s="22" t="str">
        <f t="shared" si="244"/>
        <v/>
      </c>
      <c r="AP658" s="22" t="str">
        <f t="shared" si="245"/>
        <v/>
      </c>
    </row>
    <row r="659" spans="1:42" x14ac:dyDescent="0.25">
      <c r="A659" s="10"/>
      <c r="B659" s="10"/>
      <c r="C659" s="10"/>
      <c r="D659" s="10"/>
      <c r="E659" s="10"/>
      <c r="F659" s="10"/>
      <c r="G659" s="10"/>
      <c r="H659" s="17"/>
      <c r="I659" s="10"/>
      <c r="J659" s="10"/>
      <c r="K659" s="16" t="str">
        <f t="shared" si="224"/>
        <v/>
      </c>
      <c r="L659" s="23" t="str">
        <f t="shared" si="225"/>
        <v/>
      </c>
      <c r="M659" s="22" t="str">
        <f t="shared" si="226"/>
        <v/>
      </c>
      <c r="N659" s="72"/>
      <c r="O659" s="16" t="str">
        <f t="shared" si="227"/>
        <v/>
      </c>
      <c r="P659" s="16" t="str">
        <f t="shared" si="228"/>
        <v/>
      </c>
      <c r="Q659" s="16" t="str">
        <f t="shared" si="229"/>
        <v/>
      </c>
      <c r="R659" s="23" t="str">
        <f t="shared" si="230"/>
        <v/>
      </c>
      <c r="S659" s="23" t="str">
        <f t="shared" si="231"/>
        <v/>
      </c>
      <c r="T659" s="23" t="str">
        <f t="shared" si="232"/>
        <v/>
      </c>
      <c r="U659" s="23" t="str">
        <f t="shared" si="233"/>
        <v/>
      </c>
      <c r="V659" s="23" t="str">
        <f t="shared" si="234"/>
        <v/>
      </c>
      <c r="W659" s="70" t="str">
        <f t="shared" si="235"/>
        <v/>
      </c>
      <c r="X659" s="70" t="str">
        <f t="shared" si="236"/>
        <v/>
      </c>
      <c r="Y659" s="70" t="str">
        <f>IF(AND($A659&lt;&gt;"",$E659&gt;0),isLaptopBag($C659,$J659)*$D659,"")</f>
        <v/>
      </c>
      <c r="Z659" s="70" t="str">
        <f t="shared" si="237"/>
        <v/>
      </c>
      <c r="AA659" s="70" t="str">
        <f t="shared" si="238"/>
        <v/>
      </c>
      <c r="AB659" s="70" t="str">
        <f t="shared" si="239"/>
        <v/>
      </c>
      <c r="AC659" s="70" t="str">
        <f t="shared" si="240"/>
        <v/>
      </c>
      <c r="AD659" s="70" t="str">
        <f t="shared" si="241"/>
        <v/>
      </c>
      <c r="AE659" s="70" t="str">
        <f t="shared" si="242"/>
        <v/>
      </c>
      <c r="AF659" s="16"/>
      <c r="AG659" s="23"/>
      <c r="AH659" s="22"/>
      <c r="AJ659" s="83">
        <f t="shared" si="243"/>
        <v>0</v>
      </c>
      <c r="AO659" s="22" t="str">
        <f t="shared" si="244"/>
        <v/>
      </c>
      <c r="AP659" s="22" t="str">
        <f t="shared" si="245"/>
        <v/>
      </c>
    </row>
    <row r="660" spans="1:42" x14ac:dyDescent="0.25">
      <c r="A660" s="10"/>
      <c r="B660" s="10"/>
      <c r="C660" s="10"/>
      <c r="D660" s="10"/>
      <c r="E660" s="10"/>
      <c r="F660" s="10"/>
      <c r="G660" s="10"/>
      <c r="H660" s="17"/>
      <c r="I660" s="10"/>
      <c r="J660" s="10"/>
      <c r="K660" s="16" t="str">
        <f t="shared" si="224"/>
        <v/>
      </c>
      <c r="L660" s="23" t="str">
        <f t="shared" si="225"/>
        <v/>
      </c>
      <c r="M660" s="22" t="str">
        <f t="shared" si="226"/>
        <v/>
      </c>
      <c r="N660" s="72"/>
      <c r="O660" s="16" t="str">
        <f t="shared" si="227"/>
        <v/>
      </c>
      <c r="P660" s="16" t="str">
        <f t="shared" si="228"/>
        <v/>
      </c>
      <c r="Q660" s="16" t="str">
        <f t="shared" si="229"/>
        <v/>
      </c>
      <c r="R660" s="23" t="str">
        <f t="shared" si="230"/>
        <v/>
      </c>
      <c r="S660" s="23" t="str">
        <f t="shared" si="231"/>
        <v/>
      </c>
      <c r="T660" s="23" t="str">
        <f t="shared" si="232"/>
        <v/>
      </c>
      <c r="U660" s="23" t="str">
        <f t="shared" si="233"/>
        <v/>
      </c>
      <c r="V660" s="23" t="str">
        <f t="shared" si="234"/>
        <v/>
      </c>
      <c r="W660" s="70" t="str">
        <f t="shared" si="235"/>
        <v/>
      </c>
      <c r="X660" s="70" t="str">
        <f t="shared" si="236"/>
        <v/>
      </c>
      <c r="Y660" s="70" t="str">
        <f>IF(AND($A660&lt;&gt;"",$E660&gt;0),isLaptopBag($C660,$J660)*$D660,"")</f>
        <v/>
      </c>
      <c r="Z660" s="70" t="str">
        <f t="shared" si="237"/>
        <v/>
      </c>
      <c r="AA660" s="70" t="str">
        <f t="shared" si="238"/>
        <v/>
      </c>
      <c r="AB660" s="70" t="str">
        <f t="shared" si="239"/>
        <v/>
      </c>
      <c r="AC660" s="70" t="str">
        <f t="shared" si="240"/>
        <v/>
      </c>
      <c r="AD660" s="70" t="str">
        <f t="shared" si="241"/>
        <v/>
      </c>
      <c r="AE660" s="70" t="str">
        <f t="shared" si="242"/>
        <v/>
      </c>
      <c r="AF660" s="16"/>
      <c r="AG660" s="23"/>
      <c r="AH660" s="22"/>
      <c r="AJ660" s="83">
        <f t="shared" si="243"/>
        <v>0</v>
      </c>
      <c r="AO660" s="22" t="str">
        <f t="shared" si="244"/>
        <v/>
      </c>
      <c r="AP660" s="22" t="str">
        <f t="shared" si="245"/>
        <v/>
      </c>
    </row>
    <row r="661" spans="1:42" x14ac:dyDescent="0.25">
      <c r="A661" s="10"/>
      <c r="B661" s="10"/>
      <c r="C661" s="10"/>
      <c r="D661" s="10"/>
      <c r="E661" s="10"/>
      <c r="F661" s="10"/>
      <c r="G661" s="10"/>
      <c r="H661" s="17"/>
      <c r="I661" s="10"/>
      <c r="J661" s="10"/>
      <c r="K661" s="16" t="str">
        <f t="shared" si="224"/>
        <v/>
      </c>
      <c r="L661" s="23" t="str">
        <f t="shared" si="225"/>
        <v/>
      </c>
      <c r="M661" s="22" t="str">
        <f t="shared" si="226"/>
        <v/>
      </c>
      <c r="N661" s="72"/>
      <c r="O661" s="16" t="str">
        <f t="shared" si="227"/>
        <v/>
      </c>
      <c r="P661" s="16" t="str">
        <f t="shared" si="228"/>
        <v/>
      </c>
      <c r="Q661" s="16" t="str">
        <f t="shared" si="229"/>
        <v/>
      </c>
      <c r="R661" s="23" t="str">
        <f t="shared" si="230"/>
        <v/>
      </c>
      <c r="S661" s="23" t="str">
        <f t="shared" si="231"/>
        <v/>
      </c>
      <c r="T661" s="23" t="str">
        <f t="shared" si="232"/>
        <v/>
      </c>
      <c r="U661" s="23" t="str">
        <f t="shared" si="233"/>
        <v/>
      </c>
      <c r="V661" s="23" t="str">
        <f t="shared" si="234"/>
        <v/>
      </c>
      <c r="W661" s="70" t="str">
        <f t="shared" si="235"/>
        <v/>
      </c>
      <c r="X661" s="70" t="str">
        <f t="shared" si="236"/>
        <v/>
      </c>
      <c r="Y661" s="70" t="str">
        <f>IF(AND($A661&lt;&gt;"",$E661&gt;0),isLaptopBag($C661,$J661)*$D661,"")</f>
        <v/>
      </c>
      <c r="Z661" s="70" t="str">
        <f t="shared" si="237"/>
        <v/>
      </c>
      <c r="AA661" s="70" t="str">
        <f t="shared" si="238"/>
        <v/>
      </c>
      <c r="AB661" s="70" t="str">
        <f t="shared" si="239"/>
        <v/>
      </c>
      <c r="AC661" s="70" t="str">
        <f t="shared" si="240"/>
        <v/>
      </c>
      <c r="AD661" s="70" t="str">
        <f t="shared" si="241"/>
        <v/>
      </c>
      <c r="AE661" s="70" t="str">
        <f t="shared" si="242"/>
        <v/>
      </c>
      <c r="AF661" s="16"/>
      <c r="AG661" s="23"/>
      <c r="AH661" s="22"/>
      <c r="AJ661" s="83">
        <f t="shared" si="243"/>
        <v>0</v>
      </c>
      <c r="AO661" s="22" t="str">
        <f t="shared" si="244"/>
        <v/>
      </c>
      <c r="AP661" s="22" t="str">
        <f t="shared" si="245"/>
        <v/>
      </c>
    </row>
    <row r="662" spans="1:42" x14ac:dyDescent="0.25">
      <c r="A662" s="10"/>
      <c r="B662" s="10"/>
      <c r="C662" s="10"/>
      <c r="D662" s="10"/>
      <c r="E662" s="10"/>
      <c r="F662" s="10"/>
      <c r="G662" s="10"/>
      <c r="H662" s="17"/>
      <c r="I662" s="10"/>
      <c r="J662" s="10"/>
      <c r="K662" s="16" t="str">
        <f t="shared" si="224"/>
        <v/>
      </c>
      <c r="L662" s="23" t="str">
        <f t="shared" si="225"/>
        <v/>
      </c>
      <c r="M662" s="22" t="str">
        <f t="shared" si="226"/>
        <v/>
      </c>
      <c r="N662" s="72"/>
      <c r="O662" s="16" t="str">
        <f t="shared" si="227"/>
        <v/>
      </c>
      <c r="P662" s="16" t="str">
        <f t="shared" si="228"/>
        <v/>
      </c>
      <c r="Q662" s="16" t="str">
        <f t="shared" si="229"/>
        <v/>
      </c>
      <c r="R662" s="23" t="str">
        <f t="shared" si="230"/>
        <v/>
      </c>
      <c r="S662" s="23" t="str">
        <f t="shared" si="231"/>
        <v/>
      </c>
      <c r="T662" s="23" t="str">
        <f t="shared" si="232"/>
        <v/>
      </c>
      <c r="U662" s="23" t="str">
        <f t="shared" si="233"/>
        <v/>
      </c>
      <c r="V662" s="23" t="str">
        <f t="shared" si="234"/>
        <v/>
      </c>
      <c r="W662" s="70" t="str">
        <f t="shared" si="235"/>
        <v/>
      </c>
      <c r="X662" s="70" t="str">
        <f t="shared" si="236"/>
        <v/>
      </c>
      <c r="Y662" s="70" t="str">
        <f>IF(AND($A662&lt;&gt;"",$E662&gt;0),isLaptopBag($C662,$J662)*$D662,"")</f>
        <v/>
      </c>
      <c r="Z662" s="70" t="str">
        <f t="shared" si="237"/>
        <v/>
      </c>
      <c r="AA662" s="70" t="str">
        <f t="shared" si="238"/>
        <v/>
      </c>
      <c r="AB662" s="70" t="str">
        <f t="shared" si="239"/>
        <v/>
      </c>
      <c r="AC662" s="70" t="str">
        <f t="shared" si="240"/>
        <v/>
      </c>
      <c r="AD662" s="70" t="str">
        <f t="shared" si="241"/>
        <v/>
      </c>
      <c r="AE662" s="70" t="str">
        <f t="shared" si="242"/>
        <v/>
      </c>
      <c r="AF662" s="16"/>
      <c r="AG662" s="23"/>
      <c r="AH662" s="22"/>
      <c r="AJ662" s="83">
        <f t="shared" si="243"/>
        <v>0</v>
      </c>
      <c r="AO662" s="22" t="str">
        <f t="shared" si="244"/>
        <v/>
      </c>
      <c r="AP662" s="22" t="str">
        <f t="shared" si="245"/>
        <v/>
      </c>
    </row>
    <row r="663" spans="1:42" x14ac:dyDescent="0.25">
      <c r="A663" s="10"/>
      <c r="B663" s="10"/>
      <c r="C663" s="10"/>
      <c r="D663" s="10"/>
      <c r="E663" s="10"/>
      <c r="F663" s="10"/>
      <c r="G663" s="10"/>
      <c r="H663" s="17"/>
      <c r="I663" s="10"/>
      <c r="J663" s="10"/>
      <c r="K663" s="16" t="str">
        <f t="shared" si="224"/>
        <v/>
      </c>
      <c r="L663" s="23" t="str">
        <f t="shared" si="225"/>
        <v/>
      </c>
      <c r="M663" s="22" t="str">
        <f t="shared" si="226"/>
        <v/>
      </c>
      <c r="N663" s="72"/>
      <c r="O663" s="16" t="str">
        <f t="shared" si="227"/>
        <v/>
      </c>
      <c r="P663" s="16" t="str">
        <f t="shared" si="228"/>
        <v/>
      </c>
      <c r="Q663" s="16" t="str">
        <f t="shared" si="229"/>
        <v/>
      </c>
      <c r="R663" s="23" t="str">
        <f t="shared" si="230"/>
        <v/>
      </c>
      <c r="S663" s="23" t="str">
        <f t="shared" si="231"/>
        <v/>
      </c>
      <c r="T663" s="23" t="str">
        <f t="shared" si="232"/>
        <v/>
      </c>
      <c r="U663" s="23" t="str">
        <f t="shared" si="233"/>
        <v/>
      </c>
      <c r="V663" s="23" t="str">
        <f t="shared" si="234"/>
        <v/>
      </c>
      <c r="W663" s="70" t="str">
        <f t="shared" si="235"/>
        <v/>
      </c>
      <c r="X663" s="70" t="str">
        <f t="shared" si="236"/>
        <v/>
      </c>
      <c r="Y663" s="70" t="str">
        <f>IF(AND($A663&lt;&gt;"",$E663&gt;0),isLaptopBag($C663,$J663)*$D663,"")</f>
        <v/>
      </c>
      <c r="Z663" s="70" t="str">
        <f t="shared" si="237"/>
        <v/>
      </c>
      <c r="AA663" s="70" t="str">
        <f t="shared" si="238"/>
        <v/>
      </c>
      <c r="AB663" s="70" t="str">
        <f t="shared" si="239"/>
        <v/>
      </c>
      <c r="AC663" s="70" t="str">
        <f t="shared" si="240"/>
        <v/>
      </c>
      <c r="AD663" s="70" t="str">
        <f t="shared" si="241"/>
        <v/>
      </c>
      <c r="AE663" s="70" t="str">
        <f t="shared" si="242"/>
        <v/>
      </c>
      <c r="AF663" s="16"/>
      <c r="AG663" s="23"/>
      <c r="AH663" s="22"/>
      <c r="AJ663" s="83">
        <f t="shared" si="243"/>
        <v>0</v>
      </c>
      <c r="AO663" s="22" t="str">
        <f t="shared" si="244"/>
        <v/>
      </c>
      <c r="AP663" s="22" t="str">
        <f t="shared" si="245"/>
        <v/>
      </c>
    </row>
    <row r="664" spans="1:42" x14ac:dyDescent="0.25">
      <c r="A664" s="10"/>
      <c r="B664" s="10"/>
      <c r="C664" s="10"/>
      <c r="D664" s="10"/>
      <c r="E664" s="10"/>
      <c r="F664" s="10"/>
      <c r="G664" s="10"/>
      <c r="H664" s="17"/>
      <c r="I664" s="10"/>
      <c r="J664" s="10"/>
      <c r="K664" s="16" t="str">
        <f t="shared" si="224"/>
        <v/>
      </c>
      <c r="L664" s="23" t="str">
        <f t="shared" si="225"/>
        <v/>
      </c>
      <c r="M664" s="22" t="str">
        <f t="shared" si="226"/>
        <v/>
      </c>
      <c r="N664" s="72"/>
      <c r="O664" s="16" t="str">
        <f t="shared" si="227"/>
        <v/>
      </c>
      <c r="P664" s="16" t="str">
        <f t="shared" si="228"/>
        <v/>
      </c>
      <c r="Q664" s="16" t="str">
        <f t="shared" si="229"/>
        <v/>
      </c>
      <c r="R664" s="23" t="str">
        <f t="shared" si="230"/>
        <v/>
      </c>
      <c r="S664" s="23" t="str">
        <f t="shared" si="231"/>
        <v/>
      </c>
      <c r="T664" s="23" t="str">
        <f t="shared" si="232"/>
        <v/>
      </c>
      <c r="U664" s="23" t="str">
        <f t="shared" si="233"/>
        <v/>
      </c>
      <c r="V664" s="23" t="str">
        <f t="shared" si="234"/>
        <v/>
      </c>
      <c r="W664" s="70" t="str">
        <f t="shared" si="235"/>
        <v/>
      </c>
      <c r="X664" s="70" t="str">
        <f t="shared" si="236"/>
        <v/>
      </c>
      <c r="Y664" s="70" t="str">
        <f>IF(AND($A664&lt;&gt;"",$E664&gt;0),isLaptopBag($C664,$J664)*$D664,"")</f>
        <v/>
      </c>
      <c r="Z664" s="70" t="str">
        <f t="shared" si="237"/>
        <v/>
      </c>
      <c r="AA664" s="70" t="str">
        <f t="shared" si="238"/>
        <v/>
      </c>
      <c r="AB664" s="70" t="str">
        <f t="shared" si="239"/>
        <v/>
      </c>
      <c r="AC664" s="70" t="str">
        <f t="shared" si="240"/>
        <v/>
      </c>
      <c r="AD664" s="70" t="str">
        <f t="shared" si="241"/>
        <v/>
      </c>
      <c r="AE664" s="70" t="str">
        <f t="shared" si="242"/>
        <v/>
      </c>
      <c r="AF664" s="16"/>
      <c r="AG664" s="23"/>
      <c r="AH664" s="22"/>
      <c r="AJ664" s="83">
        <f t="shared" si="243"/>
        <v>0</v>
      </c>
      <c r="AO664" s="22" t="str">
        <f t="shared" si="244"/>
        <v/>
      </c>
      <c r="AP664" s="22" t="str">
        <f t="shared" si="245"/>
        <v/>
      </c>
    </row>
    <row r="665" spans="1:42" x14ac:dyDescent="0.25">
      <c r="A665" s="10"/>
      <c r="B665" s="10"/>
      <c r="C665" s="10"/>
      <c r="D665" s="10"/>
      <c r="E665" s="10"/>
      <c r="F665" s="10"/>
      <c r="G665" s="10"/>
      <c r="H665" s="17"/>
      <c r="I665" s="10"/>
      <c r="J665" s="10"/>
      <c r="K665" s="16" t="str">
        <f t="shared" si="224"/>
        <v/>
      </c>
      <c r="L665" s="23" t="str">
        <f t="shared" si="225"/>
        <v/>
      </c>
      <c r="M665" s="22" t="str">
        <f t="shared" si="226"/>
        <v/>
      </c>
      <c r="N665" s="72"/>
      <c r="O665" s="16" t="str">
        <f t="shared" si="227"/>
        <v/>
      </c>
      <c r="P665" s="16" t="str">
        <f t="shared" si="228"/>
        <v/>
      </c>
      <c r="Q665" s="16" t="str">
        <f t="shared" si="229"/>
        <v/>
      </c>
      <c r="R665" s="23" t="str">
        <f t="shared" si="230"/>
        <v/>
      </c>
      <c r="S665" s="23" t="str">
        <f t="shared" si="231"/>
        <v/>
      </c>
      <c r="T665" s="23" t="str">
        <f t="shared" si="232"/>
        <v/>
      </c>
      <c r="U665" s="23" t="str">
        <f t="shared" si="233"/>
        <v/>
      </c>
      <c r="V665" s="23" t="str">
        <f t="shared" si="234"/>
        <v/>
      </c>
      <c r="W665" s="70" t="str">
        <f t="shared" si="235"/>
        <v/>
      </c>
      <c r="X665" s="70" t="str">
        <f t="shared" si="236"/>
        <v/>
      </c>
      <c r="Y665" s="70" t="str">
        <f>IF(AND($A665&lt;&gt;"",$E665&gt;0),isLaptopBag($C665,$J665)*$D665,"")</f>
        <v/>
      </c>
      <c r="Z665" s="70" t="str">
        <f t="shared" si="237"/>
        <v/>
      </c>
      <c r="AA665" s="70" t="str">
        <f t="shared" si="238"/>
        <v/>
      </c>
      <c r="AB665" s="70" t="str">
        <f t="shared" si="239"/>
        <v/>
      </c>
      <c r="AC665" s="70" t="str">
        <f t="shared" si="240"/>
        <v/>
      </c>
      <c r="AD665" s="70" t="str">
        <f t="shared" si="241"/>
        <v/>
      </c>
      <c r="AE665" s="70" t="str">
        <f t="shared" si="242"/>
        <v/>
      </c>
      <c r="AF665" s="16"/>
      <c r="AG665" s="23"/>
      <c r="AH665" s="22"/>
      <c r="AJ665" s="83">
        <f t="shared" si="243"/>
        <v>0</v>
      </c>
      <c r="AO665" s="22" t="str">
        <f t="shared" si="244"/>
        <v/>
      </c>
      <c r="AP665" s="22" t="str">
        <f t="shared" si="245"/>
        <v/>
      </c>
    </row>
    <row r="666" spans="1:42" x14ac:dyDescent="0.25">
      <c r="A666" s="10"/>
      <c r="B666" s="10"/>
      <c r="C666" s="10"/>
      <c r="D666" s="10"/>
      <c r="E666" s="10"/>
      <c r="F666" s="10"/>
      <c r="G666" s="10"/>
      <c r="H666" s="17"/>
      <c r="I666" s="10"/>
      <c r="J666" s="10"/>
      <c r="K666" s="16" t="str">
        <f t="shared" si="224"/>
        <v/>
      </c>
      <c r="L666" s="23" t="str">
        <f t="shared" si="225"/>
        <v/>
      </c>
      <c r="M666" s="22" t="str">
        <f t="shared" si="226"/>
        <v/>
      </c>
      <c r="N666" s="72"/>
      <c r="O666" s="16" t="str">
        <f t="shared" si="227"/>
        <v/>
      </c>
      <c r="P666" s="16" t="str">
        <f t="shared" si="228"/>
        <v/>
      </c>
      <c r="Q666" s="16" t="str">
        <f t="shared" si="229"/>
        <v/>
      </c>
      <c r="R666" s="23" t="str">
        <f t="shared" si="230"/>
        <v/>
      </c>
      <c r="S666" s="23" t="str">
        <f t="shared" si="231"/>
        <v/>
      </c>
      <c r="T666" s="23" t="str">
        <f t="shared" si="232"/>
        <v/>
      </c>
      <c r="U666" s="23" t="str">
        <f t="shared" si="233"/>
        <v/>
      </c>
      <c r="V666" s="23" t="str">
        <f t="shared" si="234"/>
        <v/>
      </c>
      <c r="W666" s="70" t="str">
        <f t="shared" si="235"/>
        <v/>
      </c>
      <c r="X666" s="70" t="str">
        <f t="shared" si="236"/>
        <v/>
      </c>
      <c r="Y666" s="70" t="str">
        <f>IF(AND($A666&lt;&gt;"",$E666&gt;0),isLaptopBag($C666,$J666)*$D666,"")</f>
        <v/>
      </c>
      <c r="Z666" s="70" t="str">
        <f t="shared" si="237"/>
        <v/>
      </c>
      <c r="AA666" s="70" t="str">
        <f t="shared" si="238"/>
        <v/>
      </c>
      <c r="AB666" s="70" t="str">
        <f t="shared" si="239"/>
        <v/>
      </c>
      <c r="AC666" s="70" t="str">
        <f t="shared" si="240"/>
        <v/>
      </c>
      <c r="AD666" s="70" t="str">
        <f t="shared" si="241"/>
        <v/>
      </c>
      <c r="AE666" s="70" t="str">
        <f t="shared" si="242"/>
        <v/>
      </c>
      <c r="AF666" s="16"/>
      <c r="AG666" s="23"/>
      <c r="AH666" s="22"/>
      <c r="AJ666" s="83">
        <f t="shared" si="243"/>
        <v>0</v>
      </c>
      <c r="AO666" s="22" t="str">
        <f t="shared" si="244"/>
        <v/>
      </c>
      <c r="AP666" s="22" t="str">
        <f t="shared" si="245"/>
        <v/>
      </c>
    </row>
    <row r="667" spans="1:42" x14ac:dyDescent="0.25">
      <c r="A667" s="10"/>
      <c r="B667" s="10"/>
      <c r="C667" s="10"/>
      <c r="D667" s="10"/>
      <c r="E667" s="10"/>
      <c r="F667" s="10"/>
      <c r="G667" s="10"/>
      <c r="H667" s="17"/>
      <c r="I667" s="10"/>
      <c r="J667" s="10"/>
      <c r="K667" s="16" t="str">
        <f t="shared" si="224"/>
        <v/>
      </c>
      <c r="L667" s="23" t="str">
        <f t="shared" si="225"/>
        <v/>
      </c>
      <c r="M667" s="22" t="str">
        <f t="shared" si="226"/>
        <v/>
      </c>
      <c r="N667" s="72"/>
      <c r="O667" s="16" t="str">
        <f t="shared" si="227"/>
        <v/>
      </c>
      <c r="P667" s="16" t="str">
        <f t="shared" si="228"/>
        <v/>
      </c>
      <c r="Q667" s="16" t="str">
        <f t="shared" si="229"/>
        <v/>
      </c>
      <c r="R667" s="23" t="str">
        <f t="shared" si="230"/>
        <v/>
      </c>
      <c r="S667" s="23" t="str">
        <f t="shared" si="231"/>
        <v/>
      </c>
      <c r="T667" s="23" t="str">
        <f t="shared" si="232"/>
        <v/>
      </c>
      <c r="U667" s="23" t="str">
        <f t="shared" si="233"/>
        <v/>
      </c>
      <c r="V667" s="23" t="str">
        <f t="shared" si="234"/>
        <v/>
      </c>
      <c r="W667" s="70" t="str">
        <f t="shared" si="235"/>
        <v/>
      </c>
      <c r="X667" s="70" t="str">
        <f t="shared" si="236"/>
        <v/>
      </c>
      <c r="Y667" s="70" t="str">
        <f>IF(AND($A667&lt;&gt;"",$E667&gt;0),isLaptopBag($C667,$J667)*$D667,"")</f>
        <v/>
      </c>
      <c r="Z667" s="70" t="str">
        <f t="shared" si="237"/>
        <v/>
      </c>
      <c r="AA667" s="70" t="str">
        <f t="shared" si="238"/>
        <v/>
      </c>
      <c r="AB667" s="70" t="str">
        <f t="shared" si="239"/>
        <v/>
      </c>
      <c r="AC667" s="70" t="str">
        <f t="shared" si="240"/>
        <v/>
      </c>
      <c r="AD667" s="70" t="str">
        <f t="shared" si="241"/>
        <v/>
      </c>
      <c r="AE667" s="70" t="str">
        <f t="shared" si="242"/>
        <v/>
      </c>
      <c r="AF667" s="16"/>
      <c r="AG667" s="23"/>
      <c r="AH667" s="22"/>
      <c r="AJ667" s="83">
        <f t="shared" si="243"/>
        <v>0</v>
      </c>
      <c r="AO667" s="22" t="str">
        <f t="shared" si="244"/>
        <v/>
      </c>
      <c r="AP667" s="22" t="str">
        <f t="shared" si="245"/>
        <v/>
      </c>
    </row>
    <row r="668" spans="1:42" x14ac:dyDescent="0.25">
      <c r="A668" s="10"/>
      <c r="B668" s="10"/>
      <c r="C668" s="10"/>
      <c r="D668" s="10"/>
      <c r="E668" s="10"/>
      <c r="F668" s="10"/>
      <c r="G668" s="10"/>
      <c r="H668" s="17"/>
      <c r="I668" s="10"/>
      <c r="J668" s="10"/>
      <c r="K668" s="16" t="str">
        <f t="shared" si="224"/>
        <v/>
      </c>
      <c r="L668" s="23" t="str">
        <f t="shared" si="225"/>
        <v/>
      </c>
      <c r="M668" s="22" t="str">
        <f t="shared" si="226"/>
        <v/>
      </c>
      <c r="N668" s="72"/>
      <c r="O668" s="16" t="str">
        <f t="shared" si="227"/>
        <v/>
      </c>
      <c r="P668" s="16" t="str">
        <f t="shared" si="228"/>
        <v/>
      </c>
      <c r="Q668" s="16" t="str">
        <f t="shared" si="229"/>
        <v/>
      </c>
      <c r="R668" s="23" t="str">
        <f t="shared" si="230"/>
        <v/>
      </c>
      <c r="S668" s="23" t="str">
        <f t="shared" si="231"/>
        <v/>
      </c>
      <c r="T668" s="23" t="str">
        <f t="shared" si="232"/>
        <v/>
      </c>
      <c r="U668" s="23" t="str">
        <f t="shared" si="233"/>
        <v/>
      </c>
      <c r="V668" s="23" t="str">
        <f t="shared" si="234"/>
        <v/>
      </c>
      <c r="W668" s="70" t="str">
        <f t="shared" si="235"/>
        <v/>
      </c>
      <c r="X668" s="70" t="str">
        <f t="shared" si="236"/>
        <v/>
      </c>
      <c r="Y668" s="70" t="str">
        <f>IF(AND($A668&lt;&gt;"",$E668&gt;0),isLaptopBag($C668,$J668)*$D668,"")</f>
        <v/>
      </c>
      <c r="Z668" s="70" t="str">
        <f t="shared" si="237"/>
        <v/>
      </c>
      <c r="AA668" s="70" t="str">
        <f t="shared" si="238"/>
        <v/>
      </c>
      <c r="AB668" s="70" t="str">
        <f t="shared" si="239"/>
        <v/>
      </c>
      <c r="AC668" s="70" t="str">
        <f t="shared" si="240"/>
        <v/>
      </c>
      <c r="AD668" s="70" t="str">
        <f t="shared" si="241"/>
        <v/>
      </c>
      <c r="AE668" s="70" t="str">
        <f t="shared" si="242"/>
        <v/>
      </c>
      <c r="AF668" s="16"/>
      <c r="AG668" s="23"/>
      <c r="AH668" s="22"/>
      <c r="AJ668" s="83">
        <f t="shared" si="243"/>
        <v>0</v>
      </c>
      <c r="AO668" s="22" t="str">
        <f t="shared" si="244"/>
        <v/>
      </c>
      <c r="AP668" s="22" t="str">
        <f t="shared" si="245"/>
        <v/>
      </c>
    </row>
    <row r="669" spans="1:42" x14ac:dyDescent="0.25">
      <c r="A669" s="10"/>
      <c r="B669" s="10"/>
      <c r="C669" s="10"/>
      <c r="D669" s="10"/>
      <c r="E669" s="10"/>
      <c r="F669" s="10"/>
      <c r="G669" s="10"/>
      <c r="H669" s="17"/>
      <c r="I669" s="10"/>
      <c r="J669" s="10"/>
      <c r="K669" s="16" t="str">
        <f t="shared" si="224"/>
        <v/>
      </c>
      <c r="L669" s="23" t="str">
        <f t="shared" si="225"/>
        <v/>
      </c>
      <c r="M669" s="22" t="str">
        <f t="shared" si="226"/>
        <v/>
      </c>
      <c r="N669" s="72"/>
      <c r="O669" s="16" t="str">
        <f t="shared" si="227"/>
        <v/>
      </c>
      <c r="P669" s="16" t="str">
        <f t="shared" si="228"/>
        <v/>
      </c>
      <c r="Q669" s="16" t="str">
        <f t="shared" si="229"/>
        <v/>
      </c>
      <c r="R669" s="23" t="str">
        <f t="shared" si="230"/>
        <v/>
      </c>
      <c r="S669" s="23" t="str">
        <f t="shared" si="231"/>
        <v/>
      </c>
      <c r="T669" s="23" t="str">
        <f t="shared" si="232"/>
        <v/>
      </c>
      <c r="U669" s="23" t="str">
        <f t="shared" si="233"/>
        <v/>
      </c>
      <c r="V669" s="23" t="str">
        <f t="shared" si="234"/>
        <v/>
      </c>
      <c r="W669" s="70" t="str">
        <f t="shared" si="235"/>
        <v/>
      </c>
      <c r="X669" s="70" t="str">
        <f t="shared" si="236"/>
        <v/>
      </c>
      <c r="Y669" s="70" t="str">
        <f>IF(AND($A669&lt;&gt;"",$E669&gt;0),isLaptopBag($C669,$J669)*$D669,"")</f>
        <v/>
      </c>
      <c r="Z669" s="70" t="str">
        <f t="shared" si="237"/>
        <v/>
      </c>
      <c r="AA669" s="70" t="str">
        <f t="shared" si="238"/>
        <v/>
      </c>
      <c r="AB669" s="70" t="str">
        <f t="shared" si="239"/>
        <v/>
      </c>
      <c r="AC669" s="70" t="str">
        <f t="shared" si="240"/>
        <v/>
      </c>
      <c r="AD669" s="70" t="str">
        <f t="shared" si="241"/>
        <v/>
      </c>
      <c r="AE669" s="70" t="str">
        <f t="shared" si="242"/>
        <v/>
      </c>
      <c r="AF669" s="16"/>
      <c r="AG669" s="23"/>
      <c r="AH669" s="22"/>
      <c r="AJ669" s="83">
        <f t="shared" si="243"/>
        <v>0</v>
      </c>
      <c r="AO669" s="22" t="str">
        <f t="shared" si="244"/>
        <v/>
      </c>
      <c r="AP669" s="22" t="str">
        <f t="shared" si="245"/>
        <v/>
      </c>
    </row>
    <row r="670" spans="1:42" x14ac:dyDescent="0.25">
      <c r="A670" s="10"/>
      <c r="B670" s="10"/>
      <c r="C670" s="10"/>
      <c r="D670" s="10"/>
      <c r="E670" s="10"/>
      <c r="F670" s="10"/>
      <c r="G670" s="10"/>
      <c r="H670" s="17"/>
      <c r="I670" s="10"/>
      <c r="J670" s="10"/>
      <c r="K670" s="16" t="str">
        <f t="shared" si="224"/>
        <v/>
      </c>
      <c r="L670" s="23" t="str">
        <f t="shared" si="225"/>
        <v/>
      </c>
      <c r="M670" s="22" t="str">
        <f t="shared" si="226"/>
        <v/>
      </c>
      <c r="N670" s="72"/>
      <c r="O670" s="16" t="str">
        <f t="shared" si="227"/>
        <v/>
      </c>
      <c r="P670" s="16" t="str">
        <f t="shared" si="228"/>
        <v/>
      </c>
      <c r="Q670" s="16" t="str">
        <f t="shared" si="229"/>
        <v/>
      </c>
      <c r="R670" s="23" t="str">
        <f t="shared" si="230"/>
        <v/>
      </c>
      <c r="S670" s="23" t="str">
        <f t="shared" si="231"/>
        <v/>
      </c>
      <c r="T670" s="23" t="str">
        <f t="shared" si="232"/>
        <v/>
      </c>
      <c r="U670" s="23" t="str">
        <f t="shared" si="233"/>
        <v/>
      </c>
      <c r="V670" s="23" t="str">
        <f t="shared" si="234"/>
        <v/>
      </c>
      <c r="W670" s="70" t="str">
        <f t="shared" si="235"/>
        <v/>
      </c>
      <c r="X670" s="70" t="str">
        <f t="shared" si="236"/>
        <v/>
      </c>
      <c r="Y670" s="70" t="str">
        <f>IF(AND($A670&lt;&gt;"",$E670&gt;0),isLaptopBag($C670,$J670)*$D670,"")</f>
        <v/>
      </c>
      <c r="Z670" s="70" t="str">
        <f t="shared" si="237"/>
        <v/>
      </c>
      <c r="AA670" s="70" t="str">
        <f t="shared" si="238"/>
        <v/>
      </c>
      <c r="AB670" s="70" t="str">
        <f t="shared" si="239"/>
        <v/>
      </c>
      <c r="AC670" s="70" t="str">
        <f t="shared" si="240"/>
        <v/>
      </c>
      <c r="AD670" s="70" t="str">
        <f t="shared" si="241"/>
        <v/>
      </c>
      <c r="AE670" s="70" t="str">
        <f t="shared" si="242"/>
        <v/>
      </c>
      <c r="AF670" s="16"/>
      <c r="AG670" s="23"/>
      <c r="AH670" s="22"/>
      <c r="AJ670" s="83">
        <f t="shared" si="243"/>
        <v>0</v>
      </c>
      <c r="AO670" s="22" t="str">
        <f t="shared" si="244"/>
        <v/>
      </c>
      <c r="AP670" s="22" t="str">
        <f t="shared" si="245"/>
        <v/>
      </c>
    </row>
    <row r="671" spans="1:42" x14ac:dyDescent="0.25">
      <c r="A671" s="10"/>
      <c r="B671" s="10"/>
      <c r="C671" s="10"/>
      <c r="D671" s="10"/>
      <c r="E671" s="10"/>
      <c r="F671" s="10"/>
      <c r="G671" s="10"/>
      <c r="H671" s="17"/>
      <c r="I671" s="10"/>
      <c r="J671" s="10"/>
      <c r="K671" s="16" t="str">
        <f t="shared" si="224"/>
        <v/>
      </c>
      <c r="L671" s="23" t="str">
        <f t="shared" si="225"/>
        <v/>
      </c>
      <c r="M671" s="22" t="str">
        <f t="shared" si="226"/>
        <v/>
      </c>
      <c r="N671" s="72"/>
      <c r="O671" s="16" t="str">
        <f t="shared" si="227"/>
        <v/>
      </c>
      <c r="P671" s="16" t="str">
        <f t="shared" si="228"/>
        <v/>
      </c>
      <c r="Q671" s="16" t="str">
        <f t="shared" si="229"/>
        <v/>
      </c>
      <c r="R671" s="23" t="str">
        <f t="shared" si="230"/>
        <v/>
      </c>
      <c r="S671" s="23" t="str">
        <f t="shared" si="231"/>
        <v/>
      </c>
      <c r="T671" s="23" t="str">
        <f t="shared" si="232"/>
        <v/>
      </c>
      <c r="U671" s="23" t="str">
        <f t="shared" si="233"/>
        <v/>
      </c>
      <c r="V671" s="23" t="str">
        <f t="shared" si="234"/>
        <v/>
      </c>
      <c r="W671" s="70" t="str">
        <f t="shared" si="235"/>
        <v/>
      </c>
      <c r="X671" s="70" t="str">
        <f t="shared" si="236"/>
        <v/>
      </c>
      <c r="Y671" s="70" t="str">
        <f>IF(AND($A671&lt;&gt;"",$E671&gt;0),isLaptopBag($C671,$J671)*$D671,"")</f>
        <v/>
      </c>
      <c r="Z671" s="70" t="str">
        <f t="shared" si="237"/>
        <v/>
      </c>
      <c r="AA671" s="70" t="str">
        <f t="shared" si="238"/>
        <v/>
      </c>
      <c r="AB671" s="70" t="str">
        <f t="shared" si="239"/>
        <v/>
      </c>
      <c r="AC671" s="70" t="str">
        <f t="shared" si="240"/>
        <v/>
      </c>
      <c r="AD671" s="70" t="str">
        <f t="shared" si="241"/>
        <v/>
      </c>
      <c r="AE671" s="70" t="str">
        <f t="shared" si="242"/>
        <v/>
      </c>
      <c r="AF671" s="16"/>
      <c r="AG671" s="23"/>
      <c r="AH671" s="22"/>
      <c r="AJ671" s="83">
        <f t="shared" si="243"/>
        <v>0</v>
      </c>
      <c r="AO671" s="22" t="str">
        <f t="shared" si="244"/>
        <v/>
      </c>
      <c r="AP671" s="22" t="str">
        <f t="shared" si="245"/>
        <v/>
      </c>
    </row>
    <row r="672" spans="1:42" x14ac:dyDescent="0.25">
      <c r="A672" s="10"/>
      <c r="B672" s="10"/>
      <c r="C672" s="10"/>
      <c r="D672" s="10"/>
      <c r="E672" s="10"/>
      <c r="F672" s="10"/>
      <c r="G672" s="10"/>
      <c r="H672" s="17"/>
      <c r="I672" s="10"/>
      <c r="J672" s="10"/>
      <c r="K672" s="16" t="str">
        <f t="shared" si="224"/>
        <v/>
      </c>
      <c r="L672" s="23" t="str">
        <f t="shared" si="225"/>
        <v/>
      </c>
      <c r="M672" s="22" t="str">
        <f t="shared" si="226"/>
        <v/>
      </c>
      <c r="N672" s="72"/>
      <c r="O672" s="16" t="str">
        <f t="shared" si="227"/>
        <v/>
      </c>
      <c r="P672" s="16" t="str">
        <f t="shared" si="228"/>
        <v/>
      </c>
      <c r="Q672" s="16" t="str">
        <f t="shared" si="229"/>
        <v/>
      </c>
      <c r="R672" s="23" t="str">
        <f t="shared" si="230"/>
        <v/>
      </c>
      <c r="S672" s="23" t="str">
        <f t="shared" si="231"/>
        <v/>
      </c>
      <c r="T672" s="23" t="str">
        <f t="shared" si="232"/>
        <v/>
      </c>
      <c r="U672" s="23" t="str">
        <f t="shared" si="233"/>
        <v/>
      </c>
      <c r="V672" s="23" t="str">
        <f t="shared" si="234"/>
        <v/>
      </c>
      <c r="W672" s="70" t="str">
        <f t="shared" si="235"/>
        <v/>
      </c>
      <c r="X672" s="70" t="str">
        <f t="shared" si="236"/>
        <v/>
      </c>
      <c r="Y672" s="70" t="str">
        <f>IF(AND($A672&lt;&gt;"",$E672&gt;0),isLaptopBag($C672,$J672)*$D672,"")</f>
        <v/>
      </c>
      <c r="Z672" s="70" t="str">
        <f t="shared" si="237"/>
        <v/>
      </c>
      <c r="AA672" s="70" t="str">
        <f t="shared" si="238"/>
        <v/>
      </c>
      <c r="AB672" s="70" t="str">
        <f t="shared" si="239"/>
        <v/>
      </c>
      <c r="AC672" s="70" t="str">
        <f t="shared" si="240"/>
        <v/>
      </c>
      <c r="AD672" s="70" t="str">
        <f t="shared" si="241"/>
        <v/>
      </c>
      <c r="AE672" s="70" t="str">
        <f t="shared" si="242"/>
        <v/>
      </c>
      <c r="AF672" s="16"/>
      <c r="AG672" s="23"/>
      <c r="AH672" s="22"/>
      <c r="AJ672" s="83">
        <f t="shared" si="243"/>
        <v>0</v>
      </c>
      <c r="AO672" s="22" t="str">
        <f t="shared" si="244"/>
        <v/>
      </c>
      <c r="AP672" s="22" t="str">
        <f t="shared" si="245"/>
        <v/>
      </c>
    </row>
    <row r="673" spans="1:42" x14ac:dyDescent="0.25">
      <c r="A673" s="10"/>
      <c r="B673" s="10"/>
      <c r="C673" s="10"/>
      <c r="D673" s="10"/>
      <c r="E673" s="10"/>
      <c r="F673" s="10"/>
      <c r="G673" s="10"/>
      <c r="H673" s="17"/>
      <c r="I673" s="10"/>
      <c r="J673" s="10"/>
      <c r="K673" s="16" t="str">
        <f t="shared" si="224"/>
        <v/>
      </c>
      <c r="L673" s="23" t="str">
        <f t="shared" si="225"/>
        <v/>
      </c>
      <c r="M673" s="22" t="str">
        <f t="shared" si="226"/>
        <v/>
      </c>
      <c r="N673" s="72"/>
      <c r="O673" s="16" t="str">
        <f t="shared" si="227"/>
        <v/>
      </c>
      <c r="P673" s="16" t="str">
        <f t="shared" si="228"/>
        <v/>
      </c>
      <c r="Q673" s="16" t="str">
        <f t="shared" si="229"/>
        <v/>
      </c>
      <c r="R673" s="23" t="str">
        <f t="shared" si="230"/>
        <v/>
      </c>
      <c r="S673" s="23" t="str">
        <f t="shared" si="231"/>
        <v/>
      </c>
      <c r="T673" s="23" t="str">
        <f t="shared" si="232"/>
        <v/>
      </c>
      <c r="U673" s="23" t="str">
        <f t="shared" si="233"/>
        <v/>
      </c>
      <c r="V673" s="23" t="str">
        <f t="shared" si="234"/>
        <v/>
      </c>
      <c r="W673" s="70" t="str">
        <f t="shared" si="235"/>
        <v/>
      </c>
      <c r="X673" s="70" t="str">
        <f t="shared" si="236"/>
        <v/>
      </c>
      <c r="Y673" s="70" t="str">
        <f>IF(AND($A673&lt;&gt;"",$E673&gt;0),isLaptopBag($C673,$J673)*$D673,"")</f>
        <v/>
      </c>
      <c r="Z673" s="70" t="str">
        <f t="shared" si="237"/>
        <v/>
      </c>
      <c r="AA673" s="70" t="str">
        <f t="shared" si="238"/>
        <v/>
      </c>
      <c r="AB673" s="70" t="str">
        <f t="shared" si="239"/>
        <v/>
      </c>
      <c r="AC673" s="70" t="str">
        <f t="shared" si="240"/>
        <v/>
      </c>
      <c r="AD673" s="70" t="str">
        <f t="shared" si="241"/>
        <v/>
      </c>
      <c r="AE673" s="70" t="str">
        <f t="shared" si="242"/>
        <v/>
      </c>
      <c r="AF673" s="16"/>
      <c r="AG673" s="23"/>
      <c r="AH673" s="22"/>
      <c r="AJ673" s="83">
        <f t="shared" si="243"/>
        <v>0</v>
      </c>
      <c r="AO673" s="22" t="str">
        <f t="shared" si="244"/>
        <v/>
      </c>
      <c r="AP673" s="22" t="str">
        <f t="shared" si="245"/>
        <v/>
      </c>
    </row>
    <row r="674" spans="1:42" x14ac:dyDescent="0.25">
      <c r="A674" s="10"/>
      <c r="B674" s="10"/>
      <c r="C674" s="10"/>
      <c r="D674" s="10"/>
      <c r="E674" s="10"/>
      <c r="F674" s="10"/>
      <c r="G674" s="10"/>
      <c r="H674" s="17"/>
      <c r="I674" s="10"/>
      <c r="J674" s="10"/>
      <c r="K674" s="16" t="str">
        <f t="shared" si="224"/>
        <v/>
      </c>
      <c r="L674" s="23" t="str">
        <f t="shared" si="225"/>
        <v/>
      </c>
      <c r="M674" s="22" t="str">
        <f t="shared" si="226"/>
        <v/>
      </c>
      <c r="N674" s="72"/>
      <c r="O674" s="16" t="str">
        <f t="shared" si="227"/>
        <v/>
      </c>
      <c r="P674" s="16" t="str">
        <f t="shared" si="228"/>
        <v/>
      </c>
      <c r="Q674" s="16" t="str">
        <f t="shared" si="229"/>
        <v/>
      </c>
      <c r="R674" s="23" t="str">
        <f t="shared" si="230"/>
        <v/>
      </c>
      <c r="S674" s="23" t="str">
        <f t="shared" si="231"/>
        <v/>
      </c>
      <c r="T674" s="23" t="str">
        <f t="shared" si="232"/>
        <v/>
      </c>
      <c r="U674" s="23" t="str">
        <f t="shared" si="233"/>
        <v/>
      </c>
      <c r="V674" s="23" t="str">
        <f t="shared" si="234"/>
        <v/>
      </c>
      <c r="W674" s="70" t="str">
        <f t="shared" si="235"/>
        <v/>
      </c>
      <c r="X674" s="70" t="str">
        <f t="shared" si="236"/>
        <v/>
      </c>
      <c r="Y674" s="70" t="str">
        <f>IF(AND($A674&lt;&gt;"",$E674&gt;0),isLaptopBag($C674,$J674)*$D674,"")</f>
        <v/>
      </c>
      <c r="Z674" s="70" t="str">
        <f t="shared" si="237"/>
        <v/>
      </c>
      <c r="AA674" s="70" t="str">
        <f t="shared" si="238"/>
        <v/>
      </c>
      <c r="AB674" s="70" t="str">
        <f t="shared" si="239"/>
        <v/>
      </c>
      <c r="AC674" s="70" t="str">
        <f t="shared" si="240"/>
        <v/>
      </c>
      <c r="AD674" s="70" t="str">
        <f t="shared" si="241"/>
        <v/>
      </c>
      <c r="AE674" s="70" t="str">
        <f t="shared" si="242"/>
        <v/>
      </c>
      <c r="AF674" s="16"/>
      <c r="AG674" s="23"/>
      <c r="AH674" s="22"/>
      <c r="AJ674" s="83">
        <f t="shared" si="243"/>
        <v>0</v>
      </c>
      <c r="AO674" s="22" t="str">
        <f t="shared" si="244"/>
        <v/>
      </c>
      <c r="AP674" s="22" t="str">
        <f t="shared" si="245"/>
        <v/>
      </c>
    </row>
    <row r="675" spans="1:42" x14ac:dyDescent="0.25">
      <c r="A675" s="10"/>
      <c r="B675" s="10"/>
      <c r="C675" s="10"/>
      <c r="D675" s="10"/>
      <c r="E675" s="10"/>
      <c r="F675" s="10"/>
      <c r="G675" s="10"/>
      <c r="H675" s="17"/>
      <c r="I675" s="10"/>
      <c r="J675" s="10"/>
      <c r="K675" s="16" t="str">
        <f t="shared" si="224"/>
        <v/>
      </c>
      <c r="L675" s="23" t="str">
        <f t="shared" si="225"/>
        <v/>
      </c>
      <c r="M675" s="22" t="str">
        <f t="shared" si="226"/>
        <v/>
      </c>
      <c r="N675" s="72"/>
      <c r="O675" s="16" t="str">
        <f t="shared" si="227"/>
        <v/>
      </c>
      <c r="P675" s="16" t="str">
        <f t="shared" si="228"/>
        <v/>
      </c>
      <c r="Q675" s="16" t="str">
        <f t="shared" si="229"/>
        <v/>
      </c>
      <c r="R675" s="23" t="str">
        <f t="shared" si="230"/>
        <v/>
      </c>
      <c r="S675" s="23" t="str">
        <f t="shared" si="231"/>
        <v/>
      </c>
      <c r="T675" s="23" t="str">
        <f t="shared" si="232"/>
        <v/>
      </c>
      <c r="U675" s="23" t="str">
        <f t="shared" si="233"/>
        <v/>
      </c>
      <c r="V675" s="23" t="str">
        <f t="shared" si="234"/>
        <v/>
      </c>
      <c r="W675" s="70" t="str">
        <f t="shared" si="235"/>
        <v/>
      </c>
      <c r="X675" s="70" t="str">
        <f t="shared" si="236"/>
        <v/>
      </c>
      <c r="Y675" s="70" t="str">
        <f>IF(AND($A675&lt;&gt;"",$E675&gt;0),isLaptopBag($C675,$J675)*$D675,"")</f>
        <v/>
      </c>
      <c r="Z675" s="70" t="str">
        <f t="shared" si="237"/>
        <v/>
      </c>
      <c r="AA675" s="70" t="str">
        <f t="shared" si="238"/>
        <v/>
      </c>
      <c r="AB675" s="70" t="str">
        <f t="shared" si="239"/>
        <v/>
      </c>
      <c r="AC675" s="70" t="str">
        <f t="shared" si="240"/>
        <v/>
      </c>
      <c r="AD675" s="70" t="str">
        <f t="shared" si="241"/>
        <v/>
      </c>
      <c r="AE675" s="70" t="str">
        <f t="shared" si="242"/>
        <v/>
      </c>
      <c r="AF675" s="16"/>
      <c r="AG675" s="23"/>
      <c r="AH675" s="22"/>
      <c r="AJ675" s="83">
        <f t="shared" si="243"/>
        <v>0</v>
      </c>
      <c r="AO675" s="22" t="str">
        <f t="shared" si="244"/>
        <v/>
      </c>
      <c r="AP675" s="22" t="str">
        <f t="shared" si="245"/>
        <v/>
      </c>
    </row>
    <row r="676" spans="1:42" x14ac:dyDescent="0.25">
      <c r="A676" s="10"/>
      <c r="B676" s="10"/>
      <c r="C676" s="10"/>
      <c r="D676" s="10"/>
      <c r="E676" s="10"/>
      <c r="F676" s="10"/>
      <c r="G676" s="10"/>
      <c r="H676" s="17"/>
      <c r="I676" s="10"/>
      <c r="J676" s="10"/>
      <c r="K676" s="16" t="str">
        <f t="shared" si="224"/>
        <v/>
      </c>
      <c r="L676" s="23" t="str">
        <f t="shared" si="225"/>
        <v/>
      </c>
      <c r="M676" s="22" t="str">
        <f t="shared" si="226"/>
        <v/>
      </c>
      <c r="N676" s="72"/>
      <c r="O676" s="16" t="str">
        <f t="shared" si="227"/>
        <v/>
      </c>
      <c r="P676" s="16" t="str">
        <f t="shared" si="228"/>
        <v/>
      </c>
      <c r="Q676" s="16" t="str">
        <f t="shared" si="229"/>
        <v/>
      </c>
      <c r="R676" s="23" t="str">
        <f t="shared" si="230"/>
        <v/>
      </c>
      <c r="S676" s="23" t="str">
        <f t="shared" si="231"/>
        <v/>
      </c>
      <c r="T676" s="23" t="str">
        <f t="shared" si="232"/>
        <v/>
      </c>
      <c r="U676" s="23" t="str">
        <f t="shared" si="233"/>
        <v/>
      </c>
      <c r="V676" s="23" t="str">
        <f t="shared" si="234"/>
        <v/>
      </c>
      <c r="W676" s="70" t="str">
        <f t="shared" si="235"/>
        <v/>
      </c>
      <c r="X676" s="70" t="str">
        <f t="shared" si="236"/>
        <v/>
      </c>
      <c r="Y676" s="70" t="str">
        <f>IF(AND($A676&lt;&gt;"",$E676&gt;0),isLaptopBag($C676,$J676)*$D676,"")</f>
        <v/>
      </c>
      <c r="Z676" s="70" t="str">
        <f t="shared" si="237"/>
        <v/>
      </c>
      <c r="AA676" s="70" t="str">
        <f t="shared" si="238"/>
        <v/>
      </c>
      <c r="AB676" s="70" t="str">
        <f t="shared" si="239"/>
        <v/>
      </c>
      <c r="AC676" s="70" t="str">
        <f t="shared" si="240"/>
        <v/>
      </c>
      <c r="AD676" s="70" t="str">
        <f t="shared" si="241"/>
        <v/>
      </c>
      <c r="AE676" s="70" t="str">
        <f t="shared" si="242"/>
        <v/>
      </c>
      <c r="AF676" s="16"/>
      <c r="AG676" s="23"/>
      <c r="AH676" s="22"/>
      <c r="AJ676" s="83">
        <f t="shared" si="243"/>
        <v>0</v>
      </c>
      <c r="AO676" s="22" t="str">
        <f t="shared" si="244"/>
        <v/>
      </c>
      <c r="AP676" s="22" t="str">
        <f t="shared" si="245"/>
        <v/>
      </c>
    </row>
    <row r="677" spans="1:42" x14ac:dyDescent="0.25">
      <c r="A677" s="10"/>
      <c r="B677" s="10"/>
      <c r="C677" s="10"/>
      <c r="D677" s="10"/>
      <c r="E677" s="10"/>
      <c r="F677" s="10"/>
      <c r="G677" s="10"/>
      <c r="H677" s="17"/>
      <c r="I677" s="10"/>
      <c r="J677" s="10"/>
      <c r="K677" s="16" t="str">
        <f t="shared" si="224"/>
        <v/>
      </c>
      <c r="L677" s="23" t="str">
        <f t="shared" si="225"/>
        <v/>
      </c>
      <c r="M677" s="22" t="str">
        <f t="shared" si="226"/>
        <v/>
      </c>
      <c r="N677" s="72"/>
      <c r="O677" s="16" t="str">
        <f t="shared" si="227"/>
        <v/>
      </c>
      <c r="P677" s="16" t="str">
        <f t="shared" si="228"/>
        <v/>
      </c>
      <c r="Q677" s="16" t="str">
        <f t="shared" si="229"/>
        <v/>
      </c>
      <c r="R677" s="23" t="str">
        <f t="shared" si="230"/>
        <v/>
      </c>
      <c r="S677" s="23" t="str">
        <f t="shared" si="231"/>
        <v/>
      </c>
      <c r="T677" s="23" t="str">
        <f t="shared" si="232"/>
        <v/>
      </c>
      <c r="U677" s="23" t="str">
        <f t="shared" si="233"/>
        <v/>
      </c>
      <c r="V677" s="23" t="str">
        <f t="shared" si="234"/>
        <v/>
      </c>
      <c r="W677" s="70" t="str">
        <f t="shared" si="235"/>
        <v/>
      </c>
      <c r="X677" s="70" t="str">
        <f t="shared" si="236"/>
        <v/>
      </c>
      <c r="Y677" s="70" t="str">
        <f>IF(AND($A677&lt;&gt;"",$E677&gt;0),isLaptopBag($C677,$J677)*$D677,"")</f>
        <v/>
      </c>
      <c r="Z677" s="70" t="str">
        <f t="shared" si="237"/>
        <v/>
      </c>
      <c r="AA677" s="70" t="str">
        <f t="shared" si="238"/>
        <v/>
      </c>
      <c r="AB677" s="70" t="str">
        <f t="shared" si="239"/>
        <v/>
      </c>
      <c r="AC677" s="70" t="str">
        <f t="shared" si="240"/>
        <v/>
      </c>
      <c r="AD677" s="70" t="str">
        <f t="shared" si="241"/>
        <v/>
      </c>
      <c r="AE677" s="70" t="str">
        <f t="shared" si="242"/>
        <v/>
      </c>
      <c r="AF677" s="16"/>
      <c r="AG677" s="23"/>
      <c r="AH677" s="22"/>
      <c r="AJ677" s="83">
        <f t="shared" si="243"/>
        <v>0</v>
      </c>
      <c r="AO677" s="22" t="str">
        <f t="shared" si="244"/>
        <v/>
      </c>
      <c r="AP677" s="22" t="str">
        <f t="shared" si="245"/>
        <v/>
      </c>
    </row>
    <row r="678" spans="1:42" x14ac:dyDescent="0.25">
      <c r="A678" s="10"/>
      <c r="B678" s="10"/>
      <c r="C678" s="10"/>
      <c r="D678" s="10"/>
      <c r="E678" s="10"/>
      <c r="F678" s="10"/>
      <c r="G678" s="10"/>
      <c r="H678" s="17"/>
      <c r="I678" s="10"/>
      <c r="J678" s="10"/>
      <c r="K678" s="16" t="str">
        <f t="shared" si="224"/>
        <v/>
      </c>
      <c r="L678" s="23" t="str">
        <f t="shared" si="225"/>
        <v/>
      </c>
      <c r="M678" s="22" t="str">
        <f t="shared" si="226"/>
        <v/>
      </c>
      <c r="N678" s="72"/>
      <c r="O678" s="16" t="str">
        <f t="shared" si="227"/>
        <v/>
      </c>
      <c r="P678" s="16" t="str">
        <f t="shared" si="228"/>
        <v/>
      </c>
      <c r="Q678" s="16" t="str">
        <f t="shared" si="229"/>
        <v/>
      </c>
      <c r="R678" s="23" t="str">
        <f t="shared" si="230"/>
        <v/>
      </c>
      <c r="S678" s="23" t="str">
        <f t="shared" si="231"/>
        <v/>
      </c>
      <c r="T678" s="23" t="str">
        <f t="shared" si="232"/>
        <v/>
      </c>
      <c r="U678" s="23" t="str">
        <f t="shared" si="233"/>
        <v/>
      </c>
      <c r="V678" s="23" t="str">
        <f t="shared" si="234"/>
        <v/>
      </c>
      <c r="W678" s="70" t="str">
        <f t="shared" si="235"/>
        <v/>
      </c>
      <c r="X678" s="70" t="str">
        <f t="shared" si="236"/>
        <v/>
      </c>
      <c r="Y678" s="70" t="str">
        <f>IF(AND($A678&lt;&gt;"",$E678&gt;0),isLaptopBag($C678,$J678)*$D678,"")</f>
        <v/>
      </c>
      <c r="Z678" s="70" t="str">
        <f t="shared" si="237"/>
        <v/>
      </c>
      <c r="AA678" s="70" t="str">
        <f t="shared" si="238"/>
        <v/>
      </c>
      <c r="AB678" s="70" t="str">
        <f t="shared" si="239"/>
        <v/>
      </c>
      <c r="AC678" s="70" t="str">
        <f t="shared" si="240"/>
        <v/>
      </c>
      <c r="AD678" s="70" t="str">
        <f t="shared" si="241"/>
        <v/>
      </c>
      <c r="AE678" s="70" t="str">
        <f t="shared" si="242"/>
        <v/>
      </c>
      <c r="AF678" s="16"/>
      <c r="AG678" s="23"/>
      <c r="AH678" s="22"/>
      <c r="AJ678" s="83">
        <f t="shared" si="243"/>
        <v>0</v>
      </c>
      <c r="AO678" s="22" t="str">
        <f t="shared" si="244"/>
        <v/>
      </c>
      <c r="AP678" s="22" t="str">
        <f t="shared" si="245"/>
        <v/>
      </c>
    </row>
    <row r="679" spans="1:42" x14ac:dyDescent="0.25">
      <c r="A679" s="10"/>
      <c r="B679" s="10"/>
      <c r="C679" s="10"/>
      <c r="D679" s="10"/>
      <c r="E679" s="10"/>
      <c r="F679" s="10"/>
      <c r="G679" s="10"/>
      <c r="H679" s="17"/>
      <c r="I679" s="10"/>
      <c r="J679" s="10"/>
      <c r="K679" s="16" t="str">
        <f t="shared" si="224"/>
        <v/>
      </c>
      <c r="L679" s="23" t="str">
        <f t="shared" si="225"/>
        <v/>
      </c>
      <c r="M679" s="22" t="str">
        <f t="shared" si="226"/>
        <v/>
      </c>
      <c r="N679" s="72"/>
      <c r="O679" s="16" t="str">
        <f t="shared" si="227"/>
        <v/>
      </c>
      <c r="P679" s="16" t="str">
        <f t="shared" si="228"/>
        <v/>
      </c>
      <c r="Q679" s="16" t="str">
        <f t="shared" si="229"/>
        <v/>
      </c>
      <c r="R679" s="23" t="str">
        <f t="shared" si="230"/>
        <v/>
      </c>
      <c r="S679" s="23" t="str">
        <f t="shared" si="231"/>
        <v/>
      </c>
      <c r="T679" s="23" t="str">
        <f t="shared" si="232"/>
        <v/>
      </c>
      <c r="U679" s="23" t="str">
        <f t="shared" si="233"/>
        <v/>
      </c>
      <c r="V679" s="23" t="str">
        <f t="shared" si="234"/>
        <v/>
      </c>
      <c r="W679" s="70" t="str">
        <f t="shared" si="235"/>
        <v/>
      </c>
      <c r="X679" s="70" t="str">
        <f t="shared" si="236"/>
        <v/>
      </c>
      <c r="Y679" s="70" t="str">
        <f>IF(AND($A679&lt;&gt;"",$E679&gt;0),isLaptopBag($C679,$J679)*$D679,"")</f>
        <v/>
      </c>
      <c r="Z679" s="70" t="str">
        <f t="shared" si="237"/>
        <v/>
      </c>
      <c r="AA679" s="70" t="str">
        <f t="shared" si="238"/>
        <v/>
      </c>
      <c r="AB679" s="70" t="str">
        <f t="shared" si="239"/>
        <v/>
      </c>
      <c r="AC679" s="70" t="str">
        <f t="shared" si="240"/>
        <v/>
      </c>
      <c r="AD679" s="70" t="str">
        <f t="shared" si="241"/>
        <v/>
      </c>
      <c r="AE679" s="70" t="str">
        <f t="shared" si="242"/>
        <v/>
      </c>
      <c r="AF679" s="16"/>
      <c r="AG679" s="23"/>
      <c r="AH679" s="22"/>
      <c r="AJ679" s="83">
        <f t="shared" si="243"/>
        <v>0</v>
      </c>
      <c r="AO679" s="22" t="str">
        <f t="shared" si="244"/>
        <v/>
      </c>
      <c r="AP679" s="22" t="str">
        <f t="shared" si="245"/>
        <v/>
      </c>
    </row>
    <row r="680" spans="1:42" x14ac:dyDescent="0.25">
      <c r="A680" s="10"/>
      <c r="B680" s="10"/>
      <c r="C680" s="10"/>
      <c r="D680" s="10"/>
      <c r="E680" s="10"/>
      <c r="F680" s="10"/>
      <c r="G680" s="10"/>
      <c r="H680" s="17"/>
      <c r="I680" s="10"/>
      <c r="J680" s="10"/>
      <c r="K680" s="16" t="str">
        <f t="shared" si="224"/>
        <v/>
      </c>
      <c r="L680" s="23" t="str">
        <f t="shared" si="225"/>
        <v/>
      </c>
      <c r="M680" s="22" t="str">
        <f t="shared" si="226"/>
        <v/>
      </c>
      <c r="N680" s="72"/>
      <c r="O680" s="16" t="str">
        <f t="shared" si="227"/>
        <v/>
      </c>
      <c r="P680" s="16" t="str">
        <f t="shared" si="228"/>
        <v/>
      </c>
      <c r="Q680" s="16" t="str">
        <f t="shared" si="229"/>
        <v/>
      </c>
      <c r="R680" s="23" t="str">
        <f t="shared" si="230"/>
        <v/>
      </c>
      <c r="S680" s="23" t="str">
        <f t="shared" si="231"/>
        <v/>
      </c>
      <c r="T680" s="23" t="str">
        <f t="shared" si="232"/>
        <v/>
      </c>
      <c r="U680" s="23" t="str">
        <f t="shared" si="233"/>
        <v/>
      </c>
      <c r="V680" s="23" t="str">
        <f t="shared" si="234"/>
        <v/>
      </c>
      <c r="W680" s="70" t="str">
        <f t="shared" si="235"/>
        <v/>
      </c>
      <c r="X680" s="70" t="str">
        <f t="shared" si="236"/>
        <v/>
      </c>
      <c r="Y680" s="70" t="str">
        <f>IF(AND($A680&lt;&gt;"",$E680&gt;0),isLaptopBag($C680,$J680)*$D680,"")</f>
        <v/>
      </c>
      <c r="Z680" s="70" t="str">
        <f t="shared" si="237"/>
        <v/>
      </c>
      <c r="AA680" s="70" t="str">
        <f t="shared" si="238"/>
        <v/>
      </c>
      <c r="AB680" s="70" t="str">
        <f t="shared" si="239"/>
        <v/>
      </c>
      <c r="AC680" s="70" t="str">
        <f t="shared" si="240"/>
        <v/>
      </c>
      <c r="AD680" s="70" t="str">
        <f t="shared" si="241"/>
        <v/>
      </c>
      <c r="AE680" s="70" t="str">
        <f t="shared" si="242"/>
        <v/>
      </c>
      <c r="AF680" s="16"/>
      <c r="AG680" s="23"/>
      <c r="AH680" s="22"/>
      <c r="AJ680" s="83">
        <f t="shared" si="243"/>
        <v>0</v>
      </c>
      <c r="AO680" s="22" t="str">
        <f t="shared" si="244"/>
        <v/>
      </c>
      <c r="AP680" s="22" t="str">
        <f t="shared" si="245"/>
        <v/>
      </c>
    </row>
    <row r="681" spans="1:42" x14ac:dyDescent="0.25">
      <c r="A681" s="10"/>
      <c r="B681" s="10"/>
      <c r="C681" s="10"/>
      <c r="D681" s="10"/>
      <c r="E681" s="10"/>
      <c r="F681" s="10"/>
      <c r="G681" s="10"/>
      <c r="H681" s="17"/>
      <c r="I681" s="10"/>
      <c r="J681" s="10"/>
      <c r="K681" s="16" t="str">
        <f t="shared" si="224"/>
        <v/>
      </c>
      <c r="L681" s="23" t="str">
        <f t="shared" si="225"/>
        <v/>
      </c>
      <c r="M681" s="22" t="str">
        <f t="shared" si="226"/>
        <v/>
      </c>
      <c r="N681" s="72"/>
      <c r="O681" s="16" t="str">
        <f t="shared" si="227"/>
        <v/>
      </c>
      <c r="P681" s="16" t="str">
        <f t="shared" si="228"/>
        <v/>
      </c>
      <c r="Q681" s="16" t="str">
        <f t="shared" si="229"/>
        <v/>
      </c>
      <c r="R681" s="23" t="str">
        <f t="shared" si="230"/>
        <v/>
      </c>
      <c r="S681" s="23" t="str">
        <f t="shared" si="231"/>
        <v/>
      </c>
      <c r="T681" s="23" t="str">
        <f t="shared" si="232"/>
        <v/>
      </c>
      <c r="U681" s="23" t="str">
        <f t="shared" si="233"/>
        <v/>
      </c>
      <c r="V681" s="23" t="str">
        <f t="shared" si="234"/>
        <v/>
      </c>
      <c r="W681" s="70" t="str">
        <f t="shared" si="235"/>
        <v/>
      </c>
      <c r="X681" s="70" t="str">
        <f t="shared" si="236"/>
        <v/>
      </c>
      <c r="Y681" s="70" t="str">
        <f>IF(AND($A681&lt;&gt;"",$E681&gt;0),isLaptopBag($C681,$J681)*$D681,"")</f>
        <v/>
      </c>
      <c r="Z681" s="70" t="str">
        <f t="shared" si="237"/>
        <v/>
      </c>
      <c r="AA681" s="70" t="str">
        <f t="shared" si="238"/>
        <v/>
      </c>
      <c r="AB681" s="70" t="str">
        <f t="shared" si="239"/>
        <v/>
      </c>
      <c r="AC681" s="70" t="str">
        <f t="shared" si="240"/>
        <v/>
      </c>
      <c r="AD681" s="70" t="str">
        <f t="shared" si="241"/>
        <v/>
      </c>
      <c r="AE681" s="70" t="str">
        <f t="shared" si="242"/>
        <v/>
      </c>
      <c r="AF681" s="16"/>
      <c r="AG681" s="23"/>
      <c r="AH681" s="22"/>
      <c r="AJ681" s="83">
        <f t="shared" si="243"/>
        <v>0</v>
      </c>
      <c r="AO681" s="22" t="str">
        <f t="shared" si="244"/>
        <v/>
      </c>
      <c r="AP681" s="22" t="str">
        <f t="shared" si="245"/>
        <v/>
      </c>
    </row>
    <row r="682" spans="1:42" x14ac:dyDescent="0.25">
      <c r="A682" s="10"/>
      <c r="B682" s="10"/>
      <c r="C682" s="10"/>
      <c r="D682" s="10"/>
      <c r="E682" s="10"/>
      <c r="F682" s="10"/>
      <c r="G682" s="10"/>
      <c r="H682" s="17"/>
      <c r="I682" s="10"/>
      <c r="J682" s="10"/>
      <c r="K682" s="16" t="str">
        <f t="shared" si="224"/>
        <v/>
      </c>
      <c r="L682" s="23" t="str">
        <f t="shared" si="225"/>
        <v/>
      </c>
      <c r="M682" s="22" t="str">
        <f t="shared" si="226"/>
        <v/>
      </c>
      <c r="N682" s="72"/>
      <c r="O682" s="16" t="str">
        <f t="shared" si="227"/>
        <v/>
      </c>
      <c r="P682" s="16" t="str">
        <f t="shared" si="228"/>
        <v/>
      </c>
      <c r="Q682" s="16" t="str">
        <f t="shared" si="229"/>
        <v/>
      </c>
      <c r="R682" s="23" t="str">
        <f t="shared" si="230"/>
        <v/>
      </c>
      <c r="S682" s="23" t="str">
        <f t="shared" si="231"/>
        <v/>
      </c>
      <c r="T682" s="23" t="str">
        <f t="shared" si="232"/>
        <v/>
      </c>
      <c r="U682" s="23" t="str">
        <f t="shared" si="233"/>
        <v/>
      </c>
      <c r="V682" s="23" t="str">
        <f t="shared" si="234"/>
        <v/>
      </c>
      <c r="W682" s="70" t="str">
        <f t="shared" si="235"/>
        <v/>
      </c>
      <c r="X682" s="70" t="str">
        <f t="shared" si="236"/>
        <v/>
      </c>
      <c r="Y682" s="70" t="str">
        <f>IF(AND($A682&lt;&gt;"",$E682&gt;0),isLaptopBag($C682,$J682)*$D682,"")</f>
        <v/>
      </c>
      <c r="Z682" s="70" t="str">
        <f t="shared" si="237"/>
        <v/>
      </c>
      <c r="AA682" s="70" t="str">
        <f t="shared" si="238"/>
        <v/>
      </c>
      <c r="AB682" s="70" t="str">
        <f t="shared" si="239"/>
        <v/>
      </c>
      <c r="AC682" s="70" t="str">
        <f t="shared" si="240"/>
        <v/>
      </c>
      <c r="AD682" s="70" t="str">
        <f t="shared" si="241"/>
        <v/>
      </c>
      <c r="AE682" s="70" t="str">
        <f t="shared" si="242"/>
        <v/>
      </c>
      <c r="AF682" s="16"/>
      <c r="AG682" s="23"/>
      <c r="AH682" s="22"/>
      <c r="AJ682" s="83">
        <f t="shared" si="243"/>
        <v>0</v>
      </c>
      <c r="AO682" s="22" t="str">
        <f t="shared" si="244"/>
        <v/>
      </c>
      <c r="AP682" s="22" t="str">
        <f t="shared" si="245"/>
        <v/>
      </c>
    </row>
    <row r="683" spans="1:42" x14ac:dyDescent="0.25">
      <c r="A683" s="10"/>
      <c r="B683" s="10"/>
      <c r="C683" s="10"/>
      <c r="D683" s="10"/>
      <c r="E683" s="10"/>
      <c r="F683" s="10"/>
      <c r="G683" s="10"/>
      <c r="H683" s="17"/>
      <c r="I683" s="10"/>
      <c r="J683" s="10"/>
      <c r="K683" s="16" t="str">
        <f t="shared" si="224"/>
        <v/>
      </c>
      <c r="L683" s="23" t="str">
        <f t="shared" si="225"/>
        <v/>
      </c>
      <c r="M683" s="22" t="str">
        <f t="shared" si="226"/>
        <v/>
      </c>
      <c r="N683" s="72"/>
      <c r="O683" s="16" t="str">
        <f t="shared" si="227"/>
        <v/>
      </c>
      <c r="P683" s="16" t="str">
        <f t="shared" si="228"/>
        <v/>
      </c>
      <c r="Q683" s="16" t="str">
        <f t="shared" si="229"/>
        <v/>
      </c>
      <c r="R683" s="23" t="str">
        <f t="shared" si="230"/>
        <v/>
      </c>
      <c r="S683" s="23" t="str">
        <f t="shared" si="231"/>
        <v/>
      </c>
      <c r="T683" s="23" t="str">
        <f t="shared" si="232"/>
        <v/>
      </c>
      <c r="U683" s="23" t="str">
        <f t="shared" si="233"/>
        <v/>
      </c>
      <c r="V683" s="23" t="str">
        <f t="shared" si="234"/>
        <v/>
      </c>
      <c r="W683" s="70" t="str">
        <f t="shared" si="235"/>
        <v/>
      </c>
      <c r="X683" s="70" t="str">
        <f t="shared" si="236"/>
        <v/>
      </c>
      <c r="Y683" s="70" t="str">
        <f>IF(AND($A683&lt;&gt;"",$E683&gt;0),isLaptopBag($C683,$J683)*$D683,"")</f>
        <v/>
      </c>
      <c r="Z683" s="70" t="str">
        <f t="shared" si="237"/>
        <v/>
      </c>
      <c r="AA683" s="70" t="str">
        <f t="shared" si="238"/>
        <v/>
      </c>
      <c r="AB683" s="70" t="str">
        <f t="shared" si="239"/>
        <v/>
      </c>
      <c r="AC683" s="70" t="str">
        <f t="shared" si="240"/>
        <v/>
      </c>
      <c r="AD683" s="70" t="str">
        <f t="shared" si="241"/>
        <v/>
      </c>
      <c r="AE683" s="70" t="str">
        <f t="shared" si="242"/>
        <v/>
      </c>
      <c r="AF683" s="16"/>
      <c r="AG683" s="23"/>
      <c r="AH683" s="22"/>
      <c r="AJ683" s="83">
        <f t="shared" si="243"/>
        <v>0</v>
      </c>
      <c r="AO683" s="22" t="str">
        <f t="shared" si="244"/>
        <v/>
      </c>
      <c r="AP683" s="22" t="str">
        <f t="shared" si="245"/>
        <v/>
      </c>
    </row>
    <row r="684" spans="1:42" x14ac:dyDescent="0.25">
      <c r="A684" s="10"/>
      <c r="B684" s="10"/>
      <c r="C684" s="10"/>
      <c r="D684" s="10"/>
      <c r="E684" s="10"/>
      <c r="F684" s="10"/>
      <c r="G684" s="10"/>
      <c r="H684" s="17"/>
      <c r="I684" s="10"/>
      <c r="J684" s="10"/>
      <c r="K684" s="16" t="str">
        <f t="shared" si="224"/>
        <v/>
      </c>
      <c r="L684" s="23" t="str">
        <f t="shared" si="225"/>
        <v/>
      </c>
      <c r="M684" s="22" t="str">
        <f t="shared" si="226"/>
        <v/>
      </c>
      <c r="N684" s="72"/>
      <c r="O684" s="16" t="str">
        <f t="shared" si="227"/>
        <v/>
      </c>
      <c r="P684" s="16" t="str">
        <f t="shared" si="228"/>
        <v/>
      </c>
      <c r="Q684" s="16" t="str">
        <f t="shared" si="229"/>
        <v/>
      </c>
      <c r="R684" s="23" t="str">
        <f t="shared" si="230"/>
        <v/>
      </c>
      <c r="S684" s="23" t="str">
        <f t="shared" si="231"/>
        <v/>
      </c>
      <c r="T684" s="23" t="str">
        <f t="shared" si="232"/>
        <v/>
      </c>
      <c r="U684" s="23" t="str">
        <f t="shared" si="233"/>
        <v/>
      </c>
      <c r="V684" s="23" t="str">
        <f t="shared" si="234"/>
        <v/>
      </c>
      <c r="W684" s="70" t="str">
        <f t="shared" si="235"/>
        <v/>
      </c>
      <c r="X684" s="70" t="str">
        <f t="shared" si="236"/>
        <v/>
      </c>
      <c r="Y684" s="70" t="str">
        <f>IF(AND($A684&lt;&gt;"",$E684&gt;0),isLaptopBag($C684,$J684)*$D684,"")</f>
        <v/>
      </c>
      <c r="Z684" s="70" t="str">
        <f t="shared" si="237"/>
        <v/>
      </c>
      <c r="AA684" s="70" t="str">
        <f t="shared" si="238"/>
        <v/>
      </c>
      <c r="AB684" s="70" t="str">
        <f t="shared" si="239"/>
        <v/>
      </c>
      <c r="AC684" s="70" t="str">
        <f t="shared" si="240"/>
        <v/>
      </c>
      <c r="AD684" s="70" t="str">
        <f t="shared" si="241"/>
        <v/>
      </c>
      <c r="AE684" s="70" t="str">
        <f t="shared" si="242"/>
        <v/>
      </c>
      <c r="AF684" s="16"/>
      <c r="AG684" s="23"/>
      <c r="AH684" s="22"/>
      <c r="AJ684" s="83">
        <f t="shared" si="243"/>
        <v>0</v>
      </c>
      <c r="AO684" s="22" t="str">
        <f t="shared" si="244"/>
        <v/>
      </c>
      <c r="AP684" s="22" t="str">
        <f t="shared" si="245"/>
        <v/>
      </c>
    </row>
    <row r="685" spans="1:42" x14ac:dyDescent="0.25">
      <c r="A685" s="10"/>
      <c r="B685" s="10"/>
      <c r="C685" s="10"/>
      <c r="D685" s="10"/>
      <c r="E685" s="10"/>
      <c r="F685" s="10"/>
      <c r="G685" s="10"/>
      <c r="H685" s="17"/>
      <c r="I685" s="10"/>
      <c r="J685" s="10"/>
      <c r="K685" s="16" t="str">
        <f t="shared" si="224"/>
        <v/>
      </c>
      <c r="L685" s="23" t="str">
        <f t="shared" si="225"/>
        <v/>
      </c>
      <c r="M685" s="22" t="str">
        <f t="shared" si="226"/>
        <v/>
      </c>
      <c r="N685" s="72"/>
      <c r="O685" s="16" t="str">
        <f t="shared" si="227"/>
        <v/>
      </c>
      <c r="P685" s="16" t="str">
        <f t="shared" si="228"/>
        <v/>
      </c>
      <c r="Q685" s="16" t="str">
        <f t="shared" si="229"/>
        <v/>
      </c>
      <c r="R685" s="23" t="str">
        <f t="shared" si="230"/>
        <v/>
      </c>
      <c r="S685" s="23" t="str">
        <f t="shared" si="231"/>
        <v/>
      </c>
      <c r="T685" s="23" t="str">
        <f t="shared" si="232"/>
        <v/>
      </c>
      <c r="U685" s="23" t="str">
        <f t="shared" si="233"/>
        <v/>
      </c>
      <c r="V685" s="23" t="str">
        <f t="shared" si="234"/>
        <v/>
      </c>
      <c r="W685" s="70" t="str">
        <f t="shared" si="235"/>
        <v/>
      </c>
      <c r="X685" s="70" t="str">
        <f t="shared" si="236"/>
        <v/>
      </c>
      <c r="Y685" s="70" t="str">
        <f>IF(AND($A685&lt;&gt;"",$E685&gt;0),isLaptopBag($C685,$J685)*$D685,"")</f>
        <v/>
      </c>
      <c r="Z685" s="70" t="str">
        <f t="shared" si="237"/>
        <v/>
      </c>
      <c r="AA685" s="70" t="str">
        <f t="shared" si="238"/>
        <v/>
      </c>
      <c r="AB685" s="70" t="str">
        <f t="shared" si="239"/>
        <v/>
      </c>
      <c r="AC685" s="70" t="str">
        <f t="shared" si="240"/>
        <v/>
      </c>
      <c r="AD685" s="70" t="str">
        <f t="shared" si="241"/>
        <v/>
      </c>
      <c r="AE685" s="70" t="str">
        <f t="shared" si="242"/>
        <v/>
      </c>
      <c r="AF685" s="16"/>
      <c r="AG685" s="23"/>
      <c r="AH685" s="22"/>
      <c r="AJ685" s="83">
        <f t="shared" si="243"/>
        <v>0</v>
      </c>
      <c r="AO685" s="22" t="str">
        <f t="shared" si="244"/>
        <v/>
      </c>
      <c r="AP685" s="22" t="str">
        <f t="shared" si="245"/>
        <v/>
      </c>
    </row>
    <row r="686" spans="1:42" x14ac:dyDescent="0.25">
      <c r="A686" s="10"/>
      <c r="B686" s="10"/>
      <c r="C686" s="10"/>
      <c r="D686" s="10"/>
      <c r="E686" s="10"/>
      <c r="F686" s="10"/>
      <c r="G686" s="10"/>
      <c r="H686" s="17"/>
      <c r="I686" s="10"/>
      <c r="J686" s="10"/>
      <c r="K686" s="16" t="str">
        <f t="shared" si="224"/>
        <v/>
      </c>
      <c r="L686" s="23" t="str">
        <f t="shared" si="225"/>
        <v/>
      </c>
      <c r="M686" s="22" t="str">
        <f t="shared" si="226"/>
        <v/>
      </c>
      <c r="N686" s="72"/>
      <c r="O686" s="16" t="str">
        <f t="shared" si="227"/>
        <v/>
      </c>
      <c r="P686" s="16" t="str">
        <f t="shared" si="228"/>
        <v/>
      </c>
      <c r="Q686" s="16" t="str">
        <f t="shared" si="229"/>
        <v/>
      </c>
      <c r="R686" s="23" t="str">
        <f t="shared" si="230"/>
        <v/>
      </c>
      <c r="S686" s="23" t="str">
        <f t="shared" si="231"/>
        <v/>
      </c>
      <c r="T686" s="23" t="str">
        <f t="shared" si="232"/>
        <v/>
      </c>
      <c r="U686" s="23" t="str">
        <f t="shared" si="233"/>
        <v/>
      </c>
      <c r="V686" s="23" t="str">
        <f t="shared" si="234"/>
        <v/>
      </c>
      <c r="W686" s="70" t="str">
        <f t="shared" si="235"/>
        <v/>
      </c>
      <c r="X686" s="70" t="str">
        <f t="shared" si="236"/>
        <v/>
      </c>
      <c r="Y686" s="70" t="str">
        <f>IF(AND($A686&lt;&gt;"",$E686&gt;0),isLaptopBag($C686,$J686)*$D686,"")</f>
        <v/>
      </c>
      <c r="Z686" s="70" t="str">
        <f t="shared" si="237"/>
        <v/>
      </c>
      <c r="AA686" s="70" t="str">
        <f t="shared" si="238"/>
        <v/>
      </c>
      <c r="AB686" s="70" t="str">
        <f t="shared" si="239"/>
        <v/>
      </c>
      <c r="AC686" s="70" t="str">
        <f t="shared" si="240"/>
        <v/>
      </c>
      <c r="AD686" s="70" t="str">
        <f t="shared" si="241"/>
        <v/>
      </c>
      <c r="AE686" s="70" t="str">
        <f t="shared" si="242"/>
        <v/>
      </c>
      <c r="AF686" s="16"/>
      <c r="AG686" s="23"/>
      <c r="AH686" s="22"/>
      <c r="AJ686" s="83">
        <f t="shared" si="243"/>
        <v>0</v>
      </c>
      <c r="AO686" s="22" t="str">
        <f t="shared" si="244"/>
        <v/>
      </c>
      <c r="AP686" s="22" t="str">
        <f t="shared" si="245"/>
        <v/>
      </c>
    </row>
    <row r="687" spans="1:42" x14ac:dyDescent="0.25">
      <c r="A687" s="10"/>
      <c r="B687" s="10"/>
      <c r="C687" s="10"/>
      <c r="D687" s="10"/>
      <c r="E687" s="10"/>
      <c r="F687" s="10"/>
      <c r="G687" s="10"/>
      <c r="H687" s="17"/>
      <c r="I687" s="10"/>
      <c r="J687" s="10"/>
      <c r="K687" s="16" t="str">
        <f t="shared" si="224"/>
        <v/>
      </c>
      <c r="L687" s="23" t="str">
        <f t="shared" si="225"/>
        <v/>
      </c>
      <c r="M687" s="22" t="str">
        <f t="shared" si="226"/>
        <v/>
      </c>
      <c r="N687" s="72"/>
      <c r="O687" s="16" t="str">
        <f t="shared" si="227"/>
        <v/>
      </c>
      <c r="P687" s="16" t="str">
        <f t="shared" si="228"/>
        <v/>
      </c>
      <c r="Q687" s="16" t="str">
        <f t="shared" si="229"/>
        <v/>
      </c>
      <c r="R687" s="23" t="str">
        <f t="shared" si="230"/>
        <v/>
      </c>
      <c r="S687" s="23" t="str">
        <f t="shared" si="231"/>
        <v/>
      </c>
      <c r="T687" s="23" t="str">
        <f t="shared" si="232"/>
        <v/>
      </c>
      <c r="U687" s="23" t="str">
        <f t="shared" si="233"/>
        <v/>
      </c>
      <c r="V687" s="23" t="str">
        <f t="shared" si="234"/>
        <v/>
      </c>
      <c r="W687" s="70" t="str">
        <f t="shared" si="235"/>
        <v/>
      </c>
      <c r="X687" s="70" t="str">
        <f t="shared" si="236"/>
        <v/>
      </c>
      <c r="Y687" s="70" t="str">
        <f>IF(AND($A687&lt;&gt;"",$E687&gt;0),isLaptopBag($C687,$J687)*$D687,"")</f>
        <v/>
      </c>
      <c r="Z687" s="70" t="str">
        <f t="shared" si="237"/>
        <v/>
      </c>
      <c r="AA687" s="70" t="str">
        <f t="shared" si="238"/>
        <v/>
      </c>
      <c r="AB687" s="70" t="str">
        <f t="shared" si="239"/>
        <v/>
      </c>
      <c r="AC687" s="70" t="str">
        <f t="shared" si="240"/>
        <v/>
      </c>
      <c r="AD687" s="70" t="str">
        <f t="shared" si="241"/>
        <v/>
      </c>
      <c r="AE687" s="70" t="str">
        <f t="shared" si="242"/>
        <v/>
      </c>
      <c r="AF687" s="16"/>
      <c r="AG687" s="23"/>
      <c r="AH687" s="22"/>
      <c r="AJ687" s="83">
        <f t="shared" si="243"/>
        <v>0</v>
      </c>
      <c r="AO687" s="22" t="str">
        <f t="shared" si="244"/>
        <v/>
      </c>
      <c r="AP687" s="22" t="str">
        <f t="shared" si="245"/>
        <v/>
      </c>
    </row>
    <row r="688" spans="1:42" x14ac:dyDescent="0.25">
      <c r="A688" s="10"/>
      <c r="B688" s="10"/>
      <c r="C688" s="10"/>
      <c r="D688" s="10"/>
      <c r="E688" s="10"/>
      <c r="F688" s="10"/>
      <c r="G688" s="10"/>
      <c r="H688" s="17"/>
      <c r="I688" s="10"/>
      <c r="J688" s="10"/>
      <c r="K688" s="16" t="str">
        <f t="shared" si="224"/>
        <v/>
      </c>
      <c r="L688" s="23" t="str">
        <f t="shared" si="225"/>
        <v/>
      </c>
      <c r="M688" s="22" t="str">
        <f t="shared" si="226"/>
        <v/>
      </c>
      <c r="N688" s="72"/>
      <c r="O688" s="16" t="str">
        <f t="shared" si="227"/>
        <v/>
      </c>
      <c r="P688" s="16" t="str">
        <f t="shared" si="228"/>
        <v/>
      </c>
      <c r="Q688" s="16" t="str">
        <f t="shared" si="229"/>
        <v/>
      </c>
      <c r="R688" s="23" t="str">
        <f t="shared" si="230"/>
        <v/>
      </c>
      <c r="S688" s="23" t="str">
        <f t="shared" si="231"/>
        <v/>
      </c>
      <c r="T688" s="23" t="str">
        <f t="shared" si="232"/>
        <v/>
      </c>
      <c r="U688" s="23" t="str">
        <f t="shared" si="233"/>
        <v/>
      </c>
      <c r="V688" s="23" t="str">
        <f t="shared" si="234"/>
        <v/>
      </c>
      <c r="W688" s="70" t="str">
        <f t="shared" si="235"/>
        <v/>
      </c>
      <c r="X688" s="70" t="str">
        <f t="shared" si="236"/>
        <v/>
      </c>
      <c r="Y688" s="70" t="str">
        <f>IF(AND($A688&lt;&gt;"",$E688&gt;0),isLaptopBag($C688,$J688)*$D688,"")</f>
        <v/>
      </c>
      <c r="Z688" s="70" t="str">
        <f t="shared" si="237"/>
        <v/>
      </c>
      <c r="AA688" s="70" t="str">
        <f t="shared" si="238"/>
        <v/>
      </c>
      <c r="AB688" s="70" t="str">
        <f t="shared" si="239"/>
        <v/>
      </c>
      <c r="AC688" s="70" t="str">
        <f t="shared" si="240"/>
        <v/>
      </c>
      <c r="AD688" s="70" t="str">
        <f t="shared" si="241"/>
        <v/>
      </c>
      <c r="AE688" s="70" t="str">
        <f t="shared" si="242"/>
        <v/>
      </c>
      <c r="AF688" s="16"/>
      <c r="AG688" s="23"/>
      <c r="AH688" s="22"/>
      <c r="AJ688" s="83">
        <f t="shared" si="243"/>
        <v>0</v>
      </c>
      <c r="AO688" s="22" t="str">
        <f t="shared" si="244"/>
        <v/>
      </c>
      <c r="AP688" s="22" t="str">
        <f t="shared" si="245"/>
        <v/>
      </c>
    </row>
    <row r="689" spans="1:42" x14ac:dyDescent="0.25">
      <c r="A689" s="10"/>
      <c r="B689" s="10"/>
      <c r="C689" s="10"/>
      <c r="D689" s="10"/>
      <c r="E689" s="10"/>
      <c r="F689" s="10"/>
      <c r="G689" s="10"/>
      <c r="H689" s="17"/>
      <c r="I689" s="10"/>
      <c r="J689" s="10"/>
      <c r="K689" s="16" t="str">
        <f t="shared" si="224"/>
        <v/>
      </c>
      <c r="L689" s="23" t="str">
        <f t="shared" si="225"/>
        <v/>
      </c>
      <c r="M689" s="22" t="str">
        <f t="shared" si="226"/>
        <v/>
      </c>
      <c r="N689" s="72"/>
      <c r="O689" s="16" t="str">
        <f t="shared" si="227"/>
        <v/>
      </c>
      <c r="P689" s="16" t="str">
        <f t="shared" si="228"/>
        <v/>
      </c>
      <c r="Q689" s="16" t="str">
        <f t="shared" si="229"/>
        <v/>
      </c>
      <c r="R689" s="23" t="str">
        <f t="shared" si="230"/>
        <v/>
      </c>
      <c r="S689" s="23" t="str">
        <f t="shared" si="231"/>
        <v/>
      </c>
      <c r="T689" s="23" t="str">
        <f t="shared" si="232"/>
        <v/>
      </c>
      <c r="U689" s="23" t="str">
        <f t="shared" si="233"/>
        <v/>
      </c>
      <c r="V689" s="23" t="str">
        <f t="shared" si="234"/>
        <v/>
      </c>
      <c r="W689" s="70" t="str">
        <f t="shared" si="235"/>
        <v/>
      </c>
      <c r="X689" s="70" t="str">
        <f t="shared" si="236"/>
        <v/>
      </c>
      <c r="Y689" s="70" t="str">
        <f>IF(AND($A689&lt;&gt;"",$E689&gt;0),isLaptopBag($C689,$J689)*$D689,"")</f>
        <v/>
      </c>
      <c r="Z689" s="70" t="str">
        <f t="shared" si="237"/>
        <v/>
      </c>
      <c r="AA689" s="70" t="str">
        <f t="shared" si="238"/>
        <v/>
      </c>
      <c r="AB689" s="70" t="str">
        <f t="shared" si="239"/>
        <v/>
      </c>
      <c r="AC689" s="70" t="str">
        <f t="shared" si="240"/>
        <v/>
      </c>
      <c r="AD689" s="70" t="str">
        <f t="shared" si="241"/>
        <v/>
      </c>
      <c r="AE689" s="70" t="str">
        <f t="shared" si="242"/>
        <v/>
      </c>
      <c r="AF689" s="16"/>
      <c r="AG689" s="23"/>
      <c r="AH689" s="22"/>
      <c r="AJ689" s="83">
        <f t="shared" si="243"/>
        <v>0</v>
      </c>
      <c r="AO689" s="22" t="str">
        <f t="shared" si="244"/>
        <v/>
      </c>
      <c r="AP689" s="22" t="str">
        <f t="shared" si="245"/>
        <v/>
      </c>
    </row>
    <row r="690" spans="1:42" x14ac:dyDescent="0.25">
      <c r="A690" s="10"/>
      <c r="B690" s="10"/>
      <c r="C690" s="10"/>
      <c r="D690" s="10"/>
      <c r="E690" s="10"/>
      <c r="F690" s="10"/>
      <c r="G690" s="10"/>
      <c r="H690" s="17"/>
      <c r="I690" s="10"/>
      <c r="J690" s="10"/>
      <c r="K690" s="16" t="str">
        <f t="shared" si="224"/>
        <v/>
      </c>
      <c r="L690" s="23" t="str">
        <f t="shared" si="225"/>
        <v/>
      </c>
      <c r="M690" s="22" t="str">
        <f t="shared" si="226"/>
        <v/>
      </c>
      <c r="N690" s="72"/>
      <c r="O690" s="16" t="str">
        <f t="shared" si="227"/>
        <v/>
      </c>
      <c r="P690" s="16" t="str">
        <f t="shared" si="228"/>
        <v/>
      </c>
      <c r="Q690" s="16" t="str">
        <f t="shared" si="229"/>
        <v/>
      </c>
      <c r="R690" s="23" t="str">
        <f t="shared" si="230"/>
        <v/>
      </c>
      <c r="S690" s="23" t="str">
        <f t="shared" si="231"/>
        <v/>
      </c>
      <c r="T690" s="23" t="str">
        <f t="shared" si="232"/>
        <v/>
      </c>
      <c r="U690" s="23" t="str">
        <f t="shared" si="233"/>
        <v/>
      </c>
      <c r="V690" s="23" t="str">
        <f t="shared" si="234"/>
        <v/>
      </c>
      <c r="W690" s="70" t="str">
        <f t="shared" si="235"/>
        <v/>
      </c>
      <c r="X690" s="70" t="str">
        <f t="shared" si="236"/>
        <v/>
      </c>
      <c r="Y690" s="70" t="str">
        <f>IF(AND($A690&lt;&gt;"",$E690&gt;0),isLaptopBag($C690,$J690)*$D690,"")</f>
        <v/>
      </c>
      <c r="Z690" s="70" t="str">
        <f t="shared" si="237"/>
        <v/>
      </c>
      <c r="AA690" s="70" t="str">
        <f t="shared" si="238"/>
        <v/>
      </c>
      <c r="AB690" s="70" t="str">
        <f t="shared" si="239"/>
        <v/>
      </c>
      <c r="AC690" s="70" t="str">
        <f t="shared" si="240"/>
        <v/>
      </c>
      <c r="AD690" s="70" t="str">
        <f t="shared" si="241"/>
        <v/>
      </c>
      <c r="AE690" s="70" t="str">
        <f t="shared" si="242"/>
        <v/>
      </c>
      <c r="AF690" s="16"/>
      <c r="AG690" s="23"/>
      <c r="AH690" s="22"/>
      <c r="AJ690" s="83">
        <f t="shared" si="243"/>
        <v>0</v>
      </c>
      <c r="AO690" s="22" t="str">
        <f t="shared" si="244"/>
        <v/>
      </c>
      <c r="AP690" s="22" t="str">
        <f t="shared" si="245"/>
        <v/>
      </c>
    </row>
    <row r="691" spans="1:42" x14ac:dyDescent="0.25">
      <c r="A691" s="10"/>
      <c r="B691" s="10"/>
      <c r="C691" s="10"/>
      <c r="D691" s="10"/>
      <c r="E691" s="10"/>
      <c r="F691" s="10"/>
      <c r="G691" s="10"/>
      <c r="H691" s="17"/>
      <c r="I691" s="10"/>
      <c r="J691" s="10"/>
      <c r="K691" s="16" t="str">
        <f t="shared" si="224"/>
        <v/>
      </c>
      <c r="L691" s="23" t="str">
        <f t="shared" si="225"/>
        <v/>
      </c>
      <c r="M691" s="22" t="str">
        <f t="shared" si="226"/>
        <v/>
      </c>
      <c r="N691" s="72"/>
      <c r="O691" s="16" t="str">
        <f t="shared" si="227"/>
        <v/>
      </c>
      <c r="P691" s="16" t="str">
        <f t="shared" si="228"/>
        <v/>
      </c>
      <c r="Q691" s="16" t="str">
        <f t="shared" si="229"/>
        <v/>
      </c>
      <c r="R691" s="23" t="str">
        <f t="shared" si="230"/>
        <v/>
      </c>
      <c r="S691" s="23" t="str">
        <f t="shared" si="231"/>
        <v/>
      </c>
      <c r="T691" s="23" t="str">
        <f t="shared" si="232"/>
        <v/>
      </c>
      <c r="U691" s="23" t="str">
        <f t="shared" si="233"/>
        <v/>
      </c>
      <c r="V691" s="23" t="str">
        <f t="shared" si="234"/>
        <v/>
      </c>
      <c r="W691" s="70" t="str">
        <f t="shared" si="235"/>
        <v/>
      </c>
      <c r="X691" s="70" t="str">
        <f t="shared" si="236"/>
        <v/>
      </c>
      <c r="Y691" s="70" t="str">
        <f>IF(AND($A691&lt;&gt;"",$E691&gt;0),isLaptopBag($C691,$J691)*$D691,"")</f>
        <v/>
      </c>
      <c r="Z691" s="70" t="str">
        <f t="shared" si="237"/>
        <v/>
      </c>
      <c r="AA691" s="70" t="str">
        <f t="shared" si="238"/>
        <v/>
      </c>
      <c r="AB691" s="70" t="str">
        <f t="shared" si="239"/>
        <v/>
      </c>
      <c r="AC691" s="70" t="str">
        <f t="shared" si="240"/>
        <v/>
      </c>
      <c r="AD691" s="70" t="str">
        <f t="shared" si="241"/>
        <v/>
      </c>
      <c r="AE691" s="70" t="str">
        <f t="shared" si="242"/>
        <v/>
      </c>
      <c r="AF691" s="16"/>
      <c r="AG691" s="23"/>
      <c r="AH691" s="22"/>
      <c r="AJ691" s="83">
        <f t="shared" si="243"/>
        <v>0</v>
      </c>
      <c r="AO691" s="22" t="str">
        <f t="shared" si="244"/>
        <v/>
      </c>
      <c r="AP691" s="22" t="str">
        <f t="shared" si="245"/>
        <v/>
      </c>
    </row>
    <row r="692" spans="1:42" x14ac:dyDescent="0.25">
      <c r="A692" s="10"/>
      <c r="B692" s="10"/>
      <c r="C692" s="10"/>
      <c r="D692" s="10"/>
      <c r="E692" s="10"/>
      <c r="F692" s="10"/>
      <c r="G692" s="10"/>
      <c r="H692" s="17"/>
      <c r="I692" s="10"/>
      <c r="J692" s="10"/>
      <c r="K692" s="16" t="str">
        <f t="shared" si="224"/>
        <v/>
      </c>
      <c r="L692" s="23" t="str">
        <f t="shared" si="225"/>
        <v/>
      </c>
      <c r="M692" s="22" t="str">
        <f t="shared" si="226"/>
        <v/>
      </c>
      <c r="N692" s="72"/>
      <c r="O692" s="16" t="str">
        <f t="shared" si="227"/>
        <v/>
      </c>
      <c r="P692" s="16" t="str">
        <f t="shared" si="228"/>
        <v/>
      </c>
      <c r="Q692" s="16" t="str">
        <f t="shared" si="229"/>
        <v/>
      </c>
      <c r="R692" s="23" t="str">
        <f t="shared" si="230"/>
        <v/>
      </c>
      <c r="S692" s="23" t="str">
        <f t="shared" si="231"/>
        <v/>
      </c>
      <c r="T692" s="23" t="str">
        <f t="shared" si="232"/>
        <v/>
      </c>
      <c r="U692" s="23" t="str">
        <f t="shared" si="233"/>
        <v/>
      </c>
      <c r="V692" s="23" t="str">
        <f t="shared" si="234"/>
        <v/>
      </c>
      <c r="W692" s="70" t="str">
        <f t="shared" si="235"/>
        <v/>
      </c>
      <c r="X692" s="70" t="str">
        <f t="shared" si="236"/>
        <v/>
      </c>
      <c r="Y692" s="70" t="str">
        <f>IF(AND($A692&lt;&gt;"",$E692&gt;0),isLaptopBag($C692,$J692)*$D692,"")</f>
        <v/>
      </c>
      <c r="Z692" s="70" t="str">
        <f t="shared" si="237"/>
        <v/>
      </c>
      <c r="AA692" s="70" t="str">
        <f t="shared" si="238"/>
        <v/>
      </c>
      <c r="AB692" s="70" t="str">
        <f t="shared" si="239"/>
        <v/>
      </c>
      <c r="AC692" s="70" t="str">
        <f t="shared" si="240"/>
        <v/>
      </c>
      <c r="AD692" s="70" t="str">
        <f t="shared" si="241"/>
        <v/>
      </c>
      <c r="AE692" s="70" t="str">
        <f t="shared" si="242"/>
        <v/>
      </c>
      <c r="AF692" s="16"/>
      <c r="AG692" s="23"/>
      <c r="AH692" s="22"/>
      <c r="AJ692" s="83">
        <f t="shared" si="243"/>
        <v>0</v>
      </c>
      <c r="AO692" s="22" t="str">
        <f t="shared" si="244"/>
        <v/>
      </c>
      <c r="AP692" s="22" t="str">
        <f t="shared" si="245"/>
        <v/>
      </c>
    </row>
    <row r="693" spans="1:42" x14ac:dyDescent="0.25">
      <c r="A693" s="10"/>
      <c r="B693" s="10"/>
      <c r="C693" s="10"/>
      <c r="D693" s="10"/>
      <c r="E693" s="10"/>
      <c r="F693" s="10"/>
      <c r="G693" s="10"/>
      <c r="H693" s="17"/>
      <c r="I693" s="10"/>
      <c r="J693" s="10"/>
      <c r="K693" s="16" t="str">
        <f t="shared" si="224"/>
        <v/>
      </c>
      <c r="L693" s="23" t="str">
        <f t="shared" si="225"/>
        <v/>
      </c>
      <c r="M693" s="22" t="str">
        <f t="shared" si="226"/>
        <v/>
      </c>
      <c r="N693" s="72"/>
      <c r="O693" s="16" t="str">
        <f t="shared" si="227"/>
        <v/>
      </c>
      <c r="P693" s="16" t="str">
        <f t="shared" si="228"/>
        <v/>
      </c>
      <c r="Q693" s="16" t="str">
        <f t="shared" si="229"/>
        <v/>
      </c>
      <c r="R693" s="23" t="str">
        <f t="shared" si="230"/>
        <v/>
      </c>
      <c r="S693" s="23" t="str">
        <f t="shared" si="231"/>
        <v/>
      </c>
      <c r="T693" s="23" t="str">
        <f t="shared" si="232"/>
        <v/>
      </c>
      <c r="U693" s="23" t="str">
        <f t="shared" si="233"/>
        <v/>
      </c>
      <c r="V693" s="23" t="str">
        <f t="shared" si="234"/>
        <v/>
      </c>
      <c r="W693" s="70" t="str">
        <f t="shared" si="235"/>
        <v/>
      </c>
      <c r="X693" s="70" t="str">
        <f t="shared" si="236"/>
        <v/>
      </c>
      <c r="Y693" s="70" t="str">
        <f>IF(AND($A693&lt;&gt;"",$E693&gt;0),isLaptopBag($C693,$J693)*$D693,"")</f>
        <v/>
      </c>
      <c r="Z693" s="70" t="str">
        <f t="shared" si="237"/>
        <v/>
      </c>
      <c r="AA693" s="70" t="str">
        <f t="shared" si="238"/>
        <v/>
      </c>
      <c r="AB693" s="70" t="str">
        <f t="shared" si="239"/>
        <v/>
      </c>
      <c r="AC693" s="70" t="str">
        <f t="shared" si="240"/>
        <v/>
      </c>
      <c r="AD693" s="70" t="str">
        <f t="shared" si="241"/>
        <v/>
      </c>
      <c r="AE693" s="70" t="str">
        <f t="shared" si="242"/>
        <v/>
      </c>
      <c r="AF693" s="16"/>
      <c r="AG693" s="23"/>
      <c r="AH693" s="22"/>
      <c r="AJ693" s="83">
        <f t="shared" si="243"/>
        <v>0</v>
      </c>
      <c r="AO693" s="22" t="str">
        <f t="shared" si="244"/>
        <v/>
      </c>
      <c r="AP693" s="22" t="str">
        <f t="shared" si="245"/>
        <v/>
      </c>
    </row>
    <row r="694" spans="1:42" x14ac:dyDescent="0.25">
      <c r="A694" s="10"/>
      <c r="B694" s="10"/>
      <c r="C694" s="10"/>
      <c r="D694" s="10"/>
      <c r="E694" s="10"/>
      <c r="F694" s="10"/>
      <c r="G694" s="10"/>
      <c r="H694" s="17"/>
      <c r="I694" s="10"/>
      <c r="J694" s="10"/>
      <c r="K694" s="16" t="str">
        <f t="shared" si="224"/>
        <v/>
      </c>
      <c r="L694" s="23" t="str">
        <f t="shared" si="225"/>
        <v/>
      </c>
      <c r="M694" s="22" t="str">
        <f t="shared" si="226"/>
        <v/>
      </c>
      <c r="N694" s="72"/>
      <c r="O694" s="16" t="str">
        <f t="shared" si="227"/>
        <v/>
      </c>
      <c r="P694" s="16" t="str">
        <f t="shared" si="228"/>
        <v/>
      </c>
      <c r="Q694" s="16" t="str">
        <f t="shared" si="229"/>
        <v/>
      </c>
      <c r="R694" s="23" t="str">
        <f t="shared" si="230"/>
        <v/>
      </c>
      <c r="S694" s="23" t="str">
        <f t="shared" si="231"/>
        <v/>
      </c>
      <c r="T694" s="23" t="str">
        <f t="shared" si="232"/>
        <v/>
      </c>
      <c r="U694" s="23" t="str">
        <f t="shared" si="233"/>
        <v/>
      </c>
      <c r="V694" s="23" t="str">
        <f t="shared" si="234"/>
        <v/>
      </c>
      <c r="W694" s="70" t="str">
        <f t="shared" si="235"/>
        <v/>
      </c>
      <c r="X694" s="70" t="str">
        <f t="shared" si="236"/>
        <v/>
      </c>
      <c r="Y694" s="70" t="str">
        <f>IF(AND($A694&lt;&gt;"",$E694&gt;0),isLaptopBag($C694,$J694)*$D694,"")</f>
        <v/>
      </c>
      <c r="Z694" s="70" t="str">
        <f t="shared" si="237"/>
        <v/>
      </c>
      <c r="AA694" s="70" t="str">
        <f t="shared" si="238"/>
        <v/>
      </c>
      <c r="AB694" s="70" t="str">
        <f t="shared" si="239"/>
        <v/>
      </c>
      <c r="AC694" s="70" t="str">
        <f t="shared" si="240"/>
        <v/>
      </c>
      <c r="AD694" s="70" t="str">
        <f t="shared" si="241"/>
        <v/>
      </c>
      <c r="AE694" s="70" t="str">
        <f t="shared" si="242"/>
        <v/>
      </c>
      <c r="AF694" s="16"/>
      <c r="AG694" s="23"/>
      <c r="AH694" s="22"/>
      <c r="AJ694" s="83">
        <f t="shared" si="243"/>
        <v>0</v>
      </c>
      <c r="AO694" s="22" t="str">
        <f t="shared" si="244"/>
        <v/>
      </c>
      <c r="AP694" s="22" t="str">
        <f t="shared" si="245"/>
        <v/>
      </c>
    </row>
    <row r="695" spans="1:42" x14ac:dyDescent="0.25">
      <c r="A695" s="10"/>
      <c r="B695" s="10"/>
      <c r="C695" s="10"/>
      <c r="D695" s="10"/>
      <c r="E695" s="10"/>
      <c r="F695" s="10"/>
      <c r="G695" s="10"/>
      <c r="H695" s="17"/>
      <c r="I695" s="10"/>
      <c r="J695" s="10"/>
      <c r="K695" s="16" t="str">
        <f t="shared" si="224"/>
        <v/>
      </c>
      <c r="L695" s="23" t="str">
        <f t="shared" si="225"/>
        <v/>
      </c>
      <c r="M695" s="22" t="str">
        <f t="shared" si="226"/>
        <v/>
      </c>
      <c r="N695" s="72"/>
      <c r="O695" s="16" t="str">
        <f t="shared" si="227"/>
        <v/>
      </c>
      <c r="P695" s="16" t="str">
        <f t="shared" si="228"/>
        <v/>
      </c>
      <c r="Q695" s="16" t="str">
        <f t="shared" si="229"/>
        <v/>
      </c>
      <c r="R695" s="23" t="str">
        <f t="shared" si="230"/>
        <v/>
      </c>
      <c r="S695" s="23" t="str">
        <f t="shared" si="231"/>
        <v/>
      </c>
      <c r="T695" s="23" t="str">
        <f t="shared" si="232"/>
        <v/>
      </c>
      <c r="U695" s="23" t="str">
        <f t="shared" si="233"/>
        <v/>
      </c>
      <c r="V695" s="23" t="str">
        <f t="shared" si="234"/>
        <v/>
      </c>
      <c r="W695" s="70" t="str">
        <f t="shared" si="235"/>
        <v/>
      </c>
      <c r="X695" s="70" t="str">
        <f t="shared" si="236"/>
        <v/>
      </c>
      <c r="Y695" s="70" t="str">
        <f>IF(AND($A695&lt;&gt;"",$E695&gt;0),isLaptopBag($C695,$J695)*$D695,"")</f>
        <v/>
      </c>
      <c r="Z695" s="70" t="str">
        <f t="shared" si="237"/>
        <v/>
      </c>
      <c r="AA695" s="70" t="str">
        <f t="shared" si="238"/>
        <v/>
      </c>
      <c r="AB695" s="70" t="str">
        <f t="shared" si="239"/>
        <v/>
      </c>
      <c r="AC695" s="70" t="str">
        <f t="shared" si="240"/>
        <v/>
      </c>
      <c r="AD695" s="70" t="str">
        <f t="shared" si="241"/>
        <v/>
      </c>
      <c r="AE695" s="70" t="str">
        <f t="shared" si="242"/>
        <v/>
      </c>
      <c r="AF695" s="16"/>
      <c r="AG695" s="23"/>
      <c r="AH695" s="22"/>
      <c r="AJ695" s="83">
        <f t="shared" si="243"/>
        <v>0</v>
      </c>
      <c r="AO695" s="22" t="str">
        <f t="shared" si="244"/>
        <v/>
      </c>
      <c r="AP695" s="22" t="str">
        <f t="shared" si="245"/>
        <v/>
      </c>
    </row>
    <row r="696" spans="1:42" x14ac:dyDescent="0.25">
      <c r="A696" s="10"/>
      <c r="B696" s="10"/>
      <c r="C696" s="10"/>
      <c r="D696" s="10"/>
      <c r="E696" s="10"/>
      <c r="F696" s="10"/>
      <c r="G696" s="10"/>
      <c r="H696" s="17"/>
      <c r="I696" s="10"/>
      <c r="J696" s="10"/>
      <c r="K696" s="16" t="str">
        <f t="shared" si="224"/>
        <v/>
      </c>
      <c r="L696" s="23" t="str">
        <f t="shared" si="225"/>
        <v/>
      </c>
      <c r="M696" s="22" t="str">
        <f t="shared" si="226"/>
        <v/>
      </c>
      <c r="N696" s="72"/>
      <c r="O696" s="16" t="str">
        <f t="shared" si="227"/>
        <v/>
      </c>
      <c r="P696" s="16" t="str">
        <f t="shared" si="228"/>
        <v/>
      </c>
      <c r="Q696" s="16" t="str">
        <f t="shared" si="229"/>
        <v/>
      </c>
      <c r="R696" s="23" t="str">
        <f t="shared" si="230"/>
        <v/>
      </c>
      <c r="S696" s="23" t="str">
        <f t="shared" si="231"/>
        <v/>
      </c>
      <c r="T696" s="23" t="str">
        <f t="shared" si="232"/>
        <v/>
      </c>
      <c r="U696" s="23" t="str">
        <f t="shared" si="233"/>
        <v/>
      </c>
      <c r="V696" s="23" t="str">
        <f t="shared" si="234"/>
        <v/>
      </c>
      <c r="W696" s="70" t="str">
        <f t="shared" si="235"/>
        <v/>
      </c>
      <c r="X696" s="70" t="str">
        <f t="shared" si="236"/>
        <v/>
      </c>
      <c r="Y696" s="70" t="str">
        <f>IF(AND($A696&lt;&gt;"",$E696&gt;0),isLaptopBag($C696,$J696)*$D696,"")</f>
        <v/>
      </c>
      <c r="Z696" s="70" t="str">
        <f t="shared" si="237"/>
        <v/>
      </c>
      <c r="AA696" s="70" t="str">
        <f t="shared" si="238"/>
        <v/>
      </c>
      <c r="AB696" s="70" t="str">
        <f t="shared" si="239"/>
        <v/>
      </c>
      <c r="AC696" s="70" t="str">
        <f t="shared" si="240"/>
        <v/>
      </c>
      <c r="AD696" s="70" t="str">
        <f t="shared" si="241"/>
        <v/>
      </c>
      <c r="AE696" s="70" t="str">
        <f t="shared" si="242"/>
        <v/>
      </c>
      <c r="AF696" s="16"/>
      <c r="AG696" s="23"/>
      <c r="AH696" s="22"/>
      <c r="AJ696" s="83">
        <f t="shared" si="243"/>
        <v>0</v>
      </c>
      <c r="AO696" s="22" t="str">
        <f t="shared" si="244"/>
        <v/>
      </c>
      <c r="AP696" s="22" t="str">
        <f t="shared" si="245"/>
        <v/>
      </c>
    </row>
    <row r="697" spans="1:42" x14ac:dyDescent="0.25">
      <c r="A697" s="10"/>
      <c r="B697" s="10"/>
      <c r="C697" s="10"/>
      <c r="D697" s="10"/>
      <c r="E697" s="10"/>
      <c r="F697" s="10"/>
      <c r="G697" s="10"/>
      <c r="H697" s="17"/>
      <c r="I697" s="10"/>
      <c r="J697" s="10"/>
      <c r="K697" s="16" t="str">
        <f t="shared" si="224"/>
        <v/>
      </c>
      <c r="L697" s="23" t="str">
        <f t="shared" si="225"/>
        <v/>
      </c>
      <c r="M697" s="22" t="str">
        <f t="shared" si="226"/>
        <v/>
      </c>
      <c r="N697" s="72"/>
      <c r="O697" s="16" t="str">
        <f t="shared" si="227"/>
        <v/>
      </c>
      <c r="P697" s="16" t="str">
        <f t="shared" si="228"/>
        <v/>
      </c>
      <c r="Q697" s="16" t="str">
        <f t="shared" si="229"/>
        <v/>
      </c>
      <c r="R697" s="23" t="str">
        <f t="shared" si="230"/>
        <v/>
      </c>
      <c r="S697" s="23" t="str">
        <f t="shared" si="231"/>
        <v/>
      </c>
      <c r="T697" s="23" t="str">
        <f t="shared" si="232"/>
        <v/>
      </c>
      <c r="U697" s="23" t="str">
        <f t="shared" si="233"/>
        <v/>
      </c>
      <c r="V697" s="23" t="str">
        <f t="shared" si="234"/>
        <v/>
      </c>
      <c r="W697" s="70" t="str">
        <f t="shared" si="235"/>
        <v/>
      </c>
      <c r="X697" s="70" t="str">
        <f t="shared" si="236"/>
        <v/>
      </c>
      <c r="Y697" s="70" t="str">
        <f>IF(AND($A697&lt;&gt;"",$E697&gt;0),isLaptopBag($C697,$J697)*$D697,"")</f>
        <v/>
      </c>
      <c r="Z697" s="70" t="str">
        <f t="shared" si="237"/>
        <v/>
      </c>
      <c r="AA697" s="70" t="str">
        <f t="shared" si="238"/>
        <v/>
      </c>
      <c r="AB697" s="70" t="str">
        <f t="shared" si="239"/>
        <v/>
      </c>
      <c r="AC697" s="70" t="str">
        <f t="shared" si="240"/>
        <v/>
      </c>
      <c r="AD697" s="70" t="str">
        <f t="shared" si="241"/>
        <v/>
      </c>
      <c r="AE697" s="70" t="str">
        <f t="shared" si="242"/>
        <v/>
      </c>
      <c r="AF697" s="16"/>
      <c r="AG697" s="23"/>
      <c r="AH697" s="22"/>
      <c r="AJ697" s="83">
        <f t="shared" si="243"/>
        <v>0</v>
      </c>
      <c r="AO697" s="22" t="str">
        <f t="shared" si="244"/>
        <v/>
      </c>
      <c r="AP697" s="22" t="str">
        <f t="shared" si="245"/>
        <v/>
      </c>
    </row>
    <row r="698" spans="1:42" x14ac:dyDescent="0.25">
      <c r="A698" s="10"/>
      <c r="B698" s="10"/>
      <c r="C698" s="10"/>
      <c r="D698" s="10"/>
      <c r="E698" s="10"/>
      <c r="F698" s="10"/>
      <c r="G698" s="10"/>
      <c r="H698" s="17"/>
      <c r="I698" s="10"/>
      <c r="J698" s="10"/>
      <c r="K698" s="16" t="str">
        <f t="shared" si="224"/>
        <v/>
      </c>
      <c r="L698" s="23" t="str">
        <f t="shared" si="225"/>
        <v/>
      </c>
      <c r="M698" s="22" t="str">
        <f t="shared" si="226"/>
        <v/>
      </c>
      <c r="N698" s="72"/>
      <c r="O698" s="16" t="str">
        <f t="shared" si="227"/>
        <v/>
      </c>
      <c r="P698" s="16" t="str">
        <f t="shared" si="228"/>
        <v/>
      </c>
      <c r="Q698" s="16" t="str">
        <f t="shared" si="229"/>
        <v/>
      </c>
      <c r="R698" s="23" t="str">
        <f t="shared" si="230"/>
        <v/>
      </c>
      <c r="S698" s="23" t="str">
        <f t="shared" si="231"/>
        <v/>
      </c>
      <c r="T698" s="23" t="str">
        <f t="shared" si="232"/>
        <v/>
      </c>
      <c r="U698" s="23" t="str">
        <f t="shared" si="233"/>
        <v/>
      </c>
      <c r="V698" s="23" t="str">
        <f t="shared" si="234"/>
        <v/>
      </c>
      <c r="W698" s="70" t="str">
        <f t="shared" si="235"/>
        <v/>
      </c>
      <c r="X698" s="70" t="str">
        <f t="shared" si="236"/>
        <v/>
      </c>
      <c r="Y698" s="70" t="str">
        <f>IF(AND($A698&lt;&gt;"",$E698&gt;0),isLaptopBag($C698,$J698)*$D698,"")</f>
        <v/>
      </c>
      <c r="Z698" s="70" t="str">
        <f t="shared" si="237"/>
        <v/>
      </c>
      <c r="AA698" s="70" t="str">
        <f t="shared" si="238"/>
        <v/>
      </c>
      <c r="AB698" s="70" t="str">
        <f t="shared" si="239"/>
        <v/>
      </c>
      <c r="AC698" s="70" t="str">
        <f t="shared" si="240"/>
        <v/>
      </c>
      <c r="AD698" s="70" t="str">
        <f t="shared" si="241"/>
        <v/>
      </c>
      <c r="AE698" s="70" t="str">
        <f t="shared" si="242"/>
        <v/>
      </c>
      <c r="AF698" s="16"/>
      <c r="AG698" s="23"/>
      <c r="AH698" s="22"/>
      <c r="AJ698" s="83">
        <f t="shared" si="243"/>
        <v>0</v>
      </c>
      <c r="AO698" s="22" t="str">
        <f t="shared" si="244"/>
        <v/>
      </c>
      <c r="AP698" s="22" t="str">
        <f t="shared" si="245"/>
        <v/>
      </c>
    </row>
    <row r="699" spans="1:42" x14ac:dyDescent="0.25">
      <c r="A699" s="10"/>
      <c r="B699" s="10"/>
      <c r="C699" s="10"/>
      <c r="D699" s="10"/>
      <c r="E699" s="10"/>
      <c r="F699" s="10"/>
      <c r="G699" s="10"/>
      <c r="H699" s="17"/>
      <c r="I699" s="10"/>
      <c r="J699" s="10"/>
      <c r="K699" s="16" t="str">
        <f t="shared" si="224"/>
        <v/>
      </c>
      <c r="L699" s="23" t="str">
        <f t="shared" si="225"/>
        <v/>
      </c>
      <c r="M699" s="22" t="str">
        <f t="shared" si="226"/>
        <v/>
      </c>
      <c r="N699" s="72"/>
      <c r="O699" s="16" t="str">
        <f t="shared" si="227"/>
        <v/>
      </c>
      <c r="P699" s="16" t="str">
        <f t="shared" si="228"/>
        <v/>
      </c>
      <c r="Q699" s="16" t="str">
        <f t="shared" si="229"/>
        <v/>
      </c>
      <c r="R699" s="23" t="str">
        <f t="shared" si="230"/>
        <v/>
      </c>
      <c r="S699" s="23" t="str">
        <f t="shared" si="231"/>
        <v/>
      </c>
      <c r="T699" s="23" t="str">
        <f t="shared" si="232"/>
        <v/>
      </c>
      <c r="U699" s="23" t="str">
        <f t="shared" si="233"/>
        <v/>
      </c>
      <c r="V699" s="23" t="str">
        <f t="shared" si="234"/>
        <v/>
      </c>
      <c r="W699" s="70" t="str">
        <f t="shared" si="235"/>
        <v/>
      </c>
      <c r="X699" s="70" t="str">
        <f t="shared" si="236"/>
        <v/>
      </c>
      <c r="Y699" s="70" t="str">
        <f>IF(AND($A699&lt;&gt;"",$E699&gt;0),isLaptopBag($C699,$J699)*$D699,"")</f>
        <v/>
      </c>
      <c r="Z699" s="70" t="str">
        <f t="shared" si="237"/>
        <v/>
      </c>
      <c r="AA699" s="70" t="str">
        <f t="shared" si="238"/>
        <v/>
      </c>
      <c r="AB699" s="70" t="str">
        <f t="shared" si="239"/>
        <v/>
      </c>
      <c r="AC699" s="70" t="str">
        <f t="shared" si="240"/>
        <v/>
      </c>
      <c r="AD699" s="70" t="str">
        <f t="shared" si="241"/>
        <v/>
      </c>
      <c r="AE699" s="70" t="str">
        <f t="shared" si="242"/>
        <v/>
      </c>
      <c r="AF699" s="16"/>
      <c r="AG699" s="23"/>
      <c r="AH699" s="22"/>
      <c r="AJ699" s="83">
        <f t="shared" si="243"/>
        <v>0</v>
      </c>
      <c r="AO699" s="22" t="str">
        <f t="shared" si="244"/>
        <v/>
      </c>
      <c r="AP699" s="22" t="str">
        <f t="shared" si="245"/>
        <v/>
      </c>
    </row>
    <row r="700" spans="1:42" x14ac:dyDescent="0.25">
      <c r="A700" s="10"/>
      <c r="B700" s="10"/>
      <c r="C700" s="10"/>
      <c r="D700" s="10"/>
      <c r="E700" s="10"/>
      <c r="F700" s="10"/>
      <c r="G700" s="10"/>
      <c r="H700" s="17"/>
      <c r="I700" s="10"/>
      <c r="J700" s="10"/>
      <c r="K700" s="16" t="str">
        <f t="shared" si="224"/>
        <v/>
      </c>
      <c r="L700" s="23" t="str">
        <f t="shared" si="225"/>
        <v/>
      </c>
      <c r="M700" s="22" t="str">
        <f t="shared" si="226"/>
        <v/>
      </c>
      <c r="N700" s="72"/>
      <c r="O700" s="16" t="str">
        <f t="shared" si="227"/>
        <v/>
      </c>
      <c r="P700" s="16" t="str">
        <f t="shared" si="228"/>
        <v/>
      </c>
      <c r="Q700" s="16" t="str">
        <f t="shared" si="229"/>
        <v/>
      </c>
      <c r="R700" s="23" t="str">
        <f t="shared" si="230"/>
        <v/>
      </c>
      <c r="S700" s="23" t="str">
        <f t="shared" si="231"/>
        <v/>
      </c>
      <c r="T700" s="23" t="str">
        <f t="shared" si="232"/>
        <v/>
      </c>
      <c r="U700" s="23" t="str">
        <f t="shared" si="233"/>
        <v/>
      </c>
      <c r="V700" s="23" t="str">
        <f t="shared" si="234"/>
        <v/>
      </c>
      <c r="W700" s="70" t="str">
        <f t="shared" si="235"/>
        <v/>
      </c>
      <c r="X700" s="70" t="str">
        <f t="shared" si="236"/>
        <v/>
      </c>
      <c r="Y700" s="70" t="str">
        <f>IF(AND($A700&lt;&gt;"",$E700&gt;0),isLaptopBag($C700,$J700)*$D700,"")</f>
        <v/>
      </c>
      <c r="Z700" s="70" t="str">
        <f t="shared" si="237"/>
        <v/>
      </c>
      <c r="AA700" s="70" t="str">
        <f t="shared" si="238"/>
        <v/>
      </c>
      <c r="AB700" s="70" t="str">
        <f t="shared" si="239"/>
        <v/>
      </c>
      <c r="AC700" s="70" t="str">
        <f t="shared" si="240"/>
        <v/>
      </c>
      <c r="AD700" s="70" t="str">
        <f t="shared" si="241"/>
        <v/>
      </c>
      <c r="AE700" s="70" t="str">
        <f t="shared" si="242"/>
        <v/>
      </c>
      <c r="AF700" s="16"/>
      <c r="AG700" s="23"/>
      <c r="AH700" s="22"/>
      <c r="AJ700" s="83">
        <f t="shared" si="243"/>
        <v>0</v>
      </c>
      <c r="AO700" s="22" t="str">
        <f t="shared" si="244"/>
        <v/>
      </c>
      <c r="AP700" s="22" t="str">
        <f t="shared" si="245"/>
        <v/>
      </c>
    </row>
    <row r="701" spans="1:42" x14ac:dyDescent="0.25">
      <c r="A701" s="10"/>
      <c r="B701" s="10"/>
      <c r="C701" s="10"/>
      <c r="D701" s="10"/>
      <c r="E701" s="10"/>
      <c r="F701" s="10"/>
      <c r="G701" s="10"/>
      <c r="H701" s="17"/>
      <c r="I701" s="10"/>
      <c r="J701" s="10"/>
      <c r="K701" s="16" t="str">
        <f t="shared" si="224"/>
        <v/>
      </c>
      <c r="L701" s="23" t="str">
        <f t="shared" si="225"/>
        <v/>
      </c>
      <c r="M701" s="22" t="str">
        <f t="shared" si="226"/>
        <v/>
      </c>
      <c r="N701" s="72"/>
      <c r="O701" s="16" t="str">
        <f t="shared" si="227"/>
        <v/>
      </c>
      <c r="P701" s="16" t="str">
        <f t="shared" si="228"/>
        <v/>
      </c>
      <c r="Q701" s="16" t="str">
        <f t="shared" si="229"/>
        <v/>
      </c>
      <c r="R701" s="23" t="str">
        <f t="shared" si="230"/>
        <v/>
      </c>
      <c r="S701" s="23" t="str">
        <f t="shared" si="231"/>
        <v/>
      </c>
      <c r="T701" s="23" t="str">
        <f t="shared" si="232"/>
        <v/>
      </c>
      <c r="U701" s="23" t="str">
        <f t="shared" si="233"/>
        <v/>
      </c>
      <c r="V701" s="23" t="str">
        <f t="shared" si="234"/>
        <v/>
      </c>
      <c r="W701" s="70" t="str">
        <f t="shared" si="235"/>
        <v/>
      </c>
      <c r="X701" s="70" t="str">
        <f t="shared" si="236"/>
        <v/>
      </c>
      <c r="Y701" s="70" t="str">
        <f>IF(AND($A701&lt;&gt;"",$E701&gt;0),isLaptopBag($C701,$J701)*$D701,"")</f>
        <v/>
      </c>
      <c r="Z701" s="70" t="str">
        <f t="shared" si="237"/>
        <v/>
      </c>
      <c r="AA701" s="70" t="str">
        <f t="shared" si="238"/>
        <v/>
      </c>
      <c r="AB701" s="70" t="str">
        <f t="shared" si="239"/>
        <v/>
      </c>
      <c r="AC701" s="70" t="str">
        <f t="shared" si="240"/>
        <v/>
      </c>
      <c r="AD701" s="70" t="str">
        <f t="shared" si="241"/>
        <v/>
      </c>
      <c r="AE701" s="70" t="str">
        <f t="shared" si="242"/>
        <v/>
      </c>
      <c r="AF701" s="16"/>
      <c r="AG701" s="23"/>
      <c r="AH701" s="22"/>
      <c r="AJ701" s="83">
        <f t="shared" si="243"/>
        <v>0</v>
      </c>
      <c r="AO701" s="22" t="str">
        <f t="shared" si="244"/>
        <v/>
      </c>
      <c r="AP701" s="22" t="str">
        <f t="shared" si="245"/>
        <v/>
      </c>
    </row>
    <row r="702" spans="1:42" x14ac:dyDescent="0.25">
      <c r="A702" s="10"/>
      <c r="B702" s="10"/>
      <c r="C702" s="10"/>
      <c r="D702" s="10"/>
      <c r="E702" s="10"/>
      <c r="F702" s="10"/>
      <c r="G702" s="10"/>
      <c r="H702" s="17"/>
      <c r="I702" s="10"/>
      <c r="J702" s="10"/>
      <c r="K702" s="16" t="str">
        <f t="shared" si="224"/>
        <v/>
      </c>
      <c r="L702" s="23" t="str">
        <f t="shared" si="225"/>
        <v/>
      </c>
      <c r="M702" s="22" t="str">
        <f t="shared" si="226"/>
        <v/>
      </c>
      <c r="N702" s="72"/>
      <c r="O702" s="16" t="str">
        <f t="shared" si="227"/>
        <v/>
      </c>
      <c r="P702" s="16" t="str">
        <f t="shared" si="228"/>
        <v/>
      </c>
      <c r="Q702" s="16" t="str">
        <f t="shared" si="229"/>
        <v/>
      </c>
      <c r="R702" s="23" t="str">
        <f t="shared" si="230"/>
        <v/>
      </c>
      <c r="S702" s="23" t="str">
        <f t="shared" si="231"/>
        <v/>
      </c>
      <c r="T702" s="23" t="str">
        <f t="shared" si="232"/>
        <v/>
      </c>
      <c r="U702" s="23" t="str">
        <f t="shared" si="233"/>
        <v/>
      </c>
      <c r="V702" s="23" t="str">
        <f t="shared" si="234"/>
        <v/>
      </c>
      <c r="W702" s="70" t="str">
        <f t="shared" si="235"/>
        <v/>
      </c>
      <c r="X702" s="70" t="str">
        <f t="shared" si="236"/>
        <v/>
      </c>
      <c r="Y702" s="70" t="str">
        <f>IF(AND($A702&lt;&gt;"",$E702&gt;0),isLaptopBag($C702,$J702)*$D702,"")</f>
        <v/>
      </c>
      <c r="Z702" s="70" t="str">
        <f t="shared" si="237"/>
        <v/>
      </c>
      <c r="AA702" s="70" t="str">
        <f t="shared" si="238"/>
        <v/>
      </c>
      <c r="AB702" s="70" t="str">
        <f t="shared" si="239"/>
        <v/>
      </c>
      <c r="AC702" s="70" t="str">
        <f t="shared" si="240"/>
        <v/>
      </c>
      <c r="AD702" s="70" t="str">
        <f t="shared" si="241"/>
        <v/>
      </c>
      <c r="AE702" s="70" t="str">
        <f t="shared" si="242"/>
        <v/>
      </c>
      <c r="AF702" s="16"/>
      <c r="AG702" s="23"/>
      <c r="AH702" s="22"/>
      <c r="AJ702" s="83">
        <f t="shared" si="243"/>
        <v>0</v>
      </c>
      <c r="AO702" s="22" t="str">
        <f t="shared" si="244"/>
        <v/>
      </c>
      <c r="AP702" s="22" t="str">
        <f t="shared" si="245"/>
        <v/>
      </c>
    </row>
    <row r="703" spans="1:42" x14ac:dyDescent="0.25">
      <c r="A703" s="10"/>
      <c r="B703" s="10"/>
      <c r="C703" s="10"/>
      <c r="D703" s="10"/>
      <c r="E703" s="10"/>
      <c r="F703" s="10"/>
      <c r="G703" s="10"/>
      <c r="H703" s="17"/>
      <c r="I703" s="10"/>
      <c r="J703" s="10"/>
      <c r="K703" s="16" t="str">
        <f t="shared" si="224"/>
        <v/>
      </c>
      <c r="L703" s="23" t="str">
        <f t="shared" si="225"/>
        <v/>
      </c>
      <c r="M703" s="22" t="str">
        <f t="shared" si="226"/>
        <v/>
      </c>
      <c r="N703" s="72"/>
      <c r="O703" s="16" t="str">
        <f t="shared" si="227"/>
        <v/>
      </c>
      <c r="P703" s="16" t="str">
        <f t="shared" si="228"/>
        <v/>
      </c>
      <c r="Q703" s="16" t="str">
        <f t="shared" si="229"/>
        <v/>
      </c>
      <c r="R703" s="23" t="str">
        <f t="shared" si="230"/>
        <v/>
      </c>
      <c r="S703" s="23" t="str">
        <f t="shared" si="231"/>
        <v/>
      </c>
      <c r="T703" s="23" t="str">
        <f t="shared" si="232"/>
        <v/>
      </c>
      <c r="U703" s="23" t="str">
        <f t="shared" si="233"/>
        <v/>
      </c>
      <c r="V703" s="23" t="str">
        <f t="shared" si="234"/>
        <v/>
      </c>
      <c r="W703" s="70" t="str">
        <f t="shared" si="235"/>
        <v/>
      </c>
      <c r="X703" s="70" t="str">
        <f t="shared" si="236"/>
        <v/>
      </c>
      <c r="Y703" s="70" t="str">
        <f>IF(AND($A703&lt;&gt;"",$E703&gt;0),isLaptopBag($C703,$J703)*$D703,"")</f>
        <v/>
      </c>
      <c r="Z703" s="70" t="str">
        <f t="shared" si="237"/>
        <v/>
      </c>
      <c r="AA703" s="70" t="str">
        <f t="shared" si="238"/>
        <v/>
      </c>
      <c r="AB703" s="70" t="str">
        <f t="shared" si="239"/>
        <v/>
      </c>
      <c r="AC703" s="70" t="str">
        <f t="shared" si="240"/>
        <v/>
      </c>
      <c r="AD703" s="70" t="str">
        <f t="shared" si="241"/>
        <v/>
      </c>
      <c r="AE703" s="70" t="str">
        <f t="shared" si="242"/>
        <v/>
      </c>
      <c r="AF703" s="16"/>
      <c r="AG703" s="23"/>
      <c r="AH703" s="22"/>
      <c r="AJ703" s="83">
        <f t="shared" si="243"/>
        <v>0</v>
      </c>
      <c r="AO703" s="22" t="str">
        <f t="shared" si="244"/>
        <v/>
      </c>
      <c r="AP703" s="22" t="str">
        <f t="shared" si="245"/>
        <v/>
      </c>
    </row>
    <row r="704" spans="1:42" x14ac:dyDescent="0.25">
      <c r="A704" s="10"/>
      <c r="B704" s="10"/>
      <c r="C704" s="10"/>
      <c r="D704" s="10"/>
      <c r="E704" s="10"/>
      <c r="F704" s="10"/>
      <c r="G704" s="10"/>
      <c r="H704" s="17"/>
      <c r="I704" s="10"/>
      <c r="J704" s="10"/>
      <c r="K704" s="16" t="str">
        <f t="shared" si="224"/>
        <v/>
      </c>
      <c r="L704" s="23" t="str">
        <f t="shared" si="225"/>
        <v/>
      </c>
      <c r="M704" s="22" t="str">
        <f t="shared" si="226"/>
        <v/>
      </c>
      <c r="N704" s="72"/>
      <c r="O704" s="16" t="str">
        <f t="shared" si="227"/>
        <v/>
      </c>
      <c r="P704" s="16" t="str">
        <f t="shared" si="228"/>
        <v/>
      </c>
      <c r="Q704" s="16" t="str">
        <f t="shared" si="229"/>
        <v/>
      </c>
      <c r="R704" s="23" t="str">
        <f t="shared" si="230"/>
        <v/>
      </c>
      <c r="S704" s="23" t="str">
        <f t="shared" si="231"/>
        <v/>
      </c>
      <c r="T704" s="23" t="str">
        <f t="shared" si="232"/>
        <v/>
      </c>
      <c r="U704" s="23" t="str">
        <f t="shared" si="233"/>
        <v/>
      </c>
      <c r="V704" s="23" t="str">
        <f t="shared" si="234"/>
        <v/>
      </c>
      <c r="W704" s="70" t="str">
        <f t="shared" si="235"/>
        <v/>
      </c>
      <c r="X704" s="70" t="str">
        <f t="shared" si="236"/>
        <v/>
      </c>
      <c r="Y704" s="70" t="str">
        <f>IF(AND($A704&lt;&gt;"",$E704&gt;0),isLaptopBag($C704,$J704)*$D704,"")</f>
        <v/>
      </c>
      <c r="Z704" s="70" t="str">
        <f t="shared" si="237"/>
        <v/>
      </c>
      <c r="AA704" s="70" t="str">
        <f t="shared" si="238"/>
        <v/>
      </c>
      <c r="AB704" s="70" t="str">
        <f t="shared" si="239"/>
        <v/>
      </c>
      <c r="AC704" s="70" t="str">
        <f t="shared" si="240"/>
        <v/>
      </c>
      <c r="AD704" s="70" t="str">
        <f t="shared" si="241"/>
        <v/>
      </c>
      <c r="AE704" s="70" t="str">
        <f t="shared" si="242"/>
        <v/>
      </c>
      <c r="AF704" s="16"/>
      <c r="AG704" s="23"/>
      <c r="AH704" s="22"/>
      <c r="AJ704" s="83">
        <f t="shared" si="243"/>
        <v>0</v>
      </c>
      <c r="AO704" s="22" t="str">
        <f t="shared" si="244"/>
        <v/>
      </c>
      <c r="AP704" s="22" t="str">
        <f t="shared" si="245"/>
        <v/>
      </c>
    </row>
    <row r="705" spans="1:42" x14ac:dyDescent="0.25">
      <c r="A705" s="10"/>
      <c r="B705" s="10"/>
      <c r="C705" s="10"/>
      <c r="D705" s="10"/>
      <c r="E705" s="10"/>
      <c r="F705" s="10"/>
      <c r="G705" s="10"/>
      <c r="H705" s="17"/>
      <c r="I705" s="10"/>
      <c r="J705" s="10"/>
      <c r="K705" s="16" t="str">
        <f t="shared" si="224"/>
        <v/>
      </c>
      <c r="L705" s="23" t="str">
        <f t="shared" si="225"/>
        <v/>
      </c>
      <c r="M705" s="22" t="str">
        <f t="shared" si="226"/>
        <v/>
      </c>
      <c r="N705" s="72"/>
      <c r="O705" s="16" t="str">
        <f t="shared" si="227"/>
        <v/>
      </c>
      <c r="P705" s="16" t="str">
        <f t="shared" si="228"/>
        <v/>
      </c>
      <c r="Q705" s="16" t="str">
        <f t="shared" si="229"/>
        <v/>
      </c>
      <c r="R705" s="23" t="str">
        <f t="shared" si="230"/>
        <v/>
      </c>
      <c r="S705" s="23" t="str">
        <f t="shared" si="231"/>
        <v/>
      </c>
      <c r="T705" s="23" t="str">
        <f t="shared" si="232"/>
        <v/>
      </c>
      <c r="U705" s="23" t="str">
        <f t="shared" si="233"/>
        <v/>
      </c>
      <c r="V705" s="23" t="str">
        <f t="shared" si="234"/>
        <v/>
      </c>
      <c r="W705" s="70" t="str">
        <f t="shared" si="235"/>
        <v/>
      </c>
      <c r="X705" s="70" t="str">
        <f t="shared" si="236"/>
        <v/>
      </c>
      <c r="Y705" s="70" t="str">
        <f>IF(AND($A705&lt;&gt;"",$E705&gt;0),isLaptopBag($C705,$J705)*$D705,"")</f>
        <v/>
      </c>
      <c r="Z705" s="70" t="str">
        <f t="shared" si="237"/>
        <v/>
      </c>
      <c r="AA705" s="70" t="str">
        <f t="shared" si="238"/>
        <v/>
      </c>
      <c r="AB705" s="70" t="str">
        <f t="shared" si="239"/>
        <v/>
      </c>
      <c r="AC705" s="70" t="str">
        <f t="shared" si="240"/>
        <v/>
      </c>
      <c r="AD705" s="70" t="str">
        <f t="shared" si="241"/>
        <v/>
      </c>
      <c r="AE705" s="70" t="str">
        <f t="shared" si="242"/>
        <v/>
      </c>
      <c r="AF705" s="16"/>
      <c r="AG705" s="23"/>
      <c r="AH705" s="22"/>
      <c r="AJ705" s="83">
        <f t="shared" si="243"/>
        <v>0</v>
      </c>
      <c r="AO705" s="22" t="str">
        <f t="shared" si="244"/>
        <v/>
      </c>
      <c r="AP705" s="22" t="str">
        <f t="shared" si="245"/>
        <v/>
      </c>
    </row>
    <row r="706" spans="1:42" x14ac:dyDescent="0.25">
      <c r="A706" s="10"/>
      <c r="B706" s="10"/>
      <c r="C706" s="10"/>
      <c r="D706" s="10"/>
      <c r="E706" s="10"/>
      <c r="F706" s="10"/>
      <c r="G706" s="10"/>
      <c r="H706" s="17"/>
      <c r="I706" s="10"/>
      <c r="J706" s="10"/>
      <c r="K706" s="16" t="str">
        <f t="shared" si="224"/>
        <v/>
      </c>
      <c r="L706" s="23" t="str">
        <f t="shared" si="225"/>
        <v/>
      </c>
      <c r="M706" s="22" t="str">
        <f t="shared" si="226"/>
        <v/>
      </c>
      <c r="N706" s="72"/>
      <c r="O706" s="16" t="str">
        <f t="shared" si="227"/>
        <v/>
      </c>
      <c r="P706" s="16" t="str">
        <f t="shared" si="228"/>
        <v/>
      </c>
      <c r="Q706" s="16" t="str">
        <f t="shared" si="229"/>
        <v/>
      </c>
      <c r="R706" s="23" t="str">
        <f t="shared" si="230"/>
        <v/>
      </c>
      <c r="S706" s="23" t="str">
        <f t="shared" si="231"/>
        <v/>
      </c>
      <c r="T706" s="23" t="str">
        <f t="shared" si="232"/>
        <v/>
      </c>
      <c r="U706" s="23" t="str">
        <f t="shared" si="233"/>
        <v/>
      </c>
      <c r="V706" s="23" t="str">
        <f t="shared" si="234"/>
        <v/>
      </c>
      <c r="W706" s="70" t="str">
        <f t="shared" si="235"/>
        <v/>
      </c>
      <c r="X706" s="70" t="str">
        <f t="shared" si="236"/>
        <v/>
      </c>
      <c r="Y706" s="70" t="str">
        <f>IF(AND($A706&lt;&gt;"",$E706&gt;0),isLaptopBag($C706,$J706)*$D706,"")</f>
        <v/>
      </c>
      <c r="Z706" s="70" t="str">
        <f t="shared" si="237"/>
        <v/>
      </c>
      <c r="AA706" s="70" t="str">
        <f t="shared" si="238"/>
        <v/>
      </c>
      <c r="AB706" s="70" t="str">
        <f t="shared" si="239"/>
        <v/>
      </c>
      <c r="AC706" s="70" t="str">
        <f t="shared" si="240"/>
        <v/>
      </c>
      <c r="AD706" s="70" t="str">
        <f t="shared" si="241"/>
        <v/>
      </c>
      <c r="AE706" s="70" t="str">
        <f t="shared" si="242"/>
        <v/>
      </c>
      <c r="AF706" s="16"/>
      <c r="AG706" s="23"/>
      <c r="AH706" s="22"/>
      <c r="AJ706" s="83">
        <f t="shared" si="243"/>
        <v>0</v>
      </c>
      <c r="AO706" s="22" t="str">
        <f t="shared" si="244"/>
        <v/>
      </c>
      <c r="AP706" s="22" t="str">
        <f t="shared" si="245"/>
        <v/>
      </c>
    </row>
    <row r="707" spans="1:42" x14ac:dyDescent="0.25">
      <c r="A707" s="10"/>
      <c r="B707" s="10"/>
      <c r="C707" s="10"/>
      <c r="D707" s="10"/>
      <c r="E707" s="10"/>
      <c r="F707" s="10"/>
      <c r="G707" s="10"/>
      <c r="H707" s="17"/>
      <c r="I707" s="10"/>
      <c r="J707" s="10"/>
      <c r="K707" s="16" t="str">
        <f t="shared" si="224"/>
        <v/>
      </c>
      <c r="L707" s="23" t="str">
        <f t="shared" si="225"/>
        <v/>
      </c>
      <c r="M707" s="22" t="str">
        <f t="shared" si="226"/>
        <v/>
      </c>
      <c r="N707" s="72"/>
      <c r="O707" s="16" t="str">
        <f t="shared" si="227"/>
        <v/>
      </c>
      <c r="P707" s="16" t="str">
        <f t="shared" si="228"/>
        <v/>
      </c>
      <c r="Q707" s="16" t="str">
        <f t="shared" si="229"/>
        <v/>
      </c>
      <c r="R707" s="23" t="str">
        <f t="shared" si="230"/>
        <v/>
      </c>
      <c r="S707" s="23" t="str">
        <f t="shared" si="231"/>
        <v/>
      </c>
      <c r="T707" s="23" t="str">
        <f t="shared" si="232"/>
        <v/>
      </c>
      <c r="U707" s="23" t="str">
        <f t="shared" si="233"/>
        <v/>
      </c>
      <c r="V707" s="23" t="str">
        <f t="shared" si="234"/>
        <v/>
      </c>
      <c r="W707" s="70" t="str">
        <f t="shared" si="235"/>
        <v/>
      </c>
      <c r="X707" s="70" t="str">
        <f t="shared" si="236"/>
        <v/>
      </c>
      <c r="Y707" s="70" t="str">
        <f>IF(AND($A707&lt;&gt;"",$E707&gt;0),isLaptopBag($C707,$J707)*$D707,"")</f>
        <v/>
      </c>
      <c r="Z707" s="70" t="str">
        <f t="shared" si="237"/>
        <v/>
      </c>
      <c r="AA707" s="70" t="str">
        <f t="shared" si="238"/>
        <v/>
      </c>
      <c r="AB707" s="70" t="str">
        <f t="shared" si="239"/>
        <v/>
      </c>
      <c r="AC707" s="70" t="str">
        <f t="shared" si="240"/>
        <v/>
      </c>
      <c r="AD707" s="70" t="str">
        <f t="shared" si="241"/>
        <v/>
      </c>
      <c r="AE707" s="70" t="str">
        <f t="shared" si="242"/>
        <v/>
      </c>
      <c r="AF707" s="16"/>
      <c r="AG707" s="23"/>
      <c r="AH707" s="22"/>
      <c r="AJ707" s="83">
        <f t="shared" si="243"/>
        <v>0</v>
      </c>
      <c r="AO707" s="22" t="str">
        <f t="shared" si="244"/>
        <v/>
      </c>
      <c r="AP707" s="22" t="str">
        <f t="shared" si="245"/>
        <v/>
      </c>
    </row>
    <row r="708" spans="1:42" x14ac:dyDescent="0.25">
      <c r="A708" s="10"/>
      <c r="B708" s="10"/>
      <c r="C708" s="10"/>
      <c r="D708" s="10"/>
      <c r="E708" s="10"/>
      <c r="F708" s="10"/>
      <c r="G708" s="10"/>
      <c r="H708" s="17"/>
      <c r="I708" s="10"/>
      <c r="J708" s="10"/>
      <c r="K708" s="16" t="str">
        <f t="shared" si="224"/>
        <v/>
      </c>
      <c r="L708" s="23" t="str">
        <f t="shared" si="225"/>
        <v/>
      </c>
      <c r="M708" s="22" t="str">
        <f t="shared" si="226"/>
        <v/>
      </c>
      <c r="N708" s="72"/>
      <c r="O708" s="16" t="str">
        <f t="shared" si="227"/>
        <v/>
      </c>
      <c r="P708" s="16" t="str">
        <f t="shared" si="228"/>
        <v/>
      </c>
      <c r="Q708" s="16" t="str">
        <f t="shared" si="229"/>
        <v/>
      </c>
      <c r="R708" s="23" t="str">
        <f t="shared" si="230"/>
        <v/>
      </c>
      <c r="S708" s="23" t="str">
        <f t="shared" si="231"/>
        <v/>
      </c>
      <c r="T708" s="23" t="str">
        <f t="shared" si="232"/>
        <v/>
      </c>
      <c r="U708" s="23" t="str">
        <f t="shared" si="233"/>
        <v/>
      </c>
      <c r="V708" s="23" t="str">
        <f t="shared" si="234"/>
        <v/>
      </c>
      <c r="W708" s="70" t="str">
        <f t="shared" si="235"/>
        <v/>
      </c>
      <c r="X708" s="70" t="str">
        <f t="shared" si="236"/>
        <v/>
      </c>
      <c r="Y708" s="70" t="str">
        <f>IF(AND($A708&lt;&gt;"",$E708&gt;0),isLaptopBag($C708,$J708)*$D708,"")</f>
        <v/>
      </c>
      <c r="Z708" s="70" t="str">
        <f t="shared" si="237"/>
        <v/>
      </c>
      <c r="AA708" s="70" t="str">
        <f t="shared" si="238"/>
        <v/>
      </c>
      <c r="AB708" s="70" t="str">
        <f t="shared" si="239"/>
        <v/>
      </c>
      <c r="AC708" s="70" t="str">
        <f t="shared" si="240"/>
        <v/>
      </c>
      <c r="AD708" s="70" t="str">
        <f t="shared" si="241"/>
        <v/>
      </c>
      <c r="AE708" s="70" t="str">
        <f t="shared" si="242"/>
        <v/>
      </c>
      <c r="AF708" s="16"/>
      <c r="AG708" s="23"/>
      <c r="AH708" s="22"/>
      <c r="AJ708" s="83">
        <f t="shared" si="243"/>
        <v>0</v>
      </c>
      <c r="AO708" s="22" t="str">
        <f t="shared" si="244"/>
        <v/>
      </c>
      <c r="AP708" s="22" t="str">
        <f t="shared" si="245"/>
        <v/>
      </c>
    </row>
    <row r="709" spans="1:42" x14ac:dyDescent="0.25">
      <c r="A709" s="10"/>
      <c r="B709" s="10"/>
      <c r="C709" s="10"/>
      <c r="D709" s="10"/>
      <c r="E709" s="10"/>
      <c r="F709" s="10"/>
      <c r="G709" s="10"/>
      <c r="H709" s="17"/>
      <c r="I709" s="10"/>
      <c r="J709" s="10"/>
      <c r="K709" s="16" t="str">
        <f t="shared" si="224"/>
        <v/>
      </c>
      <c r="L709" s="23" t="str">
        <f t="shared" si="225"/>
        <v/>
      </c>
      <c r="M709" s="22" t="str">
        <f t="shared" si="226"/>
        <v/>
      </c>
      <c r="N709" s="72"/>
      <c r="O709" s="16" t="str">
        <f t="shared" si="227"/>
        <v/>
      </c>
      <c r="P709" s="16" t="str">
        <f t="shared" si="228"/>
        <v/>
      </c>
      <c r="Q709" s="16" t="str">
        <f t="shared" si="229"/>
        <v/>
      </c>
      <c r="R709" s="23" t="str">
        <f t="shared" si="230"/>
        <v/>
      </c>
      <c r="S709" s="23" t="str">
        <f t="shared" si="231"/>
        <v/>
      </c>
      <c r="T709" s="23" t="str">
        <f t="shared" si="232"/>
        <v/>
      </c>
      <c r="U709" s="23" t="str">
        <f t="shared" si="233"/>
        <v/>
      </c>
      <c r="V709" s="23" t="str">
        <f t="shared" si="234"/>
        <v/>
      </c>
      <c r="W709" s="70" t="str">
        <f t="shared" si="235"/>
        <v/>
      </c>
      <c r="X709" s="70" t="str">
        <f t="shared" si="236"/>
        <v/>
      </c>
      <c r="Y709" s="70" t="str">
        <f>IF(AND($A709&lt;&gt;"",$E709&gt;0),isLaptopBag($C709,$J709)*$D709,"")</f>
        <v/>
      </c>
      <c r="Z709" s="70" t="str">
        <f t="shared" si="237"/>
        <v/>
      </c>
      <c r="AA709" s="70" t="str">
        <f t="shared" si="238"/>
        <v/>
      </c>
      <c r="AB709" s="70" t="str">
        <f t="shared" si="239"/>
        <v/>
      </c>
      <c r="AC709" s="70" t="str">
        <f t="shared" si="240"/>
        <v/>
      </c>
      <c r="AD709" s="70" t="str">
        <f t="shared" si="241"/>
        <v/>
      </c>
      <c r="AE709" s="70" t="str">
        <f t="shared" si="242"/>
        <v/>
      </c>
      <c r="AF709" s="16"/>
      <c r="AG709" s="23"/>
      <c r="AH709" s="22"/>
      <c r="AJ709" s="83">
        <f t="shared" si="243"/>
        <v>0</v>
      </c>
      <c r="AO709" s="22" t="str">
        <f t="shared" si="244"/>
        <v/>
      </c>
      <c r="AP709" s="22" t="str">
        <f t="shared" si="245"/>
        <v/>
      </c>
    </row>
    <row r="710" spans="1:42" x14ac:dyDescent="0.25">
      <c r="A710" s="10"/>
      <c r="B710" s="10"/>
      <c r="C710" s="10"/>
      <c r="D710" s="10"/>
      <c r="E710" s="10"/>
      <c r="F710" s="10"/>
      <c r="G710" s="10"/>
      <c r="H710" s="17"/>
      <c r="I710" s="10"/>
      <c r="J710" s="10"/>
      <c r="K710" s="16" t="str">
        <f t="shared" si="224"/>
        <v/>
      </c>
      <c r="L710" s="23" t="str">
        <f t="shared" si="225"/>
        <v/>
      </c>
      <c r="M710" s="22" t="str">
        <f t="shared" si="226"/>
        <v/>
      </c>
      <c r="N710" s="72"/>
      <c r="O710" s="16" t="str">
        <f t="shared" si="227"/>
        <v/>
      </c>
      <c r="P710" s="16" t="str">
        <f t="shared" si="228"/>
        <v/>
      </c>
      <c r="Q710" s="16" t="str">
        <f t="shared" si="229"/>
        <v/>
      </c>
      <c r="R710" s="23" t="str">
        <f t="shared" si="230"/>
        <v/>
      </c>
      <c r="S710" s="23" t="str">
        <f t="shared" si="231"/>
        <v/>
      </c>
      <c r="T710" s="23" t="str">
        <f t="shared" si="232"/>
        <v/>
      </c>
      <c r="U710" s="23" t="str">
        <f t="shared" si="233"/>
        <v/>
      </c>
      <c r="V710" s="23" t="str">
        <f t="shared" si="234"/>
        <v/>
      </c>
      <c r="W710" s="70" t="str">
        <f t="shared" si="235"/>
        <v/>
      </c>
      <c r="X710" s="70" t="str">
        <f t="shared" si="236"/>
        <v/>
      </c>
      <c r="Y710" s="70" t="str">
        <f>IF(AND($A710&lt;&gt;"",$E710&gt;0),isLaptopBag($C710,$J710)*$D710,"")</f>
        <v/>
      </c>
      <c r="Z710" s="70" t="str">
        <f t="shared" si="237"/>
        <v/>
      </c>
      <c r="AA710" s="70" t="str">
        <f t="shared" si="238"/>
        <v/>
      </c>
      <c r="AB710" s="70" t="str">
        <f t="shared" si="239"/>
        <v/>
      </c>
      <c r="AC710" s="70" t="str">
        <f t="shared" si="240"/>
        <v/>
      </c>
      <c r="AD710" s="70" t="str">
        <f t="shared" si="241"/>
        <v/>
      </c>
      <c r="AE710" s="70" t="str">
        <f t="shared" si="242"/>
        <v/>
      </c>
      <c r="AF710" s="16"/>
      <c r="AG710" s="23"/>
      <c r="AH710" s="22"/>
      <c r="AJ710" s="83">
        <f t="shared" si="243"/>
        <v>0</v>
      </c>
      <c r="AO710" s="22" t="str">
        <f t="shared" si="244"/>
        <v/>
      </c>
      <c r="AP710" s="22" t="str">
        <f t="shared" si="245"/>
        <v/>
      </c>
    </row>
    <row r="711" spans="1:42" x14ac:dyDescent="0.25">
      <c r="A711" s="10"/>
      <c r="B711" s="10"/>
      <c r="C711" s="10"/>
      <c r="D711" s="10"/>
      <c r="E711" s="10"/>
      <c r="F711" s="10"/>
      <c r="G711" s="10"/>
      <c r="H711" s="17"/>
      <c r="I711" s="10"/>
      <c r="J711" s="10"/>
      <c r="K711" s="16" t="str">
        <f t="shared" si="224"/>
        <v/>
      </c>
      <c r="L711" s="23" t="str">
        <f t="shared" si="225"/>
        <v/>
      </c>
      <c r="M711" s="22" t="str">
        <f t="shared" si="226"/>
        <v/>
      </c>
      <c r="N711" s="72"/>
      <c r="O711" s="16" t="str">
        <f t="shared" si="227"/>
        <v/>
      </c>
      <c r="P711" s="16" t="str">
        <f t="shared" si="228"/>
        <v/>
      </c>
      <c r="Q711" s="16" t="str">
        <f t="shared" si="229"/>
        <v/>
      </c>
      <c r="R711" s="23" t="str">
        <f t="shared" si="230"/>
        <v/>
      </c>
      <c r="S711" s="23" t="str">
        <f t="shared" si="231"/>
        <v/>
      </c>
      <c r="T711" s="23" t="str">
        <f t="shared" si="232"/>
        <v/>
      </c>
      <c r="U711" s="23" t="str">
        <f t="shared" si="233"/>
        <v/>
      </c>
      <c r="V711" s="23" t="str">
        <f t="shared" si="234"/>
        <v/>
      </c>
      <c r="W711" s="70" t="str">
        <f t="shared" si="235"/>
        <v/>
      </c>
      <c r="X711" s="70" t="str">
        <f t="shared" si="236"/>
        <v/>
      </c>
      <c r="Y711" s="70" t="str">
        <f>IF(AND($A711&lt;&gt;"",$E711&gt;0),isLaptopBag($C711,$J711)*$D711,"")</f>
        <v/>
      </c>
      <c r="Z711" s="70" t="str">
        <f t="shared" si="237"/>
        <v/>
      </c>
      <c r="AA711" s="70" t="str">
        <f t="shared" si="238"/>
        <v/>
      </c>
      <c r="AB711" s="70" t="str">
        <f t="shared" si="239"/>
        <v/>
      </c>
      <c r="AC711" s="70" t="str">
        <f t="shared" si="240"/>
        <v/>
      </c>
      <c r="AD711" s="70" t="str">
        <f t="shared" si="241"/>
        <v/>
      </c>
      <c r="AE711" s="70" t="str">
        <f t="shared" si="242"/>
        <v/>
      </c>
      <c r="AF711" s="16"/>
      <c r="AG711" s="23"/>
      <c r="AH711" s="22"/>
      <c r="AJ711" s="83">
        <f t="shared" si="243"/>
        <v>0</v>
      </c>
      <c r="AO711" s="22" t="str">
        <f t="shared" si="244"/>
        <v/>
      </c>
      <c r="AP711" s="22" t="str">
        <f t="shared" si="245"/>
        <v/>
      </c>
    </row>
    <row r="712" spans="1:42" x14ac:dyDescent="0.25">
      <c r="A712" s="10"/>
      <c r="B712" s="10"/>
      <c r="C712" s="10"/>
      <c r="D712" s="10"/>
      <c r="E712" s="10"/>
      <c r="F712" s="10"/>
      <c r="G712" s="10"/>
      <c r="H712" s="17"/>
      <c r="I712" s="10"/>
      <c r="J712" s="10"/>
      <c r="K712" s="16" t="str">
        <f t="shared" si="224"/>
        <v/>
      </c>
      <c r="L712" s="23" t="str">
        <f t="shared" si="225"/>
        <v/>
      </c>
      <c r="M712" s="22" t="str">
        <f t="shared" si="226"/>
        <v/>
      </c>
      <c r="N712" s="72"/>
      <c r="O712" s="16" t="str">
        <f t="shared" si="227"/>
        <v/>
      </c>
      <c r="P712" s="16" t="str">
        <f t="shared" si="228"/>
        <v/>
      </c>
      <c r="Q712" s="16" t="str">
        <f t="shared" si="229"/>
        <v/>
      </c>
      <c r="R712" s="23" t="str">
        <f t="shared" si="230"/>
        <v/>
      </c>
      <c r="S712" s="23" t="str">
        <f t="shared" si="231"/>
        <v/>
      </c>
      <c r="T712" s="23" t="str">
        <f t="shared" si="232"/>
        <v/>
      </c>
      <c r="U712" s="23" t="str">
        <f t="shared" si="233"/>
        <v/>
      </c>
      <c r="V712" s="23" t="str">
        <f t="shared" si="234"/>
        <v/>
      </c>
      <c r="W712" s="70" t="str">
        <f t="shared" si="235"/>
        <v/>
      </c>
      <c r="X712" s="70" t="str">
        <f t="shared" si="236"/>
        <v/>
      </c>
      <c r="Y712" s="70" t="str">
        <f>IF(AND($A712&lt;&gt;"",$E712&gt;0),isLaptopBag($C712,$J712)*$D712,"")</f>
        <v/>
      </c>
      <c r="Z712" s="70" t="str">
        <f t="shared" si="237"/>
        <v/>
      </c>
      <c r="AA712" s="70" t="str">
        <f t="shared" si="238"/>
        <v/>
      </c>
      <c r="AB712" s="70" t="str">
        <f t="shared" si="239"/>
        <v/>
      </c>
      <c r="AC712" s="70" t="str">
        <f t="shared" si="240"/>
        <v/>
      </c>
      <c r="AD712" s="70" t="str">
        <f t="shared" si="241"/>
        <v/>
      </c>
      <c r="AE712" s="70" t="str">
        <f t="shared" si="242"/>
        <v/>
      </c>
      <c r="AF712" s="16"/>
      <c r="AG712" s="23"/>
      <c r="AH712" s="22"/>
      <c r="AJ712" s="83">
        <f t="shared" si="243"/>
        <v>0</v>
      </c>
      <c r="AO712" s="22" t="str">
        <f t="shared" si="244"/>
        <v/>
      </c>
      <c r="AP712" s="22" t="str">
        <f t="shared" si="245"/>
        <v/>
      </c>
    </row>
    <row r="713" spans="1:42" x14ac:dyDescent="0.25">
      <c r="A713" s="10"/>
      <c r="B713" s="10"/>
      <c r="C713" s="10"/>
      <c r="D713" s="10"/>
      <c r="E713" s="10"/>
      <c r="F713" s="10"/>
      <c r="G713" s="10"/>
      <c r="H713" s="17"/>
      <c r="I713" s="10"/>
      <c r="J713" s="10"/>
      <c r="K713" s="16" t="str">
        <f t="shared" si="224"/>
        <v/>
      </c>
      <c r="L713" s="23" t="str">
        <f t="shared" si="225"/>
        <v/>
      </c>
      <c r="M713" s="22" t="str">
        <f t="shared" si="226"/>
        <v/>
      </c>
      <c r="N713" s="72"/>
      <c r="O713" s="16" t="str">
        <f t="shared" si="227"/>
        <v/>
      </c>
      <c r="P713" s="16" t="str">
        <f t="shared" si="228"/>
        <v/>
      </c>
      <c r="Q713" s="16" t="str">
        <f t="shared" si="229"/>
        <v/>
      </c>
      <c r="R713" s="23" t="str">
        <f t="shared" si="230"/>
        <v/>
      </c>
      <c r="S713" s="23" t="str">
        <f t="shared" si="231"/>
        <v/>
      </c>
      <c r="T713" s="23" t="str">
        <f t="shared" si="232"/>
        <v/>
      </c>
      <c r="U713" s="23" t="str">
        <f t="shared" si="233"/>
        <v/>
      </c>
      <c r="V713" s="23" t="str">
        <f t="shared" si="234"/>
        <v/>
      </c>
      <c r="W713" s="70" t="str">
        <f t="shared" si="235"/>
        <v/>
      </c>
      <c r="X713" s="70" t="str">
        <f t="shared" si="236"/>
        <v/>
      </c>
      <c r="Y713" s="70" t="str">
        <f>IF(AND($A713&lt;&gt;"",$E713&gt;0),isLaptopBag($C713,$J713)*$D713,"")</f>
        <v/>
      </c>
      <c r="Z713" s="70" t="str">
        <f t="shared" si="237"/>
        <v/>
      </c>
      <c r="AA713" s="70" t="str">
        <f t="shared" si="238"/>
        <v/>
      </c>
      <c r="AB713" s="70" t="str">
        <f t="shared" si="239"/>
        <v/>
      </c>
      <c r="AC713" s="70" t="str">
        <f t="shared" si="240"/>
        <v/>
      </c>
      <c r="AD713" s="70" t="str">
        <f t="shared" si="241"/>
        <v/>
      </c>
      <c r="AE713" s="70" t="str">
        <f t="shared" si="242"/>
        <v/>
      </c>
      <c r="AF713" s="16"/>
      <c r="AG713" s="23"/>
      <c r="AH713" s="22"/>
      <c r="AJ713" s="83">
        <f t="shared" si="243"/>
        <v>0</v>
      </c>
      <c r="AO713" s="22" t="str">
        <f t="shared" si="244"/>
        <v/>
      </c>
      <c r="AP713" s="22" t="str">
        <f t="shared" si="245"/>
        <v/>
      </c>
    </row>
    <row r="714" spans="1:42" x14ac:dyDescent="0.25">
      <c r="A714" s="10"/>
      <c r="B714" s="10"/>
      <c r="C714" s="10"/>
      <c r="D714" s="10"/>
      <c r="E714" s="10"/>
      <c r="F714" s="10"/>
      <c r="G714" s="10"/>
      <c r="H714" s="17"/>
      <c r="I714" s="10"/>
      <c r="J714" s="10"/>
      <c r="K714" s="16" t="str">
        <f t="shared" si="224"/>
        <v/>
      </c>
      <c r="L714" s="23" t="str">
        <f t="shared" si="225"/>
        <v/>
      </c>
      <c r="M714" s="22" t="str">
        <f t="shared" si="226"/>
        <v/>
      </c>
      <c r="N714" s="72"/>
      <c r="O714" s="16" t="str">
        <f t="shared" si="227"/>
        <v/>
      </c>
      <c r="P714" s="16" t="str">
        <f t="shared" si="228"/>
        <v/>
      </c>
      <c r="Q714" s="16" t="str">
        <f t="shared" si="229"/>
        <v/>
      </c>
      <c r="R714" s="23" t="str">
        <f t="shared" si="230"/>
        <v/>
      </c>
      <c r="S714" s="23" t="str">
        <f t="shared" si="231"/>
        <v/>
      </c>
      <c r="T714" s="23" t="str">
        <f t="shared" si="232"/>
        <v/>
      </c>
      <c r="U714" s="23" t="str">
        <f t="shared" si="233"/>
        <v/>
      </c>
      <c r="V714" s="23" t="str">
        <f t="shared" si="234"/>
        <v/>
      </c>
      <c r="W714" s="70" t="str">
        <f t="shared" si="235"/>
        <v/>
      </c>
      <c r="X714" s="70" t="str">
        <f t="shared" si="236"/>
        <v/>
      </c>
      <c r="Y714" s="70" t="str">
        <f>IF(AND($A714&lt;&gt;"",$E714&gt;0),isLaptopBag($C714,$J714)*$D714,"")</f>
        <v/>
      </c>
      <c r="Z714" s="70" t="str">
        <f t="shared" si="237"/>
        <v/>
      </c>
      <c r="AA714" s="70" t="str">
        <f t="shared" si="238"/>
        <v/>
      </c>
      <c r="AB714" s="70" t="str">
        <f t="shared" si="239"/>
        <v/>
      </c>
      <c r="AC714" s="70" t="str">
        <f t="shared" si="240"/>
        <v/>
      </c>
      <c r="AD714" s="70" t="str">
        <f t="shared" si="241"/>
        <v/>
      </c>
      <c r="AE714" s="70" t="str">
        <f t="shared" si="242"/>
        <v/>
      </c>
      <c r="AF714" s="16"/>
      <c r="AG714" s="23"/>
      <c r="AH714" s="22"/>
      <c r="AJ714" s="83">
        <f t="shared" si="243"/>
        <v>0</v>
      </c>
      <c r="AO714" s="22" t="str">
        <f t="shared" si="244"/>
        <v/>
      </c>
      <c r="AP714" s="22" t="str">
        <f t="shared" si="245"/>
        <v/>
      </c>
    </row>
    <row r="715" spans="1:42" x14ac:dyDescent="0.25">
      <c r="A715" s="10"/>
      <c r="B715" s="10"/>
      <c r="C715" s="10"/>
      <c r="D715" s="10"/>
      <c r="E715" s="10"/>
      <c r="F715" s="10"/>
      <c r="G715" s="10"/>
      <c r="H715" s="17"/>
      <c r="I715" s="10"/>
      <c r="J715" s="10"/>
      <c r="K715" s="16" t="str">
        <f t="shared" si="224"/>
        <v/>
      </c>
      <c r="L715" s="23" t="str">
        <f t="shared" si="225"/>
        <v/>
      </c>
      <c r="M715" s="22" t="str">
        <f t="shared" si="226"/>
        <v/>
      </c>
      <c r="N715" s="72"/>
      <c r="O715" s="16" t="str">
        <f t="shared" si="227"/>
        <v/>
      </c>
      <c r="P715" s="16" t="str">
        <f t="shared" si="228"/>
        <v/>
      </c>
      <c r="Q715" s="16" t="str">
        <f t="shared" si="229"/>
        <v/>
      </c>
      <c r="R715" s="23" t="str">
        <f t="shared" si="230"/>
        <v/>
      </c>
      <c r="S715" s="23" t="str">
        <f t="shared" si="231"/>
        <v/>
      </c>
      <c r="T715" s="23" t="str">
        <f t="shared" si="232"/>
        <v/>
      </c>
      <c r="U715" s="23" t="str">
        <f t="shared" si="233"/>
        <v/>
      </c>
      <c r="V715" s="23" t="str">
        <f t="shared" si="234"/>
        <v/>
      </c>
      <c r="W715" s="70" t="str">
        <f t="shared" si="235"/>
        <v/>
      </c>
      <c r="X715" s="70" t="str">
        <f t="shared" si="236"/>
        <v/>
      </c>
      <c r="Y715" s="70" t="str">
        <f>IF(AND($A715&lt;&gt;"",$E715&gt;0),isLaptopBag($C715,$J715)*$D715,"")</f>
        <v/>
      </c>
      <c r="Z715" s="70" t="str">
        <f t="shared" si="237"/>
        <v/>
      </c>
      <c r="AA715" s="70" t="str">
        <f t="shared" si="238"/>
        <v/>
      </c>
      <c r="AB715" s="70" t="str">
        <f t="shared" si="239"/>
        <v/>
      </c>
      <c r="AC715" s="70" t="str">
        <f t="shared" si="240"/>
        <v/>
      </c>
      <c r="AD715" s="70" t="str">
        <f t="shared" si="241"/>
        <v/>
      </c>
      <c r="AE715" s="70" t="str">
        <f t="shared" si="242"/>
        <v/>
      </c>
      <c r="AF715" s="16"/>
      <c r="AG715" s="23"/>
      <c r="AH715" s="22"/>
      <c r="AJ715" s="83">
        <f t="shared" si="243"/>
        <v>0</v>
      </c>
      <c r="AO715" s="22" t="str">
        <f t="shared" si="244"/>
        <v/>
      </c>
      <c r="AP715" s="22" t="str">
        <f t="shared" si="245"/>
        <v/>
      </c>
    </row>
    <row r="716" spans="1:42" x14ac:dyDescent="0.25">
      <c r="A716" s="10"/>
      <c r="B716" s="10"/>
      <c r="C716" s="10"/>
      <c r="D716" s="10"/>
      <c r="E716" s="10"/>
      <c r="F716" s="10"/>
      <c r="G716" s="10"/>
      <c r="H716" s="17"/>
      <c r="I716" s="10"/>
      <c r="J716" s="10"/>
      <c r="K716" s="16" t="str">
        <f t="shared" si="224"/>
        <v/>
      </c>
      <c r="L716" s="23" t="str">
        <f t="shared" si="225"/>
        <v/>
      </c>
      <c r="M716" s="22" t="str">
        <f t="shared" si="226"/>
        <v/>
      </c>
      <c r="N716" s="72"/>
      <c r="O716" s="16" t="str">
        <f t="shared" si="227"/>
        <v/>
      </c>
      <c r="P716" s="16" t="str">
        <f t="shared" si="228"/>
        <v/>
      </c>
      <c r="Q716" s="16" t="str">
        <f t="shared" si="229"/>
        <v/>
      </c>
      <c r="R716" s="23" t="str">
        <f t="shared" si="230"/>
        <v/>
      </c>
      <c r="S716" s="23" t="str">
        <f t="shared" si="231"/>
        <v/>
      </c>
      <c r="T716" s="23" t="str">
        <f t="shared" si="232"/>
        <v/>
      </c>
      <c r="U716" s="23" t="str">
        <f t="shared" si="233"/>
        <v/>
      </c>
      <c r="V716" s="23" t="str">
        <f t="shared" si="234"/>
        <v/>
      </c>
      <c r="W716" s="70" t="str">
        <f t="shared" si="235"/>
        <v/>
      </c>
      <c r="X716" s="70" t="str">
        <f t="shared" si="236"/>
        <v/>
      </c>
      <c r="Y716" s="70" t="str">
        <f>IF(AND($A716&lt;&gt;"",$E716&gt;0),isLaptopBag($C716,$J716)*$D716,"")</f>
        <v/>
      </c>
      <c r="Z716" s="70" t="str">
        <f t="shared" si="237"/>
        <v/>
      </c>
      <c r="AA716" s="70" t="str">
        <f t="shared" si="238"/>
        <v/>
      </c>
      <c r="AB716" s="70" t="str">
        <f t="shared" si="239"/>
        <v/>
      </c>
      <c r="AC716" s="70" t="str">
        <f t="shared" si="240"/>
        <v/>
      </c>
      <c r="AD716" s="70" t="str">
        <f t="shared" si="241"/>
        <v/>
      </c>
      <c r="AE716" s="70" t="str">
        <f t="shared" si="242"/>
        <v/>
      </c>
      <c r="AF716" s="16"/>
      <c r="AG716" s="23"/>
      <c r="AH716" s="22"/>
      <c r="AJ716" s="83">
        <f t="shared" si="243"/>
        <v>0</v>
      </c>
      <c r="AO716" s="22" t="str">
        <f t="shared" si="244"/>
        <v/>
      </c>
      <c r="AP716" s="22" t="str">
        <f t="shared" si="245"/>
        <v/>
      </c>
    </row>
    <row r="717" spans="1:42" x14ac:dyDescent="0.25">
      <c r="A717" s="10"/>
      <c r="B717" s="10"/>
      <c r="C717" s="10"/>
      <c r="D717" s="10"/>
      <c r="E717" s="10"/>
      <c r="F717" s="10"/>
      <c r="G717" s="10"/>
      <c r="H717" s="17"/>
      <c r="I717" s="10"/>
      <c r="J717" s="10"/>
      <c r="K717" s="16" t="str">
        <f t="shared" ref="K717:K780" si="246">IF($AF717&lt;&gt;"",$AF717,IF(AND($A717&lt;&gt;"",$E717&gt;0),SUM($O717:$Q717),""))</f>
        <v/>
      </c>
      <c r="L717" s="23" t="str">
        <f t="shared" ref="L717:L780" si="247">IF($AG717&lt;&gt;"",$AG717,IF(AND($A717&lt;&gt;"",$E717&gt;0),SUM($R717:$V717),""))</f>
        <v/>
      </c>
      <c r="M717" s="22" t="str">
        <f t="shared" ref="M717:M780" si="248">IF($AH717&lt;&gt;"",$AH717,IF(AND($A717&lt;&gt;"",$E717&gt;0),SUM($W717:$AE717)+$AO717+$AP717,""))</f>
        <v/>
      </c>
      <c r="N717" s="72"/>
      <c r="O717" s="16" t="str">
        <f t="shared" ref="O717:O780" si="249">IF(AND($A717&lt;&gt;"",$E717&gt;0),IF(AND($J717="SONY",200000&lt;=$E717,$E717&lt;1000000),5000*$D717,0),"")</f>
        <v/>
      </c>
      <c r="P717" s="16" t="str">
        <f t="shared" ref="P717:P780" si="250">IF(AND($A717&lt;&gt;"",$E717&gt;0),IF(AND($J717="SONY",1000000&lt;=$E717,$E717&lt;2000000),10000*$D717,0),"")</f>
        <v/>
      </c>
      <c r="Q717" s="16" t="str">
        <f t="shared" ref="Q717:Q780" si="251">IF(AND($A717&lt;&gt;"",$E717&gt;0),IF(AND($J717="SONY",$E717&gt;=2000000),20000*$D717,0),"")</f>
        <v/>
      </c>
      <c r="R717" s="23" t="str">
        <f t="shared" ref="R717:R780" si="252">IF(AND($A717&lt;&gt;"",$E717&gt;0),IF(AND($J717&lt;&gt;"SONY",100000&lt;=$E717,$E717&lt;200000),5000*$D717,0),"")</f>
        <v/>
      </c>
      <c r="S717" s="23" t="str">
        <f t="shared" ref="S717:S780" si="253">IF(AND($A717&lt;&gt;"",$E717&gt;0),IF(AND($J717&lt;&gt;"SONY",200000&lt;=$E717,$E717&lt;500000),10000*$D717,0),"")</f>
        <v/>
      </c>
      <c r="T717" s="23" t="str">
        <f t="shared" ref="T717:T780" si="254">IF(AND($A717&lt;&gt;"",$E717&gt;0),IF(AND($J717&lt;&gt;"SONY",500000&lt;=$E717,$E717&lt;1000000),20000*$D717,0),"")</f>
        <v/>
      </c>
      <c r="U717" s="23" t="str">
        <f t="shared" ref="U717:U780" si="255">IF(AND($A717&lt;&gt;"",$E717&gt;0),IF(AND($J717&lt;&gt;"SONY",1000000&lt;=$E717,$E717&lt;1500000),50000*$D717,0),"")</f>
        <v/>
      </c>
      <c r="V717" s="23" t="str">
        <f t="shared" ref="V717:V780" si="256">IF(AND($A717&lt;&gt;"",$E717&gt;0),IF(AND($J717&lt;&gt;"SONY",1500000&lt;=$E717),100000*$D717,0),"")</f>
        <v/>
      </c>
      <c r="W717" s="70" t="str">
        <f t="shared" ref="W717:W780" si="257">IF(AND($E717&gt;0,$J717="ELECOM",$E717&gt;=500000,ISNUMBER(SEARCH("tai nghe",$C717))),20000*$D717,IF($A717&lt;&gt;"",0,""))</f>
        <v/>
      </c>
      <c r="X717" s="70" t="str">
        <f t="shared" ref="X717:X780" si="258">IF(AND($E717&gt;0,$J717="ELECOM",ISNUMBER(SEARCH("loa",$C717))),20000*$D717,IF($A717&lt;&gt;"",0,""))</f>
        <v/>
      </c>
      <c r="Y717" s="70" t="str">
        <f>IF(AND($A717&lt;&gt;"",$E717&gt;0),isLaptopBag($C717,$J717)*$D717,"")</f>
        <v/>
      </c>
      <c r="Z717" s="70" t="str">
        <f t="shared" ref="Z717:Z780" si="259">IF(AND($E717&gt;0,$J717="ELECOM",ISNUMBER(SEARCH("ốp",$C717))),20000*$D717,IF($A717&lt;&gt;"",0,""))</f>
        <v/>
      </c>
      <c r="AA717" s="70" t="str">
        <f t="shared" ref="AA717:AA780" si="260">IF(AND($E717&gt;0,$J717="ELECOM",ISNUMBER(SEARCH("Bút",$C717))),20000*$D717,IF($A717&lt;&gt;"",0,""))</f>
        <v/>
      </c>
      <c r="AB717" s="70" t="str">
        <f t="shared" ref="AB717:AB780" si="261">IF(AND($E717&gt;0,$J717="ELECOM",ISNUMBER(SEARCH("Chuột bi",$C717))),20000*$D717,IF($A717&lt;&gt;"",0,""))</f>
        <v/>
      </c>
      <c r="AC717" s="70" t="str">
        <f t="shared" ref="AC717:AC780" si="262">IF(AND($E717&gt;0,$J717="ELECOM",ISNUMBER(SEARCH("Chuột trackball",$C717))),20000*$D717,IF($A717&lt;&gt;"",0,""))</f>
        <v/>
      </c>
      <c r="AD717" s="70" t="str">
        <f t="shared" ref="AD717:AD780" si="263">IF(AND($E717&gt;0,$J717="ELECOM",ISNUMBER(SEARCH("Sạc không dây",$C717))),20000*$D717,IF($A717&lt;&gt;"",0,""))</f>
        <v/>
      </c>
      <c r="AE717" s="70" t="str">
        <f t="shared" ref="AE717:AE780" si="264">IF(AND($E717&gt;0,$J717="ELECOM",ISNUMBER(SEARCH("Sạc kd",$C717))),20000*$D717,IF($A717&lt;&gt;"",0,""))</f>
        <v/>
      </c>
      <c r="AF717" s="16"/>
      <c r="AG717" s="23"/>
      <c r="AH717" s="22"/>
      <c r="AJ717" s="83">
        <f t="shared" ref="AJ717:AJ780" si="265">DAY(H717)</f>
        <v>0</v>
      </c>
      <c r="AO717" s="22" t="str">
        <f t="shared" ref="AO717:AO780" si="266">IF(AND($E717&gt;0,ISNUMBER(SEARCH("Sạc dự phòng Energizer",$C717))),10000*$D717,IF($A717&lt;&gt;"",0,""))</f>
        <v/>
      </c>
      <c r="AP717" s="22" t="str">
        <f t="shared" ref="AP717:AP780" si="267">IF(AND($E717&gt;0,ISNUMBER(SEARCH("SDP Energizer",$C717))),10000*$D717,IF($A717&lt;&gt;"",0,""))</f>
        <v/>
      </c>
    </row>
    <row r="718" spans="1:42" x14ac:dyDescent="0.25">
      <c r="A718" s="10"/>
      <c r="B718" s="10"/>
      <c r="C718" s="10"/>
      <c r="D718" s="10"/>
      <c r="E718" s="10"/>
      <c r="F718" s="10"/>
      <c r="G718" s="10"/>
      <c r="H718" s="17"/>
      <c r="I718" s="10"/>
      <c r="J718" s="10"/>
      <c r="K718" s="16" t="str">
        <f t="shared" si="246"/>
        <v/>
      </c>
      <c r="L718" s="23" t="str">
        <f t="shared" si="247"/>
        <v/>
      </c>
      <c r="M718" s="22" t="str">
        <f t="shared" si="248"/>
        <v/>
      </c>
      <c r="N718" s="72"/>
      <c r="O718" s="16" t="str">
        <f t="shared" si="249"/>
        <v/>
      </c>
      <c r="P718" s="16" t="str">
        <f t="shared" si="250"/>
        <v/>
      </c>
      <c r="Q718" s="16" t="str">
        <f t="shared" si="251"/>
        <v/>
      </c>
      <c r="R718" s="23" t="str">
        <f t="shared" si="252"/>
        <v/>
      </c>
      <c r="S718" s="23" t="str">
        <f t="shared" si="253"/>
        <v/>
      </c>
      <c r="T718" s="23" t="str">
        <f t="shared" si="254"/>
        <v/>
      </c>
      <c r="U718" s="23" t="str">
        <f t="shared" si="255"/>
        <v/>
      </c>
      <c r="V718" s="23" t="str">
        <f t="shared" si="256"/>
        <v/>
      </c>
      <c r="W718" s="70" t="str">
        <f t="shared" si="257"/>
        <v/>
      </c>
      <c r="X718" s="70" t="str">
        <f t="shared" si="258"/>
        <v/>
      </c>
      <c r="Y718" s="70" t="str">
        <f>IF(AND($A718&lt;&gt;"",$E718&gt;0),isLaptopBag($C718,$J718)*$D718,"")</f>
        <v/>
      </c>
      <c r="Z718" s="70" t="str">
        <f t="shared" si="259"/>
        <v/>
      </c>
      <c r="AA718" s="70" t="str">
        <f t="shared" si="260"/>
        <v/>
      </c>
      <c r="AB718" s="70" t="str">
        <f t="shared" si="261"/>
        <v/>
      </c>
      <c r="AC718" s="70" t="str">
        <f t="shared" si="262"/>
        <v/>
      </c>
      <c r="AD718" s="70" t="str">
        <f t="shared" si="263"/>
        <v/>
      </c>
      <c r="AE718" s="70" t="str">
        <f t="shared" si="264"/>
        <v/>
      </c>
      <c r="AF718" s="16"/>
      <c r="AG718" s="23"/>
      <c r="AH718" s="22"/>
      <c r="AJ718" s="83">
        <f t="shared" si="265"/>
        <v>0</v>
      </c>
      <c r="AO718" s="22" t="str">
        <f t="shared" si="266"/>
        <v/>
      </c>
      <c r="AP718" s="22" t="str">
        <f t="shared" si="267"/>
        <v/>
      </c>
    </row>
    <row r="719" spans="1:42" x14ac:dyDescent="0.25">
      <c r="A719" s="10"/>
      <c r="B719" s="10"/>
      <c r="C719" s="10"/>
      <c r="D719" s="10"/>
      <c r="E719" s="10"/>
      <c r="F719" s="10"/>
      <c r="G719" s="10"/>
      <c r="H719" s="17"/>
      <c r="I719" s="10"/>
      <c r="J719" s="10"/>
      <c r="K719" s="16" t="str">
        <f t="shared" si="246"/>
        <v/>
      </c>
      <c r="L719" s="23" t="str">
        <f t="shared" si="247"/>
        <v/>
      </c>
      <c r="M719" s="22" t="str">
        <f t="shared" si="248"/>
        <v/>
      </c>
      <c r="N719" s="72"/>
      <c r="O719" s="16" t="str">
        <f t="shared" si="249"/>
        <v/>
      </c>
      <c r="P719" s="16" t="str">
        <f t="shared" si="250"/>
        <v/>
      </c>
      <c r="Q719" s="16" t="str">
        <f t="shared" si="251"/>
        <v/>
      </c>
      <c r="R719" s="23" t="str">
        <f t="shared" si="252"/>
        <v/>
      </c>
      <c r="S719" s="23" t="str">
        <f t="shared" si="253"/>
        <v/>
      </c>
      <c r="T719" s="23" t="str">
        <f t="shared" si="254"/>
        <v/>
      </c>
      <c r="U719" s="23" t="str">
        <f t="shared" si="255"/>
        <v/>
      </c>
      <c r="V719" s="23" t="str">
        <f t="shared" si="256"/>
        <v/>
      </c>
      <c r="W719" s="70" t="str">
        <f t="shared" si="257"/>
        <v/>
      </c>
      <c r="X719" s="70" t="str">
        <f t="shared" si="258"/>
        <v/>
      </c>
      <c r="Y719" s="70" t="str">
        <f>IF(AND($A719&lt;&gt;"",$E719&gt;0),isLaptopBag($C719,$J719)*$D719,"")</f>
        <v/>
      </c>
      <c r="Z719" s="70" t="str">
        <f t="shared" si="259"/>
        <v/>
      </c>
      <c r="AA719" s="70" t="str">
        <f t="shared" si="260"/>
        <v/>
      </c>
      <c r="AB719" s="70" t="str">
        <f t="shared" si="261"/>
        <v/>
      </c>
      <c r="AC719" s="70" t="str">
        <f t="shared" si="262"/>
        <v/>
      </c>
      <c r="AD719" s="70" t="str">
        <f t="shared" si="263"/>
        <v/>
      </c>
      <c r="AE719" s="70" t="str">
        <f t="shared" si="264"/>
        <v/>
      </c>
      <c r="AF719" s="16"/>
      <c r="AG719" s="23"/>
      <c r="AH719" s="22"/>
      <c r="AJ719" s="83">
        <f t="shared" si="265"/>
        <v>0</v>
      </c>
      <c r="AO719" s="22" t="str">
        <f t="shared" si="266"/>
        <v/>
      </c>
      <c r="AP719" s="22" t="str">
        <f t="shared" si="267"/>
        <v/>
      </c>
    </row>
    <row r="720" spans="1:42" x14ac:dyDescent="0.25">
      <c r="A720" s="10"/>
      <c r="B720" s="10"/>
      <c r="C720" s="10"/>
      <c r="D720" s="10"/>
      <c r="E720" s="10"/>
      <c r="F720" s="10"/>
      <c r="G720" s="10"/>
      <c r="H720" s="17"/>
      <c r="I720" s="10"/>
      <c r="J720" s="10"/>
      <c r="K720" s="16" t="str">
        <f t="shared" si="246"/>
        <v/>
      </c>
      <c r="L720" s="23" t="str">
        <f t="shared" si="247"/>
        <v/>
      </c>
      <c r="M720" s="22" t="str">
        <f t="shared" si="248"/>
        <v/>
      </c>
      <c r="N720" s="72"/>
      <c r="O720" s="16" t="str">
        <f t="shared" si="249"/>
        <v/>
      </c>
      <c r="P720" s="16" t="str">
        <f t="shared" si="250"/>
        <v/>
      </c>
      <c r="Q720" s="16" t="str">
        <f t="shared" si="251"/>
        <v/>
      </c>
      <c r="R720" s="23" t="str">
        <f t="shared" si="252"/>
        <v/>
      </c>
      <c r="S720" s="23" t="str">
        <f t="shared" si="253"/>
        <v/>
      </c>
      <c r="T720" s="23" t="str">
        <f t="shared" si="254"/>
        <v/>
      </c>
      <c r="U720" s="23" t="str">
        <f t="shared" si="255"/>
        <v/>
      </c>
      <c r="V720" s="23" t="str">
        <f t="shared" si="256"/>
        <v/>
      </c>
      <c r="W720" s="70" t="str">
        <f t="shared" si="257"/>
        <v/>
      </c>
      <c r="X720" s="70" t="str">
        <f t="shared" si="258"/>
        <v/>
      </c>
      <c r="Y720" s="70" t="str">
        <f>IF(AND($A720&lt;&gt;"",$E720&gt;0),isLaptopBag($C720,$J720)*$D720,"")</f>
        <v/>
      </c>
      <c r="Z720" s="70" t="str">
        <f t="shared" si="259"/>
        <v/>
      </c>
      <c r="AA720" s="70" t="str">
        <f t="shared" si="260"/>
        <v/>
      </c>
      <c r="AB720" s="70" t="str">
        <f t="shared" si="261"/>
        <v/>
      </c>
      <c r="AC720" s="70" t="str">
        <f t="shared" si="262"/>
        <v/>
      </c>
      <c r="AD720" s="70" t="str">
        <f t="shared" si="263"/>
        <v/>
      </c>
      <c r="AE720" s="70" t="str">
        <f t="shared" si="264"/>
        <v/>
      </c>
      <c r="AF720" s="16"/>
      <c r="AG720" s="23"/>
      <c r="AH720" s="22"/>
      <c r="AJ720" s="83">
        <f t="shared" si="265"/>
        <v>0</v>
      </c>
      <c r="AO720" s="22" t="str">
        <f t="shared" si="266"/>
        <v/>
      </c>
      <c r="AP720" s="22" t="str">
        <f t="shared" si="267"/>
        <v/>
      </c>
    </row>
    <row r="721" spans="1:42" x14ac:dyDescent="0.25">
      <c r="A721" s="10"/>
      <c r="B721" s="10"/>
      <c r="C721" s="10"/>
      <c r="D721" s="10"/>
      <c r="E721" s="10"/>
      <c r="F721" s="10"/>
      <c r="G721" s="10"/>
      <c r="H721" s="17"/>
      <c r="I721" s="10"/>
      <c r="J721" s="10"/>
      <c r="K721" s="16" t="str">
        <f t="shared" si="246"/>
        <v/>
      </c>
      <c r="L721" s="23" t="str">
        <f t="shared" si="247"/>
        <v/>
      </c>
      <c r="M721" s="22" t="str">
        <f t="shared" si="248"/>
        <v/>
      </c>
      <c r="N721" s="72"/>
      <c r="O721" s="16" t="str">
        <f t="shared" si="249"/>
        <v/>
      </c>
      <c r="P721" s="16" t="str">
        <f t="shared" si="250"/>
        <v/>
      </c>
      <c r="Q721" s="16" t="str">
        <f t="shared" si="251"/>
        <v/>
      </c>
      <c r="R721" s="23" t="str">
        <f t="shared" si="252"/>
        <v/>
      </c>
      <c r="S721" s="23" t="str">
        <f t="shared" si="253"/>
        <v/>
      </c>
      <c r="T721" s="23" t="str">
        <f t="shared" si="254"/>
        <v/>
      </c>
      <c r="U721" s="23" t="str">
        <f t="shared" si="255"/>
        <v/>
      </c>
      <c r="V721" s="23" t="str">
        <f t="shared" si="256"/>
        <v/>
      </c>
      <c r="W721" s="70" t="str">
        <f t="shared" si="257"/>
        <v/>
      </c>
      <c r="X721" s="70" t="str">
        <f t="shared" si="258"/>
        <v/>
      </c>
      <c r="Y721" s="70" t="str">
        <f>IF(AND($A721&lt;&gt;"",$E721&gt;0),isLaptopBag($C721,$J721)*$D721,"")</f>
        <v/>
      </c>
      <c r="Z721" s="70" t="str">
        <f t="shared" si="259"/>
        <v/>
      </c>
      <c r="AA721" s="70" t="str">
        <f t="shared" si="260"/>
        <v/>
      </c>
      <c r="AB721" s="70" t="str">
        <f t="shared" si="261"/>
        <v/>
      </c>
      <c r="AC721" s="70" t="str">
        <f t="shared" si="262"/>
        <v/>
      </c>
      <c r="AD721" s="70" t="str">
        <f t="shared" si="263"/>
        <v/>
      </c>
      <c r="AE721" s="70" t="str">
        <f t="shared" si="264"/>
        <v/>
      </c>
      <c r="AF721" s="16"/>
      <c r="AG721" s="23"/>
      <c r="AH721" s="22"/>
      <c r="AJ721" s="83">
        <f t="shared" si="265"/>
        <v>0</v>
      </c>
      <c r="AO721" s="22" t="str">
        <f t="shared" si="266"/>
        <v/>
      </c>
      <c r="AP721" s="22" t="str">
        <f t="shared" si="267"/>
        <v/>
      </c>
    </row>
    <row r="722" spans="1:42" x14ac:dyDescent="0.25">
      <c r="A722" s="10"/>
      <c r="B722" s="10"/>
      <c r="C722" s="10"/>
      <c r="D722" s="10"/>
      <c r="E722" s="10"/>
      <c r="F722" s="10"/>
      <c r="G722" s="10"/>
      <c r="H722" s="17"/>
      <c r="I722" s="10"/>
      <c r="J722" s="10"/>
      <c r="K722" s="16" t="str">
        <f t="shared" si="246"/>
        <v/>
      </c>
      <c r="L722" s="23" t="str">
        <f t="shared" si="247"/>
        <v/>
      </c>
      <c r="M722" s="22" t="str">
        <f t="shared" si="248"/>
        <v/>
      </c>
      <c r="N722" s="72"/>
      <c r="O722" s="16" t="str">
        <f t="shared" si="249"/>
        <v/>
      </c>
      <c r="P722" s="16" t="str">
        <f t="shared" si="250"/>
        <v/>
      </c>
      <c r="Q722" s="16" t="str">
        <f t="shared" si="251"/>
        <v/>
      </c>
      <c r="R722" s="23" t="str">
        <f t="shared" si="252"/>
        <v/>
      </c>
      <c r="S722" s="23" t="str">
        <f t="shared" si="253"/>
        <v/>
      </c>
      <c r="T722" s="23" t="str">
        <f t="shared" si="254"/>
        <v/>
      </c>
      <c r="U722" s="23" t="str">
        <f t="shared" si="255"/>
        <v/>
      </c>
      <c r="V722" s="23" t="str">
        <f t="shared" si="256"/>
        <v/>
      </c>
      <c r="W722" s="70" t="str">
        <f t="shared" si="257"/>
        <v/>
      </c>
      <c r="X722" s="70" t="str">
        <f t="shared" si="258"/>
        <v/>
      </c>
      <c r="Y722" s="70" t="str">
        <f>IF(AND($A722&lt;&gt;"",$E722&gt;0),isLaptopBag($C722,$J722)*$D722,"")</f>
        <v/>
      </c>
      <c r="Z722" s="70" t="str">
        <f t="shared" si="259"/>
        <v/>
      </c>
      <c r="AA722" s="70" t="str">
        <f t="shared" si="260"/>
        <v/>
      </c>
      <c r="AB722" s="70" t="str">
        <f t="shared" si="261"/>
        <v/>
      </c>
      <c r="AC722" s="70" t="str">
        <f t="shared" si="262"/>
        <v/>
      </c>
      <c r="AD722" s="70" t="str">
        <f t="shared" si="263"/>
        <v/>
      </c>
      <c r="AE722" s="70" t="str">
        <f t="shared" si="264"/>
        <v/>
      </c>
      <c r="AF722" s="16"/>
      <c r="AG722" s="23"/>
      <c r="AH722" s="22"/>
      <c r="AJ722" s="83">
        <f t="shared" si="265"/>
        <v>0</v>
      </c>
      <c r="AO722" s="22" t="str">
        <f t="shared" si="266"/>
        <v/>
      </c>
      <c r="AP722" s="22" t="str">
        <f t="shared" si="267"/>
        <v/>
      </c>
    </row>
    <row r="723" spans="1:42" x14ac:dyDescent="0.25">
      <c r="A723" s="10"/>
      <c r="B723" s="10"/>
      <c r="C723" s="10"/>
      <c r="D723" s="10"/>
      <c r="E723" s="10"/>
      <c r="F723" s="10"/>
      <c r="G723" s="10"/>
      <c r="H723" s="17"/>
      <c r="I723" s="10"/>
      <c r="J723" s="10"/>
      <c r="K723" s="16" t="str">
        <f t="shared" si="246"/>
        <v/>
      </c>
      <c r="L723" s="23" t="str">
        <f t="shared" si="247"/>
        <v/>
      </c>
      <c r="M723" s="22" t="str">
        <f t="shared" si="248"/>
        <v/>
      </c>
      <c r="N723" s="72"/>
      <c r="O723" s="16" t="str">
        <f t="shared" si="249"/>
        <v/>
      </c>
      <c r="P723" s="16" t="str">
        <f t="shared" si="250"/>
        <v/>
      </c>
      <c r="Q723" s="16" t="str">
        <f t="shared" si="251"/>
        <v/>
      </c>
      <c r="R723" s="23" t="str">
        <f t="shared" si="252"/>
        <v/>
      </c>
      <c r="S723" s="23" t="str">
        <f t="shared" si="253"/>
        <v/>
      </c>
      <c r="T723" s="23" t="str">
        <f t="shared" si="254"/>
        <v/>
      </c>
      <c r="U723" s="23" t="str">
        <f t="shared" si="255"/>
        <v/>
      </c>
      <c r="V723" s="23" t="str">
        <f t="shared" si="256"/>
        <v/>
      </c>
      <c r="W723" s="70" t="str">
        <f t="shared" si="257"/>
        <v/>
      </c>
      <c r="X723" s="70" t="str">
        <f t="shared" si="258"/>
        <v/>
      </c>
      <c r="Y723" s="70" t="str">
        <f>IF(AND($A723&lt;&gt;"",$E723&gt;0),isLaptopBag($C723,$J723)*$D723,"")</f>
        <v/>
      </c>
      <c r="Z723" s="70" t="str">
        <f t="shared" si="259"/>
        <v/>
      </c>
      <c r="AA723" s="70" t="str">
        <f t="shared" si="260"/>
        <v/>
      </c>
      <c r="AB723" s="70" t="str">
        <f t="shared" si="261"/>
        <v/>
      </c>
      <c r="AC723" s="70" t="str">
        <f t="shared" si="262"/>
        <v/>
      </c>
      <c r="AD723" s="70" t="str">
        <f t="shared" si="263"/>
        <v/>
      </c>
      <c r="AE723" s="70" t="str">
        <f t="shared" si="264"/>
        <v/>
      </c>
      <c r="AF723" s="16"/>
      <c r="AG723" s="23"/>
      <c r="AH723" s="22"/>
      <c r="AJ723" s="83">
        <f t="shared" si="265"/>
        <v>0</v>
      </c>
      <c r="AO723" s="22" t="str">
        <f t="shared" si="266"/>
        <v/>
      </c>
      <c r="AP723" s="22" t="str">
        <f t="shared" si="267"/>
        <v/>
      </c>
    </row>
    <row r="724" spans="1:42" x14ac:dyDescent="0.25">
      <c r="A724" s="10"/>
      <c r="B724" s="10"/>
      <c r="C724" s="10"/>
      <c r="D724" s="10"/>
      <c r="E724" s="10"/>
      <c r="F724" s="10"/>
      <c r="G724" s="10"/>
      <c r="H724" s="17"/>
      <c r="I724" s="10"/>
      <c r="J724" s="10"/>
      <c r="K724" s="16" t="str">
        <f t="shared" si="246"/>
        <v/>
      </c>
      <c r="L724" s="23" t="str">
        <f t="shared" si="247"/>
        <v/>
      </c>
      <c r="M724" s="22" t="str">
        <f t="shared" si="248"/>
        <v/>
      </c>
      <c r="N724" s="72"/>
      <c r="O724" s="16" t="str">
        <f t="shared" si="249"/>
        <v/>
      </c>
      <c r="P724" s="16" t="str">
        <f t="shared" si="250"/>
        <v/>
      </c>
      <c r="Q724" s="16" t="str">
        <f t="shared" si="251"/>
        <v/>
      </c>
      <c r="R724" s="23" t="str">
        <f t="shared" si="252"/>
        <v/>
      </c>
      <c r="S724" s="23" t="str">
        <f t="shared" si="253"/>
        <v/>
      </c>
      <c r="T724" s="23" t="str">
        <f t="shared" si="254"/>
        <v/>
      </c>
      <c r="U724" s="23" t="str">
        <f t="shared" si="255"/>
        <v/>
      </c>
      <c r="V724" s="23" t="str">
        <f t="shared" si="256"/>
        <v/>
      </c>
      <c r="W724" s="70" t="str">
        <f t="shared" si="257"/>
        <v/>
      </c>
      <c r="X724" s="70" t="str">
        <f t="shared" si="258"/>
        <v/>
      </c>
      <c r="Y724" s="70" t="str">
        <f>IF(AND($A724&lt;&gt;"",$E724&gt;0),isLaptopBag($C724,$J724)*$D724,"")</f>
        <v/>
      </c>
      <c r="Z724" s="70" t="str">
        <f t="shared" si="259"/>
        <v/>
      </c>
      <c r="AA724" s="70" t="str">
        <f t="shared" si="260"/>
        <v/>
      </c>
      <c r="AB724" s="70" t="str">
        <f t="shared" si="261"/>
        <v/>
      </c>
      <c r="AC724" s="70" t="str">
        <f t="shared" si="262"/>
        <v/>
      </c>
      <c r="AD724" s="70" t="str">
        <f t="shared" si="263"/>
        <v/>
      </c>
      <c r="AE724" s="70" t="str">
        <f t="shared" si="264"/>
        <v/>
      </c>
      <c r="AF724" s="16"/>
      <c r="AG724" s="23"/>
      <c r="AH724" s="22"/>
      <c r="AJ724" s="83">
        <f t="shared" si="265"/>
        <v>0</v>
      </c>
      <c r="AO724" s="22" t="str">
        <f t="shared" si="266"/>
        <v/>
      </c>
      <c r="AP724" s="22" t="str">
        <f t="shared" si="267"/>
        <v/>
      </c>
    </row>
    <row r="725" spans="1:42" x14ac:dyDescent="0.25">
      <c r="A725" s="10"/>
      <c r="B725" s="10"/>
      <c r="C725" s="10"/>
      <c r="D725" s="10"/>
      <c r="E725" s="10"/>
      <c r="F725" s="10"/>
      <c r="G725" s="10"/>
      <c r="H725" s="17"/>
      <c r="I725" s="10"/>
      <c r="J725" s="10"/>
      <c r="K725" s="16" t="str">
        <f t="shared" si="246"/>
        <v/>
      </c>
      <c r="L725" s="23" t="str">
        <f t="shared" si="247"/>
        <v/>
      </c>
      <c r="M725" s="22" t="str">
        <f t="shared" si="248"/>
        <v/>
      </c>
      <c r="N725" s="72"/>
      <c r="O725" s="16" t="str">
        <f t="shared" si="249"/>
        <v/>
      </c>
      <c r="P725" s="16" t="str">
        <f t="shared" si="250"/>
        <v/>
      </c>
      <c r="Q725" s="16" t="str">
        <f t="shared" si="251"/>
        <v/>
      </c>
      <c r="R725" s="23" t="str">
        <f t="shared" si="252"/>
        <v/>
      </c>
      <c r="S725" s="23" t="str">
        <f t="shared" si="253"/>
        <v/>
      </c>
      <c r="T725" s="23" t="str">
        <f t="shared" si="254"/>
        <v/>
      </c>
      <c r="U725" s="23" t="str">
        <f t="shared" si="255"/>
        <v/>
      </c>
      <c r="V725" s="23" t="str">
        <f t="shared" si="256"/>
        <v/>
      </c>
      <c r="W725" s="70" t="str">
        <f t="shared" si="257"/>
        <v/>
      </c>
      <c r="X725" s="70" t="str">
        <f t="shared" si="258"/>
        <v/>
      </c>
      <c r="Y725" s="70" t="str">
        <f>IF(AND($A725&lt;&gt;"",$E725&gt;0),isLaptopBag($C725,$J725)*$D725,"")</f>
        <v/>
      </c>
      <c r="Z725" s="70" t="str">
        <f t="shared" si="259"/>
        <v/>
      </c>
      <c r="AA725" s="70" t="str">
        <f t="shared" si="260"/>
        <v/>
      </c>
      <c r="AB725" s="70" t="str">
        <f t="shared" si="261"/>
        <v/>
      </c>
      <c r="AC725" s="70" t="str">
        <f t="shared" si="262"/>
        <v/>
      </c>
      <c r="AD725" s="70" t="str">
        <f t="shared" si="263"/>
        <v/>
      </c>
      <c r="AE725" s="70" t="str">
        <f t="shared" si="264"/>
        <v/>
      </c>
      <c r="AF725" s="16"/>
      <c r="AG725" s="23"/>
      <c r="AH725" s="22"/>
      <c r="AJ725" s="83">
        <f t="shared" si="265"/>
        <v>0</v>
      </c>
      <c r="AO725" s="22" t="str">
        <f t="shared" si="266"/>
        <v/>
      </c>
      <c r="AP725" s="22" t="str">
        <f t="shared" si="267"/>
        <v/>
      </c>
    </row>
    <row r="726" spans="1:42" x14ac:dyDescent="0.25">
      <c r="A726" s="10"/>
      <c r="B726" s="10"/>
      <c r="C726" s="10"/>
      <c r="D726" s="10"/>
      <c r="E726" s="10"/>
      <c r="F726" s="10"/>
      <c r="G726" s="10"/>
      <c r="H726" s="17"/>
      <c r="I726" s="10"/>
      <c r="J726" s="10"/>
      <c r="K726" s="16" t="str">
        <f t="shared" si="246"/>
        <v/>
      </c>
      <c r="L726" s="23" t="str">
        <f t="shared" si="247"/>
        <v/>
      </c>
      <c r="M726" s="22" t="str">
        <f t="shared" si="248"/>
        <v/>
      </c>
      <c r="N726" s="72"/>
      <c r="O726" s="16" t="str">
        <f t="shared" si="249"/>
        <v/>
      </c>
      <c r="P726" s="16" t="str">
        <f t="shared" si="250"/>
        <v/>
      </c>
      <c r="Q726" s="16" t="str">
        <f t="shared" si="251"/>
        <v/>
      </c>
      <c r="R726" s="23" t="str">
        <f t="shared" si="252"/>
        <v/>
      </c>
      <c r="S726" s="23" t="str">
        <f t="shared" si="253"/>
        <v/>
      </c>
      <c r="T726" s="23" t="str">
        <f t="shared" si="254"/>
        <v/>
      </c>
      <c r="U726" s="23" t="str">
        <f t="shared" si="255"/>
        <v/>
      </c>
      <c r="V726" s="23" t="str">
        <f t="shared" si="256"/>
        <v/>
      </c>
      <c r="W726" s="70" t="str">
        <f t="shared" si="257"/>
        <v/>
      </c>
      <c r="X726" s="70" t="str">
        <f t="shared" si="258"/>
        <v/>
      </c>
      <c r="Y726" s="70" t="str">
        <f>IF(AND($A726&lt;&gt;"",$E726&gt;0),isLaptopBag($C726,$J726)*$D726,"")</f>
        <v/>
      </c>
      <c r="Z726" s="70" t="str">
        <f t="shared" si="259"/>
        <v/>
      </c>
      <c r="AA726" s="70" t="str">
        <f t="shared" si="260"/>
        <v/>
      </c>
      <c r="AB726" s="70" t="str">
        <f t="shared" si="261"/>
        <v/>
      </c>
      <c r="AC726" s="70" t="str">
        <f t="shared" si="262"/>
        <v/>
      </c>
      <c r="AD726" s="70" t="str">
        <f t="shared" si="263"/>
        <v/>
      </c>
      <c r="AE726" s="70" t="str">
        <f t="shared" si="264"/>
        <v/>
      </c>
      <c r="AF726" s="16"/>
      <c r="AG726" s="23"/>
      <c r="AH726" s="22"/>
      <c r="AJ726" s="83">
        <f t="shared" si="265"/>
        <v>0</v>
      </c>
      <c r="AO726" s="22" t="str">
        <f t="shared" si="266"/>
        <v/>
      </c>
      <c r="AP726" s="22" t="str">
        <f t="shared" si="267"/>
        <v/>
      </c>
    </row>
    <row r="727" spans="1:42" x14ac:dyDescent="0.25">
      <c r="A727" s="10"/>
      <c r="B727" s="10"/>
      <c r="C727" s="10"/>
      <c r="D727" s="10"/>
      <c r="E727" s="10"/>
      <c r="F727" s="10"/>
      <c r="G727" s="10"/>
      <c r="H727" s="17"/>
      <c r="I727" s="10"/>
      <c r="J727" s="10"/>
      <c r="K727" s="16" t="str">
        <f t="shared" si="246"/>
        <v/>
      </c>
      <c r="L727" s="23" t="str">
        <f t="shared" si="247"/>
        <v/>
      </c>
      <c r="M727" s="22" t="str">
        <f t="shared" si="248"/>
        <v/>
      </c>
      <c r="N727" s="72"/>
      <c r="O727" s="16" t="str">
        <f t="shared" si="249"/>
        <v/>
      </c>
      <c r="P727" s="16" t="str">
        <f t="shared" si="250"/>
        <v/>
      </c>
      <c r="Q727" s="16" t="str">
        <f t="shared" si="251"/>
        <v/>
      </c>
      <c r="R727" s="23" t="str">
        <f t="shared" si="252"/>
        <v/>
      </c>
      <c r="S727" s="23" t="str">
        <f t="shared" si="253"/>
        <v/>
      </c>
      <c r="T727" s="23" t="str">
        <f t="shared" si="254"/>
        <v/>
      </c>
      <c r="U727" s="23" t="str">
        <f t="shared" si="255"/>
        <v/>
      </c>
      <c r="V727" s="23" t="str">
        <f t="shared" si="256"/>
        <v/>
      </c>
      <c r="W727" s="70" t="str">
        <f t="shared" si="257"/>
        <v/>
      </c>
      <c r="X727" s="70" t="str">
        <f t="shared" si="258"/>
        <v/>
      </c>
      <c r="Y727" s="70" t="str">
        <f>IF(AND($A727&lt;&gt;"",$E727&gt;0),isLaptopBag($C727,$J727)*$D727,"")</f>
        <v/>
      </c>
      <c r="Z727" s="70" t="str">
        <f t="shared" si="259"/>
        <v/>
      </c>
      <c r="AA727" s="70" t="str">
        <f t="shared" si="260"/>
        <v/>
      </c>
      <c r="AB727" s="70" t="str">
        <f t="shared" si="261"/>
        <v/>
      </c>
      <c r="AC727" s="70" t="str">
        <f t="shared" si="262"/>
        <v/>
      </c>
      <c r="AD727" s="70" t="str">
        <f t="shared" si="263"/>
        <v/>
      </c>
      <c r="AE727" s="70" t="str">
        <f t="shared" si="264"/>
        <v/>
      </c>
      <c r="AF727" s="16"/>
      <c r="AG727" s="23"/>
      <c r="AH727" s="22"/>
      <c r="AJ727" s="83">
        <f t="shared" si="265"/>
        <v>0</v>
      </c>
      <c r="AO727" s="22" t="str">
        <f t="shared" si="266"/>
        <v/>
      </c>
      <c r="AP727" s="22" t="str">
        <f t="shared" si="267"/>
        <v/>
      </c>
    </row>
    <row r="728" spans="1:42" x14ac:dyDescent="0.25">
      <c r="A728" s="10"/>
      <c r="B728" s="10"/>
      <c r="C728" s="10"/>
      <c r="D728" s="10"/>
      <c r="E728" s="10"/>
      <c r="F728" s="10"/>
      <c r="G728" s="10"/>
      <c r="H728" s="17"/>
      <c r="I728" s="10"/>
      <c r="J728" s="10"/>
      <c r="K728" s="16" t="str">
        <f t="shared" si="246"/>
        <v/>
      </c>
      <c r="L728" s="23" t="str">
        <f t="shared" si="247"/>
        <v/>
      </c>
      <c r="M728" s="22" t="str">
        <f t="shared" si="248"/>
        <v/>
      </c>
      <c r="N728" s="72"/>
      <c r="O728" s="16" t="str">
        <f t="shared" si="249"/>
        <v/>
      </c>
      <c r="P728" s="16" t="str">
        <f t="shared" si="250"/>
        <v/>
      </c>
      <c r="Q728" s="16" t="str">
        <f t="shared" si="251"/>
        <v/>
      </c>
      <c r="R728" s="23" t="str">
        <f t="shared" si="252"/>
        <v/>
      </c>
      <c r="S728" s="23" t="str">
        <f t="shared" si="253"/>
        <v/>
      </c>
      <c r="T728" s="23" t="str">
        <f t="shared" si="254"/>
        <v/>
      </c>
      <c r="U728" s="23" t="str">
        <f t="shared" si="255"/>
        <v/>
      </c>
      <c r="V728" s="23" t="str">
        <f t="shared" si="256"/>
        <v/>
      </c>
      <c r="W728" s="70" t="str">
        <f t="shared" si="257"/>
        <v/>
      </c>
      <c r="X728" s="70" t="str">
        <f t="shared" si="258"/>
        <v/>
      </c>
      <c r="Y728" s="70" t="str">
        <f>IF(AND($A728&lt;&gt;"",$E728&gt;0),isLaptopBag($C728,$J728)*$D728,"")</f>
        <v/>
      </c>
      <c r="Z728" s="70" t="str">
        <f t="shared" si="259"/>
        <v/>
      </c>
      <c r="AA728" s="70" t="str">
        <f t="shared" si="260"/>
        <v/>
      </c>
      <c r="AB728" s="70" t="str">
        <f t="shared" si="261"/>
        <v/>
      </c>
      <c r="AC728" s="70" t="str">
        <f t="shared" si="262"/>
        <v/>
      </c>
      <c r="AD728" s="70" t="str">
        <f t="shared" si="263"/>
        <v/>
      </c>
      <c r="AE728" s="70" t="str">
        <f t="shared" si="264"/>
        <v/>
      </c>
      <c r="AF728" s="16"/>
      <c r="AG728" s="23"/>
      <c r="AH728" s="22"/>
      <c r="AJ728" s="83">
        <f t="shared" si="265"/>
        <v>0</v>
      </c>
      <c r="AO728" s="22" t="str">
        <f t="shared" si="266"/>
        <v/>
      </c>
      <c r="AP728" s="22" t="str">
        <f t="shared" si="267"/>
        <v/>
      </c>
    </row>
    <row r="729" spans="1:42" x14ac:dyDescent="0.25">
      <c r="A729" s="10"/>
      <c r="B729" s="10"/>
      <c r="C729" s="10"/>
      <c r="D729" s="10"/>
      <c r="E729" s="10"/>
      <c r="F729" s="10"/>
      <c r="G729" s="10"/>
      <c r="H729" s="17"/>
      <c r="I729" s="10"/>
      <c r="J729" s="10"/>
      <c r="K729" s="16" t="str">
        <f t="shared" si="246"/>
        <v/>
      </c>
      <c r="L729" s="23" t="str">
        <f t="shared" si="247"/>
        <v/>
      </c>
      <c r="M729" s="22" t="str">
        <f t="shared" si="248"/>
        <v/>
      </c>
      <c r="N729" s="72"/>
      <c r="O729" s="16" t="str">
        <f t="shared" si="249"/>
        <v/>
      </c>
      <c r="P729" s="16" t="str">
        <f t="shared" si="250"/>
        <v/>
      </c>
      <c r="Q729" s="16" t="str">
        <f t="shared" si="251"/>
        <v/>
      </c>
      <c r="R729" s="23" t="str">
        <f t="shared" si="252"/>
        <v/>
      </c>
      <c r="S729" s="23" t="str">
        <f t="shared" si="253"/>
        <v/>
      </c>
      <c r="T729" s="23" t="str">
        <f t="shared" si="254"/>
        <v/>
      </c>
      <c r="U729" s="23" t="str">
        <f t="shared" si="255"/>
        <v/>
      </c>
      <c r="V729" s="23" t="str">
        <f t="shared" si="256"/>
        <v/>
      </c>
      <c r="W729" s="70" t="str">
        <f t="shared" si="257"/>
        <v/>
      </c>
      <c r="X729" s="70" t="str">
        <f t="shared" si="258"/>
        <v/>
      </c>
      <c r="Y729" s="70" t="str">
        <f>IF(AND($A729&lt;&gt;"",$E729&gt;0),isLaptopBag($C729,$J729)*$D729,"")</f>
        <v/>
      </c>
      <c r="Z729" s="70" t="str">
        <f t="shared" si="259"/>
        <v/>
      </c>
      <c r="AA729" s="70" t="str">
        <f t="shared" si="260"/>
        <v/>
      </c>
      <c r="AB729" s="70" t="str">
        <f t="shared" si="261"/>
        <v/>
      </c>
      <c r="AC729" s="70" t="str">
        <f t="shared" si="262"/>
        <v/>
      </c>
      <c r="AD729" s="70" t="str">
        <f t="shared" si="263"/>
        <v/>
      </c>
      <c r="AE729" s="70" t="str">
        <f t="shared" si="264"/>
        <v/>
      </c>
      <c r="AF729" s="16"/>
      <c r="AG729" s="23"/>
      <c r="AH729" s="22"/>
      <c r="AJ729" s="83">
        <f t="shared" si="265"/>
        <v>0</v>
      </c>
      <c r="AO729" s="22" t="str">
        <f t="shared" si="266"/>
        <v/>
      </c>
      <c r="AP729" s="22" t="str">
        <f t="shared" si="267"/>
        <v/>
      </c>
    </row>
    <row r="730" spans="1:42" x14ac:dyDescent="0.25">
      <c r="A730" s="10"/>
      <c r="B730" s="10"/>
      <c r="C730" s="10"/>
      <c r="D730" s="10"/>
      <c r="E730" s="10"/>
      <c r="F730" s="10"/>
      <c r="G730" s="10"/>
      <c r="H730" s="17"/>
      <c r="I730" s="10"/>
      <c r="J730" s="10"/>
      <c r="K730" s="16" t="str">
        <f t="shared" si="246"/>
        <v/>
      </c>
      <c r="L730" s="23" t="str">
        <f t="shared" si="247"/>
        <v/>
      </c>
      <c r="M730" s="22" t="str">
        <f t="shared" si="248"/>
        <v/>
      </c>
      <c r="N730" s="72"/>
      <c r="O730" s="16" t="str">
        <f t="shared" si="249"/>
        <v/>
      </c>
      <c r="P730" s="16" t="str">
        <f t="shared" si="250"/>
        <v/>
      </c>
      <c r="Q730" s="16" t="str">
        <f t="shared" si="251"/>
        <v/>
      </c>
      <c r="R730" s="23" t="str">
        <f t="shared" si="252"/>
        <v/>
      </c>
      <c r="S730" s="23" t="str">
        <f t="shared" si="253"/>
        <v/>
      </c>
      <c r="T730" s="23" t="str">
        <f t="shared" si="254"/>
        <v/>
      </c>
      <c r="U730" s="23" t="str">
        <f t="shared" si="255"/>
        <v/>
      </c>
      <c r="V730" s="23" t="str">
        <f t="shared" si="256"/>
        <v/>
      </c>
      <c r="W730" s="70" t="str">
        <f t="shared" si="257"/>
        <v/>
      </c>
      <c r="X730" s="70" t="str">
        <f t="shared" si="258"/>
        <v/>
      </c>
      <c r="Y730" s="70" t="str">
        <f>IF(AND($A730&lt;&gt;"",$E730&gt;0),isLaptopBag($C730,$J730)*$D730,"")</f>
        <v/>
      </c>
      <c r="Z730" s="70" t="str">
        <f t="shared" si="259"/>
        <v/>
      </c>
      <c r="AA730" s="70" t="str">
        <f t="shared" si="260"/>
        <v/>
      </c>
      <c r="AB730" s="70" t="str">
        <f t="shared" si="261"/>
        <v/>
      </c>
      <c r="AC730" s="70" t="str">
        <f t="shared" si="262"/>
        <v/>
      </c>
      <c r="AD730" s="70" t="str">
        <f t="shared" si="263"/>
        <v/>
      </c>
      <c r="AE730" s="70" t="str">
        <f t="shared" si="264"/>
        <v/>
      </c>
      <c r="AF730" s="16"/>
      <c r="AG730" s="23"/>
      <c r="AH730" s="22"/>
      <c r="AJ730" s="83">
        <f t="shared" si="265"/>
        <v>0</v>
      </c>
      <c r="AO730" s="22" t="str">
        <f t="shared" si="266"/>
        <v/>
      </c>
      <c r="AP730" s="22" t="str">
        <f t="shared" si="267"/>
        <v/>
      </c>
    </row>
    <row r="731" spans="1:42" x14ac:dyDescent="0.25">
      <c r="A731" s="10"/>
      <c r="B731" s="10"/>
      <c r="C731" s="10"/>
      <c r="D731" s="10"/>
      <c r="E731" s="10"/>
      <c r="F731" s="10"/>
      <c r="G731" s="10"/>
      <c r="H731" s="17"/>
      <c r="I731" s="10"/>
      <c r="J731" s="10"/>
      <c r="K731" s="16" t="str">
        <f t="shared" si="246"/>
        <v/>
      </c>
      <c r="L731" s="23" t="str">
        <f t="shared" si="247"/>
        <v/>
      </c>
      <c r="M731" s="22" t="str">
        <f t="shared" si="248"/>
        <v/>
      </c>
      <c r="N731" s="72"/>
      <c r="O731" s="16" t="str">
        <f t="shared" si="249"/>
        <v/>
      </c>
      <c r="P731" s="16" t="str">
        <f t="shared" si="250"/>
        <v/>
      </c>
      <c r="Q731" s="16" t="str">
        <f t="shared" si="251"/>
        <v/>
      </c>
      <c r="R731" s="23" t="str">
        <f t="shared" si="252"/>
        <v/>
      </c>
      <c r="S731" s="23" t="str">
        <f t="shared" si="253"/>
        <v/>
      </c>
      <c r="T731" s="23" t="str">
        <f t="shared" si="254"/>
        <v/>
      </c>
      <c r="U731" s="23" t="str">
        <f t="shared" si="255"/>
        <v/>
      </c>
      <c r="V731" s="23" t="str">
        <f t="shared" si="256"/>
        <v/>
      </c>
      <c r="W731" s="70" t="str">
        <f t="shared" si="257"/>
        <v/>
      </c>
      <c r="X731" s="70" t="str">
        <f t="shared" si="258"/>
        <v/>
      </c>
      <c r="Y731" s="70" t="str">
        <f>IF(AND($A731&lt;&gt;"",$E731&gt;0),isLaptopBag($C731,$J731)*$D731,"")</f>
        <v/>
      </c>
      <c r="Z731" s="70" t="str">
        <f t="shared" si="259"/>
        <v/>
      </c>
      <c r="AA731" s="70" t="str">
        <f t="shared" si="260"/>
        <v/>
      </c>
      <c r="AB731" s="70" t="str">
        <f t="shared" si="261"/>
        <v/>
      </c>
      <c r="AC731" s="70" t="str">
        <f t="shared" si="262"/>
        <v/>
      </c>
      <c r="AD731" s="70" t="str">
        <f t="shared" si="263"/>
        <v/>
      </c>
      <c r="AE731" s="70" t="str">
        <f t="shared" si="264"/>
        <v/>
      </c>
      <c r="AF731" s="16"/>
      <c r="AG731" s="23"/>
      <c r="AH731" s="22"/>
      <c r="AJ731" s="83">
        <f t="shared" si="265"/>
        <v>0</v>
      </c>
      <c r="AO731" s="22" t="str">
        <f t="shared" si="266"/>
        <v/>
      </c>
      <c r="AP731" s="22" t="str">
        <f t="shared" si="267"/>
        <v/>
      </c>
    </row>
    <row r="732" spans="1:42" x14ac:dyDescent="0.25">
      <c r="A732" s="10"/>
      <c r="B732" s="10"/>
      <c r="C732" s="10"/>
      <c r="D732" s="10"/>
      <c r="E732" s="10"/>
      <c r="F732" s="10"/>
      <c r="G732" s="10"/>
      <c r="H732" s="17"/>
      <c r="I732" s="10"/>
      <c r="J732" s="10"/>
      <c r="K732" s="16" t="str">
        <f t="shared" si="246"/>
        <v/>
      </c>
      <c r="L732" s="23" t="str">
        <f t="shared" si="247"/>
        <v/>
      </c>
      <c r="M732" s="22" t="str">
        <f t="shared" si="248"/>
        <v/>
      </c>
      <c r="N732" s="72"/>
      <c r="O732" s="16" t="str">
        <f t="shared" si="249"/>
        <v/>
      </c>
      <c r="P732" s="16" t="str">
        <f t="shared" si="250"/>
        <v/>
      </c>
      <c r="Q732" s="16" t="str">
        <f t="shared" si="251"/>
        <v/>
      </c>
      <c r="R732" s="23" t="str">
        <f t="shared" si="252"/>
        <v/>
      </c>
      <c r="S732" s="23" t="str">
        <f t="shared" si="253"/>
        <v/>
      </c>
      <c r="T732" s="23" t="str">
        <f t="shared" si="254"/>
        <v/>
      </c>
      <c r="U732" s="23" t="str">
        <f t="shared" si="255"/>
        <v/>
      </c>
      <c r="V732" s="23" t="str">
        <f t="shared" si="256"/>
        <v/>
      </c>
      <c r="W732" s="70" t="str">
        <f t="shared" si="257"/>
        <v/>
      </c>
      <c r="X732" s="70" t="str">
        <f t="shared" si="258"/>
        <v/>
      </c>
      <c r="Y732" s="70" t="str">
        <f>IF(AND($A732&lt;&gt;"",$E732&gt;0),isLaptopBag($C732,$J732)*$D732,"")</f>
        <v/>
      </c>
      <c r="Z732" s="70" t="str">
        <f t="shared" si="259"/>
        <v/>
      </c>
      <c r="AA732" s="70" t="str">
        <f t="shared" si="260"/>
        <v/>
      </c>
      <c r="AB732" s="70" t="str">
        <f t="shared" si="261"/>
        <v/>
      </c>
      <c r="AC732" s="70" t="str">
        <f t="shared" si="262"/>
        <v/>
      </c>
      <c r="AD732" s="70" t="str">
        <f t="shared" si="263"/>
        <v/>
      </c>
      <c r="AE732" s="70" t="str">
        <f t="shared" si="264"/>
        <v/>
      </c>
      <c r="AF732" s="16"/>
      <c r="AG732" s="23"/>
      <c r="AH732" s="22"/>
      <c r="AJ732" s="83">
        <f t="shared" si="265"/>
        <v>0</v>
      </c>
      <c r="AO732" s="22" t="str">
        <f t="shared" si="266"/>
        <v/>
      </c>
      <c r="AP732" s="22" t="str">
        <f t="shared" si="267"/>
        <v/>
      </c>
    </row>
    <row r="733" spans="1:42" x14ac:dyDescent="0.25">
      <c r="A733" s="10"/>
      <c r="B733" s="10"/>
      <c r="C733" s="10"/>
      <c r="D733" s="10"/>
      <c r="E733" s="10"/>
      <c r="F733" s="10"/>
      <c r="G733" s="10"/>
      <c r="H733" s="17"/>
      <c r="I733" s="10"/>
      <c r="J733" s="10"/>
      <c r="K733" s="16" t="str">
        <f t="shared" si="246"/>
        <v/>
      </c>
      <c r="L733" s="23" t="str">
        <f t="shared" si="247"/>
        <v/>
      </c>
      <c r="M733" s="22" t="str">
        <f t="shared" si="248"/>
        <v/>
      </c>
      <c r="N733" s="72"/>
      <c r="O733" s="16" t="str">
        <f t="shared" si="249"/>
        <v/>
      </c>
      <c r="P733" s="16" t="str">
        <f t="shared" si="250"/>
        <v/>
      </c>
      <c r="Q733" s="16" t="str">
        <f t="shared" si="251"/>
        <v/>
      </c>
      <c r="R733" s="23" t="str">
        <f t="shared" si="252"/>
        <v/>
      </c>
      <c r="S733" s="23" t="str">
        <f t="shared" si="253"/>
        <v/>
      </c>
      <c r="T733" s="23" t="str">
        <f t="shared" si="254"/>
        <v/>
      </c>
      <c r="U733" s="23" t="str">
        <f t="shared" si="255"/>
        <v/>
      </c>
      <c r="V733" s="23" t="str">
        <f t="shared" si="256"/>
        <v/>
      </c>
      <c r="W733" s="70" t="str">
        <f t="shared" si="257"/>
        <v/>
      </c>
      <c r="X733" s="70" t="str">
        <f t="shared" si="258"/>
        <v/>
      </c>
      <c r="Y733" s="70" t="str">
        <f>IF(AND($A733&lt;&gt;"",$E733&gt;0),isLaptopBag($C733,$J733)*$D733,"")</f>
        <v/>
      </c>
      <c r="Z733" s="70" t="str">
        <f t="shared" si="259"/>
        <v/>
      </c>
      <c r="AA733" s="70" t="str">
        <f t="shared" si="260"/>
        <v/>
      </c>
      <c r="AB733" s="70" t="str">
        <f t="shared" si="261"/>
        <v/>
      </c>
      <c r="AC733" s="70" t="str">
        <f t="shared" si="262"/>
        <v/>
      </c>
      <c r="AD733" s="70" t="str">
        <f t="shared" si="263"/>
        <v/>
      </c>
      <c r="AE733" s="70" t="str">
        <f t="shared" si="264"/>
        <v/>
      </c>
      <c r="AF733" s="16"/>
      <c r="AG733" s="23"/>
      <c r="AH733" s="22"/>
      <c r="AJ733" s="83">
        <f t="shared" si="265"/>
        <v>0</v>
      </c>
      <c r="AO733" s="22" t="str">
        <f t="shared" si="266"/>
        <v/>
      </c>
      <c r="AP733" s="22" t="str">
        <f t="shared" si="267"/>
        <v/>
      </c>
    </row>
    <row r="734" spans="1:42" x14ac:dyDescent="0.25">
      <c r="A734" s="10"/>
      <c r="B734" s="10"/>
      <c r="C734" s="10"/>
      <c r="D734" s="10"/>
      <c r="E734" s="10"/>
      <c r="F734" s="10"/>
      <c r="G734" s="10"/>
      <c r="H734" s="17"/>
      <c r="I734" s="10"/>
      <c r="J734" s="10"/>
      <c r="K734" s="16" t="str">
        <f t="shared" si="246"/>
        <v/>
      </c>
      <c r="L734" s="23" t="str">
        <f t="shared" si="247"/>
        <v/>
      </c>
      <c r="M734" s="22" t="str">
        <f t="shared" si="248"/>
        <v/>
      </c>
      <c r="N734" s="72"/>
      <c r="O734" s="16" t="str">
        <f t="shared" si="249"/>
        <v/>
      </c>
      <c r="P734" s="16" t="str">
        <f t="shared" si="250"/>
        <v/>
      </c>
      <c r="Q734" s="16" t="str">
        <f t="shared" si="251"/>
        <v/>
      </c>
      <c r="R734" s="23" t="str">
        <f t="shared" si="252"/>
        <v/>
      </c>
      <c r="S734" s="23" t="str">
        <f t="shared" si="253"/>
        <v/>
      </c>
      <c r="T734" s="23" t="str">
        <f t="shared" si="254"/>
        <v/>
      </c>
      <c r="U734" s="23" t="str">
        <f t="shared" si="255"/>
        <v/>
      </c>
      <c r="V734" s="23" t="str">
        <f t="shared" si="256"/>
        <v/>
      </c>
      <c r="W734" s="70" t="str">
        <f t="shared" si="257"/>
        <v/>
      </c>
      <c r="X734" s="70" t="str">
        <f t="shared" si="258"/>
        <v/>
      </c>
      <c r="Y734" s="70" t="str">
        <f>IF(AND($A734&lt;&gt;"",$E734&gt;0),isLaptopBag($C734,$J734)*$D734,"")</f>
        <v/>
      </c>
      <c r="Z734" s="70" t="str">
        <f t="shared" si="259"/>
        <v/>
      </c>
      <c r="AA734" s="70" t="str">
        <f t="shared" si="260"/>
        <v/>
      </c>
      <c r="AB734" s="70" t="str">
        <f t="shared" si="261"/>
        <v/>
      </c>
      <c r="AC734" s="70" t="str">
        <f t="shared" si="262"/>
        <v/>
      </c>
      <c r="AD734" s="70" t="str">
        <f t="shared" si="263"/>
        <v/>
      </c>
      <c r="AE734" s="70" t="str">
        <f t="shared" si="264"/>
        <v/>
      </c>
      <c r="AF734" s="16"/>
      <c r="AG734" s="23"/>
      <c r="AH734" s="22"/>
      <c r="AJ734" s="83">
        <f t="shared" si="265"/>
        <v>0</v>
      </c>
      <c r="AO734" s="22" t="str">
        <f t="shared" si="266"/>
        <v/>
      </c>
      <c r="AP734" s="22" t="str">
        <f t="shared" si="267"/>
        <v/>
      </c>
    </row>
    <row r="735" spans="1:42" x14ac:dyDescent="0.25">
      <c r="A735" s="10"/>
      <c r="B735" s="10"/>
      <c r="C735" s="10"/>
      <c r="D735" s="10"/>
      <c r="E735" s="10"/>
      <c r="F735" s="10"/>
      <c r="G735" s="10"/>
      <c r="H735" s="17"/>
      <c r="I735" s="10"/>
      <c r="J735" s="10"/>
      <c r="K735" s="16" t="str">
        <f t="shared" si="246"/>
        <v/>
      </c>
      <c r="L735" s="23" t="str">
        <f t="shared" si="247"/>
        <v/>
      </c>
      <c r="M735" s="22" t="str">
        <f t="shared" si="248"/>
        <v/>
      </c>
      <c r="N735" s="72"/>
      <c r="O735" s="16" t="str">
        <f t="shared" si="249"/>
        <v/>
      </c>
      <c r="P735" s="16" t="str">
        <f t="shared" si="250"/>
        <v/>
      </c>
      <c r="Q735" s="16" t="str">
        <f t="shared" si="251"/>
        <v/>
      </c>
      <c r="R735" s="23" t="str">
        <f t="shared" si="252"/>
        <v/>
      </c>
      <c r="S735" s="23" t="str">
        <f t="shared" si="253"/>
        <v/>
      </c>
      <c r="T735" s="23" t="str">
        <f t="shared" si="254"/>
        <v/>
      </c>
      <c r="U735" s="23" t="str">
        <f t="shared" si="255"/>
        <v/>
      </c>
      <c r="V735" s="23" t="str">
        <f t="shared" si="256"/>
        <v/>
      </c>
      <c r="W735" s="70" t="str">
        <f t="shared" si="257"/>
        <v/>
      </c>
      <c r="X735" s="70" t="str">
        <f t="shared" si="258"/>
        <v/>
      </c>
      <c r="Y735" s="70" t="str">
        <f>IF(AND($A735&lt;&gt;"",$E735&gt;0),isLaptopBag($C735,$J735)*$D735,"")</f>
        <v/>
      </c>
      <c r="Z735" s="70" t="str">
        <f t="shared" si="259"/>
        <v/>
      </c>
      <c r="AA735" s="70" t="str">
        <f t="shared" si="260"/>
        <v/>
      </c>
      <c r="AB735" s="70" t="str">
        <f t="shared" si="261"/>
        <v/>
      </c>
      <c r="AC735" s="70" t="str">
        <f t="shared" si="262"/>
        <v/>
      </c>
      <c r="AD735" s="70" t="str">
        <f t="shared" si="263"/>
        <v/>
      </c>
      <c r="AE735" s="70" t="str">
        <f t="shared" si="264"/>
        <v/>
      </c>
      <c r="AF735" s="16"/>
      <c r="AG735" s="23"/>
      <c r="AH735" s="22"/>
      <c r="AJ735" s="83">
        <f t="shared" si="265"/>
        <v>0</v>
      </c>
      <c r="AO735" s="22" t="str">
        <f t="shared" si="266"/>
        <v/>
      </c>
      <c r="AP735" s="22" t="str">
        <f t="shared" si="267"/>
        <v/>
      </c>
    </row>
    <row r="736" spans="1:42" x14ac:dyDescent="0.25">
      <c r="A736" s="10"/>
      <c r="B736" s="10"/>
      <c r="C736" s="10"/>
      <c r="D736" s="10"/>
      <c r="E736" s="10"/>
      <c r="F736" s="10"/>
      <c r="G736" s="10"/>
      <c r="H736" s="17"/>
      <c r="I736" s="10"/>
      <c r="J736" s="10"/>
      <c r="K736" s="16" t="str">
        <f t="shared" si="246"/>
        <v/>
      </c>
      <c r="L736" s="23" t="str">
        <f t="shared" si="247"/>
        <v/>
      </c>
      <c r="M736" s="22" t="str">
        <f t="shared" si="248"/>
        <v/>
      </c>
      <c r="N736" s="72"/>
      <c r="O736" s="16" t="str">
        <f t="shared" si="249"/>
        <v/>
      </c>
      <c r="P736" s="16" t="str">
        <f t="shared" si="250"/>
        <v/>
      </c>
      <c r="Q736" s="16" t="str">
        <f t="shared" si="251"/>
        <v/>
      </c>
      <c r="R736" s="23" t="str">
        <f t="shared" si="252"/>
        <v/>
      </c>
      <c r="S736" s="23" t="str">
        <f t="shared" si="253"/>
        <v/>
      </c>
      <c r="T736" s="23" t="str">
        <f t="shared" si="254"/>
        <v/>
      </c>
      <c r="U736" s="23" t="str">
        <f t="shared" si="255"/>
        <v/>
      </c>
      <c r="V736" s="23" t="str">
        <f t="shared" si="256"/>
        <v/>
      </c>
      <c r="W736" s="70" t="str">
        <f t="shared" si="257"/>
        <v/>
      </c>
      <c r="X736" s="70" t="str">
        <f t="shared" si="258"/>
        <v/>
      </c>
      <c r="Y736" s="70" t="str">
        <f>IF(AND($A736&lt;&gt;"",$E736&gt;0),isLaptopBag($C736,$J736)*$D736,"")</f>
        <v/>
      </c>
      <c r="Z736" s="70" t="str">
        <f t="shared" si="259"/>
        <v/>
      </c>
      <c r="AA736" s="70" t="str">
        <f t="shared" si="260"/>
        <v/>
      </c>
      <c r="AB736" s="70" t="str">
        <f t="shared" si="261"/>
        <v/>
      </c>
      <c r="AC736" s="70" t="str">
        <f t="shared" si="262"/>
        <v/>
      </c>
      <c r="AD736" s="70" t="str">
        <f t="shared" si="263"/>
        <v/>
      </c>
      <c r="AE736" s="70" t="str">
        <f t="shared" si="264"/>
        <v/>
      </c>
      <c r="AF736" s="16"/>
      <c r="AG736" s="23"/>
      <c r="AH736" s="22"/>
      <c r="AJ736" s="83">
        <f t="shared" si="265"/>
        <v>0</v>
      </c>
      <c r="AO736" s="22" t="str">
        <f t="shared" si="266"/>
        <v/>
      </c>
      <c r="AP736" s="22" t="str">
        <f t="shared" si="267"/>
        <v/>
      </c>
    </row>
    <row r="737" spans="1:42" x14ac:dyDescent="0.25">
      <c r="A737" s="10"/>
      <c r="B737" s="10"/>
      <c r="C737" s="10"/>
      <c r="D737" s="10"/>
      <c r="E737" s="10"/>
      <c r="F737" s="10"/>
      <c r="G737" s="10"/>
      <c r="H737" s="17"/>
      <c r="I737" s="10"/>
      <c r="J737" s="10"/>
      <c r="K737" s="16" t="str">
        <f t="shared" si="246"/>
        <v/>
      </c>
      <c r="L737" s="23" t="str">
        <f t="shared" si="247"/>
        <v/>
      </c>
      <c r="M737" s="22" t="str">
        <f t="shared" si="248"/>
        <v/>
      </c>
      <c r="N737" s="72"/>
      <c r="O737" s="16" t="str">
        <f t="shared" si="249"/>
        <v/>
      </c>
      <c r="P737" s="16" t="str">
        <f t="shared" si="250"/>
        <v/>
      </c>
      <c r="Q737" s="16" t="str">
        <f t="shared" si="251"/>
        <v/>
      </c>
      <c r="R737" s="23" t="str">
        <f t="shared" si="252"/>
        <v/>
      </c>
      <c r="S737" s="23" t="str">
        <f t="shared" si="253"/>
        <v/>
      </c>
      <c r="T737" s="23" t="str">
        <f t="shared" si="254"/>
        <v/>
      </c>
      <c r="U737" s="23" t="str">
        <f t="shared" si="255"/>
        <v/>
      </c>
      <c r="V737" s="23" t="str">
        <f t="shared" si="256"/>
        <v/>
      </c>
      <c r="W737" s="70" t="str">
        <f t="shared" si="257"/>
        <v/>
      </c>
      <c r="X737" s="70" t="str">
        <f t="shared" si="258"/>
        <v/>
      </c>
      <c r="Y737" s="70" t="str">
        <f>IF(AND($A737&lt;&gt;"",$E737&gt;0),isLaptopBag($C737,$J737)*$D737,"")</f>
        <v/>
      </c>
      <c r="Z737" s="70" t="str">
        <f t="shared" si="259"/>
        <v/>
      </c>
      <c r="AA737" s="70" t="str">
        <f t="shared" si="260"/>
        <v/>
      </c>
      <c r="AB737" s="70" t="str">
        <f t="shared" si="261"/>
        <v/>
      </c>
      <c r="AC737" s="70" t="str">
        <f t="shared" si="262"/>
        <v/>
      </c>
      <c r="AD737" s="70" t="str">
        <f t="shared" si="263"/>
        <v/>
      </c>
      <c r="AE737" s="70" t="str">
        <f t="shared" si="264"/>
        <v/>
      </c>
      <c r="AF737" s="16"/>
      <c r="AG737" s="23"/>
      <c r="AH737" s="22"/>
      <c r="AJ737" s="83">
        <f t="shared" si="265"/>
        <v>0</v>
      </c>
      <c r="AO737" s="22" t="str">
        <f t="shared" si="266"/>
        <v/>
      </c>
      <c r="AP737" s="22" t="str">
        <f t="shared" si="267"/>
        <v/>
      </c>
    </row>
    <row r="738" spans="1:42" x14ac:dyDescent="0.25">
      <c r="A738" s="10"/>
      <c r="B738" s="10"/>
      <c r="C738" s="10"/>
      <c r="D738" s="10"/>
      <c r="E738" s="10"/>
      <c r="F738" s="10"/>
      <c r="G738" s="10"/>
      <c r="H738" s="17"/>
      <c r="I738" s="10"/>
      <c r="J738" s="10"/>
      <c r="K738" s="16" t="str">
        <f t="shared" si="246"/>
        <v/>
      </c>
      <c r="L738" s="23" t="str">
        <f t="shared" si="247"/>
        <v/>
      </c>
      <c r="M738" s="22" t="str">
        <f t="shared" si="248"/>
        <v/>
      </c>
      <c r="N738" s="72"/>
      <c r="O738" s="16" t="str">
        <f t="shared" si="249"/>
        <v/>
      </c>
      <c r="P738" s="16" t="str">
        <f t="shared" si="250"/>
        <v/>
      </c>
      <c r="Q738" s="16" t="str">
        <f t="shared" si="251"/>
        <v/>
      </c>
      <c r="R738" s="23" t="str">
        <f t="shared" si="252"/>
        <v/>
      </c>
      <c r="S738" s="23" t="str">
        <f t="shared" si="253"/>
        <v/>
      </c>
      <c r="T738" s="23" t="str">
        <f t="shared" si="254"/>
        <v/>
      </c>
      <c r="U738" s="23" t="str">
        <f t="shared" si="255"/>
        <v/>
      </c>
      <c r="V738" s="23" t="str">
        <f t="shared" si="256"/>
        <v/>
      </c>
      <c r="W738" s="70" t="str">
        <f t="shared" si="257"/>
        <v/>
      </c>
      <c r="X738" s="70" t="str">
        <f t="shared" si="258"/>
        <v/>
      </c>
      <c r="Y738" s="70" t="str">
        <f>IF(AND($A738&lt;&gt;"",$E738&gt;0),isLaptopBag($C738,$J738)*$D738,"")</f>
        <v/>
      </c>
      <c r="Z738" s="70" t="str">
        <f t="shared" si="259"/>
        <v/>
      </c>
      <c r="AA738" s="70" t="str">
        <f t="shared" si="260"/>
        <v/>
      </c>
      <c r="AB738" s="70" t="str">
        <f t="shared" si="261"/>
        <v/>
      </c>
      <c r="AC738" s="70" t="str">
        <f t="shared" si="262"/>
        <v/>
      </c>
      <c r="AD738" s="70" t="str">
        <f t="shared" si="263"/>
        <v/>
      </c>
      <c r="AE738" s="70" t="str">
        <f t="shared" si="264"/>
        <v/>
      </c>
      <c r="AF738" s="16"/>
      <c r="AG738" s="23"/>
      <c r="AH738" s="22"/>
      <c r="AJ738" s="83">
        <f t="shared" si="265"/>
        <v>0</v>
      </c>
      <c r="AO738" s="22" t="str">
        <f t="shared" si="266"/>
        <v/>
      </c>
      <c r="AP738" s="22" t="str">
        <f t="shared" si="267"/>
        <v/>
      </c>
    </row>
    <row r="739" spans="1:42" x14ac:dyDescent="0.25">
      <c r="A739" s="10"/>
      <c r="B739" s="10"/>
      <c r="C739" s="10"/>
      <c r="D739" s="10"/>
      <c r="E739" s="10"/>
      <c r="F739" s="10"/>
      <c r="G739" s="10"/>
      <c r="H739" s="17"/>
      <c r="I739" s="10"/>
      <c r="J739" s="10"/>
      <c r="K739" s="16" t="str">
        <f t="shared" si="246"/>
        <v/>
      </c>
      <c r="L739" s="23" t="str">
        <f t="shared" si="247"/>
        <v/>
      </c>
      <c r="M739" s="22" t="str">
        <f t="shared" si="248"/>
        <v/>
      </c>
      <c r="N739" s="72"/>
      <c r="O739" s="16" t="str">
        <f t="shared" si="249"/>
        <v/>
      </c>
      <c r="P739" s="16" t="str">
        <f t="shared" si="250"/>
        <v/>
      </c>
      <c r="Q739" s="16" t="str">
        <f t="shared" si="251"/>
        <v/>
      </c>
      <c r="R739" s="23" t="str">
        <f t="shared" si="252"/>
        <v/>
      </c>
      <c r="S739" s="23" t="str">
        <f t="shared" si="253"/>
        <v/>
      </c>
      <c r="T739" s="23" t="str">
        <f t="shared" si="254"/>
        <v/>
      </c>
      <c r="U739" s="23" t="str">
        <f t="shared" si="255"/>
        <v/>
      </c>
      <c r="V739" s="23" t="str">
        <f t="shared" si="256"/>
        <v/>
      </c>
      <c r="W739" s="70" t="str">
        <f t="shared" si="257"/>
        <v/>
      </c>
      <c r="X739" s="70" t="str">
        <f t="shared" si="258"/>
        <v/>
      </c>
      <c r="Y739" s="70" t="str">
        <f>IF(AND($A739&lt;&gt;"",$E739&gt;0),isLaptopBag($C739,$J739)*$D739,"")</f>
        <v/>
      </c>
      <c r="Z739" s="70" t="str">
        <f t="shared" si="259"/>
        <v/>
      </c>
      <c r="AA739" s="70" t="str">
        <f t="shared" si="260"/>
        <v/>
      </c>
      <c r="AB739" s="70" t="str">
        <f t="shared" si="261"/>
        <v/>
      </c>
      <c r="AC739" s="70" t="str">
        <f t="shared" si="262"/>
        <v/>
      </c>
      <c r="AD739" s="70" t="str">
        <f t="shared" si="263"/>
        <v/>
      </c>
      <c r="AE739" s="70" t="str">
        <f t="shared" si="264"/>
        <v/>
      </c>
      <c r="AF739" s="16"/>
      <c r="AG739" s="23"/>
      <c r="AH739" s="22"/>
      <c r="AJ739" s="83">
        <f t="shared" si="265"/>
        <v>0</v>
      </c>
      <c r="AO739" s="22" t="str">
        <f t="shared" si="266"/>
        <v/>
      </c>
      <c r="AP739" s="22" t="str">
        <f t="shared" si="267"/>
        <v/>
      </c>
    </row>
    <row r="740" spans="1:42" x14ac:dyDescent="0.25">
      <c r="A740" s="10"/>
      <c r="B740" s="10"/>
      <c r="C740" s="10"/>
      <c r="D740" s="10"/>
      <c r="E740" s="10"/>
      <c r="F740" s="10"/>
      <c r="G740" s="10"/>
      <c r="H740" s="17"/>
      <c r="I740" s="10"/>
      <c r="J740" s="10"/>
      <c r="K740" s="16" t="str">
        <f t="shared" si="246"/>
        <v/>
      </c>
      <c r="L740" s="23" t="str">
        <f t="shared" si="247"/>
        <v/>
      </c>
      <c r="M740" s="22" t="str">
        <f t="shared" si="248"/>
        <v/>
      </c>
      <c r="N740" s="72"/>
      <c r="O740" s="16" t="str">
        <f t="shared" si="249"/>
        <v/>
      </c>
      <c r="P740" s="16" t="str">
        <f t="shared" si="250"/>
        <v/>
      </c>
      <c r="Q740" s="16" t="str">
        <f t="shared" si="251"/>
        <v/>
      </c>
      <c r="R740" s="23" t="str">
        <f t="shared" si="252"/>
        <v/>
      </c>
      <c r="S740" s="23" t="str">
        <f t="shared" si="253"/>
        <v/>
      </c>
      <c r="T740" s="23" t="str">
        <f t="shared" si="254"/>
        <v/>
      </c>
      <c r="U740" s="23" t="str">
        <f t="shared" si="255"/>
        <v/>
      </c>
      <c r="V740" s="23" t="str">
        <f t="shared" si="256"/>
        <v/>
      </c>
      <c r="W740" s="70" t="str">
        <f t="shared" si="257"/>
        <v/>
      </c>
      <c r="X740" s="70" t="str">
        <f t="shared" si="258"/>
        <v/>
      </c>
      <c r="Y740" s="70" t="str">
        <f>IF(AND($A740&lt;&gt;"",$E740&gt;0),isLaptopBag($C740,$J740)*$D740,"")</f>
        <v/>
      </c>
      <c r="Z740" s="70" t="str">
        <f t="shared" si="259"/>
        <v/>
      </c>
      <c r="AA740" s="70" t="str">
        <f t="shared" si="260"/>
        <v/>
      </c>
      <c r="AB740" s="70" t="str">
        <f t="shared" si="261"/>
        <v/>
      </c>
      <c r="AC740" s="70" t="str">
        <f t="shared" si="262"/>
        <v/>
      </c>
      <c r="AD740" s="70" t="str">
        <f t="shared" si="263"/>
        <v/>
      </c>
      <c r="AE740" s="70" t="str">
        <f t="shared" si="264"/>
        <v/>
      </c>
      <c r="AF740" s="16"/>
      <c r="AG740" s="23"/>
      <c r="AH740" s="22"/>
      <c r="AJ740" s="83">
        <f t="shared" si="265"/>
        <v>0</v>
      </c>
      <c r="AO740" s="22" t="str">
        <f t="shared" si="266"/>
        <v/>
      </c>
      <c r="AP740" s="22" t="str">
        <f t="shared" si="267"/>
        <v/>
      </c>
    </row>
    <row r="741" spans="1:42" x14ac:dyDescent="0.25">
      <c r="A741" s="10"/>
      <c r="B741" s="10"/>
      <c r="C741" s="10"/>
      <c r="D741" s="10"/>
      <c r="E741" s="10"/>
      <c r="F741" s="10"/>
      <c r="G741" s="10"/>
      <c r="H741" s="17"/>
      <c r="I741" s="10"/>
      <c r="J741" s="10"/>
      <c r="K741" s="16" t="str">
        <f t="shared" si="246"/>
        <v/>
      </c>
      <c r="L741" s="23" t="str">
        <f t="shared" si="247"/>
        <v/>
      </c>
      <c r="M741" s="22" t="str">
        <f t="shared" si="248"/>
        <v/>
      </c>
      <c r="N741" s="72"/>
      <c r="O741" s="16" t="str">
        <f t="shared" si="249"/>
        <v/>
      </c>
      <c r="P741" s="16" t="str">
        <f t="shared" si="250"/>
        <v/>
      </c>
      <c r="Q741" s="16" t="str">
        <f t="shared" si="251"/>
        <v/>
      </c>
      <c r="R741" s="23" t="str">
        <f t="shared" si="252"/>
        <v/>
      </c>
      <c r="S741" s="23" t="str">
        <f t="shared" si="253"/>
        <v/>
      </c>
      <c r="T741" s="23" t="str">
        <f t="shared" si="254"/>
        <v/>
      </c>
      <c r="U741" s="23" t="str">
        <f t="shared" si="255"/>
        <v/>
      </c>
      <c r="V741" s="23" t="str">
        <f t="shared" si="256"/>
        <v/>
      </c>
      <c r="W741" s="70" t="str">
        <f t="shared" si="257"/>
        <v/>
      </c>
      <c r="X741" s="70" t="str">
        <f t="shared" si="258"/>
        <v/>
      </c>
      <c r="Y741" s="70" t="str">
        <f>IF(AND($A741&lt;&gt;"",$E741&gt;0),isLaptopBag($C741,$J741)*$D741,"")</f>
        <v/>
      </c>
      <c r="Z741" s="70" t="str">
        <f t="shared" si="259"/>
        <v/>
      </c>
      <c r="AA741" s="70" t="str">
        <f t="shared" si="260"/>
        <v/>
      </c>
      <c r="AB741" s="70" t="str">
        <f t="shared" si="261"/>
        <v/>
      </c>
      <c r="AC741" s="70" t="str">
        <f t="shared" si="262"/>
        <v/>
      </c>
      <c r="AD741" s="70" t="str">
        <f t="shared" si="263"/>
        <v/>
      </c>
      <c r="AE741" s="70" t="str">
        <f t="shared" si="264"/>
        <v/>
      </c>
      <c r="AF741" s="16"/>
      <c r="AG741" s="23"/>
      <c r="AH741" s="22"/>
      <c r="AJ741" s="83">
        <f t="shared" si="265"/>
        <v>0</v>
      </c>
      <c r="AO741" s="22" t="str">
        <f t="shared" si="266"/>
        <v/>
      </c>
      <c r="AP741" s="22" t="str">
        <f t="shared" si="267"/>
        <v/>
      </c>
    </row>
    <row r="742" spans="1:42" x14ac:dyDescent="0.25">
      <c r="A742" s="10"/>
      <c r="B742" s="10"/>
      <c r="C742" s="10"/>
      <c r="D742" s="10"/>
      <c r="E742" s="10"/>
      <c r="F742" s="10"/>
      <c r="G742" s="10"/>
      <c r="H742" s="17"/>
      <c r="I742" s="10"/>
      <c r="J742" s="10"/>
      <c r="K742" s="16" t="str">
        <f t="shared" si="246"/>
        <v/>
      </c>
      <c r="L742" s="23" t="str">
        <f t="shared" si="247"/>
        <v/>
      </c>
      <c r="M742" s="22" t="str">
        <f t="shared" si="248"/>
        <v/>
      </c>
      <c r="N742" s="72"/>
      <c r="O742" s="16" t="str">
        <f t="shared" si="249"/>
        <v/>
      </c>
      <c r="P742" s="16" t="str">
        <f t="shared" si="250"/>
        <v/>
      </c>
      <c r="Q742" s="16" t="str">
        <f t="shared" si="251"/>
        <v/>
      </c>
      <c r="R742" s="23" t="str">
        <f t="shared" si="252"/>
        <v/>
      </c>
      <c r="S742" s="23" t="str">
        <f t="shared" si="253"/>
        <v/>
      </c>
      <c r="T742" s="23" t="str">
        <f t="shared" si="254"/>
        <v/>
      </c>
      <c r="U742" s="23" t="str">
        <f t="shared" si="255"/>
        <v/>
      </c>
      <c r="V742" s="23" t="str">
        <f t="shared" si="256"/>
        <v/>
      </c>
      <c r="W742" s="70" t="str">
        <f t="shared" si="257"/>
        <v/>
      </c>
      <c r="X742" s="70" t="str">
        <f t="shared" si="258"/>
        <v/>
      </c>
      <c r="Y742" s="70" t="str">
        <f>IF(AND($A742&lt;&gt;"",$E742&gt;0),isLaptopBag($C742,$J742)*$D742,"")</f>
        <v/>
      </c>
      <c r="Z742" s="70" t="str">
        <f t="shared" si="259"/>
        <v/>
      </c>
      <c r="AA742" s="70" t="str">
        <f t="shared" si="260"/>
        <v/>
      </c>
      <c r="AB742" s="70" t="str">
        <f t="shared" si="261"/>
        <v/>
      </c>
      <c r="AC742" s="70" t="str">
        <f t="shared" si="262"/>
        <v/>
      </c>
      <c r="AD742" s="70" t="str">
        <f t="shared" si="263"/>
        <v/>
      </c>
      <c r="AE742" s="70" t="str">
        <f t="shared" si="264"/>
        <v/>
      </c>
      <c r="AF742" s="16"/>
      <c r="AG742" s="23"/>
      <c r="AH742" s="22"/>
      <c r="AJ742" s="83">
        <f t="shared" si="265"/>
        <v>0</v>
      </c>
      <c r="AO742" s="22" t="str">
        <f t="shared" si="266"/>
        <v/>
      </c>
      <c r="AP742" s="22" t="str">
        <f t="shared" si="267"/>
        <v/>
      </c>
    </row>
    <row r="743" spans="1:42" x14ac:dyDescent="0.25">
      <c r="A743" s="10"/>
      <c r="B743" s="10"/>
      <c r="C743" s="10"/>
      <c r="D743" s="10"/>
      <c r="E743" s="10"/>
      <c r="F743" s="10"/>
      <c r="G743" s="10"/>
      <c r="H743" s="17"/>
      <c r="I743" s="10"/>
      <c r="J743" s="10"/>
      <c r="K743" s="16" t="str">
        <f t="shared" si="246"/>
        <v/>
      </c>
      <c r="L743" s="23" t="str">
        <f t="shared" si="247"/>
        <v/>
      </c>
      <c r="M743" s="22" t="str">
        <f t="shared" si="248"/>
        <v/>
      </c>
      <c r="N743" s="72"/>
      <c r="O743" s="16" t="str">
        <f t="shared" si="249"/>
        <v/>
      </c>
      <c r="P743" s="16" t="str">
        <f t="shared" si="250"/>
        <v/>
      </c>
      <c r="Q743" s="16" t="str">
        <f t="shared" si="251"/>
        <v/>
      </c>
      <c r="R743" s="23" t="str">
        <f t="shared" si="252"/>
        <v/>
      </c>
      <c r="S743" s="23" t="str">
        <f t="shared" si="253"/>
        <v/>
      </c>
      <c r="T743" s="23" t="str">
        <f t="shared" si="254"/>
        <v/>
      </c>
      <c r="U743" s="23" t="str">
        <f t="shared" si="255"/>
        <v/>
      </c>
      <c r="V743" s="23" t="str">
        <f t="shared" si="256"/>
        <v/>
      </c>
      <c r="W743" s="70" t="str">
        <f t="shared" si="257"/>
        <v/>
      </c>
      <c r="X743" s="70" t="str">
        <f t="shared" si="258"/>
        <v/>
      </c>
      <c r="Y743" s="70" t="str">
        <f>IF(AND($A743&lt;&gt;"",$E743&gt;0),isLaptopBag($C743,$J743)*$D743,"")</f>
        <v/>
      </c>
      <c r="Z743" s="70" t="str">
        <f t="shared" si="259"/>
        <v/>
      </c>
      <c r="AA743" s="70" t="str">
        <f t="shared" si="260"/>
        <v/>
      </c>
      <c r="AB743" s="70" t="str">
        <f t="shared" si="261"/>
        <v/>
      </c>
      <c r="AC743" s="70" t="str">
        <f t="shared" si="262"/>
        <v/>
      </c>
      <c r="AD743" s="70" t="str">
        <f t="shared" si="263"/>
        <v/>
      </c>
      <c r="AE743" s="70" t="str">
        <f t="shared" si="264"/>
        <v/>
      </c>
      <c r="AF743" s="16"/>
      <c r="AG743" s="23"/>
      <c r="AH743" s="22"/>
      <c r="AJ743" s="83">
        <f t="shared" si="265"/>
        <v>0</v>
      </c>
      <c r="AO743" s="22" t="str">
        <f t="shared" si="266"/>
        <v/>
      </c>
      <c r="AP743" s="22" t="str">
        <f t="shared" si="267"/>
        <v/>
      </c>
    </row>
    <row r="744" spans="1:42" x14ac:dyDescent="0.25">
      <c r="A744" s="10"/>
      <c r="B744" s="10"/>
      <c r="C744" s="10"/>
      <c r="D744" s="10"/>
      <c r="E744" s="10"/>
      <c r="F744" s="10"/>
      <c r="G744" s="10"/>
      <c r="H744" s="17"/>
      <c r="I744" s="10"/>
      <c r="J744" s="10"/>
      <c r="K744" s="16" t="str">
        <f t="shared" si="246"/>
        <v/>
      </c>
      <c r="L744" s="23" t="str">
        <f t="shared" si="247"/>
        <v/>
      </c>
      <c r="M744" s="22" t="str">
        <f t="shared" si="248"/>
        <v/>
      </c>
      <c r="N744" s="72"/>
      <c r="O744" s="16" t="str">
        <f t="shared" si="249"/>
        <v/>
      </c>
      <c r="P744" s="16" t="str">
        <f t="shared" si="250"/>
        <v/>
      </c>
      <c r="Q744" s="16" t="str">
        <f t="shared" si="251"/>
        <v/>
      </c>
      <c r="R744" s="23" t="str">
        <f t="shared" si="252"/>
        <v/>
      </c>
      <c r="S744" s="23" t="str">
        <f t="shared" si="253"/>
        <v/>
      </c>
      <c r="T744" s="23" t="str">
        <f t="shared" si="254"/>
        <v/>
      </c>
      <c r="U744" s="23" t="str">
        <f t="shared" si="255"/>
        <v/>
      </c>
      <c r="V744" s="23" t="str">
        <f t="shared" si="256"/>
        <v/>
      </c>
      <c r="W744" s="70" t="str">
        <f t="shared" si="257"/>
        <v/>
      </c>
      <c r="X744" s="70" t="str">
        <f t="shared" si="258"/>
        <v/>
      </c>
      <c r="Y744" s="70" t="str">
        <f>IF(AND($A744&lt;&gt;"",$E744&gt;0),isLaptopBag($C744,$J744)*$D744,"")</f>
        <v/>
      </c>
      <c r="Z744" s="70" t="str">
        <f t="shared" si="259"/>
        <v/>
      </c>
      <c r="AA744" s="70" t="str">
        <f t="shared" si="260"/>
        <v/>
      </c>
      <c r="AB744" s="70" t="str">
        <f t="shared" si="261"/>
        <v/>
      </c>
      <c r="AC744" s="70" t="str">
        <f t="shared" si="262"/>
        <v/>
      </c>
      <c r="AD744" s="70" t="str">
        <f t="shared" si="263"/>
        <v/>
      </c>
      <c r="AE744" s="70" t="str">
        <f t="shared" si="264"/>
        <v/>
      </c>
      <c r="AF744" s="16"/>
      <c r="AG744" s="23"/>
      <c r="AH744" s="22"/>
      <c r="AJ744" s="83">
        <f t="shared" si="265"/>
        <v>0</v>
      </c>
      <c r="AO744" s="22" t="str">
        <f t="shared" si="266"/>
        <v/>
      </c>
      <c r="AP744" s="22" t="str">
        <f t="shared" si="267"/>
        <v/>
      </c>
    </row>
    <row r="745" spans="1:42" x14ac:dyDescent="0.25">
      <c r="A745" s="10"/>
      <c r="B745" s="10"/>
      <c r="C745" s="10"/>
      <c r="D745" s="10"/>
      <c r="E745" s="10"/>
      <c r="F745" s="10"/>
      <c r="G745" s="10"/>
      <c r="H745" s="17"/>
      <c r="I745" s="10"/>
      <c r="J745" s="10"/>
      <c r="K745" s="16" t="str">
        <f t="shared" si="246"/>
        <v/>
      </c>
      <c r="L745" s="23" t="str">
        <f t="shared" si="247"/>
        <v/>
      </c>
      <c r="M745" s="22" t="str">
        <f t="shared" si="248"/>
        <v/>
      </c>
      <c r="N745" s="72"/>
      <c r="O745" s="16" t="str">
        <f t="shared" si="249"/>
        <v/>
      </c>
      <c r="P745" s="16" t="str">
        <f t="shared" si="250"/>
        <v/>
      </c>
      <c r="Q745" s="16" t="str">
        <f t="shared" si="251"/>
        <v/>
      </c>
      <c r="R745" s="23" t="str">
        <f t="shared" si="252"/>
        <v/>
      </c>
      <c r="S745" s="23" t="str">
        <f t="shared" si="253"/>
        <v/>
      </c>
      <c r="T745" s="23" t="str">
        <f t="shared" si="254"/>
        <v/>
      </c>
      <c r="U745" s="23" t="str">
        <f t="shared" si="255"/>
        <v/>
      </c>
      <c r="V745" s="23" t="str">
        <f t="shared" si="256"/>
        <v/>
      </c>
      <c r="W745" s="70" t="str">
        <f t="shared" si="257"/>
        <v/>
      </c>
      <c r="X745" s="70" t="str">
        <f t="shared" si="258"/>
        <v/>
      </c>
      <c r="Y745" s="70" t="str">
        <f>IF(AND($A745&lt;&gt;"",$E745&gt;0),isLaptopBag($C745,$J745)*$D745,"")</f>
        <v/>
      </c>
      <c r="Z745" s="70" t="str">
        <f t="shared" si="259"/>
        <v/>
      </c>
      <c r="AA745" s="70" t="str">
        <f t="shared" si="260"/>
        <v/>
      </c>
      <c r="AB745" s="70" t="str">
        <f t="shared" si="261"/>
        <v/>
      </c>
      <c r="AC745" s="70" t="str">
        <f t="shared" si="262"/>
        <v/>
      </c>
      <c r="AD745" s="70" t="str">
        <f t="shared" si="263"/>
        <v/>
      </c>
      <c r="AE745" s="70" t="str">
        <f t="shared" si="264"/>
        <v/>
      </c>
      <c r="AF745" s="16"/>
      <c r="AG745" s="23"/>
      <c r="AH745" s="22"/>
      <c r="AJ745" s="83">
        <f t="shared" si="265"/>
        <v>0</v>
      </c>
      <c r="AO745" s="22" t="str">
        <f t="shared" si="266"/>
        <v/>
      </c>
      <c r="AP745" s="22" t="str">
        <f t="shared" si="267"/>
        <v/>
      </c>
    </row>
    <row r="746" spans="1:42" x14ac:dyDescent="0.25">
      <c r="A746" s="10"/>
      <c r="B746" s="10"/>
      <c r="C746" s="10"/>
      <c r="D746" s="10"/>
      <c r="E746" s="10"/>
      <c r="F746" s="10"/>
      <c r="G746" s="10"/>
      <c r="H746" s="17"/>
      <c r="I746" s="10"/>
      <c r="J746" s="10"/>
      <c r="K746" s="16" t="str">
        <f t="shared" si="246"/>
        <v/>
      </c>
      <c r="L746" s="23" t="str">
        <f t="shared" si="247"/>
        <v/>
      </c>
      <c r="M746" s="22" t="str">
        <f t="shared" si="248"/>
        <v/>
      </c>
      <c r="N746" s="72"/>
      <c r="O746" s="16" t="str">
        <f t="shared" si="249"/>
        <v/>
      </c>
      <c r="P746" s="16" t="str">
        <f t="shared" si="250"/>
        <v/>
      </c>
      <c r="Q746" s="16" t="str">
        <f t="shared" si="251"/>
        <v/>
      </c>
      <c r="R746" s="23" t="str">
        <f t="shared" si="252"/>
        <v/>
      </c>
      <c r="S746" s="23" t="str">
        <f t="shared" si="253"/>
        <v/>
      </c>
      <c r="T746" s="23" t="str">
        <f t="shared" si="254"/>
        <v/>
      </c>
      <c r="U746" s="23" t="str">
        <f t="shared" si="255"/>
        <v/>
      </c>
      <c r="V746" s="23" t="str">
        <f t="shared" si="256"/>
        <v/>
      </c>
      <c r="W746" s="70" t="str">
        <f t="shared" si="257"/>
        <v/>
      </c>
      <c r="X746" s="70" t="str">
        <f t="shared" si="258"/>
        <v/>
      </c>
      <c r="Y746" s="70" t="str">
        <f>IF(AND($A746&lt;&gt;"",$E746&gt;0),isLaptopBag($C746,$J746)*$D746,"")</f>
        <v/>
      </c>
      <c r="Z746" s="70" t="str">
        <f t="shared" si="259"/>
        <v/>
      </c>
      <c r="AA746" s="70" t="str">
        <f t="shared" si="260"/>
        <v/>
      </c>
      <c r="AB746" s="70" t="str">
        <f t="shared" si="261"/>
        <v/>
      </c>
      <c r="AC746" s="70" t="str">
        <f t="shared" si="262"/>
        <v/>
      </c>
      <c r="AD746" s="70" t="str">
        <f t="shared" si="263"/>
        <v/>
      </c>
      <c r="AE746" s="70" t="str">
        <f t="shared" si="264"/>
        <v/>
      </c>
      <c r="AF746" s="16"/>
      <c r="AG746" s="23"/>
      <c r="AH746" s="22"/>
      <c r="AJ746" s="83">
        <f t="shared" si="265"/>
        <v>0</v>
      </c>
      <c r="AO746" s="22" t="str">
        <f t="shared" si="266"/>
        <v/>
      </c>
      <c r="AP746" s="22" t="str">
        <f t="shared" si="267"/>
        <v/>
      </c>
    </row>
    <row r="747" spans="1:42" x14ac:dyDescent="0.25">
      <c r="A747" s="10"/>
      <c r="B747" s="10"/>
      <c r="C747" s="10"/>
      <c r="D747" s="10"/>
      <c r="E747" s="10"/>
      <c r="F747" s="10"/>
      <c r="G747" s="10"/>
      <c r="H747" s="17"/>
      <c r="I747" s="10"/>
      <c r="J747" s="10"/>
      <c r="K747" s="16" t="str">
        <f t="shared" si="246"/>
        <v/>
      </c>
      <c r="L747" s="23" t="str">
        <f t="shared" si="247"/>
        <v/>
      </c>
      <c r="M747" s="22" t="str">
        <f t="shared" si="248"/>
        <v/>
      </c>
      <c r="N747" s="72"/>
      <c r="O747" s="16" t="str">
        <f t="shared" si="249"/>
        <v/>
      </c>
      <c r="P747" s="16" t="str">
        <f t="shared" si="250"/>
        <v/>
      </c>
      <c r="Q747" s="16" t="str">
        <f t="shared" si="251"/>
        <v/>
      </c>
      <c r="R747" s="23" t="str">
        <f t="shared" si="252"/>
        <v/>
      </c>
      <c r="S747" s="23" t="str">
        <f t="shared" si="253"/>
        <v/>
      </c>
      <c r="T747" s="23" t="str">
        <f t="shared" si="254"/>
        <v/>
      </c>
      <c r="U747" s="23" t="str">
        <f t="shared" si="255"/>
        <v/>
      </c>
      <c r="V747" s="23" t="str">
        <f t="shared" si="256"/>
        <v/>
      </c>
      <c r="W747" s="70" t="str">
        <f t="shared" si="257"/>
        <v/>
      </c>
      <c r="X747" s="70" t="str">
        <f t="shared" si="258"/>
        <v/>
      </c>
      <c r="Y747" s="70" t="str">
        <f>IF(AND($A747&lt;&gt;"",$E747&gt;0),isLaptopBag($C747,$J747)*$D747,"")</f>
        <v/>
      </c>
      <c r="Z747" s="70" t="str">
        <f t="shared" si="259"/>
        <v/>
      </c>
      <c r="AA747" s="70" t="str">
        <f t="shared" si="260"/>
        <v/>
      </c>
      <c r="AB747" s="70" t="str">
        <f t="shared" si="261"/>
        <v/>
      </c>
      <c r="AC747" s="70" t="str">
        <f t="shared" si="262"/>
        <v/>
      </c>
      <c r="AD747" s="70" t="str">
        <f t="shared" si="263"/>
        <v/>
      </c>
      <c r="AE747" s="70" t="str">
        <f t="shared" si="264"/>
        <v/>
      </c>
      <c r="AF747" s="16"/>
      <c r="AG747" s="23"/>
      <c r="AH747" s="22"/>
      <c r="AJ747" s="83">
        <f t="shared" si="265"/>
        <v>0</v>
      </c>
      <c r="AO747" s="22" t="str">
        <f t="shared" si="266"/>
        <v/>
      </c>
      <c r="AP747" s="22" t="str">
        <f t="shared" si="267"/>
        <v/>
      </c>
    </row>
    <row r="748" spans="1:42" x14ac:dyDescent="0.25">
      <c r="A748" s="10"/>
      <c r="B748" s="10"/>
      <c r="C748" s="10"/>
      <c r="D748" s="10"/>
      <c r="E748" s="10"/>
      <c r="F748" s="10"/>
      <c r="G748" s="10"/>
      <c r="H748" s="17"/>
      <c r="I748" s="10"/>
      <c r="J748" s="10"/>
      <c r="K748" s="16" t="str">
        <f t="shared" si="246"/>
        <v/>
      </c>
      <c r="L748" s="23" t="str">
        <f t="shared" si="247"/>
        <v/>
      </c>
      <c r="M748" s="22" t="str">
        <f t="shared" si="248"/>
        <v/>
      </c>
      <c r="N748" s="72"/>
      <c r="O748" s="16" t="str">
        <f t="shared" si="249"/>
        <v/>
      </c>
      <c r="P748" s="16" t="str">
        <f t="shared" si="250"/>
        <v/>
      </c>
      <c r="Q748" s="16" t="str">
        <f t="shared" si="251"/>
        <v/>
      </c>
      <c r="R748" s="23" t="str">
        <f t="shared" si="252"/>
        <v/>
      </c>
      <c r="S748" s="23" t="str">
        <f t="shared" si="253"/>
        <v/>
      </c>
      <c r="T748" s="23" t="str">
        <f t="shared" si="254"/>
        <v/>
      </c>
      <c r="U748" s="23" t="str">
        <f t="shared" si="255"/>
        <v/>
      </c>
      <c r="V748" s="23" t="str">
        <f t="shared" si="256"/>
        <v/>
      </c>
      <c r="W748" s="70" t="str">
        <f t="shared" si="257"/>
        <v/>
      </c>
      <c r="X748" s="70" t="str">
        <f t="shared" si="258"/>
        <v/>
      </c>
      <c r="Y748" s="70" t="str">
        <f>IF(AND($A748&lt;&gt;"",$E748&gt;0),isLaptopBag($C748,$J748)*$D748,"")</f>
        <v/>
      </c>
      <c r="Z748" s="70" t="str">
        <f t="shared" si="259"/>
        <v/>
      </c>
      <c r="AA748" s="70" t="str">
        <f t="shared" si="260"/>
        <v/>
      </c>
      <c r="AB748" s="70" t="str">
        <f t="shared" si="261"/>
        <v/>
      </c>
      <c r="AC748" s="70" t="str">
        <f t="shared" si="262"/>
        <v/>
      </c>
      <c r="AD748" s="70" t="str">
        <f t="shared" si="263"/>
        <v/>
      </c>
      <c r="AE748" s="70" t="str">
        <f t="shared" si="264"/>
        <v/>
      </c>
      <c r="AF748" s="16"/>
      <c r="AG748" s="23"/>
      <c r="AH748" s="22"/>
      <c r="AJ748" s="83">
        <f t="shared" si="265"/>
        <v>0</v>
      </c>
      <c r="AO748" s="22" t="str">
        <f t="shared" si="266"/>
        <v/>
      </c>
      <c r="AP748" s="22" t="str">
        <f t="shared" si="267"/>
        <v/>
      </c>
    </row>
    <row r="749" spans="1:42" x14ac:dyDescent="0.25">
      <c r="A749" s="10"/>
      <c r="B749" s="10"/>
      <c r="C749" s="10"/>
      <c r="D749" s="10"/>
      <c r="E749" s="10"/>
      <c r="F749" s="10"/>
      <c r="G749" s="10"/>
      <c r="H749" s="17"/>
      <c r="I749" s="10"/>
      <c r="J749" s="10"/>
      <c r="K749" s="16" t="str">
        <f t="shared" si="246"/>
        <v/>
      </c>
      <c r="L749" s="23" t="str">
        <f t="shared" si="247"/>
        <v/>
      </c>
      <c r="M749" s="22" t="str">
        <f t="shared" si="248"/>
        <v/>
      </c>
      <c r="N749" s="72"/>
      <c r="O749" s="16" t="str">
        <f t="shared" si="249"/>
        <v/>
      </c>
      <c r="P749" s="16" t="str">
        <f t="shared" si="250"/>
        <v/>
      </c>
      <c r="Q749" s="16" t="str">
        <f t="shared" si="251"/>
        <v/>
      </c>
      <c r="R749" s="23" t="str">
        <f t="shared" si="252"/>
        <v/>
      </c>
      <c r="S749" s="23" t="str">
        <f t="shared" si="253"/>
        <v/>
      </c>
      <c r="T749" s="23" t="str">
        <f t="shared" si="254"/>
        <v/>
      </c>
      <c r="U749" s="23" t="str">
        <f t="shared" si="255"/>
        <v/>
      </c>
      <c r="V749" s="23" t="str">
        <f t="shared" si="256"/>
        <v/>
      </c>
      <c r="W749" s="70" t="str">
        <f t="shared" si="257"/>
        <v/>
      </c>
      <c r="X749" s="70" t="str">
        <f t="shared" si="258"/>
        <v/>
      </c>
      <c r="Y749" s="70" t="str">
        <f>IF(AND($A749&lt;&gt;"",$E749&gt;0),isLaptopBag($C749,$J749)*$D749,"")</f>
        <v/>
      </c>
      <c r="Z749" s="70" t="str">
        <f t="shared" si="259"/>
        <v/>
      </c>
      <c r="AA749" s="70" t="str">
        <f t="shared" si="260"/>
        <v/>
      </c>
      <c r="AB749" s="70" t="str">
        <f t="shared" si="261"/>
        <v/>
      </c>
      <c r="AC749" s="70" t="str">
        <f t="shared" si="262"/>
        <v/>
      </c>
      <c r="AD749" s="70" t="str">
        <f t="shared" si="263"/>
        <v/>
      </c>
      <c r="AE749" s="70" t="str">
        <f t="shared" si="264"/>
        <v/>
      </c>
      <c r="AF749" s="16"/>
      <c r="AG749" s="23"/>
      <c r="AH749" s="22"/>
      <c r="AJ749" s="83">
        <f t="shared" si="265"/>
        <v>0</v>
      </c>
      <c r="AO749" s="22" t="str">
        <f t="shared" si="266"/>
        <v/>
      </c>
      <c r="AP749" s="22" t="str">
        <f t="shared" si="267"/>
        <v/>
      </c>
    </row>
    <row r="750" spans="1:42" x14ac:dyDescent="0.25">
      <c r="A750" s="10"/>
      <c r="B750" s="10"/>
      <c r="C750" s="10"/>
      <c r="D750" s="10"/>
      <c r="E750" s="10"/>
      <c r="F750" s="10"/>
      <c r="G750" s="10"/>
      <c r="H750" s="17"/>
      <c r="I750" s="10"/>
      <c r="J750" s="10"/>
      <c r="K750" s="16" t="str">
        <f t="shared" si="246"/>
        <v/>
      </c>
      <c r="L750" s="23" t="str">
        <f t="shared" si="247"/>
        <v/>
      </c>
      <c r="M750" s="22" t="str">
        <f t="shared" si="248"/>
        <v/>
      </c>
      <c r="N750" s="72"/>
      <c r="O750" s="16" t="str">
        <f t="shared" si="249"/>
        <v/>
      </c>
      <c r="P750" s="16" t="str">
        <f t="shared" si="250"/>
        <v/>
      </c>
      <c r="Q750" s="16" t="str">
        <f t="shared" si="251"/>
        <v/>
      </c>
      <c r="R750" s="23" t="str">
        <f t="shared" si="252"/>
        <v/>
      </c>
      <c r="S750" s="23" t="str">
        <f t="shared" si="253"/>
        <v/>
      </c>
      <c r="T750" s="23" t="str">
        <f t="shared" si="254"/>
        <v/>
      </c>
      <c r="U750" s="23" t="str">
        <f t="shared" si="255"/>
        <v/>
      </c>
      <c r="V750" s="23" t="str">
        <f t="shared" si="256"/>
        <v/>
      </c>
      <c r="W750" s="70" t="str">
        <f t="shared" si="257"/>
        <v/>
      </c>
      <c r="X750" s="70" t="str">
        <f t="shared" si="258"/>
        <v/>
      </c>
      <c r="Y750" s="70" t="str">
        <f>IF(AND($A750&lt;&gt;"",$E750&gt;0),isLaptopBag($C750,$J750)*$D750,"")</f>
        <v/>
      </c>
      <c r="Z750" s="70" t="str">
        <f t="shared" si="259"/>
        <v/>
      </c>
      <c r="AA750" s="70" t="str">
        <f t="shared" si="260"/>
        <v/>
      </c>
      <c r="AB750" s="70" t="str">
        <f t="shared" si="261"/>
        <v/>
      </c>
      <c r="AC750" s="70" t="str">
        <f t="shared" si="262"/>
        <v/>
      </c>
      <c r="AD750" s="70" t="str">
        <f t="shared" si="263"/>
        <v/>
      </c>
      <c r="AE750" s="70" t="str">
        <f t="shared" si="264"/>
        <v/>
      </c>
      <c r="AF750" s="16"/>
      <c r="AG750" s="23"/>
      <c r="AH750" s="22"/>
      <c r="AJ750" s="83">
        <f t="shared" si="265"/>
        <v>0</v>
      </c>
      <c r="AO750" s="22" t="str">
        <f t="shared" si="266"/>
        <v/>
      </c>
      <c r="AP750" s="22" t="str">
        <f t="shared" si="267"/>
        <v/>
      </c>
    </row>
    <row r="751" spans="1:42" x14ac:dyDescent="0.25">
      <c r="A751" s="10"/>
      <c r="B751" s="10"/>
      <c r="C751" s="10"/>
      <c r="D751" s="10"/>
      <c r="E751" s="10"/>
      <c r="F751" s="10"/>
      <c r="G751" s="10"/>
      <c r="H751" s="17"/>
      <c r="I751" s="10"/>
      <c r="J751" s="10"/>
      <c r="K751" s="16" t="str">
        <f t="shared" si="246"/>
        <v/>
      </c>
      <c r="L751" s="23" t="str">
        <f t="shared" si="247"/>
        <v/>
      </c>
      <c r="M751" s="22" t="str">
        <f t="shared" si="248"/>
        <v/>
      </c>
      <c r="N751" s="72"/>
      <c r="O751" s="16" t="str">
        <f t="shared" si="249"/>
        <v/>
      </c>
      <c r="P751" s="16" t="str">
        <f t="shared" si="250"/>
        <v/>
      </c>
      <c r="Q751" s="16" t="str">
        <f t="shared" si="251"/>
        <v/>
      </c>
      <c r="R751" s="23" t="str">
        <f t="shared" si="252"/>
        <v/>
      </c>
      <c r="S751" s="23" t="str">
        <f t="shared" si="253"/>
        <v/>
      </c>
      <c r="T751" s="23" t="str">
        <f t="shared" si="254"/>
        <v/>
      </c>
      <c r="U751" s="23" t="str">
        <f t="shared" si="255"/>
        <v/>
      </c>
      <c r="V751" s="23" t="str">
        <f t="shared" si="256"/>
        <v/>
      </c>
      <c r="W751" s="70" t="str">
        <f t="shared" si="257"/>
        <v/>
      </c>
      <c r="X751" s="70" t="str">
        <f t="shared" si="258"/>
        <v/>
      </c>
      <c r="Y751" s="70" t="str">
        <f>IF(AND($A751&lt;&gt;"",$E751&gt;0),isLaptopBag($C751,$J751)*$D751,"")</f>
        <v/>
      </c>
      <c r="Z751" s="70" t="str">
        <f t="shared" si="259"/>
        <v/>
      </c>
      <c r="AA751" s="70" t="str">
        <f t="shared" si="260"/>
        <v/>
      </c>
      <c r="AB751" s="70" t="str">
        <f t="shared" si="261"/>
        <v/>
      </c>
      <c r="AC751" s="70" t="str">
        <f t="shared" si="262"/>
        <v/>
      </c>
      <c r="AD751" s="70" t="str">
        <f t="shared" si="263"/>
        <v/>
      </c>
      <c r="AE751" s="70" t="str">
        <f t="shared" si="264"/>
        <v/>
      </c>
      <c r="AF751" s="16"/>
      <c r="AG751" s="23"/>
      <c r="AH751" s="22"/>
      <c r="AJ751" s="83">
        <f t="shared" si="265"/>
        <v>0</v>
      </c>
      <c r="AO751" s="22" t="str">
        <f t="shared" si="266"/>
        <v/>
      </c>
      <c r="AP751" s="22" t="str">
        <f t="shared" si="267"/>
        <v/>
      </c>
    </row>
    <row r="752" spans="1:42" x14ac:dyDescent="0.25">
      <c r="A752" s="10"/>
      <c r="B752" s="10"/>
      <c r="C752" s="10"/>
      <c r="D752" s="10"/>
      <c r="E752" s="10"/>
      <c r="F752" s="10"/>
      <c r="G752" s="10"/>
      <c r="H752" s="17"/>
      <c r="I752" s="10"/>
      <c r="J752" s="10"/>
      <c r="K752" s="16" t="str">
        <f t="shared" si="246"/>
        <v/>
      </c>
      <c r="L752" s="23" t="str">
        <f t="shared" si="247"/>
        <v/>
      </c>
      <c r="M752" s="22" t="str">
        <f t="shared" si="248"/>
        <v/>
      </c>
      <c r="N752" s="72"/>
      <c r="O752" s="16" t="str">
        <f t="shared" si="249"/>
        <v/>
      </c>
      <c r="P752" s="16" t="str">
        <f t="shared" si="250"/>
        <v/>
      </c>
      <c r="Q752" s="16" t="str">
        <f t="shared" si="251"/>
        <v/>
      </c>
      <c r="R752" s="23" t="str">
        <f t="shared" si="252"/>
        <v/>
      </c>
      <c r="S752" s="23" t="str">
        <f t="shared" si="253"/>
        <v/>
      </c>
      <c r="T752" s="23" t="str">
        <f t="shared" si="254"/>
        <v/>
      </c>
      <c r="U752" s="23" t="str">
        <f t="shared" si="255"/>
        <v/>
      </c>
      <c r="V752" s="23" t="str">
        <f t="shared" si="256"/>
        <v/>
      </c>
      <c r="W752" s="70" t="str">
        <f t="shared" si="257"/>
        <v/>
      </c>
      <c r="X752" s="70" t="str">
        <f t="shared" si="258"/>
        <v/>
      </c>
      <c r="Y752" s="70" t="str">
        <f>IF(AND($A752&lt;&gt;"",$E752&gt;0),isLaptopBag($C752,$J752)*$D752,"")</f>
        <v/>
      </c>
      <c r="Z752" s="70" t="str">
        <f t="shared" si="259"/>
        <v/>
      </c>
      <c r="AA752" s="70" t="str">
        <f t="shared" si="260"/>
        <v/>
      </c>
      <c r="AB752" s="70" t="str">
        <f t="shared" si="261"/>
        <v/>
      </c>
      <c r="AC752" s="70" t="str">
        <f t="shared" si="262"/>
        <v/>
      </c>
      <c r="AD752" s="70" t="str">
        <f t="shared" si="263"/>
        <v/>
      </c>
      <c r="AE752" s="70" t="str">
        <f t="shared" si="264"/>
        <v/>
      </c>
      <c r="AF752" s="16"/>
      <c r="AG752" s="23"/>
      <c r="AH752" s="22"/>
      <c r="AJ752" s="83">
        <f t="shared" si="265"/>
        <v>0</v>
      </c>
      <c r="AO752" s="22" t="str">
        <f t="shared" si="266"/>
        <v/>
      </c>
      <c r="AP752" s="22" t="str">
        <f t="shared" si="267"/>
        <v/>
      </c>
    </row>
    <row r="753" spans="1:42" x14ac:dyDescent="0.25">
      <c r="A753" s="10"/>
      <c r="B753" s="10"/>
      <c r="C753" s="10"/>
      <c r="D753" s="10"/>
      <c r="E753" s="10"/>
      <c r="F753" s="10"/>
      <c r="G753" s="10"/>
      <c r="H753" s="17"/>
      <c r="I753" s="10"/>
      <c r="J753" s="10"/>
      <c r="K753" s="16" t="str">
        <f t="shared" si="246"/>
        <v/>
      </c>
      <c r="L753" s="23" t="str">
        <f t="shared" si="247"/>
        <v/>
      </c>
      <c r="M753" s="22" t="str">
        <f t="shared" si="248"/>
        <v/>
      </c>
      <c r="N753" s="72"/>
      <c r="O753" s="16" t="str">
        <f t="shared" si="249"/>
        <v/>
      </c>
      <c r="P753" s="16" t="str">
        <f t="shared" si="250"/>
        <v/>
      </c>
      <c r="Q753" s="16" t="str">
        <f t="shared" si="251"/>
        <v/>
      </c>
      <c r="R753" s="23" t="str">
        <f t="shared" si="252"/>
        <v/>
      </c>
      <c r="S753" s="23" t="str">
        <f t="shared" si="253"/>
        <v/>
      </c>
      <c r="T753" s="23" t="str">
        <f t="shared" si="254"/>
        <v/>
      </c>
      <c r="U753" s="23" t="str">
        <f t="shared" si="255"/>
        <v/>
      </c>
      <c r="V753" s="23" t="str">
        <f t="shared" si="256"/>
        <v/>
      </c>
      <c r="W753" s="70" t="str">
        <f t="shared" si="257"/>
        <v/>
      </c>
      <c r="X753" s="70" t="str">
        <f t="shared" si="258"/>
        <v/>
      </c>
      <c r="Y753" s="70" t="str">
        <f>IF(AND($A753&lt;&gt;"",$E753&gt;0),isLaptopBag($C753,$J753)*$D753,"")</f>
        <v/>
      </c>
      <c r="Z753" s="70" t="str">
        <f t="shared" si="259"/>
        <v/>
      </c>
      <c r="AA753" s="70" t="str">
        <f t="shared" si="260"/>
        <v/>
      </c>
      <c r="AB753" s="70" t="str">
        <f t="shared" si="261"/>
        <v/>
      </c>
      <c r="AC753" s="70" t="str">
        <f t="shared" si="262"/>
        <v/>
      </c>
      <c r="AD753" s="70" t="str">
        <f t="shared" si="263"/>
        <v/>
      </c>
      <c r="AE753" s="70" t="str">
        <f t="shared" si="264"/>
        <v/>
      </c>
      <c r="AF753" s="16"/>
      <c r="AG753" s="23"/>
      <c r="AH753" s="22"/>
      <c r="AJ753" s="83">
        <f t="shared" si="265"/>
        <v>0</v>
      </c>
      <c r="AO753" s="22" t="str">
        <f t="shared" si="266"/>
        <v/>
      </c>
      <c r="AP753" s="22" t="str">
        <f t="shared" si="267"/>
        <v/>
      </c>
    </row>
    <row r="754" spans="1:42" x14ac:dyDescent="0.25">
      <c r="A754" s="10"/>
      <c r="B754" s="10"/>
      <c r="C754" s="10"/>
      <c r="D754" s="10"/>
      <c r="E754" s="10"/>
      <c r="F754" s="10"/>
      <c r="G754" s="10"/>
      <c r="H754" s="17"/>
      <c r="I754" s="10"/>
      <c r="J754" s="10"/>
      <c r="K754" s="16" t="str">
        <f t="shared" si="246"/>
        <v/>
      </c>
      <c r="L754" s="23" t="str">
        <f t="shared" si="247"/>
        <v/>
      </c>
      <c r="M754" s="22" t="str">
        <f t="shared" si="248"/>
        <v/>
      </c>
      <c r="N754" s="72"/>
      <c r="O754" s="16" t="str">
        <f t="shared" si="249"/>
        <v/>
      </c>
      <c r="P754" s="16" t="str">
        <f t="shared" si="250"/>
        <v/>
      </c>
      <c r="Q754" s="16" t="str">
        <f t="shared" si="251"/>
        <v/>
      </c>
      <c r="R754" s="23" t="str">
        <f t="shared" si="252"/>
        <v/>
      </c>
      <c r="S754" s="23" t="str">
        <f t="shared" si="253"/>
        <v/>
      </c>
      <c r="T754" s="23" t="str">
        <f t="shared" si="254"/>
        <v/>
      </c>
      <c r="U754" s="23" t="str">
        <f t="shared" si="255"/>
        <v/>
      </c>
      <c r="V754" s="23" t="str">
        <f t="shared" si="256"/>
        <v/>
      </c>
      <c r="W754" s="70" t="str">
        <f t="shared" si="257"/>
        <v/>
      </c>
      <c r="X754" s="70" t="str">
        <f t="shared" si="258"/>
        <v/>
      </c>
      <c r="Y754" s="70" t="str">
        <f>IF(AND($A754&lt;&gt;"",$E754&gt;0),isLaptopBag($C754,$J754)*$D754,"")</f>
        <v/>
      </c>
      <c r="Z754" s="70" t="str">
        <f t="shared" si="259"/>
        <v/>
      </c>
      <c r="AA754" s="70" t="str">
        <f t="shared" si="260"/>
        <v/>
      </c>
      <c r="AB754" s="70" t="str">
        <f t="shared" si="261"/>
        <v/>
      </c>
      <c r="AC754" s="70" t="str">
        <f t="shared" si="262"/>
        <v/>
      </c>
      <c r="AD754" s="70" t="str">
        <f t="shared" si="263"/>
        <v/>
      </c>
      <c r="AE754" s="70" t="str">
        <f t="shared" si="264"/>
        <v/>
      </c>
      <c r="AF754" s="16"/>
      <c r="AG754" s="23"/>
      <c r="AH754" s="22"/>
      <c r="AJ754" s="83">
        <f t="shared" si="265"/>
        <v>0</v>
      </c>
      <c r="AO754" s="22" t="str">
        <f t="shared" si="266"/>
        <v/>
      </c>
      <c r="AP754" s="22" t="str">
        <f t="shared" si="267"/>
        <v/>
      </c>
    </row>
    <row r="755" spans="1:42" x14ac:dyDescent="0.25">
      <c r="A755" s="10"/>
      <c r="B755" s="10"/>
      <c r="C755" s="10"/>
      <c r="D755" s="10"/>
      <c r="E755" s="10"/>
      <c r="F755" s="10"/>
      <c r="G755" s="10"/>
      <c r="H755" s="17"/>
      <c r="I755" s="10"/>
      <c r="J755" s="10"/>
      <c r="K755" s="16" t="str">
        <f t="shared" si="246"/>
        <v/>
      </c>
      <c r="L755" s="23" t="str">
        <f t="shared" si="247"/>
        <v/>
      </c>
      <c r="M755" s="22" t="str">
        <f t="shared" si="248"/>
        <v/>
      </c>
      <c r="N755" s="72"/>
      <c r="O755" s="16" t="str">
        <f t="shared" si="249"/>
        <v/>
      </c>
      <c r="P755" s="16" t="str">
        <f t="shared" si="250"/>
        <v/>
      </c>
      <c r="Q755" s="16" t="str">
        <f t="shared" si="251"/>
        <v/>
      </c>
      <c r="R755" s="23" t="str">
        <f t="shared" si="252"/>
        <v/>
      </c>
      <c r="S755" s="23" t="str">
        <f t="shared" si="253"/>
        <v/>
      </c>
      <c r="T755" s="23" t="str">
        <f t="shared" si="254"/>
        <v/>
      </c>
      <c r="U755" s="23" t="str">
        <f t="shared" si="255"/>
        <v/>
      </c>
      <c r="V755" s="23" t="str">
        <f t="shared" si="256"/>
        <v/>
      </c>
      <c r="W755" s="70" t="str">
        <f t="shared" si="257"/>
        <v/>
      </c>
      <c r="X755" s="70" t="str">
        <f t="shared" si="258"/>
        <v/>
      </c>
      <c r="Y755" s="70" t="str">
        <f>IF(AND($A755&lt;&gt;"",$E755&gt;0),isLaptopBag($C755,$J755)*$D755,"")</f>
        <v/>
      </c>
      <c r="Z755" s="70" t="str">
        <f t="shared" si="259"/>
        <v/>
      </c>
      <c r="AA755" s="70" t="str">
        <f t="shared" si="260"/>
        <v/>
      </c>
      <c r="AB755" s="70" t="str">
        <f t="shared" si="261"/>
        <v/>
      </c>
      <c r="AC755" s="70" t="str">
        <f t="shared" si="262"/>
        <v/>
      </c>
      <c r="AD755" s="70" t="str">
        <f t="shared" si="263"/>
        <v/>
      </c>
      <c r="AE755" s="70" t="str">
        <f t="shared" si="264"/>
        <v/>
      </c>
      <c r="AF755" s="16"/>
      <c r="AG755" s="23"/>
      <c r="AH755" s="22"/>
      <c r="AJ755" s="83">
        <f t="shared" si="265"/>
        <v>0</v>
      </c>
      <c r="AO755" s="22" t="str">
        <f t="shared" si="266"/>
        <v/>
      </c>
      <c r="AP755" s="22" t="str">
        <f t="shared" si="267"/>
        <v/>
      </c>
    </row>
    <row r="756" spans="1:42" x14ac:dyDescent="0.25">
      <c r="A756" s="10"/>
      <c r="B756" s="10"/>
      <c r="C756" s="10"/>
      <c r="D756" s="10"/>
      <c r="E756" s="10"/>
      <c r="F756" s="10"/>
      <c r="G756" s="10"/>
      <c r="H756" s="17"/>
      <c r="I756" s="10"/>
      <c r="J756" s="10"/>
      <c r="K756" s="16" t="str">
        <f t="shared" si="246"/>
        <v/>
      </c>
      <c r="L756" s="23" t="str">
        <f t="shared" si="247"/>
        <v/>
      </c>
      <c r="M756" s="22" t="str">
        <f t="shared" si="248"/>
        <v/>
      </c>
      <c r="N756" s="72"/>
      <c r="O756" s="16" t="str">
        <f t="shared" si="249"/>
        <v/>
      </c>
      <c r="P756" s="16" t="str">
        <f t="shared" si="250"/>
        <v/>
      </c>
      <c r="Q756" s="16" t="str">
        <f t="shared" si="251"/>
        <v/>
      </c>
      <c r="R756" s="23" t="str">
        <f t="shared" si="252"/>
        <v/>
      </c>
      <c r="S756" s="23" t="str">
        <f t="shared" si="253"/>
        <v/>
      </c>
      <c r="T756" s="23" t="str">
        <f t="shared" si="254"/>
        <v/>
      </c>
      <c r="U756" s="23" t="str">
        <f t="shared" si="255"/>
        <v/>
      </c>
      <c r="V756" s="23" t="str">
        <f t="shared" si="256"/>
        <v/>
      </c>
      <c r="W756" s="70" t="str">
        <f t="shared" si="257"/>
        <v/>
      </c>
      <c r="X756" s="70" t="str">
        <f t="shared" si="258"/>
        <v/>
      </c>
      <c r="Y756" s="70" t="str">
        <f>IF(AND($A756&lt;&gt;"",$E756&gt;0),isLaptopBag($C756,$J756)*$D756,"")</f>
        <v/>
      </c>
      <c r="Z756" s="70" t="str">
        <f t="shared" si="259"/>
        <v/>
      </c>
      <c r="AA756" s="70" t="str">
        <f t="shared" si="260"/>
        <v/>
      </c>
      <c r="AB756" s="70" t="str">
        <f t="shared" si="261"/>
        <v/>
      </c>
      <c r="AC756" s="70" t="str">
        <f t="shared" si="262"/>
        <v/>
      </c>
      <c r="AD756" s="70" t="str">
        <f t="shared" si="263"/>
        <v/>
      </c>
      <c r="AE756" s="70" t="str">
        <f t="shared" si="264"/>
        <v/>
      </c>
      <c r="AF756" s="16"/>
      <c r="AG756" s="23"/>
      <c r="AH756" s="22"/>
      <c r="AJ756" s="83">
        <f t="shared" si="265"/>
        <v>0</v>
      </c>
      <c r="AO756" s="22" t="str">
        <f t="shared" si="266"/>
        <v/>
      </c>
      <c r="AP756" s="22" t="str">
        <f t="shared" si="267"/>
        <v/>
      </c>
    </row>
    <row r="757" spans="1:42" x14ac:dyDescent="0.25">
      <c r="A757" s="10"/>
      <c r="B757" s="10"/>
      <c r="C757" s="10"/>
      <c r="D757" s="10"/>
      <c r="E757" s="10"/>
      <c r="F757" s="10"/>
      <c r="G757" s="10"/>
      <c r="H757" s="17"/>
      <c r="I757" s="10"/>
      <c r="J757" s="10"/>
      <c r="K757" s="16" t="str">
        <f t="shared" si="246"/>
        <v/>
      </c>
      <c r="L757" s="23" t="str">
        <f t="shared" si="247"/>
        <v/>
      </c>
      <c r="M757" s="22" t="str">
        <f t="shared" si="248"/>
        <v/>
      </c>
      <c r="N757" s="72"/>
      <c r="O757" s="16" t="str">
        <f t="shared" si="249"/>
        <v/>
      </c>
      <c r="P757" s="16" t="str">
        <f t="shared" si="250"/>
        <v/>
      </c>
      <c r="Q757" s="16" t="str">
        <f t="shared" si="251"/>
        <v/>
      </c>
      <c r="R757" s="23" t="str">
        <f t="shared" si="252"/>
        <v/>
      </c>
      <c r="S757" s="23" t="str">
        <f t="shared" si="253"/>
        <v/>
      </c>
      <c r="T757" s="23" t="str">
        <f t="shared" si="254"/>
        <v/>
      </c>
      <c r="U757" s="23" t="str">
        <f t="shared" si="255"/>
        <v/>
      </c>
      <c r="V757" s="23" t="str">
        <f t="shared" si="256"/>
        <v/>
      </c>
      <c r="W757" s="70" t="str">
        <f t="shared" si="257"/>
        <v/>
      </c>
      <c r="X757" s="70" t="str">
        <f t="shared" si="258"/>
        <v/>
      </c>
      <c r="Y757" s="70" t="str">
        <f>IF(AND($A757&lt;&gt;"",$E757&gt;0),isLaptopBag($C757,$J757)*$D757,"")</f>
        <v/>
      </c>
      <c r="Z757" s="70" t="str">
        <f t="shared" si="259"/>
        <v/>
      </c>
      <c r="AA757" s="70" t="str">
        <f t="shared" si="260"/>
        <v/>
      </c>
      <c r="AB757" s="70" t="str">
        <f t="shared" si="261"/>
        <v/>
      </c>
      <c r="AC757" s="70" t="str">
        <f t="shared" si="262"/>
        <v/>
      </c>
      <c r="AD757" s="70" t="str">
        <f t="shared" si="263"/>
        <v/>
      </c>
      <c r="AE757" s="70" t="str">
        <f t="shared" si="264"/>
        <v/>
      </c>
      <c r="AF757" s="16"/>
      <c r="AG757" s="23"/>
      <c r="AH757" s="22"/>
      <c r="AJ757" s="83">
        <f t="shared" si="265"/>
        <v>0</v>
      </c>
      <c r="AO757" s="22" t="str">
        <f t="shared" si="266"/>
        <v/>
      </c>
      <c r="AP757" s="22" t="str">
        <f t="shared" si="267"/>
        <v/>
      </c>
    </row>
    <row r="758" spans="1:42" x14ac:dyDescent="0.25">
      <c r="A758" s="10"/>
      <c r="B758" s="10"/>
      <c r="C758" s="10"/>
      <c r="D758" s="10"/>
      <c r="E758" s="10"/>
      <c r="F758" s="10"/>
      <c r="G758" s="10"/>
      <c r="H758" s="17"/>
      <c r="I758" s="10"/>
      <c r="J758" s="10"/>
      <c r="K758" s="16" t="str">
        <f t="shared" si="246"/>
        <v/>
      </c>
      <c r="L758" s="23" t="str">
        <f t="shared" si="247"/>
        <v/>
      </c>
      <c r="M758" s="22" t="str">
        <f t="shared" si="248"/>
        <v/>
      </c>
      <c r="N758" s="72"/>
      <c r="O758" s="16" t="str">
        <f t="shared" si="249"/>
        <v/>
      </c>
      <c r="P758" s="16" t="str">
        <f t="shared" si="250"/>
        <v/>
      </c>
      <c r="Q758" s="16" t="str">
        <f t="shared" si="251"/>
        <v/>
      </c>
      <c r="R758" s="23" t="str">
        <f t="shared" si="252"/>
        <v/>
      </c>
      <c r="S758" s="23" t="str">
        <f t="shared" si="253"/>
        <v/>
      </c>
      <c r="T758" s="23" t="str">
        <f t="shared" si="254"/>
        <v/>
      </c>
      <c r="U758" s="23" t="str">
        <f t="shared" si="255"/>
        <v/>
      </c>
      <c r="V758" s="23" t="str">
        <f t="shared" si="256"/>
        <v/>
      </c>
      <c r="W758" s="70" t="str">
        <f t="shared" si="257"/>
        <v/>
      </c>
      <c r="X758" s="70" t="str">
        <f t="shared" si="258"/>
        <v/>
      </c>
      <c r="Y758" s="70" t="str">
        <f>IF(AND($A758&lt;&gt;"",$E758&gt;0),isLaptopBag($C758,$J758)*$D758,"")</f>
        <v/>
      </c>
      <c r="Z758" s="70" t="str">
        <f t="shared" si="259"/>
        <v/>
      </c>
      <c r="AA758" s="70" t="str">
        <f t="shared" si="260"/>
        <v/>
      </c>
      <c r="AB758" s="70" t="str">
        <f t="shared" si="261"/>
        <v/>
      </c>
      <c r="AC758" s="70" t="str">
        <f t="shared" si="262"/>
        <v/>
      </c>
      <c r="AD758" s="70" t="str">
        <f t="shared" si="263"/>
        <v/>
      </c>
      <c r="AE758" s="70" t="str">
        <f t="shared" si="264"/>
        <v/>
      </c>
      <c r="AF758" s="16"/>
      <c r="AG758" s="23"/>
      <c r="AH758" s="22"/>
      <c r="AJ758" s="83">
        <f t="shared" si="265"/>
        <v>0</v>
      </c>
      <c r="AO758" s="22" t="str">
        <f t="shared" si="266"/>
        <v/>
      </c>
      <c r="AP758" s="22" t="str">
        <f t="shared" si="267"/>
        <v/>
      </c>
    </row>
    <row r="759" spans="1:42" x14ac:dyDescent="0.25">
      <c r="A759" s="10"/>
      <c r="B759" s="10"/>
      <c r="C759" s="10"/>
      <c r="D759" s="10"/>
      <c r="E759" s="10"/>
      <c r="F759" s="10"/>
      <c r="G759" s="10"/>
      <c r="H759" s="17"/>
      <c r="I759" s="10"/>
      <c r="J759" s="10"/>
      <c r="K759" s="16" t="str">
        <f t="shared" si="246"/>
        <v/>
      </c>
      <c r="L759" s="23" t="str">
        <f t="shared" si="247"/>
        <v/>
      </c>
      <c r="M759" s="22" t="str">
        <f t="shared" si="248"/>
        <v/>
      </c>
      <c r="N759" s="72"/>
      <c r="O759" s="16" t="str">
        <f t="shared" si="249"/>
        <v/>
      </c>
      <c r="P759" s="16" t="str">
        <f t="shared" si="250"/>
        <v/>
      </c>
      <c r="Q759" s="16" t="str">
        <f t="shared" si="251"/>
        <v/>
      </c>
      <c r="R759" s="23" t="str">
        <f t="shared" si="252"/>
        <v/>
      </c>
      <c r="S759" s="23" t="str">
        <f t="shared" si="253"/>
        <v/>
      </c>
      <c r="T759" s="23" t="str">
        <f t="shared" si="254"/>
        <v/>
      </c>
      <c r="U759" s="23" t="str">
        <f t="shared" si="255"/>
        <v/>
      </c>
      <c r="V759" s="23" t="str">
        <f t="shared" si="256"/>
        <v/>
      </c>
      <c r="W759" s="70" t="str">
        <f t="shared" si="257"/>
        <v/>
      </c>
      <c r="X759" s="70" t="str">
        <f t="shared" si="258"/>
        <v/>
      </c>
      <c r="Y759" s="70" t="str">
        <f>IF(AND($A759&lt;&gt;"",$E759&gt;0),isLaptopBag($C759,$J759)*$D759,"")</f>
        <v/>
      </c>
      <c r="Z759" s="70" t="str">
        <f t="shared" si="259"/>
        <v/>
      </c>
      <c r="AA759" s="70" t="str">
        <f t="shared" si="260"/>
        <v/>
      </c>
      <c r="AB759" s="70" t="str">
        <f t="shared" si="261"/>
        <v/>
      </c>
      <c r="AC759" s="70" t="str">
        <f t="shared" si="262"/>
        <v/>
      </c>
      <c r="AD759" s="70" t="str">
        <f t="shared" si="263"/>
        <v/>
      </c>
      <c r="AE759" s="70" t="str">
        <f t="shared" si="264"/>
        <v/>
      </c>
      <c r="AF759" s="16"/>
      <c r="AG759" s="23"/>
      <c r="AH759" s="22"/>
      <c r="AJ759" s="83">
        <f t="shared" si="265"/>
        <v>0</v>
      </c>
      <c r="AO759" s="22" t="str">
        <f t="shared" si="266"/>
        <v/>
      </c>
      <c r="AP759" s="22" t="str">
        <f t="shared" si="267"/>
        <v/>
      </c>
    </row>
    <row r="760" spans="1:42" x14ac:dyDescent="0.25">
      <c r="A760" s="10"/>
      <c r="B760" s="10"/>
      <c r="C760" s="10"/>
      <c r="D760" s="10"/>
      <c r="E760" s="10"/>
      <c r="F760" s="10"/>
      <c r="G760" s="10"/>
      <c r="H760" s="17"/>
      <c r="I760" s="10"/>
      <c r="J760" s="10"/>
      <c r="K760" s="16" t="str">
        <f t="shared" si="246"/>
        <v/>
      </c>
      <c r="L760" s="23" t="str">
        <f t="shared" si="247"/>
        <v/>
      </c>
      <c r="M760" s="22" t="str">
        <f t="shared" si="248"/>
        <v/>
      </c>
      <c r="N760" s="72"/>
      <c r="O760" s="16" t="str">
        <f t="shared" si="249"/>
        <v/>
      </c>
      <c r="P760" s="16" t="str">
        <f t="shared" si="250"/>
        <v/>
      </c>
      <c r="Q760" s="16" t="str">
        <f t="shared" si="251"/>
        <v/>
      </c>
      <c r="R760" s="23" t="str">
        <f t="shared" si="252"/>
        <v/>
      </c>
      <c r="S760" s="23" t="str">
        <f t="shared" si="253"/>
        <v/>
      </c>
      <c r="T760" s="23" t="str">
        <f t="shared" si="254"/>
        <v/>
      </c>
      <c r="U760" s="23" t="str">
        <f t="shared" si="255"/>
        <v/>
      </c>
      <c r="V760" s="23" t="str">
        <f t="shared" si="256"/>
        <v/>
      </c>
      <c r="W760" s="70" t="str">
        <f t="shared" si="257"/>
        <v/>
      </c>
      <c r="X760" s="70" t="str">
        <f t="shared" si="258"/>
        <v/>
      </c>
      <c r="Y760" s="70" t="str">
        <f>IF(AND($A760&lt;&gt;"",$E760&gt;0),isLaptopBag($C760,$J760)*$D760,"")</f>
        <v/>
      </c>
      <c r="Z760" s="70" t="str">
        <f t="shared" si="259"/>
        <v/>
      </c>
      <c r="AA760" s="70" t="str">
        <f t="shared" si="260"/>
        <v/>
      </c>
      <c r="AB760" s="70" t="str">
        <f t="shared" si="261"/>
        <v/>
      </c>
      <c r="AC760" s="70" t="str">
        <f t="shared" si="262"/>
        <v/>
      </c>
      <c r="AD760" s="70" t="str">
        <f t="shared" si="263"/>
        <v/>
      </c>
      <c r="AE760" s="70" t="str">
        <f t="shared" si="264"/>
        <v/>
      </c>
      <c r="AF760" s="16"/>
      <c r="AG760" s="23"/>
      <c r="AH760" s="22"/>
      <c r="AJ760" s="83">
        <f t="shared" si="265"/>
        <v>0</v>
      </c>
      <c r="AO760" s="22" t="str">
        <f t="shared" si="266"/>
        <v/>
      </c>
      <c r="AP760" s="22" t="str">
        <f t="shared" si="267"/>
        <v/>
      </c>
    </row>
    <row r="761" spans="1:42" x14ac:dyDescent="0.25">
      <c r="A761" s="10"/>
      <c r="B761" s="10"/>
      <c r="C761" s="10"/>
      <c r="D761" s="10"/>
      <c r="E761" s="10"/>
      <c r="F761" s="10"/>
      <c r="G761" s="10"/>
      <c r="H761" s="17"/>
      <c r="I761" s="10"/>
      <c r="J761" s="10"/>
      <c r="K761" s="16" t="str">
        <f t="shared" si="246"/>
        <v/>
      </c>
      <c r="L761" s="23" t="str">
        <f t="shared" si="247"/>
        <v/>
      </c>
      <c r="M761" s="22" t="str">
        <f t="shared" si="248"/>
        <v/>
      </c>
      <c r="N761" s="72"/>
      <c r="O761" s="16" t="str">
        <f t="shared" si="249"/>
        <v/>
      </c>
      <c r="P761" s="16" t="str">
        <f t="shared" si="250"/>
        <v/>
      </c>
      <c r="Q761" s="16" t="str">
        <f t="shared" si="251"/>
        <v/>
      </c>
      <c r="R761" s="23" t="str">
        <f t="shared" si="252"/>
        <v/>
      </c>
      <c r="S761" s="23" t="str">
        <f t="shared" si="253"/>
        <v/>
      </c>
      <c r="T761" s="23" t="str">
        <f t="shared" si="254"/>
        <v/>
      </c>
      <c r="U761" s="23" t="str">
        <f t="shared" si="255"/>
        <v/>
      </c>
      <c r="V761" s="23" t="str">
        <f t="shared" si="256"/>
        <v/>
      </c>
      <c r="W761" s="70" t="str">
        <f t="shared" si="257"/>
        <v/>
      </c>
      <c r="X761" s="70" t="str">
        <f t="shared" si="258"/>
        <v/>
      </c>
      <c r="Y761" s="70" t="str">
        <f>IF(AND($A761&lt;&gt;"",$E761&gt;0),isLaptopBag($C761,$J761)*$D761,"")</f>
        <v/>
      </c>
      <c r="Z761" s="70" t="str">
        <f t="shared" si="259"/>
        <v/>
      </c>
      <c r="AA761" s="70" t="str">
        <f t="shared" si="260"/>
        <v/>
      </c>
      <c r="AB761" s="70" t="str">
        <f t="shared" si="261"/>
        <v/>
      </c>
      <c r="AC761" s="70" t="str">
        <f t="shared" si="262"/>
        <v/>
      </c>
      <c r="AD761" s="70" t="str">
        <f t="shared" si="263"/>
        <v/>
      </c>
      <c r="AE761" s="70" t="str">
        <f t="shared" si="264"/>
        <v/>
      </c>
      <c r="AF761" s="16"/>
      <c r="AG761" s="23"/>
      <c r="AH761" s="22"/>
      <c r="AJ761" s="83">
        <f t="shared" si="265"/>
        <v>0</v>
      </c>
      <c r="AO761" s="22" t="str">
        <f t="shared" si="266"/>
        <v/>
      </c>
      <c r="AP761" s="22" t="str">
        <f t="shared" si="267"/>
        <v/>
      </c>
    </row>
    <row r="762" spans="1:42" x14ac:dyDescent="0.25">
      <c r="A762" s="10"/>
      <c r="B762" s="10"/>
      <c r="C762" s="10"/>
      <c r="D762" s="10"/>
      <c r="E762" s="10"/>
      <c r="F762" s="10"/>
      <c r="G762" s="10"/>
      <c r="H762" s="17"/>
      <c r="I762" s="10"/>
      <c r="J762" s="10"/>
      <c r="K762" s="16" t="str">
        <f t="shared" si="246"/>
        <v/>
      </c>
      <c r="L762" s="23" t="str">
        <f t="shared" si="247"/>
        <v/>
      </c>
      <c r="M762" s="22" t="str">
        <f t="shared" si="248"/>
        <v/>
      </c>
      <c r="N762" s="72"/>
      <c r="O762" s="16" t="str">
        <f t="shared" si="249"/>
        <v/>
      </c>
      <c r="P762" s="16" t="str">
        <f t="shared" si="250"/>
        <v/>
      </c>
      <c r="Q762" s="16" t="str">
        <f t="shared" si="251"/>
        <v/>
      </c>
      <c r="R762" s="23" t="str">
        <f t="shared" si="252"/>
        <v/>
      </c>
      <c r="S762" s="23" t="str">
        <f t="shared" si="253"/>
        <v/>
      </c>
      <c r="T762" s="23" t="str">
        <f t="shared" si="254"/>
        <v/>
      </c>
      <c r="U762" s="23" t="str">
        <f t="shared" si="255"/>
        <v/>
      </c>
      <c r="V762" s="23" t="str">
        <f t="shared" si="256"/>
        <v/>
      </c>
      <c r="W762" s="70" t="str">
        <f t="shared" si="257"/>
        <v/>
      </c>
      <c r="X762" s="70" t="str">
        <f t="shared" si="258"/>
        <v/>
      </c>
      <c r="Y762" s="70" t="str">
        <f>IF(AND($A762&lt;&gt;"",$E762&gt;0),isLaptopBag($C762,$J762)*$D762,"")</f>
        <v/>
      </c>
      <c r="Z762" s="70" t="str">
        <f t="shared" si="259"/>
        <v/>
      </c>
      <c r="AA762" s="70" t="str">
        <f t="shared" si="260"/>
        <v/>
      </c>
      <c r="AB762" s="70" t="str">
        <f t="shared" si="261"/>
        <v/>
      </c>
      <c r="AC762" s="70" t="str">
        <f t="shared" si="262"/>
        <v/>
      </c>
      <c r="AD762" s="70" t="str">
        <f t="shared" si="263"/>
        <v/>
      </c>
      <c r="AE762" s="70" t="str">
        <f t="shared" si="264"/>
        <v/>
      </c>
      <c r="AF762" s="16"/>
      <c r="AG762" s="23"/>
      <c r="AH762" s="22"/>
      <c r="AJ762" s="83">
        <f t="shared" si="265"/>
        <v>0</v>
      </c>
      <c r="AO762" s="22" t="str">
        <f t="shared" si="266"/>
        <v/>
      </c>
      <c r="AP762" s="22" t="str">
        <f t="shared" si="267"/>
        <v/>
      </c>
    </row>
    <row r="763" spans="1:42" x14ac:dyDescent="0.25">
      <c r="A763" s="10"/>
      <c r="B763" s="10"/>
      <c r="C763" s="10"/>
      <c r="D763" s="10"/>
      <c r="E763" s="10"/>
      <c r="F763" s="10"/>
      <c r="G763" s="10"/>
      <c r="H763" s="17"/>
      <c r="I763" s="10"/>
      <c r="J763" s="10"/>
      <c r="K763" s="16" t="str">
        <f t="shared" si="246"/>
        <v/>
      </c>
      <c r="L763" s="23" t="str">
        <f t="shared" si="247"/>
        <v/>
      </c>
      <c r="M763" s="22" t="str">
        <f t="shared" si="248"/>
        <v/>
      </c>
      <c r="N763" s="72"/>
      <c r="O763" s="16" t="str">
        <f t="shared" si="249"/>
        <v/>
      </c>
      <c r="P763" s="16" t="str">
        <f t="shared" si="250"/>
        <v/>
      </c>
      <c r="Q763" s="16" t="str">
        <f t="shared" si="251"/>
        <v/>
      </c>
      <c r="R763" s="23" t="str">
        <f t="shared" si="252"/>
        <v/>
      </c>
      <c r="S763" s="23" t="str">
        <f t="shared" si="253"/>
        <v/>
      </c>
      <c r="T763" s="23" t="str">
        <f t="shared" si="254"/>
        <v/>
      </c>
      <c r="U763" s="23" t="str">
        <f t="shared" si="255"/>
        <v/>
      </c>
      <c r="V763" s="23" t="str">
        <f t="shared" si="256"/>
        <v/>
      </c>
      <c r="W763" s="70" t="str">
        <f t="shared" si="257"/>
        <v/>
      </c>
      <c r="X763" s="70" t="str">
        <f t="shared" si="258"/>
        <v/>
      </c>
      <c r="Y763" s="70" t="str">
        <f>IF(AND($A763&lt;&gt;"",$E763&gt;0),isLaptopBag($C763,$J763)*$D763,"")</f>
        <v/>
      </c>
      <c r="Z763" s="70" t="str">
        <f t="shared" si="259"/>
        <v/>
      </c>
      <c r="AA763" s="70" t="str">
        <f t="shared" si="260"/>
        <v/>
      </c>
      <c r="AB763" s="70" t="str">
        <f t="shared" si="261"/>
        <v/>
      </c>
      <c r="AC763" s="70" t="str">
        <f t="shared" si="262"/>
        <v/>
      </c>
      <c r="AD763" s="70" t="str">
        <f t="shared" si="263"/>
        <v/>
      </c>
      <c r="AE763" s="70" t="str">
        <f t="shared" si="264"/>
        <v/>
      </c>
      <c r="AF763" s="16"/>
      <c r="AG763" s="23"/>
      <c r="AH763" s="22"/>
      <c r="AJ763" s="83">
        <f t="shared" si="265"/>
        <v>0</v>
      </c>
      <c r="AO763" s="22" t="str">
        <f t="shared" si="266"/>
        <v/>
      </c>
      <c r="AP763" s="22" t="str">
        <f t="shared" si="267"/>
        <v/>
      </c>
    </row>
    <row r="764" spans="1:42" x14ac:dyDescent="0.25">
      <c r="A764" s="10"/>
      <c r="B764" s="10"/>
      <c r="C764" s="10"/>
      <c r="D764" s="10"/>
      <c r="E764" s="10"/>
      <c r="F764" s="10"/>
      <c r="G764" s="10"/>
      <c r="H764" s="17"/>
      <c r="I764" s="10"/>
      <c r="J764" s="10"/>
      <c r="K764" s="16" t="str">
        <f t="shared" si="246"/>
        <v/>
      </c>
      <c r="L764" s="23" t="str">
        <f t="shared" si="247"/>
        <v/>
      </c>
      <c r="M764" s="22" t="str">
        <f t="shared" si="248"/>
        <v/>
      </c>
      <c r="N764" s="72"/>
      <c r="O764" s="16" t="str">
        <f t="shared" si="249"/>
        <v/>
      </c>
      <c r="P764" s="16" t="str">
        <f t="shared" si="250"/>
        <v/>
      </c>
      <c r="Q764" s="16" t="str">
        <f t="shared" si="251"/>
        <v/>
      </c>
      <c r="R764" s="23" t="str">
        <f t="shared" si="252"/>
        <v/>
      </c>
      <c r="S764" s="23" t="str">
        <f t="shared" si="253"/>
        <v/>
      </c>
      <c r="T764" s="23" t="str">
        <f t="shared" si="254"/>
        <v/>
      </c>
      <c r="U764" s="23" t="str">
        <f t="shared" si="255"/>
        <v/>
      </c>
      <c r="V764" s="23" t="str">
        <f t="shared" si="256"/>
        <v/>
      </c>
      <c r="W764" s="70" t="str">
        <f t="shared" si="257"/>
        <v/>
      </c>
      <c r="X764" s="70" t="str">
        <f t="shared" si="258"/>
        <v/>
      </c>
      <c r="Y764" s="70" t="str">
        <f>IF(AND($A764&lt;&gt;"",$E764&gt;0),isLaptopBag($C764,$J764)*$D764,"")</f>
        <v/>
      </c>
      <c r="Z764" s="70" t="str">
        <f t="shared" si="259"/>
        <v/>
      </c>
      <c r="AA764" s="70" t="str">
        <f t="shared" si="260"/>
        <v/>
      </c>
      <c r="AB764" s="70" t="str">
        <f t="shared" si="261"/>
        <v/>
      </c>
      <c r="AC764" s="70" t="str">
        <f t="shared" si="262"/>
        <v/>
      </c>
      <c r="AD764" s="70" t="str">
        <f t="shared" si="263"/>
        <v/>
      </c>
      <c r="AE764" s="70" t="str">
        <f t="shared" si="264"/>
        <v/>
      </c>
      <c r="AF764" s="16"/>
      <c r="AG764" s="23"/>
      <c r="AH764" s="22"/>
      <c r="AJ764" s="83">
        <f t="shared" si="265"/>
        <v>0</v>
      </c>
      <c r="AO764" s="22" t="str">
        <f t="shared" si="266"/>
        <v/>
      </c>
      <c r="AP764" s="22" t="str">
        <f t="shared" si="267"/>
        <v/>
      </c>
    </row>
    <row r="765" spans="1:42" x14ac:dyDescent="0.25">
      <c r="A765" s="10"/>
      <c r="B765" s="10"/>
      <c r="C765" s="10"/>
      <c r="D765" s="10"/>
      <c r="E765" s="10"/>
      <c r="F765" s="10"/>
      <c r="G765" s="10"/>
      <c r="H765" s="17"/>
      <c r="I765" s="10"/>
      <c r="J765" s="10"/>
      <c r="K765" s="16" t="str">
        <f t="shared" si="246"/>
        <v/>
      </c>
      <c r="L765" s="23" t="str">
        <f t="shared" si="247"/>
        <v/>
      </c>
      <c r="M765" s="22" t="str">
        <f t="shared" si="248"/>
        <v/>
      </c>
      <c r="N765" s="72"/>
      <c r="O765" s="16" t="str">
        <f t="shared" si="249"/>
        <v/>
      </c>
      <c r="P765" s="16" t="str">
        <f t="shared" si="250"/>
        <v/>
      </c>
      <c r="Q765" s="16" t="str">
        <f t="shared" si="251"/>
        <v/>
      </c>
      <c r="R765" s="23" t="str">
        <f t="shared" si="252"/>
        <v/>
      </c>
      <c r="S765" s="23" t="str">
        <f t="shared" si="253"/>
        <v/>
      </c>
      <c r="T765" s="23" t="str">
        <f t="shared" si="254"/>
        <v/>
      </c>
      <c r="U765" s="23" t="str">
        <f t="shared" si="255"/>
        <v/>
      </c>
      <c r="V765" s="23" t="str">
        <f t="shared" si="256"/>
        <v/>
      </c>
      <c r="W765" s="70" t="str">
        <f t="shared" si="257"/>
        <v/>
      </c>
      <c r="X765" s="70" t="str">
        <f t="shared" si="258"/>
        <v/>
      </c>
      <c r="Y765" s="70" t="str">
        <f>IF(AND($A765&lt;&gt;"",$E765&gt;0),isLaptopBag($C765,$J765)*$D765,"")</f>
        <v/>
      </c>
      <c r="Z765" s="70" t="str">
        <f t="shared" si="259"/>
        <v/>
      </c>
      <c r="AA765" s="70" t="str">
        <f t="shared" si="260"/>
        <v/>
      </c>
      <c r="AB765" s="70" t="str">
        <f t="shared" si="261"/>
        <v/>
      </c>
      <c r="AC765" s="70" t="str">
        <f t="shared" si="262"/>
        <v/>
      </c>
      <c r="AD765" s="70" t="str">
        <f t="shared" si="263"/>
        <v/>
      </c>
      <c r="AE765" s="70" t="str">
        <f t="shared" si="264"/>
        <v/>
      </c>
      <c r="AF765" s="16"/>
      <c r="AG765" s="23"/>
      <c r="AH765" s="22"/>
      <c r="AJ765" s="83">
        <f t="shared" si="265"/>
        <v>0</v>
      </c>
      <c r="AO765" s="22" t="str">
        <f t="shared" si="266"/>
        <v/>
      </c>
      <c r="AP765" s="22" t="str">
        <f t="shared" si="267"/>
        <v/>
      </c>
    </row>
    <row r="766" spans="1:42" x14ac:dyDescent="0.25">
      <c r="A766" s="10"/>
      <c r="B766" s="10"/>
      <c r="C766" s="10"/>
      <c r="D766" s="10"/>
      <c r="E766" s="10"/>
      <c r="F766" s="10"/>
      <c r="G766" s="10"/>
      <c r="H766" s="17"/>
      <c r="I766" s="10"/>
      <c r="J766" s="10"/>
      <c r="K766" s="16" t="str">
        <f t="shared" si="246"/>
        <v/>
      </c>
      <c r="L766" s="23" t="str">
        <f t="shared" si="247"/>
        <v/>
      </c>
      <c r="M766" s="22" t="str">
        <f t="shared" si="248"/>
        <v/>
      </c>
      <c r="N766" s="72"/>
      <c r="O766" s="16" t="str">
        <f t="shared" si="249"/>
        <v/>
      </c>
      <c r="P766" s="16" t="str">
        <f t="shared" si="250"/>
        <v/>
      </c>
      <c r="Q766" s="16" t="str">
        <f t="shared" si="251"/>
        <v/>
      </c>
      <c r="R766" s="23" t="str">
        <f t="shared" si="252"/>
        <v/>
      </c>
      <c r="S766" s="23" t="str">
        <f t="shared" si="253"/>
        <v/>
      </c>
      <c r="T766" s="23" t="str">
        <f t="shared" si="254"/>
        <v/>
      </c>
      <c r="U766" s="23" t="str">
        <f t="shared" si="255"/>
        <v/>
      </c>
      <c r="V766" s="23" t="str">
        <f t="shared" si="256"/>
        <v/>
      </c>
      <c r="W766" s="70" t="str">
        <f t="shared" si="257"/>
        <v/>
      </c>
      <c r="X766" s="70" t="str">
        <f t="shared" si="258"/>
        <v/>
      </c>
      <c r="Y766" s="70" t="str">
        <f>IF(AND($A766&lt;&gt;"",$E766&gt;0),isLaptopBag($C766,$J766)*$D766,"")</f>
        <v/>
      </c>
      <c r="Z766" s="70" t="str">
        <f t="shared" si="259"/>
        <v/>
      </c>
      <c r="AA766" s="70" t="str">
        <f t="shared" si="260"/>
        <v/>
      </c>
      <c r="AB766" s="70" t="str">
        <f t="shared" si="261"/>
        <v/>
      </c>
      <c r="AC766" s="70" t="str">
        <f t="shared" si="262"/>
        <v/>
      </c>
      <c r="AD766" s="70" t="str">
        <f t="shared" si="263"/>
        <v/>
      </c>
      <c r="AE766" s="70" t="str">
        <f t="shared" si="264"/>
        <v/>
      </c>
      <c r="AF766" s="16"/>
      <c r="AG766" s="23"/>
      <c r="AH766" s="22"/>
      <c r="AJ766" s="83">
        <f t="shared" si="265"/>
        <v>0</v>
      </c>
      <c r="AO766" s="22" t="str">
        <f t="shared" si="266"/>
        <v/>
      </c>
      <c r="AP766" s="22" t="str">
        <f t="shared" si="267"/>
        <v/>
      </c>
    </row>
    <row r="767" spans="1:42" x14ac:dyDescent="0.25">
      <c r="A767" s="10"/>
      <c r="B767" s="10"/>
      <c r="C767" s="10"/>
      <c r="D767" s="10"/>
      <c r="E767" s="10"/>
      <c r="F767" s="10"/>
      <c r="G767" s="10"/>
      <c r="H767" s="17"/>
      <c r="I767" s="10"/>
      <c r="J767" s="10"/>
      <c r="K767" s="16" t="str">
        <f t="shared" si="246"/>
        <v/>
      </c>
      <c r="L767" s="23" t="str">
        <f t="shared" si="247"/>
        <v/>
      </c>
      <c r="M767" s="22" t="str">
        <f t="shared" si="248"/>
        <v/>
      </c>
      <c r="N767" s="72"/>
      <c r="O767" s="16" t="str">
        <f t="shared" si="249"/>
        <v/>
      </c>
      <c r="P767" s="16" t="str">
        <f t="shared" si="250"/>
        <v/>
      </c>
      <c r="Q767" s="16" t="str">
        <f t="shared" si="251"/>
        <v/>
      </c>
      <c r="R767" s="23" t="str">
        <f t="shared" si="252"/>
        <v/>
      </c>
      <c r="S767" s="23" t="str">
        <f t="shared" si="253"/>
        <v/>
      </c>
      <c r="T767" s="23" t="str">
        <f t="shared" si="254"/>
        <v/>
      </c>
      <c r="U767" s="23" t="str">
        <f t="shared" si="255"/>
        <v/>
      </c>
      <c r="V767" s="23" t="str">
        <f t="shared" si="256"/>
        <v/>
      </c>
      <c r="W767" s="70" t="str">
        <f t="shared" si="257"/>
        <v/>
      </c>
      <c r="X767" s="70" t="str">
        <f t="shared" si="258"/>
        <v/>
      </c>
      <c r="Y767" s="70" t="str">
        <f>IF(AND($A767&lt;&gt;"",$E767&gt;0),isLaptopBag($C767,$J767)*$D767,"")</f>
        <v/>
      </c>
      <c r="Z767" s="70" t="str">
        <f t="shared" si="259"/>
        <v/>
      </c>
      <c r="AA767" s="70" t="str">
        <f t="shared" si="260"/>
        <v/>
      </c>
      <c r="AB767" s="70" t="str">
        <f t="shared" si="261"/>
        <v/>
      </c>
      <c r="AC767" s="70" t="str">
        <f t="shared" si="262"/>
        <v/>
      </c>
      <c r="AD767" s="70" t="str">
        <f t="shared" si="263"/>
        <v/>
      </c>
      <c r="AE767" s="70" t="str">
        <f t="shared" si="264"/>
        <v/>
      </c>
      <c r="AF767" s="16"/>
      <c r="AG767" s="23"/>
      <c r="AH767" s="22"/>
      <c r="AJ767" s="83">
        <f t="shared" si="265"/>
        <v>0</v>
      </c>
      <c r="AO767" s="22" t="str">
        <f t="shared" si="266"/>
        <v/>
      </c>
      <c r="AP767" s="22" t="str">
        <f t="shared" si="267"/>
        <v/>
      </c>
    </row>
    <row r="768" spans="1:42" x14ac:dyDescent="0.25">
      <c r="A768" s="10"/>
      <c r="B768" s="10"/>
      <c r="C768" s="10"/>
      <c r="D768" s="10"/>
      <c r="E768" s="10"/>
      <c r="F768" s="10"/>
      <c r="G768" s="10"/>
      <c r="H768" s="17"/>
      <c r="I768" s="10"/>
      <c r="J768" s="10"/>
      <c r="K768" s="16" t="str">
        <f t="shared" si="246"/>
        <v/>
      </c>
      <c r="L768" s="23" t="str">
        <f t="shared" si="247"/>
        <v/>
      </c>
      <c r="M768" s="22" t="str">
        <f t="shared" si="248"/>
        <v/>
      </c>
      <c r="N768" s="72"/>
      <c r="O768" s="16" t="str">
        <f t="shared" si="249"/>
        <v/>
      </c>
      <c r="P768" s="16" t="str">
        <f t="shared" si="250"/>
        <v/>
      </c>
      <c r="Q768" s="16" t="str">
        <f t="shared" si="251"/>
        <v/>
      </c>
      <c r="R768" s="23" t="str">
        <f t="shared" si="252"/>
        <v/>
      </c>
      <c r="S768" s="23" t="str">
        <f t="shared" si="253"/>
        <v/>
      </c>
      <c r="T768" s="23" t="str">
        <f t="shared" si="254"/>
        <v/>
      </c>
      <c r="U768" s="23" t="str">
        <f t="shared" si="255"/>
        <v/>
      </c>
      <c r="V768" s="23" t="str">
        <f t="shared" si="256"/>
        <v/>
      </c>
      <c r="W768" s="70" t="str">
        <f t="shared" si="257"/>
        <v/>
      </c>
      <c r="X768" s="70" t="str">
        <f t="shared" si="258"/>
        <v/>
      </c>
      <c r="Y768" s="70" t="str">
        <f>IF(AND($A768&lt;&gt;"",$E768&gt;0),isLaptopBag($C768,$J768)*$D768,"")</f>
        <v/>
      </c>
      <c r="Z768" s="70" t="str">
        <f t="shared" si="259"/>
        <v/>
      </c>
      <c r="AA768" s="70" t="str">
        <f t="shared" si="260"/>
        <v/>
      </c>
      <c r="AB768" s="70" t="str">
        <f t="shared" si="261"/>
        <v/>
      </c>
      <c r="AC768" s="70" t="str">
        <f t="shared" si="262"/>
        <v/>
      </c>
      <c r="AD768" s="70" t="str">
        <f t="shared" si="263"/>
        <v/>
      </c>
      <c r="AE768" s="70" t="str">
        <f t="shared" si="264"/>
        <v/>
      </c>
      <c r="AF768" s="16"/>
      <c r="AG768" s="23"/>
      <c r="AH768" s="22"/>
      <c r="AJ768" s="83">
        <f t="shared" si="265"/>
        <v>0</v>
      </c>
      <c r="AO768" s="22" t="str">
        <f t="shared" si="266"/>
        <v/>
      </c>
      <c r="AP768" s="22" t="str">
        <f t="shared" si="267"/>
        <v/>
      </c>
    </row>
    <row r="769" spans="1:42" x14ac:dyDescent="0.25">
      <c r="A769" s="10"/>
      <c r="B769" s="10"/>
      <c r="C769" s="10"/>
      <c r="D769" s="10"/>
      <c r="E769" s="10"/>
      <c r="F769" s="10"/>
      <c r="G769" s="10"/>
      <c r="H769" s="17"/>
      <c r="I769" s="10"/>
      <c r="J769" s="10"/>
      <c r="K769" s="16" t="str">
        <f t="shared" si="246"/>
        <v/>
      </c>
      <c r="L769" s="23" t="str">
        <f t="shared" si="247"/>
        <v/>
      </c>
      <c r="M769" s="22" t="str">
        <f t="shared" si="248"/>
        <v/>
      </c>
      <c r="N769" s="72"/>
      <c r="O769" s="16" t="str">
        <f t="shared" si="249"/>
        <v/>
      </c>
      <c r="P769" s="16" t="str">
        <f t="shared" si="250"/>
        <v/>
      </c>
      <c r="Q769" s="16" t="str">
        <f t="shared" si="251"/>
        <v/>
      </c>
      <c r="R769" s="23" t="str">
        <f t="shared" si="252"/>
        <v/>
      </c>
      <c r="S769" s="23" t="str">
        <f t="shared" si="253"/>
        <v/>
      </c>
      <c r="T769" s="23" t="str">
        <f t="shared" si="254"/>
        <v/>
      </c>
      <c r="U769" s="23" t="str">
        <f t="shared" si="255"/>
        <v/>
      </c>
      <c r="V769" s="23" t="str">
        <f t="shared" si="256"/>
        <v/>
      </c>
      <c r="W769" s="70" t="str">
        <f t="shared" si="257"/>
        <v/>
      </c>
      <c r="X769" s="70" t="str">
        <f t="shared" si="258"/>
        <v/>
      </c>
      <c r="Y769" s="70" t="str">
        <f>IF(AND($A769&lt;&gt;"",$E769&gt;0),isLaptopBag($C769,$J769)*$D769,"")</f>
        <v/>
      </c>
      <c r="Z769" s="70" t="str">
        <f t="shared" si="259"/>
        <v/>
      </c>
      <c r="AA769" s="70" t="str">
        <f t="shared" si="260"/>
        <v/>
      </c>
      <c r="AB769" s="70" t="str">
        <f t="shared" si="261"/>
        <v/>
      </c>
      <c r="AC769" s="70" t="str">
        <f t="shared" si="262"/>
        <v/>
      </c>
      <c r="AD769" s="70" t="str">
        <f t="shared" si="263"/>
        <v/>
      </c>
      <c r="AE769" s="70" t="str">
        <f t="shared" si="264"/>
        <v/>
      </c>
      <c r="AF769" s="16"/>
      <c r="AG769" s="23"/>
      <c r="AH769" s="22"/>
      <c r="AJ769" s="83">
        <f t="shared" si="265"/>
        <v>0</v>
      </c>
      <c r="AO769" s="22" t="str">
        <f t="shared" si="266"/>
        <v/>
      </c>
      <c r="AP769" s="22" t="str">
        <f t="shared" si="267"/>
        <v/>
      </c>
    </row>
    <row r="770" spans="1:42" x14ac:dyDescent="0.25">
      <c r="A770" s="10"/>
      <c r="B770" s="10"/>
      <c r="C770" s="10"/>
      <c r="D770" s="10"/>
      <c r="E770" s="10"/>
      <c r="F770" s="10"/>
      <c r="G770" s="10"/>
      <c r="H770" s="17"/>
      <c r="I770" s="10"/>
      <c r="J770" s="10"/>
      <c r="K770" s="16" t="str">
        <f t="shared" si="246"/>
        <v/>
      </c>
      <c r="L770" s="23" t="str">
        <f t="shared" si="247"/>
        <v/>
      </c>
      <c r="M770" s="22" t="str">
        <f t="shared" si="248"/>
        <v/>
      </c>
      <c r="N770" s="72"/>
      <c r="O770" s="16" t="str">
        <f t="shared" si="249"/>
        <v/>
      </c>
      <c r="P770" s="16" t="str">
        <f t="shared" si="250"/>
        <v/>
      </c>
      <c r="Q770" s="16" t="str">
        <f t="shared" si="251"/>
        <v/>
      </c>
      <c r="R770" s="23" t="str">
        <f t="shared" si="252"/>
        <v/>
      </c>
      <c r="S770" s="23" t="str">
        <f t="shared" si="253"/>
        <v/>
      </c>
      <c r="T770" s="23" t="str">
        <f t="shared" si="254"/>
        <v/>
      </c>
      <c r="U770" s="23" t="str">
        <f t="shared" si="255"/>
        <v/>
      </c>
      <c r="V770" s="23" t="str">
        <f t="shared" si="256"/>
        <v/>
      </c>
      <c r="W770" s="70" t="str">
        <f t="shared" si="257"/>
        <v/>
      </c>
      <c r="X770" s="70" t="str">
        <f t="shared" si="258"/>
        <v/>
      </c>
      <c r="Y770" s="70" t="str">
        <f>IF(AND($A770&lt;&gt;"",$E770&gt;0),isLaptopBag($C770,$J770)*$D770,"")</f>
        <v/>
      </c>
      <c r="Z770" s="70" t="str">
        <f t="shared" si="259"/>
        <v/>
      </c>
      <c r="AA770" s="70" t="str">
        <f t="shared" si="260"/>
        <v/>
      </c>
      <c r="AB770" s="70" t="str">
        <f t="shared" si="261"/>
        <v/>
      </c>
      <c r="AC770" s="70" t="str">
        <f t="shared" si="262"/>
        <v/>
      </c>
      <c r="AD770" s="70" t="str">
        <f t="shared" si="263"/>
        <v/>
      </c>
      <c r="AE770" s="70" t="str">
        <f t="shared" si="264"/>
        <v/>
      </c>
      <c r="AF770" s="16"/>
      <c r="AG770" s="23"/>
      <c r="AH770" s="22"/>
      <c r="AJ770" s="83">
        <f t="shared" si="265"/>
        <v>0</v>
      </c>
      <c r="AO770" s="22" t="str">
        <f t="shared" si="266"/>
        <v/>
      </c>
      <c r="AP770" s="22" t="str">
        <f t="shared" si="267"/>
        <v/>
      </c>
    </row>
    <row r="771" spans="1:42" x14ac:dyDescent="0.25">
      <c r="A771" s="10"/>
      <c r="B771" s="10"/>
      <c r="C771" s="10"/>
      <c r="D771" s="10"/>
      <c r="E771" s="10"/>
      <c r="F771" s="10"/>
      <c r="G771" s="10"/>
      <c r="H771" s="17"/>
      <c r="I771" s="10"/>
      <c r="J771" s="10"/>
      <c r="K771" s="16" t="str">
        <f t="shared" si="246"/>
        <v/>
      </c>
      <c r="L771" s="23" t="str">
        <f t="shared" si="247"/>
        <v/>
      </c>
      <c r="M771" s="22" t="str">
        <f t="shared" si="248"/>
        <v/>
      </c>
      <c r="N771" s="72"/>
      <c r="O771" s="16" t="str">
        <f t="shared" si="249"/>
        <v/>
      </c>
      <c r="P771" s="16" t="str">
        <f t="shared" si="250"/>
        <v/>
      </c>
      <c r="Q771" s="16" t="str">
        <f t="shared" si="251"/>
        <v/>
      </c>
      <c r="R771" s="23" t="str">
        <f t="shared" si="252"/>
        <v/>
      </c>
      <c r="S771" s="23" t="str">
        <f t="shared" si="253"/>
        <v/>
      </c>
      <c r="T771" s="23" t="str">
        <f t="shared" si="254"/>
        <v/>
      </c>
      <c r="U771" s="23" t="str">
        <f t="shared" si="255"/>
        <v/>
      </c>
      <c r="V771" s="23" t="str">
        <f t="shared" si="256"/>
        <v/>
      </c>
      <c r="W771" s="70" t="str">
        <f t="shared" si="257"/>
        <v/>
      </c>
      <c r="X771" s="70" t="str">
        <f t="shared" si="258"/>
        <v/>
      </c>
      <c r="Y771" s="70" t="str">
        <f>IF(AND($A771&lt;&gt;"",$E771&gt;0),isLaptopBag($C771,$J771)*$D771,"")</f>
        <v/>
      </c>
      <c r="Z771" s="70" t="str">
        <f t="shared" si="259"/>
        <v/>
      </c>
      <c r="AA771" s="70" t="str">
        <f t="shared" si="260"/>
        <v/>
      </c>
      <c r="AB771" s="70" t="str">
        <f t="shared" si="261"/>
        <v/>
      </c>
      <c r="AC771" s="70" t="str">
        <f t="shared" si="262"/>
        <v/>
      </c>
      <c r="AD771" s="70" t="str">
        <f t="shared" si="263"/>
        <v/>
      </c>
      <c r="AE771" s="70" t="str">
        <f t="shared" si="264"/>
        <v/>
      </c>
      <c r="AF771" s="16"/>
      <c r="AG771" s="23"/>
      <c r="AH771" s="22"/>
      <c r="AJ771" s="83">
        <f t="shared" si="265"/>
        <v>0</v>
      </c>
      <c r="AO771" s="22" t="str">
        <f t="shared" si="266"/>
        <v/>
      </c>
      <c r="AP771" s="22" t="str">
        <f t="shared" si="267"/>
        <v/>
      </c>
    </row>
    <row r="772" spans="1:42" x14ac:dyDescent="0.25">
      <c r="A772" s="10"/>
      <c r="B772" s="10"/>
      <c r="C772" s="10"/>
      <c r="D772" s="10"/>
      <c r="E772" s="10"/>
      <c r="F772" s="10"/>
      <c r="G772" s="10"/>
      <c r="H772" s="17"/>
      <c r="I772" s="10"/>
      <c r="J772" s="10"/>
      <c r="K772" s="16" t="str">
        <f t="shared" si="246"/>
        <v/>
      </c>
      <c r="L772" s="23" t="str">
        <f t="shared" si="247"/>
        <v/>
      </c>
      <c r="M772" s="22" t="str">
        <f t="shared" si="248"/>
        <v/>
      </c>
      <c r="N772" s="72"/>
      <c r="O772" s="16" t="str">
        <f t="shared" si="249"/>
        <v/>
      </c>
      <c r="P772" s="16" t="str">
        <f t="shared" si="250"/>
        <v/>
      </c>
      <c r="Q772" s="16" t="str">
        <f t="shared" si="251"/>
        <v/>
      </c>
      <c r="R772" s="23" t="str">
        <f t="shared" si="252"/>
        <v/>
      </c>
      <c r="S772" s="23" t="str">
        <f t="shared" si="253"/>
        <v/>
      </c>
      <c r="T772" s="23" t="str">
        <f t="shared" si="254"/>
        <v/>
      </c>
      <c r="U772" s="23" t="str">
        <f t="shared" si="255"/>
        <v/>
      </c>
      <c r="V772" s="23" t="str">
        <f t="shared" si="256"/>
        <v/>
      </c>
      <c r="W772" s="70" t="str">
        <f t="shared" si="257"/>
        <v/>
      </c>
      <c r="X772" s="70" t="str">
        <f t="shared" si="258"/>
        <v/>
      </c>
      <c r="Y772" s="70" t="str">
        <f>IF(AND($A772&lt;&gt;"",$E772&gt;0),isLaptopBag($C772,$J772)*$D772,"")</f>
        <v/>
      </c>
      <c r="Z772" s="70" t="str">
        <f t="shared" si="259"/>
        <v/>
      </c>
      <c r="AA772" s="70" t="str">
        <f t="shared" si="260"/>
        <v/>
      </c>
      <c r="AB772" s="70" t="str">
        <f t="shared" si="261"/>
        <v/>
      </c>
      <c r="AC772" s="70" t="str">
        <f t="shared" si="262"/>
        <v/>
      </c>
      <c r="AD772" s="70" t="str">
        <f t="shared" si="263"/>
        <v/>
      </c>
      <c r="AE772" s="70" t="str">
        <f t="shared" si="264"/>
        <v/>
      </c>
      <c r="AF772" s="16"/>
      <c r="AG772" s="23"/>
      <c r="AH772" s="22"/>
      <c r="AJ772" s="83">
        <f t="shared" si="265"/>
        <v>0</v>
      </c>
      <c r="AO772" s="22" t="str">
        <f t="shared" si="266"/>
        <v/>
      </c>
      <c r="AP772" s="22" t="str">
        <f t="shared" si="267"/>
        <v/>
      </c>
    </row>
    <row r="773" spans="1:42" x14ac:dyDescent="0.25">
      <c r="A773" s="10"/>
      <c r="B773" s="10"/>
      <c r="C773" s="10"/>
      <c r="D773" s="10"/>
      <c r="E773" s="10"/>
      <c r="F773" s="10"/>
      <c r="G773" s="10"/>
      <c r="H773" s="17"/>
      <c r="I773" s="10"/>
      <c r="J773" s="10"/>
      <c r="K773" s="16" t="str">
        <f t="shared" si="246"/>
        <v/>
      </c>
      <c r="L773" s="23" t="str">
        <f t="shared" si="247"/>
        <v/>
      </c>
      <c r="M773" s="22" t="str">
        <f t="shared" si="248"/>
        <v/>
      </c>
      <c r="N773" s="72"/>
      <c r="O773" s="16" t="str">
        <f t="shared" si="249"/>
        <v/>
      </c>
      <c r="P773" s="16" t="str">
        <f t="shared" si="250"/>
        <v/>
      </c>
      <c r="Q773" s="16" t="str">
        <f t="shared" si="251"/>
        <v/>
      </c>
      <c r="R773" s="23" t="str">
        <f t="shared" si="252"/>
        <v/>
      </c>
      <c r="S773" s="23" t="str">
        <f t="shared" si="253"/>
        <v/>
      </c>
      <c r="T773" s="23" t="str">
        <f t="shared" si="254"/>
        <v/>
      </c>
      <c r="U773" s="23" t="str">
        <f t="shared" si="255"/>
        <v/>
      </c>
      <c r="V773" s="23" t="str">
        <f t="shared" si="256"/>
        <v/>
      </c>
      <c r="W773" s="70" t="str">
        <f t="shared" si="257"/>
        <v/>
      </c>
      <c r="X773" s="70" t="str">
        <f t="shared" si="258"/>
        <v/>
      </c>
      <c r="Y773" s="70" t="str">
        <f>IF(AND($A773&lt;&gt;"",$E773&gt;0),isLaptopBag($C773,$J773)*$D773,"")</f>
        <v/>
      </c>
      <c r="Z773" s="70" t="str">
        <f t="shared" si="259"/>
        <v/>
      </c>
      <c r="AA773" s="70" t="str">
        <f t="shared" si="260"/>
        <v/>
      </c>
      <c r="AB773" s="70" t="str">
        <f t="shared" si="261"/>
        <v/>
      </c>
      <c r="AC773" s="70" t="str">
        <f t="shared" si="262"/>
        <v/>
      </c>
      <c r="AD773" s="70" t="str">
        <f t="shared" si="263"/>
        <v/>
      </c>
      <c r="AE773" s="70" t="str">
        <f t="shared" si="264"/>
        <v/>
      </c>
      <c r="AF773" s="16"/>
      <c r="AG773" s="23"/>
      <c r="AH773" s="22"/>
      <c r="AJ773" s="83">
        <f t="shared" si="265"/>
        <v>0</v>
      </c>
      <c r="AO773" s="22" t="str">
        <f t="shared" si="266"/>
        <v/>
      </c>
      <c r="AP773" s="22" t="str">
        <f t="shared" si="267"/>
        <v/>
      </c>
    </row>
    <row r="774" spans="1:42" x14ac:dyDescent="0.25">
      <c r="A774" s="10"/>
      <c r="B774" s="10"/>
      <c r="C774" s="10"/>
      <c r="D774" s="10"/>
      <c r="E774" s="10"/>
      <c r="F774" s="10"/>
      <c r="G774" s="10"/>
      <c r="H774" s="17"/>
      <c r="I774" s="10"/>
      <c r="J774" s="10"/>
      <c r="K774" s="16" t="str">
        <f t="shared" si="246"/>
        <v/>
      </c>
      <c r="L774" s="23" t="str">
        <f t="shared" si="247"/>
        <v/>
      </c>
      <c r="M774" s="22" t="str">
        <f t="shared" si="248"/>
        <v/>
      </c>
      <c r="N774" s="72"/>
      <c r="O774" s="16" t="str">
        <f t="shared" si="249"/>
        <v/>
      </c>
      <c r="P774" s="16" t="str">
        <f t="shared" si="250"/>
        <v/>
      </c>
      <c r="Q774" s="16" t="str">
        <f t="shared" si="251"/>
        <v/>
      </c>
      <c r="R774" s="23" t="str">
        <f t="shared" si="252"/>
        <v/>
      </c>
      <c r="S774" s="23" t="str">
        <f t="shared" si="253"/>
        <v/>
      </c>
      <c r="T774" s="23" t="str">
        <f t="shared" si="254"/>
        <v/>
      </c>
      <c r="U774" s="23" t="str">
        <f t="shared" si="255"/>
        <v/>
      </c>
      <c r="V774" s="23" t="str">
        <f t="shared" si="256"/>
        <v/>
      </c>
      <c r="W774" s="70" t="str">
        <f t="shared" si="257"/>
        <v/>
      </c>
      <c r="X774" s="70" t="str">
        <f t="shared" si="258"/>
        <v/>
      </c>
      <c r="Y774" s="70" t="str">
        <f>IF(AND($A774&lt;&gt;"",$E774&gt;0),isLaptopBag($C774,$J774)*$D774,"")</f>
        <v/>
      </c>
      <c r="Z774" s="70" t="str">
        <f t="shared" si="259"/>
        <v/>
      </c>
      <c r="AA774" s="70" t="str">
        <f t="shared" si="260"/>
        <v/>
      </c>
      <c r="AB774" s="70" t="str">
        <f t="shared" si="261"/>
        <v/>
      </c>
      <c r="AC774" s="70" t="str">
        <f t="shared" si="262"/>
        <v/>
      </c>
      <c r="AD774" s="70" t="str">
        <f t="shared" si="263"/>
        <v/>
      </c>
      <c r="AE774" s="70" t="str">
        <f t="shared" si="264"/>
        <v/>
      </c>
      <c r="AF774" s="16"/>
      <c r="AG774" s="23"/>
      <c r="AH774" s="22"/>
      <c r="AJ774" s="83">
        <f t="shared" si="265"/>
        <v>0</v>
      </c>
      <c r="AO774" s="22" t="str">
        <f t="shared" si="266"/>
        <v/>
      </c>
      <c r="AP774" s="22" t="str">
        <f t="shared" si="267"/>
        <v/>
      </c>
    </row>
    <row r="775" spans="1:42" x14ac:dyDescent="0.25">
      <c r="A775" s="10"/>
      <c r="B775" s="10"/>
      <c r="C775" s="10"/>
      <c r="D775" s="10"/>
      <c r="E775" s="10"/>
      <c r="F775" s="10"/>
      <c r="G775" s="10"/>
      <c r="H775" s="17"/>
      <c r="I775" s="10"/>
      <c r="J775" s="10"/>
      <c r="K775" s="16" t="str">
        <f t="shared" si="246"/>
        <v/>
      </c>
      <c r="L775" s="23" t="str">
        <f t="shared" si="247"/>
        <v/>
      </c>
      <c r="M775" s="22" t="str">
        <f t="shared" si="248"/>
        <v/>
      </c>
      <c r="N775" s="72"/>
      <c r="O775" s="16" t="str">
        <f t="shared" si="249"/>
        <v/>
      </c>
      <c r="P775" s="16" t="str">
        <f t="shared" si="250"/>
        <v/>
      </c>
      <c r="Q775" s="16" t="str">
        <f t="shared" si="251"/>
        <v/>
      </c>
      <c r="R775" s="23" t="str">
        <f t="shared" si="252"/>
        <v/>
      </c>
      <c r="S775" s="23" t="str">
        <f t="shared" si="253"/>
        <v/>
      </c>
      <c r="T775" s="23" t="str">
        <f t="shared" si="254"/>
        <v/>
      </c>
      <c r="U775" s="23" t="str">
        <f t="shared" si="255"/>
        <v/>
      </c>
      <c r="V775" s="23" t="str">
        <f t="shared" si="256"/>
        <v/>
      </c>
      <c r="W775" s="70" t="str">
        <f t="shared" si="257"/>
        <v/>
      </c>
      <c r="X775" s="70" t="str">
        <f t="shared" si="258"/>
        <v/>
      </c>
      <c r="Y775" s="70" t="str">
        <f>IF(AND($A775&lt;&gt;"",$E775&gt;0),isLaptopBag($C775,$J775)*$D775,"")</f>
        <v/>
      </c>
      <c r="Z775" s="70" t="str">
        <f t="shared" si="259"/>
        <v/>
      </c>
      <c r="AA775" s="70" t="str">
        <f t="shared" si="260"/>
        <v/>
      </c>
      <c r="AB775" s="70" t="str">
        <f t="shared" si="261"/>
        <v/>
      </c>
      <c r="AC775" s="70" t="str">
        <f t="shared" si="262"/>
        <v/>
      </c>
      <c r="AD775" s="70" t="str">
        <f t="shared" si="263"/>
        <v/>
      </c>
      <c r="AE775" s="70" t="str">
        <f t="shared" si="264"/>
        <v/>
      </c>
      <c r="AF775" s="16"/>
      <c r="AG775" s="23"/>
      <c r="AH775" s="22"/>
      <c r="AJ775" s="83">
        <f t="shared" si="265"/>
        <v>0</v>
      </c>
      <c r="AO775" s="22" t="str">
        <f t="shared" si="266"/>
        <v/>
      </c>
      <c r="AP775" s="22" t="str">
        <f t="shared" si="267"/>
        <v/>
      </c>
    </row>
    <row r="776" spans="1:42" x14ac:dyDescent="0.25">
      <c r="A776" s="10"/>
      <c r="B776" s="10"/>
      <c r="C776" s="10"/>
      <c r="D776" s="10"/>
      <c r="E776" s="10"/>
      <c r="F776" s="10"/>
      <c r="G776" s="10"/>
      <c r="H776" s="17"/>
      <c r="I776" s="10"/>
      <c r="J776" s="10"/>
      <c r="K776" s="16" t="str">
        <f t="shared" si="246"/>
        <v/>
      </c>
      <c r="L776" s="23" t="str">
        <f t="shared" si="247"/>
        <v/>
      </c>
      <c r="M776" s="22" t="str">
        <f t="shared" si="248"/>
        <v/>
      </c>
      <c r="N776" s="72"/>
      <c r="O776" s="16" t="str">
        <f t="shared" si="249"/>
        <v/>
      </c>
      <c r="P776" s="16" t="str">
        <f t="shared" si="250"/>
        <v/>
      </c>
      <c r="Q776" s="16" t="str">
        <f t="shared" si="251"/>
        <v/>
      </c>
      <c r="R776" s="23" t="str">
        <f t="shared" si="252"/>
        <v/>
      </c>
      <c r="S776" s="23" t="str">
        <f t="shared" si="253"/>
        <v/>
      </c>
      <c r="T776" s="23" t="str">
        <f t="shared" si="254"/>
        <v/>
      </c>
      <c r="U776" s="23" t="str">
        <f t="shared" si="255"/>
        <v/>
      </c>
      <c r="V776" s="23" t="str">
        <f t="shared" si="256"/>
        <v/>
      </c>
      <c r="W776" s="70" t="str">
        <f t="shared" si="257"/>
        <v/>
      </c>
      <c r="X776" s="70" t="str">
        <f t="shared" si="258"/>
        <v/>
      </c>
      <c r="Y776" s="70" t="str">
        <f>IF(AND($A776&lt;&gt;"",$E776&gt;0),isLaptopBag($C776,$J776)*$D776,"")</f>
        <v/>
      </c>
      <c r="Z776" s="70" t="str">
        <f t="shared" si="259"/>
        <v/>
      </c>
      <c r="AA776" s="70" t="str">
        <f t="shared" si="260"/>
        <v/>
      </c>
      <c r="AB776" s="70" t="str">
        <f t="shared" si="261"/>
        <v/>
      </c>
      <c r="AC776" s="70" t="str">
        <f t="shared" si="262"/>
        <v/>
      </c>
      <c r="AD776" s="70" t="str">
        <f t="shared" si="263"/>
        <v/>
      </c>
      <c r="AE776" s="70" t="str">
        <f t="shared" si="264"/>
        <v/>
      </c>
      <c r="AF776" s="16"/>
      <c r="AG776" s="23"/>
      <c r="AH776" s="22"/>
      <c r="AJ776" s="83">
        <f t="shared" si="265"/>
        <v>0</v>
      </c>
      <c r="AO776" s="22" t="str">
        <f t="shared" si="266"/>
        <v/>
      </c>
      <c r="AP776" s="22" t="str">
        <f t="shared" si="267"/>
        <v/>
      </c>
    </row>
    <row r="777" spans="1:42" x14ac:dyDescent="0.25">
      <c r="A777" s="10"/>
      <c r="B777" s="10"/>
      <c r="C777" s="10"/>
      <c r="D777" s="10"/>
      <c r="E777" s="10"/>
      <c r="F777" s="10"/>
      <c r="G777" s="10"/>
      <c r="H777" s="17"/>
      <c r="I777" s="10"/>
      <c r="J777" s="10"/>
      <c r="K777" s="16" t="str">
        <f t="shared" si="246"/>
        <v/>
      </c>
      <c r="L777" s="23" t="str">
        <f t="shared" si="247"/>
        <v/>
      </c>
      <c r="M777" s="22" t="str">
        <f t="shared" si="248"/>
        <v/>
      </c>
      <c r="N777" s="72"/>
      <c r="O777" s="16" t="str">
        <f t="shared" si="249"/>
        <v/>
      </c>
      <c r="P777" s="16" t="str">
        <f t="shared" si="250"/>
        <v/>
      </c>
      <c r="Q777" s="16" t="str">
        <f t="shared" si="251"/>
        <v/>
      </c>
      <c r="R777" s="23" t="str">
        <f t="shared" si="252"/>
        <v/>
      </c>
      <c r="S777" s="23" t="str">
        <f t="shared" si="253"/>
        <v/>
      </c>
      <c r="T777" s="23" t="str">
        <f t="shared" si="254"/>
        <v/>
      </c>
      <c r="U777" s="23" t="str">
        <f t="shared" si="255"/>
        <v/>
      </c>
      <c r="V777" s="23" t="str">
        <f t="shared" si="256"/>
        <v/>
      </c>
      <c r="W777" s="70" t="str">
        <f t="shared" si="257"/>
        <v/>
      </c>
      <c r="X777" s="70" t="str">
        <f t="shared" si="258"/>
        <v/>
      </c>
      <c r="Y777" s="70" t="str">
        <f>IF(AND($A777&lt;&gt;"",$E777&gt;0),isLaptopBag($C777,$J777)*$D777,"")</f>
        <v/>
      </c>
      <c r="Z777" s="70" t="str">
        <f t="shared" si="259"/>
        <v/>
      </c>
      <c r="AA777" s="70" t="str">
        <f t="shared" si="260"/>
        <v/>
      </c>
      <c r="AB777" s="70" t="str">
        <f t="shared" si="261"/>
        <v/>
      </c>
      <c r="AC777" s="70" t="str">
        <f t="shared" si="262"/>
        <v/>
      </c>
      <c r="AD777" s="70" t="str">
        <f t="shared" si="263"/>
        <v/>
      </c>
      <c r="AE777" s="70" t="str">
        <f t="shared" si="264"/>
        <v/>
      </c>
      <c r="AF777" s="16"/>
      <c r="AG777" s="23"/>
      <c r="AH777" s="22"/>
      <c r="AJ777" s="83">
        <f t="shared" si="265"/>
        <v>0</v>
      </c>
      <c r="AO777" s="22" t="str">
        <f t="shared" si="266"/>
        <v/>
      </c>
      <c r="AP777" s="22" t="str">
        <f t="shared" si="267"/>
        <v/>
      </c>
    </row>
    <row r="778" spans="1:42" x14ac:dyDescent="0.25">
      <c r="A778" s="10"/>
      <c r="B778" s="10"/>
      <c r="C778" s="10"/>
      <c r="D778" s="10"/>
      <c r="E778" s="10"/>
      <c r="F778" s="10"/>
      <c r="G778" s="10"/>
      <c r="H778" s="17"/>
      <c r="I778" s="10"/>
      <c r="J778" s="10"/>
      <c r="K778" s="16" t="str">
        <f t="shared" si="246"/>
        <v/>
      </c>
      <c r="L778" s="23" t="str">
        <f t="shared" si="247"/>
        <v/>
      </c>
      <c r="M778" s="22" t="str">
        <f t="shared" si="248"/>
        <v/>
      </c>
      <c r="N778" s="72"/>
      <c r="O778" s="16" t="str">
        <f t="shared" si="249"/>
        <v/>
      </c>
      <c r="P778" s="16" t="str">
        <f t="shared" si="250"/>
        <v/>
      </c>
      <c r="Q778" s="16" t="str">
        <f t="shared" si="251"/>
        <v/>
      </c>
      <c r="R778" s="23" t="str">
        <f t="shared" si="252"/>
        <v/>
      </c>
      <c r="S778" s="23" t="str">
        <f t="shared" si="253"/>
        <v/>
      </c>
      <c r="T778" s="23" t="str">
        <f t="shared" si="254"/>
        <v/>
      </c>
      <c r="U778" s="23" t="str">
        <f t="shared" si="255"/>
        <v/>
      </c>
      <c r="V778" s="23" t="str">
        <f t="shared" si="256"/>
        <v/>
      </c>
      <c r="W778" s="70" t="str">
        <f t="shared" si="257"/>
        <v/>
      </c>
      <c r="X778" s="70" t="str">
        <f t="shared" si="258"/>
        <v/>
      </c>
      <c r="Y778" s="70" t="str">
        <f>IF(AND($A778&lt;&gt;"",$E778&gt;0),isLaptopBag($C778,$J778)*$D778,"")</f>
        <v/>
      </c>
      <c r="Z778" s="70" t="str">
        <f t="shared" si="259"/>
        <v/>
      </c>
      <c r="AA778" s="70" t="str">
        <f t="shared" si="260"/>
        <v/>
      </c>
      <c r="AB778" s="70" t="str">
        <f t="shared" si="261"/>
        <v/>
      </c>
      <c r="AC778" s="70" t="str">
        <f t="shared" si="262"/>
        <v/>
      </c>
      <c r="AD778" s="70" t="str">
        <f t="shared" si="263"/>
        <v/>
      </c>
      <c r="AE778" s="70" t="str">
        <f t="shared" si="264"/>
        <v/>
      </c>
      <c r="AF778" s="16"/>
      <c r="AG778" s="23"/>
      <c r="AH778" s="22"/>
      <c r="AJ778" s="83">
        <f t="shared" si="265"/>
        <v>0</v>
      </c>
      <c r="AO778" s="22" t="str">
        <f t="shared" si="266"/>
        <v/>
      </c>
      <c r="AP778" s="22" t="str">
        <f t="shared" si="267"/>
        <v/>
      </c>
    </row>
    <row r="779" spans="1:42" x14ac:dyDescent="0.25">
      <c r="A779" s="10"/>
      <c r="B779" s="10"/>
      <c r="C779" s="10"/>
      <c r="D779" s="10"/>
      <c r="E779" s="10"/>
      <c r="F779" s="10"/>
      <c r="G779" s="10"/>
      <c r="H779" s="17"/>
      <c r="I779" s="10"/>
      <c r="J779" s="10"/>
      <c r="K779" s="16" t="str">
        <f t="shared" si="246"/>
        <v/>
      </c>
      <c r="L779" s="23" t="str">
        <f t="shared" si="247"/>
        <v/>
      </c>
      <c r="M779" s="22" t="str">
        <f t="shared" si="248"/>
        <v/>
      </c>
      <c r="N779" s="72"/>
      <c r="O779" s="16" t="str">
        <f t="shared" si="249"/>
        <v/>
      </c>
      <c r="P779" s="16" t="str">
        <f t="shared" si="250"/>
        <v/>
      </c>
      <c r="Q779" s="16" t="str">
        <f t="shared" si="251"/>
        <v/>
      </c>
      <c r="R779" s="23" t="str">
        <f t="shared" si="252"/>
        <v/>
      </c>
      <c r="S779" s="23" t="str">
        <f t="shared" si="253"/>
        <v/>
      </c>
      <c r="T779" s="23" t="str">
        <f t="shared" si="254"/>
        <v/>
      </c>
      <c r="U779" s="23" t="str">
        <f t="shared" si="255"/>
        <v/>
      </c>
      <c r="V779" s="23" t="str">
        <f t="shared" si="256"/>
        <v/>
      </c>
      <c r="W779" s="70" t="str">
        <f t="shared" si="257"/>
        <v/>
      </c>
      <c r="X779" s="70" t="str">
        <f t="shared" si="258"/>
        <v/>
      </c>
      <c r="Y779" s="70" t="str">
        <f>IF(AND($A779&lt;&gt;"",$E779&gt;0),isLaptopBag($C779,$J779)*$D779,"")</f>
        <v/>
      </c>
      <c r="Z779" s="70" t="str">
        <f t="shared" si="259"/>
        <v/>
      </c>
      <c r="AA779" s="70" t="str">
        <f t="shared" si="260"/>
        <v/>
      </c>
      <c r="AB779" s="70" t="str">
        <f t="shared" si="261"/>
        <v/>
      </c>
      <c r="AC779" s="70" t="str">
        <f t="shared" si="262"/>
        <v/>
      </c>
      <c r="AD779" s="70" t="str">
        <f t="shared" si="263"/>
        <v/>
      </c>
      <c r="AE779" s="70" t="str">
        <f t="shared" si="264"/>
        <v/>
      </c>
      <c r="AF779" s="16"/>
      <c r="AG779" s="23"/>
      <c r="AH779" s="22"/>
      <c r="AJ779" s="83">
        <f t="shared" si="265"/>
        <v>0</v>
      </c>
      <c r="AO779" s="22" t="str">
        <f t="shared" si="266"/>
        <v/>
      </c>
      <c r="AP779" s="22" t="str">
        <f t="shared" si="267"/>
        <v/>
      </c>
    </row>
    <row r="780" spans="1:42" x14ac:dyDescent="0.25">
      <c r="A780" s="10"/>
      <c r="B780" s="10"/>
      <c r="C780" s="10"/>
      <c r="D780" s="10"/>
      <c r="E780" s="10"/>
      <c r="F780" s="10"/>
      <c r="G780" s="10"/>
      <c r="H780" s="17"/>
      <c r="I780" s="10"/>
      <c r="J780" s="10"/>
      <c r="K780" s="16" t="str">
        <f t="shared" si="246"/>
        <v/>
      </c>
      <c r="L780" s="23" t="str">
        <f t="shared" si="247"/>
        <v/>
      </c>
      <c r="M780" s="22" t="str">
        <f t="shared" si="248"/>
        <v/>
      </c>
      <c r="N780" s="72"/>
      <c r="O780" s="16" t="str">
        <f t="shared" si="249"/>
        <v/>
      </c>
      <c r="P780" s="16" t="str">
        <f t="shared" si="250"/>
        <v/>
      </c>
      <c r="Q780" s="16" t="str">
        <f t="shared" si="251"/>
        <v/>
      </c>
      <c r="R780" s="23" t="str">
        <f t="shared" si="252"/>
        <v/>
      </c>
      <c r="S780" s="23" t="str">
        <f t="shared" si="253"/>
        <v/>
      </c>
      <c r="T780" s="23" t="str">
        <f t="shared" si="254"/>
        <v/>
      </c>
      <c r="U780" s="23" t="str">
        <f t="shared" si="255"/>
        <v/>
      </c>
      <c r="V780" s="23" t="str">
        <f t="shared" si="256"/>
        <v/>
      </c>
      <c r="W780" s="70" t="str">
        <f t="shared" si="257"/>
        <v/>
      </c>
      <c r="X780" s="70" t="str">
        <f t="shared" si="258"/>
        <v/>
      </c>
      <c r="Y780" s="70" t="str">
        <f>IF(AND($A780&lt;&gt;"",$E780&gt;0),isLaptopBag($C780,$J780)*$D780,"")</f>
        <v/>
      </c>
      <c r="Z780" s="70" t="str">
        <f t="shared" si="259"/>
        <v/>
      </c>
      <c r="AA780" s="70" t="str">
        <f t="shared" si="260"/>
        <v/>
      </c>
      <c r="AB780" s="70" t="str">
        <f t="shared" si="261"/>
        <v/>
      </c>
      <c r="AC780" s="70" t="str">
        <f t="shared" si="262"/>
        <v/>
      </c>
      <c r="AD780" s="70" t="str">
        <f t="shared" si="263"/>
        <v/>
      </c>
      <c r="AE780" s="70" t="str">
        <f t="shared" si="264"/>
        <v/>
      </c>
      <c r="AF780" s="16"/>
      <c r="AG780" s="23"/>
      <c r="AH780" s="22"/>
      <c r="AJ780" s="83">
        <f t="shared" si="265"/>
        <v>0</v>
      </c>
      <c r="AO780" s="22" t="str">
        <f t="shared" si="266"/>
        <v/>
      </c>
      <c r="AP780" s="22" t="str">
        <f t="shared" si="267"/>
        <v/>
      </c>
    </row>
    <row r="781" spans="1:42" x14ac:dyDescent="0.25">
      <c r="A781" s="10"/>
      <c r="B781" s="10"/>
      <c r="C781" s="10"/>
      <c r="D781" s="10"/>
      <c r="E781" s="10"/>
      <c r="F781" s="10"/>
      <c r="G781" s="10"/>
      <c r="H781" s="17"/>
      <c r="I781" s="10"/>
      <c r="J781" s="10"/>
      <c r="K781" s="16" t="str">
        <f t="shared" ref="K781:K844" si="268">IF($AF781&lt;&gt;"",$AF781,IF(AND($A781&lt;&gt;"",$E781&gt;0),SUM($O781:$Q781),""))</f>
        <v/>
      </c>
      <c r="L781" s="23" t="str">
        <f t="shared" ref="L781:L844" si="269">IF($AG781&lt;&gt;"",$AG781,IF(AND($A781&lt;&gt;"",$E781&gt;0),SUM($R781:$V781),""))</f>
        <v/>
      </c>
      <c r="M781" s="22" t="str">
        <f t="shared" ref="M781:M844" si="270">IF($AH781&lt;&gt;"",$AH781,IF(AND($A781&lt;&gt;"",$E781&gt;0),SUM($W781:$AE781)+$AO781+$AP781,""))</f>
        <v/>
      </c>
      <c r="N781" s="72"/>
      <c r="O781" s="16" t="str">
        <f t="shared" ref="O781:O844" si="271">IF(AND($A781&lt;&gt;"",$E781&gt;0),IF(AND($J781="SONY",200000&lt;=$E781,$E781&lt;1000000),5000*$D781,0),"")</f>
        <v/>
      </c>
      <c r="P781" s="16" t="str">
        <f t="shared" ref="P781:P844" si="272">IF(AND($A781&lt;&gt;"",$E781&gt;0),IF(AND($J781="SONY",1000000&lt;=$E781,$E781&lt;2000000),10000*$D781,0),"")</f>
        <v/>
      </c>
      <c r="Q781" s="16" t="str">
        <f t="shared" ref="Q781:Q844" si="273">IF(AND($A781&lt;&gt;"",$E781&gt;0),IF(AND($J781="SONY",$E781&gt;=2000000),20000*$D781,0),"")</f>
        <v/>
      </c>
      <c r="R781" s="23" t="str">
        <f t="shared" ref="R781:R844" si="274">IF(AND($A781&lt;&gt;"",$E781&gt;0),IF(AND($J781&lt;&gt;"SONY",100000&lt;=$E781,$E781&lt;200000),5000*$D781,0),"")</f>
        <v/>
      </c>
      <c r="S781" s="23" t="str">
        <f t="shared" ref="S781:S844" si="275">IF(AND($A781&lt;&gt;"",$E781&gt;0),IF(AND($J781&lt;&gt;"SONY",200000&lt;=$E781,$E781&lt;500000),10000*$D781,0),"")</f>
        <v/>
      </c>
      <c r="T781" s="23" t="str">
        <f t="shared" ref="T781:T844" si="276">IF(AND($A781&lt;&gt;"",$E781&gt;0),IF(AND($J781&lt;&gt;"SONY",500000&lt;=$E781,$E781&lt;1000000),20000*$D781,0),"")</f>
        <v/>
      </c>
      <c r="U781" s="23" t="str">
        <f t="shared" ref="U781:U844" si="277">IF(AND($A781&lt;&gt;"",$E781&gt;0),IF(AND($J781&lt;&gt;"SONY",1000000&lt;=$E781,$E781&lt;1500000),50000*$D781,0),"")</f>
        <v/>
      </c>
      <c r="V781" s="23" t="str">
        <f t="shared" ref="V781:V844" si="278">IF(AND($A781&lt;&gt;"",$E781&gt;0),IF(AND($J781&lt;&gt;"SONY",1500000&lt;=$E781),100000*$D781,0),"")</f>
        <v/>
      </c>
      <c r="W781" s="70" t="str">
        <f t="shared" ref="W781:W844" si="279">IF(AND($E781&gt;0,$J781="ELECOM",$E781&gt;=500000,ISNUMBER(SEARCH("tai nghe",$C781))),20000*$D781,IF($A781&lt;&gt;"",0,""))</f>
        <v/>
      </c>
      <c r="X781" s="70" t="str">
        <f t="shared" ref="X781:X844" si="280">IF(AND($E781&gt;0,$J781="ELECOM",ISNUMBER(SEARCH("loa",$C781))),20000*$D781,IF($A781&lt;&gt;"",0,""))</f>
        <v/>
      </c>
      <c r="Y781" s="70" t="str">
        <f>IF(AND($A781&lt;&gt;"",$E781&gt;0),isLaptopBag($C781,$J781)*$D781,"")</f>
        <v/>
      </c>
      <c r="Z781" s="70" t="str">
        <f t="shared" ref="Z781:Z844" si="281">IF(AND($E781&gt;0,$J781="ELECOM",ISNUMBER(SEARCH("ốp",$C781))),20000*$D781,IF($A781&lt;&gt;"",0,""))</f>
        <v/>
      </c>
      <c r="AA781" s="70" t="str">
        <f t="shared" ref="AA781:AA844" si="282">IF(AND($E781&gt;0,$J781="ELECOM",ISNUMBER(SEARCH("Bút",$C781))),20000*$D781,IF($A781&lt;&gt;"",0,""))</f>
        <v/>
      </c>
      <c r="AB781" s="70" t="str">
        <f t="shared" ref="AB781:AB844" si="283">IF(AND($E781&gt;0,$J781="ELECOM",ISNUMBER(SEARCH("Chuột bi",$C781))),20000*$D781,IF($A781&lt;&gt;"",0,""))</f>
        <v/>
      </c>
      <c r="AC781" s="70" t="str">
        <f t="shared" ref="AC781:AC844" si="284">IF(AND($E781&gt;0,$J781="ELECOM",ISNUMBER(SEARCH("Chuột trackball",$C781))),20000*$D781,IF($A781&lt;&gt;"",0,""))</f>
        <v/>
      </c>
      <c r="AD781" s="70" t="str">
        <f t="shared" ref="AD781:AD844" si="285">IF(AND($E781&gt;0,$J781="ELECOM",ISNUMBER(SEARCH("Sạc không dây",$C781))),20000*$D781,IF($A781&lt;&gt;"",0,""))</f>
        <v/>
      </c>
      <c r="AE781" s="70" t="str">
        <f t="shared" ref="AE781:AE844" si="286">IF(AND($E781&gt;0,$J781="ELECOM",ISNUMBER(SEARCH("Sạc kd",$C781))),20000*$D781,IF($A781&lt;&gt;"",0,""))</f>
        <v/>
      </c>
      <c r="AF781" s="16"/>
      <c r="AG781" s="23"/>
      <c r="AH781" s="22"/>
      <c r="AJ781" s="83">
        <f t="shared" ref="AJ781:AJ844" si="287">DAY(H781)</f>
        <v>0</v>
      </c>
      <c r="AO781" s="22" t="str">
        <f t="shared" ref="AO781:AO844" si="288">IF(AND($E781&gt;0,ISNUMBER(SEARCH("Sạc dự phòng Energizer",$C781))),10000*$D781,IF($A781&lt;&gt;"",0,""))</f>
        <v/>
      </c>
      <c r="AP781" s="22" t="str">
        <f t="shared" ref="AP781:AP844" si="289">IF(AND($E781&gt;0,ISNUMBER(SEARCH("SDP Energizer",$C781))),10000*$D781,IF($A781&lt;&gt;"",0,""))</f>
        <v/>
      </c>
    </row>
    <row r="782" spans="1:42" x14ac:dyDescent="0.25">
      <c r="A782" s="10"/>
      <c r="B782" s="10"/>
      <c r="C782" s="10"/>
      <c r="D782" s="10"/>
      <c r="E782" s="10"/>
      <c r="F782" s="10"/>
      <c r="G782" s="10"/>
      <c r="H782" s="17"/>
      <c r="I782" s="10"/>
      <c r="J782" s="10"/>
      <c r="K782" s="16" t="str">
        <f t="shared" si="268"/>
        <v/>
      </c>
      <c r="L782" s="23" t="str">
        <f t="shared" si="269"/>
        <v/>
      </c>
      <c r="M782" s="22" t="str">
        <f t="shared" si="270"/>
        <v/>
      </c>
      <c r="N782" s="72"/>
      <c r="O782" s="16" t="str">
        <f t="shared" si="271"/>
        <v/>
      </c>
      <c r="P782" s="16" t="str">
        <f t="shared" si="272"/>
        <v/>
      </c>
      <c r="Q782" s="16" t="str">
        <f t="shared" si="273"/>
        <v/>
      </c>
      <c r="R782" s="23" t="str">
        <f t="shared" si="274"/>
        <v/>
      </c>
      <c r="S782" s="23" t="str">
        <f t="shared" si="275"/>
        <v/>
      </c>
      <c r="T782" s="23" t="str">
        <f t="shared" si="276"/>
        <v/>
      </c>
      <c r="U782" s="23" t="str">
        <f t="shared" si="277"/>
        <v/>
      </c>
      <c r="V782" s="23" t="str">
        <f t="shared" si="278"/>
        <v/>
      </c>
      <c r="W782" s="70" t="str">
        <f t="shared" si="279"/>
        <v/>
      </c>
      <c r="X782" s="70" t="str">
        <f t="shared" si="280"/>
        <v/>
      </c>
      <c r="Y782" s="70" t="str">
        <f>IF(AND($A782&lt;&gt;"",$E782&gt;0),isLaptopBag($C782,$J782)*$D782,"")</f>
        <v/>
      </c>
      <c r="Z782" s="70" t="str">
        <f t="shared" si="281"/>
        <v/>
      </c>
      <c r="AA782" s="70" t="str">
        <f t="shared" si="282"/>
        <v/>
      </c>
      <c r="AB782" s="70" t="str">
        <f t="shared" si="283"/>
        <v/>
      </c>
      <c r="AC782" s="70" t="str">
        <f t="shared" si="284"/>
        <v/>
      </c>
      <c r="AD782" s="70" t="str">
        <f t="shared" si="285"/>
        <v/>
      </c>
      <c r="AE782" s="70" t="str">
        <f t="shared" si="286"/>
        <v/>
      </c>
      <c r="AF782" s="16"/>
      <c r="AG782" s="23"/>
      <c r="AH782" s="22"/>
      <c r="AJ782" s="83">
        <f t="shared" si="287"/>
        <v>0</v>
      </c>
      <c r="AO782" s="22" t="str">
        <f t="shared" si="288"/>
        <v/>
      </c>
      <c r="AP782" s="22" t="str">
        <f t="shared" si="289"/>
        <v/>
      </c>
    </row>
    <row r="783" spans="1:42" x14ac:dyDescent="0.25">
      <c r="A783" s="10"/>
      <c r="B783" s="10"/>
      <c r="C783" s="10"/>
      <c r="D783" s="10"/>
      <c r="E783" s="10"/>
      <c r="F783" s="10"/>
      <c r="G783" s="10"/>
      <c r="H783" s="17"/>
      <c r="I783" s="10"/>
      <c r="J783" s="10"/>
      <c r="K783" s="16" t="str">
        <f t="shared" si="268"/>
        <v/>
      </c>
      <c r="L783" s="23" t="str">
        <f t="shared" si="269"/>
        <v/>
      </c>
      <c r="M783" s="22" t="str">
        <f t="shared" si="270"/>
        <v/>
      </c>
      <c r="N783" s="72"/>
      <c r="O783" s="16" t="str">
        <f t="shared" si="271"/>
        <v/>
      </c>
      <c r="P783" s="16" t="str">
        <f t="shared" si="272"/>
        <v/>
      </c>
      <c r="Q783" s="16" t="str">
        <f t="shared" si="273"/>
        <v/>
      </c>
      <c r="R783" s="23" t="str">
        <f t="shared" si="274"/>
        <v/>
      </c>
      <c r="S783" s="23" t="str">
        <f t="shared" si="275"/>
        <v/>
      </c>
      <c r="T783" s="23" t="str">
        <f t="shared" si="276"/>
        <v/>
      </c>
      <c r="U783" s="23" t="str">
        <f t="shared" si="277"/>
        <v/>
      </c>
      <c r="V783" s="23" t="str">
        <f t="shared" si="278"/>
        <v/>
      </c>
      <c r="W783" s="70" t="str">
        <f t="shared" si="279"/>
        <v/>
      </c>
      <c r="X783" s="70" t="str">
        <f t="shared" si="280"/>
        <v/>
      </c>
      <c r="Y783" s="70" t="str">
        <f>IF(AND($A783&lt;&gt;"",$E783&gt;0),isLaptopBag($C783,$J783)*$D783,"")</f>
        <v/>
      </c>
      <c r="Z783" s="70" t="str">
        <f t="shared" si="281"/>
        <v/>
      </c>
      <c r="AA783" s="70" t="str">
        <f t="shared" si="282"/>
        <v/>
      </c>
      <c r="AB783" s="70" t="str">
        <f t="shared" si="283"/>
        <v/>
      </c>
      <c r="AC783" s="70" t="str">
        <f t="shared" si="284"/>
        <v/>
      </c>
      <c r="AD783" s="70" t="str">
        <f t="shared" si="285"/>
        <v/>
      </c>
      <c r="AE783" s="70" t="str">
        <f t="shared" si="286"/>
        <v/>
      </c>
      <c r="AF783" s="16"/>
      <c r="AG783" s="23"/>
      <c r="AH783" s="22"/>
      <c r="AJ783" s="83">
        <f t="shared" si="287"/>
        <v>0</v>
      </c>
      <c r="AO783" s="22" t="str">
        <f t="shared" si="288"/>
        <v/>
      </c>
      <c r="AP783" s="22" t="str">
        <f t="shared" si="289"/>
        <v/>
      </c>
    </row>
    <row r="784" spans="1:42" x14ac:dyDescent="0.25">
      <c r="A784" s="10"/>
      <c r="B784" s="10"/>
      <c r="C784" s="10"/>
      <c r="D784" s="10"/>
      <c r="E784" s="10"/>
      <c r="F784" s="10"/>
      <c r="G784" s="10"/>
      <c r="H784" s="17"/>
      <c r="I784" s="10"/>
      <c r="J784" s="10"/>
      <c r="K784" s="16" t="str">
        <f t="shared" si="268"/>
        <v/>
      </c>
      <c r="L784" s="23" t="str">
        <f t="shared" si="269"/>
        <v/>
      </c>
      <c r="M784" s="22" t="str">
        <f t="shared" si="270"/>
        <v/>
      </c>
      <c r="N784" s="72"/>
      <c r="O784" s="16" t="str">
        <f t="shared" si="271"/>
        <v/>
      </c>
      <c r="P784" s="16" t="str">
        <f t="shared" si="272"/>
        <v/>
      </c>
      <c r="Q784" s="16" t="str">
        <f t="shared" si="273"/>
        <v/>
      </c>
      <c r="R784" s="23" t="str">
        <f t="shared" si="274"/>
        <v/>
      </c>
      <c r="S784" s="23" t="str">
        <f t="shared" si="275"/>
        <v/>
      </c>
      <c r="T784" s="23" t="str">
        <f t="shared" si="276"/>
        <v/>
      </c>
      <c r="U784" s="23" t="str">
        <f t="shared" si="277"/>
        <v/>
      </c>
      <c r="V784" s="23" t="str">
        <f t="shared" si="278"/>
        <v/>
      </c>
      <c r="W784" s="70" t="str">
        <f t="shared" si="279"/>
        <v/>
      </c>
      <c r="X784" s="70" t="str">
        <f t="shared" si="280"/>
        <v/>
      </c>
      <c r="Y784" s="70" t="str">
        <f>IF(AND($A784&lt;&gt;"",$E784&gt;0),isLaptopBag($C784,$J784)*$D784,"")</f>
        <v/>
      </c>
      <c r="Z784" s="70" t="str">
        <f t="shared" si="281"/>
        <v/>
      </c>
      <c r="AA784" s="70" t="str">
        <f t="shared" si="282"/>
        <v/>
      </c>
      <c r="AB784" s="70" t="str">
        <f t="shared" si="283"/>
        <v/>
      </c>
      <c r="AC784" s="70" t="str">
        <f t="shared" si="284"/>
        <v/>
      </c>
      <c r="AD784" s="70" t="str">
        <f t="shared" si="285"/>
        <v/>
      </c>
      <c r="AE784" s="70" t="str">
        <f t="shared" si="286"/>
        <v/>
      </c>
      <c r="AF784" s="16"/>
      <c r="AG784" s="23"/>
      <c r="AH784" s="22"/>
      <c r="AJ784" s="83">
        <f t="shared" si="287"/>
        <v>0</v>
      </c>
      <c r="AO784" s="22" t="str">
        <f t="shared" si="288"/>
        <v/>
      </c>
      <c r="AP784" s="22" t="str">
        <f t="shared" si="289"/>
        <v/>
      </c>
    </row>
    <row r="785" spans="1:42" x14ac:dyDescent="0.25">
      <c r="A785" s="10"/>
      <c r="B785" s="10"/>
      <c r="C785" s="10"/>
      <c r="D785" s="10"/>
      <c r="E785" s="10"/>
      <c r="F785" s="10"/>
      <c r="G785" s="10"/>
      <c r="H785" s="17"/>
      <c r="I785" s="10"/>
      <c r="J785" s="10"/>
      <c r="K785" s="16" t="str">
        <f t="shared" si="268"/>
        <v/>
      </c>
      <c r="L785" s="23" t="str">
        <f t="shared" si="269"/>
        <v/>
      </c>
      <c r="M785" s="22" t="str">
        <f t="shared" si="270"/>
        <v/>
      </c>
      <c r="N785" s="72"/>
      <c r="O785" s="16" t="str">
        <f t="shared" si="271"/>
        <v/>
      </c>
      <c r="P785" s="16" t="str">
        <f t="shared" si="272"/>
        <v/>
      </c>
      <c r="Q785" s="16" t="str">
        <f t="shared" si="273"/>
        <v/>
      </c>
      <c r="R785" s="23" t="str">
        <f t="shared" si="274"/>
        <v/>
      </c>
      <c r="S785" s="23" t="str">
        <f t="shared" si="275"/>
        <v/>
      </c>
      <c r="T785" s="23" t="str">
        <f t="shared" si="276"/>
        <v/>
      </c>
      <c r="U785" s="23" t="str">
        <f t="shared" si="277"/>
        <v/>
      </c>
      <c r="V785" s="23" t="str">
        <f t="shared" si="278"/>
        <v/>
      </c>
      <c r="W785" s="70" t="str">
        <f t="shared" si="279"/>
        <v/>
      </c>
      <c r="X785" s="70" t="str">
        <f t="shared" si="280"/>
        <v/>
      </c>
      <c r="Y785" s="70" t="str">
        <f>IF(AND($A785&lt;&gt;"",$E785&gt;0),isLaptopBag($C785,$J785)*$D785,"")</f>
        <v/>
      </c>
      <c r="Z785" s="70" t="str">
        <f t="shared" si="281"/>
        <v/>
      </c>
      <c r="AA785" s="70" t="str">
        <f t="shared" si="282"/>
        <v/>
      </c>
      <c r="AB785" s="70" t="str">
        <f t="shared" si="283"/>
        <v/>
      </c>
      <c r="AC785" s="70" t="str">
        <f t="shared" si="284"/>
        <v/>
      </c>
      <c r="AD785" s="70" t="str">
        <f t="shared" si="285"/>
        <v/>
      </c>
      <c r="AE785" s="70" t="str">
        <f t="shared" si="286"/>
        <v/>
      </c>
      <c r="AF785" s="16"/>
      <c r="AG785" s="23"/>
      <c r="AH785" s="22"/>
      <c r="AJ785" s="83">
        <f t="shared" si="287"/>
        <v>0</v>
      </c>
      <c r="AO785" s="22" t="str">
        <f t="shared" si="288"/>
        <v/>
      </c>
      <c r="AP785" s="22" t="str">
        <f t="shared" si="289"/>
        <v/>
      </c>
    </row>
    <row r="786" spans="1:42" x14ac:dyDescent="0.25">
      <c r="A786" s="10"/>
      <c r="B786" s="10"/>
      <c r="C786" s="10"/>
      <c r="D786" s="10"/>
      <c r="E786" s="10"/>
      <c r="F786" s="10"/>
      <c r="G786" s="10"/>
      <c r="H786" s="17"/>
      <c r="I786" s="10"/>
      <c r="J786" s="10"/>
      <c r="K786" s="16" t="str">
        <f t="shared" si="268"/>
        <v/>
      </c>
      <c r="L786" s="23" t="str">
        <f t="shared" si="269"/>
        <v/>
      </c>
      <c r="M786" s="22" t="str">
        <f t="shared" si="270"/>
        <v/>
      </c>
      <c r="N786" s="72"/>
      <c r="O786" s="16" t="str">
        <f t="shared" si="271"/>
        <v/>
      </c>
      <c r="P786" s="16" t="str">
        <f t="shared" si="272"/>
        <v/>
      </c>
      <c r="Q786" s="16" t="str">
        <f t="shared" si="273"/>
        <v/>
      </c>
      <c r="R786" s="23" t="str">
        <f t="shared" si="274"/>
        <v/>
      </c>
      <c r="S786" s="23" t="str">
        <f t="shared" si="275"/>
        <v/>
      </c>
      <c r="T786" s="23" t="str">
        <f t="shared" si="276"/>
        <v/>
      </c>
      <c r="U786" s="23" t="str">
        <f t="shared" si="277"/>
        <v/>
      </c>
      <c r="V786" s="23" t="str">
        <f t="shared" si="278"/>
        <v/>
      </c>
      <c r="W786" s="70" t="str">
        <f t="shared" si="279"/>
        <v/>
      </c>
      <c r="X786" s="70" t="str">
        <f t="shared" si="280"/>
        <v/>
      </c>
      <c r="Y786" s="70" t="str">
        <f>IF(AND($A786&lt;&gt;"",$E786&gt;0),isLaptopBag($C786,$J786)*$D786,"")</f>
        <v/>
      </c>
      <c r="Z786" s="70" t="str">
        <f t="shared" si="281"/>
        <v/>
      </c>
      <c r="AA786" s="70" t="str">
        <f t="shared" si="282"/>
        <v/>
      </c>
      <c r="AB786" s="70" t="str">
        <f t="shared" si="283"/>
        <v/>
      </c>
      <c r="AC786" s="70" t="str">
        <f t="shared" si="284"/>
        <v/>
      </c>
      <c r="AD786" s="70" t="str">
        <f t="shared" si="285"/>
        <v/>
      </c>
      <c r="AE786" s="70" t="str">
        <f t="shared" si="286"/>
        <v/>
      </c>
      <c r="AF786" s="16"/>
      <c r="AG786" s="23"/>
      <c r="AH786" s="22"/>
      <c r="AJ786" s="83">
        <f t="shared" si="287"/>
        <v>0</v>
      </c>
      <c r="AO786" s="22" t="str">
        <f t="shared" si="288"/>
        <v/>
      </c>
      <c r="AP786" s="22" t="str">
        <f t="shared" si="289"/>
        <v/>
      </c>
    </row>
    <row r="787" spans="1:42" x14ac:dyDescent="0.25">
      <c r="A787" s="10"/>
      <c r="B787" s="10"/>
      <c r="C787" s="10"/>
      <c r="D787" s="10"/>
      <c r="E787" s="10"/>
      <c r="F787" s="10"/>
      <c r="G787" s="10"/>
      <c r="H787" s="17"/>
      <c r="I787" s="10"/>
      <c r="J787" s="10"/>
      <c r="K787" s="16" t="str">
        <f t="shared" si="268"/>
        <v/>
      </c>
      <c r="L787" s="23" t="str">
        <f t="shared" si="269"/>
        <v/>
      </c>
      <c r="M787" s="22" t="str">
        <f t="shared" si="270"/>
        <v/>
      </c>
      <c r="N787" s="72"/>
      <c r="O787" s="16" t="str">
        <f t="shared" si="271"/>
        <v/>
      </c>
      <c r="P787" s="16" t="str">
        <f t="shared" si="272"/>
        <v/>
      </c>
      <c r="Q787" s="16" t="str">
        <f t="shared" si="273"/>
        <v/>
      </c>
      <c r="R787" s="23" t="str">
        <f t="shared" si="274"/>
        <v/>
      </c>
      <c r="S787" s="23" t="str">
        <f t="shared" si="275"/>
        <v/>
      </c>
      <c r="T787" s="23" t="str">
        <f t="shared" si="276"/>
        <v/>
      </c>
      <c r="U787" s="23" t="str">
        <f t="shared" si="277"/>
        <v/>
      </c>
      <c r="V787" s="23" t="str">
        <f t="shared" si="278"/>
        <v/>
      </c>
      <c r="W787" s="70" t="str">
        <f t="shared" si="279"/>
        <v/>
      </c>
      <c r="X787" s="70" t="str">
        <f t="shared" si="280"/>
        <v/>
      </c>
      <c r="Y787" s="70" t="str">
        <f>IF(AND($A787&lt;&gt;"",$E787&gt;0),isLaptopBag($C787,$J787)*$D787,"")</f>
        <v/>
      </c>
      <c r="Z787" s="70" t="str">
        <f t="shared" si="281"/>
        <v/>
      </c>
      <c r="AA787" s="70" t="str">
        <f t="shared" si="282"/>
        <v/>
      </c>
      <c r="AB787" s="70" t="str">
        <f t="shared" si="283"/>
        <v/>
      </c>
      <c r="AC787" s="70" t="str">
        <f t="shared" si="284"/>
        <v/>
      </c>
      <c r="AD787" s="70" t="str">
        <f t="shared" si="285"/>
        <v/>
      </c>
      <c r="AE787" s="70" t="str">
        <f t="shared" si="286"/>
        <v/>
      </c>
      <c r="AF787" s="16"/>
      <c r="AG787" s="23"/>
      <c r="AH787" s="22"/>
      <c r="AJ787" s="83">
        <f t="shared" si="287"/>
        <v>0</v>
      </c>
      <c r="AO787" s="22" t="str">
        <f t="shared" si="288"/>
        <v/>
      </c>
      <c r="AP787" s="22" t="str">
        <f t="shared" si="289"/>
        <v/>
      </c>
    </row>
    <row r="788" spans="1:42" x14ac:dyDescent="0.25">
      <c r="A788" s="10"/>
      <c r="B788" s="10"/>
      <c r="C788" s="10"/>
      <c r="D788" s="10"/>
      <c r="E788" s="10"/>
      <c r="F788" s="10"/>
      <c r="G788" s="10"/>
      <c r="H788" s="17"/>
      <c r="I788" s="10"/>
      <c r="J788" s="10"/>
      <c r="K788" s="16" t="str">
        <f t="shared" si="268"/>
        <v/>
      </c>
      <c r="L788" s="23" t="str">
        <f t="shared" si="269"/>
        <v/>
      </c>
      <c r="M788" s="22" t="str">
        <f t="shared" si="270"/>
        <v/>
      </c>
      <c r="N788" s="72"/>
      <c r="O788" s="16" t="str">
        <f t="shared" si="271"/>
        <v/>
      </c>
      <c r="P788" s="16" t="str">
        <f t="shared" si="272"/>
        <v/>
      </c>
      <c r="Q788" s="16" t="str">
        <f t="shared" si="273"/>
        <v/>
      </c>
      <c r="R788" s="23" t="str">
        <f t="shared" si="274"/>
        <v/>
      </c>
      <c r="S788" s="23" t="str">
        <f t="shared" si="275"/>
        <v/>
      </c>
      <c r="T788" s="23" t="str">
        <f t="shared" si="276"/>
        <v/>
      </c>
      <c r="U788" s="23" t="str">
        <f t="shared" si="277"/>
        <v/>
      </c>
      <c r="V788" s="23" t="str">
        <f t="shared" si="278"/>
        <v/>
      </c>
      <c r="W788" s="70" t="str">
        <f t="shared" si="279"/>
        <v/>
      </c>
      <c r="X788" s="70" t="str">
        <f t="shared" si="280"/>
        <v/>
      </c>
      <c r="Y788" s="70" t="str">
        <f>IF(AND($A788&lt;&gt;"",$E788&gt;0),isLaptopBag($C788,$J788)*$D788,"")</f>
        <v/>
      </c>
      <c r="Z788" s="70" t="str">
        <f t="shared" si="281"/>
        <v/>
      </c>
      <c r="AA788" s="70" t="str">
        <f t="shared" si="282"/>
        <v/>
      </c>
      <c r="AB788" s="70" t="str">
        <f t="shared" si="283"/>
        <v/>
      </c>
      <c r="AC788" s="70" t="str">
        <f t="shared" si="284"/>
        <v/>
      </c>
      <c r="AD788" s="70" t="str">
        <f t="shared" si="285"/>
        <v/>
      </c>
      <c r="AE788" s="70" t="str">
        <f t="shared" si="286"/>
        <v/>
      </c>
      <c r="AF788" s="16"/>
      <c r="AG788" s="23"/>
      <c r="AH788" s="22"/>
      <c r="AJ788" s="83">
        <f t="shared" si="287"/>
        <v>0</v>
      </c>
      <c r="AO788" s="22" t="str">
        <f t="shared" si="288"/>
        <v/>
      </c>
      <c r="AP788" s="22" t="str">
        <f t="shared" si="289"/>
        <v/>
      </c>
    </row>
    <row r="789" spans="1:42" x14ac:dyDescent="0.25">
      <c r="A789" s="10"/>
      <c r="B789" s="10"/>
      <c r="C789" s="10"/>
      <c r="D789" s="10"/>
      <c r="E789" s="10"/>
      <c r="F789" s="10"/>
      <c r="G789" s="10"/>
      <c r="H789" s="17"/>
      <c r="I789" s="10"/>
      <c r="J789" s="10"/>
      <c r="K789" s="16" t="str">
        <f t="shared" si="268"/>
        <v/>
      </c>
      <c r="L789" s="23" t="str">
        <f t="shared" si="269"/>
        <v/>
      </c>
      <c r="M789" s="22" t="str">
        <f t="shared" si="270"/>
        <v/>
      </c>
      <c r="N789" s="72"/>
      <c r="O789" s="16" t="str">
        <f t="shared" si="271"/>
        <v/>
      </c>
      <c r="P789" s="16" t="str">
        <f t="shared" si="272"/>
        <v/>
      </c>
      <c r="Q789" s="16" t="str">
        <f t="shared" si="273"/>
        <v/>
      </c>
      <c r="R789" s="23" t="str">
        <f t="shared" si="274"/>
        <v/>
      </c>
      <c r="S789" s="23" t="str">
        <f t="shared" si="275"/>
        <v/>
      </c>
      <c r="T789" s="23" t="str">
        <f t="shared" si="276"/>
        <v/>
      </c>
      <c r="U789" s="23" t="str">
        <f t="shared" si="277"/>
        <v/>
      </c>
      <c r="V789" s="23" t="str">
        <f t="shared" si="278"/>
        <v/>
      </c>
      <c r="W789" s="70" t="str">
        <f t="shared" si="279"/>
        <v/>
      </c>
      <c r="X789" s="70" t="str">
        <f t="shared" si="280"/>
        <v/>
      </c>
      <c r="Y789" s="70" t="str">
        <f>IF(AND($A789&lt;&gt;"",$E789&gt;0),isLaptopBag($C789,$J789)*$D789,"")</f>
        <v/>
      </c>
      <c r="Z789" s="70" t="str">
        <f t="shared" si="281"/>
        <v/>
      </c>
      <c r="AA789" s="70" t="str">
        <f t="shared" si="282"/>
        <v/>
      </c>
      <c r="AB789" s="70" t="str">
        <f t="shared" si="283"/>
        <v/>
      </c>
      <c r="AC789" s="70" t="str">
        <f t="shared" si="284"/>
        <v/>
      </c>
      <c r="AD789" s="70" t="str">
        <f t="shared" si="285"/>
        <v/>
      </c>
      <c r="AE789" s="70" t="str">
        <f t="shared" si="286"/>
        <v/>
      </c>
      <c r="AF789" s="16"/>
      <c r="AG789" s="23"/>
      <c r="AH789" s="22"/>
      <c r="AJ789" s="83">
        <f t="shared" si="287"/>
        <v>0</v>
      </c>
      <c r="AO789" s="22" t="str">
        <f t="shared" si="288"/>
        <v/>
      </c>
      <c r="AP789" s="22" t="str">
        <f t="shared" si="289"/>
        <v/>
      </c>
    </row>
    <row r="790" spans="1:42" x14ac:dyDescent="0.25">
      <c r="A790" s="10"/>
      <c r="B790" s="10"/>
      <c r="C790" s="10"/>
      <c r="D790" s="10"/>
      <c r="E790" s="10"/>
      <c r="F790" s="10"/>
      <c r="G790" s="10"/>
      <c r="H790" s="17"/>
      <c r="I790" s="10"/>
      <c r="J790" s="10"/>
      <c r="K790" s="16" t="str">
        <f t="shared" si="268"/>
        <v/>
      </c>
      <c r="L790" s="23" t="str">
        <f t="shared" si="269"/>
        <v/>
      </c>
      <c r="M790" s="22" t="str">
        <f t="shared" si="270"/>
        <v/>
      </c>
      <c r="N790" s="72"/>
      <c r="O790" s="16" t="str">
        <f t="shared" si="271"/>
        <v/>
      </c>
      <c r="P790" s="16" t="str">
        <f t="shared" si="272"/>
        <v/>
      </c>
      <c r="Q790" s="16" t="str">
        <f t="shared" si="273"/>
        <v/>
      </c>
      <c r="R790" s="23" t="str">
        <f t="shared" si="274"/>
        <v/>
      </c>
      <c r="S790" s="23" t="str">
        <f t="shared" si="275"/>
        <v/>
      </c>
      <c r="T790" s="23" t="str">
        <f t="shared" si="276"/>
        <v/>
      </c>
      <c r="U790" s="23" t="str">
        <f t="shared" si="277"/>
        <v/>
      </c>
      <c r="V790" s="23" t="str">
        <f t="shared" si="278"/>
        <v/>
      </c>
      <c r="W790" s="70" t="str">
        <f t="shared" si="279"/>
        <v/>
      </c>
      <c r="X790" s="70" t="str">
        <f t="shared" si="280"/>
        <v/>
      </c>
      <c r="Y790" s="70" t="str">
        <f>IF(AND($A790&lt;&gt;"",$E790&gt;0),isLaptopBag($C790,$J790)*$D790,"")</f>
        <v/>
      </c>
      <c r="Z790" s="70" t="str">
        <f t="shared" si="281"/>
        <v/>
      </c>
      <c r="AA790" s="70" t="str">
        <f t="shared" si="282"/>
        <v/>
      </c>
      <c r="AB790" s="70" t="str">
        <f t="shared" si="283"/>
        <v/>
      </c>
      <c r="AC790" s="70" t="str">
        <f t="shared" si="284"/>
        <v/>
      </c>
      <c r="AD790" s="70" t="str">
        <f t="shared" si="285"/>
        <v/>
      </c>
      <c r="AE790" s="70" t="str">
        <f t="shared" si="286"/>
        <v/>
      </c>
      <c r="AF790" s="16"/>
      <c r="AG790" s="23"/>
      <c r="AH790" s="22"/>
      <c r="AJ790" s="83">
        <f t="shared" si="287"/>
        <v>0</v>
      </c>
      <c r="AO790" s="22" t="str">
        <f t="shared" si="288"/>
        <v/>
      </c>
      <c r="AP790" s="22" t="str">
        <f t="shared" si="289"/>
        <v/>
      </c>
    </row>
    <row r="791" spans="1:42" x14ac:dyDescent="0.25">
      <c r="A791" s="10"/>
      <c r="B791" s="10"/>
      <c r="C791" s="10"/>
      <c r="D791" s="10"/>
      <c r="E791" s="10"/>
      <c r="F791" s="10"/>
      <c r="G791" s="10"/>
      <c r="H791" s="17"/>
      <c r="I791" s="10"/>
      <c r="J791" s="10"/>
      <c r="K791" s="16" t="str">
        <f t="shared" si="268"/>
        <v/>
      </c>
      <c r="L791" s="23" t="str">
        <f t="shared" si="269"/>
        <v/>
      </c>
      <c r="M791" s="22" t="str">
        <f t="shared" si="270"/>
        <v/>
      </c>
      <c r="N791" s="72"/>
      <c r="O791" s="16" t="str">
        <f t="shared" si="271"/>
        <v/>
      </c>
      <c r="P791" s="16" t="str">
        <f t="shared" si="272"/>
        <v/>
      </c>
      <c r="Q791" s="16" t="str">
        <f t="shared" si="273"/>
        <v/>
      </c>
      <c r="R791" s="23" t="str">
        <f t="shared" si="274"/>
        <v/>
      </c>
      <c r="S791" s="23" t="str">
        <f t="shared" si="275"/>
        <v/>
      </c>
      <c r="T791" s="23" t="str">
        <f t="shared" si="276"/>
        <v/>
      </c>
      <c r="U791" s="23" t="str">
        <f t="shared" si="277"/>
        <v/>
      </c>
      <c r="V791" s="23" t="str">
        <f t="shared" si="278"/>
        <v/>
      </c>
      <c r="W791" s="70" t="str">
        <f t="shared" si="279"/>
        <v/>
      </c>
      <c r="X791" s="70" t="str">
        <f t="shared" si="280"/>
        <v/>
      </c>
      <c r="Y791" s="70" t="str">
        <f>IF(AND($A791&lt;&gt;"",$E791&gt;0),isLaptopBag($C791,$J791)*$D791,"")</f>
        <v/>
      </c>
      <c r="Z791" s="70" t="str">
        <f t="shared" si="281"/>
        <v/>
      </c>
      <c r="AA791" s="70" t="str">
        <f t="shared" si="282"/>
        <v/>
      </c>
      <c r="AB791" s="70" t="str">
        <f t="shared" si="283"/>
        <v/>
      </c>
      <c r="AC791" s="70" t="str">
        <f t="shared" si="284"/>
        <v/>
      </c>
      <c r="AD791" s="70" t="str">
        <f t="shared" si="285"/>
        <v/>
      </c>
      <c r="AE791" s="70" t="str">
        <f t="shared" si="286"/>
        <v/>
      </c>
      <c r="AF791" s="16"/>
      <c r="AG791" s="23"/>
      <c r="AH791" s="22"/>
      <c r="AJ791" s="83">
        <f t="shared" si="287"/>
        <v>0</v>
      </c>
      <c r="AO791" s="22" t="str">
        <f t="shared" si="288"/>
        <v/>
      </c>
      <c r="AP791" s="22" t="str">
        <f t="shared" si="289"/>
        <v/>
      </c>
    </row>
    <row r="792" spans="1:42" x14ac:dyDescent="0.25">
      <c r="A792" s="10"/>
      <c r="B792" s="10"/>
      <c r="C792" s="10"/>
      <c r="D792" s="10"/>
      <c r="E792" s="10"/>
      <c r="F792" s="10"/>
      <c r="G792" s="10"/>
      <c r="H792" s="17"/>
      <c r="I792" s="10"/>
      <c r="J792" s="10"/>
      <c r="K792" s="16" t="str">
        <f t="shared" si="268"/>
        <v/>
      </c>
      <c r="L792" s="23" t="str">
        <f t="shared" si="269"/>
        <v/>
      </c>
      <c r="M792" s="22" t="str">
        <f t="shared" si="270"/>
        <v/>
      </c>
      <c r="N792" s="72"/>
      <c r="O792" s="16" t="str">
        <f t="shared" si="271"/>
        <v/>
      </c>
      <c r="P792" s="16" t="str">
        <f t="shared" si="272"/>
        <v/>
      </c>
      <c r="Q792" s="16" t="str">
        <f t="shared" si="273"/>
        <v/>
      </c>
      <c r="R792" s="23" t="str">
        <f t="shared" si="274"/>
        <v/>
      </c>
      <c r="S792" s="23" t="str">
        <f t="shared" si="275"/>
        <v/>
      </c>
      <c r="T792" s="23" t="str">
        <f t="shared" si="276"/>
        <v/>
      </c>
      <c r="U792" s="23" t="str">
        <f t="shared" si="277"/>
        <v/>
      </c>
      <c r="V792" s="23" t="str">
        <f t="shared" si="278"/>
        <v/>
      </c>
      <c r="W792" s="70" t="str">
        <f t="shared" si="279"/>
        <v/>
      </c>
      <c r="X792" s="70" t="str">
        <f t="shared" si="280"/>
        <v/>
      </c>
      <c r="Y792" s="70" t="str">
        <f>IF(AND($A792&lt;&gt;"",$E792&gt;0),isLaptopBag($C792,$J792)*$D792,"")</f>
        <v/>
      </c>
      <c r="Z792" s="70" t="str">
        <f t="shared" si="281"/>
        <v/>
      </c>
      <c r="AA792" s="70" t="str">
        <f t="shared" si="282"/>
        <v/>
      </c>
      <c r="AB792" s="70" t="str">
        <f t="shared" si="283"/>
        <v/>
      </c>
      <c r="AC792" s="70" t="str">
        <f t="shared" si="284"/>
        <v/>
      </c>
      <c r="AD792" s="70" t="str">
        <f t="shared" si="285"/>
        <v/>
      </c>
      <c r="AE792" s="70" t="str">
        <f t="shared" si="286"/>
        <v/>
      </c>
      <c r="AF792" s="16"/>
      <c r="AG792" s="23"/>
      <c r="AH792" s="22"/>
      <c r="AJ792" s="83">
        <f t="shared" si="287"/>
        <v>0</v>
      </c>
      <c r="AO792" s="22" t="str">
        <f t="shared" si="288"/>
        <v/>
      </c>
      <c r="AP792" s="22" t="str">
        <f t="shared" si="289"/>
        <v/>
      </c>
    </row>
    <row r="793" spans="1:42" x14ac:dyDescent="0.25">
      <c r="A793" s="10"/>
      <c r="B793" s="10"/>
      <c r="C793" s="10"/>
      <c r="D793" s="10"/>
      <c r="E793" s="10"/>
      <c r="F793" s="10"/>
      <c r="G793" s="10"/>
      <c r="H793" s="17"/>
      <c r="I793" s="10"/>
      <c r="J793" s="10"/>
      <c r="K793" s="16" t="str">
        <f t="shared" si="268"/>
        <v/>
      </c>
      <c r="L793" s="23" t="str">
        <f t="shared" si="269"/>
        <v/>
      </c>
      <c r="M793" s="22" t="str">
        <f t="shared" si="270"/>
        <v/>
      </c>
      <c r="N793" s="72"/>
      <c r="O793" s="16" t="str">
        <f t="shared" si="271"/>
        <v/>
      </c>
      <c r="P793" s="16" t="str">
        <f t="shared" si="272"/>
        <v/>
      </c>
      <c r="Q793" s="16" t="str">
        <f t="shared" si="273"/>
        <v/>
      </c>
      <c r="R793" s="23" t="str">
        <f t="shared" si="274"/>
        <v/>
      </c>
      <c r="S793" s="23" t="str">
        <f t="shared" si="275"/>
        <v/>
      </c>
      <c r="T793" s="23" t="str">
        <f t="shared" si="276"/>
        <v/>
      </c>
      <c r="U793" s="23" t="str">
        <f t="shared" si="277"/>
        <v/>
      </c>
      <c r="V793" s="23" t="str">
        <f t="shared" si="278"/>
        <v/>
      </c>
      <c r="W793" s="70" t="str">
        <f t="shared" si="279"/>
        <v/>
      </c>
      <c r="X793" s="70" t="str">
        <f t="shared" si="280"/>
        <v/>
      </c>
      <c r="Y793" s="70" t="str">
        <f>IF(AND($A793&lt;&gt;"",$E793&gt;0),isLaptopBag($C793,$J793)*$D793,"")</f>
        <v/>
      </c>
      <c r="Z793" s="70" t="str">
        <f t="shared" si="281"/>
        <v/>
      </c>
      <c r="AA793" s="70" t="str">
        <f t="shared" si="282"/>
        <v/>
      </c>
      <c r="AB793" s="70" t="str">
        <f t="shared" si="283"/>
        <v/>
      </c>
      <c r="AC793" s="70" t="str">
        <f t="shared" si="284"/>
        <v/>
      </c>
      <c r="AD793" s="70" t="str">
        <f t="shared" si="285"/>
        <v/>
      </c>
      <c r="AE793" s="70" t="str">
        <f t="shared" si="286"/>
        <v/>
      </c>
      <c r="AF793" s="16"/>
      <c r="AG793" s="23"/>
      <c r="AH793" s="22"/>
      <c r="AJ793" s="83">
        <f t="shared" si="287"/>
        <v>0</v>
      </c>
      <c r="AO793" s="22" t="str">
        <f t="shared" si="288"/>
        <v/>
      </c>
      <c r="AP793" s="22" t="str">
        <f t="shared" si="289"/>
        <v/>
      </c>
    </row>
    <row r="794" spans="1:42" x14ac:dyDescent="0.25">
      <c r="A794" s="10"/>
      <c r="B794" s="10"/>
      <c r="C794" s="10"/>
      <c r="D794" s="10"/>
      <c r="E794" s="10"/>
      <c r="F794" s="10"/>
      <c r="G794" s="10"/>
      <c r="H794" s="17"/>
      <c r="I794" s="10"/>
      <c r="J794" s="10"/>
      <c r="K794" s="16" t="str">
        <f t="shared" si="268"/>
        <v/>
      </c>
      <c r="L794" s="23" t="str">
        <f t="shared" si="269"/>
        <v/>
      </c>
      <c r="M794" s="22" t="str">
        <f t="shared" si="270"/>
        <v/>
      </c>
      <c r="N794" s="72"/>
      <c r="O794" s="16" t="str">
        <f t="shared" si="271"/>
        <v/>
      </c>
      <c r="P794" s="16" t="str">
        <f t="shared" si="272"/>
        <v/>
      </c>
      <c r="Q794" s="16" t="str">
        <f t="shared" si="273"/>
        <v/>
      </c>
      <c r="R794" s="23" t="str">
        <f t="shared" si="274"/>
        <v/>
      </c>
      <c r="S794" s="23" t="str">
        <f t="shared" si="275"/>
        <v/>
      </c>
      <c r="T794" s="23" t="str">
        <f t="shared" si="276"/>
        <v/>
      </c>
      <c r="U794" s="23" t="str">
        <f t="shared" si="277"/>
        <v/>
      </c>
      <c r="V794" s="23" t="str">
        <f t="shared" si="278"/>
        <v/>
      </c>
      <c r="W794" s="70" t="str">
        <f t="shared" si="279"/>
        <v/>
      </c>
      <c r="X794" s="70" t="str">
        <f t="shared" si="280"/>
        <v/>
      </c>
      <c r="Y794" s="70" t="str">
        <f>IF(AND($A794&lt;&gt;"",$E794&gt;0),isLaptopBag($C794,$J794)*$D794,"")</f>
        <v/>
      </c>
      <c r="Z794" s="70" t="str">
        <f t="shared" si="281"/>
        <v/>
      </c>
      <c r="AA794" s="70" t="str">
        <f t="shared" si="282"/>
        <v/>
      </c>
      <c r="AB794" s="70" t="str">
        <f t="shared" si="283"/>
        <v/>
      </c>
      <c r="AC794" s="70" t="str">
        <f t="shared" si="284"/>
        <v/>
      </c>
      <c r="AD794" s="70" t="str">
        <f t="shared" si="285"/>
        <v/>
      </c>
      <c r="AE794" s="70" t="str">
        <f t="shared" si="286"/>
        <v/>
      </c>
      <c r="AF794" s="16"/>
      <c r="AG794" s="23"/>
      <c r="AH794" s="22"/>
      <c r="AJ794" s="83">
        <f t="shared" si="287"/>
        <v>0</v>
      </c>
      <c r="AO794" s="22" t="str">
        <f t="shared" si="288"/>
        <v/>
      </c>
      <c r="AP794" s="22" t="str">
        <f t="shared" si="289"/>
        <v/>
      </c>
    </row>
    <row r="795" spans="1:42" x14ac:dyDescent="0.25">
      <c r="A795" s="10"/>
      <c r="B795" s="10"/>
      <c r="C795" s="10"/>
      <c r="D795" s="10"/>
      <c r="E795" s="10"/>
      <c r="F795" s="10"/>
      <c r="G795" s="10"/>
      <c r="H795" s="17"/>
      <c r="I795" s="10"/>
      <c r="J795" s="10"/>
      <c r="K795" s="16" t="str">
        <f t="shared" si="268"/>
        <v/>
      </c>
      <c r="L795" s="23" t="str">
        <f t="shared" si="269"/>
        <v/>
      </c>
      <c r="M795" s="22" t="str">
        <f t="shared" si="270"/>
        <v/>
      </c>
      <c r="N795" s="72"/>
      <c r="O795" s="16" t="str">
        <f t="shared" si="271"/>
        <v/>
      </c>
      <c r="P795" s="16" t="str">
        <f t="shared" si="272"/>
        <v/>
      </c>
      <c r="Q795" s="16" t="str">
        <f t="shared" si="273"/>
        <v/>
      </c>
      <c r="R795" s="23" t="str">
        <f t="shared" si="274"/>
        <v/>
      </c>
      <c r="S795" s="23" t="str">
        <f t="shared" si="275"/>
        <v/>
      </c>
      <c r="T795" s="23" t="str">
        <f t="shared" si="276"/>
        <v/>
      </c>
      <c r="U795" s="23" t="str">
        <f t="shared" si="277"/>
        <v/>
      </c>
      <c r="V795" s="23" t="str">
        <f t="shared" si="278"/>
        <v/>
      </c>
      <c r="W795" s="70" t="str">
        <f t="shared" si="279"/>
        <v/>
      </c>
      <c r="X795" s="70" t="str">
        <f t="shared" si="280"/>
        <v/>
      </c>
      <c r="Y795" s="70" t="str">
        <f>IF(AND($A795&lt;&gt;"",$E795&gt;0),isLaptopBag($C795,$J795)*$D795,"")</f>
        <v/>
      </c>
      <c r="Z795" s="70" t="str">
        <f t="shared" si="281"/>
        <v/>
      </c>
      <c r="AA795" s="70" t="str">
        <f t="shared" si="282"/>
        <v/>
      </c>
      <c r="AB795" s="70" t="str">
        <f t="shared" si="283"/>
        <v/>
      </c>
      <c r="AC795" s="70" t="str">
        <f t="shared" si="284"/>
        <v/>
      </c>
      <c r="AD795" s="70" t="str">
        <f t="shared" si="285"/>
        <v/>
      </c>
      <c r="AE795" s="70" t="str">
        <f t="shared" si="286"/>
        <v/>
      </c>
      <c r="AF795" s="16"/>
      <c r="AG795" s="23"/>
      <c r="AH795" s="22"/>
      <c r="AJ795" s="83">
        <f t="shared" si="287"/>
        <v>0</v>
      </c>
      <c r="AO795" s="22" t="str">
        <f t="shared" si="288"/>
        <v/>
      </c>
      <c r="AP795" s="22" t="str">
        <f t="shared" si="289"/>
        <v/>
      </c>
    </row>
    <row r="796" spans="1:42" x14ac:dyDescent="0.25">
      <c r="A796" s="10"/>
      <c r="B796" s="10"/>
      <c r="C796" s="10"/>
      <c r="D796" s="10"/>
      <c r="E796" s="10"/>
      <c r="F796" s="10"/>
      <c r="G796" s="10"/>
      <c r="H796" s="17"/>
      <c r="I796" s="10"/>
      <c r="J796" s="10"/>
      <c r="K796" s="16" t="str">
        <f t="shared" si="268"/>
        <v/>
      </c>
      <c r="L796" s="23" t="str">
        <f t="shared" si="269"/>
        <v/>
      </c>
      <c r="M796" s="22" t="str">
        <f t="shared" si="270"/>
        <v/>
      </c>
      <c r="N796" s="72"/>
      <c r="O796" s="16" t="str">
        <f t="shared" si="271"/>
        <v/>
      </c>
      <c r="P796" s="16" t="str">
        <f t="shared" si="272"/>
        <v/>
      </c>
      <c r="Q796" s="16" t="str">
        <f t="shared" si="273"/>
        <v/>
      </c>
      <c r="R796" s="23" t="str">
        <f t="shared" si="274"/>
        <v/>
      </c>
      <c r="S796" s="23" t="str">
        <f t="shared" si="275"/>
        <v/>
      </c>
      <c r="T796" s="23" t="str">
        <f t="shared" si="276"/>
        <v/>
      </c>
      <c r="U796" s="23" t="str">
        <f t="shared" si="277"/>
        <v/>
      </c>
      <c r="V796" s="23" t="str">
        <f t="shared" si="278"/>
        <v/>
      </c>
      <c r="W796" s="70" t="str">
        <f t="shared" si="279"/>
        <v/>
      </c>
      <c r="X796" s="70" t="str">
        <f t="shared" si="280"/>
        <v/>
      </c>
      <c r="Y796" s="70" t="str">
        <f>IF(AND($A796&lt;&gt;"",$E796&gt;0),isLaptopBag($C796,$J796)*$D796,"")</f>
        <v/>
      </c>
      <c r="Z796" s="70" t="str">
        <f t="shared" si="281"/>
        <v/>
      </c>
      <c r="AA796" s="70" t="str">
        <f t="shared" si="282"/>
        <v/>
      </c>
      <c r="AB796" s="70" t="str">
        <f t="shared" si="283"/>
        <v/>
      </c>
      <c r="AC796" s="70" t="str">
        <f t="shared" si="284"/>
        <v/>
      </c>
      <c r="AD796" s="70" t="str">
        <f t="shared" si="285"/>
        <v/>
      </c>
      <c r="AE796" s="70" t="str">
        <f t="shared" si="286"/>
        <v/>
      </c>
      <c r="AF796" s="16"/>
      <c r="AG796" s="23"/>
      <c r="AH796" s="22"/>
      <c r="AJ796" s="83">
        <f t="shared" si="287"/>
        <v>0</v>
      </c>
      <c r="AO796" s="22" t="str">
        <f t="shared" si="288"/>
        <v/>
      </c>
      <c r="AP796" s="22" t="str">
        <f t="shared" si="289"/>
        <v/>
      </c>
    </row>
    <row r="797" spans="1:42" x14ac:dyDescent="0.25">
      <c r="A797" s="10"/>
      <c r="B797" s="10"/>
      <c r="C797" s="10"/>
      <c r="D797" s="10"/>
      <c r="E797" s="10"/>
      <c r="F797" s="10"/>
      <c r="G797" s="10"/>
      <c r="H797" s="17"/>
      <c r="I797" s="10"/>
      <c r="J797" s="10"/>
      <c r="K797" s="16" t="str">
        <f t="shared" si="268"/>
        <v/>
      </c>
      <c r="L797" s="23" t="str">
        <f t="shared" si="269"/>
        <v/>
      </c>
      <c r="M797" s="22" t="str">
        <f t="shared" si="270"/>
        <v/>
      </c>
      <c r="N797" s="72"/>
      <c r="O797" s="16" t="str">
        <f t="shared" si="271"/>
        <v/>
      </c>
      <c r="P797" s="16" t="str">
        <f t="shared" si="272"/>
        <v/>
      </c>
      <c r="Q797" s="16" t="str">
        <f t="shared" si="273"/>
        <v/>
      </c>
      <c r="R797" s="23" t="str">
        <f t="shared" si="274"/>
        <v/>
      </c>
      <c r="S797" s="23" t="str">
        <f t="shared" si="275"/>
        <v/>
      </c>
      <c r="T797" s="23" t="str">
        <f t="shared" si="276"/>
        <v/>
      </c>
      <c r="U797" s="23" t="str">
        <f t="shared" si="277"/>
        <v/>
      </c>
      <c r="V797" s="23" t="str">
        <f t="shared" si="278"/>
        <v/>
      </c>
      <c r="W797" s="70" t="str">
        <f t="shared" si="279"/>
        <v/>
      </c>
      <c r="X797" s="70" t="str">
        <f t="shared" si="280"/>
        <v/>
      </c>
      <c r="Y797" s="70" t="str">
        <f>IF(AND($A797&lt;&gt;"",$E797&gt;0),isLaptopBag($C797,$J797)*$D797,"")</f>
        <v/>
      </c>
      <c r="Z797" s="70" t="str">
        <f t="shared" si="281"/>
        <v/>
      </c>
      <c r="AA797" s="70" t="str">
        <f t="shared" si="282"/>
        <v/>
      </c>
      <c r="AB797" s="70" t="str">
        <f t="shared" si="283"/>
        <v/>
      </c>
      <c r="AC797" s="70" t="str">
        <f t="shared" si="284"/>
        <v/>
      </c>
      <c r="AD797" s="70" t="str">
        <f t="shared" si="285"/>
        <v/>
      </c>
      <c r="AE797" s="70" t="str">
        <f t="shared" si="286"/>
        <v/>
      </c>
      <c r="AF797" s="16"/>
      <c r="AG797" s="23"/>
      <c r="AH797" s="22"/>
      <c r="AJ797" s="83">
        <f t="shared" si="287"/>
        <v>0</v>
      </c>
      <c r="AO797" s="22" t="str">
        <f t="shared" si="288"/>
        <v/>
      </c>
      <c r="AP797" s="22" t="str">
        <f t="shared" si="289"/>
        <v/>
      </c>
    </row>
    <row r="798" spans="1:42" x14ac:dyDescent="0.25">
      <c r="A798" s="10"/>
      <c r="B798" s="10"/>
      <c r="C798" s="10"/>
      <c r="D798" s="10"/>
      <c r="E798" s="10"/>
      <c r="F798" s="10"/>
      <c r="G798" s="10"/>
      <c r="H798" s="17"/>
      <c r="I798" s="10"/>
      <c r="J798" s="10"/>
      <c r="K798" s="16" t="str">
        <f t="shared" si="268"/>
        <v/>
      </c>
      <c r="L798" s="23" t="str">
        <f t="shared" si="269"/>
        <v/>
      </c>
      <c r="M798" s="22" t="str">
        <f t="shared" si="270"/>
        <v/>
      </c>
      <c r="N798" s="72"/>
      <c r="O798" s="16" t="str">
        <f t="shared" si="271"/>
        <v/>
      </c>
      <c r="P798" s="16" t="str">
        <f t="shared" si="272"/>
        <v/>
      </c>
      <c r="Q798" s="16" t="str">
        <f t="shared" si="273"/>
        <v/>
      </c>
      <c r="R798" s="23" t="str">
        <f t="shared" si="274"/>
        <v/>
      </c>
      <c r="S798" s="23" t="str">
        <f t="shared" si="275"/>
        <v/>
      </c>
      <c r="T798" s="23" t="str">
        <f t="shared" si="276"/>
        <v/>
      </c>
      <c r="U798" s="23" t="str">
        <f t="shared" si="277"/>
        <v/>
      </c>
      <c r="V798" s="23" t="str">
        <f t="shared" si="278"/>
        <v/>
      </c>
      <c r="W798" s="70" t="str">
        <f t="shared" si="279"/>
        <v/>
      </c>
      <c r="X798" s="70" t="str">
        <f t="shared" si="280"/>
        <v/>
      </c>
      <c r="Y798" s="70" t="str">
        <f>IF(AND($A798&lt;&gt;"",$E798&gt;0),isLaptopBag($C798,$J798)*$D798,"")</f>
        <v/>
      </c>
      <c r="Z798" s="70" t="str">
        <f t="shared" si="281"/>
        <v/>
      </c>
      <c r="AA798" s="70" t="str">
        <f t="shared" si="282"/>
        <v/>
      </c>
      <c r="AB798" s="70" t="str">
        <f t="shared" si="283"/>
        <v/>
      </c>
      <c r="AC798" s="70" t="str">
        <f t="shared" si="284"/>
        <v/>
      </c>
      <c r="AD798" s="70" t="str">
        <f t="shared" si="285"/>
        <v/>
      </c>
      <c r="AE798" s="70" t="str">
        <f t="shared" si="286"/>
        <v/>
      </c>
      <c r="AF798" s="16"/>
      <c r="AG798" s="23"/>
      <c r="AH798" s="22"/>
      <c r="AJ798" s="83">
        <f t="shared" si="287"/>
        <v>0</v>
      </c>
      <c r="AO798" s="22" t="str">
        <f t="shared" si="288"/>
        <v/>
      </c>
      <c r="AP798" s="22" t="str">
        <f t="shared" si="289"/>
        <v/>
      </c>
    </row>
    <row r="799" spans="1:42" x14ac:dyDescent="0.25">
      <c r="A799" s="10"/>
      <c r="B799" s="10"/>
      <c r="C799" s="10"/>
      <c r="D799" s="10"/>
      <c r="E799" s="10"/>
      <c r="F799" s="10"/>
      <c r="G799" s="10"/>
      <c r="H799" s="17"/>
      <c r="I799" s="10"/>
      <c r="J799" s="10"/>
      <c r="K799" s="16" t="str">
        <f t="shared" si="268"/>
        <v/>
      </c>
      <c r="L799" s="23" t="str">
        <f t="shared" si="269"/>
        <v/>
      </c>
      <c r="M799" s="22" t="str">
        <f t="shared" si="270"/>
        <v/>
      </c>
      <c r="N799" s="72"/>
      <c r="O799" s="16" t="str">
        <f t="shared" si="271"/>
        <v/>
      </c>
      <c r="P799" s="16" t="str">
        <f t="shared" si="272"/>
        <v/>
      </c>
      <c r="Q799" s="16" t="str">
        <f t="shared" si="273"/>
        <v/>
      </c>
      <c r="R799" s="23" t="str">
        <f t="shared" si="274"/>
        <v/>
      </c>
      <c r="S799" s="23" t="str">
        <f t="shared" si="275"/>
        <v/>
      </c>
      <c r="T799" s="23" t="str">
        <f t="shared" si="276"/>
        <v/>
      </c>
      <c r="U799" s="23" t="str">
        <f t="shared" si="277"/>
        <v/>
      </c>
      <c r="V799" s="23" t="str">
        <f t="shared" si="278"/>
        <v/>
      </c>
      <c r="W799" s="70" t="str">
        <f t="shared" si="279"/>
        <v/>
      </c>
      <c r="X799" s="70" t="str">
        <f t="shared" si="280"/>
        <v/>
      </c>
      <c r="Y799" s="70" t="str">
        <f>IF(AND($A799&lt;&gt;"",$E799&gt;0),isLaptopBag($C799,$J799)*$D799,"")</f>
        <v/>
      </c>
      <c r="Z799" s="70" t="str">
        <f t="shared" si="281"/>
        <v/>
      </c>
      <c r="AA799" s="70" t="str">
        <f t="shared" si="282"/>
        <v/>
      </c>
      <c r="AB799" s="70" t="str">
        <f t="shared" si="283"/>
        <v/>
      </c>
      <c r="AC799" s="70" t="str">
        <f t="shared" si="284"/>
        <v/>
      </c>
      <c r="AD799" s="70" t="str">
        <f t="shared" si="285"/>
        <v/>
      </c>
      <c r="AE799" s="70" t="str">
        <f t="shared" si="286"/>
        <v/>
      </c>
      <c r="AF799" s="16"/>
      <c r="AG799" s="23"/>
      <c r="AH799" s="22"/>
      <c r="AJ799" s="83">
        <f t="shared" si="287"/>
        <v>0</v>
      </c>
      <c r="AO799" s="22" t="str">
        <f t="shared" si="288"/>
        <v/>
      </c>
      <c r="AP799" s="22" t="str">
        <f t="shared" si="289"/>
        <v/>
      </c>
    </row>
    <row r="800" spans="1:42" x14ac:dyDescent="0.25">
      <c r="A800" s="10"/>
      <c r="B800" s="10"/>
      <c r="C800" s="10"/>
      <c r="D800" s="10"/>
      <c r="E800" s="10"/>
      <c r="F800" s="10"/>
      <c r="G800" s="10"/>
      <c r="H800" s="17"/>
      <c r="I800" s="10"/>
      <c r="J800" s="10"/>
      <c r="K800" s="16" t="str">
        <f t="shared" si="268"/>
        <v/>
      </c>
      <c r="L800" s="23" t="str">
        <f t="shared" si="269"/>
        <v/>
      </c>
      <c r="M800" s="22" t="str">
        <f t="shared" si="270"/>
        <v/>
      </c>
      <c r="N800" s="72"/>
      <c r="O800" s="16" t="str">
        <f t="shared" si="271"/>
        <v/>
      </c>
      <c r="P800" s="16" t="str">
        <f t="shared" si="272"/>
        <v/>
      </c>
      <c r="Q800" s="16" t="str">
        <f t="shared" si="273"/>
        <v/>
      </c>
      <c r="R800" s="23" t="str">
        <f t="shared" si="274"/>
        <v/>
      </c>
      <c r="S800" s="23" t="str">
        <f t="shared" si="275"/>
        <v/>
      </c>
      <c r="T800" s="23" t="str">
        <f t="shared" si="276"/>
        <v/>
      </c>
      <c r="U800" s="23" t="str">
        <f t="shared" si="277"/>
        <v/>
      </c>
      <c r="V800" s="23" t="str">
        <f t="shared" si="278"/>
        <v/>
      </c>
      <c r="W800" s="70" t="str">
        <f t="shared" si="279"/>
        <v/>
      </c>
      <c r="X800" s="70" t="str">
        <f t="shared" si="280"/>
        <v/>
      </c>
      <c r="Y800" s="70" t="str">
        <f>IF(AND($A800&lt;&gt;"",$E800&gt;0),isLaptopBag($C800,$J800)*$D800,"")</f>
        <v/>
      </c>
      <c r="Z800" s="70" t="str">
        <f t="shared" si="281"/>
        <v/>
      </c>
      <c r="AA800" s="70" t="str">
        <f t="shared" si="282"/>
        <v/>
      </c>
      <c r="AB800" s="70" t="str">
        <f t="shared" si="283"/>
        <v/>
      </c>
      <c r="AC800" s="70" t="str">
        <f t="shared" si="284"/>
        <v/>
      </c>
      <c r="AD800" s="70" t="str">
        <f t="shared" si="285"/>
        <v/>
      </c>
      <c r="AE800" s="70" t="str">
        <f t="shared" si="286"/>
        <v/>
      </c>
      <c r="AF800" s="16"/>
      <c r="AG800" s="23"/>
      <c r="AH800" s="22"/>
      <c r="AJ800" s="83">
        <f t="shared" si="287"/>
        <v>0</v>
      </c>
      <c r="AO800" s="22" t="str">
        <f t="shared" si="288"/>
        <v/>
      </c>
      <c r="AP800" s="22" t="str">
        <f t="shared" si="289"/>
        <v/>
      </c>
    </row>
    <row r="801" spans="1:42" x14ac:dyDescent="0.25">
      <c r="A801" s="10"/>
      <c r="B801" s="10"/>
      <c r="C801" s="10"/>
      <c r="D801" s="10"/>
      <c r="E801" s="10"/>
      <c r="F801" s="10"/>
      <c r="G801" s="10"/>
      <c r="H801" s="17"/>
      <c r="I801" s="10"/>
      <c r="J801" s="10"/>
      <c r="K801" s="16" t="str">
        <f t="shared" si="268"/>
        <v/>
      </c>
      <c r="L801" s="23" t="str">
        <f t="shared" si="269"/>
        <v/>
      </c>
      <c r="M801" s="22" t="str">
        <f t="shared" si="270"/>
        <v/>
      </c>
      <c r="N801" s="72"/>
      <c r="O801" s="16" t="str">
        <f t="shared" si="271"/>
        <v/>
      </c>
      <c r="P801" s="16" t="str">
        <f t="shared" si="272"/>
        <v/>
      </c>
      <c r="Q801" s="16" t="str">
        <f t="shared" si="273"/>
        <v/>
      </c>
      <c r="R801" s="23" t="str">
        <f t="shared" si="274"/>
        <v/>
      </c>
      <c r="S801" s="23" t="str">
        <f t="shared" si="275"/>
        <v/>
      </c>
      <c r="T801" s="23" t="str">
        <f t="shared" si="276"/>
        <v/>
      </c>
      <c r="U801" s="23" t="str">
        <f t="shared" si="277"/>
        <v/>
      </c>
      <c r="V801" s="23" t="str">
        <f t="shared" si="278"/>
        <v/>
      </c>
      <c r="W801" s="70" t="str">
        <f t="shared" si="279"/>
        <v/>
      </c>
      <c r="X801" s="70" t="str">
        <f t="shared" si="280"/>
        <v/>
      </c>
      <c r="Y801" s="70" t="str">
        <f>IF(AND($A801&lt;&gt;"",$E801&gt;0),isLaptopBag($C801,$J801)*$D801,"")</f>
        <v/>
      </c>
      <c r="Z801" s="70" t="str">
        <f t="shared" si="281"/>
        <v/>
      </c>
      <c r="AA801" s="70" t="str">
        <f t="shared" si="282"/>
        <v/>
      </c>
      <c r="AB801" s="70" t="str">
        <f t="shared" si="283"/>
        <v/>
      </c>
      <c r="AC801" s="70" t="str">
        <f t="shared" si="284"/>
        <v/>
      </c>
      <c r="AD801" s="70" t="str">
        <f t="shared" si="285"/>
        <v/>
      </c>
      <c r="AE801" s="70" t="str">
        <f t="shared" si="286"/>
        <v/>
      </c>
      <c r="AF801" s="16"/>
      <c r="AG801" s="23"/>
      <c r="AH801" s="22"/>
      <c r="AJ801" s="83">
        <f t="shared" si="287"/>
        <v>0</v>
      </c>
      <c r="AO801" s="22" t="str">
        <f t="shared" si="288"/>
        <v/>
      </c>
      <c r="AP801" s="22" t="str">
        <f t="shared" si="289"/>
        <v/>
      </c>
    </row>
    <row r="802" spans="1:42" x14ac:dyDescent="0.25">
      <c r="A802" s="10"/>
      <c r="B802" s="10"/>
      <c r="C802" s="10"/>
      <c r="D802" s="10"/>
      <c r="E802" s="10"/>
      <c r="F802" s="10"/>
      <c r="G802" s="10"/>
      <c r="H802" s="17"/>
      <c r="I802" s="10"/>
      <c r="J802" s="10"/>
      <c r="K802" s="16" t="str">
        <f t="shared" si="268"/>
        <v/>
      </c>
      <c r="L802" s="23" t="str">
        <f t="shared" si="269"/>
        <v/>
      </c>
      <c r="M802" s="22" t="str">
        <f t="shared" si="270"/>
        <v/>
      </c>
      <c r="N802" s="72"/>
      <c r="O802" s="16" t="str">
        <f t="shared" si="271"/>
        <v/>
      </c>
      <c r="P802" s="16" t="str">
        <f t="shared" si="272"/>
        <v/>
      </c>
      <c r="Q802" s="16" t="str">
        <f t="shared" si="273"/>
        <v/>
      </c>
      <c r="R802" s="23" t="str">
        <f t="shared" si="274"/>
        <v/>
      </c>
      <c r="S802" s="23" t="str">
        <f t="shared" si="275"/>
        <v/>
      </c>
      <c r="T802" s="23" t="str">
        <f t="shared" si="276"/>
        <v/>
      </c>
      <c r="U802" s="23" t="str">
        <f t="shared" si="277"/>
        <v/>
      </c>
      <c r="V802" s="23" t="str">
        <f t="shared" si="278"/>
        <v/>
      </c>
      <c r="W802" s="70" t="str">
        <f t="shared" si="279"/>
        <v/>
      </c>
      <c r="X802" s="70" t="str">
        <f t="shared" si="280"/>
        <v/>
      </c>
      <c r="Y802" s="70" t="str">
        <f>IF(AND($A802&lt;&gt;"",$E802&gt;0),isLaptopBag($C802,$J802)*$D802,"")</f>
        <v/>
      </c>
      <c r="Z802" s="70" t="str">
        <f t="shared" si="281"/>
        <v/>
      </c>
      <c r="AA802" s="70" t="str">
        <f t="shared" si="282"/>
        <v/>
      </c>
      <c r="AB802" s="70" t="str">
        <f t="shared" si="283"/>
        <v/>
      </c>
      <c r="AC802" s="70" t="str">
        <f t="shared" si="284"/>
        <v/>
      </c>
      <c r="AD802" s="70" t="str">
        <f t="shared" si="285"/>
        <v/>
      </c>
      <c r="AE802" s="70" t="str">
        <f t="shared" si="286"/>
        <v/>
      </c>
      <c r="AF802" s="16"/>
      <c r="AG802" s="23"/>
      <c r="AH802" s="22"/>
      <c r="AJ802" s="83">
        <f t="shared" si="287"/>
        <v>0</v>
      </c>
      <c r="AO802" s="22" t="str">
        <f t="shared" si="288"/>
        <v/>
      </c>
      <c r="AP802" s="22" t="str">
        <f t="shared" si="289"/>
        <v/>
      </c>
    </row>
    <row r="803" spans="1:42" x14ac:dyDescent="0.25">
      <c r="A803" s="10"/>
      <c r="B803" s="10"/>
      <c r="C803" s="10"/>
      <c r="D803" s="10"/>
      <c r="E803" s="10"/>
      <c r="F803" s="10"/>
      <c r="G803" s="10"/>
      <c r="H803" s="17"/>
      <c r="I803" s="10"/>
      <c r="J803" s="10"/>
      <c r="K803" s="16" t="str">
        <f t="shared" si="268"/>
        <v/>
      </c>
      <c r="L803" s="23" t="str">
        <f t="shared" si="269"/>
        <v/>
      </c>
      <c r="M803" s="22" t="str">
        <f t="shared" si="270"/>
        <v/>
      </c>
      <c r="N803" s="72"/>
      <c r="O803" s="16" t="str">
        <f t="shared" si="271"/>
        <v/>
      </c>
      <c r="P803" s="16" t="str">
        <f t="shared" si="272"/>
        <v/>
      </c>
      <c r="Q803" s="16" t="str">
        <f t="shared" si="273"/>
        <v/>
      </c>
      <c r="R803" s="23" t="str">
        <f t="shared" si="274"/>
        <v/>
      </c>
      <c r="S803" s="23" t="str">
        <f t="shared" si="275"/>
        <v/>
      </c>
      <c r="T803" s="23" t="str">
        <f t="shared" si="276"/>
        <v/>
      </c>
      <c r="U803" s="23" t="str">
        <f t="shared" si="277"/>
        <v/>
      </c>
      <c r="V803" s="23" t="str">
        <f t="shared" si="278"/>
        <v/>
      </c>
      <c r="W803" s="70" t="str">
        <f t="shared" si="279"/>
        <v/>
      </c>
      <c r="X803" s="70" t="str">
        <f t="shared" si="280"/>
        <v/>
      </c>
      <c r="Y803" s="70" t="str">
        <f>IF(AND($A803&lt;&gt;"",$E803&gt;0),isLaptopBag($C803,$J803)*$D803,"")</f>
        <v/>
      </c>
      <c r="Z803" s="70" t="str">
        <f t="shared" si="281"/>
        <v/>
      </c>
      <c r="AA803" s="70" t="str">
        <f t="shared" si="282"/>
        <v/>
      </c>
      <c r="AB803" s="70" t="str">
        <f t="shared" si="283"/>
        <v/>
      </c>
      <c r="AC803" s="70" t="str">
        <f t="shared" si="284"/>
        <v/>
      </c>
      <c r="AD803" s="70" t="str">
        <f t="shared" si="285"/>
        <v/>
      </c>
      <c r="AE803" s="70" t="str">
        <f t="shared" si="286"/>
        <v/>
      </c>
      <c r="AF803" s="16"/>
      <c r="AG803" s="23"/>
      <c r="AH803" s="22"/>
      <c r="AJ803" s="83">
        <f t="shared" si="287"/>
        <v>0</v>
      </c>
      <c r="AO803" s="22" t="str">
        <f t="shared" si="288"/>
        <v/>
      </c>
      <c r="AP803" s="22" t="str">
        <f t="shared" si="289"/>
        <v/>
      </c>
    </row>
    <row r="804" spans="1:42" x14ac:dyDescent="0.25">
      <c r="A804" s="10"/>
      <c r="B804" s="10"/>
      <c r="C804" s="10"/>
      <c r="D804" s="10"/>
      <c r="E804" s="10"/>
      <c r="F804" s="10"/>
      <c r="G804" s="10"/>
      <c r="H804" s="17"/>
      <c r="I804" s="10"/>
      <c r="J804" s="10"/>
      <c r="K804" s="16" t="str">
        <f t="shared" si="268"/>
        <v/>
      </c>
      <c r="L804" s="23" t="str">
        <f t="shared" si="269"/>
        <v/>
      </c>
      <c r="M804" s="22" t="str">
        <f t="shared" si="270"/>
        <v/>
      </c>
      <c r="N804" s="72"/>
      <c r="O804" s="16" t="str">
        <f t="shared" si="271"/>
        <v/>
      </c>
      <c r="P804" s="16" t="str">
        <f t="shared" si="272"/>
        <v/>
      </c>
      <c r="Q804" s="16" t="str">
        <f t="shared" si="273"/>
        <v/>
      </c>
      <c r="R804" s="23" t="str">
        <f t="shared" si="274"/>
        <v/>
      </c>
      <c r="S804" s="23" t="str">
        <f t="shared" si="275"/>
        <v/>
      </c>
      <c r="T804" s="23" t="str">
        <f t="shared" si="276"/>
        <v/>
      </c>
      <c r="U804" s="23" t="str">
        <f t="shared" si="277"/>
        <v/>
      </c>
      <c r="V804" s="23" t="str">
        <f t="shared" si="278"/>
        <v/>
      </c>
      <c r="W804" s="70" t="str">
        <f t="shared" si="279"/>
        <v/>
      </c>
      <c r="X804" s="70" t="str">
        <f t="shared" si="280"/>
        <v/>
      </c>
      <c r="Y804" s="70" t="str">
        <f>IF(AND($A804&lt;&gt;"",$E804&gt;0),isLaptopBag($C804,$J804)*$D804,"")</f>
        <v/>
      </c>
      <c r="Z804" s="70" t="str">
        <f t="shared" si="281"/>
        <v/>
      </c>
      <c r="AA804" s="70" t="str">
        <f t="shared" si="282"/>
        <v/>
      </c>
      <c r="AB804" s="70" t="str">
        <f t="shared" si="283"/>
        <v/>
      </c>
      <c r="AC804" s="70" t="str">
        <f t="shared" si="284"/>
        <v/>
      </c>
      <c r="AD804" s="70" t="str">
        <f t="shared" si="285"/>
        <v/>
      </c>
      <c r="AE804" s="70" t="str">
        <f t="shared" si="286"/>
        <v/>
      </c>
      <c r="AF804" s="16"/>
      <c r="AG804" s="23"/>
      <c r="AH804" s="22"/>
      <c r="AJ804" s="83">
        <f t="shared" si="287"/>
        <v>0</v>
      </c>
      <c r="AO804" s="22" t="str">
        <f t="shared" si="288"/>
        <v/>
      </c>
      <c r="AP804" s="22" t="str">
        <f t="shared" si="289"/>
        <v/>
      </c>
    </row>
    <row r="805" spans="1:42" x14ac:dyDescent="0.25">
      <c r="A805" s="10"/>
      <c r="B805" s="10"/>
      <c r="C805" s="10"/>
      <c r="D805" s="10"/>
      <c r="E805" s="10"/>
      <c r="F805" s="10"/>
      <c r="G805" s="10"/>
      <c r="H805" s="17"/>
      <c r="I805" s="10"/>
      <c r="J805" s="10"/>
      <c r="K805" s="16" t="str">
        <f t="shared" si="268"/>
        <v/>
      </c>
      <c r="L805" s="23" t="str">
        <f t="shared" si="269"/>
        <v/>
      </c>
      <c r="M805" s="22" t="str">
        <f t="shared" si="270"/>
        <v/>
      </c>
      <c r="N805" s="72"/>
      <c r="O805" s="16" t="str">
        <f t="shared" si="271"/>
        <v/>
      </c>
      <c r="P805" s="16" t="str">
        <f t="shared" si="272"/>
        <v/>
      </c>
      <c r="Q805" s="16" t="str">
        <f t="shared" si="273"/>
        <v/>
      </c>
      <c r="R805" s="23" t="str">
        <f t="shared" si="274"/>
        <v/>
      </c>
      <c r="S805" s="23" t="str">
        <f t="shared" si="275"/>
        <v/>
      </c>
      <c r="T805" s="23" t="str">
        <f t="shared" si="276"/>
        <v/>
      </c>
      <c r="U805" s="23" t="str">
        <f t="shared" si="277"/>
        <v/>
      </c>
      <c r="V805" s="23" t="str">
        <f t="shared" si="278"/>
        <v/>
      </c>
      <c r="W805" s="70" t="str">
        <f t="shared" si="279"/>
        <v/>
      </c>
      <c r="X805" s="70" t="str">
        <f t="shared" si="280"/>
        <v/>
      </c>
      <c r="Y805" s="70" t="str">
        <f>IF(AND($A805&lt;&gt;"",$E805&gt;0),isLaptopBag($C805,$J805)*$D805,"")</f>
        <v/>
      </c>
      <c r="Z805" s="70" t="str">
        <f t="shared" si="281"/>
        <v/>
      </c>
      <c r="AA805" s="70" t="str">
        <f t="shared" si="282"/>
        <v/>
      </c>
      <c r="AB805" s="70" t="str">
        <f t="shared" si="283"/>
        <v/>
      </c>
      <c r="AC805" s="70" t="str">
        <f t="shared" si="284"/>
        <v/>
      </c>
      <c r="AD805" s="70" t="str">
        <f t="shared" si="285"/>
        <v/>
      </c>
      <c r="AE805" s="70" t="str">
        <f t="shared" si="286"/>
        <v/>
      </c>
      <c r="AF805" s="16"/>
      <c r="AG805" s="23"/>
      <c r="AH805" s="22"/>
      <c r="AJ805" s="83">
        <f t="shared" si="287"/>
        <v>0</v>
      </c>
      <c r="AO805" s="22" t="str">
        <f t="shared" si="288"/>
        <v/>
      </c>
      <c r="AP805" s="22" t="str">
        <f t="shared" si="289"/>
        <v/>
      </c>
    </row>
    <row r="806" spans="1:42" x14ac:dyDescent="0.25">
      <c r="A806" s="10"/>
      <c r="B806" s="10"/>
      <c r="C806" s="10"/>
      <c r="D806" s="10"/>
      <c r="E806" s="10"/>
      <c r="F806" s="10"/>
      <c r="G806" s="10"/>
      <c r="H806" s="17"/>
      <c r="I806" s="10"/>
      <c r="J806" s="10"/>
      <c r="K806" s="16" t="str">
        <f t="shared" si="268"/>
        <v/>
      </c>
      <c r="L806" s="23" t="str">
        <f t="shared" si="269"/>
        <v/>
      </c>
      <c r="M806" s="22" t="str">
        <f t="shared" si="270"/>
        <v/>
      </c>
      <c r="N806" s="72"/>
      <c r="O806" s="16" t="str">
        <f t="shared" si="271"/>
        <v/>
      </c>
      <c r="P806" s="16" t="str">
        <f t="shared" si="272"/>
        <v/>
      </c>
      <c r="Q806" s="16" t="str">
        <f t="shared" si="273"/>
        <v/>
      </c>
      <c r="R806" s="23" t="str">
        <f t="shared" si="274"/>
        <v/>
      </c>
      <c r="S806" s="23" t="str">
        <f t="shared" si="275"/>
        <v/>
      </c>
      <c r="T806" s="23" t="str">
        <f t="shared" si="276"/>
        <v/>
      </c>
      <c r="U806" s="23" t="str">
        <f t="shared" si="277"/>
        <v/>
      </c>
      <c r="V806" s="23" t="str">
        <f t="shared" si="278"/>
        <v/>
      </c>
      <c r="W806" s="70" t="str">
        <f t="shared" si="279"/>
        <v/>
      </c>
      <c r="X806" s="70" t="str">
        <f t="shared" si="280"/>
        <v/>
      </c>
      <c r="Y806" s="70" t="str">
        <f>IF(AND($A806&lt;&gt;"",$E806&gt;0),isLaptopBag($C806,$J806)*$D806,"")</f>
        <v/>
      </c>
      <c r="Z806" s="70" t="str">
        <f t="shared" si="281"/>
        <v/>
      </c>
      <c r="AA806" s="70" t="str">
        <f t="shared" si="282"/>
        <v/>
      </c>
      <c r="AB806" s="70" t="str">
        <f t="shared" si="283"/>
        <v/>
      </c>
      <c r="AC806" s="70" t="str">
        <f t="shared" si="284"/>
        <v/>
      </c>
      <c r="AD806" s="70" t="str">
        <f t="shared" si="285"/>
        <v/>
      </c>
      <c r="AE806" s="70" t="str">
        <f t="shared" si="286"/>
        <v/>
      </c>
      <c r="AF806" s="16"/>
      <c r="AG806" s="23"/>
      <c r="AH806" s="22"/>
      <c r="AJ806" s="83">
        <f t="shared" si="287"/>
        <v>0</v>
      </c>
      <c r="AO806" s="22" t="str">
        <f t="shared" si="288"/>
        <v/>
      </c>
      <c r="AP806" s="22" t="str">
        <f t="shared" si="289"/>
        <v/>
      </c>
    </row>
    <row r="807" spans="1:42" x14ac:dyDescent="0.25">
      <c r="A807" s="10"/>
      <c r="B807" s="10"/>
      <c r="C807" s="10"/>
      <c r="D807" s="10"/>
      <c r="E807" s="10"/>
      <c r="F807" s="10"/>
      <c r="G807" s="10"/>
      <c r="H807" s="17"/>
      <c r="I807" s="10"/>
      <c r="J807" s="10"/>
      <c r="K807" s="16" t="str">
        <f t="shared" si="268"/>
        <v/>
      </c>
      <c r="L807" s="23" t="str">
        <f t="shared" si="269"/>
        <v/>
      </c>
      <c r="M807" s="22" t="str">
        <f t="shared" si="270"/>
        <v/>
      </c>
      <c r="N807" s="72"/>
      <c r="O807" s="16" t="str">
        <f t="shared" si="271"/>
        <v/>
      </c>
      <c r="P807" s="16" t="str">
        <f t="shared" si="272"/>
        <v/>
      </c>
      <c r="Q807" s="16" t="str">
        <f t="shared" si="273"/>
        <v/>
      </c>
      <c r="R807" s="23" t="str">
        <f t="shared" si="274"/>
        <v/>
      </c>
      <c r="S807" s="23" t="str">
        <f t="shared" si="275"/>
        <v/>
      </c>
      <c r="T807" s="23" t="str">
        <f t="shared" si="276"/>
        <v/>
      </c>
      <c r="U807" s="23" t="str">
        <f t="shared" si="277"/>
        <v/>
      </c>
      <c r="V807" s="23" t="str">
        <f t="shared" si="278"/>
        <v/>
      </c>
      <c r="W807" s="70" t="str">
        <f t="shared" si="279"/>
        <v/>
      </c>
      <c r="X807" s="70" t="str">
        <f t="shared" si="280"/>
        <v/>
      </c>
      <c r="Y807" s="70" t="str">
        <f>IF(AND($A807&lt;&gt;"",$E807&gt;0),isLaptopBag($C807,$J807)*$D807,"")</f>
        <v/>
      </c>
      <c r="Z807" s="70" t="str">
        <f t="shared" si="281"/>
        <v/>
      </c>
      <c r="AA807" s="70" t="str">
        <f t="shared" si="282"/>
        <v/>
      </c>
      <c r="AB807" s="70" t="str">
        <f t="shared" si="283"/>
        <v/>
      </c>
      <c r="AC807" s="70" t="str">
        <f t="shared" si="284"/>
        <v/>
      </c>
      <c r="AD807" s="70" t="str">
        <f t="shared" si="285"/>
        <v/>
      </c>
      <c r="AE807" s="70" t="str">
        <f t="shared" si="286"/>
        <v/>
      </c>
      <c r="AF807" s="16"/>
      <c r="AG807" s="23"/>
      <c r="AH807" s="22"/>
      <c r="AJ807" s="83">
        <f t="shared" si="287"/>
        <v>0</v>
      </c>
      <c r="AO807" s="22" t="str">
        <f t="shared" si="288"/>
        <v/>
      </c>
      <c r="AP807" s="22" t="str">
        <f t="shared" si="289"/>
        <v/>
      </c>
    </row>
    <row r="808" spans="1:42" x14ac:dyDescent="0.25">
      <c r="A808" s="10"/>
      <c r="B808" s="10"/>
      <c r="C808" s="10"/>
      <c r="D808" s="10"/>
      <c r="E808" s="10"/>
      <c r="F808" s="10"/>
      <c r="G808" s="10"/>
      <c r="H808" s="17"/>
      <c r="I808" s="10"/>
      <c r="J808" s="10"/>
      <c r="K808" s="16" t="str">
        <f t="shared" si="268"/>
        <v/>
      </c>
      <c r="L808" s="23" t="str">
        <f t="shared" si="269"/>
        <v/>
      </c>
      <c r="M808" s="22" t="str">
        <f t="shared" si="270"/>
        <v/>
      </c>
      <c r="N808" s="72"/>
      <c r="O808" s="16" t="str">
        <f t="shared" si="271"/>
        <v/>
      </c>
      <c r="P808" s="16" t="str">
        <f t="shared" si="272"/>
        <v/>
      </c>
      <c r="Q808" s="16" t="str">
        <f t="shared" si="273"/>
        <v/>
      </c>
      <c r="R808" s="23" t="str">
        <f t="shared" si="274"/>
        <v/>
      </c>
      <c r="S808" s="23" t="str">
        <f t="shared" si="275"/>
        <v/>
      </c>
      <c r="T808" s="23" t="str">
        <f t="shared" si="276"/>
        <v/>
      </c>
      <c r="U808" s="23" t="str">
        <f t="shared" si="277"/>
        <v/>
      </c>
      <c r="V808" s="23" t="str">
        <f t="shared" si="278"/>
        <v/>
      </c>
      <c r="W808" s="70" t="str">
        <f t="shared" si="279"/>
        <v/>
      </c>
      <c r="X808" s="70" t="str">
        <f t="shared" si="280"/>
        <v/>
      </c>
      <c r="Y808" s="70" t="str">
        <f>IF(AND($A808&lt;&gt;"",$E808&gt;0),isLaptopBag($C808,$J808)*$D808,"")</f>
        <v/>
      </c>
      <c r="Z808" s="70" t="str">
        <f t="shared" si="281"/>
        <v/>
      </c>
      <c r="AA808" s="70" t="str">
        <f t="shared" si="282"/>
        <v/>
      </c>
      <c r="AB808" s="70" t="str">
        <f t="shared" si="283"/>
        <v/>
      </c>
      <c r="AC808" s="70" t="str">
        <f t="shared" si="284"/>
        <v/>
      </c>
      <c r="AD808" s="70" t="str">
        <f t="shared" si="285"/>
        <v/>
      </c>
      <c r="AE808" s="70" t="str">
        <f t="shared" si="286"/>
        <v/>
      </c>
      <c r="AF808" s="16"/>
      <c r="AG808" s="23"/>
      <c r="AH808" s="22"/>
      <c r="AJ808" s="83">
        <f t="shared" si="287"/>
        <v>0</v>
      </c>
      <c r="AO808" s="22" t="str">
        <f t="shared" si="288"/>
        <v/>
      </c>
      <c r="AP808" s="22" t="str">
        <f t="shared" si="289"/>
        <v/>
      </c>
    </row>
    <row r="809" spans="1:42" x14ac:dyDescent="0.25">
      <c r="A809" s="10"/>
      <c r="B809" s="10"/>
      <c r="C809" s="10"/>
      <c r="D809" s="10"/>
      <c r="E809" s="10"/>
      <c r="F809" s="10"/>
      <c r="G809" s="10"/>
      <c r="H809" s="17"/>
      <c r="I809" s="10"/>
      <c r="J809" s="10"/>
      <c r="K809" s="16" t="str">
        <f t="shared" si="268"/>
        <v/>
      </c>
      <c r="L809" s="23" t="str">
        <f t="shared" si="269"/>
        <v/>
      </c>
      <c r="M809" s="22" t="str">
        <f t="shared" si="270"/>
        <v/>
      </c>
      <c r="N809" s="72"/>
      <c r="O809" s="16" t="str">
        <f t="shared" si="271"/>
        <v/>
      </c>
      <c r="P809" s="16" t="str">
        <f t="shared" si="272"/>
        <v/>
      </c>
      <c r="Q809" s="16" t="str">
        <f t="shared" si="273"/>
        <v/>
      </c>
      <c r="R809" s="23" t="str">
        <f t="shared" si="274"/>
        <v/>
      </c>
      <c r="S809" s="23" t="str">
        <f t="shared" si="275"/>
        <v/>
      </c>
      <c r="T809" s="23" t="str">
        <f t="shared" si="276"/>
        <v/>
      </c>
      <c r="U809" s="23" t="str">
        <f t="shared" si="277"/>
        <v/>
      </c>
      <c r="V809" s="23" t="str">
        <f t="shared" si="278"/>
        <v/>
      </c>
      <c r="W809" s="70" t="str">
        <f t="shared" si="279"/>
        <v/>
      </c>
      <c r="X809" s="70" t="str">
        <f t="shared" si="280"/>
        <v/>
      </c>
      <c r="Y809" s="70" t="str">
        <f>IF(AND($A809&lt;&gt;"",$E809&gt;0),isLaptopBag($C809,$J809)*$D809,"")</f>
        <v/>
      </c>
      <c r="Z809" s="70" t="str">
        <f t="shared" si="281"/>
        <v/>
      </c>
      <c r="AA809" s="70" t="str">
        <f t="shared" si="282"/>
        <v/>
      </c>
      <c r="AB809" s="70" t="str">
        <f t="shared" si="283"/>
        <v/>
      </c>
      <c r="AC809" s="70" t="str">
        <f t="shared" si="284"/>
        <v/>
      </c>
      <c r="AD809" s="70" t="str">
        <f t="shared" si="285"/>
        <v/>
      </c>
      <c r="AE809" s="70" t="str">
        <f t="shared" si="286"/>
        <v/>
      </c>
      <c r="AF809" s="16"/>
      <c r="AG809" s="23"/>
      <c r="AH809" s="22"/>
      <c r="AJ809" s="83">
        <f t="shared" si="287"/>
        <v>0</v>
      </c>
      <c r="AO809" s="22" t="str">
        <f t="shared" si="288"/>
        <v/>
      </c>
      <c r="AP809" s="22" t="str">
        <f t="shared" si="289"/>
        <v/>
      </c>
    </row>
    <row r="810" spans="1:42" x14ac:dyDescent="0.25">
      <c r="A810" s="10"/>
      <c r="B810" s="10"/>
      <c r="C810" s="10"/>
      <c r="D810" s="10"/>
      <c r="E810" s="10"/>
      <c r="F810" s="10"/>
      <c r="G810" s="10"/>
      <c r="H810" s="17"/>
      <c r="I810" s="10"/>
      <c r="J810" s="10"/>
      <c r="K810" s="16" t="str">
        <f t="shared" si="268"/>
        <v/>
      </c>
      <c r="L810" s="23" t="str">
        <f t="shared" si="269"/>
        <v/>
      </c>
      <c r="M810" s="22" t="str">
        <f t="shared" si="270"/>
        <v/>
      </c>
      <c r="N810" s="72"/>
      <c r="O810" s="16" t="str">
        <f t="shared" si="271"/>
        <v/>
      </c>
      <c r="P810" s="16" t="str">
        <f t="shared" si="272"/>
        <v/>
      </c>
      <c r="Q810" s="16" t="str">
        <f t="shared" si="273"/>
        <v/>
      </c>
      <c r="R810" s="23" t="str">
        <f t="shared" si="274"/>
        <v/>
      </c>
      <c r="S810" s="23" t="str">
        <f t="shared" si="275"/>
        <v/>
      </c>
      <c r="T810" s="23" t="str">
        <f t="shared" si="276"/>
        <v/>
      </c>
      <c r="U810" s="23" t="str">
        <f t="shared" si="277"/>
        <v/>
      </c>
      <c r="V810" s="23" t="str">
        <f t="shared" si="278"/>
        <v/>
      </c>
      <c r="W810" s="70" t="str">
        <f t="shared" si="279"/>
        <v/>
      </c>
      <c r="X810" s="70" t="str">
        <f t="shared" si="280"/>
        <v/>
      </c>
      <c r="Y810" s="70" t="str">
        <f>IF(AND($A810&lt;&gt;"",$E810&gt;0),isLaptopBag($C810,$J810)*$D810,"")</f>
        <v/>
      </c>
      <c r="Z810" s="70" t="str">
        <f t="shared" si="281"/>
        <v/>
      </c>
      <c r="AA810" s="70" t="str">
        <f t="shared" si="282"/>
        <v/>
      </c>
      <c r="AB810" s="70" t="str">
        <f t="shared" si="283"/>
        <v/>
      </c>
      <c r="AC810" s="70" t="str">
        <f t="shared" si="284"/>
        <v/>
      </c>
      <c r="AD810" s="70" t="str">
        <f t="shared" si="285"/>
        <v/>
      </c>
      <c r="AE810" s="70" t="str">
        <f t="shared" si="286"/>
        <v/>
      </c>
      <c r="AF810" s="16"/>
      <c r="AG810" s="23"/>
      <c r="AH810" s="22"/>
      <c r="AJ810" s="83">
        <f t="shared" si="287"/>
        <v>0</v>
      </c>
      <c r="AO810" s="22" t="str">
        <f t="shared" si="288"/>
        <v/>
      </c>
      <c r="AP810" s="22" t="str">
        <f t="shared" si="289"/>
        <v/>
      </c>
    </row>
    <row r="811" spans="1:42" x14ac:dyDescent="0.25">
      <c r="A811" s="10"/>
      <c r="B811" s="10"/>
      <c r="C811" s="10"/>
      <c r="D811" s="10"/>
      <c r="E811" s="10"/>
      <c r="F811" s="10"/>
      <c r="G811" s="10"/>
      <c r="H811" s="17"/>
      <c r="I811" s="10"/>
      <c r="J811" s="10"/>
      <c r="K811" s="16" t="str">
        <f t="shared" si="268"/>
        <v/>
      </c>
      <c r="L811" s="23" t="str">
        <f t="shared" si="269"/>
        <v/>
      </c>
      <c r="M811" s="22" t="str">
        <f t="shared" si="270"/>
        <v/>
      </c>
      <c r="N811" s="72"/>
      <c r="O811" s="16" t="str">
        <f t="shared" si="271"/>
        <v/>
      </c>
      <c r="P811" s="16" t="str">
        <f t="shared" si="272"/>
        <v/>
      </c>
      <c r="Q811" s="16" t="str">
        <f t="shared" si="273"/>
        <v/>
      </c>
      <c r="R811" s="23" t="str">
        <f t="shared" si="274"/>
        <v/>
      </c>
      <c r="S811" s="23" t="str">
        <f t="shared" si="275"/>
        <v/>
      </c>
      <c r="T811" s="23" t="str">
        <f t="shared" si="276"/>
        <v/>
      </c>
      <c r="U811" s="23" t="str">
        <f t="shared" si="277"/>
        <v/>
      </c>
      <c r="V811" s="23" t="str">
        <f t="shared" si="278"/>
        <v/>
      </c>
      <c r="W811" s="70" t="str">
        <f t="shared" si="279"/>
        <v/>
      </c>
      <c r="X811" s="70" t="str">
        <f t="shared" si="280"/>
        <v/>
      </c>
      <c r="Y811" s="70" t="str">
        <f>IF(AND($A811&lt;&gt;"",$E811&gt;0),isLaptopBag($C811,$J811)*$D811,"")</f>
        <v/>
      </c>
      <c r="Z811" s="70" t="str">
        <f t="shared" si="281"/>
        <v/>
      </c>
      <c r="AA811" s="70" t="str">
        <f t="shared" si="282"/>
        <v/>
      </c>
      <c r="AB811" s="70" t="str">
        <f t="shared" si="283"/>
        <v/>
      </c>
      <c r="AC811" s="70" t="str">
        <f t="shared" si="284"/>
        <v/>
      </c>
      <c r="AD811" s="70" t="str">
        <f t="shared" si="285"/>
        <v/>
      </c>
      <c r="AE811" s="70" t="str">
        <f t="shared" si="286"/>
        <v/>
      </c>
      <c r="AF811" s="16"/>
      <c r="AG811" s="23"/>
      <c r="AH811" s="22"/>
      <c r="AJ811" s="83">
        <f t="shared" si="287"/>
        <v>0</v>
      </c>
      <c r="AO811" s="22" t="str">
        <f t="shared" si="288"/>
        <v/>
      </c>
      <c r="AP811" s="22" t="str">
        <f t="shared" si="289"/>
        <v/>
      </c>
    </row>
    <row r="812" spans="1:42" x14ac:dyDescent="0.25">
      <c r="A812" s="10"/>
      <c r="B812" s="10"/>
      <c r="C812" s="10"/>
      <c r="D812" s="10"/>
      <c r="E812" s="10"/>
      <c r="F812" s="10"/>
      <c r="G812" s="10"/>
      <c r="H812" s="17"/>
      <c r="I812" s="10"/>
      <c r="J812" s="10"/>
      <c r="K812" s="16" t="str">
        <f t="shared" si="268"/>
        <v/>
      </c>
      <c r="L812" s="23" t="str">
        <f t="shared" si="269"/>
        <v/>
      </c>
      <c r="M812" s="22" t="str">
        <f t="shared" si="270"/>
        <v/>
      </c>
      <c r="N812" s="72"/>
      <c r="O812" s="16" t="str">
        <f t="shared" si="271"/>
        <v/>
      </c>
      <c r="P812" s="16" t="str">
        <f t="shared" si="272"/>
        <v/>
      </c>
      <c r="Q812" s="16" t="str">
        <f t="shared" si="273"/>
        <v/>
      </c>
      <c r="R812" s="23" t="str">
        <f t="shared" si="274"/>
        <v/>
      </c>
      <c r="S812" s="23" t="str">
        <f t="shared" si="275"/>
        <v/>
      </c>
      <c r="T812" s="23" t="str">
        <f t="shared" si="276"/>
        <v/>
      </c>
      <c r="U812" s="23" t="str">
        <f t="shared" si="277"/>
        <v/>
      </c>
      <c r="V812" s="23" t="str">
        <f t="shared" si="278"/>
        <v/>
      </c>
      <c r="W812" s="70" t="str">
        <f t="shared" si="279"/>
        <v/>
      </c>
      <c r="X812" s="70" t="str">
        <f t="shared" si="280"/>
        <v/>
      </c>
      <c r="Y812" s="70" t="str">
        <f>IF(AND($A812&lt;&gt;"",$E812&gt;0),isLaptopBag($C812,$J812)*$D812,"")</f>
        <v/>
      </c>
      <c r="Z812" s="70" t="str">
        <f t="shared" si="281"/>
        <v/>
      </c>
      <c r="AA812" s="70" t="str">
        <f t="shared" si="282"/>
        <v/>
      </c>
      <c r="AB812" s="70" t="str">
        <f t="shared" si="283"/>
        <v/>
      </c>
      <c r="AC812" s="70" t="str">
        <f t="shared" si="284"/>
        <v/>
      </c>
      <c r="AD812" s="70" t="str">
        <f t="shared" si="285"/>
        <v/>
      </c>
      <c r="AE812" s="70" t="str">
        <f t="shared" si="286"/>
        <v/>
      </c>
      <c r="AF812" s="16"/>
      <c r="AG812" s="23"/>
      <c r="AH812" s="22"/>
      <c r="AJ812" s="83">
        <f t="shared" si="287"/>
        <v>0</v>
      </c>
      <c r="AO812" s="22" t="str">
        <f t="shared" si="288"/>
        <v/>
      </c>
      <c r="AP812" s="22" t="str">
        <f t="shared" si="289"/>
        <v/>
      </c>
    </row>
    <row r="813" spans="1:42" x14ac:dyDescent="0.25">
      <c r="A813" s="10"/>
      <c r="B813" s="10"/>
      <c r="C813" s="10"/>
      <c r="D813" s="10"/>
      <c r="E813" s="10"/>
      <c r="F813" s="10"/>
      <c r="G813" s="10"/>
      <c r="H813" s="17"/>
      <c r="I813" s="10"/>
      <c r="J813" s="10"/>
      <c r="K813" s="16" t="str">
        <f t="shared" si="268"/>
        <v/>
      </c>
      <c r="L813" s="23" t="str">
        <f t="shared" si="269"/>
        <v/>
      </c>
      <c r="M813" s="22" t="str">
        <f t="shared" si="270"/>
        <v/>
      </c>
      <c r="N813" s="72"/>
      <c r="O813" s="16" t="str">
        <f t="shared" si="271"/>
        <v/>
      </c>
      <c r="P813" s="16" t="str">
        <f t="shared" si="272"/>
        <v/>
      </c>
      <c r="Q813" s="16" t="str">
        <f t="shared" si="273"/>
        <v/>
      </c>
      <c r="R813" s="23" t="str">
        <f t="shared" si="274"/>
        <v/>
      </c>
      <c r="S813" s="23" t="str">
        <f t="shared" si="275"/>
        <v/>
      </c>
      <c r="T813" s="23" t="str">
        <f t="shared" si="276"/>
        <v/>
      </c>
      <c r="U813" s="23" t="str">
        <f t="shared" si="277"/>
        <v/>
      </c>
      <c r="V813" s="23" t="str">
        <f t="shared" si="278"/>
        <v/>
      </c>
      <c r="W813" s="70" t="str">
        <f t="shared" si="279"/>
        <v/>
      </c>
      <c r="X813" s="70" t="str">
        <f t="shared" si="280"/>
        <v/>
      </c>
      <c r="Y813" s="70" t="str">
        <f>IF(AND($A813&lt;&gt;"",$E813&gt;0),isLaptopBag($C813,$J813)*$D813,"")</f>
        <v/>
      </c>
      <c r="Z813" s="70" t="str">
        <f t="shared" si="281"/>
        <v/>
      </c>
      <c r="AA813" s="70" t="str">
        <f t="shared" si="282"/>
        <v/>
      </c>
      <c r="AB813" s="70" t="str">
        <f t="shared" si="283"/>
        <v/>
      </c>
      <c r="AC813" s="70" t="str">
        <f t="shared" si="284"/>
        <v/>
      </c>
      <c r="AD813" s="70" t="str">
        <f t="shared" si="285"/>
        <v/>
      </c>
      <c r="AE813" s="70" t="str">
        <f t="shared" si="286"/>
        <v/>
      </c>
      <c r="AF813" s="16"/>
      <c r="AG813" s="23"/>
      <c r="AH813" s="22"/>
      <c r="AJ813" s="83">
        <f t="shared" si="287"/>
        <v>0</v>
      </c>
      <c r="AO813" s="22" t="str">
        <f t="shared" si="288"/>
        <v/>
      </c>
      <c r="AP813" s="22" t="str">
        <f t="shared" si="289"/>
        <v/>
      </c>
    </row>
    <row r="814" spans="1:42" x14ac:dyDescent="0.25">
      <c r="A814" s="10"/>
      <c r="B814" s="10"/>
      <c r="C814" s="10"/>
      <c r="D814" s="10"/>
      <c r="E814" s="10"/>
      <c r="F814" s="10"/>
      <c r="G814" s="10"/>
      <c r="H814" s="17"/>
      <c r="I814" s="10"/>
      <c r="J814" s="10"/>
      <c r="K814" s="16" t="str">
        <f t="shared" si="268"/>
        <v/>
      </c>
      <c r="L814" s="23" t="str">
        <f t="shared" si="269"/>
        <v/>
      </c>
      <c r="M814" s="22" t="str">
        <f t="shared" si="270"/>
        <v/>
      </c>
      <c r="N814" s="72"/>
      <c r="O814" s="16" t="str">
        <f t="shared" si="271"/>
        <v/>
      </c>
      <c r="P814" s="16" t="str">
        <f t="shared" si="272"/>
        <v/>
      </c>
      <c r="Q814" s="16" t="str">
        <f t="shared" si="273"/>
        <v/>
      </c>
      <c r="R814" s="23" t="str">
        <f t="shared" si="274"/>
        <v/>
      </c>
      <c r="S814" s="23" t="str">
        <f t="shared" si="275"/>
        <v/>
      </c>
      <c r="T814" s="23" t="str">
        <f t="shared" si="276"/>
        <v/>
      </c>
      <c r="U814" s="23" t="str">
        <f t="shared" si="277"/>
        <v/>
      </c>
      <c r="V814" s="23" t="str">
        <f t="shared" si="278"/>
        <v/>
      </c>
      <c r="W814" s="70" t="str">
        <f t="shared" si="279"/>
        <v/>
      </c>
      <c r="X814" s="70" t="str">
        <f t="shared" si="280"/>
        <v/>
      </c>
      <c r="Y814" s="70" t="str">
        <f>IF(AND($A814&lt;&gt;"",$E814&gt;0),isLaptopBag($C814,$J814)*$D814,"")</f>
        <v/>
      </c>
      <c r="Z814" s="70" t="str">
        <f t="shared" si="281"/>
        <v/>
      </c>
      <c r="AA814" s="70" t="str">
        <f t="shared" si="282"/>
        <v/>
      </c>
      <c r="AB814" s="70" t="str">
        <f t="shared" si="283"/>
        <v/>
      </c>
      <c r="AC814" s="70" t="str">
        <f t="shared" si="284"/>
        <v/>
      </c>
      <c r="AD814" s="70" t="str">
        <f t="shared" si="285"/>
        <v/>
      </c>
      <c r="AE814" s="70" t="str">
        <f t="shared" si="286"/>
        <v/>
      </c>
      <c r="AF814" s="16"/>
      <c r="AG814" s="23"/>
      <c r="AH814" s="22"/>
      <c r="AJ814" s="83">
        <f t="shared" si="287"/>
        <v>0</v>
      </c>
      <c r="AO814" s="22" t="str">
        <f t="shared" si="288"/>
        <v/>
      </c>
      <c r="AP814" s="22" t="str">
        <f t="shared" si="289"/>
        <v/>
      </c>
    </row>
    <row r="815" spans="1:42" x14ac:dyDescent="0.25">
      <c r="A815" s="10"/>
      <c r="B815" s="10"/>
      <c r="C815" s="10"/>
      <c r="D815" s="10"/>
      <c r="E815" s="10"/>
      <c r="F815" s="10"/>
      <c r="G815" s="10"/>
      <c r="H815" s="17"/>
      <c r="I815" s="10"/>
      <c r="J815" s="10"/>
      <c r="K815" s="16" t="str">
        <f t="shared" si="268"/>
        <v/>
      </c>
      <c r="L815" s="23" t="str">
        <f t="shared" si="269"/>
        <v/>
      </c>
      <c r="M815" s="22" t="str">
        <f t="shared" si="270"/>
        <v/>
      </c>
      <c r="N815" s="72"/>
      <c r="O815" s="16" t="str">
        <f t="shared" si="271"/>
        <v/>
      </c>
      <c r="P815" s="16" t="str">
        <f t="shared" si="272"/>
        <v/>
      </c>
      <c r="Q815" s="16" t="str">
        <f t="shared" si="273"/>
        <v/>
      </c>
      <c r="R815" s="23" t="str">
        <f t="shared" si="274"/>
        <v/>
      </c>
      <c r="S815" s="23" t="str">
        <f t="shared" si="275"/>
        <v/>
      </c>
      <c r="T815" s="23" t="str">
        <f t="shared" si="276"/>
        <v/>
      </c>
      <c r="U815" s="23" t="str">
        <f t="shared" si="277"/>
        <v/>
      </c>
      <c r="V815" s="23" t="str">
        <f t="shared" si="278"/>
        <v/>
      </c>
      <c r="W815" s="70" t="str">
        <f t="shared" si="279"/>
        <v/>
      </c>
      <c r="X815" s="70" t="str">
        <f t="shared" si="280"/>
        <v/>
      </c>
      <c r="Y815" s="70" t="str">
        <f>IF(AND($A815&lt;&gt;"",$E815&gt;0),isLaptopBag($C815,$J815)*$D815,"")</f>
        <v/>
      </c>
      <c r="Z815" s="70" t="str">
        <f t="shared" si="281"/>
        <v/>
      </c>
      <c r="AA815" s="70" t="str">
        <f t="shared" si="282"/>
        <v/>
      </c>
      <c r="AB815" s="70" t="str">
        <f t="shared" si="283"/>
        <v/>
      </c>
      <c r="AC815" s="70" t="str">
        <f t="shared" si="284"/>
        <v/>
      </c>
      <c r="AD815" s="70" t="str">
        <f t="shared" si="285"/>
        <v/>
      </c>
      <c r="AE815" s="70" t="str">
        <f t="shared" si="286"/>
        <v/>
      </c>
      <c r="AF815" s="16"/>
      <c r="AG815" s="23"/>
      <c r="AH815" s="22"/>
      <c r="AJ815" s="83">
        <f t="shared" si="287"/>
        <v>0</v>
      </c>
      <c r="AO815" s="22" t="str">
        <f t="shared" si="288"/>
        <v/>
      </c>
      <c r="AP815" s="22" t="str">
        <f t="shared" si="289"/>
        <v/>
      </c>
    </row>
    <row r="816" spans="1:42" x14ac:dyDescent="0.25">
      <c r="A816" s="10"/>
      <c r="B816" s="10"/>
      <c r="C816" s="10"/>
      <c r="D816" s="10"/>
      <c r="E816" s="10"/>
      <c r="F816" s="10"/>
      <c r="G816" s="10"/>
      <c r="H816" s="17"/>
      <c r="I816" s="10"/>
      <c r="J816" s="10"/>
      <c r="K816" s="16" t="str">
        <f t="shared" si="268"/>
        <v/>
      </c>
      <c r="L816" s="23" t="str">
        <f t="shared" si="269"/>
        <v/>
      </c>
      <c r="M816" s="22" t="str">
        <f t="shared" si="270"/>
        <v/>
      </c>
      <c r="N816" s="72"/>
      <c r="O816" s="16" t="str">
        <f t="shared" si="271"/>
        <v/>
      </c>
      <c r="P816" s="16" t="str">
        <f t="shared" si="272"/>
        <v/>
      </c>
      <c r="Q816" s="16" t="str">
        <f t="shared" si="273"/>
        <v/>
      </c>
      <c r="R816" s="23" t="str">
        <f t="shared" si="274"/>
        <v/>
      </c>
      <c r="S816" s="23" t="str">
        <f t="shared" si="275"/>
        <v/>
      </c>
      <c r="T816" s="23" t="str">
        <f t="shared" si="276"/>
        <v/>
      </c>
      <c r="U816" s="23" t="str">
        <f t="shared" si="277"/>
        <v/>
      </c>
      <c r="V816" s="23" t="str">
        <f t="shared" si="278"/>
        <v/>
      </c>
      <c r="W816" s="70" t="str">
        <f t="shared" si="279"/>
        <v/>
      </c>
      <c r="X816" s="70" t="str">
        <f t="shared" si="280"/>
        <v/>
      </c>
      <c r="Y816" s="70" t="str">
        <f>IF(AND($A816&lt;&gt;"",$E816&gt;0),isLaptopBag($C816,$J816)*$D816,"")</f>
        <v/>
      </c>
      <c r="Z816" s="70" t="str">
        <f t="shared" si="281"/>
        <v/>
      </c>
      <c r="AA816" s="70" t="str">
        <f t="shared" si="282"/>
        <v/>
      </c>
      <c r="AB816" s="70" t="str">
        <f t="shared" si="283"/>
        <v/>
      </c>
      <c r="AC816" s="70" t="str">
        <f t="shared" si="284"/>
        <v/>
      </c>
      <c r="AD816" s="70" t="str">
        <f t="shared" si="285"/>
        <v/>
      </c>
      <c r="AE816" s="70" t="str">
        <f t="shared" si="286"/>
        <v/>
      </c>
      <c r="AF816" s="16"/>
      <c r="AG816" s="23"/>
      <c r="AH816" s="22"/>
      <c r="AJ816" s="83">
        <f t="shared" si="287"/>
        <v>0</v>
      </c>
      <c r="AO816" s="22" t="str">
        <f t="shared" si="288"/>
        <v/>
      </c>
      <c r="AP816" s="22" t="str">
        <f t="shared" si="289"/>
        <v/>
      </c>
    </row>
    <row r="817" spans="1:42" x14ac:dyDescent="0.25">
      <c r="A817" s="10"/>
      <c r="B817" s="10"/>
      <c r="C817" s="10"/>
      <c r="D817" s="10"/>
      <c r="E817" s="10"/>
      <c r="F817" s="10"/>
      <c r="G817" s="10"/>
      <c r="H817" s="17"/>
      <c r="I817" s="10"/>
      <c r="J817" s="10"/>
      <c r="K817" s="16" t="str">
        <f t="shared" si="268"/>
        <v/>
      </c>
      <c r="L817" s="23" t="str">
        <f t="shared" si="269"/>
        <v/>
      </c>
      <c r="M817" s="22" t="str">
        <f t="shared" si="270"/>
        <v/>
      </c>
      <c r="N817" s="72"/>
      <c r="O817" s="16" t="str">
        <f t="shared" si="271"/>
        <v/>
      </c>
      <c r="P817" s="16" t="str">
        <f t="shared" si="272"/>
        <v/>
      </c>
      <c r="Q817" s="16" t="str">
        <f t="shared" si="273"/>
        <v/>
      </c>
      <c r="R817" s="23" t="str">
        <f t="shared" si="274"/>
        <v/>
      </c>
      <c r="S817" s="23" t="str">
        <f t="shared" si="275"/>
        <v/>
      </c>
      <c r="T817" s="23" t="str">
        <f t="shared" si="276"/>
        <v/>
      </c>
      <c r="U817" s="23" t="str">
        <f t="shared" si="277"/>
        <v/>
      </c>
      <c r="V817" s="23" t="str">
        <f t="shared" si="278"/>
        <v/>
      </c>
      <c r="W817" s="70" t="str">
        <f t="shared" si="279"/>
        <v/>
      </c>
      <c r="X817" s="70" t="str">
        <f t="shared" si="280"/>
        <v/>
      </c>
      <c r="Y817" s="70" t="str">
        <f>IF(AND($A817&lt;&gt;"",$E817&gt;0),isLaptopBag($C817,$J817)*$D817,"")</f>
        <v/>
      </c>
      <c r="Z817" s="70" t="str">
        <f t="shared" si="281"/>
        <v/>
      </c>
      <c r="AA817" s="70" t="str">
        <f t="shared" si="282"/>
        <v/>
      </c>
      <c r="AB817" s="70" t="str">
        <f t="shared" si="283"/>
        <v/>
      </c>
      <c r="AC817" s="70" t="str">
        <f t="shared" si="284"/>
        <v/>
      </c>
      <c r="AD817" s="70" t="str">
        <f t="shared" si="285"/>
        <v/>
      </c>
      <c r="AE817" s="70" t="str">
        <f t="shared" si="286"/>
        <v/>
      </c>
      <c r="AF817" s="16"/>
      <c r="AG817" s="23"/>
      <c r="AH817" s="22"/>
      <c r="AJ817" s="83">
        <f t="shared" si="287"/>
        <v>0</v>
      </c>
      <c r="AO817" s="22" t="str">
        <f t="shared" si="288"/>
        <v/>
      </c>
      <c r="AP817" s="22" t="str">
        <f t="shared" si="289"/>
        <v/>
      </c>
    </row>
    <row r="818" spans="1:42" x14ac:dyDescent="0.25">
      <c r="A818" s="10"/>
      <c r="B818" s="10"/>
      <c r="C818" s="10"/>
      <c r="D818" s="10"/>
      <c r="E818" s="10"/>
      <c r="F818" s="10"/>
      <c r="G818" s="10"/>
      <c r="H818" s="17"/>
      <c r="I818" s="10"/>
      <c r="J818" s="10"/>
      <c r="K818" s="16" t="str">
        <f t="shared" si="268"/>
        <v/>
      </c>
      <c r="L818" s="23" t="str">
        <f t="shared" si="269"/>
        <v/>
      </c>
      <c r="M818" s="22" t="str">
        <f t="shared" si="270"/>
        <v/>
      </c>
      <c r="N818" s="72"/>
      <c r="O818" s="16" t="str">
        <f t="shared" si="271"/>
        <v/>
      </c>
      <c r="P818" s="16" t="str">
        <f t="shared" si="272"/>
        <v/>
      </c>
      <c r="Q818" s="16" t="str">
        <f t="shared" si="273"/>
        <v/>
      </c>
      <c r="R818" s="23" t="str">
        <f t="shared" si="274"/>
        <v/>
      </c>
      <c r="S818" s="23" t="str">
        <f t="shared" si="275"/>
        <v/>
      </c>
      <c r="T818" s="23" t="str">
        <f t="shared" si="276"/>
        <v/>
      </c>
      <c r="U818" s="23" t="str">
        <f t="shared" si="277"/>
        <v/>
      </c>
      <c r="V818" s="23" t="str">
        <f t="shared" si="278"/>
        <v/>
      </c>
      <c r="W818" s="70" t="str">
        <f t="shared" si="279"/>
        <v/>
      </c>
      <c r="X818" s="70" t="str">
        <f t="shared" si="280"/>
        <v/>
      </c>
      <c r="Y818" s="70" t="str">
        <f>IF(AND($A818&lt;&gt;"",$E818&gt;0),isLaptopBag($C818,$J818)*$D818,"")</f>
        <v/>
      </c>
      <c r="Z818" s="70" t="str">
        <f t="shared" si="281"/>
        <v/>
      </c>
      <c r="AA818" s="70" t="str">
        <f t="shared" si="282"/>
        <v/>
      </c>
      <c r="AB818" s="70" t="str">
        <f t="shared" si="283"/>
        <v/>
      </c>
      <c r="AC818" s="70" t="str">
        <f t="shared" si="284"/>
        <v/>
      </c>
      <c r="AD818" s="70" t="str">
        <f t="shared" si="285"/>
        <v/>
      </c>
      <c r="AE818" s="70" t="str">
        <f t="shared" si="286"/>
        <v/>
      </c>
      <c r="AF818" s="16"/>
      <c r="AG818" s="23"/>
      <c r="AH818" s="22"/>
      <c r="AJ818" s="83">
        <f t="shared" si="287"/>
        <v>0</v>
      </c>
      <c r="AO818" s="22" t="str">
        <f t="shared" si="288"/>
        <v/>
      </c>
      <c r="AP818" s="22" t="str">
        <f t="shared" si="289"/>
        <v/>
      </c>
    </row>
    <row r="819" spans="1:42" x14ac:dyDescent="0.25">
      <c r="A819" s="10"/>
      <c r="B819" s="10"/>
      <c r="C819" s="10"/>
      <c r="D819" s="10"/>
      <c r="E819" s="10"/>
      <c r="F819" s="10"/>
      <c r="G819" s="10"/>
      <c r="H819" s="17"/>
      <c r="I819" s="10"/>
      <c r="J819" s="10"/>
      <c r="K819" s="16" t="str">
        <f t="shared" si="268"/>
        <v/>
      </c>
      <c r="L819" s="23" t="str">
        <f t="shared" si="269"/>
        <v/>
      </c>
      <c r="M819" s="22" t="str">
        <f t="shared" si="270"/>
        <v/>
      </c>
      <c r="N819" s="72"/>
      <c r="O819" s="16" t="str">
        <f t="shared" si="271"/>
        <v/>
      </c>
      <c r="P819" s="16" t="str">
        <f t="shared" si="272"/>
        <v/>
      </c>
      <c r="Q819" s="16" t="str">
        <f t="shared" si="273"/>
        <v/>
      </c>
      <c r="R819" s="23" t="str">
        <f t="shared" si="274"/>
        <v/>
      </c>
      <c r="S819" s="23" t="str">
        <f t="shared" si="275"/>
        <v/>
      </c>
      <c r="T819" s="23" t="str">
        <f t="shared" si="276"/>
        <v/>
      </c>
      <c r="U819" s="23" t="str">
        <f t="shared" si="277"/>
        <v/>
      </c>
      <c r="V819" s="23" t="str">
        <f t="shared" si="278"/>
        <v/>
      </c>
      <c r="W819" s="70" t="str">
        <f t="shared" si="279"/>
        <v/>
      </c>
      <c r="X819" s="70" t="str">
        <f t="shared" si="280"/>
        <v/>
      </c>
      <c r="Y819" s="70" t="str">
        <f>IF(AND($A819&lt;&gt;"",$E819&gt;0),isLaptopBag($C819,$J819)*$D819,"")</f>
        <v/>
      </c>
      <c r="Z819" s="70" t="str">
        <f t="shared" si="281"/>
        <v/>
      </c>
      <c r="AA819" s="70" t="str">
        <f t="shared" si="282"/>
        <v/>
      </c>
      <c r="AB819" s="70" t="str">
        <f t="shared" si="283"/>
        <v/>
      </c>
      <c r="AC819" s="70" t="str">
        <f t="shared" si="284"/>
        <v/>
      </c>
      <c r="AD819" s="70" t="str">
        <f t="shared" si="285"/>
        <v/>
      </c>
      <c r="AE819" s="70" t="str">
        <f t="shared" si="286"/>
        <v/>
      </c>
      <c r="AF819" s="16"/>
      <c r="AG819" s="23"/>
      <c r="AH819" s="22"/>
      <c r="AJ819" s="83">
        <f t="shared" si="287"/>
        <v>0</v>
      </c>
      <c r="AO819" s="22" t="str">
        <f t="shared" si="288"/>
        <v/>
      </c>
      <c r="AP819" s="22" t="str">
        <f t="shared" si="289"/>
        <v/>
      </c>
    </row>
    <row r="820" spans="1:42" x14ac:dyDescent="0.25">
      <c r="A820" s="10"/>
      <c r="B820" s="10"/>
      <c r="C820" s="10"/>
      <c r="D820" s="10"/>
      <c r="E820" s="10"/>
      <c r="F820" s="10"/>
      <c r="G820" s="10"/>
      <c r="H820" s="17"/>
      <c r="I820" s="10"/>
      <c r="J820" s="10"/>
      <c r="K820" s="16" t="str">
        <f t="shared" si="268"/>
        <v/>
      </c>
      <c r="L820" s="23" t="str">
        <f t="shared" si="269"/>
        <v/>
      </c>
      <c r="M820" s="22" t="str">
        <f t="shared" si="270"/>
        <v/>
      </c>
      <c r="N820" s="72"/>
      <c r="O820" s="16" t="str">
        <f t="shared" si="271"/>
        <v/>
      </c>
      <c r="P820" s="16" t="str">
        <f t="shared" si="272"/>
        <v/>
      </c>
      <c r="Q820" s="16" t="str">
        <f t="shared" si="273"/>
        <v/>
      </c>
      <c r="R820" s="23" t="str">
        <f t="shared" si="274"/>
        <v/>
      </c>
      <c r="S820" s="23" t="str">
        <f t="shared" si="275"/>
        <v/>
      </c>
      <c r="T820" s="23" t="str">
        <f t="shared" si="276"/>
        <v/>
      </c>
      <c r="U820" s="23" t="str">
        <f t="shared" si="277"/>
        <v/>
      </c>
      <c r="V820" s="23" t="str">
        <f t="shared" si="278"/>
        <v/>
      </c>
      <c r="W820" s="70" t="str">
        <f t="shared" si="279"/>
        <v/>
      </c>
      <c r="X820" s="70" t="str">
        <f t="shared" si="280"/>
        <v/>
      </c>
      <c r="Y820" s="70" t="str">
        <f>IF(AND($A820&lt;&gt;"",$E820&gt;0),isLaptopBag($C820,$J820)*$D820,"")</f>
        <v/>
      </c>
      <c r="Z820" s="70" t="str">
        <f t="shared" si="281"/>
        <v/>
      </c>
      <c r="AA820" s="70" t="str">
        <f t="shared" si="282"/>
        <v/>
      </c>
      <c r="AB820" s="70" t="str">
        <f t="shared" si="283"/>
        <v/>
      </c>
      <c r="AC820" s="70" t="str">
        <f t="shared" si="284"/>
        <v/>
      </c>
      <c r="AD820" s="70" t="str">
        <f t="shared" si="285"/>
        <v/>
      </c>
      <c r="AE820" s="70" t="str">
        <f t="shared" si="286"/>
        <v/>
      </c>
      <c r="AF820" s="16"/>
      <c r="AG820" s="23"/>
      <c r="AH820" s="22"/>
      <c r="AJ820" s="83">
        <f t="shared" si="287"/>
        <v>0</v>
      </c>
      <c r="AO820" s="22" t="str">
        <f t="shared" si="288"/>
        <v/>
      </c>
      <c r="AP820" s="22" t="str">
        <f t="shared" si="289"/>
        <v/>
      </c>
    </row>
    <row r="821" spans="1:42" x14ac:dyDescent="0.25">
      <c r="A821" s="10"/>
      <c r="B821" s="10"/>
      <c r="C821" s="10"/>
      <c r="D821" s="10"/>
      <c r="E821" s="10"/>
      <c r="F821" s="10"/>
      <c r="G821" s="10"/>
      <c r="H821" s="17"/>
      <c r="I821" s="10"/>
      <c r="J821" s="10"/>
      <c r="K821" s="16" t="str">
        <f t="shared" si="268"/>
        <v/>
      </c>
      <c r="L821" s="23" t="str">
        <f t="shared" si="269"/>
        <v/>
      </c>
      <c r="M821" s="22" t="str">
        <f t="shared" si="270"/>
        <v/>
      </c>
      <c r="N821" s="72"/>
      <c r="O821" s="16" t="str">
        <f t="shared" si="271"/>
        <v/>
      </c>
      <c r="P821" s="16" t="str">
        <f t="shared" si="272"/>
        <v/>
      </c>
      <c r="Q821" s="16" t="str">
        <f t="shared" si="273"/>
        <v/>
      </c>
      <c r="R821" s="23" t="str">
        <f t="shared" si="274"/>
        <v/>
      </c>
      <c r="S821" s="23" t="str">
        <f t="shared" si="275"/>
        <v/>
      </c>
      <c r="T821" s="23" t="str">
        <f t="shared" si="276"/>
        <v/>
      </c>
      <c r="U821" s="23" t="str">
        <f t="shared" si="277"/>
        <v/>
      </c>
      <c r="V821" s="23" t="str">
        <f t="shared" si="278"/>
        <v/>
      </c>
      <c r="W821" s="70" t="str">
        <f t="shared" si="279"/>
        <v/>
      </c>
      <c r="X821" s="70" t="str">
        <f t="shared" si="280"/>
        <v/>
      </c>
      <c r="Y821" s="70" t="str">
        <f>IF(AND($A821&lt;&gt;"",$E821&gt;0),isLaptopBag($C821,$J821)*$D821,"")</f>
        <v/>
      </c>
      <c r="Z821" s="70" t="str">
        <f t="shared" si="281"/>
        <v/>
      </c>
      <c r="AA821" s="70" t="str">
        <f t="shared" si="282"/>
        <v/>
      </c>
      <c r="AB821" s="70" t="str">
        <f t="shared" si="283"/>
        <v/>
      </c>
      <c r="AC821" s="70" t="str">
        <f t="shared" si="284"/>
        <v/>
      </c>
      <c r="AD821" s="70" t="str">
        <f t="shared" si="285"/>
        <v/>
      </c>
      <c r="AE821" s="70" t="str">
        <f t="shared" si="286"/>
        <v/>
      </c>
      <c r="AF821" s="16"/>
      <c r="AG821" s="23"/>
      <c r="AH821" s="22"/>
      <c r="AJ821" s="83">
        <f t="shared" si="287"/>
        <v>0</v>
      </c>
      <c r="AO821" s="22" t="str">
        <f t="shared" si="288"/>
        <v/>
      </c>
      <c r="AP821" s="22" t="str">
        <f t="shared" si="289"/>
        <v/>
      </c>
    </row>
    <row r="822" spans="1:42" x14ac:dyDescent="0.25">
      <c r="A822" s="10"/>
      <c r="B822" s="10"/>
      <c r="C822" s="10"/>
      <c r="D822" s="10"/>
      <c r="E822" s="10"/>
      <c r="F822" s="10"/>
      <c r="G822" s="10"/>
      <c r="H822" s="17"/>
      <c r="I822" s="10"/>
      <c r="J822" s="10"/>
      <c r="K822" s="16" t="str">
        <f t="shared" si="268"/>
        <v/>
      </c>
      <c r="L822" s="23" t="str">
        <f t="shared" si="269"/>
        <v/>
      </c>
      <c r="M822" s="22" t="str">
        <f t="shared" si="270"/>
        <v/>
      </c>
      <c r="N822" s="72"/>
      <c r="O822" s="16" t="str">
        <f t="shared" si="271"/>
        <v/>
      </c>
      <c r="P822" s="16" t="str">
        <f t="shared" si="272"/>
        <v/>
      </c>
      <c r="Q822" s="16" t="str">
        <f t="shared" si="273"/>
        <v/>
      </c>
      <c r="R822" s="23" t="str">
        <f t="shared" si="274"/>
        <v/>
      </c>
      <c r="S822" s="23" t="str">
        <f t="shared" si="275"/>
        <v/>
      </c>
      <c r="T822" s="23" t="str">
        <f t="shared" si="276"/>
        <v/>
      </c>
      <c r="U822" s="23" t="str">
        <f t="shared" si="277"/>
        <v/>
      </c>
      <c r="V822" s="23" t="str">
        <f t="shared" si="278"/>
        <v/>
      </c>
      <c r="W822" s="70" t="str">
        <f t="shared" si="279"/>
        <v/>
      </c>
      <c r="X822" s="70" t="str">
        <f t="shared" si="280"/>
        <v/>
      </c>
      <c r="Y822" s="70" t="str">
        <f>IF(AND($A822&lt;&gt;"",$E822&gt;0),isLaptopBag($C822,$J822)*$D822,"")</f>
        <v/>
      </c>
      <c r="Z822" s="70" t="str">
        <f t="shared" si="281"/>
        <v/>
      </c>
      <c r="AA822" s="70" t="str">
        <f t="shared" si="282"/>
        <v/>
      </c>
      <c r="AB822" s="70" t="str">
        <f t="shared" si="283"/>
        <v/>
      </c>
      <c r="AC822" s="70" t="str">
        <f t="shared" si="284"/>
        <v/>
      </c>
      <c r="AD822" s="70" t="str">
        <f t="shared" si="285"/>
        <v/>
      </c>
      <c r="AE822" s="70" t="str">
        <f t="shared" si="286"/>
        <v/>
      </c>
      <c r="AF822" s="16"/>
      <c r="AG822" s="23"/>
      <c r="AH822" s="22"/>
      <c r="AJ822" s="83">
        <f t="shared" si="287"/>
        <v>0</v>
      </c>
      <c r="AO822" s="22" t="str">
        <f t="shared" si="288"/>
        <v/>
      </c>
      <c r="AP822" s="22" t="str">
        <f t="shared" si="289"/>
        <v/>
      </c>
    </row>
    <row r="823" spans="1:42" x14ac:dyDescent="0.25">
      <c r="A823" s="10"/>
      <c r="B823" s="10"/>
      <c r="C823" s="10"/>
      <c r="D823" s="10"/>
      <c r="E823" s="10"/>
      <c r="F823" s="10"/>
      <c r="G823" s="10"/>
      <c r="H823" s="17"/>
      <c r="I823" s="10"/>
      <c r="J823" s="10"/>
      <c r="K823" s="16" t="str">
        <f t="shared" si="268"/>
        <v/>
      </c>
      <c r="L823" s="23" t="str">
        <f t="shared" si="269"/>
        <v/>
      </c>
      <c r="M823" s="22" t="str">
        <f t="shared" si="270"/>
        <v/>
      </c>
      <c r="N823" s="72"/>
      <c r="O823" s="16" t="str">
        <f t="shared" si="271"/>
        <v/>
      </c>
      <c r="P823" s="16" t="str">
        <f t="shared" si="272"/>
        <v/>
      </c>
      <c r="Q823" s="16" t="str">
        <f t="shared" si="273"/>
        <v/>
      </c>
      <c r="R823" s="23" t="str">
        <f t="shared" si="274"/>
        <v/>
      </c>
      <c r="S823" s="23" t="str">
        <f t="shared" si="275"/>
        <v/>
      </c>
      <c r="T823" s="23" t="str">
        <f t="shared" si="276"/>
        <v/>
      </c>
      <c r="U823" s="23" t="str">
        <f t="shared" si="277"/>
        <v/>
      </c>
      <c r="V823" s="23" t="str">
        <f t="shared" si="278"/>
        <v/>
      </c>
      <c r="W823" s="70" t="str">
        <f t="shared" si="279"/>
        <v/>
      </c>
      <c r="X823" s="70" t="str">
        <f t="shared" si="280"/>
        <v/>
      </c>
      <c r="Y823" s="70" t="str">
        <f>IF(AND($A823&lt;&gt;"",$E823&gt;0),isLaptopBag($C823,$J823)*$D823,"")</f>
        <v/>
      </c>
      <c r="Z823" s="70" t="str">
        <f t="shared" si="281"/>
        <v/>
      </c>
      <c r="AA823" s="70" t="str">
        <f t="shared" si="282"/>
        <v/>
      </c>
      <c r="AB823" s="70" t="str">
        <f t="shared" si="283"/>
        <v/>
      </c>
      <c r="AC823" s="70" t="str">
        <f t="shared" si="284"/>
        <v/>
      </c>
      <c r="AD823" s="70" t="str">
        <f t="shared" si="285"/>
        <v/>
      </c>
      <c r="AE823" s="70" t="str">
        <f t="shared" si="286"/>
        <v/>
      </c>
      <c r="AF823" s="16"/>
      <c r="AG823" s="23"/>
      <c r="AH823" s="22"/>
      <c r="AJ823" s="83">
        <f t="shared" si="287"/>
        <v>0</v>
      </c>
      <c r="AO823" s="22" t="str">
        <f t="shared" si="288"/>
        <v/>
      </c>
      <c r="AP823" s="22" t="str">
        <f t="shared" si="289"/>
        <v/>
      </c>
    </row>
    <row r="824" spans="1:42" x14ac:dyDescent="0.25">
      <c r="A824" s="10"/>
      <c r="B824" s="10"/>
      <c r="C824" s="10"/>
      <c r="D824" s="10"/>
      <c r="E824" s="10"/>
      <c r="F824" s="10"/>
      <c r="G824" s="10"/>
      <c r="H824" s="17"/>
      <c r="I824" s="10"/>
      <c r="J824" s="10"/>
      <c r="K824" s="16" t="str">
        <f t="shared" si="268"/>
        <v/>
      </c>
      <c r="L824" s="23" t="str">
        <f t="shared" si="269"/>
        <v/>
      </c>
      <c r="M824" s="22" t="str">
        <f t="shared" si="270"/>
        <v/>
      </c>
      <c r="N824" s="72"/>
      <c r="O824" s="16" t="str">
        <f t="shared" si="271"/>
        <v/>
      </c>
      <c r="P824" s="16" t="str">
        <f t="shared" si="272"/>
        <v/>
      </c>
      <c r="Q824" s="16" t="str">
        <f t="shared" si="273"/>
        <v/>
      </c>
      <c r="R824" s="23" t="str">
        <f t="shared" si="274"/>
        <v/>
      </c>
      <c r="S824" s="23" t="str">
        <f t="shared" si="275"/>
        <v/>
      </c>
      <c r="T824" s="23" t="str">
        <f t="shared" si="276"/>
        <v/>
      </c>
      <c r="U824" s="23" t="str">
        <f t="shared" si="277"/>
        <v/>
      </c>
      <c r="V824" s="23" t="str">
        <f t="shared" si="278"/>
        <v/>
      </c>
      <c r="W824" s="70" t="str">
        <f t="shared" si="279"/>
        <v/>
      </c>
      <c r="X824" s="70" t="str">
        <f t="shared" si="280"/>
        <v/>
      </c>
      <c r="Y824" s="70" t="str">
        <f>IF(AND($A824&lt;&gt;"",$E824&gt;0),isLaptopBag($C824,$J824)*$D824,"")</f>
        <v/>
      </c>
      <c r="Z824" s="70" t="str">
        <f t="shared" si="281"/>
        <v/>
      </c>
      <c r="AA824" s="70" t="str">
        <f t="shared" si="282"/>
        <v/>
      </c>
      <c r="AB824" s="70" t="str">
        <f t="shared" si="283"/>
        <v/>
      </c>
      <c r="AC824" s="70" t="str">
        <f t="shared" si="284"/>
        <v/>
      </c>
      <c r="AD824" s="70" t="str">
        <f t="shared" si="285"/>
        <v/>
      </c>
      <c r="AE824" s="70" t="str">
        <f t="shared" si="286"/>
        <v/>
      </c>
      <c r="AF824" s="16"/>
      <c r="AG824" s="23"/>
      <c r="AH824" s="22"/>
      <c r="AJ824" s="83">
        <f t="shared" si="287"/>
        <v>0</v>
      </c>
      <c r="AO824" s="22" t="str">
        <f t="shared" si="288"/>
        <v/>
      </c>
      <c r="AP824" s="22" t="str">
        <f t="shared" si="289"/>
        <v/>
      </c>
    </row>
    <row r="825" spans="1:42" x14ac:dyDescent="0.25">
      <c r="A825" s="10"/>
      <c r="B825" s="10"/>
      <c r="C825" s="10"/>
      <c r="D825" s="10"/>
      <c r="E825" s="10"/>
      <c r="F825" s="10"/>
      <c r="G825" s="10"/>
      <c r="H825" s="17"/>
      <c r="I825" s="10"/>
      <c r="J825" s="10"/>
      <c r="K825" s="16" t="str">
        <f t="shared" si="268"/>
        <v/>
      </c>
      <c r="L825" s="23" t="str">
        <f t="shared" si="269"/>
        <v/>
      </c>
      <c r="M825" s="22" t="str">
        <f t="shared" si="270"/>
        <v/>
      </c>
      <c r="N825" s="72"/>
      <c r="O825" s="16" t="str">
        <f t="shared" si="271"/>
        <v/>
      </c>
      <c r="P825" s="16" t="str">
        <f t="shared" si="272"/>
        <v/>
      </c>
      <c r="Q825" s="16" t="str">
        <f t="shared" si="273"/>
        <v/>
      </c>
      <c r="R825" s="23" t="str">
        <f t="shared" si="274"/>
        <v/>
      </c>
      <c r="S825" s="23" t="str">
        <f t="shared" si="275"/>
        <v/>
      </c>
      <c r="T825" s="23" t="str">
        <f t="shared" si="276"/>
        <v/>
      </c>
      <c r="U825" s="23" t="str">
        <f t="shared" si="277"/>
        <v/>
      </c>
      <c r="V825" s="23" t="str">
        <f t="shared" si="278"/>
        <v/>
      </c>
      <c r="W825" s="70" t="str">
        <f t="shared" si="279"/>
        <v/>
      </c>
      <c r="X825" s="70" t="str">
        <f t="shared" si="280"/>
        <v/>
      </c>
      <c r="Y825" s="70" t="str">
        <f>IF(AND($A825&lt;&gt;"",$E825&gt;0),isLaptopBag($C825,$J825)*$D825,"")</f>
        <v/>
      </c>
      <c r="Z825" s="70" t="str">
        <f t="shared" si="281"/>
        <v/>
      </c>
      <c r="AA825" s="70" t="str">
        <f t="shared" si="282"/>
        <v/>
      </c>
      <c r="AB825" s="70" t="str">
        <f t="shared" si="283"/>
        <v/>
      </c>
      <c r="AC825" s="70" t="str">
        <f t="shared" si="284"/>
        <v/>
      </c>
      <c r="AD825" s="70" t="str">
        <f t="shared" si="285"/>
        <v/>
      </c>
      <c r="AE825" s="70" t="str">
        <f t="shared" si="286"/>
        <v/>
      </c>
      <c r="AF825" s="16"/>
      <c r="AG825" s="23"/>
      <c r="AH825" s="22"/>
      <c r="AJ825" s="83">
        <f t="shared" si="287"/>
        <v>0</v>
      </c>
      <c r="AO825" s="22" t="str">
        <f t="shared" si="288"/>
        <v/>
      </c>
      <c r="AP825" s="22" t="str">
        <f t="shared" si="289"/>
        <v/>
      </c>
    </row>
    <row r="826" spans="1:42" x14ac:dyDescent="0.25">
      <c r="A826" s="10"/>
      <c r="B826" s="10"/>
      <c r="C826" s="10"/>
      <c r="D826" s="10"/>
      <c r="E826" s="10"/>
      <c r="F826" s="10"/>
      <c r="G826" s="10"/>
      <c r="H826" s="17"/>
      <c r="I826" s="10"/>
      <c r="J826" s="10"/>
      <c r="K826" s="16" t="str">
        <f t="shared" si="268"/>
        <v/>
      </c>
      <c r="L826" s="23" t="str">
        <f t="shared" si="269"/>
        <v/>
      </c>
      <c r="M826" s="22" t="str">
        <f t="shared" si="270"/>
        <v/>
      </c>
      <c r="N826" s="72"/>
      <c r="O826" s="16" t="str">
        <f t="shared" si="271"/>
        <v/>
      </c>
      <c r="P826" s="16" t="str">
        <f t="shared" si="272"/>
        <v/>
      </c>
      <c r="Q826" s="16" t="str">
        <f t="shared" si="273"/>
        <v/>
      </c>
      <c r="R826" s="23" t="str">
        <f t="shared" si="274"/>
        <v/>
      </c>
      <c r="S826" s="23" t="str">
        <f t="shared" si="275"/>
        <v/>
      </c>
      <c r="T826" s="23" t="str">
        <f t="shared" si="276"/>
        <v/>
      </c>
      <c r="U826" s="23" t="str">
        <f t="shared" si="277"/>
        <v/>
      </c>
      <c r="V826" s="23" t="str">
        <f t="shared" si="278"/>
        <v/>
      </c>
      <c r="W826" s="70" t="str">
        <f t="shared" si="279"/>
        <v/>
      </c>
      <c r="X826" s="70" t="str">
        <f t="shared" si="280"/>
        <v/>
      </c>
      <c r="Y826" s="70" t="str">
        <f>IF(AND($A826&lt;&gt;"",$E826&gt;0),isLaptopBag($C826,$J826)*$D826,"")</f>
        <v/>
      </c>
      <c r="Z826" s="70" t="str">
        <f t="shared" si="281"/>
        <v/>
      </c>
      <c r="AA826" s="70" t="str">
        <f t="shared" si="282"/>
        <v/>
      </c>
      <c r="AB826" s="70" t="str">
        <f t="shared" si="283"/>
        <v/>
      </c>
      <c r="AC826" s="70" t="str">
        <f t="shared" si="284"/>
        <v/>
      </c>
      <c r="AD826" s="70" t="str">
        <f t="shared" si="285"/>
        <v/>
      </c>
      <c r="AE826" s="70" t="str">
        <f t="shared" si="286"/>
        <v/>
      </c>
      <c r="AF826" s="16"/>
      <c r="AG826" s="23"/>
      <c r="AH826" s="22"/>
      <c r="AJ826" s="83">
        <f t="shared" si="287"/>
        <v>0</v>
      </c>
      <c r="AO826" s="22" t="str">
        <f t="shared" si="288"/>
        <v/>
      </c>
      <c r="AP826" s="22" t="str">
        <f t="shared" si="289"/>
        <v/>
      </c>
    </row>
    <row r="827" spans="1:42" x14ac:dyDescent="0.25">
      <c r="A827" s="10"/>
      <c r="B827" s="10"/>
      <c r="C827" s="10"/>
      <c r="D827" s="10"/>
      <c r="E827" s="10"/>
      <c r="F827" s="10"/>
      <c r="G827" s="10"/>
      <c r="H827" s="17"/>
      <c r="I827" s="10"/>
      <c r="J827" s="10"/>
      <c r="K827" s="16" t="str">
        <f t="shared" si="268"/>
        <v/>
      </c>
      <c r="L827" s="23" t="str">
        <f t="shared" si="269"/>
        <v/>
      </c>
      <c r="M827" s="22" t="str">
        <f t="shared" si="270"/>
        <v/>
      </c>
      <c r="N827" s="72"/>
      <c r="O827" s="16" t="str">
        <f t="shared" si="271"/>
        <v/>
      </c>
      <c r="P827" s="16" t="str">
        <f t="shared" si="272"/>
        <v/>
      </c>
      <c r="Q827" s="16" t="str">
        <f t="shared" si="273"/>
        <v/>
      </c>
      <c r="R827" s="23" t="str">
        <f t="shared" si="274"/>
        <v/>
      </c>
      <c r="S827" s="23" t="str">
        <f t="shared" si="275"/>
        <v/>
      </c>
      <c r="T827" s="23" t="str">
        <f t="shared" si="276"/>
        <v/>
      </c>
      <c r="U827" s="23" t="str">
        <f t="shared" si="277"/>
        <v/>
      </c>
      <c r="V827" s="23" t="str">
        <f t="shared" si="278"/>
        <v/>
      </c>
      <c r="W827" s="70" t="str">
        <f t="shared" si="279"/>
        <v/>
      </c>
      <c r="X827" s="70" t="str">
        <f t="shared" si="280"/>
        <v/>
      </c>
      <c r="Y827" s="70" t="str">
        <f>IF(AND($A827&lt;&gt;"",$E827&gt;0),isLaptopBag($C827,$J827)*$D827,"")</f>
        <v/>
      </c>
      <c r="Z827" s="70" t="str">
        <f t="shared" si="281"/>
        <v/>
      </c>
      <c r="AA827" s="70" t="str">
        <f t="shared" si="282"/>
        <v/>
      </c>
      <c r="AB827" s="70" t="str">
        <f t="shared" si="283"/>
        <v/>
      </c>
      <c r="AC827" s="70" t="str">
        <f t="shared" si="284"/>
        <v/>
      </c>
      <c r="AD827" s="70" t="str">
        <f t="shared" si="285"/>
        <v/>
      </c>
      <c r="AE827" s="70" t="str">
        <f t="shared" si="286"/>
        <v/>
      </c>
      <c r="AF827" s="16"/>
      <c r="AG827" s="23"/>
      <c r="AH827" s="22"/>
      <c r="AJ827" s="83">
        <f t="shared" si="287"/>
        <v>0</v>
      </c>
      <c r="AO827" s="22" t="str">
        <f t="shared" si="288"/>
        <v/>
      </c>
      <c r="AP827" s="22" t="str">
        <f t="shared" si="289"/>
        <v/>
      </c>
    </row>
    <row r="828" spans="1:42" x14ac:dyDescent="0.25">
      <c r="A828" s="10"/>
      <c r="B828" s="10"/>
      <c r="C828" s="10"/>
      <c r="D828" s="10"/>
      <c r="E828" s="10"/>
      <c r="F828" s="10"/>
      <c r="G828" s="10"/>
      <c r="H828" s="17"/>
      <c r="I828" s="10"/>
      <c r="J828" s="10"/>
      <c r="K828" s="16" t="str">
        <f t="shared" si="268"/>
        <v/>
      </c>
      <c r="L828" s="23" t="str">
        <f t="shared" si="269"/>
        <v/>
      </c>
      <c r="M828" s="22" t="str">
        <f t="shared" si="270"/>
        <v/>
      </c>
      <c r="N828" s="72"/>
      <c r="O828" s="16" t="str">
        <f t="shared" si="271"/>
        <v/>
      </c>
      <c r="P828" s="16" t="str">
        <f t="shared" si="272"/>
        <v/>
      </c>
      <c r="Q828" s="16" t="str">
        <f t="shared" si="273"/>
        <v/>
      </c>
      <c r="R828" s="23" t="str">
        <f t="shared" si="274"/>
        <v/>
      </c>
      <c r="S828" s="23" t="str">
        <f t="shared" si="275"/>
        <v/>
      </c>
      <c r="T828" s="23" t="str">
        <f t="shared" si="276"/>
        <v/>
      </c>
      <c r="U828" s="23" t="str">
        <f t="shared" si="277"/>
        <v/>
      </c>
      <c r="V828" s="23" t="str">
        <f t="shared" si="278"/>
        <v/>
      </c>
      <c r="W828" s="70" t="str">
        <f t="shared" si="279"/>
        <v/>
      </c>
      <c r="X828" s="70" t="str">
        <f t="shared" si="280"/>
        <v/>
      </c>
      <c r="Y828" s="70" t="str">
        <f>IF(AND($A828&lt;&gt;"",$E828&gt;0),isLaptopBag($C828,$J828)*$D828,"")</f>
        <v/>
      </c>
      <c r="Z828" s="70" t="str">
        <f t="shared" si="281"/>
        <v/>
      </c>
      <c r="AA828" s="70" t="str">
        <f t="shared" si="282"/>
        <v/>
      </c>
      <c r="AB828" s="70" t="str">
        <f t="shared" si="283"/>
        <v/>
      </c>
      <c r="AC828" s="70" t="str">
        <f t="shared" si="284"/>
        <v/>
      </c>
      <c r="AD828" s="70" t="str">
        <f t="shared" si="285"/>
        <v/>
      </c>
      <c r="AE828" s="70" t="str">
        <f t="shared" si="286"/>
        <v/>
      </c>
      <c r="AF828" s="16"/>
      <c r="AG828" s="23"/>
      <c r="AH828" s="22"/>
      <c r="AJ828" s="83">
        <f t="shared" si="287"/>
        <v>0</v>
      </c>
      <c r="AO828" s="22" t="str">
        <f t="shared" si="288"/>
        <v/>
      </c>
      <c r="AP828" s="22" t="str">
        <f t="shared" si="289"/>
        <v/>
      </c>
    </row>
    <row r="829" spans="1:42" x14ac:dyDescent="0.25">
      <c r="A829" s="10"/>
      <c r="B829" s="10"/>
      <c r="C829" s="10"/>
      <c r="D829" s="10"/>
      <c r="E829" s="10"/>
      <c r="F829" s="10"/>
      <c r="G829" s="10"/>
      <c r="H829" s="17"/>
      <c r="I829" s="10"/>
      <c r="J829" s="10"/>
      <c r="K829" s="16" t="str">
        <f t="shared" si="268"/>
        <v/>
      </c>
      <c r="L829" s="23" t="str">
        <f t="shared" si="269"/>
        <v/>
      </c>
      <c r="M829" s="22" t="str">
        <f t="shared" si="270"/>
        <v/>
      </c>
      <c r="N829" s="72"/>
      <c r="O829" s="16" t="str">
        <f t="shared" si="271"/>
        <v/>
      </c>
      <c r="P829" s="16" t="str">
        <f t="shared" si="272"/>
        <v/>
      </c>
      <c r="Q829" s="16" t="str">
        <f t="shared" si="273"/>
        <v/>
      </c>
      <c r="R829" s="23" t="str">
        <f t="shared" si="274"/>
        <v/>
      </c>
      <c r="S829" s="23" t="str">
        <f t="shared" si="275"/>
        <v/>
      </c>
      <c r="T829" s="23" t="str">
        <f t="shared" si="276"/>
        <v/>
      </c>
      <c r="U829" s="23" t="str">
        <f t="shared" si="277"/>
        <v/>
      </c>
      <c r="V829" s="23" t="str">
        <f t="shared" si="278"/>
        <v/>
      </c>
      <c r="W829" s="70" t="str">
        <f t="shared" si="279"/>
        <v/>
      </c>
      <c r="X829" s="70" t="str">
        <f t="shared" si="280"/>
        <v/>
      </c>
      <c r="Y829" s="70" t="str">
        <f>IF(AND($A829&lt;&gt;"",$E829&gt;0),isLaptopBag($C829,$J829)*$D829,"")</f>
        <v/>
      </c>
      <c r="Z829" s="70" t="str">
        <f t="shared" si="281"/>
        <v/>
      </c>
      <c r="AA829" s="70" t="str">
        <f t="shared" si="282"/>
        <v/>
      </c>
      <c r="AB829" s="70" t="str">
        <f t="shared" si="283"/>
        <v/>
      </c>
      <c r="AC829" s="70" t="str">
        <f t="shared" si="284"/>
        <v/>
      </c>
      <c r="AD829" s="70" t="str">
        <f t="shared" si="285"/>
        <v/>
      </c>
      <c r="AE829" s="70" t="str">
        <f t="shared" si="286"/>
        <v/>
      </c>
      <c r="AF829" s="16"/>
      <c r="AG829" s="23"/>
      <c r="AH829" s="22"/>
      <c r="AJ829" s="83">
        <f t="shared" si="287"/>
        <v>0</v>
      </c>
      <c r="AO829" s="22" t="str">
        <f t="shared" si="288"/>
        <v/>
      </c>
      <c r="AP829" s="22" t="str">
        <f t="shared" si="289"/>
        <v/>
      </c>
    </row>
    <row r="830" spans="1:42" x14ac:dyDescent="0.25">
      <c r="A830" s="10"/>
      <c r="B830" s="10"/>
      <c r="C830" s="10"/>
      <c r="D830" s="10"/>
      <c r="E830" s="10"/>
      <c r="F830" s="10"/>
      <c r="G830" s="10"/>
      <c r="H830" s="17"/>
      <c r="I830" s="10"/>
      <c r="J830" s="10"/>
      <c r="K830" s="16" t="str">
        <f t="shared" si="268"/>
        <v/>
      </c>
      <c r="L830" s="23" t="str">
        <f t="shared" si="269"/>
        <v/>
      </c>
      <c r="M830" s="22" t="str">
        <f t="shared" si="270"/>
        <v/>
      </c>
      <c r="N830" s="72"/>
      <c r="O830" s="16" t="str">
        <f t="shared" si="271"/>
        <v/>
      </c>
      <c r="P830" s="16" t="str">
        <f t="shared" si="272"/>
        <v/>
      </c>
      <c r="Q830" s="16" t="str">
        <f t="shared" si="273"/>
        <v/>
      </c>
      <c r="R830" s="23" t="str">
        <f t="shared" si="274"/>
        <v/>
      </c>
      <c r="S830" s="23" t="str">
        <f t="shared" si="275"/>
        <v/>
      </c>
      <c r="T830" s="23" t="str">
        <f t="shared" si="276"/>
        <v/>
      </c>
      <c r="U830" s="23" t="str">
        <f t="shared" si="277"/>
        <v/>
      </c>
      <c r="V830" s="23" t="str">
        <f t="shared" si="278"/>
        <v/>
      </c>
      <c r="W830" s="70" t="str">
        <f t="shared" si="279"/>
        <v/>
      </c>
      <c r="X830" s="70" t="str">
        <f t="shared" si="280"/>
        <v/>
      </c>
      <c r="Y830" s="70" t="str">
        <f>IF(AND($A830&lt;&gt;"",$E830&gt;0),isLaptopBag($C830,$J830)*$D830,"")</f>
        <v/>
      </c>
      <c r="Z830" s="70" t="str">
        <f t="shared" si="281"/>
        <v/>
      </c>
      <c r="AA830" s="70" t="str">
        <f t="shared" si="282"/>
        <v/>
      </c>
      <c r="AB830" s="70" t="str">
        <f t="shared" si="283"/>
        <v/>
      </c>
      <c r="AC830" s="70" t="str">
        <f t="shared" si="284"/>
        <v/>
      </c>
      <c r="AD830" s="70" t="str">
        <f t="shared" si="285"/>
        <v/>
      </c>
      <c r="AE830" s="70" t="str">
        <f t="shared" si="286"/>
        <v/>
      </c>
      <c r="AF830" s="16"/>
      <c r="AG830" s="23"/>
      <c r="AH830" s="22"/>
      <c r="AJ830" s="83">
        <f t="shared" si="287"/>
        <v>0</v>
      </c>
      <c r="AO830" s="22" t="str">
        <f t="shared" si="288"/>
        <v/>
      </c>
      <c r="AP830" s="22" t="str">
        <f t="shared" si="289"/>
        <v/>
      </c>
    </row>
    <row r="831" spans="1:42" x14ac:dyDescent="0.25">
      <c r="A831" s="10"/>
      <c r="B831" s="10"/>
      <c r="C831" s="10"/>
      <c r="D831" s="10"/>
      <c r="E831" s="10"/>
      <c r="F831" s="10"/>
      <c r="G831" s="10"/>
      <c r="H831" s="17"/>
      <c r="I831" s="10"/>
      <c r="J831" s="10"/>
      <c r="K831" s="16" t="str">
        <f t="shared" si="268"/>
        <v/>
      </c>
      <c r="L831" s="23" t="str">
        <f t="shared" si="269"/>
        <v/>
      </c>
      <c r="M831" s="22" t="str">
        <f t="shared" si="270"/>
        <v/>
      </c>
      <c r="N831" s="72"/>
      <c r="O831" s="16" t="str">
        <f t="shared" si="271"/>
        <v/>
      </c>
      <c r="P831" s="16" t="str">
        <f t="shared" si="272"/>
        <v/>
      </c>
      <c r="Q831" s="16" t="str">
        <f t="shared" si="273"/>
        <v/>
      </c>
      <c r="R831" s="23" t="str">
        <f t="shared" si="274"/>
        <v/>
      </c>
      <c r="S831" s="23" t="str">
        <f t="shared" si="275"/>
        <v/>
      </c>
      <c r="T831" s="23" t="str">
        <f t="shared" si="276"/>
        <v/>
      </c>
      <c r="U831" s="23" t="str">
        <f t="shared" si="277"/>
        <v/>
      </c>
      <c r="V831" s="23" t="str">
        <f t="shared" si="278"/>
        <v/>
      </c>
      <c r="W831" s="70" t="str">
        <f t="shared" si="279"/>
        <v/>
      </c>
      <c r="X831" s="70" t="str">
        <f t="shared" si="280"/>
        <v/>
      </c>
      <c r="Y831" s="70" t="str">
        <f>IF(AND($A831&lt;&gt;"",$E831&gt;0),isLaptopBag($C831,$J831)*$D831,"")</f>
        <v/>
      </c>
      <c r="Z831" s="70" t="str">
        <f t="shared" si="281"/>
        <v/>
      </c>
      <c r="AA831" s="70" t="str">
        <f t="shared" si="282"/>
        <v/>
      </c>
      <c r="AB831" s="70" t="str">
        <f t="shared" si="283"/>
        <v/>
      </c>
      <c r="AC831" s="70" t="str">
        <f t="shared" si="284"/>
        <v/>
      </c>
      <c r="AD831" s="70" t="str">
        <f t="shared" si="285"/>
        <v/>
      </c>
      <c r="AE831" s="70" t="str">
        <f t="shared" si="286"/>
        <v/>
      </c>
      <c r="AF831" s="16"/>
      <c r="AG831" s="23"/>
      <c r="AH831" s="22"/>
      <c r="AJ831" s="83">
        <f t="shared" si="287"/>
        <v>0</v>
      </c>
      <c r="AO831" s="22" t="str">
        <f t="shared" si="288"/>
        <v/>
      </c>
      <c r="AP831" s="22" t="str">
        <f t="shared" si="289"/>
        <v/>
      </c>
    </row>
    <row r="832" spans="1:42" x14ac:dyDescent="0.25">
      <c r="A832" s="10"/>
      <c r="B832" s="10"/>
      <c r="C832" s="10"/>
      <c r="D832" s="10"/>
      <c r="E832" s="10"/>
      <c r="F832" s="10"/>
      <c r="G832" s="10"/>
      <c r="H832" s="17"/>
      <c r="I832" s="10"/>
      <c r="J832" s="10"/>
      <c r="K832" s="16" t="str">
        <f t="shared" si="268"/>
        <v/>
      </c>
      <c r="L832" s="23" t="str">
        <f t="shared" si="269"/>
        <v/>
      </c>
      <c r="M832" s="22" t="str">
        <f t="shared" si="270"/>
        <v/>
      </c>
      <c r="N832" s="72"/>
      <c r="O832" s="16" t="str">
        <f t="shared" si="271"/>
        <v/>
      </c>
      <c r="P832" s="16" t="str">
        <f t="shared" si="272"/>
        <v/>
      </c>
      <c r="Q832" s="16" t="str">
        <f t="shared" si="273"/>
        <v/>
      </c>
      <c r="R832" s="23" t="str">
        <f t="shared" si="274"/>
        <v/>
      </c>
      <c r="S832" s="23" t="str">
        <f t="shared" si="275"/>
        <v/>
      </c>
      <c r="T832" s="23" t="str">
        <f t="shared" si="276"/>
        <v/>
      </c>
      <c r="U832" s="23" t="str">
        <f t="shared" si="277"/>
        <v/>
      </c>
      <c r="V832" s="23" t="str">
        <f t="shared" si="278"/>
        <v/>
      </c>
      <c r="W832" s="70" t="str">
        <f t="shared" si="279"/>
        <v/>
      </c>
      <c r="X832" s="70" t="str">
        <f t="shared" si="280"/>
        <v/>
      </c>
      <c r="Y832" s="70" t="str">
        <f>IF(AND($A832&lt;&gt;"",$E832&gt;0),isLaptopBag($C832,$J832)*$D832,"")</f>
        <v/>
      </c>
      <c r="Z832" s="70" t="str">
        <f t="shared" si="281"/>
        <v/>
      </c>
      <c r="AA832" s="70" t="str">
        <f t="shared" si="282"/>
        <v/>
      </c>
      <c r="AB832" s="70" t="str">
        <f t="shared" si="283"/>
        <v/>
      </c>
      <c r="AC832" s="70" t="str">
        <f t="shared" si="284"/>
        <v/>
      </c>
      <c r="AD832" s="70" t="str">
        <f t="shared" si="285"/>
        <v/>
      </c>
      <c r="AE832" s="70" t="str">
        <f t="shared" si="286"/>
        <v/>
      </c>
      <c r="AF832" s="16"/>
      <c r="AG832" s="23"/>
      <c r="AH832" s="22"/>
      <c r="AJ832" s="83">
        <f t="shared" si="287"/>
        <v>0</v>
      </c>
      <c r="AO832" s="22" t="str">
        <f t="shared" si="288"/>
        <v/>
      </c>
      <c r="AP832" s="22" t="str">
        <f t="shared" si="289"/>
        <v/>
      </c>
    </row>
    <row r="833" spans="1:42" x14ac:dyDescent="0.25">
      <c r="A833" s="10"/>
      <c r="B833" s="10"/>
      <c r="C833" s="10"/>
      <c r="D833" s="10"/>
      <c r="E833" s="10"/>
      <c r="F833" s="10"/>
      <c r="G833" s="10"/>
      <c r="H833" s="17"/>
      <c r="I833" s="10"/>
      <c r="J833" s="10"/>
      <c r="K833" s="16" t="str">
        <f t="shared" si="268"/>
        <v/>
      </c>
      <c r="L833" s="23" t="str">
        <f t="shared" si="269"/>
        <v/>
      </c>
      <c r="M833" s="22" t="str">
        <f t="shared" si="270"/>
        <v/>
      </c>
      <c r="N833" s="72"/>
      <c r="O833" s="16" t="str">
        <f t="shared" si="271"/>
        <v/>
      </c>
      <c r="P833" s="16" t="str">
        <f t="shared" si="272"/>
        <v/>
      </c>
      <c r="Q833" s="16" t="str">
        <f t="shared" si="273"/>
        <v/>
      </c>
      <c r="R833" s="23" t="str">
        <f t="shared" si="274"/>
        <v/>
      </c>
      <c r="S833" s="23" t="str">
        <f t="shared" si="275"/>
        <v/>
      </c>
      <c r="T833" s="23" t="str">
        <f t="shared" si="276"/>
        <v/>
      </c>
      <c r="U833" s="23" t="str">
        <f t="shared" si="277"/>
        <v/>
      </c>
      <c r="V833" s="23" t="str">
        <f t="shared" si="278"/>
        <v/>
      </c>
      <c r="W833" s="70" t="str">
        <f t="shared" si="279"/>
        <v/>
      </c>
      <c r="X833" s="70" t="str">
        <f t="shared" si="280"/>
        <v/>
      </c>
      <c r="Y833" s="70" t="str">
        <f>IF(AND($A833&lt;&gt;"",$E833&gt;0),isLaptopBag($C833,$J833)*$D833,"")</f>
        <v/>
      </c>
      <c r="Z833" s="70" t="str">
        <f t="shared" si="281"/>
        <v/>
      </c>
      <c r="AA833" s="70" t="str">
        <f t="shared" si="282"/>
        <v/>
      </c>
      <c r="AB833" s="70" t="str">
        <f t="shared" si="283"/>
        <v/>
      </c>
      <c r="AC833" s="70" t="str">
        <f t="shared" si="284"/>
        <v/>
      </c>
      <c r="AD833" s="70" t="str">
        <f t="shared" si="285"/>
        <v/>
      </c>
      <c r="AE833" s="70" t="str">
        <f t="shared" si="286"/>
        <v/>
      </c>
      <c r="AF833" s="16"/>
      <c r="AG833" s="23"/>
      <c r="AH833" s="22"/>
      <c r="AJ833" s="83">
        <f t="shared" si="287"/>
        <v>0</v>
      </c>
      <c r="AO833" s="22" t="str">
        <f t="shared" si="288"/>
        <v/>
      </c>
      <c r="AP833" s="22" t="str">
        <f t="shared" si="289"/>
        <v/>
      </c>
    </row>
    <row r="834" spans="1:42" x14ac:dyDescent="0.25">
      <c r="A834" s="10"/>
      <c r="B834" s="10"/>
      <c r="C834" s="10"/>
      <c r="D834" s="10"/>
      <c r="E834" s="10"/>
      <c r="F834" s="10"/>
      <c r="G834" s="10"/>
      <c r="H834" s="17"/>
      <c r="I834" s="10"/>
      <c r="J834" s="10"/>
      <c r="K834" s="16" t="str">
        <f t="shared" si="268"/>
        <v/>
      </c>
      <c r="L834" s="23" t="str">
        <f t="shared" si="269"/>
        <v/>
      </c>
      <c r="M834" s="22" t="str">
        <f t="shared" si="270"/>
        <v/>
      </c>
      <c r="N834" s="72"/>
      <c r="O834" s="16" t="str">
        <f t="shared" si="271"/>
        <v/>
      </c>
      <c r="P834" s="16" t="str">
        <f t="shared" si="272"/>
        <v/>
      </c>
      <c r="Q834" s="16" t="str">
        <f t="shared" si="273"/>
        <v/>
      </c>
      <c r="R834" s="23" t="str">
        <f t="shared" si="274"/>
        <v/>
      </c>
      <c r="S834" s="23" t="str">
        <f t="shared" si="275"/>
        <v/>
      </c>
      <c r="T834" s="23" t="str">
        <f t="shared" si="276"/>
        <v/>
      </c>
      <c r="U834" s="23" t="str">
        <f t="shared" si="277"/>
        <v/>
      </c>
      <c r="V834" s="23" t="str">
        <f t="shared" si="278"/>
        <v/>
      </c>
      <c r="W834" s="70" t="str">
        <f t="shared" si="279"/>
        <v/>
      </c>
      <c r="X834" s="70" t="str">
        <f t="shared" si="280"/>
        <v/>
      </c>
      <c r="Y834" s="70" t="str">
        <f>IF(AND($A834&lt;&gt;"",$E834&gt;0),isLaptopBag($C834,$J834)*$D834,"")</f>
        <v/>
      </c>
      <c r="Z834" s="70" t="str">
        <f t="shared" si="281"/>
        <v/>
      </c>
      <c r="AA834" s="70" t="str">
        <f t="shared" si="282"/>
        <v/>
      </c>
      <c r="AB834" s="70" t="str">
        <f t="shared" si="283"/>
        <v/>
      </c>
      <c r="AC834" s="70" t="str">
        <f t="shared" si="284"/>
        <v/>
      </c>
      <c r="AD834" s="70" t="str">
        <f t="shared" si="285"/>
        <v/>
      </c>
      <c r="AE834" s="70" t="str">
        <f t="shared" si="286"/>
        <v/>
      </c>
      <c r="AF834" s="16"/>
      <c r="AG834" s="23"/>
      <c r="AH834" s="22"/>
      <c r="AJ834" s="83">
        <f t="shared" si="287"/>
        <v>0</v>
      </c>
      <c r="AO834" s="22" t="str">
        <f t="shared" si="288"/>
        <v/>
      </c>
      <c r="AP834" s="22" t="str">
        <f t="shared" si="289"/>
        <v/>
      </c>
    </row>
    <row r="835" spans="1:42" x14ac:dyDescent="0.25">
      <c r="A835" s="10"/>
      <c r="B835" s="10"/>
      <c r="C835" s="10"/>
      <c r="D835" s="10"/>
      <c r="E835" s="10"/>
      <c r="F835" s="10"/>
      <c r="G835" s="10"/>
      <c r="H835" s="17"/>
      <c r="I835" s="10"/>
      <c r="J835" s="10"/>
      <c r="K835" s="16" t="str">
        <f t="shared" si="268"/>
        <v/>
      </c>
      <c r="L835" s="23" t="str">
        <f t="shared" si="269"/>
        <v/>
      </c>
      <c r="M835" s="22" t="str">
        <f t="shared" si="270"/>
        <v/>
      </c>
      <c r="N835" s="72"/>
      <c r="O835" s="16" t="str">
        <f t="shared" si="271"/>
        <v/>
      </c>
      <c r="P835" s="16" t="str">
        <f t="shared" si="272"/>
        <v/>
      </c>
      <c r="Q835" s="16" t="str">
        <f t="shared" si="273"/>
        <v/>
      </c>
      <c r="R835" s="23" t="str">
        <f t="shared" si="274"/>
        <v/>
      </c>
      <c r="S835" s="23" t="str">
        <f t="shared" si="275"/>
        <v/>
      </c>
      <c r="T835" s="23" t="str">
        <f t="shared" si="276"/>
        <v/>
      </c>
      <c r="U835" s="23" t="str">
        <f t="shared" si="277"/>
        <v/>
      </c>
      <c r="V835" s="23" t="str">
        <f t="shared" si="278"/>
        <v/>
      </c>
      <c r="W835" s="70" t="str">
        <f t="shared" si="279"/>
        <v/>
      </c>
      <c r="X835" s="70" t="str">
        <f t="shared" si="280"/>
        <v/>
      </c>
      <c r="Y835" s="70" t="str">
        <f>IF(AND($A835&lt;&gt;"",$E835&gt;0),isLaptopBag($C835,$J835)*$D835,"")</f>
        <v/>
      </c>
      <c r="Z835" s="70" t="str">
        <f t="shared" si="281"/>
        <v/>
      </c>
      <c r="AA835" s="70" t="str">
        <f t="shared" si="282"/>
        <v/>
      </c>
      <c r="AB835" s="70" t="str">
        <f t="shared" si="283"/>
        <v/>
      </c>
      <c r="AC835" s="70" t="str">
        <f t="shared" si="284"/>
        <v/>
      </c>
      <c r="AD835" s="70" t="str">
        <f t="shared" si="285"/>
        <v/>
      </c>
      <c r="AE835" s="70" t="str">
        <f t="shared" si="286"/>
        <v/>
      </c>
      <c r="AF835" s="16"/>
      <c r="AG835" s="23"/>
      <c r="AH835" s="22"/>
      <c r="AJ835" s="83">
        <f t="shared" si="287"/>
        <v>0</v>
      </c>
      <c r="AO835" s="22" t="str">
        <f t="shared" si="288"/>
        <v/>
      </c>
      <c r="AP835" s="22" t="str">
        <f t="shared" si="289"/>
        <v/>
      </c>
    </row>
    <row r="836" spans="1:42" x14ac:dyDescent="0.25">
      <c r="A836" s="10"/>
      <c r="B836" s="10"/>
      <c r="C836" s="10"/>
      <c r="D836" s="10"/>
      <c r="E836" s="10"/>
      <c r="F836" s="10"/>
      <c r="G836" s="10"/>
      <c r="H836" s="17"/>
      <c r="I836" s="10"/>
      <c r="J836" s="10"/>
      <c r="K836" s="16" t="str">
        <f t="shared" si="268"/>
        <v/>
      </c>
      <c r="L836" s="23" t="str">
        <f t="shared" si="269"/>
        <v/>
      </c>
      <c r="M836" s="22" t="str">
        <f t="shared" si="270"/>
        <v/>
      </c>
      <c r="N836" s="72"/>
      <c r="O836" s="16" t="str">
        <f t="shared" si="271"/>
        <v/>
      </c>
      <c r="P836" s="16" t="str">
        <f t="shared" si="272"/>
        <v/>
      </c>
      <c r="Q836" s="16" t="str">
        <f t="shared" si="273"/>
        <v/>
      </c>
      <c r="R836" s="23" t="str">
        <f t="shared" si="274"/>
        <v/>
      </c>
      <c r="S836" s="23" t="str">
        <f t="shared" si="275"/>
        <v/>
      </c>
      <c r="T836" s="23" t="str">
        <f t="shared" si="276"/>
        <v/>
      </c>
      <c r="U836" s="23" t="str">
        <f t="shared" si="277"/>
        <v/>
      </c>
      <c r="V836" s="23" t="str">
        <f t="shared" si="278"/>
        <v/>
      </c>
      <c r="W836" s="70" t="str">
        <f t="shared" si="279"/>
        <v/>
      </c>
      <c r="X836" s="70" t="str">
        <f t="shared" si="280"/>
        <v/>
      </c>
      <c r="Y836" s="70" t="str">
        <f>IF(AND($A836&lt;&gt;"",$E836&gt;0),isLaptopBag($C836,$J836)*$D836,"")</f>
        <v/>
      </c>
      <c r="Z836" s="70" t="str">
        <f t="shared" si="281"/>
        <v/>
      </c>
      <c r="AA836" s="70" t="str">
        <f t="shared" si="282"/>
        <v/>
      </c>
      <c r="AB836" s="70" t="str">
        <f t="shared" si="283"/>
        <v/>
      </c>
      <c r="AC836" s="70" t="str">
        <f t="shared" si="284"/>
        <v/>
      </c>
      <c r="AD836" s="70" t="str">
        <f t="shared" si="285"/>
        <v/>
      </c>
      <c r="AE836" s="70" t="str">
        <f t="shared" si="286"/>
        <v/>
      </c>
      <c r="AF836" s="16"/>
      <c r="AG836" s="23"/>
      <c r="AH836" s="22"/>
      <c r="AJ836" s="83">
        <f t="shared" si="287"/>
        <v>0</v>
      </c>
      <c r="AO836" s="22" t="str">
        <f t="shared" si="288"/>
        <v/>
      </c>
      <c r="AP836" s="22" t="str">
        <f t="shared" si="289"/>
        <v/>
      </c>
    </row>
    <row r="837" spans="1:42" x14ac:dyDescent="0.25">
      <c r="A837" s="10"/>
      <c r="B837" s="10"/>
      <c r="C837" s="10"/>
      <c r="D837" s="10"/>
      <c r="E837" s="10"/>
      <c r="F837" s="10"/>
      <c r="G837" s="10"/>
      <c r="H837" s="17"/>
      <c r="I837" s="10"/>
      <c r="J837" s="10"/>
      <c r="K837" s="16" t="str">
        <f t="shared" si="268"/>
        <v/>
      </c>
      <c r="L837" s="23" t="str">
        <f t="shared" si="269"/>
        <v/>
      </c>
      <c r="M837" s="22" t="str">
        <f t="shared" si="270"/>
        <v/>
      </c>
      <c r="N837" s="72"/>
      <c r="O837" s="16" t="str">
        <f t="shared" si="271"/>
        <v/>
      </c>
      <c r="P837" s="16" t="str">
        <f t="shared" si="272"/>
        <v/>
      </c>
      <c r="Q837" s="16" t="str">
        <f t="shared" si="273"/>
        <v/>
      </c>
      <c r="R837" s="23" t="str">
        <f t="shared" si="274"/>
        <v/>
      </c>
      <c r="S837" s="23" t="str">
        <f t="shared" si="275"/>
        <v/>
      </c>
      <c r="T837" s="23" t="str">
        <f t="shared" si="276"/>
        <v/>
      </c>
      <c r="U837" s="23" t="str">
        <f t="shared" si="277"/>
        <v/>
      </c>
      <c r="V837" s="23" t="str">
        <f t="shared" si="278"/>
        <v/>
      </c>
      <c r="W837" s="70" t="str">
        <f t="shared" si="279"/>
        <v/>
      </c>
      <c r="X837" s="70" t="str">
        <f t="shared" si="280"/>
        <v/>
      </c>
      <c r="Y837" s="70" t="str">
        <f>IF(AND($A837&lt;&gt;"",$E837&gt;0),isLaptopBag($C837,$J837)*$D837,"")</f>
        <v/>
      </c>
      <c r="Z837" s="70" t="str">
        <f t="shared" si="281"/>
        <v/>
      </c>
      <c r="AA837" s="70" t="str">
        <f t="shared" si="282"/>
        <v/>
      </c>
      <c r="AB837" s="70" t="str">
        <f t="shared" si="283"/>
        <v/>
      </c>
      <c r="AC837" s="70" t="str">
        <f t="shared" si="284"/>
        <v/>
      </c>
      <c r="AD837" s="70" t="str">
        <f t="shared" si="285"/>
        <v/>
      </c>
      <c r="AE837" s="70" t="str">
        <f t="shared" si="286"/>
        <v/>
      </c>
      <c r="AF837" s="16"/>
      <c r="AG837" s="23"/>
      <c r="AH837" s="22"/>
      <c r="AJ837" s="83">
        <f t="shared" si="287"/>
        <v>0</v>
      </c>
      <c r="AO837" s="22" t="str">
        <f t="shared" si="288"/>
        <v/>
      </c>
      <c r="AP837" s="22" t="str">
        <f t="shared" si="289"/>
        <v/>
      </c>
    </row>
    <row r="838" spans="1:42" x14ac:dyDescent="0.25">
      <c r="A838" s="10"/>
      <c r="B838" s="10"/>
      <c r="C838" s="10"/>
      <c r="D838" s="10"/>
      <c r="E838" s="10"/>
      <c r="F838" s="10"/>
      <c r="G838" s="10"/>
      <c r="H838" s="17"/>
      <c r="I838" s="10"/>
      <c r="J838" s="10"/>
      <c r="K838" s="16" t="str">
        <f t="shared" si="268"/>
        <v/>
      </c>
      <c r="L838" s="23" t="str">
        <f t="shared" si="269"/>
        <v/>
      </c>
      <c r="M838" s="22" t="str">
        <f t="shared" si="270"/>
        <v/>
      </c>
      <c r="N838" s="72"/>
      <c r="O838" s="16" t="str">
        <f t="shared" si="271"/>
        <v/>
      </c>
      <c r="P838" s="16" t="str">
        <f t="shared" si="272"/>
        <v/>
      </c>
      <c r="Q838" s="16" t="str">
        <f t="shared" si="273"/>
        <v/>
      </c>
      <c r="R838" s="23" t="str">
        <f t="shared" si="274"/>
        <v/>
      </c>
      <c r="S838" s="23" t="str">
        <f t="shared" si="275"/>
        <v/>
      </c>
      <c r="T838" s="23" t="str">
        <f t="shared" si="276"/>
        <v/>
      </c>
      <c r="U838" s="23" t="str">
        <f t="shared" si="277"/>
        <v/>
      </c>
      <c r="V838" s="23" t="str">
        <f t="shared" si="278"/>
        <v/>
      </c>
      <c r="W838" s="70" t="str">
        <f t="shared" si="279"/>
        <v/>
      </c>
      <c r="X838" s="70" t="str">
        <f t="shared" si="280"/>
        <v/>
      </c>
      <c r="Y838" s="70" t="str">
        <f>IF(AND($A838&lt;&gt;"",$E838&gt;0),isLaptopBag($C838,$J838)*$D838,"")</f>
        <v/>
      </c>
      <c r="Z838" s="70" t="str">
        <f t="shared" si="281"/>
        <v/>
      </c>
      <c r="AA838" s="70" t="str">
        <f t="shared" si="282"/>
        <v/>
      </c>
      <c r="AB838" s="70" t="str">
        <f t="shared" si="283"/>
        <v/>
      </c>
      <c r="AC838" s="70" t="str">
        <f t="shared" si="284"/>
        <v/>
      </c>
      <c r="AD838" s="70" t="str">
        <f t="shared" si="285"/>
        <v/>
      </c>
      <c r="AE838" s="70" t="str">
        <f t="shared" si="286"/>
        <v/>
      </c>
      <c r="AF838" s="16"/>
      <c r="AG838" s="23"/>
      <c r="AH838" s="22"/>
      <c r="AJ838" s="83">
        <f t="shared" si="287"/>
        <v>0</v>
      </c>
      <c r="AO838" s="22" t="str">
        <f t="shared" si="288"/>
        <v/>
      </c>
      <c r="AP838" s="22" t="str">
        <f t="shared" si="289"/>
        <v/>
      </c>
    </row>
    <row r="839" spans="1:42" x14ac:dyDescent="0.25">
      <c r="A839" s="10"/>
      <c r="B839" s="10"/>
      <c r="C839" s="10"/>
      <c r="D839" s="10"/>
      <c r="E839" s="10"/>
      <c r="F839" s="10"/>
      <c r="G839" s="10"/>
      <c r="H839" s="17"/>
      <c r="I839" s="10"/>
      <c r="J839" s="10"/>
      <c r="K839" s="16" t="str">
        <f t="shared" si="268"/>
        <v/>
      </c>
      <c r="L839" s="23" t="str">
        <f t="shared" si="269"/>
        <v/>
      </c>
      <c r="M839" s="22" t="str">
        <f t="shared" si="270"/>
        <v/>
      </c>
      <c r="N839" s="72"/>
      <c r="O839" s="16" t="str">
        <f t="shared" si="271"/>
        <v/>
      </c>
      <c r="P839" s="16" t="str">
        <f t="shared" si="272"/>
        <v/>
      </c>
      <c r="Q839" s="16" t="str">
        <f t="shared" si="273"/>
        <v/>
      </c>
      <c r="R839" s="23" t="str">
        <f t="shared" si="274"/>
        <v/>
      </c>
      <c r="S839" s="23" t="str">
        <f t="shared" si="275"/>
        <v/>
      </c>
      <c r="T839" s="23" t="str">
        <f t="shared" si="276"/>
        <v/>
      </c>
      <c r="U839" s="23" t="str">
        <f t="shared" si="277"/>
        <v/>
      </c>
      <c r="V839" s="23" t="str">
        <f t="shared" si="278"/>
        <v/>
      </c>
      <c r="W839" s="70" t="str">
        <f t="shared" si="279"/>
        <v/>
      </c>
      <c r="X839" s="70" t="str">
        <f t="shared" si="280"/>
        <v/>
      </c>
      <c r="Y839" s="70" t="str">
        <f>IF(AND($A839&lt;&gt;"",$E839&gt;0),isLaptopBag($C839,$J839)*$D839,"")</f>
        <v/>
      </c>
      <c r="Z839" s="70" t="str">
        <f t="shared" si="281"/>
        <v/>
      </c>
      <c r="AA839" s="70" t="str">
        <f t="shared" si="282"/>
        <v/>
      </c>
      <c r="AB839" s="70" t="str">
        <f t="shared" si="283"/>
        <v/>
      </c>
      <c r="AC839" s="70" t="str">
        <f t="shared" si="284"/>
        <v/>
      </c>
      <c r="AD839" s="70" t="str">
        <f t="shared" si="285"/>
        <v/>
      </c>
      <c r="AE839" s="70" t="str">
        <f t="shared" si="286"/>
        <v/>
      </c>
      <c r="AF839" s="16"/>
      <c r="AG839" s="23"/>
      <c r="AH839" s="22"/>
      <c r="AJ839" s="83">
        <f t="shared" si="287"/>
        <v>0</v>
      </c>
      <c r="AO839" s="22" t="str">
        <f t="shared" si="288"/>
        <v/>
      </c>
      <c r="AP839" s="22" t="str">
        <f t="shared" si="289"/>
        <v/>
      </c>
    </row>
    <row r="840" spans="1:42" x14ac:dyDescent="0.25">
      <c r="A840" s="10"/>
      <c r="B840" s="10"/>
      <c r="C840" s="10"/>
      <c r="D840" s="10"/>
      <c r="E840" s="10"/>
      <c r="F840" s="10"/>
      <c r="G840" s="10"/>
      <c r="H840" s="17"/>
      <c r="I840" s="10"/>
      <c r="J840" s="10"/>
      <c r="K840" s="16" t="str">
        <f t="shared" si="268"/>
        <v/>
      </c>
      <c r="L840" s="23" t="str">
        <f t="shared" si="269"/>
        <v/>
      </c>
      <c r="M840" s="22" t="str">
        <f t="shared" si="270"/>
        <v/>
      </c>
      <c r="N840" s="72"/>
      <c r="O840" s="16" t="str">
        <f t="shared" si="271"/>
        <v/>
      </c>
      <c r="P840" s="16" t="str">
        <f t="shared" si="272"/>
        <v/>
      </c>
      <c r="Q840" s="16" t="str">
        <f t="shared" si="273"/>
        <v/>
      </c>
      <c r="R840" s="23" t="str">
        <f t="shared" si="274"/>
        <v/>
      </c>
      <c r="S840" s="23" t="str">
        <f t="shared" si="275"/>
        <v/>
      </c>
      <c r="T840" s="23" t="str">
        <f t="shared" si="276"/>
        <v/>
      </c>
      <c r="U840" s="23" t="str">
        <f t="shared" si="277"/>
        <v/>
      </c>
      <c r="V840" s="23" t="str">
        <f t="shared" si="278"/>
        <v/>
      </c>
      <c r="W840" s="70" t="str">
        <f t="shared" si="279"/>
        <v/>
      </c>
      <c r="X840" s="70" t="str">
        <f t="shared" si="280"/>
        <v/>
      </c>
      <c r="Y840" s="70" t="str">
        <f>IF(AND($A840&lt;&gt;"",$E840&gt;0),isLaptopBag($C840,$J840)*$D840,"")</f>
        <v/>
      </c>
      <c r="Z840" s="70" t="str">
        <f t="shared" si="281"/>
        <v/>
      </c>
      <c r="AA840" s="70" t="str">
        <f t="shared" si="282"/>
        <v/>
      </c>
      <c r="AB840" s="70" t="str">
        <f t="shared" si="283"/>
        <v/>
      </c>
      <c r="AC840" s="70" t="str">
        <f t="shared" si="284"/>
        <v/>
      </c>
      <c r="AD840" s="70" t="str">
        <f t="shared" si="285"/>
        <v/>
      </c>
      <c r="AE840" s="70" t="str">
        <f t="shared" si="286"/>
        <v/>
      </c>
      <c r="AF840" s="16"/>
      <c r="AG840" s="23"/>
      <c r="AH840" s="22"/>
      <c r="AJ840" s="83">
        <f t="shared" si="287"/>
        <v>0</v>
      </c>
      <c r="AO840" s="22" t="str">
        <f t="shared" si="288"/>
        <v/>
      </c>
      <c r="AP840" s="22" t="str">
        <f t="shared" si="289"/>
        <v/>
      </c>
    </row>
    <row r="841" spans="1:42" x14ac:dyDescent="0.25">
      <c r="A841" s="10"/>
      <c r="B841" s="10"/>
      <c r="C841" s="10"/>
      <c r="D841" s="10"/>
      <c r="E841" s="10"/>
      <c r="F841" s="10"/>
      <c r="G841" s="10"/>
      <c r="H841" s="17"/>
      <c r="I841" s="10"/>
      <c r="J841" s="10"/>
      <c r="K841" s="16" t="str">
        <f t="shared" si="268"/>
        <v/>
      </c>
      <c r="L841" s="23" t="str">
        <f t="shared" si="269"/>
        <v/>
      </c>
      <c r="M841" s="22" t="str">
        <f t="shared" si="270"/>
        <v/>
      </c>
      <c r="N841" s="72"/>
      <c r="O841" s="16" t="str">
        <f t="shared" si="271"/>
        <v/>
      </c>
      <c r="P841" s="16" t="str">
        <f t="shared" si="272"/>
        <v/>
      </c>
      <c r="Q841" s="16" t="str">
        <f t="shared" si="273"/>
        <v/>
      </c>
      <c r="R841" s="23" t="str">
        <f t="shared" si="274"/>
        <v/>
      </c>
      <c r="S841" s="23" t="str">
        <f t="shared" si="275"/>
        <v/>
      </c>
      <c r="T841" s="23" t="str">
        <f t="shared" si="276"/>
        <v/>
      </c>
      <c r="U841" s="23" t="str">
        <f t="shared" si="277"/>
        <v/>
      </c>
      <c r="V841" s="23" t="str">
        <f t="shared" si="278"/>
        <v/>
      </c>
      <c r="W841" s="70" t="str">
        <f t="shared" si="279"/>
        <v/>
      </c>
      <c r="X841" s="70" t="str">
        <f t="shared" si="280"/>
        <v/>
      </c>
      <c r="Y841" s="70" t="str">
        <f>IF(AND($A841&lt;&gt;"",$E841&gt;0),isLaptopBag($C841,$J841)*$D841,"")</f>
        <v/>
      </c>
      <c r="Z841" s="70" t="str">
        <f t="shared" si="281"/>
        <v/>
      </c>
      <c r="AA841" s="70" t="str">
        <f t="shared" si="282"/>
        <v/>
      </c>
      <c r="AB841" s="70" t="str">
        <f t="shared" si="283"/>
        <v/>
      </c>
      <c r="AC841" s="70" t="str">
        <f t="shared" si="284"/>
        <v/>
      </c>
      <c r="AD841" s="70" t="str">
        <f t="shared" si="285"/>
        <v/>
      </c>
      <c r="AE841" s="70" t="str">
        <f t="shared" si="286"/>
        <v/>
      </c>
      <c r="AF841" s="16"/>
      <c r="AG841" s="23"/>
      <c r="AH841" s="22"/>
      <c r="AJ841" s="83">
        <f t="shared" si="287"/>
        <v>0</v>
      </c>
      <c r="AO841" s="22" t="str">
        <f t="shared" si="288"/>
        <v/>
      </c>
      <c r="AP841" s="22" t="str">
        <f t="shared" si="289"/>
        <v/>
      </c>
    </row>
    <row r="842" spans="1:42" x14ac:dyDescent="0.25">
      <c r="A842" s="10"/>
      <c r="B842" s="10"/>
      <c r="C842" s="10"/>
      <c r="D842" s="10"/>
      <c r="E842" s="10"/>
      <c r="F842" s="10"/>
      <c r="G842" s="10"/>
      <c r="H842" s="17"/>
      <c r="I842" s="10"/>
      <c r="J842" s="10"/>
      <c r="K842" s="16" t="str">
        <f t="shared" si="268"/>
        <v/>
      </c>
      <c r="L842" s="23" t="str">
        <f t="shared" si="269"/>
        <v/>
      </c>
      <c r="M842" s="22" t="str">
        <f t="shared" si="270"/>
        <v/>
      </c>
      <c r="N842" s="72"/>
      <c r="O842" s="16" t="str">
        <f t="shared" si="271"/>
        <v/>
      </c>
      <c r="P842" s="16" t="str">
        <f t="shared" si="272"/>
        <v/>
      </c>
      <c r="Q842" s="16" t="str">
        <f t="shared" si="273"/>
        <v/>
      </c>
      <c r="R842" s="23" t="str">
        <f t="shared" si="274"/>
        <v/>
      </c>
      <c r="S842" s="23" t="str">
        <f t="shared" si="275"/>
        <v/>
      </c>
      <c r="T842" s="23" t="str">
        <f t="shared" si="276"/>
        <v/>
      </c>
      <c r="U842" s="23" t="str">
        <f t="shared" si="277"/>
        <v/>
      </c>
      <c r="V842" s="23" t="str">
        <f t="shared" si="278"/>
        <v/>
      </c>
      <c r="W842" s="70" t="str">
        <f t="shared" si="279"/>
        <v/>
      </c>
      <c r="X842" s="70" t="str">
        <f t="shared" si="280"/>
        <v/>
      </c>
      <c r="Y842" s="70" t="str">
        <f>IF(AND($A842&lt;&gt;"",$E842&gt;0),isLaptopBag($C842,$J842)*$D842,"")</f>
        <v/>
      </c>
      <c r="Z842" s="70" t="str">
        <f t="shared" si="281"/>
        <v/>
      </c>
      <c r="AA842" s="70" t="str">
        <f t="shared" si="282"/>
        <v/>
      </c>
      <c r="AB842" s="70" t="str">
        <f t="shared" si="283"/>
        <v/>
      </c>
      <c r="AC842" s="70" t="str">
        <f t="shared" si="284"/>
        <v/>
      </c>
      <c r="AD842" s="70" t="str">
        <f t="shared" si="285"/>
        <v/>
      </c>
      <c r="AE842" s="70" t="str">
        <f t="shared" si="286"/>
        <v/>
      </c>
      <c r="AF842" s="16"/>
      <c r="AG842" s="23"/>
      <c r="AH842" s="22"/>
      <c r="AJ842" s="83">
        <f t="shared" si="287"/>
        <v>0</v>
      </c>
      <c r="AO842" s="22" t="str">
        <f t="shared" si="288"/>
        <v/>
      </c>
      <c r="AP842" s="22" t="str">
        <f t="shared" si="289"/>
        <v/>
      </c>
    </row>
    <row r="843" spans="1:42" x14ac:dyDescent="0.25">
      <c r="A843" s="10"/>
      <c r="B843" s="10"/>
      <c r="C843" s="10"/>
      <c r="D843" s="10"/>
      <c r="E843" s="10"/>
      <c r="F843" s="10"/>
      <c r="G843" s="10"/>
      <c r="H843" s="17"/>
      <c r="I843" s="10"/>
      <c r="J843" s="10"/>
      <c r="K843" s="16" t="str">
        <f t="shared" si="268"/>
        <v/>
      </c>
      <c r="L843" s="23" t="str">
        <f t="shared" si="269"/>
        <v/>
      </c>
      <c r="M843" s="22" t="str">
        <f t="shared" si="270"/>
        <v/>
      </c>
      <c r="N843" s="72"/>
      <c r="O843" s="16" t="str">
        <f t="shared" si="271"/>
        <v/>
      </c>
      <c r="P843" s="16" t="str">
        <f t="shared" si="272"/>
        <v/>
      </c>
      <c r="Q843" s="16" t="str">
        <f t="shared" si="273"/>
        <v/>
      </c>
      <c r="R843" s="23" t="str">
        <f t="shared" si="274"/>
        <v/>
      </c>
      <c r="S843" s="23" t="str">
        <f t="shared" si="275"/>
        <v/>
      </c>
      <c r="T843" s="23" t="str">
        <f t="shared" si="276"/>
        <v/>
      </c>
      <c r="U843" s="23" t="str">
        <f t="shared" si="277"/>
        <v/>
      </c>
      <c r="V843" s="23" t="str">
        <f t="shared" si="278"/>
        <v/>
      </c>
      <c r="W843" s="70" t="str">
        <f t="shared" si="279"/>
        <v/>
      </c>
      <c r="X843" s="70" t="str">
        <f t="shared" si="280"/>
        <v/>
      </c>
      <c r="Y843" s="70" t="str">
        <f>IF(AND($A843&lt;&gt;"",$E843&gt;0),isLaptopBag($C843,$J843)*$D843,"")</f>
        <v/>
      </c>
      <c r="Z843" s="70" t="str">
        <f t="shared" si="281"/>
        <v/>
      </c>
      <c r="AA843" s="70" t="str">
        <f t="shared" si="282"/>
        <v/>
      </c>
      <c r="AB843" s="70" t="str">
        <f t="shared" si="283"/>
        <v/>
      </c>
      <c r="AC843" s="70" t="str">
        <f t="shared" si="284"/>
        <v/>
      </c>
      <c r="AD843" s="70" t="str">
        <f t="shared" si="285"/>
        <v/>
      </c>
      <c r="AE843" s="70" t="str">
        <f t="shared" si="286"/>
        <v/>
      </c>
      <c r="AF843" s="16"/>
      <c r="AG843" s="23"/>
      <c r="AH843" s="22"/>
      <c r="AJ843" s="83">
        <f t="shared" si="287"/>
        <v>0</v>
      </c>
      <c r="AO843" s="22" t="str">
        <f t="shared" si="288"/>
        <v/>
      </c>
      <c r="AP843" s="22" t="str">
        <f t="shared" si="289"/>
        <v/>
      </c>
    </row>
    <row r="844" spans="1:42" x14ac:dyDescent="0.25">
      <c r="A844" s="10"/>
      <c r="B844" s="10"/>
      <c r="C844" s="10"/>
      <c r="D844" s="10"/>
      <c r="E844" s="10"/>
      <c r="F844" s="10"/>
      <c r="G844" s="10"/>
      <c r="H844" s="17"/>
      <c r="I844" s="10"/>
      <c r="J844" s="10"/>
      <c r="K844" s="16" t="str">
        <f t="shared" si="268"/>
        <v/>
      </c>
      <c r="L844" s="23" t="str">
        <f t="shared" si="269"/>
        <v/>
      </c>
      <c r="M844" s="22" t="str">
        <f t="shared" si="270"/>
        <v/>
      </c>
      <c r="N844" s="72"/>
      <c r="O844" s="16" t="str">
        <f t="shared" si="271"/>
        <v/>
      </c>
      <c r="P844" s="16" t="str">
        <f t="shared" si="272"/>
        <v/>
      </c>
      <c r="Q844" s="16" t="str">
        <f t="shared" si="273"/>
        <v/>
      </c>
      <c r="R844" s="23" t="str">
        <f t="shared" si="274"/>
        <v/>
      </c>
      <c r="S844" s="23" t="str">
        <f t="shared" si="275"/>
        <v/>
      </c>
      <c r="T844" s="23" t="str">
        <f t="shared" si="276"/>
        <v/>
      </c>
      <c r="U844" s="23" t="str">
        <f t="shared" si="277"/>
        <v/>
      </c>
      <c r="V844" s="23" t="str">
        <f t="shared" si="278"/>
        <v/>
      </c>
      <c r="W844" s="70" t="str">
        <f t="shared" si="279"/>
        <v/>
      </c>
      <c r="X844" s="70" t="str">
        <f t="shared" si="280"/>
        <v/>
      </c>
      <c r="Y844" s="70" t="str">
        <f>IF(AND($A844&lt;&gt;"",$E844&gt;0),isLaptopBag($C844,$J844)*$D844,"")</f>
        <v/>
      </c>
      <c r="Z844" s="70" t="str">
        <f t="shared" si="281"/>
        <v/>
      </c>
      <c r="AA844" s="70" t="str">
        <f t="shared" si="282"/>
        <v/>
      </c>
      <c r="AB844" s="70" t="str">
        <f t="shared" si="283"/>
        <v/>
      </c>
      <c r="AC844" s="70" t="str">
        <f t="shared" si="284"/>
        <v/>
      </c>
      <c r="AD844" s="70" t="str">
        <f t="shared" si="285"/>
        <v/>
      </c>
      <c r="AE844" s="70" t="str">
        <f t="shared" si="286"/>
        <v/>
      </c>
      <c r="AF844" s="16"/>
      <c r="AG844" s="23"/>
      <c r="AH844" s="22"/>
      <c r="AJ844" s="83">
        <f t="shared" si="287"/>
        <v>0</v>
      </c>
      <c r="AO844" s="22" t="str">
        <f t="shared" si="288"/>
        <v/>
      </c>
      <c r="AP844" s="22" t="str">
        <f t="shared" si="289"/>
        <v/>
      </c>
    </row>
    <row r="845" spans="1:42" x14ac:dyDescent="0.25">
      <c r="A845" s="10"/>
      <c r="B845" s="10"/>
      <c r="C845" s="10"/>
      <c r="D845" s="10"/>
      <c r="E845" s="10"/>
      <c r="F845" s="10"/>
      <c r="G845" s="10"/>
      <c r="H845" s="17"/>
      <c r="I845" s="10"/>
      <c r="J845" s="10"/>
      <c r="K845" s="16" t="str">
        <f t="shared" ref="K845:K908" si="290">IF($AF845&lt;&gt;"",$AF845,IF(AND($A845&lt;&gt;"",$E845&gt;0),SUM($O845:$Q845),""))</f>
        <v/>
      </c>
      <c r="L845" s="23" t="str">
        <f t="shared" ref="L845:L908" si="291">IF($AG845&lt;&gt;"",$AG845,IF(AND($A845&lt;&gt;"",$E845&gt;0),SUM($R845:$V845),""))</f>
        <v/>
      </c>
      <c r="M845" s="22" t="str">
        <f t="shared" ref="M845:M908" si="292">IF($AH845&lt;&gt;"",$AH845,IF(AND($A845&lt;&gt;"",$E845&gt;0),SUM($W845:$AE845)+$AO845+$AP845,""))</f>
        <v/>
      </c>
      <c r="N845" s="72"/>
      <c r="O845" s="16" t="str">
        <f t="shared" ref="O845:O908" si="293">IF(AND($A845&lt;&gt;"",$E845&gt;0),IF(AND($J845="SONY",200000&lt;=$E845,$E845&lt;1000000),5000*$D845,0),"")</f>
        <v/>
      </c>
      <c r="P845" s="16" t="str">
        <f t="shared" ref="P845:P908" si="294">IF(AND($A845&lt;&gt;"",$E845&gt;0),IF(AND($J845="SONY",1000000&lt;=$E845,$E845&lt;2000000),10000*$D845,0),"")</f>
        <v/>
      </c>
      <c r="Q845" s="16" t="str">
        <f t="shared" ref="Q845:Q908" si="295">IF(AND($A845&lt;&gt;"",$E845&gt;0),IF(AND($J845="SONY",$E845&gt;=2000000),20000*$D845,0),"")</f>
        <v/>
      </c>
      <c r="R845" s="23" t="str">
        <f t="shared" ref="R845:R908" si="296">IF(AND($A845&lt;&gt;"",$E845&gt;0),IF(AND($J845&lt;&gt;"SONY",100000&lt;=$E845,$E845&lt;200000),5000*$D845,0),"")</f>
        <v/>
      </c>
      <c r="S845" s="23" t="str">
        <f t="shared" ref="S845:S908" si="297">IF(AND($A845&lt;&gt;"",$E845&gt;0),IF(AND($J845&lt;&gt;"SONY",200000&lt;=$E845,$E845&lt;500000),10000*$D845,0),"")</f>
        <v/>
      </c>
      <c r="T845" s="23" t="str">
        <f t="shared" ref="T845:T908" si="298">IF(AND($A845&lt;&gt;"",$E845&gt;0),IF(AND($J845&lt;&gt;"SONY",500000&lt;=$E845,$E845&lt;1000000),20000*$D845,0),"")</f>
        <v/>
      </c>
      <c r="U845" s="23" t="str">
        <f t="shared" ref="U845:U908" si="299">IF(AND($A845&lt;&gt;"",$E845&gt;0),IF(AND($J845&lt;&gt;"SONY",1000000&lt;=$E845,$E845&lt;1500000),50000*$D845,0),"")</f>
        <v/>
      </c>
      <c r="V845" s="23" t="str">
        <f t="shared" ref="V845:V908" si="300">IF(AND($A845&lt;&gt;"",$E845&gt;0),IF(AND($J845&lt;&gt;"SONY",1500000&lt;=$E845),100000*$D845,0),"")</f>
        <v/>
      </c>
      <c r="W845" s="70" t="str">
        <f t="shared" ref="W845:W908" si="301">IF(AND($E845&gt;0,$J845="ELECOM",$E845&gt;=500000,ISNUMBER(SEARCH("tai nghe",$C845))),20000*$D845,IF($A845&lt;&gt;"",0,""))</f>
        <v/>
      </c>
      <c r="X845" s="70" t="str">
        <f t="shared" ref="X845:X908" si="302">IF(AND($E845&gt;0,$J845="ELECOM",ISNUMBER(SEARCH("loa",$C845))),20000*$D845,IF($A845&lt;&gt;"",0,""))</f>
        <v/>
      </c>
      <c r="Y845" s="70" t="str">
        <f>IF(AND($A845&lt;&gt;"",$E845&gt;0),isLaptopBag($C845,$J845)*$D845,"")</f>
        <v/>
      </c>
      <c r="Z845" s="70" t="str">
        <f t="shared" ref="Z845:Z908" si="303">IF(AND($E845&gt;0,$J845="ELECOM",ISNUMBER(SEARCH("ốp",$C845))),20000*$D845,IF($A845&lt;&gt;"",0,""))</f>
        <v/>
      </c>
      <c r="AA845" s="70" t="str">
        <f t="shared" ref="AA845:AA908" si="304">IF(AND($E845&gt;0,$J845="ELECOM",ISNUMBER(SEARCH("Bút",$C845))),20000*$D845,IF($A845&lt;&gt;"",0,""))</f>
        <v/>
      </c>
      <c r="AB845" s="70" t="str">
        <f t="shared" ref="AB845:AB908" si="305">IF(AND($E845&gt;0,$J845="ELECOM",ISNUMBER(SEARCH("Chuột bi",$C845))),20000*$D845,IF($A845&lt;&gt;"",0,""))</f>
        <v/>
      </c>
      <c r="AC845" s="70" t="str">
        <f t="shared" ref="AC845:AC908" si="306">IF(AND($E845&gt;0,$J845="ELECOM",ISNUMBER(SEARCH("Chuột trackball",$C845))),20000*$D845,IF($A845&lt;&gt;"",0,""))</f>
        <v/>
      </c>
      <c r="AD845" s="70" t="str">
        <f t="shared" ref="AD845:AD908" si="307">IF(AND($E845&gt;0,$J845="ELECOM",ISNUMBER(SEARCH("Sạc không dây",$C845))),20000*$D845,IF($A845&lt;&gt;"",0,""))</f>
        <v/>
      </c>
      <c r="AE845" s="70" t="str">
        <f t="shared" ref="AE845:AE908" si="308">IF(AND($E845&gt;0,$J845="ELECOM",ISNUMBER(SEARCH("Sạc kd",$C845))),20000*$D845,IF($A845&lt;&gt;"",0,""))</f>
        <v/>
      </c>
      <c r="AF845" s="16"/>
      <c r="AG845" s="23"/>
      <c r="AH845" s="22"/>
      <c r="AJ845" s="83">
        <f t="shared" ref="AJ845:AJ908" si="309">DAY(H845)</f>
        <v>0</v>
      </c>
      <c r="AO845" s="22" t="str">
        <f t="shared" ref="AO845:AO908" si="310">IF(AND($E845&gt;0,ISNUMBER(SEARCH("Sạc dự phòng Energizer",$C845))),10000*$D845,IF($A845&lt;&gt;"",0,""))</f>
        <v/>
      </c>
      <c r="AP845" s="22" t="str">
        <f t="shared" ref="AP845:AP908" si="311">IF(AND($E845&gt;0,ISNUMBER(SEARCH("SDP Energizer",$C845))),10000*$D845,IF($A845&lt;&gt;"",0,""))</f>
        <v/>
      </c>
    </row>
    <row r="846" spans="1:42" x14ac:dyDescent="0.25">
      <c r="A846" s="10"/>
      <c r="B846" s="10"/>
      <c r="C846" s="10"/>
      <c r="D846" s="10"/>
      <c r="E846" s="10"/>
      <c r="F846" s="10"/>
      <c r="G846" s="10"/>
      <c r="H846" s="17"/>
      <c r="I846" s="10"/>
      <c r="J846" s="10"/>
      <c r="K846" s="16" t="str">
        <f t="shared" si="290"/>
        <v/>
      </c>
      <c r="L846" s="23" t="str">
        <f t="shared" si="291"/>
        <v/>
      </c>
      <c r="M846" s="22" t="str">
        <f t="shared" si="292"/>
        <v/>
      </c>
      <c r="N846" s="72"/>
      <c r="O846" s="16" t="str">
        <f t="shared" si="293"/>
        <v/>
      </c>
      <c r="P846" s="16" t="str">
        <f t="shared" si="294"/>
        <v/>
      </c>
      <c r="Q846" s="16" t="str">
        <f t="shared" si="295"/>
        <v/>
      </c>
      <c r="R846" s="23" t="str">
        <f t="shared" si="296"/>
        <v/>
      </c>
      <c r="S846" s="23" t="str">
        <f t="shared" si="297"/>
        <v/>
      </c>
      <c r="T846" s="23" t="str">
        <f t="shared" si="298"/>
        <v/>
      </c>
      <c r="U846" s="23" t="str">
        <f t="shared" si="299"/>
        <v/>
      </c>
      <c r="V846" s="23" t="str">
        <f t="shared" si="300"/>
        <v/>
      </c>
      <c r="W846" s="70" t="str">
        <f t="shared" si="301"/>
        <v/>
      </c>
      <c r="X846" s="70" t="str">
        <f t="shared" si="302"/>
        <v/>
      </c>
      <c r="Y846" s="70" t="str">
        <f>IF(AND($A846&lt;&gt;"",$E846&gt;0),isLaptopBag($C846,$J846)*$D846,"")</f>
        <v/>
      </c>
      <c r="Z846" s="70" t="str">
        <f t="shared" si="303"/>
        <v/>
      </c>
      <c r="AA846" s="70" t="str">
        <f t="shared" si="304"/>
        <v/>
      </c>
      <c r="AB846" s="70" t="str">
        <f t="shared" si="305"/>
        <v/>
      </c>
      <c r="AC846" s="70" t="str">
        <f t="shared" si="306"/>
        <v/>
      </c>
      <c r="AD846" s="70" t="str">
        <f t="shared" si="307"/>
        <v/>
      </c>
      <c r="AE846" s="70" t="str">
        <f t="shared" si="308"/>
        <v/>
      </c>
      <c r="AF846" s="16"/>
      <c r="AG846" s="23"/>
      <c r="AH846" s="22"/>
      <c r="AJ846" s="83">
        <f t="shared" si="309"/>
        <v>0</v>
      </c>
      <c r="AO846" s="22" t="str">
        <f t="shared" si="310"/>
        <v/>
      </c>
      <c r="AP846" s="22" t="str">
        <f t="shared" si="311"/>
        <v/>
      </c>
    </row>
    <row r="847" spans="1:42" x14ac:dyDescent="0.25">
      <c r="A847" s="10"/>
      <c r="B847" s="10"/>
      <c r="C847" s="10"/>
      <c r="D847" s="10"/>
      <c r="E847" s="10"/>
      <c r="F847" s="10"/>
      <c r="G847" s="10"/>
      <c r="H847" s="17"/>
      <c r="I847" s="10"/>
      <c r="J847" s="10"/>
      <c r="K847" s="16" t="str">
        <f t="shared" si="290"/>
        <v/>
      </c>
      <c r="L847" s="23" t="str">
        <f t="shared" si="291"/>
        <v/>
      </c>
      <c r="M847" s="22" t="str">
        <f t="shared" si="292"/>
        <v/>
      </c>
      <c r="N847" s="72"/>
      <c r="O847" s="16" t="str">
        <f t="shared" si="293"/>
        <v/>
      </c>
      <c r="P847" s="16" t="str">
        <f t="shared" si="294"/>
        <v/>
      </c>
      <c r="Q847" s="16" t="str">
        <f t="shared" si="295"/>
        <v/>
      </c>
      <c r="R847" s="23" t="str">
        <f t="shared" si="296"/>
        <v/>
      </c>
      <c r="S847" s="23" t="str">
        <f t="shared" si="297"/>
        <v/>
      </c>
      <c r="T847" s="23" t="str">
        <f t="shared" si="298"/>
        <v/>
      </c>
      <c r="U847" s="23" t="str">
        <f t="shared" si="299"/>
        <v/>
      </c>
      <c r="V847" s="23" t="str">
        <f t="shared" si="300"/>
        <v/>
      </c>
      <c r="W847" s="70" t="str">
        <f t="shared" si="301"/>
        <v/>
      </c>
      <c r="X847" s="70" t="str">
        <f t="shared" si="302"/>
        <v/>
      </c>
      <c r="Y847" s="70" t="str">
        <f>IF(AND($A847&lt;&gt;"",$E847&gt;0),isLaptopBag($C847,$J847)*$D847,"")</f>
        <v/>
      </c>
      <c r="Z847" s="70" t="str">
        <f t="shared" si="303"/>
        <v/>
      </c>
      <c r="AA847" s="70" t="str">
        <f t="shared" si="304"/>
        <v/>
      </c>
      <c r="AB847" s="70" t="str">
        <f t="shared" si="305"/>
        <v/>
      </c>
      <c r="AC847" s="70" t="str">
        <f t="shared" si="306"/>
        <v/>
      </c>
      <c r="AD847" s="70" t="str">
        <f t="shared" si="307"/>
        <v/>
      </c>
      <c r="AE847" s="70" t="str">
        <f t="shared" si="308"/>
        <v/>
      </c>
      <c r="AF847" s="16"/>
      <c r="AG847" s="23"/>
      <c r="AH847" s="22"/>
      <c r="AJ847" s="83">
        <f t="shared" si="309"/>
        <v>0</v>
      </c>
      <c r="AO847" s="22" t="str">
        <f t="shared" si="310"/>
        <v/>
      </c>
      <c r="AP847" s="22" t="str">
        <f t="shared" si="311"/>
        <v/>
      </c>
    </row>
    <row r="848" spans="1:42" x14ac:dyDescent="0.25">
      <c r="A848" s="10"/>
      <c r="B848" s="10"/>
      <c r="C848" s="10"/>
      <c r="D848" s="10"/>
      <c r="E848" s="10"/>
      <c r="F848" s="10"/>
      <c r="G848" s="10"/>
      <c r="H848" s="17"/>
      <c r="I848" s="10"/>
      <c r="J848" s="10"/>
      <c r="K848" s="16" t="str">
        <f t="shared" si="290"/>
        <v/>
      </c>
      <c r="L848" s="23" t="str">
        <f t="shared" si="291"/>
        <v/>
      </c>
      <c r="M848" s="22" t="str">
        <f t="shared" si="292"/>
        <v/>
      </c>
      <c r="N848" s="72"/>
      <c r="O848" s="16" t="str">
        <f t="shared" si="293"/>
        <v/>
      </c>
      <c r="P848" s="16" t="str">
        <f t="shared" si="294"/>
        <v/>
      </c>
      <c r="Q848" s="16" t="str">
        <f t="shared" si="295"/>
        <v/>
      </c>
      <c r="R848" s="23" t="str">
        <f t="shared" si="296"/>
        <v/>
      </c>
      <c r="S848" s="23" t="str">
        <f t="shared" si="297"/>
        <v/>
      </c>
      <c r="T848" s="23" t="str">
        <f t="shared" si="298"/>
        <v/>
      </c>
      <c r="U848" s="23" t="str">
        <f t="shared" si="299"/>
        <v/>
      </c>
      <c r="V848" s="23" t="str">
        <f t="shared" si="300"/>
        <v/>
      </c>
      <c r="W848" s="70" t="str">
        <f t="shared" si="301"/>
        <v/>
      </c>
      <c r="X848" s="70" t="str">
        <f t="shared" si="302"/>
        <v/>
      </c>
      <c r="Y848" s="70" t="str">
        <f>IF(AND($A848&lt;&gt;"",$E848&gt;0),isLaptopBag($C848,$J848)*$D848,"")</f>
        <v/>
      </c>
      <c r="Z848" s="70" t="str">
        <f t="shared" si="303"/>
        <v/>
      </c>
      <c r="AA848" s="70" t="str">
        <f t="shared" si="304"/>
        <v/>
      </c>
      <c r="AB848" s="70" t="str">
        <f t="shared" si="305"/>
        <v/>
      </c>
      <c r="AC848" s="70" t="str">
        <f t="shared" si="306"/>
        <v/>
      </c>
      <c r="AD848" s="70" t="str">
        <f t="shared" si="307"/>
        <v/>
      </c>
      <c r="AE848" s="70" t="str">
        <f t="shared" si="308"/>
        <v/>
      </c>
      <c r="AF848" s="16"/>
      <c r="AG848" s="23"/>
      <c r="AH848" s="22"/>
      <c r="AJ848" s="83">
        <f t="shared" si="309"/>
        <v>0</v>
      </c>
      <c r="AO848" s="22" t="str">
        <f t="shared" si="310"/>
        <v/>
      </c>
      <c r="AP848" s="22" t="str">
        <f t="shared" si="311"/>
        <v/>
      </c>
    </row>
    <row r="849" spans="1:42" x14ac:dyDescent="0.25">
      <c r="A849" s="10"/>
      <c r="B849" s="10"/>
      <c r="C849" s="10"/>
      <c r="D849" s="10"/>
      <c r="E849" s="10"/>
      <c r="F849" s="10"/>
      <c r="G849" s="10"/>
      <c r="H849" s="17"/>
      <c r="I849" s="10"/>
      <c r="J849" s="10"/>
      <c r="K849" s="16" t="str">
        <f t="shared" si="290"/>
        <v/>
      </c>
      <c r="L849" s="23" t="str">
        <f t="shared" si="291"/>
        <v/>
      </c>
      <c r="M849" s="22" t="str">
        <f t="shared" si="292"/>
        <v/>
      </c>
      <c r="N849" s="72"/>
      <c r="O849" s="16" t="str">
        <f t="shared" si="293"/>
        <v/>
      </c>
      <c r="P849" s="16" t="str">
        <f t="shared" si="294"/>
        <v/>
      </c>
      <c r="Q849" s="16" t="str">
        <f t="shared" si="295"/>
        <v/>
      </c>
      <c r="R849" s="23" t="str">
        <f t="shared" si="296"/>
        <v/>
      </c>
      <c r="S849" s="23" t="str">
        <f t="shared" si="297"/>
        <v/>
      </c>
      <c r="T849" s="23" t="str">
        <f t="shared" si="298"/>
        <v/>
      </c>
      <c r="U849" s="23" t="str">
        <f t="shared" si="299"/>
        <v/>
      </c>
      <c r="V849" s="23" t="str">
        <f t="shared" si="300"/>
        <v/>
      </c>
      <c r="W849" s="70" t="str">
        <f t="shared" si="301"/>
        <v/>
      </c>
      <c r="X849" s="70" t="str">
        <f t="shared" si="302"/>
        <v/>
      </c>
      <c r="Y849" s="70" t="str">
        <f>IF(AND($A849&lt;&gt;"",$E849&gt;0),isLaptopBag($C849,$J849)*$D849,"")</f>
        <v/>
      </c>
      <c r="Z849" s="70" t="str">
        <f t="shared" si="303"/>
        <v/>
      </c>
      <c r="AA849" s="70" t="str">
        <f t="shared" si="304"/>
        <v/>
      </c>
      <c r="AB849" s="70" t="str">
        <f t="shared" si="305"/>
        <v/>
      </c>
      <c r="AC849" s="70" t="str">
        <f t="shared" si="306"/>
        <v/>
      </c>
      <c r="AD849" s="70" t="str">
        <f t="shared" si="307"/>
        <v/>
      </c>
      <c r="AE849" s="70" t="str">
        <f t="shared" si="308"/>
        <v/>
      </c>
      <c r="AF849" s="16"/>
      <c r="AG849" s="23"/>
      <c r="AH849" s="22"/>
      <c r="AJ849" s="83">
        <f t="shared" si="309"/>
        <v>0</v>
      </c>
      <c r="AO849" s="22" t="str">
        <f t="shared" si="310"/>
        <v/>
      </c>
      <c r="AP849" s="22" t="str">
        <f t="shared" si="311"/>
        <v/>
      </c>
    </row>
    <row r="850" spans="1:42" x14ac:dyDescent="0.25">
      <c r="A850" s="10"/>
      <c r="B850" s="10"/>
      <c r="C850" s="10"/>
      <c r="D850" s="10"/>
      <c r="E850" s="10"/>
      <c r="F850" s="10"/>
      <c r="G850" s="10"/>
      <c r="H850" s="17"/>
      <c r="I850" s="10"/>
      <c r="J850" s="10"/>
      <c r="K850" s="16" t="str">
        <f t="shared" si="290"/>
        <v/>
      </c>
      <c r="L850" s="23" t="str">
        <f t="shared" si="291"/>
        <v/>
      </c>
      <c r="M850" s="22" t="str">
        <f t="shared" si="292"/>
        <v/>
      </c>
      <c r="N850" s="72"/>
      <c r="O850" s="16" t="str">
        <f t="shared" si="293"/>
        <v/>
      </c>
      <c r="P850" s="16" t="str">
        <f t="shared" si="294"/>
        <v/>
      </c>
      <c r="Q850" s="16" t="str">
        <f t="shared" si="295"/>
        <v/>
      </c>
      <c r="R850" s="23" t="str">
        <f t="shared" si="296"/>
        <v/>
      </c>
      <c r="S850" s="23" t="str">
        <f t="shared" si="297"/>
        <v/>
      </c>
      <c r="T850" s="23" t="str">
        <f t="shared" si="298"/>
        <v/>
      </c>
      <c r="U850" s="23" t="str">
        <f t="shared" si="299"/>
        <v/>
      </c>
      <c r="V850" s="23" t="str">
        <f t="shared" si="300"/>
        <v/>
      </c>
      <c r="W850" s="70" t="str">
        <f t="shared" si="301"/>
        <v/>
      </c>
      <c r="X850" s="70" t="str">
        <f t="shared" si="302"/>
        <v/>
      </c>
      <c r="Y850" s="70" t="str">
        <f>IF(AND($A850&lt;&gt;"",$E850&gt;0),isLaptopBag($C850,$J850)*$D850,"")</f>
        <v/>
      </c>
      <c r="Z850" s="70" t="str">
        <f t="shared" si="303"/>
        <v/>
      </c>
      <c r="AA850" s="70" t="str">
        <f t="shared" si="304"/>
        <v/>
      </c>
      <c r="AB850" s="70" t="str">
        <f t="shared" si="305"/>
        <v/>
      </c>
      <c r="AC850" s="70" t="str">
        <f t="shared" si="306"/>
        <v/>
      </c>
      <c r="AD850" s="70" t="str">
        <f t="shared" si="307"/>
        <v/>
      </c>
      <c r="AE850" s="70" t="str">
        <f t="shared" si="308"/>
        <v/>
      </c>
      <c r="AF850" s="16"/>
      <c r="AG850" s="23"/>
      <c r="AH850" s="22"/>
      <c r="AJ850" s="83">
        <f t="shared" si="309"/>
        <v>0</v>
      </c>
      <c r="AO850" s="22" t="str">
        <f t="shared" si="310"/>
        <v/>
      </c>
      <c r="AP850" s="22" t="str">
        <f t="shared" si="311"/>
        <v/>
      </c>
    </row>
    <row r="851" spans="1:42" x14ac:dyDescent="0.25">
      <c r="A851" s="10"/>
      <c r="B851" s="10"/>
      <c r="C851" s="10"/>
      <c r="D851" s="10"/>
      <c r="E851" s="10"/>
      <c r="F851" s="10"/>
      <c r="G851" s="10"/>
      <c r="H851" s="17"/>
      <c r="I851" s="10"/>
      <c r="J851" s="10"/>
      <c r="K851" s="16" t="str">
        <f t="shared" si="290"/>
        <v/>
      </c>
      <c r="L851" s="23" t="str">
        <f t="shared" si="291"/>
        <v/>
      </c>
      <c r="M851" s="22" t="str">
        <f t="shared" si="292"/>
        <v/>
      </c>
      <c r="N851" s="72"/>
      <c r="O851" s="16" t="str">
        <f t="shared" si="293"/>
        <v/>
      </c>
      <c r="P851" s="16" t="str">
        <f t="shared" si="294"/>
        <v/>
      </c>
      <c r="Q851" s="16" t="str">
        <f t="shared" si="295"/>
        <v/>
      </c>
      <c r="R851" s="23" t="str">
        <f t="shared" si="296"/>
        <v/>
      </c>
      <c r="S851" s="23" t="str">
        <f t="shared" si="297"/>
        <v/>
      </c>
      <c r="T851" s="23" t="str">
        <f t="shared" si="298"/>
        <v/>
      </c>
      <c r="U851" s="23" t="str">
        <f t="shared" si="299"/>
        <v/>
      </c>
      <c r="V851" s="23" t="str">
        <f t="shared" si="300"/>
        <v/>
      </c>
      <c r="W851" s="70" t="str">
        <f t="shared" si="301"/>
        <v/>
      </c>
      <c r="X851" s="70" t="str">
        <f t="shared" si="302"/>
        <v/>
      </c>
      <c r="Y851" s="70" t="str">
        <f>IF(AND($A851&lt;&gt;"",$E851&gt;0),isLaptopBag($C851,$J851)*$D851,"")</f>
        <v/>
      </c>
      <c r="Z851" s="70" t="str">
        <f t="shared" si="303"/>
        <v/>
      </c>
      <c r="AA851" s="70" t="str">
        <f t="shared" si="304"/>
        <v/>
      </c>
      <c r="AB851" s="70" t="str">
        <f t="shared" si="305"/>
        <v/>
      </c>
      <c r="AC851" s="70" t="str">
        <f t="shared" si="306"/>
        <v/>
      </c>
      <c r="AD851" s="70" t="str">
        <f t="shared" si="307"/>
        <v/>
      </c>
      <c r="AE851" s="70" t="str">
        <f t="shared" si="308"/>
        <v/>
      </c>
      <c r="AF851" s="16"/>
      <c r="AG851" s="23"/>
      <c r="AH851" s="22"/>
      <c r="AJ851" s="83">
        <f t="shared" si="309"/>
        <v>0</v>
      </c>
      <c r="AO851" s="22" t="str">
        <f t="shared" si="310"/>
        <v/>
      </c>
      <c r="AP851" s="22" t="str">
        <f t="shared" si="311"/>
        <v/>
      </c>
    </row>
    <row r="852" spans="1:42" x14ac:dyDescent="0.25">
      <c r="A852" s="10"/>
      <c r="B852" s="10"/>
      <c r="C852" s="10"/>
      <c r="D852" s="10"/>
      <c r="E852" s="10"/>
      <c r="F852" s="10"/>
      <c r="G852" s="10"/>
      <c r="H852" s="17"/>
      <c r="I852" s="10"/>
      <c r="J852" s="10"/>
      <c r="K852" s="16" t="str">
        <f t="shared" si="290"/>
        <v/>
      </c>
      <c r="L852" s="23" t="str">
        <f t="shared" si="291"/>
        <v/>
      </c>
      <c r="M852" s="22" t="str">
        <f t="shared" si="292"/>
        <v/>
      </c>
      <c r="N852" s="72"/>
      <c r="O852" s="16" t="str">
        <f t="shared" si="293"/>
        <v/>
      </c>
      <c r="P852" s="16" t="str">
        <f t="shared" si="294"/>
        <v/>
      </c>
      <c r="Q852" s="16" t="str">
        <f t="shared" si="295"/>
        <v/>
      </c>
      <c r="R852" s="23" t="str">
        <f t="shared" si="296"/>
        <v/>
      </c>
      <c r="S852" s="23" t="str">
        <f t="shared" si="297"/>
        <v/>
      </c>
      <c r="T852" s="23" t="str">
        <f t="shared" si="298"/>
        <v/>
      </c>
      <c r="U852" s="23" t="str">
        <f t="shared" si="299"/>
        <v/>
      </c>
      <c r="V852" s="23" t="str">
        <f t="shared" si="300"/>
        <v/>
      </c>
      <c r="W852" s="70" t="str">
        <f t="shared" si="301"/>
        <v/>
      </c>
      <c r="X852" s="70" t="str">
        <f t="shared" si="302"/>
        <v/>
      </c>
      <c r="Y852" s="70" t="str">
        <f>IF(AND($A852&lt;&gt;"",$E852&gt;0),isLaptopBag($C852,$J852)*$D852,"")</f>
        <v/>
      </c>
      <c r="Z852" s="70" t="str">
        <f t="shared" si="303"/>
        <v/>
      </c>
      <c r="AA852" s="70" t="str">
        <f t="shared" si="304"/>
        <v/>
      </c>
      <c r="AB852" s="70" t="str">
        <f t="shared" si="305"/>
        <v/>
      </c>
      <c r="AC852" s="70" t="str">
        <f t="shared" si="306"/>
        <v/>
      </c>
      <c r="AD852" s="70" t="str">
        <f t="shared" si="307"/>
        <v/>
      </c>
      <c r="AE852" s="70" t="str">
        <f t="shared" si="308"/>
        <v/>
      </c>
      <c r="AF852" s="16"/>
      <c r="AG852" s="23"/>
      <c r="AH852" s="22"/>
      <c r="AJ852" s="83">
        <f t="shared" si="309"/>
        <v>0</v>
      </c>
      <c r="AO852" s="22" t="str">
        <f t="shared" si="310"/>
        <v/>
      </c>
      <c r="AP852" s="22" t="str">
        <f t="shared" si="311"/>
        <v/>
      </c>
    </row>
    <row r="853" spans="1:42" x14ac:dyDescent="0.25">
      <c r="A853" s="10"/>
      <c r="B853" s="10"/>
      <c r="C853" s="10"/>
      <c r="D853" s="10"/>
      <c r="E853" s="10"/>
      <c r="F853" s="10"/>
      <c r="G853" s="10"/>
      <c r="H853" s="17"/>
      <c r="I853" s="10"/>
      <c r="J853" s="10"/>
      <c r="K853" s="16" t="str">
        <f t="shared" si="290"/>
        <v/>
      </c>
      <c r="L853" s="23" t="str">
        <f t="shared" si="291"/>
        <v/>
      </c>
      <c r="M853" s="22" t="str">
        <f t="shared" si="292"/>
        <v/>
      </c>
      <c r="N853" s="72"/>
      <c r="O853" s="16" t="str">
        <f t="shared" si="293"/>
        <v/>
      </c>
      <c r="P853" s="16" t="str">
        <f t="shared" si="294"/>
        <v/>
      </c>
      <c r="Q853" s="16" t="str">
        <f t="shared" si="295"/>
        <v/>
      </c>
      <c r="R853" s="23" t="str">
        <f t="shared" si="296"/>
        <v/>
      </c>
      <c r="S853" s="23" t="str">
        <f t="shared" si="297"/>
        <v/>
      </c>
      <c r="T853" s="23" t="str">
        <f t="shared" si="298"/>
        <v/>
      </c>
      <c r="U853" s="23" t="str">
        <f t="shared" si="299"/>
        <v/>
      </c>
      <c r="V853" s="23" t="str">
        <f t="shared" si="300"/>
        <v/>
      </c>
      <c r="W853" s="70" t="str">
        <f t="shared" si="301"/>
        <v/>
      </c>
      <c r="X853" s="70" t="str">
        <f t="shared" si="302"/>
        <v/>
      </c>
      <c r="Y853" s="70" t="str">
        <f>IF(AND($A853&lt;&gt;"",$E853&gt;0),isLaptopBag($C853,$J853)*$D853,"")</f>
        <v/>
      </c>
      <c r="Z853" s="70" t="str">
        <f t="shared" si="303"/>
        <v/>
      </c>
      <c r="AA853" s="70" t="str">
        <f t="shared" si="304"/>
        <v/>
      </c>
      <c r="AB853" s="70" t="str">
        <f t="shared" si="305"/>
        <v/>
      </c>
      <c r="AC853" s="70" t="str">
        <f t="shared" si="306"/>
        <v/>
      </c>
      <c r="AD853" s="70" t="str">
        <f t="shared" si="307"/>
        <v/>
      </c>
      <c r="AE853" s="70" t="str">
        <f t="shared" si="308"/>
        <v/>
      </c>
      <c r="AF853" s="16"/>
      <c r="AG853" s="23"/>
      <c r="AH853" s="22"/>
      <c r="AJ853" s="83">
        <f t="shared" si="309"/>
        <v>0</v>
      </c>
      <c r="AO853" s="22" t="str">
        <f t="shared" si="310"/>
        <v/>
      </c>
      <c r="AP853" s="22" t="str">
        <f t="shared" si="311"/>
        <v/>
      </c>
    </row>
    <row r="854" spans="1:42" x14ac:dyDescent="0.25">
      <c r="A854" s="10"/>
      <c r="B854" s="10"/>
      <c r="C854" s="10"/>
      <c r="D854" s="10"/>
      <c r="E854" s="10"/>
      <c r="F854" s="10"/>
      <c r="G854" s="10"/>
      <c r="H854" s="17"/>
      <c r="I854" s="10"/>
      <c r="J854" s="10"/>
      <c r="K854" s="16" t="str">
        <f t="shared" si="290"/>
        <v/>
      </c>
      <c r="L854" s="23" t="str">
        <f t="shared" si="291"/>
        <v/>
      </c>
      <c r="M854" s="22" t="str">
        <f t="shared" si="292"/>
        <v/>
      </c>
      <c r="N854" s="72"/>
      <c r="O854" s="16" t="str">
        <f t="shared" si="293"/>
        <v/>
      </c>
      <c r="P854" s="16" t="str">
        <f t="shared" si="294"/>
        <v/>
      </c>
      <c r="Q854" s="16" t="str">
        <f t="shared" si="295"/>
        <v/>
      </c>
      <c r="R854" s="23" t="str">
        <f t="shared" si="296"/>
        <v/>
      </c>
      <c r="S854" s="23" t="str">
        <f t="shared" si="297"/>
        <v/>
      </c>
      <c r="T854" s="23" t="str">
        <f t="shared" si="298"/>
        <v/>
      </c>
      <c r="U854" s="23" t="str">
        <f t="shared" si="299"/>
        <v/>
      </c>
      <c r="V854" s="23" t="str">
        <f t="shared" si="300"/>
        <v/>
      </c>
      <c r="W854" s="70" t="str">
        <f t="shared" si="301"/>
        <v/>
      </c>
      <c r="X854" s="70" t="str">
        <f t="shared" si="302"/>
        <v/>
      </c>
      <c r="Y854" s="70" t="str">
        <f>IF(AND($A854&lt;&gt;"",$E854&gt;0),isLaptopBag($C854,$J854)*$D854,"")</f>
        <v/>
      </c>
      <c r="Z854" s="70" t="str">
        <f t="shared" si="303"/>
        <v/>
      </c>
      <c r="AA854" s="70" t="str">
        <f t="shared" si="304"/>
        <v/>
      </c>
      <c r="AB854" s="70" t="str">
        <f t="shared" si="305"/>
        <v/>
      </c>
      <c r="AC854" s="70" t="str">
        <f t="shared" si="306"/>
        <v/>
      </c>
      <c r="AD854" s="70" t="str">
        <f t="shared" si="307"/>
        <v/>
      </c>
      <c r="AE854" s="70" t="str">
        <f t="shared" si="308"/>
        <v/>
      </c>
      <c r="AF854" s="16"/>
      <c r="AG854" s="23"/>
      <c r="AH854" s="22"/>
      <c r="AJ854" s="83">
        <f t="shared" si="309"/>
        <v>0</v>
      </c>
      <c r="AO854" s="22" t="str">
        <f t="shared" si="310"/>
        <v/>
      </c>
      <c r="AP854" s="22" t="str">
        <f t="shared" si="311"/>
        <v/>
      </c>
    </row>
    <row r="855" spans="1:42" x14ac:dyDescent="0.25">
      <c r="A855" s="10"/>
      <c r="B855" s="10"/>
      <c r="C855" s="10"/>
      <c r="D855" s="10"/>
      <c r="E855" s="10"/>
      <c r="F855" s="10"/>
      <c r="G855" s="10"/>
      <c r="H855" s="17"/>
      <c r="I855" s="10"/>
      <c r="J855" s="10"/>
      <c r="K855" s="16" t="str">
        <f t="shared" si="290"/>
        <v/>
      </c>
      <c r="L855" s="23" t="str">
        <f t="shared" si="291"/>
        <v/>
      </c>
      <c r="M855" s="22" t="str">
        <f t="shared" si="292"/>
        <v/>
      </c>
      <c r="N855" s="72"/>
      <c r="O855" s="16" t="str">
        <f t="shared" si="293"/>
        <v/>
      </c>
      <c r="P855" s="16" t="str">
        <f t="shared" si="294"/>
        <v/>
      </c>
      <c r="Q855" s="16" t="str">
        <f t="shared" si="295"/>
        <v/>
      </c>
      <c r="R855" s="23" t="str">
        <f t="shared" si="296"/>
        <v/>
      </c>
      <c r="S855" s="23" t="str">
        <f t="shared" si="297"/>
        <v/>
      </c>
      <c r="T855" s="23" t="str">
        <f t="shared" si="298"/>
        <v/>
      </c>
      <c r="U855" s="23" t="str">
        <f t="shared" si="299"/>
        <v/>
      </c>
      <c r="V855" s="23" t="str">
        <f t="shared" si="300"/>
        <v/>
      </c>
      <c r="W855" s="70" t="str">
        <f t="shared" si="301"/>
        <v/>
      </c>
      <c r="X855" s="70" t="str">
        <f t="shared" si="302"/>
        <v/>
      </c>
      <c r="Y855" s="70" t="str">
        <f>IF(AND($A855&lt;&gt;"",$E855&gt;0),isLaptopBag($C855,$J855)*$D855,"")</f>
        <v/>
      </c>
      <c r="Z855" s="70" t="str">
        <f t="shared" si="303"/>
        <v/>
      </c>
      <c r="AA855" s="70" t="str">
        <f t="shared" si="304"/>
        <v/>
      </c>
      <c r="AB855" s="70" t="str">
        <f t="shared" si="305"/>
        <v/>
      </c>
      <c r="AC855" s="70" t="str">
        <f t="shared" si="306"/>
        <v/>
      </c>
      <c r="AD855" s="70" t="str">
        <f t="shared" si="307"/>
        <v/>
      </c>
      <c r="AE855" s="70" t="str">
        <f t="shared" si="308"/>
        <v/>
      </c>
      <c r="AF855" s="16"/>
      <c r="AG855" s="23"/>
      <c r="AH855" s="22"/>
      <c r="AJ855" s="83">
        <f t="shared" si="309"/>
        <v>0</v>
      </c>
      <c r="AO855" s="22" t="str">
        <f t="shared" si="310"/>
        <v/>
      </c>
      <c r="AP855" s="22" t="str">
        <f t="shared" si="311"/>
        <v/>
      </c>
    </row>
    <row r="856" spans="1:42" x14ac:dyDescent="0.25">
      <c r="A856" s="10"/>
      <c r="B856" s="10"/>
      <c r="C856" s="10"/>
      <c r="D856" s="10"/>
      <c r="E856" s="10"/>
      <c r="F856" s="10"/>
      <c r="G856" s="10"/>
      <c r="H856" s="17"/>
      <c r="I856" s="10"/>
      <c r="J856" s="10"/>
      <c r="K856" s="16" t="str">
        <f t="shared" si="290"/>
        <v/>
      </c>
      <c r="L856" s="23" t="str">
        <f t="shared" si="291"/>
        <v/>
      </c>
      <c r="M856" s="22" t="str">
        <f t="shared" si="292"/>
        <v/>
      </c>
      <c r="N856" s="72"/>
      <c r="O856" s="16" t="str">
        <f t="shared" si="293"/>
        <v/>
      </c>
      <c r="P856" s="16" t="str">
        <f t="shared" si="294"/>
        <v/>
      </c>
      <c r="Q856" s="16" t="str">
        <f t="shared" si="295"/>
        <v/>
      </c>
      <c r="R856" s="23" t="str">
        <f t="shared" si="296"/>
        <v/>
      </c>
      <c r="S856" s="23" t="str">
        <f t="shared" si="297"/>
        <v/>
      </c>
      <c r="T856" s="23" t="str">
        <f t="shared" si="298"/>
        <v/>
      </c>
      <c r="U856" s="23" t="str">
        <f t="shared" si="299"/>
        <v/>
      </c>
      <c r="V856" s="23" t="str">
        <f t="shared" si="300"/>
        <v/>
      </c>
      <c r="W856" s="70" t="str">
        <f t="shared" si="301"/>
        <v/>
      </c>
      <c r="X856" s="70" t="str">
        <f t="shared" si="302"/>
        <v/>
      </c>
      <c r="Y856" s="70" t="str">
        <f>IF(AND($A856&lt;&gt;"",$E856&gt;0),isLaptopBag($C856,$J856)*$D856,"")</f>
        <v/>
      </c>
      <c r="Z856" s="70" t="str">
        <f t="shared" si="303"/>
        <v/>
      </c>
      <c r="AA856" s="70" t="str">
        <f t="shared" si="304"/>
        <v/>
      </c>
      <c r="AB856" s="70" t="str">
        <f t="shared" si="305"/>
        <v/>
      </c>
      <c r="AC856" s="70" t="str">
        <f t="shared" si="306"/>
        <v/>
      </c>
      <c r="AD856" s="70" t="str">
        <f t="shared" si="307"/>
        <v/>
      </c>
      <c r="AE856" s="70" t="str">
        <f t="shared" si="308"/>
        <v/>
      </c>
      <c r="AF856" s="16"/>
      <c r="AG856" s="23"/>
      <c r="AH856" s="22"/>
      <c r="AJ856" s="83">
        <f t="shared" si="309"/>
        <v>0</v>
      </c>
      <c r="AO856" s="22" t="str">
        <f t="shared" si="310"/>
        <v/>
      </c>
      <c r="AP856" s="22" t="str">
        <f t="shared" si="311"/>
        <v/>
      </c>
    </row>
    <row r="857" spans="1:42" x14ac:dyDescent="0.25">
      <c r="A857" s="10"/>
      <c r="B857" s="10"/>
      <c r="C857" s="10"/>
      <c r="D857" s="10"/>
      <c r="E857" s="10"/>
      <c r="F857" s="10"/>
      <c r="G857" s="10"/>
      <c r="H857" s="17"/>
      <c r="I857" s="10"/>
      <c r="J857" s="10"/>
      <c r="K857" s="16" t="str">
        <f t="shared" si="290"/>
        <v/>
      </c>
      <c r="L857" s="23" t="str">
        <f t="shared" si="291"/>
        <v/>
      </c>
      <c r="M857" s="22" t="str">
        <f t="shared" si="292"/>
        <v/>
      </c>
      <c r="N857" s="72"/>
      <c r="O857" s="16" t="str">
        <f t="shared" si="293"/>
        <v/>
      </c>
      <c r="P857" s="16" t="str">
        <f t="shared" si="294"/>
        <v/>
      </c>
      <c r="Q857" s="16" t="str">
        <f t="shared" si="295"/>
        <v/>
      </c>
      <c r="R857" s="23" t="str">
        <f t="shared" si="296"/>
        <v/>
      </c>
      <c r="S857" s="23" t="str">
        <f t="shared" si="297"/>
        <v/>
      </c>
      <c r="T857" s="23" t="str">
        <f t="shared" si="298"/>
        <v/>
      </c>
      <c r="U857" s="23" t="str">
        <f t="shared" si="299"/>
        <v/>
      </c>
      <c r="V857" s="23" t="str">
        <f t="shared" si="300"/>
        <v/>
      </c>
      <c r="W857" s="70" t="str">
        <f t="shared" si="301"/>
        <v/>
      </c>
      <c r="X857" s="70" t="str">
        <f t="shared" si="302"/>
        <v/>
      </c>
      <c r="Y857" s="70" t="str">
        <f>IF(AND($A857&lt;&gt;"",$E857&gt;0),isLaptopBag($C857,$J857)*$D857,"")</f>
        <v/>
      </c>
      <c r="Z857" s="70" t="str">
        <f t="shared" si="303"/>
        <v/>
      </c>
      <c r="AA857" s="70" t="str">
        <f t="shared" si="304"/>
        <v/>
      </c>
      <c r="AB857" s="70" t="str">
        <f t="shared" si="305"/>
        <v/>
      </c>
      <c r="AC857" s="70" t="str">
        <f t="shared" si="306"/>
        <v/>
      </c>
      <c r="AD857" s="70" t="str">
        <f t="shared" si="307"/>
        <v/>
      </c>
      <c r="AE857" s="70" t="str">
        <f t="shared" si="308"/>
        <v/>
      </c>
      <c r="AF857" s="16"/>
      <c r="AG857" s="23"/>
      <c r="AH857" s="22"/>
      <c r="AJ857" s="83">
        <f t="shared" si="309"/>
        <v>0</v>
      </c>
      <c r="AO857" s="22" t="str">
        <f t="shared" si="310"/>
        <v/>
      </c>
      <c r="AP857" s="22" t="str">
        <f t="shared" si="311"/>
        <v/>
      </c>
    </row>
    <row r="858" spans="1:42" x14ac:dyDescent="0.25">
      <c r="A858" s="10"/>
      <c r="B858" s="10"/>
      <c r="C858" s="10"/>
      <c r="D858" s="10"/>
      <c r="E858" s="10"/>
      <c r="F858" s="10"/>
      <c r="G858" s="10"/>
      <c r="H858" s="17"/>
      <c r="I858" s="10"/>
      <c r="J858" s="10"/>
      <c r="K858" s="16" t="str">
        <f t="shared" si="290"/>
        <v/>
      </c>
      <c r="L858" s="23" t="str">
        <f t="shared" si="291"/>
        <v/>
      </c>
      <c r="M858" s="22" t="str">
        <f t="shared" si="292"/>
        <v/>
      </c>
      <c r="N858" s="72"/>
      <c r="O858" s="16" t="str">
        <f t="shared" si="293"/>
        <v/>
      </c>
      <c r="P858" s="16" t="str">
        <f t="shared" si="294"/>
        <v/>
      </c>
      <c r="Q858" s="16" t="str">
        <f t="shared" si="295"/>
        <v/>
      </c>
      <c r="R858" s="23" t="str">
        <f t="shared" si="296"/>
        <v/>
      </c>
      <c r="S858" s="23" t="str">
        <f t="shared" si="297"/>
        <v/>
      </c>
      <c r="T858" s="23" t="str">
        <f t="shared" si="298"/>
        <v/>
      </c>
      <c r="U858" s="23" t="str">
        <f t="shared" si="299"/>
        <v/>
      </c>
      <c r="V858" s="23" t="str">
        <f t="shared" si="300"/>
        <v/>
      </c>
      <c r="W858" s="70" t="str">
        <f t="shared" si="301"/>
        <v/>
      </c>
      <c r="X858" s="70" t="str">
        <f t="shared" si="302"/>
        <v/>
      </c>
      <c r="Y858" s="70" t="str">
        <f>IF(AND($A858&lt;&gt;"",$E858&gt;0),isLaptopBag($C858,$J858)*$D858,"")</f>
        <v/>
      </c>
      <c r="Z858" s="70" t="str">
        <f t="shared" si="303"/>
        <v/>
      </c>
      <c r="AA858" s="70" t="str">
        <f t="shared" si="304"/>
        <v/>
      </c>
      <c r="AB858" s="70" t="str">
        <f t="shared" si="305"/>
        <v/>
      </c>
      <c r="AC858" s="70" t="str">
        <f t="shared" si="306"/>
        <v/>
      </c>
      <c r="AD858" s="70" t="str">
        <f t="shared" si="307"/>
        <v/>
      </c>
      <c r="AE858" s="70" t="str">
        <f t="shared" si="308"/>
        <v/>
      </c>
      <c r="AF858" s="16"/>
      <c r="AG858" s="23"/>
      <c r="AH858" s="22"/>
      <c r="AJ858" s="83">
        <f t="shared" si="309"/>
        <v>0</v>
      </c>
      <c r="AO858" s="22" t="str">
        <f t="shared" si="310"/>
        <v/>
      </c>
      <c r="AP858" s="22" t="str">
        <f t="shared" si="311"/>
        <v/>
      </c>
    </row>
    <row r="859" spans="1:42" x14ac:dyDescent="0.25">
      <c r="A859" s="10"/>
      <c r="B859" s="10"/>
      <c r="C859" s="10"/>
      <c r="D859" s="10"/>
      <c r="E859" s="10"/>
      <c r="F859" s="10"/>
      <c r="G859" s="10"/>
      <c r="H859" s="17"/>
      <c r="I859" s="10"/>
      <c r="J859" s="10"/>
      <c r="K859" s="16" t="str">
        <f t="shared" si="290"/>
        <v/>
      </c>
      <c r="L859" s="23" t="str">
        <f t="shared" si="291"/>
        <v/>
      </c>
      <c r="M859" s="22" t="str">
        <f t="shared" si="292"/>
        <v/>
      </c>
      <c r="N859" s="72"/>
      <c r="O859" s="16" t="str">
        <f t="shared" si="293"/>
        <v/>
      </c>
      <c r="P859" s="16" t="str">
        <f t="shared" si="294"/>
        <v/>
      </c>
      <c r="Q859" s="16" t="str">
        <f t="shared" si="295"/>
        <v/>
      </c>
      <c r="R859" s="23" t="str">
        <f t="shared" si="296"/>
        <v/>
      </c>
      <c r="S859" s="23" t="str">
        <f t="shared" si="297"/>
        <v/>
      </c>
      <c r="T859" s="23" t="str">
        <f t="shared" si="298"/>
        <v/>
      </c>
      <c r="U859" s="23" t="str">
        <f t="shared" si="299"/>
        <v/>
      </c>
      <c r="V859" s="23" t="str">
        <f t="shared" si="300"/>
        <v/>
      </c>
      <c r="W859" s="70" t="str">
        <f t="shared" si="301"/>
        <v/>
      </c>
      <c r="X859" s="70" t="str">
        <f t="shared" si="302"/>
        <v/>
      </c>
      <c r="Y859" s="70" t="str">
        <f>IF(AND($A859&lt;&gt;"",$E859&gt;0),isLaptopBag($C859,$J859)*$D859,"")</f>
        <v/>
      </c>
      <c r="Z859" s="70" t="str">
        <f t="shared" si="303"/>
        <v/>
      </c>
      <c r="AA859" s="70" t="str">
        <f t="shared" si="304"/>
        <v/>
      </c>
      <c r="AB859" s="70" t="str">
        <f t="shared" si="305"/>
        <v/>
      </c>
      <c r="AC859" s="70" t="str">
        <f t="shared" si="306"/>
        <v/>
      </c>
      <c r="AD859" s="70" t="str">
        <f t="shared" si="307"/>
        <v/>
      </c>
      <c r="AE859" s="70" t="str">
        <f t="shared" si="308"/>
        <v/>
      </c>
      <c r="AF859" s="16"/>
      <c r="AG859" s="23"/>
      <c r="AH859" s="22"/>
      <c r="AJ859" s="83">
        <f t="shared" si="309"/>
        <v>0</v>
      </c>
      <c r="AO859" s="22" t="str">
        <f t="shared" si="310"/>
        <v/>
      </c>
      <c r="AP859" s="22" t="str">
        <f t="shared" si="311"/>
        <v/>
      </c>
    </row>
    <row r="860" spans="1:42" x14ac:dyDescent="0.25">
      <c r="A860" s="10"/>
      <c r="B860" s="10"/>
      <c r="C860" s="10"/>
      <c r="D860" s="10"/>
      <c r="E860" s="10"/>
      <c r="F860" s="10"/>
      <c r="G860" s="10"/>
      <c r="H860" s="17"/>
      <c r="I860" s="10"/>
      <c r="J860" s="10"/>
      <c r="K860" s="16" t="str">
        <f t="shared" si="290"/>
        <v/>
      </c>
      <c r="L860" s="23" t="str">
        <f t="shared" si="291"/>
        <v/>
      </c>
      <c r="M860" s="22" t="str">
        <f t="shared" si="292"/>
        <v/>
      </c>
      <c r="N860" s="72"/>
      <c r="O860" s="16" t="str">
        <f t="shared" si="293"/>
        <v/>
      </c>
      <c r="P860" s="16" t="str">
        <f t="shared" si="294"/>
        <v/>
      </c>
      <c r="Q860" s="16" t="str">
        <f t="shared" si="295"/>
        <v/>
      </c>
      <c r="R860" s="23" t="str">
        <f t="shared" si="296"/>
        <v/>
      </c>
      <c r="S860" s="23" t="str">
        <f t="shared" si="297"/>
        <v/>
      </c>
      <c r="T860" s="23" t="str">
        <f t="shared" si="298"/>
        <v/>
      </c>
      <c r="U860" s="23" t="str">
        <f t="shared" si="299"/>
        <v/>
      </c>
      <c r="V860" s="23" t="str">
        <f t="shared" si="300"/>
        <v/>
      </c>
      <c r="W860" s="70" t="str">
        <f t="shared" si="301"/>
        <v/>
      </c>
      <c r="X860" s="70" t="str">
        <f t="shared" si="302"/>
        <v/>
      </c>
      <c r="Y860" s="70" t="str">
        <f>IF(AND($A860&lt;&gt;"",$E860&gt;0),isLaptopBag($C860,$J860)*$D860,"")</f>
        <v/>
      </c>
      <c r="Z860" s="70" t="str">
        <f t="shared" si="303"/>
        <v/>
      </c>
      <c r="AA860" s="70" t="str">
        <f t="shared" si="304"/>
        <v/>
      </c>
      <c r="AB860" s="70" t="str">
        <f t="shared" si="305"/>
        <v/>
      </c>
      <c r="AC860" s="70" t="str">
        <f t="shared" si="306"/>
        <v/>
      </c>
      <c r="AD860" s="70" t="str">
        <f t="shared" si="307"/>
        <v/>
      </c>
      <c r="AE860" s="70" t="str">
        <f t="shared" si="308"/>
        <v/>
      </c>
      <c r="AF860" s="16"/>
      <c r="AG860" s="23"/>
      <c r="AH860" s="22"/>
      <c r="AJ860" s="83">
        <f t="shared" si="309"/>
        <v>0</v>
      </c>
      <c r="AO860" s="22" t="str">
        <f t="shared" si="310"/>
        <v/>
      </c>
      <c r="AP860" s="22" t="str">
        <f t="shared" si="311"/>
        <v/>
      </c>
    </row>
    <row r="861" spans="1:42" x14ac:dyDescent="0.25">
      <c r="A861" s="10"/>
      <c r="B861" s="10"/>
      <c r="C861" s="10"/>
      <c r="D861" s="10"/>
      <c r="E861" s="10"/>
      <c r="F861" s="10"/>
      <c r="G861" s="10"/>
      <c r="H861" s="17"/>
      <c r="I861" s="10"/>
      <c r="J861" s="10"/>
      <c r="K861" s="16" t="str">
        <f t="shared" si="290"/>
        <v/>
      </c>
      <c r="L861" s="23" t="str">
        <f t="shared" si="291"/>
        <v/>
      </c>
      <c r="M861" s="22" t="str">
        <f t="shared" si="292"/>
        <v/>
      </c>
      <c r="N861" s="72"/>
      <c r="O861" s="16" t="str">
        <f t="shared" si="293"/>
        <v/>
      </c>
      <c r="P861" s="16" t="str">
        <f t="shared" si="294"/>
        <v/>
      </c>
      <c r="Q861" s="16" t="str">
        <f t="shared" si="295"/>
        <v/>
      </c>
      <c r="R861" s="23" t="str">
        <f t="shared" si="296"/>
        <v/>
      </c>
      <c r="S861" s="23" t="str">
        <f t="shared" si="297"/>
        <v/>
      </c>
      <c r="T861" s="23" t="str">
        <f t="shared" si="298"/>
        <v/>
      </c>
      <c r="U861" s="23" t="str">
        <f t="shared" si="299"/>
        <v/>
      </c>
      <c r="V861" s="23" t="str">
        <f t="shared" si="300"/>
        <v/>
      </c>
      <c r="W861" s="70" t="str">
        <f t="shared" si="301"/>
        <v/>
      </c>
      <c r="X861" s="70" t="str">
        <f t="shared" si="302"/>
        <v/>
      </c>
      <c r="Y861" s="70" t="str">
        <f>IF(AND($A861&lt;&gt;"",$E861&gt;0),isLaptopBag($C861,$J861)*$D861,"")</f>
        <v/>
      </c>
      <c r="Z861" s="70" t="str">
        <f t="shared" si="303"/>
        <v/>
      </c>
      <c r="AA861" s="70" t="str">
        <f t="shared" si="304"/>
        <v/>
      </c>
      <c r="AB861" s="70" t="str">
        <f t="shared" si="305"/>
        <v/>
      </c>
      <c r="AC861" s="70" t="str">
        <f t="shared" si="306"/>
        <v/>
      </c>
      <c r="AD861" s="70" t="str">
        <f t="shared" si="307"/>
        <v/>
      </c>
      <c r="AE861" s="70" t="str">
        <f t="shared" si="308"/>
        <v/>
      </c>
      <c r="AF861" s="16"/>
      <c r="AG861" s="23"/>
      <c r="AH861" s="22"/>
      <c r="AJ861" s="83">
        <f t="shared" si="309"/>
        <v>0</v>
      </c>
      <c r="AO861" s="22" t="str">
        <f t="shared" si="310"/>
        <v/>
      </c>
      <c r="AP861" s="22" t="str">
        <f t="shared" si="311"/>
        <v/>
      </c>
    </row>
    <row r="862" spans="1:42" x14ac:dyDescent="0.25">
      <c r="A862" s="10"/>
      <c r="B862" s="10"/>
      <c r="C862" s="10"/>
      <c r="D862" s="10"/>
      <c r="E862" s="10"/>
      <c r="F862" s="10"/>
      <c r="G862" s="10"/>
      <c r="H862" s="17"/>
      <c r="I862" s="10"/>
      <c r="J862" s="10"/>
      <c r="K862" s="16" t="str">
        <f t="shared" si="290"/>
        <v/>
      </c>
      <c r="L862" s="23" t="str">
        <f t="shared" si="291"/>
        <v/>
      </c>
      <c r="M862" s="22" t="str">
        <f t="shared" si="292"/>
        <v/>
      </c>
      <c r="N862" s="72"/>
      <c r="O862" s="16" t="str">
        <f t="shared" si="293"/>
        <v/>
      </c>
      <c r="P862" s="16" t="str">
        <f t="shared" si="294"/>
        <v/>
      </c>
      <c r="Q862" s="16" t="str">
        <f t="shared" si="295"/>
        <v/>
      </c>
      <c r="R862" s="23" t="str">
        <f t="shared" si="296"/>
        <v/>
      </c>
      <c r="S862" s="23" t="str">
        <f t="shared" si="297"/>
        <v/>
      </c>
      <c r="T862" s="23" t="str">
        <f t="shared" si="298"/>
        <v/>
      </c>
      <c r="U862" s="23" t="str">
        <f t="shared" si="299"/>
        <v/>
      </c>
      <c r="V862" s="23" t="str">
        <f t="shared" si="300"/>
        <v/>
      </c>
      <c r="W862" s="70" t="str">
        <f t="shared" si="301"/>
        <v/>
      </c>
      <c r="X862" s="70" t="str">
        <f t="shared" si="302"/>
        <v/>
      </c>
      <c r="Y862" s="70" t="str">
        <f>IF(AND($A862&lt;&gt;"",$E862&gt;0),isLaptopBag($C862,$J862)*$D862,"")</f>
        <v/>
      </c>
      <c r="Z862" s="70" t="str">
        <f t="shared" si="303"/>
        <v/>
      </c>
      <c r="AA862" s="70" t="str">
        <f t="shared" si="304"/>
        <v/>
      </c>
      <c r="AB862" s="70" t="str">
        <f t="shared" si="305"/>
        <v/>
      </c>
      <c r="AC862" s="70" t="str">
        <f t="shared" si="306"/>
        <v/>
      </c>
      <c r="AD862" s="70" t="str">
        <f t="shared" si="307"/>
        <v/>
      </c>
      <c r="AE862" s="70" t="str">
        <f t="shared" si="308"/>
        <v/>
      </c>
      <c r="AF862" s="16"/>
      <c r="AG862" s="23"/>
      <c r="AH862" s="22"/>
      <c r="AJ862" s="83">
        <f t="shared" si="309"/>
        <v>0</v>
      </c>
      <c r="AO862" s="22" t="str">
        <f t="shared" si="310"/>
        <v/>
      </c>
      <c r="AP862" s="22" t="str">
        <f t="shared" si="311"/>
        <v/>
      </c>
    </row>
    <row r="863" spans="1:42" x14ac:dyDescent="0.25">
      <c r="A863" s="10"/>
      <c r="B863" s="10"/>
      <c r="C863" s="10"/>
      <c r="D863" s="10"/>
      <c r="E863" s="10"/>
      <c r="F863" s="10"/>
      <c r="G863" s="10"/>
      <c r="H863" s="17"/>
      <c r="I863" s="10"/>
      <c r="J863" s="10"/>
      <c r="K863" s="16" t="str">
        <f t="shared" si="290"/>
        <v/>
      </c>
      <c r="L863" s="23" t="str">
        <f t="shared" si="291"/>
        <v/>
      </c>
      <c r="M863" s="22" t="str">
        <f t="shared" si="292"/>
        <v/>
      </c>
      <c r="N863" s="72"/>
      <c r="O863" s="16" t="str">
        <f t="shared" si="293"/>
        <v/>
      </c>
      <c r="P863" s="16" t="str">
        <f t="shared" si="294"/>
        <v/>
      </c>
      <c r="Q863" s="16" t="str">
        <f t="shared" si="295"/>
        <v/>
      </c>
      <c r="R863" s="23" t="str">
        <f t="shared" si="296"/>
        <v/>
      </c>
      <c r="S863" s="23" t="str">
        <f t="shared" si="297"/>
        <v/>
      </c>
      <c r="T863" s="23" t="str">
        <f t="shared" si="298"/>
        <v/>
      </c>
      <c r="U863" s="23" t="str">
        <f t="shared" si="299"/>
        <v/>
      </c>
      <c r="V863" s="23" t="str">
        <f t="shared" si="300"/>
        <v/>
      </c>
      <c r="W863" s="70" t="str">
        <f t="shared" si="301"/>
        <v/>
      </c>
      <c r="X863" s="70" t="str">
        <f t="shared" si="302"/>
        <v/>
      </c>
      <c r="Y863" s="70" t="str">
        <f>IF(AND($A863&lt;&gt;"",$E863&gt;0),isLaptopBag($C863,$J863)*$D863,"")</f>
        <v/>
      </c>
      <c r="Z863" s="70" t="str">
        <f t="shared" si="303"/>
        <v/>
      </c>
      <c r="AA863" s="70" t="str">
        <f t="shared" si="304"/>
        <v/>
      </c>
      <c r="AB863" s="70" t="str">
        <f t="shared" si="305"/>
        <v/>
      </c>
      <c r="AC863" s="70" t="str">
        <f t="shared" si="306"/>
        <v/>
      </c>
      <c r="AD863" s="70" t="str">
        <f t="shared" si="307"/>
        <v/>
      </c>
      <c r="AE863" s="70" t="str">
        <f t="shared" si="308"/>
        <v/>
      </c>
      <c r="AF863" s="16"/>
      <c r="AG863" s="23"/>
      <c r="AH863" s="22"/>
      <c r="AJ863" s="83">
        <f t="shared" si="309"/>
        <v>0</v>
      </c>
      <c r="AO863" s="22" t="str">
        <f t="shared" si="310"/>
        <v/>
      </c>
      <c r="AP863" s="22" t="str">
        <f t="shared" si="311"/>
        <v/>
      </c>
    </row>
    <row r="864" spans="1:42" x14ac:dyDescent="0.25">
      <c r="A864" s="10"/>
      <c r="B864" s="10"/>
      <c r="C864" s="10"/>
      <c r="D864" s="10"/>
      <c r="E864" s="10"/>
      <c r="F864" s="10"/>
      <c r="G864" s="10"/>
      <c r="H864" s="17"/>
      <c r="I864" s="10"/>
      <c r="J864" s="10"/>
      <c r="K864" s="16" t="str">
        <f t="shared" si="290"/>
        <v/>
      </c>
      <c r="L864" s="23" t="str">
        <f t="shared" si="291"/>
        <v/>
      </c>
      <c r="M864" s="22" t="str">
        <f t="shared" si="292"/>
        <v/>
      </c>
      <c r="N864" s="72"/>
      <c r="O864" s="16" t="str">
        <f t="shared" si="293"/>
        <v/>
      </c>
      <c r="P864" s="16" t="str">
        <f t="shared" si="294"/>
        <v/>
      </c>
      <c r="Q864" s="16" t="str">
        <f t="shared" si="295"/>
        <v/>
      </c>
      <c r="R864" s="23" t="str">
        <f t="shared" si="296"/>
        <v/>
      </c>
      <c r="S864" s="23" t="str">
        <f t="shared" si="297"/>
        <v/>
      </c>
      <c r="T864" s="23" t="str">
        <f t="shared" si="298"/>
        <v/>
      </c>
      <c r="U864" s="23" t="str">
        <f t="shared" si="299"/>
        <v/>
      </c>
      <c r="V864" s="23" t="str">
        <f t="shared" si="300"/>
        <v/>
      </c>
      <c r="W864" s="70" t="str">
        <f t="shared" si="301"/>
        <v/>
      </c>
      <c r="X864" s="70" t="str">
        <f t="shared" si="302"/>
        <v/>
      </c>
      <c r="Y864" s="70" t="str">
        <f>IF(AND($A864&lt;&gt;"",$E864&gt;0),isLaptopBag($C864,$J864)*$D864,"")</f>
        <v/>
      </c>
      <c r="Z864" s="70" t="str">
        <f t="shared" si="303"/>
        <v/>
      </c>
      <c r="AA864" s="70" t="str">
        <f t="shared" si="304"/>
        <v/>
      </c>
      <c r="AB864" s="70" t="str">
        <f t="shared" si="305"/>
        <v/>
      </c>
      <c r="AC864" s="70" t="str">
        <f t="shared" si="306"/>
        <v/>
      </c>
      <c r="AD864" s="70" t="str">
        <f t="shared" si="307"/>
        <v/>
      </c>
      <c r="AE864" s="70" t="str">
        <f t="shared" si="308"/>
        <v/>
      </c>
      <c r="AF864" s="16"/>
      <c r="AG864" s="23"/>
      <c r="AH864" s="22"/>
      <c r="AJ864" s="83">
        <f t="shared" si="309"/>
        <v>0</v>
      </c>
      <c r="AO864" s="22" t="str">
        <f t="shared" si="310"/>
        <v/>
      </c>
      <c r="AP864" s="22" t="str">
        <f t="shared" si="311"/>
        <v/>
      </c>
    </row>
    <row r="865" spans="1:42" x14ac:dyDescent="0.25">
      <c r="A865" s="10"/>
      <c r="B865" s="10"/>
      <c r="C865" s="10"/>
      <c r="D865" s="10"/>
      <c r="E865" s="10"/>
      <c r="F865" s="10"/>
      <c r="G865" s="10"/>
      <c r="H865" s="17"/>
      <c r="I865" s="10"/>
      <c r="J865" s="10"/>
      <c r="K865" s="16" t="str">
        <f t="shared" si="290"/>
        <v/>
      </c>
      <c r="L865" s="23" t="str">
        <f t="shared" si="291"/>
        <v/>
      </c>
      <c r="M865" s="22" t="str">
        <f t="shared" si="292"/>
        <v/>
      </c>
      <c r="N865" s="72"/>
      <c r="O865" s="16" t="str">
        <f t="shared" si="293"/>
        <v/>
      </c>
      <c r="P865" s="16" t="str">
        <f t="shared" si="294"/>
        <v/>
      </c>
      <c r="Q865" s="16" t="str">
        <f t="shared" si="295"/>
        <v/>
      </c>
      <c r="R865" s="23" t="str">
        <f t="shared" si="296"/>
        <v/>
      </c>
      <c r="S865" s="23" t="str">
        <f t="shared" si="297"/>
        <v/>
      </c>
      <c r="T865" s="23" t="str">
        <f t="shared" si="298"/>
        <v/>
      </c>
      <c r="U865" s="23" t="str">
        <f t="shared" si="299"/>
        <v/>
      </c>
      <c r="V865" s="23" t="str">
        <f t="shared" si="300"/>
        <v/>
      </c>
      <c r="W865" s="70" t="str">
        <f t="shared" si="301"/>
        <v/>
      </c>
      <c r="X865" s="70" t="str">
        <f t="shared" si="302"/>
        <v/>
      </c>
      <c r="Y865" s="70" t="str">
        <f>IF(AND($A865&lt;&gt;"",$E865&gt;0),isLaptopBag($C865,$J865)*$D865,"")</f>
        <v/>
      </c>
      <c r="Z865" s="70" t="str">
        <f t="shared" si="303"/>
        <v/>
      </c>
      <c r="AA865" s="70" t="str">
        <f t="shared" si="304"/>
        <v/>
      </c>
      <c r="AB865" s="70" t="str">
        <f t="shared" si="305"/>
        <v/>
      </c>
      <c r="AC865" s="70" t="str">
        <f t="shared" si="306"/>
        <v/>
      </c>
      <c r="AD865" s="70" t="str">
        <f t="shared" si="307"/>
        <v/>
      </c>
      <c r="AE865" s="70" t="str">
        <f t="shared" si="308"/>
        <v/>
      </c>
      <c r="AF865" s="16"/>
      <c r="AG865" s="23"/>
      <c r="AH865" s="22"/>
      <c r="AJ865" s="83">
        <f t="shared" si="309"/>
        <v>0</v>
      </c>
      <c r="AO865" s="22" t="str">
        <f t="shared" si="310"/>
        <v/>
      </c>
      <c r="AP865" s="22" t="str">
        <f t="shared" si="311"/>
        <v/>
      </c>
    </row>
    <row r="866" spans="1:42" x14ac:dyDescent="0.25">
      <c r="A866" s="10"/>
      <c r="B866" s="10"/>
      <c r="C866" s="10"/>
      <c r="D866" s="10"/>
      <c r="E866" s="10"/>
      <c r="F866" s="10"/>
      <c r="G866" s="10"/>
      <c r="H866" s="17"/>
      <c r="I866" s="10"/>
      <c r="J866" s="10"/>
      <c r="K866" s="16" t="str">
        <f t="shared" si="290"/>
        <v/>
      </c>
      <c r="L866" s="23" t="str">
        <f t="shared" si="291"/>
        <v/>
      </c>
      <c r="M866" s="22" t="str">
        <f t="shared" si="292"/>
        <v/>
      </c>
      <c r="N866" s="72"/>
      <c r="O866" s="16" t="str">
        <f t="shared" si="293"/>
        <v/>
      </c>
      <c r="P866" s="16" t="str">
        <f t="shared" si="294"/>
        <v/>
      </c>
      <c r="Q866" s="16" t="str">
        <f t="shared" si="295"/>
        <v/>
      </c>
      <c r="R866" s="23" t="str">
        <f t="shared" si="296"/>
        <v/>
      </c>
      <c r="S866" s="23" t="str">
        <f t="shared" si="297"/>
        <v/>
      </c>
      <c r="T866" s="23" t="str">
        <f t="shared" si="298"/>
        <v/>
      </c>
      <c r="U866" s="23" t="str">
        <f t="shared" si="299"/>
        <v/>
      </c>
      <c r="V866" s="23" t="str">
        <f t="shared" si="300"/>
        <v/>
      </c>
      <c r="W866" s="70" t="str">
        <f t="shared" si="301"/>
        <v/>
      </c>
      <c r="X866" s="70" t="str">
        <f t="shared" si="302"/>
        <v/>
      </c>
      <c r="Y866" s="70" t="str">
        <f>IF(AND($A866&lt;&gt;"",$E866&gt;0),isLaptopBag($C866,$J866)*$D866,"")</f>
        <v/>
      </c>
      <c r="Z866" s="70" t="str">
        <f t="shared" si="303"/>
        <v/>
      </c>
      <c r="AA866" s="70" t="str">
        <f t="shared" si="304"/>
        <v/>
      </c>
      <c r="AB866" s="70" t="str">
        <f t="shared" si="305"/>
        <v/>
      </c>
      <c r="AC866" s="70" t="str">
        <f t="shared" si="306"/>
        <v/>
      </c>
      <c r="AD866" s="70" t="str">
        <f t="shared" si="307"/>
        <v/>
      </c>
      <c r="AE866" s="70" t="str">
        <f t="shared" si="308"/>
        <v/>
      </c>
      <c r="AF866" s="16"/>
      <c r="AG866" s="23"/>
      <c r="AH866" s="22"/>
      <c r="AJ866" s="83">
        <f t="shared" si="309"/>
        <v>0</v>
      </c>
      <c r="AO866" s="22" t="str">
        <f t="shared" si="310"/>
        <v/>
      </c>
      <c r="AP866" s="22" t="str">
        <f t="shared" si="311"/>
        <v/>
      </c>
    </row>
    <row r="867" spans="1:42" x14ac:dyDescent="0.25">
      <c r="A867" s="10"/>
      <c r="B867" s="10"/>
      <c r="C867" s="10"/>
      <c r="D867" s="10"/>
      <c r="E867" s="10"/>
      <c r="F867" s="10"/>
      <c r="G867" s="10"/>
      <c r="H867" s="17"/>
      <c r="I867" s="10"/>
      <c r="J867" s="10"/>
      <c r="K867" s="16" t="str">
        <f t="shared" si="290"/>
        <v/>
      </c>
      <c r="L867" s="23" t="str">
        <f t="shared" si="291"/>
        <v/>
      </c>
      <c r="M867" s="22" t="str">
        <f t="shared" si="292"/>
        <v/>
      </c>
      <c r="N867" s="72"/>
      <c r="O867" s="16" t="str">
        <f t="shared" si="293"/>
        <v/>
      </c>
      <c r="P867" s="16" t="str">
        <f t="shared" si="294"/>
        <v/>
      </c>
      <c r="Q867" s="16" t="str">
        <f t="shared" si="295"/>
        <v/>
      </c>
      <c r="R867" s="23" t="str">
        <f t="shared" si="296"/>
        <v/>
      </c>
      <c r="S867" s="23" t="str">
        <f t="shared" si="297"/>
        <v/>
      </c>
      <c r="T867" s="23" t="str">
        <f t="shared" si="298"/>
        <v/>
      </c>
      <c r="U867" s="23" t="str">
        <f t="shared" si="299"/>
        <v/>
      </c>
      <c r="V867" s="23" t="str">
        <f t="shared" si="300"/>
        <v/>
      </c>
      <c r="W867" s="70" t="str">
        <f t="shared" si="301"/>
        <v/>
      </c>
      <c r="X867" s="70" t="str">
        <f t="shared" si="302"/>
        <v/>
      </c>
      <c r="Y867" s="70" t="str">
        <f>IF(AND($A867&lt;&gt;"",$E867&gt;0),isLaptopBag($C867,$J867)*$D867,"")</f>
        <v/>
      </c>
      <c r="Z867" s="70" t="str">
        <f t="shared" si="303"/>
        <v/>
      </c>
      <c r="AA867" s="70" t="str">
        <f t="shared" si="304"/>
        <v/>
      </c>
      <c r="AB867" s="70" t="str">
        <f t="shared" si="305"/>
        <v/>
      </c>
      <c r="AC867" s="70" t="str">
        <f t="shared" si="306"/>
        <v/>
      </c>
      <c r="AD867" s="70" t="str">
        <f t="shared" si="307"/>
        <v/>
      </c>
      <c r="AE867" s="70" t="str">
        <f t="shared" si="308"/>
        <v/>
      </c>
      <c r="AF867" s="16"/>
      <c r="AG867" s="23"/>
      <c r="AH867" s="22"/>
      <c r="AJ867" s="83">
        <f t="shared" si="309"/>
        <v>0</v>
      </c>
      <c r="AO867" s="22" t="str">
        <f t="shared" si="310"/>
        <v/>
      </c>
      <c r="AP867" s="22" t="str">
        <f t="shared" si="311"/>
        <v/>
      </c>
    </row>
    <row r="868" spans="1:42" x14ac:dyDescent="0.25">
      <c r="A868" s="10"/>
      <c r="B868" s="10"/>
      <c r="C868" s="10"/>
      <c r="D868" s="10"/>
      <c r="E868" s="10"/>
      <c r="F868" s="10"/>
      <c r="G868" s="10"/>
      <c r="H868" s="17"/>
      <c r="I868" s="10"/>
      <c r="J868" s="10"/>
      <c r="K868" s="16" t="str">
        <f t="shared" si="290"/>
        <v/>
      </c>
      <c r="L868" s="23" t="str">
        <f t="shared" si="291"/>
        <v/>
      </c>
      <c r="M868" s="22" t="str">
        <f t="shared" si="292"/>
        <v/>
      </c>
      <c r="N868" s="72"/>
      <c r="O868" s="16" t="str">
        <f t="shared" si="293"/>
        <v/>
      </c>
      <c r="P868" s="16" t="str">
        <f t="shared" si="294"/>
        <v/>
      </c>
      <c r="Q868" s="16" t="str">
        <f t="shared" si="295"/>
        <v/>
      </c>
      <c r="R868" s="23" t="str">
        <f t="shared" si="296"/>
        <v/>
      </c>
      <c r="S868" s="23" t="str">
        <f t="shared" si="297"/>
        <v/>
      </c>
      <c r="T868" s="23" t="str">
        <f t="shared" si="298"/>
        <v/>
      </c>
      <c r="U868" s="23" t="str">
        <f t="shared" si="299"/>
        <v/>
      </c>
      <c r="V868" s="23" t="str">
        <f t="shared" si="300"/>
        <v/>
      </c>
      <c r="W868" s="70" t="str">
        <f t="shared" si="301"/>
        <v/>
      </c>
      <c r="X868" s="70" t="str">
        <f t="shared" si="302"/>
        <v/>
      </c>
      <c r="Y868" s="70" t="str">
        <f>IF(AND($A868&lt;&gt;"",$E868&gt;0),isLaptopBag($C868,$J868)*$D868,"")</f>
        <v/>
      </c>
      <c r="Z868" s="70" t="str">
        <f t="shared" si="303"/>
        <v/>
      </c>
      <c r="AA868" s="70" t="str">
        <f t="shared" si="304"/>
        <v/>
      </c>
      <c r="AB868" s="70" t="str">
        <f t="shared" si="305"/>
        <v/>
      </c>
      <c r="AC868" s="70" t="str">
        <f t="shared" si="306"/>
        <v/>
      </c>
      <c r="AD868" s="70" t="str">
        <f t="shared" si="307"/>
        <v/>
      </c>
      <c r="AE868" s="70" t="str">
        <f t="shared" si="308"/>
        <v/>
      </c>
      <c r="AF868" s="16"/>
      <c r="AG868" s="23"/>
      <c r="AH868" s="22"/>
      <c r="AJ868" s="83">
        <f t="shared" si="309"/>
        <v>0</v>
      </c>
      <c r="AO868" s="22" t="str">
        <f t="shared" si="310"/>
        <v/>
      </c>
      <c r="AP868" s="22" t="str">
        <f t="shared" si="311"/>
        <v/>
      </c>
    </row>
    <row r="869" spans="1:42" x14ac:dyDescent="0.25">
      <c r="A869" s="10"/>
      <c r="B869" s="10"/>
      <c r="C869" s="10"/>
      <c r="D869" s="10"/>
      <c r="E869" s="10"/>
      <c r="F869" s="10"/>
      <c r="G869" s="10"/>
      <c r="H869" s="17"/>
      <c r="I869" s="10"/>
      <c r="J869" s="10"/>
      <c r="K869" s="16" t="str">
        <f t="shared" si="290"/>
        <v/>
      </c>
      <c r="L869" s="23" t="str">
        <f t="shared" si="291"/>
        <v/>
      </c>
      <c r="M869" s="22" t="str">
        <f t="shared" si="292"/>
        <v/>
      </c>
      <c r="N869" s="72"/>
      <c r="O869" s="16" t="str">
        <f t="shared" si="293"/>
        <v/>
      </c>
      <c r="P869" s="16" t="str">
        <f t="shared" si="294"/>
        <v/>
      </c>
      <c r="Q869" s="16" t="str">
        <f t="shared" si="295"/>
        <v/>
      </c>
      <c r="R869" s="23" t="str">
        <f t="shared" si="296"/>
        <v/>
      </c>
      <c r="S869" s="23" t="str">
        <f t="shared" si="297"/>
        <v/>
      </c>
      <c r="T869" s="23" t="str">
        <f t="shared" si="298"/>
        <v/>
      </c>
      <c r="U869" s="23" t="str">
        <f t="shared" si="299"/>
        <v/>
      </c>
      <c r="V869" s="23" t="str">
        <f t="shared" si="300"/>
        <v/>
      </c>
      <c r="W869" s="70" t="str">
        <f t="shared" si="301"/>
        <v/>
      </c>
      <c r="X869" s="70" t="str">
        <f t="shared" si="302"/>
        <v/>
      </c>
      <c r="Y869" s="70" t="str">
        <f>IF(AND($A869&lt;&gt;"",$E869&gt;0),isLaptopBag($C869,$J869)*$D869,"")</f>
        <v/>
      </c>
      <c r="Z869" s="70" t="str">
        <f t="shared" si="303"/>
        <v/>
      </c>
      <c r="AA869" s="70" t="str">
        <f t="shared" si="304"/>
        <v/>
      </c>
      <c r="AB869" s="70" t="str">
        <f t="shared" si="305"/>
        <v/>
      </c>
      <c r="AC869" s="70" t="str">
        <f t="shared" si="306"/>
        <v/>
      </c>
      <c r="AD869" s="70" t="str">
        <f t="shared" si="307"/>
        <v/>
      </c>
      <c r="AE869" s="70" t="str">
        <f t="shared" si="308"/>
        <v/>
      </c>
      <c r="AF869" s="16"/>
      <c r="AG869" s="23"/>
      <c r="AH869" s="22"/>
      <c r="AJ869" s="83">
        <f t="shared" si="309"/>
        <v>0</v>
      </c>
      <c r="AO869" s="22" t="str">
        <f t="shared" si="310"/>
        <v/>
      </c>
      <c r="AP869" s="22" t="str">
        <f t="shared" si="311"/>
        <v/>
      </c>
    </row>
    <row r="870" spans="1:42" x14ac:dyDescent="0.25">
      <c r="A870" s="10"/>
      <c r="B870" s="10"/>
      <c r="C870" s="10"/>
      <c r="D870" s="10"/>
      <c r="E870" s="10"/>
      <c r="F870" s="10"/>
      <c r="G870" s="10"/>
      <c r="H870" s="17"/>
      <c r="I870" s="10"/>
      <c r="J870" s="10"/>
      <c r="K870" s="16" t="str">
        <f t="shared" si="290"/>
        <v/>
      </c>
      <c r="L870" s="23" t="str">
        <f t="shared" si="291"/>
        <v/>
      </c>
      <c r="M870" s="22" t="str">
        <f t="shared" si="292"/>
        <v/>
      </c>
      <c r="N870" s="72"/>
      <c r="O870" s="16" t="str">
        <f t="shared" si="293"/>
        <v/>
      </c>
      <c r="P870" s="16" t="str">
        <f t="shared" si="294"/>
        <v/>
      </c>
      <c r="Q870" s="16" t="str">
        <f t="shared" si="295"/>
        <v/>
      </c>
      <c r="R870" s="23" t="str">
        <f t="shared" si="296"/>
        <v/>
      </c>
      <c r="S870" s="23" t="str">
        <f t="shared" si="297"/>
        <v/>
      </c>
      <c r="T870" s="23" t="str">
        <f t="shared" si="298"/>
        <v/>
      </c>
      <c r="U870" s="23" t="str">
        <f t="shared" si="299"/>
        <v/>
      </c>
      <c r="V870" s="23" t="str">
        <f t="shared" si="300"/>
        <v/>
      </c>
      <c r="W870" s="70" t="str">
        <f t="shared" si="301"/>
        <v/>
      </c>
      <c r="X870" s="70" t="str">
        <f t="shared" si="302"/>
        <v/>
      </c>
      <c r="Y870" s="70" t="str">
        <f>IF(AND($A870&lt;&gt;"",$E870&gt;0),isLaptopBag($C870,$J870)*$D870,"")</f>
        <v/>
      </c>
      <c r="Z870" s="70" t="str">
        <f t="shared" si="303"/>
        <v/>
      </c>
      <c r="AA870" s="70" t="str">
        <f t="shared" si="304"/>
        <v/>
      </c>
      <c r="AB870" s="70" t="str">
        <f t="shared" si="305"/>
        <v/>
      </c>
      <c r="AC870" s="70" t="str">
        <f t="shared" si="306"/>
        <v/>
      </c>
      <c r="AD870" s="70" t="str">
        <f t="shared" si="307"/>
        <v/>
      </c>
      <c r="AE870" s="70" t="str">
        <f t="shared" si="308"/>
        <v/>
      </c>
      <c r="AF870" s="16"/>
      <c r="AG870" s="23"/>
      <c r="AH870" s="22"/>
      <c r="AJ870" s="83">
        <f t="shared" si="309"/>
        <v>0</v>
      </c>
      <c r="AO870" s="22" t="str">
        <f t="shared" si="310"/>
        <v/>
      </c>
      <c r="AP870" s="22" t="str">
        <f t="shared" si="311"/>
        <v/>
      </c>
    </row>
    <row r="871" spans="1:42" x14ac:dyDescent="0.25">
      <c r="A871" s="10"/>
      <c r="B871" s="10"/>
      <c r="C871" s="10"/>
      <c r="D871" s="10"/>
      <c r="E871" s="10"/>
      <c r="F871" s="10"/>
      <c r="G871" s="10"/>
      <c r="H871" s="17"/>
      <c r="I871" s="10"/>
      <c r="J871" s="10"/>
      <c r="K871" s="16" t="str">
        <f t="shared" si="290"/>
        <v/>
      </c>
      <c r="L871" s="23" t="str">
        <f t="shared" si="291"/>
        <v/>
      </c>
      <c r="M871" s="22" t="str">
        <f t="shared" si="292"/>
        <v/>
      </c>
      <c r="N871" s="72"/>
      <c r="O871" s="16" t="str">
        <f t="shared" si="293"/>
        <v/>
      </c>
      <c r="P871" s="16" t="str">
        <f t="shared" si="294"/>
        <v/>
      </c>
      <c r="Q871" s="16" t="str">
        <f t="shared" si="295"/>
        <v/>
      </c>
      <c r="R871" s="23" t="str">
        <f t="shared" si="296"/>
        <v/>
      </c>
      <c r="S871" s="23" t="str">
        <f t="shared" si="297"/>
        <v/>
      </c>
      <c r="T871" s="23" t="str">
        <f t="shared" si="298"/>
        <v/>
      </c>
      <c r="U871" s="23" t="str">
        <f t="shared" si="299"/>
        <v/>
      </c>
      <c r="V871" s="23" t="str">
        <f t="shared" si="300"/>
        <v/>
      </c>
      <c r="W871" s="70" t="str">
        <f t="shared" si="301"/>
        <v/>
      </c>
      <c r="X871" s="70" t="str">
        <f t="shared" si="302"/>
        <v/>
      </c>
      <c r="Y871" s="70" t="str">
        <f>IF(AND($A871&lt;&gt;"",$E871&gt;0),isLaptopBag($C871,$J871)*$D871,"")</f>
        <v/>
      </c>
      <c r="Z871" s="70" t="str">
        <f t="shared" si="303"/>
        <v/>
      </c>
      <c r="AA871" s="70" t="str">
        <f t="shared" si="304"/>
        <v/>
      </c>
      <c r="AB871" s="70" t="str">
        <f t="shared" si="305"/>
        <v/>
      </c>
      <c r="AC871" s="70" t="str">
        <f t="shared" si="306"/>
        <v/>
      </c>
      <c r="AD871" s="70" t="str">
        <f t="shared" si="307"/>
        <v/>
      </c>
      <c r="AE871" s="70" t="str">
        <f t="shared" si="308"/>
        <v/>
      </c>
      <c r="AF871" s="16"/>
      <c r="AG871" s="23"/>
      <c r="AH871" s="22"/>
      <c r="AJ871" s="83">
        <f t="shared" si="309"/>
        <v>0</v>
      </c>
      <c r="AO871" s="22" t="str">
        <f t="shared" si="310"/>
        <v/>
      </c>
      <c r="AP871" s="22" t="str">
        <f t="shared" si="311"/>
        <v/>
      </c>
    </row>
    <row r="872" spans="1:42" x14ac:dyDescent="0.25">
      <c r="A872" s="10"/>
      <c r="B872" s="10"/>
      <c r="C872" s="10"/>
      <c r="D872" s="10"/>
      <c r="E872" s="10"/>
      <c r="F872" s="10"/>
      <c r="G872" s="10"/>
      <c r="H872" s="17"/>
      <c r="I872" s="10"/>
      <c r="J872" s="10"/>
      <c r="K872" s="16" t="str">
        <f t="shared" si="290"/>
        <v/>
      </c>
      <c r="L872" s="23" t="str">
        <f t="shared" si="291"/>
        <v/>
      </c>
      <c r="M872" s="22" t="str">
        <f t="shared" si="292"/>
        <v/>
      </c>
      <c r="N872" s="72"/>
      <c r="O872" s="16" t="str">
        <f t="shared" si="293"/>
        <v/>
      </c>
      <c r="P872" s="16" t="str">
        <f t="shared" si="294"/>
        <v/>
      </c>
      <c r="Q872" s="16" t="str">
        <f t="shared" si="295"/>
        <v/>
      </c>
      <c r="R872" s="23" t="str">
        <f t="shared" si="296"/>
        <v/>
      </c>
      <c r="S872" s="23" t="str">
        <f t="shared" si="297"/>
        <v/>
      </c>
      <c r="T872" s="23" t="str">
        <f t="shared" si="298"/>
        <v/>
      </c>
      <c r="U872" s="23" t="str">
        <f t="shared" si="299"/>
        <v/>
      </c>
      <c r="V872" s="23" t="str">
        <f t="shared" si="300"/>
        <v/>
      </c>
      <c r="W872" s="70" t="str">
        <f t="shared" si="301"/>
        <v/>
      </c>
      <c r="X872" s="70" t="str">
        <f t="shared" si="302"/>
        <v/>
      </c>
      <c r="Y872" s="70" t="str">
        <f>IF(AND($A872&lt;&gt;"",$E872&gt;0),isLaptopBag($C872,$J872)*$D872,"")</f>
        <v/>
      </c>
      <c r="Z872" s="70" t="str">
        <f t="shared" si="303"/>
        <v/>
      </c>
      <c r="AA872" s="70" t="str">
        <f t="shared" si="304"/>
        <v/>
      </c>
      <c r="AB872" s="70" t="str">
        <f t="shared" si="305"/>
        <v/>
      </c>
      <c r="AC872" s="70" t="str">
        <f t="shared" si="306"/>
        <v/>
      </c>
      <c r="AD872" s="70" t="str">
        <f t="shared" si="307"/>
        <v/>
      </c>
      <c r="AE872" s="70" t="str">
        <f t="shared" si="308"/>
        <v/>
      </c>
      <c r="AF872" s="16"/>
      <c r="AG872" s="23"/>
      <c r="AH872" s="22"/>
      <c r="AJ872" s="83">
        <f t="shared" si="309"/>
        <v>0</v>
      </c>
      <c r="AO872" s="22" t="str">
        <f t="shared" si="310"/>
        <v/>
      </c>
      <c r="AP872" s="22" t="str">
        <f t="shared" si="311"/>
        <v/>
      </c>
    </row>
    <row r="873" spans="1:42" x14ac:dyDescent="0.25">
      <c r="A873" s="10"/>
      <c r="B873" s="10"/>
      <c r="C873" s="10"/>
      <c r="D873" s="10"/>
      <c r="E873" s="10"/>
      <c r="F873" s="10"/>
      <c r="G873" s="10"/>
      <c r="H873" s="17"/>
      <c r="I873" s="10"/>
      <c r="J873" s="10"/>
      <c r="K873" s="16" t="str">
        <f t="shared" si="290"/>
        <v/>
      </c>
      <c r="L873" s="23" t="str">
        <f t="shared" si="291"/>
        <v/>
      </c>
      <c r="M873" s="22" t="str">
        <f t="shared" si="292"/>
        <v/>
      </c>
      <c r="N873" s="72"/>
      <c r="O873" s="16" t="str">
        <f t="shared" si="293"/>
        <v/>
      </c>
      <c r="P873" s="16" t="str">
        <f t="shared" si="294"/>
        <v/>
      </c>
      <c r="Q873" s="16" t="str">
        <f t="shared" si="295"/>
        <v/>
      </c>
      <c r="R873" s="23" t="str">
        <f t="shared" si="296"/>
        <v/>
      </c>
      <c r="S873" s="23" t="str">
        <f t="shared" si="297"/>
        <v/>
      </c>
      <c r="T873" s="23" t="str">
        <f t="shared" si="298"/>
        <v/>
      </c>
      <c r="U873" s="23" t="str">
        <f t="shared" si="299"/>
        <v/>
      </c>
      <c r="V873" s="23" t="str">
        <f t="shared" si="300"/>
        <v/>
      </c>
      <c r="W873" s="70" t="str">
        <f t="shared" si="301"/>
        <v/>
      </c>
      <c r="X873" s="70" t="str">
        <f t="shared" si="302"/>
        <v/>
      </c>
      <c r="Y873" s="70" t="str">
        <f>IF(AND($A873&lt;&gt;"",$E873&gt;0),isLaptopBag($C873,$J873)*$D873,"")</f>
        <v/>
      </c>
      <c r="Z873" s="70" t="str">
        <f t="shared" si="303"/>
        <v/>
      </c>
      <c r="AA873" s="70" t="str">
        <f t="shared" si="304"/>
        <v/>
      </c>
      <c r="AB873" s="70" t="str">
        <f t="shared" si="305"/>
        <v/>
      </c>
      <c r="AC873" s="70" t="str">
        <f t="shared" si="306"/>
        <v/>
      </c>
      <c r="AD873" s="70" t="str">
        <f t="shared" si="307"/>
        <v/>
      </c>
      <c r="AE873" s="70" t="str">
        <f t="shared" si="308"/>
        <v/>
      </c>
      <c r="AF873" s="16"/>
      <c r="AG873" s="23"/>
      <c r="AH873" s="22"/>
      <c r="AJ873" s="83">
        <f t="shared" si="309"/>
        <v>0</v>
      </c>
      <c r="AO873" s="22" t="str">
        <f t="shared" si="310"/>
        <v/>
      </c>
      <c r="AP873" s="22" t="str">
        <f t="shared" si="311"/>
        <v/>
      </c>
    </row>
    <row r="874" spans="1:42" x14ac:dyDescent="0.25">
      <c r="A874" s="10"/>
      <c r="B874" s="10"/>
      <c r="C874" s="10"/>
      <c r="D874" s="10"/>
      <c r="E874" s="10"/>
      <c r="F874" s="10"/>
      <c r="G874" s="10"/>
      <c r="H874" s="17"/>
      <c r="I874" s="10"/>
      <c r="J874" s="10"/>
      <c r="K874" s="16" t="str">
        <f t="shared" si="290"/>
        <v/>
      </c>
      <c r="L874" s="23" t="str">
        <f t="shared" si="291"/>
        <v/>
      </c>
      <c r="M874" s="22" t="str">
        <f t="shared" si="292"/>
        <v/>
      </c>
      <c r="N874" s="72"/>
      <c r="O874" s="16" t="str">
        <f t="shared" si="293"/>
        <v/>
      </c>
      <c r="P874" s="16" t="str">
        <f t="shared" si="294"/>
        <v/>
      </c>
      <c r="Q874" s="16" t="str">
        <f t="shared" si="295"/>
        <v/>
      </c>
      <c r="R874" s="23" t="str">
        <f t="shared" si="296"/>
        <v/>
      </c>
      <c r="S874" s="23" t="str">
        <f t="shared" si="297"/>
        <v/>
      </c>
      <c r="T874" s="23" t="str">
        <f t="shared" si="298"/>
        <v/>
      </c>
      <c r="U874" s="23" t="str">
        <f t="shared" si="299"/>
        <v/>
      </c>
      <c r="V874" s="23" t="str">
        <f t="shared" si="300"/>
        <v/>
      </c>
      <c r="W874" s="70" t="str">
        <f t="shared" si="301"/>
        <v/>
      </c>
      <c r="X874" s="70" t="str">
        <f t="shared" si="302"/>
        <v/>
      </c>
      <c r="Y874" s="70" t="str">
        <f>IF(AND($A874&lt;&gt;"",$E874&gt;0),isLaptopBag($C874,$J874)*$D874,"")</f>
        <v/>
      </c>
      <c r="Z874" s="70" t="str">
        <f t="shared" si="303"/>
        <v/>
      </c>
      <c r="AA874" s="70" t="str">
        <f t="shared" si="304"/>
        <v/>
      </c>
      <c r="AB874" s="70" t="str">
        <f t="shared" si="305"/>
        <v/>
      </c>
      <c r="AC874" s="70" t="str">
        <f t="shared" si="306"/>
        <v/>
      </c>
      <c r="AD874" s="70" t="str">
        <f t="shared" si="307"/>
        <v/>
      </c>
      <c r="AE874" s="70" t="str">
        <f t="shared" si="308"/>
        <v/>
      </c>
      <c r="AF874" s="16"/>
      <c r="AG874" s="23"/>
      <c r="AH874" s="22"/>
      <c r="AJ874" s="83">
        <f t="shared" si="309"/>
        <v>0</v>
      </c>
      <c r="AO874" s="22" t="str">
        <f t="shared" si="310"/>
        <v/>
      </c>
      <c r="AP874" s="22" t="str">
        <f t="shared" si="311"/>
        <v/>
      </c>
    </row>
    <row r="875" spans="1:42" x14ac:dyDescent="0.25">
      <c r="A875" s="10"/>
      <c r="B875" s="10"/>
      <c r="C875" s="10"/>
      <c r="D875" s="10"/>
      <c r="E875" s="10"/>
      <c r="F875" s="10"/>
      <c r="G875" s="10"/>
      <c r="H875" s="17"/>
      <c r="I875" s="10"/>
      <c r="J875" s="10"/>
      <c r="K875" s="16" t="str">
        <f t="shared" si="290"/>
        <v/>
      </c>
      <c r="L875" s="23" t="str">
        <f t="shared" si="291"/>
        <v/>
      </c>
      <c r="M875" s="22" t="str">
        <f t="shared" si="292"/>
        <v/>
      </c>
      <c r="N875" s="72"/>
      <c r="O875" s="16" t="str">
        <f t="shared" si="293"/>
        <v/>
      </c>
      <c r="P875" s="16" t="str">
        <f t="shared" si="294"/>
        <v/>
      </c>
      <c r="Q875" s="16" t="str">
        <f t="shared" si="295"/>
        <v/>
      </c>
      <c r="R875" s="23" t="str">
        <f t="shared" si="296"/>
        <v/>
      </c>
      <c r="S875" s="23" t="str">
        <f t="shared" si="297"/>
        <v/>
      </c>
      <c r="T875" s="23" t="str">
        <f t="shared" si="298"/>
        <v/>
      </c>
      <c r="U875" s="23" t="str">
        <f t="shared" si="299"/>
        <v/>
      </c>
      <c r="V875" s="23" t="str">
        <f t="shared" si="300"/>
        <v/>
      </c>
      <c r="W875" s="70" t="str">
        <f t="shared" si="301"/>
        <v/>
      </c>
      <c r="X875" s="70" t="str">
        <f t="shared" si="302"/>
        <v/>
      </c>
      <c r="Y875" s="70" t="str">
        <f>IF(AND($A875&lt;&gt;"",$E875&gt;0),isLaptopBag($C875,$J875)*$D875,"")</f>
        <v/>
      </c>
      <c r="Z875" s="70" t="str">
        <f t="shared" si="303"/>
        <v/>
      </c>
      <c r="AA875" s="70" t="str">
        <f t="shared" si="304"/>
        <v/>
      </c>
      <c r="AB875" s="70" t="str">
        <f t="shared" si="305"/>
        <v/>
      </c>
      <c r="AC875" s="70" t="str">
        <f t="shared" si="306"/>
        <v/>
      </c>
      <c r="AD875" s="70" t="str">
        <f t="shared" si="307"/>
        <v/>
      </c>
      <c r="AE875" s="70" t="str">
        <f t="shared" si="308"/>
        <v/>
      </c>
      <c r="AF875" s="16"/>
      <c r="AG875" s="23"/>
      <c r="AH875" s="22"/>
      <c r="AJ875" s="83">
        <f t="shared" si="309"/>
        <v>0</v>
      </c>
      <c r="AO875" s="22" t="str">
        <f t="shared" si="310"/>
        <v/>
      </c>
      <c r="AP875" s="22" t="str">
        <f t="shared" si="311"/>
        <v/>
      </c>
    </row>
    <row r="876" spans="1:42" x14ac:dyDescent="0.25">
      <c r="A876" s="10"/>
      <c r="B876" s="10"/>
      <c r="C876" s="10"/>
      <c r="D876" s="10"/>
      <c r="E876" s="10"/>
      <c r="F876" s="10"/>
      <c r="G876" s="10"/>
      <c r="H876" s="17"/>
      <c r="I876" s="10"/>
      <c r="J876" s="10"/>
      <c r="K876" s="16" t="str">
        <f t="shared" si="290"/>
        <v/>
      </c>
      <c r="L876" s="23" t="str">
        <f t="shared" si="291"/>
        <v/>
      </c>
      <c r="M876" s="22" t="str">
        <f t="shared" si="292"/>
        <v/>
      </c>
      <c r="N876" s="72"/>
      <c r="O876" s="16" t="str">
        <f t="shared" si="293"/>
        <v/>
      </c>
      <c r="P876" s="16" t="str">
        <f t="shared" si="294"/>
        <v/>
      </c>
      <c r="Q876" s="16" t="str">
        <f t="shared" si="295"/>
        <v/>
      </c>
      <c r="R876" s="23" t="str">
        <f t="shared" si="296"/>
        <v/>
      </c>
      <c r="S876" s="23" t="str">
        <f t="shared" si="297"/>
        <v/>
      </c>
      <c r="T876" s="23" t="str">
        <f t="shared" si="298"/>
        <v/>
      </c>
      <c r="U876" s="23" t="str">
        <f t="shared" si="299"/>
        <v/>
      </c>
      <c r="V876" s="23" t="str">
        <f t="shared" si="300"/>
        <v/>
      </c>
      <c r="W876" s="70" t="str">
        <f t="shared" si="301"/>
        <v/>
      </c>
      <c r="X876" s="70" t="str">
        <f t="shared" si="302"/>
        <v/>
      </c>
      <c r="Y876" s="70" t="str">
        <f>IF(AND($A876&lt;&gt;"",$E876&gt;0),isLaptopBag($C876,$J876)*$D876,"")</f>
        <v/>
      </c>
      <c r="Z876" s="70" t="str">
        <f t="shared" si="303"/>
        <v/>
      </c>
      <c r="AA876" s="70" t="str">
        <f t="shared" si="304"/>
        <v/>
      </c>
      <c r="AB876" s="70" t="str">
        <f t="shared" si="305"/>
        <v/>
      </c>
      <c r="AC876" s="70" t="str">
        <f t="shared" si="306"/>
        <v/>
      </c>
      <c r="AD876" s="70" t="str">
        <f t="shared" si="307"/>
        <v/>
      </c>
      <c r="AE876" s="70" t="str">
        <f t="shared" si="308"/>
        <v/>
      </c>
      <c r="AF876" s="16"/>
      <c r="AG876" s="23"/>
      <c r="AH876" s="22"/>
      <c r="AJ876" s="83">
        <f t="shared" si="309"/>
        <v>0</v>
      </c>
      <c r="AO876" s="22" t="str">
        <f t="shared" si="310"/>
        <v/>
      </c>
      <c r="AP876" s="22" t="str">
        <f t="shared" si="311"/>
        <v/>
      </c>
    </row>
    <row r="877" spans="1:42" x14ac:dyDescent="0.25">
      <c r="A877" s="10"/>
      <c r="B877" s="10"/>
      <c r="C877" s="10"/>
      <c r="D877" s="10"/>
      <c r="E877" s="10"/>
      <c r="F877" s="10"/>
      <c r="G877" s="10"/>
      <c r="H877" s="17"/>
      <c r="I877" s="10"/>
      <c r="J877" s="10"/>
      <c r="K877" s="16" t="str">
        <f t="shared" si="290"/>
        <v/>
      </c>
      <c r="L877" s="23" t="str">
        <f t="shared" si="291"/>
        <v/>
      </c>
      <c r="M877" s="22" t="str">
        <f t="shared" si="292"/>
        <v/>
      </c>
      <c r="N877" s="72"/>
      <c r="O877" s="16" t="str">
        <f t="shared" si="293"/>
        <v/>
      </c>
      <c r="P877" s="16" t="str">
        <f t="shared" si="294"/>
        <v/>
      </c>
      <c r="Q877" s="16" t="str">
        <f t="shared" si="295"/>
        <v/>
      </c>
      <c r="R877" s="23" t="str">
        <f t="shared" si="296"/>
        <v/>
      </c>
      <c r="S877" s="23" t="str">
        <f t="shared" si="297"/>
        <v/>
      </c>
      <c r="T877" s="23" t="str">
        <f t="shared" si="298"/>
        <v/>
      </c>
      <c r="U877" s="23" t="str">
        <f t="shared" si="299"/>
        <v/>
      </c>
      <c r="V877" s="23" t="str">
        <f t="shared" si="300"/>
        <v/>
      </c>
      <c r="W877" s="70" t="str">
        <f t="shared" si="301"/>
        <v/>
      </c>
      <c r="X877" s="70" t="str">
        <f t="shared" si="302"/>
        <v/>
      </c>
      <c r="Y877" s="70" t="str">
        <f>IF(AND($A877&lt;&gt;"",$E877&gt;0),isLaptopBag($C877,$J877)*$D877,"")</f>
        <v/>
      </c>
      <c r="Z877" s="70" t="str">
        <f t="shared" si="303"/>
        <v/>
      </c>
      <c r="AA877" s="70" t="str">
        <f t="shared" si="304"/>
        <v/>
      </c>
      <c r="AB877" s="70" t="str">
        <f t="shared" si="305"/>
        <v/>
      </c>
      <c r="AC877" s="70" t="str">
        <f t="shared" si="306"/>
        <v/>
      </c>
      <c r="AD877" s="70" t="str">
        <f t="shared" si="307"/>
        <v/>
      </c>
      <c r="AE877" s="70" t="str">
        <f t="shared" si="308"/>
        <v/>
      </c>
      <c r="AF877" s="16"/>
      <c r="AG877" s="23"/>
      <c r="AH877" s="22"/>
      <c r="AJ877" s="83">
        <f t="shared" si="309"/>
        <v>0</v>
      </c>
      <c r="AO877" s="22" t="str">
        <f t="shared" si="310"/>
        <v/>
      </c>
      <c r="AP877" s="22" t="str">
        <f t="shared" si="311"/>
        <v/>
      </c>
    </row>
    <row r="878" spans="1:42" x14ac:dyDescent="0.25">
      <c r="A878" s="10"/>
      <c r="B878" s="10"/>
      <c r="C878" s="10"/>
      <c r="D878" s="10"/>
      <c r="E878" s="10"/>
      <c r="F878" s="10"/>
      <c r="G878" s="10"/>
      <c r="H878" s="17"/>
      <c r="I878" s="10"/>
      <c r="J878" s="10"/>
      <c r="K878" s="16" t="str">
        <f t="shared" si="290"/>
        <v/>
      </c>
      <c r="L878" s="23" t="str">
        <f t="shared" si="291"/>
        <v/>
      </c>
      <c r="M878" s="22" t="str">
        <f t="shared" si="292"/>
        <v/>
      </c>
      <c r="N878" s="72"/>
      <c r="O878" s="16" t="str">
        <f t="shared" si="293"/>
        <v/>
      </c>
      <c r="P878" s="16" t="str">
        <f t="shared" si="294"/>
        <v/>
      </c>
      <c r="Q878" s="16" t="str">
        <f t="shared" si="295"/>
        <v/>
      </c>
      <c r="R878" s="23" t="str">
        <f t="shared" si="296"/>
        <v/>
      </c>
      <c r="S878" s="23" t="str">
        <f t="shared" si="297"/>
        <v/>
      </c>
      <c r="T878" s="23" t="str">
        <f t="shared" si="298"/>
        <v/>
      </c>
      <c r="U878" s="23" t="str">
        <f t="shared" si="299"/>
        <v/>
      </c>
      <c r="V878" s="23" t="str">
        <f t="shared" si="300"/>
        <v/>
      </c>
      <c r="W878" s="70" t="str">
        <f t="shared" si="301"/>
        <v/>
      </c>
      <c r="X878" s="70" t="str">
        <f t="shared" si="302"/>
        <v/>
      </c>
      <c r="Y878" s="70" t="str">
        <f>IF(AND($A878&lt;&gt;"",$E878&gt;0),isLaptopBag($C878,$J878)*$D878,"")</f>
        <v/>
      </c>
      <c r="Z878" s="70" t="str">
        <f t="shared" si="303"/>
        <v/>
      </c>
      <c r="AA878" s="70" t="str">
        <f t="shared" si="304"/>
        <v/>
      </c>
      <c r="AB878" s="70" t="str">
        <f t="shared" si="305"/>
        <v/>
      </c>
      <c r="AC878" s="70" t="str">
        <f t="shared" si="306"/>
        <v/>
      </c>
      <c r="AD878" s="70" t="str">
        <f t="shared" si="307"/>
        <v/>
      </c>
      <c r="AE878" s="70" t="str">
        <f t="shared" si="308"/>
        <v/>
      </c>
      <c r="AF878" s="16"/>
      <c r="AG878" s="23"/>
      <c r="AH878" s="22"/>
      <c r="AJ878" s="83">
        <f t="shared" si="309"/>
        <v>0</v>
      </c>
      <c r="AO878" s="22" t="str">
        <f t="shared" si="310"/>
        <v/>
      </c>
      <c r="AP878" s="22" t="str">
        <f t="shared" si="311"/>
        <v/>
      </c>
    </row>
    <row r="879" spans="1:42" x14ac:dyDescent="0.25">
      <c r="A879" s="10"/>
      <c r="B879" s="10"/>
      <c r="C879" s="10"/>
      <c r="D879" s="10"/>
      <c r="E879" s="10"/>
      <c r="F879" s="10"/>
      <c r="G879" s="10"/>
      <c r="H879" s="17"/>
      <c r="I879" s="10"/>
      <c r="J879" s="10"/>
      <c r="K879" s="16" t="str">
        <f t="shared" si="290"/>
        <v/>
      </c>
      <c r="L879" s="23" t="str">
        <f t="shared" si="291"/>
        <v/>
      </c>
      <c r="M879" s="22" t="str">
        <f t="shared" si="292"/>
        <v/>
      </c>
      <c r="N879" s="72"/>
      <c r="O879" s="16" t="str">
        <f t="shared" si="293"/>
        <v/>
      </c>
      <c r="P879" s="16" t="str">
        <f t="shared" si="294"/>
        <v/>
      </c>
      <c r="Q879" s="16" t="str">
        <f t="shared" si="295"/>
        <v/>
      </c>
      <c r="R879" s="23" t="str">
        <f t="shared" si="296"/>
        <v/>
      </c>
      <c r="S879" s="23" t="str">
        <f t="shared" si="297"/>
        <v/>
      </c>
      <c r="T879" s="23" t="str">
        <f t="shared" si="298"/>
        <v/>
      </c>
      <c r="U879" s="23" t="str">
        <f t="shared" si="299"/>
        <v/>
      </c>
      <c r="V879" s="23" t="str">
        <f t="shared" si="300"/>
        <v/>
      </c>
      <c r="W879" s="70" t="str">
        <f t="shared" si="301"/>
        <v/>
      </c>
      <c r="X879" s="70" t="str">
        <f t="shared" si="302"/>
        <v/>
      </c>
      <c r="Y879" s="70" t="str">
        <f>IF(AND($A879&lt;&gt;"",$E879&gt;0),isLaptopBag($C879,$J879)*$D879,"")</f>
        <v/>
      </c>
      <c r="Z879" s="70" t="str">
        <f t="shared" si="303"/>
        <v/>
      </c>
      <c r="AA879" s="70" t="str">
        <f t="shared" si="304"/>
        <v/>
      </c>
      <c r="AB879" s="70" t="str">
        <f t="shared" si="305"/>
        <v/>
      </c>
      <c r="AC879" s="70" t="str">
        <f t="shared" si="306"/>
        <v/>
      </c>
      <c r="AD879" s="70" t="str">
        <f t="shared" si="307"/>
        <v/>
      </c>
      <c r="AE879" s="70" t="str">
        <f t="shared" si="308"/>
        <v/>
      </c>
      <c r="AF879" s="16"/>
      <c r="AG879" s="23"/>
      <c r="AH879" s="22"/>
      <c r="AJ879" s="83">
        <f t="shared" si="309"/>
        <v>0</v>
      </c>
      <c r="AO879" s="22" t="str">
        <f t="shared" si="310"/>
        <v/>
      </c>
      <c r="AP879" s="22" t="str">
        <f t="shared" si="311"/>
        <v/>
      </c>
    </row>
    <row r="880" spans="1:42" x14ac:dyDescent="0.25">
      <c r="A880" s="10"/>
      <c r="B880" s="10"/>
      <c r="C880" s="10"/>
      <c r="D880" s="10"/>
      <c r="E880" s="10"/>
      <c r="F880" s="10"/>
      <c r="G880" s="10"/>
      <c r="H880" s="17"/>
      <c r="I880" s="10"/>
      <c r="J880" s="10"/>
      <c r="K880" s="16" t="str">
        <f t="shared" si="290"/>
        <v/>
      </c>
      <c r="L880" s="23" t="str">
        <f t="shared" si="291"/>
        <v/>
      </c>
      <c r="M880" s="22" t="str">
        <f t="shared" si="292"/>
        <v/>
      </c>
      <c r="N880" s="72"/>
      <c r="O880" s="16" t="str">
        <f t="shared" si="293"/>
        <v/>
      </c>
      <c r="P880" s="16" t="str">
        <f t="shared" si="294"/>
        <v/>
      </c>
      <c r="Q880" s="16" t="str">
        <f t="shared" si="295"/>
        <v/>
      </c>
      <c r="R880" s="23" t="str">
        <f t="shared" si="296"/>
        <v/>
      </c>
      <c r="S880" s="23" t="str">
        <f t="shared" si="297"/>
        <v/>
      </c>
      <c r="T880" s="23" t="str">
        <f t="shared" si="298"/>
        <v/>
      </c>
      <c r="U880" s="23" t="str">
        <f t="shared" si="299"/>
        <v/>
      </c>
      <c r="V880" s="23" t="str">
        <f t="shared" si="300"/>
        <v/>
      </c>
      <c r="W880" s="70" t="str">
        <f t="shared" si="301"/>
        <v/>
      </c>
      <c r="X880" s="70" t="str">
        <f t="shared" si="302"/>
        <v/>
      </c>
      <c r="Y880" s="70" t="str">
        <f>IF(AND($A880&lt;&gt;"",$E880&gt;0),isLaptopBag($C880,$J880)*$D880,"")</f>
        <v/>
      </c>
      <c r="Z880" s="70" t="str">
        <f t="shared" si="303"/>
        <v/>
      </c>
      <c r="AA880" s="70" t="str">
        <f t="shared" si="304"/>
        <v/>
      </c>
      <c r="AB880" s="70" t="str">
        <f t="shared" si="305"/>
        <v/>
      </c>
      <c r="AC880" s="70" t="str">
        <f t="shared" si="306"/>
        <v/>
      </c>
      <c r="AD880" s="70" t="str">
        <f t="shared" si="307"/>
        <v/>
      </c>
      <c r="AE880" s="70" t="str">
        <f t="shared" si="308"/>
        <v/>
      </c>
      <c r="AF880" s="16"/>
      <c r="AG880" s="23"/>
      <c r="AH880" s="22"/>
      <c r="AJ880" s="83">
        <f t="shared" si="309"/>
        <v>0</v>
      </c>
      <c r="AO880" s="22" t="str">
        <f t="shared" si="310"/>
        <v/>
      </c>
      <c r="AP880" s="22" t="str">
        <f t="shared" si="311"/>
        <v/>
      </c>
    </row>
    <row r="881" spans="1:42" x14ac:dyDescent="0.25">
      <c r="A881" s="10"/>
      <c r="B881" s="10"/>
      <c r="C881" s="10"/>
      <c r="D881" s="10"/>
      <c r="E881" s="10"/>
      <c r="F881" s="10"/>
      <c r="G881" s="10"/>
      <c r="H881" s="17"/>
      <c r="I881" s="10"/>
      <c r="J881" s="10"/>
      <c r="K881" s="16" t="str">
        <f t="shared" si="290"/>
        <v/>
      </c>
      <c r="L881" s="23" t="str">
        <f t="shared" si="291"/>
        <v/>
      </c>
      <c r="M881" s="22" t="str">
        <f t="shared" si="292"/>
        <v/>
      </c>
      <c r="N881" s="72"/>
      <c r="O881" s="16" t="str">
        <f t="shared" si="293"/>
        <v/>
      </c>
      <c r="P881" s="16" t="str">
        <f t="shared" si="294"/>
        <v/>
      </c>
      <c r="Q881" s="16" t="str">
        <f t="shared" si="295"/>
        <v/>
      </c>
      <c r="R881" s="23" t="str">
        <f t="shared" si="296"/>
        <v/>
      </c>
      <c r="S881" s="23" t="str">
        <f t="shared" si="297"/>
        <v/>
      </c>
      <c r="T881" s="23" t="str">
        <f t="shared" si="298"/>
        <v/>
      </c>
      <c r="U881" s="23" t="str">
        <f t="shared" si="299"/>
        <v/>
      </c>
      <c r="V881" s="23" t="str">
        <f t="shared" si="300"/>
        <v/>
      </c>
      <c r="W881" s="70" t="str">
        <f t="shared" si="301"/>
        <v/>
      </c>
      <c r="X881" s="70" t="str">
        <f t="shared" si="302"/>
        <v/>
      </c>
      <c r="Y881" s="70" t="str">
        <f>IF(AND($A881&lt;&gt;"",$E881&gt;0),isLaptopBag($C881,$J881)*$D881,"")</f>
        <v/>
      </c>
      <c r="Z881" s="70" t="str">
        <f t="shared" si="303"/>
        <v/>
      </c>
      <c r="AA881" s="70" t="str">
        <f t="shared" si="304"/>
        <v/>
      </c>
      <c r="AB881" s="70" t="str">
        <f t="shared" si="305"/>
        <v/>
      </c>
      <c r="AC881" s="70" t="str">
        <f t="shared" si="306"/>
        <v/>
      </c>
      <c r="AD881" s="70" t="str">
        <f t="shared" si="307"/>
        <v/>
      </c>
      <c r="AE881" s="70" t="str">
        <f t="shared" si="308"/>
        <v/>
      </c>
      <c r="AF881" s="16"/>
      <c r="AG881" s="23"/>
      <c r="AH881" s="22"/>
      <c r="AJ881" s="83">
        <f t="shared" si="309"/>
        <v>0</v>
      </c>
      <c r="AO881" s="22" t="str">
        <f t="shared" si="310"/>
        <v/>
      </c>
      <c r="AP881" s="22" t="str">
        <f t="shared" si="311"/>
        <v/>
      </c>
    </row>
    <row r="882" spans="1:42" x14ac:dyDescent="0.25">
      <c r="A882" s="10"/>
      <c r="B882" s="10"/>
      <c r="C882" s="10"/>
      <c r="D882" s="10"/>
      <c r="E882" s="10"/>
      <c r="F882" s="10"/>
      <c r="G882" s="10"/>
      <c r="H882" s="17"/>
      <c r="I882" s="10"/>
      <c r="J882" s="10"/>
      <c r="K882" s="16" t="str">
        <f t="shared" si="290"/>
        <v/>
      </c>
      <c r="L882" s="23" t="str">
        <f t="shared" si="291"/>
        <v/>
      </c>
      <c r="M882" s="22" t="str">
        <f t="shared" si="292"/>
        <v/>
      </c>
      <c r="N882" s="72"/>
      <c r="O882" s="16" t="str">
        <f t="shared" si="293"/>
        <v/>
      </c>
      <c r="P882" s="16" t="str">
        <f t="shared" si="294"/>
        <v/>
      </c>
      <c r="Q882" s="16" t="str">
        <f t="shared" si="295"/>
        <v/>
      </c>
      <c r="R882" s="23" t="str">
        <f t="shared" si="296"/>
        <v/>
      </c>
      <c r="S882" s="23" t="str">
        <f t="shared" si="297"/>
        <v/>
      </c>
      <c r="T882" s="23" t="str">
        <f t="shared" si="298"/>
        <v/>
      </c>
      <c r="U882" s="23" t="str">
        <f t="shared" si="299"/>
        <v/>
      </c>
      <c r="V882" s="23" t="str">
        <f t="shared" si="300"/>
        <v/>
      </c>
      <c r="W882" s="70" t="str">
        <f t="shared" si="301"/>
        <v/>
      </c>
      <c r="X882" s="70" t="str">
        <f t="shared" si="302"/>
        <v/>
      </c>
      <c r="Y882" s="70" t="str">
        <f>IF(AND($A882&lt;&gt;"",$E882&gt;0),isLaptopBag($C882,$J882)*$D882,"")</f>
        <v/>
      </c>
      <c r="Z882" s="70" t="str">
        <f t="shared" si="303"/>
        <v/>
      </c>
      <c r="AA882" s="70" t="str">
        <f t="shared" si="304"/>
        <v/>
      </c>
      <c r="AB882" s="70" t="str">
        <f t="shared" si="305"/>
        <v/>
      </c>
      <c r="AC882" s="70" t="str">
        <f t="shared" si="306"/>
        <v/>
      </c>
      <c r="AD882" s="70" t="str">
        <f t="shared" si="307"/>
        <v/>
      </c>
      <c r="AE882" s="70" t="str">
        <f t="shared" si="308"/>
        <v/>
      </c>
      <c r="AF882" s="16"/>
      <c r="AG882" s="23"/>
      <c r="AH882" s="22"/>
      <c r="AJ882" s="83">
        <f t="shared" si="309"/>
        <v>0</v>
      </c>
      <c r="AO882" s="22" t="str">
        <f t="shared" si="310"/>
        <v/>
      </c>
      <c r="AP882" s="22" t="str">
        <f t="shared" si="311"/>
        <v/>
      </c>
    </row>
    <row r="883" spans="1:42" x14ac:dyDescent="0.25">
      <c r="A883" s="10"/>
      <c r="B883" s="10"/>
      <c r="C883" s="10"/>
      <c r="D883" s="10"/>
      <c r="E883" s="10"/>
      <c r="F883" s="10"/>
      <c r="G883" s="10"/>
      <c r="H883" s="17"/>
      <c r="I883" s="10"/>
      <c r="J883" s="10"/>
      <c r="K883" s="16" t="str">
        <f t="shared" si="290"/>
        <v/>
      </c>
      <c r="L883" s="23" t="str">
        <f t="shared" si="291"/>
        <v/>
      </c>
      <c r="M883" s="22" t="str">
        <f t="shared" si="292"/>
        <v/>
      </c>
      <c r="N883" s="72"/>
      <c r="O883" s="16" t="str">
        <f t="shared" si="293"/>
        <v/>
      </c>
      <c r="P883" s="16" t="str">
        <f t="shared" si="294"/>
        <v/>
      </c>
      <c r="Q883" s="16" t="str">
        <f t="shared" si="295"/>
        <v/>
      </c>
      <c r="R883" s="23" t="str">
        <f t="shared" si="296"/>
        <v/>
      </c>
      <c r="S883" s="23" t="str">
        <f t="shared" si="297"/>
        <v/>
      </c>
      <c r="T883" s="23" t="str">
        <f t="shared" si="298"/>
        <v/>
      </c>
      <c r="U883" s="23" t="str">
        <f t="shared" si="299"/>
        <v/>
      </c>
      <c r="V883" s="23" t="str">
        <f t="shared" si="300"/>
        <v/>
      </c>
      <c r="W883" s="70" t="str">
        <f t="shared" si="301"/>
        <v/>
      </c>
      <c r="X883" s="70" t="str">
        <f t="shared" si="302"/>
        <v/>
      </c>
      <c r="Y883" s="70" t="str">
        <f>IF(AND($A883&lt;&gt;"",$E883&gt;0),isLaptopBag($C883,$J883)*$D883,"")</f>
        <v/>
      </c>
      <c r="Z883" s="70" t="str">
        <f t="shared" si="303"/>
        <v/>
      </c>
      <c r="AA883" s="70" t="str">
        <f t="shared" si="304"/>
        <v/>
      </c>
      <c r="AB883" s="70" t="str">
        <f t="shared" si="305"/>
        <v/>
      </c>
      <c r="AC883" s="70" t="str">
        <f t="shared" si="306"/>
        <v/>
      </c>
      <c r="AD883" s="70" t="str">
        <f t="shared" si="307"/>
        <v/>
      </c>
      <c r="AE883" s="70" t="str">
        <f t="shared" si="308"/>
        <v/>
      </c>
      <c r="AF883" s="16"/>
      <c r="AG883" s="23"/>
      <c r="AH883" s="22"/>
      <c r="AJ883" s="83">
        <f t="shared" si="309"/>
        <v>0</v>
      </c>
      <c r="AO883" s="22" t="str">
        <f t="shared" si="310"/>
        <v/>
      </c>
      <c r="AP883" s="22" t="str">
        <f t="shared" si="311"/>
        <v/>
      </c>
    </row>
    <row r="884" spans="1:42" x14ac:dyDescent="0.25">
      <c r="A884" s="10"/>
      <c r="B884" s="10"/>
      <c r="C884" s="10"/>
      <c r="D884" s="10"/>
      <c r="E884" s="10"/>
      <c r="F884" s="10"/>
      <c r="G884" s="10"/>
      <c r="H884" s="17"/>
      <c r="I884" s="10"/>
      <c r="J884" s="10"/>
      <c r="K884" s="16" t="str">
        <f t="shared" si="290"/>
        <v/>
      </c>
      <c r="L884" s="23" t="str">
        <f t="shared" si="291"/>
        <v/>
      </c>
      <c r="M884" s="22" t="str">
        <f t="shared" si="292"/>
        <v/>
      </c>
      <c r="N884" s="72"/>
      <c r="O884" s="16" t="str">
        <f t="shared" si="293"/>
        <v/>
      </c>
      <c r="P884" s="16" t="str">
        <f t="shared" si="294"/>
        <v/>
      </c>
      <c r="Q884" s="16" t="str">
        <f t="shared" si="295"/>
        <v/>
      </c>
      <c r="R884" s="23" t="str">
        <f t="shared" si="296"/>
        <v/>
      </c>
      <c r="S884" s="23" t="str">
        <f t="shared" si="297"/>
        <v/>
      </c>
      <c r="T884" s="23" t="str">
        <f t="shared" si="298"/>
        <v/>
      </c>
      <c r="U884" s="23" t="str">
        <f t="shared" si="299"/>
        <v/>
      </c>
      <c r="V884" s="23" t="str">
        <f t="shared" si="300"/>
        <v/>
      </c>
      <c r="W884" s="70" t="str">
        <f t="shared" si="301"/>
        <v/>
      </c>
      <c r="X884" s="70" t="str">
        <f t="shared" si="302"/>
        <v/>
      </c>
      <c r="Y884" s="70" t="str">
        <f>IF(AND($A884&lt;&gt;"",$E884&gt;0),isLaptopBag($C884,$J884)*$D884,"")</f>
        <v/>
      </c>
      <c r="Z884" s="70" t="str">
        <f t="shared" si="303"/>
        <v/>
      </c>
      <c r="AA884" s="70" t="str">
        <f t="shared" si="304"/>
        <v/>
      </c>
      <c r="AB884" s="70" t="str">
        <f t="shared" si="305"/>
        <v/>
      </c>
      <c r="AC884" s="70" t="str">
        <f t="shared" si="306"/>
        <v/>
      </c>
      <c r="AD884" s="70" t="str">
        <f t="shared" si="307"/>
        <v/>
      </c>
      <c r="AE884" s="70" t="str">
        <f t="shared" si="308"/>
        <v/>
      </c>
      <c r="AF884" s="16"/>
      <c r="AG884" s="23"/>
      <c r="AH884" s="22"/>
      <c r="AJ884" s="83">
        <f t="shared" si="309"/>
        <v>0</v>
      </c>
      <c r="AO884" s="22" t="str">
        <f t="shared" si="310"/>
        <v/>
      </c>
      <c r="AP884" s="22" t="str">
        <f t="shared" si="311"/>
        <v/>
      </c>
    </row>
    <row r="885" spans="1:42" x14ac:dyDescent="0.25">
      <c r="A885" s="10"/>
      <c r="B885" s="10"/>
      <c r="C885" s="10"/>
      <c r="D885" s="10"/>
      <c r="E885" s="10"/>
      <c r="F885" s="10"/>
      <c r="G885" s="10"/>
      <c r="H885" s="17"/>
      <c r="I885" s="10"/>
      <c r="J885" s="10"/>
      <c r="K885" s="16" t="str">
        <f t="shared" si="290"/>
        <v/>
      </c>
      <c r="L885" s="23" t="str">
        <f t="shared" si="291"/>
        <v/>
      </c>
      <c r="M885" s="22" t="str">
        <f t="shared" si="292"/>
        <v/>
      </c>
      <c r="N885" s="72"/>
      <c r="O885" s="16" t="str">
        <f t="shared" si="293"/>
        <v/>
      </c>
      <c r="P885" s="16" t="str">
        <f t="shared" si="294"/>
        <v/>
      </c>
      <c r="Q885" s="16" t="str">
        <f t="shared" si="295"/>
        <v/>
      </c>
      <c r="R885" s="23" t="str">
        <f t="shared" si="296"/>
        <v/>
      </c>
      <c r="S885" s="23" t="str">
        <f t="shared" si="297"/>
        <v/>
      </c>
      <c r="T885" s="23" t="str">
        <f t="shared" si="298"/>
        <v/>
      </c>
      <c r="U885" s="23" t="str">
        <f t="shared" si="299"/>
        <v/>
      </c>
      <c r="V885" s="23" t="str">
        <f t="shared" si="300"/>
        <v/>
      </c>
      <c r="W885" s="70" t="str">
        <f t="shared" si="301"/>
        <v/>
      </c>
      <c r="X885" s="70" t="str">
        <f t="shared" si="302"/>
        <v/>
      </c>
      <c r="Y885" s="70" t="str">
        <f>IF(AND($A885&lt;&gt;"",$E885&gt;0),isLaptopBag($C885,$J885)*$D885,"")</f>
        <v/>
      </c>
      <c r="Z885" s="70" t="str">
        <f t="shared" si="303"/>
        <v/>
      </c>
      <c r="AA885" s="70" t="str">
        <f t="shared" si="304"/>
        <v/>
      </c>
      <c r="AB885" s="70" t="str">
        <f t="shared" si="305"/>
        <v/>
      </c>
      <c r="AC885" s="70" t="str">
        <f t="shared" si="306"/>
        <v/>
      </c>
      <c r="AD885" s="70" t="str">
        <f t="shared" si="307"/>
        <v/>
      </c>
      <c r="AE885" s="70" t="str">
        <f t="shared" si="308"/>
        <v/>
      </c>
      <c r="AF885" s="16"/>
      <c r="AG885" s="23"/>
      <c r="AH885" s="22"/>
      <c r="AJ885" s="83">
        <f t="shared" si="309"/>
        <v>0</v>
      </c>
      <c r="AO885" s="22" t="str">
        <f t="shared" si="310"/>
        <v/>
      </c>
      <c r="AP885" s="22" t="str">
        <f t="shared" si="311"/>
        <v/>
      </c>
    </row>
    <row r="886" spans="1:42" x14ac:dyDescent="0.25">
      <c r="A886" s="10"/>
      <c r="B886" s="10"/>
      <c r="C886" s="10"/>
      <c r="D886" s="10"/>
      <c r="E886" s="10"/>
      <c r="F886" s="10"/>
      <c r="G886" s="10"/>
      <c r="H886" s="17"/>
      <c r="I886" s="10"/>
      <c r="J886" s="10"/>
      <c r="K886" s="16" t="str">
        <f t="shared" si="290"/>
        <v/>
      </c>
      <c r="L886" s="23" t="str">
        <f t="shared" si="291"/>
        <v/>
      </c>
      <c r="M886" s="22" t="str">
        <f t="shared" si="292"/>
        <v/>
      </c>
      <c r="N886" s="72"/>
      <c r="O886" s="16" t="str">
        <f t="shared" si="293"/>
        <v/>
      </c>
      <c r="P886" s="16" t="str">
        <f t="shared" si="294"/>
        <v/>
      </c>
      <c r="Q886" s="16" t="str">
        <f t="shared" si="295"/>
        <v/>
      </c>
      <c r="R886" s="23" t="str">
        <f t="shared" si="296"/>
        <v/>
      </c>
      <c r="S886" s="23" t="str">
        <f t="shared" si="297"/>
        <v/>
      </c>
      <c r="T886" s="23" t="str">
        <f t="shared" si="298"/>
        <v/>
      </c>
      <c r="U886" s="23" t="str">
        <f t="shared" si="299"/>
        <v/>
      </c>
      <c r="V886" s="23" t="str">
        <f t="shared" si="300"/>
        <v/>
      </c>
      <c r="W886" s="70" t="str">
        <f t="shared" si="301"/>
        <v/>
      </c>
      <c r="X886" s="70" t="str">
        <f t="shared" si="302"/>
        <v/>
      </c>
      <c r="Y886" s="70" t="str">
        <f>IF(AND($A886&lt;&gt;"",$E886&gt;0),isLaptopBag($C886,$J886)*$D886,"")</f>
        <v/>
      </c>
      <c r="Z886" s="70" t="str">
        <f t="shared" si="303"/>
        <v/>
      </c>
      <c r="AA886" s="70" t="str">
        <f t="shared" si="304"/>
        <v/>
      </c>
      <c r="AB886" s="70" t="str">
        <f t="shared" si="305"/>
        <v/>
      </c>
      <c r="AC886" s="70" t="str">
        <f t="shared" si="306"/>
        <v/>
      </c>
      <c r="AD886" s="70" t="str">
        <f t="shared" si="307"/>
        <v/>
      </c>
      <c r="AE886" s="70" t="str">
        <f t="shared" si="308"/>
        <v/>
      </c>
      <c r="AF886" s="16"/>
      <c r="AG886" s="23"/>
      <c r="AH886" s="22"/>
      <c r="AJ886" s="83">
        <f t="shared" si="309"/>
        <v>0</v>
      </c>
      <c r="AO886" s="22" t="str">
        <f t="shared" si="310"/>
        <v/>
      </c>
      <c r="AP886" s="22" t="str">
        <f t="shared" si="311"/>
        <v/>
      </c>
    </row>
    <row r="887" spans="1:42" x14ac:dyDescent="0.25">
      <c r="A887" s="10"/>
      <c r="B887" s="10"/>
      <c r="C887" s="10"/>
      <c r="D887" s="10"/>
      <c r="E887" s="10"/>
      <c r="F887" s="10"/>
      <c r="G887" s="10"/>
      <c r="H887" s="17"/>
      <c r="I887" s="10"/>
      <c r="J887" s="10"/>
      <c r="K887" s="16" t="str">
        <f t="shared" si="290"/>
        <v/>
      </c>
      <c r="L887" s="23" t="str">
        <f t="shared" si="291"/>
        <v/>
      </c>
      <c r="M887" s="22" t="str">
        <f t="shared" si="292"/>
        <v/>
      </c>
      <c r="N887" s="72"/>
      <c r="O887" s="16" t="str">
        <f t="shared" si="293"/>
        <v/>
      </c>
      <c r="P887" s="16" t="str">
        <f t="shared" si="294"/>
        <v/>
      </c>
      <c r="Q887" s="16" t="str">
        <f t="shared" si="295"/>
        <v/>
      </c>
      <c r="R887" s="23" t="str">
        <f t="shared" si="296"/>
        <v/>
      </c>
      <c r="S887" s="23" t="str">
        <f t="shared" si="297"/>
        <v/>
      </c>
      <c r="T887" s="23" t="str">
        <f t="shared" si="298"/>
        <v/>
      </c>
      <c r="U887" s="23" t="str">
        <f t="shared" si="299"/>
        <v/>
      </c>
      <c r="V887" s="23" t="str">
        <f t="shared" si="300"/>
        <v/>
      </c>
      <c r="W887" s="70" t="str">
        <f t="shared" si="301"/>
        <v/>
      </c>
      <c r="X887" s="70" t="str">
        <f t="shared" si="302"/>
        <v/>
      </c>
      <c r="Y887" s="70" t="str">
        <f>IF(AND($A887&lt;&gt;"",$E887&gt;0),isLaptopBag($C887,$J887)*$D887,"")</f>
        <v/>
      </c>
      <c r="Z887" s="70" t="str">
        <f t="shared" si="303"/>
        <v/>
      </c>
      <c r="AA887" s="70" t="str">
        <f t="shared" si="304"/>
        <v/>
      </c>
      <c r="AB887" s="70" t="str">
        <f t="shared" si="305"/>
        <v/>
      </c>
      <c r="AC887" s="70" t="str">
        <f t="shared" si="306"/>
        <v/>
      </c>
      <c r="AD887" s="70" t="str">
        <f t="shared" si="307"/>
        <v/>
      </c>
      <c r="AE887" s="70" t="str">
        <f t="shared" si="308"/>
        <v/>
      </c>
      <c r="AF887" s="16"/>
      <c r="AG887" s="23"/>
      <c r="AH887" s="22"/>
      <c r="AJ887" s="83">
        <f t="shared" si="309"/>
        <v>0</v>
      </c>
      <c r="AO887" s="22" t="str">
        <f t="shared" si="310"/>
        <v/>
      </c>
      <c r="AP887" s="22" t="str">
        <f t="shared" si="311"/>
        <v/>
      </c>
    </row>
    <row r="888" spans="1:42" x14ac:dyDescent="0.25">
      <c r="A888" s="10"/>
      <c r="B888" s="10"/>
      <c r="C888" s="10"/>
      <c r="D888" s="10"/>
      <c r="E888" s="10"/>
      <c r="F888" s="10"/>
      <c r="G888" s="10"/>
      <c r="H888" s="17"/>
      <c r="I888" s="10"/>
      <c r="J888" s="10"/>
      <c r="K888" s="16" t="str">
        <f t="shared" si="290"/>
        <v/>
      </c>
      <c r="L888" s="23" t="str">
        <f t="shared" si="291"/>
        <v/>
      </c>
      <c r="M888" s="22" t="str">
        <f t="shared" si="292"/>
        <v/>
      </c>
      <c r="N888" s="72"/>
      <c r="O888" s="16" t="str">
        <f t="shared" si="293"/>
        <v/>
      </c>
      <c r="P888" s="16" t="str">
        <f t="shared" si="294"/>
        <v/>
      </c>
      <c r="Q888" s="16" t="str">
        <f t="shared" si="295"/>
        <v/>
      </c>
      <c r="R888" s="23" t="str">
        <f t="shared" si="296"/>
        <v/>
      </c>
      <c r="S888" s="23" t="str">
        <f t="shared" si="297"/>
        <v/>
      </c>
      <c r="T888" s="23" t="str">
        <f t="shared" si="298"/>
        <v/>
      </c>
      <c r="U888" s="23" t="str">
        <f t="shared" si="299"/>
        <v/>
      </c>
      <c r="V888" s="23" t="str">
        <f t="shared" si="300"/>
        <v/>
      </c>
      <c r="W888" s="70" t="str">
        <f t="shared" si="301"/>
        <v/>
      </c>
      <c r="X888" s="70" t="str">
        <f t="shared" si="302"/>
        <v/>
      </c>
      <c r="Y888" s="70" t="str">
        <f>IF(AND($A888&lt;&gt;"",$E888&gt;0),isLaptopBag($C888,$J888)*$D888,"")</f>
        <v/>
      </c>
      <c r="Z888" s="70" t="str">
        <f t="shared" si="303"/>
        <v/>
      </c>
      <c r="AA888" s="70" t="str">
        <f t="shared" si="304"/>
        <v/>
      </c>
      <c r="AB888" s="70" t="str">
        <f t="shared" si="305"/>
        <v/>
      </c>
      <c r="AC888" s="70" t="str">
        <f t="shared" si="306"/>
        <v/>
      </c>
      <c r="AD888" s="70" t="str">
        <f t="shared" si="307"/>
        <v/>
      </c>
      <c r="AE888" s="70" t="str">
        <f t="shared" si="308"/>
        <v/>
      </c>
      <c r="AF888" s="16"/>
      <c r="AG888" s="23"/>
      <c r="AH888" s="22"/>
      <c r="AJ888" s="83">
        <f t="shared" si="309"/>
        <v>0</v>
      </c>
      <c r="AO888" s="22" t="str">
        <f t="shared" si="310"/>
        <v/>
      </c>
      <c r="AP888" s="22" t="str">
        <f t="shared" si="311"/>
        <v/>
      </c>
    </row>
    <row r="889" spans="1:42" x14ac:dyDescent="0.25">
      <c r="A889" s="10"/>
      <c r="B889" s="10"/>
      <c r="C889" s="10"/>
      <c r="D889" s="10"/>
      <c r="E889" s="10"/>
      <c r="F889" s="10"/>
      <c r="G889" s="10"/>
      <c r="H889" s="17"/>
      <c r="I889" s="10"/>
      <c r="J889" s="10"/>
      <c r="K889" s="16" t="str">
        <f t="shared" si="290"/>
        <v/>
      </c>
      <c r="L889" s="23" t="str">
        <f t="shared" si="291"/>
        <v/>
      </c>
      <c r="M889" s="22" t="str">
        <f t="shared" si="292"/>
        <v/>
      </c>
      <c r="N889" s="72"/>
      <c r="O889" s="16" t="str">
        <f t="shared" si="293"/>
        <v/>
      </c>
      <c r="P889" s="16" t="str">
        <f t="shared" si="294"/>
        <v/>
      </c>
      <c r="Q889" s="16" t="str">
        <f t="shared" si="295"/>
        <v/>
      </c>
      <c r="R889" s="23" t="str">
        <f t="shared" si="296"/>
        <v/>
      </c>
      <c r="S889" s="23" t="str">
        <f t="shared" si="297"/>
        <v/>
      </c>
      <c r="T889" s="23" t="str">
        <f t="shared" si="298"/>
        <v/>
      </c>
      <c r="U889" s="23" t="str">
        <f t="shared" si="299"/>
        <v/>
      </c>
      <c r="V889" s="23" t="str">
        <f t="shared" si="300"/>
        <v/>
      </c>
      <c r="W889" s="70" t="str">
        <f t="shared" si="301"/>
        <v/>
      </c>
      <c r="X889" s="70" t="str">
        <f t="shared" si="302"/>
        <v/>
      </c>
      <c r="Y889" s="70" t="str">
        <f>IF(AND($A889&lt;&gt;"",$E889&gt;0),isLaptopBag($C889,$J889)*$D889,"")</f>
        <v/>
      </c>
      <c r="Z889" s="70" t="str">
        <f t="shared" si="303"/>
        <v/>
      </c>
      <c r="AA889" s="70" t="str">
        <f t="shared" si="304"/>
        <v/>
      </c>
      <c r="AB889" s="70" t="str">
        <f t="shared" si="305"/>
        <v/>
      </c>
      <c r="AC889" s="70" t="str">
        <f t="shared" si="306"/>
        <v/>
      </c>
      <c r="AD889" s="70" t="str">
        <f t="shared" si="307"/>
        <v/>
      </c>
      <c r="AE889" s="70" t="str">
        <f t="shared" si="308"/>
        <v/>
      </c>
      <c r="AF889" s="16"/>
      <c r="AG889" s="23"/>
      <c r="AH889" s="22"/>
      <c r="AJ889" s="83">
        <f t="shared" si="309"/>
        <v>0</v>
      </c>
      <c r="AO889" s="22" t="str">
        <f t="shared" si="310"/>
        <v/>
      </c>
      <c r="AP889" s="22" t="str">
        <f t="shared" si="311"/>
        <v/>
      </c>
    </row>
    <row r="890" spans="1:42" x14ac:dyDescent="0.25">
      <c r="A890" s="10"/>
      <c r="B890" s="10"/>
      <c r="C890" s="10"/>
      <c r="D890" s="10"/>
      <c r="E890" s="10"/>
      <c r="F890" s="10"/>
      <c r="G890" s="10"/>
      <c r="H890" s="17"/>
      <c r="I890" s="10"/>
      <c r="J890" s="10"/>
      <c r="K890" s="16" t="str">
        <f t="shared" si="290"/>
        <v/>
      </c>
      <c r="L890" s="23" t="str">
        <f t="shared" si="291"/>
        <v/>
      </c>
      <c r="M890" s="22" t="str">
        <f t="shared" si="292"/>
        <v/>
      </c>
      <c r="N890" s="72"/>
      <c r="O890" s="16" t="str">
        <f t="shared" si="293"/>
        <v/>
      </c>
      <c r="P890" s="16" t="str">
        <f t="shared" si="294"/>
        <v/>
      </c>
      <c r="Q890" s="16" t="str">
        <f t="shared" si="295"/>
        <v/>
      </c>
      <c r="R890" s="23" t="str">
        <f t="shared" si="296"/>
        <v/>
      </c>
      <c r="S890" s="23" t="str">
        <f t="shared" si="297"/>
        <v/>
      </c>
      <c r="T890" s="23" t="str">
        <f t="shared" si="298"/>
        <v/>
      </c>
      <c r="U890" s="23" t="str">
        <f t="shared" si="299"/>
        <v/>
      </c>
      <c r="V890" s="23" t="str">
        <f t="shared" si="300"/>
        <v/>
      </c>
      <c r="W890" s="70" t="str">
        <f t="shared" si="301"/>
        <v/>
      </c>
      <c r="X890" s="70" t="str">
        <f t="shared" si="302"/>
        <v/>
      </c>
      <c r="Y890" s="70" t="str">
        <f>IF(AND($A890&lt;&gt;"",$E890&gt;0),isLaptopBag($C890,$J890)*$D890,"")</f>
        <v/>
      </c>
      <c r="Z890" s="70" t="str">
        <f t="shared" si="303"/>
        <v/>
      </c>
      <c r="AA890" s="70" t="str">
        <f t="shared" si="304"/>
        <v/>
      </c>
      <c r="AB890" s="70" t="str">
        <f t="shared" si="305"/>
        <v/>
      </c>
      <c r="AC890" s="70" t="str">
        <f t="shared" si="306"/>
        <v/>
      </c>
      <c r="AD890" s="70" t="str">
        <f t="shared" si="307"/>
        <v/>
      </c>
      <c r="AE890" s="70" t="str">
        <f t="shared" si="308"/>
        <v/>
      </c>
      <c r="AF890" s="16"/>
      <c r="AG890" s="23"/>
      <c r="AH890" s="22"/>
      <c r="AJ890" s="83">
        <f t="shared" si="309"/>
        <v>0</v>
      </c>
      <c r="AO890" s="22" t="str">
        <f t="shared" si="310"/>
        <v/>
      </c>
      <c r="AP890" s="22" t="str">
        <f t="shared" si="311"/>
        <v/>
      </c>
    </row>
    <row r="891" spans="1:42" x14ac:dyDescent="0.25">
      <c r="A891" s="10"/>
      <c r="B891" s="10"/>
      <c r="C891" s="10"/>
      <c r="D891" s="10"/>
      <c r="E891" s="10"/>
      <c r="F891" s="10"/>
      <c r="G891" s="10"/>
      <c r="H891" s="17"/>
      <c r="I891" s="10"/>
      <c r="J891" s="10"/>
      <c r="K891" s="16" t="str">
        <f t="shared" si="290"/>
        <v/>
      </c>
      <c r="L891" s="23" t="str">
        <f t="shared" si="291"/>
        <v/>
      </c>
      <c r="M891" s="22" t="str">
        <f t="shared" si="292"/>
        <v/>
      </c>
      <c r="N891" s="72"/>
      <c r="O891" s="16" t="str">
        <f t="shared" si="293"/>
        <v/>
      </c>
      <c r="P891" s="16" t="str">
        <f t="shared" si="294"/>
        <v/>
      </c>
      <c r="Q891" s="16" t="str">
        <f t="shared" si="295"/>
        <v/>
      </c>
      <c r="R891" s="23" t="str">
        <f t="shared" si="296"/>
        <v/>
      </c>
      <c r="S891" s="23" t="str">
        <f t="shared" si="297"/>
        <v/>
      </c>
      <c r="T891" s="23" t="str">
        <f t="shared" si="298"/>
        <v/>
      </c>
      <c r="U891" s="23" t="str">
        <f t="shared" si="299"/>
        <v/>
      </c>
      <c r="V891" s="23" t="str">
        <f t="shared" si="300"/>
        <v/>
      </c>
      <c r="W891" s="70" t="str">
        <f t="shared" si="301"/>
        <v/>
      </c>
      <c r="X891" s="70" t="str">
        <f t="shared" si="302"/>
        <v/>
      </c>
      <c r="Y891" s="70" t="str">
        <f>IF(AND($A891&lt;&gt;"",$E891&gt;0),isLaptopBag($C891,$J891)*$D891,"")</f>
        <v/>
      </c>
      <c r="Z891" s="70" t="str">
        <f t="shared" si="303"/>
        <v/>
      </c>
      <c r="AA891" s="70" t="str">
        <f t="shared" si="304"/>
        <v/>
      </c>
      <c r="AB891" s="70" t="str">
        <f t="shared" si="305"/>
        <v/>
      </c>
      <c r="AC891" s="70" t="str">
        <f t="shared" si="306"/>
        <v/>
      </c>
      <c r="AD891" s="70" t="str">
        <f t="shared" si="307"/>
        <v/>
      </c>
      <c r="AE891" s="70" t="str">
        <f t="shared" si="308"/>
        <v/>
      </c>
      <c r="AF891" s="16"/>
      <c r="AG891" s="23"/>
      <c r="AH891" s="22"/>
      <c r="AJ891" s="83">
        <f t="shared" si="309"/>
        <v>0</v>
      </c>
      <c r="AO891" s="22" t="str">
        <f t="shared" si="310"/>
        <v/>
      </c>
      <c r="AP891" s="22" t="str">
        <f t="shared" si="311"/>
        <v/>
      </c>
    </row>
    <row r="892" spans="1:42" x14ac:dyDescent="0.25">
      <c r="A892" s="10"/>
      <c r="B892" s="10"/>
      <c r="C892" s="10"/>
      <c r="D892" s="10"/>
      <c r="E892" s="10"/>
      <c r="F892" s="10"/>
      <c r="G892" s="10"/>
      <c r="H892" s="17"/>
      <c r="I892" s="10"/>
      <c r="J892" s="10"/>
      <c r="K892" s="16" t="str">
        <f t="shared" si="290"/>
        <v/>
      </c>
      <c r="L892" s="23" t="str">
        <f t="shared" si="291"/>
        <v/>
      </c>
      <c r="M892" s="22" t="str">
        <f t="shared" si="292"/>
        <v/>
      </c>
      <c r="N892" s="72"/>
      <c r="O892" s="16" t="str">
        <f t="shared" si="293"/>
        <v/>
      </c>
      <c r="P892" s="16" t="str">
        <f t="shared" si="294"/>
        <v/>
      </c>
      <c r="Q892" s="16" t="str">
        <f t="shared" si="295"/>
        <v/>
      </c>
      <c r="R892" s="23" t="str">
        <f t="shared" si="296"/>
        <v/>
      </c>
      <c r="S892" s="23" t="str">
        <f t="shared" si="297"/>
        <v/>
      </c>
      <c r="T892" s="23" t="str">
        <f t="shared" si="298"/>
        <v/>
      </c>
      <c r="U892" s="23" t="str">
        <f t="shared" si="299"/>
        <v/>
      </c>
      <c r="V892" s="23" t="str">
        <f t="shared" si="300"/>
        <v/>
      </c>
      <c r="W892" s="70" t="str">
        <f t="shared" si="301"/>
        <v/>
      </c>
      <c r="X892" s="70" t="str">
        <f t="shared" si="302"/>
        <v/>
      </c>
      <c r="Y892" s="70" t="str">
        <f>IF(AND($A892&lt;&gt;"",$E892&gt;0),isLaptopBag($C892,$J892)*$D892,"")</f>
        <v/>
      </c>
      <c r="Z892" s="70" t="str">
        <f t="shared" si="303"/>
        <v/>
      </c>
      <c r="AA892" s="70" t="str">
        <f t="shared" si="304"/>
        <v/>
      </c>
      <c r="AB892" s="70" t="str">
        <f t="shared" si="305"/>
        <v/>
      </c>
      <c r="AC892" s="70" t="str">
        <f t="shared" si="306"/>
        <v/>
      </c>
      <c r="AD892" s="70" t="str">
        <f t="shared" si="307"/>
        <v/>
      </c>
      <c r="AE892" s="70" t="str">
        <f t="shared" si="308"/>
        <v/>
      </c>
      <c r="AF892" s="16"/>
      <c r="AG892" s="23"/>
      <c r="AH892" s="22"/>
      <c r="AJ892" s="83">
        <f t="shared" si="309"/>
        <v>0</v>
      </c>
      <c r="AO892" s="22" t="str">
        <f t="shared" si="310"/>
        <v/>
      </c>
      <c r="AP892" s="22" t="str">
        <f t="shared" si="311"/>
        <v/>
      </c>
    </row>
    <row r="893" spans="1:42" x14ac:dyDescent="0.25">
      <c r="A893" s="10"/>
      <c r="B893" s="10"/>
      <c r="C893" s="10"/>
      <c r="D893" s="10"/>
      <c r="E893" s="10"/>
      <c r="F893" s="10"/>
      <c r="G893" s="10"/>
      <c r="H893" s="17"/>
      <c r="I893" s="10"/>
      <c r="J893" s="10"/>
      <c r="K893" s="16" t="str">
        <f t="shared" si="290"/>
        <v/>
      </c>
      <c r="L893" s="23" t="str">
        <f t="shared" si="291"/>
        <v/>
      </c>
      <c r="M893" s="22" t="str">
        <f t="shared" si="292"/>
        <v/>
      </c>
      <c r="N893" s="72"/>
      <c r="O893" s="16" t="str">
        <f t="shared" si="293"/>
        <v/>
      </c>
      <c r="P893" s="16" t="str">
        <f t="shared" si="294"/>
        <v/>
      </c>
      <c r="Q893" s="16" t="str">
        <f t="shared" si="295"/>
        <v/>
      </c>
      <c r="R893" s="23" t="str">
        <f t="shared" si="296"/>
        <v/>
      </c>
      <c r="S893" s="23" t="str">
        <f t="shared" si="297"/>
        <v/>
      </c>
      <c r="T893" s="23" t="str">
        <f t="shared" si="298"/>
        <v/>
      </c>
      <c r="U893" s="23" t="str">
        <f t="shared" si="299"/>
        <v/>
      </c>
      <c r="V893" s="23" t="str">
        <f t="shared" si="300"/>
        <v/>
      </c>
      <c r="W893" s="70" t="str">
        <f t="shared" si="301"/>
        <v/>
      </c>
      <c r="X893" s="70" t="str">
        <f t="shared" si="302"/>
        <v/>
      </c>
      <c r="Y893" s="70" t="str">
        <f>IF(AND($A893&lt;&gt;"",$E893&gt;0),isLaptopBag($C893,$J893)*$D893,"")</f>
        <v/>
      </c>
      <c r="Z893" s="70" t="str">
        <f t="shared" si="303"/>
        <v/>
      </c>
      <c r="AA893" s="70" t="str">
        <f t="shared" si="304"/>
        <v/>
      </c>
      <c r="AB893" s="70" t="str">
        <f t="shared" si="305"/>
        <v/>
      </c>
      <c r="AC893" s="70" t="str">
        <f t="shared" si="306"/>
        <v/>
      </c>
      <c r="AD893" s="70" t="str">
        <f t="shared" si="307"/>
        <v/>
      </c>
      <c r="AE893" s="70" t="str">
        <f t="shared" si="308"/>
        <v/>
      </c>
      <c r="AF893" s="16"/>
      <c r="AG893" s="23"/>
      <c r="AH893" s="22"/>
      <c r="AJ893" s="83">
        <f t="shared" si="309"/>
        <v>0</v>
      </c>
      <c r="AO893" s="22" t="str">
        <f t="shared" si="310"/>
        <v/>
      </c>
      <c r="AP893" s="22" t="str">
        <f t="shared" si="311"/>
        <v/>
      </c>
    </row>
    <row r="894" spans="1:42" x14ac:dyDescent="0.25">
      <c r="A894" s="10"/>
      <c r="B894" s="10"/>
      <c r="C894" s="10"/>
      <c r="D894" s="10"/>
      <c r="E894" s="10"/>
      <c r="F894" s="10"/>
      <c r="G894" s="10"/>
      <c r="H894" s="17"/>
      <c r="I894" s="10"/>
      <c r="J894" s="10"/>
      <c r="K894" s="16" t="str">
        <f t="shared" si="290"/>
        <v/>
      </c>
      <c r="L894" s="23" t="str">
        <f t="shared" si="291"/>
        <v/>
      </c>
      <c r="M894" s="22" t="str">
        <f t="shared" si="292"/>
        <v/>
      </c>
      <c r="N894" s="72"/>
      <c r="O894" s="16" t="str">
        <f t="shared" si="293"/>
        <v/>
      </c>
      <c r="P894" s="16" t="str">
        <f t="shared" si="294"/>
        <v/>
      </c>
      <c r="Q894" s="16" t="str">
        <f t="shared" si="295"/>
        <v/>
      </c>
      <c r="R894" s="23" t="str">
        <f t="shared" si="296"/>
        <v/>
      </c>
      <c r="S894" s="23" t="str">
        <f t="shared" si="297"/>
        <v/>
      </c>
      <c r="T894" s="23" t="str">
        <f t="shared" si="298"/>
        <v/>
      </c>
      <c r="U894" s="23" t="str">
        <f t="shared" si="299"/>
        <v/>
      </c>
      <c r="V894" s="23" t="str">
        <f t="shared" si="300"/>
        <v/>
      </c>
      <c r="W894" s="70" t="str">
        <f t="shared" si="301"/>
        <v/>
      </c>
      <c r="X894" s="70" t="str">
        <f t="shared" si="302"/>
        <v/>
      </c>
      <c r="Y894" s="70" t="str">
        <f>IF(AND($A894&lt;&gt;"",$E894&gt;0),isLaptopBag($C894,$J894)*$D894,"")</f>
        <v/>
      </c>
      <c r="Z894" s="70" t="str">
        <f t="shared" si="303"/>
        <v/>
      </c>
      <c r="AA894" s="70" t="str">
        <f t="shared" si="304"/>
        <v/>
      </c>
      <c r="AB894" s="70" t="str">
        <f t="shared" si="305"/>
        <v/>
      </c>
      <c r="AC894" s="70" t="str">
        <f t="shared" si="306"/>
        <v/>
      </c>
      <c r="AD894" s="70" t="str">
        <f t="shared" si="307"/>
        <v/>
      </c>
      <c r="AE894" s="70" t="str">
        <f t="shared" si="308"/>
        <v/>
      </c>
      <c r="AF894" s="16"/>
      <c r="AG894" s="23"/>
      <c r="AH894" s="22"/>
      <c r="AJ894" s="83">
        <f t="shared" si="309"/>
        <v>0</v>
      </c>
      <c r="AO894" s="22" t="str">
        <f t="shared" si="310"/>
        <v/>
      </c>
      <c r="AP894" s="22" t="str">
        <f t="shared" si="311"/>
        <v/>
      </c>
    </row>
    <row r="895" spans="1:42" x14ac:dyDescent="0.25">
      <c r="A895" s="10"/>
      <c r="B895" s="10"/>
      <c r="C895" s="10"/>
      <c r="D895" s="10"/>
      <c r="E895" s="10"/>
      <c r="F895" s="10"/>
      <c r="G895" s="10"/>
      <c r="H895" s="17"/>
      <c r="I895" s="10"/>
      <c r="J895" s="10"/>
      <c r="K895" s="16" t="str">
        <f t="shared" si="290"/>
        <v/>
      </c>
      <c r="L895" s="23" t="str">
        <f t="shared" si="291"/>
        <v/>
      </c>
      <c r="M895" s="22" t="str">
        <f t="shared" si="292"/>
        <v/>
      </c>
      <c r="N895" s="72"/>
      <c r="O895" s="16" t="str">
        <f t="shared" si="293"/>
        <v/>
      </c>
      <c r="P895" s="16" t="str">
        <f t="shared" si="294"/>
        <v/>
      </c>
      <c r="Q895" s="16" t="str">
        <f t="shared" si="295"/>
        <v/>
      </c>
      <c r="R895" s="23" t="str">
        <f t="shared" si="296"/>
        <v/>
      </c>
      <c r="S895" s="23" t="str">
        <f t="shared" si="297"/>
        <v/>
      </c>
      <c r="T895" s="23" t="str">
        <f t="shared" si="298"/>
        <v/>
      </c>
      <c r="U895" s="23" t="str">
        <f t="shared" si="299"/>
        <v/>
      </c>
      <c r="V895" s="23" t="str">
        <f t="shared" si="300"/>
        <v/>
      </c>
      <c r="W895" s="70" t="str">
        <f t="shared" si="301"/>
        <v/>
      </c>
      <c r="X895" s="70" t="str">
        <f t="shared" si="302"/>
        <v/>
      </c>
      <c r="Y895" s="70" t="str">
        <f>IF(AND($A895&lt;&gt;"",$E895&gt;0),isLaptopBag($C895,$J895)*$D895,"")</f>
        <v/>
      </c>
      <c r="Z895" s="70" t="str">
        <f t="shared" si="303"/>
        <v/>
      </c>
      <c r="AA895" s="70" t="str">
        <f t="shared" si="304"/>
        <v/>
      </c>
      <c r="AB895" s="70" t="str">
        <f t="shared" si="305"/>
        <v/>
      </c>
      <c r="AC895" s="70" t="str">
        <f t="shared" si="306"/>
        <v/>
      </c>
      <c r="AD895" s="70" t="str">
        <f t="shared" si="307"/>
        <v/>
      </c>
      <c r="AE895" s="70" t="str">
        <f t="shared" si="308"/>
        <v/>
      </c>
      <c r="AF895" s="16"/>
      <c r="AG895" s="23"/>
      <c r="AH895" s="22"/>
      <c r="AJ895" s="83">
        <f t="shared" si="309"/>
        <v>0</v>
      </c>
      <c r="AO895" s="22" t="str">
        <f t="shared" si="310"/>
        <v/>
      </c>
      <c r="AP895" s="22" t="str">
        <f t="shared" si="311"/>
        <v/>
      </c>
    </row>
    <row r="896" spans="1:42" x14ac:dyDescent="0.25">
      <c r="A896" s="10"/>
      <c r="B896" s="10"/>
      <c r="C896" s="10"/>
      <c r="D896" s="10"/>
      <c r="E896" s="10"/>
      <c r="F896" s="10"/>
      <c r="G896" s="10"/>
      <c r="H896" s="17"/>
      <c r="I896" s="10"/>
      <c r="J896" s="10"/>
      <c r="K896" s="16" t="str">
        <f t="shared" si="290"/>
        <v/>
      </c>
      <c r="L896" s="23" t="str">
        <f t="shared" si="291"/>
        <v/>
      </c>
      <c r="M896" s="22" t="str">
        <f t="shared" si="292"/>
        <v/>
      </c>
      <c r="N896" s="72"/>
      <c r="O896" s="16" t="str">
        <f t="shared" si="293"/>
        <v/>
      </c>
      <c r="P896" s="16" t="str">
        <f t="shared" si="294"/>
        <v/>
      </c>
      <c r="Q896" s="16" t="str">
        <f t="shared" si="295"/>
        <v/>
      </c>
      <c r="R896" s="23" t="str">
        <f t="shared" si="296"/>
        <v/>
      </c>
      <c r="S896" s="23" t="str">
        <f t="shared" si="297"/>
        <v/>
      </c>
      <c r="T896" s="23" t="str">
        <f t="shared" si="298"/>
        <v/>
      </c>
      <c r="U896" s="23" t="str">
        <f t="shared" si="299"/>
        <v/>
      </c>
      <c r="V896" s="23" t="str">
        <f t="shared" si="300"/>
        <v/>
      </c>
      <c r="W896" s="70" t="str">
        <f t="shared" si="301"/>
        <v/>
      </c>
      <c r="X896" s="70" t="str">
        <f t="shared" si="302"/>
        <v/>
      </c>
      <c r="Y896" s="70" t="str">
        <f>IF(AND($A896&lt;&gt;"",$E896&gt;0),isLaptopBag($C896,$J896)*$D896,"")</f>
        <v/>
      </c>
      <c r="Z896" s="70" t="str">
        <f t="shared" si="303"/>
        <v/>
      </c>
      <c r="AA896" s="70" t="str">
        <f t="shared" si="304"/>
        <v/>
      </c>
      <c r="AB896" s="70" t="str">
        <f t="shared" si="305"/>
        <v/>
      </c>
      <c r="AC896" s="70" t="str">
        <f t="shared" si="306"/>
        <v/>
      </c>
      <c r="AD896" s="70" t="str">
        <f t="shared" si="307"/>
        <v/>
      </c>
      <c r="AE896" s="70" t="str">
        <f t="shared" si="308"/>
        <v/>
      </c>
      <c r="AF896" s="16"/>
      <c r="AG896" s="23"/>
      <c r="AH896" s="22"/>
      <c r="AJ896" s="83">
        <f t="shared" si="309"/>
        <v>0</v>
      </c>
      <c r="AO896" s="22" t="str">
        <f t="shared" si="310"/>
        <v/>
      </c>
      <c r="AP896" s="22" t="str">
        <f t="shared" si="311"/>
        <v/>
      </c>
    </row>
    <row r="897" spans="1:42" x14ac:dyDescent="0.25">
      <c r="A897" s="10"/>
      <c r="B897" s="10"/>
      <c r="C897" s="10"/>
      <c r="D897" s="10"/>
      <c r="E897" s="10"/>
      <c r="F897" s="10"/>
      <c r="G897" s="10"/>
      <c r="H897" s="17"/>
      <c r="I897" s="10"/>
      <c r="J897" s="10"/>
      <c r="K897" s="16" t="str">
        <f t="shared" si="290"/>
        <v/>
      </c>
      <c r="L897" s="23" t="str">
        <f t="shared" si="291"/>
        <v/>
      </c>
      <c r="M897" s="22" t="str">
        <f t="shared" si="292"/>
        <v/>
      </c>
      <c r="N897" s="72"/>
      <c r="O897" s="16" t="str">
        <f t="shared" si="293"/>
        <v/>
      </c>
      <c r="P897" s="16" t="str">
        <f t="shared" si="294"/>
        <v/>
      </c>
      <c r="Q897" s="16" t="str">
        <f t="shared" si="295"/>
        <v/>
      </c>
      <c r="R897" s="23" t="str">
        <f t="shared" si="296"/>
        <v/>
      </c>
      <c r="S897" s="23" t="str">
        <f t="shared" si="297"/>
        <v/>
      </c>
      <c r="T897" s="23" t="str">
        <f t="shared" si="298"/>
        <v/>
      </c>
      <c r="U897" s="23" t="str">
        <f t="shared" si="299"/>
        <v/>
      </c>
      <c r="V897" s="23" t="str">
        <f t="shared" si="300"/>
        <v/>
      </c>
      <c r="W897" s="70" t="str">
        <f t="shared" si="301"/>
        <v/>
      </c>
      <c r="X897" s="70" t="str">
        <f t="shared" si="302"/>
        <v/>
      </c>
      <c r="Y897" s="70" t="str">
        <f>IF(AND($A897&lt;&gt;"",$E897&gt;0),isLaptopBag($C897,$J897)*$D897,"")</f>
        <v/>
      </c>
      <c r="Z897" s="70" t="str">
        <f t="shared" si="303"/>
        <v/>
      </c>
      <c r="AA897" s="70" t="str">
        <f t="shared" si="304"/>
        <v/>
      </c>
      <c r="AB897" s="70" t="str">
        <f t="shared" si="305"/>
        <v/>
      </c>
      <c r="AC897" s="70" t="str">
        <f t="shared" si="306"/>
        <v/>
      </c>
      <c r="AD897" s="70" t="str">
        <f t="shared" si="307"/>
        <v/>
      </c>
      <c r="AE897" s="70" t="str">
        <f t="shared" si="308"/>
        <v/>
      </c>
      <c r="AF897" s="16"/>
      <c r="AG897" s="23"/>
      <c r="AH897" s="22"/>
      <c r="AJ897" s="83">
        <f t="shared" si="309"/>
        <v>0</v>
      </c>
      <c r="AO897" s="22" t="str">
        <f t="shared" si="310"/>
        <v/>
      </c>
      <c r="AP897" s="22" t="str">
        <f t="shared" si="311"/>
        <v/>
      </c>
    </row>
    <row r="898" spans="1:42" x14ac:dyDescent="0.25">
      <c r="A898" s="10"/>
      <c r="B898" s="10"/>
      <c r="C898" s="10"/>
      <c r="D898" s="10"/>
      <c r="E898" s="10"/>
      <c r="F898" s="10"/>
      <c r="G898" s="10"/>
      <c r="H898" s="17"/>
      <c r="I898" s="10"/>
      <c r="J898" s="10"/>
      <c r="K898" s="16" t="str">
        <f t="shared" si="290"/>
        <v/>
      </c>
      <c r="L898" s="23" t="str">
        <f t="shared" si="291"/>
        <v/>
      </c>
      <c r="M898" s="22" t="str">
        <f t="shared" si="292"/>
        <v/>
      </c>
      <c r="N898" s="72"/>
      <c r="O898" s="16" t="str">
        <f t="shared" si="293"/>
        <v/>
      </c>
      <c r="P898" s="16" t="str">
        <f t="shared" si="294"/>
        <v/>
      </c>
      <c r="Q898" s="16" t="str">
        <f t="shared" si="295"/>
        <v/>
      </c>
      <c r="R898" s="23" t="str">
        <f t="shared" si="296"/>
        <v/>
      </c>
      <c r="S898" s="23" t="str">
        <f t="shared" si="297"/>
        <v/>
      </c>
      <c r="T898" s="23" t="str">
        <f t="shared" si="298"/>
        <v/>
      </c>
      <c r="U898" s="23" t="str">
        <f t="shared" si="299"/>
        <v/>
      </c>
      <c r="V898" s="23" t="str">
        <f t="shared" si="300"/>
        <v/>
      </c>
      <c r="W898" s="70" t="str">
        <f t="shared" si="301"/>
        <v/>
      </c>
      <c r="X898" s="70" t="str">
        <f t="shared" si="302"/>
        <v/>
      </c>
      <c r="Y898" s="70" t="str">
        <f>IF(AND($A898&lt;&gt;"",$E898&gt;0),isLaptopBag($C898,$J898)*$D898,"")</f>
        <v/>
      </c>
      <c r="Z898" s="70" t="str">
        <f t="shared" si="303"/>
        <v/>
      </c>
      <c r="AA898" s="70" t="str">
        <f t="shared" si="304"/>
        <v/>
      </c>
      <c r="AB898" s="70" t="str">
        <f t="shared" si="305"/>
        <v/>
      </c>
      <c r="AC898" s="70" t="str">
        <f t="shared" si="306"/>
        <v/>
      </c>
      <c r="AD898" s="70" t="str">
        <f t="shared" si="307"/>
        <v/>
      </c>
      <c r="AE898" s="70" t="str">
        <f t="shared" si="308"/>
        <v/>
      </c>
      <c r="AF898" s="16"/>
      <c r="AG898" s="23"/>
      <c r="AH898" s="22"/>
      <c r="AJ898" s="83">
        <f t="shared" si="309"/>
        <v>0</v>
      </c>
      <c r="AO898" s="22" t="str">
        <f t="shared" si="310"/>
        <v/>
      </c>
      <c r="AP898" s="22" t="str">
        <f t="shared" si="311"/>
        <v/>
      </c>
    </row>
    <row r="899" spans="1:42" x14ac:dyDescent="0.25">
      <c r="A899" s="10"/>
      <c r="B899" s="10"/>
      <c r="C899" s="10"/>
      <c r="D899" s="10"/>
      <c r="E899" s="10"/>
      <c r="F899" s="10"/>
      <c r="G899" s="10"/>
      <c r="H899" s="17"/>
      <c r="I899" s="10"/>
      <c r="J899" s="10"/>
      <c r="K899" s="16" t="str">
        <f t="shared" si="290"/>
        <v/>
      </c>
      <c r="L899" s="23" t="str">
        <f t="shared" si="291"/>
        <v/>
      </c>
      <c r="M899" s="22" t="str">
        <f t="shared" si="292"/>
        <v/>
      </c>
      <c r="N899" s="72"/>
      <c r="O899" s="16" t="str">
        <f t="shared" si="293"/>
        <v/>
      </c>
      <c r="P899" s="16" t="str">
        <f t="shared" si="294"/>
        <v/>
      </c>
      <c r="Q899" s="16" t="str">
        <f t="shared" si="295"/>
        <v/>
      </c>
      <c r="R899" s="23" t="str">
        <f t="shared" si="296"/>
        <v/>
      </c>
      <c r="S899" s="23" t="str">
        <f t="shared" si="297"/>
        <v/>
      </c>
      <c r="T899" s="23" t="str">
        <f t="shared" si="298"/>
        <v/>
      </c>
      <c r="U899" s="23" t="str">
        <f t="shared" si="299"/>
        <v/>
      </c>
      <c r="V899" s="23" t="str">
        <f t="shared" si="300"/>
        <v/>
      </c>
      <c r="W899" s="70" t="str">
        <f t="shared" si="301"/>
        <v/>
      </c>
      <c r="X899" s="70" t="str">
        <f t="shared" si="302"/>
        <v/>
      </c>
      <c r="Y899" s="70" t="str">
        <f>IF(AND($A899&lt;&gt;"",$E899&gt;0),isLaptopBag($C899,$J899)*$D899,"")</f>
        <v/>
      </c>
      <c r="Z899" s="70" t="str">
        <f t="shared" si="303"/>
        <v/>
      </c>
      <c r="AA899" s="70" t="str">
        <f t="shared" si="304"/>
        <v/>
      </c>
      <c r="AB899" s="70" t="str">
        <f t="shared" si="305"/>
        <v/>
      </c>
      <c r="AC899" s="70" t="str">
        <f t="shared" si="306"/>
        <v/>
      </c>
      <c r="AD899" s="70" t="str">
        <f t="shared" si="307"/>
        <v/>
      </c>
      <c r="AE899" s="70" t="str">
        <f t="shared" si="308"/>
        <v/>
      </c>
      <c r="AF899" s="16"/>
      <c r="AG899" s="23"/>
      <c r="AH899" s="22"/>
      <c r="AJ899" s="83">
        <f t="shared" si="309"/>
        <v>0</v>
      </c>
      <c r="AO899" s="22" t="str">
        <f t="shared" si="310"/>
        <v/>
      </c>
      <c r="AP899" s="22" t="str">
        <f t="shared" si="311"/>
        <v/>
      </c>
    </row>
    <row r="900" spans="1:42" x14ac:dyDescent="0.25">
      <c r="A900" s="10"/>
      <c r="B900" s="10"/>
      <c r="C900" s="10"/>
      <c r="D900" s="10"/>
      <c r="E900" s="10"/>
      <c r="F900" s="10"/>
      <c r="G900" s="10"/>
      <c r="H900" s="17"/>
      <c r="I900" s="10"/>
      <c r="J900" s="10"/>
      <c r="K900" s="16" t="str">
        <f t="shared" si="290"/>
        <v/>
      </c>
      <c r="L900" s="23" t="str">
        <f t="shared" si="291"/>
        <v/>
      </c>
      <c r="M900" s="22" t="str">
        <f t="shared" si="292"/>
        <v/>
      </c>
      <c r="N900" s="72"/>
      <c r="O900" s="16" t="str">
        <f t="shared" si="293"/>
        <v/>
      </c>
      <c r="P900" s="16" t="str">
        <f t="shared" si="294"/>
        <v/>
      </c>
      <c r="Q900" s="16" t="str">
        <f t="shared" si="295"/>
        <v/>
      </c>
      <c r="R900" s="23" t="str">
        <f t="shared" si="296"/>
        <v/>
      </c>
      <c r="S900" s="23" t="str">
        <f t="shared" si="297"/>
        <v/>
      </c>
      <c r="T900" s="23" t="str">
        <f t="shared" si="298"/>
        <v/>
      </c>
      <c r="U900" s="23" t="str">
        <f t="shared" si="299"/>
        <v/>
      </c>
      <c r="V900" s="23" t="str">
        <f t="shared" si="300"/>
        <v/>
      </c>
      <c r="W900" s="70" t="str">
        <f t="shared" si="301"/>
        <v/>
      </c>
      <c r="X900" s="70" t="str">
        <f t="shared" si="302"/>
        <v/>
      </c>
      <c r="Y900" s="70" t="str">
        <f>IF(AND($A900&lt;&gt;"",$E900&gt;0),isLaptopBag($C900,$J900)*$D900,"")</f>
        <v/>
      </c>
      <c r="Z900" s="70" t="str">
        <f t="shared" si="303"/>
        <v/>
      </c>
      <c r="AA900" s="70" t="str">
        <f t="shared" si="304"/>
        <v/>
      </c>
      <c r="AB900" s="70" t="str">
        <f t="shared" si="305"/>
        <v/>
      </c>
      <c r="AC900" s="70" t="str">
        <f t="shared" si="306"/>
        <v/>
      </c>
      <c r="AD900" s="70" t="str">
        <f t="shared" si="307"/>
        <v/>
      </c>
      <c r="AE900" s="70" t="str">
        <f t="shared" si="308"/>
        <v/>
      </c>
      <c r="AF900" s="16"/>
      <c r="AG900" s="23"/>
      <c r="AH900" s="22"/>
      <c r="AJ900" s="83">
        <f t="shared" si="309"/>
        <v>0</v>
      </c>
      <c r="AO900" s="22" t="str">
        <f t="shared" si="310"/>
        <v/>
      </c>
      <c r="AP900" s="22" t="str">
        <f t="shared" si="311"/>
        <v/>
      </c>
    </row>
    <row r="901" spans="1:42" x14ac:dyDescent="0.25">
      <c r="A901" s="10"/>
      <c r="B901" s="10"/>
      <c r="C901" s="10"/>
      <c r="D901" s="10"/>
      <c r="E901" s="10"/>
      <c r="F901" s="10"/>
      <c r="G901" s="10"/>
      <c r="H901" s="17"/>
      <c r="I901" s="10"/>
      <c r="J901" s="10"/>
      <c r="K901" s="16" t="str">
        <f t="shared" si="290"/>
        <v/>
      </c>
      <c r="L901" s="23" t="str">
        <f t="shared" si="291"/>
        <v/>
      </c>
      <c r="M901" s="22" t="str">
        <f t="shared" si="292"/>
        <v/>
      </c>
      <c r="N901" s="72"/>
      <c r="O901" s="16" t="str">
        <f t="shared" si="293"/>
        <v/>
      </c>
      <c r="P901" s="16" t="str">
        <f t="shared" si="294"/>
        <v/>
      </c>
      <c r="Q901" s="16" t="str">
        <f t="shared" si="295"/>
        <v/>
      </c>
      <c r="R901" s="23" t="str">
        <f t="shared" si="296"/>
        <v/>
      </c>
      <c r="S901" s="23" t="str">
        <f t="shared" si="297"/>
        <v/>
      </c>
      <c r="T901" s="23" t="str">
        <f t="shared" si="298"/>
        <v/>
      </c>
      <c r="U901" s="23" t="str">
        <f t="shared" si="299"/>
        <v/>
      </c>
      <c r="V901" s="23" t="str">
        <f t="shared" si="300"/>
        <v/>
      </c>
      <c r="W901" s="70" t="str">
        <f t="shared" si="301"/>
        <v/>
      </c>
      <c r="X901" s="70" t="str">
        <f t="shared" si="302"/>
        <v/>
      </c>
      <c r="Y901" s="70" t="str">
        <f>IF(AND($A901&lt;&gt;"",$E901&gt;0),isLaptopBag($C901,$J901)*$D901,"")</f>
        <v/>
      </c>
      <c r="Z901" s="70" t="str">
        <f t="shared" si="303"/>
        <v/>
      </c>
      <c r="AA901" s="70" t="str">
        <f t="shared" si="304"/>
        <v/>
      </c>
      <c r="AB901" s="70" t="str">
        <f t="shared" si="305"/>
        <v/>
      </c>
      <c r="AC901" s="70" t="str">
        <f t="shared" si="306"/>
        <v/>
      </c>
      <c r="AD901" s="70" t="str">
        <f t="shared" si="307"/>
        <v/>
      </c>
      <c r="AE901" s="70" t="str">
        <f t="shared" si="308"/>
        <v/>
      </c>
      <c r="AF901" s="16"/>
      <c r="AG901" s="23"/>
      <c r="AH901" s="22"/>
      <c r="AJ901" s="83">
        <f t="shared" si="309"/>
        <v>0</v>
      </c>
      <c r="AO901" s="22" t="str">
        <f t="shared" si="310"/>
        <v/>
      </c>
      <c r="AP901" s="22" t="str">
        <f t="shared" si="311"/>
        <v/>
      </c>
    </row>
    <row r="902" spans="1:42" x14ac:dyDescent="0.25">
      <c r="A902" s="10"/>
      <c r="B902" s="10"/>
      <c r="C902" s="10"/>
      <c r="D902" s="10"/>
      <c r="E902" s="10"/>
      <c r="F902" s="10"/>
      <c r="G902" s="10"/>
      <c r="H902" s="17"/>
      <c r="I902" s="10"/>
      <c r="J902" s="10"/>
      <c r="K902" s="16" t="str">
        <f t="shared" si="290"/>
        <v/>
      </c>
      <c r="L902" s="23" t="str">
        <f t="shared" si="291"/>
        <v/>
      </c>
      <c r="M902" s="22" t="str">
        <f t="shared" si="292"/>
        <v/>
      </c>
      <c r="N902" s="72"/>
      <c r="O902" s="16" t="str">
        <f t="shared" si="293"/>
        <v/>
      </c>
      <c r="P902" s="16" t="str">
        <f t="shared" si="294"/>
        <v/>
      </c>
      <c r="Q902" s="16" t="str">
        <f t="shared" si="295"/>
        <v/>
      </c>
      <c r="R902" s="23" t="str">
        <f t="shared" si="296"/>
        <v/>
      </c>
      <c r="S902" s="23" t="str">
        <f t="shared" si="297"/>
        <v/>
      </c>
      <c r="T902" s="23" t="str">
        <f t="shared" si="298"/>
        <v/>
      </c>
      <c r="U902" s="23" t="str">
        <f t="shared" si="299"/>
        <v/>
      </c>
      <c r="V902" s="23" t="str">
        <f t="shared" si="300"/>
        <v/>
      </c>
      <c r="W902" s="70" t="str">
        <f t="shared" si="301"/>
        <v/>
      </c>
      <c r="X902" s="70" t="str">
        <f t="shared" si="302"/>
        <v/>
      </c>
      <c r="Y902" s="70" t="str">
        <f>IF(AND($A902&lt;&gt;"",$E902&gt;0),isLaptopBag($C902,$J902)*$D902,"")</f>
        <v/>
      </c>
      <c r="Z902" s="70" t="str">
        <f t="shared" si="303"/>
        <v/>
      </c>
      <c r="AA902" s="70" t="str">
        <f t="shared" si="304"/>
        <v/>
      </c>
      <c r="AB902" s="70" t="str">
        <f t="shared" si="305"/>
        <v/>
      </c>
      <c r="AC902" s="70" t="str">
        <f t="shared" si="306"/>
        <v/>
      </c>
      <c r="AD902" s="70" t="str">
        <f t="shared" si="307"/>
        <v/>
      </c>
      <c r="AE902" s="70" t="str">
        <f t="shared" si="308"/>
        <v/>
      </c>
      <c r="AF902" s="16"/>
      <c r="AG902" s="23"/>
      <c r="AH902" s="22"/>
      <c r="AJ902" s="83">
        <f t="shared" si="309"/>
        <v>0</v>
      </c>
      <c r="AO902" s="22" t="str">
        <f t="shared" si="310"/>
        <v/>
      </c>
      <c r="AP902" s="22" t="str">
        <f t="shared" si="311"/>
        <v/>
      </c>
    </row>
    <row r="903" spans="1:42" x14ac:dyDescent="0.25">
      <c r="A903" s="10"/>
      <c r="B903" s="10"/>
      <c r="C903" s="10"/>
      <c r="D903" s="10"/>
      <c r="E903" s="10"/>
      <c r="F903" s="10"/>
      <c r="G903" s="10"/>
      <c r="H903" s="17"/>
      <c r="I903" s="10"/>
      <c r="J903" s="10"/>
      <c r="K903" s="16" t="str">
        <f t="shared" si="290"/>
        <v/>
      </c>
      <c r="L903" s="23" t="str">
        <f t="shared" si="291"/>
        <v/>
      </c>
      <c r="M903" s="22" t="str">
        <f t="shared" si="292"/>
        <v/>
      </c>
      <c r="N903" s="72"/>
      <c r="O903" s="16" t="str">
        <f t="shared" si="293"/>
        <v/>
      </c>
      <c r="P903" s="16" t="str">
        <f t="shared" si="294"/>
        <v/>
      </c>
      <c r="Q903" s="16" t="str">
        <f t="shared" si="295"/>
        <v/>
      </c>
      <c r="R903" s="23" t="str">
        <f t="shared" si="296"/>
        <v/>
      </c>
      <c r="S903" s="23" t="str">
        <f t="shared" si="297"/>
        <v/>
      </c>
      <c r="T903" s="23" t="str">
        <f t="shared" si="298"/>
        <v/>
      </c>
      <c r="U903" s="23" t="str">
        <f t="shared" si="299"/>
        <v/>
      </c>
      <c r="V903" s="23" t="str">
        <f t="shared" si="300"/>
        <v/>
      </c>
      <c r="W903" s="70" t="str">
        <f t="shared" si="301"/>
        <v/>
      </c>
      <c r="X903" s="70" t="str">
        <f t="shared" si="302"/>
        <v/>
      </c>
      <c r="Y903" s="70" t="str">
        <f>IF(AND($A903&lt;&gt;"",$E903&gt;0),isLaptopBag($C903,$J903)*$D903,"")</f>
        <v/>
      </c>
      <c r="Z903" s="70" t="str">
        <f t="shared" si="303"/>
        <v/>
      </c>
      <c r="AA903" s="70" t="str">
        <f t="shared" si="304"/>
        <v/>
      </c>
      <c r="AB903" s="70" t="str">
        <f t="shared" si="305"/>
        <v/>
      </c>
      <c r="AC903" s="70" t="str">
        <f t="shared" si="306"/>
        <v/>
      </c>
      <c r="AD903" s="70" t="str">
        <f t="shared" si="307"/>
        <v/>
      </c>
      <c r="AE903" s="70" t="str">
        <f t="shared" si="308"/>
        <v/>
      </c>
      <c r="AF903" s="16"/>
      <c r="AG903" s="23"/>
      <c r="AH903" s="22"/>
      <c r="AJ903" s="83">
        <f t="shared" si="309"/>
        <v>0</v>
      </c>
      <c r="AO903" s="22" t="str">
        <f t="shared" si="310"/>
        <v/>
      </c>
      <c r="AP903" s="22" t="str">
        <f t="shared" si="311"/>
        <v/>
      </c>
    </row>
    <row r="904" spans="1:42" x14ac:dyDescent="0.25">
      <c r="A904" s="10"/>
      <c r="B904" s="10"/>
      <c r="C904" s="10"/>
      <c r="D904" s="10"/>
      <c r="E904" s="10"/>
      <c r="F904" s="10"/>
      <c r="G904" s="10"/>
      <c r="H904" s="17"/>
      <c r="I904" s="10"/>
      <c r="J904" s="10"/>
      <c r="K904" s="16" t="str">
        <f t="shared" si="290"/>
        <v/>
      </c>
      <c r="L904" s="23" t="str">
        <f t="shared" si="291"/>
        <v/>
      </c>
      <c r="M904" s="22" t="str">
        <f t="shared" si="292"/>
        <v/>
      </c>
      <c r="N904" s="72"/>
      <c r="O904" s="16" t="str">
        <f t="shared" si="293"/>
        <v/>
      </c>
      <c r="P904" s="16" t="str">
        <f t="shared" si="294"/>
        <v/>
      </c>
      <c r="Q904" s="16" t="str">
        <f t="shared" si="295"/>
        <v/>
      </c>
      <c r="R904" s="23" t="str">
        <f t="shared" si="296"/>
        <v/>
      </c>
      <c r="S904" s="23" t="str">
        <f t="shared" si="297"/>
        <v/>
      </c>
      <c r="T904" s="23" t="str">
        <f t="shared" si="298"/>
        <v/>
      </c>
      <c r="U904" s="23" t="str">
        <f t="shared" si="299"/>
        <v/>
      </c>
      <c r="V904" s="23" t="str">
        <f t="shared" si="300"/>
        <v/>
      </c>
      <c r="W904" s="70" t="str">
        <f t="shared" si="301"/>
        <v/>
      </c>
      <c r="X904" s="70" t="str">
        <f t="shared" si="302"/>
        <v/>
      </c>
      <c r="Y904" s="70" t="str">
        <f>IF(AND($A904&lt;&gt;"",$E904&gt;0),isLaptopBag($C904,$J904)*$D904,"")</f>
        <v/>
      </c>
      <c r="Z904" s="70" t="str">
        <f t="shared" si="303"/>
        <v/>
      </c>
      <c r="AA904" s="70" t="str">
        <f t="shared" si="304"/>
        <v/>
      </c>
      <c r="AB904" s="70" t="str">
        <f t="shared" si="305"/>
        <v/>
      </c>
      <c r="AC904" s="70" t="str">
        <f t="shared" si="306"/>
        <v/>
      </c>
      <c r="AD904" s="70" t="str">
        <f t="shared" si="307"/>
        <v/>
      </c>
      <c r="AE904" s="70" t="str">
        <f t="shared" si="308"/>
        <v/>
      </c>
      <c r="AF904" s="16"/>
      <c r="AG904" s="23"/>
      <c r="AH904" s="22"/>
      <c r="AJ904" s="83">
        <f t="shared" si="309"/>
        <v>0</v>
      </c>
      <c r="AO904" s="22" t="str">
        <f t="shared" si="310"/>
        <v/>
      </c>
      <c r="AP904" s="22" t="str">
        <f t="shared" si="311"/>
        <v/>
      </c>
    </row>
    <row r="905" spans="1:42" x14ac:dyDescent="0.25">
      <c r="A905" s="10"/>
      <c r="B905" s="10"/>
      <c r="C905" s="10"/>
      <c r="D905" s="10"/>
      <c r="E905" s="10"/>
      <c r="F905" s="10"/>
      <c r="G905" s="10"/>
      <c r="H905" s="17"/>
      <c r="I905" s="10"/>
      <c r="J905" s="10"/>
      <c r="K905" s="16" t="str">
        <f t="shared" si="290"/>
        <v/>
      </c>
      <c r="L905" s="23" t="str">
        <f t="shared" si="291"/>
        <v/>
      </c>
      <c r="M905" s="22" t="str">
        <f t="shared" si="292"/>
        <v/>
      </c>
      <c r="N905" s="72"/>
      <c r="O905" s="16" t="str">
        <f t="shared" si="293"/>
        <v/>
      </c>
      <c r="P905" s="16" t="str">
        <f t="shared" si="294"/>
        <v/>
      </c>
      <c r="Q905" s="16" t="str">
        <f t="shared" si="295"/>
        <v/>
      </c>
      <c r="R905" s="23" t="str">
        <f t="shared" si="296"/>
        <v/>
      </c>
      <c r="S905" s="23" t="str">
        <f t="shared" si="297"/>
        <v/>
      </c>
      <c r="T905" s="23" t="str">
        <f t="shared" si="298"/>
        <v/>
      </c>
      <c r="U905" s="23" t="str">
        <f t="shared" si="299"/>
        <v/>
      </c>
      <c r="V905" s="23" t="str">
        <f t="shared" si="300"/>
        <v/>
      </c>
      <c r="W905" s="70" t="str">
        <f t="shared" si="301"/>
        <v/>
      </c>
      <c r="X905" s="70" t="str">
        <f t="shared" si="302"/>
        <v/>
      </c>
      <c r="Y905" s="70" t="str">
        <f>IF(AND($A905&lt;&gt;"",$E905&gt;0),isLaptopBag($C905,$J905)*$D905,"")</f>
        <v/>
      </c>
      <c r="Z905" s="70" t="str">
        <f t="shared" si="303"/>
        <v/>
      </c>
      <c r="AA905" s="70" t="str">
        <f t="shared" si="304"/>
        <v/>
      </c>
      <c r="AB905" s="70" t="str">
        <f t="shared" si="305"/>
        <v/>
      </c>
      <c r="AC905" s="70" t="str">
        <f t="shared" si="306"/>
        <v/>
      </c>
      <c r="AD905" s="70" t="str">
        <f t="shared" si="307"/>
        <v/>
      </c>
      <c r="AE905" s="70" t="str">
        <f t="shared" si="308"/>
        <v/>
      </c>
      <c r="AF905" s="16"/>
      <c r="AG905" s="23"/>
      <c r="AH905" s="22"/>
      <c r="AJ905" s="83">
        <f t="shared" si="309"/>
        <v>0</v>
      </c>
      <c r="AO905" s="22" t="str">
        <f t="shared" si="310"/>
        <v/>
      </c>
      <c r="AP905" s="22" t="str">
        <f t="shared" si="311"/>
        <v/>
      </c>
    </row>
    <row r="906" spans="1:42" x14ac:dyDescent="0.25">
      <c r="A906" s="10"/>
      <c r="B906" s="10"/>
      <c r="C906" s="10"/>
      <c r="D906" s="10"/>
      <c r="E906" s="10"/>
      <c r="F906" s="10"/>
      <c r="G906" s="10"/>
      <c r="H906" s="17"/>
      <c r="I906" s="10"/>
      <c r="J906" s="10"/>
      <c r="K906" s="16" t="str">
        <f t="shared" si="290"/>
        <v/>
      </c>
      <c r="L906" s="23" t="str">
        <f t="shared" si="291"/>
        <v/>
      </c>
      <c r="M906" s="22" t="str">
        <f t="shared" si="292"/>
        <v/>
      </c>
      <c r="N906" s="72"/>
      <c r="O906" s="16" t="str">
        <f t="shared" si="293"/>
        <v/>
      </c>
      <c r="P906" s="16" t="str">
        <f t="shared" si="294"/>
        <v/>
      </c>
      <c r="Q906" s="16" t="str">
        <f t="shared" si="295"/>
        <v/>
      </c>
      <c r="R906" s="23" t="str">
        <f t="shared" si="296"/>
        <v/>
      </c>
      <c r="S906" s="23" t="str">
        <f t="shared" si="297"/>
        <v/>
      </c>
      <c r="T906" s="23" t="str">
        <f t="shared" si="298"/>
        <v/>
      </c>
      <c r="U906" s="23" t="str">
        <f t="shared" si="299"/>
        <v/>
      </c>
      <c r="V906" s="23" t="str">
        <f t="shared" si="300"/>
        <v/>
      </c>
      <c r="W906" s="70" t="str">
        <f t="shared" si="301"/>
        <v/>
      </c>
      <c r="X906" s="70" t="str">
        <f t="shared" si="302"/>
        <v/>
      </c>
      <c r="Y906" s="70" t="str">
        <f>IF(AND($A906&lt;&gt;"",$E906&gt;0),isLaptopBag($C906,$J906)*$D906,"")</f>
        <v/>
      </c>
      <c r="Z906" s="70" t="str">
        <f t="shared" si="303"/>
        <v/>
      </c>
      <c r="AA906" s="70" t="str">
        <f t="shared" si="304"/>
        <v/>
      </c>
      <c r="AB906" s="70" t="str">
        <f t="shared" si="305"/>
        <v/>
      </c>
      <c r="AC906" s="70" t="str">
        <f t="shared" si="306"/>
        <v/>
      </c>
      <c r="AD906" s="70" t="str">
        <f t="shared" si="307"/>
        <v/>
      </c>
      <c r="AE906" s="70" t="str">
        <f t="shared" si="308"/>
        <v/>
      </c>
      <c r="AF906" s="16"/>
      <c r="AG906" s="23"/>
      <c r="AH906" s="22"/>
      <c r="AJ906" s="83">
        <f t="shared" si="309"/>
        <v>0</v>
      </c>
      <c r="AO906" s="22" t="str">
        <f t="shared" si="310"/>
        <v/>
      </c>
      <c r="AP906" s="22" t="str">
        <f t="shared" si="311"/>
        <v/>
      </c>
    </row>
    <row r="907" spans="1:42" x14ac:dyDescent="0.25">
      <c r="A907" s="10"/>
      <c r="B907" s="10"/>
      <c r="C907" s="10"/>
      <c r="D907" s="10"/>
      <c r="E907" s="10"/>
      <c r="F907" s="10"/>
      <c r="G907" s="10"/>
      <c r="H907" s="17"/>
      <c r="I907" s="10"/>
      <c r="J907" s="10"/>
      <c r="K907" s="16" t="str">
        <f t="shared" si="290"/>
        <v/>
      </c>
      <c r="L907" s="23" t="str">
        <f t="shared" si="291"/>
        <v/>
      </c>
      <c r="M907" s="22" t="str">
        <f t="shared" si="292"/>
        <v/>
      </c>
      <c r="N907" s="72"/>
      <c r="O907" s="16" t="str">
        <f t="shared" si="293"/>
        <v/>
      </c>
      <c r="P907" s="16" t="str">
        <f t="shared" si="294"/>
        <v/>
      </c>
      <c r="Q907" s="16" t="str">
        <f t="shared" si="295"/>
        <v/>
      </c>
      <c r="R907" s="23" t="str">
        <f t="shared" si="296"/>
        <v/>
      </c>
      <c r="S907" s="23" t="str">
        <f t="shared" si="297"/>
        <v/>
      </c>
      <c r="T907" s="23" t="str">
        <f t="shared" si="298"/>
        <v/>
      </c>
      <c r="U907" s="23" t="str">
        <f t="shared" si="299"/>
        <v/>
      </c>
      <c r="V907" s="23" t="str">
        <f t="shared" si="300"/>
        <v/>
      </c>
      <c r="W907" s="70" t="str">
        <f t="shared" si="301"/>
        <v/>
      </c>
      <c r="X907" s="70" t="str">
        <f t="shared" si="302"/>
        <v/>
      </c>
      <c r="Y907" s="70" t="str">
        <f>IF(AND($A907&lt;&gt;"",$E907&gt;0),isLaptopBag($C907,$J907)*$D907,"")</f>
        <v/>
      </c>
      <c r="Z907" s="70" t="str">
        <f t="shared" si="303"/>
        <v/>
      </c>
      <c r="AA907" s="70" t="str">
        <f t="shared" si="304"/>
        <v/>
      </c>
      <c r="AB907" s="70" t="str">
        <f t="shared" si="305"/>
        <v/>
      </c>
      <c r="AC907" s="70" t="str">
        <f t="shared" si="306"/>
        <v/>
      </c>
      <c r="AD907" s="70" t="str">
        <f t="shared" si="307"/>
        <v/>
      </c>
      <c r="AE907" s="70" t="str">
        <f t="shared" si="308"/>
        <v/>
      </c>
      <c r="AF907" s="16"/>
      <c r="AG907" s="23"/>
      <c r="AH907" s="22"/>
      <c r="AJ907" s="83">
        <f t="shared" si="309"/>
        <v>0</v>
      </c>
      <c r="AO907" s="22" t="str">
        <f t="shared" si="310"/>
        <v/>
      </c>
      <c r="AP907" s="22" t="str">
        <f t="shared" si="311"/>
        <v/>
      </c>
    </row>
    <row r="908" spans="1:42" x14ac:dyDescent="0.25">
      <c r="A908" s="10"/>
      <c r="B908" s="10"/>
      <c r="C908" s="10"/>
      <c r="D908" s="10"/>
      <c r="E908" s="10"/>
      <c r="F908" s="10"/>
      <c r="G908" s="10"/>
      <c r="H908" s="17"/>
      <c r="I908" s="10"/>
      <c r="J908" s="10"/>
      <c r="K908" s="16" t="str">
        <f t="shared" si="290"/>
        <v/>
      </c>
      <c r="L908" s="23" t="str">
        <f t="shared" si="291"/>
        <v/>
      </c>
      <c r="M908" s="22" t="str">
        <f t="shared" si="292"/>
        <v/>
      </c>
      <c r="N908" s="72"/>
      <c r="O908" s="16" t="str">
        <f t="shared" si="293"/>
        <v/>
      </c>
      <c r="P908" s="16" t="str">
        <f t="shared" si="294"/>
        <v/>
      </c>
      <c r="Q908" s="16" t="str">
        <f t="shared" si="295"/>
        <v/>
      </c>
      <c r="R908" s="23" t="str">
        <f t="shared" si="296"/>
        <v/>
      </c>
      <c r="S908" s="23" t="str">
        <f t="shared" si="297"/>
        <v/>
      </c>
      <c r="T908" s="23" t="str">
        <f t="shared" si="298"/>
        <v/>
      </c>
      <c r="U908" s="23" t="str">
        <f t="shared" si="299"/>
        <v/>
      </c>
      <c r="V908" s="23" t="str">
        <f t="shared" si="300"/>
        <v/>
      </c>
      <c r="W908" s="70" t="str">
        <f t="shared" si="301"/>
        <v/>
      </c>
      <c r="X908" s="70" t="str">
        <f t="shared" si="302"/>
        <v/>
      </c>
      <c r="Y908" s="70" t="str">
        <f>IF(AND($A908&lt;&gt;"",$E908&gt;0),isLaptopBag($C908,$J908)*$D908,"")</f>
        <v/>
      </c>
      <c r="Z908" s="70" t="str">
        <f t="shared" si="303"/>
        <v/>
      </c>
      <c r="AA908" s="70" t="str">
        <f t="shared" si="304"/>
        <v/>
      </c>
      <c r="AB908" s="70" t="str">
        <f t="shared" si="305"/>
        <v/>
      </c>
      <c r="AC908" s="70" t="str">
        <f t="shared" si="306"/>
        <v/>
      </c>
      <c r="AD908" s="70" t="str">
        <f t="shared" si="307"/>
        <v/>
      </c>
      <c r="AE908" s="70" t="str">
        <f t="shared" si="308"/>
        <v/>
      </c>
      <c r="AF908" s="16"/>
      <c r="AG908" s="23"/>
      <c r="AH908" s="22"/>
      <c r="AJ908" s="83">
        <f t="shared" si="309"/>
        <v>0</v>
      </c>
      <c r="AO908" s="22" t="str">
        <f t="shared" si="310"/>
        <v/>
      </c>
      <c r="AP908" s="22" t="str">
        <f t="shared" si="311"/>
        <v/>
      </c>
    </row>
    <row r="909" spans="1:42" x14ac:dyDescent="0.25">
      <c r="A909" s="10"/>
      <c r="B909" s="10"/>
      <c r="C909" s="10"/>
      <c r="D909" s="10"/>
      <c r="E909" s="10"/>
      <c r="F909" s="10"/>
      <c r="G909" s="10"/>
      <c r="H909" s="17"/>
      <c r="I909" s="10"/>
      <c r="J909" s="10"/>
      <c r="K909" s="16" t="str">
        <f t="shared" ref="K909:K972" si="312">IF($AF909&lt;&gt;"",$AF909,IF(AND($A909&lt;&gt;"",$E909&gt;0),SUM($O909:$Q909),""))</f>
        <v/>
      </c>
      <c r="L909" s="23" t="str">
        <f t="shared" ref="L909:L972" si="313">IF($AG909&lt;&gt;"",$AG909,IF(AND($A909&lt;&gt;"",$E909&gt;0),SUM($R909:$V909),""))</f>
        <v/>
      </c>
      <c r="M909" s="22" t="str">
        <f t="shared" ref="M909:M972" si="314">IF($AH909&lt;&gt;"",$AH909,IF(AND($A909&lt;&gt;"",$E909&gt;0),SUM($W909:$AE909)+$AO909+$AP909,""))</f>
        <v/>
      </c>
      <c r="N909" s="72"/>
      <c r="O909" s="16" t="str">
        <f t="shared" ref="O909:O972" si="315">IF(AND($A909&lt;&gt;"",$E909&gt;0),IF(AND($J909="SONY",200000&lt;=$E909,$E909&lt;1000000),5000*$D909,0),"")</f>
        <v/>
      </c>
      <c r="P909" s="16" t="str">
        <f t="shared" ref="P909:P972" si="316">IF(AND($A909&lt;&gt;"",$E909&gt;0),IF(AND($J909="SONY",1000000&lt;=$E909,$E909&lt;2000000),10000*$D909,0),"")</f>
        <v/>
      </c>
      <c r="Q909" s="16" t="str">
        <f t="shared" ref="Q909:Q972" si="317">IF(AND($A909&lt;&gt;"",$E909&gt;0),IF(AND($J909="SONY",$E909&gt;=2000000),20000*$D909,0),"")</f>
        <v/>
      </c>
      <c r="R909" s="23" t="str">
        <f t="shared" ref="R909:R972" si="318">IF(AND($A909&lt;&gt;"",$E909&gt;0),IF(AND($J909&lt;&gt;"SONY",100000&lt;=$E909,$E909&lt;200000),5000*$D909,0),"")</f>
        <v/>
      </c>
      <c r="S909" s="23" t="str">
        <f t="shared" ref="S909:S972" si="319">IF(AND($A909&lt;&gt;"",$E909&gt;0),IF(AND($J909&lt;&gt;"SONY",200000&lt;=$E909,$E909&lt;500000),10000*$D909,0),"")</f>
        <v/>
      </c>
      <c r="T909" s="23" t="str">
        <f t="shared" ref="T909:T972" si="320">IF(AND($A909&lt;&gt;"",$E909&gt;0),IF(AND($J909&lt;&gt;"SONY",500000&lt;=$E909,$E909&lt;1000000),20000*$D909,0),"")</f>
        <v/>
      </c>
      <c r="U909" s="23" t="str">
        <f t="shared" ref="U909:U972" si="321">IF(AND($A909&lt;&gt;"",$E909&gt;0),IF(AND($J909&lt;&gt;"SONY",1000000&lt;=$E909,$E909&lt;1500000),50000*$D909,0),"")</f>
        <v/>
      </c>
      <c r="V909" s="23" t="str">
        <f t="shared" ref="V909:V972" si="322">IF(AND($A909&lt;&gt;"",$E909&gt;0),IF(AND($J909&lt;&gt;"SONY",1500000&lt;=$E909),100000*$D909,0),"")</f>
        <v/>
      </c>
      <c r="W909" s="70" t="str">
        <f t="shared" ref="W909:W972" si="323">IF(AND($E909&gt;0,$J909="ELECOM",$E909&gt;=500000,ISNUMBER(SEARCH("tai nghe",$C909))),20000*$D909,IF($A909&lt;&gt;"",0,""))</f>
        <v/>
      </c>
      <c r="X909" s="70" t="str">
        <f t="shared" ref="X909:X972" si="324">IF(AND($E909&gt;0,$J909="ELECOM",ISNUMBER(SEARCH("loa",$C909))),20000*$D909,IF($A909&lt;&gt;"",0,""))</f>
        <v/>
      </c>
      <c r="Y909" s="70" t="str">
        <f>IF(AND($A909&lt;&gt;"",$E909&gt;0),isLaptopBag($C909,$J909)*$D909,"")</f>
        <v/>
      </c>
      <c r="Z909" s="70" t="str">
        <f t="shared" ref="Z909:Z972" si="325">IF(AND($E909&gt;0,$J909="ELECOM",ISNUMBER(SEARCH("ốp",$C909))),20000*$D909,IF($A909&lt;&gt;"",0,""))</f>
        <v/>
      </c>
      <c r="AA909" s="70" t="str">
        <f t="shared" ref="AA909:AA972" si="326">IF(AND($E909&gt;0,$J909="ELECOM",ISNUMBER(SEARCH("Bút",$C909))),20000*$D909,IF($A909&lt;&gt;"",0,""))</f>
        <v/>
      </c>
      <c r="AB909" s="70" t="str">
        <f t="shared" ref="AB909:AB972" si="327">IF(AND($E909&gt;0,$J909="ELECOM",ISNUMBER(SEARCH("Chuột bi",$C909))),20000*$D909,IF($A909&lt;&gt;"",0,""))</f>
        <v/>
      </c>
      <c r="AC909" s="70" t="str">
        <f t="shared" ref="AC909:AC972" si="328">IF(AND($E909&gt;0,$J909="ELECOM",ISNUMBER(SEARCH("Chuột trackball",$C909))),20000*$D909,IF($A909&lt;&gt;"",0,""))</f>
        <v/>
      </c>
      <c r="AD909" s="70" t="str">
        <f t="shared" ref="AD909:AD972" si="329">IF(AND($E909&gt;0,$J909="ELECOM",ISNUMBER(SEARCH("Sạc không dây",$C909))),20000*$D909,IF($A909&lt;&gt;"",0,""))</f>
        <v/>
      </c>
      <c r="AE909" s="70" t="str">
        <f t="shared" ref="AE909:AE972" si="330">IF(AND($E909&gt;0,$J909="ELECOM",ISNUMBER(SEARCH("Sạc kd",$C909))),20000*$D909,IF($A909&lt;&gt;"",0,""))</f>
        <v/>
      </c>
      <c r="AF909" s="16"/>
      <c r="AG909" s="23"/>
      <c r="AH909" s="22"/>
      <c r="AJ909" s="83">
        <f t="shared" ref="AJ909:AJ972" si="331">DAY(H909)</f>
        <v>0</v>
      </c>
      <c r="AO909" s="22" t="str">
        <f t="shared" ref="AO909:AO972" si="332">IF(AND($E909&gt;0,ISNUMBER(SEARCH("Sạc dự phòng Energizer",$C909))),10000*$D909,IF($A909&lt;&gt;"",0,""))</f>
        <v/>
      </c>
      <c r="AP909" s="22" t="str">
        <f t="shared" ref="AP909:AP972" si="333">IF(AND($E909&gt;0,ISNUMBER(SEARCH("SDP Energizer",$C909))),10000*$D909,IF($A909&lt;&gt;"",0,""))</f>
        <v/>
      </c>
    </row>
    <row r="910" spans="1:42" x14ac:dyDescent="0.25">
      <c r="A910" s="10"/>
      <c r="B910" s="10"/>
      <c r="C910" s="10"/>
      <c r="D910" s="10"/>
      <c r="E910" s="10"/>
      <c r="F910" s="10"/>
      <c r="G910" s="10"/>
      <c r="H910" s="17"/>
      <c r="I910" s="10"/>
      <c r="J910" s="10"/>
      <c r="K910" s="16" t="str">
        <f t="shared" si="312"/>
        <v/>
      </c>
      <c r="L910" s="23" t="str">
        <f t="shared" si="313"/>
        <v/>
      </c>
      <c r="M910" s="22" t="str">
        <f t="shared" si="314"/>
        <v/>
      </c>
      <c r="N910" s="72"/>
      <c r="O910" s="16" t="str">
        <f t="shared" si="315"/>
        <v/>
      </c>
      <c r="P910" s="16" t="str">
        <f t="shared" si="316"/>
        <v/>
      </c>
      <c r="Q910" s="16" t="str">
        <f t="shared" si="317"/>
        <v/>
      </c>
      <c r="R910" s="23" t="str">
        <f t="shared" si="318"/>
        <v/>
      </c>
      <c r="S910" s="23" t="str">
        <f t="shared" si="319"/>
        <v/>
      </c>
      <c r="T910" s="23" t="str">
        <f t="shared" si="320"/>
        <v/>
      </c>
      <c r="U910" s="23" t="str">
        <f t="shared" si="321"/>
        <v/>
      </c>
      <c r="V910" s="23" t="str">
        <f t="shared" si="322"/>
        <v/>
      </c>
      <c r="W910" s="70" t="str">
        <f t="shared" si="323"/>
        <v/>
      </c>
      <c r="X910" s="70" t="str">
        <f t="shared" si="324"/>
        <v/>
      </c>
      <c r="Y910" s="70" t="str">
        <f>IF(AND($A910&lt;&gt;"",$E910&gt;0),isLaptopBag($C910,$J910)*$D910,"")</f>
        <v/>
      </c>
      <c r="Z910" s="70" t="str">
        <f t="shared" si="325"/>
        <v/>
      </c>
      <c r="AA910" s="70" t="str">
        <f t="shared" si="326"/>
        <v/>
      </c>
      <c r="AB910" s="70" t="str">
        <f t="shared" si="327"/>
        <v/>
      </c>
      <c r="AC910" s="70" t="str">
        <f t="shared" si="328"/>
        <v/>
      </c>
      <c r="AD910" s="70" t="str">
        <f t="shared" si="329"/>
        <v/>
      </c>
      <c r="AE910" s="70" t="str">
        <f t="shared" si="330"/>
        <v/>
      </c>
      <c r="AF910" s="16"/>
      <c r="AG910" s="23"/>
      <c r="AH910" s="22"/>
      <c r="AJ910" s="83">
        <f t="shared" si="331"/>
        <v>0</v>
      </c>
      <c r="AO910" s="22" t="str">
        <f t="shared" si="332"/>
        <v/>
      </c>
      <c r="AP910" s="22" t="str">
        <f t="shared" si="333"/>
        <v/>
      </c>
    </row>
    <row r="911" spans="1:42" x14ac:dyDescent="0.25">
      <c r="A911" s="10"/>
      <c r="B911" s="10"/>
      <c r="C911" s="10"/>
      <c r="D911" s="10"/>
      <c r="E911" s="10"/>
      <c r="F911" s="10"/>
      <c r="G911" s="10"/>
      <c r="H911" s="17"/>
      <c r="I911" s="10"/>
      <c r="J911" s="10"/>
      <c r="K911" s="16" t="str">
        <f t="shared" si="312"/>
        <v/>
      </c>
      <c r="L911" s="23" t="str">
        <f t="shared" si="313"/>
        <v/>
      </c>
      <c r="M911" s="22" t="str">
        <f t="shared" si="314"/>
        <v/>
      </c>
      <c r="N911" s="72"/>
      <c r="O911" s="16" t="str">
        <f t="shared" si="315"/>
        <v/>
      </c>
      <c r="P911" s="16" t="str">
        <f t="shared" si="316"/>
        <v/>
      </c>
      <c r="Q911" s="16" t="str">
        <f t="shared" si="317"/>
        <v/>
      </c>
      <c r="R911" s="23" t="str">
        <f t="shared" si="318"/>
        <v/>
      </c>
      <c r="S911" s="23" t="str">
        <f t="shared" si="319"/>
        <v/>
      </c>
      <c r="T911" s="23" t="str">
        <f t="shared" si="320"/>
        <v/>
      </c>
      <c r="U911" s="23" t="str">
        <f t="shared" si="321"/>
        <v/>
      </c>
      <c r="V911" s="23" t="str">
        <f t="shared" si="322"/>
        <v/>
      </c>
      <c r="W911" s="70" t="str">
        <f t="shared" si="323"/>
        <v/>
      </c>
      <c r="X911" s="70" t="str">
        <f t="shared" si="324"/>
        <v/>
      </c>
      <c r="Y911" s="70" t="str">
        <f>IF(AND($A911&lt;&gt;"",$E911&gt;0),isLaptopBag($C911,$J911)*$D911,"")</f>
        <v/>
      </c>
      <c r="Z911" s="70" t="str">
        <f t="shared" si="325"/>
        <v/>
      </c>
      <c r="AA911" s="70" t="str">
        <f t="shared" si="326"/>
        <v/>
      </c>
      <c r="AB911" s="70" t="str">
        <f t="shared" si="327"/>
        <v/>
      </c>
      <c r="AC911" s="70" t="str">
        <f t="shared" si="328"/>
        <v/>
      </c>
      <c r="AD911" s="70" t="str">
        <f t="shared" si="329"/>
        <v/>
      </c>
      <c r="AE911" s="70" t="str">
        <f t="shared" si="330"/>
        <v/>
      </c>
      <c r="AF911" s="16"/>
      <c r="AG911" s="23"/>
      <c r="AH911" s="22"/>
      <c r="AJ911" s="83">
        <f t="shared" si="331"/>
        <v>0</v>
      </c>
      <c r="AO911" s="22" t="str">
        <f t="shared" si="332"/>
        <v/>
      </c>
      <c r="AP911" s="22" t="str">
        <f t="shared" si="333"/>
        <v/>
      </c>
    </row>
    <row r="912" spans="1:42" x14ac:dyDescent="0.25">
      <c r="A912" s="10"/>
      <c r="B912" s="10"/>
      <c r="C912" s="10"/>
      <c r="D912" s="10"/>
      <c r="E912" s="10"/>
      <c r="F912" s="10"/>
      <c r="G912" s="10"/>
      <c r="H912" s="17"/>
      <c r="I912" s="10"/>
      <c r="J912" s="10"/>
      <c r="K912" s="16" t="str">
        <f t="shared" si="312"/>
        <v/>
      </c>
      <c r="L912" s="23" t="str">
        <f t="shared" si="313"/>
        <v/>
      </c>
      <c r="M912" s="22" t="str">
        <f t="shared" si="314"/>
        <v/>
      </c>
      <c r="N912" s="72"/>
      <c r="O912" s="16" t="str">
        <f t="shared" si="315"/>
        <v/>
      </c>
      <c r="P912" s="16" t="str">
        <f t="shared" si="316"/>
        <v/>
      </c>
      <c r="Q912" s="16" t="str">
        <f t="shared" si="317"/>
        <v/>
      </c>
      <c r="R912" s="23" t="str">
        <f t="shared" si="318"/>
        <v/>
      </c>
      <c r="S912" s="23" t="str">
        <f t="shared" si="319"/>
        <v/>
      </c>
      <c r="T912" s="23" t="str">
        <f t="shared" si="320"/>
        <v/>
      </c>
      <c r="U912" s="23" t="str">
        <f t="shared" si="321"/>
        <v/>
      </c>
      <c r="V912" s="23" t="str">
        <f t="shared" si="322"/>
        <v/>
      </c>
      <c r="W912" s="70" t="str">
        <f t="shared" si="323"/>
        <v/>
      </c>
      <c r="X912" s="70" t="str">
        <f t="shared" si="324"/>
        <v/>
      </c>
      <c r="Y912" s="70" t="str">
        <f>IF(AND($A912&lt;&gt;"",$E912&gt;0),isLaptopBag($C912,$J912)*$D912,"")</f>
        <v/>
      </c>
      <c r="Z912" s="70" t="str">
        <f t="shared" si="325"/>
        <v/>
      </c>
      <c r="AA912" s="70" t="str">
        <f t="shared" si="326"/>
        <v/>
      </c>
      <c r="AB912" s="70" t="str">
        <f t="shared" si="327"/>
        <v/>
      </c>
      <c r="AC912" s="70" t="str">
        <f t="shared" si="328"/>
        <v/>
      </c>
      <c r="AD912" s="70" t="str">
        <f t="shared" si="329"/>
        <v/>
      </c>
      <c r="AE912" s="70" t="str">
        <f t="shared" si="330"/>
        <v/>
      </c>
      <c r="AF912" s="16"/>
      <c r="AG912" s="23"/>
      <c r="AH912" s="22"/>
      <c r="AJ912" s="83">
        <f t="shared" si="331"/>
        <v>0</v>
      </c>
      <c r="AO912" s="22" t="str">
        <f t="shared" si="332"/>
        <v/>
      </c>
      <c r="AP912" s="22" t="str">
        <f t="shared" si="333"/>
        <v/>
      </c>
    </row>
    <row r="913" spans="1:42" x14ac:dyDescent="0.25">
      <c r="A913" s="10"/>
      <c r="B913" s="10"/>
      <c r="C913" s="10"/>
      <c r="D913" s="10"/>
      <c r="E913" s="10"/>
      <c r="F913" s="10"/>
      <c r="G913" s="10"/>
      <c r="H913" s="17"/>
      <c r="I913" s="10"/>
      <c r="J913" s="10"/>
      <c r="K913" s="16" t="str">
        <f t="shared" si="312"/>
        <v/>
      </c>
      <c r="L913" s="23" t="str">
        <f t="shared" si="313"/>
        <v/>
      </c>
      <c r="M913" s="22" t="str">
        <f t="shared" si="314"/>
        <v/>
      </c>
      <c r="N913" s="72"/>
      <c r="O913" s="16" t="str">
        <f t="shared" si="315"/>
        <v/>
      </c>
      <c r="P913" s="16" t="str">
        <f t="shared" si="316"/>
        <v/>
      </c>
      <c r="Q913" s="16" t="str">
        <f t="shared" si="317"/>
        <v/>
      </c>
      <c r="R913" s="23" t="str">
        <f t="shared" si="318"/>
        <v/>
      </c>
      <c r="S913" s="23" t="str">
        <f t="shared" si="319"/>
        <v/>
      </c>
      <c r="T913" s="23" t="str">
        <f t="shared" si="320"/>
        <v/>
      </c>
      <c r="U913" s="23" t="str">
        <f t="shared" si="321"/>
        <v/>
      </c>
      <c r="V913" s="23" t="str">
        <f t="shared" si="322"/>
        <v/>
      </c>
      <c r="W913" s="70" t="str">
        <f t="shared" si="323"/>
        <v/>
      </c>
      <c r="X913" s="70" t="str">
        <f t="shared" si="324"/>
        <v/>
      </c>
      <c r="Y913" s="70" t="str">
        <f>IF(AND($A913&lt;&gt;"",$E913&gt;0),isLaptopBag($C913,$J913)*$D913,"")</f>
        <v/>
      </c>
      <c r="Z913" s="70" t="str">
        <f t="shared" si="325"/>
        <v/>
      </c>
      <c r="AA913" s="70" t="str">
        <f t="shared" si="326"/>
        <v/>
      </c>
      <c r="AB913" s="70" t="str">
        <f t="shared" si="327"/>
        <v/>
      </c>
      <c r="AC913" s="70" t="str">
        <f t="shared" si="328"/>
        <v/>
      </c>
      <c r="AD913" s="70" t="str">
        <f t="shared" si="329"/>
        <v/>
      </c>
      <c r="AE913" s="70" t="str">
        <f t="shared" si="330"/>
        <v/>
      </c>
      <c r="AF913" s="16"/>
      <c r="AG913" s="23"/>
      <c r="AH913" s="22"/>
      <c r="AJ913" s="83">
        <f t="shared" si="331"/>
        <v>0</v>
      </c>
      <c r="AO913" s="22" t="str">
        <f t="shared" si="332"/>
        <v/>
      </c>
      <c r="AP913" s="22" t="str">
        <f t="shared" si="333"/>
        <v/>
      </c>
    </row>
    <row r="914" spans="1:42" x14ac:dyDescent="0.25">
      <c r="A914" s="10"/>
      <c r="B914" s="10"/>
      <c r="C914" s="10"/>
      <c r="D914" s="10"/>
      <c r="E914" s="10"/>
      <c r="F914" s="10"/>
      <c r="G914" s="10"/>
      <c r="H914" s="17"/>
      <c r="I914" s="10"/>
      <c r="J914" s="10"/>
      <c r="K914" s="16" t="str">
        <f t="shared" si="312"/>
        <v/>
      </c>
      <c r="L914" s="23" t="str">
        <f t="shared" si="313"/>
        <v/>
      </c>
      <c r="M914" s="22" t="str">
        <f t="shared" si="314"/>
        <v/>
      </c>
      <c r="N914" s="72"/>
      <c r="O914" s="16" t="str">
        <f t="shared" si="315"/>
        <v/>
      </c>
      <c r="P914" s="16" t="str">
        <f t="shared" si="316"/>
        <v/>
      </c>
      <c r="Q914" s="16" t="str">
        <f t="shared" si="317"/>
        <v/>
      </c>
      <c r="R914" s="23" t="str">
        <f t="shared" si="318"/>
        <v/>
      </c>
      <c r="S914" s="23" t="str">
        <f t="shared" si="319"/>
        <v/>
      </c>
      <c r="T914" s="23" t="str">
        <f t="shared" si="320"/>
        <v/>
      </c>
      <c r="U914" s="23" t="str">
        <f t="shared" si="321"/>
        <v/>
      </c>
      <c r="V914" s="23" t="str">
        <f t="shared" si="322"/>
        <v/>
      </c>
      <c r="W914" s="70" t="str">
        <f t="shared" si="323"/>
        <v/>
      </c>
      <c r="X914" s="70" t="str">
        <f t="shared" si="324"/>
        <v/>
      </c>
      <c r="Y914" s="70" t="str">
        <f>IF(AND($A914&lt;&gt;"",$E914&gt;0),isLaptopBag($C914,$J914)*$D914,"")</f>
        <v/>
      </c>
      <c r="Z914" s="70" t="str">
        <f t="shared" si="325"/>
        <v/>
      </c>
      <c r="AA914" s="70" t="str">
        <f t="shared" si="326"/>
        <v/>
      </c>
      <c r="AB914" s="70" t="str">
        <f t="shared" si="327"/>
        <v/>
      </c>
      <c r="AC914" s="70" t="str">
        <f t="shared" si="328"/>
        <v/>
      </c>
      <c r="AD914" s="70" t="str">
        <f t="shared" si="329"/>
        <v/>
      </c>
      <c r="AE914" s="70" t="str">
        <f t="shared" si="330"/>
        <v/>
      </c>
      <c r="AF914" s="16"/>
      <c r="AG914" s="23"/>
      <c r="AH914" s="22"/>
      <c r="AJ914" s="83">
        <f t="shared" si="331"/>
        <v>0</v>
      </c>
      <c r="AO914" s="22" t="str">
        <f t="shared" si="332"/>
        <v/>
      </c>
      <c r="AP914" s="22" t="str">
        <f t="shared" si="333"/>
        <v/>
      </c>
    </row>
    <row r="915" spans="1:42" x14ac:dyDescent="0.25">
      <c r="A915" s="10"/>
      <c r="B915" s="10"/>
      <c r="C915" s="10"/>
      <c r="D915" s="10"/>
      <c r="E915" s="10"/>
      <c r="F915" s="10"/>
      <c r="G915" s="10"/>
      <c r="H915" s="17"/>
      <c r="I915" s="10"/>
      <c r="J915" s="10"/>
      <c r="K915" s="16" t="str">
        <f t="shared" si="312"/>
        <v/>
      </c>
      <c r="L915" s="23" t="str">
        <f t="shared" si="313"/>
        <v/>
      </c>
      <c r="M915" s="22" t="str">
        <f t="shared" si="314"/>
        <v/>
      </c>
      <c r="N915" s="72"/>
      <c r="O915" s="16" t="str">
        <f t="shared" si="315"/>
        <v/>
      </c>
      <c r="P915" s="16" t="str">
        <f t="shared" si="316"/>
        <v/>
      </c>
      <c r="Q915" s="16" t="str">
        <f t="shared" si="317"/>
        <v/>
      </c>
      <c r="R915" s="23" t="str">
        <f t="shared" si="318"/>
        <v/>
      </c>
      <c r="S915" s="23" t="str">
        <f t="shared" si="319"/>
        <v/>
      </c>
      <c r="T915" s="23" t="str">
        <f t="shared" si="320"/>
        <v/>
      </c>
      <c r="U915" s="23" t="str">
        <f t="shared" si="321"/>
        <v/>
      </c>
      <c r="V915" s="23" t="str">
        <f t="shared" si="322"/>
        <v/>
      </c>
      <c r="W915" s="70" t="str">
        <f t="shared" si="323"/>
        <v/>
      </c>
      <c r="X915" s="70" t="str">
        <f t="shared" si="324"/>
        <v/>
      </c>
      <c r="Y915" s="70" t="str">
        <f>IF(AND($A915&lt;&gt;"",$E915&gt;0),isLaptopBag($C915,$J915)*$D915,"")</f>
        <v/>
      </c>
      <c r="Z915" s="70" t="str">
        <f t="shared" si="325"/>
        <v/>
      </c>
      <c r="AA915" s="70" t="str">
        <f t="shared" si="326"/>
        <v/>
      </c>
      <c r="AB915" s="70" t="str">
        <f t="shared" si="327"/>
        <v/>
      </c>
      <c r="AC915" s="70" t="str">
        <f t="shared" si="328"/>
        <v/>
      </c>
      <c r="AD915" s="70" t="str">
        <f t="shared" si="329"/>
        <v/>
      </c>
      <c r="AE915" s="70" t="str">
        <f t="shared" si="330"/>
        <v/>
      </c>
      <c r="AF915" s="16"/>
      <c r="AG915" s="23"/>
      <c r="AH915" s="22"/>
      <c r="AJ915" s="83">
        <f t="shared" si="331"/>
        <v>0</v>
      </c>
      <c r="AO915" s="22" t="str">
        <f t="shared" si="332"/>
        <v/>
      </c>
      <c r="AP915" s="22" t="str">
        <f t="shared" si="333"/>
        <v/>
      </c>
    </row>
    <row r="916" spans="1:42" x14ac:dyDescent="0.25">
      <c r="A916" s="10"/>
      <c r="B916" s="10"/>
      <c r="C916" s="10"/>
      <c r="D916" s="10"/>
      <c r="E916" s="10"/>
      <c r="F916" s="10"/>
      <c r="G916" s="10"/>
      <c r="H916" s="17"/>
      <c r="I916" s="10"/>
      <c r="J916" s="10"/>
      <c r="K916" s="16" t="str">
        <f t="shared" si="312"/>
        <v/>
      </c>
      <c r="L916" s="23" t="str">
        <f t="shared" si="313"/>
        <v/>
      </c>
      <c r="M916" s="22" t="str">
        <f t="shared" si="314"/>
        <v/>
      </c>
      <c r="N916" s="72"/>
      <c r="O916" s="16" t="str">
        <f t="shared" si="315"/>
        <v/>
      </c>
      <c r="P916" s="16" t="str">
        <f t="shared" si="316"/>
        <v/>
      </c>
      <c r="Q916" s="16" t="str">
        <f t="shared" si="317"/>
        <v/>
      </c>
      <c r="R916" s="23" t="str">
        <f t="shared" si="318"/>
        <v/>
      </c>
      <c r="S916" s="23" t="str">
        <f t="shared" si="319"/>
        <v/>
      </c>
      <c r="T916" s="23" t="str">
        <f t="shared" si="320"/>
        <v/>
      </c>
      <c r="U916" s="23" t="str">
        <f t="shared" si="321"/>
        <v/>
      </c>
      <c r="V916" s="23" t="str">
        <f t="shared" si="322"/>
        <v/>
      </c>
      <c r="W916" s="70" t="str">
        <f t="shared" si="323"/>
        <v/>
      </c>
      <c r="X916" s="70" t="str">
        <f t="shared" si="324"/>
        <v/>
      </c>
      <c r="Y916" s="70" t="str">
        <f>IF(AND($A916&lt;&gt;"",$E916&gt;0),isLaptopBag($C916,$J916)*$D916,"")</f>
        <v/>
      </c>
      <c r="Z916" s="70" t="str">
        <f t="shared" si="325"/>
        <v/>
      </c>
      <c r="AA916" s="70" t="str">
        <f t="shared" si="326"/>
        <v/>
      </c>
      <c r="AB916" s="70" t="str">
        <f t="shared" si="327"/>
        <v/>
      </c>
      <c r="AC916" s="70" t="str">
        <f t="shared" si="328"/>
        <v/>
      </c>
      <c r="AD916" s="70" t="str">
        <f t="shared" si="329"/>
        <v/>
      </c>
      <c r="AE916" s="70" t="str">
        <f t="shared" si="330"/>
        <v/>
      </c>
      <c r="AF916" s="16"/>
      <c r="AG916" s="23"/>
      <c r="AH916" s="22"/>
      <c r="AJ916" s="83">
        <f t="shared" si="331"/>
        <v>0</v>
      </c>
      <c r="AO916" s="22" t="str">
        <f t="shared" si="332"/>
        <v/>
      </c>
      <c r="AP916" s="22" t="str">
        <f t="shared" si="333"/>
        <v/>
      </c>
    </row>
    <row r="917" spans="1:42" x14ac:dyDescent="0.25">
      <c r="A917" s="10"/>
      <c r="B917" s="10"/>
      <c r="C917" s="10"/>
      <c r="D917" s="10"/>
      <c r="E917" s="10"/>
      <c r="F917" s="10"/>
      <c r="G917" s="10"/>
      <c r="H917" s="17"/>
      <c r="I917" s="10"/>
      <c r="J917" s="10"/>
      <c r="K917" s="16" t="str">
        <f t="shared" si="312"/>
        <v/>
      </c>
      <c r="L917" s="23" t="str">
        <f t="shared" si="313"/>
        <v/>
      </c>
      <c r="M917" s="22" t="str">
        <f t="shared" si="314"/>
        <v/>
      </c>
      <c r="N917" s="72"/>
      <c r="O917" s="16" t="str">
        <f t="shared" si="315"/>
        <v/>
      </c>
      <c r="P917" s="16" t="str">
        <f t="shared" si="316"/>
        <v/>
      </c>
      <c r="Q917" s="16" t="str">
        <f t="shared" si="317"/>
        <v/>
      </c>
      <c r="R917" s="23" t="str">
        <f t="shared" si="318"/>
        <v/>
      </c>
      <c r="S917" s="23" t="str">
        <f t="shared" si="319"/>
        <v/>
      </c>
      <c r="T917" s="23" t="str">
        <f t="shared" si="320"/>
        <v/>
      </c>
      <c r="U917" s="23" t="str">
        <f t="shared" si="321"/>
        <v/>
      </c>
      <c r="V917" s="23" t="str">
        <f t="shared" si="322"/>
        <v/>
      </c>
      <c r="W917" s="70" t="str">
        <f t="shared" si="323"/>
        <v/>
      </c>
      <c r="X917" s="70" t="str">
        <f t="shared" si="324"/>
        <v/>
      </c>
      <c r="Y917" s="70" t="str">
        <f>IF(AND($A917&lt;&gt;"",$E917&gt;0),isLaptopBag($C917,$J917)*$D917,"")</f>
        <v/>
      </c>
      <c r="Z917" s="70" t="str">
        <f t="shared" si="325"/>
        <v/>
      </c>
      <c r="AA917" s="70" t="str">
        <f t="shared" si="326"/>
        <v/>
      </c>
      <c r="AB917" s="70" t="str">
        <f t="shared" si="327"/>
        <v/>
      </c>
      <c r="AC917" s="70" t="str">
        <f t="shared" si="328"/>
        <v/>
      </c>
      <c r="AD917" s="70" t="str">
        <f t="shared" si="329"/>
        <v/>
      </c>
      <c r="AE917" s="70" t="str">
        <f t="shared" si="330"/>
        <v/>
      </c>
      <c r="AF917" s="16"/>
      <c r="AG917" s="23"/>
      <c r="AH917" s="22"/>
      <c r="AJ917" s="83">
        <f t="shared" si="331"/>
        <v>0</v>
      </c>
      <c r="AO917" s="22" t="str">
        <f t="shared" si="332"/>
        <v/>
      </c>
      <c r="AP917" s="22" t="str">
        <f t="shared" si="333"/>
        <v/>
      </c>
    </row>
    <row r="918" spans="1:42" x14ac:dyDescent="0.25">
      <c r="A918" s="10"/>
      <c r="B918" s="10"/>
      <c r="C918" s="10"/>
      <c r="D918" s="10"/>
      <c r="E918" s="10"/>
      <c r="F918" s="10"/>
      <c r="G918" s="10"/>
      <c r="H918" s="17"/>
      <c r="I918" s="10"/>
      <c r="J918" s="10"/>
      <c r="K918" s="16" t="str">
        <f t="shared" si="312"/>
        <v/>
      </c>
      <c r="L918" s="23" t="str">
        <f t="shared" si="313"/>
        <v/>
      </c>
      <c r="M918" s="22" t="str">
        <f t="shared" si="314"/>
        <v/>
      </c>
      <c r="N918" s="72"/>
      <c r="O918" s="16" t="str">
        <f t="shared" si="315"/>
        <v/>
      </c>
      <c r="P918" s="16" t="str">
        <f t="shared" si="316"/>
        <v/>
      </c>
      <c r="Q918" s="16" t="str">
        <f t="shared" si="317"/>
        <v/>
      </c>
      <c r="R918" s="23" t="str">
        <f t="shared" si="318"/>
        <v/>
      </c>
      <c r="S918" s="23" t="str">
        <f t="shared" si="319"/>
        <v/>
      </c>
      <c r="T918" s="23" t="str">
        <f t="shared" si="320"/>
        <v/>
      </c>
      <c r="U918" s="23" t="str">
        <f t="shared" si="321"/>
        <v/>
      </c>
      <c r="V918" s="23" t="str">
        <f t="shared" si="322"/>
        <v/>
      </c>
      <c r="W918" s="70" t="str">
        <f t="shared" si="323"/>
        <v/>
      </c>
      <c r="X918" s="70" t="str">
        <f t="shared" si="324"/>
        <v/>
      </c>
      <c r="Y918" s="70" t="str">
        <f>IF(AND($A918&lt;&gt;"",$E918&gt;0),isLaptopBag($C918,$J918)*$D918,"")</f>
        <v/>
      </c>
      <c r="Z918" s="70" t="str">
        <f t="shared" si="325"/>
        <v/>
      </c>
      <c r="AA918" s="70" t="str">
        <f t="shared" si="326"/>
        <v/>
      </c>
      <c r="AB918" s="70" t="str">
        <f t="shared" si="327"/>
        <v/>
      </c>
      <c r="AC918" s="70" t="str">
        <f t="shared" si="328"/>
        <v/>
      </c>
      <c r="AD918" s="70" t="str">
        <f t="shared" si="329"/>
        <v/>
      </c>
      <c r="AE918" s="70" t="str">
        <f t="shared" si="330"/>
        <v/>
      </c>
      <c r="AF918" s="16"/>
      <c r="AG918" s="23"/>
      <c r="AH918" s="22"/>
      <c r="AJ918" s="83">
        <f t="shared" si="331"/>
        <v>0</v>
      </c>
      <c r="AO918" s="22" t="str">
        <f t="shared" si="332"/>
        <v/>
      </c>
      <c r="AP918" s="22" t="str">
        <f t="shared" si="333"/>
        <v/>
      </c>
    </row>
    <row r="919" spans="1:42" x14ac:dyDescent="0.25">
      <c r="A919" s="10"/>
      <c r="B919" s="10"/>
      <c r="C919" s="10"/>
      <c r="D919" s="10"/>
      <c r="E919" s="10"/>
      <c r="F919" s="10"/>
      <c r="G919" s="10"/>
      <c r="H919" s="17"/>
      <c r="I919" s="10"/>
      <c r="J919" s="10"/>
      <c r="K919" s="16" t="str">
        <f t="shared" si="312"/>
        <v/>
      </c>
      <c r="L919" s="23" t="str">
        <f t="shared" si="313"/>
        <v/>
      </c>
      <c r="M919" s="22" t="str">
        <f t="shared" si="314"/>
        <v/>
      </c>
      <c r="N919" s="72"/>
      <c r="O919" s="16" t="str">
        <f t="shared" si="315"/>
        <v/>
      </c>
      <c r="P919" s="16" t="str">
        <f t="shared" si="316"/>
        <v/>
      </c>
      <c r="Q919" s="16" t="str">
        <f t="shared" si="317"/>
        <v/>
      </c>
      <c r="R919" s="23" t="str">
        <f t="shared" si="318"/>
        <v/>
      </c>
      <c r="S919" s="23" t="str">
        <f t="shared" si="319"/>
        <v/>
      </c>
      <c r="T919" s="23" t="str">
        <f t="shared" si="320"/>
        <v/>
      </c>
      <c r="U919" s="23" t="str">
        <f t="shared" si="321"/>
        <v/>
      </c>
      <c r="V919" s="23" t="str">
        <f t="shared" si="322"/>
        <v/>
      </c>
      <c r="W919" s="70" t="str">
        <f t="shared" si="323"/>
        <v/>
      </c>
      <c r="X919" s="70" t="str">
        <f t="shared" si="324"/>
        <v/>
      </c>
      <c r="Y919" s="70" t="str">
        <f>IF(AND($A919&lt;&gt;"",$E919&gt;0),isLaptopBag($C919,$J919)*$D919,"")</f>
        <v/>
      </c>
      <c r="Z919" s="70" t="str">
        <f t="shared" si="325"/>
        <v/>
      </c>
      <c r="AA919" s="70" t="str">
        <f t="shared" si="326"/>
        <v/>
      </c>
      <c r="AB919" s="70" t="str">
        <f t="shared" si="327"/>
        <v/>
      </c>
      <c r="AC919" s="70" t="str">
        <f t="shared" si="328"/>
        <v/>
      </c>
      <c r="AD919" s="70" t="str">
        <f t="shared" si="329"/>
        <v/>
      </c>
      <c r="AE919" s="70" t="str">
        <f t="shared" si="330"/>
        <v/>
      </c>
      <c r="AF919" s="16"/>
      <c r="AG919" s="23"/>
      <c r="AH919" s="22"/>
      <c r="AJ919" s="83">
        <f t="shared" si="331"/>
        <v>0</v>
      </c>
      <c r="AO919" s="22" t="str">
        <f t="shared" si="332"/>
        <v/>
      </c>
      <c r="AP919" s="22" t="str">
        <f t="shared" si="333"/>
        <v/>
      </c>
    </row>
    <row r="920" spans="1:42" x14ac:dyDescent="0.25">
      <c r="A920" s="10"/>
      <c r="B920" s="10"/>
      <c r="C920" s="10"/>
      <c r="D920" s="10"/>
      <c r="E920" s="10"/>
      <c r="F920" s="10"/>
      <c r="G920" s="10"/>
      <c r="H920" s="17"/>
      <c r="I920" s="10"/>
      <c r="J920" s="10"/>
      <c r="K920" s="16" t="str">
        <f t="shared" si="312"/>
        <v/>
      </c>
      <c r="L920" s="23" t="str">
        <f t="shared" si="313"/>
        <v/>
      </c>
      <c r="M920" s="22" t="str">
        <f t="shared" si="314"/>
        <v/>
      </c>
      <c r="N920" s="72"/>
      <c r="O920" s="16" t="str">
        <f t="shared" si="315"/>
        <v/>
      </c>
      <c r="P920" s="16" t="str">
        <f t="shared" si="316"/>
        <v/>
      </c>
      <c r="Q920" s="16" t="str">
        <f t="shared" si="317"/>
        <v/>
      </c>
      <c r="R920" s="23" t="str">
        <f t="shared" si="318"/>
        <v/>
      </c>
      <c r="S920" s="23" t="str">
        <f t="shared" si="319"/>
        <v/>
      </c>
      <c r="T920" s="23" t="str">
        <f t="shared" si="320"/>
        <v/>
      </c>
      <c r="U920" s="23" t="str">
        <f t="shared" si="321"/>
        <v/>
      </c>
      <c r="V920" s="23" t="str">
        <f t="shared" si="322"/>
        <v/>
      </c>
      <c r="W920" s="70" t="str">
        <f t="shared" si="323"/>
        <v/>
      </c>
      <c r="X920" s="70" t="str">
        <f t="shared" si="324"/>
        <v/>
      </c>
      <c r="Y920" s="70" t="str">
        <f>IF(AND($A920&lt;&gt;"",$E920&gt;0),isLaptopBag($C920,$J920)*$D920,"")</f>
        <v/>
      </c>
      <c r="Z920" s="70" t="str">
        <f t="shared" si="325"/>
        <v/>
      </c>
      <c r="AA920" s="70" t="str">
        <f t="shared" si="326"/>
        <v/>
      </c>
      <c r="AB920" s="70" t="str">
        <f t="shared" si="327"/>
        <v/>
      </c>
      <c r="AC920" s="70" t="str">
        <f t="shared" si="328"/>
        <v/>
      </c>
      <c r="AD920" s="70" t="str">
        <f t="shared" si="329"/>
        <v/>
      </c>
      <c r="AE920" s="70" t="str">
        <f t="shared" si="330"/>
        <v/>
      </c>
      <c r="AF920" s="16"/>
      <c r="AG920" s="23"/>
      <c r="AH920" s="22"/>
      <c r="AJ920" s="83">
        <f t="shared" si="331"/>
        <v>0</v>
      </c>
      <c r="AO920" s="22" t="str">
        <f t="shared" si="332"/>
        <v/>
      </c>
      <c r="AP920" s="22" t="str">
        <f t="shared" si="333"/>
        <v/>
      </c>
    </row>
    <row r="921" spans="1:42" x14ac:dyDescent="0.25">
      <c r="A921" s="10"/>
      <c r="B921" s="10"/>
      <c r="C921" s="10"/>
      <c r="D921" s="10"/>
      <c r="E921" s="10"/>
      <c r="F921" s="10"/>
      <c r="G921" s="10"/>
      <c r="H921" s="17"/>
      <c r="I921" s="10"/>
      <c r="J921" s="10"/>
      <c r="K921" s="16" t="str">
        <f t="shared" si="312"/>
        <v/>
      </c>
      <c r="L921" s="23" t="str">
        <f t="shared" si="313"/>
        <v/>
      </c>
      <c r="M921" s="22" t="str">
        <f t="shared" si="314"/>
        <v/>
      </c>
      <c r="N921" s="72"/>
      <c r="O921" s="16" t="str">
        <f t="shared" si="315"/>
        <v/>
      </c>
      <c r="P921" s="16" t="str">
        <f t="shared" si="316"/>
        <v/>
      </c>
      <c r="Q921" s="16" t="str">
        <f t="shared" si="317"/>
        <v/>
      </c>
      <c r="R921" s="23" t="str">
        <f t="shared" si="318"/>
        <v/>
      </c>
      <c r="S921" s="23" t="str">
        <f t="shared" si="319"/>
        <v/>
      </c>
      <c r="T921" s="23" t="str">
        <f t="shared" si="320"/>
        <v/>
      </c>
      <c r="U921" s="23" t="str">
        <f t="shared" si="321"/>
        <v/>
      </c>
      <c r="V921" s="23" t="str">
        <f t="shared" si="322"/>
        <v/>
      </c>
      <c r="W921" s="70" t="str">
        <f t="shared" si="323"/>
        <v/>
      </c>
      <c r="X921" s="70" t="str">
        <f t="shared" si="324"/>
        <v/>
      </c>
      <c r="Y921" s="70" t="str">
        <f>IF(AND($A921&lt;&gt;"",$E921&gt;0),isLaptopBag($C921,$J921)*$D921,"")</f>
        <v/>
      </c>
      <c r="Z921" s="70" t="str">
        <f t="shared" si="325"/>
        <v/>
      </c>
      <c r="AA921" s="70" t="str">
        <f t="shared" si="326"/>
        <v/>
      </c>
      <c r="AB921" s="70" t="str">
        <f t="shared" si="327"/>
        <v/>
      </c>
      <c r="AC921" s="70" t="str">
        <f t="shared" si="328"/>
        <v/>
      </c>
      <c r="AD921" s="70" t="str">
        <f t="shared" si="329"/>
        <v/>
      </c>
      <c r="AE921" s="70" t="str">
        <f t="shared" si="330"/>
        <v/>
      </c>
      <c r="AF921" s="16"/>
      <c r="AG921" s="23"/>
      <c r="AH921" s="22"/>
      <c r="AJ921" s="83">
        <f t="shared" si="331"/>
        <v>0</v>
      </c>
      <c r="AO921" s="22" t="str">
        <f t="shared" si="332"/>
        <v/>
      </c>
      <c r="AP921" s="22" t="str">
        <f t="shared" si="333"/>
        <v/>
      </c>
    </row>
    <row r="922" spans="1:42" x14ac:dyDescent="0.25">
      <c r="A922" s="10"/>
      <c r="B922" s="10"/>
      <c r="C922" s="10"/>
      <c r="D922" s="10"/>
      <c r="E922" s="10"/>
      <c r="F922" s="10"/>
      <c r="G922" s="10"/>
      <c r="H922" s="17"/>
      <c r="I922" s="10"/>
      <c r="J922" s="10"/>
      <c r="K922" s="16" t="str">
        <f t="shared" si="312"/>
        <v/>
      </c>
      <c r="L922" s="23" t="str">
        <f t="shared" si="313"/>
        <v/>
      </c>
      <c r="M922" s="22" t="str">
        <f t="shared" si="314"/>
        <v/>
      </c>
      <c r="N922" s="72"/>
      <c r="O922" s="16" t="str">
        <f t="shared" si="315"/>
        <v/>
      </c>
      <c r="P922" s="16" t="str">
        <f t="shared" si="316"/>
        <v/>
      </c>
      <c r="Q922" s="16" t="str">
        <f t="shared" si="317"/>
        <v/>
      </c>
      <c r="R922" s="23" t="str">
        <f t="shared" si="318"/>
        <v/>
      </c>
      <c r="S922" s="23" t="str">
        <f t="shared" si="319"/>
        <v/>
      </c>
      <c r="T922" s="23" t="str">
        <f t="shared" si="320"/>
        <v/>
      </c>
      <c r="U922" s="23" t="str">
        <f t="shared" si="321"/>
        <v/>
      </c>
      <c r="V922" s="23" t="str">
        <f t="shared" si="322"/>
        <v/>
      </c>
      <c r="W922" s="70" t="str">
        <f t="shared" si="323"/>
        <v/>
      </c>
      <c r="X922" s="70" t="str">
        <f t="shared" si="324"/>
        <v/>
      </c>
      <c r="Y922" s="70" t="str">
        <f>IF(AND($A922&lt;&gt;"",$E922&gt;0),isLaptopBag($C922,$J922)*$D922,"")</f>
        <v/>
      </c>
      <c r="Z922" s="70" t="str">
        <f t="shared" si="325"/>
        <v/>
      </c>
      <c r="AA922" s="70" t="str">
        <f t="shared" si="326"/>
        <v/>
      </c>
      <c r="AB922" s="70" t="str">
        <f t="shared" si="327"/>
        <v/>
      </c>
      <c r="AC922" s="70" t="str">
        <f t="shared" si="328"/>
        <v/>
      </c>
      <c r="AD922" s="70" t="str">
        <f t="shared" si="329"/>
        <v/>
      </c>
      <c r="AE922" s="70" t="str">
        <f t="shared" si="330"/>
        <v/>
      </c>
      <c r="AF922" s="16"/>
      <c r="AG922" s="23"/>
      <c r="AH922" s="22"/>
      <c r="AJ922" s="83">
        <f t="shared" si="331"/>
        <v>0</v>
      </c>
      <c r="AO922" s="22" t="str">
        <f t="shared" si="332"/>
        <v/>
      </c>
      <c r="AP922" s="22" t="str">
        <f t="shared" si="333"/>
        <v/>
      </c>
    </row>
    <row r="923" spans="1:42" x14ac:dyDescent="0.25">
      <c r="A923" s="10"/>
      <c r="B923" s="10"/>
      <c r="C923" s="10"/>
      <c r="D923" s="10"/>
      <c r="E923" s="10"/>
      <c r="F923" s="10"/>
      <c r="G923" s="10"/>
      <c r="H923" s="17"/>
      <c r="I923" s="10"/>
      <c r="J923" s="10"/>
      <c r="K923" s="16" t="str">
        <f t="shared" si="312"/>
        <v/>
      </c>
      <c r="L923" s="23" t="str">
        <f t="shared" si="313"/>
        <v/>
      </c>
      <c r="M923" s="22" t="str">
        <f t="shared" si="314"/>
        <v/>
      </c>
      <c r="N923" s="72"/>
      <c r="O923" s="16" t="str">
        <f t="shared" si="315"/>
        <v/>
      </c>
      <c r="P923" s="16" t="str">
        <f t="shared" si="316"/>
        <v/>
      </c>
      <c r="Q923" s="16" t="str">
        <f t="shared" si="317"/>
        <v/>
      </c>
      <c r="R923" s="23" t="str">
        <f t="shared" si="318"/>
        <v/>
      </c>
      <c r="S923" s="23" t="str">
        <f t="shared" si="319"/>
        <v/>
      </c>
      <c r="T923" s="23" t="str">
        <f t="shared" si="320"/>
        <v/>
      </c>
      <c r="U923" s="23" t="str">
        <f t="shared" si="321"/>
        <v/>
      </c>
      <c r="V923" s="23" t="str">
        <f t="shared" si="322"/>
        <v/>
      </c>
      <c r="W923" s="70" t="str">
        <f t="shared" si="323"/>
        <v/>
      </c>
      <c r="X923" s="70" t="str">
        <f t="shared" si="324"/>
        <v/>
      </c>
      <c r="Y923" s="70" t="str">
        <f>IF(AND($A923&lt;&gt;"",$E923&gt;0),isLaptopBag($C923,$J923)*$D923,"")</f>
        <v/>
      </c>
      <c r="Z923" s="70" t="str">
        <f t="shared" si="325"/>
        <v/>
      </c>
      <c r="AA923" s="70" t="str">
        <f t="shared" si="326"/>
        <v/>
      </c>
      <c r="AB923" s="70" t="str">
        <f t="shared" si="327"/>
        <v/>
      </c>
      <c r="AC923" s="70" t="str">
        <f t="shared" si="328"/>
        <v/>
      </c>
      <c r="AD923" s="70" t="str">
        <f t="shared" si="329"/>
        <v/>
      </c>
      <c r="AE923" s="70" t="str">
        <f t="shared" si="330"/>
        <v/>
      </c>
      <c r="AF923" s="16"/>
      <c r="AG923" s="23"/>
      <c r="AH923" s="22"/>
      <c r="AJ923" s="83">
        <f t="shared" si="331"/>
        <v>0</v>
      </c>
      <c r="AO923" s="22" t="str">
        <f t="shared" si="332"/>
        <v/>
      </c>
      <c r="AP923" s="22" t="str">
        <f t="shared" si="333"/>
        <v/>
      </c>
    </row>
    <row r="924" spans="1:42" x14ac:dyDescent="0.25">
      <c r="A924" s="10"/>
      <c r="B924" s="10"/>
      <c r="C924" s="10"/>
      <c r="D924" s="10"/>
      <c r="E924" s="10"/>
      <c r="F924" s="10"/>
      <c r="G924" s="10"/>
      <c r="H924" s="17"/>
      <c r="I924" s="10"/>
      <c r="J924" s="10"/>
      <c r="K924" s="16" t="str">
        <f t="shared" si="312"/>
        <v/>
      </c>
      <c r="L924" s="23" t="str">
        <f t="shared" si="313"/>
        <v/>
      </c>
      <c r="M924" s="22" t="str">
        <f t="shared" si="314"/>
        <v/>
      </c>
      <c r="N924" s="72"/>
      <c r="O924" s="16" t="str">
        <f t="shared" si="315"/>
        <v/>
      </c>
      <c r="P924" s="16" t="str">
        <f t="shared" si="316"/>
        <v/>
      </c>
      <c r="Q924" s="16" t="str">
        <f t="shared" si="317"/>
        <v/>
      </c>
      <c r="R924" s="23" t="str">
        <f t="shared" si="318"/>
        <v/>
      </c>
      <c r="S924" s="23" t="str">
        <f t="shared" si="319"/>
        <v/>
      </c>
      <c r="T924" s="23" t="str">
        <f t="shared" si="320"/>
        <v/>
      </c>
      <c r="U924" s="23" t="str">
        <f t="shared" si="321"/>
        <v/>
      </c>
      <c r="V924" s="23" t="str">
        <f t="shared" si="322"/>
        <v/>
      </c>
      <c r="W924" s="70" t="str">
        <f t="shared" si="323"/>
        <v/>
      </c>
      <c r="X924" s="70" t="str">
        <f t="shared" si="324"/>
        <v/>
      </c>
      <c r="Y924" s="70" t="str">
        <f>IF(AND($A924&lt;&gt;"",$E924&gt;0),isLaptopBag($C924,$J924)*$D924,"")</f>
        <v/>
      </c>
      <c r="Z924" s="70" t="str">
        <f t="shared" si="325"/>
        <v/>
      </c>
      <c r="AA924" s="70" t="str">
        <f t="shared" si="326"/>
        <v/>
      </c>
      <c r="AB924" s="70" t="str">
        <f t="shared" si="327"/>
        <v/>
      </c>
      <c r="AC924" s="70" t="str">
        <f t="shared" si="328"/>
        <v/>
      </c>
      <c r="AD924" s="70" t="str">
        <f t="shared" si="329"/>
        <v/>
      </c>
      <c r="AE924" s="70" t="str">
        <f t="shared" si="330"/>
        <v/>
      </c>
      <c r="AF924" s="16"/>
      <c r="AG924" s="23"/>
      <c r="AH924" s="22"/>
      <c r="AJ924" s="83">
        <f t="shared" si="331"/>
        <v>0</v>
      </c>
      <c r="AO924" s="22" t="str">
        <f t="shared" si="332"/>
        <v/>
      </c>
      <c r="AP924" s="22" t="str">
        <f t="shared" si="333"/>
        <v/>
      </c>
    </row>
    <row r="925" spans="1:42" x14ac:dyDescent="0.25">
      <c r="A925" s="10"/>
      <c r="B925" s="10"/>
      <c r="C925" s="10"/>
      <c r="D925" s="10"/>
      <c r="E925" s="10"/>
      <c r="F925" s="10"/>
      <c r="G925" s="10"/>
      <c r="H925" s="17"/>
      <c r="I925" s="10"/>
      <c r="J925" s="10"/>
      <c r="K925" s="16" t="str">
        <f t="shared" si="312"/>
        <v/>
      </c>
      <c r="L925" s="23" t="str">
        <f t="shared" si="313"/>
        <v/>
      </c>
      <c r="M925" s="22" t="str">
        <f t="shared" si="314"/>
        <v/>
      </c>
      <c r="N925" s="72"/>
      <c r="O925" s="16" t="str">
        <f t="shared" si="315"/>
        <v/>
      </c>
      <c r="P925" s="16" t="str">
        <f t="shared" si="316"/>
        <v/>
      </c>
      <c r="Q925" s="16" t="str">
        <f t="shared" si="317"/>
        <v/>
      </c>
      <c r="R925" s="23" t="str">
        <f t="shared" si="318"/>
        <v/>
      </c>
      <c r="S925" s="23" t="str">
        <f t="shared" si="319"/>
        <v/>
      </c>
      <c r="T925" s="23" t="str">
        <f t="shared" si="320"/>
        <v/>
      </c>
      <c r="U925" s="23" t="str">
        <f t="shared" si="321"/>
        <v/>
      </c>
      <c r="V925" s="23" t="str">
        <f t="shared" si="322"/>
        <v/>
      </c>
      <c r="W925" s="70" t="str">
        <f t="shared" si="323"/>
        <v/>
      </c>
      <c r="X925" s="70" t="str">
        <f t="shared" si="324"/>
        <v/>
      </c>
      <c r="Y925" s="70" t="str">
        <f>IF(AND($A925&lt;&gt;"",$E925&gt;0),isLaptopBag($C925,$J925)*$D925,"")</f>
        <v/>
      </c>
      <c r="Z925" s="70" t="str">
        <f t="shared" si="325"/>
        <v/>
      </c>
      <c r="AA925" s="70" t="str">
        <f t="shared" si="326"/>
        <v/>
      </c>
      <c r="AB925" s="70" t="str">
        <f t="shared" si="327"/>
        <v/>
      </c>
      <c r="AC925" s="70" t="str">
        <f t="shared" si="328"/>
        <v/>
      </c>
      <c r="AD925" s="70" t="str">
        <f t="shared" si="329"/>
        <v/>
      </c>
      <c r="AE925" s="70" t="str">
        <f t="shared" si="330"/>
        <v/>
      </c>
      <c r="AF925" s="16"/>
      <c r="AG925" s="23"/>
      <c r="AH925" s="22"/>
      <c r="AJ925" s="83">
        <f t="shared" si="331"/>
        <v>0</v>
      </c>
      <c r="AO925" s="22" t="str">
        <f t="shared" si="332"/>
        <v/>
      </c>
      <c r="AP925" s="22" t="str">
        <f t="shared" si="333"/>
        <v/>
      </c>
    </row>
    <row r="926" spans="1:42" x14ac:dyDescent="0.25">
      <c r="A926" s="10"/>
      <c r="B926" s="10"/>
      <c r="C926" s="10"/>
      <c r="D926" s="10"/>
      <c r="E926" s="10"/>
      <c r="F926" s="10"/>
      <c r="G926" s="10"/>
      <c r="H926" s="17"/>
      <c r="I926" s="10"/>
      <c r="J926" s="10"/>
      <c r="K926" s="16" t="str">
        <f t="shared" si="312"/>
        <v/>
      </c>
      <c r="L926" s="23" t="str">
        <f t="shared" si="313"/>
        <v/>
      </c>
      <c r="M926" s="22" t="str">
        <f t="shared" si="314"/>
        <v/>
      </c>
      <c r="N926" s="72"/>
      <c r="O926" s="16" t="str">
        <f t="shared" si="315"/>
        <v/>
      </c>
      <c r="P926" s="16" t="str">
        <f t="shared" si="316"/>
        <v/>
      </c>
      <c r="Q926" s="16" t="str">
        <f t="shared" si="317"/>
        <v/>
      </c>
      <c r="R926" s="23" t="str">
        <f t="shared" si="318"/>
        <v/>
      </c>
      <c r="S926" s="23" t="str">
        <f t="shared" si="319"/>
        <v/>
      </c>
      <c r="T926" s="23" t="str">
        <f t="shared" si="320"/>
        <v/>
      </c>
      <c r="U926" s="23" t="str">
        <f t="shared" si="321"/>
        <v/>
      </c>
      <c r="V926" s="23" t="str">
        <f t="shared" si="322"/>
        <v/>
      </c>
      <c r="W926" s="70" t="str">
        <f t="shared" si="323"/>
        <v/>
      </c>
      <c r="X926" s="70" t="str">
        <f t="shared" si="324"/>
        <v/>
      </c>
      <c r="Y926" s="70" t="str">
        <f>IF(AND($A926&lt;&gt;"",$E926&gt;0),isLaptopBag($C926,$J926)*$D926,"")</f>
        <v/>
      </c>
      <c r="Z926" s="70" t="str">
        <f t="shared" si="325"/>
        <v/>
      </c>
      <c r="AA926" s="70" t="str">
        <f t="shared" si="326"/>
        <v/>
      </c>
      <c r="AB926" s="70" t="str">
        <f t="shared" si="327"/>
        <v/>
      </c>
      <c r="AC926" s="70" t="str">
        <f t="shared" si="328"/>
        <v/>
      </c>
      <c r="AD926" s="70" t="str">
        <f t="shared" si="329"/>
        <v/>
      </c>
      <c r="AE926" s="70" t="str">
        <f t="shared" si="330"/>
        <v/>
      </c>
      <c r="AF926" s="16"/>
      <c r="AG926" s="23"/>
      <c r="AH926" s="22"/>
      <c r="AJ926" s="83">
        <f t="shared" si="331"/>
        <v>0</v>
      </c>
      <c r="AO926" s="22" t="str">
        <f t="shared" si="332"/>
        <v/>
      </c>
      <c r="AP926" s="22" t="str">
        <f t="shared" si="333"/>
        <v/>
      </c>
    </row>
    <row r="927" spans="1:42" x14ac:dyDescent="0.25">
      <c r="A927" s="10"/>
      <c r="B927" s="10"/>
      <c r="C927" s="10"/>
      <c r="D927" s="10"/>
      <c r="E927" s="10"/>
      <c r="F927" s="10"/>
      <c r="G927" s="10"/>
      <c r="H927" s="17"/>
      <c r="I927" s="10"/>
      <c r="J927" s="10"/>
      <c r="K927" s="16" t="str">
        <f t="shared" si="312"/>
        <v/>
      </c>
      <c r="L927" s="23" t="str">
        <f t="shared" si="313"/>
        <v/>
      </c>
      <c r="M927" s="22" t="str">
        <f t="shared" si="314"/>
        <v/>
      </c>
      <c r="N927" s="72"/>
      <c r="O927" s="16" t="str">
        <f t="shared" si="315"/>
        <v/>
      </c>
      <c r="P927" s="16" t="str">
        <f t="shared" si="316"/>
        <v/>
      </c>
      <c r="Q927" s="16" t="str">
        <f t="shared" si="317"/>
        <v/>
      </c>
      <c r="R927" s="23" t="str">
        <f t="shared" si="318"/>
        <v/>
      </c>
      <c r="S927" s="23" t="str">
        <f t="shared" si="319"/>
        <v/>
      </c>
      <c r="T927" s="23" t="str">
        <f t="shared" si="320"/>
        <v/>
      </c>
      <c r="U927" s="23" t="str">
        <f t="shared" si="321"/>
        <v/>
      </c>
      <c r="V927" s="23" t="str">
        <f t="shared" si="322"/>
        <v/>
      </c>
      <c r="W927" s="70" t="str">
        <f t="shared" si="323"/>
        <v/>
      </c>
      <c r="X927" s="70" t="str">
        <f t="shared" si="324"/>
        <v/>
      </c>
      <c r="Y927" s="70" t="str">
        <f>IF(AND($A927&lt;&gt;"",$E927&gt;0),isLaptopBag($C927,$J927)*$D927,"")</f>
        <v/>
      </c>
      <c r="Z927" s="70" t="str">
        <f t="shared" si="325"/>
        <v/>
      </c>
      <c r="AA927" s="70" t="str">
        <f t="shared" si="326"/>
        <v/>
      </c>
      <c r="AB927" s="70" t="str">
        <f t="shared" si="327"/>
        <v/>
      </c>
      <c r="AC927" s="70" t="str">
        <f t="shared" si="328"/>
        <v/>
      </c>
      <c r="AD927" s="70" t="str">
        <f t="shared" si="329"/>
        <v/>
      </c>
      <c r="AE927" s="70" t="str">
        <f t="shared" si="330"/>
        <v/>
      </c>
      <c r="AF927" s="16"/>
      <c r="AG927" s="23"/>
      <c r="AH927" s="22"/>
      <c r="AJ927" s="83">
        <f t="shared" si="331"/>
        <v>0</v>
      </c>
      <c r="AO927" s="22" t="str">
        <f t="shared" si="332"/>
        <v/>
      </c>
      <c r="AP927" s="22" t="str">
        <f t="shared" si="333"/>
        <v/>
      </c>
    </row>
    <row r="928" spans="1:42" x14ac:dyDescent="0.25">
      <c r="A928" s="10"/>
      <c r="B928" s="10"/>
      <c r="C928" s="10"/>
      <c r="D928" s="10"/>
      <c r="E928" s="10"/>
      <c r="F928" s="10"/>
      <c r="G928" s="10"/>
      <c r="H928" s="17"/>
      <c r="I928" s="10"/>
      <c r="J928" s="10"/>
      <c r="K928" s="16" t="str">
        <f t="shared" si="312"/>
        <v/>
      </c>
      <c r="L928" s="23" t="str">
        <f t="shared" si="313"/>
        <v/>
      </c>
      <c r="M928" s="22" t="str">
        <f t="shared" si="314"/>
        <v/>
      </c>
      <c r="N928" s="72"/>
      <c r="O928" s="16" t="str">
        <f t="shared" si="315"/>
        <v/>
      </c>
      <c r="P928" s="16" t="str">
        <f t="shared" si="316"/>
        <v/>
      </c>
      <c r="Q928" s="16" t="str">
        <f t="shared" si="317"/>
        <v/>
      </c>
      <c r="R928" s="23" t="str">
        <f t="shared" si="318"/>
        <v/>
      </c>
      <c r="S928" s="23" t="str">
        <f t="shared" si="319"/>
        <v/>
      </c>
      <c r="T928" s="23" t="str">
        <f t="shared" si="320"/>
        <v/>
      </c>
      <c r="U928" s="23" t="str">
        <f t="shared" si="321"/>
        <v/>
      </c>
      <c r="V928" s="23" t="str">
        <f t="shared" si="322"/>
        <v/>
      </c>
      <c r="W928" s="70" t="str">
        <f t="shared" si="323"/>
        <v/>
      </c>
      <c r="X928" s="70" t="str">
        <f t="shared" si="324"/>
        <v/>
      </c>
      <c r="Y928" s="70" t="str">
        <f>IF(AND($A928&lt;&gt;"",$E928&gt;0),isLaptopBag($C928,$J928)*$D928,"")</f>
        <v/>
      </c>
      <c r="Z928" s="70" t="str">
        <f t="shared" si="325"/>
        <v/>
      </c>
      <c r="AA928" s="70" t="str">
        <f t="shared" si="326"/>
        <v/>
      </c>
      <c r="AB928" s="70" t="str">
        <f t="shared" si="327"/>
        <v/>
      </c>
      <c r="AC928" s="70" t="str">
        <f t="shared" si="328"/>
        <v/>
      </c>
      <c r="AD928" s="70" t="str">
        <f t="shared" si="329"/>
        <v/>
      </c>
      <c r="AE928" s="70" t="str">
        <f t="shared" si="330"/>
        <v/>
      </c>
      <c r="AF928" s="16"/>
      <c r="AG928" s="23"/>
      <c r="AH928" s="22"/>
      <c r="AJ928" s="83">
        <f t="shared" si="331"/>
        <v>0</v>
      </c>
      <c r="AO928" s="22" t="str">
        <f t="shared" si="332"/>
        <v/>
      </c>
      <c r="AP928" s="22" t="str">
        <f t="shared" si="333"/>
        <v/>
      </c>
    </row>
    <row r="929" spans="1:42" x14ac:dyDescent="0.25">
      <c r="A929" s="10"/>
      <c r="B929" s="10"/>
      <c r="C929" s="10"/>
      <c r="D929" s="10"/>
      <c r="E929" s="10"/>
      <c r="F929" s="10"/>
      <c r="G929" s="10"/>
      <c r="H929" s="17"/>
      <c r="I929" s="10"/>
      <c r="J929" s="10"/>
      <c r="K929" s="16" t="str">
        <f t="shared" si="312"/>
        <v/>
      </c>
      <c r="L929" s="23" t="str">
        <f t="shared" si="313"/>
        <v/>
      </c>
      <c r="M929" s="22" t="str">
        <f t="shared" si="314"/>
        <v/>
      </c>
      <c r="N929" s="72"/>
      <c r="O929" s="16" t="str">
        <f t="shared" si="315"/>
        <v/>
      </c>
      <c r="P929" s="16" t="str">
        <f t="shared" si="316"/>
        <v/>
      </c>
      <c r="Q929" s="16" t="str">
        <f t="shared" si="317"/>
        <v/>
      </c>
      <c r="R929" s="23" t="str">
        <f t="shared" si="318"/>
        <v/>
      </c>
      <c r="S929" s="23" t="str">
        <f t="shared" si="319"/>
        <v/>
      </c>
      <c r="T929" s="23" t="str">
        <f t="shared" si="320"/>
        <v/>
      </c>
      <c r="U929" s="23" t="str">
        <f t="shared" si="321"/>
        <v/>
      </c>
      <c r="V929" s="23" t="str">
        <f t="shared" si="322"/>
        <v/>
      </c>
      <c r="W929" s="70" t="str">
        <f t="shared" si="323"/>
        <v/>
      </c>
      <c r="X929" s="70" t="str">
        <f t="shared" si="324"/>
        <v/>
      </c>
      <c r="Y929" s="70" t="str">
        <f>IF(AND($A929&lt;&gt;"",$E929&gt;0),isLaptopBag($C929,$J929)*$D929,"")</f>
        <v/>
      </c>
      <c r="Z929" s="70" t="str">
        <f t="shared" si="325"/>
        <v/>
      </c>
      <c r="AA929" s="70" t="str">
        <f t="shared" si="326"/>
        <v/>
      </c>
      <c r="AB929" s="70" t="str">
        <f t="shared" si="327"/>
        <v/>
      </c>
      <c r="AC929" s="70" t="str">
        <f t="shared" si="328"/>
        <v/>
      </c>
      <c r="AD929" s="70" t="str">
        <f t="shared" si="329"/>
        <v/>
      </c>
      <c r="AE929" s="70" t="str">
        <f t="shared" si="330"/>
        <v/>
      </c>
      <c r="AF929" s="16"/>
      <c r="AG929" s="23"/>
      <c r="AH929" s="22"/>
      <c r="AJ929" s="83">
        <f t="shared" si="331"/>
        <v>0</v>
      </c>
      <c r="AO929" s="22" t="str">
        <f t="shared" si="332"/>
        <v/>
      </c>
      <c r="AP929" s="22" t="str">
        <f t="shared" si="333"/>
        <v/>
      </c>
    </row>
    <row r="930" spans="1:42" x14ac:dyDescent="0.25">
      <c r="A930" s="10"/>
      <c r="B930" s="10"/>
      <c r="C930" s="10"/>
      <c r="D930" s="10"/>
      <c r="E930" s="10"/>
      <c r="F930" s="10"/>
      <c r="G930" s="10"/>
      <c r="H930" s="17"/>
      <c r="I930" s="10"/>
      <c r="J930" s="10"/>
      <c r="K930" s="16" t="str">
        <f t="shared" si="312"/>
        <v/>
      </c>
      <c r="L930" s="23" t="str">
        <f t="shared" si="313"/>
        <v/>
      </c>
      <c r="M930" s="22" t="str">
        <f t="shared" si="314"/>
        <v/>
      </c>
      <c r="N930" s="72"/>
      <c r="O930" s="16" t="str">
        <f t="shared" si="315"/>
        <v/>
      </c>
      <c r="P930" s="16" t="str">
        <f t="shared" si="316"/>
        <v/>
      </c>
      <c r="Q930" s="16" t="str">
        <f t="shared" si="317"/>
        <v/>
      </c>
      <c r="R930" s="23" t="str">
        <f t="shared" si="318"/>
        <v/>
      </c>
      <c r="S930" s="23" t="str">
        <f t="shared" si="319"/>
        <v/>
      </c>
      <c r="T930" s="23" t="str">
        <f t="shared" si="320"/>
        <v/>
      </c>
      <c r="U930" s="23" t="str">
        <f t="shared" si="321"/>
        <v/>
      </c>
      <c r="V930" s="23" t="str">
        <f t="shared" si="322"/>
        <v/>
      </c>
      <c r="W930" s="70" t="str">
        <f t="shared" si="323"/>
        <v/>
      </c>
      <c r="X930" s="70" t="str">
        <f t="shared" si="324"/>
        <v/>
      </c>
      <c r="Y930" s="70" t="str">
        <f>IF(AND($A930&lt;&gt;"",$E930&gt;0),isLaptopBag($C930,$J930)*$D930,"")</f>
        <v/>
      </c>
      <c r="Z930" s="70" t="str">
        <f t="shared" si="325"/>
        <v/>
      </c>
      <c r="AA930" s="70" t="str">
        <f t="shared" si="326"/>
        <v/>
      </c>
      <c r="AB930" s="70" t="str">
        <f t="shared" si="327"/>
        <v/>
      </c>
      <c r="AC930" s="70" t="str">
        <f t="shared" si="328"/>
        <v/>
      </c>
      <c r="AD930" s="70" t="str">
        <f t="shared" si="329"/>
        <v/>
      </c>
      <c r="AE930" s="70" t="str">
        <f t="shared" si="330"/>
        <v/>
      </c>
      <c r="AF930" s="16"/>
      <c r="AG930" s="23"/>
      <c r="AH930" s="22"/>
      <c r="AJ930" s="83">
        <f t="shared" si="331"/>
        <v>0</v>
      </c>
      <c r="AO930" s="22" t="str">
        <f t="shared" si="332"/>
        <v/>
      </c>
      <c r="AP930" s="22" t="str">
        <f t="shared" si="333"/>
        <v/>
      </c>
    </row>
    <row r="931" spans="1:42" x14ac:dyDescent="0.25">
      <c r="A931" s="10"/>
      <c r="B931" s="10"/>
      <c r="C931" s="10"/>
      <c r="D931" s="10"/>
      <c r="E931" s="10"/>
      <c r="F931" s="10"/>
      <c r="G931" s="10"/>
      <c r="H931" s="17"/>
      <c r="I931" s="10"/>
      <c r="J931" s="10"/>
      <c r="K931" s="16" t="str">
        <f t="shared" si="312"/>
        <v/>
      </c>
      <c r="L931" s="23" t="str">
        <f t="shared" si="313"/>
        <v/>
      </c>
      <c r="M931" s="22" t="str">
        <f t="shared" si="314"/>
        <v/>
      </c>
      <c r="N931" s="72"/>
      <c r="O931" s="16" t="str">
        <f t="shared" si="315"/>
        <v/>
      </c>
      <c r="P931" s="16" t="str">
        <f t="shared" si="316"/>
        <v/>
      </c>
      <c r="Q931" s="16" t="str">
        <f t="shared" si="317"/>
        <v/>
      </c>
      <c r="R931" s="23" t="str">
        <f t="shared" si="318"/>
        <v/>
      </c>
      <c r="S931" s="23" t="str">
        <f t="shared" si="319"/>
        <v/>
      </c>
      <c r="T931" s="23" t="str">
        <f t="shared" si="320"/>
        <v/>
      </c>
      <c r="U931" s="23" t="str">
        <f t="shared" si="321"/>
        <v/>
      </c>
      <c r="V931" s="23" t="str">
        <f t="shared" si="322"/>
        <v/>
      </c>
      <c r="W931" s="70" t="str">
        <f t="shared" si="323"/>
        <v/>
      </c>
      <c r="X931" s="70" t="str">
        <f t="shared" si="324"/>
        <v/>
      </c>
      <c r="Y931" s="70" t="str">
        <f>IF(AND($A931&lt;&gt;"",$E931&gt;0),isLaptopBag($C931,$J931)*$D931,"")</f>
        <v/>
      </c>
      <c r="Z931" s="70" t="str">
        <f t="shared" si="325"/>
        <v/>
      </c>
      <c r="AA931" s="70" t="str">
        <f t="shared" si="326"/>
        <v/>
      </c>
      <c r="AB931" s="70" t="str">
        <f t="shared" si="327"/>
        <v/>
      </c>
      <c r="AC931" s="70" t="str">
        <f t="shared" si="328"/>
        <v/>
      </c>
      <c r="AD931" s="70" t="str">
        <f t="shared" si="329"/>
        <v/>
      </c>
      <c r="AE931" s="70" t="str">
        <f t="shared" si="330"/>
        <v/>
      </c>
      <c r="AF931" s="16"/>
      <c r="AG931" s="23"/>
      <c r="AH931" s="22"/>
      <c r="AJ931" s="83">
        <f t="shared" si="331"/>
        <v>0</v>
      </c>
      <c r="AO931" s="22" t="str">
        <f t="shared" si="332"/>
        <v/>
      </c>
      <c r="AP931" s="22" t="str">
        <f t="shared" si="333"/>
        <v/>
      </c>
    </row>
    <row r="932" spans="1:42" x14ac:dyDescent="0.25">
      <c r="A932" s="10"/>
      <c r="B932" s="10"/>
      <c r="C932" s="10"/>
      <c r="D932" s="10"/>
      <c r="E932" s="10"/>
      <c r="F932" s="10"/>
      <c r="G932" s="10"/>
      <c r="H932" s="17"/>
      <c r="I932" s="10"/>
      <c r="J932" s="10"/>
      <c r="K932" s="16" t="str">
        <f t="shared" si="312"/>
        <v/>
      </c>
      <c r="L932" s="23" t="str">
        <f t="shared" si="313"/>
        <v/>
      </c>
      <c r="M932" s="22" t="str">
        <f t="shared" si="314"/>
        <v/>
      </c>
      <c r="N932" s="72"/>
      <c r="O932" s="16" t="str">
        <f t="shared" si="315"/>
        <v/>
      </c>
      <c r="P932" s="16" t="str">
        <f t="shared" si="316"/>
        <v/>
      </c>
      <c r="Q932" s="16" t="str">
        <f t="shared" si="317"/>
        <v/>
      </c>
      <c r="R932" s="23" t="str">
        <f t="shared" si="318"/>
        <v/>
      </c>
      <c r="S932" s="23" t="str">
        <f t="shared" si="319"/>
        <v/>
      </c>
      <c r="T932" s="23" t="str">
        <f t="shared" si="320"/>
        <v/>
      </c>
      <c r="U932" s="23" t="str">
        <f t="shared" si="321"/>
        <v/>
      </c>
      <c r="V932" s="23" t="str">
        <f t="shared" si="322"/>
        <v/>
      </c>
      <c r="W932" s="70" t="str">
        <f t="shared" si="323"/>
        <v/>
      </c>
      <c r="X932" s="70" t="str">
        <f t="shared" si="324"/>
        <v/>
      </c>
      <c r="Y932" s="70" t="str">
        <f>IF(AND($A932&lt;&gt;"",$E932&gt;0),isLaptopBag($C932,$J932)*$D932,"")</f>
        <v/>
      </c>
      <c r="Z932" s="70" t="str">
        <f t="shared" si="325"/>
        <v/>
      </c>
      <c r="AA932" s="70" t="str">
        <f t="shared" si="326"/>
        <v/>
      </c>
      <c r="AB932" s="70" t="str">
        <f t="shared" si="327"/>
        <v/>
      </c>
      <c r="AC932" s="70" t="str">
        <f t="shared" si="328"/>
        <v/>
      </c>
      <c r="AD932" s="70" t="str">
        <f t="shared" si="329"/>
        <v/>
      </c>
      <c r="AE932" s="70" t="str">
        <f t="shared" si="330"/>
        <v/>
      </c>
      <c r="AF932" s="16"/>
      <c r="AG932" s="23"/>
      <c r="AH932" s="22"/>
      <c r="AJ932" s="83">
        <f t="shared" si="331"/>
        <v>0</v>
      </c>
      <c r="AO932" s="22" t="str">
        <f t="shared" si="332"/>
        <v/>
      </c>
      <c r="AP932" s="22" t="str">
        <f t="shared" si="333"/>
        <v/>
      </c>
    </row>
    <row r="933" spans="1:42" x14ac:dyDescent="0.25">
      <c r="A933" s="10"/>
      <c r="B933" s="10"/>
      <c r="C933" s="10"/>
      <c r="D933" s="10"/>
      <c r="E933" s="10"/>
      <c r="F933" s="10"/>
      <c r="G933" s="10"/>
      <c r="H933" s="17"/>
      <c r="I933" s="10"/>
      <c r="J933" s="10"/>
      <c r="K933" s="16" t="str">
        <f t="shared" si="312"/>
        <v/>
      </c>
      <c r="L933" s="23" t="str">
        <f t="shared" si="313"/>
        <v/>
      </c>
      <c r="M933" s="22" t="str">
        <f t="shared" si="314"/>
        <v/>
      </c>
      <c r="N933" s="72"/>
      <c r="O933" s="16" t="str">
        <f t="shared" si="315"/>
        <v/>
      </c>
      <c r="P933" s="16" t="str">
        <f t="shared" si="316"/>
        <v/>
      </c>
      <c r="Q933" s="16" t="str">
        <f t="shared" si="317"/>
        <v/>
      </c>
      <c r="R933" s="23" t="str">
        <f t="shared" si="318"/>
        <v/>
      </c>
      <c r="S933" s="23" t="str">
        <f t="shared" si="319"/>
        <v/>
      </c>
      <c r="T933" s="23" t="str">
        <f t="shared" si="320"/>
        <v/>
      </c>
      <c r="U933" s="23" t="str">
        <f t="shared" si="321"/>
        <v/>
      </c>
      <c r="V933" s="23" t="str">
        <f t="shared" si="322"/>
        <v/>
      </c>
      <c r="W933" s="70" t="str">
        <f t="shared" si="323"/>
        <v/>
      </c>
      <c r="X933" s="70" t="str">
        <f t="shared" si="324"/>
        <v/>
      </c>
      <c r="Y933" s="70" t="str">
        <f>IF(AND($A933&lt;&gt;"",$E933&gt;0),isLaptopBag($C933,$J933)*$D933,"")</f>
        <v/>
      </c>
      <c r="Z933" s="70" t="str">
        <f t="shared" si="325"/>
        <v/>
      </c>
      <c r="AA933" s="70" t="str">
        <f t="shared" si="326"/>
        <v/>
      </c>
      <c r="AB933" s="70" t="str">
        <f t="shared" si="327"/>
        <v/>
      </c>
      <c r="AC933" s="70" t="str">
        <f t="shared" si="328"/>
        <v/>
      </c>
      <c r="AD933" s="70" t="str">
        <f t="shared" si="329"/>
        <v/>
      </c>
      <c r="AE933" s="70" t="str">
        <f t="shared" si="330"/>
        <v/>
      </c>
      <c r="AF933" s="16"/>
      <c r="AG933" s="23"/>
      <c r="AH933" s="22"/>
      <c r="AJ933" s="83">
        <f t="shared" si="331"/>
        <v>0</v>
      </c>
      <c r="AO933" s="22" t="str">
        <f t="shared" si="332"/>
        <v/>
      </c>
      <c r="AP933" s="22" t="str">
        <f t="shared" si="333"/>
        <v/>
      </c>
    </row>
    <row r="934" spans="1:42" x14ac:dyDescent="0.25">
      <c r="A934" s="10"/>
      <c r="B934" s="10"/>
      <c r="C934" s="10"/>
      <c r="D934" s="10"/>
      <c r="E934" s="10"/>
      <c r="F934" s="10"/>
      <c r="G934" s="10"/>
      <c r="H934" s="17"/>
      <c r="I934" s="10"/>
      <c r="J934" s="10"/>
      <c r="K934" s="16" t="str">
        <f t="shared" si="312"/>
        <v/>
      </c>
      <c r="L934" s="23" t="str">
        <f t="shared" si="313"/>
        <v/>
      </c>
      <c r="M934" s="22" t="str">
        <f t="shared" si="314"/>
        <v/>
      </c>
      <c r="N934" s="72"/>
      <c r="O934" s="16" t="str">
        <f t="shared" si="315"/>
        <v/>
      </c>
      <c r="P934" s="16" t="str">
        <f t="shared" si="316"/>
        <v/>
      </c>
      <c r="Q934" s="16" t="str">
        <f t="shared" si="317"/>
        <v/>
      </c>
      <c r="R934" s="23" t="str">
        <f t="shared" si="318"/>
        <v/>
      </c>
      <c r="S934" s="23" t="str">
        <f t="shared" si="319"/>
        <v/>
      </c>
      <c r="T934" s="23" t="str">
        <f t="shared" si="320"/>
        <v/>
      </c>
      <c r="U934" s="23" t="str">
        <f t="shared" si="321"/>
        <v/>
      </c>
      <c r="V934" s="23" t="str">
        <f t="shared" si="322"/>
        <v/>
      </c>
      <c r="W934" s="70" t="str">
        <f t="shared" si="323"/>
        <v/>
      </c>
      <c r="X934" s="70" t="str">
        <f t="shared" si="324"/>
        <v/>
      </c>
      <c r="Y934" s="70" t="str">
        <f>IF(AND($A934&lt;&gt;"",$E934&gt;0),isLaptopBag($C934,$J934)*$D934,"")</f>
        <v/>
      </c>
      <c r="Z934" s="70" t="str">
        <f t="shared" si="325"/>
        <v/>
      </c>
      <c r="AA934" s="70" t="str">
        <f t="shared" si="326"/>
        <v/>
      </c>
      <c r="AB934" s="70" t="str">
        <f t="shared" si="327"/>
        <v/>
      </c>
      <c r="AC934" s="70" t="str">
        <f t="shared" si="328"/>
        <v/>
      </c>
      <c r="AD934" s="70" t="str">
        <f t="shared" si="329"/>
        <v/>
      </c>
      <c r="AE934" s="70" t="str">
        <f t="shared" si="330"/>
        <v/>
      </c>
      <c r="AF934" s="16"/>
      <c r="AG934" s="23"/>
      <c r="AH934" s="22"/>
      <c r="AJ934" s="83">
        <f t="shared" si="331"/>
        <v>0</v>
      </c>
      <c r="AO934" s="22" t="str">
        <f t="shared" si="332"/>
        <v/>
      </c>
      <c r="AP934" s="22" t="str">
        <f t="shared" si="333"/>
        <v/>
      </c>
    </row>
    <row r="935" spans="1:42" x14ac:dyDescent="0.25">
      <c r="A935" s="10"/>
      <c r="B935" s="10"/>
      <c r="C935" s="10"/>
      <c r="D935" s="10"/>
      <c r="E935" s="10"/>
      <c r="F935" s="10"/>
      <c r="G935" s="10"/>
      <c r="H935" s="17"/>
      <c r="I935" s="10"/>
      <c r="J935" s="10"/>
      <c r="K935" s="16" t="str">
        <f t="shared" si="312"/>
        <v/>
      </c>
      <c r="L935" s="23" t="str">
        <f t="shared" si="313"/>
        <v/>
      </c>
      <c r="M935" s="22" t="str">
        <f t="shared" si="314"/>
        <v/>
      </c>
      <c r="N935" s="72"/>
      <c r="O935" s="16" t="str">
        <f t="shared" si="315"/>
        <v/>
      </c>
      <c r="P935" s="16" t="str">
        <f t="shared" si="316"/>
        <v/>
      </c>
      <c r="Q935" s="16" t="str">
        <f t="shared" si="317"/>
        <v/>
      </c>
      <c r="R935" s="23" t="str">
        <f t="shared" si="318"/>
        <v/>
      </c>
      <c r="S935" s="23" t="str">
        <f t="shared" si="319"/>
        <v/>
      </c>
      <c r="T935" s="23" t="str">
        <f t="shared" si="320"/>
        <v/>
      </c>
      <c r="U935" s="23" t="str">
        <f t="shared" si="321"/>
        <v/>
      </c>
      <c r="V935" s="23" t="str">
        <f t="shared" si="322"/>
        <v/>
      </c>
      <c r="W935" s="70" t="str">
        <f t="shared" si="323"/>
        <v/>
      </c>
      <c r="X935" s="70" t="str">
        <f t="shared" si="324"/>
        <v/>
      </c>
      <c r="Y935" s="70" t="str">
        <f>IF(AND($A935&lt;&gt;"",$E935&gt;0),isLaptopBag($C935,$J935)*$D935,"")</f>
        <v/>
      </c>
      <c r="Z935" s="70" t="str">
        <f t="shared" si="325"/>
        <v/>
      </c>
      <c r="AA935" s="70" t="str">
        <f t="shared" si="326"/>
        <v/>
      </c>
      <c r="AB935" s="70" t="str">
        <f t="shared" si="327"/>
        <v/>
      </c>
      <c r="AC935" s="70" t="str">
        <f t="shared" si="328"/>
        <v/>
      </c>
      <c r="AD935" s="70" t="str">
        <f t="shared" si="329"/>
        <v/>
      </c>
      <c r="AE935" s="70" t="str">
        <f t="shared" si="330"/>
        <v/>
      </c>
      <c r="AF935" s="16"/>
      <c r="AG935" s="23"/>
      <c r="AH935" s="22"/>
      <c r="AJ935" s="83">
        <f t="shared" si="331"/>
        <v>0</v>
      </c>
      <c r="AO935" s="22" t="str">
        <f t="shared" si="332"/>
        <v/>
      </c>
      <c r="AP935" s="22" t="str">
        <f t="shared" si="333"/>
        <v/>
      </c>
    </row>
    <row r="936" spans="1:42" x14ac:dyDescent="0.25">
      <c r="A936" s="10"/>
      <c r="B936" s="10"/>
      <c r="C936" s="10"/>
      <c r="D936" s="10"/>
      <c r="E936" s="10"/>
      <c r="F936" s="10"/>
      <c r="G936" s="10"/>
      <c r="H936" s="17"/>
      <c r="I936" s="10"/>
      <c r="J936" s="10"/>
      <c r="K936" s="16" t="str">
        <f t="shared" si="312"/>
        <v/>
      </c>
      <c r="L936" s="23" t="str">
        <f t="shared" si="313"/>
        <v/>
      </c>
      <c r="M936" s="22" t="str">
        <f t="shared" si="314"/>
        <v/>
      </c>
      <c r="N936" s="72"/>
      <c r="O936" s="16" t="str">
        <f t="shared" si="315"/>
        <v/>
      </c>
      <c r="P936" s="16" t="str">
        <f t="shared" si="316"/>
        <v/>
      </c>
      <c r="Q936" s="16" t="str">
        <f t="shared" si="317"/>
        <v/>
      </c>
      <c r="R936" s="23" t="str">
        <f t="shared" si="318"/>
        <v/>
      </c>
      <c r="S936" s="23" t="str">
        <f t="shared" si="319"/>
        <v/>
      </c>
      <c r="T936" s="23" t="str">
        <f t="shared" si="320"/>
        <v/>
      </c>
      <c r="U936" s="23" t="str">
        <f t="shared" si="321"/>
        <v/>
      </c>
      <c r="V936" s="23" t="str">
        <f t="shared" si="322"/>
        <v/>
      </c>
      <c r="W936" s="70" t="str">
        <f t="shared" si="323"/>
        <v/>
      </c>
      <c r="X936" s="70" t="str">
        <f t="shared" si="324"/>
        <v/>
      </c>
      <c r="Y936" s="70" t="str">
        <f>IF(AND($A936&lt;&gt;"",$E936&gt;0),isLaptopBag($C936,$J936)*$D936,"")</f>
        <v/>
      </c>
      <c r="Z936" s="70" t="str">
        <f t="shared" si="325"/>
        <v/>
      </c>
      <c r="AA936" s="70" t="str">
        <f t="shared" si="326"/>
        <v/>
      </c>
      <c r="AB936" s="70" t="str">
        <f t="shared" si="327"/>
        <v/>
      </c>
      <c r="AC936" s="70" t="str">
        <f t="shared" si="328"/>
        <v/>
      </c>
      <c r="AD936" s="70" t="str">
        <f t="shared" si="329"/>
        <v/>
      </c>
      <c r="AE936" s="70" t="str">
        <f t="shared" si="330"/>
        <v/>
      </c>
      <c r="AF936" s="16"/>
      <c r="AG936" s="23"/>
      <c r="AH936" s="22"/>
      <c r="AJ936" s="83">
        <f t="shared" si="331"/>
        <v>0</v>
      </c>
      <c r="AO936" s="22" t="str">
        <f t="shared" si="332"/>
        <v/>
      </c>
      <c r="AP936" s="22" t="str">
        <f t="shared" si="333"/>
        <v/>
      </c>
    </row>
    <row r="937" spans="1:42" x14ac:dyDescent="0.25">
      <c r="A937" s="10"/>
      <c r="B937" s="10"/>
      <c r="C937" s="10"/>
      <c r="D937" s="10"/>
      <c r="E937" s="10"/>
      <c r="F937" s="10"/>
      <c r="G937" s="10"/>
      <c r="H937" s="17"/>
      <c r="I937" s="10"/>
      <c r="J937" s="10"/>
      <c r="K937" s="16" t="str">
        <f t="shared" si="312"/>
        <v/>
      </c>
      <c r="L937" s="23" t="str">
        <f t="shared" si="313"/>
        <v/>
      </c>
      <c r="M937" s="22" t="str">
        <f t="shared" si="314"/>
        <v/>
      </c>
      <c r="N937" s="72"/>
      <c r="O937" s="16" t="str">
        <f t="shared" si="315"/>
        <v/>
      </c>
      <c r="P937" s="16" t="str">
        <f t="shared" si="316"/>
        <v/>
      </c>
      <c r="Q937" s="16" t="str">
        <f t="shared" si="317"/>
        <v/>
      </c>
      <c r="R937" s="23" t="str">
        <f t="shared" si="318"/>
        <v/>
      </c>
      <c r="S937" s="23" t="str">
        <f t="shared" si="319"/>
        <v/>
      </c>
      <c r="T937" s="23" t="str">
        <f t="shared" si="320"/>
        <v/>
      </c>
      <c r="U937" s="23" t="str">
        <f t="shared" si="321"/>
        <v/>
      </c>
      <c r="V937" s="23" t="str">
        <f t="shared" si="322"/>
        <v/>
      </c>
      <c r="W937" s="70" t="str">
        <f t="shared" si="323"/>
        <v/>
      </c>
      <c r="X937" s="70" t="str">
        <f t="shared" si="324"/>
        <v/>
      </c>
      <c r="Y937" s="70" t="str">
        <f>IF(AND($A937&lt;&gt;"",$E937&gt;0),isLaptopBag($C937,$J937)*$D937,"")</f>
        <v/>
      </c>
      <c r="Z937" s="70" t="str">
        <f t="shared" si="325"/>
        <v/>
      </c>
      <c r="AA937" s="70" t="str">
        <f t="shared" si="326"/>
        <v/>
      </c>
      <c r="AB937" s="70" t="str">
        <f t="shared" si="327"/>
        <v/>
      </c>
      <c r="AC937" s="70" t="str">
        <f t="shared" si="328"/>
        <v/>
      </c>
      <c r="AD937" s="70" t="str">
        <f t="shared" si="329"/>
        <v/>
      </c>
      <c r="AE937" s="70" t="str">
        <f t="shared" si="330"/>
        <v/>
      </c>
      <c r="AF937" s="16"/>
      <c r="AG937" s="23"/>
      <c r="AH937" s="22"/>
      <c r="AJ937" s="83">
        <f t="shared" si="331"/>
        <v>0</v>
      </c>
      <c r="AO937" s="22" t="str">
        <f t="shared" si="332"/>
        <v/>
      </c>
      <c r="AP937" s="22" t="str">
        <f t="shared" si="333"/>
        <v/>
      </c>
    </row>
    <row r="938" spans="1:42" x14ac:dyDescent="0.25">
      <c r="A938" s="10"/>
      <c r="B938" s="10"/>
      <c r="C938" s="10"/>
      <c r="D938" s="10"/>
      <c r="E938" s="10"/>
      <c r="F938" s="10"/>
      <c r="G938" s="10"/>
      <c r="H938" s="17"/>
      <c r="I938" s="10"/>
      <c r="J938" s="10"/>
      <c r="K938" s="16" t="str">
        <f t="shared" si="312"/>
        <v/>
      </c>
      <c r="L938" s="23" t="str">
        <f t="shared" si="313"/>
        <v/>
      </c>
      <c r="M938" s="22" t="str">
        <f t="shared" si="314"/>
        <v/>
      </c>
      <c r="N938" s="72"/>
      <c r="O938" s="16" t="str">
        <f t="shared" si="315"/>
        <v/>
      </c>
      <c r="P938" s="16" t="str">
        <f t="shared" si="316"/>
        <v/>
      </c>
      <c r="Q938" s="16" t="str">
        <f t="shared" si="317"/>
        <v/>
      </c>
      <c r="R938" s="23" t="str">
        <f t="shared" si="318"/>
        <v/>
      </c>
      <c r="S938" s="23" t="str">
        <f t="shared" si="319"/>
        <v/>
      </c>
      <c r="T938" s="23" t="str">
        <f t="shared" si="320"/>
        <v/>
      </c>
      <c r="U938" s="23" t="str">
        <f t="shared" si="321"/>
        <v/>
      </c>
      <c r="V938" s="23" t="str">
        <f t="shared" si="322"/>
        <v/>
      </c>
      <c r="W938" s="70" t="str">
        <f t="shared" si="323"/>
        <v/>
      </c>
      <c r="X938" s="70" t="str">
        <f t="shared" si="324"/>
        <v/>
      </c>
      <c r="Y938" s="70" t="str">
        <f>IF(AND($A938&lt;&gt;"",$E938&gt;0),isLaptopBag($C938,$J938)*$D938,"")</f>
        <v/>
      </c>
      <c r="Z938" s="70" t="str">
        <f t="shared" si="325"/>
        <v/>
      </c>
      <c r="AA938" s="70" t="str">
        <f t="shared" si="326"/>
        <v/>
      </c>
      <c r="AB938" s="70" t="str">
        <f t="shared" si="327"/>
        <v/>
      </c>
      <c r="AC938" s="70" t="str">
        <f t="shared" si="328"/>
        <v/>
      </c>
      <c r="AD938" s="70" t="str">
        <f t="shared" si="329"/>
        <v/>
      </c>
      <c r="AE938" s="70" t="str">
        <f t="shared" si="330"/>
        <v/>
      </c>
      <c r="AF938" s="16"/>
      <c r="AG938" s="23"/>
      <c r="AH938" s="22"/>
      <c r="AJ938" s="83">
        <f t="shared" si="331"/>
        <v>0</v>
      </c>
      <c r="AO938" s="22" t="str">
        <f t="shared" si="332"/>
        <v/>
      </c>
      <c r="AP938" s="22" t="str">
        <f t="shared" si="333"/>
        <v/>
      </c>
    </row>
    <row r="939" spans="1:42" x14ac:dyDescent="0.25">
      <c r="A939" s="10"/>
      <c r="B939" s="10"/>
      <c r="C939" s="10"/>
      <c r="D939" s="10"/>
      <c r="E939" s="10"/>
      <c r="F939" s="10"/>
      <c r="G939" s="10"/>
      <c r="H939" s="17"/>
      <c r="I939" s="10"/>
      <c r="J939" s="10"/>
      <c r="K939" s="16" t="str">
        <f t="shared" si="312"/>
        <v/>
      </c>
      <c r="L939" s="23" t="str">
        <f t="shared" si="313"/>
        <v/>
      </c>
      <c r="M939" s="22" t="str">
        <f t="shared" si="314"/>
        <v/>
      </c>
      <c r="N939" s="72"/>
      <c r="O939" s="16" t="str">
        <f t="shared" si="315"/>
        <v/>
      </c>
      <c r="P939" s="16" t="str">
        <f t="shared" si="316"/>
        <v/>
      </c>
      <c r="Q939" s="16" t="str">
        <f t="shared" si="317"/>
        <v/>
      </c>
      <c r="R939" s="23" t="str">
        <f t="shared" si="318"/>
        <v/>
      </c>
      <c r="S939" s="23" t="str">
        <f t="shared" si="319"/>
        <v/>
      </c>
      <c r="T939" s="23" t="str">
        <f t="shared" si="320"/>
        <v/>
      </c>
      <c r="U939" s="23" t="str">
        <f t="shared" si="321"/>
        <v/>
      </c>
      <c r="V939" s="23" t="str">
        <f t="shared" si="322"/>
        <v/>
      </c>
      <c r="W939" s="70" t="str">
        <f t="shared" si="323"/>
        <v/>
      </c>
      <c r="X939" s="70" t="str">
        <f t="shared" si="324"/>
        <v/>
      </c>
      <c r="Y939" s="70" t="str">
        <f>IF(AND($A939&lt;&gt;"",$E939&gt;0),isLaptopBag($C939,$J939)*$D939,"")</f>
        <v/>
      </c>
      <c r="Z939" s="70" t="str">
        <f t="shared" si="325"/>
        <v/>
      </c>
      <c r="AA939" s="70" t="str">
        <f t="shared" si="326"/>
        <v/>
      </c>
      <c r="AB939" s="70" t="str">
        <f t="shared" si="327"/>
        <v/>
      </c>
      <c r="AC939" s="70" t="str">
        <f t="shared" si="328"/>
        <v/>
      </c>
      <c r="AD939" s="70" t="str">
        <f t="shared" si="329"/>
        <v/>
      </c>
      <c r="AE939" s="70" t="str">
        <f t="shared" si="330"/>
        <v/>
      </c>
      <c r="AF939" s="16"/>
      <c r="AG939" s="23"/>
      <c r="AH939" s="22"/>
      <c r="AJ939" s="83">
        <f t="shared" si="331"/>
        <v>0</v>
      </c>
      <c r="AO939" s="22" t="str">
        <f t="shared" si="332"/>
        <v/>
      </c>
      <c r="AP939" s="22" t="str">
        <f t="shared" si="333"/>
        <v/>
      </c>
    </row>
    <row r="940" spans="1:42" x14ac:dyDescent="0.25">
      <c r="A940" s="10"/>
      <c r="B940" s="10"/>
      <c r="C940" s="10"/>
      <c r="D940" s="10"/>
      <c r="E940" s="10"/>
      <c r="F940" s="10"/>
      <c r="G940" s="10"/>
      <c r="H940" s="17"/>
      <c r="I940" s="10"/>
      <c r="J940" s="10"/>
      <c r="K940" s="16" t="str">
        <f t="shared" si="312"/>
        <v/>
      </c>
      <c r="L940" s="23" t="str">
        <f t="shared" si="313"/>
        <v/>
      </c>
      <c r="M940" s="22" t="str">
        <f t="shared" si="314"/>
        <v/>
      </c>
      <c r="N940" s="72"/>
      <c r="O940" s="16" t="str">
        <f t="shared" si="315"/>
        <v/>
      </c>
      <c r="P940" s="16" t="str">
        <f t="shared" si="316"/>
        <v/>
      </c>
      <c r="Q940" s="16" t="str">
        <f t="shared" si="317"/>
        <v/>
      </c>
      <c r="R940" s="23" t="str">
        <f t="shared" si="318"/>
        <v/>
      </c>
      <c r="S940" s="23" t="str">
        <f t="shared" si="319"/>
        <v/>
      </c>
      <c r="T940" s="23" t="str">
        <f t="shared" si="320"/>
        <v/>
      </c>
      <c r="U940" s="23" t="str">
        <f t="shared" si="321"/>
        <v/>
      </c>
      <c r="V940" s="23" t="str">
        <f t="shared" si="322"/>
        <v/>
      </c>
      <c r="W940" s="70" t="str">
        <f t="shared" si="323"/>
        <v/>
      </c>
      <c r="X940" s="70" t="str">
        <f t="shared" si="324"/>
        <v/>
      </c>
      <c r="Y940" s="70" t="str">
        <f>IF(AND($A940&lt;&gt;"",$E940&gt;0),isLaptopBag($C940,$J940)*$D940,"")</f>
        <v/>
      </c>
      <c r="Z940" s="70" t="str">
        <f t="shared" si="325"/>
        <v/>
      </c>
      <c r="AA940" s="70" t="str">
        <f t="shared" si="326"/>
        <v/>
      </c>
      <c r="AB940" s="70" t="str">
        <f t="shared" si="327"/>
        <v/>
      </c>
      <c r="AC940" s="70" t="str">
        <f t="shared" si="328"/>
        <v/>
      </c>
      <c r="AD940" s="70" t="str">
        <f t="shared" si="329"/>
        <v/>
      </c>
      <c r="AE940" s="70" t="str">
        <f t="shared" si="330"/>
        <v/>
      </c>
      <c r="AF940" s="16"/>
      <c r="AG940" s="23"/>
      <c r="AH940" s="22"/>
      <c r="AJ940" s="83">
        <f t="shared" si="331"/>
        <v>0</v>
      </c>
      <c r="AO940" s="22" t="str">
        <f t="shared" si="332"/>
        <v/>
      </c>
      <c r="AP940" s="22" t="str">
        <f t="shared" si="333"/>
        <v/>
      </c>
    </row>
    <row r="941" spans="1:42" x14ac:dyDescent="0.25">
      <c r="A941" s="10"/>
      <c r="B941" s="10"/>
      <c r="C941" s="10"/>
      <c r="D941" s="10"/>
      <c r="E941" s="10"/>
      <c r="F941" s="10"/>
      <c r="G941" s="10"/>
      <c r="H941" s="17"/>
      <c r="I941" s="10"/>
      <c r="J941" s="10"/>
      <c r="K941" s="16" t="str">
        <f t="shared" si="312"/>
        <v/>
      </c>
      <c r="L941" s="23" t="str">
        <f t="shared" si="313"/>
        <v/>
      </c>
      <c r="M941" s="22" t="str">
        <f t="shared" si="314"/>
        <v/>
      </c>
      <c r="N941" s="72"/>
      <c r="O941" s="16" t="str">
        <f t="shared" si="315"/>
        <v/>
      </c>
      <c r="P941" s="16" t="str">
        <f t="shared" si="316"/>
        <v/>
      </c>
      <c r="Q941" s="16" t="str">
        <f t="shared" si="317"/>
        <v/>
      </c>
      <c r="R941" s="23" t="str">
        <f t="shared" si="318"/>
        <v/>
      </c>
      <c r="S941" s="23" t="str">
        <f t="shared" si="319"/>
        <v/>
      </c>
      <c r="T941" s="23" t="str">
        <f t="shared" si="320"/>
        <v/>
      </c>
      <c r="U941" s="23" t="str">
        <f t="shared" si="321"/>
        <v/>
      </c>
      <c r="V941" s="23" t="str">
        <f t="shared" si="322"/>
        <v/>
      </c>
      <c r="W941" s="70" t="str">
        <f t="shared" si="323"/>
        <v/>
      </c>
      <c r="X941" s="70" t="str">
        <f t="shared" si="324"/>
        <v/>
      </c>
      <c r="Y941" s="70" t="str">
        <f>IF(AND($A941&lt;&gt;"",$E941&gt;0),isLaptopBag($C941,$J941)*$D941,"")</f>
        <v/>
      </c>
      <c r="Z941" s="70" t="str">
        <f t="shared" si="325"/>
        <v/>
      </c>
      <c r="AA941" s="70" t="str">
        <f t="shared" si="326"/>
        <v/>
      </c>
      <c r="AB941" s="70" t="str">
        <f t="shared" si="327"/>
        <v/>
      </c>
      <c r="AC941" s="70" t="str">
        <f t="shared" si="328"/>
        <v/>
      </c>
      <c r="AD941" s="70" t="str">
        <f t="shared" si="329"/>
        <v/>
      </c>
      <c r="AE941" s="70" t="str">
        <f t="shared" si="330"/>
        <v/>
      </c>
      <c r="AF941" s="16"/>
      <c r="AG941" s="23"/>
      <c r="AH941" s="22"/>
      <c r="AJ941" s="83">
        <f t="shared" si="331"/>
        <v>0</v>
      </c>
      <c r="AO941" s="22" t="str">
        <f t="shared" si="332"/>
        <v/>
      </c>
      <c r="AP941" s="22" t="str">
        <f t="shared" si="333"/>
        <v/>
      </c>
    </row>
    <row r="942" spans="1:42" x14ac:dyDescent="0.25">
      <c r="A942" s="10"/>
      <c r="B942" s="10"/>
      <c r="C942" s="10"/>
      <c r="D942" s="10"/>
      <c r="E942" s="10"/>
      <c r="F942" s="10"/>
      <c r="G942" s="10"/>
      <c r="H942" s="17"/>
      <c r="I942" s="10"/>
      <c r="J942" s="10"/>
      <c r="K942" s="16" t="str">
        <f t="shared" si="312"/>
        <v/>
      </c>
      <c r="L942" s="23" t="str">
        <f t="shared" si="313"/>
        <v/>
      </c>
      <c r="M942" s="22" t="str">
        <f t="shared" si="314"/>
        <v/>
      </c>
      <c r="N942" s="72"/>
      <c r="O942" s="16" t="str">
        <f t="shared" si="315"/>
        <v/>
      </c>
      <c r="P942" s="16" t="str">
        <f t="shared" si="316"/>
        <v/>
      </c>
      <c r="Q942" s="16" t="str">
        <f t="shared" si="317"/>
        <v/>
      </c>
      <c r="R942" s="23" t="str">
        <f t="shared" si="318"/>
        <v/>
      </c>
      <c r="S942" s="23" t="str">
        <f t="shared" si="319"/>
        <v/>
      </c>
      <c r="T942" s="23" t="str">
        <f t="shared" si="320"/>
        <v/>
      </c>
      <c r="U942" s="23" t="str">
        <f t="shared" si="321"/>
        <v/>
      </c>
      <c r="V942" s="23" t="str">
        <f t="shared" si="322"/>
        <v/>
      </c>
      <c r="W942" s="70" t="str">
        <f t="shared" si="323"/>
        <v/>
      </c>
      <c r="X942" s="70" t="str">
        <f t="shared" si="324"/>
        <v/>
      </c>
      <c r="Y942" s="70" t="str">
        <f>IF(AND($A942&lt;&gt;"",$E942&gt;0),isLaptopBag($C942,$J942)*$D942,"")</f>
        <v/>
      </c>
      <c r="Z942" s="70" t="str">
        <f t="shared" si="325"/>
        <v/>
      </c>
      <c r="AA942" s="70" t="str">
        <f t="shared" si="326"/>
        <v/>
      </c>
      <c r="AB942" s="70" t="str">
        <f t="shared" si="327"/>
        <v/>
      </c>
      <c r="AC942" s="70" t="str">
        <f t="shared" si="328"/>
        <v/>
      </c>
      <c r="AD942" s="70" t="str">
        <f t="shared" si="329"/>
        <v/>
      </c>
      <c r="AE942" s="70" t="str">
        <f t="shared" si="330"/>
        <v/>
      </c>
      <c r="AF942" s="16"/>
      <c r="AG942" s="23"/>
      <c r="AH942" s="22"/>
      <c r="AJ942" s="83">
        <f t="shared" si="331"/>
        <v>0</v>
      </c>
      <c r="AO942" s="22" t="str">
        <f t="shared" si="332"/>
        <v/>
      </c>
      <c r="AP942" s="22" t="str">
        <f t="shared" si="333"/>
        <v/>
      </c>
    </row>
    <row r="943" spans="1:42" x14ac:dyDescent="0.25">
      <c r="A943" s="10"/>
      <c r="B943" s="10"/>
      <c r="C943" s="10"/>
      <c r="D943" s="10"/>
      <c r="E943" s="10"/>
      <c r="F943" s="10"/>
      <c r="G943" s="10"/>
      <c r="H943" s="17"/>
      <c r="I943" s="10"/>
      <c r="J943" s="10"/>
      <c r="K943" s="16" t="str">
        <f t="shared" si="312"/>
        <v/>
      </c>
      <c r="L943" s="23" t="str">
        <f t="shared" si="313"/>
        <v/>
      </c>
      <c r="M943" s="22" t="str">
        <f t="shared" si="314"/>
        <v/>
      </c>
      <c r="N943" s="72"/>
      <c r="O943" s="16" t="str">
        <f t="shared" si="315"/>
        <v/>
      </c>
      <c r="P943" s="16" t="str">
        <f t="shared" si="316"/>
        <v/>
      </c>
      <c r="Q943" s="16" t="str">
        <f t="shared" si="317"/>
        <v/>
      </c>
      <c r="R943" s="23" t="str">
        <f t="shared" si="318"/>
        <v/>
      </c>
      <c r="S943" s="23" t="str">
        <f t="shared" si="319"/>
        <v/>
      </c>
      <c r="T943" s="23" t="str">
        <f t="shared" si="320"/>
        <v/>
      </c>
      <c r="U943" s="23" t="str">
        <f t="shared" si="321"/>
        <v/>
      </c>
      <c r="V943" s="23" t="str">
        <f t="shared" si="322"/>
        <v/>
      </c>
      <c r="W943" s="70" t="str">
        <f t="shared" si="323"/>
        <v/>
      </c>
      <c r="X943" s="70" t="str">
        <f t="shared" si="324"/>
        <v/>
      </c>
      <c r="Y943" s="70" t="str">
        <f>IF(AND($A943&lt;&gt;"",$E943&gt;0),isLaptopBag($C943,$J943)*$D943,"")</f>
        <v/>
      </c>
      <c r="Z943" s="70" t="str">
        <f t="shared" si="325"/>
        <v/>
      </c>
      <c r="AA943" s="70" t="str">
        <f t="shared" si="326"/>
        <v/>
      </c>
      <c r="AB943" s="70" t="str">
        <f t="shared" si="327"/>
        <v/>
      </c>
      <c r="AC943" s="70" t="str">
        <f t="shared" si="328"/>
        <v/>
      </c>
      <c r="AD943" s="70" t="str">
        <f t="shared" si="329"/>
        <v/>
      </c>
      <c r="AE943" s="70" t="str">
        <f t="shared" si="330"/>
        <v/>
      </c>
      <c r="AF943" s="16"/>
      <c r="AG943" s="23"/>
      <c r="AH943" s="22"/>
      <c r="AJ943" s="83">
        <f t="shared" si="331"/>
        <v>0</v>
      </c>
      <c r="AO943" s="22" t="str">
        <f t="shared" si="332"/>
        <v/>
      </c>
      <c r="AP943" s="22" t="str">
        <f t="shared" si="333"/>
        <v/>
      </c>
    </row>
    <row r="944" spans="1:42" x14ac:dyDescent="0.25">
      <c r="A944" s="10"/>
      <c r="B944" s="10"/>
      <c r="C944" s="10"/>
      <c r="D944" s="10"/>
      <c r="E944" s="10"/>
      <c r="F944" s="10"/>
      <c r="G944" s="10"/>
      <c r="H944" s="17"/>
      <c r="I944" s="10"/>
      <c r="J944" s="10"/>
      <c r="K944" s="16" t="str">
        <f t="shared" si="312"/>
        <v/>
      </c>
      <c r="L944" s="23" t="str">
        <f t="shared" si="313"/>
        <v/>
      </c>
      <c r="M944" s="22" t="str">
        <f t="shared" si="314"/>
        <v/>
      </c>
      <c r="N944" s="72"/>
      <c r="O944" s="16" t="str">
        <f t="shared" si="315"/>
        <v/>
      </c>
      <c r="P944" s="16" t="str">
        <f t="shared" si="316"/>
        <v/>
      </c>
      <c r="Q944" s="16" t="str">
        <f t="shared" si="317"/>
        <v/>
      </c>
      <c r="R944" s="23" t="str">
        <f t="shared" si="318"/>
        <v/>
      </c>
      <c r="S944" s="23" t="str">
        <f t="shared" si="319"/>
        <v/>
      </c>
      <c r="T944" s="23" t="str">
        <f t="shared" si="320"/>
        <v/>
      </c>
      <c r="U944" s="23" t="str">
        <f t="shared" si="321"/>
        <v/>
      </c>
      <c r="V944" s="23" t="str">
        <f t="shared" si="322"/>
        <v/>
      </c>
      <c r="W944" s="70" t="str">
        <f t="shared" si="323"/>
        <v/>
      </c>
      <c r="X944" s="70" t="str">
        <f t="shared" si="324"/>
        <v/>
      </c>
      <c r="Y944" s="70" t="str">
        <f>IF(AND($A944&lt;&gt;"",$E944&gt;0),isLaptopBag($C944,$J944)*$D944,"")</f>
        <v/>
      </c>
      <c r="Z944" s="70" t="str">
        <f t="shared" si="325"/>
        <v/>
      </c>
      <c r="AA944" s="70" t="str">
        <f t="shared" si="326"/>
        <v/>
      </c>
      <c r="AB944" s="70" t="str">
        <f t="shared" si="327"/>
        <v/>
      </c>
      <c r="AC944" s="70" t="str">
        <f t="shared" si="328"/>
        <v/>
      </c>
      <c r="AD944" s="70" t="str">
        <f t="shared" si="329"/>
        <v/>
      </c>
      <c r="AE944" s="70" t="str">
        <f t="shared" si="330"/>
        <v/>
      </c>
      <c r="AF944" s="16"/>
      <c r="AG944" s="23"/>
      <c r="AH944" s="22"/>
      <c r="AJ944" s="83">
        <f t="shared" si="331"/>
        <v>0</v>
      </c>
      <c r="AO944" s="22" t="str">
        <f t="shared" si="332"/>
        <v/>
      </c>
      <c r="AP944" s="22" t="str">
        <f t="shared" si="333"/>
        <v/>
      </c>
    </row>
    <row r="945" spans="1:42" x14ac:dyDescent="0.25">
      <c r="A945" s="10"/>
      <c r="B945" s="10"/>
      <c r="C945" s="10"/>
      <c r="D945" s="10"/>
      <c r="E945" s="10"/>
      <c r="F945" s="10"/>
      <c r="G945" s="10"/>
      <c r="H945" s="17"/>
      <c r="I945" s="10"/>
      <c r="J945" s="10"/>
      <c r="K945" s="16" t="str">
        <f t="shared" si="312"/>
        <v/>
      </c>
      <c r="L945" s="23" t="str">
        <f t="shared" si="313"/>
        <v/>
      </c>
      <c r="M945" s="22" t="str">
        <f t="shared" si="314"/>
        <v/>
      </c>
      <c r="N945" s="72"/>
      <c r="O945" s="16" t="str">
        <f t="shared" si="315"/>
        <v/>
      </c>
      <c r="P945" s="16" t="str">
        <f t="shared" si="316"/>
        <v/>
      </c>
      <c r="Q945" s="16" t="str">
        <f t="shared" si="317"/>
        <v/>
      </c>
      <c r="R945" s="23" t="str">
        <f t="shared" si="318"/>
        <v/>
      </c>
      <c r="S945" s="23" t="str">
        <f t="shared" si="319"/>
        <v/>
      </c>
      <c r="T945" s="23" t="str">
        <f t="shared" si="320"/>
        <v/>
      </c>
      <c r="U945" s="23" t="str">
        <f t="shared" si="321"/>
        <v/>
      </c>
      <c r="V945" s="23" t="str">
        <f t="shared" si="322"/>
        <v/>
      </c>
      <c r="W945" s="70" t="str">
        <f t="shared" si="323"/>
        <v/>
      </c>
      <c r="X945" s="70" t="str">
        <f t="shared" si="324"/>
        <v/>
      </c>
      <c r="Y945" s="70" t="str">
        <f>IF(AND($A945&lt;&gt;"",$E945&gt;0),isLaptopBag($C945,$J945)*$D945,"")</f>
        <v/>
      </c>
      <c r="Z945" s="70" t="str">
        <f t="shared" si="325"/>
        <v/>
      </c>
      <c r="AA945" s="70" t="str">
        <f t="shared" si="326"/>
        <v/>
      </c>
      <c r="AB945" s="70" t="str">
        <f t="shared" si="327"/>
        <v/>
      </c>
      <c r="AC945" s="70" t="str">
        <f t="shared" si="328"/>
        <v/>
      </c>
      <c r="AD945" s="70" t="str">
        <f t="shared" si="329"/>
        <v/>
      </c>
      <c r="AE945" s="70" t="str">
        <f t="shared" si="330"/>
        <v/>
      </c>
      <c r="AF945" s="16"/>
      <c r="AG945" s="23"/>
      <c r="AH945" s="22"/>
      <c r="AJ945" s="83">
        <f t="shared" si="331"/>
        <v>0</v>
      </c>
      <c r="AO945" s="22" t="str">
        <f t="shared" si="332"/>
        <v/>
      </c>
      <c r="AP945" s="22" t="str">
        <f t="shared" si="333"/>
        <v/>
      </c>
    </row>
    <row r="946" spans="1:42" x14ac:dyDescent="0.25">
      <c r="A946" s="10"/>
      <c r="B946" s="10"/>
      <c r="C946" s="10"/>
      <c r="D946" s="10"/>
      <c r="E946" s="10"/>
      <c r="F946" s="10"/>
      <c r="G946" s="10"/>
      <c r="H946" s="17"/>
      <c r="I946" s="10"/>
      <c r="J946" s="10"/>
      <c r="K946" s="16" t="str">
        <f t="shared" si="312"/>
        <v/>
      </c>
      <c r="L946" s="23" t="str">
        <f t="shared" si="313"/>
        <v/>
      </c>
      <c r="M946" s="22" t="str">
        <f t="shared" si="314"/>
        <v/>
      </c>
      <c r="N946" s="72"/>
      <c r="O946" s="16" t="str">
        <f t="shared" si="315"/>
        <v/>
      </c>
      <c r="P946" s="16" t="str">
        <f t="shared" si="316"/>
        <v/>
      </c>
      <c r="Q946" s="16" t="str">
        <f t="shared" si="317"/>
        <v/>
      </c>
      <c r="R946" s="23" t="str">
        <f t="shared" si="318"/>
        <v/>
      </c>
      <c r="S946" s="23" t="str">
        <f t="shared" si="319"/>
        <v/>
      </c>
      <c r="T946" s="23" t="str">
        <f t="shared" si="320"/>
        <v/>
      </c>
      <c r="U946" s="23" t="str">
        <f t="shared" si="321"/>
        <v/>
      </c>
      <c r="V946" s="23" t="str">
        <f t="shared" si="322"/>
        <v/>
      </c>
      <c r="W946" s="70" t="str">
        <f t="shared" si="323"/>
        <v/>
      </c>
      <c r="X946" s="70" t="str">
        <f t="shared" si="324"/>
        <v/>
      </c>
      <c r="Y946" s="70" t="str">
        <f>IF(AND($A946&lt;&gt;"",$E946&gt;0),isLaptopBag($C946,$J946)*$D946,"")</f>
        <v/>
      </c>
      <c r="Z946" s="70" t="str">
        <f t="shared" si="325"/>
        <v/>
      </c>
      <c r="AA946" s="70" t="str">
        <f t="shared" si="326"/>
        <v/>
      </c>
      <c r="AB946" s="70" t="str">
        <f t="shared" si="327"/>
        <v/>
      </c>
      <c r="AC946" s="70" t="str">
        <f t="shared" si="328"/>
        <v/>
      </c>
      <c r="AD946" s="70" t="str">
        <f t="shared" si="329"/>
        <v/>
      </c>
      <c r="AE946" s="70" t="str">
        <f t="shared" si="330"/>
        <v/>
      </c>
      <c r="AF946" s="16"/>
      <c r="AG946" s="23"/>
      <c r="AH946" s="22"/>
      <c r="AJ946" s="83">
        <f t="shared" si="331"/>
        <v>0</v>
      </c>
      <c r="AO946" s="22" t="str">
        <f t="shared" si="332"/>
        <v/>
      </c>
      <c r="AP946" s="22" t="str">
        <f t="shared" si="333"/>
        <v/>
      </c>
    </row>
    <row r="947" spans="1:42" x14ac:dyDescent="0.25">
      <c r="A947" s="10"/>
      <c r="B947" s="10"/>
      <c r="C947" s="10"/>
      <c r="D947" s="10"/>
      <c r="E947" s="10"/>
      <c r="F947" s="10"/>
      <c r="G947" s="10"/>
      <c r="H947" s="17"/>
      <c r="I947" s="10"/>
      <c r="J947" s="10"/>
      <c r="K947" s="16" t="str">
        <f t="shared" si="312"/>
        <v/>
      </c>
      <c r="L947" s="23" t="str">
        <f t="shared" si="313"/>
        <v/>
      </c>
      <c r="M947" s="22" t="str">
        <f t="shared" si="314"/>
        <v/>
      </c>
      <c r="N947" s="72"/>
      <c r="O947" s="16" t="str">
        <f t="shared" si="315"/>
        <v/>
      </c>
      <c r="P947" s="16" t="str">
        <f t="shared" si="316"/>
        <v/>
      </c>
      <c r="Q947" s="16" t="str">
        <f t="shared" si="317"/>
        <v/>
      </c>
      <c r="R947" s="23" t="str">
        <f t="shared" si="318"/>
        <v/>
      </c>
      <c r="S947" s="23" t="str">
        <f t="shared" si="319"/>
        <v/>
      </c>
      <c r="T947" s="23" t="str">
        <f t="shared" si="320"/>
        <v/>
      </c>
      <c r="U947" s="23" t="str">
        <f t="shared" si="321"/>
        <v/>
      </c>
      <c r="V947" s="23" t="str">
        <f t="shared" si="322"/>
        <v/>
      </c>
      <c r="W947" s="70" t="str">
        <f t="shared" si="323"/>
        <v/>
      </c>
      <c r="X947" s="70" t="str">
        <f t="shared" si="324"/>
        <v/>
      </c>
      <c r="Y947" s="70" t="str">
        <f>IF(AND($A947&lt;&gt;"",$E947&gt;0),isLaptopBag($C947,$J947)*$D947,"")</f>
        <v/>
      </c>
      <c r="Z947" s="70" t="str">
        <f t="shared" si="325"/>
        <v/>
      </c>
      <c r="AA947" s="70" t="str">
        <f t="shared" si="326"/>
        <v/>
      </c>
      <c r="AB947" s="70" t="str">
        <f t="shared" si="327"/>
        <v/>
      </c>
      <c r="AC947" s="70" t="str">
        <f t="shared" si="328"/>
        <v/>
      </c>
      <c r="AD947" s="70" t="str">
        <f t="shared" si="329"/>
        <v/>
      </c>
      <c r="AE947" s="70" t="str">
        <f t="shared" si="330"/>
        <v/>
      </c>
      <c r="AF947" s="16"/>
      <c r="AG947" s="23"/>
      <c r="AH947" s="22"/>
      <c r="AJ947" s="83">
        <f t="shared" si="331"/>
        <v>0</v>
      </c>
      <c r="AO947" s="22" t="str">
        <f t="shared" si="332"/>
        <v/>
      </c>
      <c r="AP947" s="22" t="str">
        <f t="shared" si="333"/>
        <v/>
      </c>
    </row>
    <row r="948" spans="1:42" x14ac:dyDescent="0.25">
      <c r="A948" s="10"/>
      <c r="B948" s="10"/>
      <c r="C948" s="10"/>
      <c r="D948" s="10"/>
      <c r="E948" s="10"/>
      <c r="F948" s="10"/>
      <c r="G948" s="10"/>
      <c r="H948" s="17"/>
      <c r="I948" s="10"/>
      <c r="J948" s="10"/>
      <c r="K948" s="16" t="str">
        <f t="shared" si="312"/>
        <v/>
      </c>
      <c r="L948" s="23" t="str">
        <f t="shared" si="313"/>
        <v/>
      </c>
      <c r="M948" s="22" t="str">
        <f t="shared" si="314"/>
        <v/>
      </c>
      <c r="N948" s="72"/>
      <c r="O948" s="16" t="str">
        <f t="shared" si="315"/>
        <v/>
      </c>
      <c r="P948" s="16" t="str">
        <f t="shared" si="316"/>
        <v/>
      </c>
      <c r="Q948" s="16" t="str">
        <f t="shared" si="317"/>
        <v/>
      </c>
      <c r="R948" s="23" t="str">
        <f t="shared" si="318"/>
        <v/>
      </c>
      <c r="S948" s="23" t="str">
        <f t="shared" si="319"/>
        <v/>
      </c>
      <c r="T948" s="23" t="str">
        <f t="shared" si="320"/>
        <v/>
      </c>
      <c r="U948" s="23" t="str">
        <f t="shared" si="321"/>
        <v/>
      </c>
      <c r="V948" s="23" t="str">
        <f t="shared" si="322"/>
        <v/>
      </c>
      <c r="W948" s="70" t="str">
        <f t="shared" si="323"/>
        <v/>
      </c>
      <c r="X948" s="70" t="str">
        <f t="shared" si="324"/>
        <v/>
      </c>
      <c r="Y948" s="70" t="str">
        <f>IF(AND($A948&lt;&gt;"",$E948&gt;0),isLaptopBag($C948,$J948)*$D948,"")</f>
        <v/>
      </c>
      <c r="Z948" s="70" t="str">
        <f t="shared" si="325"/>
        <v/>
      </c>
      <c r="AA948" s="70" t="str">
        <f t="shared" si="326"/>
        <v/>
      </c>
      <c r="AB948" s="70" t="str">
        <f t="shared" si="327"/>
        <v/>
      </c>
      <c r="AC948" s="70" t="str">
        <f t="shared" si="328"/>
        <v/>
      </c>
      <c r="AD948" s="70" t="str">
        <f t="shared" si="329"/>
        <v/>
      </c>
      <c r="AE948" s="70" t="str">
        <f t="shared" si="330"/>
        <v/>
      </c>
      <c r="AF948" s="16"/>
      <c r="AG948" s="23"/>
      <c r="AH948" s="22"/>
      <c r="AJ948" s="83">
        <f t="shared" si="331"/>
        <v>0</v>
      </c>
      <c r="AO948" s="22" t="str">
        <f t="shared" si="332"/>
        <v/>
      </c>
      <c r="AP948" s="22" t="str">
        <f t="shared" si="333"/>
        <v/>
      </c>
    </row>
    <row r="949" spans="1:42" x14ac:dyDescent="0.25">
      <c r="A949" s="10"/>
      <c r="B949" s="10"/>
      <c r="C949" s="10"/>
      <c r="D949" s="10"/>
      <c r="E949" s="10"/>
      <c r="F949" s="10"/>
      <c r="G949" s="10"/>
      <c r="H949" s="17"/>
      <c r="I949" s="10"/>
      <c r="J949" s="10"/>
      <c r="K949" s="16" t="str">
        <f t="shared" si="312"/>
        <v/>
      </c>
      <c r="L949" s="23" t="str">
        <f t="shared" si="313"/>
        <v/>
      </c>
      <c r="M949" s="22" t="str">
        <f t="shared" si="314"/>
        <v/>
      </c>
      <c r="N949" s="72"/>
      <c r="O949" s="16" t="str">
        <f t="shared" si="315"/>
        <v/>
      </c>
      <c r="P949" s="16" t="str">
        <f t="shared" si="316"/>
        <v/>
      </c>
      <c r="Q949" s="16" t="str">
        <f t="shared" si="317"/>
        <v/>
      </c>
      <c r="R949" s="23" t="str">
        <f t="shared" si="318"/>
        <v/>
      </c>
      <c r="S949" s="23" t="str">
        <f t="shared" si="319"/>
        <v/>
      </c>
      <c r="T949" s="23" t="str">
        <f t="shared" si="320"/>
        <v/>
      </c>
      <c r="U949" s="23" t="str">
        <f t="shared" si="321"/>
        <v/>
      </c>
      <c r="V949" s="23" t="str">
        <f t="shared" si="322"/>
        <v/>
      </c>
      <c r="W949" s="70" t="str">
        <f t="shared" si="323"/>
        <v/>
      </c>
      <c r="X949" s="70" t="str">
        <f t="shared" si="324"/>
        <v/>
      </c>
      <c r="Y949" s="70" t="str">
        <f>IF(AND($A949&lt;&gt;"",$E949&gt;0),isLaptopBag($C949,$J949)*$D949,"")</f>
        <v/>
      </c>
      <c r="Z949" s="70" t="str">
        <f t="shared" si="325"/>
        <v/>
      </c>
      <c r="AA949" s="70" t="str">
        <f t="shared" si="326"/>
        <v/>
      </c>
      <c r="AB949" s="70" t="str">
        <f t="shared" si="327"/>
        <v/>
      </c>
      <c r="AC949" s="70" t="str">
        <f t="shared" si="328"/>
        <v/>
      </c>
      <c r="AD949" s="70" t="str">
        <f t="shared" si="329"/>
        <v/>
      </c>
      <c r="AE949" s="70" t="str">
        <f t="shared" si="330"/>
        <v/>
      </c>
      <c r="AF949" s="16"/>
      <c r="AG949" s="23"/>
      <c r="AH949" s="22"/>
      <c r="AJ949" s="83">
        <f t="shared" si="331"/>
        <v>0</v>
      </c>
      <c r="AO949" s="22" t="str">
        <f t="shared" si="332"/>
        <v/>
      </c>
      <c r="AP949" s="22" t="str">
        <f t="shared" si="333"/>
        <v/>
      </c>
    </row>
    <row r="950" spans="1:42" x14ac:dyDescent="0.25">
      <c r="A950" s="10"/>
      <c r="B950" s="10"/>
      <c r="C950" s="10"/>
      <c r="D950" s="10"/>
      <c r="E950" s="10"/>
      <c r="F950" s="10"/>
      <c r="G950" s="10"/>
      <c r="H950" s="17"/>
      <c r="I950" s="10"/>
      <c r="J950" s="10"/>
      <c r="K950" s="16" t="str">
        <f t="shared" si="312"/>
        <v/>
      </c>
      <c r="L950" s="23" t="str">
        <f t="shared" si="313"/>
        <v/>
      </c>
      <c r="M950" s="22" t="str">
        <f t="shared" si="314"/>
        <v/>
      </c>
      <c r="N950" s="72"/>
      <c r="O950" s="16" t="str">
        <f t="shared" si="315"/>
        <v/>
      </c>
      <c r="P950" s="16" t="str">
        <f t="shared" si="316"/>
        <v/>
      </c>
      <c r="Q950" s="16" t="str">
        <f t="shared" si="317"/>
        <v/>
      </c>
      <c r="R950" s="23" t="str">
        <f t="shared" si="318"/>
        <v/>
      </c>
      <c r="S950" s="23" t="str">
        <f t="shared" si="319"/>
        <v/>
      </c>
      <c r="T950" s="23" t="str">
        <f t="shared" si="320"/>
        <v/>
      </c>
      <c r="U950" s="23" t="str">
        <f t="shared" si="321"/>
        <v/>
      </c>
      <c r="V950" s="23" t="str">
        <f t="shared" si="322"/>
        <v/>
      </c>
      <c r="W950" s="70" t="str">
        <f t="shared" si="323"/>
        <v/>
      </c>
      <c r="X950" s="70" t="str">
        <f t="shared" si="324"/>
        <v/>
      </c>
      <c r="Y950" s="70" t="str">
        <f>IF(AND($A950&lt;&gt;"",$E950&gt;0),isLaptopBag($C950,$J950)*$D950,"")</f>
        <v/>
      </c>
      <c r="Z950" s="70" t="str">
        <f t="shared" si="325"/>
        <v/>
      </c>
      <c r="AA950" s="70" t="str">
        <f t="shared" si="326"/>
        <v/>
      </c>
      <c r="AB950" s="70" t="str">
        <f t="shared" si="327"/>
        <v/>
      </c>
      <c r="AC950" s="70" t="str">
        <f t="shared" si="328"/>
        <v/>
      </c>
      <c r="AD950" s="70" t="str">
        <f t="shared" si="329"/>
        <v/>
      </c>
      <c r="AE950" s="70" t="str">
        <f t="shared" si="330"/>
        <v/>
      </c>
      <c r="AF950" s="16"/>
      <c r="AG950" s="23"/>
      <c r="AH950" s="22"/>
      <c r="AJ950" s="83">
        <f t="shared" si="331"/>
        <v>0</v>
      </c>
      <c r="AO950" s="22" t="str">
        <f t="shared" si="332"/>
        <v/>
      </c>
      <c r="AP950" s="22" t="str">
        <f t="shared" si="333"/>
        <v/>
      </c>
    </row>
    <row r="951" spans="1:42" x14ac:dyDescent="0.25">
      <c r="A951" s="10"/>
      <c r="B951" s="10"/>
      <c r="C951" s="10"/>
      <c r="D951" s="10"/>
      <c r="E951" s="10"/>
      <c r="F951" s="10"/>
      <c r="G951" s="10"/>
      <c r="H951" s="17"/>
      <c r="I951" s="10"/>
      <c r="J951" s="10"/>
      <c r="K951" s="16" t="str">
        <f t="shared" si="312"/>
        <v/>
      </c>
      <c r="L951" s="23" t="str">
        <f t="shared" si="313"/>
        <v/>
      </c>
      <c r="M951" s="22" t="str">
        <f t="shared" si="314"/>
        <v/>
      </c>
      <c r="N951" s="72"/>
      <c r="O951" s="16" t="str">
        <f t="shared" si="315"/>
        <v/>
      </c>
      <c r="P951" s="16" t="str">
        <f t="shared" si="316"/>
        <v/>
      </c>
      <c r="Q951" s="16" t="str">
        <f t="shared" si="317"/>
        <v/>
      </c>
      <c r="R951" s="23" t="str">
        <f t="shared" si="318"/>
        <v/>
      </c>
      <c r="S951" s="23" t="str">
        <f t="shared" si="319"/>
        <v/>
      </c>
      <c r="T951" s="23" t="str">
        <f t="shared" si="320"/>
        <v/>
      </c>
      <c r="U951" s="23" t="str">
        <f t="shared" si="321"/>
        <v/>
      </c>
      <c r="V951" s="23" t="str">
        <f t="shared" si="322"/>
        <v/>
      </c>
      <c r="W951" s="70" t="str">
        <f t="shared" si="323"/>
        <v/>
      </c>
      <c r="X951" s="70" t="str">
        <f t="shared" si="324"/>
        <v/>
      </c>
      <c r="Y951" s="70" t="str">
        <f>IF(AND($A951&lt;&gt;"",$E951&gt;0),isLaptopBag($C951,$J951)*$D951,"")</f>
        <v/>
      </c>
      <c r="Z951" s="70" t="str">
        <f t="shared" si="325"/>
        <v/>
      </c>
      <c r="AA951" s="70" t="str">
        <f t="shared" si="326"/>
        <v/>
      </c>
      <c r="AB951" s="70" t="str">
        <f t="shared" si="327"/>
        <v/>
      </c>
      <c r="AC951" s="70" t="str">
        <f t="shared" si="328"/>
        <v/>
      </c>
      <c r="AD951" s="70" t="str">
        <f t="shared" si="329"/>
        <v/>
      </c>
      <c r="AE951" s="70" t="str">
        <f t="shared" si="330"/>
        <v/>
      </c>
      <c r="AF951" s="16"/>
      <c r="AG951" s="23"/>
      <c r="AH951" s="22"/>
      <c r="AJ951" s="83">
        <f t="shared" si="331"/>
        <v>0</v>
      </c>
      <c r="AO951" s="22" t="str">
        <f t="shared" si="332"/>
        <v/>
      </c>
      <c r="AP951" s="22" t="str">
        <f t="shared" si="333"/>
        <v/>
      </c>
    </row>
    <row r="952" spans="1:42" x14ac:dyDescent="0.25">
      <c r="A952" s="10"/>
      <c r="B952" s="10"/>
      <c r="C952" s="10"/>
      <c r="D952" s="10"/>
      <c r="E952" s="10"/>
      <c r="F952" s="10"/>
      <c r="G952" s="10"/>
      <c r="H952" s="17"/>
      <c r="I952" s="10"/>
      <c r="J952" s="10"/>
      <c r="K952" s="16" t="str">
        <f t="shared" si="312"/>
        <v/>
      </c>
      <c r="L952" s="23" t="str">
        <f t="shared" si="313"/>
        <v/>
      </c>
      <c r="M952" s="22" t="str">
        <f t="shared" si="314"/>
        <v/>
      </c>
      <c r="N952" s="72"/>
      <c r="O952" s="16" t="str">
        <f t="shared" si="315"/>
        <v/>
      </c>
      <c r="P952" s="16" t="str">
        <f t="shared" si="316"/>
        <v/>
      </c>
      <c r="Q952" s="16" t="str">
        <f t="shared" si="317"/>
        <v/>
      </c>
      <c r="R952" s="23" t="str">
        <f t="shared" si="318"/>
        <v/>
      </c>
      <c r="S952" s="23" t="str">
        <f t="shared" si="319"/>
        <v/>
      </c>
      <c r="T952" s="23" t="str">
        <f t="shared" si="320"/>
        <v/>
      </c>
      <c r="U952" s="23" t="str">
        <f t="shared" si="321"/>
        <v/>
      </c>
      <c r="V952" s="23" t="str">
        <f t="shared" si="322"/>
        <v/>
      </c>
      <c r="W952" s="70" t="str">
        <f t="shared" si="323"/>
        <v/>
      </c>
      <c r="X952" s="70" t="str">
        <f t="shared" si="324"/>
        <v/>
      </c>
      <c r="Y952" s="70" t="str">
        <f>IF(AND($A952&lt;&gt;"",$E952&gt;0),isLaptopBag($C952,$J952)*$D952,"")</f>
        <v/>
      </c>
      <c r="Z952" s="70" t="str">
        <f t="shared" si="325"/>
        <v/>
      </c>
      <c r="AA952" s="70" t="str">
        <f t="shared" si="326"/>
        <v/>
      </c>
      <c r="AB952" s="70" t="str">
        <f t="shared" si="327"/>
        <v/>
      </c>
      <c r="AC952" s="70" t="str">
        <f t="shared" si="328"/>
        <v/>
      </c>
      <c r="AD952" s="70" t="str">
        <f t="shared" si="329"/>
        <v/>
      </c>
      <c r="AE952" s="70" t="str">
        <f t="shared" si="330"/>
        <v/>
      </c>
      <c r="AF952" s="16"/>
      <c r="AG952" s="23"/>
      <c r="AH952" s="22"/>
      <c r="AJ952" s="83">
        <f t="shared" si="331"/>
        <v>0</v>
      </c>
      <c r="AO952" s="22" t="str">
        <f t="shared" si="332"/>
        <v/>
      </c>
      <c r="AP952" s="22" t="str">
        <f t="shared" si="333"/>
        <v/>
      </c>
    </row>
    <row r="953" spans="1:42" x14ac:dyDescent="0.25">
      <c r="A953" s="10"/>
      <c r="B953" s="10"/>
      <c r="C953" s="10"/>
      <c r="D953" s="10"/>
      <c r="E953" s="10"/>
      <c r="F953" s="10"/>
      <c r="G953" s="10"/>
      <c r="H953" s="17"/>
      <c r="I953" s="10"/>
      <c r="J953" s="10"/>
      <c r="K953" s="16" t="str">
        <f t="shared" si="312"/>
        <v/>
      </c>
      <c r="L953" s="23" t="str">
        <f t="shared" si="313"/>
        <v/>
      </c>
      <c r="M953" s="22" t="str">
        <f t="shared" si="314"/>
        <v/>
      </c>
      <c r="N953" s="72"/>
      <c r="O953" s="16" t="str">
        <f t="shared" si="315"/>
        <v/>
      </c>
      <c r="P953" s="16" t="str">
        <f t="shared" si="316"/>
        <v/>
      </c>
      <c r="Q953" s="16" t="str">
        <f t="shared" si="317"/>
        <v/>
      </c>
      <c r="R953" s="23" t="str">
        <f t="shared" si="318"/>
        <v/>
      </c>
      <c r="S953" s="23" t="str">
        <f t="shared" si="319"/>
        <v/>
      </c>
      <c r="T953" s="23" t="str">
        <f t="shared" si="320"/>
        <v/>
      </c>
      <c r="U953" s="23" t="str">
        <f t="shared" si="321"/>
        <v/>
      </c>
      <c r="V953" s="23" t="str">
        <f t="shared" si="322"/>
        <v/>
      </c>
      <c r="W953" s="70" t="str">
        <f t="shared" si="323"/>
        <v/>
      </c>
      <c r="X953" s="70" t="str">
        <f t="shared" si="324"/>
        <v/>
      </c>
      <c r="Y953" s="70" t="str">
        <f>IF(AND($A953&lt;&gt;"",$E953&gt;0),isLaptopBag($C953,$J953)*$D953,"")</f>
        <v/>
      </c>
      <c r="Z953" s="70" t="str">
        <f t="shared" si="325"/>
        <v/>
      </c>
      <c r="AA953" s="70" t="str">
        <f t="shared" si="326"/>
        <v/>
      </c>
      <c r="AB953" s="70" t="str">
        <f t="shared" si="327"/>
        <v/>
      </c>
      <c r="AC953" s="70" t="str">
        <f t="shared" si="328"/>
        <v/>
      </c>
      <c r="AD953" s="70" t="str">
        <f t="shared" si="329"/>
        <v/>
      </c>
      <c r="AE953" s="70" t="str">
        <f t="shared" si="330"/>
        <v/>
      </c>
      <c r="AF953" s="16"/>
      <c r="AG953" s="23"/>
      <c r="AH953" s="22"/>
      <c r="AJ953" s="83">
        <f t="shared" si="331"/>
        <v>0</v>
      </c>
      <c r="AO953" s="22" t="str">
        <f t="shared" si="332"/>
        <v/>
      </c>
      <c r="AP953" s="22" t="str">
        <f t="shared" si="333"/>
        <v/>
      </c>
    </row>
    <row r="954" spans="1:42" x14ac:dyDescent="0.25">
      <c r="A954" s="10"/>
      <c r="B954" s="10"/>
      <c r="C954" s="10"/>
      <c r="D954" s="10"/>
      <c r="E954" s="10"/>
      <c r="F954" s="10"/>
      <c r="G954" s="10"/>
      <c r="H954" s="17"/>
      <c r="I954" s="10"/>
      <c r="J954" s="10"/>
      <c r="K954" s="16" t="str">
        <f t="shared" si="312"/>
        <v/>
      </c>
      <c r="L954" s="23" t="str">
        <f t="shared" si="313"/>
        <v/>
      </c>
      <c r="M954" s="22" t="str">
        <f t="shared" si="314"/>
        <v/>
      </c>
      <c r="N954" s="72"/>
      <c r="O954" s="16" t="str">
        <f t="shared" si="315"/>
        <v/>
      </c>
      <c r="P954" s="16" t="str">
        <f t="shared" si="316"/>
        <v/>
      </c>
      <c r="Q954" s="16" t="str">
        <f t="shared" si="317"/>
        <v/>
      </c>
      <c r="R954" s="23" t="str">
        <f t="shared" si="318"/>
        <v/>
      </c>
      <c r="S954" s="23" t="str">
        <f t="shared" si="319"/>
        <v/>
      </c>
      <c r="T954" s="23" t="str">
        <f t="shared" si="320"/>
        <v/>
      </c>
      <c r="U954" s="23" t="str">
        <f t="shared" si="321"/>
        <v/>
      </c>
      <c r="V954" s="23" t="str">
        <f t="shared" si="322"/>
        <v/>
      </c>
      <c r="W954" s="70" t="str">
        <f t="shared" si="323"/>
        <v/>
      </c>
      <c r="X954" s="70" t="str">
        <f t="shared" si="324"/>
        <v/>
      </c>
      <c r="Y954" s="70" t="str">
        <f>IF(AND($A954&lt;&gt;"",$E954&gt;0),isLaptopBag($C954,$J954)*$D954,"")</f>
        <v/>
      </c>
      <c r="Z954" s="70" t="str">
        <f t="shared" si="325"/>
        <v/>
      </c>
      <c r="AA954" s="70" t="str">
        <f t="shared" si="326"/>
        <v/>
      </c>
      <c r="AB954" s="70" t="str">
        <f t="shared" si="327"/>
        <v/>
      </c>
      <c r="AC954" s="70" t="str">
        <f t="shared" si="328"/>
        <v/>
      </c>
      <c r="AD954" s="70" t="str">
        <f t="shared" si="329"/>
        <v/>
      </c>
      <c r="AE954" s="70" t="str">
        <f t="shared" si="330"/>
        <v/>
      </c>
      <c r="AF954" s="16"/>
      <c r="AG954" s="23"/>
      <c r="AH954" s="22"/>
      <c r="AJ954" s="83">
        <f t="shared" si="331"/>
        <v>0</v>
      </c>
      <c r="AO954" s="22" t="str">
        <f t="shared" si="332"/>
        <v/>
      </c>
      <c r="AP954" s="22" t="str">
        <f t="shared" si="333"/>
        <v/>
      </c>
    </row>
    <row r="955" spans="1:42" x14ac:dyDescent="0.25">
      <c r="A955" s="10"/>
      <c r="B955" s="10"/>
      <c r="C955" s="10"/>
      <c r="D955" s="10"/>
      <c r="E955" s="10"/>
      <c r="F955" s="10"/>
      <c r="G955" s="10"/>
      <c r="H955" s="17"/>
      <c r="I955" s="10"/>
      <c r="J955" s="10"/>
      <c r="K955" s="16" t="str">
        <f t="shared" si="312"/>
        <v/>
      </c>
      <c r="L955" s="23" t="str">
        <f t="shared" si="313"/>
        <v/>
      </c>
      <c r="M955" s="22" t="str">
        <f t="shared" si="314"/>
        <v/>
      </c>
      <c r="N955" s="72"/>
      <c r="O955" s="16" t="str">
        <f t="shared" si="315"/>
        <v/>
      </c>
      <c r="P955" s="16" t="str">
        <f t="shared" si="316"/>
        <v/>
      </c>
      <c r="Q955" s="16" t="str">
        <f t="shared" si="317"/>
        <v/>
      </c>
      <c r="R955" s="23" t="str">
        <f t="shared" si="318"/>
        <v/>
      </c>
      <c r="S955" s="23" t="str">
        <f t="shared" si="319"/>
        <v/>
      </c>
      <c r="T955" s="23" t="str">
        <f t="shared" si="320"/>
        <v/>
      </c>
      <c r="U955" s="23" t="str">
        <f t="shared" si="321"/>
        <v/>
      </c>
      <c r="V955" s="23" t="str">
        <f t="shared" si="322"/>
        <v/>
      </c>
      <c r="W955" s="70" t="str">
        <f t="shared" si="323"/>
        <v/>
      </c>
      <c r="X955" s="70" t="str">
        <f t="shared" si="324"/>
        <v/>
      </c>
      <c r="Y955" s="70" t="str">
        <f>IF(AND($A955&lt;&gt;"",$E955&gt;0),isLaptopBag($C955,$J955)*$D955,"")</f>
        <v/>
      </c>
      <c r="Z955" s="70" t="str">
        <f t="shared" si="325"/>
        <v/>
      </c>
      <c r="AA955" s="70" t="str">
        <f t="shared" si="326"/>
        <v/>
      </c>
      <c r="AB955" s="70" t="str">
        <f t="shared" si="327"/>
        <v/>
      </c>
      <c r="AC955" s="70" t="str">
        <f t="shared" si="328"/>
        <v/>
      </c>
      <c r="AD955" s="70" t="str">
        <f t="shared" si="329"/>
        <v/>
      </c>
      <c r="AE955" s="70" t="str">
        <f t="shared" si="330"/>
        <v/>
      </c>
      <c r="AF955" s="16"/>
      <c r="AG955" s="23"/>
      <c r="AH955" s="22"/>
      <c r="AJ955" s="83">
        <f t="shared" si="331"/>
        <v>0</v>
      </c>
      <c r="AO955" s="22" t="str">
        <f t="shared" si="332"/>
        <v/>
      </c>
      <c r="AP955" s="22" t="str">
        <f t="shared" si="333"/>
        <v/>
      </c>
    </row>
    <row r="956" spans="1:42" x14ac:dyDescent="0.25">
      <c r="A956" s="10"/>
      <c r="B956" s="10"/>
      <c r="C956" s="10"/>
      <c r="D956" s="10"/>
      <c r="E956" s="10"/>
      <c r="F956" s="10"/>
      <c r="G956" s="10"/>
      <c r="H956" s="17"/>
      <c r="I956" s="10"/>
      <c r="J956" s="10"/>
      <c r="K956" s="16" t="str">
        <f t="shared" si="312"/>
        <v/>
      </c>
      <c r="L956" s="23" t="str">
        <f t="shared" si="313"/>
        <v/>
      </c>
      <c r="M956" s="22" t="str">
        <f t="shared" si="314"/>
        <v/>
      </c>
      <c r="N956" s="72"/>
      <c r="O956" s="16" t="str">
        <f t="shared" si="315"/>
        <v/>
      </c>
      <c r="P956" s="16" t="str">
        <f t="shared" si="316"/>
        <v/>
      </c>
      <c r="Q956" s="16" t="str">
        <f t="shared" si="317"/>
        <v/>
      </c>
      <c r="R956" s="23" t="str">
        <f t="shared" si="318"/>
        <v/>
      </c>
      <c r="S956" s="23" t="str">
        <f t="shared" si="319"/>
        <v/>
      </c>
      <c r="T956" s="23" t="str">
        <f t="shared" si="320"/>
        <v/>
      </c>
      <c r="U956" s="23" t="str">
        <f t="shared" si="321"/>
        <v/>
      </c>
      <c r="V956" s="23" t="str">
        <f t="shared" si="322"/>
        <v/>
      </c>
      <c r="W956" s="70" t="str">
        <f t="shared" si="323"/>
        <v/>
      </c>
      <c r="X956" s="70" t="str">
        <f t="shared" si="324"/>
        <v/>
      </c>
      <c r="Y956" s="70" t="str">
        <f>IF(AND($A956&lt;&gt;"",$E956&gt;0),isLaptopBag($C956,$J956)*$D956,"")</f>
        <v/>
      </c>
      <c r="Z956" s="70" t="str">
        <f t="shared" si="325"/>
        <v/>
      </c>
      <c r="AA956" s="70" t="str">
        <f t="shared" si="326"/>
        <v/>
      </c>
      <c r="AB956" s="70" t="str">
        <f t="shared" si="327"/>
        <v/>
      </c>
      <c r="AC956" s="70" t="str">
        <f t="shared" si="328"/>
        <v/>
      </c>
      <c r="AD956" s="70" t="str">
        <f t="shared" si="329"/>
        <v/>
      </c>
      <c r="AE956" s="70" t="str">
        <f t="shared" si="330"/>
        <v/>
      </c>
      <c r="AF956" s="16"/>
      <c r="AG956" s="23"/>
      <c r="AH956" s="22"/>
      <c r="AJ956" s="83">
        <f t="shared" si="331"/>
        <v>0</v>
      </c>
      <c r="AO956" s="22" t="str">
        <f t="shared" si="332"/>
        <v/>
      </c>
      <c r="AP956" s="22" t="str">
        <f t="shared" si="333"/>
        <v/>
      </c>
    </row>
    <row r="957" spans="1:42" x14ac:dyDescent="0.25">
      <c r="A957" s="10"/>
      <c r="B957" s="10"/>
      <c r="C957" s="10"/>
      <c r="D957" s="10"/>
      <c r="E957" s="10"/>
      <c r="F957" s="10"/>
      <c r="G957" s="10"/>
      <c r="H957" s="17"/>
      <c r="I957" s="10"/>
      <c r="J957" s="10"/>
      <c r="K957" s="16" t="str">
        <f t="shared" si="312"/>
        <v/>
      </c>
      <c r="L957" s="23" t="str">
        <f t="shared" si="313"/>
        <v/>
      </c>
      <c r="M957" s="22" t="str">
        <f t="shared" si="314"/>
        <v/>
      </c>
      <c r="N957" s="72"/>
      <c r="O957" s="16" t="str">
        <f t="shared" si="315"/>
        <v/>
      </c>
      <c r="P957" s="16" t="str">
        <f t="shared" si="316"/>
        <v/>
      </c>
      <c r="Q957" s="16" t="str">
        <f t="shared" si="317"/>
        <v/>
      </c>
      <c r="R957" s="23" t="str">
        <f t="shared" si="318"/>
        <v/>
      </c>
      <c r="S957" s="23" t="str">
        <f t="shared" si="319"/>
        <v/>
      </c>
      <c r="T957" s="23" t="str">
        <f t="shared" si="320"/>
        <v/>
      </c>
      <c r="U957" s="23" t="str">
        <f t="shared" si="321"/>
        <v/>
      </c>
      <c r="V957" s="23" t="str">
        <f t="shared" si="322"/>
        <v/>
      </c>
      <c r="W957" s="70" t="str">
        <f t="shared" si="323"/>
        <v/>
      </c>
      <c r="X957" s="70" t="str">
        <f t="shared" si="324"/>
        <v/>
      </c>
      <c r="Y957" s="70" t="str">
        <f>IF(AND($A957&lt;&gt;"",$E957&gt;0),isLaptopBag($C957,$J957)*$D957,"")</f>
        <v/>
      </c>
      <c r="Z957" s="70" t="str">
        <f t="shared" si="325"/>
        <v/>
      </c>
      <c r="AA957" s="70" t="str">
        <f t="shared" si="326"/>
        <v/>
      </c>
      <c r="AB957" s="70" t="str">
        <f t="shared" si="327"/>
        <v/>
      </c>
      <c r="AC957" s="70" t="str">
        <f t="shared" si="328"/>
        <v/>
      </c>
      <c r="AD957" s="70" t="str">
        <f t="shared" si="329"/>
        <v/>
      </c>
      <c r="AE957" s="70" t="str">
        <f t="shared" si="330"/>
        <v/>
      </c>
      <c r="AF957" s="16"/>
      <c r="AG957" s="23"/>
      <c r="AH957" s="22"/>
      <c r="AJ957" s="83">
        <f t="shared" si="331"/>
        <v>0</v>
      </c>
      <c r="AO957" s="22" t="str">
        <f t="shared" si="332"/>
        <v/>
      </c>
      <c r="AP957" s="22" t="str">
        <f t="shared" si="333"/>
        <v/>
      </c>
    </row>
    <row r="958" spans="1:42" x14ac:dyDescent="0.25">
      <c r="A958" s="10"/>
      <c r="B958" s="10"/>
      <c r="C958" s="10"/>
      <c r="D958" s="10"/>
      <c r="E958" s="10"/>
      <c r="F958" s="10"/>
      <c r="G958" s="10"/>
      <c r="H958" s="17"/>
      <c r="I958" s="10"/>
      <c r="J958" s="10"/>
      <c r="K958" s="16" t="str">
        <f t="shared" si="312"/>
        <v/>
      </c>
      <c r="L958" s="23" t="str">
        <f t="shared" si="313"/>
        <v/>
      </c>
      <c r="M958" s="22" t="str">
        <f t="shared" si="314"/>
        <v/>
      </c>
      <c r="N958" s="72"/>
      <c r="O958" s="16" t="str">
        <f t="shared" si="315"/>
        <v/>
      </c>
      <c r="P958" s="16" t="str">
        <f t="shared" si="316"/>
        <v/>
      </c>
      <c r="Q958" s="16" t="str">
        <f t="shared" si="317"/>
        <v/>
      </c>
      <c r="R958" s="23" t="str">
        <f t="shared" si="318"/>
        <v/>
      </c>
      <c r="S958" s="23" t="str">
        <f t="shared" si="319"/>
        <v/>
      </c>
      <c r="T958" s="23" t="str">
        <f t="shared" si="320"/>
        <v/>
      </c>
      <c r="U958" s="23" t="str">
        <f t="shared" si="321"/>
        <v/>
      </c>
      <c r="V958" s="23" t="str">
        <f t="shared" si="322"/>
        <v/>
      </c>
      <c r="W958" s="70" t="str">
        <f t="shared" si="323"/>
        <v/>
      </c>
      <c r="X958" s="70" t="str">
        <f t="shared" si="324"/>
        <v/>
      </c>
      <c r="Y958" s="70" t="str">
        <f>IF(AND($A958&lt;&gt;"",$E958&gt;0),isLaptopBag($C958,$J958)*$D958,"")</f>
        <v/>
      </c>
      <c r="Z958" s="70" t="str">
        <f t="shared" si="325"/>
        <v/>
      </c>
      <c r="AA958" s="70" t="str">
        <f t="shared" si="326"/>
        <v/>
      </c>
      <c r="AB958" s="70" t="str">
        <f t="shared" si="327"/>
        <v/>
      </c>
      <c r="AC958" s="70" t="str">
        <f t="shared" si="328"/>
        <v/>
      </c>
      <c r="AD958" s="70" t="str">
        <f t="shared" si="329"/>
        <v/>
      </c>
      <c r="AE958" s="70" t="str">
        <f t="shared" si="330"/>
        <v/>
      </c>
      <c r="AF958" s="16"/>
      <c r="AG958" s="23"/>
      <c r="AH958" s="22"/>
      <c r="AJ958" s="83">
        <f t="shared" si="331"/>
        <v>0</v>
      </c>
      <c r="AO958" s="22" t="str">
        <f t="shared" si="332"/>
        <v/>
      </c>
      <c r="AP958" s="22" t="str">
        <f t="shared" si="333"/>
        <v/>
      </c>
    </row>
    <row r="959" spans="1:42" x14ac:dyDescent="0.25">
      <c r="A959" s="10"/>
      <c r="B959" s="10"/>
      <c r="C959" s="10"/>
      <c r="D959" s="10"/>
      <c r="E959" s="10"/>
      <c r="F959" s="10"/>
      <c r="G959" s="10"/>
      <c r="H959" s="17"/>
      <c r="I959" s="10"/>
      <c r="J959" s="10"/>
      <c r="K959" s="16" t="str">
        <f t="shared" si="312"/>
        <v/>
      </c>
      <c r="L959" s="23" t="str">
        <f t="shared" si="313"/>
        <v/>
      </c>
      <c r="M959" s="22" t="str">
        <f t="shared" si="314"/>
        <v/>
      </c>
      <c r="N959" s="72"/>
      <c r="O959" s="16" t="str">
        <f t="shared" si="315"/>
        <v/>
      </c>
      <c r="P959" s="16" t="str">
        <f t="shared" si="316"/>
        <v/>
      </c>
      <c r="Q959" s="16" t="str">
        <f t="shared" si="317"/>
        <v/>
      </c>
      <c r="R959" s="23" t="str">
        <f t="shared" si="318"/>
        <v/>
      </c>
      <c r="S959" s="23" t="str">
        <f t="shared" si="319"/>
        <v/>
      </c>
      <c r="T959" s="23" t="str">
        <f t="shared" si="320"/>
        <v/>
      </c>
      <c r="U959" s="23" t="str">
        <f t="shared" si="321"/>
        <v/>
      </c>
      <c r="V959" s="23" t="str">
        <f t="shared" si="322"/>
        <v/>
      </c>
      <c r="W959" s="70" t="str">
        <f t="shared" si="323"/>
        <v/>
      </c>
      <c r="X959" s="70" t="str">
        <f t="shared" si="324"/>
        <v/>
      </c>
      <c r="Y959" s="70" t="str">
        <f>IF(AND($A959&lt;&gt;"",$E959&gt;0),isLaptopBag($C959,$J959)*$D959,"")</f>
        <v/>
      </c>
      <c r="Z959" s="70" t="str">
        <f t="shared" si="325"/>
        <v/>
      </c>
      <c r="AA959" s="70" t="str">
        <f t="shared" si="326"/>
        <v/>
      </c>
      <c r="AB959" s="70" t="str">
        <f t="shared" si="327"/>
        <v/>
      </c>
      <c r="AC959" s="70" t="str">
        <f t="shared" si="328"/>
        <v/>
      </c>
      <c r="AD959" s="70" t="str">
        <f t="shared" si="329"/>
        <v/>
      </c>
      <c r="AE959" s="70" t="str">
        <f t="shared" si="330"/>
        <v/>
      </c>
      <c r="AF959" s="16"/>
      <c r="AG959" s="23"/>
      <c r="AH959" s="22"/>
      <c r="AJ959" s="83">
        <f t="shared" si="331"/>
        <v>0</v>
      </c>
      <c r="AO959" s="22" t="str">
        <f t="shared" si="332"/>
        <v/>
      </c>
      <c r="AP959" s="22" t="str">
        <f t="shared" si="333"/>
        <v/>
      </c>
    </row>
    <row r="960" spans="1:42" x14ac:dyDescent="0.25">
      <c r="A960" s="10"/>
      <c r="B960" s="10"/>
      <c r="C960" s="10"/>
      <c r="D960" s="10"/>
      <c r="E960" s="10"/>
      <c r="F960" s="10"/>
      <c r="G960" s="10"/>
      <c r="H960" s="17"/>
      <c r="I960" s="10"/>
      <c r="J960" s="10"/>
      <c r="K960" s="16" t="str">
        <f t="shared" si="312"/>
        <v/>
      </c>
      <c r="L960" s="23" t="str">
        <f t="shared" si="313"/>
        <v/>
      </c>
      <c r="M960" s="22" t="str">
        <f t="shared" si="314"/>
        <v/>
      </c>
      <c r="N960" s="72"/>
      <c r="O960" s="16" t="str">
        <f t="shared" si="315"/>
        <v/>
      </c>
      <c r="P960" s="16" t="str">
        <f t="shared" si="316"/>
        <v/>
      </c>
      <c r="Q960" s="16" t="str">
        <f t="shared" si="317"/>
        <v/>
      </c>
      <c r="R960" s="23" t="str">
        <f t="shared" si="318"/>
        <v/>
      </c>
      <c r="S960" s="23" t="str">
        <f t="shared" si="319"/>
        <v/>
      </c>
      <c r="T960" s="23" t="str">
        <f t="shared" si="320"/>
        <v/>
      </c>
      <c r="U960" s="23" t="str">
        <f t="shared" si="321"/>
        <v/>
      </c>
      <c r="V960" s="23" t="str">
        <f t="shared" si="322"/>
        <v/>
      </c>
      <c r="W960" s="70" t="str">
        <f t="shared" si="323"/>
        <v/>
      </c>
      <c r="X960" s="70" t="str">
        <f t="shared" si="324"/>
        <v/>
      </c>
      <c r="Y960" s="70" t="str">
        <f>IF(AND($A960&lt;&gt;"",$E960&gt;0),isLaptopBag($C960,$J960)*$D960,"")</f>
        <v/>
      </c>
      <c r="Z960" s="70" t="str">
        <f t="shared" si="325"/>
        <v/>
      </c>
      <c r="AA960" s="70" t="str">
        <f t="shared" si="326"/>
        <v/>
      </c>
      <c r="AB960" s="70" t="str">
        <f t="shared" si="327"/>
        <v/>
      </c>
      <c r="AC960" s="70" t="str">
        <f t="shared" si="328"/>
        <v/>
      </c>
      <c r="AD960" s="70" t="str">
        <f t="shared" si="329"/>
        <v/>
      </c>
      <c r="AE960" s="70" t="str">
        <f t="shared" si="330"/>
        <v/>
      </c>
      <c r="AF960" s="16"/>
      <c r="AG960" s="23"/>
      <c r="AH960" s="22"/>
      <c r="AJ960" s="83">
        <f t="shared" si="331"/>
        <v>0</v>
      </c>
      <c r="AO960" s="22" t="str">
        <f t="shared" si="332"/>
        <v/>
      </c>
      <c r="AP960" s="22" t="str">
        <f t="shared" si="333"/>
        <v/>
      </c>
    </row>
    <row r="961" spans="1:42" x14ac:dyDescent="0.25">
      <c r="A961" s="10"/>
      <c r="B961" s="10"/>
      <c r="C961" s="10"/>
      <c r="D961" s="10"/>
      <c r="E961" s="10"/>
      <c r="F961" s="10"/>
      <c r="G961" s="10"/>
      <c r="H961" s="17"/>
      <c r="I961" s="10"/>
      <c r="J961" s="10"/>
      <c r="K961" s="16" t="str">
        <f t="shared" si="312"/>
        <v/>
      </c>
      <c r="L961" s="23" t="str">
        <f t="shared" si="313"/>
        <v/>
      </c>
      <c r="M961" s="22" t="str">
        <f t="shared" si="314"/>
        <v/>
      </c>
      <c r="N961" s="72"/>
      <c r="O961" s="16" t="str">
        <f t="shared" si="315"/>
        <v/>
      </c>
      <c r="P961" s="16" t="str">
        <f t="shared" si="316"/>
        <v/>
      </c>
      <c r="Q961" s="16" t="str">
        <f t="shared" si="317"/>
        <v/>
      </c>
      <c r="R961" s="23" t="str">
        <f t="shared" si="318"/>
        <v/>
      </c>
      <c r="S961" s="23" t="str">
        <f t="shared" si="319"/>
        <v/>
      </c>
      <c r="T961" s="23" t="str">
        <f t="shared" si="320"/>
        <v/>
      </c>
      <c r="U961" s="23" t="str">
        <f t="shared" si="321"/>
        <v/>
      </c>
      <c r="V961" s="23" t="str">
        <f t="shared" si="322"/>
        <v/>
      </c>
      <c r="W961" s="70" t="str">
        <f t="shared" si="323"/>
        <v/>
      </c>
      <c r="X961" s="70" t="str">
        <f t="shared" si="324"/>
        <v/>
      </c>
      <c r="Y961" s="70" t="str">
        <f>IF(AND($A961&lt;&gt;"",$E961&gt;0),isLaptopBag($C961,$J961)*$D961,"")</f>
        <v/>
      </c>
      <c r="Z961" s="70" t="str">
        <f t="shared" si="325"/>
        <v/>
      </c>
      <c r="AA961" s="70" t="str">
        <f t="shared" si="326"/>
        <v/>
      </c>
      <c r="AB961" s="70" t="str">
        <f t="shared" si="327"/>
        <v/>
      </c>
      <c r="AC961" s="70" t="str">
        <f t="shared" si="328"/>
        <v/>
      </c>
      <c r="AD961" s="70" t="str">
        <f t="shared" si="329"/>
        <v/>
      </c>
      <c r="AE961" s="70" t="str">
        <f t="shared" si="330"/>
        <v/>
      </c>
      <c r="AF961" s="16"/>
      <c r="AG961" s="23"/>
      <c r="AH961" s="22"/>
      <c r="AJ961" s="83">
        <f t="shared" si="331"/>
        <v>0</v>
      </c>
      <c r="AO961" s="22" t="str">
        <f t="shared" si="332"/>
        <v/>
      </c>
      <c r="AP961" s="22" t="str">
        <f t="shared" si="333"/>
        <v/>
      </c>
    </row>
    <row r="962" spans="1:42" x14ac:dyDescent="0.25">
      <c r="A962" s="10"/>
      <c r="B962" s="10"/>
      <c r="C962" s="10"/>
      <c r="D962" s="10"/>
      <c r="E962" s="10"/>
      <c r="F962" s="10"/>
      <c r="G962" s="10"/>
      <c r="H962" s="17"/>
      <c r="I962" s="10"/>
      <c r="J962" s="10"/>
      <c r="K962" s="16" t="str">
        <f t="shared" si="312"/>
        <v/>
      </c>
      <c r="L962" s="23" t="str">
        <f t="shared" si="313"/>
        <v/>
      </c>
      <c r="M962" s="22" t="str">
        <f t="shared" si="314"/>
        <v/>
      </c>
      <c r="N962" s="72"/>
      <c r="O962" s="16" t="str">
        <f t="shared" si="315"/>
        <v/>
      </c>
      <c r="P962" s="16" t="str">
        <f t="shared" si="316"/>
        <v/>
      </c>
      <c r="Q962" s="16" t="str">
        <f t="shared" si="317"/>
        <v/>
      </c>
      <c r="R962" s="23" t="str">
        <f t="shared" si="318"/>
        <v/>
      </c>
      <c r="S962" s="23" t="str">
        <f t="shared" si="319"/>
        <v/>
      </c>
      <c r="T962" s="23" t="str">
        <f t="shared" si="320"/>
        <v/>
      </c>
      <c r="U962" s="23" t="str">
        <f t="shared" si="321"/>
        <v/>
      </c>
      <c r="V962" s="23" t="str">
        <f t="shared" si="322"/>
        <v/>
      </c>
      <c r="W962" s="70" t="str">
        <f t="shared" si="323"/>
        <v/>
      </c>
      <c r="X962" s="70" t="str">
        <f t="shared" si="324"/>
        <v/>
      </c>
      <c r="Y962" s="70" t="str">
        <f>IF(AND($A962&lt;&gt;"",$E962&gt;0),isLaptopBag($C962,$J962)*$D962,"")</f>
        <v/>
      </c>
      <c r="Z962" s="70" t="str">
        <f t="shared" si="325"/>
        <v/>
      </c>
      <c r="AA962" s="70" t="str">
        <f t="shared" si="326"/>
        <v/>
      </c>
      <c r="AB962" s="70" t="str">
        <f t="shared" si="327"/>
        <v/>
      </c>
      <c r="AC962" s="70" t="str">
        <f t="shared" si="328"/>
        <v/>
      </c>
      <c r="AD962" s="70" t="str">
        <f t="shared" si="329"/>
        <v/>
      </c>
      <c r="AE962" s="70" t="str">
        <f t="shared" si="330"/>
        <v/>
      </c>
      <c r="AF962" s="16"/>
      <c r="AG962" s="23"/>
      <c r="AH962" s="22"/>
      <c r="AJ962" s="83">
        <f t="shared" si="331"/>
        <v>0</v>
      </c>
      <c r="AO962" s="22" t="str">
        <f t="shared" si="332"/>
        <v/>
      </c>
      <c r="AP962" s="22" t="str">
        <f t="shared" si="333"/>
        <v/>
      </c>
    </row>
    <row r="963" spans="1:42" x14ac:dyDescent="0.25">
      <c r="A963" s="10"/>
      <c r="B963" s="10"/>
      <c r="C963" s="10"/>
      <c r="D963" s="10"/>
      <c r="E963" s="10"/>
      <c r="F963" s="10"/>
      <c r="G963" s="10"/>
      <c r="H963" s="17"/>
      <c r="I963" s="10"/>
      <c r="J963" s="10"/>
      <c r="K963" s="16" t="str">
        <f t="shared" si="312"/>
        <v/>
      </c>
      <c r="L963" s="23" t="str">
        <f t="shared" si="313"/>
        <v/>
      </c>
      <c r="M963" s="22" t="str">
        <f t="shared" si="314"/>
        <v/>
      </c>
      <c r="N963" s="72"/>
      <c r="O963" s="16" t="str">
        <f t="shared" si="315"/>
        <v/>
      </c>
      <c r="P963" s="16" t="str">
        <f t="shared" si="316"/>
        <v/>
      </c>
      <c r="Q963" s="16" t="str">
        <f t="shared" si="317"/>
        <v/>
      </c>
      <c r="R963" s="23" t="str">
        <f t="shared" si="318"/>
        <v/>
      </c>
      <c r="S963" s="23" t="str">
        <f t="shared" si="319"/>
        <v/>
      </c>
      <c r="T963" s="23" t="str">
        <f t="shared" si="320"/>
        <v/>
      </c>
      <c r="U963" s="23" t="str">
        <f t="shared" si="321"/>
        <v/>
      </c>
      <c r="V963" s="23" t="str">
        <f t="shared" si="322"/>
        <v/>
      </c>
      <c r="W963" s="70" t="str">
        <f t="shared" si="323"/>
        <v/>
      </c>
      <c r="X963" s="70" t="str">
        <f t="shared" si="324"/>
        <v/>
      </c>
      <c r="Y963" s="70" t="str">
        <f>IF(AND($A963&lt;&gt;"",$E963&gt;0),isLaptopBag($C963,$J963)*$D963,"")</f>
        <v/>
      </c>
      <c r="Z963" s="70" t="str">
        <f t="shared" si="325"/>
        <v/>
      </c>
      <c r="AA963" s="70" t="str">
        <f t="shared" si="326"/>
        <v/>
      </c>
      <c r="AB963" s="70" t="str">
        <f t="shared" si="327"/>
        <v/>
      </c>
      <c r="AC963" s="70" t="str">
        <f t="shared" si="328"/>
        <v/>
      </c>
      <c r="AD963" s="70" t="str">
        <f t="shared" si="329"/>
        <v/>
      </c>
      <c r="AE963" s="70" t="str">
        <f t="shared" si="330"/>
        <v/>
      </c>
      <c r="AF963" s="16"/>
      <c r="AG963" s="23"/>
      <c r="AH963" s="22"/>
      <c r="AJ963" s="83">
        <f t="shared" si="331"/>
        <v>0</v>
      </c>
      <c r="AO963" s="22" t="str">
        <f t="shared" si="332"/>
        <v/>
      </c>
      <c r="AP963" s="22" t="str">
        <f t="shared" si="333"/>
        <v/>
      </c>
    </row>
    <row r="964" spans="1:42" x14ac:dyDescent="0.25">
      <c r="A964" s="10"/>
      <c r="B964" s="10"/>
      <c r="C964" s="10"/>
      <c r="D964" s="10"/>
      <c r="E964" s="10"/>
      <c r="F964" s="10"/>
      <c r="G964" s="10"/>
      <c r="H964" s="17"/>
      <c r="I964" s="10"/>
      <c r="J964" s="10"/>
      <c r="K964" s="16" t="str">
        <f t="shared" si="312"/>
        <v/>
      </c>
      <c r="L964" s="23" t="str">
        <f t="shared" si="313"/>
        <v/>
      </c>
      <c r="M964" s="22" t="str">
        <f t="shared" si="314"/>
        <v/>
      </c>
      <c r="N964" s="72"/>
      <c r="O964" s="16" t="str">
        <f t="shared" si="315"/>
        <v/>
      </c>
      <c r="P964" s="16" t="str">
        <f t="shared" si="316"/>
        <v/>
      </c>
      <c r="Q964" s="16" t="str">
        <f t="shared" si="317"/>
        <v/>
      </c>
      <c r="R964" s="23" t="str">
        <f t="shared" si="318"/>
        <v/>
      </c>
      <c r="S964" s="23" t="str">
        <f t="shared" si="319"/>
        <v/>
      </c>
      <c r="T964" s="23" t="str">
        <f t="shared" si="320"/>
        <v/>
      </c>
      <c r="U964" s="23" t="str">
        <f t="shared" si="321"/>
        <v/>
      </c>
      <c r="V964" s="23" t="str">
        <f t="shared" si="322"/>
        <v/>
      </c>
      <c r="W964" s="70" t="str">
        <f t="shared" si="323"/>
        <v/>
      </c>
      <c r="X964" s="70" t="str">
        <f t="shared" si="324"/>
        <v/>
      </c>
      <c r="Y964" s="70" t="str">
        <f>IF(AND($A964&lt;&gt;"",$E964&gt;0),isLaptopBag($C964,$J964)*$D964,"")</f>
        <v/>
      </c>
      <c r="Z964" s="70" t="str">
        <f t="shared" si="325"/>
        <v/>
      </c>
      <c r="AA964" s="70" t="str">
        <f t="shared" si="326"/>
        <v/>
      </c>
      <c r="AB964" s="70" t="str">
        <f t="shared" si="327"/>
        <v/>
      </c>
      <c r="AC964" s="70" t="str">
        <f t="shared" si="328"/>
        <v/>
      </c>
      <c r="AD964" s="70" t="str">
        <f t="shared" si="329"/>
        <v/>
      </c>
      <c r="AE964" s="70" t="str">
        <f t="shared" si="330"/>
        <v/>
      </c>
      <c r="AF964" s="16"/>
      <c r="AG964" s="23"/>
      <c r="AH964" s="22"/>
      <c r="AJ964" s="83">
        <f t="shared" si="331"/>
        <v>0</v>
      </c>
      <c r="AO964" s="22" t="str">
        <f t="shared" si="332"/>
        <v/>
      </c>
      <c r="AP964" s="22" t="str">
        <f t="shared" si="333"/>
        <v/>
      </c>
    </row>
    <row r="965" spans="1:42" x14ac:dyDescent="0.25">
      <c r="A965" s="10"/>
      <c r="B965" s="10"/>
      <c r="C965" s="10"/>
      <c r="D965" s="10"/>
      <c r="E965" s="10"/>
      <c r="F965" s="10"/>
      <c r="G965" s="10"/>
      <c r="H965" s="17"/>
      <c r="I965" s="10"/>
      <c r="J965" s="10"/>
      <c r="K965" s="16" t="str">
        <f t="shared" si="312"/>
        <v/>
      </c>
      <c r="L965" s="23" t="str">
        <f t="shared" si="313"/>
        <v/>
      </c>
      <c r="M965" s="22" t="str">
        <f t="shared" si="314"/>
        <v/>
      </c>
      <c r="N965" s="72"/>
      <c r="O965" s="16" t="str">
        <f t="shared" si="315"/>
        <v/>
      </c>
      <c r="P965" s="16" t="str">
        <f t="shared" si="316"/>
        <v/>
      </c>
      <c r="Q965" s="16" t="str">
        <f t="shared" si="317"/>
        <v/>
      </c>
      <c r="R965" s="23" t="str">
        <f t="shared" si="318"/>
        <v/>
      </c>
      <c r="S965" s="23" t="str">
        <f t="shared" si="319"/>
        <v/>
      </c>
      <c r="T965" s="23" t="str">
        <f t="shared" si="320"/>
        <v/>
      </c>
      <c r="U965" s="23" t="str">
        <f t="shared" si="321"/>
        <v/>
      </c>
      <c r="V965" s="23" t="str">
        <f t="shared" si="322"/>
        <v/>
      </c>
      <c r="W965" s="70" t="str">
        <f t="shared" si="323"/>
        <v/>
      </c>
      <c r="X965" s="70" t="str">
        <f t="shared" si="324"/>
        <v/>
      </c>
      <c r="Y965" s="70" t="str">
        <f>IF(AND($A965&lt;&gt;"",$E965&gt;0),isLaptopBag($C965,$J965)*$D965,"")</f>
        <v/>
      </c>
      <c r="Z965" s="70" t="str">
        <f t="shared" si="325"/>
        <v/>
      </c>
      <c r="AA965" s="70" t="str">
        <f t="shared" si="326"/>
        <v/>
      </c>
      <c r="AB965" s="70" t="str">
        <f t="shared" si="327"/>
        <v/>
      </c>
      <c r="AC965" s="70" t="str">
        <f t="shared" si="328"/>
        <v/>
      </c>
      <c r="AD965" s="70" t="str">
        <f t="shared" si="329"/>
        <v/>
      </c>
      <c r="AE965" s="70" t="str">
        <f t="shared" si="330"/>
        <v/>
      </c>
      <c r="AF965" s="16"/>
      <c r="AG965" s="23"/>
      <c r="AH965" s="22"/>
      <c r="AJ965" s="83">
        <f t="shared" si="331"/>
        <v>0</v>
      </c>
      <c r="AO965" s="22" t="str">
        <f t="shared" si="332"/>
        <v/>
      </c>
      <c r="AP965" s="22" t="str">
        <f t="shared" si="333"/>
        <v/>
      </c>
    </row>
    <row r="966" spans="1:42" x14ac:dyDescent="0.25">
      <c r="A966" s="10"/>
      <c r="B966" s="10"/>
      <c r="C966" s="10"/>
      <c r="D966" s="10"/>
      <c r="E966" s="10"/>
      <c r="F966" s="10"/>
      <c r="G966" s="10"/>
      <c r="H966" s="17"/>
      <c r="I966" s="10"/>
      <c r="J966" s="10"/>
      <c r="K966" s="16" t="str">
        <f t="shared" si="312"/>
        <v/>
      </c>
      <c r="L966" s="23" t="str">
        <f t="shared" si="313"/>
        <v/>
      </c>
      <c r="M966" s="22" t="str">
        <f t="shared" si="314"/>
        <v/>
      </c>
      <c r="N966" s="72"/>
      <c r="O966" s="16" t="str">
        <f t="shared" si="315"/>
        <v/>
      </c>
      <c r="P966" s="16" t="str">
        <f t="shared" si="316"/>
        <v/>
      </c>
      <c r="Q966" s="16" t="str">
        <f t="shared" si="317"/>
        <v/>
      </c>
      <c r="R966" s="23" t="str">
        <f t="shared" si="318"/>
        <v/>
      </c>
      <c r="S966" s="23" t="str">
        <f t="shared" si="319"/>
        <v/>
      </c>
      <c r="T966" s="23" t="str">
        <f t="shared" si="320"/>
        <v/>
      </c>
      <c r="U966" s="23" t="str">
        <f t="shared" si="321"/>
        <v/>
      </c>
      <c r="V966" s="23" t="str">
        <f t="shared" si="322"/>
        <v/>
      </c>
      <c r="W966" s="70" t="str">
        <f t="shared" si="323"/>
        <v/>
      </c>
      <c r="X966" s="70" t="str">
        <f t="shared" si="324"/>
        <v/>
      </c>
      <c r="Y966" s="70" t="str">
        <f>IF(AND($A966&lt;&gt;"",$E966&gt;0),isLaptopBag($C966,$J966)*$D966,"")</f>
        <v/>
      </c>
      <c r="Z966" s="70" t="str">
        <f t="shared" si="325"/>
        <v/>
      </c>
      <c r="AA966" s="70" t="str">
        <f t="shared" si="326"/>
        <v/>
      </c>
      <c r="AB966" s="70" t="str">
        <f t="shared" si="327"/>
        <v/>
      </c>
      <c r="AC966" s="70" t="str">
        <f t="shared" si="328"/>
        <v/>
      </c>
      <c r="AD966" s="70" t="str">
        <f t="shared" si="329"/>
        <v/>
      </c>
      <c r="AE966" s="70" t="str">
        <f t="shared" si="330"/>
        <v/>
      </c>
      <c r="AF966" s="16"/>
      <c r="AG966" s="23"/>
      <c r="AH966" s="22"/>
      <c r="AJ966" s="83">
        <f t="shared" si="331"/>
        <v>0</v>
      </c>
      <c r="AO966" s="22" t="str">
        <f t="shared" si="332"/>
        <v/>
      </c>
      <c r="AP966" s="22" t="str">
        <f t="shared" si="333"/>
        <v/>
      </c>
    </row>
    <row r="967" spans="1:42" x14ac:dyDescent="0.25">
      <c r="A967" s="10"/>
      <c r="B967" s="10"/>
      <c r="C967" s="10"/>
      <c r="D967" s="10"/>
      <c r="E967" s="10"/>
      <c r="F967" s="10"/>
      <c r="G967" s="10"/>
      <c r="H967" s="17"/>
      <c r="I967" s="10"/>
      <c r="J967" s="10"/>
      <c r="K967" s="16" t="str">
        <f t="shared" si="312"/>
        <v/>
      </c>
      <c r="L967" s="23" t="str">
        <f t="shared" si="313"/>
        <v/>
      </c>
      <c r="M967" s="22" t="str">
        <f t="shared" si="314"/>
        <v/>
      </c>
      <c r="N967" s="72"/>
      <c r="O967" s="16" t="str">
        <f t="shared" si="315"/>
        <v/>
      </c>
      <c r="P967" s="16" t="str">
        <f t="shared" si="316"/>
        <v/>
      </c>
      <c r="Q967" s="16" t="str">
        <f t="shared" si="317"/>
        <v/>
      </c>
      <c r="R967" s="23" t="str">
        <f t="shared" si="318"/>
        <v/>
      </c>
      <c r="S967" s="23" t="str">
        <f t="shared" si="319"/>
        <v/>
      </c>
      <c r="T967" s="23" t="str">
        <f t="shared" si="320"/>
        <v/>
      </c>
      <c r="U967" s="23" t="str">
        <f t="shared" si="321"/>
        <v/>
      </c>
      <c r="V967" s="23" t="str">
        <f t="shared" si="322"/>
        <v/>
      </c>
      <c r="W967" s="70" t="str">
        <f t="shared" si="323"/>
        <v/>
      </c>
      <c r="X967" s="70" t="str">
        <f t="shared" si="324"/>
        <v/>
      </c>
      <c r="Y967" s="70" t="str">
        <f>IF(AND($A967&lt;&gt;"",$E967&gt;0),isLaptopBag($C967,$J967)*$D967,"")</f>
        <v/>
      </c>
      <c r="Z967" s="70" t="str">
        <f t="shared" si="325"/>
        <v/>
      </c>
      <c r="AA967" s="70" t="str">
        <f t="shared" si="326"/>
        <v/>
      </c>
      <c r="AB967" s="70" t="str">
        <f t="shared" si="327"/>
        <v/>
      </c>
      <c r="AC967" s="70" t="str">
        <f t="shared" si="328"/>
        <v/>
      </c>
      <c r="AD967" s="70" t="str">
        <f t="shared" si="329"/>
        <v/>
      </c>
      <c r="AE967" s="70" t="str">
        <f t="shared" si="330"/>
        <v/>
      </c>
      <c r="AF967" s="16"/>
      <c r="AG967" s="23"/>
      <c r="AH967" s="22"/>
      <c r="AJ967" s="83">
        <f t="shared" si="331"/>
        <v>0</v>
      </c>
      <c r="AO967" s="22" t="str">
        <f t="shared" si="332"/>
        <v/>
      </c>
      <c r="AP967" s="22" t="str">
        <f t="shared" si="333"/>
        <v/>
      </c>
    </row>
    <row r="968" spans="1:42" x14ac:dyDescent="0.25">
      <c r="A968" s="10"/>
      <c r="B968" s="10"/>
      <c r="C968" s="10"/>
      <c r="D968" s="10"/>
      <c r="E968" s="10"/>
      <c r="F968" s="10"/>
      <c r="G968" s="10"/>
      <c r="H968" s="17"/>
      <c r="I968" s="10"/>
      <c r="J968" s="10"/>
      <c r="K968" s="16" t="str">
        <f t="shared" si="312"/>
        <v/>
      </c>
      <c r="L968" s="23" t="str">
        <f t="shared" si="313"/>
        <v/>
      </c>
      <c r="M968" s="22" t="str">
        <f t="shared" si="314"/>
        <v/>
      </c>
      <c r="N968" s="72"/>
      <c r="O968" s="16" t="str">
        <f t="shared" si="315"/>
        <v/>
      </c>
      <c r="P968" s="16" t="str">
        <f t="shared" si="316"/>
        <v/>
      </c>
      <c r="Q968" s="16" t="str">
        <f t="shared" si="317"/>
        <v/>
      </c>
      <c r="R968" s="23" t="str">
        <f t="shared" si="318"/>
        <v/>
      </c>
      <c r="S968" s="23" t="str">
        <f t="shared" si="319"/>
        <v/>
      </c>
      <c r="T968" s="23" t="str">
        <f t="shared" si="320"/>
        <v/>
      </c>
      <c r="U968" s="23" t="str">
        <f t="shared" si="321"/>
        <v/>
      </c>
      <c r="V968" s="23" t="str">
        <f t="shared" si="322"/>
        <v/>
      </c>
      <c r="W968" s="70" t="str">
        <f t="shared" si="323"/>
        <v/>
      </c>
      <c r="X968" s="70" t="str">
        <f t="shared" si="324"/>
        <v/>
      </c>
      <c r="Y968" s="70" t="str">
        <f>IF(AND($A968&lt;&gt;"",$E968&gt;0),isLaptopBag($C968,$J968)*$D968,"")</f>
        <v/>
      </c>
      <c r="Z968" s="70" t="str">
        <f t="shared" si="325"/>
        <v/>
      </c>
      <c r="AA968" s="70" t="str">
        <f t="shared" si="326"/>
        <v/>
      </c>
      <c r="AB968" s="70" t="str">
        <f t="shared" si="327"/>
        <v/>
      </c>
      <c r="AC968" s="70" t="str">
        <f t="shared" si="328"/>
        <v/>
      </c>
      <c r="AD968" s="70" t="str">
        <f t="shared" si="329"/>
        <v/>
      </c>
      <c r="AE968" s="70" t="str">
        <f t="shared" si="330"/>
        <v/>
      </c>
      <c r="AF968" s="16"/>
      <c r="AG968" s="23"/>
      <c r="AH968" s="22"/>
      <c r="AJ968" s="83">
        <f t="shared" si="331"/>
        <v>0</v>
      </c>
      <c r="AO968" s="22" t="str">
        <f t="shared" si="332"/>
        <v/>
      </c>
      <c r="AP968" s="22" t="str">
        <f t="shared" si="333"/>
        <v/>
      </c>
    </row>
    <row r="969" spans="1:42" x14ac:dyDescent="0.25">
      <c r="A969" s="10"/>
      <c r="B969" s="10"/>
      <c r="C969" s="10"/>
      <c r="D969" s="10"/>
      <c r="E969" s="10"/>
      <c r="F969" s="10"/>
      <c r="G969" s="10"/>
      <c r="H969" s="17"/>
      <c r="I969" s="10"/>
      <c r="J969" s="10"/>
      <c r="K969" s="16" t="str">
        <f t="shared" si="312"/>
        <v/>
      </c>
      <c r="L969" s="23" t="str">
        <f t="shared" si="313"/>
        <v/>
      </c>
      <c r="M969" s="22" t="str">
        <f t="shared" si="314"/>
        <v/>
      </c>
      <c r="N969" s="72"/>
      <c r="O969" s="16" t="str">
        <f t="shared" si="315"/>
        <v/>
      </c>
      <c r="P969" s="16" t="str">
        <f t="shared" si="316"/>
        <v/>
      </c>
      <c r="Q969" s="16" t="str">
        <f t="shared" si="317"/>
        <v/>
      </c>
      <c r="R969" s="23" t="str">
        <f t="shared" si="318"/>
        <v/>
      </c>
      <c r="S969" s="23" t="str">
        <f t="shared" si="319"/>
        <v/>
      </c>
      <c r="T969" s="23" t="str">
        <f t="shared" si="320"/>
        <v/>
      </c>
      <c r="U969" s="23" t="str">
        <f t="shared" si="321"/>
        <v/>
      </c>
      <c r="V969" s="23" t="str">
        <f t="shared" si="322"/>
        <v/>
      </c>
      <c r="W969" s="70" t="str">
        <f t="shared" si="323"/>
        <v/>
      </c>
      <c r="X969" s="70" t="str">
        <f t="shared" si="324"/>
        <v/>
      </c>
      <c r="Y969" s="70" t="str">
        <f>IF(AND($A969&lt;&gt;"",$E969&gt;0),isLaptopBag($C969,$J969)*$D969,"")</f>
        <v/>
      </c>
      <c r="Z969" s="70" t="str">
        <f t="shared" si="325"/>
        <v/>
      </c>
      <c r="AA969" s="70" t="str">
        <f t="shared" si="326"/>
        <v/>
      </c>
      <c r="AB969" s="70" t="str">
        <f t="shared" si="327"/>
        <v/>
      </c>
      <c r="AC969" s="70" t="str">
        <f t="shared" si="328"/>
        <v/>
      </c>
      <c r="AD969" s="70" t="str">
        <f t="shared" si="329"/>
        <v/>
      </c>
      <c r="AE969" s="70" t="str">
        <f t="shared" si="330"/>
        <v/>
      </c>
      <c r="AF969" s="16"/>
      <c r="AG969" s="23"/>
      <c r="AH969" s="22"/>
      <c r="AJ969" s="83">
        <f t="shared" si="331"/>
        <v>0</v>
      </c>
      <c r="AO969" s="22" t="str">
        <f t="shared" si="332"/>
        <v/>
      </c>
      <c r="AP969" s="22" t="str">
        <f t="shared" si="333"/>
        <v/>
      </c>
    </row>
    <row r="970" spans="1:42" x14ac:dyDescent="0.25">
      <c r="A970" s="10"/>
      <c r="B970" s="10"/>
      <c r="C970" s="10"/>
      <c r="D970" s="10"/>
      <c r="E970" s="10"/>
      <c r="F970" s="10"/>
      <c r="G970" s="10"/>
      <c r="H970" s="17"/>
      <c r="I970" s="10"/>
      <c r="J970" s="10"/>
      <c r="K970" s="16" t="str">
        <f t="shared" si="312"/>
        <v/>
      </c>
      <c r="L970" s="23" t="str">
        <f t="shared" si="313"/>
        <v/>
      </c>
      <c r="M970" s="22" t="str">
        <f t="shared" si="314"/>
        <v/>
      </c>
      <c r="N970" s="72"/>
      <c r="O970" s="16" t="str">
        <f t="shared" si="315"/>
        <v/>
      </c>
      <c r="P970" s="16" t="str">
        <f t="shared" si="316"/>
        <v/>
      </c>
      <c r="Q970" s="16" t="str">
        <f t="shared" si="317"/>
        <v/>
      </c>
      <c r="R970" s="23" t="str">
        <f t="shared" si="318"/>
        <v/>
      </c>
      <c r="S970" s="23" t="str">
        <f t="shared" si="319"/>
        <v/>
      </c>
      <c r="T970" s="23" t="str">
        <f t="shared" si="320"/>
        <v/>
      </c>
      <c r="U970" s="23" t="str">
        <f t="shared" si="321"/>
        <v/>
      </c>
      <c r="V970" s="23" t="str">
        <f t="shared" si="322"/>
        <v/>
      </c>
      <c r="W970" s="70" t="str">
        <f t="shared" si="323"/>
        <v/>
      </c>
      <c r="X970" s="70" t="str">
        <f t="shared" si="324"/>
        <v/>
      </c>
      <c r="Y970" s="70" t="str">
        <f>IF(AND($A970&lt;&gt;"",$E970&gt;0),isLaptopBag($C970,$J970)*$D970,"")</f>
        <v/>
      </c>
      <c r="Z970" s="70" t="str">
        <f t="shared" si="325"/>
        <v/>
      </c>
      <c r="AA970" s="70" t="str">
        <f t="shared" si="326"/>
        <v/>
      </c>
      <c r="AB970" s="70" t="str">
        <f t="shared" si="327"/>
        <v/>
      </c>
      <c r="AC970" s="70" t="str">
        <f t="shared" si="328"/>
        <v/>
      </c>
      <c r="AD970" s="70" t="str">
        <f t="shared" si="329"/>
        <v/>
      </c>
      <c r="AE970" s="70" t="str">
        <f t="shared" si="330"/>
        <v/>
      </c>
      <c r="AF970" s="16"/>
      <c r="AG970" s="23"/>
      <c r="AH970" s="22"/>
      <c r="AJ970" s="83">
        <f t="shared" si="331"/>
        <v>0</v>
      </c>
      <c r="AO970" s="22" t="str">
        <f t="shared" si="332"/>
        <v/>
      </c>
      <c r="AP970" s="22" t="str">
        <f t="shared" si="333"/>
        <v/>
      </c>
    </row>
    <row r="971" spans="1:42" x14ac:dyDescent="0.25">
      <c r="A971" s="10"/>
      <c r="B971" s="10"/>
      <c r="C971" s="10"/>
      <c r="D971" s="10"/>
      <c r="E971" s="10"/>
      <c r="F971" s="10"/>
      <c r="G971" s="10"/>
      <c r="H971" s="17"/>
      <c r="I971" s="10"/>
      <c r="J971" s="10"/>
      <c r="K971" s="16" t="str">
        <f t="shared" si="312"/>
        <v/>
      </c>
      <c r="L971" s="23" t="str">
        <f t="shared" si="313"/>
        <v/>
      </c>
      <c r="M971" s="22" t="str">
        <f t="shared" si="314"/>
        <v/>
      </c>
      <c r="N971" s="72"/>
      <c r="O971" s="16" t="str">
        <f t="shared" si="315"/>
        <v/>
      </c>
      <c r="P971" s="16" t="str">
        <f t="shared" si="316"/>
        <v/>
      </c>
      <c r="Q971" s="16" t="str">
        <f t="shared" si="317"/>
        <v/>
      </c>
      <c r="R971" s="23" t="str">
        <f t="shared" si="318"/>
        <v/>
      </c>
      <c r="S971" s="23" t="str">
        <f t="shared" si="319"/>
        <v/>
      </c>
      <c r="T971" s="23" t="str">
        <f t="shared" si="320"/>
        <v/>
      </c>
      <c r="U971" s="23" t="str">
        <f t="shared" si="321"/>
        <v/>
      </c>
      <c r="V971" s="23" t="str">
        <f t="shared" si="322"/>
        <v/>
      </c>
      <c r="W971" s="70" t="str">
        <f t="shared" si="323"/>
        <v/>
      </c>
      <c r="X971" s="70" t="str">
        <f t="shared" si="324"/>
        <v/>
      </c>
      <c r="Y971" s="70" t="str">
        <f>IF(AND($A971&lt;&gt;"",$E971&gt;0),isLaptopBag($C971,$J971)*$D971,"")</f>
        <v/>
      </c>
      <c r="Z971" s="70" t="str">
        <f t="shared" si="325"/>
        <v/>
      </c>
      <c r="AA971" s="70" t="str">
        <f t="shared" si="326"/>
        <v/>
      </c>
      <c r="AB971" s="70" t="str">
        <f t="shared" si="327"/>
        <v/>
      </c>
      <c r="AC971" s="70" t="str">
        <f t="shared" si="328"/>
        <v/>
      </c>
      <c r="AD971" s="70" t="str">
        <f t="shared" si="329"/>
        <v/>
      </c>
      <c r="AE971" s="70" t="str">
        <f t="shared" si="330"/>
        <v/>
      </c>
      <c r="AF971" s="16"/>
      <c r="AG971" s="23"/>
      <c r="AH971" s="22"/>
      <c r="AJ971" s="83">
        <f t="shared" si="331"/>
        <v>0</v>
      </c>
      <c r="AO971" s="22" t="str">
        <f t="shared" si="332"/>
        <v/>
      </c>
      <c r="AP971" s="22" t="str">
        <f t="shared" si="333"/>
        <v/>
      </c>
    </row>
    <row r="972" spans="1:42" x14ac:dyDescent="0.25">
      <c r="A972" s="10"/>
      <c r="B972" s="10"/>
      <c r="C972" s="10"/>
      <c r="D972" s="10"/>
      <c r="E972" s="10"/>
      <c r="F972" s="10"/>
      <c r="G972" s="10"/>
      <c r="H972" s="17"/>
      <c r="I972" s="10"/>
      <c r="J972" s="10"/>
      <c r="K972" s="16" t="str">
        <f t="shared" si="312"/>
        <v/>
      </c>
      <c r="L972" s="23" t="str">
        <f t="shared" si="313"/>
        <v/>
      </c>
      <c r="M972" s="22" t="str">
        <f t="shared" si="314"/>
        <v/>
      </c>
      <c r="N972" s="72"/>
      <c r="O972" s="16" t="str">
        <f t="shared" si="315"/>
        <v/>
      </c>
      <c r="P972" s="16" t="str">
        <f t="shared" si="316"/>
        <v/>
      </c>
      <c r="Q972" s="16" t="str">
        <f t="shared" si="317"/>
        <v/>
      </c>
      <c r="R972" s="23" t="str">
        <f t="shared" si="318"/>
        <v/>
      </c>
      <c r="S972" s="23" t="str">
        <f t="shared" si="319"/>
        <v/>
      </c>
      <c r="T972" s="23" t="str">
        <f t="shared" si="320"/>
        <v/>
      </c>
      <c r="U972" s="23" t="str">
        <f t="shared" si="321"/>
        <v/>
      </c>
      <c r="V972" s="23" t="str">
        <f t="shared" si="322"/>
        <v/>
      </c>
      <c r="W972" s="70" t="str">
        <f t="shared" si="323"/>
        <v/>
      </c>
      <c r="X972" s="70" t="str">
        <f t="shared" si="324"/>
        <v/>
      </c>
      <c r="Y972" s="70" t="str">
        <f>IF(AND($A972&lt;&gt;"",$E972&gt;0),isLaptopBag($C972,$J972)*$D972,"")</f>
        <v/>
      </c>
      <c r="Z972" s="70" t="str">
        <f t="shared" si="325"/>
        <v/>
      </c>
      <c r="AA972" s="70" t="str">
        <f t="shared" si="326"/>
        <v/>
      </c>
      <c r="AB972" s="70" t="str">
        <f t="shared" si="327"/>
        <v/>
      </c>
      <c r="AC972" s="70" t="str">
        <f t="shared" si="328"/>
        <v/>
      </c>
      <c r="AD972" s="70" t="str">
        <f t="shared" si="329"/>
        <v/>
      </c>
      <c r="AE972" s="70" t="str">
        <f t="shared" si="330"/>
        <v/>
      </c>
      <c r="AF972" s="16"/>
      <c r="AG972" s="23"/>
      <c r="AH972" s="22"/>
      <c r="AJ972" s="83">
        <f t="shared" si="331"/>
        <v>0</v>
      </c>
      <c r="AO972" s="22" t="str">
        <f t="shared" si="332"/>
        <v/>
      </c>
      <c r="AP972" s="22" t="str">
        <f t="shared" si="333"/>
        <v/>
      </c>
    </row>
    <row r="973" spans="1:42" x14ac:dyDescent="0.25">
      <c r="A973" s="10"/>
      <c r="B973" s="10"/>
      <c r="C973" s="10"/>
      <c r="D973" s="10"/>
      <c r="E973" s="10"/>
      <c r="F973" s="10"/>
      <c r="G973" s="10"/>
      <c r="H973" s="17"/>
      <c r="I973" s="10"/>
      <c r="J973" s="10"/>
      <c r="K973" s="16" t="str">
        <f t="shared" ref="K973:K1036" si="334">IF($AF973&lt;&gt;"",$AF973,IF(AND($A973&lt;&gt;"",$E973&gt;0),SUM($O973:$Q973),""))</f>
        <v/>
      </c>
      <c r="L973" s="23" t="str">
        <f t="shared" ref="L973:L1036" si="335">IF($AG973&lt;&gt;"",$AG973,IF(AND($A973&lt;&gt;"",$E973&gt;0),SUM($R973:$V973),""))</f>
        <v/>
      </c>
      <c r="M973" s="22" t="str">
        <f t="shared" ref="M973:M1036" si="336">IF($AH973&lt;&gt;"",$AH973,IF(AND($A973&lt;&gt;"",$E973&gt;0),SUM($W973:$AE973)+$AO973+$AP973,""))</f>
        <v/>
      </c>
      <c r="N973" s="72"/>
      <c r="O973" s="16" t="str">
        <f t="shared" ref="O973:O1036" si="337">IF(AND($A973&lt;&gt;"",$E973&gt;0),IF(AND($J973="SONY",200000&lt;=$E973,$E973&lt;1000000),5000*$D973,0),"")</f>
        <v/>
      </c>
      <c r="P973" s="16" t="str">
        <f t="shared" ref="P973:P1036" si="338">IF(AND($A973&lt;&gt;"",$E973&gt;0),IF(AND($J973="SONY",1000000&lt;=$E973,$E973&lt;2000000),10000*$D973,0),"")</f>
        <v/>
      </c>
      <c r="Q973" s="16" t="str">
        <f t="shared" ref="Q973:Q1036" si="339">IF(AND($A973&lt;&gt;"",$E973&gt;0),IF(AND($J973="SONY",$E973&gt;=2000000),20000*$D973,0),"")</f>
        <v/>
      </c>
      <c r="R973" s="23" t="str">
        <f t="shared" ref="R973:R1036" si="340">IF(AND($A973&lt;&gt;"",$E973&gt;0),IF(AND($J973&lt;&gt;"SONY",100000&lt;=$E973,$E973&lt;200000),5000*$D973,0),"")</f>
        <v/>
      </c>
      <c r="S973" s="23" t="str">
        <f t="shared" ref="S973:S1036" si="341">IF(AND($A973&lt;&gt;"",$E973&gt;0),IF(AND($J973&lt;&gt;"SONY",200000&lt;=$E973,$E973&lt;500000),10000*$D973,0),"")</f>
        <v/>
      </c>
      <c r="T973" s="23" t="str">
        <f t="shared" ref="T973:T1036" si="342">IF(AND($A973&lt;&gt;"",$E973&gt;0),IF(AND($J973&lt;&gt;"SONY",500000&lt;=$E973,$E973&lt;1000000),20000*$D973,0),"")</f>
        <v/>
      </c>
      <c r="U973" s="23" t="str">
        <f t="shared" ref="U973:U1036" si="343">IF(AND($A973&lt;&gt;"",$E973&gt;0),IF(AND($J973&lt;&gt;"SONY",1000000&lt;=$E973,$E973&lt;1500000),50000*$D973,0),"")</f>
        <v/>
      </c>
      <c r="V973" s="23" t="str">
        <f t="shared" ref="V973:V1036" si="344">IF(AND($A973&lt;&gt;"",$E973&gt;0),IF(AND($J973&lt;&gt;"SONY",1500000&lt;=$E973),100000*$D973,0),"")</f>
        <v/>
      </c>
      <c r="W973" s="70" t="str">
        <f t="shared" ref="W973:W1036" si="345">IF(AND($E973&gt;0,$J973="ELECOM",$E973&gt;=500000,ISNUMBER(SEARCH("tai nghe",$C973))),20000*$D973,IF($A973&lt;&gt;"",0,""))</f>
        <v/>
      </c>
      <c r="X973" s="70" t="str">
        <f t="shared" ref="X973:X1036" si="346">IF(AND($E973&gt;0,$J973="ELECOM",ISNUMBER(SEARCH("loa",$C973))),20000*$D973,IF($A973&lt;&gt;"",0,""))</f>
        <v/>
      </c>
      <c r="Y973" s="70" t="str">
        <f>IF(AND($A973&lt;&gt;"",$E973&gt;0),isLaptopBag($C973,$J973)*$D973,"")</f>
        <v/>
      </c>
      <c r="Z973" s="70" t="str">
        <f t="shared" ref="Z973:Z1036" si="347">IF(AND($E973&gt;0,$J973="ELECOM",ISNUMBER(SEARCH("ốp",$C973))),20000*$D973,IF($A973&lt;&gt;"",0,""))</f>
        <v/>
      </c>
      <c r="AA973" s="70" t="str">
        <f t="shared" ref="AA973:AA1036" si="348">IF(AND($E973&gt;0,$J973="ELECOM",ISNUMBER(SEARCH("Bút",$C973))),20000*$D973,IF($A973&lt;&gt;"",0,""))</f>
        <v/>
      </c>
      <c r="AB973" s="70" t="str">
        <f t="shared" ref="AB973:AB1036" si="349">IF(AND($E973&gt;0,$J973="ELECOM",ISNUMBER(SEARCH("Chuột bi",$C973))),20000*$D973,IF($A973&lt;&gt;"",0,""))</f>
        <v/>
      </c>
      <c r="AC973" s="70" t="str">
        <f t="shared" ref="AC973:AC1036" si="350">IF(AND($E973&gt;0,$J973="ELECOM",ISNUMBER(SEARCH("Chuột trackball",$C973))),20000*$D973,IF($A973&lt;&gt;"",0,""))</f>
        <v/>
      </c>
      <c r="AD973" s="70" t="str">
        <f t="shared" ref="AD973:AD1036" si="351">IF(AND($E973&gt;0,$J973="ELECOM",ISNUMBER(SEARCH("Sạc không dây",$C973))),20000*$D973,IF($A973&lt;&gt;"",0,""))</f>
        <v/>
      </c>
      <c r="AE973" s="70" t="str">
        <f t="shared" ref="AE973:AE1036" si="352">IF(AND($E973&gt;0,$J973="ELECOM",ISNUMBER(SEARCH("Sạc kd",$C973))),20000*$D973,IF($A973&lt;&gt;"",0,""))</f>
        <v/>
      </c>
      <c r="AF973" s="16"/>
      <c r="AG973" s="23"/>
      <c r="AH973" s="22"/>
      <c r="AJ973" s="83">
        <f t="shared" ref="AJ973:AJ1036" si="353">DAY(H973)</f>
        <v>0</v>
      </c>
      <c r="AO973" s="22" t="str">
        <f t="shared" ref="AO973:AO1036" si="354">IF(AND($E973&gt;0,ISNUMBER(SEARCH("Sạc dự phòng Energizer",$C973))),10000*$D973,IF($A973&lt;&gt;"",0,""))</f>
        <v/>
      </c>
      <c r="AP973" s="22" t="str">
        <f t="shared" ref="AP973:AP1036" si="355">IF(AND($E973&gt;0,ISNUMBER(SEARCH("SDP Energizer",$C973))),10000*$D973,IF($A973&lt;&gt;"",0,""))</f>
        <v/>
      </c>
    </row>
    <row r="974" spans="1:42" x14ac:dyDescent="0.25">
      <c r="A974" s="10"/>
      <c r="B974" s="10"/>
      <c r="C974" s="10"/>
      <c r="D974" s="10"/>
      <c r="E974" s="10"/>
      <c r="F974" s="10"/>
      <c r="G974" s="10"/>
      <c r="H974" s="17"/>
      <c r="I974" s="10"/>
      <c r="J974" s="10"/>
      <c r="K974" s="16" t="str">
        <f t="shared" si="334"/>
        <v/>
      </c>
      <c r="L974" s="23" t="str">
        <f t="shared" si="335"/>
        <v/>
      </c>
      <c r="M974" s="22" t="str">
        <f t="shared" si="336"/>
        <v/>
      </c>
      <c r="N974" s="72"/>
      <c r="O974" s="16" t="str">
        <f t="shared" si="337"/>
        <v/>
      </c>
      <c r="P974" s="16" t="str">
        <f t="shared" si="338"/>
        <v/>
      </c>
      <c r="Q974" s="16" t="str">
        <f t="shared" si="339"/>
        <v/>
      </c>
      <c r="R974" s="23" t="str">
        <f t="shared" si="340"/>
        <v/>
      </c>
      <c r="S974" s="23" t="str">
        <f t="shared" si="341"/>
        <v/>
      </c>
      <c r="T974" s="23" t="str">
        <f t="shared" si="342"/>
        <v/>
      </c>
      <c r="U974" s="23" t="str">
        <f t="shared" si="343"/>
        <v/>
      </c>
      <c r="V974" s="23" t="str">
        <f t="shared" si="344"/>
        <v/>
      </c>
      <c r="W974" s="70" t="str">
        <f t="shared" si="345"/>
        <v/>
      </c>
      <c r="X974" s="70" t="str">
        <f t="shared" si="346"/>
        <v/>
      </c>
      <c r="Y974" s="70" t="str">
        <f>IF(AND($A974&lt;&gt;"",$E974&gt;0),isLaptopBag($C974,$J974)*$D974,"")</f>
        <v/>
      </c>
      <c r="Z974" s="70" t="str">
        <f t="shared" si="347"/>
        <v/>
      </c>
      <c r="AA974" s="70" t="str">
        <f t="shared" si="348"/>
        <v/>
      </c>
      <c r="AB974" s="70" t="str">
        <f t="shared" si="349"/>
        <v/>
      </c>
      <c r="AC974" s="70" t="str">
        <f t="shared" si="350"/>
        <v/>
      </c>
      <c r="AD974" s="70" t="str">
        <f t="shared" si="351"/>
        <v/>
      </c>
      <c r="AE974" s="70" t="str">
        <f t="shared" si="352"/>
        <v/>
      </c>
      <c r="AF974" s="16"/>
      <c r="AG974" s="23"/>
      <c r="AH974" s="22"/>
      <c r="AJ974" s="83">
        <f t="shared" si="353"/>
        <v>0</v>
      </c>
      <c r="AO974" s="22" t="str">
        <f t="shared" si="354"/>
        <v/>
      </c>
      <c r="AP974" s="22" t="str">
        <f t="shared" si="355"/>
        <v/>
      </c>
    </row>
    <row r="975" spans="1:42" x14ac:dyDescent="0.25">
      <c r="A975" s="10"/>
      <c r="B975" s="10"/>
      <c r="C975" s="10"/>
      <c r="D975" s="10"/>
      <c r="E975" s="10"/>
      <c r="F975" s="10"/>
      <c r="G975" s="10"/>
      <c r="H975" s="17"/>
      <c r="I975" s="10"/>
      <c r="J975" s="10"/>
      <c r="K975" s="16" t="str">
        <f t="shared" si="334"/>
        <v/>
      </c>
      <c r="L975" s="23" t="str">
        <f t="shared" si="335"/>
        <v/>
      </c>
      <c r="M975" s="22" t="str">
        <f t="shared" si="336"/>
        <v/>
      </c>
      <c r="N975" s="72"/>
      <c r="O975" s="16" t="str">
        <f t="shared" si="337"/>
        <v/>
      </c>
      <c r="P975" s="16" t="str">
        <f t="shared" si="338"/>
        <v/>
      </c>
      <c r="Q975" s="16" t="str">
        <f t="shared" si="339"/>
        <v/>
      </c>
      <c r="R975" s="23" t="str">
        <f t="shared" si="340"/>
        <v/>
      </c>
      <c r="S975" s="23" t="str">
        <f t="shared" si="341"/>
        <v/>
      </c>
      <c r="T975" s="23" t="str">
        <f t="shared" si="342"/>
        <v/>
      </c>
      <c r="U975" s="23" t="str">
        <f t="shared" si="343"/>
        <v/>
      </c>
      <c r="V975" s="23" t="str">
        <f t="shared" si="344"/>
        <v/>
      </c>
      <c r="W975" s="70" t="str">
        <f t="shared" si="345"/>
        <v/>
      </c>
      <c r="X975" s="70" t="str">
        <f t="shared" si="346"/>
        <v/>
      </c>
      <c r="Y975" s="70" t="str">
        <f>IF(AND($A975&lt;&gt;"",$E975&gt;0),isLaptopBag($C975,$J975)*$D975,"")</f>
        <v/>
      </c>
      <c r="Z975" s="70" t="str">
        <f t="shared" si="347"/>
        <v/>
      </c>
      <c r="AA975" s="70" t="str">
        <f t="shared" si="348"/>
        <v/>
      </c>
      <c r="AB975" s="70" t="str">
        <f t="shared" si="349"/>
        <v/>
      </c>
      <c r="AC975" s="70" t="str">
        <f t="shared" si="350"/>
        <v/>
      </c>
      <c r="AD975" s="70" t="str">
        <f t="shared" si="351"/>
        <v/>
      </c>
      <c r="AE975" s="70" t="str">
        <f t="shared" si="352"/>
        <v/>
      </c>
      <c r="AF975" s="16"/>
      <c r="AG975" s="23"/>
      <c r="AH975" s="22"/>
      <c r="AJ975" s="83">
        <f t="shared" si="353"/>
        <v>0</v>
      </c>
      <c r="AO975" s="22" t="str">
        <f t="shared" si="354"/>
        <v/>
      </c>
      <c r="AP975" s="22" t="str">
        <f t="shared" si="355"/>
        <v/>
      </c>
    </row>
    <row r="976" spans="1:42" x14ac:dyDescent="0.25">
      <c r="A976" s="10"/>
      <c r="B976" s="10"/>
      <c r="C976" s="10"/>
      <c r="D976" s="10"/>
      <c r="E976" s="10"/>
      <c r="F976" s="10"/>
      <c r="G976" s="10"/>
      <c r="H976" s="17"/>
      <c r="I976" s="10"/>
      <c r="J976" s="10"/>
      <c r="K976" s="16" t="str">
        <f t="shared" si="334"/>
        <v/>
      </c>
      <c r="L976" s="23" t="str">
        <f t="shared" si="335"/>
        <v/>
      </c>
      <c r="M976" s="22" t="str">
        <f t="shared" si="336"/>
        <v/>
      </c>
      <c r="N976" s="72"/>
      <c r="O976" s="16" t="str">
        <f t="shared" si="337"/>
        <v/>
      </c>
      <c r="P976" s="16" t="str">
        <f t="shared" si="338"/>
        <v/>
      </c>
      <c r="Q976" s="16" t="str">
        <f t="shared" si="339"/>
        <v/>
      </c>
      <c r="R976" s="23" t="str">
        <f t="shared" si="340"/>
        <v/>
      </c>
      <c r="S976" s="23" t="str">
        <f t="shared" si="341"/>
        <v/>
      </c>
      <c r="T976" s="23" t="str">
        <f t="shared" si="342"/>
        <v/>
      </c>
      <c r="U976" s="23" t="str">
        <f t="shared" si="343"/>
        <v/>
      </c>
      <c r="V976" s="23" t="str">
        <f t="shared" si="344"/>
        <v/>
      </c>
      <c r="W976" s="70" t="str">
        <f t="shared" si="345"/>
        <v/>
      </c>
      <c r="X976" s="70" t="str">
        <f t="shared" si="346"/>
        <v/>
      </c>
      <c r="Y976" s="70" t="str">
        <f>IF(AND($A976&lt;&gt;"",$E976&gt;0),isLaptopBag($C976,$J976)*$D976,"")</f>
        <v/>
      </c>
      <c r="Z976" s="70" t="str">
        <f t="shared" si="347"/>
        <v/>
      </c>
      <c r="AA976" s="70" t="str">
        <f t="shared" si="348"/>
        <v/>
      </c>
      <c r="AB976" s="70" t="str">
        <f t="shared" si="349"/>
        <v/>
      </c>
      <c r="AC976" s="70" t="str">
        <f t="shared" si="350"/>
        <v/>
      </c>
      <c r="AD976" s="70" t="str">
        <f t="shared" si="351"/>
        <v/>
      </c>
      <c r="AE976" s="70" t="str">
        <f t="shared" si="352"/>
        <v/>
      </c>
      <c r="AF976" s="16"/>
      <c r="AG976" s="23"/>
      <c r="AH976" s="22"/>
      <c r="AJ976" s="83">
        <f t="shared" si="353"/>
        <v>0</v>
      </c>
      <c r="AO976" s="22" t="str">
        <f t="shared" si="354"/>
        <v/>
      </c>
      <c r="AP976" s="22" t="str">
        <f t="shared" si="355"/>
        <v/>
      </c>
    </row>
    <row r="977" spans="1:42" x14ac:dyDescent="0.25">
      <c r="A977" s="10"/>
      <c r="B977" s="10"/>
      <c r="C977" s="10"/>
      <c r="D977" s="10"/>
      <c r="E977" s="10"/>
      <c r="F977" s="10"/>
      <c r="G977" s="10"/>
      <c r="H977" s="17"/>
      <c r="I977" s="10"/>
      <c r="J977" s="10"/>
      <c r="K977" s="16" t="str">
        <f t="shared" si="334"/>
        <v/>
      </c>
      <c r="L977" s="23" t="str">
        <f t="shared" si="335"/>
        <v/>
      </c>
      <c r="M977" s="22" t="str">
        <f t="shared" si="336"/>
        <v/>
      </c>
      <c r="N977" s="72"/>
      <c r="O977" s="16" t="str">
        <f t="shared" si="337"/>
        <v/>
      </c>
      <c r="P977" s="16" t="str">
        <f t="shared" si="338"/>
        <v/>
      </c>
      <c r="Q977" s="16" t="str">
        <f t="shared" si="339"/>
        <v/>
      </c>
      <c r="R977" s="23" t="str">
        <f t="shared" si="340"/>
        <v/>
      </c>
      <c r="S977" s="23" t="str">
        <f t="shared" si="341"/>
        <v/>
      </c>
      <c r="T977" s="23" t="str">
        <f t="shared" si="342"/>
        <v/>
      </c>
      <c r="U977" s="23" t="str">
        <f t="shared" si="343"/>
        <v/>
      </c>
      <c r="V977" s="23" t="str">
        <f t="shared" si="344"/>
        <v/>
      </c>
      <c r="W977" s="70" t="str">
        <f t="shared" si="345"/>
        <v/>
      </c>
      <c r="X977" s="70" t="str">
        <f t="shared" si="346"/>
        <v/>
      </c>
      <c r="Y977" s="70" t="str">
        <f>IF(AND($A977&lt;&gt;"",$E977&gt;0),isLaptopBag($C977,$J977)*$D977,"")</f>
        <v/>
      </c>
      <c r="Z977" s="70" t="str">
        <f t="shared" si="347"/>
        <v/>
      </c>
      <c r="AA977" s="70" t="str">
        <f t="shared" si="348"/>
        <v/>
      </c>
      <c r="AB977" s="70" t="str">
        <f t="shared" si="349"/>
        <v/>
      </c>
      <c r="AC977" s="70" t="str">
        <f t="shared" si="350"/>
        <v/>
      </c>
      <c r="AD977" s="70" t="str">
        <f t="shared" si="351"/>
        <v/>
      </c>
      <c r="AE977" s="70" t="str">
        <f t="shared" si="352"/>
        <v/>
      </c>
      <c r="AF977" s="16"/>
      <c r="AG977" s="23"/>
      <c r="AH977" s="22"/>
      <c r="AJ977" s="83">
        <f t="shared" si="353"/>
        <v>0</v>
      </c>
      <c r="AO977" s="22" t="str">
        <f t="shared" si="354"/>
        <v/>
      </c>
      <c r="AP977" s="22" t="str">
        <f t="shared" si="355"/>
        <v/>
      </c>
    </row>
    <row r="978" spans="1:42" x14ac:dyDescent="0.25">
      <c r="A978" s="10"/>
      <c r="B978" s="10"/>
      <c r="C978" s="10"/>
      <c r="D978" s="10"/>
      <c r="E978" s="10"/>
      <c r="F978" s="10"/>
      <c r="G978" s="10"/>
      <c r="H978" s="17"/>
      <c r="I978" s="10"/>
      <c r="J978" s="10"/>
      <c r="K978" s="16" t="str">
        <f t="shared" si="334"/>
        <v/>
      </c>
      <c r="L978" s="23" t="str">
        <f t="shared" si="335"/>
        <v/>
      </c>
      <c r="M978" s="22" t="str">
        <f t="shared" si="336"/>
        <v/>
      </c>
      <c r="N978" s="72"/>
      <c r="O978" s="16" t="str">
        <f t="shared" si="337"/>
        <v/>
      </c>
      <c r="P978" s="16" t="str">
        <f t="shared" si="338"/>
        <v/>
      </c>
      <c r="Q978" s="16" t="str">
        <f t="shared" si="339"/>
        <v/>
      </c>
      <c r="R978" s="23" t="str">
        <f t="shared" si="340"/>
        <v/>
      </c>
      <c r="S978" s="23" t="str">
        <f t="shared" si="341"/>
        <v/>
      </c>
      <c r="T978" s="23" t="str">
        <f t="shared" si="342"/>
        <v/>
      </c>
      <c r="U978" s="23" t="str">
        <f t="shared" si="343"/>
        <v/>
      </c>
      <c r="V978" s="23" t="str">
        <f t="shared" si="344"/>
        <v/>
      </c>
      <c r="W978" s="70" t="str">
        <f t="shared" si="345"/>
        <v/>
      </c>
      <c r="X978" s="70" t="str">
        <f t="shared" si="346"/>
        <v/>
      </c>
      <c r="Y978" s="70" t="str">
        <f>IF(AND($A978&lt;&gt;"",$E978&gt;0),isLaptopBag($C978,$J978)*$D978,"")</f>
        <v/>
      </c>
      <c r="Z978" s="70" t="str">
        <f t="shared" si="347"/>
        <v/>
      </c>
      <c r="AA978" s="70" t="str">
        <f t="shared" si="348"/>
        <v/>
      </c>
      <c r="AB978" s="70" t="str">
        <f t="shared" si="349"/>
        <v/>
      </c>
      <c r="AC978" s="70" t="str">
        <f t="shared" si="350"/>
        <v/>
      </c>
      <c r="AD978" s="70" t="str">
        <f t="shared" si="351"/>
        <v/>
      </c>
      <c r="AE978" s="70" t="str">
        <f t="shared" si="352"/>
        <v/>
      </c>
      <c r="AF978" s="16"/>
      <c r="AG978" s="23"/>
      <c r="AH978" s="22"/>
      <c r="AJ978" s="83">
        <f t="shared" si="353"/>
        <v>0</v>
      </c>
      <c r="AO978" s="22" t="str">
        <f t="shared" si="354"/>
        <v/>
      </c>
      <c r="AP978" s="22" t="str">
        <f t="shared" si="355"/>
        <v/>
      </c>
    </row>
    <row r="979" spans="1:42" x14ac:dyDescent="0.25">
      <c r="A979" s="10"/>
      <c r="B979" s="10"/>
      <c r="C979" s="10"/>
      <c r="D979" s="10"/>
      <c r="E979" s="10"/>
      <c r="F979" s="10"/>
      <c r="G979" s="10"/>
      <c r="H979" s="17"/>
      <c r="I979" s="10"/>
      <c r="J979" s="10"/>
      <c r="K979" s="16" t="str">
        <f t="shared" si="334"/>
        <v/>
      </c>
      <c r="L979" s="23" t="str">
        <f t="shared" si="335"/>
        <v/>
      </c>
      <c r="M979" s="22" t="str">
        <f t="shared" si="336"/>
        <v/>
      </c>
      <c r="N979" s="72"/>
      <c r="O979" s="16" t="str">
        <f t="shared" si="337"/>
        <v/>
      </c>
      <c r="P979" s="16" t="str">
        <f t="shared" si="338"/>
        <v/>
      </c>
      <c r="Q979" s="16" t="str">
        <f t="shared" si="339"/>
        <v/>
      </c>
      <c r="R979" s="23" t="str">
        <f t="shared" si="340"/>
        <v/>
      </c>
      <c r="S979" s="23" t="str">
        <f t="shared" si="341"/>
        <v/>
      </c>
      <c r="T979" s="23" t="str">
        <f t="shared" si="342"/>
        <v/>
      </c>
      <c r="U979" s="23" t="str">
        <f t="shared" si="343"/>
        <v/>
      </c>
      <c r="V979" s="23" t="str">
        <f t="shared" si="344"/>
        <v/>
      </c>
      <c r="W979" s="70" t="str">
        <f t="shared" si="345"/>
        <v/>
      </c>
      <c r="X979" s="70" t="str">
        <f t="shared" si="346"/>
        <v/>
      </c>
      <c r="Y979" s="70" t="str">
        <f>IF(AND($A979&lt;&gt;"",$E979&gt;0),isLaptopBag($C979,$J979)*$D979,"")</f>
        <v/>
      </c>
      <c r="Z979" s="70" t="str">
        <f t="shared" si="347"/>
        <v/>
      </c>
      <c r="AA979" s="70" t="str">
        <f t="shared" si="348"/>
        <v/>
      </c>
      <c r="AB979" s="70" t="str">
        <f t="shared" si="349"/>
        <v/>
      </c>
      <c r="AC979" s="70" t="str">
        <f t="shared" si="350"/>
        <v/>
      </c>
      <c r="AD979" s="70" t="str">
        <f t="shared" si="351"/>
        <v/>
      </c>
      <c r="AE979" s="70" t="str">
        <f t="shared" si="352"/>
        <v/>
      </c>
      <c r="AF979" s="16"/>
      <c r="AG979" s="23"/>
      <c r="AH979" s="22"/>
      <c r="AJ979" s="83">
        <f t="shared" si="353"/>
        <v>0</v>
      </c>
      <c r="AO979" s="22" t="str">
        <f t="shared" si="354"/>
        <v/>
      </c>
      <c r="AP979" s="22" t="str">
        <f t="shared" si="355"/>
        <v/>
      </c>
    </row>
    <row r="980" spans="1:42" x14ac:dyDescent="0.25">
      <c r="A980" s="10"/>
      <c r="B980" s="10"/>
      <c r="C980" s="10"/>
      <c r="D980" s="10"/>
      <c r="E980" s="10"/>
      <c r="F980" s="10"/>
      <c r="G980" s="10"/>
      <c r="H980" s="17"/>
      <c r="I980" s="10"/>
      <c r="J980" s="10"/>
      <c r="K980" s="16" t="str">
        <f t="shared" si="334"/>
        <v/>
      </c>
      <c r="L980" s="23" t="str">
        <f t="shared" si="335"/>
        <v/>
      </c>
      <c r="M980" s="22" t="str">
        <f t="shared" si="336"/>
        <v/>
      </c>
      <c r="N980" s="72"/>
      <c r="O980" s="16" t="str">
        <f t="shared" si="337"/>
        <v/>
      </c>
      <c r="P980" s="16" t="str">
        <f t="shared" si="338"/>
        <v/>
      </c>
      <c r="Q980" s="16" t="str">
        <f t="shared" si="339"/>
        <v/>
      </c>
      <c r="R980" s="23" t="str">
        <f t="shared" si="340"/>
        <v/>
      </c>
      <c r="S980" s="23" t="str">
        <f t="shared" si="341"/>
        <v/>
      </c>
      <c r="T980" s="23" t="str">
        <f t="shared" si="342"/>
        <v/>
      </c>
      <c r="U980" s="23" t="str">
        <f t="shared" si="343"/>
        <v/>
      </c>
      <c r="V980" s="23" t="str">
        <f t="shared" si="344"/>
        <v/>
      </c>
      <c r="W980" s="70" t="str">
        <f t="shared" si="345"/>
        <v/>
      </c>
      <c r="X980" s="70" t="str">
        <f t="shared" si="346"/>
        <v/>
      </c>
      <c r="Y980" s="70" t="str">
        <f>IF(AND($A980&lt;&gt;"",$E980&gt;0),isLaptopBag($C980,$J980)*$D980,"")</f>
        <v/>
      </c>
      <c r="Z980" s="70" t="str">
        <f t="shared" si="347"/>
        <v/>
      </c>
      <c r="AA980" s="70" t="str">
        <f t="shared" si="348"/>
        <v/>
      </c>
      <c r="AB980" s="70" t="str">
        <f t="shared" si="349"/>
        <v/>
      </c>
      <c r="AC980" s="70" t="str">
        <f t="shared" si="350"/>
        <v/>
      </c>
      <c r="AD980" s="70" t="str">
        <f t="shared" si="351"/>
        <v/>
      </c>
      <c r="AE980" s="70" t="str">
        <f t="shared" si="352"/>
        <v/>
      </c>
      <c r="AF980" s="16"/>
      <c r="AG980" s="23"/>
      <c r="AH980" s="22"/>
      <c r="AJ980" s="83">
        <f t="shared" si="353"/>
        <v>0</v>
      </c>
      <c r="AO980" s="22" t="str">
        <f t="shared" si="354"/>
        <v/>
      </c>
      <c r="AP980" s="22" t="str">
        <f t="shared" si="355"/>
        <v/>
      </c>
    </row>
    <row r="981" spans="1:42" x14ac:dyDescent="0.25">
      <c r="A981" s="10"/>
      <c r="B981" s="10"/>
      <c r="C981" s="10"/>
      <c r="D981" s="10"/>
      <c r="E981" s="10"/>
      <c r="F981" s="10"/>
      <c r="G981" s="10"/>
      <c r="H981" s="17"/>
      <c r="I981" s="10"/>
      <c r="J981" s="10"/>
      <c r="K981" s="16" t="str">
        <f t="shared" si="334"/>
        <v/>
      </c>
      <c r="L981" s="23" t="str">
        <f t="shared" si="335"/>
        <v/>
      </c>
      <c r="M981" s="22" t="str">
        <f t="shared" si="336"/>
        <v/>
      </c>
      <c r="N981" s="72"/>
      <c r="O981" s="16" t="str">
        <f t="shared" si="337"/>
        <v/>
      </c>
      <c r="P981" s="16" t="str">
        <f t="shared" si="338"/>
        <v/>
      </c>
      <c r="Q981" s="16" t="str">
        <f t="shared" si="339"/>
        <v/>
      </c>
      <c r="R981" s="23" t="str">
        <f t="shared" si="340"/>
        <v/>
      </c>
      <c r="S981" s="23" t="str">
        <f t="shared" si="341"/>
        <v/>
      </c>
      <c r="T981" s="23" t="str">
        <f t="shared" si="342"/>
        <v/>
      </c>
      <c r="U981" s="23" t="str">
        <f t="shared" si="343"/>
        <v/>
      </c>
      <c r="V981" s="23" t="str">
        <f t="shared" si="344"/>
        <v/>
      </c>
      <c r="W981" s="70" t="str">
        <f t="shared" si="345"/>
        <v/>
      </c>
      <c r="X981" s="70" t="str">
        <f t="shared" si="346"/>
        <v/>
      </c>
      <c r="Y981" s="70" t="str">
        <f>IF(AND($A981&lt;&gt;"",$E981&gt;0),isLaptopBag($C981,$J981)*$D981,"")</f>
        <v/>
      </c>
      <c r="Z981" s="70" t="str">
        <f t="shared" si="347"/>
        <v/>
      </c>
      <c r="AA981" s="70" t="str">
        <f t="shared" si="348"/>
        <v/>
      </c>
      <c r="AB981" s="70" t="str">
        <f t="shared" si="349"/>
        <v/>
      </c>
      <c r="AC981" s="70" t="str">
        <f t="shared" si="350"/>
        <v/>
      </c>
      <c r="AD981" s="70" t="str">
        <f t="shared" si="351"/>
        <v/>
      </c>
      <c r="AE981" s="70" t="str">
        <f t="shared" si="352"/>
        <v/>
      </c>
      <c r="AF981" s="16"/>
      <c r="AG981" s="23"/>
      <c r="AH981" s="22"/>
      <c r="AJ981" s="83">
        <f t="shared" si="353"/>
        <v>0</v>
      </c>
      <c r="AO981" s="22" t="str">
        <f t="shared" si="354"/>
        <v/>
      </c>
      <c r="AP981" s="22" t="str">
        <f t="shared" si="355"/>
        <v/>
      </c>
    </row>
    <row r="982" spans="1:42" x14ac:dyDescent="0.25">
      <c r="A982" s="10"/>
      <c r="B982" s="10"/>
      <c r="C982" s="10"/>
      <c r="D982" s="10"/>
      <c r="E982" s="10"/>
      <c r="F982" s="10"/>
      <c r="G982" s="10"/>
      <c r="H982" s="17"/>
      <c r="I982" s="10"/>
      <c r="J982" s="10"/>
      <c r="K982" s="16" t="str">
        <f t="shared" si="334"/>
        <v/>
      </c>
      <c r="L982" s="23" t="str">
        <f t="shared" si="335"/>
        <v/>
      </c>
      <c r="M982" s="22" t="str">
        <f t="shared" si="336"/>
        <v/>
      </c>
      <c r="N982" s="72"/>
      <c r="O982" s="16" t="str">
        <f t="shared" si="337"/>
        <v/>
      </c>
      <c r="P982" s="16" t="str">
        <f t="shared" si="338"/>
        <v/>
      </c>
      <c r="Q982" s="16" t="str">
        <f t="shared" si="339"/>
        <v/>
      </c>
      <c r="R982" s="23" t="str">
        <f t="shared" si="340"/>
        <v/>
      </c>
      <c r="S982" s="23" t="str">
        <f t="shared" si="341"/>
        <v/>
      </c>
      <c r="T982" s="23" t="str">
        <f t="shared" si="342"/>
        <v/>
      </c>
      <c r="U982" s="23" t="str">
        <f t="shared" si="343"/>
        <v/>
      </c>
      <c r="V982" s="23" t="str">
        <f t="shared" si="344"/>
        <v/>
      </c>
      <c r="W982" s="70" t="str">
        <f t="shared" si="345"/>
        <v/>
      </c>
      <c r="X982" s="70" t="str">
        <f t="shared" si="346"/>
        <v/>
      </c>
      <c r="Y982" s="70" t="str">
        <f>IF(AND($A982&lt;&gt;"",$E982&gt;0),isLaptopBag($C982,$J982)*$D982,"")</f>
        <v/>
      </c>
      <c r="Z982" s="70" t="str">
        <f t="shared" si="347"/>
        <v/>
      </c>
      <c r="AA982" s="70" t="str">
        <f t="shared" si="348"/>
        <v/>
      </c>
      <c r="AB982" s="70" t="str">
        <f t="shared" si="349"/>
        <v/>
      </c>
      <c r="AC982" s="70" t="str">
        <f t="shared" si="350"/>
        <v/>
      </c>
      <c r="AD982" s="70" t="str">
        <f t="shared" si="351"/>
        <v/>
      </c>
      <c r="AE982" s="70" t="str">
        <f t="shared" si="352"/>
        <v/>
      </c>
      <c r="AF982" s="16"/>
      <c r="AG982" s="23"/>
      <c r="AH982" s="22"/>
      <c r="AJ982" s="83">
        <f t="shared" si="353"/>
        <v>0</v>
      </c>
      <c r="AO982" s="22" t="str">
        <f t="shared" si="354"/>
        <v/>
      </c>
      <c r="AP982" s="22" t="str">
        <f t="shared" si="355"/>
        <v/>
      </c>
    </row>
    <row r="983" spans="1:42" x14ac:dyDescent="0.25">
      <c r="A983" s="10"/>
      <c r="B983" s="10"/>
      <c r="C983" s="10"/>
      <c r="D983" s="10"/>
      <c r="E983" s="10"/>
      <c r="F983" s="10"/>
      <c r="G983" s="10"/>
      <c r="H983" s="17"/>
      <c r="I983" s="10"/>
      <c r="J983" s="10"/>
      <c r="K983" s="16" t="str">
        <f t="shared" si="334"/>
        <v/>
      </c>
      <c r="L983" s="23" t="str">
        <f t="shared" si="335"/>
        <v/>
      </c>
      <c r="M983" s="22" t="str">
        <f t="shared" si="336"/>
        <v/>
      </c>
      <c r="N983" s="72"/>
      <c r="O983" s="16" t="str">
        <f t="shared" si="337"/>
        <v/>
      </c>
      <c r="P983" s="16" t="str">
        <f t="shared" si="338"/>
        <v/>
      </c>
      <c r="Q983" s="16" t="str">
        <f t="shared" si="339"/>
        <v/>
      </c>
      <c r="R983" s="23" t="str">
        <f t="shared" si="340"/>
        <v/>
      </c>
      <c r="S983" s="23" t="str">
        <f t="shared" si="341"/>
        <v/>
      </c>
      <c r="T983" s="23" t="str">
        <f t="shared" si="342"/>
        <v/>
      </c>
      <c r="U983" s="23" t="str">
        <f t="shared" si="343"/>
        <v/>
      </c>
      <c r="V983" s="23" t="str">
        <f t="shared" si="344"/>
        <v/>
      </c>
      <c r="W983" s="70" t="str">
        <f t="shared" si="345"/>
        <v/>
      </c>
      <c r="X983" s="70" t="str">
        <f t="shared" si="346"/>
        <v/>
      </c>
      <c r="Y983" s="70" t="str">
        <f>IF(AND($A983&lt;&gt;"",$E983&gt;0),isLaptopBag($C983,$J983)*$D983,"")</f>
        <v/>
      </c>
      <c r="Z983" s="70" t="str">
        <f t="shared" si="347"/>
        <v/>
      </c>
      <c r="AA983" s="70" t="str">
        <f t="shared" si="348"/>
        <v/>
      </c>
      <c r="AB983" s="70" t="str">
        <f t="shared" si="349"/>
        <v/>
      </c>
      <c r="AC983" s="70" t="str">
        <f t="shared" si="350"/>
        <v/>
      </c>
      <c r="AD983" s="70" t="str">
        <f t="shared" si="351"/>
        <v/>
      </c>
      <c r="AE983" s="70" t="str">
        <f t="shared" si="352"/>
        <v/>
      </c>
      <c r="AF983" s="16"/>
      <c r="AG983" s="23"/>
      <c r="AH983" s="22"/>
      <c r="AJ983" s="83">
        <f t="shared" si="353"/>
        <v>0</v>
      </c>
      <c r="AO983" s="22" t="str">
        <f t="shared" si="354"/>
        <v/>
      </c>
      <c r="AP983" s="22" t="str">
        <f t="shared" si="355"/>
        <v/>
      </c>
    </row>
    <row r="984" spans="1:42" x14ac:dyDescent="0.25">
      <c r="A984" s="10"/>
      <c r="B984" s="10"/>
      <c r="C984" s="10"/>
      <c r="D984" s="10"/>
      <c r="E984" s="10"/>
      <c r="F984" s="10"/>
      <c r="G984" s="10"/>
      <c r="H984" s="17"/>
      <c r="I984" s="10"/>
      <c r="J984" s="10"/>
      <c r="K984" s="16" t="str">
        <f t="shared" si="334"/>
        <v/>
      </c>
      <c r="L984" s="23" t="str">
        <f t="shared" si="335"/>
        <v/>
      </c>
      <c r="M984" s="22" t="str">
        <f t="shared" si="336"/>
        <v/>
      </c>
      <c r="N984" s="72"/>
      <c r="O984" s="16" t="str">
        <f t="shared" si="337"/>
        <v/>
      </c>
      <c r="P984" s="16" t="str">
        <f t="shared" si="338"/>
        <v/>
      </c>
      <c r="Q984" s="16" t="str">
        <f t="shared" si="339"/>
        <v/>
      </c>
      <c r="R984" s="23" t="str">
        <f t="shared" si="340"/>
        <v/>
      </c>
      <c r="S984" s="23" t="str">
        <f t="shared" si="341"/>
        <v/>
      </c>
      <c r="T984" s="23" t="str">
        <f t="shared" si="342"/>
        <v/>
      </c>
      <c r="U984" s="23" t="str">
        <f t="shared" si="343"/>
        <v/>
      </c>
      <c r="V984" s="23" t="str">
        <f t="shared" si="344"/>
        <v/>
      </c>
      <c r="W984" s="70" t="str">
        <f t="shared" si="345"/>
        <v/>
      </c>
      <c r="X984" s="70" t="str">
        <f t="shared" si="346"/>
        <v/>
      </c>
      <c r="Y984" s="70" t="str">
        <f>IF(AND($A984&lt;&gt;"",$E984&gt;0),isLaptopBag($C984,$J984)*$D984,"")</f>
        <v/>
      </c>
      <c r="Z984" s="70" t="str">
        <f t="shared" si="347"/>
        <v/>
      </c>
      <c r="AA984" s="70" t="str">
        <f t="shared" si="348"/>
        <v/>
      </c>
      <c r="AB984" s="70" t="str">
        <f t="shared" si="349"/>
        <v/>
      </c>
      <c r="AC984" s="70" t="str">
        <f t="shared" si="350"/>
        <v/>
      </c>
      <c r="AD984" s="70" t="str">
        <f t="shared" si="351"/>
        <v/>
      </c>
      <c r="AE984" s="70" t="str">
        <f t="shared" si="352"/>
        <v/>
      </c>
      <c r="AF984" s="16"/>
      <c r="AG984" s="23"/>
      <c r="AH984" s="22"/>
      <c r="AJ984" s="83">
        <f t="shared" si="353"/>
        <v>0</v>
      </c>
      <c r="AO984" s="22" t="str">
        <f t="shared" si="354"/>
        <v/>
      </c>
      <c r="AP984" s="22" t="str">
        <f t="shared" si="355"/>
        <v/>
      </c>
    </row>
    <row r="985" spans="1:42" x14ac:dyDescent="0.25">
      <c r="A985" s="10"/>
      <c r="B985" s="10"/>
      <c r="C985" s="10"/>
      <c r="D985" s="10"/>
      <c r="E985" s="10"/>
      <c r="F985" s="10"/>
      <c r="G985" s="10"/>
      <c r="H985" s="17"/>
      <c r="I985" s="10"/>
      <c r="J985" s="10"/>
      <c r="K985" s="16" t="str">
        <f t="shared" si="334"/>
        <v/>
      </c>
      <c r="L985" s="23" t="str">
        <f t="shared" si="335"/>
        <v/>
      </c>
      <c r="M985" s="22" t="str">
        <f t="shared" si="336"/>
        <v/>
      </c>
      <c r="N985" s="72"/>
      <c r="O985" s="16" t="str">
        <f t="shared" si="337"/>
        <v/>
      </c>
      <c r="P985" s="16" t="str">
        <f t="shared" si="338"/>
        <v/>
      </c>
      <c r="Q985" s="16" t="str">
        <f t="shared" si="339"/>
        <v/>
      </c>
      <c r="R985" s="23" t="str">
        <f t="shared" si="340"/>
        <v/>
      </c>
      <c r="S985" s="23" t="str">
        <f t="shared" si="341"/>
        <v/>
      </c>
      <c r="T985" s="23" t="str">
        <f t="shared" si="342"/>
        <v/>
      </c>
      <c r="U985" s="23" t="str">
        <f t="shared" si="343"/>
        <v/>
      </c>
      <c r="V985" s="23" t="str">
        <f t="shared" si="344"/>
        <v/>
      </c>
      <c r="W985" s="70" t="str">
        <f t="shared" si="345"/>
        <v/>
      </c>
      <c r="X985" s="70" t="str">
        <f t="shared" si="346"/>
        <v/>
      </c>
      <c r="Y985" s="70" t="str">
        <f>IF(AND($A985&lt;&gt;"",$E985&gt;0),isLaptopBag($C985,$J985)*$D985,"")</f>
        <v/>
      </c>
      <c r="Z985" s="70" t="str">
        <f t="shared" si="347"/>
        <v/>
      </c>
      <c r="AA985" s="70" t="str">
        <f t="shared" si="348"/>
        <v/>
      </c>
      <c r="AB985" s="70" t="str">
        <f t="shared" si="349"/>
        <v/>
      </c>
      <c r="AC985" s="70" t="str">
        <f t="shared" si="350"/>
        <v/>
      </c>
      <c r="AD985" s="70" t="str">
        <f t="shared" si="351"/>
        <v/>
      </c>
      <c r="AE985" s="70" t="str">
        <f t="shared" si="352"/>
        <v/>
      </c>
      <c r="AF985" s="16"/>
      <c r="AG985" s="23"/>
      <c r="AH985" s="22"/>
      <c r="AJ985" s="83">
        <f t="shared" si="353"/>
        <v>0</v>
      </c>
      <c r="AO985" s="22" t="str">
        <f t="shared" si="354"/>
        <v/>
      </c>
      <c r="AP985" s="22" t="str">
        <f t="shared" si="355"/>
        <v/>
      </c>
    </row>
    <row r="986" spans="1:42" x14ac:dyDescent="0.25">
      <c r="A986" s="10"/>
      <c r="B986" s="10"/>
      <c r="C986" s="10"/>
      <c r="D986" s="10"/>
      <c r="E986" s="10"/>
      <c r="F986" s="10"/>
      <c r="G986" s="10"/>
      <c r="H986" s="17"/>
      <c r="I986" s="10"/>
      <c r="J986" s="10"/>
      <c r="K986" s="16" t="str">
        <f t="shared" si="334"/>
        <v/>
      </c>
      <c r="L986" s="23" t="str">
        <f t="shared" si="335"/>
        <v/>
      </c>
      <c r="M986" s="22" t="str">
        <f t="shared" si="336"/>
        <v/>
      </c>
      <c r="N986" s="72"/>
      <c r="O986" s="16" t="str">
        <f t="shared" si="337"/>
        <v/>
      </c>
      <c r="P986" s="16" t="str">
        <f t="shared" si="338"/>
        <v/>
      </c>
      <c r="Q986" s="16" t="str">
        <f t="shared" si="339"/>
        <v/>
      </c>
      <c r="R986" s="23" t="str">
        <f t="shared" si="340"/>
        <v/>
      </c>
      <c r="S986" s="23" t="str">
        <f t="shared" si="341"/>
        <v/>
      </c>
      <c r="T986" s="23" t="str">
        <f t="shared" si="342"/>
        <v/>
      </c>
      <c r="U986" s="23" t="str">
        <f t="shared" si="343"/>
        <v/>
      </c>
      <c r="V986" s="23" t="str">
        <f t="shared" si="344"/>
        <v/>
      </c>
      <c r="W986" s="70" t="str">
        <f t="shared" si="345"/>
        <v/>
      </c>
      <c r="X986" s="70" t="str">
        <f t="shared" si="346"/>
        <v/>
      </c>
      <c r="Y986" s="70" t="str">
        <f>IF(AND($A986&lt;&gt;"",$E986&gt;0),isLaptopBag($C986,$J986)*$D986,"")</f>
        <v/>
      </c>
      <c r="Z986" s="70" t="str">
        <f t="shared" si="347"/>
        <v/>
      </c>
      <c r="AA986" s="70" t="str">
        <f t="shared" si="348"/>
        <v/>
      </c>
      <c r="AB986" s="70" t="str">
        <f t="shared" si="349"/>
        <v/>
      </c>
      <c r="AC986" s="70" t="str">
        <f t="shared" si="350"/>
        <v/>
      </c>
      <c r="AD986" s="70" t="str">
        <f t="shared" si="351"/>
        <v/>
      </c>
      <c r="AE986" s="70" t="str">
        <f t="shared" si="352"/>
        <v/>
      </c>
      <c r="AF986" s="16"/>
      <c r="AG986" s="23"/>
      <c r="AH986" s="22"/>
      <c r="AJ986" s="83">
        <f t="shared" si="353"/>
        <v>0</v>
      </c>
      <c r="AO986" s="22" t="str">
        <f t="shared" si="354"/>
        <v/>
      </c>
      <c r="AP986" s="22" t="str">
        <f t="shared" si="355"/>
        <v/>
      </c>
    </row>
    <row r="987" spans="1:42" x14ac:dyDescent="0.25">
      <c r="A987" s="10"/>
      <c r="B987" s="10"/>
      <c r="C987" s="10"/>
      <c r="D987" s="10"/>
      <c r="E987" s="10"/>
      <c r="F987" s="10"/>
      <c r="G987" s="10"/>
      <c r="H987" s="17"/>
      <c r="I987" s="10"/>
      <c r="J987" s="10"/>
      <c r="K987" s="16" t="str">
        <f t="shared" si="334"/>
        <v/>
      </c>
      <c r="L987" s="23" t="str">
        <f t="shared" si="335"/>
        <v/>
      </c>
      <c r="M987" s="22" t="str">
        <f t="shared" si="336"/>
        <v/>
      </c>
      <c r="N987" s="72"/>
      <c r="O987" s="16" t="str">
        <f t="shared" si="337"/>
        <v/>
      </c>
      <c r="P987" s="16" t="str">
        <f t="shared" si="338"/>
        <v/>
      </c>
      <c r="Q987" s="16" t="str">
        <f t="shared" si="339"/>
        <v/>
      </c>
      <c r="R987" s="23" t="str">
        <f t="shared" si="340"/>
        <v/>
      </c>
      <c r="S987" s="23" t="str">
        <f t="shared" si="341"/>
        <v/>
      </c>
      <c r="T987" s="23" t="str">
        <f t="shared" si="342"/>
        <v/>
      </c>
      <c r="U987" s="23" t="str">
        <f t="shared" si="343"/>
        <v/>
      </c>
      <c r="V987" s="23" t="str">
        <f t="shared" si="344"/>
        <v/>
      </c>
      <c r="W987" s="70" t="str">
        <f t="shared" si="345"/>
        <v/>
      </c>
      <c r="X987" s="70" t="str">
        <f t="shared" si="346"/>
        <v/>
      </c>
      <c r="Y987" s="70" t="str">
        <f>IF(AND($A987&lt;&gt;"",$E987&gt;0),isLaptopBag($C987,$J987)*$D987,"")</f>
        <v/>
      </c>
      <c r="Z987" s="70" t="str">
        <f t="shared" si="347"/>
        <v/>
      </c>
      <c r="AA987" s="70" t="str">
        <f t="shared" si="348"/>
        <v/>
      </c>
      <c r="AB987" s="70" t="str">
        <f t="shared" si="349"/>
        <v/>
      </c>
      <c r="AC987" s="70" t="str">
        <f t="shared" si="350"/>
        <v/>
      </c>
      <c r="AD987" s="70" t="str">
        <f t="shared" si="351"/>
        <v/>
      </c>
      <c r="AE987" s="70" t="str">
        <f t="shared" si="352"/>
        <v/>
      </c>
      <c r="AF987" s="16"/>
      <c r="AG987" s="23"/>
      <c r="AH987" s="22"/>
      <c r="AJ987" s="83">
        <f t="shared" si="353"/>
        <v>0</v>
      </c>
      <c r="AO987" s="22" t="str">
        <f t="shared" si="354"/>
        <v/>
      </c>
      <c r="AP987" s="22" t="str">
        <f t="shared" si="355"/>
        <v/>
      </c>
    </row>
    <row r="988" spans="1:42" x14ac:dyDescent="0.25">
      <c r="A988" s="10"/>
      <c r="B988" s="10"/>
      <c r="C988" s="10"/>
      <c r="D988" s="10"/>
      <c r="E988" s="10"/>
      <c r="F988" s="10"/>
      <c r="G988" s="10"/>
      <c r="H988" s="17"/>
      <c r="I988" s="10"/>
      <c r="J988" s="10"/>
      <c r="K988" s="16" t="str">
        <f t="shared" si="334"/>
        <v/>
      </c>
      <c r="L988" s="23" t="str">
        <f t="shared" si="335"/>
        <v/>
      </c>
      <c r="M988" s="22" t="str">
        <f t="shared" si="336"/>
        <v/>
      </c>
      <c r="N988" s="72"/>
      <c r="O988" s="16" t="str">
        <f t="shared" si="337"/>
        <v/>
      </c>
      <c r="P988" s="16" t="str">
        <f t="shared" si="338"/>
        <v/>
      </c>
      <c r="Q988" s="16" t="str">
        <f t="shared" si="339"/>
        <v/>
      </c>
      <c r="R988" s="23" t="str">
        <f t="shared" si="340"/>
        <v/>
      </c>
      <c r="S988" s="23" t="str">
        <f t="shared" si="341"/>
        <v/>
      </c>
      <c r="T988" s="23" t="str">
        <f t="shared" si="342"/>
        <v/>
      </c>
      <c r="U988" s="23" t="str">
        <f t="shared" si="343"/>
        <v/>
      </c>
      <c r="V988" s="23" t="str">
        <f t="shared" si="344"/>
        <v/>
      </c>
      <c r="W988" s="70" t="str">
        <f t="shared" si="345"/>
        <v/>
      </c>
      <c r="X988" s="70" t="str">
        <f t="shared" si="346"/>
        <v/>
      </c>
      <c r="Y988" s="70" t="str">
        <f>IF(AND($A988&lt;&gt;"",$E988&gt;0),isLaptopBag($C988,$J988)*$D988,"")</f>
        <v/>
      </c>
      <c r="Z988" s="70" t="str">
        <f t="shared" si="347"/>
        <v/>
      </c>
      <c r="AA988" s="70" t="str">
        <f t="shared" si="348"/>
        <v/>
      </c>
      <c r="AB988" s="70" t="str">
        <f t="shared" si="349"/>
        <v/>
      </c>
      <c r="AC988" s="70" t="str">
        <f t="shared" si="350"/>
        <v/>
      </c>
      <c r="AD988" s="70" t="str">
        <f t="shared" si="351"/>
        <v/>
      </c>
      <c r="AE988" s="70" t="str">
        <f t="shared" si="352"/>
        <v/>
      </c>
      <c r="AF988" s="16"/>
      <c r="AG988" s="23"/>
      <c r="AH988" s="22"/>
      <c r="AJ988" s="83">
        <f t="shared" si="353"/>
        <v>0</v>
      </c>
      <c r="AO988" s="22" t="str">
        <f t="shared" si="354"/>
        <v/>
      </c>
      <c r="AP988" s="22" t="str">
        <f t="shared" si="355"/>
        <v/>
      </c>
    </row>
    <row r="989" spans="1:42" x14ac:dyDescent="0.25">
      <c r="A989" s="10"/>
      <c r="B989" s="10"/>
      <c r="C989" s="10"/>
      <c r="D989" s="10"/>
      <c r="E989" s="10"/>
      <c r="F989" s="10"/>
      <c r="G989" s="10"/>
      <c r="H989" s="17"/>
      <c r="I989" s="10"/>
      <c r="J989" s="10"/>
      <c r="K989" s="16" t="str">
        <f t="shared" si="334"/>
        <v/>
      </c>
      <c r="L989" s="23" t="str">
        <f t="shared" si="335"/>
        <v/>
      </c>
      <c r="M989" s="22" t="str">
        <f t="shared" si="336"/>
        <v/>
      </c>
      <c r="N989" s="72"/>
      <c r="O989" s="16" t="str">
        <f t="shared" si="337"/>
        <v/>
      </c>
      <c r="P989" s="16" t="str">
        <f t="shared" si="338"/>
        <v/>
      </c>
      <c r="Q989" s="16" t="str">
        <f t="shared" si="339"/>
        <v/>
      </c>
      <c r="R989" s="23" t="str">
        <f t="shared" si="340"/>
        <v/>
      </c>
      <c r="S989" s="23" t="str">
        <f t="shared" si="341"/>
        <v/>
      </c>
      <c r="T989" s="23" t="str">
        <f t="shared" si="342"/>
        <v/>
      </c>
      <c r="U989" s="23" t="str">
        <f t="shared" si="343"/>
        <v/>
      </c>
      <c r="V989" s="23" t="str">
        <f t="shared" si="344"/>
        <v/>
      </c>
      <c r="W989" s="70" t="str">
        <f t="shared" si="345"/>
        <v/>
      </c>
      <c r="X989" s="70" t="str">
        <f t="shared" si="346"/>
        <v/>
      </c>
      <c r="Y989" s="70" t="str">
        <f>IF(AND($A989&lt;&gt;"",$E989&gt;0),isLaptopBag($C989,$J989)*$D989,"")</f>
        <v/>
      </c>
      <c r="Z989" s="70" t="str">
        <f t="shared" si="347"/>
        <v/>
      </c>
      <c r="AA989" s="70" t="str">
        <f t="shared" si="348"/>
        <v/>
      </c>
      <c r="AB989" s="70" t="str">
        <f t="shared" si="349"/>
        <v/>
      </c>
      <c r="AC989" s="70" t="str">
        <f t="shared" si="350"/>
        <v/>
      </c>
      <c r="AD989" s="70" t="str">
        <f t="shared" si="351"/>
        <v/>
      </c>
      <c r="AE989" s="70" t="str">
        <f t="shared" si="352"/>
        <v/>
      </c>
      <c r="AF989" s="16"/>
      <c r="AG989" s="23"/>
      <c r="AH989" s="22"/>
      <c r="AJ989" s="83">
        <f t="shared" si="353"/>
        <v>0</v>
      </c>
      <c r="AO989" s="22" t="str">
        <f t="shared" si="354"/>
        <v/>
      </c>
      <c r="AP989" s="22" t="str">
        <f t="shared" si="355"/>
        <v/>
      </c>
    </row>
    <row r="990" spans="1:42" x14ac:dyDescent="0.25">
      <c r="A990" s="10"/>
      <c r="B990" s="10"/>
      <c r="C990" s="10"/>
      <c r="D990" s="10"/>
      <c r="E990" s="10"/>
      <c r="F990" s="10"/>
      <c r="G990" s="10"/>
      <c r="H990" s="17"/>
      <c r="I990" s="10"/>
      <c r="J990" s="10"/>
      <c r="K990" s="16" t="str">
        <f t="shared" si="334"/>
        <v/>
      </c>
      <c r="L990" s="23" t="str">
        <f t="shared" si="335"/>
        <v/>
      </c>
      <c r="M990" s="22" t="str">
        <f t="shared" si="336"/>
        <v/>
      </c>
      <c r="N990" s="72"/>
      <c r="O990" s="16" t="str">
        <f t="shared" si="337"/>
        <v/>
      </c>
      <c r="P990" s="16" t="str">
        <f t="shared" si="338"/>
        <v/>
      </c>
      <c r="Q990" s="16" t="str">
        <f t="shared" si="339"/>
        <v/>
      </c>
      <c r="R990" s="23" t="str">
        <f t="shared" si="340"/>
        <v/>
      </c>
      <c r="S990" s="23" t="str">
        <f t="shared" si="341"/>
        <v/>
      </c>
      <c r="T990" s="23" t="str">
        <f t="shared" si="342"/>
        <v/>
      </c>
      <c r="U990" s="23" t="str">
        <f t="shared" si="343"/>
        <v/>
      </c>
      <c r="V990" s="23" t="str">
        <f t="shared" si="344"/>
        <v/>
      </c>
      <c r="W990" s="70" t="str">
        <f t="shared" si="345"/>
        <v/>
      </c>
      <c r="X990" s="70" t="str">
        <f t="shared" si="346"/>
        <v/>
      </c>
      <c r="Y990" s="70" t="str">
        <f>IF(AND($A990&lt;&gt;"",$E990&gt;0),isLaptopBag($C990,$J990)*$D990,"")</f>
        <v/>
      </c>
      <c r="Z990" s="70" t="str">
        <f t="shared" si="347"/>
        <v/>
      </c>
      <c r="AA990" s="70" t="str">
        <f t="shared" si="348"/>
        <v/>
      </c>
      <c r="AB990" s="70" t="str">
        <f t="shared" si="349"/>
        <v/>
      </c>
      <c r="AC990" s="70" t="str">
        <f t="shared" si="350"/>
        <v/>
      </c>
      <c r="AD990" s="70" t="str">
        <f t="shared" si="351"/>
        <v/>
      </c>
      <c r="AE990" s="70" t="str">
        <f t="shared" si="352"/>
        <v/>
      </c>
      <c r="AF990" s="16"/>
      <c r="AG990" s="23"/>
      <c r="AH990" s="22"/>
      <c r="AJ990" s="83">
        <f t="shared" si="353"/>
        <v>0</v>
      </c>
      <c r="AO990" s="22" t="str">
        <f t="shared" si="354"/>
        <v/>
      </c>
      <c r="AP990" s="22" t="str">
        <f t="shared" si="355"/>
        <v/>
      </c>
    </row>
    <row r="991" spans="1:42" x14ac:dyDescent="0.25">
      <c r="A991" s="10"/>
      <c r="B991" s="10"/>
      <c r="C991" s="10"/>
      <c r="D991" s="10"/>
      <c r="E991" s="10"/>
      <c r="F991" s="10"/>
      <c r="G991" s="10"/>
      <c r="H991" s="17"/>
      <c r="I991" s="10"/>
      <c r="J991" s="10"/>
      <c r="K991" s="16" t="str">
        <f t="shared" si="334"/>
        <v/>
      </c>
      <c r="L991" s="23" t="str">
        <f t="shared" si="335"/>
        <v/>
      </c>
      <c r="M991" s="22" t="str">
        <f t="shared" si="336"/>
        <v/>
      </c>
      <c r="N991" s="72"/>
      <c r="O991" s="16" t="str">
        <f t="shared" si="337"/>
        <v/>
      </c>
      <c r="P991" s="16" t="str">
        <f t="shared" si="338"/>
        <v/>
      </c>
      <c r="Q991" s="16" t="str">
        <f t="shared" si="339"/>
        <v/>
      </c>
      <c r="R991" s="23" t="str">
        <f t="shared" si="340"/>
        <v/>
      </c>
      <c r="S991" s="23" t="str">
        <f t="shared" si="341"/>
        <v/>
      </c>
      <c r="T991" s="23" t="str">
        <f t="shared" si="342"/>
        <v/>
      </c>
      <c r="U991" s="23" t="str">
        <f t="shared" si="343"/>
        <v/>
      </c>
      <c r="V991" s="23" t="str">
        <f t="shared" si="344"/>
        <v/>
      </c>
      <c r="W991" s="70" t="str">
        <f t="shared" si="345"/>
        <v/>
      </c>
      <c r="X991" s="70" t="str">
        <f t="shared" si="346"/>
        <v/>
      </c>
      <c r="Y991" s="70" t="str">
        <f>IF(AND($A991&lt;&gt;"",$E991&gt;0),isLaptopBag($C991,$J991)*$D991,"")</f>
        <v/>
      </c>
      <c r="Z991" s="70" t="str">
        <f t="shared" si="347"/>
        <v/>
      </c>
      <c r="AA991" s="70" t="str">
        <f t="shared" si="348"/>
        <v/>
      </c>
      <c r="AB991" s="70" t="str">
        <f t="shared" si="349"/>
        <v/>
      </c>
      <c r="AC991" s="70" t="str">
        <f t="shared" si="350"/>
        <v/>
      </c>
      <c r="AD991" s="70" t="str">
        <f t="shared" si="351"/>
        <v/>
      </c>
      <c r="AE991" s="70" t="str">
        <f t="shared" si="352"/>
        <v/>
      </c>
      <c r="AF991" s="16"/>
      <c r="AG991" s="23"/>
      <c r="AH991" s="22"/>
      <c r="AJ991" s="83">
        <f t="shared" si="353"/>
        <v>0</v>
      </c>
      <c r="AO991" s="22" t="str">
        <f t="shared" si="354"/>
        <v/>
      </c>
      <c r="AP991" s="22" t="str">
        <f t="shared" si="355"/>
        <v/>
      </c>
    </row>
    <row r="992" spans="1:42" x14ac:dyDescent="0.25">
      <c r="A992" s="10"/>
      <c r="B992" s="10"/>
      <c r="C992" s="10"/>
      <c r="D992" s="10"/>
      <c r="E992" s="10"/>
      <c r="F992" s="10"/>
      <c r="G992" s="10"/>
      <c r="H992" s="17"/>
      <c r="I992" s="10"/>
      <c r="J992" s="10"/>
      <c r="K992" s="16" t="str">
        <f t="shared" si="334"/>
        <v/>
      </c>
      <c r="L992" s="23" t="str">
        <f t="shared" si="335"/>
        <v/>
      </c>
      <c r="M992" s="22" t="str">
        <f t="shared" si="336"/>
        <v/>
      </c>
      <c r="N992" s="72"/>
      <c r="O992" s="16" t="str">
        <f t="shared" si="337"/>
        <v/>
      </c>
      <c r="P992" s="16" t="str">
        <f t="shared" si="338"/>
        <v/>
      </c>
      <c r="Q992" s="16" t="str">
        <f t="shared" si="339"/>
        <v/>
      </c>
      <c r="R992" s="23" t="str">
        <f t="shared" si="340"/>
        <v/>
      </c>
      <c r="S992" s="23" t="str">
        <f t="shared" si="341"/>
        <v/>
      </c>
      <c r="T992" s="23" t="str">
        <f t="shared" si="342"/>
        <v/>
      </c>
      <c r="U992" s="23" t="str">
        <f t="shared" si="343"/>
        <v/>
      </c>
      <c r="V992" s="23" t="str">
        <f t="shared" si="344"/>
        <v/>
      </c>
      <c r="W992" s="70" t="str">
        <f t="shared" si="345"/>
        <v/>
      </c>
      <c r="X992" s="70" t="str">
        <f t="shared" si="346"/>
        <v/>
      </c>
      <c r="Y992" s="70" t="str">
        <f>IF(AND($A992&lt;&gt;"",$E992&gt;0),isLaptopBag($C992,$J992)*$D992,"")</f>
        <v/>
      </c>
      <c r="Z992" s="70" t="str">
        <f t="shared" si="347"/>
        <v/>
      </c>
      <c r="AA992" s="70" t="str">
        <f t="shared" si="348"/>
        <v/>
      </c>
      <c r="AB992" s="70" t="str">
        <f t="shared" si="349"/>
        <v/>
      </c>
      <c r="AC992" s="70" t="str">
        <f t="shared" si="350"/>
        <v/>
      </c>
      <c r="AD992" s="70" t="str">
        <f t="shared" si="351"/>
        <v/>
      </c>
      <c r="AE992" s="70" t="str">
        <f t="shared" si="352"/>
        <v/>
      </c>
      <c r="AF992" s="16"/>
      <c r="AG992" s="23"/>
      <c r="AH992" s="22"/>
      <c r="AJ992" s="83">
        <f t="shared" si="353"/>
        <v>0</v>
      </c>
      <c r="AO992" s="22" t="str">
        <f t="shared" si="354"/>
        <v/>
      </c>
      <c r="AP992" s="22" t="str">
        <f t="shared" si="355"/>
        <v/>
      </c>
    </row>
    <row r="993" spans="1:42" x14ac:dyDescent="0.25">
      <c r="A993" s="10"/>
      <c r="B993" s="10"/>
      <c r="C993" s="10"/>
      <c r="D993" s="10"/>
      <c r="E993" s="10"/>
      <c r="F993" s="10"/>
      <c r="G993" s="10"/>
      <c r="H993" s="17"/>
      <c r="I993" s="10"/>
      <c r="J993" s="10"/>
      <c r="K993" s="16" t="str">
        <f t="shared" si="334"/>
        <v/>
      </c>
      <c r="L993" s="23" t="str">
        <f t="shared" si="335"/>
        <v/>
      </c>
      <c r="M993" s="22" t="str">
        <f t="shared" si="336"/>
        <v/>
      </c>
      <c r="N993" s="72"/>
      <c r="O993" s="16" t="str">
        <f t="shared" si="337"/>
        <v/>
      </c>
      <c r="P993" s="16" t="str">
        <f t="shared" si="338"/>
        <v/>
      </c>
      <c r="Q993" s="16" t="str">
        <f t="shared" si="339"/>
        <v/>
      </c>
      <c r="R993" s="23" t="str">
        <f t="shared" si="340"/>
        <v/>
      </c>
      <c r="S993" s="23" t="str">
        <f t="shared" si="341"/>
        <v/>
      </c>
      <c r="T993" s="23" t="str">
        <f t="shared" si="342"/>
        <v/>
      </c>
      <c r="U993" s="23" t="str">
        <f t="shared" si="343"/>
        <v/>
      </c>
      <c r="V993" s="23" t="str">
        <f t="shared" si="344"/>
        <v/>
      </c>
      <c r="W993" s="70" t="str">
        <f t="shared" si="345"/>
        <v/>
      </c>
      <c r="X993" s="70" t="str">
        <f t="shared" si="346"/>
        <v/>
      </c>
      <c r="Y993" s="70" t="str">
        <f>IF(AND($A993&lt;&gt;"",$E993&gt;0),isLaptopBag($C993,$J993)*$D993,"")</f>
        <v/>
      </c>
      <c r="Z993" s="70" t="str">
        <f t="shared" si="347"/>
        <v/>
      </c>
      <c r="AA993" s="70" t="str">
        <f t="shared" si="348"/>
        <v/>
      </c>
      <c r="AB993" s="70" t="str">
        <f t="shared" si="349"/>
        <v/>
      </c>
      <c r="AC993" s="70" t="str">
        <f t="shared" si="350"/>
        <v/>
      </c>
      <c r="AD993" s="70" t="str">
        <f t="shared" si="351"/>
        <v/>
      </c>
      <c r="AE993" s="70" t="str">
        <f t="shared" si="352"/>
        <v/>
      </c>
      <c r="AF993" s="16"/>
      <c r="AG993" s="23"/>
      <c r="AH993" s="22"/>
      <c r="AJ993" s="83">
        <f t="shared" si="353"/>
        <v>0</v>
      </c>
      <c r="AO993" s="22" t="str">
        <f t="shared" si="354"/>
        <v/>
      </c>
      <c r="AP993" s="22" t="str">
        <f t="shared" si="355"/>
        <v/>
      </c>
    </row>
    <row r="994" spans="1:42" x14ac:dyDescent="0.25">
      <c r="A994" s="10"/>
      <c r="B994" s="10"/>
      <c r="C994" s="10"/>
      <c r="D994" s="10"/>
      <c r="E994" s="10"/>
      <c r="F994" s="10"/>
      <c r="G994" s="10"/>
      <c r="H994" s="17"/>
      <c r="I994" s="10"/>
      <c r="J994" s="10"/>
      <c r="K994" s="16" t="str">
        <f t="shared" si="334"/>
        <v/>
      </c>
      <c r="L994" s="23" t="str">
        <f t="shared" si="335"/>
        <v/>
      </c>
      <c r="M994" s="22" t="str">
        <f t="shared" si="336"/>
        <v/>
      </c>
      <c r="N994" s="72"/>
      <c r="O994" s="16" t="str">
        <f t="shared" si="337"/>
        <v/>
      </c>
      <c r="P994" s="16" t="str">
        <f t="shared" si="338"/>
        <v/>
      </c>
      <c r="Q994" s="16" t="str">
        <f t="shared" si="339"/>
        <v/>
      </c>
      <c r="R994" s="23" t="str">
        <f t="shared" si="340"/>
        <v/>
      </c>
      <c r="S994" s="23" t="str">
        <f t="shared" si="341"/>
        <v/>
      </c>
      <c r="T994" s="23" t="str">
        <f t="shared" si="342"/>
        <v/>
      </c>
      <c r="U994" s="23" t="str">
        <f t="shared" si="343"/>
        <v/>
      </c>
      <c r="V994" s="23" t="str">
        <f t="shared" si="344"/>
        <v/>
      </c>
      <c r="W994" s="70" t="str">
        <f t="shared" si="345"/>
        <v/>
      </c>
      <c r="X994" s="70" t="str">
        <f t="shared" si="346"/>
        <v/>
      </c>
      <c r="Y994" s="70" t="str">
        <f>IF(AND($A994&lt;&gt;"",$E994&gt;0),isLaptopBag($C994,$J994)*$D994,"")</f>
        <v/>
      </c>
      <c r="Z994" s="70" t="str">
        <f t="shared" si="347"/>
        <v/>
      </c>
      <c r="AA994" s="70" t="str">
        <f t="shared" si="348"/>
        <v/>
      </c>
      <c r="AB994" s="70" t="str">
        <f t="shared" si="349"/>
        <v/>
      </c>
      <c r="AC994" s="70" t="str">
        <f t="shared" si="350"/>
        <v/>
      </c>
      <c r="AD994" s="70" t="str">
        <f t="shared" si="351"/>
        <v/>
      </c>
      <c r="AE994" s="70" t="str">
        <f t="shared" si="352"/>
        <v/>
      </c>
      <c r="AF994" s="16"/>
      <c r="AG994" s="23"/>
      <c r="AH994" s="22"/>
      <c r="AJ994" s="83">
        <f t="shared" si="353"/>
        <v>0</v>
      </c>
      <c r="AO994" s="22" t="str">
        <f t="shared" si="354"/>
        <v/>
      </c>
      <c r="AP994" s="22" t="str">
        <f t="shared" si="355"/>
        <v/>
      </c>
    </row>
    <row r="995" spans="1:42" x14ac:dyDescent="0.25">
      <c r="A995" s="10"/>
      <c r="B995" s="10"/>
      <c r="C995" s="10"/>
      <c r="D995" s="10"/>
      <c r="E995" s="10"/>
      <c r="F995" s="10"/>
      <c r="G995" s="10"/>
      <c r="H995" s="17"/>
      <c r="I995" s="10"/>
      <c r="J995" s="10"/>
      <c r="K995" s="16" t="str">
        <f t="shared" si="334"/>
        <v/>
      </c>
      <c r="L995" s="23" t="str">
        <f t="shared" si="335"/>
        <v/>
      </c>
      <c r="M995" s="22" t="str">
        <f t="shared" si="336"/>
        <v/>
      </c>
      <c r="N995" s="72"/>
      <c r="O995" s="16" t="str">
        <f t="shared" si="337"/>
        <v/>
      </c>
      <c r="P995" s="16" t="str">
        <f t="shared" si="338"/>
        <v/>
      </c>
      <c r="Q995" s="16" t="str">
        <f t="shared" si="339"/>
        <v/>
      </c>
      <c r="R995" s="23" t="str">
        <f t="shared" si="340"/>
        <v/>
      </c>
      <c r="S995" s="23" t="str">
        <f t="shared" si="341"/>
        <v/>
      </c>
      <c r="T995" s="23" t="str">
        <f t="shared" si="342"/>
        <v/>
      </c>
      <c r="U995" s="23" t="str">
        <f t="shared" si="343"/>
        <v/>
      </c>
      <c r="V995" s="23" t="str">
        <f t="shared" si="344"/>
        <v/>
      </c>
      <c r="W995" s="70" t="str">
        <f t="shared" si="345"/>
        <v/>
      </c>
      <c r="X995" s="70" t="str">
        <f t="shared" si="346"/>
        <v/>
      </c>
      <c r="Y995" s="70" t="str">
        <f>IF(AND($A995&lt;&gt;"",$E995&gt;0),isLaptopBag($C995,$J995)*$D995,"")</f>
        <v/>
      </c>
      <c r="Z995" s="70" t="str">
        <f t="shared" si="347"/>
        <v/>
      </c>
      <c r="AA995" s="70" t="str">
        <f t="shared" si="348"/>
        <v/>
      </c>
      <c r="AB995" s="70" t="str">
        <f t="shared" si="349"/>
        <v/>
      </c>
      <c r="AC995" s="70" t="str">
        <f t="shared" si="350"/>
        <v/>
      </c>
      <c r="AD995" s="70" t="str">
        <f t="shared" si="351"/>
        <v/>
      </c>
      <c r="AE995" s="70" t="str">
        <f t="shared" si="352"/>
        <v/>
      </c>
      <c r="AF995" s="16"/>
      <c r="AG995" s="23"/>
      <c r="AH995" s="22"/>
      <c r="AJ995" s="83">
        <f t="shared" si="353"/>
        <v>0</v>
      </c>
      <c r="AO995" s="22" t="str">
        <f t="shared" si="354"/>
        <v/>
      </c>
      <c r="AP995" s="22" t="str">
        <f t="shared" si="355"/>
        <v/>
      </c>
    </row>
    <row r="996" spans="1:42" x14ac:dyDescent="0.25">
      <c r="A996" s="10"/>
      <c r="B996" s="10"/>
      <c r="C996" s="10"/>
      <c r="D996" s="10"/>
      <c r="E996" s="10"/>
      <c r="F996" s="10"/>
      <c r="G996" s="10"/>
      <c r="H996" s="17"/>
      <c r="I996" s="10"/>
      <c r="J996" s="10"/>
      <c r="K996" s="16" t="str">
        <f t="shared" si="334"/>
        <v/>
      </c>
      <c r="L996" s="23" t="str">
        <f t="shared" si="335"/>
        <v/>
      </c>
      <c r="M996" s="22" t="str">
        <f t="shared" si="336"/>
        <v/>
      </c>
      <c r="N996" s="72"/>
      <c r="O996" s="16" t="str">
        <f t="shared" si="337"/>
        <v/>
      </c>
      <c r="P996" s="16" t="str">
        <f t="shared" si="338"/>
        <v/>
      </c>
      <c r="Q996" s="16" t="str">
        <f t="shared" si="339"/>
        <v/>
      </c>
      <c r="R996" s="23" t="str">
        <f t="shared" si="340"/>
        <v/>
      </c>
      <c r="S996" s="23" t="str">
        <f t="shared" si="341"/>
        <v/>
      </c>
      <c r="T996" s="23" t="str">
        <f t="shared" si="342"/>
        <v/>
      </c>
      <c r="U996" s="23" t="str">
        <f t="shared" si="343"/>
        <v/>
      </c>
      <c r="V996" s="23" t="str">
        <f t="shared" si="344"/>
        <v/>
      </c>
      <c r="W996" s="70" t="str">
        <f t="shared" si="345"/>
        <v/>
      </c>
      <c r="X996" s="70" t="str">
        <f t="shared" si="346"/>
        <v/>
      </c>
      <c r="Y996" s="70" t="str">
        <f>IF(AND($A996&lt;&gt;"",$E996&gt;0),isLaptopBag($C996,$J996)*$D996,"")</f>
        <v/>
      </c>
      <c r="Z996" s="70" t="str">
        <f t="shared" si="347"/>
        <v/>
      </c>
      <c r="AA996" s="70" t="str">
        <f t="shared" si="348"/>
        <v/>
      </c>
      <c r="AB996" s="70" t="str">
        <f t="shared" si="349"/>
        <v/>
      </c>
      <c r="AC996" s="70" t="str">
        <f t="shared" si="350"/>
        <v/>
      </c>
      <c r="AD996" s="70" t="str">
        <f t="shared" si="351"/>
        <v/>
      </c>
      <c r="AE996" s="70" t="str">
        <f t="shared" si="352"/>
        <v/>
      </c>
      <c r="AF996" s="16"/>
      <c r="AG996" s="23"/>
      <c r="AH996" s="22"/>
      <c r="AJ996" s="83">
        <f t="shared" si="353"/>
        <v>0</v>
      </c>
      <c r="AO996" s="22" t="str">
        <f t="shared" si="354"/>
        <v/>
      </c>
      <c r="AP996" s="22" t="str">
        <f t="shared" si="355"/>
        <v/>
      </c>
    </row>
    <row r="997" spans="1:42" x14ac:dyDescent="0.25">
      <c r="A997" s="10"/>
      <c r="B997" s="10"/>
      <c r="C997" s="10"/>
      <c r="D997" s="10"/>
      <c r="E997" s="10"/>
      <c r="F997" s="10"/>
      <c r="G997" s="10"/>
      <c r="H997" s="17"/>
      <c r="I997" s="10"/>
      <c r="J997" s="10"/>
      <c r="K997" s="16" t="str">
        <f t="shared" si="334"/>
        <v/>
      </c>
      <c r="L997" s="23" t="str">
        <f t="shared" si="335"/>
        <v/>
      </c>
      <c r="M997" s="22" t="str">
        <f t="shared" si="336"/>
        <v/>
      </c>
      <c r="N997" s="72"/>
      <c r="O997" s="16" t="str">
        <f t="shared" si="337"/>
        <v/>
      </c>
      <c r="P997" s="16" t="str">
        <f t="shared" si="338"/>
        <v/>
      </c>
      <c r="Q997" s="16" t="str">
        <f t="shared" si="339"/>
        <v/>
      </c>
      <c r="R997" s="23" t="str">
        <f t="shared" si="340"/>
        <v/>
      </c>
      <c r="S997" s="23" t="str">
        <f t="shared" si="341"/>
        <v/>
      </c>
      <c r="T997" s="23" t="str">
        <f t="shared" si="342"/>
        <v/>
      </c>
      <c r="U997" s="23" t="str">
        <f t="shared" si="343"/>
        <v/>
      </c>
      <c r="V997" s="23" t="str">
        <f t="shared" si="344"/>
        <v/>
      </c>
      <c r="W997" s="70" t="str">
        <f t="shared" si="345"/>
        <v/>
      </c>
      <c r="X997" s="70" t="str">
        <f t="shared" si="346"/>
        <v/>
      </c>
      <c r="Y997" s="70" t="str">
        <f>IF(AND($A997&lt;&gt;"",$E997&gt;0),isLaptopBag($C997,$J997)*$D997,"")</f>
        <v/>
      </c>
      <c r="Z997" s="70" t="str">
        <f t="shared" si="347"/>
        <v/>
      </c>
      <c r="AA997" s="70" t="str">
        <f t="shared" si="348"/>
        <v/>
      </c>
      <c r="AB997" s="70" t="str">
        <f t="shared" si="349"/>
        <v/>
      </c>
      <c r="AC997" s="70" t="str">
        <f t="shared" si="350"/>
        <v/>
      </c>
      <c r="AD997" s="70" t="str">
        <f t="shared" si="351"/>
        <v/>
      </c>
      <c r="AE997" s="70" t="str">
        <f t="shared" si="352"/>
        <v/>
      </c>
      <c r="AF997" s="16"/>
      <c r="AG997" s="23"/>
      <c r="AH997" s="22"/>
      <c r="AJ997" s="83">
        <f t="shared" si="353"/>
        <v>0</v>
      </c>
      <c r="AO997" s="22" t="str">
        <f t="shared" si="354"/>
        <v/>
      </c>
      <c r="AP997" s="22" t="str">
        <f t="shared" si="355"/>
        <v/>
      </c>
    </row>
    <row r="998" spans="1:42" x14ac:dyDescent="0.25">
      <c r="A998" s="10"/>
      <c r="B998" s="10"/>
      <c r="C998" s="10"/>
      <c r="D998" s="10"/>
      <c r="E998" s="10"/>
      <c r="F998" s="10"/>
      <c r="G998" s="10"/>
      <c r="H998" s="17"/>
      <c r="I998" s="10"/>
      <c r="J998" s="10"/>
      <c r="K998" s="16" t="str">
        <f t="shared" si="334"/>
        <v/>
      </c>
      <c r="L998" s="23" t="str">
        <f t="shared" si="335"/>
        <v/>
      </c>
      <c r="M998" s="22" t="str">
        <f t="shared" si="336"/>
        <v/>
      </c>
      <c r="N998" s="72"/>
      <c r="O998" s="16" t="str">
        <f t="shared" si="337"/>
        <v/>
      </c>
      <c r="P998" s="16" t="str">
        <f t="shared" si="338"/>
        <v/>
      </c>
      <c r="Q998" s="16" t="str">
        <f t="shared" si="339"/>
        <v/>
      </c>
      <c r="R998" s="23" t="str">
        <f t="shared" si="340"/>
        <v/>
      </c>
      <c r="S998" s="23" t="str">
        <f t="shared" si="341"/>
        <v/>
      </c>
      <c r="T998" s="23" t="str">
        <f t="shared" si="342"/>
        <v/>
      </c>
      <c r="U998" s="23" t="str">
        <f t="shared" si="343"/>
        <v/>
      </c>
      <c r="V998" s="23" t="str">
        <f t="shared" si="344"/>
        <v/>
      </c>
      <c r="W998" s="70" t="str">
        <f t="shared" si="345"/>
        <v/>
      </c>
      <c r="X998" s="70" t="str">
        <f t="shared" si="346"/>
        <v/>
      </c>
      <c r="Y998" s="70" t="str">
        <f>IF(AND($A998&lt;&gt;"",$E998&gt;0),isLaptopBag($C998,$J998)*$D998,"")</f>
        <v/>
      </c>
      <c r="Z998" s="70" t="str">
        <f t="shared" si="347"/>
        <v/>
      </c>
      <c r="AA998" s="70" t="str">
        <f t="shared" si="348"/>
        <v/>
      </c>
      <c r="AB998" s="70" t="str">
        <f t="shared" si="349"/>
        <v/>
      </c>
      <c r="AC998" s="70" t="str">
        <f t="shared" si="350"/>
        <v/>
      </c>
      <c r="AD998" s="70" t="str">
        <f t="shared" si="351"/>
        <v/>
      </c>
      <c r="AE998" s="70" t="str">
        <f t="shared" si="352"/>
        <v/>
      </c>
      <c r="AF998" s="16"/>
      <c r="AG998" s="23"/>
      <c r="AH998" s="22"/>
      <c r="AJ998" s="83">
        <f t="shared" si="353"/>
        <v>0</v>
      </c>
      <c r="AO998" s="22" t="str">
        <f t="shared" si="354"/>
        <v/>
      </c>
      <c r="AP998" s="22" t="str">
        <f t="shared" si="355"/>
        <v/>
      </c>
    </row>
    <row r="999" spans="1:42" x14ac:dyDescent="0.25">
      <c r="A999" s="10"/>
      <c r="B999" s="10"/>
      <c r="C999" s="10"/>
      <c r="D999" s="10"/>
      <c r="E999" s="10"/>
      <c r="F999" s="10"/>
      <c r="G999" s="10"/>
      <c r="H999" s="17"/>
      <c r="I999" s="10"/>
      <c r="J999" s="10"/>
      <c r="K999" s="16" t="str">
        <f t="shared" si="334"/>
        <v/>
      </c>
      <c r="L999" s="23" t="str">
        <f t="shared" si="335"/>
        <v/>
      </c>
      <c r="M999" s="22" t="str">
        <f t="shared" si="336"/>
        <v/>
      </c>
      <c r="N999" s="72"/>
      <c r="O999" s="16" t="str">
        <f t="shared" si="337"/>
        <v/>
      </c>
      <c r="P999" s="16" t="str">
        <f t="shared" si="338"/>
        <v/>
      </c>
      <c r="Q999" s="16" t="str">
        <f t="shared" si="339"/>
        <v/>
      </c>
      <c r="R999" s="23" t="str">
        <f t="shared" si="340"/>
        <v/>
      </c>
      <c r="S999" s="23" t="str">
        <f t="shared" si="341"/>
        <v/>
      </c>
      <c r="T999" s="23" t="str">
        <f t="shared" si="342"/>
        <v/>
      </c>
      <c r="U999" s="23" t="str">
        <f t="shared" si="343"/>
        <v/>
      </c>
      <c r="V999" s="23" t="str">
        <f t="shared" si="344"/>
        <v/>
      </c>
      <c r="W999" s="70" t="str">
        <f t="shared" si="345"/>
        <v/>
      </c>
      <c r="X999" s="70" t="str">
        <f t="shared" si="346"/>
        <v/>
      </c>
      <c r="Y999" s="70" t="str">
        <f>IF(AND($A999&lt;&gt;"",$E999&gt;0),isLaptopBag($C999,$J999)*$D999,"")</f>
        <v/>
      </c>
      <c r="Z999" s="70" t="str">
        <f t="shared" si="347"/>
        <v/>
      </c>
      <c r="AA999" s="70" t="str">
        <f t="shared" si="348"/>
        <v/>
      </c>
      <c r="AB999" s="70" t="str">
        <f t="shared" si="349"/>
        <v/>
      </c>
      <c r="AC999" s="70" t="str">
        <f t="shared" si="350"/>
        <v/>
      </c>
      <c r="AD999" s="70" t="str">
        <f t="shared" si="351"/>
        <v/>
      </c>
      <c r="AE999" s="70" t="str">
        <f t="shared" si="352"/>
        <v/>
      </c>
      <c r="AF999" s="16"/>
      <c r="AG999" s="23"/>
      <c r="AH999" s="22"/>
      <c r="AJ999" s="83">
        <f t="shared" si="353"/>
        <v>0</v>
      </c>
      <c r="AO999" s="22" t="str">
        <f t="shared" si="354"/>
        <v/>
      </c>
      <c r="AP999" s="22" t="str">
        <f t="shared" si="355"/>
        <v/>
      </c>
    </row>
    <row r="1000" spans="1:42" x14ac:dyDescent="0.25">
      <c r="A1000" s="10"/>
      <c r="B1000" s="10"/>
      <c r="C1000" s="10"/>
      <c r="D1000" s="10"/>
      <c r="E1000" s="10"/>
      <c r="F1000" s="10"/>
      <c r="G1000" s="10"/>
      <c r="H1000" s="17"/>
      <c r="I1000" s="10"/>
      <c r="J1000" s="10"/>
      <c r="K1000" s="16" t="str">
        <f t="shared" si="334"/>
        <v/>
      </c>
      <c r="L1000" s="23" t="str">
        <f t="shared" si="335"/>
        <v/>
      </c>
      <c r="M1000" s="22" t="str">
        <f t="shared" si="336"/>
        <v/>
      </c>
      <c r="N1000" s="72"/>
      <c r="O1000" s="16" t="str">
        <f t="shared" si="337"/>
        <v/>
      </c>
      <c r="P1000" s="16" t="str">
        <f t="shared" si="338"/>
        <v/>
      </c>
      <c r="Q1000" s="16" t="str">
        <f t="shared" si="339"/>
        <v/>
      </c>
      <c r="R1000" s="23" t="str">
        <f t="shared" si="340"/>
        <v/>
      </c>
      <c r="S1000" s="23" t="str">
        <f t="shared" si="341"/>
        <v/>
      </c>
      <c r="T1000" s="23" t="str">
        <f t="shared" si="342"/>
        <v/>
      </c>
      <c r="U1000" s="23" t="str">
        <f t="shared" si="343"/>
        <v/>
      </c>
      <c r="V1000" s="23" t="str">
        <f t="shared" si="344"/>
        <v/>
      </c>
      <c r="W1000" s="70" t="str">
        <f t="shared" si="345"/>
        <v/>
      </c>
      <c r="X1000" s="70" t="str">
        <f t="shared" si="346"/>
        <v/>
      </c>
      <c r="Y1000" s="70" t="str">
        <f>IF(AND($A1000&lt;&gt;"",$E1000&gt;0),isLaptopBag($C1000,$J1000)*$D1000,"")</f>
        <v/>
      </c>
      <c r="Z1000" s="70" t="str">
        <f t="shared" si="347"/>
        <v/>
      </c>
      <c r="AA1000" s="70" t="str">
        <f t="shared" si="348"/>
        <v/>
      </c>
      <c r="AB1000" s="70" t="str">
        <f t="shared" si="349"/>
        <v/>
      </c>
      <c r="AC1000" s="70" t="str">
        <f t="shared" si="350"/>
        <v/>
      </c>
      <c r="AD1000" s="70" t="str">
        <f t="shared" si="351"/>
        <v/>
      </c>
      <c r="AE1000" s="70" t="str">
        <f t="shared" si="352"/>
        <v/>
      </c>
      <c r="AF1000" s="16"/>
      <c r="AG1000" s="23"/>
      <c r="AH1000" s="22"/>
      <c r="AJ1000" s="83">
        <f t="shared" si="353"/>
        <v>0</v>
      </c>
      <c r="AO1000" s="22" t="str">
        <f t="shared" si="354"/>
        <v/>
      </c>
      <c r="AP1000" s="22" t="str">
        <f t="shared" si="355"/>
        <v/>
      </c>
    </row>
    <row r="1001" spans="1:42" x14ac:dyDescent="0.25">
      <c r="A1001" s="10"/>
      <c r="B1001" s="10"/>
      <c r="C1001" s="10"/>
      <c r="D1001" s="10"/>
      <c r="E1001" s="10"/>
      <c r="F1001" s="10"/>
      <c r="G1001" s="10"/>
      <c r="H1001" s="17"/>
      <c r="I1001" s="10"/>
      <c r="J1001" s="10"/>
      <c r="K1001" s="16" t="str">
        <f t="shared" si="334"/>
        <v/>
      </c>
      <c r="L1001" s="23" t="str">
        <f t="shared" si="335"/>
        <v/>
      </c>
      <c r="M1001" s="22" t="str">
        <f t="shared" si="336"/>
        <v/>
      </c>
      <c r="N1001" s="72"/>
      <c r="O1001" s="16" t="str">
        <f t="shared" si="337"/>
        <v/>
      </c>
      <c r="P1001" s="16" t="str">
        <f t="shared" si="338"/>
        <v/>
      </c>
      <c r="Q1001" s="16" t="str">
        <f t="shared" si="339"/>
        <v/>
      </c>
      <c r="R1001" s="23" t="str">
        <f t="shared" si="340"/>
        <v/>
      </c>
      <c r="S1001" s="23" t="str">
        <f t="shared" si="341"/>
        <v/>
      </c>
      <c r="T1001" s="23" t="str">
        <f t="shared" si="342"/>
        <v/>
      </c>
      <c r="U1001" s="23" t="str">
        <f t="shared" si="343"/>
        <v/>
      </c>
      <c r="V1001" s="23" t="str">
        <f t="shared" si="344"/>
        <v/>
      </c>
      <c r="W1001" s="70" t="str">
        <f t="shared" si="345"/>
        <v/>
      </c>
      <c r="X1001" s="70" t="str">
        <f t="shared" si="346"/>
        <v/>
      </c>
      <c r="Y1001" s="70" t="str">
        <f>IF(AND($A1001&lt;&gt;"",$E1001&gt;0),isLaptopBag($C1001,$J1001)*$D1001,"")</f>
        <v/>
      </c>
      <c r="Z1001" s="70" t="str">
        <f t="shared" si="347"/>
        <v/>
      </c>
      <c r="AA1001" s="70" t="str">
        <f t="shared" si="348"/>
        <v/>
      </c>
      <c r="AB1001" s="70" t="str">
        <f t="shared" si="349"/>
        <v/>
      </c>
      <c r="AC1001" s="70" t="str">
        <f t="shared" si="350"/>
        <v/>
      </c>
      <c r="AD1001" s="70" t="str">
        <f t="shared" si="351"/>
        <v/>
      </c>
      <c r="AE1001" s="70" t="str">
        <f t="shared" si="352"/>
        <v/>
      </c>
      <c r="AF1001" s="16"/>
      <c r="AG1001" s="23"/>
      <c r="AH1001" s="22"/>
      <c r="AJ1001" s="83">
        <f t="shared" si="353"/>
        <v>0</v>
      </c>
      <c r="AO1001" s="22" t="str">
        <f t="shared" si="354"/>
        <v/>
      </c>
      <c r="AP1001" s="22" t="str">
        <f t="shared" si="355"/>
        <v/>
      </c>
    </row>
    <row r="1002" spans="1:42" x14ac:dyDescent="0.25">
      <c r="A1002" s="10"/>
      <c r="B1002" s="10"/>
      <c r="C1002" s="10"/>
      <c r="D1002" s="10"/>
      <c r="E1002" s="10"/>
      <c r="F1002" s="10"/>
      <c r="G1002" s="10"/>
      <c r="H1002" s="17"/>
      <c r="I1002" s="10"/>
      <c r="J1002" s="10"/>
      <c r="K1002" s="16" t="str">
        <f t="shared" si="334"/>
        <v/>
      </c>
      <c r="L1002" s="23" t="str">
        <f t="shared" si="335"/>
        <v/>
      </c>
      <c r="M1002" s="22" t="str">
        <f t="shared" si="336"/>
        <v/>
      </c>
      <c r="N1002" s="72"/>
      <c r="O1002" s="16" t="str">
        <f t="shared" si="337"/>
        <v/>
      </c>
      <c r="P1002" s="16" t="str">
        <f t="shared" si="338"/>
        <v/>
      </c>
      <c r="Q1002" s="16" t="str">
        <f t="shared" si="339"/>
        <v/>
      </c>
      <c r="R1002" s="23" t="str">
        <f t="shared" si="340"/>
        <v/>
      </c>
      <c r="S1002" s="23" t="str">
        <f t="shared" si="341"/>
        <v/>
      </c>
      <c r="T1002" s="23" t="str">
        <f t="shared" si="342"/>
        <v/>
      </c>
      <c r="U1002" s="23" t="str">
        <f t="shared" si="343"/>
        <v/>
      </c>
      <c r="V1002" s="23" t="str">
        <f t="shared" si="344"/>
        <v/>
      </c>
      <c r="W1002" s="70" t="str">
        <f t="shared" si="345"/>
        <v/>
      </c>
      <c r="X1002" s="70" t="str">
        <f t="shared" si="346"/>
        <v/>
      </c>
      <c r="Y1002" s="70" t="str">
        <f>IF(AND($A1002&lt;&gt;"",$E1002&gt;0),isLaptopBag($C1002,$J1002)*$D1002,"")</f>
        <v/>
      </c>
      <c r="Z1002" s="70" t="str">
        <f t="shared" si="347"/>
        <v/>
      </c>
      <c r="AA1002" s="70" t="str">
        <f t="shared" si="348"/>
        <v/>
      </c>
      <c r="AB1002" s="70" t="str">
        <f t="shared" si="349"/>
        <v/>
      </c>
      <c r="AC1002" s="70" t="str">
        <f t="shared" si="350"/>
        <v/>
      </c>
      <c r="AD1002" s="70" t="str">
        <f t="shared" si="351"/>
        <v/>
      </c>
      <c r="AE1002" s="70" t="str">
        <f t="shared" si="352"/>
        <v/>
      </c>
      <c r="AF1002" s="16"/>
      <c r="AG1002" s="23"/>
      <c r="AH1002" s="22"/>
      <c r="AJ1002" s="83">
        <f t="shared" si="353"/>
        <v>0</v>
      </c>
      <c r="AO1002" s="22" t="str">
        <f t="shared" si="354"/>
        <v/>
      </c>
      <c r="AP1002" s="22" t="str">
        <f t="shared" si="355"/>
        <v/>
      </c>
    </row>
    <row r="1003" spans="1:42" x14ac:dyDescent="0.25">
      <c r="A1003" s="10"/>
      <c r="B1003" s="10"/>
      <c r="C1003" s="10"/>
      <c r="D1003" s="10"/>
      <c r="E1003" s="10"/>
      <c r="F1003" s="10"/>
      <c r="G1003" s="10"/>
      <c r="H1003" s="17"/>
      <c r="I1003" s="10"/>
      <c r="J1003" s="10"/>
      <c r="K1003" s="16" t="str">
        <f t="shared" si="334"/>
        <v/>
      </c>
      <c r="L1003" s="23" t="str">
        <f t="shared" si="335"/>
        <v/>
      </c>
      <c r="M1003" s="22" t="str">
        <f t="shared" si="336"/>
        <v/>
      </c>
      <c r="N1003" s="72"/>
      <c r="O1003" s="16" t="str">
        <f t="shared" si="337"/>
        <v/>
      </c>
      <c r="P1003" s="16" t="str">
        <f t="shared" si="338"/>
        <v/>
      </c>
      <c r="Q1003" s="16" t="str">
        <f t="shared" si="339"/>
        <v/>
      </c>
      <c r="R1003" s="23" t="str">
        <f t="shared" si="340"/>
        <v/>
      </c>
      <c r="S1003" s="23" t="str">
        <f t="shared" si="341"/>
        <v/>
      </c>
      <c r="T1003" s="23" t="str">
        <f t="shared" si="342"/>
        <v/>
      </c>
      <c r="U1003" s="23" t="str">
        <f t="shared" si="343"/>
        <v/>
      </c>
      <c r="V1003" s="23" t="str">
        <f t="shared" si="344"/>
        <v/>
      </c>
      <c r="W1003" s="70" t="str">
        <f t="shared" si="345"/>
        <v/>
      </c>
      <c r="X1003" s="70" t="str">
        <f t="shared" si="346"/>
        <v/>
      </c>
      <c r="Y1003" s="70" t="str">
        <f>IF(AND($A1003&lt;&gt;"",$E1003&gt;0),isLaptopBag($C1003,$J1003)*$D1003,"")</f>
        <v/>
      </c>
      <c r="Z1003" s="70" t="str">
        <f t="shared" si="347"/>
        <v/>
      </c>
      <c r="AA1003" s="70" t="str">
        <f t="shared" si="348"/>
        <v/>
      </c>
      <c r="AB1003" s="70" t="str">
        <f t="shared" si="349"/>
        <v/>
      </c>
      <c r="AC1003" s="70" t="str">
        <f t="shared" si="350"/>
        <v/>
      </c>
      <c r="AD1003" s="70" t="str">
        <f t="shared" si="351"/>
        <v/>
      </c>
      <c r="AE1003" s="70" t="str">
        <f t="shared" si="352"/>
        <v/>
      </c>
      <c r="AF1003" s="16"/>
      <c r="AG1003" s="23"/>
      <c r="AH1003" s="22"/>
      <c r="AJ1003" s="83">
        <f t="shared" si="353"/>
        <v>0</v>
      </c>
      <c r="AO1003" s="22" t="str">
        <f t="shared" si="354"/>
        <v/>
      </c>
      <c r="AP1003" s="22" t="str">
        <f t="shared" si="355"/>
        <v/>
      </c>
    </row>
    <row r="1004" spans="1:42" x14ac:dyDescent="0.25">
      <c r="A1004" s="10"/>
      <c r="B1004" s="10"/>
      <c r="C1004" s="10"/>
      <c r="D1004" s="10"/>
      <c r="E1004" s="10"/>
      <c r="F1004" s="10"/>
      <c r="G1004" s="10"/>
      <c r="H1004" s="17"/>
      <c r="I1004" s="10"/>
      <c r="J1004" s="10"/>
      <c r="K1004" s="16" t="str">
        <f t="shared" si="334"/>
        <v/>
      </c>
      <c r="L1004" s="23" t="str">
        <f t="shared" si="335"/>
        <v/>
      </c>
      <c r="M1004" s="22" t="str">
        <f t="shared" si="336"/>
        <v/>
      </c>
      <c r="N1004" s="72"/>
      <c r="O1004" s="16" t="str">
        <f t="shared" si="337"/>
        <v/>
      </c>
      <c r="P1004" s="16" t="str">
        <f t="shared" si="338"/>
        <v/>
      </c>
      <c r="Q1004" s="16" t="str">
        <f t="shared" si="339"/>
        <v/>
      </c>
      <c r="R1004" s="23" t="str">
        <f t="shared" si="340"/>
        <v/>
      </c>
      <c r="S1004" s="23" t="str">
        <f t="shared" si="341"/>
        <v/>
      </c>
      <c r="T1004" s="23" t="str">
        <f t="shared" si="342"/>
        <v/>
      </c>
      <c r="U1004" s="23" t="str">
        <f t="shared" si="343"/>
        <v/>
      </c>
      <c r="V1004" s="23" t="str">
        <f t="shared" si="344"/>
        <v/>
      </c>
      <c r="W1004" s="70" t="str">
        <f t="shared" si="345"/>
        <v/>
      </c>
      <c r="X1004" s="70" t="str">
        <f t="shared" si="346"/>
        <v/>
      </c>
      <c r="Y1004" s="70" t="str">
        <f>IF(AND($A1004&lt;&gt;"",$E1004&gt;0),isLaptopBag($C1004,$J1004)*$D1004,"")</f>
        <v/>
      </c>
      <c r="Z1004" s="70" t="str">
        <f t="shared" si="347"/>
        <v/>
      </c>
      <c r="AA1004" s="70" t="str">
        <f t="shared" si="348"/>
        <v/>
      </c>
      <c r="AB1004" s="70" t="str">
        <f t="shared" si="349"/>
        <v/>
      </c>
      <c r="AC1004" s="70" t="str">
        <f t="shared" si="350"/>
        <v/>
      </c>
      <c r="AD1004" s="70" t="str">
        <f t="shared" si="351"/>
        <v/>
      </c>
      <c r="AE1004" s="70" t="str">
        <f t="shared" si="352"/>
        <v/>
      </c>
      <c r="AF1004" s="16"/>
      <c r="AG1004" s="23"/>
      <c r="AH1004" s="22"/>
      <c r="AJ1004" s="83">
        <f t="shared" si="353"/>
        <v>0</v>
      </c>
      <c r="AO1004" s="22" t="str">
        <f t="shared" si="354"/>
        <v/>
      </c>
      <c r="AP1004" s="22" t="str">
        <f t="shared" si="355"/>
        <v/>
      </c>
    </row>
    <row r="1005" spans="1:42" x14ac:dyDescent="0.25">
      <c r="A1005" s="10"/>
      <c r="B1005" s="10"/>
      <c r="C1005" s="10"/>
      <c r="D1005" s="10"/>
      <c r="E1005" s="10"/>
      <c r="F1005" s="10"/>
      <c r="G1005" s="10"/>
      <c r="H1005" s="17"/>
      <c r="I1005" s="10"/>
      <c r="J1005" s="10"/>
      <c r="K1005" s="16" t="str">
        <f t="shared" si="334"/>
        <v/>
      </c>
      <c r="L1005" s="23" t="str">
        <f t="shared" si="335"/>
        <v/>
      </c>
      <c r="M1005" s="22" t="str">
        <f t="shared" si="336"/>
        <v/>
      </c>
      <c r="N1005" s="72"/>
      <c r="O1005" s="16" t="str">
        <f t="shared" si="337"/>
        <v/>
      </c>
      <c r="P1005" s="16" t="str">
        <f t="shared" si="338"/>
        <v/>
      </c>
      <c r="Q1005" s="16" t="str">
        <f t="shared" si="339"/>
        <v/>
      </c>
      <c r="R1005" s="23" t="str">
        <f t="shared" si="340"/>
        <v/>
      </c>
      <c r="S1005" s="23" t="str">
        <f t="shared" si="341"/>
        <v/>
      </c>
      <c r="T1005" s="23" t="str">
        <f t="shared" si="342"/>
        <v/>
      </c>
      <c r="U1005" s="23" t="str">
        <f t="shared" si="343"/>
        <v/>
      </c>
      <c r="V1005" s="23" t="str">
        <f t="shared" si="344"/>
        <v/>
      </c>
      <c r="W1005" s="70" t="str">
        <f t="shared" si="345"/>
        <v/>
      </c>
      <c r="X1005" s="70" t="str">
        <f t="shared" si="346"/>
        <v/>
      </c>
      <c r="Y1005" s="70" t="str">
        <f>IF(AND($A1005&lt;&gt;"",$E1005&gt;0),isLaptopBag($C1005,$J1005)*$D1005,"")</f>
        <v/>
      </c>
      <c r="Z1005" s="70" t="str">
        <f t="shared" si="347"/>
        <v/>
      </c>
      <c r="AA1005" s="70" t="str">
        <f t="shared" si="348"/>
        <v/>
      </c>
      <c r="AB1005" s="70" t="str">
        <f t="shared" si="349"/>
        <v/>
      </c>
      <c r="AC1005" s="70" t="str">
        <f t="shared" si="350"/>
        <v/>
      </c>
      <c r="AD1005" s="70" t="str">
        <f t="shared" si="351"/>
        <v/>
      </c>
      <c r="AE1005" s="70" t="str">
        <f t="shared" si="352"/>
        <v/>
      </c>
      <c r="AF1005" s="16"/>
      <c r="AG1005" s="23"/>
      <c r="AH1005" s="22"/>
      <c r="AJ1005" s="83">
        <f t="shared" si="353"/>
        <v>0</v>
      </c>
      <c r="AO1005" s="22" t="str">
        <f t="shared" si="354"/>
        <v/>
      </c>
      <c r="AP1005" s="22" t="str">
        <f t="shared" si="355"/>
        <v/>
      </c>
    </row>
    <row r="1006" spans="1:42" x14ac:dyDescent="0.25">
      <c r="A1006" s="10"/>
      <c r="B1006" s="10"/>
      <c r="C1006" s="10"/>
      <c r="D1006" s="10"/>
      <c r="E1006" s="10"/>
      <c r="F1006" s="10"/>
      <c r="G1006" s="10"/>
      <c r="H1006" s="17"/>
      <c r="I1006" s="10"/>
      <c r="J1006" s="10"/>
      <c r="K1006" s="16" t="str">
        <f t="shared" si="334"/>
        <v/>
      </c>
      <c r="L1006" s="23" t="str">
        <f t="shared" si="335"/>
        <v/>
      </c>
      <c r="M1006" s="22" t="str">
        <f t="shared" si="336"/>
        <v/>
      </c>
      <c r="N1006" s="72"/>
      <c r="O1006" s="16" t="str">
        <f t="shared" si="337"/>
        <v/>
      </c>
      <c r="P1006" s="16" t="str">
        <f t="shared" si="338"/>
        <v/>
      </c>
      <c r="Q1006" s="16" t="str">
        <f t="shared" si="339"/>
        <v/>
      </c>
      <c r="R1006" s="23" t="str">
        <f t="shared" si="340"/>
        <v/>
      </c>
      <c r="S1006" s="23" t="str">
        <f t="shared" si="341"/>
        <v/>
      </c>
      <c r="T1006" s="23" t="str">
        <f t="shared" si="342"/>
        <v/>
      </c>
      <c r="U1006" s="23" t="str">
        <f t="shared" si="343"/>
        <v/>
      </c>
      <c r="V1006" s="23" t="str">
        <f t="shared" si="344"/>
        <v/>
      </c>
      <c r="W1006" s="70" t="str">
        <f t="shared" si="345"/>
        <v/>
      </c>
      <c r="X1006" s="70" t="str">
        <f t="shared" si="346"/>
        <v/>
      </c>
      <c r="Y1006" s="70" t="str">
        <f>IF(AND($A1006&lt;&gt;"",$E1006&gt;0),isLaptopBag($C1006,$J1006)*$D1006,"")</f>
        <v/>
      </c>
      <c r="Z1006" s="70" t="str">
        <f t="shared" si="347"/>
        <v/>
      </c>
      <c r="AA1006" s="70" t="str">
        <f t="shared" si="348"/>
        <v/>
      </c>
      <c r="AB1006" s="70" t="str">
        <f t="shared" si="349"/>
        <v/>
      </c>
      <c r="AC1006" s="70" t="str">
        <f t="shared" si="350"/>
        <v/>
      </c>
      <c r="AD1006" s="70" t="str">
        <f t="shared" si="351"/>
        <v/>
      </c>
      <c r="AE1006" s="70" t="str">
        <f t="shared" si="352"/>
        <v/>
      </c>
      <c r="AF1006" s="16"/>
      <c r="AG1006" s="23"/>
      <c r="AH1006" s="22"/>
      <c r="AJ1006" s="83">
        <f t="shared" si="353"/>
        <v>0</v>
      </c>
      <c r="AO1006" s="22" t="str">
        <f t="shared" si="354"/>
        <v/>
      </c>
      <c r="AP1006" s="22" t="str">
        <f t="shared" si="355"/>
        <v/>
      </c>
    </row>
    <row r="1007" spans="1:42" x14ac:dyDescent="0.25">
      <c r="A1007" s="10"/>
      <c r="B1007" s="10"/>
      <c r="C1007" s="10"/>
      <c r="D1007" s="10"/>
      <c r="E1007" s="10"/>
      <c r="F1007" s="10"/>
      <c r="G1007" s="10"/>
      <c r="H1007" s="17"/>
      <c r="I1007" s="10"/>
      <c r="J1007" s="10"/>
      <c r="K1007" s="16" t="str">
        <f t="shared" si="334"/>
        <v/>
      </c>
      <c r="L1007" s="23" t="str">
        <f t="shared" si="335"/>
        <v/>
      </c>
      <c r="M1007" s="22" t="str">
        <f t="shared" si="336"/>
        <v/>
      </c>
      <c r="N1007" s="72"/>
      <c r="O1007" s="16" t="str">
        <f t="shared" si="337"/>
        <v/>
      </c>
      <c r="P1007" s="16" t="str">
        <f t="shared" si="338"/>
        <v/>
      </c>
      <c r="Q1007" s="16" t="str">
        <f t="shared" si="339"/>
        <v/>
      </c>
      <c r="R1007" s="23" t="str">
        <f t="shared" si="340"/>
        <v/>
      </c>
      <c r="S1007" s="23" t="str">
        <f t="shared" si="341"/>
        <v/>
      </c>
      <c r="T1007" s="23" t="str">
        <f t="shared" si="342"/>
        <v/>
      </c>
      <c r="U1007" s="23" t="str">
        <f t="shared" si="343"/>
        <v/>
      </c>
      <c r="V1007" s="23" t="str">
        <f t="shared" si="344"/>
        <v/>
      </c>
      <c r="W1007" s="70" t="str">
        <f t="shared" si="345"/>
        <v/>
      </c>
      <c r="X1007" s="70" t="str">
        <f t="shared" si="346"/>
        <v/>
      </c>
      <c r="Y1007" s="70" t="str">
        <f>IF(AND($A1007&lt;&gt;"",$E1007&gt;0),isLaptopBag($C1007,$J1007)*$D1007,"")</f>
        <v/>
      </c>
      <c r="Z1007" s="70" t="str">
        <f t="shared" si="347"/>
        <v/>
      </c>
      <c r="AA1007" s="70" t="str">
        <f t="shared" si="348"/>
        <v/>
      </c>
      <c r="AB1007" s="70" t="str">
        <f t="shared" si="349"/>
        <v/>
      </c>
      <c r="AC1007" s="70" t="str">
        <f t="shared" si="350"/>
        <v/>
      </c>
      <c r="AD1007" s="70" t="str">
        <f t="shared" si="351"/>
        <v/>
      </c>
      <c r="AE1007" s="70" t="str">
        <f t="shared" si="352"/>
        <v/>
      </c>
      <c r="AF1007" s="16"/>
      <c r="AG1007" s="23"/>
      <c r="AH1007" s="22"/>
      <c r="AJ1007" s="83">
        <f t="shared" si="353"/>
        <v>0</v>
      </c>
      <c r="AO1007" s="22" t="str">
        <f t="shared" si="354"/>
        <v/>
      </c>
      <c r="AP1007" s="22" t="str">
        <f t="shared" si="355"/>
        <v/>
      </c>
    </row>
    <row r="1008" spans="1:42" x14ac:dyDescent="0.25">
      <c r="A1008" s="10"/>
      <c r="B1008" s="10"/>
      <c r="C1008" s="10"/>
      <c r="D1008" s="10"/>
      <c r="E1008" s="10"/>
      <c r="F1008" s="10"/>
      <c r="G1008" s="10"/>
      <c r="H1008" s="17"/>
      <c r="I1008" s="10"/>
      <c r="J1008" s="10"/>
      <c r="K1008" s="16" t="str">
        <f t="shared" si="334"/>
        <v/>
      </c>
      <c r="L1008" s="23" t="str">
        <f t="shared" si="335"/>
        <v/>
      </c>
      <c r="M1008" s="22" t="str">
        <f t="shared" si="336"/>
        <v/>
      </c>
      <c r="N1008" s="72"/>
      <c r="O1008" s="16" t="str">
        <f t="shared" si="337"/>
        <v/>
      </c>
      <c r="P1008" s="16" t="str">
        <f t="shared" si="338"/>
        <v/>
      </c>
      <c r="Q1008" s="16" t="str">
        <f t="shared" si="339"/>
        <v/>
      </c>
      <c r="R1008" s="23" t="str">
        <f t="shared" si="340"/>
        <v/>
      </c>
      <c r="S1008" s="23" t="str">
        <f t="shared" si="341"/>
        <v/>
      </c>
      <c r="T1008" s="23" t="str">
        <f t="shared" si="342"/>
        <v/>
      </c>
      <c r="U1008" s="23" t="str">
        <f t="shared" si="343"/>
        <v/>
      </c>
      <c r="V1008" s="23" t="str">
        <f t="shared" si="344"/>
        <v/>
      </c>
      <c r="W1008" s="70" t="str">
        <f t="shared" si="345"/>
        <v/>
      </c>
      <c r="X1008" s="70" t="str">
        <f t="shared" si="346"/>
        <v/>
      </c>
      <c r="Y1008" s="70" t="str">
        <f>IF(AND($A1008&lt;&gt;"",$E1008&gt;0),isLaptopBag($C1008,$J1008)*$D1008,"")</f>
        <v/>
      </c>
      <c r="Z1008" s="70" t="str">
        <f t="shared" si="347"/>
        <v/>
      </c>
      <c r="AA1008" s="70" t="str">
        <f t="shared" si="348"/>
        <v/>
      </c>
      <c r="AB1008" s="70" t="str">
        <f t="shared" si="349"/>
        <v/>
      </c>
      <c r="AC1008" s="70" t="str">
        <f t="shared" si="350"/>
        <v/>
      </c>
      <c r="AD1008" s="70" t="str">
        <f t="shared" si="351"/>
        <v/>
      </c>
      <c r="AE1008" s="70" t="str">
        <f t="shared" si="352"/>
        <v/>
      </c>
      <c r="AF1008" s="16"/>
      <c r="AG1008" s="23"/>
      <c r="AH1008" s="22"/>
      <c r="AJ1008" s="83">
        <f t="shared" si="353"/>
        <v>0</v>
      </c>
      <c r="AO1008" s="22" t="str">
        <f t="shared" si="354"/>
        <v/>
      </c>
      <c r="AP1008" s="22" t="str">
        <f t="shared" si="355"/>
        <v/>
      </c>
    </row>
    <row r="1009" spans="1:42" x14ac:dyDescent="0.25">
      <c r="A1009" s="10"/>
      <c r="B1009" s="10"/>
      <c r="C1009" s="10"/>
      <c r="D1009" s="10"/>
      <c r="E1009" s="10"/>
      <c r="F1009" s="10"/>
      <c r="G1009" s="10"/>
      <c r="H1009" s="17"/>
      <c r="I1009" s="10"/>
      <c r="J1009" s="10"/>
      <c r="K1009" s="16" t="str">
        <f t="shared" si="334"/>
        <v/>
      </c>
      <c r="L1009" s="23" t="str">
        <f t="shared" si="335"/>
        <v/>
      </c>
      <c r="M1009" s="22" t="str">
        <f t="shared" si="336"/>
        <v/>
      </c>
      <c r="N1009" s="72"/>
      <c r="O1009" s="16" t="str">
        <f t="shared" si="337"/>
        <v/>
      </c>
      <c r="P1009" s="16" t="str">
        <f t="shared" si="338"/>
        <v/>
      </c>
      <c r="Q1009" s="16" t="str">
        <f t="shared" si="339"/>
        <v/>
      </c>
      <c r="R1009" s="23" t="str">
        <f t="shared" si="340"/>
        <v/>
      </c>
      <c r="S1009" s="23" t="str">
        <f t="shared" si="341"/>
        <v/>
      </c>
      <c r="T1009" s="23" t="str">
        <f t="shared" si="342"/>
        <v/>
      </c>
      <c r="U1009" s="23" t="str">
        <f t="shared" si="343"/>
        <v/>
      </c>
      <c r="V1009" s="23" t="str">
        <f t="shared" si="344"/>
        <v/>
      </c>
      <c r="W1009" s="70" t="str">
        <f t="shared" si="345"/>
        <v/>
      </c>
      <c r="X1009" s="70" t="str">
        <f t="shared" si="346"/>
        <v/>
      </c>
      <c r="Y1009" s="70" t="str">
        <f>IF(AND($A1009&lt;&gt;"",$E1009&gt;0),isLaptopBag($C1009,$J1009)*$D1009,"")</f>
        <v/>
      </c>
      <c r="Z1009" s="70" t="str">
        <f t="shared" si="347"/>
        <v/>
      </c>
      <c r="AA1009" s="70" t="str">
        <f t="shared" si="348"/>
        <v/>
      </c>
      <c r="AB1009" s="70" t="str">
        <f t="shared" si="349"/>
        <v/>
      </c>
      <c r="AC1009" s="70" t="str">
        <f t="shared" si="350"/>
        <v/>
      </c>
      <c r="AD1009" s="70" t="str">
        <f t="shared" si="351"/>
        <v/>
      </c>
      <c r="AE1009" s="70" t="str">
        <f t="shared" si="352"/>
        <v/>
      </c>
      <c r="AF1009" s="16"/>
      <c r="AG1009" s="23"/>
      <c r="AH1009" s="22"/>
      <c r="AJ1009" s="83">
        <f t="shared" si="353"/>
        <v>0</v>
      </c>
      <c r="AO1009" s="22" t="str">
        <f t="shared" si="354"/>
        <v/>
      </c>
      <c r="AP1009" s="22" t="str">
        <f t="shared" si="355"/>
        <v/>
      </c>
    </row>
    <row r="1010" spans="1:42" x14ac:dyDescent="0.25">
      <c r="A1010" s="10"/>
      <c r="B1010" s="10"/>
      <c r="C1010" s="10"/>
      <c r="D1010" s="10"/>
      <c r="E1010" s="10"/>
      <c r="F1010" s="10"/>
      <c r="G1010" s="10"/>
      <c r="H1010" s="17"/>
      <c r="I1010" s="10"/>
      <c r="J1010" s="10"/>
      <c r="K1010" s="16" t="str">
        <f t="shared" si="334"/>
        <v/>
      </c>
      <c r="L1010" s="23" t="str">
        <f t="shared" si="335"/>
        <v/>
      </c>
      <c r="M1010" s="22" t="str">
        <f t="shared" si="336"/>
        <v/>
      </c>
      <c r="N1010" s="72"/>
      <c r="O1010" s="16" t="str">
        <f t="shared" si="337"/>
        <v/>
      </c>
      <c r="P1010" s="16" t="str">
        <f t="shared" si="338"/>
        <v/>
      </c>
      <c r="Q1010" s="16" t="str">
        <f t="shared" si="339"/>
        <v/>
      </c>
      <c r="R1010" s="23" t="str">
        <f t="shared" si="340"/>
        <v/>
      </c>
      <c r="S1010" s="23" t="str">
        <f t="shared" si="341"/>
        <v/>
      </c>
      <c r="T1010" s="23" t="str">
        <f t="shared" si="342"/>
        <v/>
      </c>
      <c r="U1010" s="23" t="str">
        <f t="shared" si="343"/>
        <v/>
      </c>
      <c r="V1010" s="23" t="str">
        <f t="shared" si="344"/>
        <v/>
      </c>
      <c r="W1010" s="70" t="str">
        <f t="shared" si="345"/>
        <v/>
      </c>
      <c r="X1010" s="70" t="str">
        <f t="shared" si="346"/>
        <v/>
      </c>
      <c r="Y1010" s="70" t="str">
        <f>IF(AND($A1010&lt;&gt;"",$E1010&gt;0),isLaptopBag($C1010,$J1010)*$D1010,"")</f>
        <v/>
      </c>
      <c r="Z1010" s="70" t="str">
        <f t="shared" si="347"/>
        <v/>
      </c>
      <c r="AA1010" s="70" t="str">
        <f t="shared" si="348"/>
        <v/>
      </c>
      <c r="AB1010" s="70" t="str">
        <f t="shared" si="349"/>
        <v/>
      </c>
      <c r="AC1010" s="70" t="str">
        <f t="shared" si="350"/>
        <v/>
      </c>
      <c r="AD1010" s="70" t="str">
        <f t="shared" si="351"/>
        <v/>
      </c>
      <c r="AE1010" s="70" t="str">
        <f t="shared" si="352"/>
        <v/>
      </c>
      <c r="AF1010" s="16"/>
      <c r="AG1010" s="23"/>
      <c r="AH1010" s="22"/>
      <c r="AJ1010" s="83">
        <f t="shared" si="353"/>
        <v>0</v>
      </c>
      <c r="AO1010" s="22" t="str">
        <f t="shared" si="354"/>
        <v/>
      </c>
      <c r="AP1010" s="22" t="str">
        <f t="shared" si="355"/>
        <v/>
      </c>
    </row>
    <row r="1011" spans="1:42" x14ac:dyDescent="0.25">
      <c r="A1011" s="10"/>
      <c r="B1011" s="10"/>
      <c r="C1011" s="10"/>
      <c r="D1011" s="10"/>
      <c r="E1011" s="10"/>
      <c r="F1011" s="10"/>
      <c r="G1011" s="10"/>
      <c r="H1011" s="17"/>
      <c r="I1011" s="10"/>
      <c r="J1011" s="10"/>
      <c r="K1011" s="16" t="str">
        <f t="shared" si="334"/>
        <v/>
      </c>
      <c r="L1011" s="23" t="str">
        <f t="shared" si="335"/>
        <v/>
      </c>
      <c r="M1011" s="22" t="str">
        <f t="shared" si="336"/>
        <v/>
      </c>
      <c r="N1011" s="72"/>
      <c r="O1011" s="16" t="str">
        <f t="shared" si="337"/>
        <v/>
      </c>
      <c r="P1011" s="16" t="str">
        <f t="shared" si="338"/>
        <v/>
      </c>
      <c r="Q1011" s="16" t="str">
        <f t="shared" si="339"/>
        <v/>
      </c>
      <c r="R1011" s="23" t="str">
        <f t="shared" si="340"/>
        <v/>
      </c>
      <c r="S1011" s="23" t="str">
        <f t="shared" si="341"/>
        <v/>
      </c>
      <c r="T1011" s="23" t="str">
        <f t="shared" si="342"/>
        <v/>
      </c>
      <c r="U1011" s="23" t="str">
        <f t="shared" si="343"/>
        <v/>
      </c>
      <c r="V1011" s="23" t="str">
        <f t="shared" si="344"/>
        <v/>
      </c>
      <c r="W1011" s="70" t="str">
        <f t="shared" si="345"/>
        <v/>
      </c>
      <c r="X1011" s="70" t="str">
        <f t="shared" si="346"/>
        <v/>
      </c>
      <c r="Y1011" s="70" t="str">
        <f>IF(AND($A1011&lt;&gt;"",$E1011&gt;0),isLaptopBag($C1011,$J1011)*$D1011,"")</f>
        <v/>
      </c>
      <c r="Z1011" s="70" t="str">
        <f t="shared" si="347"/>
        <v/>
      </c>
      <c r="AA1011" s="70" t="str">
        <f t="shared" si="348"/>
        <v/>
      </c>
      <c r="AB1011" s="70" t="str">
        <f t="shared" si="349"/>
        <v/>
      </c>
      <c r="AC1011" s="70" t="str">
        <f t="shared" si="350"/>
        <v/>
      </c>
      <c r="AD1011" s="70" t="str">
        <f t="shared" si="351"/>
        <v/>
      </c>
      <c r="AE1011" s="70" t="str">
        <f t="shared" si="352"/>
        <v/>
      </c>
      <c r="AF1011" s="16"/>
      <c r="AG1011" s="23"/>
      <c r="AH1011" s="22"/>
      <c r="AJ1011" s="83">
        <f t="shared" si="353"/>
        <v>0</v>
      </c>
      <c r="AO1011" s="22" t="str">
        <f t="shared" si="354"/>
        <v/>
      </c>
      <c r="AP1011" s="22" t="str">
        <f t="shared" si="355"/>
        <v/>
      </c>
    </row>
    <row r="1012" spans="1:42" x14ac:dyDescent="0.25">
      <c r="A1012" s="10"/>
      <c r="B1012" s="10"/>
      <c r="C1012" s="10"/>
      <c r="D1012" s="10"/>
      <c r="E1012" s="10"/>
      <c r="F1012" s="10"/>
      <c r="G1012" s="10"/>
      <c r="H1012" s="17"/>
      <c r="I1012" s="10"/>
      <c r="J1012" s="10"/>
      <c r="K1012" s="16" t="str">
        <f t="shared" si="334"/>
        <v/>
      </c>
      <c r="L1012" s="23" t="str">
        <f t="shared" si="335"/>
        <v/>
      </c>
      <c r="M1012" s="22" t="str">
        <f t="shared" si="336"/>
        <v/>
      </c>
      <c r="N1012" s="72"/>
      <c r="O1012" s="16" t="str">
        <f t="shared" si="337"/>
        <v/>
      </c>
      <c r="P1012" s="16" t="str">
        <f t="shared" si="338"/>
        <v/>
      </c>
      <c r="Q1012" s="16" t="str">
        <f t="shared" si="339"/>
        <v/>
      </c>
      <c r="R1012" s="23" t="str">
        <f t="shared" si="340"/>
        <v/>
      </c>
      <c r="S1012" s="23" t="str">
        <f t="shared" si="341"/>
        <v/>
      </c>
      <c r="T1012" s="23" t="str">
        <f t="shared" si="342"/>
        <v/>
      </c>
      <c r="U1012" s="23" t="str">
        <f t="shared" si="343"/>
        <v/>
      </c>
      <c r="V1012" s="23" t="str">
        <f t="shared" si="344"/>
        <v/>
      </c>
      <c r="W1012" s="70" t="str">
        <f t="shared" si="345"/>
        <v/>
      </c>
      <c r="X1012" s="70" t="str">
        <f t="shared" si="346"/>
        <v/>
      </c>
      <c r="Y1012" s="70" t="str">
        <f>IF(AND($A1012&lt;&gt;"",$E1012&gt;0),isLaptopBag($C1012,$J1012)*$D1012,"")</f>
        <v/>
      </c>
      <c r="Z1012" s="70" t="str">
        <f t="shared" si="347"/>
        <v/>
      </c>
      <c r="AA1012" s="70" t="str">
        <f t="shared" si="348"/>
        <v/>
      </c>
      <c r="AB1012" s="70" t="str">
        <f t="shared" si="349"/>
        <v/>
      </c>
      <c r="AC1012" s="70" t="str">
        <f t="shared" si="350"/>
        <v/>
      </c>
      <c r="AD1012" s="70" t="str">
        <f t="shared" si="351"/>
        <v/>
      </c>
      <c r="AE1012" s="70" t="str">
        <f t="shared" si="352"/>
        <v/>
      </c>
      <c r="AF1012" s="16"/>
      <c r="AG1012" s="23"/>
      <c r="AH1012" s="22"/>
      <c r="AJ1012" s="83">
        <f t="shared" si="353"/>
        <v>0</v>
      </c>
      <c r="AO1012" s="22" t="str">
        <f t="shared" si="354"/>
        <v/>
      </c>
      <c r="AP1012" s="22" t="str">
        <f t="shared" si="355"/>
        <v/>
      </c>
    </row>
    <row r="1013" spans="1:42" x14ac:dyDescent="0.25">
      <c r="A1013" s="10"/>
      <c r="B1013" s="10"/>
      <c r="C1013" s="10"/>
      <c r="D1013" s="10"/>
      <c r="E1013" s="10"/>
      <c r="F1013" s="10"/>
      <c r="G1013" s="10"/>
      <c r="H1013" s="17"/>
      <c r="I1013" s="10"/>
      <c r="J1013" s="10"/>
      <c r="K1013" s="16" t="str">
        <f t="shared" si="334"/>
        <v/>
      </c>
      <c r="L1013" s="23" t="str">
        <f t="shared" si="335"/>
        <v/>
      </c>
      <c r="M1013" s="22" t="str">
        <f t="shared" si="336"/>
        <v/>
      </c>
      <c r="N1013" s="72"/>
      <c r="O1013" s="16" t="str">
        <f t="shared" si="337"/>
        <v/>
      </c>
      <c r="P1013" s="16" t="str">
        <f t="shared" si="338"/>
        <v/>
      </c>
      <c r="Q1013" s="16" t="str">
        <f t="shared" si="339"/>
        <v/>
      </c>
      <c r="R1013" s="23" t="str">
        <f t="shared" si="340"/>
        <v/>
      </c>
      <c r="S1013" s="23" t="str">
        <f t="shared" si="341"/>
        <v/>
      </c>
      <c r="T1013" s="23" t="str">
        <f t="shared" si="342"/>
        <v/>
      </c>
      <c r="U1013" s="23" t="str">
        <f t="shared" si="343"/>
        <v/>
      </c>
      <c r="V1013" s="23" t="str">
        <f t="shared" si="344"/>
        <v/>
      </c>
      <c r="W1013" s="70" t="str">
        <f t="shared" si="345"/>
        <v/>
      </c>
      <c r="X1013" s="70" t="str">
        <f t="shared" si="346"/>
        <v/>
      </c>
      <c r="Y1013" s="70" t="str">
        <f>IF(AND($A1013&lt;&gt;"",$E1013&gt;0),isLaptopBag($C1013,$J1013)*$D1013,"")</f>
        <v/>
      </c>
      <c r="Z1013" s="70" t="str">
        <f t="shared" si="347"/>
        <v/>
      </c>
      <c r="AA1013" s="70" t="str">
        <f t="shared" si="348"/>
        <v/>
      </c>
      <c r="AB1013" s="70" t="str">
        <f t="shared" si="349"/>
        <v/>
      </c>
      <c r="AC1013" s="70" t="str">
        <f t="shared" si="350"/>
        <v/>
      </c>
      <c r="AD1013" s="70" t="str">
        <f t="shared" si="351"/>
        <v/>
      </c>
      <c r="AE1013" s="70" t="str">
        <f t="shared" si="352"/>
        <v/>
      </c>
      <c r="AF1013" s="16"/>
      <c r="AG1013" s="23"/>
      <c r="AH1013" s="22"/>
      <c r="AJ1013" s="83">
        <f t="shared" si="353"/>
        <v>0</v>
      </c>
      <c r="AO1013" s="22" t="str">
        <f t="shared" si="354"/>
        <v/>
      </c>
      <c r="AP1013" s="22" t="str">
        <f t="shared" si="355"/>
        <v/>
      </c>
    </row>
    <row r="1014" spans="1:42" x14ac:dyDescent="0.25">
      <c r="A1014" s="10"/>
      <c r="B1014" s="10"/>
      <c r="C1014" s="10"/>
      <c r="D1014" s="10"/>
      <c r="E1014" s="10"/>
      <c r="F1014" s="10"/>
      <c r="G1014" s="10"/>
      <c r="H1014" s="17"/>
      <c r="I1014" s="10"/>
      <c r="J1014" s="10"/>
      <c r="K1014" s="16" t="str">
        <f t="shared" si="334"/>
        <v/>
      </c>
      <c r="L1014" s="23" t="str">
        <f t="shared" si="335"/>
        <v/>
      </c>
      <c r="M1014" s="22" t="str">
        <f t="shared" si="336"/>
        <v/>
      </c>
      <c r="N1014" s="72"/>
      <c r="O1014" s="16" t="str">
        <f t="shared" si="337"/>
        <v/>
      </c>
      <c r="P1014" s="16" t="str">
        <f t="shared" si="338"/>
        <v/>
      </c>
      <c r="Q1014" s="16" t="str">
        <f t="shared" si="339"/>
        <v/>
      </c>
      <c r="R1014" s="23" t="str">
        <f t="shared" si="340"/>
        <v/>
      </c>
      <c r="S1014" s="23" t="str">
        <f t="shared" si="341"/>
        <v/>
      </c>
      <c r="T1014" s="23" t="str">
        <f t="shared" si="342"/>
        <v/>
      </c>
      <c r="U1014" s="23" t="str">
        <f t="shared" si="343"/>
        <v/>
      </c>
      <c r="V1014" s="23" t="str">
        <f t="shared" si="344"/>
        <v/>
      </c>
      <c r="W1014" s="70" t="str">
        <f t="shared" si="345"/>
        <v/>
      </c>
      <c r="X1014" s="70" t="str">
        <f t="shared" si="346"/>
        <v/>
      </c>
      <c r="Y1014" s="70" t="str">
        <f>IF(AND($A1014&lt;&gt;"",$E1014&gt;0),isLaptopBag($C1014,$J1014)*$D1014,"")</f>
        <v/>
      </c>
      <c r="Z1014" s="70" t="str">
        <f t="shared" si="347"/>
        <v/>
      </c>
      <c r="AA1014" s="70" t="str">
        <f t="shared" si="348"/>
        <v/>
      </c>
      <c r="AB1014" s="70" t="str">
        <f t="shared" si="349"/>
        <v/>
      </c>
      <c r="AC1014" s="70" t="str">
        <f t="shared" si="350"/>
        <v/>
      </c>
      <c r="AD1014" s="70" t="str">
        <f t="shared" si="351"/>
        <v/>
      </c>
      <c r="AE1014" s="70" t="str">
        <f t="shared" si="352"/>
        <v/>
      </c>
      <c r="AF1014" s="16"/>
      <c r="AG1014" s="23"/>
      <c r="AH1014" s="22"/>
      <c r="AJ1014" s="83">
        <f t="shared" si="353"/>
        <v>0</v>
      </c>
      <c r="AO1014" s="22" t="str">
        <f t="shared" si="354"/>
        <v/>
      </c>
      <c r="AP1014" s="22" t="str">
        <f t="shared" si="355"/>
        <v/>
      </c>
    </row>
    <row r="1015" spans="1:42" x14ac:dyDescent="0.25">
      <c r="A1015" s="10"/>
      <c r="B1015" s="10"/>
      <c r="C1015" s="10"/>
      <c r="D1015" s="10"/>
      <c r="E1015" s="10"/>
      <c r="F1015" s="10"/>
      <c r="G1015" s="10"/>
      <c r="H1015" s="17"/>
      <c r="I1015" s="10"/>
      <c r="J1015" s="10"/>
      <c r="K1015" s="16" t="str">
        <f t="shared" si="334"/>
        <v/>
      </c>
      <c r="L1015" s="23" t="str">
        <f t="shared" si="335"/>
        <v/>
      </c>
      <c r="M1015" s="22" t="str">
        <f t="shared" si="336"/>
        <v/>
      </c>
      <c r="N1015" s="72"/>
      <c r="O1015" s="16" t="str">
        <f t="shared" si="337"/>
        <v/>
      </c>
      <c r="P1015" s="16" t="str">
        <f t="shared" si="338"/>
        <v/>
      </c>
      <c r="Q1015" s="16" t="str">
        <f t="shared" si="339"/>
        <v/>
      </c>
      <c r="R1015" s="23" t="str">
        <f t="shared" si="340"/>
        <v/>
      </c>
      <c r="S1015" s="23" t="str">
        <f t="shared" si="341"/>
        <v/>
      </c>
      <c r="T1015" s="23" t="str">
        <f t="shared" si="342"/>
        <v/>
      </c>
      <c r="U1015" s="23" t="str">
        <f t="shared" si="343"/>
        <v/>
      </c>
      <c r="V1015" s="23" t="str">
        <f t="shared" si="344"/>
        <v/>
      </c>
      <c r="W1015" s="70" t="str">
        <f t="shared" si="345"/>
        <v/>
      </c>
      <c r="X1015" s="70" t="str">
        <f t="shared" si="346"/>
        <v/>
      </c>
      <c r="Y1015" s="70" t="str">
        <f>IF(AND($A1015&lt;&gt;"",$E1015&gt;0),isLaptopBag($C1015,$J1015)*$D1015,"")</f>
        <v/>
      </c>
      <c r="Z1015" s="70" t="str">
        <f t="shared" si="347"/>
        <v/>
      </c>
      <c r="AA1015" s="70" t="str">
        <f t="shared" si="348"/>
        <v/>
      </c>
      <c r="AB1015" s="70" t="str">
        <f t="shared" si="349"/>
        <v/>
      </c>
      <c r="AC1015" s="70" t="str">
        <f t="shared" si="350"/>
        <v/>
      </c>
      <c r="AD1015" s="70" t="str">
        <f t="shared" si="351"/>
        <v/>
      </c>
      <c r="AE1015" s="70" t="str">
        <f t="shared" si="352"/>
        <v/>
      </c>
      <c r="AF1015" s="16"/>
      <c r="AG1015" s="23"/>
      <c r="AH1015" s="22"/>
      <c r="AJ1015" s="83">
        <f t="shared" si="353"/>
        <v>0</v>
      </c>
      <c r="AO1015" s="22" t="str">
        <f t="shared" si="354"/>
        <v/>
      </c>
      <c r="AP1015" s="22" t="str">
        <f t="shared" si="355"/>
        <v/>
      </c>
    </row>
    <row r="1016" spans="1:42" x14ac:dyDescent="0.25">
      <c r="A1016" s="10"/>
      <c r="B1016" s="10"/>
      <c r="C1016" s="10"/>
      <c r="D1016" s="10"/>
      <c r="E1016" s="10"/>
      <c r="F1016" s="10"/>
      <c r="G1016" s="10"/>
      <c r="H1016" s="17"/>
      <c r="I1016" s="10"/>
      <c r="J1016" s="10"/>
      <c r="K1016" s="16" t="str">
        <f t="shared" si="334"/>
        <v/>
      </c>
      <c r="L1016" s="23" t="str">
        <f t="shared" si="335"/>
        <v/>
      </c>
      <c r="M1016" s="22" t="str">
        <f t="shared" si="336"/>
        <v/>
      </c>
      <c r="N1016" s="72"/>
      <c r="O1016" s="16" t="str">
        <f t="shared" si="337"/>
        <v/>
      </c>
      <c r="P1016" s="16" t="str">
        <f t="shared" si="338"/>
        <v/>
      </c>
      <c r="Q1016" s="16" t="str">
        <f t="shared" si="339"/>
        <v/>
      </c>
      <c r="R1016" s="23" t="str">
        <f t="shared" si="340"/>
        <v/>
      </c>
      <c r="S1016" s="23" t="str">
        <f t="shared" si="341"/>
        <v/>
      </c>
      <c r="T1016" s="23" t="str">
        <f t="shared" si="342"/>
        <v/>
      </c>
      <c r="U1016" s="23" t="str">
        <f t="shared" si="343"/>
        <v/>
      </c>
      <c r="V1016" s="23" t="str">
        <f t="shared" si="344"/>
        <v/>
      </c>
      <c r="W1016" s="70" t="str">
        <f t="shared" si="345"/>
        <v/>
      </c>
      <c r="X1016" s="70" t="str">
        <f t="shared" si="346"/>
        <v/>
      </c>
      <c r="Y1016" s="70" t="str">
        <f>IF(AND($A1016&lt;&gt;"",$E1016&gt;0),isLaptopBag($C1016,$J1016)*$D1016,"")</f>
        <v/>
      </c>
      <c r="Z1016" s="70" t="str">
        <f t="shared" si="347"/>
        <v/>
      </c>
      <c r="AA1016" s="70" t="str">
        <f t="shared" si="348"/>
        <v/>
      </c>
      <c r="AB1016" s="70" t="str">
        <f t="shared" si="349"/>
        <v/>
      </c>
      <c r="AC1016" s="70" t="str">
        <f t="shared" si="350"/>
        <v/>
      </c>
      <c r="AD1016" s="70" t="str">
        <f t="shared" si="351"/>
        <v/>
      </c>
      <c r="AE1016" s="70" t="str">
        <f t="shared" si="352"/>
        <v/>
      </c>
      <c r="AF1016" s="16"/>
      <c r="AG1016" s="23"/>
      <c r="AH1016" s="22"/>
      <c r="AJ1016" s="83">
        <f t="shared" si="353"/>
        <v>0</v>
      </c>
      <c r="AO1016" s="22" t="str">
        <f t="shared" si="354"/>
        <v/>
      </c>
      <c r="AP1016" s="22" t="str">
        <f t="shared" si="355"/>
        <v/>
      </c>
    </row>
    <row r="1017" spans="1:42" x14ac:dyDescent="0.25">
      <c r="A1017" s="10"/>
      <c r="B1017" s="10"/>
      <c r="C1017" s="10"/>
      <c r="D1017" s="10"/>
      <c r="E1017" s="10"/>
      <c r="F1017" s="10"/>
      <c r="G1017" s="10"/>
      <c r="H1017" s="17"/>
      <c r="I1017" s="10"/>
      <c r="J1017" s="10"/>
      <c r="K1017" s="16" t="str">
        <f t="shared" si="334"/>
        <v/>
      </c>
      <c r="L1017" s="23" t="str">
        <f t="shared" si="335"/>
        <v/>
      </c>
      <c r="M1017" s="22" t="str">
        <f t="shared" si="336"/>
        <v/>
      </c>
      <c r="N1017" s="72"/>
      <c r="O1017" s="16" t="str">
        <f t="shared" si="337"/>
        <v/>
      </c>
      <c r="P1017" s="16" t="str">
        <f t="shared" si="338"/>
        <v/>
      </c>
      <c r="Q1017" s="16" t="str">
        <f t="shared" si="339"/>
        <v/>
      </c>
      <c r="R1017" s="23" t="str">
        <f t="shared" si="340"/>
        <v/>
      </c>
      <c r="S1017" s="23" t="str">
        <f t="shared" si="341"/>
        <v/>
      </c>
      <c r="T1017" s="23" t="str">
        <f t="shared" si="342"/>
        <v/>
      </c>
      <c r="U1017" s="23" t="str">
        <f t="shared" si="343"/>
        <v/>
      </c>
      <c r="V1017" s="23" t="str">
        <f t="shared" si="344"/>
        <v/>
      </c>
      <c r="W1017" s="70" t="str">
        <f t="shared" si="345"/>
        <v/>
      </c>
      <c r="X1017" s="70" t="str">
        <f t="shared" si="346"/>
        <v/>
      </c>
      <c r="Y1017" s="70" t="str">
        <f>IF(AND($A1017&lt;&gt;"",$E1017&gt;0),isLaptopBag($C1017,$J1017)*$D1017,"")</f>
        <v/>
      </c>
      <c r="Z1017" s="70" t="str">
        <f t="shared" si="347"/>
        <v/>
      </c>
      <c r="AA1017" s="70" t="str">
        <f t="shared" si="348"/>
        <v/>
      </c>
      <c r="AB1017" s="70" t="str">
        <f t="shared" si="349"/>
        <v/>
      </c>
      <c r="AC1017" s="70" t="str">
        <f t="shared" si="350"/>
        <v/>
      </c>
      <c r="AD1017" s="70" t="str">
        <f t="shared" si="351"/>
        <v/>
      </c>
      <c r="AE1017" s="70" t="str">
        <f t="shared" si="352"/>
        <v/>
      </c>
      <c r="AF1017" s="16"/>
      <c r="AG1017" s="23"/>
      <c r="AH1017" s="22"/>
      <c r="AJ1017" s="83">
        <f t="shared" si="353"/>
        <v>0</v>
      </c>
      <c r="AO1017" s="22" t="str">
        <f t="shared" si="354"/>
        <v/>
      </c>
      <c r="AP1017" s="22" t="str">
        <f t="shared" si="355"/>
        <v/>
      </c>
    </row>
    <row r="1018" spans="1:42" x14ac:dyDescent="0.25">
      <c r="A1018" s="10"/>
      <c r="B1018" s="10"/>
      <c r="C1018" s="10"/>
      <c r="D1018" s="10"/>
      <c r="E1018" s="10"/>
      <c r="F1018" s="10"/>
      <c r="G1018" s="10"/>
      <c r="H1018" s="17"/>
      <c r="I1018" s="10"/>
      <c r="J1018" s="10"/>
      <c r="K1018" s="16" t="str">
        <f t="shared" si="334"/>
        <v/>
      </c>
      <c r="L1018" s="23" t="str">
        <f t="shared" si="335"/>
        <v/>
      </c>
      <c r="M1018" s="22" t="str">
        <f t="shared" si="336"/>
        <v/>
      </c>
      <c r="N1018" s="72"/>
      <c r="O1018" s="16" t="str">
        <f t="shared" si="337"/>
        <v/>
      </c>
      <c r="P1018" s="16" t="str">
        <f t="shared" si="338"/>
        <v/>
      </c>
      <c r="Q1018" s="16" t="str">
        <f t="shared" si="339"/>
        <v/>
      </c>
      <c r="R1018" s="23" t="str">
        <f t="shared" si="340"/>
        <v/>
      </c>
      <c r="S1018" s="23" t="str">
        <f t="shared" si="341"/>
        <v/>
      </c>
      <c r="T1018" s="23" t="str">
        <f t="shared" si="342"/>
        <v/>
      </c>
      <c r="U1018" s="23" t="str">
        <f t="shared" si="343"/>
        <v/>
      </c>
      <c r="V1018" s="23" t="str">
        <f t="shared" si="344"/>
        <v/>
      </c>
      <c r="W1018" s="70" t="str">
        <f t="shared" si="345"/>
        <v/>
      </c>
      <c r="X1018" s="70" t="str">
        <f t="shared" si="346"/>
        <v/>
      </c>
      <c r="Y1018" s="70" t="str">
        <f>IF(AND($A1018&lt;&gt;"",$E1018&gt;0),isLaptopBag($C1018,$J1018)*$D1018,"")</f>
        <v/>
      </c>
      <c r="Z1018" s="70" t="str">
        <f t="shared" si="347"/>
        <v/>
      </c>
      <c r="AA1018" s="70" t="str">
        <f t="shared" si="348"/>
        <v/>
      </c>
      <c r="AB1018" s="70" t="str">
        <f t="shared" si="349"/>
        <v/>
      </c>
      <c r="AC1018" s="70" t="str">
        <f t="shared" si="350"/>
        <v/>
      </c>
      <c r="AD1018" s="70" t="str">
        <f t="shared" si="351"/>
        <v/>
      </c>
      <c r="AE1018" s="70" t="str">
        <f t="shared" si="352"/>
        <v/>
      </c>
      <c r="AF1018" s="16"/>
      <c r="AG1018" s="23"/>
      <c r="AH1018" s="22"/>
      <c r="AJ1018" s="83">
        <f t="shared" si="353"/>
        <v>0</v>
      </c>
      <c r="AO1018" s="22" t="str">
        <f t="shared" si="354"/>
        <v/>
      </c>
      <c r="AP1018" s="22" t="str">
        <f t="shared" si="355"/>
        <v/>
      </c>
    </row>
    <row r="1019" spans="1:42" x14ac:dyDescent="0.25">
      <c r="A1019" s="10"/>
      <c r="B1019" s="10"/>
      <c r="C1019" s="10"/>
      <c r="D1019" s="10"/>
      <c r="E1019" s="10"/>
      <c r="F1019" s="10"/>
      <c r="G1019" s="10"/>
      <c r="H1019" s="17"/>
      <c r="I1019" s="10"/>
      <c r="J1019" s="10"/>
      <c r="K1019" s="16" t="str">
        <f t="shared" si="334"/>
        <v/>
      </c>
      <c r="L1019" s="23" t="str">
        <f t="shared" si="335"/>
        <v/>
      </c>
      <c r="M1019" s="22" t="str">
        <f t="shared" si="336"/>
        <v/>
      </c>
      <c r="N1019" s="72"/>
      <c r="O1019" s="16" t="str">
        <f t="shared" si="337"/>
        <v/>
      </c>
      <c r="P1019" s="16" t="str">
        <f t="shared" si="338"/>
        <v/>
      </c>
      <c r="Q1019" s="16" t="str">
        <f t="shared" si="339"/>
        <v/>
      </c>
      <c r="R1019" s="23" t="str">
        <f t="shared" si="340"/>
        <v/>
      </c>
      <c r="S1019" s="23" t="str">
        <f t="shared" si="341"/>
        <v/>
      </c>
      <c r="T1019" s="23" t="str">
        <f t="shared" si="342"/>
        <v/>
      </c>
      <c r="U1019" s="23" t="str">
        <f t="shared" si="343"/>
        <v/>
      </c>
      <c r="V1019" s="23" t="str">
        <f t="shared" si="344"/>
        <v/>
      </c>
      <c r="W1019" s="70" t="str">
        <f t="shared" si="345"/>
        <v/>
      </c>
      <c r="X1019" s="70" t="str">
        <f t="shared" si="346"/>
        <v/>
      </c>
      <c r="Y1019" s="70" t="str">
        <f>IF(AND($A1019&lt;&gt;"",$E1019&gt;0),isLaptopBag($C1019,$J1019)*$D1019,"")</f>
        <v/>
      </c>
      <c r="Z1019" s="70" t="str">
        <f t="shared" si="347"/>
        <v/>
      </c>
      <c r="AA1019" s="70" t="str">
        <f t="shared" si="348"/>
        <v/>
      </c>
      <c r="AB1019" s="70" t="str">
        <f t="shared" si="349"/>
        <v/>
      </c>
      <c r="AC1019" s="70" t="str">
        <f t="shared" si="350"/>
        <v/>
      </c>
      <c r="AD1019" s="70" t="str">
        <f t="shared" si="351"/>
        <v/>
      </c>
      <c r="AE1019" s="70" t="str">
        <f t="shared" si="352"/>
        <v/>
      </c>
      <c r="AF1019" s="16"/>
      <c r="AG1019" s="23"/>
      <c r="AH1019" s="22"/>
      <c r="AJ1019" s="83">
        <f t="shared" si="353"/>
        <v>0</v>
      </c>
      <c r="AO1019" s="22" t="str">
        <f t="shared" si="354"/>
        <v/>
      </c>
      <c r="AP1019" s="22" t="str">
        <f t="shared" si="355"/>
        <v/>
      </c>
    </row>
    <row r="1020" spans="1:42" x14ac:dyDescent="0.25">
      <c r="A1020" s="10"/>
      <c r="B1020" s="10"/>
      <c r="C1020" s="10"/>
      <c r="D1020" s="10"/>
      <c r="E1020" s="10"/>
      <c r="F1020" s="10"/>
      <c r="G1020" s="10"/>
      <c r="H1020" s="17"/>
      <c r="I1020" s="10"/>
      <c r="J1020" s="10"/>
      <c r="K1020" s="16" t="str">
        <f t="shared" si="334"/>
        <v/>
      </c>
      <c r="L1020" s="23" t="str">
        <f t="shared" si="335"/>
        <v/>
      </c>
      <c r="M1020" s="22" t="str">
        <f t="shared" si="336"/>
        <v/>
      </c>
      <c r="N1020" s="72"/>
      <c r="O1020" s="16" t="str">
        <f t="shared" si="337"/>
        <v/>
      </c>
      <c r="P1020" s="16" t="str">
        <f t="shared" si="338"/>
        <v/>
      </c>
      <c r="Q1020" s="16" t="str">
        <f t="shared" si="339"/>
        <v/>
      </c>
      <c r="R1020" s="23" t="str">
        <f t="shared" si="340"/>
        <v/>
      </c>
      <c r="S1020" s="23" t="str">
        <f t="shared" si="341"/>
        <v/>
      </c>
      <c r="T1020" s="23" t="str">
        <f t="shared" si="342"/>
        <v/>
      </c>
      <c r="U1020" s="23" t="str">
        <f t="shared" si="343"/>
        <v/>
      </c>
      <c r="V1020" s="23" t="str">
        <f t="shared" si="344"/>
        <v/>
      </c>
      <c r="W1020" s="70" t="str">
        <f t="shared" si="345"/>
        <v/>
      </c>
      <c r="X1020" s="70" t="str">
        <f t="shared" si="346"/>
        <v/>
      </c>
      <c r="Y1020" s="70" t="str">
        <f>IF(AND($A1020&lt;&gt;"",$E1020&gt;0),isLaptopBag($C1020,$J1020)*$D1020,"")</f>
        <v/>
      </c>
      <c r="Z1020" s="70" t="str">
        <f t="shared" si="347"/>
        <v/>
      </c>
      <c r="AA1020" s="70" t="str">
        <f t="shared" si="348"/>
        <v/>
      </c>
      <c r="AB1020" s="70" t="str">
        <f t="shared" si="349"/>
        <v/>
      </c>
      <c r="AC1020" s="70" t="str">
        <f t="shared" si="350"/>
        <v/>
      </c>
      <c r="AD1020" s="70" t="str">
        <f t="shared" si="351"/>
        <v/>
      </c>
      <c r="AE1020" s="70" t="str">
        <f t="shared" si="352"/>
        <v/>
      </c>
      <c r="AF1020" s="16"/>
      <c r="AG1020" s="23"/>
      <c r="AH1020" s="22"/>
      <c r="AJ1020" s="83">
        <f t="shared" si="353"/>
        <v>0</v>
      </c>
      <c r="AO1020" s="22" t="str">
        <f t="shared" si="354"/>
        <v/>
      </c>
      <c r="AP1020" s="22" t="str">
        <f t="shared" si="355"/>
        <v/>
      </c>
    </row>
    <row r="1021" spans="1:42" x14ac:dyDescent="0.25">
      <c r="A1021" s="10"/>
      <c r="B1021" s="10"/>
      <c r="C1021" s="10"/>
      <c r="D1021" s="10"/>
      <c r="E1021" s="10"/>
      <c r="F1021" s="10"/>
      <c r="G1021" s="10"/>
      <c r="H1021" s="17"/>
      <c r="I1021" s="10"/>
      <c r="J1021" s="10"/>
      <c r="K1021" s="16" t="str">
        <f t="shared" si="334"/>
        <v/>
      </c>
      <c r="L1021" s="23" t="str">
        <f t="shared" si="335"/>
        <v/>
      </c>
      <c r="M1021" s="22" t="str">
        <f t="shared" si="336"/>
        <v/>
      </c>
      <c r="N1021" s="72"/>
      <c r="O1021" s="16" t="str">
        <f t="shared" si="337"/>
        <v/>
      </c>
      <c r="P1021" s="16" t="str">
        <f t="shared" si="338"/>
        <v/>
      </c>
      <c r="Q1021" s="16" t="str">
        <f t="shared" si="339"/>
        <v/>
      </c>
      <c r="R1021" s="23" t="str">
        <f t="shared" si="340"/>
        <v/>
      </c>
      <c r="S1021" s="23" t="str">
        <f t="shared" si="341"/>
        <v/>
      </c>
      <c r="T1021" s="23" t="str">
        <f t="shared" si="342"/>
        <v/>
      </c>
      <c r="U1021" s="23" t="str">
        <f t="shared" si="343"/>
        <v/>
      </c>
      <c r="V1021" s="23" t="str">
        <f t="shared" si="344"/>
        <v/>
      </c>
      <c r="W1021" s="70" t="str">
        <f t="shared" si="345"/>
        <v/>
      </c>
      <c r="X1021" s="70" t="str">
        <f t="shared" si="346"/>
        <v/>
      </c>
      <c r="Y1021" s="70" t="str">
        <f>IF(AND($A1021&lt;&gt;"",$E1021&gt;0),isLaptopBag($C1021,$J1021)*$D1021,"")</f>
        <v/>
      </c>
      <c r="Z1021" s="70" t="str">
        <f t="shared" si="347"/>
        <v/>
      </c>
      <c r="AA1021" s="70" t="str">
        <f t="shared" si="348"/>
        <v/>
      </c>
      <c r="AB1021" s="70" t="str">
        <f t="shared" si="349"/>
        <v/>
      </c>
      <c r="AC1021" s="70" t="str">
        <f t="shared" si="350"/>
        <v/>
      </c>
      <c r="AD1021" s="70" t="str">
        <f t="shared" si="351"/>
        <v/>
      </c>
      <c r="AE1021" s="70" t="str">
        <f t="shared" si="352"/>
        <v/>
      </c>
      <c r="AF1021" s="16"/>
      <c r="AG1021" s="23"/>
      <c r="AH1021" s="22"/>
      <c r="AJ1021" s="83">
        <f t="shared" si="353"/>
        <v>0</v>
      </c>
      <c r="AO1021" s="22" t="str">
        <f t="shared" si="354"/>
        <v/>
      </c>
      <c r="AP1021" s="22" t="str">
        <f t="shared" si="355"/>
        <v/>
      </c>
    </row>
    <row r="1022" spans="1:42" x14ac:dyDescent="0.25">
      <c r="A1022" s="10"/>
      <c r="B1022" s="10"/>
      <c r="C1022" s="10"/>
      <c r="D1022" s="10"/>
      <c r="E1022" s="10"/>
      <c r="F1022" s="10"/>
      <c r="G1022" s="10"/>
      <c r="H1022" s="17"/>
      <c r="I1022" s="10"/>
      <c r="J1022" s="10"/>
      <c r="K1022" s="16" t="str">
        <f t="shared" si="334"/>
        <v/>
      </c>
      <c r="L1022" s="23" t="str">
        <f t="shared" si="335"/>
        <v/>
      </c>
      <c r="M1022" s="22" t="str">
        <f t="shared" si="336"/>
        <v/>
      </c>
      <c r="N1022" s="72"/>
      <c r="O1022" s="16" t="str">
        <f t="shared" si="337"/>
        <v/>
      </c>
      <c r="P1022" s="16" t="str">
        <f t="shared" si="338"/>
        <v/>
      </c>
      <c r="Q1022" s="16" t="str">
        <f t="shared" si="339"/>
        <v/>
      </c>
      <c r="R1022" s="23" t="str">
        <f t="shared" si="340"/>
        <v/>
      </c>
      <c r="S1022" s="23" t="str">
        <f t="shared" si="341"/>
        <v/>
      </c>
      <c r="T1022" s="23" t="str">
        <f t="shared" si="342"/>
        <v/>
      </c>
      <c r="U1022" s="23" t="str">
        <f t="shared" si="343"/>
        <v/>
      </c>
      <c r="V1022" s="23" t="str">
        <f t="shared" si="344"/>
        <v/>
      </c>
      <c r="W1022" s="70" t="str">
        <f t="shared" si="345"/>
        <v/>
      </c>
      <c r="X1022" s="70" t="str">
        <f t="shared" si="346"/>
        <v/>
      </c>
      <c r="Y1022" s="70" t="str">
        <f>IF(AND($A1022&lt;&gt;"",$E1022&gt;0),isLaptopBag($C1022,$J1022)*$D1022,"")</f>
        <v/>
      </c>
      <c r="Z1022" s="70" t="str">
        <f t="shared" si="347"/>
        <v/>
      </c>
      <c r="AA1022" s="70" t="str">
        <f t="shared" si="348"/>
        <v/>
      </c>
      <c r="AB1022" s="70" t="str">
        <f t="shared" si="349"/>
        <v/>
      </c>
      <c r="AC1022" s="70" t="str">
        <f t="shared" si="350"/>
        <v/>
      </c>
      <c r="AD1022" s="70" t="str">
        <f t="shared" si="351"/>
        <v/>
      </c>
      <c r="AE1022" s="70" t="str">
        <f t="shared" si="352"/>
        <v/>
      </c>
      <c r="AF1022" s="16"/>
      <c r="AG1022" s="23"/>
      <c r="AH1022" s="22"/>
      <c r="AJ1022" s="83">
        <f t="shared" si="353"/>
        <v>0</v>
      </c>
      <c r="AO1022" s="22" t="str">
        <f t="shared" si="354"/>
        <v/>
      </c>
      <c r="AP1022" s="22" t="str">
        <f t="shared" si="355"/>
        <v/>
      </c>
    </row>
    <row r="1023" spans="1:42" x14ac:dyDescent="0.25">
      <c r="A1023" s="10"/>
      <c r="B1023" s="10"/>
      <c r="C1023" s="10"/>
      <c r="D1023" s="10"/>
      <c r="E1023" s="10"/>
      <c r="F1023" s="10"/>
      <c r="G1023" s="10"/>
      <c r="H1023" s="17"/>
      <c r="I1023" s="10"/>
      <c r="J1023" s="10"/>
      <c r="K1023" s="16" t="str">
        <f t="shared" si="334"/>
        <v/>
      </c>
      <c r="L1023" s="23" t="str">
        <f t="shared" si="335"/>
        <v/>
      </c>
      <c r="M1023" s="22" t="str">
        <f t="shared" si="336"/>
        <v/>
      </c>
      <c r="N1023" s="72"/>
      <c r="O1023" s="16" t="str">
        <f t="shared" si="337"/>
        <v/>
      </c>
      <c r="P1023" s="16" t="str">
        <f t="shared" si="338"/>
        <v/>
      </c>
      <c r="Q1023" s="16" t="str">
        <f t="shared" si="339"/>
        <v/>
      </c>
      <c r="R1023" s="23" t="str">
        <f t="shared" si="340"/>
        <v/>
      </c>
      <c r="S1023" s="23" t="str">
        <f t="shared" si="341"/>
        <v/>
      </c>
      <c r="T1023" s="23" t="str">
        <f t="shared" si="342"/>
        <v/>
      </c>
      <c r="U1023" s="23" t="str">
        <f t="shared" si="343"/>
        <v/>
      </c>
      <c r="V1023" s="23" t="str">
        <f t="shared" si="344"/>
        <v/>
      </c>
      <c r="W1023" s="70" t="str">
        <f t="shared" si="345"/>
        <v/>
      </c>
      <c r="X1023" s="70" t="str">
        <f t="shared" si="346"/>
        <v/>
      </c>
      <c r="Y1023" s="70" t="str">
        <f>IF(AND($A1023&lt;&gt;"",$E1023&gt;0),isLaptopBag($C1023,$J1023)*$D1023,"")</f>
        <v/>
      </c>
      <c r="Z1023" s="70" t="str">
        <f t="shared" si="347"/>
        <v/>
      </c>
      <c r="AA1023" s="70" t="str">
        <f t="shared" si="348"/>
        <v/>
      </c>
      <c r="AB1023" s="70" t="str">
        <f t="shared" si="349"/>
        <v/>
      </c>
      <c r="AC1023" s="70" t="str">
        <f t="shared" si="350"/>
        <v/>
      </c>
      <c r="AD1023" s="70" t="str">
        <f t="shared" si="351"/>
        <v/>
      </c>
      <c r="AE1023" s="70" t="str">
        <f t="shared" si="352"/>
        <v/>
      </c>
      <c r="AF1023" s="16"/>
      <c r="AG1023" s="23"/>
      <c r="AH1023" s="22"/>
      <c r="AJ1023" s="83">
        <f t="shared" si="353"/>
        <v>0</v>
      </c>
      <c r="AO1023" s="22" t="str">
        <f t="shared" si="354"/>
        <v/>
      </c>
      <c r="AP1023" s="22" t="str">
        <f t="shared" si="355"/>
        <v/>
      </c>
    </row>
    <row r="1024" spans="1:42" x14ac:dyDescent="0.25">
      <c r="A1024" s="10"/>
      <c r="B1024" s="10"/>
      <c r="C1024" s="10"/>
      <c r="D1024" s="10"/>
      <c r="E1024" s="10"/>
      <c r="F1024" s="10"/>
      <c r="G1024" s="10"/>
      <c r="H1024" s="17"/>
      <c r="I1024" s="10"/>
      <c r="J1024" s="10"/>
      <c r="K1024" s="16" t="str">
        <f t="shared" si="334"/>
        <v/>
      </c>
      <c r="L1024" s="23" t="str">
        <f t="shared" si="335"/>
        <v/>
      </c>
      <c r="M1024" s="22" t="str">
        <f t="shared" si="336"/>
        <v/>
      </c>
      <c r="N1024" s="72"/>
      <c r="O1024" s="16" t="str">
        <f t="shared" si="337"/>
        <v/>
      </c>
      <c r="P1024" s="16" t="str">
        <f t="shared" si="338"/>
        <v/>
      </c>
      <c r="Q1024" s="16" t="str">
        <f t="shared" si="339"/>
        <v/>
      </c>
      <c r="R1024" s="23" t="str">
        <f t="shared" si="340"/>
        <v/>
      </c>
      <c r="S1024" s="23" t="str">
        <f t="shared" si="341"/>
        <v/>
      </c>
      <c r="T1024" s="23" t="str">
        <f t="shared" si="342"/>
        <v/>
      </c>
      <c r="U1024" s="23" t="str">
        <f t="shared" si="343"/>
        <v/>
      </c>
      <c r="V1024" s="23" t="str">
        <f t="shared" si="344"/>
        <v/>
      </c>
      <c r="W1024" s="70" t="str">
        <f t="shared" si="345"/>
        <v/>
      </c>
      <c r="X1024" s="70" t="str">
        <f t="shared" si="346"/>
        <v/>
      </c>
      <c r="Y1024" s="70" t="str">
        <f>IF(AND($A1024&lt;&gt;"",$E1024&gt;0),isLaptopBag($C1024,$J1024)*$D1024,"")</f>
        <v/>
      </c>
      <c r="Z1024" s="70" t="str">
        <f t="shared" si="347"/>
        <v/>
      </c>
      <c r="AA1024" s="70" t="str">
        <f t="shared" si="348"/>
        <v/>
      </c>
      <c r="AB1024" s="70" t="str">
        <f t="shared" si="349"/>
        <v/>
      </c>
      <c r="AC1024" s="70" t="str">
        <f t="shared" si="350"/>
        <v/>
      </c>
      <c r="AD1024" s="70" t="str">
        <f t="shared" si="351"/>
        <v/>
      </c>
      <c r="AE1024" s="70" t="str">
        <f t="shared" si="352"/>
        <v/>
      </c>
      <c r="AF1024" s="16"/>
      <c r="AG1024" s="23"/>
      <c r="AH1024" s="22"/>
      <c r="AJ1024" s="83">
        <f t="shared" si="353"/>
        <v>0</v>
      </c>
      <c r="AO1024" s="22" t="str">
        <f t="shared" si="354"/>
        <v/>
      </c>
      <c r="AP1024" s="22" t="str">
        <f t="shared" si="355"/>
        <v/>
      </c>
    </row>
    <row r="1025" spans="1:42" x14ac:dyDescent="0.25">
      <c r="A1025" s="10"/>
      <c r="B1025" s="10"/>
      <c r="C1025" s="10"/>
      <c r="D1025" s="10"/>
      <c r="E1025" s="10"/>
      <c r="F1025" s="10"/>
      <c r="G1025" s="10"/>
      <c r="H1025" s="17"/>
      <c r="I1025" s="10"/>
      <c r="J1025" s="10"/>
      <c r="K1025" s="16" t="str">
        <f t="shared" si="334"/>
        <v/>
      </c>
      <c r="L1025" s="23" t="str">
        <f t="shared" si="335"/>
        <v/>
      </c>
      <c r="M1025" s="22" t="str">
        <f t="shared" si="336"/>
        <v/>
      </c>
      <c r="N1025" s="72"/>
      <c r="O1025" s="16" t="str">
        <f t="shared" si="337"/>
        <v/>
      </c>
      <c r="P1025" s="16" t="str">
        <f t="shared" si="338"/>
        <v/>
      </c>
      <c r="Q1025" s="16" t="str">
        <f t="shared" si="339"/>
        <v/>
      </c>
      <c r="R1025" s="23" t="str">
        <f t="shared" si="340"/>
        <v/>
      </c>
      <c r="S1025" s="23" t="str">
        <f t="shared" si="341"/>
        <v/>
      </c>
      <c r="T1025" s="23" t="str">
        <f t="shared" si="342"/>
        <v/>
      </c>
      <c r="U1025" s="23" t="str">
        <f t="shared" si="343"/>
        <v/>
      </c>
      <c r="V1025" s="23" t="str">
        <f t="shared" si="344"/>
        <v/>
      </c>
      <c r="W1025" s="70" t="str">
        <f t="shared" si="345"/>
        <v/>
      </c>
      <c r="X1025" s="70" t="str">
        <f t="shared" si="346"/>
        <v/>
      </c>
      <c r="Y1025" s="70" t="str">
        <f>IF(AND($A1025&lt;&gt;"",$E1025&gt;0),isLaptopBag($C1025,$J1025)*$D1025,"")</f>
        <v/>
      </c>
      <c r="Z1025" s="70" t="str">
        <f t="shared" si="347"/>
        <v/>
      </c>
      <c r="AA1025" s="70" t="str">
        <f t="shared" si="348"/>
        <v/>
      </c>
      <c r="AB1025" s="70" t="str">
        <f t="shared" si="349"/>
        <v/>
      </c>
      <c r="AC1025" s="70" t="str">
        <f t="shared" si="350"/>
        <v/>
      </c>
      <c r="AD1025" s="70" t="str">
        <f t="shared" si="351"/>
        <v/>
      </c>
      <c r="AE1025" s="70" t="str">
        <f t="shared" si="352"/>
        <v/>
      </c>
      <c r="AF1025" s="16"/>
      <c r="AG1025" s="23"/>
      <c r="AH1025" s="22"/>
      <c r="AJ1025" s="83">
        <f t="shared" si="353"/>
        <v>0</v>
      </c>
      <c r="AO1025" s="22" t="str">
        <f t="shared" si="354"/>
        <v/>
      </c>
      <c r="AP1025" s="22" t="str">
        <f t="shared" si="355"/>
        <v/>
      </c>
    </row>
    <row r="1026" spans="1:42" x14ac:dyDescent="0.25">
      <c r="A1026" s="10"/>
      <c r="B1026" s="10"/>
      <c r="C1026" s="10"/>
      <c r="D1026" s="10"/>
      <c r="E1026" s="10"/>
      <c r="F1026" s="10"/>
      <c r="G1026" s="10"/>
      <c r="H1026" s="17"/>
      <c r="I1026" s="10"/>
      <c r="J1026" s="10"/>
      <c r="K1026" s="16" t="str">
        <f t="shared" si="334"/>
        <v/>
      </c>
      <c r="L1026" s="23" t="str">
        <f t="shared" si="335"/>
        <v/>
      </c>
      <c r="M1026" s="22" t="str">
        <f t="shared" si="336"/>
        <v/>
      </c>
      <c r="N1026" s="72"/>
      <c r="O1026" s="16" t="str">
        <f t="shared" si="337"/>
        <v/>
      </c>
      <c r="P1026" s="16" t="str">
        <f t="shared" si="338"/>
        <v/>
      </c>
      <c r="Q1026" s="16" t="str">
        <f t="shared" si="339"/>
        <v/>
      </c>
      <c r="R1026" s="23" t="str">
        <f t="shared" si="340"/>
        <v/>
      </c>
      <c r="S1026" s="23" t="str">
        <f t="shared" si="341"/>
        <v/>
      </c>
      <c r="T1026" s="23" t="str">
        <f t="shared" si="342"/>
        <v/>
      </c>
      <c r="U1026" s="23" t="str">
        <f t="shared" si="343"/>
        <v/>
      </c>
      <c r="V1026" s="23" t="str">
        <f t="shared" si="344"/>
        <v/>
      </c>
      <c r="W1026" s="70" t="str">
        <f t="shared" si="345"/>
        <v/>
      </c>
      <c r="X1026" s="70" t="str">
        <f t="shared" si="346"/>
        <v/>
      </c>
      <c r="Y1026" s="70" t="str">
        <f>IF(AND($A1026&lt;&gt;"",$E1026&gt;0),isLaptopBag($C1026,$J1026)*$D1026,"")</f>
        <v/>
      </c>
      <c r="Z1026" s="70" t="str">
        <f t="shared" si="347"/>
        <v/>
      </c>
      <c r="AA1026" s="70" t="str">
        <f t="shared" si="348"/>
        <v/>
      </c>
      <c r="AB1026" s="70" t="str">
        <f t="shared" si="349"/>
        <v/>
      </c>
      <c r="AC1026" s="70" t="str">
        <f t="shared" si="350"/>
        <v/>
      </c>
      <c r="AD1026" s="70" t="str">
        <f t="shared" si="351"/>
        <v/>
      </c>
      <c r="AE1026" s="70" t="str">
        <f t="shared" si="352"/>
        <v/>
      </c>
      <c r="AF1026" s="16"/>
      <c r="AG1026" s="23"/>
      <c r="AH1026" s="22"/>
      <c r="AJ1026" s="83">
        <f t="shared" si="353"/>
        <v>0</v>
      </c>
      <c r="AO1026" s="22" t="str">
        <f t="shared" si="354"/>
        <v/>
      </c>
      <c r="AP1026" s="22" t="str">
        <f t="shared" si="355"/>
        <v/>
      </c>
    </row>
    <row r="1027" spans="1:42" x14ac:dyDescent="0.25">
      <c r="A1027" s="10"/>
      <c r="B1027" s="10"/>
      <c r="C1027" s="10"/>
      <c r="D1027" s="10"/>
      <c r="E1027" s="10"/>
      <c r="F1027" s="10"/>
      <c r="G1027" s="10"/>
      <c r="H1027" s="17"/>
      <c r="I1027" s="10"/>
      <c r="J1027" s="10"/>
      <c r="K1027" s="16" t="str">
        <f t="shared" si="334"/>
        <v/>
      </c>
      <c r="L1027" s="23" t="str">
        <f t="shared" si="335"/>
        <v/>
      </c>
      <c r="M1027" s="22" t="str">
        <f t="shared" si="336"/>
        <v/>
      </c>
      <c r="N1027" s="72"/>
      <c r="O1027" s="16" t="str">
        <f t="shared" si="337"/>
        <v/>
      </c>
      <c r="P1027" s="16" t="str">
        <f t="shared" si="338"/>
        <v/>
      </c>
      <c r="Q1027" s="16" t="str">
        <f t="shared" si="339"/>
        <v/>
      </c>
      <c r="R1027" s="23" t="str">
        <f t="shared" si="340"/>
        <v/>
      </c>
      <c r="S1027" s="23" t="str">
        <f t="shared" si="341"/>
        <v/>
      </c>
      <c r="T1027" s="23" t="str">
        <f t="shared" si="342"/>
        <v/>
      </c>
      <c r="U1027" s="23" t="str">
        <f t="shared" si="343"/>
        <v/>
      </c>
      <c r="V1027" s="23" t="str">
        <f t="shared" si="344"/>
        <v/>
      </c>
      <c r="W1027" s="70" t="str">
        <f t="shared" si="345"/>
        <v/>
      </c>
      <c r="X1027" s="70" t="str">
        <f t="shared" si="346"/>
        <v/>
      </c>
      <c r="Y1027" s="70" t="str">
        <f>IF(AND($A1027&lt;&gt;"",$E1027&gt;0),isLaptopBag($C1027,$J1027)*$D1027,"")</f>
        <v/>
      </c>
      <c r="Z1027" s="70" t="str">
        <f t="shared" si="347"/>
        <v/>
      </c>
      <c r="AA1027" s="70" t="str">
        <f t="shared" si="348"/>
        <v/>
      </c>
      <c r="AB1027" s="70" t="str">
        <f t="shared" si="349"/>
        <v/>
      </c>
      <c r="AC1027" s="70" t="str">
        <f t="shared" si="350"/>
        <v/>
      </c>
      <c r="AD1027" s="70" t="str">
        <f t="shared" si="351"/>
        <v/>
      </c>
      <c r="AE1027" s="70" t="str">
        <f t="shared" si="352"/>
        <v/>
      </c>
      <c r="AF1027" s="16"/>
      <c r="AG1027" s="23"/>
      <c r="AH1027" s="22"/>
      <c r="AJ1027" s="83">
        <f t="shared" si="353"/>
        <v>0</v>
      </c>
      <c r="AO1027" s="22" t="str">
        <f t="shared" si="354"/>
        <v/>
      </c>
      <c r="AP1027" s="22" t="str">
        <f t="shared" si="355"/>
        <v/>
      </c>
    </row>
    <row r="1028" spans="1:42" x14ac:dyDescent="0.25">
      <c r="A1028" s="10"/>
      <c r="B1028" s="10"/>
      <c r="C1028" s="10"/>
      <c r="D1028" s="10"/>
      <c r="E1028" s="10"/>
      <c r="F1028" s="10"/>
      <c r="G1028" s="10"/>
      <c r="H1028" s="17"/>
      <c r="I1028" s="10"/>
      <c r="J1028" s="10"/>
      <c r="K1028" s="16" t="str">
        <f t="shared" si="334"/>
        <v/>
      </c>
      <c r="L1028" s="23" t="str">
        <f t="shared" si="335"/>
        <v/>
      </c>
      <c r="M1028" s="22" t="str">
        <f t="shared" si="336"/>
        <v/>
      </c>
      <c r="N1028" s="72"/>
      <c r="O1028" s="16" t="str">
        <f t="shared" si="337"/>
        <v/>
      </c>
      <c r="P1028" s="16" t="str">
        <f t="shared" si="338"/>
        <v/>
      </c>
      <c r="Q1028" s="16" t="str">
        <f t="shared" si="339"/>
        <v/>
      </c>
      <c r="R1028" s="23" t="str">
        <f t="shared" si="340"/>
        <v/>
      </c>
      <c r="S1028" s="23" t="str">
        <f t="shared" si="341"/>
        <v/>
      </c>
      <c r="T1028" s="23" t="str">
        <f t="shared" si="342"/>
        <v/>
      </c>
      <c r="U1028" s="23" t="str">
        <f t="shared" si="343"/>
        <v/>
      </c>
      <c r="V1028" s="23" t="str">
        <f t="shared" si="344"/>
        <v/>
      </c>
      <c r="W1028" s="70" t="str">
        <f t="shared" si="345"/>
        <v/>
      </c>
      <c r="X1028" s="70" t="str">
        <f t="shared" si="346"/>
        <v/>
      </c>
      <c r="Y1028" s="70" t="str">
        <f>IF(AND($A1028&lt;&gt;"",$E1028&gt;0),isLaptopBag($C1028,$J1028)*$D1028,"")</f>
        <v/>
      </c>
      <c r="Z1028" s="70" t="str">
        <f t="shared" si="347"/>
        <v/>
      </c>
      <c r="AA1028" s="70" t="str">
        <f t="shared" si="348"/>
        <v/>
      </c>
      <c r="AB1028" s="70" t="str">
        <f t="shared" si="349"/>
        <v/>
      </c>
      <c r="AC1028" s="70" t="str">
        <f t="shared" si="350"/>
        <v/>
      </c>
      <c r="AD1028" s="70" t="str">
        <f t="shared" si="351"/>
        <v/>
      </c>
      <c r="AE1028" s="70" t="str">
        <f t="shared" si="352"/>
        <v/>
      </c>
      <c r="AF1028" s="16"/>
      <c r="AG1028" s="23"/>
      <c r="AH1028" s="22"/>
      <c r="AJ1028" s="83">
        <f t="shared" si="353"/>
        <v>0</v>
      </c>
      <c r="AO1028" s="22" t="str">
        <f t="shared" si="354"/>
        <v/>
      </c>
      <c r="AP1028" s="22" t="str">
        <f t="shared" si="355"/>
        <v/>
      </c>
    </row>
    <row r="1029" spans="1:42" x14ac:dyDescent="0.25">
      <c r="A1029" s="10"/>
      <c r="B1029" s="10"/>
      <c r="C1029" s="10"/>
      <c r="D1029" s="10"/>
      <c r="E1029" s="10"/>
      <c r="F1029" s="10"/>
      <c r="G1029" s="10"/>
      <c r="H1029" s="17"/>
      <c r="I1029" s="10"/>
      <c r="J1029" s="10"/>
      <c r="K1029" s="16" t="str">
        <f t="shared" si="334"/>
        <v/>
      </c>
      <c r="L1029" s="23" t="str">
        <f t="shared" si="335"/>
        <v/>
      </c>
      <c r="M1029" s="22" t="str">
        <f t="shared" si="336"/>
        <v/>
      </c>
      <c r="N1029" s="72"/>
      <c r="O1029" s="16" t="str">
        <f t="shared" si="337"/>
        <v/>
      </c>
      <c r="P1029" s="16" t="str">
        <f t="shared" si="338"/>
        <v/>
      </c>
      <c r="Q1029" s="16" t="str">
        <f t="shared" si="339"/>
        <v/>
      </c>
      <c r="R1029" s="23" t="str">
        <f t="shared" si="340"/>
        <v/>
      </c>
      <c r="S1029" s="23" t="str">
        <f t="shared" si="341"/>
        <v/>
      </c>
      <c r="T1029" s="23" t="str">
        <f t="shared" si="342"/>
        <v/>
      </c>
      <c r="U1029" s="23" t="str">
        <f t="shared" si="343"/>
        <v/>
      </c>
      <c r="V1029" s="23" t="str">
        <f t="shared" si="344"/>
        <v/>
      </c>
      <c r="W1029" s="70" t="str">
        <f t="shared" si="345"/>
        <v/>
      </c>
      <c r="X1029" s="70" t="str">
        <f t="shared" si="346"/>
        <v/>
      </c>
      <c r="Y1029" s="70" t="str">
        <f>IF(AND($A1029&lt;&gt;"",$E1029&gt;0),isLaptopBag($C1029,$J1029)*$D1029,"")</f>
        <v/>
      </c>
      <c r="Z1029" s="70" t="str">
        <f t="shared" si="347"/>
        <v/>
      </c>
      <c r="AA1029" s="70" t="str">
        <f t="shared" si="348"/>
        <v/>
      </c>
      <c r="AB1029" s="70" t="str">
        <f t="shared" si="349"/>
        <v/>
      </c>
      <c r="AC1029" s="70" t="str">
        <f t="shared" si="350"/>
        <v/>
      </c>
      <c r="AD1029" s="70" t="str">
        <f t="shared" si="351"/>
        <v/>
      </c>
      <c r="AE1029" s="70" t="str">
        <f t="shared" si="352"/>
        <v/>
      </c>
      <c r="AF1029" s="16"/>
      <c r="AG1029" s="23"/>
      <c r="AH1029" s="22"/>
      <c r="AJ1029" s="83">
        <f t="shared" si="353"/>
        <v>0</v>
      </c>
      <c r="AO1029" s="22" t="str">
        <f t="shared" si="354"/>
        <v/>
      </c>
      <c r="AP1029" s="22" t="str">
        <f t="shared" si="355"/>
        <v/>
      </c>
    </row>
    <row r="1030" spans="1:42" x14ac:dyDescent="0.25">
      <c r="A1030" s="10"/>
      <c r="B1030" s="10"/>
      <c r="C1030" s="10"/>
      <c r="D1030" s="10"/>
      <c r="E1030" s="10"/>
      <c r="F1030" s="10"/>
      <c r="G1030" s="10"/>
      <c r="H1030" s="17"/>
      <c r="I1030" s="10"/>
      <c r="J1030" s="10"/>
      <c r="K1030" s="16" t="str">
        <f t="shared" si="334"/>
        <v/>
      </c>
      <c r="L1030" s="23" t="str">
        <f t="shared" si="335"/>
        <v/>
      </c>
      <c r="M1030" s="22" t="str">
        <f t="shared" si="336"/>
        <v/>
      </c>
      <c r="N1030" s="72"/>
      <c r="O1030" s="16" t="str">
        <f t="shared" si="337"/>
        <v/>
      </c>
      <c r="P1030" s="16" t="str">
        <f t="shared" si="338"/>
        <v/>
      </c>
      <c r="Q1030" s="16" t="str">
        <f t="shared" si="339"/>
        <v/>
      </c>
      <c r="R1030" s="23" t="str">
        <f t="shared" si="340"/>
        <v/>
      </c>
      <c r="S1030" s="23" t="str">
        <f t="shared" si="341"/>
        <v/>
      </c>
      <c r="T1030" s="23" t="str">
        <f t="shared" si="342"/>
        <v/>
      </c>
      <c r="U1030" s="23" t="str">
        <f t="shared" si="343"/>
        <v/>
      </c>
      <c r="V1030" s="23" t="str">
        <f t="shared" si="344"/>
        <v/>
      </c>
      <c r="W1030" s="70" t="str">
        <f t="shared" si="345"/>
        <v/>
      </c>
      <c r="X1030" s="70" t="str">
        <f t="shared" si="346"/>
        <v/>
      </c>
      <c r="Y1030" s="70" t="str">
        <f>IF(AND($A1030&lt;&gt;"",$E1030&gt;0),isLaptopBag($C1030,$J1030)*$D1030,"")</f>
        <v/>
      </c>
      <c r="Z1030" s="70" t="str">
        <f t="shared" si="347"/>
        <v/>
      </c>
      <c r="AA1030" s="70" t="str">
        <f t="shared" si="348"/>
        <v/>
      </c>
      <c r="AB1030" s="70" t="str">
        <f t="shared" si="349"/>
        <v/>
      </c>
      <c r="AC1030" s="70" t="str">
        <f t="shared" si="350"/>
        <v/>
      </c>
      <c r="AD1030" s="70" t="str">
        <f t="shared" si="351"/>
        <v/>
      </c>
      <c r="AE1030" s="70" t="str">
        <f t="shared" si="352"/>
        <v/>
      </c>
      <c r="AF1030" s="16"/>
      <c r="AG1030" s="23"/>
      <c r="AH1030" s="22"/>
      <c r="AJ1030" s="83">
        <f t="shared" si="353"/>
        <v>0</v>
      </c>
      <c r="AO1030" s="22" t="str">
        <f t="shared" si="354"/>
        <v/>
      </c>
      <c r="AP1030" s="22" t="str">
        <f t="shared" si="355"/>
        <v/>
      </c>
    </row>
    <row r="1031" spans="1:42" x14ac:dyDescent="0.25">
      <c r="A1031" s="10"/>
      <c r="B1031" s="10"/>
      <c r="C1031" s="10"/>
      <c r="D1031" s="10"/>
      <c r="E1031" s="10"/>
      <c r="F1031" s="10"/>
      <c r="G1031" s="10"/>
      <c r="H1031" s="17"/>
      <c r="I1031" s="10"/>
      <c r="J1031" s="10"/>
      <c r="K1031" s="16" t="str">
        <f t="shared" si="334"/>
        <v/>
      </c>
      <c r="L1031" s="23" t="str">
        <f t="shared" si="335"/>
        <v/>
      </c>
      <c r="M1031" s="22" t="str">
        <f t="shared" si="336"/>
        <v/>
      </c>
      <c r="N1031" s="72"/>
      <c r="O1031" s="16" t="str">
        <f t="shared" si="337"/>
        <v/>
      </c>
      <c r="P1031" s="16" t="str">
        <f t="shared" si="338"/>
        <v/>
      </c>
      <c r="Q1031" s="16" t="str">
        <f t="shared" si="339"/>
        <v/>
      </c>
      <c r="R1031" s="23" t="str">
        <f t="shared" si="340"/>
        <v/>
      </c>
      <c r="S1031" s="23" t="str">
        <f t="shared" si="341"/>
        <v/>
      </c>
      <c r="T1031" s="23" t="str">
        <f t="shared" si="342"/>
        <v/>
      </c>
      <c r="U1031" s="23" t="str">
        <f t="shared" si="343"/>
        <v/>
      </c>
      <c r="V1031" s="23" t="str">
        <f t="shared" si="344"/>
        <v/>
      </c>
      <c r="W1031" s="70" t="str">
        <f t="shared" si="345"/>
        <v/>
      </c>
      <c r="X1031" s="70" t="str">
        <f t="shared" si="346"/>
        <v/>
      </c>
      <c r="Y1031" s="70" t="str">
        <f>IF(AND($A1031&lt;&gt;"",$E1031&gt;0),isLaptopBag($C1031,$J1031)*$D1031,"")</f>
        <v/>
      </c>
      <c r="Z1031" s="70" t="str">
        <f t="shared" si="347"/>
        <v/>
      </c>
      <c r="AA1031" s="70" t="str">
        <f t="shared" si="348"/>
        <v/>
      </c>
      <c r="AB1031" s="70" t="str">
        <f t="shared" si="349"/>
        <v/>
      </c>
      <c r="AC1031" s="70" t="str">
        <f t="shared" si="350"/>
        <v/>
      </c>
      <c r="AD1031" s="70" t="str">
        <f t="shared" si="351"/>
        <v/>
      </c>
      <c r="AE1031" s="70" t="str">
        <f t="shared" si="352"/>
        <v/>
      </c>
      <c r="AF1031" s="16"/>
      <c r="AG1031" s="23"/>
      <c r="AH1031" s="22"/>
      <c r="AJ1031" s="83">
        <f t="shared" si="353"/>
        <v>0</v>
      </c>
      <c r="AO1031" s="22" t="str">
        <f t="shared" si="354"/>
        <v/>
      </c>
      <c r="AP1031" s="22" t="str">
        <f t="shared" si="355"/>
        <v/>
      </c>
    </row>
    <row r="1032" spans="1:42" x14ac:dyDescent="0.25">
      <c r="A1032" s="10"/>
      <c r="B1032" s="10"/>
      <c r="C1032" s="10"/>
      <c r="D1032" s="10"/>
      <c r="E1032" s="10"/>
      <c r="F1032" s="10"/>
      <c r="G1032" s="10"/>
      <c r="H1032" s="17"/>
      <c r="I1032" s="10"/>
      <c r="J1032" s="10"/>
      <c r="K1032" s="16" t="str">
        <f t="shared" si="334"/>
        <v/>
      </c>
      <c r="L1032" s="23" t="str">
        <f t="shared" si="335"/>
        <v/>
      </c>
      <c r="M1032" s="22" t="str">
        <f t="shared" si="336"/>
        <v/>
      </c>
      <c r="N1032" s="72"/>
      <c r="O1032" s="16" t="str">
        <f t="shared" si="337"/>
        <v/>
      </c>
      <c r="P1032" s="16" t="str">
        <f t="shared" si="338"/>
        <v/>
      </c>
      <c r="Q1032" s="16" t="str">
        <f t="shared" si="339"/>
        <v/>
      </c>
      <c r="R1032" s="23" t="str">
        <f t="shared" si="340"/>
        <v/>
      </c>
      <c r="S1032" s="23" t="str">
        <f t="shared" si="341"/>
        <v/>
      </c>
      <c r="T1032" s="23" t="str">
        <f t="shared" si="342"/>
        <v/>
      </c>
      <c r="U1032" s="23" t="str">
        <f t="shared" si="343"/>
        <v/>
      </c>
      <c r="V1032" s="23" t="str">
        <f t="shared" si="344"/>
        <v/>
      </c>
      <c r="W1032" s="70" t="str">
        <f t="shared" si="345"/>
        <v/>
      </c>
      <c r="X1032" s="70" t="str">
        <f t="shared" si="346"/>
        <v/>
      </c>
      <c r="Y1032" s="70" t="str">
        <f>IF(AND($A1032&lt;&gt;"",$E1032&gt;0),isLaptopBag($C1032,$J1032)*$D1032,"")</f>
        <v/>
      </c>
      <c r="Z1032" s="70" t="str">
        <f t="shared" si="347"/>
        <v/>
      </c>
      <c r="AA1032" s="70" t="str">
        <f t="shared" si="348"/>
        <v/>
      </c>
      <c r="AB1032" s="70" t="str">
        <f t="shared" si="349"/>
        <v/>
      </c>
      <c r="AC1032" s="70" t="str">
        <f t="shared" si="350"/>
        <v/>
      </c>
      <c r="AD1032" s="70" t="str">
        <f t="shared" si="351"/>
        <v/>
      </c>
      <c r="AE1032" s="70" t="str">
        <f t="shared" si="352"/>
        <v/>
      </c>
      <c r="AF1032" s="16"/>
      <c r="AG1032" s="23"/>
      <c r="AH1032" s="22"/>
      <c r="AJ1032" s="83">
        <f t="shared" si="353"/>
        <v>0</v>
      </c>
      <c r="AO1032" s="22" t="str">
        <f t="shared" si="354"/>
        <v/>
      </c>
      <c r="AP1032" s="22" t="str">
        <f t="shared" si="355"/>
        <v/>
      </c>
    </row>
    <row r="1033" spans="1:42" x14ac:dyDescent="0.25">
      <c r="A1033" s="10"/>
      <c r="B1033" s="10"/>
      <c r="C1033" s="10"/>
      <c r="D1033" s="10"/>
      <c r="E1033" s="10"/>
      <c r="F1033" s="10"/>
      <c r="G1033" s="10"/>
      <c r="H1033" s="17"/>
      <c r="I1033" s="10"/>
      <c r="J1033" s="10"/>
      <c r="K1033" s="16" t="str">
        <f t="shared" si="334"/>
        <v/>
      </c>
      <c r="L1033" s="23" t="str">
        <f t="shared" si="335"/>
        <v/>
      </c>
      <c r="M1033" s="22" t="str">
        <f t="shared" si="336"/>
        <v/>
      </c>
      <c r="N1033" s="72"/>
      <c r="O1033" s="16" t="str">
        <f t="shared" si="337"/>
        <v/>
      </c>
      <c r="P1033" s="16" t="str">
        <f t="shared" si="338"/>
        <v/>
      </c>
      <c r="Q1033" s="16" t="str">
        <f t="shared" si="339"/>
        <v/>
      </c>
      <c r="R1033" s="23" t="str">
        <f t="shared" si="340"/>
        <v/>
      </c>
      <c r="S1033" s="23" t="str">
        <f t="shared" si="341"/>
        <v/>
      </c>
      <c r="T1033" s="23" t="str">
        <f t="shared" si="342"/>
        <v/>
      </c>
      <c r="U1033" s="23" t="str">
        <f t="shared" si="343"/>
        <v/>
      </c>
      <c r="V1033" s="23" t="str">
        <f t="shared" si="344"/>
        <v/>
      </c>
      <c r="W1033" s="70" t="str">
        <f t="shared" si="345"/>
        <v/>
      </c>
      <c r="X1033" s="70" t="str">
        <f t="shared" si="346"/>
        <v/>
      </c>
      <c r="Y1033" s="70" t="str">
        <f>IF(AND($A1033&lt;&gt;"",$E1033&gt;0),isLaptopBag($C1033,$J1033)*$D1033,"")</f>
        <v/>
      </c>
      <c r="Z1033" s="70" t="str">
        <f t="shared" si="347"/>
        <v/>
      </c>
      <c r="AA1033" s="70" t="str">
        <f t="shared" si="348"/>
        <v/>
      </c>
      <c r="AB1033" s="70" t="str">
        <f t="shared" si="349"/>
        <v/>
      </c>
      <c r="AC1033" s="70" t="str">
        <f t="shared" si="350"/>
        <v/>
      </c>
      <c r="AD1033" s="70" t="str">
        <f t="shared" si="351"/>
        <v/>
      </c>
      <c r="AE1033" s="70" t="str">
        <f t="shared" si="352"/>
        <v/>
      </c>
      <c r="AF1033" s="16"/>
      <c r="AG1033" s="23"/>
      <c r="AH1033" s="22"/>
      <c r="AJ1033" s="83">
        <f t="shared" si="353"/>
        <v>0</v>
      </c>
      <c r="AO1033" s="22" t="str">
        <f t="shared" si="354"/>
        <v/>
      </c>
      <c r="AP1033" s="22" t="str">
        <f t="shared" si="355"/>
        <v/>
      </c>
    </row>
    <row r="1034" spans="1:42" x14ac:dyDescent="0.25">
      <c r="A1034" s="10"/>
      <c r="B1034" s="10"/>
      <c r="C1034" s="10"/>
      <c r="D1034" s="10"/>
      <c r="E1034" s="10"/>
      <c r="F1034" s="10"/>
      <c r="G1034" s="10"/>
      <c r="H1034" s="17"/>
      <c r="I1034" s="10"/>
      <c r="J1034" s="10"/>
      <c r="K1034" s="16" t="str">
        <f t="shared" si="334"/>
        <v/>
      </c>
      <c r="L1034" s="23" t="str">
        <f t="shared" si="335"/>
        <v/>
      </c>
      <c r="M1034" s="22" t="str">
        <f t="shared" si="336"/>
        <v/>
      </c>
      <c r="N1034" s="72"/>
      <c r="O1034" s="16" t="str">
        <f t="shared" si="337"/>
        <v/>
      </c>
      <c r="P1034" s="16" t="str">
        <f t="shared" si="338"/>
        <v/>
      </c>
      <c r="Q1034" s="16" t="str">
        <f t="shared" si="339"/>
        <v/>
      </c>
      <c r="R1034" s="23" t="str">
        <f t="shared" si="340"/>
        <v/>
      </c>
      <c r="S1034" s="23" t="str">
        <f t="shared" si="341"/>
        <v/>
      </c>
      <c r="T1034" s="23" t="str">
        <f t="shared" si="342"/>
        <v/>
      </c>
      <c r="U1034" s="23" t="str">
        <f t="shared" si="343"/>
        <v/>
      </c>
      <c r="V1034" s="23" t="str">
        <f t="shared" si="344"/>
        <v/>
      </c>
      <c r="W1034" s="70" t="str">
        <f t="shared" si="345"/>
        <v/>
      </c>
      <c r="X1034" s="70" t="str">
        <f t="shared" si="346"/>
        <v/>
      </c>
      <c r="Y1034" s="70" t="str">
        <f>IF(AND($A1034&lt;&gt;"",$E1034&gt;0),isLaptopBag($C1034,$J1034)*$D1034,"")</f>
        <v/>
      </c>
      <c r="Z1034" s="70" t="str">
        <f t="shared" si="347"/>
        <v/>
      </c>
      <c r="AA1034" s="70" t="str">
        <f t="shared" si="348"/>
        <v/>
      </c>
      <c r="AB1034" s="70" t="str">
        <f t="shared" si="349"/>
        <v/>
      </c>
      <c r="AC1034" s="70" t="str">
        <f t="shared" si="350"/>
        <v/>
      </c>
      <c r="AD1034" s="70" t="str">
        <f t="shared" si="351"/>
        <v/>
      </c>
      <c r="AE1034" s="70" t="str">
        <f t="shared" si="352"/>
        <v/>
      </c>
      <c r="AF1034" s="16"/>
      <c r="AG1034" s="23"/>
      <c r="AH1034" s="22"/>
      <c r="AJ1034" s="83">
        <f t="shared" si="353"/>
        <v>0</v>
      </c>
      <c r="AO1034" s="22" t="str">
        <f t="shared" si="354"/>
        <v/>
      </c>
      <c r="AP1034" s="22" t="str">
        <f t="shared" si="355"/>
        <v/>
      </c>
    </row>
    <row r="1035" spans="1:42" x14ac:dyDescent="0.25">
      <c r="A1035" s="10"/>
      <c r="B1035" s="10"/>
      <c r="C1035" s="10"/>
      <c r="D1035" s="10"/>
      <c r="E1035" s="10"/>
      <c r="F1035" s="10"/>
      <c r="G1035" s="10"/>
      <c r="H1035" s="17"/>
      <c r="I1035" s="10"/>
      <c r="J1035" s="10"/>
      <c r="K1035" s="16" t="str">
        <f t="shared" si="334"/>
        <v/>
      </c>
      <c r="L1035" s="23" t="str">
        <f t="shared" si="335"/>
        <v/>
      </c>
      <c r="M1035" s="22" t="str">
        <f t="shared" si="336"/>
        <v/>
      </c>
      <c r="N1035" s="72"/>
      <c r="O1035" s="16" t="str">
        <f t="shared" si="337"/>
        <v/>
      </c>
      <c r="P1035" s="16" t="str">
        <f t="shared" si="338"/>
        <v/>
      </c>
      <c r="Q1035" s="16" t="str">
        <f t="shared" si="339"/>
        <v/>
      </c>
      <c r="R1035" s="23" t="str">
        <f t="shared" si="340"/>
        <v/>
      </c>
      <c r="S1035" s="23" t="str">
        <f t="shared" si="341"/>
        <v/>
      </c>
      <c r="T1035" s="23" t="str">
        <f t="shared" si="342"/>
        <v/>
      </c>
      <c r="U1035" s="23" t="str">
        <f t="shared" si="343"/>
        <v/>
      </c>
      <c r="V1035" s="23" t="str">
        <f t="shared" si="344"/>
        <v/>
      </c>
      <c r="W1035" s="70" t="str">
        <f t="shared" si="345"/>
        <v/>
      </c>
      <c r="X1035" s="70" t="str">
        <f t="shared" si="346"/>
        <v/>
      </c>
      <c r="Y1035" s="70" t="str">
        <f>IF(AND($A1035&lt;&gt;"",$E1035&gt;0),isLaptopBag($C1035,$J1035)*$D1035,"")</f>
        <v/>
      </c>
      <c r="Z1035" s="70" t="str">
        <f t="shared" si="347"/>
        <v/>
      </c>
      <c r="AA1035" s="70" t="str">
        <f t="shared" si="348"/>
        <v/>
      </c>
      <c r="AB1035" s="70" t="str">
        <f t="shared" si="349"/>
        <v/>
      </c>
      <c r="AC1035" s="70" t="str">
        <f t="shared" si="350"/>
        <v/>
      </c>
      <c r="AD1035" s="70" t="str">
        <f t="shared" si="351"/>
        <v/>
      </c>
      <c r="AE1035" s="70" t="str">
        <f t="shared" si="352"/>
        <v/>
      </c>
      <c r="AF1035" s="16"/>
      <c r="AG1035" s="23"/>
      <c r="AH1035" s="22"/>
      <c r="AJ1035" s="83">
        <f t="shared" si="353"/>
        <v>0</v>
      </c>
      <c r="AO1035" s="22" t="str">
        <f t="shared" si="354"/>
        <v/>
      </c>
      <c r="AP1035" s="22" t="str">
        <f t="shared" si="355"/>
        <v/>
      </c>
    </row>
    <row r="1036" spans="1:42" x14ac:dyDescent="0.25">
      <c r="A1036" s="10"/>
      <c r="B1036" s="10"/>
      <c r="C1036" s="10"/>
      <c r="D1036" s="10"/>
      <c r="E1036" s="10"/>
      <c r="F1036" s="10"/>
      <c r="G1036" s="10"/>
      <c r="H1036" s="17"/>
      <c r="I1036" s="10"/>
      <c r="J1036" s="10"/>
      <c r="K1036" s="16" t="str">
        <f t="shared" si="334"/>
        <v/>
      </c>
      <c r="L1036" s="23" t="str">
        <f t="shared" si="335"/>
        <v/>
      </c>
      <c r="M1036" s="22" t="str">
        <f t="shared" si="336"/>
        <v/>
      </c>
      <c r="N1036" s="72"/>
      <c r="O1036" s="16" t="str">
        <f t="shared" si="337"/>
        <v/>
      </c>
      <c r="P1036" s="16" t="str">
        <f t="shared" si="338"/>
        <v/>
      </c>
      <c r="Q1036" s="16" t="str">
        <f t="shared" si="339"/>
        <v/>
      </c>
      <c r="R1036" s="23" t="str">
        <f t="shared" si="340"/>
        <v/>
      </c>
      <c r="S1036" s="23" t="str">
        <f t="shared" si="341"/>
        <v/>
      </c>
      <c r="T1036" s="23" t="str">
        <f t="shared" si="342"/>
        <v/>
      </c>
      <c r="U1036" s="23" t="str">
        <f t="shared" si="343"/>
        <v/>
      </c>
      <c r="V1036" s="23" t="str">
        <f t="shared" si="344"/>
        <v/>
      </c>
      <c r="W1036" s="70" t="str">
        <f t="shared" si="345"/>
        <v/>
      </c>
      <c r="X1036" s="70" t="str">
        <f t="shared" si="346"/>
        <v/>
      </c>
      <c r="Y1036" s="70" t="str">
        <f>IF(AND($A1036&lt;&gt;"",$E1036&gt;0),isLaptopBag($C1036,$J1036)*$D1036,"")</f>
        <v/>
      </c>
      <c r="Z1036" s="70" t="str">
        <f t="shared" si="347"/>
        <v/>
      </c>
      <c r="AA1036" s="70" t="str">
        <f t="shared" si="348"/>
        <v/>
      </c>
      <c r="AB1036" s="70" t="str">
        <f t="shared" si="349"/>
        <v/>
      </c>
      <c r="AC1036" s="70" t="str">
        <f t="shared" si="350"/>
        <v/>
      </c>
      <c r="AD1036" s="70" t="str">
        <f t="shared" si="351"/>
        <v/>
      </c>
      <c r="AE1036" s="70" t="str">
        <f t="shared" si="352"/>
        <v/>
      </c>
      <c r="AF1036" s="16"/>
      <c r="AG1036" s="23"/>
      <c r="AH1036" s="22"/>
      <c r="AJ1036" s="83">
        <f t="shared" si="353"/>
        <v>0</v>
      </c>
      <c r="AO1036" s="22" t="str">
        <f t="shared" si="354"/>
        <v/>
      </c>
      <c r="AP1036" s="22" t="str">
        <f t="shared" si="355"/>
        <v/>
      </c>
    </row>
    <row r="1037" spans="1:42" x14ac:dyDescent="0.25">
      <c r="A1037" s="10"/>
      <c r="B1037" s="10"/>
      <c r="C1037" s="10"/>
      <c r="D1037" s="10"/>
      <c r="E1037" s="10"/>
      <c r="F1037" s="10"/>
      <c r="G1037" s="10"/>
      <c r="H1037" s="17"/>
      <c r="I1037" s="10"/>
      <c r="J1037" s="10"/>
      <c r="K1037" s="16" t="str">
        <f t="shared" ref="K1037:K1100" si="356">IF($AF1037&lt;&gt;"",$AF1037,IF(AND($A1037&lt;&gt;"",$E1037&gt;0),SUM($O1037:$Q1037),""))</f>
        <v/>
      </c>
      <c r="L1037" s="23" t="str">
        <f t="shared" ref="L1037:L1100" si="357">IF($AG1037&lt;&gt;"",$AG1037,IF(AND($A1037&lt;&gt;"",$E1037&gt;0),SUM($R1037:$V1037),""))</f>
        <v/>
      </c>
      <c r="M1037" s="22" t="str">
        <f t="shared" ref="M1037:M1100" si="358">IF($AH1037&lt;&gt;"",$AH1037,IF(AND($A1037&lt;&gt;"",$E1037&gt;0),SUM($W1037:$AE1037)+$AO1037+$AP1037,""))</f>
        <v/>
      </c>
      <c r="N1037" s="72"/>
      <c r="O1037" s="16" t="str">
        <f t="shared" ref="O1037:O1100" si="359">IF(AND($A1037&lt;&gt;"",$E1037&gt;0),IF(AND($J1037="SONY",200000&lt;=$E1037,$E1037&lt;1000000),5000*$D1037,0),"")</f>
        <v/>
      </c>
      <c r="P1037" s="16" t="str">
        <f t="shared" ref="P1037:P1100" si="360">IF(AND($A1037&lt;&gt;"",$E1037&gt;0),IF(AND($J1037="SONY",1000000&lt;=$E1037,$E1037&lt;2000000),10000*$D1037,0),"")</f>
        <v/>
      </c>
      <c r="Q1037" s="16" t="str">
        <f t="shared" ref="Q1037:Q1100" si="361">IF(AND($A1037&lt;&gt;"",$E1037&gt;0),IF(AND($J1037="SONY",$E1037&gt;=2000000),20000*$D1037,0),"")</f>
        <v/>
      </c>
      <c r="R1037" s="23" t="str">
        <f t="shared" ref="R1037:R1100" si="362">IF(AND($A1037&lt;&gt;"",$E1037&gt;0),IF(AND($J1037&lt;&gt;"SONY",100000&lt;=$E1037,$E1037&lt;200000),5000*$D1037,0),"")</f>
        <v/>
      </c>
      <c r="S1037" s="23" t="str">
        <f t="shared" ref="S1037:S1100" si="363">IF(AND($A1037&lt;&gt;"",$E1037&gt;0),IF(AND($J1037&lt;&gt;"SONY",200000&lt;=$E1037,$E1037&lt;500000),10000*$D1037,0),"")</f>
        <v/>
      </c>
      <c r="T1037" s="23" t="str">
        <f t="shared" ref="T1037:T1100" si="364">IF(AND($A1037&lt;&gt;"",$E1037&gt;0),IF(AND($J1037&lt;&gt;"SONY",500000&lt;=$E1037,$E1037&lt;1000000),20000*$D1037,0),"")</f>
        <v/>
      </c>
      <c r="U1037" s="23" t="str">
        <f t="shared" ref="U1037:U1100" si="365">IF(AND($A1037&lt;&gt;"",$E1037&gt;0),IF(AND($J1037&lt;&gt;"SONY",1000000&lt;=$E1037,$E1037&lt;1500000),50000*$D1037,0),"")</f>
        <v/>
      </c>
      <c r="V1037" s="23" t="str">
        <f t="shared" ref="V1037:V1100" si="366">IF(AND($A1037&lt;&gt;"",$E1037&gt;0),IF(AND($J1037&lt;&gt;"SONY",1500000&lt;=$E1037),100000*$D1037,0),"")</f>
        <v/>
      </c>
      <c r="W1037" s="70" t="str">
        <f t="shared" ref="W1037:W1100" si="367">IF(AND($E1037&gt;0,$J1037="ELECOM",$E1037&gt;=500000,ISNUMBER(SEARCH("tai nghe",$C1037))),20000*$D1037,IF($A1037&lt;&gt;"",0,""))</f>
        <v/>
      </c>
      <c r="X1037" s="70" t="str">
        <f t="shared" ref="X1037:X1100" si="368">IF(AND($E1037&gt;0,$J1037="ELECOM",ISNUMBER(SEARCH("loa",$C1037))),20000*$D1037,IF($A1037&lt;&gt;"",0,""))</f>
        <v/>
      </c>
      <c r="Y1037" s="70" t="str">
        <f>IF(AND($A1037&lt;&gt;"",$E1037&gt;0),isLaptopBag($C1037,$J1037)*$D1037,"")</f>
        <v/>
      </c>
      <c r="Z1037" s="70" t="str">
        <f t="shared" ref="Z1037:Z1100" si="369">IF(AND($E1037&gt;0,$J1037="ELECOM",ISNUMBER(SEARCH("ốp",$C1037))),20000*$D1037,IF($A1037&lt;&gt;"",0,""))</f>
        <v/>
      </c>
      <c r="AA1037" s="70" t="str">
        <f t="shared" ref="AA1037:AA1100" si="370">IF(AND($E1037&gt;0,$J1037="ELECOM",ISNUMBER(SEARCH("Bút",$C1037))),20000*$D1037,IF($A1037&lt;&gt;"",0,""))</f>
        <v/>
      </c>
      <c r="AB1037" s="70" t="str">
        <f t="shared" ref="AB1037:AB1100" si="371">IF(AND($E1037&gt;0,$J1037="ELECOM",ISNUMBER(SEARCH("Chuột bi",$C1037))),20000*$D1037,IF($A1037&lt;&gt;"",0,""))</f>
        <v/>
      </c>
      <c r="AC1037" s="70" t="str">
        <f t="shared" ref="AC1037:AC1100" si="372">IF(AND($E1037&gt;0,$J1037="ELECOM",ISNUMBER(SEARCH("Chuột trackball",$C1037))),20000*$D1037,IF($A1037&lt;&gt;"",0,""))</f>
        <v/>
      </c>
      <c r="AD1037" s="70" t="str">
        <f t="shared" ref="AD1037:AD1100" si="373">IF(AND($E1037&gt;0,$J1037="ELECOM",ISNUMBER(SEARCH("Sạc không dây",$C1037))),20000*$D1037,IF($A1037&lt;&gt;"",0,""))</f>
        <v/>
      </c>
      <c r="AE1037" s="70" t="str">
        <f t="shared" ref="AE1037:AE1100" si="374">IF(AND($E1037&gt;0,$J1037="ELECOM",ISNUMBER(SEARCH("Sạc kd",$C1037))),20000*$D1037,IF($A1037&lt;&gt;"",0,""))</f>
        <v/>
      </c>
      <c r="AF1037" s="16"/>
      <c r="AG1037" s="23"/>
      <c r="AH1037" s="22"/>
      <c r="AJ1037" s="83">
        <f t="shared" ref="AJ1037:AJ1100" si="375">DAY(H1037)</f>
        <v>0</v>
      </c>
      <c r="AO1037" s="22" t="str">
        <f t="shared" ref="AO1037:AO1100" si="376">IF(AND($E1037&gt;0,ISNUMBER(SEARCH("Sạc dự phòng Energizer",$C1037))),10000*$D1037,IF($A1037&lt;&gt;"",0,""))</f>
        <v/>
      </c>
      <c r="AP1037" s="22" t="str">
        <f t="shared" ref="AP1037:AP1100" si="377">IF(AND($E1037&gt;0,ISNUMBER(SEARCH("SDP Energizer",$C1037))),10000*$D1037,IF($A1037&lt;&gt;"",0,""))</f>
        <v/>
      </c>
    </row>
    <row r="1038" spans="1:42" x14ac:dyDescent="0.25">
      <c r="A1038" s="10"/>
      <c r="B1038" s="10"/>
      <c r="C1038" s="10"/>
      <c r="D1038" s="10"/>
      <c r="E1038" s="10"/>
      <c r="F1038" s="10"/>
      <c r="G1038" s="10"/>
      <c r="H1038" s="17"/>
      <c r="I1038" s="10"/>
      <c r="J1038" s="10"/>
      <c r="K1038" s="16" t="str">
        <f t="shared" si="356"/>
        <v/>
      </c>
      <c r="L1038" s="23" t="str">
        <f t="shared" si="357"/>
        <v/>
      </c>
      <c r="M1038" s="22" t="str">
        <f t="shared" si="358"/>
        <v/>
      </c>
      <c r="N1038" s="72"/>
      <c r="O1038" s="16" t="str">
        <f t="shared" si="359"/>
        <v/>
      </c>
      <c r="P1038" s="16" t="str">
        <f t="shared" si="360"/>
        <v/>
      </c>
      <c r="Q1038" s="16" t="str">
        <f t="shared" si="361"/>
        <v/>
      </c>
      <c r="R1038" s="23" t="str">
        <f t="shared" si="362"/>
        <v/>
      </c>
      <c r="S1038" s="23" t="str">
        <f t="shared" si="363"/>
        <v/>
      </c>
      <c r="T1038" s="23" t="str">
        <f t="shared" si="364"/>
        <v/>
      </c>
      <c r="U1038" s="23" t="str">
        <f t="shared" si="365"/>
        <v/>
      </c>
      <c r="V1038" s="23" t="str">
        <f t="shared" si="366"/>
        <v/>
      </c>
      <c r="W1038" s="70" t="str">
        <f t="shared" si="367"/>
        <v/>
      </c>
      <c r="X1038" s="70" t="str">
        <f t="shared" si="368"/>
        <v/>
      </c>
      <c r="Y1038" s="70" t="str">
        <f>IF(AND($A1038&lt;&gt;"",$E1038&gt;0),isLaptopBag($C1038,$J1038)*$D1038,"")</f>
        <v/>
      </c>
      <c r="Z1038" s="70" t="str">
        <f t="shared" si="369"/>
        <v/>
      </c>
      <c r="AA1038" s="70" t="str">
        <f t="shared" si="370"/>
        <v/>
      </c>
      <c r="AB1038" s="70" t="str">
        <f t="shared" si="371"/>
        <v/>
      </c>
      <c r="AC1038" s="70" t="str">
        <f t="shared" si="372"/>
        <v/>
      </c>
      <c r="AD1038" s="70" t="str">
        <f t="shared" si="373"/>
        <v/>
      </c>
      <c r="AE1038" s="70" t="str">
        <f t="shared" si="374"/>
        <v/>
      </c>
      <c r="AF1038" s="16"/>
      <c r="AG1038" s="23"/>
      <c r="AH1038" s="22"/>
      <c r="AJ1038" s="83">
        <f t="shared" si="375"/>
        <v>0</v>
      </c>
      <c r="AO1038" s="22" t="str">
        <f t="shared" si="376"/>
        <v/>
      </c>
      <c r="AP1038" s="22" t="str">
        <f t="shared" si="377"/>
        <v/>
      </c>
    </row>
    <row r="1039" spans="1:42" x14ac:dyDescent="0.25">
      <c r="A1039" s="10"/>
      <c r="B1039" s="10"/>
      <c r="C1039" s="10"/>
      <c r="D1039" s="10"/>
      <c r="E1039" s="10"/>
      <c r="F1039" s="10"/>
      <c r="G1039" s="10"/>
      <c r="H1039" s="17"/>
      <c r="I1039" s="10"/>
      <c r="J1039" s="10"/>
      <c r="K1039" s="16" t="str">
        <f t="shared" si="356"/>
        <v/>
      </c>
      <c r="L1039" s="23" t="str">
        <f t="shared" si="357"/>
        <v/>
      </c>
      <c r="M1039" s="22" t="str">
        <f t="shared" si="358"/>
        <v/>
      </c>
      <c r="N1039" s="72"/>
      <c r="O1039" s="16" t="str">
        <f t="shared" si="359"/>
        <v/>
      </c>
      <c r="P1039" s="16" t="str">
        <f t="shared" si="360"/>
        <v/>
      </c>
      <c r="Q1039" s="16" t="str">
        <f t="shared" si="361"/>
        <v/>
      </c>
      <c r="R1039" s="23" t="str">
        <f t="shared" si="362"/>
        <v/>
      </c>
      <c r="S1039" s="23" t="str">
        <f t="shared" si="363"/>
        <v/>
      </c>
      <c r="T1039" s="23" t="str">
        <f t="shared" si="364"/>
        <v/>
      </c>
      <c r="U1039" s="23" t="str">
        <f t="shared" si="365"/>
        <v/>
      </c>
      <c r="V1039" s="23" t="str">
        <f t="shared" si="366"/>
        <v/>
      </c>
      <c r="W1039" s="70" t="str">
        <f t="shared" si="367"/>
        <v/>
      </c>
      <c r="X1039" s="70" t="str">
        <f t="shared" si="368"/>
        <v/>
      </c>
      <c r="Y1039" s="70" t="str">
        <f>IF(AND($A1039&lt;&gt;"",$E1039&gt;0),isLaptopBag($C1039,$J1039)*$D1039,"")</f>
        <v/>
      </c>
      <c r="Z1039" s="70" t="str">
        <f t="shared" si="369"/>
        <v/>
      </c>
      <c r="AA1039" s="70" t="str">
        <f t="shared" si="370"/>
        <v/>
      </c>
      <c r="AB1039" s="70" t="str">
        <f t="shared" si="371"/>
        <v/>
      </c>
      <c r="AC1039" s="70" t="str">
        <f t="shared" si="372"/>
        <v/>
      </c>
      <c r="AD1039" s="70" t="str">
        <f t="shared" si="373"/>
        <v/>
      </c>
      <c r="AE1039" s="70" t="str">
        <f t="shared" si="374"/>
        <v/>
      </c>
      <c r="AF1039" s="16"/>
      <c r="AG1039" s="23"/>
      <c r="AH1039" s="22"/>
      <c r="AJ1039" s="83">
        <f t="shared" si="375"/>
        <v>0</v>
      </c>
      <c r="AO1039" s="22" t="str">
        <f t="shared" si="376"/>
        <v/>
      </c>
      <c r="AP1039" s="22" t="str">
        <f t="shared" si="377"/>
        <v/>
      </c>
    </row>
    <row r="1040" spans="1:42" x14ac:dyDescent="0.25">
      <c r="A1040" s="10"/>
      <c r="B1040" s="10"/>
      <c r="C1040" s="10"/>
      <c r="D1040" s="10"/>
      <c r="E1040" s="10"/>
      <c r="F1040" s="10"/>
      <c r="G1040" s="10"/>
      <c r="H1040" s="17"/>
      <c r="I1040" s="10"/>
      <c r="J1040" s="10"/>
      <c r="K1040" s="16" t="str">
        <f t="shared" si="356"/>
        <v/>
      </c>
      <c r="L1040" s="23" t="str">
        <f t="shared" si="357"/>
        <v/>
      </c>
      <c r="M1040" s="22" t="str">
        <f t="shared" si="358"/>
        <v/>
      </c>
      <c r="N1040" s="72"/>
      <c r="O1040" s="16" t="str">
        <f t="shared" si="359"/>
        <v/>
      </c>
      <c r="P1040" s="16" t="str">
        <f t="shared" si="360"/>
        <v/>
      </c>
      <c r="Q1040" s="16" t="str">
        <f t="shared" si="361"/>
        <v/>
      </c>
      <c r="R1040" s="23" t="str">
        <f t="shared" si="362"/>
        <v/>
      </c>
      <c r="S1040" s="23" t="str">
        <f t="shared" si="363"/>
        <v/>
      </c>
      <c r="T1040" s="23" t="str">
        <f t="shared" si="364"/>
        <v/>
      </c>
      <c r="U1040" s="23" t="str">
        <f t="shared" si="365"/>
        <v/>
      </c>
      <c r="V1040" s="23" t="str">
        <f t="shared" si="366"/>
        <v/>
      </c>
      <c r="W1040" s="70" t="str">
        <f t="shared" si="367"/>
        <v/>
      </c>
      <c r="X1040" s="70" t="str">
        <f t="shared" si="368"/>
        <v/>
      </c>
      <c r="Y1040" s="70" t="str">
        <f>IF(AND($A1040&lt;&gt;"",$E1040&gt;0),isLaptopBag($C1040,$J1040)*$D1040,"")</f>
        <v/>
      </c>
      <c r="Z1040" s="70" t="str">
        <f t="shared" si="369"/>
        <v/>
      </c>
      <c r="AA1040" s="70" t="str">
        <f t="shared" si="370"/>
        <v/>
      </c>
      <c r="AB1040" s="70" t="str">
        <f t="shared" si="371"/>
        <v/>
      </c>
      <c r="AC1040" s="70" t="str">
        <f t="shared" si="372"/>
        <v/>
      </c>
      <c r="AD1040" s="70" t="str">
        <f t="shared" si="373"/>
        <v/>
      </c>
      <c r="AE1040" s="70" t="str">
        <f t="shared" si="374"/>
        <v/>
      </c>
      <c r="AF1040" s="16"/>
      <c r="AG1040" s="23"/>
      <c r="AH1040" s="22"/>
      <c r="AJ1040" s="83">
        <f t="shared" si="375"/>
        <v>0</v>
      </c>
      <c r="AO1040" s="22" t="str">
        <f t="shared" si="376"/>
        <v/>
      </c>
      <c r="AP1040" s="22" t="str">
        <f t="shared" si="377"/>
        <v/>
      </c>
    </row>
    <row r="1041" spans="1:42" x14ac:dyDescent="0.25">
      <c r="A1041" s="10"/>
      <c r="B1041" s="10"/>
      <c r="C1041" s="10"/>
      <c r="D1041" s="10"/>
      <c r="E1041" s="10"/>
      <c r="F1041" s="10"/>
      <c r="G1041" s="10"/>
      <c r="H1041" s="17"/>
      <c r="I1041" s="10"/>
      <c r="J1041" s="10"/>
      <c r="K1041" s="16" t="str">
        <f t="shared" si="356"/>
        <v/>
      </c>
      <c r="L1041" s="23" t="str">
        <f t="shared" si="357"/>
        <v/>
      </c>
      <c r="M1041" s="22" t="str">
        <f t="shared" si="358"/>
        <v/>
      </c>
      <c r="N1041" s="72"/>
      <c r="O1041" s="16" t="str">
        <f t="shared" si="359"/>
        <v/>
      </c>
      <c r="P1041" s="16" t="str">
        <f t="shared" si="360"/>
        <v/>
      </c>
      <c r="Q1041" s="16" t="str">
        <f t="shared" si="361"/>
        <v/>
      </c>
      <c r="R1041" s="23" t="str">
        <f t="shared" si="362"/>
        <v/>
      </c>
      <c r="S1041" s="23" t="str">
        <f t="shared" si="363"/>
        <v/>
      </c>
      <c r="T1041" s="23" t="str">
        <f t="shared" si="364"/>
        <v/>
      </c>
      <c r="U1041" s="23" t="str">
        <f t="shared" si="365"/>
        <v/>
      </c>
      <c r="V1041" s="23" t="str">
        <f t="shared" si="366"/>
        <v/>
      </c>
      <c r="W1041" s="70" t="str">
        <f t="shared" si="367"/>
        <v/>
      </c>
      <c r="X1041" s="70" t="str">
        <f t="shared" si="368"/>
        <v/>
      </c>
      <c r="Y1041" s="70" t="str">
        <f>IF(AND($A1041&lt;&gt;"",$E1041&gt;0),isLaptopBag($C1041,$J1041)*$D1041,"")</f>
        <v/>
      </c>
      <c r="Z1041" s="70" t="str">
        <f t="shared" si="369"/>
        <v/>
      </c>
      <c r="AA1041" s="70" t="str">
        <f t="shared" si="370"/>
        <v/>
      </c>
      <c r="AB1041" s="70" t="str">
        <f t="shared" si="371"/>
        <v/>
      </c>
      <c r="AC1041" s="70" t="str">
        <f t="shared" si="372"/>
        <v/>
      </c>
      <c r="AD1041" s="70" t="str">
        <f t="shared" si="373"/>
        <v/>
      </c>
      <c r="AE1041" s="70" t="str">
        <f t="shared" si="374"/>
        <v/>
      </c>
      <c r="AF1041" s="16"/>
      <c r="AG1041" s="23"/>
      <c r="AH1041" s="22"/>
      <c r="AJ1041" s="83">
        <f t="shared" si="375"/>
        <v>0</v>
      </c>
      <c r="AO1041" s="22" t="str">
        <f t="shared" si="376"/>
        <v/>
      </c>
      <c r="AP1041" s="22" t="str">
        <f t="shared" si="377"/>
        <v/>
      </c>
    </row>
    <row r="1042" spans="1:42" x14ac:dyDescent="0.25">
      <c r="A1042" s="10"/>
      <c r="B1042" s="10"/>
      <c r="C1042" s="10"/>
      <c r="D1042" s="10"/>
      <c r="E1042" s="10"/>
      <c r="F1042" s="10"/>
      <c r="G1042" s="10"/>
      <c r="H1042" s="17"/>
      <c r="I1042" s="10"/>
      <c r="J1042" s="10"/>
      <c r="K1042" s="16" t="str">
        <f t="shared" si="356"/>
        <v/>
      </c>
      <c r="L1042" s="23" t="str">
        <f t="shared" si="357"/>
        <v/>
      </c>
      <c r="M1042" s="22" t="str">
        <f t="shared" si="358"/>
        <v/>
      </c>
      <c r="N1042" s="72"/>
      <c r="O1042" s="16" t="str">
        <f t="shared" si="359"/>
        <v/>
      </c>
      <c r="P1042" s="16" t="str">
        <f t="shared" si="360"/>
        <v/>
      </c>
      <c r="Q1042" s="16" t="str">
        <f t="shared" si="361"/>
        <v/>
      </c>
      <c r="R1042" s="23" t="str">
        <f t="shared" si="362"/>
        <v/>
      </c>
      <c r="S1042" s="23" t="str">
        <f t="shared" si="363"/>
        <v/>
      </c>
      <c r="T1042" s="23" t="str">
        <f t="shared" si="364"/>
        <v/>
      </c>
      <c r="U1042" s="23" t="str">
        <f t="shared" si="365"/>
        <v/>
      </c>
      <c r="V1042" s="23" t="str">
        <f t="shared" si="366"/>
        <v/>
      </c>
      <c r="W1042" s="70" t="str">
        <f t="shared" si="367"/>
        <v/>
      </c>
      <c r="X1042" s="70" t="str">
        <f t="shared" si="368"/>
        <v/>
      </c>
      <c r="Y1042" s="70" t="str">
        <f>IF(AND($A1042&lt;&gt;"",$E1042&gt;0),isLaptopBag($C1042,$J1042)*$D1042,"")</f>
        <v/>
      </c>
      <c r="Z1042" s="70" t="str">
        <f t="shared" si="369"/>
        <v/>
      </c>
      <c r="AA1042" s="70" t="str">
        <f t="shared" si="370"/>
        <v/>
      </c>
      <c r="AB1042" s="70" t="str">
        <f t="shared" si="371"/>
        <v/>
      </c>
      <c r="AC1042" s="70" t="str">
        <f t="shared" si="372"/>
        <v/>
      </c>
      <c r="AD1042" s="70" t="str">
        <f t="shared" si="373"/>
        <v/>
      </c>
      <c r="AE1042" s="70" t="str">
        <f t="shared" si="374"/>
        <v/>
      </c>
      <c r="AF1042" s="16"/>
      <c r="AG1042" s="23"/>
      <c r="AH1042" s="22"/>
      <c r="AJ1042" s="83">
        <f t="shared" si="375"/>
        <v>0</v>
      </c>
      <c r="AO1042" s="22" t="str">
        <f t="shared" si="376"/>
        <v/>
      </c>
      <c r="AP1042" s="22" t="str">
        <f t="shared" si="377"/>
        <v/>
      </c>
    </row>
    <row r="1043" spans="1:42" x14ac:dyDescent="0.25">
      <c r="A1043" s="10"/>
      <c r="B1043" s="10"/>
      <c r="C1043" s="10"/>
      <c r="D1043" s="10"/>
      <c r="E1043" s="10"/>
      <c r="F1043" s="10"/>
      <c r="G1043" s="10"/>
      <c r="H1043" s="17"/>
      <c r="I1043" s="10"/>
      <c r="J1043" s="10"/>
      <c r="K1043" s="16" t="str">
        <f t="shared" si="356"/>
        <v/>
      </c>
      <c r="L1043" s="23" t="str">
        <f t="shared" si="357"/>
        <v/>
      </c>
      <c r="M1043" s="22" t="str">
        <f t="shared" si="358"/>
        <v/>
      </c>
      <c r="N1043" s="72"/>
      <c r="O1043" s="16" t="str">
        <f t="shared" si="359"/>
        <v/>
      </c>
      <c r="P1043" s="16" t="str">
        <f t="shared" si="360"/>
        <v/>
      </c>
      <c r="Q1043" s="16" t="str">
        <f t="shared" si="361"/>
        <v/>
      </c>
      <c r="R1043" s="23" t="str">
        <f t="shared" si="362"/>
        <v/>
      </c>
      <c r="S1043" s="23" t="str">
        <f t="shared" si="363"/>
        <v/>
      </c>
      <c r="T1043" s="23" t="str">
        <f t="shared" si="364"/>
        <v/>
      </c>
      <c r="U1043" s="23" t="str">
        <f t="shared" si="365"/>
        <v/>
      </c>
      <c r="V1043" s="23" t="str">
        <f t="shared" si="366"/>
        <v/>
      </c>
      <c r="W1043" s="70" t="str">
        <f t="shared" si="367"/>
        <v/>
      </c>
      <c r="X1043" s="70" t="str">
        <f t="shared" si="368"/>
        <v/>
      </c>
      <c r="Y1043" s="70" t="str">
        <f>IF(AND($A1043&lt;&gt;"",$E1043&gt;0),isLaptopBag($C1043,$J1043)*$D1043,"")</f>
        <v/>
      </c>
      <c r="Z1043" s="70" t="str">
        <f t="shared" si="369"/>
        <v/>
      </c>
      <c r="AA1043" s="70" t="str">
        <f t="shared" si="370"/>
        <v/>
      </c>
      <c r="AB1043" s="70" t="str">
        <f t="shared" si="371"/>
        <v/>
      </c>
      <c r="AC1043" s="70" t="str">
        <f t="shared" si="372"/>
        <v/>
      </c>
      <c r="AD1043" s="70" t="str">
        <f t="shared" si="373"/>
        <v/>
      </c>
      <c r="AE1043" s="70" t="str">
        <f t="shared" si="374"/>
        <v/>
      </c>
      <c r="AF1043" s="16"/>
      <c r="AG1043" s="23"/>
      <c r="AH1043" s="22"/>
      <c r="AJ1043" s="83">
        <f t="shared" si="375"/>
        <v>0</v>
      </c>
      <c r="AO1043" s="22" t="str">
        <f t="shared" si="376"/>
        <v/>
      </c>
      <c r="AP1043" s="22" t="str">
        <f t="shared" si="377"/>
        <v/>
      </c>
    </row>
    <row r="1044" spans="1:42" x14ac:dyDescent="0.25">
      <c r="A1044" s="10"/>
      <c r="B1044" s="10"/>
      <c r="C1044" s="10"/>
      <c r="D1044" s="10"/>
      <c r="E1044" s="10"/>
      <c r="F1044" s="10"/>
      <c r="G1044" s="10"/>
      <c r="H1044" s="17"/>
      <c r="I1044" s="10"/>
      <c r="J1044" s="10"/>
      <c r="K1044" s="16" t="str">
        <f t="shared" si="356"/>
        <v/>
      </c>
      <c r="L1044" s="23" t="str">
        <f t="shared" si="357"/>
        <v/>
      </c>
      <c r="M1044" s="22" t="str">
        <f t="shared" si="358"/>
        <v/>
      </c>
      <c r="N1044" s="72"/>
      <c r="O1044" s="16" t="str">
        <f t="shared" si="359"/>
        <v/>
      </c>
      <c r="P1044" s="16" t="str">
        <f t="shared" si="360"/>
        <v/>
      </c>
      <c r="Q1044" s="16" t="str">
        <f t="shared" si="361"/>
        <v/>
      </c>
      <c r="R1044" s="23" t="str">
        <f t="shared" si="362"/>
        <v/>
      </c>
      <c r="S1044" s="23" t="str">
        <f t="shared" si="363"/>
        <v/>
      </c>
      <c r="T1044" s="23" t="str">
        <f t="shared" si="364"/>
        <v/>
      </c>
      <c r="U1044" s="23" t="str">
        <f t="shared" si="365"/>
        <v/>
      </c>
      <c r="V1044" s="23" t="str">
        <f t="shared" si="366"/>
        <v/>
      </c>
      <c r="W1044" s="70" t="str">
        <f t="shared" si="367"/>
        <v/>
      </c>
      <c r="X1044" s="70" t="str">
        <f t="shared" si="368"/>
        <v/>
      </c>
      <c r="Y1044" s="70" t="str">
        <f>IF(AND($A1044&lt;&gt;"",$E1044&gt;0),isLaptopBag($C1044,$J1044)*$D1044,"")</f>
        <v/>
      </c>
      <c r="Z1044" s="70" t="str">
        <f t="shared" si="369"/>
        <v/>
      </c>
      <c r="AA1044" s="70" t="str">
        <f t="shared" si="370"/>
        <v/>
      </c>
      <c r="AB1044" s="70" t="str">
        <f t="shared" si="371"/>
        <v/>
      </c>
      <c r="AC1044" s="70" t="str">
        <f t="shared" si="372"/>
        <v/>
      </c>
      <c r="AD1044" s="70" t="str">
        <f t="shared" si="373"/>
        <v/>
      </c>
      <c r="AE1044" s="70" t="str">
        <f t="shared" si="374"/>
        <v/>
      </c>
      <c r="AF1044" s="16"/>
      <c r="AG1044" s="23"/>
      <c r="AH1044" s="22"/>
      <c r="AJ1044" s="83">
        <f t="shared" si="375"/>
        <v>0</v>
      </c>
      <c r="AO1044" s="22" t="str">
        <f t="shared" si="376"/>
        <v/>
      </c>
      <c r="AP1044" s="22" t="str">
        <f t="shared" si="377"/>
        <v/>
      </c>
    </row>
    <row r="1045" spans="1:42" x14ac:dyDescent="0.25">
      <c r="A1045" s="10"/>
      <c r="B1045" s="10"/>
      <c r="C1045" s="10"/>
      <c r="D1045" s="10"/>
      <c r="E1045" s="10"/>
      <c r="F1045" s="10"/>
      <c r="G1045" s="10"/>
      <c r="H1045" s="17"/>
      <c r="I1045" s="10"/>
      <c r="J1045" s="10"/>
      <c r="K1045" s="16" t="str">
        <f t="shared" si="356"/>
        <v/>
      </c>
      <c r="L1045" s="23" t="str">
        <f t="shared" si="357"/>
        <v/>
      </c>
      <c r="M1045" s="22" t="str">
        <f t="shared" si="358"/>
        <v/>
      </c>
      <c r="N1045" s="72"/>
      <c r="O1045" s="16" t="str">
        <f t="shared" si="359"/>
        <v/>
      </c>
      <c r="P1045" s="16" t="str">
        <f t="shared" si="360"/>
        <v/>
      </c>
      <c r="Q1045" s="16" t="str">
        <f t="shared" si="361"/>
        <v/>
      </c>
      <c r="R1045" s="23" t="str">
        <f t="shared" si="362"/>
        <v/>
      </c>
      <c r="S1045" s="23" t="str">
        <f t="shared" si="363"/>
        <v/>
      </c>
      <c r="T1045" s="23" t="str">
        <f t="shared" si="364"/>
        <v/>
      </c>
      <c r="U1045" s="23" t="str">
        <f t="shared" si="365"/>
        <v/>
      </c>
      <c r="V1045" s="23" t="str">
        <f t="shared" si="366"/>
        <v/>
      </c>
      <c r="W1045" s="70" t="str">
        <f t="shared" si="367"/>
        <v/>
      </c>
      <c r="X1045" s="70" t="str">
        <f t="shared" si="368"/>
        <v/>
      </c>
      <c r="Y1045" s="70" t="str">
        <f>IF(AND($A1045&lt;&gt;"",$E1045&gt;0),isLaptopBag($C1045,$J1045)*$D1045,"")</f>
        <v/>
      </c>
      <c r="Z1045" s="70" t="str">
        <f t="shared" si="369"/>
        <v/>
      </c>
      <c r="AA1045" s="70" t="str">
        <f t="shared" si="370"/>
        <v/>
      </c>
      <c r="AB1045" s="70" t="str">
        <f t="shared" si="371"/>
        <v/>
      </c>
      <c r="AC1045" s="70" t="str">
        <f t="shared" si="372"/>
        <v/>
      </c>
      <c r="AD1045" s="70" t="str">
        <f t="shared" si="373"/>
        <v/>
      </c>
      <c r="AE1045" s="70" t="str">
        <f t="shared" si="374"/>
        <v/>
      </c>
      <c r="AF1045" s="16"/>
      <c r="AG1045" s="23"/>
      <c r="AH1045" s="22"/>
      <c r="AJ1045" s="83">
        <f t="shared" si="375"/>
        <v>0</v>
      </c>
      <c r="AO1045" s="22" t="str">
        <f t="shared" si="376"/>
        <v/>
      </c>
      <c r="AP1045" s="22" t="str">
        <f t="shared" si="377"/>
        <v/>
      </c>
    </row>
    <row r="1046" spans="1:42" x14ac:dyDescent="0.25">
      <c r="A1046" s="10"/>
      <c r="B1046" s="10"/>
      <c r="C1046" s="10"/>
      <c r="D1046" s="10"/>
      <c r="E1046" s="10"/>
      <c r="F1046" s="10"/>
      <c r="G1046" s="10"/>
      <c r="H1046" s="17"/>
      <c r="I1046" s="10"/>
      <c r="J1046" s="10"/>
      <c r="K1046" s="16" t="str">
        <f t="shared" si="356"/>
        <v/>
      </c>
      <c r="L1046" s="23" t="str">
        <f t="shared" si="357"/>
        <v/>
      </c>
      <c r="M1046" s="22" t="str">
        <f t="shared" si="358"/>
        <v/>
      </c>
      <c r="N1046" s="72"/>
      <c r="O1046" s="16" t="str">
        <f t="shared" si="359"/>
        <v/>
      </c>
      <c r="P1046" s="16" t="str">
        <f t="shared" si="360"/>
        <v/>
      </c>
      <c r="Q1046" s="16" t="str">
        <f t="shared" si="361"/>
        <v/>
      </c>
      <c r="R1046" s="23" t="str">
        <f t="shared" si="362"/>
        <v/>
      </c>
      <c r="S1046" s="23" t="str">
        <f t="shared" si="363"/>
        <v/>
      </c>
      <c r="T1046" s="23" t="str">
        <f t="shared" si="364"/>
        <v/>
      </c>
      <c r="U1046" s="23" t="str">
        <f t="shared" si="365"/>
        <v/>
      </c>
      <c r="V1046" s="23" t="str">
        <f t="shared" si="366"/>
        <v/>
      </c>
      <c r="W1046" s="70" t="str">
        <f t="shared" si="367"/>
        <v/>
      </c>
      <c r="X1046" s="70" t="str">
        <f t="shared" si="368"/>
        <v/>
      </c>
      <c r="Y1046" s="70" t="str">
        <f>IF(AND($A1046&lt;&gt;"",$E1046&gt;0),isLaptopBag($C1046,$J1046)*$D1046,"")</f>
        <v/>
      </c>
      <c r="Z1046" s="70" t="str">
        <f t="shared" si="369"/>
        <v/>
      </c>
      <c r="AA1046" s="70" t="str">
        <f t="shared" si="370"/>
        <v/>
      </c>
      <c r="AB1046" s="70" t="str">
        <f t="shared" si="371"/>
        <v/>
      </c>
      <c r="AC1046" s="70" t="str">
        <f t="shared" si="372"/>
        <v/>
      </c>
      <c r="AD1046" s="70" t="str">
        <f t="shared" si="373"/>
        <v/>
      </c>
      <c r="AE1046" s="70" t="str">
        <f t="shared" si="374"/>
        <v/>
      </c>
      <c r="AF1046" s="16"/>
      <c r="AG1046" s="23"/>
      <c r="AH1046" s="22"/>
      <c r="AJ1046" s="83">
        <f t="shared" si="375"/>
        <v>0</v>
      </c>
      <c r="AO1046" s="22" t="str">
        <f t="shared" si="376"/>
        <v/>
      </c>
      <c r="AP1046" s="22" t="str">
        <f t="shared" si="377"/>
        <v/>
      </c>
    </row>
    <row r="1047" spans="1:42" x14ac:dyDescent="0.25">
      <c r="A1047" s="10"/>
      <c r="B1047" s="10"/>
      <c r="C1047" s="10"/>
      <c r="D1047" s="10"/>
      <c r="E1047" s="10"/>
      <c r="F1047" s="10"/>
      <c r="G1047" s="10"/>
      <c r="H1047" s="17"/>
      <c r="I1047" s="10"/>
      <c r="J1047" s="10"/>
      <c r="K1047" s="16" t="str">
        <f t="shared" si="356"/>
        <v/>
      </c>
      <c r="L1047" s="23" t="str">
        <f t="shared" si="357"/>
        <v/>
      </c>
      <c r="M1047" s="22" t="str">
        <f t="shared" si="358"/>
        <v/>
      </c>
      <c r="N1047" s="72"/>
      <c r="O1047" s="16" t="str">
        <f t="shared" si="359"/>
        <v/>
      </c>
      <c r="P1047" s="16" t="str">
        <f t="shared" si="360"/>
        <v/>
      </c>
      <c r="Q1047" s="16" t="str">
        <f t="shared" si="361"/>
        <v/>
      </c>
      <c r="R1047" s="23" t="str">
        <f t="shared" si="362"/>
        <v/>
      </c>
      <c r="S1047" s="23" t="str">
        <f t="shared" si="363"/>
        <v/>
      </c>
      <c r="T1047" s="23" t="str">
        <f t="shared" si="364"/>
        <v/>
      </c>
      <c r="U1047" s="23" t="str">
        <f t="shared" si="365"/>
        <v/>
      </c>
      <c r="V1047" s="23" t="str">
        <f t="shared" si="366"/>
        <v/>
      </c>
      <c r="W1047" s="70" t="str">
        <f t="shared" si="367"/>
        <v/>
      </c>
      <c r="X1047" s="70" t="str">
        <f t="shared" si="368"/>
        <v/>
      </c>
      <c r="Y1047" s="70" t="str">
        <f>IF(AND($A1047&lt;&gt;"",$E1047&gt;0),isLaptopBag($C1047,$J1047)*$D1047,"")</f>
        <v/>
      </c>
      <c r="Z1047" s="70" t="str">
        <f t="shared" si="369"/>
        <v/>
      </c>
      <c r="AA1047" s="70" t="str">
        <f t="shared" si="370"/>
        <v/>
      </c>
      <c r="AB1047" s="70" t="str">
        <f t="shared" si="371"/>
        <v/>
      </c>
      <c r="AC1047" s="70" t="str">
        <f t="shared" si="372"/>
        <v/>
      </c>
      <c r="AD1047" s="70" t="str">
        <f t="shared" si="373"/>
        <v/>
      </c>
      <c r="AE1047" s="70" t="str">
        <f t="shared" si="374"/>
        <v/>
      </c>
      <c r="AF1047" s="16"/>
      <c r="AG1047" s="23"/>
      <c r="AH1047" s="22"/>
      <c r="AJ1047" s="83">
        <f t="shared" si="375"/>
        <v>0</v>
      </c>
      <c r="AO1047" s="22" t="str">
        <f t="shared" si="376"/>
        <v/>
      </c>
      <c r="AP1047" s="22" t="str">
        <f t="shared" si="377"/>
        <v/>
      </c>
    </row>
    <row r="1048" spans="1:42" x14ac:dyDescent="0.25">
      <c r="A1048" s="10"/>
      <c r="B1048" s="10"/>
      <c r="C1048" s="10"/>
      <c r="D1048" s="10"/>
      <c r="E1048" s="10"/>
      <c r="F1048" s="10"/>
      <c r="G1048" s="10"/>
      <c r="H1048" s="17"/>
      <c r="I1048" s="10"/>
      <c r="J1048" s="10"/>
      <c r="K1048" s="16" t="str">
        <f t="shared" si="356"/>
        <v/>
      </c>
      <c r="L1048" s="23" t="str">
        <f t="shared" si="357"/>
        <v/>
      </c>
      <c r="M1048" s="22" t="str">
        <f t="shared" si="358"/>
        <v/>
      </c>
      <c r="N1048" s="72"/>
      <c r="O1048" s="16" t="str">
        <f t="shared" si="359"/>
        <v/>
      </c>
      <c r="P1048" s="16" t="str">
        <f t="shared" si="360"/>
        <v/>
      </c>
      <c r="Q1048" s="16" t="str">
        <f t="shared" si="361"/>
        <v/>
      </c>
      <c r="R1048" s="23" t="str">
        <f t="shared" si="362"/>
        <v/>
      </c>
      <c r="S1048" s="23" t="str">
        <f t="shared" si="363"/>
        <v/>
      </c>
      <c r="T1048" s="23" t="str">
        <f t="shared" si="364"/>
        <v/>
      </c>
      <c r="U1048" s="23" t="str">
        <f t="shared" si="365"/>
        <v/>
      </c>
      <c r="V1048" s="23" t="str">
        <f t="shared" si="366"/>
        <v/>
      </c>
      <c r="W1048" s="70" t="str">
        <f t="shared" si="367"/>
        <v/>
      </c>
      <c r="X1048" s="70" t="str">
        <f t="shared" si="368"/>
        <v/>
      </c>
      <c r="Y1048" s="70" t="str">
        <f>IF(AND($A1048&lt;&gt;"",$E1048&gt;0),isLaptopBag($C1048,$J1048)*$D1048,"")</f>
        <v/>
      </c>
      <c r="Z1048" s="70" t="str">
        <f t="shared" si="369"/>
        <v/>
      </c>
      <c r="AA1048" s="70" t="str">
        <f t="shared" si="370"/>
        <v/>
      </c>
      <c r="AB1048" s="70" t="str">
        <f t="shared" si="371"/>
        <v/>
      </c>
      <c r="AC1048" s="70" t="str">
        <f t="shared" si="372"/>
        <v/>
      </c>
      <c r="AD1048" s="70" t="str">
        <f t="shared" si="373"/>
        <v/>
      </c>
      <c r="AE1048" s="70" t="str">
        <f t="shared" si="374"/>
        <v/>
      </c>
      <c r="AF1048" s="16"/>
      <c r="AG1048" s="23"/>
      <c r="AH1048" s="22"/>
      <c r="AJ1048" s="83">
        <f t="shared" si="375"/>
        <v>0</v>
      </c>
      <c r="AO1048" s="22" t="str">
        <f t="shared" si="376"/>
        <v/>
      </c>
      <c r="AP1048" s="22" t="str">
        <f t="shared" si="377"/>
        <v/>
      </c>
    </row>
    <row r="1049" spans="1:42" x14ac:dyDescent="0.25">
      <c r="A1049" s="10"/>
      <c r="B1049" s="10"/>
      <c r="C1049" s="10"/>
      <c r="D1049" s="10"/>
      <c r="E1049" s="10"/>
      <c r="F1049" s="10"/>
      <c r="G1049" s="10"/>
      <c r="H1049" s="17"/>
      <c r="I1049" s="10"/>
      <c r="J1049" s="10"/>
      <c r="K1049" s="16" t="str">
        <f t="shared" si="356"/>
        <v/>
      </c>
      <c r="L1049" s="23" t="str">
        <f t="shared" si="357"/>
        <v/>
      </c>
      <c r="M1049" s="22" t="str">
        <f t="shared" si="358"/>
        <v/>
      </c>
      <c r="N1049" s="72"/>
      <c r="O1049" s="16" t="str">
        <f t="shared" si="359"/>
        <v/>
      </c>
      <c r="P1049" s="16" t="str">
        <f t="shared" si="360"/>
        <v/>
      </c>
      <c r="Q1049" s="16" t="str">
        <f t="shared" si="361"/>
        <v/>
      </c>
      <c r="R1049" s="23" t="str">
        <f t="shared" si="362"/>
        <v/>
      </c>
      <c r="S1049" s="23" t="str">
        <f t="shared" si="363"/>
        <v/>
      </c>
      <c r="T1049" s="23" t="str">
        <f t="shared" si="364"/>
        <v/>
      </c>
      <c r="U1049" s="23" t="str">
        <f t="shared" si="365"/>
        <v/>
      </c>
      <c r="V1049" s="23" t="str">
        <f t="shared" si="366"/>
        <v/>
      </c>
      <c r="W1049" s="70" t="str">
        <f t="shared" si="367"/>
        <v/>
      </c>
      <c r="X1049" s="70" t="str">
        <f t="shared" si="368"/>
        <v/>
      </c>
      <c r="Y1049" s="70" t="str">
        <f>IF(AND($A1049&lt;&gt;"",$E1049&gt;0),isLaptopBag($C1049,$J1049)*$D1049,"")</f>
        <v/>
      </c>
      <c r="Z1049" s="70" t="str">
        <f t="shared" si="369"/>
        <v/>
      </c>
      <c r="AA1049" s="70" t="str">
        <f t="shared" si="370"/>
        <v/>
      </c>
      <c r="AB1049" s="70" t="str">
        <f t="shared" si="371"/>
        <v/>
      </c>
      <c r="AC1049" s="70" t="str">
        <f t="shared" si="372"/>
        <v/>
      </c>
      <c r="AD1049" s="70" t="str">
        <f t="shared" si="373"/>
        <v/>
      </c>
      <c r="AE1049" s="70" t="str">
        <f t="shared" si="374"/>
        <v/>
      </c>
      <c r="AF1049" s="16"/>
      <c r="AG1049" s="23"/>
      <c r="AH1049" s="22"/>
      <c r="AJ1049" s="83">
        <f t="shared" si="375"/>
        <v>0</v>
      </c>
      <c r="AO1049" s="22" t="str">
        <f t="shared" si="376"/>
        <v/>
      </c>
      <c r="AP1049" s="22" t="str">
        <f t="shared" si="377"/>
        <v/>
      </c>
    </row>
    <row r="1050" spans="1:42" x14ac:dyDescent="0.25">
      <c r="A1050" s="10"/>
      <c r="B1050" s="10"/>
      <c r="C1050" s="10"/>
      <c r="D1050" s="10"/>
      <c r="E1050" s="10"/>
      <c r="F1050" s="10"/>
      <c r="G1050" s="10"/>
      <c r="H1050" s="17"/>
      <c r="I1050" s="10"/>
      <c r="J1050" s="10"/>
      <c r="K1050" s="16" t="str">
        <f t="shared" si="356"/>
        <v/>
      </c>
      <c r="L1050" s="23" t="str">
        <f t="shared" si="357"/>
        <v/>
      </c>
      <c r="M1050" s="22" t="str">
        <f t="shared" si="358"/>
        <v/>
      </c>
      <c r="N1050" s="72"/>
      <c r="O1050" s="16" t="str">
        <f t="shared" si="359"/>
        <v/>
      </c>
      <c r="P1050" s="16" t="str">
        <f t="shared" si="360"/>
        <v/>
      </c>
      <c r="Q1050" s="16" t="str">
        <f t="shared" si="361"/>
        <v/>
      </c>
      <c r="R1050" s="23" t="str">
        <f t="shared" si="362"/>
        <v/>
      </c>
      <c r="S1050" s="23" t="str">
        <f t="shared" si="363"/>
        <v/>
      </c>
      <c r="T1050" s="23" t="str">
        <f t="shared" si="364"/>
        <v/>
      </c>
      <c r="U1050" s="23" t="str">
        <f t="shared" si="365"/>
        <v/>
      </c>
      <c r="V1050" s="23" t="str">
        <f t="shared" si="366"/>
        <v/>
      </c>
      <c r="W1050" s="70" t="str">
        <f t="shared" si="367"/>
        <v/>
      </c>
      <c r="X1050" s="70" t="str">
        <f t="shared" si="368"/>
        <v/>
      </c>
      <c r="Y1050" s="70" t="str">
        <f>IF(AND($A1050&lt;&gt;"",$E1050&gt;0),isLaptopBag($C1050,$J1050)*$D1050,"")</f>
        <v/>
      </c>
      <c r="Z1050" s="70" t="str">
        <f t="shared" si="369"/>
        <v/>
      </c>
      <c r="AA1050" s="70" t="str">
        <f t="shared" si="370"/>
        <v/>
      </c>
      <c r="AB1050" s="70" t="str">
        <f t="shared" si="371"/>
        <v/>
      </c>
      <c r="AC1050" s="70" t="str">
        <f t="shared" si="372"/>
        <v/>
      </c>
      <c r="AD1050" s="70" t="str">
        <f t="shared" si="373"/>
        <v/>
      </c>
      <c r="AE1050" s="70" t="str">
        <f t="shared" si="374"/>
        <v/>
      </c>
      <c r="AF1050" s="16"/>
      <c r="AG1050" s="23"/>
      <c r="AH1050" s="22"/>
      <c r="AJ1050" s="83">
        <f t="shared" si="375"/>
        <v>0</v>
      </c>
      <c r="AO1050" s="22" t="str">
        <f t="shared" si="376"/>
        <v/>
      </c>
      <c r="AP1050" s="22" t="str">
        <f t="shared" si="377"/>
        <v/>
      </c>
    </row>
    <row r="1051" spans="1:42" x14ac:dyDescent="0.25">
      <c r="A1051" s="10"/>
      <c r="B1051" s="10"/>
      <c r="C1051" s="10"/>
      <c r="D1051" s="10"/>
      <c r="E1051" s="10"/>
      <c r="F1051" s="10"/>
      <c r="G1051" s="10"/>
      <c r="H1051" s="17"/>
      <c r="I1051" s="10"/>
      <c r="J1051" s="10"/>
      <c r="K1051" s="16" t="str">
        <f t="shared" si="356"/>
        <v/>
      </c>
      <c r="L1051" s="23" t="str">
        <f t="shared" si="357"/>
        <v/>
      </c>
      <c r="M1051" s="22" t="str">
        <f t="shared" si="358"/>
        <v/>
      </c>
      <c r="N1051" s="72"/>
      <c r="O1051" s="16" t="str">
        <f t="shared" si="359"/>
        <v/>
      </c>
      <c r="P1051" s="16" t="str">
        <f t="shared" si="360"/>
        <v/>
      </c>
      <c r="Q1051" s="16" t="str">
        <f t="shared" si="361"/>
        <v/>
      </c>
      <c r="R1051" s="23" t="str">
        <f t="shared" si="362"/>
        <v/>
      </c>
      <c r="S1051" s="23" t="str">
        <f t="shared" si="363"/>
        <v/>
      </c>
      <c r="T1051" s="23" t="str">
        <f t="shared" si="364"/>
        <v/>
      </c>
      <c r="U1051" s="23" t="str">
        <f t="shared" si="365"/>
        <v/>
      </c>
      <c r="V1051" s="23" t="str">
        <f t="shared" si="366"/>
        <v/>
      </c>
      <c r="W1051" s="70" t="str">
        <f t="shared" si="367"/>
        <v/>
      </c>
      <c r="X1051" s="70" t="str">
        <f t="shared" si="368"/>
        <v/>
      </c>
      <c r="Y1051" s="70" t="str">
        <f>IF(AND($A1051&lt;&gt;"",$E1051&gt;0),isLaptopBag($C1051,$J1051)*$D1051,"")</f>
        <v/>
      </c>
      <c r="Z1051" s="70" t="str">
        <f t="shared" si="369"/>
        <v/>
      </c>
      <c r="AA1051" s="70" t="str">
        <f t="shared" si="370"/>
        <v/>
      </c>
      <c r="AB1051" s="70" t="str">
        <f t="shared" si="371"/>
        <v/>
      </c>
      <c r="AC1051" s="70" t="str">
        <f t="shared" si="372"/>
        <v/>
      </c>
      <c r="AD1051" s="70" t="str">
        <f t="shared" si="373"/>
        <v/>
      </c>
      <c r="AE1051" s="70" t="str">
        <f t="shared" si="374"/>
        <v/>
      </c>
      <c r="AF1051" s="16"/>
      <c r="AG1051" s="23"/>
      <c r="AH1051" s="22"/>
      <c r="AJ1051" s="83">
        <f t="shared" si="375"/>
        <v>0</v>
      </c>
      <c r="AO1051" s="22" t="str">
        <f t="shared" si="376"/>
        <v/>
      </c>
      <c r="AP1051" s="22" t="str">
        <f t="shared" si="377"/>
        <v/>
      </c>
    </row>
    <row r="1052" spans="1:42" x14ac:dyDescent="0.25">
      <c r="A1052" s="10"/>
      <c r="B1052" s="10"/>
      <c r="C1052" s="10"/>
      <c r="D1052" s="10"/>
      <c r="E1052" s="10"/>
      <c r="F1052" s="10"/>
      <c r="G1052" s="10"/>
      <c r="H1052" s="17"/>
      <c r="I1052" s="10"/>
      <c r="J1052" s="10"/>
      <c r="K1052" s="16" t="str">
        <f t="shared" si="356"/>
        <v/>
      </c>
      <c r="L1052" s="23" t="str">
        <f t="shared" si="357"/>
        <v/>
      </c>
      <c r="M1052" s="22" t="str">
        <f t="shared" si="358"/>
        <v/>
      </c>
      <c r="N1052" s="72"/>
      <c r="O1052" s="16" t="str">
        <f t="shared" si="359"/>
        <v/>
      </c>
      <c r="P1052" s="16" t="str">
        <f t="shared" si="360"/>
        <v/>
      </c>
      <c r="Q1052" s="16" t="str">
        <f t="shared" si="361"/>
        <v/>
      </c>
      <c r="R1052" s="23" t="str">
        <f t="shared" si="362"/>
        <v/>
      </c>
      <c r="S1052" s="23" t="str">
        <f t="shared" si="363"/>
        <v/>
      </c>
      <c r="T1052" s="23" t="str">
        <f t="shared" si="364"/>
        <v/>
      </c>
      <c r="U1052" s="23" t="str">
        <f t="shared" si="365"/>
        <v/>
      </c>
      <c r="V1052" s="23" t="str">
        <f t="shared" si="366"/>
        <v/>
      </c>
      <c r="W1052" s="70" t="str">
        <f t="shared" si="367"/>
        <v/>
      </c>
      <c r="X1052" s="70" t="str">
        <f t="shared" si="368"/>
        <v/>
      </c>
      <c r="Y1052" s="70" t="str">
        <f>IF(AND($A1052&lt;&gt;"",$E1052&gt;0),isLaptopBag($C1052,$J1052)*$D1052,"")</f>
        <v/>
      </c>
      <c r="Z1052" s="70" t="str">
        <f t="shared" si="369"/>
        <v/>
      </c>
      <c r="AA1052" s="70" t="str">
        <f t="shared" si="370"/>
        <v/>
      </c>
      <c r="AB1052" s="70" t="str">
        <f t="shared" si="371"/>
        <v/>
      </c>
      <c r="AC1052" s="70" t="str">
        <f t="shared" si="372"/>
        <v/>
      </c>
      <c r="AD1052" s="70" t="str">
        <f t="shared" si="373"/>
        <v/>
      </c>
      <c r="AE1052" s="70" t="str">
        <f t="shared" si="374"/>
        <v/>
      </c>
      <c r="AF1052" s="16"/>
      <c r="AG1052" s="23"/>
      <c r="AH1052" s="22"/>
      <c r="AJ1052" s="83">
        <f t="shared" si="375"/>
        <v>0</v>
      </c>
      <c r="AO1052" s="22" t="str">
        <f t="shared" si="376"/>
        <v/>
      </c>
      <c r="AP1052" s="22" t="str">
        <f t="shared" si="377"/>
        <v/>
      </c>
    </row>
    <row r="1053" spans="1:42" x14ac:dyDescent="0.25">
      <c r="A1053" s="10"/>
      <c r="B1053" s="10"/>
      <c r="C1053" s="10"/>
      <c r="D1053" s="10"/>
      <c r="E1053" s="10"/>
      <c r="F1053" s="10"/>
      <c r="G1053" s="10"/>
      <c r="H1053" s="17"/>
      <c r="I1053" s="10"/>
      <c r="J1053" s="10"/>
      <c r="K1053" s="16" t="str">
        <f t="shared" si="356"/>
        <v/>
      </c>
      <c r="L1053" s="23" t="str">
        <f t="shared" si="357"/>
        <v/>
      </c>
      <c r="M1053" s="22" t="str">
        <f t="shared" si="358"/>
        <v/>
      </c>
      <c r="N1053" s="72"/>
      <c r="O1053" s="16" t="str">
        <f t="shared" si="359"/>
        <v/>
      </c>
      <c r="P1053" s="16" t="str">
        <f t="shared" si="360"/>
        <v/>
      </c>
      <c r="Q1053" s="16" t="str">
        <f t="shared" si="361"/>
        <v/>
      </c>
      <c r="R1053" s="23" t="str">
        <f t="shared" si="362"/>
        <v/>
      </c>
      <c r="S1053" s="23" t="str">
        <f t="shared" si="363"/>
        <v/>
      </c>
      <c r="T1053" s="23" t="str">
        <f t="shared" si="364"/>
        <v/>
      </c>
      <c r="U1053" s="23" t="str">
        <f t="shared" si="365"/>
        <v/>
      </c>
      <c r="V1053" s="23" t="str">
        <f t="shared" si="366"/>
        <v/>
      </c>
      <c r="W1053" s="70" t="str">
        <f t="shared" si="367"/>
        <v/>
      </c>
      <c r="X1053" s="70" t="str">
        <f t="shared" si="368"/>
        <v/>
      </c>
      <c r="Y1053" s="70" t="str">
        <f>IF(AND($A1053&lt;&gt;"",$E1053&gt;0),isLaptopBag($C1053,$J1053)*$D1053,"")</f>
        <v/>
      </c>
      <c r="Z1053" s="70" t="str">
        <f t="shared" si="369"/>
        <v/>
      </c>
      <c r="AA1053" s="70" t="str">
        <f t="shared" si="370"/>
        <v/>
      </c>
      <c r="AB1053" s="70" t="str">
        <f t="shared" si="371"/>
        <v/>
      </c>
      <c r="AC1053" s="70" t="str">
        <f t="shared" si="372"/>
        <v/>
      </c>
      <c r="AD1053" s="70" t="str">
        <f t="shared" si="373"/>
        <v/>
      </c>
      <c r="AE1053" s="70" t="str">
        <f t="shared" si="374"/>
        <v/>
      </c>
      <c r="AF1053" s="16"/>
      <c r="AG1053" s="23"/>
      <c r="AH1053" s="22"/>
      <c r="AJ1053" s="83">
        <f t="shared" si="375"/>
        <v>0</v>
      </c>
      <c r="AO1053" s="22" t="str">
        <f t="shared" si="376"/>
        <v/>
      </c>
      <c r="AP1053" s="22" t="str">
        <f t="shared" si="377"/>
        <v/>
      </c>
    </row>
    <row r="1054" spans="1:42" x14ac:dyDescent="0.25">
      <c r="A1054" s="10"/>
      <c r="B1054" s="10"/>
      <c r="C1054" s="10"/>
      <c r="D1054" s="10"/>
      <c r="E1054" s="10"/>
      <c r="F1054" s="10"/>
      <c r="G1054" s="10"/>
      <c r="H1054" s="17"/>
      <c r="I1054" s="10"/>
      <c r="J1054" s="10"/>
      <c r="K1054" s="16" t="str">
        <f t="shared" si="356"/>
        <v/>
      </c>
      <c r="L1054" s="23" t="str">
        <f t="shared" si="357"/>
        <v/>
      </c>
      <c r="M1054" s="22" t="str">
        <f t="shared" si="358"/>
        <v/>
      </c>
      <c r="N1054" s="72"/>
      <c r="O1054" s="16" t="str">
        <f t="shared" si="359"/>
        <v/>
      </c>
      <c r="P1054" s="16" t="str">
        <f t="shared" si="360"/>
        <v/>
      </c>
      <c r="Q1054" s="16" t="str">
        <f t="shared" si="361"/>
        <v/>
      </c>
      <c r="R1054" s="23" t="str">
        <f t="shared" si="362"/>
        <v/>
      </c>
      <c r="S1054" s="23" t="str">
        <f t="shared" si="363"/>
        <v/>
      </c>
      <c r="T1054" s="23" t="str">
        <f t="shared" si="364"/>
        <v/>
      </c>
      <c r="U1054" s="23" t="str">
        <f t="shared" si="365"/>
        <v/>
      </c>
      <c r="V1054" s="23" t="str">
        <f t="shared" si="366"/>
        <v/>
      </c>
      <c r="W1054" s="70" t="str">
        <f t="shared" si="367"/>
        <v/>
      </c>
      <c r="X1054" s="70" t="str">
        <f t="shared" si="368"/>
        <v/>
      </c>
      <c r="Y1054" s="70" t="str">
        <f>IF(AND($A1054&lt;&gt;"",$E1054&gt;0),isLaptopBag($C1054,$J1054)*$D1054,"")</f>
        <v/>
      </c>
      <c r="Z1054" s="70" t="str">
        <f t="shared" si="369"/>
        <v/>
      </c>
      <c r="AA1054" s="70" t="str">
        <f t="shared" si="370"/>
        <v/>
      </c>
      <c r="AB1054" s="70" t="str">
        <f t="shared" si="371"/>
        <v/>
      </c>
      <c r="AC1054" s="70" t="str">
        <f t="shared" si="372"/>
        <v/>
      </c>
      <c r="AD1054" s="70" t="str">
        <f t="shared" si="373"/>
        <v/>
      </c>
      <c r="AE1054" s="70" t="str">
        <f t="shared" si="374"/>
        <v/>
      </c>
      <c r="AF1054" s="16"/>
      <c r="AG1054" s="23"/>
      <c r="AH1054" s="22"/>
      <c r="AJ1054" s="83">
        <f t="shared" si="375"/>
        <v>0</v>
      </c>
      <c r="AO1054" s="22" t="str">
        <f t="shared" si="376"/>
        <v/>
      </c>
      <c r="AP1054" s="22" t="str">
        <f t="shared" si="377"/>
        <v/>
      </c>
    </row>
    <row r="1055" spans="1:42" x14ac:dyDescent="0.25">
      <c r="A1055" s="10"/>
      <c r="B1055" s="10"/>
      <c r="C1055" s="10"/>
      <c r="D1055" s="10"/>
      <c r="E1055" s="10"/>
      <c r="F1055" s="10"/>
      <c r="G1055" s="10"/>
      <c r="H1055" s="17"/>
      <c r="I1055" s="10"/>
      <c r="J1055" s="10"/>
      <c r="K1055" s="16" t="str">
        <f t="shared" si="356"/>
        <v/>
      </c>
      <c r="L1055" s="23" t="str">
        <f t="shared" si="357"/>
        <v/>
      </c>
      <c r="M1055" s="22" t="str">
        <f t="shared" si="358"/>
        <v/>
      </c>
      <c r="N1055" s="72"/>
      <c r="O1055" s="16" t="str">
        <f t="shared" si="359"/>
        <v/>
      </c>
      <c r="P1055" s="16" t="str">
        <f t="shared" si="360"/>
        <v/>
      </c>
      <c r="Q1055" s="16" t="str">
        <f t="shared" si="361"/>
        <v/>
      </c>
      <c r="R1055" s="23" t="str">
        <f t="shared" si="362"/>
        <v/>
      </c>
      <c r="S1055" s="23" t="str">
        <f t="shared" si="363"/>
        <v/>
      </c>
      <c r="T1055" s="23" t="str">
        <f t="shared" si="364"/>
        <v/>
      </c>
      <c r="U1055" s="23" t="str">
        <f t="shared" si="365"/>
        <v/>
      </c>
      <c r="V1055" s="23" t="str">
        <f t="shared" si="366"/>
        <v/>
      </c>
      <c r="W1055" s="70" t="str">
        <f t="shared" si="367"/>
        <v/>
      </c>
      <c r="X1055" s="70" t="str">
        <f t="shared" si="368"/>
        <v/>
      </c>
      <c r="Y1055" s="70" t="str">
        <f>IF(AND($A1055&lt;&gt;"",$E1055&gt;0),isLaptopBag($C1055,$J1055)*$D1055,"")</f>
        <v/>
      </c>
      <c r="Z1055" s="70" t="str">
        <f t="shared" si="369"/>
        <v/>
      </c>
      <c r="AA1055" s="70" t="str">
        <f t="shared" si="370"/>
        <v/>
      </c>
      <c r="AB1055" s="70" t="str">
        <f t="shared" si="371"/>
        <v/>
      </c>
      <c r="AC1055" s="70" t="str">
        <f t="shared" si="372"/>
        <v/>
      </c>
      <c r="AD1055" s="70" t="str">
        <f t="shared" si="373"/>
        <v/>
      </c>
      <c r="AE1055" s="70" t="str">
        <f t="shared" si="374"/>
        <v/>
      </c>
      <c r="AF1055" s="16"/>
      <c r="AG1055" s="23"/>
      <c r="AH1055" s="22"/>
      <c r="AJ1055" s="83">
        <f t="shared" si="375"/>
        <v>0</v>
      </c>
      <c r="AO1055" s="22" t="str">
        <f t="shared" si="376"/>
        <v/>
      </c>
      <c r="AP1055" s="22" t="str">
        <f t="shared" si="377"/>
        <v/>
      </c>
    </row>
    <row r="1056" spans="1:42" x14ac:dyDescent="0.25">
      <c r="A1056" s="10"/>
      <c r="B1056" s="10"/>
      <c r="C1056" s="10"/>
      <c r="D1056" s="10"/>
      <c r="E1056" s="10"/>
      <c r="F1056" s="10"/>
      <c r="G1056" s="10"/>
      <c r="H1056" s="17"/>
      <c r="I1056" s="10"/>
      <c r="J1056" s="10"/>
      <c r="K1056" s="16" t="str">
        <f t="shared" si="356"/>
        <v/>
      </c>
      <c r="L1056" s="23" t="str">
        <f t="shared" si="357"/>
        <v/>
      </c>
      <c r="M1056" s="22" t="str">
        <f t="shared" si="358"/>
        <v/>
      </c>
      <c r="N1056" s="72"/>
      <c r="O1056" s="16" t="str">
        <f t="shared" si="359"/>
        <v/>
      </c>
      <c r="P1056" s="16" t="str">
        <f t="shared" si="360"/>
        <v/>
      </c>
      <c r="Q1056" s="16" t="str">
        <f t="shared" si="361"/>
        <v/>
      </c>
      <c r="R1056" s="23" t="str">
        <f t="shared" si="362"/>
        <v/>
      </c>
      <c r="S1056" s="23" t="str">
        <f t="shared" si="363"/>
        <v/>
      </c>
      <c r="T1056" s="23" t="str">
        <f t="shared" si="364"/>
        <v/>
      </c>
      <c r="U1056" s="23" t="str">
        <f t="shared" si="365"/>
        <v/>
      </c>
      <c r="V1056" s="23" t="str">
        <f t="shared" si="366"/>
        <v/>
      </c>
      <c r="W1056" s="70" t="str">
        <f t="shared" si="367"/>
        <v/>
      </c>
      <c r="X1056" s="70" t="str">
        <f t="shared" si="368"/>
        <v/>
      </c>
      <c r="Y1056" s="70" t="str">
        <f>IF(AND($A1056&lt;&gt;"",$E1056&gt;0),isLaptopBag($C1056,$J1056)*$D1056,"")</f>
        <v/>
      </c>
      <c r="Z1056" s="70" t="str">
        <f t="shared" si="369"/>
        <v/>
      </c>
      <c r="AA1056" s="70" t="str">
        <f t="shared" si="370"/>
        <v/>
      </c>
      <c r="AB1056" s="70" t="str">
        <f t="shared" si="371"/>
        <v/>
      </c>
      <c r="AC1056" s="70" t="str">
        <f t="shared" si="372"/>
        <v/>
      </c>
      <c r="AD1056" s="70" t="str">
        <f t="shared" si="373"/>
        <v/>
      </c>
      <c r="AE1056" s="70" t="str">
        <f t="shared" si="374"/>
        <v/>
      </c>
      <c r="AF1056" s="16"/>
      <c r="AG1056" s="23"/>
      <c r="AH1056" s="22"/>
      <c r="AJ1056" s="83">
        <f t="shared" si="375"/>
        <v>0</v>
      </c>
      <c r="AO1056" s="22" t="str">
        <f t="shared" si="376"/>
        <v/>
      </c>
      <c r="AP1056" s="22" t="str">
        <f t="shared" si="377"/>
        <v/>
      </c>
    </row>
    <row r="1057" spans="1:42" x14ac:dyDescent="0.25">
      <c r="A1057" s="10"/>
      <c r="B1057" s="10"/>
      <c r="C1057" s="10"/>
      <c r="D1057" s="10"/>
      <c r="E1057" s="10"/>
      <c r="F1057" s="10"/>
      <c r="G1057" s="10"/>
      <c r="H1057" s="17"/>
      <c r="I1057" s="10"/>
      <c r="J1057" s="10"/>
      <c r="K1057" s="16" t="str">
        <f t="shared" si="356"/>
        <v/>
      </c>
      <c r="L1057" s="23" t="str">
        <f t="shared" si="357"/>
        <v/>
      </c>
      <c r="M1057" s="22" t="str">
        <f t="shared" si="358"/>
        <v/>
      </c>
      <c r="N1057" s="72"/>
      <c r="O1057" s="16" t="str">
        <f t="shared" si="359"/>
        <v/>
      </c>
      <c r="P1057" s="16" t="str">
        <f t="shared" si="360"/>
        <v/>
      </c>
      <c r="Q1057" s="16" t="str">
        <f t="shared" si="361"/>
        <v/>
      </c>
      <c r="R1057" s="23" t="str">
        <f t="shared" si="362"/>
        <v/>
      </c>
      <c r="S1057" s="23" t="str">
        <f t="shared" si="363"/>
        <v/>
      </c>
      <c r="T1057" s="23" t="str">
        <f t="shared" si="364"/>
        <v/>
      </c>
      <c r="U1057" s="23" t="str">
        <f t="shared" si="365"/>
        <v/>
      </c>
      <c r="V1057" s="23" t="str">
        <f t="shared" si="366"/>
        <v/>
      </c>
      <c r="W1057" s="70" t="str">
        <f t="shared" si="367"/>
        <v/>
      </c>
      <c r="X1057" s="70" t="str">
        <f t="shared" si="368"/>
        <v/>
      </c>
      <c r="Y1057" s="70" t="str">
        <f>IF(AND($A1057&lt;&gt;"",$E1057&gt;0),isLaptopBag($C1057,$J1057)*$D1057,"")</f>
        <v/>
      </c>
      <c r="Z1057" s="70" t="str">
        <f t="shared" si="369"/>
        <v/>
      </c>
      <c r="AA1057" s="70" t="str">
        <f t="shared" si="370"/>
        <v/>
      </c>
      <c r="AB1057" s="70" t="str">
        <f t="shared" si="371"/>
        <v/>
      </c>
      <c r="AC1057" s="70" t="str">
        <f t="shared" si="372"/>
        <v/>
      </c>
      <c r="AD1057" s="70" t="str">
        <f t="shared" si="373"/>
        <v/>
      </c>
      <c r="AE1057" s="70" t="str">
        <f t="shared" si="374"/>
        <v/>
      </c>
      <c r="AF1057" s="16"/>
      <c r="AG1057" s="23"/>
      <c r="AH1057" s="22"/>
      <c r="AJ1057" s="83">
        <f t="shared" si="375"/>
        <v>0</v>
      </c>
      <c r="AO1057" s="22" t="str">
        <f t="shared" si="376"/>
        <v/>
      </c>
      <c r="AP1057" s="22" t="str">
        <f t="shared" si="377"/>
        <v/>
      </c>
    </row>
    <row r="1058" spans="1:42" x14ac:dyDescent="0.25">
      <c r="A1058" s="10"/>
      <c r="B1058" s="10"/>
      <c r="C1058" s="10"/>
      <c r="D1058" s="10"/>
      <c r="E1058" s="10"/>
      <c r="F1058" s="10"/>
      <c r="G1058" s="10"/>
      <c r="H1058" s="17"/>
      <c r="I1058" s="10"/>
      <c r="J1058" s="10"/>
      <c r="K1058" s="16" t="str">
        <f t="shared" si="356"/>
        <v/>
      </c>
      <c r="L1058" s="23" t="str">
        <f t="shared" si="357"/>
        <v/>
      </c>
      <c r="M1058" s="22" t="str">
        <f t="shared" si="358"/>
        <v/>
      </c>
      <c r="N1058" s="72"/>
      <c r="O1058" s="16" t="str">
        <f t="shared" si="359"/>
        <v/>
      </c>
      <c r="P1058" s="16" t="str">
        <f t="shared" si="360"/>
        <v/>
      </c>
      <c r="Q1058" s="16" t="str">
        <f t="shared" si="361"/>
        <v/>
      </c>
      <c r="R1058" s="23" t="str">
        <f t="shared" si="362"/>
        <v/>
      </c>
      <c r="S1058" s="23" t="str">
        <f t="shared" si="363"/>
        <v/>
      </c>
      <c r="T1058" s="23" t="str">
        <f t="shared" si="364"/>
        <v/>
      </c>
      <c r="U1058" s="23" t="str">
        <f t="shared" si="365"/>
        <v/>
      </c>
      <c r="V1058" s="23" t="str">
        <f t="shared" si="366"/>
        <v/>
      </c>
      <c r="W1058" s="70" t="str">
        <f t="shared" si="367"/>
        <v/>
      </c>
      <c r="X1058" s="70" t="str">
        <f t="shared" si="368"/>
        <v/>
      </c>
      <c r="Y1058" s="70" t="str">
        <f>IF(AND($A1058&lt;&gt;"",$E1058&gt;0),isLaptopBag($C1058,$J1058)*$D1058,"")</f>
        <v/>
      </c>
      <c r="Z1058" s="70" t="str">
        <f t="shared" si="369"/>
        <v/>
      </c>
      <c r="AA1058" s="70" t="str">
        <f t="shared" si="370"/>
        <v/>
      </c>
      <c r="AB1058" s="70" t="str">
        <f t="shared" si="371"/>
        <v/>
      </c>
      <c r="AC1058" s="70" t="str">
        <f t="shared" si="372"/>
        <v/>
      </c>
      <c r="AD1058" s="70" t="str">
        <f t="shared" si="373"/>
        <v/>
      </c>
      <c r="AE1058" s="70" t="str">
        <f t="shared" si="374"/>
        <v/>
      </c>
      <c r="AF1058" s="16"/>
      <c r="AG1058" s="23"/>
      <c r="AH1058" s="22"/>
      <c r="AJ1058" s="83">
        <f t="shared" si="375"/>
        <v>0</v>
      </c>
      <c r="AO1058" s="22" t="str">
        <f t="shared" si="376"/>
        <v/>
      </c>
      <c r="AP1058" s="22" t="str">
        <f t="shared" si="377"/>
        <v/>
      </c>
    </row>
    <row r="1059" spans="1:42" x14ac:dyDescent="0.25">
      <c r="A1059" s="10"/>
      <c r="B1059" s="10"/>
      <c r="C1059" s="10"/>
      <c r="D1059" s="10"/>
      <c r="E1059" s="10"/>
      <c r="F1059" s="10"/>
      <c r="G1059" s="10"/>
      <c r="H1059" s="17"/>
      <c r="I1059" s="10"/>
      <c r="J1059" s="10"/>
      <c r="K1059" s="16" t="str">
        <f t="shared" si="356"/>
        <v/>
      </c>
      <c r="L1059" s="23" t="str">
        <f t="shared" si="357"/>
        <v/>
      </c>
      <c r="M1059" s="22" t="str">
        <f t="shared" si="358"/>
        <v/>
      </c>
      <c r="N1059" s="72"/>
      <c r="O1059" s="16" t="str">
        <f t="shared" si="359"/>
        <v/>
      </c>
      <c r="P1059" s="16" t="str">
        <f t="shared" si="360"/>
        <v/>
      </c>
      <c r="Q1059" s="16" t="str">
        <f t="shared" si="361"/>
        <v/>
      </c>
      <c r="R1059" s="23" t="str">
        <f t="shared" si="362"/>
        <v/>
      </c>
      <c r="S1059" s="23" t="str">
        <f t="shared" si="363"/>
        <v/>
      </c>
      <c r="T1059" s="23" t="str">
        <f t="shared" si="364"/>
        <v/>
      </c>
      <c r="U1059" s="23" t="str">
        <f t="shared" si="365"/>
        <v/>
      </c>
      <c r="V1059" s="23" t="str">
        <f t="shared" si="366"/>
        <v/>
      </c>
      <c r="W1059" s="70" t="str">
        <f t="shared" si="367"/>
        <v/>
      </c>
      <c r="X1059" s="70" t="str">
        <f t="shared" si="368"/>
        <v/>
      </c>
      <c r="Y1059" s="70" t="str">
        <f>IF(AND($A1059&lt;&gt;"",$E1059&gt;0),isLaptopBag($C1059,$J1059)*$D1059,"")</f>
        <v/>
      </c>
      <c r="Z1059" s="70" t="str">
        <f t="shared" si="369"/>
        <v/>
      </c>
      <c r="AA1059" s="70" t="str">
        <f t="shared" si="370"/>
        <v/>
      </c>
      <c r="AB1059" s="70" t="str">
        <f t="shared" si="371"/>
        <v/>
      </c>
      <c r="AC1059" s="70" t="str">
        <f t="shared" si="372"/>
        <v/>
      </c>
      <c r="AD1059" s="70" t="str">
        <f t="shared" si="373"/>
        <v/>
      </c>
      <c r="AE1059" s="70" t="str">
        <f t="shared" si="374"/>
        <v/>
      </c>
      <c r="AF1059" s="16"/>
      <c r="AG1059" s="23"/>
      <c r="AH1059" s="22"/>
      <c r="AJ1059" s="83">
        <f t="shared" si="375"/>
        <v>0</v>
      </c>
      <c r="AO1059" s="22" t="str">
        <f t="shared" si="376"/>
        <v/>
      </c>
      <c r="AP1059" s="22" t="str">
        <f t="shared" si="377"/>
        <v/>
      </c>
    </row>
    <row r="1060" spans="1:42" x14ac:dyDescent="0.25">
      <c r="A1060" s="10"/>
      <c r="B1060" s="10"/>
      <c r="C1060" s="10"/>
      <c r="D1060" s="10"/>
      <c r="E1060" s="10"/>
      <c r="F1060" s="10"/>
      <c r="G1060" s="10"/>
      <c r="H1060" s="17"/>
      <c r="I1060" s="10"/>
      <c r="J1060" s="10"/>
      <c r="K1060" s="16" t="str">
        <f t="shared" si="356"/>
        <v/>
      </c>
      <c r="L1060" s="23" t="str">
        <f t="shared" si="357"/>
        <v/>
      </c>
      <c r="M1060" s="22" t="str">
        <f t="shared" si="358"/>
        <v/>
      </c>
      <c r="N1060" s="72"/>
      <c r="O1060" s="16" t="str">
        <f t="shared" si="359"/>
        <v/>
      </c>
      <c r="P1060" s="16" t="str">
        <f t="shared" si="360"/>
        <v/>
      </c>
      <c r="Q1060" s="16" t="str">
        <f t="shared" si="361"/>
        <v/>
      </c>
      <c r="R1060" s="23" t="str">
        <f t="shared" si="362"/>
        <v/>
      </c>
      <c r="S1060" s="23" t="str">
        <f t="shared" si="363"/>
        <v/>
      </c>
      <c r="T1060" s="23" t="str">
        <f t="shared" si="364"/>
        <v/>
      </c>
      <c r="U1060" s="23" t="str">
        <f t="shared" si="365"/>
        <v/>
      </c>
      <c r="V1060" s="23" t="str">
        <f t="shared" si="366"/>
        <v/>
      </c>
      <c r="W1060" s="70" t="str">
        <f t="shared" si="367"/>
        <v/>
      </c>
      <c r="X1060" s="70" t="str">
        <f t="shared" si="368"/>
        <v/>
      </c>
      <c r="Y1060" s="70" t="str">
        <f>IF(AND($A1060&lt;&gt;"",$E1060&gt;0),isLaptopBag($C1060,$J1060)*$D1060,"")</f>
        <v/>
      </c>
      <c r="Z1060" s="70" t="str">
        <f t="shared" si="369"/>
        <v/>
      </c>
      <c r="AA1060" s="70" t="str">
        <f t="shared" si="370"/>
        <v/>
      </c>
      <c r="AB1060" s="70" t="str">
        <f t="shared" si="371"/>
        <v/>
      </c>
      <c r="AC1060" s="70" t="str">
        <f t="shared" si="372"/>
        <v/>
      </c>
      <c r="AD1060" s="70" t="str">
        <f t="shared" si="373"/>
        <v/>
      </c>
      <c r="AE1060" s="70" t="str">
        <f t="shared" si="374"/>
        <v/>
      </c>
      <c r="AF1060" s="16"/>
      <c r="AG1060" s="23"/>
      <c r="AH1060" s="22"/>
      <c r="AJ1060" s="83">
        <f t="shared" si="375"/>
        <v>0</v>
      </c>
      <c r="AO1060" s="22" t="str">
        <f t="shared" si="376"/>
        <v/>
      </c>
      <c r="AP1060" s="22" t="str">
        <f t="shared" si="377"/>
        <v/>
      </c>
    </row>
    <row r="1061" spans="1:42" x14ac:dyDescent="0.25">
      <c r="A1061" s="10"/>
      <c r="B1061" s="10"/>
      <c r="C1061" s="10"/>
      <c r="D1061" s="10"/>
      <c r="E1061" s="10"/>
      <c r="F1061" s="10"/>
      <c r="G1061" s="10"/>
      <c r="H1061" s="17"/>
      <c r="I1061" s="10"/>
      <c r="J1061" s="10"/>
      <c r="K1061" s="16" t="str">
        <f t="shared" si="356"/>
        <v/>
      </c>
      <c r="L1061" s="23" t="str">
        <f t="shared" si="357"/>
        <v/>
      </c>
      <c r="M1061" s="22" t="str">
        <f t="shared" si="358"/>
        <v/>
      </c>
      <c r="N1061" s="72"/>
      <c r="O1061" s="16" t="str">
        <f t="shared" si="359"/>
        <v/>
      </c>
      <c r="P1061" s="16" t="str">
        <f t="shared" si="360"/>
        <v/>
      </c>
      <c r="Q1061" s="16" t="str">
        <f t="shared" si="361"/>
        <v/>
      </c>
      <c r="R1061" s="23" t="str">
        <f t="shared" si="362"/>
        <v/>
      </c>
      <c r="S1061" s="23" t="str">
        <f t="shared" si="363"/>
        <v/>
      </c>
      <c r="T1061" s="23" t="str">
        <f t="shared" si="364"/>
        <v/>
      </c>
      <c r="U1061" s="23" t="str">
        <f t="shared" si="365"/>
        <v/>
      </c>
      <c r="V1061" s="23" t="str">
        <f t="shared" si="366"/>
        <v/>
      </c>
      <c r="W1061" s="70" t="str">
        <f t="shared" si="367"/>
        <v/>
      </c>
      <c r="X1061" s="70" t="str">
        <f t="shared" si="368"/>
        <v/>
      </c>
      <c r="Y1061" s="70" t="str">
        <f>IF(AND($A1061&lt;&gt;"",$E1061&gt;0),isLaptopBag($C1061,$J1061)*$D1061,"")</f>
        <v/>
      </c>
      <c r="Z1061" s="70" t="str">
        <f t="shared" si="369"/>
        <v/>
      </c>
      <c r="AA1061" s="70" t="str">
        <f t="shared" si="370"/>
        <v/>
      </c>
      <c r="AB1061" s="70" t="str">
        <f t="shared" si="371"/>
        <v/>
      </c>
      <c r="AC1061" s="70" t="str">
        <f t="shared" si="372"/>
        <v/>
      </c>
      <c r="AD1061" s="70" t="str">
        <f t="shared" si="373"/>
        <v/>
      </c>
      <c r="AE1061" s="70" t="str">
        <f t="shared" si="374"/>
        <v/>
      </c>
      <c r="AF1061" s="16"/>
      <c r="AG1061" s="23"/>
      <c r="AH1061" s="22"/>
      <c r="AJ1061" s="83">
        <f t="shared" si="375"/>
        <v>0</v>
      </c>
      <c r="AO1061" s="22" t="str">
        <f t="shared" si="376"/>
        <v/>
      </c>
      <c r="AP1061" s="22" t="str">
        <f t="shared" si="377"/>
        <v/>
      </c>
    </row>
    <row r="1062" spans="1:42" x14ac:dyDescent="0.25">
      <c r="A1062" s="10"/>
      <c r="B1062" s="10"/>
      <c r="C1062" s="10"/>
      <c r="D1062" s="10"/>
      <c r="E1062" s="10"/>
      <c r="F1062" s="10"/>
      <c r="G1062" s="10"/>
      <c r="H1062" s="17"/>
      <c r="I1062" s="10"/>
      <c r="J1062" s="10"/>
      <c r="K1062" s="16" t="str">
        <f t="shared" si="356"/>
        <v/>
      </c>
      <c r="L1062" s="23" t="str">
        <f t="shared" si="357"/>
        <v/>
      </c>
      <c r="M1062" s="22" t="str">
        <f t="shared" si="358"/>
        <v/>
      </c>
      <c r="N1062" s="72"/>
      <c r="O1062" s="16" t="str">
        <f t="shared" si="359"/>
        <v/>
      </c>
      <c r="P1062" s="16" t="str">
        <f t="shared" si="360"/>
        <v/>
      </c>
      <c r="Q1062" s="16" t="str">
        <f t="shared" si="361"/>
        <v/>
      </c>
      <c r="R1062" s="23" t="str">
        <f t="shared" si="362"/>
        <v/>
      </c>
      <c r="S1062" s="23" t="str">
        <f t="shared" si="363"/>
        <v/>
      </c>
      <c r="T1062" s="23" t="str">
        <f t="shared" si="364"/>
        <v/>
      </c>
      <c r="U1062" s="23" t="str">
        <f t="shared" si="365"/>
        <v/>
      </c>
      <c r="V1062" s="23" t="str">
        <f t="shared" si="366"/>
        <v/>
      </c>
      <c r="W1062" s="70" t="str">
        <f t="shared" si="367"/>
        <v/>
      </c>
      <c r="X1062" s="70" t="str">
        <f t="shared" si="368"/>
        <v/>
      </c>
      <c r="Y1062" s="70" t="str">
        <f>IF(AND($A1062&lt;&gt;"",$E1062&gt;0),isLaptopBag($C1062,$J1062)*$D1062,"")</f>
        <v/>
      </c>
      <c r="Z1062" s="70" t="str">
        <f t="shared" si="369"/>
        <v/>
      </c>
      <c r="AA1062" s="70" t="str">
        <f t="shared" si="370"/>
        <v/>
      </c>
      <c r="AB1062" s="70" t="str">
        <f t="shared" si="371"/>
        <v/>
      </c>
      <c r="AC1062" s="70" t="str">
        <f t="shared" si="372"/>
        <v/>
      </c>
      <c r="AD1062" s="70" t="str">
        <f t="shared" si="373"/>
        <v/>
      </c>
      <c r="AE1062" s="70" t="str">
        <f t="shared" si="374"/>
        <v/>
      </c>
      <c r="AF1062" s="16"/>
      <c r="AG1062" s="23"/>
      <c r="AH1062" s="22"/>
      <c r="AJ1062" s="83">
        <f t="shared" si="375"/>
        <v>0</v>
      </c>
      <c r="AO1062" s="22" t="str">
        <f t="shared" si="376"/>
        <v/>
      </c>
      <c r="AP1062" s="22" t="str">
        <f t="shared" si="377"/>
        <v/>
      </c>
    </row>
    <row r="1063" spans="1:42" x14ac:dyDescent="0.25">
      <c r="A1063" s="10"/>
      <c r="B1063" s="10"/>
      <c r="C1063" s="10"/>
      <c r="D1063" s="10"/>
      <c r="E1063" s="10"/>
      <c r="F1063" s="10"/>
      <c r="G1063" s="10"/>
      <c r="H1063" s="17"/>
      <c r="I1063" s="10"/>
      <c r="J1063" s="10"/>
      <c r="K1063" s="16" t="str">
        <f t="shared" si="356"/>
        <v/>
      </c>
      <c r="L1063" s="23" t="str">
        <f t="shared" si="357"/>
        <v/>
      </c>
      <c r="M1063" s="22" t="str">
        <f t="shared" si="358"/>
        <v/>
      </c>
      <c r="N1063" s="72"/>
      <c r="O1063" s="16" t="str">
        <f t="shared" si="359"/>
        <v/>
      </c>
      <c r="P1063" s="16" t="str">
        <f t="shared" si="360"/>
        <v/>
      </c>
      <c r="Q1063" s="16" t="str">
        <f t="shared" si="361"/>
        <v/>
      </c>
      <c r="R1063" s="23" t="str">
        <f t="shared" si="362"/>
        <v/>
      </c>
      <c r="S1063" s="23" t="str">
        <f t="shared" si="363"/>
        <v/>
      </c>
      <c r="T1063" s="23" t="str">
        <f t="shared" si="364"/>
        <v/>
      </c>
      <c r="U1063" s="23" t="str">
        <f t="shared" si="365"/>
        <v/>
      </c>
      <c r="V1063" s="23" t="str">
        <f t="shared" si="366"/>
        <v/>
      </c>
      <c r="W1063" s="70" t="str">
        <f t="shared" si="367"/>
        <v/>
      </c>
      <c r="X1063" s="70" t="str">
        <f t="shared" si="368"/>
        <v/>
      </c>
      <c r="Y1063" s="70" t="str">
        <f>IF(AND($A1063&lt;&gt;"",$E1063&gt;0),isLaptopBag($C1063,$J1063)*$D1063,"")</f>
        <v/>
      </c>
      <c r="Z1063" s="70" t="str">
        <f t="shared" si="369"/>
        <v/>
      </c>
      <c r="AA1063" s="70" t="str">
        <f t="shared" si="370"/>
        <v/>
      </c>
      <c r="AB1063" s="70" t="str">
        <f t="shared" si="371"/>
        <v/>
      </c>
      <c r="AC1063" s="70" t="str">
        <f t="shared" si="372"/>
        <v/>
      </c>
      <c r="AD1063" s="70" t="str">
        <f t="shared" si="373"/>
        <v/>
      </c>
      <c r="AE1063" s="70" t="str">
        <f t="shared" si="374"/>
        <v/>
      </c>
      <c r="AF1063" s="16"/>
      <c r="AG1063" s="23"/>
      <c r="AH1063" s="22"/>
      <c r="AJ1063" s="83">
        <f t="shared" si="375"/>
        <v>0</v>
      </c>
      <c r="AO1063" s="22" t="str">
        <f t="shared" si="376"/>
        <v/>
      </c>
      <c r="AP1063" s="22" t="str">
        <f t="shared" si="377"/>
        <v/>
      </c>
    </row>
    <row r="1064" spans="1:42" x14ac:dyDescent="0.25">
      <c r="A1064" s="10"/>
      <c r="B1064" s="10"/>
      <c r="C1064" s="10"/>
      <c r="D1064" s="10"/>
      <c r="E1064" s="10"/>
      <c r="F1064" s="10"/>
      <c r="G1064" s="10"/>
      <c r="H1064" s="17"/>
      <c r="I1064" s="10"/>
      <c r="J1064" s="10"/>
      <c r="K1064" s="16" t="str">
        <f t="shared" si="356"/>
        <v/>
      </c>
      <c r="L1064" s="23" t="str">
        <f t="shared" si="357"/>
        <v/>
      </c>
      <c r="M1064" s="22" t="str">
        <f t="shared" si="358"/>
        <v/>
      </c>
      <c r="N1064" s="72"/>
      <c r="O1064" s="16" t="str">
        <f t="shared" si="359"/>
        <v/>
      </c>
      <c r="P1064" s="16" t="str">
        <f t="shared" si="360"/>
        <v/>
      </c>
      <c r="Q1064" s="16" t="str">
        <f t="shared" si="361"/>
        <v/>
      </c>
      <c r="R1064" s="23" t="str">
        <f t="shared" si="362"/>
        <v/>
      </c>
      <c r="S1064" s="23" t="str">
        <f t="shared" si="363"/>
        <v/>
      </c>
      <c r="T1064" s="23" t="str">
        <f t="shared" si="364"/>
        <v/>
      </c>
      <c r="U1064" s="23" t="str">
        <f t="shared" si="365"/>
        <v/>
      </c>
      <c r="V1064" s="23" t="str">
        <f t="shared" si="366"/>
        <v/>
      </c>
      <c r="W1064" s="70" t="str">
        <f t="shared" si="367"/>
        <v/>
      </c>
      <c r="X1064" s="70" t="str">
        <f t="shared" si="368"/>
        <v/>
      </c>
      <c r="Y1064" s="70" t="str">
        <f>IF(AND($A1064&lt;&gt;"",$E1064&gt;0),isLaptopBag($C1064,$J1064)*$D1064,"")</f>
        <v/>
      </c>
      <c r="Z1064" s="70" t="str">
        <f t="shared" si="369"/>
        <v/>
      </c>
      <c r="AA1064" s="70" t="str">
        <f t="shared" si="370"/>
        <v/>
      </c>
      <c r="AB1064" s="70" t="str">
        <f t="shared" si="371"/>
        <v/>
      </c>
      <c r="AC1064" s="70" t="str">
        <f t="shared" si="372"/>
        <v/>
      </c>
      <c r="AD1064" s="70" t="str">
        <f t="shared" si="373"/>
        <v/>
      </c>
      <c r="AE1064" s="70" t="str">
        <f t="shared" si="374"/>
        <v/>
      </c>
      <c r="AF1064" s="16"/>
      <c r="AG1064" s="23"/>
      <c r="AH1064" s="22"/>
      <c r="AJ1064" s="83">
        <f t="shared" si="375"/>
        <v>0</v>
      </c>
      <c r="AO1064" s="22" t="str">
        <f t="shared" si="376"/>
        <v/>
      </c>
      <c r="AP1064" s="22" t="str">
        <f t="shared" si="377"/>
        <v/>
      </c>
    </row>
    <row r="1065" spans="1:42" x14ac:dyDescent="0.25">
      <c r="A1065" s="10"/>
      <c r="B1065" s="10"/>
      <c r="C1065" s="10"/>
      <c r="D1065" s="10"/>
      <c r="E1065" s="10"/>
      <c r="F1065" s="10"/>
      <c r="G1065" s="10"/>
      <c r="H1065" s="17"/>
      <c r="I1065" s="10"/>
      <c r="J1065" s="10"/>
      <c r="K1065" s="16" t="str">
        <f t="shared" si="356"/>
        <v/>
      </c>
      <c r="L1065" s="23" t="str">
        <f t="shared" si="357"/>
        <v/>
      </c>
      <c r="M1065" s="22" t="str">
        <f t="shared" si="358"/>
        <v/>
      </c>
      <c r="N1065" s="72"/>
      <c r="O1065" s="16" t="str">
        <f t="shared" si="359"/>
        <v/>
      </c>
      <c r="P1065" s="16" t="str">
        <f t="shared" si="360"/>
        <v/>
      </c>
      <c r="Q1065" s="16" t="str">
        <f t="shared" si="361"/>
        <v/>
      </c>
      <c r="R1065" s="23" t="str">
        <f t="shared" si="362"/>
        <v/>
      </c>
      <c r="S1065" s="23" t="str">
        <f t="shared" si="363"/>
        <v/>
      </c>
      <c r="T1065" s="23" t="str">
        <f t="shared" si="364"/>
        <v/>
      </c>
      <c r="U1065" s="23" t="str">
        <f t="shared" si="365"/>
        <v/>
      </c>
      <c r="V1065" s="23" t="str">
        <f t="shared" si="366"/>
        <v/>
      </c>
      <c r="W1065" s="70" t="str">
        <f t="shared" si="367"/>
        <v/>
      </c>
      <c r="X1065" s="70" t="str">
        <f t="shared" si="368"/>
        <v/>
      </c>
      <c r="Y1065" s="70" t="str">
        <f>IF(AND($A1065&lt;&gt;"",$E1065&gt;0),isLaptopBag($C1065,$J1065)*$D1065,"")</f>
        <v/>
      </c>
      <c r="Z1065" s="70" t="str">
        <f t="shared" si="369"/>
        <v/>
      </c>
      <c r="AA1065" s="70" t="str">
        <f t="shared" si="370"/>
        <v/>
      </c>
      <c r="AB1065" s="70" t="str">
        <f t="shared" si="371"/>
        <v/>
      </c>
      <c r="AC1065" s="70" t="str">
        <f t="shared" si="372"/>
        <v/>
      </c>
      <c r="AD1065" s="70" t="str">
        <f t="shared" si="373"/>
        <v/>
      </c>
      <c r="AE1065" s="70" t="str">
        <f t="shared" si="374"/>
        <v/>
      </c>
      <c r="AF1065" s="16"/>
      <c r="AG1065" s="23"/>
      <c r="AH1065" s="22"/>
      <c r="AJ1065" s="83">
        <f t="shared" si="375"/>
        <v>0</v>
      </c>
      <c r="AO1065" s="22" t="str">
        <f t="shared" si="376"/>
        <v/>
      </c>
      <c r="AP1065" s="22" t="str">
        <f t="shared" si="377"/>
        <v/>
      </c>
    </row>
    <row r="1066" spans="1:42" x14ac:dyDescent="0.25">
      <c r="A1066" s="10"/>
      <c r="B1066" s="10"/>
      <c r="C1066" s="10"/>
      <c r="D1066" s="10"/>
      <c r="E1066" s="10"/>
      <c r="F1066" s="10"/>
      <c r="G1066" s="10"/>
      <c r="H1066" s="17"/>
      <c r="I1066" s="10"/>
      <c r="J1066" s="10"/>
      <c r="K1066" s="16" t="str">
        <f t="shared" si="356"/>
        <v/>
      </c>
      <c r="L1066" s="23" t="str">
        <f t="shared" si="357"/>
        <v/>
      </c>
      <c r="M1066" s="22" t="str">
        <f t="shared" si="358"/>
        <v/>
      </c>
      <c r="N1066" s="72"/>
      <c r="O1066" s="16" t="str">
        <f t="shared" si="359"/>
        <v/>
      </c>
      <c r="P1066" s="16" t="str">
        <f t="shared" si="360"/>
        <v/>
      </c>
      <c r="Q1066" s="16" t="str">
        <f t="shared" si="361"/>
        <v/>
      </c>
      <c r="R1066" s="23" t="str">
        <f t="shared" si="362"/>
        <v/>
      </c>
      <c r="S1066" s="23" t="str">
        <f t="shared" si="363"/>
        <v/>
      </c>
      <c r="T1066" s="23" t="str">
        <f t="shared" si="364"/>
        <v/>
      </c>
      <c r="U1066" s="23" t="str">
        <f t="shared" si="365"/>
        <v/>
      </c>
      <c r="V1066" s="23" t="str">
        <f t="shared" si="366"/>
        <v/>
      </c>
      <c r="W1066" s="70" t="str">
        <f t="shared" si="367"/>
        <v/>
      </c>
      <c r="X1066" s="70" t="str">
        <f t="shared" si="368"/>
        <v/>
      </c>
      <c r="Y1066" s="70" t="str">
        <f>IF(AND($A1066&lt;&gt;"",$E1066&gt;0),isLaptopBag($C1066,$J1066)*$D1066,"")</f>
        <v/>
      </c>
      <c r="Z1066" s="70" t="str">
        <f t="shared" si="369"/>
        <v/>
      </c>
      <c r="AA1066" s="70" t="str">
        <f t="shared" si="370"/>
        <v/>
      </c>
      <c r="AB1066" s="70" t="str">
        <f t="shared" si="371"/>
        <v/>
      </c>
      <c r="AC1066" s="70" t="str">
        <f t="shared" si="372"/>
        <v/>
      </c>
      <c r="AD1066" s="70" t="str">
        <f t="shared" si="373"/>
        <v/>
      </c>
      <c r="AE1066" s="70" t="str">
        <f t="shared" si="374"/>
        <v/>
      </c>
      <c r="AF1066" s="16"/>
      <c r="AG1066" s="23"/>
      <c r="AH1066" s="22"/>
      <c r="AJ1066" s="83">
        <f t="shared" si="375"/>
        <v>0</v>
      </c>
      <c r="AO1066" s="22" t="str">
        <f t="shared" si="376"/>
        <v/>
      </c>
      <c r="AP1066" s="22" t="str">
        <f t="shared" si="377"/>
        <v/>
      </c>
    </row>
    <row r="1067" spans="1:42" x14ac:dyDescent="0.25">
      <c r="A1067" s="10"/>
      <c r="B1067" s="10"/>
      <c r="C1067" s="10"/>
      <c r="D1067" s="10"/>
      <c r="E1067" s="10"/>
      <c r="F1067" s="10"/>
      <c r="G1067" s="10"/>
      <c r="H1067" s="17"/>
      <c r="I1067" s="10"/>
      <c r="J1067" s="10"/>
      <c r="K1067" s="16" t="str">
        <f t="shared" si="356"/>
        <v/>
      </c>
      <c r="L1067" s="23" t="str">
        <f t="shared" si="357"/>
        <v/>
      </c>
      <c r="M1067" s="22" t="str">
        <f t="shared" si="358"/>
        <v/>
      </c>
      <c r="N1067" s="72"/>
      <c r="O1067" s="16" t="str">
        <f t="shared" si="359"/>
        <v/>
      </c>
      <c r="P1067" s="16" t="str">
        <f t="shared" si="360"/>
        <v/>
      </c>
      <c r="Q1067" s="16" t="str">
        <f t="shared" si="361"/>
        <v/>
      </c>
      <c r="R1067" s="23" t="str">
        <f t="shared" si="362"/>
        <v/>
      </c>
      <c r="S1067" s="23" t="str">
        <f t="shared" si="363"/>
        <v/>
      </c>
      <c r="T1067" s="23" t="str">
        <f t="shared" si="364"/>
        <v/>
      </c>
      <c r="U1067" s="23" t="str">
        <f t="shared" si="365"/>
        <v/>
      </c>
      <c r="V1067" s="23" t="str">
        <f t="shared" si="366"/>
        <v/>
      </c>
      <c r="W1067" s="70" t="str">
        <f t="shared" si="367"/>
        <v/>
      </c>
      <c r="X1067" s="70" t="str">
        <f t="shared" si="368"/>
        <v/>
      </c>
      <c r="Y1067" s="70" t="str">
        <f>IF(AND($A1067&lt;&gt;"",$E1067&gt;0),isLaptopBag($C1067,$J1067)*$D1067,"")</f>
        <v/>
      </c>
      <c r="Z1067" s="70" t="str">
        <f t="shared" si="369"/>
        <v/>
      </c>
      <c r="AA1067" s="70" t="str">
        <f t="shared" si="370"/>
        <v/>
      </c>
      <c r="AB1067" s="70" t="str">
        <f t="shared" si="371"/>
        <v/>
      </c>
      <c r="AC1067" s="70" t="str">
        <f t="shared" si="372"/>
        <v/>
      </c>
      <c r="AD1067" s="70" t="str">
        <f t="shared" si="373"/>
        <v/>
      </c>
      <c r="AE1067" s="70" t="str">
        <f t="shared" si="374"/>
        <v/>
      </c>
      <c r="AF1067" s="16"/>
      <c r="AG1067" s="23"/>
      <c r="AH1067" s="22"/>
      <c r="AJ1067" s="83">
        <f t="shared" si="375"/>
        <v>0</v>
      </c>
      <c r="AO1067" s="22" t="str">
        <f t="shared" si="376"/>
        <v/>
      </c>
      <c r="AP1067" s="22" t="str">
        <f t="shared" si="377"/>
        <v/>
      </c>
    </row>
    <row r="1068" spans="1:42" x14ac:dyDescent="0.25">
      <c r="A1068" s="10"/>
      <c r="B1068" s="10"/>
      <c r="C1068" s="10"/>
      <c r="D1068" s="10"/>
      <c r="E1068" s="10"/>
      <c r="F1068" s="10"/>
      <c r="G1068" s="10"/>
      <c r="H1068" s="17"/>
      <c r="I1068" s="10"/>
      <c r="J1068" s="10"/>
      <c r="K1068" s="16" t="str">
        <f t="shared" si="356"/>
        <v/>
      </c>
      <c r="L1068" s="23" t="str">
        <f t="shared" si="357"/>
        <v/>
      </c>
      <c r="M1068" s="22" t="str">
        <f t="shared" si="358"/>
        <v/>
      </c>
      <c r="N1068" s="72"/>
      <c r="O1068" s="16" t="str">
        <f t="shared" si="359"/>
        <v/>
      </c>
      <c r="P1068" s="16" t="str">
        <f t="shared" si="360"/>
        <v/>
      </c>
      <c r="Q1068" s="16" t="str">
        <f t="shared" si="361"/>
        <v/>
      </c>
      <c r="R1068" s="23" t="str">
        <f t="shared" si="362"/>
        <v/>
      </c>
      <c r="S1068" s="23" t="str">
        <f t="shared" si="363"/>
        <v/>
      </c>
      <c r="T1068" s="23" t="str">
        <f t="shared" si="364"/>
        <v/>
      </c>
      <c r="U1068" s="23" t="str">
        <f t="shared" si="365"/>
        <v/>
      </c>
      <c r="V1068" s="23" t="str">
        <f t="shared" si="366"/>
        <v/>
      </c>
      <c r="W1068" s="70" t="str">
        <f t="shared" si="367"/>
        <v/>
      </c>
      <c r="X1068" s="70" t="str">
        <f t="shared" si="368"/>
        <v/>
      </c>
      <c r="Y1068" s="70" t="str">
        <f>IF(AND($A1068&lt;&gt;"",$E1068&gt;0),isLaptopBag($C1068,$J1068)*$D1068,"")</f>
        <v/>
      </c>
      <c r="Z1068" s="70" t="str">
        <f t="shared" si="369"/>
        <v/>
      </c>
      <c r="AA1068" s="70" t="str">
        <f t="shared" si="370"/>
        <v/>
      </c>
      <c r="AB1068" s="70" t="str">
        <f t="shared" si="371"/>
        <v/>
      </c>
      <c r="AC1068" s="70" t="str">
        <f t="shared" si="372"/>
        <v/>
      </c>
      <c r="AD1068" s="70" t="str">
        <f t="shared" si="373"/>
        <v/>
      </c>
      <c r="AE1068" s="70" t="str">
        <f t="shared" si="374"/>
        <v/>
      </c>
      <c r="AF1068" s="16"/>
      <c r="AG1068" s="23"/>
      <c r="AH1068" s="22"/>
      <c r="AJ1068" s="83">
        <f t="shared" si="375"/>
        <v>0</v>
      </c>
      <c r="AO1068" s="22" t="str">
        <f t="shared" si="376"/>
        <v/>
      </c>
      <c r="AP1068" s="22" t="str">
        <f t="shared" si="377"/>
        <v/>
      </c>
    </row>
    <row r="1069" spans="1:42" x14ac:dyDescent="0.25">
      <c r="A1069" s="10"/>
      <c r="B1069" s="10"/>
      <c r="C1069" s="10"/>
      <c r="D1069" s="10"/>
      <c r="E1069" s="10"/>
      <c r="F1069" s="10"/>
      <c r="G1069" s="10"/>
      <c r="H1069" s="17"/>
      <c r="I1069" s="10"/>
      <c r="J1069" s="10"/>
      <c r="K1069" s="16" t="str">
        <f t="shared" si="356"/>
        <v/>
      </c>
      <c r="L1069" s="23" t="str">
        <f t="shared" si="357"/>
        <v/>
      </c>
      <c r="M1069" s="22" t="str">
        <f t="shared" si="358"/>
        <v/>
      </c>
      <c r="N1069" s="72"/>
      <c r="O1069" s="16" t="str">
        <f t="shared" si="359"/>
        <v/>
      </c>
      <c r="P1069" s="16" t="str">
        <f t="shared" si="360"/>
        <v/>
      </c>
      <c r="Q1069" s="16" t="str">
        <f t="shared" si="361"/>
        <v/>
      </c>
      <c r="R1069" s="23" t="str">
        <f t="shared" si="362"/>
        <v/>
      </c>
      <c r="S1069" s="23" t="str">
        <f t="shared" si="363"/>
        <v/>
      </c>
      <c r="T1069" s="23" t="str">
        <f t="shared" si="364"/>
        <v/>
      </c>
      <c r="U1069" s="23" t="str">
        <f t="shared" si="365"/>
        <v/>
      </c>
      <c r="V1069" s="23" t="str">
        <f t="shared" si="366"/>
        <v/>
      </c>
      <c r="W1069" s="70" t="str">
        <f t="shared" si="367"/>
        <v/>
      </c>
      <c r="X1069" s="70" t="str">
        <f t="shared" si="368"/>
        <v/>
      </c>
      <c r="Y1069" s="70" t="str">
        <f>IF(AND($A1069&lt;&gt;"",$E1069&gt;0),isLaptopBag($C1069,$J1069)*$D1069,"")</f>
        <v/>
      </c>
      <c r="Z1069" s="70" t="str">
        <f t="shared" si="369"/>
        <v/>
      </c>
      <c r="AA1069" s="70" t="str">
        <f t="shared" si="370"/>
        <v/>
      </c>
      <c r="AB1069" s="70" t="str">
        <f t="shared" si="371"/>
        <v/>
      </c>
      <c r="AC1069" s="70" t="str">
        <f t="shared" si="372"/>
        <v/>
      </c>
      <c r="AD1069" s="70" t="str">
        <f t="shared" si="373"/>
        <v/>
      </c>
      <c r="AE1069" s="70" t="str">
        <f t="shared" si="374"/>
        <v/>
      </c>
      <c r="AF1069" s="16"/>
      <c r="AG1069" s="23"/>
      <c r="AH1069" s="22"/>
      <c r="AJ1069" s="83">
        <f t="shared" si="375"/>
        <v>0</v>
      </c>
      <c r="AO1069" s="22" t="str">
        <f t="shared" si="376"/>
        <v/>
      </c>
      <c r="AP1069" s="22" t="str">
        <f t="shared" si="377"/>
        <v/>
      </c>
    </row>
    <row r="1070" spans="1:42" x14ac:dyDescent="0.25">
      <c r="A1070" s="10"/>
      <c r="B1070" s="10"/>
      <c r="C1070" s="10"/>
      <c r="D1070" s="10"/>
      <c r="E1070" s="10"/>
      <c r="F1070" s="10"/>
      <c r="G1070" s="10"/>
      <c r="H1070" s="17"/>
      <c r="I1070" s="10"/>
      <c r="J1070" s="10"/>
      <c r="K1070" s="16" t="str">
        <f t="shared" si="356"/>
        <v/>
      </c>
      <c r="L1070" s="23" t="str">
        <f t="shared" si="357"/>
        <v/>
      </c>
      <c r="M1070" s="22" t="str">
        <f t="shared" si="358"/>
        <v/>
      </c>
      <c r="N1070" s="72"/>
      <c r="O1070" s="16" t="str">
        <f t="shared" si="359"/>
        <v/>
      </c>
      <c r="P1070" s="16" t="str">
        <f t="shared" si="360"/>
        <v/>
      </c>
      <c r="Q1070" s="16" t="str">
        <f t="shared" si="361"/>
        <v/>
      </c>
      <c r="R1070" s="23" t="str">
        <f t="shared" si="362"/>
        <v/>
      </c>
      <c r="S1070" s="23" t="str">
        <f t="shared" si="363"/>
        <v/>
      </c>
      <c r="T1070" s="23" t="str">
        <f t="shared" si="364"/>
        <v/>
      </c>
      <c r="U1070" s="23" t="str">
        <f t="shared" si="365"/>
        <v/>
      </c>
      <c r="V1070" s="23" t="str">
        <f t="shared" si="366"/>
        <v/>
      </c>
      <c r="W1070" s="70" t="str">
        <f t="shared" si="367"/>
        <v/>
      </c>
      <c r="X1070" s="70" t="str">
        <f t="shared" si="368"/>
        <v/>
      </c>
      <c r="Y1070" s="70" t="str">
        <f>IF(AND($A1070&lt;&gt;"",$E1070&gt;0),isLaptopBag($C1070,$J1070)*$D1070,"")</f>
        <v/>
      </c>
      <c r="Z1070" s="70" t="str">
        <f t="shared" si="369"/>
        <v/>
      </c>
      <c r="AA1070" s="70" t="str">
        <f t="shared" si="370"/>
        <v/>
      </c>
      <c r="AB1070" s="70" t="str">
        <f t="shared" si="371"/>
        <v/>
      </c>
      <c r="AC1070" s="70" t="str">
        <f t="shared" si="372"/>
        <v/>
      </c>
      <c r="AD1070" s="70" t="str">
        <f t="shared" si="373"/>
        <v/>
      </c>
      <c r="AE1070" s="70" t="str">
        <f t="shared" si="374"/>
        <v/>
      </c>
      <c r="AF1070" s="16"/>
      <c r="AG1070" s="23"/>
      <c r="AH1070" s="22"/>
      <c r="AJ1070" s="83">
        <f t="shared" si="375"/>
        <v>0</v>
      </c>
      <c r="AO1070" s="22" t="str">
        <f t="shared" si="376"/>
        <v/>
      </c>
      <c r="AP1070" s="22" t="str">
        <f t="shared" si="377"/>
        <v/>
      </c>
    </row>
    <row r="1071" spans="1:42" x14ac:dyDescent="0.25">
      <c r="A1071" s="10"/>
      <c r="B1071" s="10"/>
      <c r="C1071" s="10"/>
      <c r="D1071" s="10"/>
      <c r="E1071" s="10"/>
      <c r="F1071" s="10"/>
      <c r="G1071" s="10"/>
      <c r="H1071" s="17"/>
      <c r="I1071" s="10"/>
      <c r="J1071" s="10"/>
      <c r="K1071" s="16" t="str">
        <f t="shared" si="356"/>
        <v/>
      </c>
      <c r="L1071" s="23" t="str">
        <f t="shared" si="357"/>
        <v/>
      </c>
      <c r="M1071" s="22" t="str">
        <f t="shared" si="358"/>
        <v/>
      </c>
      <c r="N1071" s="72"/>
      <c r="O1071" s="16" t="str">
        <f t="shared" si="359"/>
        <v/>
      </c>
      <c r="P1071" s="16" t="str">
        <f t="shared" si="360"/>
        <v/>
      </c>
      <c r="Q1071" s="16" t="str">
        <f t="shared" si="361"/>
        <v/>
      </c>
      <c r="R1071" s="23" t="str">
        <f t="shared" si="362"/>
        <v/>
      </c>
      <c r="S1071" s="23" t="str">
        <f t="shared" si="363"/>
        <v/>
      </c>
      <c r="T1071" s="23" t="str">
        <f t="shared" si="364"/>
        <v/>
      </c>
      <c r="U1071" s="23" t="str">
        <f t="shared" si="365"/>
        <v/>
      </c>
      <c r="V1071" s="23" t="str">
        <f t="shared" si="366"/>
        <v/>
      </c>
      <c r="W1071" s="70" t="str">
        <f t="shared" si="367"/>
        <v/>
      </c>
      <c r="X1071" s="70" t="str">
        <f t="shared" si="368"/>
        <v/>
      </c>
      <c r="Y1071" s="70" t="str">
        <f>IF(AND($A1071&lt;&gt;"",$E1071&gt;0),isLaptopBag($C1071,$J1071)*$D1071,"")</f>
        <v/>
      </c>
      <c r="Z1071" s="70" t="str">
        <f t="shared" si="369"/>
        <v/>
      </c>
      <c r="AA1071" s="70" t="str">
        <f t="shared" si="370"/>
        <v/>
      </c>
      <c r="AB1071" s="70" t="str">
        <f t="shared" si="371"/>
        <v/>
      </c>
      <c r="AC1071" s="70" t="str">
        <f t="shared" si="372"/>
        <v/>
      </c>
      <c r="AD1071" s="70" t="str">
        <f t="shared" si="373"/>
        <v/>
      </c>
      <c r="AE1071" s="70" t="str">
        <f t="shared" si="374"/>
        <v/>
      </c>
      <c r="AF1071" s="16"/>
      <c r="AG1071" s="23"/>
      <c r="AH1071" s="22"/>
      <c r="AJ1071" s="83">
        <f t="shared" si="375"/>
        <v>0</v>
      </c>
      <c r="AO1071" s="22" t="str">
        <f t="shared" si="376"/>
        <v/>
      </c>
      <c r="AP1071" s="22" t="str">
        <f t="shared" si="377"/>
        <v/>
      </c>
    </row>
    <row r="1072" spans="1:42" x14ac:dyDescent="0.25">
      <c r="A1072" s="10"/>
      <c r="B1072" s="10"/>
      <c r="C1072" s="10"/>
      <c r="D1072" s="10"/>
      <c r="E1072" s="10"/>
      <c r="F1072" s="10"/>
      <c r="G1072" s="10"/>
      <c r="H1072" s="17"/>
      <c r="I1072" s="10"/>
      <c r="J1072" s="10"/>
      <c r="K1072" s="16" t="str">
        <f t="shared" si="356"/>
        <v/>
      </c>
      <c r="L1072" s="23" t="str">
        <f t="shared" si="357"/>
        <v/>
      </c>
      <c r="M1072" s="22" t="str">
        <f t="shared" si="358"/>
        <v/>
      </c>
      <c r="N1072" s="72"/>
      <c r="O1072" s="16" t="str">
        <f t="shared" si="359"/>
        <v/>
      </c>
      <c r="P1072" s="16" t="str">
        <f t="shared" si="360"/>
        <v/>
      </c>
      <c r="Q1072" s="16" t="str">
        <f t="shared" si="361"/>
        <v/>
      </c>
      <c r="R1072" s="23" t="str">
        <f t="shared" si="362"/>
        <v/>
      </c>
      <c r="S1072" s="23" t="str">
        <f t="shared" si="363"/>
        <v/>
      </c>
      <c r="T1072" s="23" t="str">
        <f t="shared" si="364"/>
        <v/>
      </c>
      <c r="U1072" s="23" t="str">
        <f t="shared" si="365"/>
        <v/>
      </c>
      <c r="V1072" s="23" t="str">
        <f t="shared" si="366"/>
        <v/>
      </c>
      <c r="W1072" s="70" t="str">
        <f t="shared" si="367"/>
        <v/>
      </c>
      <c r="X1072" s="70" t="str">
        <f t="shared" si="368"/>
        <v/>
      </c>
      <c r="Y1072" s="70" t="str">
        <f>IF(AND($A1072&lt;&gt;"",$E1072&gt;0),isLaptopBag($C1072,$J1072)*$D1072,"")</f>
        <v/>
      </c>
      <c r="Z1072" s="70" t="str">
        <f t="shared" si="369"/>
        <v/>
      </c>
      <c r="AA1072" s="70" t="str">
        <f t="shared" si="370"/>
        <v/>
      </c>
      <c r="AB1072" s="70" t="str">
        <f t="shared" si="371"/>
        <v/>
      </c>
      <c r="AC1072" s="70" t="str">
        <f t="shared" si="372"/>
        <v/>
      </c>
      <c r="AD1072" s="70" t="str">
        <f t="shared" si="373"/>
        <v/>
      </c>
      <c r="AE1072" s="70" t="str">
        <f t="shared" si="374"/>
        <v/>
      </c>
      <c r="AF1072" s="16"/>
      <c r="AG1072" s="23"/>
      <c r="AH1072" s="22"/>
      <c r="AJ1072" s="83">
        <f t="shared" si="375"/>
        <v>0</v>
      </c>
      <c r="AO1072" s="22" t="str">
        <f t="shared" si="376"/>
        <v/>
      </c>
      <c r="AP1072" s="22" t="str">
        <f t="shared" si="377"/>
        <v/>
      </c>
    </row>
    <row r="1073" spans="1:42" x14ac:dyDescent="0.25">
      <c r="A1073" s="10"/>
      <c r="B1073" s="10"/>
      <c r="C1073" s="10"/>
      <c r="D1073" s="10"/>
      <c r="E1073" s="10"/>
      <c r="F1073" s="10"/>
      <c r="G1073" s="10"/>
      <c r="H1073" s="17"/>
      <c r="I1073" s="10"/>
      <c r="J1073" s="10"/>
      <c r="K1073" s="16" t="str">
        <f t="shared" si="356"/>
        <v/>
      </c>
      <c r="L1073" s="23" t="str">
        <f t="shared" si="357"/>
        <v/>
      </c>
      <c r="M1073" s="22" t="str">
        <f t="shared" si="358"/>
        <v/>
      </c>
      <c r="N1073" s="72"/>
      <c r="O1073" s="16" t="str">
        <f t="shared" si="359"/>
        <v/>
      </c>
      <c r="P1073" s="16" t="str">
        <f t="shared" si="360"/>
        <v/>
      </c>
      <c r="Q1073" s="16" t="str">
        <f t="shared" si="361"/>
        <v/>
      </c>
      <c r="R1073" s="23" t="str">
        <f t="shared" si="362"/>
        <v/>
      </c>
      <c r="S1073" s="23" t="str">
        <f t="shared" si="363"/>
        <v/>
      </c>
      <c r="T1073" s="23" t="str">
        <f t="shared" si="364"/>
        <v/>
      </c>
      <c r="U1073" s="23" t="str">
        <f t="shared" si="365"/>
        <v/>
      </c>
      <c r="V1073" s="23" t="str">
        <f t="shared" si="366"/>
        <v/>
      </c>
      <c r="W1073" s="70" t="str">
        <f t="shared" si="367"/>
        <v/>
      </c>
      <c r="X1073" s="70" t="str">
        <f t="shared" si="368"/>
        <v/>
      </c>
      <c r="Y1073" s="70" t="str">
        <f>IF(AND($A1073&lt;&gt;"",$E1073&gt;0),isLaptopBag($C1073,$J1073)*$D1073,"")</f>
        <v/>
      </c>
      <c r="Z1073" s="70" t="str">
        <f t="shared" si="369"/>
        <v/>
      </c>
      <c r="AA1073" s="70" t="str">
        <f t="shared" si="370"/>
        <v/>
      </c>
      <c r="AB1073" s="70" t="str">
        <f t="shared" si="371"/>
        <v/>
      </c>
      <c r="AC1073" s="70" t="str">
        <f t="shared" si="372"/>
        <v/>
      </c>
      <c r="AD1073" s="70" t="str">
        <f t="shared" si="373"/>
        <v/>
      </c>
      <c r="AE1073" s="70" t="str">
        <f t="shared" si="374"/>
        <v/>
      </c>
      <c r="AF1073" s="16"/>
      <c r="AG1073" s="23"/>
      <c r="AH1073" s="22"/>
      <c r="AJ1073" s="83">
        <f t="shared" si="375"/>
        <v>0</v>
      </c>
      <c r="AO1073" s="22" t="str">
        <f t="shared" si="376"/>
        <v/>
      </c>
      <c r="AP1073" s="22" t="str">
        <f t="shared" si="377"/>
        <v/>
      </c>
    </row>
    <row r="1074" spans="1:42" x14ac:dyDescent="0.25">
      <c r="A1074" s="10"/>
      <c r="B1074" s="10"/>
      <c r="C1074" s="10"/>
      <c r="D1074" s="10"/>
      <c r="E1074" s="10"/>
      <c r="F1074" s="10"/>
      <c r="G1074" s="10"/>
      <c r="H1074" s="17"/>
      <c r="I1074" s="10"/>
      <c r="J1074" s="10"/>
      <c r="K1074" s="16" t="str">
        <f t="shared" si="356"/>
        <v/>
      </c>
      <c r="L1074" s="23" t="str">
        <f t="shared" si="357"/>
        <v/>
      </c>
      <c r="M1074" s="22" t="str">
        <f t="shared" si="358"/>
        <v/>
      </c>
      <c r="N1074" s="72"/>
      <c r="O1074" s="16" t="str">
        <f t="shared" si="359"/>
        <v/>
      </c>
      <c r="P1074" s="16" t="str">
        <f t="shared" si="360"/>
        <v/>
      </c>
      <c r="Q1074" s="16" t="str">
        <f t="shared" si="361"/>
        <v/>
      </c>
      <c r="R1074" s="23" t="str">
        <f t="shared" si="362"/>
        <v/>
      </c>
      <c r="S1074" s="23" t="str">
        <f t="shared" si="363"/>
        <v/>
      </c>
      <c r="T1074" s="23" t="str">
        <f t="shared" si="364"/>
        <v/>
      </c>
      <c r="U1074" s="23" t="str">
        <f t="shared" si="365"/>
        <v/>
      </c>
      <c r="V1074" s="23" t="str">
        <f t="shared" si="366"/>
        <v/>
      </c>
      <c r="W1074" s="70" t="str">
        <f t="shared" si="367"/>
        <v/>
      </c>
      <c r="X1074" s="70" t="str">
        <f t="shared" si="368"/>
        <v/>
      </c>
      <c r="Y1074" s="70" t="str">
        <f>IF(AND($A1074&lt;&gt;"",$E1074&gt;0),isLaptopBag($C1074,$J1074)*$D1074,"")</f>
        <v/>
      </c>
      <c r="Z1074" s="70" t="str">
        <f t="shared" si="369"/>
        <v/>
      </c>
      <c r="AA1074" s="70" t="str">
        <f t="shared" si="370"/>
        <v/>
      </c>
      <c r="AB1074" s="70" t="str">
        <f t="shared" si="371"/>
        <v/>
      </c>
      <c r="AC1074" s="70" t="str">
        <f t="shared" si="372"/>
        <v/>
      </c>
      <c r="AD1074" s="70" t="str">
        <f t="shared" si="373"/>
        <v/>
      </c>
      <c r="AE1074" s="70" t="str">
        <f t="shared" si="374"/>
        <v/>
      </c>
      <c r="AF1074" s="16"/>
      <c r="AG1074" s="23"/>
      <c r="AH1074" s="22"/>
      <c r="AJ1074" s="83">
        <f t="shared" si="375"/>
        <v>0</v>
      </c>
      <c r="AO1074" s="22" t="str">
        <f t="shared" si="376"/>
        <v/>
      </c>
      <c r="AP1074" s="22" t="str">
        <f t="shared" si="377"/>
        <v/>
      </c>
    </row>
    <row r="1075" spans="1:42" x14ac:dyDescent="0.25">
      <c r="A1075" s="10"/>
      <c r="B1075" s="10"/>
      <c r="C1075" s="10"/>
      <c r="D1075" s="10"/>
      <c r="E1075" s="10"/>
      <c r="F1075" s="10"/>
      <c r="G1075" s="10"/>
      <c r="H1075" s="17"/>
      <c r="I1075" s="10"/>
      <c r="J1075" s="10"/>
      <c r="K1075" s="16" t="str">
        <f t="shared" si="356"/>
        <v/>
      </c>
      <c r="L1075" s="23" t="str">
        <f t="shared" si="357"/>
        <v/>
      </c>
      <c r="M1075" s="22" t="str">
        <f t="shared" si="358"/>
        <v/>
      </c>
      <c r="N1075" s="72"/>
      <c r="O1075" s="16" t="str">
        <f t="shared" si="359"/>
        <v/>
      </c>
      <c r="P1075" s="16" t="str">
        <f t="shared" si="360"/>
        <v/>
      </c>
      <c r="Q1075" s="16" t="str">
        <f t="shared" si="361"/>
        <v/>
      </c>
      <c r="R1075" s="23" t="str">
        <f t="shared" si="362"/>
        <v/>
      </c>
      <c r="S1075" s="23" t="str">
        <f t="shared" si="363"/>
        <v/>
      </c>
      <c r="T1075" s="23" t="str">
        <f t="shared" si="364"/>
        <v/>
      </c>
      <c r="U1075" s="23" t="str">
        <f t="shared" si="365"/>
        <v/>
      </c>
      <c r="V1075" s="23" t="str">
        <f t="shared" si="366"/>
        <v/>
      </c>
      <c r="W1075" s="70" t="str">
        <f t="shared" si="367"/>
        <v/>
      </c>
      <c r="X1075" s="70" t="str">
        <f t="shared" si="368"/>
        <v/>
      </c>
      <c r="Y1075" s="70" t="str">
        <f>IF(AND($A1075&lt;&gt;"",$E1075&gt;0),isLaptopBag($C1075,$J1075)*$D1075,"")</f>
        <v/>
      </c>
      <c r="Z1075" s="70" t="str">
        <f t="shared" si="369"/>
        <v/>
      </c>
      <c r="AA1075" s="70" t="str">
        <f t="shared" si="370"/>
        <v/>
      </c>
      <c r="AB1075" s="70" t="str">
        <f t="shared" si="371"/>
        <v/>
      </c>
      <c r="AC1075" s="70" t="str">
        <f t="shared" si="372"/>
        <v/>
      </c>
      <c r="AD1075" s="70" t="str">
        <f t="shared" si="373"/>
        <v/>
      </c>
      <c r="AE1075" s="70" t="str">
        <f t="shared" si="374"/>
        <v/>
      </c>
      <c r="AF1075" s="16"/>
      <c r="AG1075" s="23"/>
      <c r="AH1075" s="22"/>
      <c r="AJ1075" s="83">
        <f t="shared" si="375"/>
        <v>0</v>
      </c>
      <c r="AO1075" s="22" t="str">
        <f t="shared" si="376"/>
        <v/>
      </c>
      <c r="AP1075" s="22" t="str">
        <f t="shared" si="377"/>
        <v/>
      </c>
    </row>
    <row r="1076" spans="1:42" x14ac:dyDescent="0.25">
      <c r="A1076" s="10"/>
      <c r="B1076" s="10"/>
      <c r="C1076" s="10"/>
      <c r="D1076" s="10"/>
      <c r="E1076" s="10"/>
      <c r="F1076" s="10"/>
      <c r="G1076" s="10"/>
      <c r="H1076" s="17"/>
      <c r="I1076" s="10"/>
      <c r="J1076" s="10"/>
      <c r="K1076" s="16" t="str">
        <f t="shared" si="356"/>
        <v/>
      </c>
      <c r="L1076" s="23" t="str">
        <f t="shared" si="357"/>
        <v/>
      </c>
      <c r="M1076" s="22" t="str">
        <f t="shared" si="358"/>
        <v/>
      </c>
      <c r="N1076" s="72"/>
      <c r="O1076" s="16" t="str">
        <f t="shared" si="359"/>
        <v/>
      </c>
      <c r="P1076" s="16" t="str">
        <f t="shared" si="360"/>
        <v/>
      </c>
      <c r="Q1076" s="16" t="str">
        <f t="shared" si="361"/>
        <v/>
      </c>
      <c r="R1076" s="23" t="str">
        <f t="shared" si="362"/>
        <v/>
      </c>
      <c r="S1076" s="23" t="str">
        <f t="shared" si="363"/>
        <v/>
      </c>
      <c r="T1076" s="23" t="str">
        <f t="shared" si="364"/>
        <v/>
      </c>
      <c r="U1076" s="23" t="str">
        <f t="shared" si="365"/>
        <v/>
      </c>
      <c r="V1076" s="23" t="str">
        <f t="shared" si="366"/>
        <v/>
      </c>
      <c r="W1076" s="70" t="str">
        <f t="shared" si="367"/>
        <v/>
      </c>
      <c r="X1076" s="70" t="str">
        <f t="shared" si="368"/>
        <v/>
      </c>
      <c r="Y1076" s="70" t="str">
        <f>IF(AND($A1076&lt;&gt;"",$E1076&gt;0),isLaptopBag($C1076,$J1076)*$D1076,"")</f>
        <v/>
      </c>
      <c r="Z1076" s="70" t="str">
        <f t="shared" si="369"/>
        <v/>
      </c>
      <c r="AA1076" s="70" t="str">
        <f t="shared" si="370"/>
        <v/>
      </c>
      <c r="AB1076" s="70" t="str">
        <f t="shared" si="371"/>
        <v/>
      </c>
      <c r="AC1076" s="70" t="str">
        <f t="shared" si="372"/>
        <v/>
      </c>
      <c r="AD1076" s="70" t="str">
        <f t="shared" si="373"/>
        <v/>
      </c>
      <c r="AE1076" s="70" t="str">
        <f t="shared" si="374"/>
        <v/>
      </c>
      <c r="AF1076" s="16"/>
      <c r="AG1076" s="23"/>
      <c r="AH1076" s="22"/>
      <c r="AJ1076" s="83">
        <f t="shared" si="375"/>
        <v>0</v>
      </c>
      <c r="AO1076" s="22" t="str">
        <f t="shared" si="376"/>
        <v/>
      </c>
      <c r="AP1076" s="22" t="str">
        <f t="shared" si="377"/>
        <v/>
      </c>
    </row>
    <row r="1077" spans="1:42" x14ac:dyDescent="0.25">
      <c r="A1077" s="10"/>
      <c r="B1077" s="10"/>
      <c r="C1077" s="10"/>
      <c r="D1077" s="10"/>
      <c r="E1077" s="10"/>
      <c r="F1077" s="10"/>
      <c r="G1077" s="10"/>
      <c r="H1077" s="17"/>
      <c r="I1077" s="10"/>
      <c r="J1077" s="10"/>
      <c r="K1077" s="16" t="str">
        <f t="shared" si="356"/>
        <v/>
      </c>
      <c r="L1077" s="23" t="str">
        <f t="shared" si="357"/>
        <v/>
      </c>
      <c r="M1077" s="22" t="str">
        <f t="shared" si="358"/>
        <v/>
      </c>
      <c r="N1077" s="72"/>
      <c r="O1077" s="16" t="str">
        <f t="shared" si="359"/>
        <v/>
      </c>
      <c r="P1077" s="16" t="str">
        <f t="shared" si="360"/>
        <v/>
      </c>
      <c r="Q1077" s="16" t="str">
        <f t="shared" si="361"/>
        <v/>
      </c>
      <c r="R1077" s="23" t="str">
        <f t="shared" si="362"/>
        <v/>
      </c>
      <c r="S1077" s="23" t="str">
        <f t="shared" si="363"/>
        <v/>
      </c>
      <c r="T1077" s="23" t="str">
        <f t="shared" si="364"/>
        <v/>
      </c>
      <c r="U1077" s="23" t="str">
        <f t="shared" si="365"/>
        <v/>
      </c>
      <c r="V1077" s="23" t="str">
        <f t="shared" si="366"/>
        <v/>
      </c>
      <c r="W1077" s="70" t="str">
        <f t="shared" si="367"/>
        <v/>
      </c>
      <c r="X1077" s="70" t="str">
        <f t="shared" si="368"/>
        <v/>
      </c>
      <c r="Y1077" s="70" t="str">
        <f>IF(AND($A1077&lt;&gt;"",$E1077&gt;0),isLaptopBag($C1077,$J1077)*$D1077,"")</f>
        <v/>
      </c>
      <c r="Z1077" s="70" t="str">
        <f t="shared" si="369"/>
        <v/>
      </c>
      <c r="AA1077" s="70" t="str">
        <f t="shared" si="370"/>
        <v/>
      </c>
      <c r="AB1077" s="70" t="str">
        <f t="shared" si="371"/>
        <v/>
      </c>
      <c r="AC1077" s="70" t="str">
        <f t="shared" si="372"/>
        <v/>
      </c>
      <c r="AD1077" s="70" t="str">
        <f t="shared" si="373"/>
        <v/>
      </c>
      <c r="AE1077" s="70" t="str">
        <f t="shared" si="374"/>
        <v/>
      </c>
      <c r="AF1077" s="16"/>
      <c r="AG1077" s="23"/>
      <c r="AH1077" s="22"/>
      <c r="AJ1077" s="83">
        <f t="shared" si="375"/>
        <v>0</v>
      </c>
      <c r="AO1077" s="22" t="str">
        <f t="shared" si="376"/>
        <v/>
      </c>
      <c r="AP1077" s="22" t="str">
        <f t="shared" si="377"/>
        <v/>
      </c>
    </row>
    <row r="1078" spans="1:42" x14ac:dyDescent="0.25">
      <c r="A1078" s="10"/>
      <c r="B1078" s="10"/>
      <c r="C1078" s="10"/>
      <c r="D1078" s="10"/>
      <c r="E1078" s="10"/>
      <c r="F1078" s="10"/>
      <c r="G1078" s="10"/>
      <c r="H1078" s="17"/>
      <c r="I1078" s="10"/>
      <c r="J1078" s="10"/>
      <c r="K1078" s="16" t="str">
        <f t="shared" si="356"/>
        <v/>
      </c>
      <c r="L1078" s="23" t="str">
        <f t="shared" si="357"/>
        <v/>
      </c>
      <c r="M1078" s="22" t="str">
        <f t="shared" si="358"/>
        <v/>
      </c>
      <c r="N1078" s="72"/>
      <c r="O1078" s="16" t="str">
        <f t="shared" si="359"/>
        <v/>
      </c>
      <c r="P1078" s="16" t="str">
        <f t="shared" si="360"/>
        <v/>
      </c>
      <c r="Q1078" s="16" t="str">
        <f t="shared" si="361"/>
        <v/>
      </c>
      <c r="R1078" s="23" t="str">
        <f t="shared" si="362"/>
        <v/>
      </c>
      <c r="S1078" s="23" t="str">
        <f t="shared" si="363"/>
        <v/>
      </c>
      <c r="T1078" s="23" t="str">
        <f t="shared" si="364"/>
        <v/>
      </c>
      <c r="U1078" s="23" t="str">
        <f t="shared" si="365"/>
        <v/>
      </c>
      <c r="V1078" s="23" t="str">
        <f t="shared" si="366"/>
        <v/>
      </c>
      <c r="W1078" s="70" t="str">
        <f t="shared" si="367"/>
        <v/>
      </c>
      <c r="X1078" s="70" t="str">
        <f t="shared" si="368"/>
        <v/>
      </c>
      <c r="Y1078" s="70" t="str">
        <f>IF(AND($A1078&lt;&gt;"",$E1078&gt;0),isLaptopBag($C1078,$J1078)*$D1078,"")</f>
        <v/>
      </c>
      <c r="Z1078" s="70" t="str">
        <f t="shared" si="369"/>
        <v/>
      </c>
      <c r="AA1078" s="70" t="str">
        <f t="shared" si="370"/>
        <v/>
      </c>
      <c r="AB1078" s="70" t="str">
        <f t="shared" si="371"/>
        <v/>
      </c>
      <c r="AC1078" s="70" t="str">
        <f t="shared" si="372"/>
        <v/>
      </c>
      <c r="AD1078" s="70" t="str">
        <f t="shared" si="373"/>
        <v/>
      </c>
      <c r="AE1078" s="70" t="str">
        <f t="shared" si="374"/>
        <v/>
      </c>
      <c r="AF1078" s="16"/>
      <c r="AG1078" s="23"/>
      <c r="AH1078" s="22"/>
      <c r="AJ1078" s="83">
        <f t="shared" si="375"/>
        <v>0</v>
      </c>
      <c r="AO1078" s="22" t="str">
        <f t="shared" si="376"/>
        <v/>
      </c>
      <c r="AP1078" s="22" t="str">
        <f t="shared" si="377"/>
        <v/>
      </c>
    </row>
    <row r="1079" spans="1:42" x14ac:dyDescent="0.25">
      <c r="A1079" s="10"/>
      <c r="B1079" s="10"/>
      <c r="C1079" s="10"/>
      <c r="D1079" s="10"/>
      <c r="E1079" s="10"/>
      <c r="F1079" s="10"/>
      <c r="G1079" s="10"/>
      <c r="H1079" s="17"/>
      <c r="I1079" s="10"/>
      <c r="J1079" s="10"/>
      <c r="K1079" s="16" t="str">
        <f t="shared" si="356"/>
        <v/>
      </c>
      <c r="L1079" s="23" t="str">
        <f t="shared" si="357"/>
        <v/>
      </c>
      <c r="M1079" s="22" t="str">
        <f t="shared" si="358"/>
        <v/>
      </c>
      <c r="N1079" s="72"/>
      <c r="O1079" s="16" t="str">
        <f t="shared" si="359"/>
        <v/>
      </c>
      <c r="P1079" s="16" t="str">
        <f t="shared" si="360"/>
        <v/>
      </c>
      <c r="Q1079" s="16" t="str">
        <f t="shared" si="361"/>
        <v/>
      </c>
      <c r="R1079" s="23" t="str">
        <f t="shared" si="362"/>
        <v/>
      </c>
      <c r="S1079" s="23" t="str">
        <f t="shared" si="363"/>
        <v/>
      </c>
      <c r="T1079" s="23" t="str">
        <f t="shared" si="364"/>
        <v/>
      </c>
      <c r="U1079" s="23" t="str">
        <f t="shared" si="365"/>
        <v/>
      </c>
      <c r="V1079" s="23" t="str">
        <f t="shared" si="366"/>
        <v/>
      </c>
      <c r="W1079" s="70" t="str">
        <f t="shared" si="367"/>
        <v/>
      </c>
      <c r="X1079" s="70" t="str">
        <f t="shared" si="368"/>
        <v/>
      </c>
      <c r="Y1079" s="70" t="str">
        <f>IF(AND($A1079&lt;&gt;"",$E1079&gt;0),isLaptopBag($C1079,$J1079)*$D1079,"")</f>
        <v/>
      </c>
      <c r="Z1079" s="70" t="str">
        <f t="shared" si="369"/>
        <v/>
      </c>
      <c r="AA1079" s="70" t="str">
        <f t="shared" si="370"/>
        <v/>
      </c>
      <c r="AB1079" s="70" t="str">
        <f t="shared" si="371"/>
        <v/>
      </c>
      <c r="AC1079" s="70" t="str">
        <f t="shared" si="372"/>
        <v/>
      </c>
      <c r="AD1079" s="70" t="str">
        <f t="shared" si="373"/>
        <v/>
      </c>
      <c r="AE1079" s="70" t="str">
        <f t="shared" si="374"/>
        <v/>
      </c>
      <c r="AF1079" s="16"/>
      <c r="AG1079" s="23"/>
      <c r="AH1079" s="22"/>
      <c r="AJ1079" s="83">
        <f t="shared" si="375"/>
        <v>0</v>
      </c>
      <c r="AO1079" s="22" t="str">
        <f t="shared" si="376"/>
        <v/>
      </c>
      <c r="AP1079" s="22" t="str">
        <f t="shared" si="377"/>
        <v/>
      </c>
    </row>
    <row r="1080" spans="1:42" x14ac:dyDescent="0.25">
      <c r="A1080" s="10"/>
      <c r="B1080" s="10"/>
      <c r="C1080" s="10"/>
      <c r="D1080" s="10"/>
      <c r="E1080" s="10"/>
      <c r="F1080" s="10"/>
      <c r="G1080" s="10"/>
      <c r="H1080" s="17"/>
      <c r="I1080" s="10"/>
      <c r="J1080" s="10"/>
      <c r="K1080" s="16" t="str">
        <f t="shared" si="356"/>
        <v/>
      </c>
      <c r="L1080" s="23" t="str">
        <f t="shared" si="357"/>
        <v/>
      </c>
      <c r="M1080" s="22" t="str">
        <f t="shared" si="358"/>
        <v/>
      </c>
      <c r="N1080" s="72"/>
      <c r="O1080" s="16" t="str">
        <f t="shared" si="359"/>
        <v/>
      </c>
      <c r="P1080" s="16" t="str">
        <f t="shared" si="360"/>
        <v/>
      </c>
      <c r="Q1080" s="16" t="str">
        <f t="shared" si="361"/>
        <v/>
      </c>
      <c r="R1080" s="23" t="str">
        <f t="shared" si="362"/>
        <v/>
      </c>
      <c r="S1080" s="23" t="str">
        <f t="shared" si="363"/>
        <v/>
      </c>
      <c r="T1080" s="23" t="str">
        <f t="shared" si="364"/>
        <v/>
      </c>
      <c r="U1080" s="23" t="str">
        <f t="shared" si="365"/>
        <v/>
      </c>
      <c r="V1080" s="23" t="str">
        <f t="shared" si="366"/>
        <v/>
      </c>
      <c r="W1080" s="70" t="str">
        <f t="shared" si="367"/>
        <v/>
      </c>
      <c r="X1080" s="70" t="str">
        <f t="shared" si="368"/>
        <v/>
      </c>
      <c r="Y1080" s="70" t="str">
        <f>IF(AND($A1080&lt;&gt;"",$E1080&gt;0),isLaptopBag($C1080,$J1080)*$D1080,"")</f>
        <v/>
      </c>
      <c r="Z1080" s="70" t="str">
        <f t="shared" si="369"/>
        <v/>
      </c>
      <c r="AA1080" s="70" t="str">
        <f t="shared" si="370"/>
        <v/>
      </c>
      <c r="AB1080" s="70" t="str">
        <f t="shared" si="371"/>
        <v/>
      </c>
      <c r="AC1080" s="70" t="str">
        <f t="shared" si="372"/>
        <v/>
      </c>
      <c r="AD1080" s="70" t="str">
        <f t="shared" si="373"/>
        <v/>
      </c>
      <c r="AE1080" s="70" t="str">
        <f t="shared" si="374"/>
        <v/>
      </c>
      <c r="AF1080" s="16"/>
      <c r="AG1080" s="23"/>
      <c r="AH1080" s="22"/>
      <c r="AJ1080" s="83">
        <f t="shared" si="375"/>
        <v>0</v>
      </c>
      <c r="AO1080" s="22" t="str">
        <f t="shared" si="376"/>
        <v/>
      </c>
      <c r="AP1080" s="22" t="str">
        <f t="shared" si="377"/>
        <v/>
      </c>
    </row>
    <row r="1081" spans="1:42" x14ac:dyDescent="0.25">
      <c r="A1081" s="10"/>
      <c r="B1081" s="10"/>
      <c r="C1081" s="10"/>
      <c r="D1081" s="10"/>
      <c r="E1081" s="10"/>
      <c r="F1081" s="10"/>
      <c r="G1081" s="10"/>
      <c r="H1081" s="17"/>
      <c r="I1081" s="10"/>
      <c r="J1081" s="10"/>
      <c r="K1081" s="16" t="str">
        <f t="shared" si="356"/>
        <v/>
      </c>
      <c r="L1081" s="23" t="str">
        <f t="shared" si="357"/>
        <v/>
      </c>
      <c r="M1081" s="22" t="str">
        <f t="shared" si="358"/>
        <v/>
      </c>
      <c r="N1081" s="72"/>
      <c r="O1081" s="16" t="str">
        <f t="shared" si="359"/>
        <v/>
      </c>
      <c r="P1081" s="16" t="str">
        <f t="shared" si="360"/>
        <v/>
      </c>
      <c r="Q1081" s="16" t="str">
        <f t="shared" si="361"/>
        <v/>
      </c>
      <c r="R1081" s="23" t="str">
        <f t="shared" si="362"/>
        <v/>
      </c>
      <c r="S1081" s="23" t="str">
        <f t="shared" si="363"/>
        <v/>
      </c>
      <c r="T1081" s="23" t="str">
        <f t="shared" si="364"/>
        <v/>
      </c>
      <c r="U1081" s="23" t="str">
        <f t="shared" si="365"/>
        <v/>
      </c>
      <c r="V1081" s="23" t="str">
        <f t="shared" si="366"/>
        <v/>
      </c>
      <c r="W1081" s="70" t="str">
        <f t="shared" si="367"/>
        <v/>
      </c>
      <c r="X1081" s="70" t="str">
        <f t="shared" si="368"/>
        <v/>
      </c>
      <c r="Y1081" s="70" t="str">
        <f>IF(AND($A1081&lt;&gt;"",$E1081&gt;0),isLaptopBag($C1081,$J1081)*$D1081,"")</f>
        <v/>
      </c>
      <c r="Z1081" s="70" t="str">
        <f t="shared" si="369"/>
        <v/>
      </c>
      <c r="AA1081" s="70" t="str">
        <f t="shared" si="370"/>
        <v/>
      </c>
      <c r="AB1081" s="70" t="str">
        <f t="shared" si="371"/>
        <v/>
      </c>
      <c r="AC1081" s="70" t="str">
        <f t="shared" si="372"/>
        <v/>
      </c>
      <c r="AD1081" s="70" t="str">
        <f t="shared" si="373"/>
        <v/>
      </c>
      <c r="AE1081" s="70" t="str">
        <f t="shared" si="374"/>
        <v/>
      </c>
      <c r="AF1081" s="16"/>
      <c r="AG1081" s="23"/>
      <c r="AH1081" s="22"/>
      <c r="AJ1081" s="83">
        <f t="shared" si="375"/>
        <v>0</v>
      </c>
      <c r="AO1081" s="22" t="str">
        <f t="shared" si="376"/>
        <v/>
      </c>
      <c r="AP1081" s="22" t="str">
        <f t="shared" si="377"/>
        <v/>
      </c>
    </row>
    <row r="1082" spans="1:42" x14ac:dyDescent="0.25">
      <c r="A1082" s="10"/>
      <c r="B1082" s="10"/>
      <c r="C1082" s="10"/>
      <c r="D1082" s="10"/>
      <c r="E1082" s="10"/>
      <c r="F1082" s="10"/>
      <c r="G1082" s="10"/>
      <c r="H1082" s="17"/>
      <c r="I1082" s="10"/>
      <c r="J1082" s="10"/>
      <c r="K1082" s="16" t="str">
        <f t="shared" si="356"/>
        <v/>
      </c>
      <c r="L1082" s="23" t="str">
        <f t="shared" si="357"/>
        <v/>
      </c>
      <c r="M1082" s="22" t="str">
        <f t="shared" si="358"/>
        <v/>
      </c>
      <c r="N1082" s="72"/>
      <c r="O1082" s="16" t="str">
        <f t="shared" si="359"/>
        <v/>
      </c>
      <c r="P1082" s="16" t="str">
        <f t="shared" si="360"/>
        <v/>
      </c>
      <c r="Q1082" s="16" t="str">
        <f t="shared" si="361"/>
        <v/>
      </c>
      <c r="R1082" s="23" t="str">
        <f t="shared" si="362"/>
        <v/>
      </c>
      <c r="S1082" s="23" t="str">
        <f t="shared" si="363"/>
        <v/>
      </c>
      <c r="T1082" s="23" t="str">
        <f t="shared" si="364"/>
        <v/>
      </c>
      <c r="U1082" s="23" t="str">
        <f t="shared" si="365"/>
        <v/>
      </c>
      <c r="V1082" s="23" t="str">
        <f t="shared" si="366"/>
        <v/>
      </c>
      <c r="W1082" s="70" t="str">
        <f t="shared" si="367"/>
        <v/>
      </c>
      <c r="X1082" s="70" t="str">
        <f t="shared" si="368"/>
        <v/>
      </c>
      <c r="Y1082" s="70" t="str">
        <f>IF(AND($A1082&lt;&gt;"",$E1082&gt;0),isLaptopBag($C1082,$J1082)*$D1082,"")</f>
        <v/>
      </c>
      <c r="Z1082" s="70" t="str">
        <f t="shared" si="369"/>
        <v/>
      </c>
      <c r="AA1082" s="70" t="str">
        <f t="shared" si="370"/>
        <v/>
      </c>
      <c r="AB1082" s="70" t="str">
        <f t="shared" si="371"/>
        <v/>
      </c>
      <c r="AC1082" s="70" t="str">
        <f t="shared" si="372"/>
        <v/>
      </c>
      <c r="AD1082" s="70" t="str">
        <f t="shared" si="373"/>
        <v/>
      </c>
      <c r="AE1082" s="70" t="str">
        <f t="shared" si="374"/>
        <v/>
      </c>
      <c r="AF1082" s="16"/>
      <c r="AG1082" s="23"/>
      <c r="AH1082" s="22"/>
      <c r="AJ1082" s="83">
        <f t="shared" si="375"/>
        <v>0</v>
      </c>
      <c r="AO1082" s="22" t="str">
        <f t="shared" si="376"/>
        <v/>
      </c>
      <c r="AP1082" s="22" t="str">
        <f t="shared" si="377"/>
        <v/>
      </c>
    </row>
    <row r="1083" spans="1:42" x14ac:dyDescent="0.25">
      <c r="A1083" s="10"/>
      <c r="B1083" s="10"/>
      <c r="C1083" s="10"/>
      <c r="D1083" s="10"/>
      <c r="E1083" s="10"/>
      <c r="F1083" s="10"/>
      <c r="G1083" s="10"/>
      <c r="H1083" s="17"/>
      <c r="I1083" s="10"/>
      <c r="J1083" s="10"/>
      <c r="K1083" s="16" t="str">
        <f t="shared" si="356"/>
        <v/>
      </c>
      <c r="L1083" s="23" t="str">
        <f t="shared" si="357"/>
        <v/>
      </c>
      <c r="M1083" s="22" t="str">
        <f t="shared" si="358"/>
        <v/>
      </c>
      <c r="N1083" s="72"/>
      <c r="O1083" s="16" t="str">
        <f t="shared" si="359"/>
        <v/>
      </c>
      <c r="P1083" s="16" t="str">
        <f t="shared" si="360"/>
        <v/>
      </c>
      <c r="Q1083" s="16" t="str">
        <f t="shared" si="361"/>
        <v/>
      </c>
      <c r="R1083" s="23" t="str">
        <f t="shared" si="362"/>
        <v/>
      </c>
      <c r="S1083" s="23" t="str">
        <f t="shared" si="363"/>
        <v/>
      </c>
      <c r="T1083" s="23" t="str">
        <f t="shared" si="364"/>
        <v/>
      </c>
      <c r="U1083" s="23" t="str">
        <f t="shared" si="365"/>
        <v/>
      </c>
      <c r="V1083" s="23" t="str">
        <f t="shared" si="366"/>
        <v/>
      </c>
      <c r="W1083" s="70" t="str">
        <f t="shared" si="367"/>
        <v/>
      </c>
      <c r="X1083" s="70" t="str">
        <f t="shared" si="368"/>
        <v/>
      </c>
      <c r="Y1083" s="70" t="str">
        <f>IF(AND($A1083&lt;&gt;"",$E1083&gt;0),isLaptopBag($C1083,$J1083)*$D1083,"")</f>
        <v/>
      </c>
      <c r="Z1083" s="70" t="str">
        <f t="shared" si="369"/>
        <v/>
      </c>
      <c r="AA1083" s="70" t="str">
        <f t="shared" si="370"/>
        <v/>
      </c>
      <c r="AB1083" s="70" t="str">
        <f t="shared" si="371"/>
        <v/>
      </c>
      <c r="AC1083" s="70" t="str">
        <f t="shared" si="372"/>
        <v/>
      </c>
      <c r="AD1083" s="70" t="str">
        <f t="shared" si="373"/>
        <v/>
      </c>
      <c r="AE1083" s="70" t="str">
        <f t="shared" si="374"/>
        <v/>
      </c>
      <c r="AF1083" s="16"/>
      <c r="AG1083" s="23"/>
      <c r="AH1083" s="22"/>
      <c r="AJ1083" s="83">
        <f t="shared" si="375"/>
        <v>0</v>
      </c>
      <c r="AO1083" s="22" t="str">
        <f t="shared" si="376"/>
        <v/>
      </c>
      <c r="AP1083" s="22" t="str">
        <f t="shared" si="377"/>
        <v/>
      </c>
    </row>
    <row r="1084" spans="1:42" x14ac:dyDescent="0.25">
      <c r="A1084" s="10"/>
      <c r="B1084" s="10"/>
      <c r="C1084" s="10"/>
      <c r="D1084" s="10"/>
      <c r="E1084" s="10"/>
      <c r="F1084" s="10"/>
      <c r="G1084" s="10"/>
      <c r="H1084" s="17"/>
      <c r="I1084" s="10"/>
      <c r="J1084" s="10"/>
      <c r="K1084" s="16" t="str">
        <f t="shared" si="356"/>
        <v/>
      </c>
      <c r="L1084" s="23" t="str">
        <f t="shared" si="357"/>
        <v/>
      </c>
      <c r="M1084" s="22" t="str">
        <f t="shared" si="358"/>
        <v/>
      </c>
      <c r="N1084" s="72"/>
      <c r="O1084" s="16" t="str">
        <f t="shared" si="359"/>
        <v/>
      </c>
      <c r="P1084" s="16" t="str">
        <f t="shared" si="360"/>
        <v/>
      </c>
      <c r="Q1084" s="16" t="str">
        <f t="shared" si="361"/>
        <v/>
      </c>
      <c r="R1084" s="23" t="str">
        <f t="shared" si="362"/>
        <v/>
      </c>
      <c r="S1084" s="23" t="str">
        <f t="shared" si="363"/>
        <v/>
      </c>
      <c r="T1084" s="23" t="str">
        <f t="shared" si="364"/>
        <v/>
      </c>
      <c r="U1084" s="23" t="str">
        <f t="shared" si="365"/>
        <v/>
      </c>
      <c r="V1084" s="23" t="str">
        <f t="shared" si="366"/>
        <v/>
      </c>
      <c r="W1084" s="70" t="str">
        <f t="shared" si="367"/>
        <v/>
      </c>
      <c r="X1084" s="70" t="str">
        <f t="shared" si="368"/>
        <v/>
      </c>
      <c r="Y1084" s="70" t="str">
        <f>IF(AND($A1084&lt;&gt;"",$E1084&gt;0),isLaptopBag($C1084,$J1084)*$D1084,"")</f>
        <v/>
      </c>
      <c r="Z1084" s="70" t="str">
        <f t="shared" si="369"/>
        <v/>
      </c>
      <c r="AA1084" s="70" t="str">
        <f t="shared" si="370"/>
        <v/>
      </c>
      <c r="AB1084" s="70" t="str">
        <f t="shared" si="371"/>
        <v/>
      </c>
      <c r="AC1084" s="70" t="str">
        <f t="shared" si="372"/>
        <v/>
      </c>
      <c r="AD1084" s="70" t="str">
        <f t="shared" si="373"/>
        <v/>
      </c>
      <c r="AE1084" s="70" t="str">
        <f t="shared" si="374"/>
        <v/>
      </c>
      <c r="AF1084" s="16"/>
      <c r="AG1084" s="23"/>
      <c r="AH1084" s="22"/>
      <c r="AJ1084" s="83">
        <f t="shared" si="375"/>
        <v>0</v>
      </c>
      <c r="AO1084" s="22" t="str">
        <f t="shared" si="376"/>
        <v/>
      </c>
      <c r="AP1084" s="22" t="str">
        <f t="shared" si="377"/>
        <v/>
      </c>
    </row>
    <row r="1085" spans="1:42" x14ac:dyDescent="0.25">
      <c r="A1085" s="10"/>
      <c r="B1085" s="10"/>
      <c r="C1085" s="10"/>
      <c r="D1085" s="10"/>
      <c r="E1085" s="10"/>
      <c r="F1085" s="10"/>
      <c r="G1085" s="10"/>
      <c r="H1085" s="17"/>
      <c r="I1085" s="10"/>
      <c r="J1085" s="10"/>
      <c r="K1085" s="16" t="str">
        <f t="shared" si="356"/>
        <v/>
      </c>
      <c r="L1085" s="23" t="str">
        <f t="shared" si="357"/>
        <v/>
      </c>
      <c r="M1085" s="22" t="str">
        <f t="shared" si="358"/>
        <v/>
      </c>
      <c r="N1085" s="72"/>
      <c r="O1085" s="16" t="str">
        <f t="shared" si="359"/>
        <v/>
      </c>
      <c r="P1085" s="16" t="str">
        <f t="shared" si="360"/>
        <v/>
      </c>
      <c r="Q1085" s="16" t="str">
        <f t="shared" si="361"/>
        <v/>
      </c>
      <c r="R1085" s="23" t="str">
        <f t="shared" si="362"/>
        <v/>
      </c>
      <c r="S1085" s="23" t="str">
        <f t="shared" si="363"/>
        <v/>
      </c>
      <c r="T1085" s="23" t="str">
        <f t="shared" si="364"/>
        <v/>
      </c>
      <c r="U1085" s="23" t="str">
        <f t="shared" si="365"/>
        <v/>
      </c>
      <c r="V1085" s="23" t="str">
        <f t="shared" si="366"/>
        <v/>
      </c>
      <c r="W1085" s="70" t="str">
        <f t="shared" si="367"/>
        <v/>
      </c>
      <c r="X1085" s="70" t="str">
        <f t="shared" si="368"/>
        <v/>
      </c>
      <c r="Y1085" s="70" t="str">
        <f>IF(AND($A1085&lt;&gt;"",$E1085&gt;0),isLaptopBag($C1085,$J1085)*$D1085,"")</f>
        <v/>
      </c>
      <c r="Z1085" s="70" t="str">
        <f t="shared" si="369"/>
        <v/>
      </c>
      <c r="AA1085" s="70" t="str">
        <f t="shared" si="370"/>
        <v/>
      </c>
      <c r="AB1085" s="70" t="str">
        <f t="shared" si="371"/>
        <v/>
      </c>
      <c r="AC1085" s="70" t="str">
        <f t="shared" si="372"/>
        <v/>
      </c>
      <c r="AD1085" s="70" t="str">
        <f t="shared" si="373"/>
        <v/>
      </c>
      <c r="AE1085" s="70" t="str">
        <f t="shared" si="374"/>
        <v/>
      </c>
      <c r="AF1085" s="16"/>
      <c r="AG1085" s="23"/>
      <c r="AH1085" s="22"/>
      <c r="AJ1085" s="83">
        <f t="shared" si="375"/>
        <v>0</v>
      </c>
      <c r="AO1085" s="22" t="str">
        <f t="shared" si="376"/>
        <v/>
      </c>
      <c r="AP1085" s="22" t="str">
        <f t="shared" si="377"/>
        <v/>
      </c>
    </row>
    <row r="1086" spans="1:42" x14ac:dyDescent="0.25">
      <c r="A1086" s="10"/>
      <c r="B1086" s="10"/>
      <c r="C1086" s="10"/>
      <c r="D1086" s="10"/>
      <c r="E1086" s="10"/>
      <c r="F1086" s="10"/>
      <c r="G1086" s="10"/>
      <c r="H1086" s="17"/>
      <c r="I1086" s="10"/>
      <c r="J1086" s="10"/>
      <c r="K1086" s="16" t="str">
        <f t="shared" si="356"/>
        <v/>
      </c>
      <c r="L1086" s="23" t="str">
        <f t="shared" si="357"/>
        <v/>
      </c>
      <c r="M1086" s="22" t="str">
        <f t="shared" si="358"/>
        <v/>
      </c>
      <c r="N1086" s="72"/>
      <c r="O1086" s="16" t="str">
        <f t="shared" si="359"/>
        <v/>
      </c>
      <c r="P1086" s="16" t="str">
        <f t="shared" si="360"/>
        <v/>
      </c>
      <c r="Q1086" s="16" t="str">
        <f t="shared" si="361"/>
        <v/>
      </c>
      <c r="R1086" s="23" t="str">
        <f t="shared" si="362"/>
        <v/>
      </c>
      <c r="S1086" s="23" t="str">
        <f t="shared" si="363"/>
        <v/>
      </c>
      <c r="T1086" s="23" t="str">
        <f t="shared" si="364"/>
        <v/>
      </c>
      <c r="U1086" s="23" t="str">
        <f t="shared" si="365"/>
        <v/>
      </c>
      <c r="V1086" s="23" t="str">
        <f t="shared" si="366"/>
        <v/>
      </c>
      <c r="W1086" s="70" t="str">
        <f t="shared" si="367"/>
        <v/>
      </c>
      <c r="X1086" s="70" t="str">
        <f t="shared" si="368"/>
        <v/>
      </c>
      <c r="Y1086" s="70" t="str">
        <f>IF(AND($A1086&lt;&gt;"",$E1086&gt;0),isLaptopBag($C1086,$J1086)*$D1086,"")</f>
        <v/>
      </c>
      <c r="Z1086" s="70" t="str">
        <f t="shared" si="369"/>
        <v/>
      </c>
      <c r="AA1086" s="70" t="str">
        <f t="shared" si="370"/>
        <v/>
      </c>
      <c r="AB1086" s="70" t="str">
        <f t="shared" si="371"/>
        <v/>
      </c>
      <c r="AC1086" s="70" t="str">
        <f t="shared" si="372"/>
        <v/>
      </c>
      <c r="AD1086" s="70" t="str">
        <f t="shared" si="373"/>
        <v/>
      </c>
      <c r="AE1086" s="70" t="str">
        <f t="shared" si="374"/>
        <v/>
      </c>
      <c r="AF1086" s="16"/>
      <c r="AG1086" s="23"/>
      <c r="AH1086" s="22"/>
      <c r="AJ1086" s="83">
        <f t="shared" si="375"/>
        <v>0</v>
      </c>
      <c r="AO1086" s="22" t="str">
        <f t="shared" si="376"/>
        <v/>
      </c>
      <c r="AP1086" s="22" t="str">
        <f t="shared" si="377"/>
        <v/>
      </c>
    </row>
    <row r="1087" spans="1:42" x14ac:dyDescent="0.25">
      <c r="A1087" s="10"/>
      <c r="B1087" s="10"/>
      <c r="C1087" s="10"/>
      <c r="D1087" s="10"/>
      <c r="E1087" s="10"/>
      <c r="F1087" s="10"/>
      <c r="G1087" s="10"/>
      <c r="H1087" s="17"/>
      <c r="I1087" s="10"/>
      <c r="J1087" s="10"/>
      <c r="K1087" s="16" t="str">
        <f t="shared" si="356"/>
        <v/>
      </c>
      <c r="L1087" s="23" t="str">
        <f t="shared" si="357"/>
        <v/>
      </c>
      <c r="M1087" s="22" t="str">
        <f t="shared" si="358"/>
        <v/>
      </c>
      <c r="N1087" s="72"/>
      <c r="O1087" s="16" t="str">
        <f t="shared" si="359"/>
        <v/>
      </c>
      <c r="P1087" s="16" t="str">
        <f t="shared" si="360"/>
        <v/>
      </c>
      <c r="Q1087" s="16" t="str">
        <f t="shared" si="361"/>
        <v/>
      </c>
      <c r="R1087" s="23" t="str">
        <f t="shared" si="362"/>
        <v/>
      </c>
      <c r="S1087" s="23" t="str">
        <f t="shared" si="363"/>
        <v/>
      </c>
      <c r="T1087" s="23" t="str">
        <f t="shared" si="364"/>
        <v/>
      </c>
      <c r="U1087" s="23" t="str">
        <f t="shared" si="365"/>
        <v/>
      </c>
      <c r="V1087" s="23" t="str">
        <f t="shared" si="366"/>
        <v/>
      </c>
      <c r="W1087" s="70" t="str">
        <f t="shared" si="367"/>
        <v/>
      </c>
      <c r="X1087" s="70" t="str">
        <f t="shared" si="368"/>
        <v/>
      </c>
      <c r="Y1087" s="70" t="str">
        <f>IF(AND($A1087&lt;&gt;"",$E1087&gt;0),isLaptopBag($C1087,$J1087)*$D1087,"")</f>
        <v/>
      </c>
      <c r="Z1087" s="70" t="str">
        <f t="shared" si="369"/>
        <v/>
      </c>
      <c r="AA1087" s="70" t="str">
        <f t="shared" si="370"/>
        <v/>
      </c>
      <c r="AB1087" s="70" t="str">
        <f t="shared" si="371"/>
        <v/>
      </c>
      <c r="AC1087" s="70" t="str">
        <f t="shared" si="372"/>
        <v/>
      </c>
      <c r="AD1087" s="70" t="str">
        <f t="shared" si="373"/>
        <v/>
      </c>
      <c r="AE1087" s="70" t="str">
        <f t="shared" si="374"/>
        <v/>
      </c>
      <c r="AF1087" s="16"/>
      <c r="AG1087" s="23"/>
      <c r="AH1087" s="22"/>
      <c r="AJ1087" s="83">
        <f t="shared" si="375"/>
        <v>0</v>
      </c>
      <c r="AO1087" s="22" t="str">
        <f t="shared" si="376"/>
        <v/>
      </c>
      <c r="AP1087" s="22" t="str">
        <f t="shared" si="377"/>
        <v/>
      </c>
    </row>
    <row r="1088" spans="1:42" x14ac:dyDescent="0.25">
      <c r="A1088" s="10"/>
      <c r="B1088" s="10"/>
      <c r="C1088" s="10"/>
      <c r="D1088" s="10"/>
      <c r="E1088" s="10"/>
      <c r="F1088" s="10"/>
      <c r="G1088" s="10"/>
      <c r="H1088" s="17"/>
      <c r="I1088" s="10"/>
      <c r="J1088" s="10"/>
      <c r="K1088" s="16" t="str">
        <f t="shared" si="356"/>
        <v/>
      </c>
      <c r="L1088" s="23" t="str">
        <f t="shared" si="357"/>
        <v/>
      </c>
      <c r="M1088" s="22" t="str">
        <f t="shared" si="358"/>
        <v/>
      </c>
      <c r="N1088" s="72"/>
      <c r="O1088" s="16" t="str">
        <f t="shared" si="359"/>
        <v/>
      </c>
      <c r="P1088" s="16" t="str">
        <f t="shared" si="360"/>
        <v/>
      </c>
      <c r="Q1088" s="16" t="str">
        <f t="shared" si="361"/>
        <v/>
      </c>
      <c r="R1088" s="23" t="str">
        <f t="shared" si="362"/>
        <v/>
      </c>
      <c r="S1088" s="23" t="str">
        <f t="shared" si="363"/>
        <v/>
      </c>
      <c r="T1088" s="23" t="str">
        <f t="shared" si="364"/>
        <v/>
      </c>
      <c r="U1088" s="23" t="str">
        <f t="shared" si="365"/>
        <v/>
      </c>
      <c r="V1088" s="23" t="str">
        <f t="shared" si="366"/>
        <v/>
      </c>
      <c r="W1088" s="70" t="str">
        <f t="shared" si="367"/>
        <v/>
      </c>
      <c r="X1088" s="70" t="str">
        <f t="shared" si="368"/>
        <v/>
      </c>
      <c r="Y1088" s="70" t="str">
        <f>IF(AND($A1088&lt;&gt;"",$E1088&gt;0),isLaptopBag($C1088,$J1088)*$D1088,"")</f>
        <v/>
      </c>
      <c r="Z1088" s="70" t="str">
        <f t="shared" si="369"/>
        <v/>
      </c>
      <c r="AA1088" s="70" t="str">
        <f t="shared" si="370"/>
        <v/>
      </c>
      <c r="AB1088" s="70" t="str">
        <f t="shared" si="371"/>
        <v/>
      </c>
      <c r="AC1088" s="70" t="str">
        <f t="shared" si="372"/>
        <v/>
      </c>
      <c r="AD1088" s="70" t="str">
        <f t="shared" si="373"/>
        <v/>
      </c>
      <c r="AE1088" s="70" t="str">
        <f t="shared" si="374"/>
        <v/>
      </c>
      <c r="AF1088" s="16"/>
      <c r="AG1088" s="23"/>
      <c r="AH1088" s="22"/>
      <c r="AJ1088" s="83">
        <f t="shared" si="375"/>
        <v>0</v>
      </c>
      <c r="AO1088" s="22" t="str">
        <f t="shared" si="376"/>
        <v/>
      </c>
      <c r="AP1088" s="22" t="str">
        <f t="shared" si="377"/>
        <v/>
      </c>
    </row>
    <row r="1089" spans="1:42" x14ac:dyDescent="0.25">
      <c r="A1089" s="10"/>
      <c r="B1089" s="10"/>
      <c r="C1089" s="10"/>
      <c r="D1089" s="10"/>
      <c r="E1089" s="10"/>
      <c r="F1089" s="10"/>
      <c r="G1089" s="10"/>
      <c r="H1089" s="17"/>
      <c r="I1089" s="10"/>
      <c r="J1089" s="10"/>
      <c r="K1089" s="16" t="str">
        <f t="shared" si="356"/>
        <v/>
      </c>
      <c r="L1089" s="23" t="str">
        <f t="shared" si="357"/>
        <v/>
      </c>
      <c r="M1089" s="22" t="str">
        <f t="shared" si="358"/>
        <v/>
      </c>
      <c r="N1089" s="72"/>
      <c r="O1089" s="16" t="str">
        <f t="shared" si="359"/>
        <v/>
      </c>
      <c r="P1089" s="16" t="str">
        <f t="shared" si="360"/>
        <v/>
      </c>
      <c r="Q1089" s="16" t="str">
        <f t="shared" si="361"/>
        <v/>
      </c>
      <c r="R1089" s="23" t="str">
        <f t="shared" si="362"/>
        <v/>
      </c>
      <c r="S1089" s="23" t="str">
        <f t="shared" si="363"/>
        <v/>
      </c>
      <c r="T1089" s="23" t="str">
        <f t="shared" si="364"/>
        <v/>
      </c>
      <c r="U1089" s="23" t="str">
        <f t="shared" si="365"/>
        <v/>
      </c>
      <c r="V1089" s="23" t="str">
        <f t="shared" si="366"/>
        <v/>
      </c>
      <c r="W1089" s="70" t="str">
        <f t="shared" si="367"/>
        <v/>
      </c>
      <c r="X1089" s="70" t="str">
        <f t="shared" si="368"/>
        <v/>
      </c>
      <c r="Y1089" s="70" t="str">
        <f>IF(AND($A1089&lt;&gt;"",$E1089&gt;0),isLaptopBag($C1089,$J1089)*$D1089,"")</f>
        <v/>
      </c>
      <c r="Z1089" s="70" t="str">
        <f t="shared" si="369"/>
        <v/>
      </c>
      <c r="AA1089" s="70" t="str">
        <f t="shared" si="370"/>
        <v/>
      </c>
      <c r="AB1089" s="70" t="str">
        <f t="shared" si="371"/>
        <v/>
      </c>
      <c r="AC1089" s="70" t="str">
        <f t="shared" si="372"/>
        <v/>
      </c>
      <c r="AD1089" s="70" t="str">
        <f t="shared" si="373"/>
        <v/>
      </c>
      <c r="AE1089" s="70" t="str">
        <f t="shared" si="374"/>
        <v/>
      </c>
      <c r="AF1089" s="16"/>
      <c r="AG1089" s="23"/>
      <c r="AH1089" s="22"/>
      <c r="AJ1089" s="83">
        <f t="shared" si="375"/>
        <v>0</v>
      </c>
      <c r="AO1089" s="22" t="str">
        <f t="shared" si="376"/>
        <v/>
      </c>
      <c r="AP1089" s="22" t="str">
        <f t="shared" si="377"/>
        <v/>
      </c>
    </row>
    <row r="1090" spans="1:42" x14ac:dyDescent="0.25">
      <c r="A1090" s="10"/>
      <c r="B1090" s="10"/>
      <c r="C1090" s="10"/>
      <c r="D1090" s="10"/>
      <c r="E1090" s="10"/>
      <c r="F1090" s="10"/>
      <c r="G1090" s="10"/>
      <c r="H1090" s="17"/>
      <c r="I1090" s="10"/>
      <c r="J1090" s="10"/>
      <c r="K1090" s="16" t="str">
        <f t="shared" si="356"/>
        <v/>
      </c>
      <c r="L1090" s="23" t="str">
        <f t="shared" si="357"/>
        <v/>
      </c>
      <c r="M1090" s="22" t="str">
        <f t="shared" si="358"/>
        <v/>
      </c>
      <c r="N1090" s="72"/>
      <c r="O1090" s="16" t="str">
        <f t="shared" si="359"/>
        <v/>
      </c>
      <c r="P1090" s="16" t="str">
        <f t="shared" si="360"/>
        <v/>
      </c>
      <c r="Q1090" s="16" t="str">
        <f t="shared" si="361"/>
        <v/>
      </c>
      <c r="R1090" s="23" t="str">
        <f t="shared" si="362"/>
        <v/>
      </c>
      <c r="S1090" s="23" t="str">
        <f t="shared" si="363"/>
        <v/>
      </c>
      <c r="T1090" s="23" t="str">
        <f t="shared" si="364"/>
        <v/>
      </c>
      <c r="U1090" s="23" t="str">
        <f t="shared" si="365"/>
        <v/>
      </c>
      <c r="V1090" s="23" t="str">
        <f t="shared" si="366"/>
        <v/>
      </c>
      <c r="W1090" s="70" t="str">
        <f t="shared" si="367"/>
        <v/>
      </c>
      <c r="X1090" s="70" t="str">
        <f t="shared" si="368"/>
        <v/>
      </c>
      <c r="Y1090" s="70" t="str">
        <f>IF(AND($A1090&lt;&gt;"",$E1090&gt;0),isLaptopBag($C1090,$J1090)*$D1090,"")</f>
        <v/>
      </c>
      <c r="Z1090" s="70" t="str">
        <f t="shared" si="369"/>
        <v/>
      </c>
      <c r="AA1090" s="70" t="str">
        <f t="shared" si="370"/>
        <v/>
      </c>
      <c r="AB1090" s="70" t="str">
        <f t="shared" si="371"/>
        <v/>
      </c>
      <c r="AC1090" s="70" t="str">
        <f t="shared" si="372"/>
        <v/>
      </c>
      <c r="AD1090" s="70" t="str">
        <f t="shared" si="373"/>
        <v/>
      </c>
      <c r="AE1090" s="70" t="str">
        <f t="shared" si="374"/>
        <v/>
      </c>
      <c r="AF1090" s="16"/>
      <c r="AG1090" s="23"/>
      <c r="AH1090" s="22"/>
      <c r="AJ1090" s="83">
        <f t="shared" si="375"/>
        <v>0</v>
      </c>
      <c r="AO1090" s="22" t="str">
        <f t="shared" si="376"/>
        <v/>
      </c>
      <c r="AP1090" s="22" t="str">
        <f t="shared" si="377"/>
        <v/>
      </c>
    </row>
    <row r="1091" spans="1:42" x14ac:dyDescent="0.25">
      <c r="A1091" s="10"/>
      <c r="B1091" s="10"/>
      <c r="C1091" s="10"/>
      <c r="D1091" s="10"/>
      <c r="E1091" s="10"/>
      <c r="F1091" s="10"/>
      <c r="G1091" s="10"/>
      <c r="H1091" s="17"/>
      <c r="I1091" s="10"/>
      <c r="J1091" s="10"/>
      <c r="K1091" s="16" t="str">
        <f t="shared" si="356"/>
        <v/>
      </c>
      <c r="L1091" s="23" t="str">
        <f t="shared" si="357"/>
        <v/>
      </c>
      <c r="M1091" s="22" t="str">
        <f t="shared" si="358"/>
        <v/>
      </c>
      <c r="N1091" s="72"/>
      <c r="O1091" s="16" t="str">
        <f t="shared" si="359"/>
        <v/>
      </c>
      <c r="P1091" s="16" t="str">
        <f t="shared" si="360"/>
        <v/>
      </c>
      <c r="Q1091" s="16" t="str">
        <f t="shared" si="361"/>
        <v/>
      </c>
      <c r="R1091" s="23" t="str">
        <f t="shared" si="362"/>
        <v/>
      </c>
      <c r="S1091" s="23" t="str">
        <f t="shared" si="363"/>
        <v/>
      </c>
      <c r="T1091" s="23" t="str">
        <f t="shared" si="364"/>
        <v/>
      </c>
      <c r="U1091" s="23" t="str">
        <f t="shared" si="365"/>
        <v/>
      </c>
      <c r="V1091" s="23" t="str">
        <f t="shared" si="366"/>
        <v/>
      </c>
      <c r="W1091" s="70" t="str">
        <f t="shared" si="367"/>
        <v/>
      </c>
      <c r="X1091" s="70" t="str">
        <f t="shared" si="368"/>
        <v/>
      </c>
      <c r="Y1091" s="70" t="str">
        <f>IF(AND($A1091&lt;&gt;"",$E1091&gt;0),isLaptopBag($C1091,$J1091)*$D1091,"")</f>
        <v/>
      </c>
      <c r="Z1091" s="70" t="str">
        <f t="shared" si="369"/>
        <v/>
      </c>
      <c r="AA1091" s="70" t="str">
        <f t="shared" si="370"/>
        <v/>
      </c>
      <c r="AB1091" s="70" t="str">
        <f t="shared" si="371"/>
        <v/>
      </c>
      <c r="AC1091" s="70" t="str">
        <f t="shared" si="372"/>
        <v/>
      </c>
      <c r="AD1091" s="70" t="str">
        <f t="shared" si="373"/>
        <v/>
      </c>
      <c r="AE1091" s="70" t="str">
        <f t="shared" si="374"/>
        <v/>
      </c>
      <c r="AF1091" s="16"/>
      <c r="AG1091" s="23"/>
      <c r="AH1091" s="22"/>
      <c r="AJ1091" s="83">
        <f t="shared" si="375"/>
        <v>0</v>
      </c>
      <c r="AO1091" s="22" t="str">
        <f t="shared" si="376"/>
        <v/>
      </c>
      <c r="AP1091" s="22" t="str">
        <f t="shared" si="377"/>
        <v/>
      </c>
    </row>
    <row r="1092" spans="1:42" x14ac:dyDescent="0.25">
      <c r="A1092" s="10"/>
      <c r="B1092" s="10"/>
      <c r="C1092" s="10"/>
      <c r="D1092" s="10"/>
      <c r="E1092" s="10"/>
      <c r="F1092" s="10"/>
      <c r="G1092" s="10"/>
      <c r="H1092" s="17"/>
      <c r="I1092" s="10"/>
      <c r="J1092" s="10"/>
      <c r="K1092" s="16" t="str">
        <f t="shared" si="356"/>
        <v/>
      </c>
      <c r="L1092" s="23" t="str">
        <f t="shared" si="357"/>
        <v/>
      </c>
      <c r="M1092" s="22" t="str">
        <f t="shared" si="358"/>
        <v/>
      </c>
      <c r="N1092" s="72"/>
      <c r="O1092" s="16" t="str">
        <f t="shared" si="359"/>
        <v/>
      </c>
      <c r="P1092" s="16" t="str">
        <f t="shared" si="360"/>
        <v/>
      </c>
      <c r="Q1092" s="16" t="str">
        <f t="shared" si="361"/>
        <v/>
      </c>
      <c r="R1092" s="23" t="str">
        <f t="shared" si="362"/>
        <v/>
      </c>
      <c r="S1092" s="23" t="str">
        <f t="shared" si="363"/>
        <v/>
      </c>
      <c r="T1092" s="23" t="str">
        <f t="shared" si="364"/>
        <v/>
      </c>
      <c r="U1092" s="23" t="str">
        <f t="shared" si="365"/>
        <v/>
      </c>
      <c r="V1092" s="23" t="str">
        <f t="shared" si="366"/>
        <v/>
      </c>
      <c r="W1092" s="70" t="str">
        <f t="shared" si="367"/>
        <v/>
      </c>
      <c r="X1092" s="70" t="str">
        <f t="shared" si="368"/>
        <v/>
      </c>
      <c r="Y1092" s="70" t="str">
        <f>IF(AND($A1092&lt;&gt;"",$E1092&gt;0),isLaptopBag($C1092,$J1092)*$D1092,"")</f>
        <v/>
      </c>
      <c r="Z1092" s="70" t="str">
        <f t="shared" si="369"/>
        <v/>
      </c>
      <c r="AA1092" s="70" t="str">
        <f t="shared" si="370"/>
        <v/>
      </c>
      <c r="AB1092" s="70" t="str">
        <f t="shared" si="371"/>
        <v/>
      </c>
      <c r="AC1092" s="70" t="str">
        <f t="shared" si="372"/>
        <v/>
      </c>
      <c r="AD1092" s="70" t="str">
        <f t="shared" si="373"/>
        <v/>
      </c>
      <c r="AE1092" s="70" t="str">
        <f t="shared" si="374"/>
        <v/>
      </c>
      <c r="AF1092" s="16"/>
      <c r="AG1092" s="23"/>
      <c r="AH1092" s="22"/>
      <c r="AJ1092" s="83">
        <f t="shared" si="375"/>
        <v>0</v>
      </c>
      <c r="AO1092" s="22" t="str">
        <f t="shared" si="376"/>
        <v/>
      </c>
      <c r="AP1092" s="22" t="str">
        <f t="shared" si="377"/>
        <v/>
      </c>
    </row>
    <row r="1093" spans="1:42" x14ac:dyDescent="0.25">
      <c r="A1093" s="10"/>
      <c r="B1093" s="10"/>
      <c r="C1093" s="10"/>
      <c r="D1093" s="10"/>
      <c r="E1093" s="10"/>
      <c r="F1093" s="10"/>
      <c r="G1093" s="10"/>
      <c r="H1093" s="17"/>
      <c r="I1093" s="10"/>
      <c r="J1093" s="10"/>
      <c r="K1093" s="16" t="str">
        <f t="shared" si="356"/>
        <v/>
      </c>
      <c r="L1093" s="23" t="str">
        <f t="shared" si="357"/>
        <v/>
      </c>
      <c r="M1093" s="22" t="str">
        <f t="shared" si="358"/>
        <v/>
      </c>
      <c r="N1093" s="72"/>
      <c r="O1093" s="16" t="str">
        <f t="shared" si="359"/>
        <v/>
      </c>
      <c r="P1093" s="16" t="str">
        <f t="shared" si="360"/>
        <v/>
      </c>
      <c r="Q1093" s="16" t="str">
        <f t="shared" si="361"/>
        <v/>
      </c>
      <c r="R1093" s="23" t="str">
        <f t="shared" si="362"/>
        <v/>
      </c>
      <c r="S1093" s="23" t="str">
        <f t="shared" si="363"/>
        <v/>
      </c>
      <c r="T1093" s="23" t="str">
        <f t="shared" si="364"/>
        <v/>
      </c>
      <c r="U1093" s="23" t="str">
        <f t="shared" si="365"/>
        <v/>
      </c>
      <c r="V1093" s="23" t="str">
        <f t="shared" si="366"/>
        <v/>
      </c>
      <c r="W1093" s="70" t="str">
        <f t="shared" si="367"/>
        <v/>
      </c>
      <c r="X1093" s="70" t="str">
        <f t="shared" si="368"/>
        <v/>
      </c>
      <c r="Y1093" s="70" t="str">
        <f>IF(AND($A1093&lt;&gt;"",$E1093&gt;0),isLaptopBag($C1093,$J1093)*$D1093,"")</f>
        <v/>
      </c>
      <c r="Z1093" s="70" t="str">
        <f t="shared" si="369"/>
        <v/>
      </c>
      <c r="AA1093" s="70" t="str">
        <f t="shared" si="370"/>
        <v/>
      </c>
      <c r="AB1093" s="70" t="str">
        <f t="shared" si="371"/>
        <v/>
      </c>
      <c r="AC1093" s="70" t="str">
        <f t="shared" si="372"/>
        <v/>
      </c>
      <c r="AD1093" s="70" t="str">
        <f t="shared" si="373"/>
        <v/>
      </c>
      <c r="AE1093" s="70" t="str">
        <f t="shared" si="374"/>
        <v/>
      </c>
      <c r="AF1093" s="16"/>
      <c r="AG1093" s="23"/>
      <c r="AH1093" s="22"/>
      <c r="AJ1093" s="83">
        <f t="shared" si="375"/>
        <v>0</v>
      </c>
      <c r="AO1093" s="22" t="str">
        <f t="shared" si="376"/>
        <v/>
      </c>
      <c r="AP1093" s="22" t="str">
        <f t="shared" si="377"/>
        <v/>
      </c>
    </row>
    <row r="1094" spans="1:42" x14ac:dyDescent="0.25">
      <c r="A1094" s="10"/>
      <c r="B1094" s="10"/>
      <c r="C1094" s="10"/>
      <c r="D1094" s="10"/>
      <c r="E1094" s="10"/>
      <c r="F1094" s="10"/>
      <c r="G1094" s="10"/>
      <c r="H1094" s="17"/>
      <c r="I1094" s="10"/>
      <c r="J1094" s="10"/>
      <c r="K1094" s="16" t="str">
        <f t="shared" si="356"/>
        <v/>
      </c>
      <c r="L1094" s="23" t="str">
        <f t="shared" si="357"/>
        <v/>
      </c>
      <c r="M1094" s="22" t="str">
        <f t="shared" si="358"/>
        <v/>
      </c>
      <c r="N1094" s="72"/>
      <c r="O1094" s="16" t="str">
        <f t="shared" si="359"/>
        <v/>
      </c>
      <c r="P1094" s="16" t="str">
        <f t="shared" si="360"/>
        <v/>
      </c>
      <c r="Q1094" s="16" t="str">
        <f t="shared" si="361"/>
        <v/>
      </c>
      <c r="R1094" s="23" t="str">
        <f t="shared" si="362"/>
        <v/>
      </c>
      <c r="S1094" s="23" t="str">
        <f t="shared" si="363"/>
        <v/>
      </c>
      <c r="T1094" s="23" t="str">
        <f t="shared" si="364"/>
        <v/>
      </c>
      <c r="U1094" s="23" t="str">
        <f t="shared" si="365"/>
        <v/>
      </c>
      <c r="V1094" s="23" t="str">
        <f t="shared" si="366"/>
        <v/>
      </c>
      <c r="W1094" s="70" t="str">
        <f t="shared" si="367"/>
        <v/>
      </c>
      <c r="X1094" s="70" t="str">
        <f t="shared" si="368"/>
        <v/>
      </c>
      <c r="Y1094" s="70" t="str">
        <f>IF(AND($A1094&lt;&gt;"",$E1094&gt;0),isLaptopBag($C1094,$J1094)*$D1094,"")</f>
        <v/>
      </c>
      <c r="Z1094" s="70" t="str">
        <f t="shared" si="369"/>
        <v/>
      </c>
      <c r="AA1094" s="70" t="str">
        <f t="shared" si="370"/>
        <v/>
      </c>
      <c r="AB1094" s="70" t="str">
        <f t="shared" si="371"/>
        <v/>
      </c>
      <c r="AC1094" s="70" t="str">
        <f t="shared" si="372"/>
        <v/>
      </c>
      <c r="AD1094" s="70" t="str">
        <f t="shared" si="373"/>
        <v/>
      </c>
      <c r="AE1094" s="70" t="str">
        <f t="shared" si="374"/>
        <v/>
      </c>
      <c r="AF1094" s="16"/>
      <c r="AG1094" s="23"/>
      <c r="AH1094" s="22"/>
      <c r="AJ1094" s="83">
        <f t="shared" si="375"/>
        <v>0</v>
      </c>
      <c r="AO1094" s="22" t="str">
        <f t="shared" si="376"/>
        <v/>
      </c>
      <c r="AP1094" s="22" t="str">
        <f t="shared" si="377"/>
        <v/>
      </c>
    </row>
    <row r="1095" spans="1:42" x14ac:dyDescent="0.25">
      <c r="A1095" s="10"/>
      <c r="B1095" s="10"/>
      <c r="C1095" s="10"/>
      <c r="D1095" s="10"/>
      <c r="E1095" s="10"/>
      <c r="F1095" s="10"/>
      <c r="G1095" s="10"/>
      <c r="H1095" s="17"/>
      <c r="I1095" s="10"/>
      <c r="J1095" s="10"/>
      <c r="K1095" s="16" t="str">
        <f t="shared" si="356"/>
        <v/>
      </c>
      <c r="L1095" s="23" t="str">
        <f t="shared" si="357"/>
        <v/>
      </c>
      <c r="M1095" s="22" t="str">
        <f t="shared" si="358"/>
        <v/>
      </c>
      <c r="N1095" s="72"/>
      <c r="O1095" s="16" t="str">
        <f t="shared" si="359"/>
        <v/>
      </c>
      <c r="P1095" s="16" t="str">
        <f t="shared" si="360"/>
        <v/>
      </c>
      <c r="Q1095" s="16" t="str">
        <f t="shared" si="361"/>
        <v/>
      </c>
      <c r="R1095" s="23" t="str">
        <f t="shared" si="362"/>
        <v/>
      </c>
      <c r="S1095" s="23" t="str">
        <f t="shared" si="363"/>
        <v/>
      </c>
      <c r="T1095" s="23" t="str">
        <f t="shared" si="364"/>
        <v/>
      </c>
      <c r="U1095" s="23" t="str">
        <f t="shared" si="365"/>
        <v/>
      </c>
      <c r="V1095" s="23" t="str">
        <f t="shared" si="366"/>
        <v/>
      </c>
      <c r="W1095" s="70" t="str">
        <f t="shared" si="367"/>
        <v/>
      </c>
      <c r="X1095" s="70" t="str">
        <f t="shared" si="368"/>
        <v/>
      </c>
      <c r="Y1095" s="70" t="str">
        <f>IF(AND($A1095&lt;&gt;"",$E1095&gt;0),isLaptopBag($C1095,$J1095)*$D1095,"")</f>
        <v/>
      </c>
      <c r="Z1095" s="70" t="str">
        <f t="shared" si="369"/>
        <v/>
      </c>
      <c r="AA1095" s="70" t="str">
        <f t="shared" si="370"/>
        <v/>
      </c>
      <c r="AB1095" s="70" t="str">
        <f t="shared" si="371"/>
        <v/>
      </c>
      <c r="AC1095" s="70" t="str">
        <f t="shared" si="372"/>
        <v/>
      </c>
      <c r="AD1095" s="70" t="str">
        <f t="shared" si="373"/>
        <v/>
      </c>
      <c r="AE1095" s="70" t="str">
        <f t="shared" si="374"/>
        <v/>
      </c>
      <c r="AF1095" s="16"/>
      <c r="AG1095" s="23"/>
      <c r="AH1095" s="22"/>
      <c r="AJ1095" s="83">
        <f t="shared" si="375"/>
        <v>0</v>
      </c>
      <c r="AO1095" s="22" t="str">
        <f t="shared" si="376"/>
        <v/>
      </c>
      <c r="AP1095" s="22" t="str">
        <f t="shared" si="377"/>
        <v/>
      </c>
    </row>
    <row r="1096" spans="1:42" x14ac:dyDescent="0.25">
      <c r="A1096" s="10"/>
      <c r="B1096" s="10"/>
      <c r="C1096" s="10"/>
      <c r="D1096" s="10"/>
      <c r="E1096" s="10"/>
      <c r="F1096" s="10"/>
      <c r="G1096" s="10"/>
      <c r="H1096" s="17"/>
      <c r="I1096" s="10"/>
      <c r="J1096" s="10"/>
      <c r="K1096" s="16" t="str">
        <f t="shared" si="356"/>
        <v/>
      </c>
      <c r="L1096" s="23" t="str">
        <f t="shared" si="357"/>
        <v/>
      </c>
      <c r="M1096" s="22" t="str">
        <f t="shared" si="358"/>
        <v/>
      </c>
      <c r="N1096" s="72"/>
      <c r="O1096" s="16" t="str">
        <f t="shared" si="359"/>
        <v/>
      </c>
      <c r="P1096" s="16" t="str">
        <f t="shared" si="360"/>
        <v/>
      </c>
      <c r="Q1096" s="16" t="str">
        <f t="shared" si="361"/>
        <v/>
      </c>
      <c r="R1096" s="23" t="str">
        <f t="shared" si="362"/>
        <v/>
      </c>
      <c r="S1096" s="23" t="str">
        <f t="shared" si="363"/>
        <v/>
      </c>
      <c r="T1096" s="23" t="str">
        <f t="shared" si="364"/>
        <v/>
      </c>
      <c r="U1096" s="23" t="str">
        <f t="shared" si="365"/>
        <v/>
      </c>
      <c r="V1096" s="23" t="str">
        <f t="shared" si="366"/>
        <v/>
      </c>
      <c r="W1096" s="70" t="str">
        <f t="shared" si="367"/>
        <v/>
      </c>
      <c r="X1096" s="70" t="str">
        <f t="shared" si="368"/>
        <v/>
      </c>
      <c r="Y1096" s="70" t="str">
        <f>IF(AND($A1096&lt;&gt;"",$E1096&gt;0),isLaptopBag($C1096,$J1096)*$D1096,"")</f>
        <v/>
      </c>
      <c r="Z1096" s="70" t="str">
        <f t="shared" si="369"/>
        <v/>
      </c>
      <c r="AA1096" s="70" t="str">
        <f t="shared" si="370"/>
        <v/>
      </c>
      <c r="AB1096" s="70" t="str">
        <f t="shared" si="371"/>
        <v/>
      </c>
      <c r="AC1096" s="70" t="str">
        <f t="shared" si="372"/>
        <v/>
      </c>
      <c r="AD1096" s="70" t="str">
        <f t="shared" si="373"/>
        <v/>
      </c>
      <c r="AE1096" s="70" t="str">
        <f t="shared" si="374"/>
        <v/>
      </c>
      <c r="AF1096" s="16"/>
      <c r="AG1096" s="23"/>
      <c r="AH1096" s="22"/>
      <c r="AJ1096" s="83">
        <f t="shared" si="375"/>
        <v>0</v>
      </c>
      <c r="AO1096" s="22" t="str">
        <f t="shared" si="376"/>
        <v/>
      </c>
      <c r="AP1096" s="22" t="str">
        <f t="shared" si="377"/>
        <v/>
      </c>
    </row>
    <row r="1097" spans="1:42" x14ac:dyDescent="0.25">
      <c r="A1097" s="10"/>
      <c r="B1097" s="10"/>
      <c r="C1097" s="10"/>
      <c r="D1097" s="10"/>
      <c r="E1097" s="10"/>
      <c r="F1097" s="10"/>
      <c r="G1097" s="10"/>
      <c r="H1097" s="17"/>
      <c r="I1097" s="10"/>
      <c r="J1097" s="10"/>
      <c r="K1097" s="16" t="str">
        <f t="shared" si="356"/>
        <v/>
      </c>
      <c r="L1097" s="23" t="str">
        <f t="shared" si="357"/>
        <v/>
      </c>
      <c r="M1097" s="22" t="str">
        <f t="shared" si="358"/>
        <v/>
      </c>
      <c r="N1097" s="72"/>
      <c r="O1097" s="16" t="str">
        <f t="shared" si="359"/>
        <v/>
      </c>
      <c r="P1097" s="16" t="str">
        <f t="shared" si="360"/>
        <v/>
      </c>
      <c r="Q1097" s="16" t="str">
        <f t="shared" si="361"/>
        <v/>
      </c>
      <c r="R1097" s="23" t="str">
        <f t="shared" si="362"/>
        <v/>
      </c>
      <c r="S1097" s="23" t="str">
        <f t="shared" si="363"/>
        <v/>
      </c>
      <c r="T1097" s="23" t="str">
        <f t="shared" si="364"/>
        <v/>
      </c>
      <c r="U1097" s="23" t="str">
        <f t="shared" si="365"/>
        <v/>
      </c>
      <c r="V1097" s="23" t="str">
        <f t="shared" si="366"/>
        <v/>
      </c>
      <c r="W1097" s="70" t="str">
        <f t="shared" si="367"/>
        <v/>
      </c>
      <c r="X1097" s="70" t="str">
        <f t="shared" si="368"/>
        <v/>
      </c>
      <c r="Y1097" s="70" t="str">
        <f>IF(AND($A1097&lt;&gt;"",$E1097&gt;0),isLaptopBag($C1097,$J1097)*$D1097,"")</f>
        <v/>
      </c>
      <c r="Z1097" s="70" t="str">
        <f t="shared" si="369"/>
        <v/>
      </c>
      <c r="AA1097" s="70" t="str">
        <f t="shared" si="370"/>
        <v/>
      </c>
      <c r="AB1097" s="70" t="str">
        <f t="shared" si="371"/>
        <v/>
      </c>
      <c r="AC1097" s="70" t="str">
        <f t="shared" si="372"/>
        <v/>
      </c>
      <c r="AD1097" s="70" t="str">
        <f t="shared" si="373"/>
        <v/>
      </c>
      <c r="AE1097" s="70" t="str">
        <f t="shared" si="374"/>
        <v/>
      </c>
      <c r="AF1097" s="16"/>
      <c r="AG1097" s="23"/>
      <c r="AH1097" s="22"/>
      <c r="AJ1097" s="83">
        <f t="shared" si="375"/>
        <v>0</v>
      </c>
      <c r="AO1097" s="22" t="str">
        <f t="shared" si="376"/>
        <v/>
      </c>
      <c r="AP1097" s="22" t="str">
        <f t="shared" si="377"/>
        <v/>
      </c>
    </row>
    <row r="1098" spans="1:42" x14ac:dyDescent="0.25">
      <c r="A1098" s="10"/>
      <c r="B1098" s="10"/>
      <c r="C1098" s="10"/>
      <c r="D1098" s="10"/>
      <c r="E1098" s="10"/>
      <c r="F1098" s="10"/>
      <c r="G1098" s="10"/>
      <c r="H1098" s="17"/>
      <c r="I1098" s="10"/>
      <c r="J1098" s="10"/>
      <c r="K1098" s="16" t="str">
        <f t="shared" si="356"/>
        <v/>
      </c>
      <c r="L1098" s="23" t="str">
        <f t="shared" si="357"/>
        <v/>
      </c>
      <c r="M1098" s="22" t="str">
        <f t="shared" si="358"/>
        <v/>
      </c>
      <c r="N1098" s="72"/>
      <c r="O1098" s="16" t="str">
        <f t="shared" si="359"/>
        <v/>
      </c>
      <c r="P1098" s="16" t="str">
        <f t="shared" si="360"/>
        <v/>
      </c>
      <c r="Q1098" s="16" t="str">
        <f t="shared" si="361"/>
        <v/>
      </c>
      <c r="R1098" s="23" t="str">
        <f t="shared" si="362"/>
        <v/>
      </c>
      <c r="S1098" s="23" t="str">
        <f t="shared" si="363"/>
        <v/>
      </c>
      <c r="T1098" s="23" t="str">
        <f t="shared" si="364"/>
        <v/>
      </c>
      <c r="U1098" s="23" t="str">
        <f t="shared" si="365"/>
        <v/>
      </c>
      <c r="V1098" s="23" t="str">
        <f t="shared" si="366"/>
        <v/>
      </c>
      <c r="W1098" s="70" t="str">
        <f t="shared" si="367"/>
        <v/>
      </c>
      <c r="X1098" s="70" t="str">
        <f t="shared" si="368"/>
        <v/>
      </c>
      <c r="Y1098" s="70" t="str">
        <f>IF(AND($A1098&lt;&gt;"",$E1098&gt;0),isLaptopBag($C1098,$J1098)*$D1098,"")</f>
        <v/>
      </c>
      <c r="Z1098" s="70" t="str">
        <f t="shared" si="369"/>
        <v/>
      </c>
      <c r="AA1098" s="70" t="str">
        <f t="shared" si="370"/>
        <v/>
      </c>
      <c r="AB1098" s="70" t="str">
        <f t="shared" si="371"/>
        <v/>
      </c>
      <c r="AC1098" s="70" t="str">
        <f t="shared" si="372"/>
        <v/>
      </c>
      <c r="AD1098" s="70" t="str">
        <f t="shared" si="373"/>
        <v/>
      </c>
      <c r="AE1098" s="70" t="str">
        <f t="shared" si="374"/>
        <v/>
      </c>
      <c r="AF1098" s="16"/>
      <c r="AG1098" s="23"/>
      <c r="AH1098" s="22"/>
      <c r="AJ1098" s="83">
        <f t="shared" si="375"/>
        <v>0</v>
      </c>
      <c r="AO1098" s="22" t="str">
        <f t="shared" si="376"/>
        <v/>
      </c>
      <c r="AP1098" s="22" t="str">
        <f t="shared" si="377"/>
        <v/>
      </c>
    </row>
    <row r="1099" spans="1:42" x14ac:dyDescent="0.25">
      <c r="A1099" s="10"/>
      <c r="B1099" s="10"/>
      <c r="C1099" s="10"/>
      <c r="D1099" s="10"/>
      <c r="E1099" s="10"/>
      <c r="F1099" s="10"/>
      <c r="G1099" s="10"/>
      <c r="H1099" s="17"/>
      <c r="I1099" s="10"/>
      <c r="J1099" s="10"/>
      <c r="K1099" s="16" t="str">
        <f t="shared" si="356"/>
        <v/>
      </c>
      <c r="L1099" s="23" t="str">
        <f t="shared" si="357"/>
        <v/>
      </c>
      <c r="M1099" s="22" t="str">
        <f t="shared" si="358"/>
        <v/>
      </c>
      <c r="N1099" s="72"/>
      <c r="O1099" s="16" t="str">
        <f t="shared" si="359"/>
        <v/>
      </c>
      <c r="P1099" s="16" t="str">
        <f t="shared" si="360"/>
        <v/>
      </c>
      <c r="Q1099" s="16" t="str">
        <f t="shared" si="361"/>
        <v/>
      </c>
      <c r="R1099" s="23" t="str">
        <f t="shared" si="362"/>
        <v/>
      </c>
      <c r="S1099" s="23" t="str">
        <f t="shared" si="363"/>
        <v/>
      </c>
      <c r="T1099" s="23" t="str">
        <f t="shared" si="364"/>
        <v/>
      </c>
      <c r="U1099" s="23" t="str">
        <f t="shared" si="365"/>
        <v/>
      </c>
      <c r="V1099" s="23" t="str">
        <f t="shared" si="366"/>
        <v/>
      </c>
      <c r="W1099" s="70" t="str">
        <f t="shared" si="367"/>
        <v/>
      </c>
      <c r="X1099" s="70" t="str">
        <f t="shared" si="368"/>
        <v/>
      </c>
      <c r="Y1099" s="70" t="str">
        <f>IF(AND($A1099&lt;&gt;"",$E1099&gt;0),isLaptopBag($C1099,$J1099)*$D1099,"")</f>
        <v/>
      </c>
      <c r="Z1099" s="70" t="str">
        <f t="shared" si="369"/>
        <v/>
      </c>
      <c r="AA1099" s="70" t="str">
        <f t="shared" si="370"/>
        <v/>
      </c>
      <c r="AB1099" s="70" t="str">
        <f t="shared" si="371"/>
        <v/>
      </c>
      <c r="AC1099" s="70" t="str">
        <f t="shared" si="372"/>
        <v/>
      </c>
      <c r="AD1099" s="70" t="str">
        <f t="shared" si="373"/>
        <v/>
      </c>
      <c r="AE1099" s="70" t="str">
        <f t="shared" si="374"/>
        <v/>
      </c>
      <c r="AF1099" s="16"/>
      <c r="AG1099" s="23"/>
      <c r="AH1099" s="22"/>
      <c r="AJ1099" s="83">
        <f t="shared" si="375"/>
        <v>0</v>
      </c>
      <c r="AO1099" s="22" t="str">
        <f t="shared" si="376"/>
        <v/>
      </c>
      <c r="AP1099" s="22" t="str">
        <f t="shared" si="377"/>
        <v/>
      </c>
    </row>
    <row r="1100" spans="1:42" x14ac:dyDescent="0.25">
      <c r="A1100" s="10"/>
      <c r="B1100" s="10"/>
      <c r="C1100" s="10"/>
      <c r="D1100" s="10"/>
      <c r="E1100" s="10"/>
      <c r="F1100" s="10"/>
      <c r="G1100" s="10"/>
      <c r="H1100" s="17"/>
      <c r="I1100" s="10"/>
      <c r="J1100" s="10"/>
      <c r="K1100" s="16" t="str">
        <f t="shared" si="356"/>
        <v/>
      </c>
      <c r="L1100" s="23" t="str">
        <f t="shared" si="357"/>
        <v/>
      </c>
      <c r="M1100" s="22" t="str">
        <f t="shared" si="358"/>
        <v/>
      </c>
      <c r="N1100" s="72"/>
      <c r="O1100" s="16" t="str">
        <f t="shared" si="359"/>
        <v/>
      </c>
      <c r="P1100" s="16" t="str">
        <f t="shared" si="360"/>
        <v/>
      </c>
      <c r="Q1100" s="16" t="str">
        <f t="shared" si="361"/>
        <v/>
      </c>
      <c r="R1100" s="23" t="str">
        <f t="shared" si="362"/>
        <v/>
      </c>
      <c r="S1100" s="23" t="str">
        <f t="shared" si="363"/>
        <v/>
      </c>
      <c r="T1100" s="23" t="str">
        <f t="shared" si="364"/>
        <v/>
      </c>
      <c r="U1100" s="23" t="str">
        <f t="shared" si="365"/>
        <v/>
      </c>
      <c r="V1100" s="23" t="str">
        <f t="shared" si="366"/>
        <v/>
      </c>
      <c r="W1100" s="70" t="str">
        <f t="shared" si="367"/>
        <v/>
      </c>
      <c r="X1100" s="70" t="str">
        <f t="shared" si="368"/>
        <v/>
      </c>
      <c r="Y1100" s="70" t="str">
        <f>IF(AND($A1100&lt;&gt;"",$E1100&gt;0),isLaptopBag($C1100,$J1100)*$D1100,"")</f>
        <v/>
      </c>
      <c r="Z1100" s="70" t="str">
        <f t="shared" si="369"/>
        <v/>
      </c>
      <c r="AA1100" s="70" t="str">
        <f t="shared" si="370"/>
        <v/>
      </c>
      <c r="AB1100" s="70" t="str">
        <f t="shared" si="371"/>
        <v/>
      </c>
      <c r="AC1100" s="70" t="str">
        <f t="shared" si="372"/>
        <v/>
      </c>
      <c r="AD1100" s="70" t="str">
        <f t="shared" si="373"/>
        <v/>
      </c>
      <c r="AE1100" s="70" t="str">
        <f t="shared" si="374"/>
        <v/>
      </c>
      <c r="AF1100" s="16"/>
      <c r="AG1100" s="23"/>
      <c r="AH1100" s="22"/>
      <c r="AJ1100" s="83">
        <f t="shared" si="375"/>
        <v>0</v>
      </c>
      <c r="AO1100" s="22" t="str">
        <f t="shared" si="376"/>
        <v/>
      </c>
      <c r="AP1100" s="22" t="str">
        <f t="shared" si="377"/>
        <v/>
      </c>
    </row>
    <row r="1101" spans="1:42" x14ac:dyDescent="0.25">
      <c r="A1101" s="10"/>
      <c r="B1101" s="10"/>
      <c r="C1101" s="10"/>
      <c r="D1101" s="10"/>
      <c r="E1101" s="10"/>
      <c r="F1101" s="10"/>
      <c r="G1101" s="10"/>
      <c r="H1101" s="17"/>
      <c r="I1101" s="10"/>
      <c r="J1101" s="10"/>
      <c r="K1101" s="16" t="str">
        <f t="shared" ref="K1101:K1164" si="378">IF($AF1101&lt;&gt;"",$AF1101,IF(AND($A1101&lt;&gt;"",$E1101&gt;0),SUM($O1101:$Q1101),""))</f>
        <v/>
      </c>
      <c r="L1101" s="23" t="str">
        <f t="shared" ref="L1101:L1164" si="379">IF($AG1101&lt;&gt;"",$AG1101,IF(AND($A1101&lt;&gt;"",$E1101&gt;0),SUM($R1101:$V1101),""))</f>
        <v/>
      </c>
      <c r="M1101" s="22" t="str">
        <f t="shared" ref="M1101:M1164" si="380">IF($AH1101&lt;&gt;"",$AH1101,IF(AND($A1101&lt;&gt;"",$E1101&gt;0),SUM($W1101:$AE1101)+$AO1101+$AP1101,""))</f>
        <v/>
      </c>
      <c r="N1101" s="72"/>
      <c r="O1101" s="16" t="str">
        <f t="shared" ref="O1101:O1164" si="381">IF(AND($A1101&lt;&gt;"",$E1101&gt;0),IF(AND($J1101="SONY",200000&lt;=$E1101,$E1101&lt;1000000),5000*$D1101,0),"")</f>
        <v/>
      </c>
      <c r="P1101" s="16" t="str">
        <f t="shared" ref="P1101:P1164" si="382">IF(AND($A1101&lt;&gt;"",$E1101&gt;0),IF(AND($J1101="SONY",1000000&lt;=$E1101,$E1101&lt;2000000),10000*$D1101,0),"")</f>
        <v/>
      </c>
      <c r="Q1101" s="16" t="str">
        <f t="shared" ref="Q1101:Q1164" si="383">IF(AND($A1101&lt;&gt;"",$E1101&gt;0),IF(AND($J1101="SONY",$E1101&gt;=2000000),20000*$D1101,0),"")</f>
        <v/>
      </c>
      <c r="R1101" s="23" t="str">
        <f t="shared" ref="R1101:R1164" si="384">IF(AND($A1101&lt;&gt;"",$E1101&gt;0),IF(AND($J1101&lt;&gt;"SONY",100000&lt;=$E1101,$E1101&lt;200000),5000*$D1101,0),"")</f>
        <v/>
      </c>
      <c r="S1101" s="23" t="str">
        <f t="shared" ref="S1101:S1164" si="385">IF(AND($A1101&lt;&gt;"",$E1101&gt;0),IF(AND($J1101&lt;&gt;"SONY",200000&lt;=$E1101,$E1101&lt;500000),10000*$D1101,0),"")</f>
        <v/>
      </c>
      <c r="T1101" s="23" t="str">
        <f t="shared" ref="T1101:T1164" si="386">IF(AND($A1101&lt;&gt;"",$E1101&gt;0),IF(AND($J1101&lt;&gt;"SONY",500000&lt;=$E1101,$E1101&lt;1000000),20000*$D1101,0),"")</f>
        <v/>
      </c>
      <c r="U1101" s="23" t="str">
        <f t="shared" ref="U1101:U1164" si="387">IF(AND($A1101&lt;&gt;"",$E1101&gt;0),IF(AND($J1101&lt;&gt;"SONY",1000000&lt;=$E1101,$E1101&lt;1500000),50000*$D1101,0),"")</f>
        <v/>
      </c>
      <c r="V1101" s="23" t="str">
        <f t="shared" ref="V1101:V1164" si="388">IF(AND($A1101&lt;&gt;"",$E1101&gt;0),IF(AND($J1101&lt;&gt;"SONY",1500000&lt;=$E1101),100000*$D1101,0),"")</f>
        <v/>
      </c>
      <c r="W1101" s="70" t="str">
        <f t="shared" ref="W1101:W1164" si="389">IF(AND($E1101&gt;0,$J1101="ELECOM",$E1101&gt;=500000,ISNUMBER(SEARCH("tai nghe",$C1101))),20000*$D1101,IF($A1101&lt;&gt;"",0,""))</f>
        <v/>
      </c>
      <c r="X1101" s="70" t="str">
        <f t="shared" ref="X1101:X1164" si="390">IF(AND($E1101&gt;0,$J1101="ELECOM",ISNUMBER(SEARCH("loa",$C1101))),20000*$D1101,IF($A1101&lt;&gt;"",0,""))</f>
        <v/>
      </c>
      <c r="Y1101" s="70" t="str">
        <f>IF(AND($A1101&lt;&gt;"",$E1101&gt;0),isLaptopBag($C1101,$J1101)*$D1101,"")</f>
        <v/>
      </c>
      <c r="Z1101" s="70" t="str">
        <f t="shared" ref="Z1101:Z1164" si="391">IF(AND($E1101&gt;0,$J1101="ELECOM",ISNUMBER(SEARCH("ốp",$C1101))),20000*$D1101,IF($A1101&lt;&gt;"",0,""))</f>
        <v/>
      </c>
      <c r="AA1101" s="70" t="str">
        <f t="shared" ref="AA1101:AA1164" si="392">IF(AND($E1101&gt;0,$J1101="ELECOM",ISNUMBER(SEARCH("Bút",$C1101))),20000*$D1101,IF($A1101&lt;&gt;"",0,""))</f>
        <v/>
      </c>
      <c r="AB1101" s="70" t="str">
        <f t="shared" ref="AB1101:AB1164" si="393">IF(AND($E1101&gt;0,$J1101="ELECOM",ISNUMBER(SEARCH("Chuột bi",$C1101))),20000*$D1101,IF($A1101&lt;&gt;"",0,""))</f>
        <v/>
      </c>
      <c r="AC1101" s="70" t="str">
        <f t="shared" ref="AC1101:AC1164" si="394">IF(AND($E1101&gt;0,$J1101="ELECOM",ISNUMBER(SEARCH("Chuột trackball",$C1101))),20000*$D1101,IF($A1101&lt;&gt;"",0,""))</f>
        <v/>
      </c>
      <c r="AD1101" s="70" t="str">
        <f t="shared" ref="AD1101:AD1164" si="395">IF(AND($E1101&gt;0,$J1101="ELECOM",ISNUMBER(SEARCH("Sạc không dây",$C1101))),20000*$D1101,IF($A1101&lt;&gt;"",0,""))</f>
        <v/>
      </c>
      <c r="AE1101" s="70" t="str">
        <f t="shared" ref="AE1101:AE1164" si="396">IF(AND($E1101&gt;0,$J1101="ELECOM",ISNUMBER(SEARCH("Sạc kd",$C1101))),20000*$D1101,IF($A1101&lt;&gt;"",0,""))</f>
        <v/>
      </c>
      <c r="AF1101" s="16"/>
      <c r="AG1101" s="23"/>
      <c r="AH1101" s="22"/>
      <c r="AJ1101" s="83">
        <f t="shared" ref="AJ1101:AJ1164" si="397">DAY(H1101)</f>
        <v>0</v>
      </c>
      <c r="AO1101" s="22" t="str">
        <f t="shared" ref="AO1101:AO1164" si="398">IF(AND($E1101&gt;0,ISNUMBER(SEARCH("Sạc dự phòng Energizer",$C1101))),10000*$D1101,IF($A1101&lt;&gt;"",0,""))</f>
        <v/>
      </c>
      <c r="AP1101" s="22" t="str">
        <f t="shared" ref="AP1101:AP1164" si="399">IF(AND($E1101&gt;0,ISNUMBER(SEARCH("SDP Energizer",$C1101))),10000*$D1101,IF($A1101&lt;&gt;"",0,""))</f>
        <v/>
      </c>
    </row>
    <row r="1102" spans="1:42" x14ac:dyDescent="0.25">
      <c r="A1102" s="10"/>
      <c r="B1102" s="10"/>
      <c r="C1102" s="10"/>
      <c r="D1102" s="10"/>
      <c r="E1102" s="10"/>
      <c r="F1102" s="10"/>
      <c r="G1102" s="10"/>
      <c r="H1102" s="17"/>
      <c r="I1102" s="10"/>
      <c r="J1102" s="10"/>
      <c r="K1102" s="16" t="str">
        <f t="shared" si="378"/>
        <v/>
      </c>
      <c r="L1102" s="23" t="str">
        <f t="shared" si="379"/>
        <v/>
      </c>
      <c r="M1102" s="22" t="str">
        <f t="shared" si="380"/>
        <v/>
      </c>
      <c r="N1102" s="72"/>
      <c r="O1102" s="16" t="str">
        <f t="shared" si="381"/>
        <v/>
      </c>
      <c r="P1102" s="16" t="str">
        <f t="shared" si="382"/>
        <v/>
      </c>
      <c r="Q1102" s="16" t="str">
        <f t="shared" si="383"/>
        <v/>
      </c>
      <c r="R1102" s="23" t="str">
        <f t="shared" si="384"/>
        <v/>
      </c>
      <c r="S1102" s="23" t="str">
        <f t="shared" si="385"/>
        <v/>
      </c>
      <c r="T1102" s="23" t="str">
        <f t="shared" si="386"/>
        <v/>
      </c>
      <c r="U1102" s="23" t="str">
        <f t="shared" si="387"/>
        <v/>
      </c>
      <c r="V1102" s="23" t="str">
        <f t="shared" si="388"/>
        <v/>
      </c>
      <c r="W1102" s="70" t="str">
        <f t="shared" si="389"/>
        <v/>
      </c>
      <c r="X1102" s="70" t="str">
        <f t="shared" si="390"/>
        <v/>
      </c>
      <c r="Y1102" s="70" t="str">
        <f>IF(AND($A1102&lt;&gt;"",$E1102&gt;0),isLaptopBag($C1102,$J1102)*$D1102,"")</f>
        <v/>
      </c>
      <c r="Z1102" s="70" t="str">
        <f t="shared" si="391"/>
        <v/>
      </c>
      <c r="AA1102" s="70" t="str">
        <f t="shared" si="392"/>
        <v/>
      </c>
      <c r="AB1102" s="70" t="str">
        <f t="shared" si="393"/>
        <v/>
      </c>
      <c r="AC1102" s="70" t="str">
        <f t="shared" si="394"/>
        <v/>
      </c>
      <c r="AD1102" s="70" t="str">
        <f t="shared" si="395"/>
        <v/>
      </c>
      <c r="AE1102" s="70" t="str">
        <f t="shared" si="396"/>
        <v/>
      </c>
      <c r="AF1102" s="16"/>
      <c r="AG1102" s="23"/>
      <c r="AH1102" s="22"/>
      <c r="AJ1102" s="83">
        <f t="shared" si="397"/>
        <v>0</v>
      </c>
      <c r="AO1102" s="22" t="str">
        <f t="shared" si="398"/>
        <v/>
      </c>
      <c r="AP1102" s="22" t="str">
        <f t="shared" si="399"/>
        <v/>
      </c>
    </row>
    <row r="1103" spans="1:42" x14ac:dyDescent="0.25">
      <c r="A1103" s="10"/>
      <c r="B1103" s="10"/>
      <c r="C1103" s="10"/>
      <c r="D1103" s="10"/>
      <c r="E1103" s="10"/>
      <c r="F1103" s="10"/>
      <c r="G1103" s="10"/>
      <c r="H1103" s="17"/>
      <c r="I1103" s="10"/>
      <c r="J1103" s="10"/>
      <c r="K1103" s="16" t="str">
        <f t="shared" si="378"/>
        <v/>
      </c>
      <c r="L1103" s="23" t="str">
        <f t="shared" si="379"/>
        <v/>
      </c>
      <c r="M1103" s="22" t="str">
        <f t="shared" si="380"/>
        <v/>
      </c>
      <c r="N1103" s="72"/>
      <c r="O1103" s="16" t="str">
        <f t="shared" si="381"/>
        <v/>
      </c>
      <c r="P1103" s="16" t="str">
        <f t="shared" si="382"/>
        <v/>
      </c>
      <c r="Q1103" s="16" t="str">
        <f t="shared" si="383"/>
        <v/>
      </c>
      <c r="R1103" s="23" t="str">
        <f t="shared" si="384"/>
        <v/>
      </c>
      <c r="S1103" s="23" t="str">
        <f t="shared" si="385"/>
        <v/>
      </c>
      <c r="T1103" s="23" t="str">
        <f t="shared" si="386"/>
        <v/>
      </c>
      <c r="U1103" s="23" t="str">
        <f t="shared" si="387"/>
        <v/>
      </c>
      <c r="V1103" s="23" t="str">
        <f t="shared" si="388"/>
        <v/>
      </c>
      <c r="W1103" s="70" t="str">
        <f t="shared" si="389"/>
        <v/>
      </c>
      <c r="X1103" s="70" t="str">
        <f t="shared" si="390"/>
        <v/>
      </c>
      <c r="Y1103" s="70" t="str">
        <f>IF(AND($A1103&lt;&gt;"",$E1103&gt;0),isLaptopBag($C1103,$J1103)*$D1103,"")</f>
        <v/>
      </c>
      <c r="Z1103" s="70" t="str">
        <f t="shared" si="391"/>
        <v/>
      </c>
      <c r="AA1103" s="70" t="str">
        <f t="shared" si="392"/>
        <v/>
      </c>
      <c r="AB1103" s="70" t="str">
        <f t="shared" si="393"/>
        <v/>
      </c>
      <c r="AC1103" s="70" t="str">
        <f t="shared" si="394"/>
        <v/>
      </c>
      <c r="AD1103" s="70" t="str">
        <f t="shared" si="395"/>
        <v/>
      </c>
      <c r="AE1103" s="70" t="str">
        <f t="shared" si="396"/>
        <v/>
      </c>
      <c r="AF1103" s="16"/>
      <c r="AG1103" s="23"/>
      <c r="AH1103" s="22"/>
      <c r="AJ1103" s="83">
        <f t="shared" si="397"/>
        <v>0</v>
      </c>
      <c r="AO1103" s="22" t="str">
        <f t="shared" si="398"/>
        <v/>
      </c>
      <c r="AP1103" s="22" t="str">
        <f t="shared" si="399"/>
        <v/>
      </c>
    </row>
    <row r="1104" spans="1:42" x14ac:dyDescent="0.25">
      <c r="A1104" s="10"/>
      <c r="B1104" s="10"/>
      <c r="C1104" s="10"/>
      <c r="D1104" s="10"/>
      <c r="E1104" s="10"/>
      <c r="F1104" s="10"/>
      <c r="G1104" s="10"/>
      <c r="H1104" s="17"/>
      <c r="I1104" s="10"/>
      <c r="J1104" s="10"/>
      <c r="K1104" s="16" t="str">
        <f t="shared" si="378"/>
        <v/>
      </c>
      <c r="L1104" s="23" t="str">
        <f t="shared" si="379"/>
        <v/>
      </c>
      <c r="M1104" s="22" t="str">
        <f t="shared" si="380"/>
        <v/>
      </c>
      <c r="N1104" s="72"/>
      <c r="O1104" s="16" t="str">
        <f t="shared" si="381"/>
        <v/>
      </c>
      <c r="P1104" s="16" t="str">
        <f t="shared" si="382"/>
        <v/>
      </c>
      <c r="Q1104" s="16" t="str">
        <f t="shared" si="383"/>
        <v/>
      </c>
      <c r="R1104" s="23" t="str">
        <f t="shared" si="384"/>
        <v/>
      </c>
      <c r="S1104" s="23" t="str">
        <f t="shared" si="385"/>
        <v/>
      </c>
      <c r="T1104" s="23" t="str">
        <f t="shared" si="386"/>
        <v/>
      </c>
      <c r="U1104" s="23" t="str">
        <f t="shared" si="387"/>
        <v/>
      </c>
      <c r="V1104" s="23" t="str">
        <f t="shared" si="388"/>
        <v/>
      </c>
      <c r="W1104" s="70" t="str">
        <f t="shared" si="389"/>
        <v/>
      </c>
      <c r="X1104" s="70" t="str">
        <f t="shared" si="390"/>
        <v/>
      </c>
      <c r="Y1104" s="70" t="str">
        <f>IF(AND($A1104&lt;&gt;"",$E1104&gt;0),isLaptopBag($C1104,$J1104)*$D1104,"")</f>
        <v/>
      </c>
      <c r="Z1104" s="70" t="str">
        <f t="shared" si="391"/>
        <v/>
      </c>
      <c r="AA1104" s="70" t="str">
        <f t="shared" si="392"/>
        <v/>
      </c>
      <c r="AB1104" s="70" t="str">
        <f t="shared" si="393"/>
        <v/>
      </c>
      <c r="AC1104" s="70" t="str">
        <f t="shared" si="394"/>
        <v/>
      </c>
      <c r="AD1104" s="70" t="str">
        <f t="shared" si="395"/>
        <v/>
      </c>
      <c r="AE1104" s="70" t="str">
        <f t="shared" si="396"/>
        <v/>
      </c>
      <c r="AF1104" s="16"/>
      <c r="AG1104" s="23"/>
      <c r="AH1104" s="22"/>
      <c r="AJ1104" s="83">
        <f t="shared" si="397"/>
        <v>0</v>
      </c>
      <c r="AO1104" s="22" t="str">
        <f t="shared" si="398"/>
        <v/>
      </c>
      <c r="AP1104" s="22" t="str">
        <f t="shared" si="399"/>
        <v/>
      </c>
    </row>
    <row r="1105" spans="1:42" x14ac:dyDescent="0.25">
      <c r="A1105" s="10"/>
      <c r="B1105" s="10"/>
      <c r="C1105" s="10"/>
      <c r="D1105" s="10"/>
      <c r="E1105" s="10"/>
      <c r="F1105" s="10"/>
      <c r="G1105" s="10"/>
      <c r="H1105" s="17"/>
      <c r="I1105" s="10"/>
      <c r="J1105" s="10"/>
      <c r="K1105" s="16" t="str">
        <f t="shared" si="378"/>
        <v/>
      </c>
      <c r="L1105" s="23" t="str">
        <f t="shared" si="379"/>
        <v/>
      </c>
      <c r="M1105" s="22" t="str">
        <f t="shared" si="380"/>
        <v/>
      </c>
      <c r="N1105" s="72"/>
      <c r="O1105" s="16" t="str">
        <f t="shared" si="381"/>
        <v/>
      </c>
      <c r="P1105" s="16" t="str">
        <f t="shared" si="382"/>
        <v/>
      </c>
      <c r="Q1105" s="16" t="str">
        <f t="shared" si="383"/>
        <v/>
      </c>
      <c r="R1105" s="23" t="str">
        <f t="shared" si="384"/>
        <v/>
      </c>
      <c r="S1105" s="23" t="str">
        <f t="shared" si="385"/>
        <v/>
      </c>
      <c r="T1105" s="23" t="str">
        <f t="shared" si="386"/>
        <v/>
      </c>
      <c r="U1105" s="23" t="str">
        <f t="shared" si="387"/>
        <v/>
      </c>
      <c r="V1105" s="23" t="str">
        <f t="shared" si="388"/>
        <v/>
      </c>
      <c r="W1105" s="70" t="str">
        <f t="shared" si="389"/>
        <v/>
      </c>
      <c r="X1105" s="70" t="str">
        <f t="shared" si="390"/>
        <v/>
      </c>
      <c r="Y1105" s="70" t="str">
        <f>IF(AND($A1105&lt;&gt;"",$E1105&gt;0),isLaptopBag($C1105,$J1105)*$D1105,"")</f>
        <v/>
      </c>
      <c r="Z1105" s="70" t="str">
        <f t="shared" si="391"/>
        <v/>
      </c>
      <c r="AA1105" s="70" t="str">
        <f t="shared" si="392"/>
        <v/>
      </c>
      <c r="AB1105" s="70" t="str">
        <f t="shared" si="393"/>
        <v/>
      </c>
      <c r="AC1105" s="70" t="str">
        <f t="shared" si="394"/>
        <v/>
      </c>
      <c r="AD1105" s="70" t="str">
        <f t="shared" si="395"/>
        <v/>
      </c>
      <c r="AE1105" s="70" t="str">
        <f t="shared" si="396"/>
        <v/>
      </c>
      <c r="AF1105" s="16"/>
      <c r="AG1105" s="23"/>
      <c r="AH1105" s="22"/>
      <c r="AJ1105" s="83">
        <f t="shared" si="397"/>
        <v>0</v>
      </c>
      <c r="AO1105" s="22" t="str">
        <f t="shared" si="398"/>
        <v/>
      </c>
      <c r="AP1105" s="22" t="str">
        <f t="shared" si="399"/>
        <v/>
      </c>
    </row>
    <row r="1106" spans="1:42" x14ac:dyDescent="0.25">
      <c r="A1106" s="10"/>
      <c r="B1106" s="10"/>
      <c r="C1106" s="10"/>
      <c r="D1106" s="10"/>
      <c r="E1106" s="10"/>
      <c r="F1106" s="10"/>
      <c r="G1106" s="10"/>
      <c r="H1106" s="17"/>
      <c r="I1106" s="10"/>
      <c r="J1106" s="10"/>
      <c r="K1106" s="16" t="str">
        <f t="shared" si="378"/>
        <v/>
      </c>
      <c r="L1106" s="23" t="str">
        <f t="shared" si="379"/>
        <v/>
      </c>
      <c r="M1106" s="22" t="str">
        <f t="shared" si="380"/>
        <v/>
      </c>
      <c r="N1106" s="72"/>
      <c r="O1106" s="16" t="str">
        <f t="shared" si="381"/>
        <v/>
      </c>
      <c r="P1106" s="16" t="str">
        <f t="shared" si="382"/>
        <v/>
      </c>
      <c r="Q1106" s="16" t="str">
        <f t="shared" si="383"/>
        <v/>
      </c>
      <c r="R1106" s="23" t="str">
        <f t="shared" si="384"/>
        <v/>
      </c>
      <c r="S1106" s="23" t="str">
        <f t="shared" si="385"/>
        <v/>
      </c>
      <c r="T1106" s="23" t="str">
        <f t="shared" si="386"/>
        <v/>
      </c>
      <c r="U1106" s="23" t="str">
        <f t="shared" si="387"/>
        <v/>
      </c>
      <c r="V1106" s="23" t="str">
        <f t="shared" si="388"/>
        <v/>
      </c>
      <c r="W1106" s="70" t="str">
        <f t="shared" si="389"/>
        <v/>
      </c>
      <c r="X1106" s="70" t="str">
        <f t="shared" si="390"/>
        <v/>
      </c>
      <c r="Y1106" s="70" t="str">
        <f>IF(AND($A1106&lt;&gt;"",$E1106&gt;0),isLaptopBag($C1106,$J1106)*$D1106,"")</f>
        <v/>
      </c>
      <c r="Z1106" s="70" t="str">
        <f t="shared" si="391"/>
        <v/>
      </c>
      <c r="AA1106" s="70" t="str">
        <f t="shared" si="392"/>
        <v/>
      </c>
      <c r="AB1106" s="70" t="str">
        <f t="shared" si="393"/>
        <v/>
      </c>
      <c r="AC1106" s="70" t="str">
        <f t="shared" si="394"/>
        <v/>
      </c>
      <c r="AD1106" s="70" t="str">
        <f t="shared" si="395"/>
        <v/>
      </c>
      <c r="AE1106" s="70" t="str">
        <f t="shared" si="396"/>
        <v/>
      </c>
      <c r="AF1106" s="16"/>
      <c r="AG1106" s="23"/>
      <c r="AH1106" s="22"/>
      <c r="AJ1106" s="83">
        <f t="shared" si="397"/>
        <v>0</v>
      </c>
      <c r="AO1106" s="22" t="str">
        <f t="shared" si="398"/>
        <v/>
      </c>
      <c r="AP1106" s="22" t="str">
        <f t="shared" si="399"/>
        <v/>
      </c>
    </row>
    <row r="1107" spans="1:42" x14ac:dyDescent="0.25">
      <c r="A1107" s="10"/>
      <c r="B1107" s="10"/>
      <c r="C1107" s="10"/>
      <c r="D1107" s="10"/>
      <c r="E1107" s="10"/>
      <c r="F1107" s="10"/>
      <c r="G1107" s="10"/>
      <c r="H1107" s="17"/>
      <c r="I1107" s="10"/>
      <c r="J1107" s="10"/>
      <c r="K1107" s="16" t="str">
        <f t="shared" si="378"/>
        <v/>
      </c>
      <c r="L1107" s="23" t="str">
        <f t="shared" si="379"/>
        <v/>
      </c>
      <c r="M1107" s="22" t="str">
        <f t="shared" si="380"/>
        <v/>
      </c>
      <c r="N1107" s="72"/>
      <c r="O1107" s="16" t="str">
        <f t="shared" si="381"/>
        <v/>
      </c>
      <c r="P1107" s="16" t="str">
        <f t="shared" si="382"/>
        <v/>
      </c>
      <c r="Q1107" s="16" t="str">
        <f t="shared" si="383"/>
        <v/>
      </c>
      <c r="R1107" s="23" t="str">
        <f t="shared" si="384"/>
        <v/>
      </c>
      <c r="S1107" s="23" t="str">
        <f t="shared" si="385"/>
        <v/>
      </c>
      <c r="T1107" s="23" t="str">
        <f t="shared" si="386"/>
        <v/>
      </c>
      <c r="U1107" s="23" t="str">
        <f t="shared" si="387"/>
        <v/>
      </c>
      <c r="V1107" s="23" t="str">
        <f t="shared" si="388"/>
        <v/>
      </c>
      <c r="W1107" s="70" t="str">
        <f t="shared" si="389"/>
        <v/>
      </c>
      <c r="X1107" s="70" t="str">
        <f t="shared" si="390"/>
        <v/>
      </c>
      <c r="Y1107" s="70" t="str">
        <f>IF(AND($A1107&lt;&gt;"",$E1107&gt;0),isLaptopBag($C1107,$J1107)*$D1107,"")</f>
        <v/>
      </c>
      <c r="Z1107" s="70" t="str">
        <f t="shared" si="391"/>
        <v/>
      </c>
      <c r="AA1107" s="70" t="str">
        <f t="shared" si="392"/>
        <v/>
      </c>
      <c r="AB1107" s="70" t="str">
        <f t="shared" si="393"/>
        <v/>
      </c>
      <c r="AC1107" s="70" t="str">
        <f t="shared" si="394"/>
        <v/>
      </c>
      <c r="AD1107" s="70" t="str">
        <f t="shared" si="395"/>
        <v/>
      </c>
      <c r="AE1107" s="70" t="str">
        <f t="shared" si="396"/>
        <v/>
      </c>
      <c r="AF1107" s="16"/>
      <c r="AG1107" s="23"/>
      <c r="AH1107" s="22"/>
      <c r="AJ1107" s="83">
        <f t="shared" si="397"/>
        <v>0</v>
      </c>
      <c r="AO1107" s="22" t="str">
        <f t="shared" si="398"/>
        <v/>
      </c>
      <c r="AP1107" s="22" t="str">
        <f t="shared" si="399"/>
        <v/>
      </c>
    </row>
    <row r="1108" spans="1:42" x14ac:dyDescent="0.25">
      <c r="A1108" s="10"/>
      <c r="B1108" s="10"/>
      <c r="C1108" s="10"/>
      <c r="D1108" s="10"/>
      <c r="E1108" s="10"/>
      <c r="F1108" s="10"/>
      <c r="G1108" s="10"/>
      <c r="H1108" s="17"/>
      <c r="I1108" s="10"/>
      <c r="J1108" s="10"/>
      <c r="K1108" s="16" t="str">
        <f t="shared" si="378"/>
        <v/>
      </c>
      <c r="L1108" s="23" t="str">
        <f t="shared" si="379"/>
        <v/>
      </c>
      <c r="M1108" s="22" t="str">
        <f t="shared" si="380"/>
        <v/>
      </c>
      <c r="N1108" s="72"/>
      <c r="O1108" s="16" t="str">
        <f t="shared" si="381"/>
        <v/>
      </c>
      <c r="P1108" s="16" t="str">
        <f t="shared" si="382"/>
        <v/>
      </c>
      <c r="Q1108" s="16" t="str">
        <f t="shared" si="383"/>
        <v/>
      </c>
      <c r="R1108" s="23" t="str">
        <f t="shared" si="384"/>
        <v/>
      </c>
      <c r="S1108" s="23" t="str">
        <f t="shared" si="385"/>
        <v/>
      </c>
      <c r="T1108" s="23" t="str">
        <f t="shared" si="386"/>
        <v/>
      </c>
      <c r="U1108" s="23" t="str">
        <f t="shared" si="387"/>
        <v/>
      </c>
      <c r="V1108" s="23" t="str">
        <f t="shared" si="388"/>
        <v/>
      </c>
      <c r="W1108" s="70" t="str">
        <f t="shared" si="389"/>
        <v/>
      </c>
      <c r="X1108" s="70" t="str">
        <f t="shared" si="390"/>
        <v/>
      </c>
      <c r="Y1108" s="70" t="str">
        <f>IF(AND($A1108&lt;&gt;"",$E1108&gt;0),isLaptopBag($C1108,$J1108)*$D1108,"")</f>
        <v/>
      </c>
      <c r="Z1108" s="70" t="str">
        <f t="shared" si="391"/>
        <v/>
      </c>
      <c r="AA1108" s="70" t="str">
        <f t="shared" si="392"/>
        <v/>
      </c>
      <c r="AB1108" s="70" t="str">
        <f t="shared" si="393"/>
        <v/>
      </c>
      <c r="AC1108" s="70" t="str">
        <f t="shared" si="394"/>
        <v/>
      </c>
      <c r="AD1108" s="70" t="str">
        <f t="shared" si="395"/>
        <v/>
      </c>
      <c r="AE1108" s="70" t="str">
        <f t="shared" si="396"/>
        <v/>
      </c>
      <c r="AF1108" s="16"/>
      <c r="AG1108" s="23"/>
      <c r="AH1108" s="22"/>
      <c r="AJ1108" s="83">
        <f t="shared" si="397"/>
        <v>0</v>
      </c>
      <c r="AO1108" s="22" t="str">
        <f t="shared" si="398"/>
        <v/>
      </c>
      <c r="AP1108" s="22" t="str">
        <f t="shared" si="399"/>
        <v/>
      </c>
    </row>
    <row r="1109" spans="1:42" x14ac:dyDescent="0.25">
      <c r="A1109" s="10"/>
      <c r="B1109" s="10"/>
      <c r="C1109" s="10"/>
      <c r="D1109" s="10"/>
      <c r="E1109" s="10"/>
      <c r="F1109" s="10"/>
      <c r="G1109" s="10"/>
      <c r="H1109" s="17"/>
      <c r="I1109" s="10"/>
      <c r="J1109" s="10"/>
      <c r="K1109" s="16" t="str">
        <f t="shared" si="378"/>
        <v/>
      </c>
      <c r="L1109" s="23" t="str">
        <f t="shared" si="379"/>
        <v/>
      </c>
      <c r="M1109" s="22" t="str">
        <f t="shared" si="380"/>
        <v/>
      </c>
      <c r="N1109" s="72"/>
      <c r="O1109" s="16" t="str">
        <f t="shared" si="381"/>
        <v/>
      </c>
      <c r="P1109" s="16" t="str">
        <f t="shared" si="382"/>
        <v/>
      </c>
      <c r="Q1109" s="16" t="str">
        <f t="shared" si="383"/>
        <v/>
      </c>
      <c r="R1109" s="23" t="str">
        <f t="shared" si="384"/>
        <v/>
      </c>
      <c r="S1109" s="23" t="str">
        <f t="shared" si="385"/>
        <v/>
      </c>
      <c r="T1109" s="23" t="str">
        <f t="shared" si="386"/>
        <v/>
      </c>
      <c r="U1109" s="23" t="str">
        <f t="shared" si="387"/>
        <v/>
      </c>
      <c r="V1109" s="23" t="str">
        <f t="shared" si="388"/>
        <v/>
      </c>
      <c r="W1109" s="70" t="str">
        <f t="shared" si="389"/>
        <v/>
      </c>
      <c r="X1109" s="70" t="str">
        <f t="shared" si="390"/>
        <v/>
      </c>
      <c r="Y1109" s="70" t="str">
        <f>IF(AND($A1109&lt;&gt;"",$E1109&gt;0),isLaptopBag($C1109,$J1109)*$D1109,"")</f>
        <v/>
      </c>
      <c r="Z1109" s="70" t="str">
        <f t="shared" si="391"/>
        <v/>
      </c>
      <c r="AA1109" s="70" t="str">
        <f t="shared" si="392"/>
        <v/>
      </c>
      <c r="AB1109" s="70" t="str">
        <f t="shared" si="393"/>
        <v/>
      </c>
      <c r="AC1109" s="70" t="str">
        <f t="shared" si="394"/>
        <v/>
      </c>
      <c r="AD1109" s="70" t="str">
        <f t="shared" si="395"/>
        <v/>
      </c>
      <c r="AE1109" s="70" t="str">
        <f t="shared" si="396"/>
        <v/>
      </c>
      <c r="AF1109" s="16"/>
      <c r="AG1109" s="23"/>
      <c r="AH1109" s="22"/>
      <c r="AJ1109" s="83">
        <f t="shared" si="397"/>
        <v>0</v>
      </c>
      <c r="AO1109" s="22" t="str">
        <f t="shared" si="398"/>
        <v/>
      </c>
      <c r="AP1109" s="22" t="str">
        <f t="shared" si="399"/>
        <v/>
      </c>
    </row>
    <row r="1110" spans="1:42" x14ac:dyDescent="0.25">
      <c r="A1110" s="10"/>
      <c r="B1110" s="10"/>
      <c r="C1110" s="10"/>
      <c r="D1110" s="10"/>
      <c r="E1110" s="10"/>
      <c r="F1110" s="10"/>
      <c r="G1110" s="10"/>
      <c r="H1110" s="17"/>
      <c r="I1110" s="10"/>
      <c r="J1110" s="10"/>
      <c r="K1110" s="16" t="str">
        <f t="shared" si="378"/>
        <v/>
      </c>
      <c r="L1110" s="23" t="str">
        <f t="shared" si="379"/>
        <v/>
      </c>
      <c r="M1110" s="22" t="str">
        <f t="shared" si="380"/>
        <v/>
      </c>
      <c r="N1110" s="72"/>
      <c r="O1110" s="16" t="str">
        <f t="shared" si="381"/>
        <v/>
      </c>
      <c r="P1110" s="16" t="str">
        <f t="shared" si="382"/>
        <v/>
      </c>
      <c r="Q1110" s="16" t="str">
        <f t="shared" si="383"/>
        <v/>
      </c>
      <c r="R1110" s="23" t="str">
        <f t="shared" si="384"/>
        <v/>
      </c>
      <c r="S1110" s="23" t="str">
        <f t="shared" si="385"/>
        <v/>
      </c>
      <c r="T1110" s="23" t="str">
        <f t="shared" si="386"/>
        <v/>
      </c>
      <c r="U1110" s="23" t="str">
        <f t="shared" si="387"/>
        <v/>
      </c>
      <c r="V1110" s="23" t="str">
        <f t="shared" si="388"/>
        <v/>
      </c>
      <c r="W1110" s="70" t="str">
        <f t="shared" si="389"/>
        <v/>
      </c>
      <c r="X1110" s="70" t="str">
        <f t="shared" si="390"/>
        <v/>
      </c>
      <c r="Y1110" s="70" t="str">
        <f>IF(AND($A1110&lt;&gt;"",$E1110&gt;0),isLaptopBag($C1110,$J1110)*$D1110,"")</f>
        <v/>
      </c>
      <c r="Z1110" s="70" t="str">
        <f t="shared" si="391"/>
        <v/>
      </c>
      <c r="AA1110" s="70" t="str">
        <f t="shared" si="392"/>
        <v/>
      </c>
      <c r="AB1110" s="70" t="str">
        <f t="shared" si="393"/>
        <v/>
      </c>
      <c r="AC1110" s="70" t="str">
        <f t="shared" si="394"/>
        <v/>
      </c>
      <c r="AD1110" s="70" t="str">
        <f t="shared" si="395"/>
        <v/>
      </c>
      <c r="AE1110" s="70" t="str">
        <f t="shared" si="396"/>
        <v/>
      </c>
      <c r="AF1110" s="16"/>
      <c r="AG1110" s="23"/>
      <c r="AH1110" s="22"/>
      <c r="AJ1110" s="83">
        <f t="shared" si="397"/>
        <v>0</v>
      </c>
      <c r="AO1110" s="22" t="str">
        <f t="shared" si="398"/>
        <v/>
      </c>
      <c r="AP1110" s="22" t="str">
        <f t="shared" si="399"/>
        <v/>
      </c>
    </row>
    <row r="1111" spans="1:42" x14ac:dyDescent="0.25">
      <c r="A1111" s="10"/>
      <c r="B1111" s="10"/>
      <c r="C1111" s="10"/>
      <c r="D1111" s="10"/>
      <c r="E1111" s="10"/>
      <c r="F1111" s="10"/>
      <c r="G1111" s="10"/>
      <c r="H1111" s="17"/>
      <c r="I1111" s="10"/>
      <c r="J1111" s="10"/>
      <c r="K1111" s="16" t="str">
        <f t="shared" si="378"/>
        <v/>
      </c>
      <c r="L1111" s="23" t="str">
        <f t="shared" si="379"/>
        <v/>
      </c>
      <c r="M1111" s="22" t="str">
        <f t="shared" si="380"/>
        <v/>
      </c>
      <c r="N1111" s="72"/>
      <c r="O1111" s="16" t="str">
        <f t="shared" si="381"/>
        <v/>
      </c>
      <c r="P1111" s="16" t="str">
        <f t="shared" si="382"/>
        <v/>
      </c>
      <c r="Q1111" s="16" t="str">
        <f t="shared" si="383"/>
        <v/>
      </c>
      <c r="R1111" s="23" t="str">
        <f t="shared" si="384"/>
        <v/>
      </c>
      <c r="S1111" s="23" t="str">
        <f t="shared" si="385"/>
        <v/>
      </c>
      <c r="T1111" s="23" t="str">
        <f t="shared" si="386"/>
        <v/>
      </c>
      <c r="U1111" s="23" t="str">
        <f t="shared" si="387"/>
        <v/>
      </c>
      <c r="V1111" s="23" t="str">
        <f t="shared" si="388"/>
        <v/>
      </c>
      <c r="W1111" s="70" t="str">
        <f t="shared" si="389"/>
        <v/>
      </c>
      <c r="X1111" s="70" t="str">
        <f t="shared" si="390"/>
        <v/>
      </c>
      <c r="Y1111" s="70" t="str">
        <f>IF(AND($A1111&lt;&gt;"",$E1111&gt;0),isLaptopBag($C1111,$J1111)*$D1111,"")</f>
        <v/>
      </c>
      <c r="Z1111" s="70" t="str">
        <f t="shared" si="391"/>
        <v/>
      </c>
      <c r="AA1111" s="70" t="str">
        <f t="shared" si="392"/>
        <v/>
      </c>
      <c r="AB1111" s="70" t="str">
        <f t="shared" si="393"/>
        <v/>
      </c>
      <c r="AC1111" s="70" t="str">
        <f t="shared" si="394"/>
        <v/>
      </c>
      <c r="AD1111" s="70" t="str">
        <f t="shared" si="395"/>
        <v/>
      </c>
      <c r="AE1111" s="70" t="str">
        <f t="shared" si="396"/>
        <v/>
      </c>
      <c r="AF1111" s="16"/>
      <c r="AG1111" s="23"/>
      <c r="AH1111" s="22"/>
      <c r="AJ1111" s="83">
        <f t="shared" si="397"/>
        <v>0</v>
      </c>
      <c r="AO1111" s="22" t="str">
        <f t="shared" si="398"/>
        <v/>
      </c>
      <c r="AP1111" s="22" t="str">
        <f t="shared" si="399"/>
        <v/>
      </c>
    </row>
    <row r="1112" spans="1:42" x14ac:dyDescent="0.25">
      <c r="A1112" s="10"/>
      <c r="B1112" s="10"/>
      <c r="C1112" s="10"/>
      <c r="D1112" s="10"/>
      <c r="E1112" s="10"/>
      <c r="F1112" s="10"/>
      <c r="G1112" s="10"/>
      <c r="H1112" s="17"/>
      <c r="I1112" s="10"/>
      <c r="J1112" s="10"/>
      <c r="K1112" s="16" t="str">
        <f t="shared" si="378"/>
        <v/>
      </c>
      <c r="L1112" s="23" t="str">
        <f t="shared" si="379"/>
        <v/>
      </c>
      <c r="M1112" s="22" t="str">
        <f t="shared" si="380"/>
        <v/>
      </c>
      <c r="N1112" s="72"/>
      <c r="O1112" s="16" t="str">
        <f t="shared" si="381"/>
        <v/>
      </c>
      <c r="P1112" s="16" t="str">
        <f t="shared" si="382"/>
        <v/>
      </c>
      <c r="Q1112" s="16" t="str">
        <f t="shared" si="383"/>
        <v/>
      </c>
      <c r="R1112" s="23" t="str">
        <f t="shared" si="384"/>
        <v/>
      </c>
      <c r="S1112" s="23" t="str">
        <f t="shared" si="385"/>
        <v/>
      </c>
      <c r="T1112" s="23" t="str">
        <f t="shared" si="386"/>
        <v/>
      </c>
      <c r="U1112" s="23" t="str">
        <f t="shared" si="387"/>
        <v/>
      </c>
      <c r="V1112" s="23" t="str">
        <f t="shared" si="388"/>
        <v/>
      </c>
      <c r="W1112" s="70" t="str">
        <f t="shared" si="389"/>
        <v/>
      </c>
      <c r="X1112" s="70" t="str">
        <f t="shared" si="390"/>
        <v/>
      </c>
      <c r="Y1112" s="70" t="str">
        <f>IF(AND($A1112&lt;&gt;"",$E1112&gt;0),isLaptopBag($C1112,$J1112)*$D1112,"")</f>
        <v/>
      </c>
      <c r="Z1112" s="70" t="str">
        <f t="shared" si="391"/>
        <v/>
      </c>
      <c r="AA1112" s="70" t="str">
        <f t="shared" si="392"/>
        <v/>
      </c>
      <c r="AB1112" s="70" t="str">
        <f t="shared" si="393"/>
        <v/>
      </c>
      <c r="AC1112" s="70" t="str">
        <f t="shared" si="394"/>
        <v/>
      </c>
      <c r="AD1112" s="70" t="str">
        <f t="shared" si="395"/>
        <v/>
      </c>
      <c r="AE1112" s="70" t="str">
        <f t="shared" si="396"/>
        <v/>
      </c>
      <c r="AF1112" s="16"/>
      <c r="AG1112" s="23"/>
      <c r="AH1112" s="22"/>
      <c r="AJ1112" s="83">
        <f t="shared" si="397"/>
        <v>0</v>
      </c>
      <c r="AO1112" s="22" t="str">
        <f t="shared" si="398"/>
        <v/>
      </c>
      <c r="AP1112" s="22" t="str">
        <f t="shared" si="399"/>
        <v/>
      </c>
    </row>
    <row r="1113" spans="1:42" x14ac:dyDescent="0.25">
      <c r="A1113" s="10"/>
      <c r="B1113" s="10"/>
      <c r="C1113" s="10"/>
      <c r="D1113" s="10"/>
      <c r="E1113" s="10"/>
      <c r="F1113" s="10"/>
      <c r="G1113" s="10"/>
      <c r="H1113" s="17"/>
      <c r="I1113" s="10"/>
      <c r="J1113" s="10"/>
      <c r="K1113" s="16" t="str">
        <f t="shared" si="378"/>
        <v/>
      </c>
      <c r="L1113" s="23" t="str">
        <f t="shared" si="379"/>
        <v/>
      </c>
      <c r="M1113" s="22" t="str">
        <f t="shared" si="380"/>
        <v/>
      </c>
      <c r="N1113" s="72"/>
      <c r="O1113" s="16" t="str">
        <f t="shared" si="381"/>
        <v/>
      </c>
      <c r="P1113" s="16" t="str">
        <f t="shared" si="382"/>
        <v/>
      </c>
      <c r="Q1113" s="16" t="str">
        <f t="shared" si="383"/>
        <v/>
      </c>
      <c r="R1113" s="23" t="str">
        <f t="shared" si="384"/>
        <v/>
      </c>
      <c r="S1113" s="23" t="str">
        <f t="shared" si="385"/>
        <v/>
      </c>
      <c r="T1113" s="23" t="str">
        <f t="shared" si="386"/>
        <v/>
      </c>
      <c r="U1113" s="23" t="str">
        <f t="shared" si="387"/>
        <v/>
      </c>
      <c r="V1113" s="23" t="str">
        <f t="shared" si="388"/>
        <v/>
      </c>
      <c r="W1113" s="70" t="str">
        <f t="shared" si="389"/>
        <v/>
      </c>
      <c r="X1113" s="70" t="str">
        <f t="shared" si="390"/>
        <v/>
      </c>
      <c r="Y1113" s="70" t="str">
        <f>IF(AND($A1113&lt;&gt;"",$E1113&gt;0),isLaptopBag($C1113,$J1113)*$D1113,"")</f>
        <v/>
      </c>
      <c r="Z1113" s="70" t="str">
        <f t="shared" si="391"/>
        <v/>
      </c>
      <c r="AA1113" s="70" t="str">
        <f t="shared" si="392"/>
        <v/>
      </c>
      <c r="AB1113" s="70" t="str">
        <f t="shared" si="393"/>
        <v/>
      </c>
      <c r="AC1113" s="70" t="str">
        <f t="shared" si="394"/>
        <v/>
      </c>
      <c r="AD1113" s="70" t="str">
        <f t="shared" si="395"/>
        <v/>
      </c>
      <c r="AE1113" s="70" t="str">
        <f t="shared" si="396"/>
        <v/>
      </c>
      <c r="AF1113" s="16"/>
      <c r="AG1113" s="23"/>
      <c r="AH1113" s="22"/>
      <c r="AJ1113" s="83">
        <f t="shared" si="397"/>
        <v>0</v>
      </c>
      <c r="AO1113" s="22" t="str">
        <f t="shared" si="398"/>
        <v/>
      </c>
      <c r="AP1113" s="22" t="str">
        <f t="shared" si="399"/>
        <v/>
      </c>
    </row>
    <row r="1114" spans="1:42" x14ac:dyDescent="0.25">
      <c r="A1114" s="10"/>
      <c r="B1114" s="10"/>
      <c r="C1114" s="10"/>
      <c r="D1114" s="10"/>
      <c r="E1114" s="10"/>
      <c r="F1114" s="10"/>
      <c r="G1114" s="10"/>
      <c r="H1114" s="17"/>
      <c r="I1114" s="10"/>
      <c r="J1114" s="10"/>
      <c r="K1114" s="16" t="str">
        <f t="shared" si="378"/>
        <v/>
      </c>
      <c r="L1114" s="23" t="str">
        <f t="shared" si="379"/>
        <v/>
      </c>
      <c r="M1114" s="22" t="str">
        <f t="shared" si="380"/>
        <v/>
      </c>
      <c r="N1114" s="72"/>
      <c r="O1114" s="16" t="str">
        <f t="shared" si="381"/>
        <v/>
      </c>
      <c r="P1114" s="16" t="str">
        <f t="shared" si="382"/>
        <v/>
      </c>
      <c r="Q1114" s="16" t="str">
        <f t="shared" si="383"/>
        <v/>
      </c>
      <c r="R1114" s="23" t="str">
        <f t="shared" si="384"/>
        <v/>
      </c>
      <c r="S1114" s="23" t="str">
        <f t="shared" si="385"/>
        <v/>
      </c>
      <c r="T1114" s="23" t="str">
        <f t="shared" si="386"/>
        <v/>
      </c>
      <c r="U1114" s="23" t="str">
        <f t="shared" si="387"/>
        <v/>
      </c>
      <c r="V1114" s="23" t="str">
        <f t="shared" si="388"/>
        <v/>
      </c>
      <c r="W1114" s="70" t="str">
        <f t="shared" si="389"/>
        <v/>
      </c>
      <c r="X1114" s="70" t="str">
        <f t="shared" si="390"/>
        <v/>
      </c>
      <c r="Y1114" s="70" t="str">
        <f>IF(AND($A1114&lt;&gt;"",$E1114&gt;0),isLaptopBag($C1114,$J1114)*$D1114,"")</f>
        <v/>
      </c>
      <c r="Z1114" s="70" t="str">
        <f t="shared" si="391"/>
        <v/>
      </c>
      <c r="AA1114" s="70" t="str">
        <f t="shared" si="392"/>
        <v/>
      </c>
      <c r="AB1114" s="70" t="str">
        <f t="shared" si="393"/>
        <v/>
      </c>
      <c r="AC1114" s="70" t="str">
        <f t="shared" si="394"/>
        <v/>
      </c>
      <c r="AD1114" s="70" t="str">
        <f t="shared" si="395"/>
        <v/>
      </c>
      <c r="AE1114" s="70" t="str">
        <f t="shared" si="396"/>
        <v/>
      </c>
      <c r="AF1114" s="16"/>
      <c r="AG1114" s="23"/>
      <c r="AH1114" s="22"/>
      <c r="AJ1114" s="83">
        <f t="shared" si="397"/>
        <v>0</v>
      </c>
      <c r="AO1114" s="22" t="str">
        <f t="shared" si="398"/>
        <v/>
      </c>
      <c r="AP1114" s="22" t="str">
        <f t="shared" si="399"/>
        <v/>
      </c>
    </row>
    <row r="1115" spans="1:42" x14ac:dyDescent="0.25">
      <c r="A1115" s="10"/>
      <c r="B1115" s="10"/>
      <c r="C1115" s="10"/>
      <c r="D1115" s="10"/>
      <c r="E1115" s="10"/>
      <c r="F1115" s="10"/>
      <c r="G1115" s="10"/>
      <c r="H1115" s="17"/>
      <c r="I1115" s="10"/>
      <c r="J1115" s="10"/>
      <c r="K1115" s="16" t="str">
        <f t="shared" si="378"/>
        <v/>
      </c>
      <c r="L1115" s="23" t="str">
        <f t="shared" si="379"/>
        <v/>
      </c>
      <c r="M1115" s="22" t="str">
        <f t="shared" si="380"/>
        <v/>
      </c>
      <c r="N1115" s="72"/>
      <c r="O1115" s="16" t="str">
        <f t="shared" si="381"/>
        <v/>
      </c>
      <c r="P1115" s="16" t="str">
        <f t="shared" si="382"/>
        <v/>
      </c>
      <c r="Q1115" s="16" t="str">
        <f t="shared" si="383"/>
        <v/>
      </c>
      <c r="R1115" s="23" t="str">
        <f t="shared" si="384"/>
        <v/>
      </c>
      <c r="S1115" s="23" t="str">
        <f t="shared" si="385"/>
        <v/>
      </c>
      <c r="T1115" s="23" t="str">
        <f t="shared" si="386"/>
        <v/>
      </c>
      <c r="U1115" s="23" t="str">
        <f t="shared" si="387"/>
        <v/>
      </c>
      <c r="V1115" s="23" t="str">
        <f t="shared" si="388"/>
        <v/>
      </c>
      <c r="W1115" s="70" t="str">
        <f t="shared" si="389"/>
        <v/>
      </c>
      <c r="X1115" s="70" t="str">
        <f t="shared" si="390"/>
        <v/>
      </c>
      <c r="Y1115" s="70" t="str">
        <f>IF(AND($A1115&lt;&gt;"",$E1115&gt;0),isLaptopBag($C1115,$J1115)*$D1115,"")</f>
        <v/>
      </c>
      <c r="Z1115" s="70" t="str">
        <f t="shared" si="391"/>
        <v/>
      </c>
      <c r="AA1115" s="70" t="str">
        <f t="shared" si="392"/>
        <v/>
      </c>
      <c r="AB1115" s="70" t="str">
        <f t="shared" si="393"/>
        <v/>
      </c>
      <c r="AC1115" s="70" t="str">
        <f t="shared" si="394"/>
        <v/>
      </c>
      <c r="AD1115" s="70" t="str">
        <f t="shared" si="395"/>
        <v/>
      </c>
      <c r="AE1115" s="70" t="str">
        <f t="shared" si="396"/>
        <v/>
      </c>
      <c r="AF1115" s="16"/>
      <c r="AG1115" s="23"/>
      <c r="AH1115" s="22"/>
      <c r="AJ1115" s="83">
        <f t="shared" si="397"/>
        <v>0</v>
      </c>
      <c r="AO1115" s="22" t="str">
        <f t="shared" si="398"/>
        <v/>
      </c>
      <c r="AP1115" s="22" t="str">
        <f t="shared" si="399"/>
        <v/>
      </c>
    </row>
    <row r="1116" spans="1:42" x14ac:dyDescent="0.25">
      <c r="A1116" s="10"/>
      <c r="B1116" s="10"/>
      <c r="C1116" s="10"/>
      <c r="D1116" s="10"/>
      <c r="E1116" s="10"/>
      <c r="F1116" s="10"/>
      <c r="G1116" s="10"/>
      <c r="H1116" s="17"/>
      <c r="I1116" s="10"/>
      <c r="J1116" s="10"/>
      <c r="K1116" s="16" t="str">
        <f t="shared" si="378"/>
        <v/>
      </c>
      <c r="L1116" s="23" t="str">
        <f t="shared" si="379"/>
        <v/>
      </c>
      <c r="M1116" s="22" t="str">
        <f t="shared" si="380"/>
        <v/>
      </c>
      <c r="N1116" s="72"/>
      <c r="O1116" s="16" t="str">
        <f t="shared" si="381"/>
        <v/>
      </c>
      <c r="P1116" s="16" t="str">
        <f t="shared" si="382"/>
        <v/>
      </c>
      <c r="Q1116" s="16" t="str">
        <f t="shared" si="383"/>
        <v/>
      </c>
      <c r="R1116" s="23" t="str">
        <f t="shared" si="384"/>
        <v/>
      </c>
      <c r="S1116" s="23" t="str">
        <f t="shared" si="385"/>
        <v/>
      </c>
      <c r="T1116" s="23" t="str">
        <f t="shared" si="386"/>
        <v/>
      </c>
      <c r="U1116" s="23" t="str">
        <f t="shared" si="387"/>
        <v/>
      </c>
      <c r="V1116" s="23" t="str">
        <f t="shared" si="388"/>
        <v/>
      </c>
      <c r="W1116" s="70" t="str">
        <f t="shared" si="389"/>
        <v/>
      </c>
      <c r="X1116" s="70" t="str">
        <f t="shared" si="390"/>
        <v/>
      </c>
      <c r="Y1116" s="70" t="str">
        <f>IF(AND($A1116&lt;&gt;"",$E1116&gt;0),isLaptopBag($C1116,$J1116)*$D1116,"")</f>
        <v/>
      </c>
      <c r="Z1116" s="70" t="str">
        <f t="shared" si="391"/>
        <v/>
      </c>
      <c r="AA1116" s="70" t="str">
        <f t="shared" si="392"/>
        <v/>
      </c>
      <c r="AB1116" s="70" t="str">
        <f t="shared" si="393"/>
        <v/>
      </c>
      <c r="AC1116" s="70" t="str">
        <f t="shared" si="394"/>
        <v/>
      </c>
      <c r="AD1116" s="70" t="str">
        <f t="shared" si="395"/>
        <v/>
      </c>
      <c r="AE1116" s="70" t="str">
        <f t="shared" si="396"/>
        <v/>
      </c>
      <c r="AF1116" s="16"/>
      <c r="AG1116" s="23"/>
      <c r="AH1116" s="22"/>
      <c r="AJ1116" s="83">
        <f t="shared" si="397"/>
        <v>0</v>
      </c>
      <c r="AO1116" s="22" t="str">
        <f t="shared" si="398"/>
        <v/>
      </c>
      <c r="AP1116" s="22" t="str">
        <f t="shared" si="399"/>
        <v/>
      </c>
    </row>
    <row r="1117" spans="1:42" x14ac:dyDescent="0.25">
      <c r="A1117" s="10"/>
      <c r="B1117" s="10"/>
      <c r="C1117" s="10"/>
      <c r="D1117" s="10"/>
      <c r="E1117" s="10"/>
      <c r="F1117" s="10"/>
      <c r="G1117" s="10"/>
      <c r="H1117" s="17"/>
      <c r="I1117" s="10"/>
      <c r="J1117" s="10"/>
      <c r="K1117" s="16" t="str">
        <f t="shared" si="378"/>
        <v/>
      </c>
      <c r="L1117" s="23" t="str">
        <f t="shared" si="379"/>
        <v/>
      </c>
      <c r="M1117" s="22" t="str">
        <f t="shared" si="380"/>
        <v/>
      </c>
      <c r="N1117" s="72"/>
      <c r="O1117" s="16" t="str">
        <f t="shared" si="381"/>
        <v/>
      </c>
      <c r="P1117" s="16" t="str">
        <f t="shared" si="382"/>
        <v/>
      </c>
      <c r="Q1117" s="16" t="str">
        <f t="shared" si="383"/>
        <v/>
      </c>
      <c r="R1117" s="23" t="str">
        <f t="shared" si="384"/>
        <v/>
      </c>
      <c r="S1117" s="23" t="str">
        <f t="shared" si="385"/>
        <v/>
      </c>
      <c r="T1117" s="23" t="str">
        <f t="shared" si="386"/>
        <v/>
      </c>
      <c r="U1117" s="23" t="str">
        <f t="shared" si="387"/>
        <v/>
      </c>
      <c r="V1117" s="23" t="str">
        <f t="shared" si="388"/>
        <v/>
      </c>
      <c r="W1117" s="70" t="str">
        <f t="shared" si="389"/>
        <v/>
      </c>
      <c r="X1117" s="70" t="str">
        <f t="shared" si="390"/>
        <v/>
      </c>
      <c r="Y1117" s="70" t="str">
        <f>IF(AND($A1117&lt;&gt;"",$E1117&gt;0),isLaptopBag($C1117,$J1117)*$D1117,"")</f>
        <v/>
      </c>
      <c r="Z1117" s="70" t="str">
        <f t="shared" si="391"/>
        <v/>
      </c>
      <c r="AA1117" s="70" t="str">
        <f t="shared" si="392"/>
        <v/>
      </c>
      <c r="AB1117" s="70" t="str">
        <f t="shared" si="393"/>
        <v/>
      </c>
      <c r="AC1117" s="70" t="str">
        <f t="shared" si="394"/>
        <v/>
      </c>
      <c r="AD1117" s="70" t="str">
        <f t="shared" si="395"/>
        <v/>
      </c>
      <c r="AE1117" s="70" t="str">
        <f t="shared" si="396"/>
        <v/>
      </c>
      <c r="AF1117" s="16"/>
      <c r="AG1117" s="23"/>
      <c r="AH1117" s="22"/>
      <c r="AJ1117" s="83">
        <f t="shared" si="397"/>
        <v>0</v>
      </c>
      <c r="AO1117" s="22" t="str">
        <f t="shared" si="398"/>
        <v/>
      </c>
      <c r="AP1117" s="22" t="str">
        <f t="shared" si="399"/>
        <v/>
      </c>
    </row>
    <row r="1118" spans="1:42" x14ac:dyDescent="0.25">
      <c r="A1118" s="10"/>
      <c r="B1118" s="10"/>
      <c r="C1118" s="10"/>
      <c r="D1118" s="10"/>
      <c r="E1118" s="10"/>
      <c r="F1118" s="10"/>
      <c r="G1118" s="10"/>
      <c r="H1118" s="17"/>
      <c r="I1118" s="10"/>
      <c r="J1118" s="10"/>
      <c r="K1118" s="16" t="str">
        <f t="shared" si="378"/>
        <v/>
      </c>
      <c r="L1118" s="23" t="str">
        <f t="shared" si="379"/>
        <v/>
      </c>
      <c r="M1118" s="22" t="str">
        <f t="shared" si="380"/>
        <v/>
      </c>
      <c r="N1118" s="72"/>
      <c r="O1118" s="16" t="str">
        <f t="shared" si="381"/>
        <v/>
      </c>
      <c r="P1118" s="16" t="str">
        <f t="shared" si="382"/>
        <v/>
      </c>
      <c r="Q1118" s="16" t="str">
        <f t="shared" si="383"/>
        <v/>
      </c>
      <c r="R1118" s="23" t="str">
        <f t="shared" si="384"/>
        <v/>
      </c>
      <c r="S1118" s="23" t="str">
        <f t="shared" si="385"/>
        <v/>
      </c>
      <c r="T1118" s="23" t="str">
        <f t="shared" si="386"/>
        <v/>
      </c>
      <c r="U1118" s="23" t="str">
        <f t="shared" si="387"/>
        <v/>
      </c>
      <c r="V1118" s="23" t="str">
        <f t="shared" si="388"/>
        <v/>
      </c>
      <c r="W1118" s="70" t="str">
        <f t="shared" si="389"/>
        <v/>
      </c>
      <c r="X1118" s="70" t="str">
        <f t="shared" si="390"/>
        <v/>
      </c>
      <c r="Y1118" s="70" t="str">
        <f>IF(AND($A1118&lt;&gt;"",$E1118&gt;0),isLaptopBag($C1118,$J1118)*$D1118,"")</f>
        <v/>
      </c>
      <c r="Z1118" s="70" t="str">
        <f t="shared" si="391"/>
        <v/>
      </c>
      <c r="AA1118" s="70" t="str">
        <f t="shared" si="392"/>
        <v/>
      </c>
      <c r="AB1118" s="70" t="str">
        <f t="shared" si="393"/>
        <v/>
      </c>
      <c r="AC1118" s="70" t="str">
        <f t="shared" si="394"/>
        <v/>
      </c>
      <c r="AD1118" s="70" t="str">
        <f t="shared" si="395"/>
        <v/>
      </c>
      <c r="AE1118" s="70" t="str">
        <f t="shared" si="396"/>
        <v/>
      </c>
      <c r="AF1118" s="16"/>
      <c r="AG1118" s="23"/>
      <c r="AH1118" s="22"/>
      <c r="AJ1118" s="83">
        <f t="shared" si="397"/>
        <v>0</v>
      </c>
      <c r="AO1118" s="22" t="str">
        <f t="shared" si="398"/>
        <v/>
      </c>
      <c r="AP1118" s="22" t="str">
        <f t="shared" si="399"/>
        <v/>
      </c>
    </row>
    <row r="1119" spans="1:42" x14ac:dyDescent="0.25">
      <c r="A1119" s="10"/>
      <c r="B1119" s="10"/>
      <c r="C1119" s="10"/>
      <c r="D1119" s="10"/>
      <c r="E1119" s="10"/>
      <c r="F1119" s="10"/>
      <c r="G1119" s="10"/>
      <c r="H1119" s="17"/>
      <c r="I1119" s="10"/>
      <c r="J1119" s="10"/>
      <c r="K1119" s="16" t="str">
        <f t="shared" si="378"/>
        <v/>
      </c>
      <c r="L1119" s="23" t="str">
        <f t="shared" si="379"/>
        <v/>
      </c>
      <c r="M1119" s="22" t="str">
        <f t="shared" si="380"/>
        <v/>
      </c>
      <c r="N1119" s="72"/>
      <c r="O1119" s="16" t="str">
        <f t="shared" si="381"/>
        <v/>
      </c>
      <c r="P1119" s="16" t="str">
        <f t="shared" si="382"/>
        <v/>
      </c>
      <c r="Q1119" s="16" t="str">
        <f t="shared" si="383"/>
        <v/>
      </c>
      <c r="R1119" s="23" t="str">
        <f t="shared" si="384"/>
        <v/>
      </c>
      <c r="S1119" s="23" t="str">
        <f t="shared" si="385"/>
        <v/>
      </c>
      <c r="T1119" s="23" t="str">
        <f t="shared" si="386"/>
        <v/>
      </c>
      <c r="U1119" s="23" t="str">
        <f t="shared" si="387"/>
        <v/>
      </c>
      <c r="V1119" s="23" t="str">
        <f t="shared" si="388"/>
        <v/>
      </c>
      <c r="W1119" s="70" t="str">
        <f t="shared" si="389"/>
        <v/>
      </c>
      <c r="X1119" s="70" t="str">
        <f t="shared" si="390"/>
        <v/>
      </c>
      <c r="Y1119" s="70" t="str">
        <f>IF(AND($A1119&lt;&gt;"",$E1119&gt;0),isLaptopBag($C1119,$J1119)*$D1119,"")</f>
        <v/>
      </c>
      <c r="Z1119" s="70" t="str">
        <f t="shared" si="391"/>
        <v/>
      </c>
      <c r="AA1119" s="70" t="str">
        <f t="shared" si="392"/>
        <v/>
      </c>
      <c r="AB1119" s="70" t="str">
        <f t="shared" si="393"/>
        <v/>
      </c>
      <c r="AC1119" s="70" t="str">
        <f t="shared" si="394"/>
        <v/>
      </c>
      <c r="AD1119" s="70" t="str">
        <f t="shared" si="395"/>
        <v/>
      </c>
      <c r="AE1119" s="70" t="str">
        <f t="shared" si="396"/>
        <v/>
      </c>
      <c r="AF1119" s="16"/>
      <c r="AG1119" s="23"/>
      <c r="AH1119" s="22"/>
      <c r="AJ1119" s="83">
        <f t="shared" si="397"/>
        <v>0</v>
      </c>
      <c r="AO1119" s="22" t="str">
        <f t="shared" si="398"/>
        <v/>
      </c>
      <c r="AP1119" s="22" t="str">
        <f t="shared" si="399"/>
        <v/>
      </c>
    </row>
    <row r="1120" spans="1:42" x14ac:dyDescent="0.25">
      <c r="A1120" s="10"/>
      <c r="B1120" s="10"/>
      <c r="C1120" s="10"/>
      <c r="D1120" s="10"/>
      <c r="E1120" s="10"/>
      <c r="F1120" s="10"/>
      <c r="G1120" s="10"/>
      <c r="H1120" s="17"/>
      <c r="I1120" s="10"/>
      <c r="J1120" s="10"/>
      <c r="K1120" s="16" t="str">
        <f t="shared" si="378"/>
        <v/>
      </c>
      <c r="L1120" s="23" t="str">
        <f t="shared" si="379"/>
        <v/>
      </c>
      <c r="M1120" s="22" t="str">
        <f t="shared" si="380"/>
        <v/>
      </c>
      <c r="N1120" s="72"/>
      <c r="O1120" s="16" t="str">
        <f t="shared" si="381"/>
        <v/>
      </c>
      <c r="P1120" s="16" t="str">
        <f t="shared" si="382"/>
        <v/>
      </c>
      <c r="Q1120" s="16" t="str">
        <f t="shared" si="383"/>
        <v/>
      </c>
      <c r="R1120" s="23" t="str">
        <f t="shared" si="384"/>
        <v/>
      </c>
      <c r="S1120" s="23" t="str">
        <f t="shared" si="385"/>
        <v/>
      </c>
      <c r="T1120" s="23" t="str">
        <f t="shared" si="386"/>
        <v/>
      </c>
      <c r="U1120" s="23" t="str">
        <f t="shared" si="387"/>
        <v/>
      </c>
      <c r="V1120" s="23" t="str">
        <f t="shared" si="388"/>
        <v/>
      </c>
      <c r="W1120" s="70" t="str">
        <f t="shared" si="389"/>
        <v/>
      </c>
      <c r="X1120" s="70" t="str">
        <f t="shared" si="390"/>
        <v/>
      </c>
      <c r="Y1120" s="70" t="str">
        <f>IF(AND($A1120&lt;&gt;"",$E1120&gt;0),isLaptopBag($C1120,$J1120)*$D1120,"")</f>
        <v/>
      </c>
      <c r="Z1120" s="70" t="str">
        <f t="shared" si="391"/>
        <v/>
      </c>
      <c r="AA1120" s="70" t="str">
        <f t="shared" si="392"/>
        <v/>
      </c>
      <c r="AB1120" s="70" t="str">
        <f t="shared" si="393"/>
        <v/>
      </c>
      <c r="AC1120" s="70" t="str">
        <f t="shared" si="394"/>
        <v/>
      </c>
      <c r="AD1120" s="70" t="str">
        <f t="shared" si="395"/>
        <v/>
      </c>
      <c r="AE1120" s="70" t="str">
        <f t="shared" si="396"/>
        <v/>
      </c>
      <c r="AF1120" s="16"/>
      <c r="AG1120" s="23"/>
      <c r="AH1120" s="22"/>
      <c r="AJ1120" s="83">
        <f t="shared" si="397"/>
        <v>0</v>
      </c>
      <c r="AO1120" s="22" t="str">
        <f t="shared" si="398"/>
        <v/>
      </c>
      <c r="AP1120" s="22" t="str">
        <f t="shared" si="399"/>
        <v/>
      </c>
    </row>
    <row r="1121" spans="1:42" x14ac:dyDescent="0.25">
      <c r="A1121" s="10"/>
      <c r="B1121" s="10"/>
      <c r="C1121" s="10"/>
      <c r="D1121" s="10"/>
      <c r="E1121" s="10"/>
      <c r="F1121" s="10"/>
      <c r="G1121" s="10"/>
      <c r="H1121" s="17"/>
      <c r="I1121" s="10"/>
      <c r="J1121" s="10"/>
      <c r="K1121" s="16" t="str">
        <f t="shared" si="378"/>
        <v/>
      </c>
      <c r="L1121" s="23" t="str">
        <f t="shared" si="379"/>
        <v/>
      </c>
      <c r="M1121" s="22" t="str">
        <f t="shared" si="380"/>
        <v/>
      </c>
      <c r="N1121" s="72"/>
      <c r="O1121" s="16" t="str">
        <f t="shared" si="381"/>
        <v/>
      </c>
      <c r="P1121" s="16" t="str">
        <f t="shared" si="382"/>
        <v/>
      </c>
      <c r="Q1121" s="16" t="str">
        <f t="shared" si="383"/>
        <v/>
      </c>
      <c r="R1121" s="23" t="str">
        <f t="shared" si="384"/>
        <v/>
      </c>
      <c r="S1121" s="23" t="str">
        <f t="shared" si="385"/>
        <v/>
      </c>
      <c r="T1121" s="23" t="str">
        <f t="shared" si="386"/>
        <v/>
      </c>
      <c r="U1121" s="23" t="str">
        <f t="shared" si="387"/>
        <v/>
      </c>
      <c r="V1121" s="23" t="str">
        <f t="shared" si="388"/>
        <v/>
      </c>
      <c r="W1121" s="70" t="str">
        <f t="shared" si="389"/>
        <v/>
      </c>
      <c r="X1121" s="70" t="str">
        <f t="shared" si="390"/>
        <v/>
      </c>
      <c r="Y1121" s="70" t="str">
        <f>IF(AND($A1121&lt;&gt;"",$E1121&gt;0),isLaptopBag($C1121,$J1121)*$D1121,"")</f>
        <v/>
      </c>
      <c r="Z1121" s="70" t="str">
        <f t="shared" si="391"/>
        <v/>
      </c>
      <c r="AA1121" s="70" t="str">
        <f t="shared" si="392"/>
        <v/>
      </c>
      <c r="AB1121" s="70" t="str">
        <f t="shared" si="393"/>
        <v/>
      </c>
      <c r="AC1121" s="70" t="str">
        <f t="shared" si="394"/>
        <v/>
      </c>
      <c r="AD1121" s="70" t="str">
        <f t="shared" si="395"/>
        <v/>
      </c>
      <c r="AE1121" s="70" t="str">
        <f t="shared" si="396"/>
        <v/>
      </c>
      <c r="AF1121" s="16"/>
      <c r="AG1121" s="23"/>
      <c r="AH1121" s="22"/>
      <c r="AJ1121" s="83">
        <f t="shared" si="397"/>
        <v>0</v>
      </c>
      <c r="AO1121" s="22" t="str">
        <f t="shared" si="398"/>
        <v/>
      </c>
      <c r="AP1121" s="22" t="str">
        <f t="shared" si="399"/>
        <v/>
      </c>
    </row>
    <row r="1122" spans="1:42" x14ac:dyDescent="0.25">
      <c r="A1122" s="10"/>
      <c r="B1122" s="10"/>
      <c r="C1122" s="10"/>
      <c r="D1122" s="10"/>
      <c r="E1122" s="10"/>
      <c r="F1122" s="10"/>
      <c r="G1122" s="10"/>
      <c r="H1122" s="17"/>
      <c r="I1122" s="10"/>
      <c r="J1122" s="10"/>
      <c r="K1122" s="16" t="str">
        <f t="shared" si="378"/>
        <v/>
      </c>
      <c r="L1122" s="23" t="str">
        <f t="shared" si="379"/>
        <v/>
      </c>
      <c r="M1122" s="22" t="str">
        <f t="shared" si="380"/>
        <v/>
      </c>
      <c r="N1122" s="72"/>
      <c r="O1122" s="16" t="str">
        <f t="shared" si="381"/>
        <v/>
      </c>
      <c r="P1122" s="16" t="str">
        <f t="shared" si="382"/>
        <v/>
      </c>
      <c r="Q1122" s="16" t="str">
        <f t="shared" si="383"/>
        <v/>
      </c>
      <c r="R1122" s="23" t="str">
        <f t="shared" si="384"/>
        <v/>
      </c>
      <c r="S1122" s="23" t="str">
        <f t="shared" si="385"/>
        <v/>
      </c>
      <c r="T1122" s="23" t="str">
        <f t="shared" si="386"/>
        <v/>
      </c>
      <c r="U1122" s="23" t="str">
        <f t="shared" si="387"/>
        <v/>
      </c>
      <c r="V1122" s="23" t="str">
        <f t="shared" si="388"/>
        <v/>
      </c>
      <c r="W1122" s="70" t="str">
        <f t="shared" si="389"/>
        <v/>
      </c>
      <c r="X1122" s="70" t="str">
        <f t="shared" si="390"/>
        <v/>
      </c>
      <c r="Y1122" s="70" t="str">
        <f>IF(AND($A1122&lt;&gt;"",$E1122&gt;0),isLaptopBag($C1122,$J1122)*$D1122,"")</f>
        <v/>
      </c>
      <c r="Z1122" s="70" t="str">
        <f t="shared" si="391"/>
        <v/>
      </c>
      <c r="AA1122" s="70" t="str">
        <f t="shared" si="392"/>
        <v/>
      </c>
      <c r="AB1122" s="70" t="str">
        <f t="shared" si="393"/>
        <v/>
      </c>
      <c r="AC1122" s="70" t="str">
        <f t="shared" si="394"/>
        <v/>
      </c>
      <c r="AD1122" s="70" t="str">
        <f t="shared" si="395"/>
        <v/>
      </c>
      <c r="AE1122" s="70" t="str">
        <f t="shared" si="396"/>
        <v/>
      </c>
      <c r="AF1122" s="16"/>
      <c r="AG1122" s="23"/>
      <c r="AH1122" s="22"/>
      <c r="AJ1122" s="83">
        <f t="shared" si="397"/>
        <v>0</v>
      </c>
      <c r="AO1122" s="22" t="str">
        <f t="shared" si="398"/>
        <v/>
      </c>
      <c r="AP1122" s="22" t="str">
        <f t="shared" si="399"/>
        <v/>
      </c>
    </row>
    <row r="1123" spans="1:42" x14ac:dyDescent="0.25">
      <c r="A1123" s="10"/>
      <c r="B1123" s="10"/>
      <c r="C1123" s="10"/>
      <c r="D1123" s="10"/>
      <c r="E1123" s="10"/>
      <c r="F1123" s="10"/>
      <c r="G1123" s="10"/>
      <c r="H1123" s="17"/>
      <c r="I1123" s="10"/>
      <c r="J1123" s="10"/>
      <c r="K1123" s="16" t="str">
        <f t="shared" si="378"/>
        <v/>
      </c>
      <c r="L1123" s="23" t="str">
        <f t="shared" si="379"/>
        <v/>
      </c>
      <c r="M1123" s="22" t="str">
        <f t="shared" si="380"/>
        <v/>
      </c>
      <c r="N1123" s="72"/>
      <c r="O1123" s="16" t="str">
        <f t="shared" si="381"/>
        <v/>
      </c>
      <c r="P1123" s="16" t="str">
        <f t="shared" si="382"/>
        <v/>
      </c>
      <c r="Q1123" s="16" t="str">
        <f t="shared" si="383"/>
        <v/>
      </c>
      <c r="R1123" s="23" t="str">
        <f t="shared" si="384"/>
        <v/>
      </c>
      <c r="S1123" s="23" t="str">
        <f t="shared" si="385"/>
        <v/>
      </c>
      <c r="T1123" s="23" t="str">
        <f t="shared" si="386"/>
        <v/>
      </c>
      <c r="U1123" s="23" t="str">
        <f t="shared" si="387"/>
        <v/>
      </c>
      <c r="V1123" s="23" t="str">
        <f t="shared" si="388"/>
        <v/>
      </c>
      <c r="W1123" s="70" t="str">
        <f t="shared" si="389"/>
        <v/>
      </c>
      <c r="X1123" s="70" t="str">
        <f t="shared" si="390"/>
        <v/>
      </c>
      <c r="Y1123" s="70" t="str">
        <f>IF(AND($A1123&lt;&gt;"",$E1123&gt;0),isLaptopBag($C1123,$J1123)*$D1123,"")</f>
        <v/>
      </c>
      <c r="Z1123" s="70" t="str">
        <f t="shared" si="391"/>
        <v/>
      </c>
      <c r="AA1123" s="70" t="str">
        <f t="shared" si="392"/>
        <v/>
      </c>
      <c r="AB1123" s="70" t="str">
        <f t="shared" si="393"/>
        <v/>
      </c>
      <c r="AC1123" s="70" t="str">
        <f t="shared" si="394"/>
        <v/>
      </c>
      <c r="AD1123" s="70" t="str">
        <f t="shared" si="395"/>
        <v/>
      </c>
      <c r="AE1123" s="70" t="str">
        <f t="shared" si="396"/>
        <v/>
      </c>
      <c r="AF1123" s="16"/>
      <c r="AG1123" s="23"/>
      <c r="AH1123" s="22"/>
      <c r="AJ1123" s="83">
        <f t="shared" si="397"/>
        <v>0</v>
      </c>
      <c r="AO1123" s="22" t="str">
        <f t="shared" si="398"/>
        <v/>
      </c>
      <c r="AP1123" s="22" t="str">
        <f t="shared" si="399"/>
        <v/>
      </c>
    </row>
    <row r="1124" spans="1:42" x14ac:dyDescent="0.25">
      <c r="A1124" s="10"/>
      <c r="B1124" s="10"/>
      <c r="C1124" s="10"/>
      <c r="D1124" s="10"/>
      <c r="E1124" s="10"/>
      <c r="F1124" s="10"/>
      <c r="G1124" s="10"/>
      <c r="H1124" s="17"/>
      <c r="I1124" s="10"/>
      <c r="J1124" s="10"/>
      <c r="K1124" s="16" t="str">
        <f t="shared" si="378"/>
        <v/>
      </c>
      <c r="L1124" s="23" t="str">
        <f t="shared" si="379"/>
        <v/>
      </c>
      <c r="M1124" s="22" t="str">
        <f t="shared" si="380"/>
        <v/>
      </c>
      <c r="N1124" s="72"/>
      <c r="O1124" s="16" t="str">
        <f t="shared" si="381"/>
        <v/>
      </c>
      <c r="P1124" s="16" t="str">
        <f t="shared" si="382"/>
        <v/>
      </c>
      <c r="Q1124" s="16" t="str">
        <f t="shared" si="383"/>
        <v/>
      </c>
      <c r="R1124" s="23" t="str">
        <f t="shared" si="384"/>
        <v/>
      </c>
      <c r="S1124" s="23" t="str">
        <f t="shared" si="385"/>
        <v/>
      </c>
      <c r="T1124" s="23" t="str">
        <f t="shared" si="386"/>
        <v/>
      </c>
      <c r="U1124" s="23" t="str">
        <f t="shared" si="387"/>
        <v/>
      </c>
      <c r="V1124" s="23" t="str">
        <f t="shared" si="388"/>
        <v/>
      </c>
      <c r="W1124" s="70" t="str">
        <f t="shared" si="389"/>
        <v/>
      </c>
      <c r="X1124" s="70" t="str">
        <f t="shared" si="390"/>
        <v/>
      </c>
      <c r="Y1124" s="70" t="str">
        <f>IF(AND($A1124&lt;&gt;"",$E1124&gt;0),isLaptopBag($C1124,$J1124)*$D1124,"")</f>
        <v/>
      </c>
      <c r="Z1124" s="70" t="str">
        <f t="shared" si="391"/>
        <v/>
      </c>
      <c r="AA1124" s="70" t="str">
        <f t="shared" si="392"/>
        <v/>
      </c>
      <c r="AB1124" s="70" t="str">
        <f t="shared" si="393"/>
        <v/>
      </c>
      <c r="AC1124" s="70" t="str">
        <f t="shared" si="394"/>
        <v/>
      </c>
      <c r="AD1124" s="70" t="str">
        <f t="shared" si="395"/>
        <v/>
      </c>
      <c r="AE1124" s="70" t="str">
        <f t="shared" si="396"/>
        <v/>
      </c>
      <c r="AF1124" s="16"/>
      <c r="AG1124" s="23"/>
      <c r="AH1124" s="22"/>
      <c r="AJ1124" s="83">
        <f t="shared" si="397"/>
        <v>0</v>
      </c>
      <c r="AO1124" s="22" t="str">
        <f t="shared" si="398"/>
        <v/>
      </c>
      <c r="AP1124" s="22" t="str">
        <f t="shared" si="399"/>
        <v/>
      </c>
    </row>
    <row r="1125" spans="1:42" x14ac:dyDescent="0.25">
      <c r="A1125" s="10"/>
      <c r="B1125" s="10"/>
      <c r="C1125" s="10"/>
      <c r="D1125" s="10"/>
      <c r="E1125" s="10"/>
      <c r="F1125" s="10"/>
      <c r="G1125" s="10"/>
      <c r="H1125" s="17"/>
      <c r="I1125" s="10"/>
      <c r="J1125" s="10"/>
      <c r="K1125" s="16" t="str">
        <f t="shared" si="378"/>
        <v/>
      </c>
      <c r="L1125" s="23" t="str">
        <f t="shared" si="379"/>
        <v/>
      </c>
      <c r="M1125" s="22" t="str">
        <f t="shared" si="380"/>
        <v/>
      </c>
      <c r="N1125" s="72"/>
      <c r="O1125" s="16" t="str">
        <f t="shared" si="381"/>
        <v/>
      </c>
      <c r="P1125" s="16" t="str">
        <f t="shared" si="382"/>
        <v/>
      </c>
      <c r="Q1125" s="16" t="str">
        <f t="shared" si="383"/>
        <v/>
      </c>
      <c r="R1125" s="23" t="str">
        <f t="shared" si="384"/>
        <v/>
      </c>
      <c r="S1125" s="23" t="str">
        <f t="shared" si="385"/>
        <v/>
      </c>
      <c r="T1125" s="23" t="str">
        <f t="shared" si="386"/>
        <v/>
      </c>
      <c r="U1125" s="23" t="str">
        <f t="shared" si="387"/>
        <v/>
      </c>
      <c r="V1125" s="23" t="str">
        <f t="shared" si="388"/>
        <v/>
      </c>
      <c r="W1125" s="70" t="str">
        <f t="shared" si="389"/>
        <v/>
      </c>
      <c r="X1125" s="70" t="str">
        <f t="shared" si="390"/>
        <v/>
      </c>
      <c r="Y1125" s="70" t="str">
        <f>IF(AND($A1125&lt;&gt;"",$E1125&gt;0),isLaptopBag($C1125,$J1125)*$D1125,"")</f>
        <v/>
      </c>
      <c r="Z1125" s="70" t="str">
        <f t="shared" si="391"/>
        <v/>
      </c>
      <c r="AA1125" s="70" t="str">
        <f t="shared" si="392"/>
        <v/>
      </c>
      <c r="AB1125" s="70" t="str">
        <f t="shared" si="393"/>
        <v/>
      </c>
      <c r="AC1125" s="70" t="str">
        <f t="shared" si="394"/>
        <v/>
      </c>
      <c r="AD1125" s="70" t="str">
        <f t="shared" si="395"/>
        <v/>
      </c>
      <c r="AE1125" s="70" t="str">
        <f t="shared" si="396"/>
        <v/>
      </c>
      <c r="AF1125" s="16"/>
      <c r="AG1125" s="23"/>
      <c r="AH1125" s="22"/>
      <c r="AJ1125" s="83">
        <f t="shared" si="397"/>
        <v>0</v>
      </c>
      <c r="AO1125" s="22" t="str">
        <f t="shared" si="398"/>
        <v/>
      </c>
      <c r="AP1125" s="22" t="str">
        <f t="shared" si="399"/>
        <v/>
      </c>
    </row>
    <row r="1126" spans="1:42" x14ac:dyDescent="0.25">
      <c r="A1126" s="10"/>
      <c r="B1126" s="10"/>
      <c r="C1126" s="10"/>
      <c r="D1126" s="10"/>
      <c r="E1126" s="10"/>
      <c r="F1126" s="10"/>
      <c r="G1126" s="10"/>
      <c r="H1126" s="17"/>
      <c r="I1126" s="10"/>
      <c r="J1126" s="10"/>
      <c r="K1126" s="16" t="str">
        <f t="shared" si="378"/>
        <v/>
      </c>
      <c r="L1126" s="23" t="str">
        <f t="shared" si="379"/>
        <v/>
      </c>
      <c r="M1126" s="22" t="str">
        <f t="shared" si="380"/>
        <v/>
      </c>
      <c r="N1126" s="72"/>
      <c r="O1126" s="16" t="str">
        <f t="shared" si="381"/>
        <v/>
      </c>
      <c r="P1126" s="16" t="str">
        <f t="shared" si="382"/>
        <v/>
      </c>
      <c r="Q1126" s="16" t="str">
        <f t="shared" si="383"/>
        <v/>
      </c>
      <c r="R1126" s="23" t="str">
        <f t="shared" si="384"/>
        <v/>
      </c>
      <c r="S1126" s="23" t="str">
        <f t="shared" si="385"/>
        <v/>
      </c>
      <c r="T1126" s="23" t="str">
        <f t="shared" si="386"/>
        <v/>
      </c>
      <c r="U1126" s="23" t="str">
        <f t="shared" si="387"/>
        <v/>
      </c>
      <c r="V1126" s="23" t="str">
        <f t="shared" si="388"/>
        <v/>
      </c>
      <c r="W1126" s="70" t="str">
        <f t="shared" si="389"/>
        <v/>
      </c>
      <c r="X1126" s="70" t="str">
        <f t="shared" si="390"/>
        <v/>
      </c>
      <c r="Y1126" s="70" t="str">
        <f>IF(AND($A1126&lt;&gt;"",$E1126&gt;0),isLaptopBag($C1126,$J1126)*$D1126,"")</f>
        <v/>
      </c>
      <c r="Z1126" s="70" t="str">
        <f t="shared" si="391"/>
        <v/>
      </c>
      <c r="AA1126" s="70" t="str">
        <f t="shared" si="392"/>
        <v/>
      </c>
      <c r="AB1126" s="70" t="str">
        <f t="shared" si="393"/>
        <v/>
      </c>
      <c r="AC1126" s="70" t="str">
        <f t="shared" si="394"/>
        <v/>
      </c>
      <c r="AD1126" s="70" t="str">
        <f t="shared" si="395"/>
        <v/>
      </c>
      <c r="AE1126" s="70" t="str">
        <f t="shared" si="396"/>
        <v/>
      </c>
      <c r="AF1126" s="16"/>
      <c r="AG1126" s="23"/>
      <c r="AH1126" s="22"/>
      <c r="AJ1126" s="83">
        <f t="shared" si="397"/>
        <v>0</v>
      </c>
      <c r="AO1126" s="22" t="str">
        <f t="shared" si="398"/>
        <v/>
      </c>
      <c r="AP1126" s="22" t="str">
        <f t="shared" si="399"/>
        <v/>
      </c>
    </row>
    <row r="1127" spans="1:42" x14ac:dyDescent="0.25">
      <c r="A1127" s="10"/>
      <c r="B1127" s="10"/>
      <c r="C1127" s="10"/>
      <c r="D1127" s="10"/>
      <c r="E1127" s="10"/>
      <c r="F1127" s="10"/>
      <c r="G1127" s="10"/>
      <c r="H1127" s="17"/>
      <c r="I1127" s="10"/>
      <c r="J1127" s="10"/>
      <c r="K1127" s="16" t="str">
        <f t="shared" si="378"/>
        <v/>
      </c>
      <c r="L1127" s="23" t="str">
        <f t="shared" si="379"/>
        <v/>
      </c>
      <c r="M1127" s="22" t="str">
        <f t="shared" si="380"/>
        <v/>
      </c>
      <c r="N1127" s="72"/>
      <c r="O1127" s="16" t="str">
        <f t="shared" si="381"/>
        <v/>
      </c>
      <c r="P1127" s="16" t="str">
        <f t="shared" si="382"/>
        <v/>
      </c>
      <c r="Q1127" s="16" t="str">
        <f t="shared" si="383"/>
        <v/>
      </c>
      <c r="R1127" s="23" t="str">
        <f t="shared" si="384"/>
        <v/>
      </c>
      <c r="S1127" s="23" t="str">
        <f t="shared" si="385"/>
        <v/>
      </c>
      <c r="T1127" s="23" t="str">
        <f t="shared" si="386"/>
        <v/>
      </c>
      <c r="U1127" s="23" t="str">
        <f t="shared" si="387"/>
        <v/>
      </c>
      <c r="V1127" s="23" t="str">
        <f t="shared" si="388"/>
        <v/>
      </c>
      <c r="W1127" s="70" t="str">
        <f t="shared" si="389"/>
        <v/>
      </c>
      <c r="X1127" s="70" t="str">
        <f t="shared" si="390"/>
        <v/>
      </c>
      <c r="Y1127" s="70" t="str">
        <f>IF(AND($A1127&lt;&gt;"",$E1127&gt;0),isLaptopBag($C1127,$J1127)*$D1127,"")</f>
        <v/>
      </c>
      <c r="Z1127" s="70" t="str">
        <f t="shared" si="391"/>
        <v/>
      </c>
      <c r="AA1127" s="70" t="str">
        <f t="shared" si="392"/>
        <v/>
      </c>
      <c r="AB1127" s="70" t="str">
        <f t="shared" si="393"/>
        <v/>
      </c>
      <c r="AC1127" s="70" t="str">
        <f t="shared" si="394"/>
        <v/>
      </c>
      <c r="AD1127" s="70" t="str">
        <f t="shared" si="395"/>
        <v/>
      </c>
      <c r="AE1127" s="70" t="str">
        <f t="shared" si="396"/>
        <v/>
      </c>
      <c r="AF1127" s="16"/>
      <c r="AG1127" s="23"/>
      <c r="AH1127" s="22"/>
      <c r="AJ1127" s="83">
        <f t="shared" si="397"/>
        <v>0</v>
      </c>
      <c r="AO1127" s="22" t="str">
        <f t="shared" si="398"/>
        <v/>
      </c>
      <c r="AP1127" s="22" t="str">
        <f t="shared" si="399"/>
        <v/>
      </c>
    </row>
    <row r="1128" spans="1:42" x14ac:dyDescent="0.25">
      <c r="A1128" s="10"/>
      <c r="B1128" s="10"/>
      <c r="C1128" s="10"/>
      <c r="D1128" s="10"/>
      <c r="E1128" s="10"/>
      <c r="F1128" s="10"/>
      <c r="G1128" s="10"/>
      <c r="H1128" s="17"/>
      <c r="I1128" s="10"/>
      <c r="J1128" s="10"/>
      <c r="K1128" s="16" t="str">
        <f t="shared" si="378"/>
        <v/>
      </c>
      <c r="L1128" s="23" t="str">
        <f t="shared" si="379"/>
        <v/>
      </c>
      <c r="M1128" s="22" t="str">
        <f t="shared" si="380"/>
        <v/>
      </c>
      <c r="N1128" s="72"/>
      <c r="O1128" s="16" t="str">
        <f t="shared" si="381"/>
        <v/>
      </c>
      <c r="P1128" s="16" t="str">
        <f t="shared" si="382"/>
        <v/>
      </c>
      <c r="Q1128" s="16" t="str">
        <f t="shared" si="383"/>
        <v/>
      </c>
      <c r="R1128" s="23" t="str">
        <f t="shared" si="384"/>
        <v/>
      </c>
      <c r="S1128" s="23" t="str">
        <f t="shared" si="385"/>
        <v/>
      </c>
      <c r="T1128" s="23" t="str">
        <f t="shared" si="386"/>
        <v/>
      </c>
      <c r="U1128" s="23" t="str">
        <f t="shared" si="387"/>
        <v/>
      </c>
      <c r="V1128" s="23" t="str">
        <f t="shared" si="388"/>
        <v/>
      </c>
      <c r="W1128" s="70" t="str">
        <f t="shared" si="389"/>
        <v/>
      </c>
      <c r="X1128" s="70" t="str">
        <f t="shared" si="390"/>
        <v/>
      </c>
      <c r="Y1128" s="70" t="str">
        <f>IF(AND($A1128&lt;&gt;"",$E1128&gt;0),isLaptopBag($C1128,$J1128)*$D1128,"")</f>
        <v/>
      </c>
      <c r="Z1128" s="70" t="str">
        <f t="shared" si="391"/>
        <v/>
      </c>
      <c r="AA1128" s="70" t="str">
        <f t="shared" si="392"/>
        <v/>
      </c>
      <c r="AB1128" s="70" t="str">
        <f t="shared" si="393"/>
        <v/>
      </c>
      <c r="AC1128" s="70" t="str">
        <f t="shared" si="394"/>
        <v/>
      </c>
      <c r="AD1128" s="70" t="str">
        <f t="shared" si="395"/>
        <v/>
      </c>
      <c r="AE1128" s="70" t="str">
        <f t="shared" si="396"/>
        <v/>
      </c>
      <c r="AF1128" s="16"/>
      <c r="AG1128" s="23"/>
      <c r="AH1128" s="22"/>
      <c r="AJ1128" s="83">
        <f t="shared" si="397"/>
        <v>0</v>
      </c>
      <c r="AO1128" s="22" t="str">
        <f t="shared" si="398"/>
        <v/>
      </c>
      <c r="AP1128" s="22" t="str">
        <f t="shared" si="399"/>
        <v/>
      </c>
    </row>
    <row r="1129" spans="1:42" x14ac:dyDescent="0.25">
      <c r="A1129" s="10"/>
      <c r="B1129" s="10"/>
      <c r="C1129" s="10"/>
      <c r="D1129" s="10"/>
      <c r="E1129" s="10"/>
      <c r="F1129" s="10"/>
      <c r="G1129" s="10"/>
      <c r="H1129" s="17"/>
      <c r="I1129" s="10"/>
      <c r="J1129" s="10"/>
      <c r="K1129" s="16" t="str">
        <f t="shared" si="378"/>
        <v/>
      </c>
      <c r="L1129" s="23" t="str">
        <f t="shared" si="379"/>
        <v/>
      </c>
      <c r="M1129" s="22" t="str">
        <f t="shared" si="380"/>
        <v/>
      </c>
      <c r="N1129" s="72"/>
      <c r="O1129" s="16" t="str">
        <f t="shared" si="381"/>
        <v/>
      </c>
      <c r="P1129" s="16" t="str">
        <f t="shared" si="382"/>
        <v/>
      </c>
      <c r="Q1129" s="16" t="str">
        <f t="shared" si="383"/>
        <v/>
      </c>
      <c r="R1129" s="23" t="str">
        <f t="shared" si="384"/>
        <v/>
      </c>
      <c r="S1129" s="23" t="str">
        <f t="shared" si="385"/>
        <v/>
      </c>
      <c r="T1129" s="23" t="str">
        <f t="shared" si="386"/>
        <v/>
      </c>
      <c r="U1129" s="23" t="str">
        <f t="shared" si="387"/>
        <v/>
      </c>
      <c r="V1129" s="23" t="str">
        <f t="shared" si="388"/>
        <v/>
      </c>
      <c r="W1129" s="70" t="str">
        <f t="shared" si="389"/>
        <v/>
      </c>
      <c r="X1129" s="70" t="str">
        <f t="shared" si="390"/>
        <v/>
      </c>
      <c r="Y1129" s="70" t="str">
        <f>IF(AND($A1129&lt;&gt;"",$E1129&gt;0),isLaptopBag($C1129,$J1129)*$D1129,"")</f>
        <v/>
      </c>
      <c r="Z1129" s="70" t="str">
        <f t="shared" si="391"/>
        <v/>
      </c>
      <c r="AA1129" s="70" t="str">
        <f t="shared" si="392"/>
        <v/>
      </c>
      <c r="AB1129" s="70" t="str">
        <f t="shared" si="393"/>
        <v/>
      </c>
      <c r="AC1129" s="70" t="str">
        <f t="shared" si="394"/>
        <v/>
      </c>
      <c r="AD1129" s="70" t="str">
        <f t="shared" si="395"/>
        <v/>
      </c>
      <c r="AE1129" s="70" t="str">
        <f t="shared" si="396"/>
        <v/>
      </c>
      <c r="AF1129" s="16"/>
      <c r="AG1129" s="23"/>
      <c r="AH1129" s="22"/>
      <c r="AJ1129" s="83">
        <f t="shared" si="397"/>
        <v>0</v>
      </c>
      <c r="AO1129" s="22" t="str">
        <f t="shared" si="398"/>
        <v/>
      </c>
      <c r="AP1129" s="22" t="str">
        <f t="shared" si="399"/>
        <v/>
      </c>
    </row>
    <row r="1130" spans="1:42" x14ac:dyDescent="0.25">
      <c r="A1130" s="10"/>
      <c r="B1130" s="10"/>
      <c r="C1130" s="10"/>
      <c r="D1130" s="10"/>
      <c r="E1130" s="10"/>
      <c r="F1130" s="10"/>
      <c r="G1130" s="10"/>
      <c r="H1130" s="17"/>
      <c r="I1130" s="10"/>
      <c r="J1130" s="10"/>
      <c r="K1130" s="16" t="str">
        <f t="shared" si="378"/>
        <v/>
      </c>
      <c r="L1130" s="23" t="str">
        <f t="shared" si="379"/>
        <v/>
      </c>
      <c r="M1130" s="22" t="str">
        <f t="shared" si="380"/>
        <v/>
      </c>
      <c r="N1130" s="72"/>
      <c r="O1130" s="16" t="str">
        <f t="shared" si="381"/>
        <v/>
      </c>
      <c r="P1130" s="16" t="str">
        <f t="shared" si="382"/>
        <v/>
      </c>
      <c r="Q1130" s="16" t="str">
        <f t="shared" si="383"/>
        <v/>
      </c>
      <c r="R1130" s="23" t="str">
        <f t="shared" si="384"/>
        <v/>
      </c>
      <c r="S1130" s="23" t="str">
        <f t="shared" si="385"/>
        <v/>
      </c>
      <c r="T1130" s="23" t="str">
        <f t="shared" si="386"/>
        <v/>
      </c>
      <c r="U1130" s="23" t="str">
        <f t="shared" si="387"/>
        <v/>
      </c>
      <c r="V1130" s="23" t="str">
        <f t="shared" si="388"/>
        <v/>
      </c>
      <c r="W1130" s="70" t="str">
        <f t="shared" si="389"/>
        <v/>
      </c>
      <c r="X1130" s="70" t="str">
        <f t="shared" si="390"/>
        <v/>
      </c>
      <c r="Y1130" s="70" t="str">
        <f>IF(AND($A1130&lt;&gt;"",$E1130&gt;0),isLaptopBag($C1130,$J1130)*$D1130,"")</f>
        <v/>
      </c>
      <c r="Z1130" s="70" t="str">
        <f t="shared" si="391"/>
        <v/>
      </c>
      <c r="AA1130" s="70" t="str">
        <f t="shared" si="392"/>
        <v/>
      </c>
      <c r="AB1130" s="70" t="str">
        <f t="shared" si="393"/>
        <v/>
      </c>
      <c r="AC1130" s="70" t="str">
        <f t="shared" si="394"/>
        <v/>
      </c>
      <c r="AD1130" s="70" t="str">
        <f t="shared" si="395"/>
        <v/>
      </c>
      <c r="AE1130" s="70" t="str">
        <f t="shared" si="396"/>
        <v/>
      </c>
      <c r="AF1130" s="16"/>
      <c r="AG1130" s="23"/>
      <c r="AH1130" s="22"/>
      <c r="AJ1130" s="83">
        <f t="shared" si="397"/>
        <v>0</v>
      </c>
      <c r="AO1130" s="22" t="str">
        <f t="shared" si="398"/>
        <v/>
      </c>
      <c r="AP1130" s="22" t="str">
        <f t="shared" si="399"/>
        <v/>
      </c>
    </row>
    <row r="1131" spans="1:42" x14ac:dyDescent="0.25">
      <c r="A1131" s="10"/>
      <c r="B1131" s="10"/>
      <c r="C1131" s="10"/>
      <c r="D1131" s="10"/>
      <c r="E1131" s="10"/>
      <c r="F1131" s="10"/>
      <c r="G1131" s="10"/>
      <c r="H1131" s="17"/>
      <c r="I1131" s="10"/>
      <c r="J1131" s="10"/>
      <c r="K1131" s="16" t="str">
        <f t="shared" si="378"/>
        <v/>
      </c>
      <c r="L1131" s="23" t="str">
        <f t="shared" si="379"/>
        <v/>
      </c>
      <c r="M1131" s="22" t="str">
        <f t="shared" si="380"/>
        <v/>
      </c>
      <c r="N1131" s="72"/>
      <c r="O1131" s="16" t="str">
        <f t="shared" si="381"/>
        <v/>
      </c>
      <c r="P1131" s="16" t="str">
        <f t="shared" si="382"/>
        <v/>
      </c>
      <c r="Q1131" s="16" t="str">
        <f t="shared" si="383"/>
        <v/>
      </c>
      <c r="R1131" s="23" t="str">
        <f t="shared" si="384"/>
        <v/>
      </c>
      <c r="S1131" s="23" t="str">
        <f t="shared" si="385"/>
        <v/>
      </c>
      <c r="T1131" s="23" t="str">
        <f t="shared" si="386"/>
        <v/>
      </c>
      <c r="U1131" s="23" t="str">
        <f t="shared" si="387"/>
        <v/>
      </c>
      <c r="V1131" s="23" t="str">
        <f t="shared" si="388"/>
        <v/>
      </c>
      <c r="W1131" s="70" t="str">
        <f t="shared" si="389"/>
        <v/>
      </c>
      <c r="X1131" s="70" t="str">
        <f t="shared" si="390"/>
        <v/>
      </c>
      <c r="Y1131" s="70" t="str">
        <f>IF(AND($A1131&lt;&gt;"",$E1131&gt;0),isLaptopBag($C1131,$J1131)*$D1131,"")</f>
        <v/>
      </c>
      <c r="Z1131" s="70" t="str">
        <f t="shared" si="391"/>
        <v/>
      </c>
      <c r="AA1131" s="70" t="str">
        <f t="shared" si="392"/>
        <v/>
      </c>
      <c r="AB1131" s="70" t="str">
        <f t="shared" si="393"/>
        <v/>
      </c>
      <c r="AC1131" s="70" t="str">
        <f t="shared" si="394"/>
        <v/>
      </c>
      <c r="AD1131" s="70" t="str">
        <f t="shared" si="395"/>
        <v/>
      </c>
      <c r="AE1131" s="70" t="str">
        <f t="shared" si="396"/>
        <v/>
      </c>
      <c r="AF1131" s="16"/>
      <c r="AG1131" s="23"/>
      <c r="AH1131" s="22"/>
      <c r="AJ1131" s="83">
        <f t="shared" si="397"/>
        <v>0</v>
      </c>
      <c r="AO1131" s="22" t="str">
        <f t="shared" si="398"/>
        <v/>
      </c>
      <c r="AP1131" s="22" t="str">
        <f t="shared" si="399"/>
        <v/>
      </c>
    </row>
    <row r="1132" spans="1:42" x14ac:dyDescent="0.25">
      <c r="A1132" s="10"/>
      <c r="B1132" s="10"/>
      <c r="C1132" s="10"/>
      <c r="D1132" s="10"/>
      <c r="E1132" s="10"/>
      <c r="F1132" s="10"/>
      <c r="G1132" s="10"/>
      <c r="H1132" s="17"/>
      <c r="I1132" s="10"/>
      <c r="J1132" s="10"/>
      <c r="K1132" s="16" t="str">
        <f t="shared" si="378"/>
        <v/>
      </c>
      <c r="L1132" s="23" t="str">
        <f t="shared" si="379"/>
        <v/>
      </c>
      <c r="M1132" s="22" t="str">
        <f t="shared" si="380"/>
        <v/>
      </c>
      <c r="N1132" s="72"/>
      <c r="O1132" s="16" t="str">
        <f t="shared" si="381"/>
        <v/>
      </c>
      <c r="P1132" s="16" t="str">
        <f t="shared" si="382"/>
        <v/>
      </c>
      <c r="Q1132" s="16" t="str">
        <f t="shared" si="383"/>
        <v/>
      </c>
      <c r="R1132" s="23" t="str">
        <f t="shared" si="384"/>
        <v/>
      </c>
      <c r="S1132" s="23" t="str">
        <f t="shared" si="385"/>
        <v/>
      </c>
      <c r="T1132" s="23" t="str">
        <f t="shared" si="386"/>
        <v/>
      </c>
      <c r="U1132" s="23" t="str">
        <f t="shared" si="387"/>
        <v/>
      </c>
      <c r="V1132" s="23" t="str">
        <f t="shared" si="388"/>
        <v/>
      </c>
      <c r="W1132" s="70" t="str">
        <f t="shared" si="389"/>
        <v/>
      </c>
      <c r="X1132" s="70" t="str">
        <f t="shared" si="390"/>
        <v/>
      </c>
      <c r="Y1132" s="70" t="str">
        <f>IF(AND($A1132&lt;&gt;"",$E1132&gt;0),isLaptopBag($C1132,$J1132)*$D1132,"")</f>
        <v/>
      </c>
      <c r="Z1132" s="70" t="str">
        <f t="shared" si="391"/>
        <v/>
      </c>
      <c r="AA1132" s="70" t="str">
        <f t="shared" si="392"/>
        <v/>
      </c>
      <c r="AB1132" s="70" t="str">
        <f t="shared" si="393"/>
        <v/>
      </c>
      <c r="AC1132" s="70" t="str">
        <f t="shared" si="394"/>
        <v/>
      </c>
      <c r="AD1132" s="70" t="str">
        <f t="shared" si="395"/>
        <v/>
      </c>
      <c r="AE1132" s="70" t="str">
        <f t="shared" si="396"/>
        <v/>
      </c>
      <c r="AF1132" s="16"/>
      <c r="AG1132" s="23"/>
      <c r="AH1132" s="22"/>
      <c r="AJ1132" s="83">
        <f t="shared" si="397"/>
        <v>0</v>
      </c>
      <c r="AO1132" s="22" t="str">
        <f t="shared" si="398"/>
        <v/>
      </c>
      <c r="AP1132" s="22" t="str">
        <f t="shared" si="399"/>
        <v/>
      </c>
    </row>
    <row r="1133" spans="1:42" x14ac:dyDescent="0.25">
      <c r="A1133" s="10"/>
      <c r="B1133" s="10"/>
      <c r="C1133" s="10"/>
      <c r="D1133" s="10"/>
      <c r="E1133" s="10"/>
      <c r="F1133" s="10"/>
      <c r="G1133" s="10"/>
      <c r="H1133" s="17"/>
      <c r="I1133" s="10"/>
      <c r="J1133" s="10"/>
      <c r="K1133" s="16" t="str">
        <f t="shared" si="378"/>
        <v/>
      </c>
      <c r="L1133" s="23" t="str">
        <f t="shared" si="379"/>
        <v/>
      </c>
      <c r="M1133" s="22" t="str">
        <f t="shared" si="380"/>
        <v/>
      </c>
      <c r="N1133" s="72"/>
      <c r="O1133" s="16" t="str">
        <f t="shared" si="381"/>
        <v/>
      </c>
      <c r="P1133" s="16" t="str">
        <f t="shared" si="382"/>
        <v/>
      </c>
      <c r="Q1133" s="16" t="str">
        <f t="shared" si="383"/>
        <v/>
      </c>
      <c r="R1133" s="23" t="str">
        <f t="shared" si="384"/>
        <v/>
      </c>
      <c r="S1133" s="23" t="str">
        <f t="shared" si="385"/>
        <v/>
      </c>
      <c r="T1133" s="23" t="str">
        <f t="shared" si="386"/>
        <v/>
      </c>
      <c r="U1133" s="23" t="str">
        <f t="shared" si="387"/>
        <v/>
      </c>
      <c r="V1133" s="23" t="str">
        <f t="shared" si="388"/>
        <v/>
      </c>
      <c r="W1133" s="70" t="str">
        <f t="shared" si="389"/>
        <v/>
      </c>
      <c r="X1133" s="70" t="str">
        <f t="shared" si="390"/>
        <v/>
      </c>
      <c r="Y1133" s="70" t="str">
        <f>IF(AND($A1133&lt;&gt;"",$E1133&gt;0),isLaptopBag($C1133,$J1133)*$D1133,"")</f>
        <v/>
      </c>
      <c r="Z1133" s="70" t="str">
        <f t="shared" si="391"/>
        <v/>
      </c>
      <c r="AA1133" s="70" t="str">
        <f t="shared" si="392"/>
        <v/>
      </c>
      <c r="AB1133" s="70" t="str">
        <f t="shared" si="393"/>
        <v/>
      </c>
      <c r="AC1133" s="70" t="str">
        <f t="shared" si="394"/>
        <v/>
      </c>
      <c r="AD1133" s="70" t="str">
        <f t="shared" si="395"/>
        <v/>
      </c>
      <c r="AE1133" s="70" t="str">
        <f t="shared" si="396"/>
        <v/>
      </c>
      <c r="AF1133" s="16"/>
      <c r="AG1133" s="23"/>
      <c r="AH1133" s="22"/>
      <c r="AJ1133" s="83">
        <f t="shared" si="397"/>
        <v>0</v>
      </c>
      <c r="AO1133" s="22" t="str">
        <f t="shared" si="398"/>
        <v/>
      </c>
      <c r="AP1133" s="22" t="str">
        <f t="shared" si="399"/>
        <v/>
      </c>
    </row>
    <row r="1134" spans="1:42" x14ac:dyDescent="0.25">
      <c r="A1134" s="10"/>
      <c r="B1134" s="10"/>
      <c r="C1134" s="10"/>
      <c r="D1134" s="10"/>
      <c r="E1134" s="10"/>
      <c r="F1134" s="10"/>
      <c r="G1134" s="10"/>
      <c r="H1134" s="17"/>
      <c r="I1134" s="10"/>
      <c r="J1134" s="10"/>
      <c r="K1134" s="16" t="str">
        <f t="shared" si="378"/>
        <v/>
      </c>
      <c r="L1134" s="23" t="str">
        <f t="shared" si="379"/>
        <v/>
      </c>
      <c r="M1134" s="22" t="str">
        <f t="shared" si="380"/>
        <v/>
      </c>
      <c r="N1134" s="72"/>
      <c r="O1134" s="16" t="str">
        <f t="shared" si="381"/>
        <v/>
      </c>
      <c r="P1134" s="16" t="str">
        <f t="shared" si="382"/>
        <v/>
      </c>
      <c r="Q1134" s="16" t="str">
        <f t="shared" si="383"/>
        <v/>
      </c>
      <c r="R1134" s="23" t="str">
        <f t="shared" si="384"/>
        <v/>
      </c>
      <c r="S1134" s="23" t="str">
        <f t="shared" si="385"/>
        <v/>
      </c>
      <c r="T1134" s="23" t="str">
        <f t="shared" si="386"/>
        <v/>
      </c>
      <c r="U1134" s="23" t="str">
        <f t="shared" si="387"/>
        <v/>
      </c>
      <c r="V1134" s="23" t="str">
        <f t="shared" si="388"/>
        <v/>
      </c>
      <c r="W1134" s="70" t="str">
        <f t="shared" si="389"/>
        <v/>
      </c>
      <c r="X1134" s="70" t="str">
        <f t="shared" si="390"/>
        <v/>
      </c>
      <c r="Y1134" s="70" t="str">
        <f>IF(AND($A1134&lt;&gt;"",$E1134&gt;0),isLaptopBag($C1134,$J1134)*$D1134,"")</f>
        <v/>
      </c>
      <c r="Z1134" s="70" t="str">
        <f t="shared" si="391"/>
        <v/>
      </c>
      <c r="AA1134" s="70" t="str">
        <f t="shared" si="392"/>
        <v/>
      </c>
      <c r="AB1134" s="70" t="str">
        <f t="shared" si="393"/>
        <v/>
      </c>
      <c r="AC1134" s="70" t="str">
        <f t="shared" si="394"/>
        <v/>
      </c>
      <c r="AD1134" s="70" t="str">
        <f t="shared" si="395"/>
        <v/>
      </c>
      <c r="AE1134" s="70" t="str">
        <f t="shared" si="396"/>
        <v/>
      </c>
      <c r="AF1134" s="16"/>
      <c r="AG1134" s="23"/>
      <c r="AH1134" s="22"/>
      <c r="AJ1134" s="83">
        <f t="shared" si="397"/>
        <v>0</v>
      </c>
      <c r="AO1134" s="22" t="str">
        <f t="shared" si="398"/>
        <v/>
      </c>
      <c r="AP1134" s="22" t="str">
        <f t="shared" si="399"/>
        <v/>
      </c>
    </row>
    <row r="1135" spans="1:42" x14ac:dyDescent="0.25">
      <c r="A1135" s="10"/>
      <c r="B1135" s="10"/>
      <c r="C1135" s="10"/>
      <c r="D1135" s="10"/>
      <c r="E1135" s="10"/>
      <c r="F1135" s="10"/>
      <c r="G1135" s="10"/>
      <c r="H1135" s="17"/>
      <c r="I1135" s="10"/>
      <c r="J1135" s="10"/>
      <c r="K1135" s="16" t="str">
        <f t="shared" si="378"/>
        <v/>
      </c>
      <c r="L1135" s="23" t="str">
        <f t="shared" si="379"/>
        <v/>
      </c>
      <c r="M1135" s="22" t="str">
        <f t="shared" si="380"/>
        <v/>
      </c>
      <c r="N1135" s="72"/>
      <c r="O1135" s="16" t="str">
        <f t="shared" si="381"/>
        <v/>
      </c>
      <c r="P1135" s="16" t="str">
        <f t="shared" si="382"/>
        <v/>
      </c>
      <c r="Q1135" s="16" t="str">
        <f t="shared" si="383"/>
        <v/>
      </c>
      <c r="R1135" s="23" t="str">
        <f t="shared" si="384"/>
        <v/>
      </c>
      <c r="S1135" s="23" t="str">
        <f t="shared" si="385"/>
        <v/>
      </c>
      <c r="T1135" s="23" t="str">
        <f t="shared" si="386"/>
        <v/>
      </c>
      <c r="U1135" s="23" t="str">
        <f t="shared" si="387"/>
        <v/>
      </c>
      <c r="V1135" s="23" t="str">
        <f t="shared" si="388"/>
        <v/>
      </c>
      <c r="W1135" s="70" t="str">
        <f t="shared" si="389"/>
        <v/>
      </c>
      <c r="X1135" s="70" t="str">
        <f t="shared" si="390"/>
        <v/>
      </c>
      <c r="Y1135" s="70" t="str">
        <f>IF(AND($A1135&lt;&gt;"",$E1135&gt;0),isLaptopBag($C1135,$J1135)*$D1135,"")</f>
        <v/>
      </c>
      <c r="Z1135" s="70" t="str">
        <f t="shared" si="391"/>
        <v/>
      </c>
      <c r="AA1135" s="70" t="str">
        <f t="shared" si="392"/>
        <v/>
      </c>
      <c r="AB1135" s="70" t="str">
        <f t="shared" si="393"/>
        <v/>
      </c>
      <c r="AC1135" s="70" t="str">
        <f t="shared" si="394"/>
        <v/>
      </c>
      <c r="AD1135" s="70" t="str">
        <f t="shared" si="395"/>
        <v/>
      </c>
      <c r="AE1135" s="70" t="str">
        <f t="shared" si="396"/>
        <v/>
      </c>
      <c r="AF1135" s="16"/>
      <c r="AG1135" s="23"/>
      <c r="AH1135" s="22"/>
      <c r="AJ1135" s="83">
        <f t="shared" si="397"/>
        <v>0</v>
      </c>
      <c r="AO1135" s="22" t="str">
        <f t="shared" si="398"/>
        <v/>
      </c>
      <c r="AP1135" s="22" t="str">
        <f t="shared" si="399"/>
        <v/>
      </c>
    </row>
    <row r="1136" spans="1:42" x14ac:dyDescent="0.25">
      <c r="A1136" s="10"/>
      <c r="B1136" s="10"/>
      <c r="C1136" s="10"/>
      <c r="D1136" s="10"/>
      <c r="E1136" s="10"/>
      <c r="F1136" s="10"/>
      <c r="G1136" s="10"/>
      <c r="H1136" s="17"/>
      <c r="I1136" s="10"/>
      <c r="J1136" s="10"/>
      <c r="K1136" s="16" t="str">
        <f t="shared" si="378"/>
        <v/>
      </c>
      <c r="L1136" s="23" t="str">
        <f t="shared" si="379"/>
        <v/>
      </c>
      <c r="M1136" s="22" t="str">
        <f t="shared" si="380"/>
        <v/>
      </c>
      <c r="N1136" s="72"/>
      <c r="O1136" s="16" t="str">
        <f t="shared" si="381"/>
        <v/>
      </c>
      <c r="P1136" s="16" t="str">
        <f t="shared" si="382"/>
        <v/>
      </c>
      <c r="Q1136" s="16" t="str">
        <f t="shared" si="383"/>
        <v/>
      </c>
      <c r="R1136" s="23" t="str">
        <f t="shared" si="384"/>
        <v/>
      </c>
      <c r="S1136" s="23" t="str">
        <f t="shared" si="385"/>
        <v/>
      </c>
      <c r="T1136" s="23" t="str">
        <f t="shared" si="386"/>
        <v/>
      </c>
      <c r="U1136" s="23" t="str">
        <f t="shared" si="387"/>
        <v/>
      </c>
      <c r="V1136" s="23" t="str">
        <f t="shared" si="388"/>
        <v/>
      </c>
      <c r="W1136" s="70" t="str">
        <f t="shared" si="389"/>
        <v/>
      </c>
      <c r="X1136" s="70" t="str">
        <f t="shared" si="390"/>
        <v/>
      </c>
      <c r="Y1136" s="70" t="str">
        <f>IF(AND($A1136&lt;&gt;"",$E1136&gt;0),isLaptopBag($C1136,$J1136)*$D1136,"")</f>
        <v/>
      </c>
      <c r="Z1136" s="70" t="str">
        <f t="shared" si="391"/>
        <v/>
      </c>
      <c r="AA1136" s="70" t="str">
        <f t="shared" si="392"/>
        <v/>
      </c>
      <c r="AB1136" s="70" t="str">
        <f t="shared" si="393"/>
        <v/>
      </c>
      <c r="AC1136" s="70" t="str">
        <f t="shared" si="394"/>
        <v/>
      </c>
      <c r="AD1136" s="70" t="str">
        <f t="shared" si="395"/>
        <v/>
      </c>
      <c r="AE1136" s="70" t="str">
        <f t="shared" si="396"/>
        <v/>
      </c>
      <c r="AF1136" s="16"/>
      <c r="AG1136" s="23"/>
      <c r="AH1136" s="22"/>
      <c r="AJ1136" s="83">
        <f t="shared" si="397"/>
        <v>0</v>
      </c>
      <c r="AO1136" s="22" t="str">
        <f t="shared" si="398"/>
        <v/>
      </c>
      <c r="AP1136" s="22" t="str">
        <f t="shared" si="399"/>
        <v/>
      </c>
    </row>
    <row r="1137" spans="1:42" x14ac:dyDescent="0.25">
      <c r="A1137" s="10"/>
      <c r="B1137" s="10"/>
      <c r="C1137" s="10"/>
      <c r="D1137" s="10"/>
      <c r="E1137" s="10"/>
      <c r="F1137" s="10"/>
      <c r="G1137" s="10"/>
      <c r="H1137" s="17"/>
      <c r="I1137" s="10"/>
      <c r="J1137" s="10"/>
      <c r="K1137" s="16" t="str">
        <f t="shared" si="378"/>
        <v/>
      </c>
      <c r="L1137" s="23" t="str">
        <f t="shared" si="379"/>
        <v/>
      </c>
      <c r="M1137" s="22" t="str">
        <f t="shared" si="380"/>
        <v/>
      </c>
      <c r="N1137" s="72"/>
      <c r="O1137" s="16" t="str">
        <f t="shared" si="381"/>
        <v/>
      </c>
      <c r="P1137" s="16" t="str">
        <f t="shared" si="382"/>
        <v/>
      </c>
      <c r="Q1137" s="16" t="str">
        <f t="shared" si="383"/>
        <v/>
      </c>
      <c r="R1137" s="23" t="str">
        <f t="shared" si="384"/>
        <v/>
      </c>
      <c r="S1137" s="23" t="str">
        <f t="shared" si="385"/>
        <v/>
      </c>
      <c r="T1137" s="23" t="str">
        <f t="shared" si="386"/>
        <v/>
      </c>
      <c r="U1137" s="23" t="str">
        <f t="shared" si="387"/>
        <v/>
      </c>
      <c r="V1137" s="23" t="str">
        <f t="shared" si="388"/>
        <v/>
      </c>
      <c r="W1137" s="70" t="str">
        <f t="shared" si="389"/>
        <v/>
      </c>
      <c r="X1137" s="70" t="str">
        <f t="shared" si="390"/>
        <v/>
      </c>
      <c r="Y1137" s="70" t="str">
        <f>IF(AND($A1137&lt;&gt;"",$E1137&gt;0),isLaptopBag($C1137,$J1137)*$D1137,"")</f>
        <v/>
      </c>
      <c r="Z1137" s="70" t="str">
        <f t="shared" si="391"/>
        <v/>
      </c>
      <c r="AA1137" s="70" t="str">
        <f t="shared" si="392"/>
        <v/>
      </c>
      <c r="AB1137" s="70" t="str">
        <f t="shared" si="393"/>
        <v/>
      </c>
      <c r="AC1137" s="70" t="str">
        <f t="shared" si="394"/>
        <v/>
      </c>
      <c r="AD1137" s="70" t="str">
        <f t="shared" si="395"/>
        <v/>
      </c>
      <c r="AE1137" s="70" t="str">
        <f t="shared" si="396"/>
        <v/>
      </c>
      <c r="AF1137" s="16"/>
      <c r="AG1137" s="23"/>
      <c r="AH1137" s="22"/>
      <c r="AJ1137" s="83">
        <f t="shared" si="397"/>
        <v>0</v>
      </c>
      <c r="AO1137" s="22" t="str">
        <f t="shared" si="398"/>
        <v/>
      </c>
      <c r="AP1137" s="22" t="str">
        <f t="shared" si="399"/>
        <v/>
      </c>
    </row>
    <row r="1138" spans="1:42" x14ac:dyDescent="0.25">
      <c r="A1138" s="10"/>
      <c r="B1138" s="10"/>
      <c r="C1138" s="10"/>
      <c r="D1138" s="10"/>
      <c r="E1138" s="10"/>
      <c r="F1138" s="10"/>
      <c r="G1138" s="10"/>
      <c r="H1138" s="17"/>
      <c r="I1138" s="10"/>
      <c r="J1138" s="10"/>
      <c r="K1138" s="16" t="str">
        <f t="shared" si="378"/>
        <v/>
      </c>
      <c r="L1138" s="23" t="str">
        <f t="shared" si="379"/>
        <v/>
      </c>
      <c r="M1138" s="22" t="str">
        <f t="shared" si="380"/>
        <v/>
      </c>
      <c r="N1138" s="72"/>
      <c r="O1138" s="16" t="str">
        <f t="shared" si="381"/>
        <v/>
      </c>
      <c r="P1138" s="16" t="str">
        <f t="shared" si="382"/>
        <v/>
      </c>
      <c r="Q1138" s="16" t="str">
        <f t="shared" si="383"/>
        <v/>
      </c>
      <c r="R1138" s="23" t="str">
        <f t="shared" si="384"/>
        <v/>
      </c>
      <c r="S1138" s="23" t="str">
        <f t="shared" si="385"/>
        <v/>
      </c>
      <c r="T1138" s="23" t="str">
        <f t="shared" si="386"/>
        <v/>
      </c>
      <c r="U1138" s="23" t="str">
        <f t="shared" si="387"/>
        <v/>
      </c>
      <c r="V1138" s="23" t="str">
        <f t="shared" si="388"/>
        <v/>
      </c>
      <c r="W1138" s="70" t="str">
        <f t="shared" si="389"/>
        <v/>
      </c>
      <c r="X1138" s="70" t="str">
        <f t="shared" si="390"/>
        <v/>
      </c>
      <c r="Y1138" s="70" t="str">
        <f>IF(AND($A1138&lt;&gt;"",$E1138&gt;0),isLaptopBag($C1138,$J1138)*$D1138,"")</f>
        <v/>
      </c>
      <c r="Z1138" s="70" t="str">
        <f t="shared" si="391"/>
        <v/>
      </c>
      <c r="AA1138" s="70" t="str">
        <f t="shared" si="392"/>
        <v/>
      </c>
      <c r="AB1138" s="70" t="str">
        <f t="shared" si="393"/>
        <v/>
      </c>
      <c r="AC1138" s="70" t="str">
        <f t="shared" si="394"/>
        <v/>
      </c>
      <c r="AD1138" s="70" t="str">
        <f t="shared" si="395"/>
        <v/>
      </c>
      <c r="AE1138" s="70" t="str">
        <f t="shared" si="396"/>
        <v/>
      </c>
      <c r="AF1138" s="16"/>
      <c r="AG1138" s="23"/>
      <c r="AH1138" s="22"/>
      <c r="AJ1138" s="83">
        <f t="shared" si="397"/>
        <v>0</v>
      </c>
      <c r="AO1138" s="22" t="str">
        <f t="shared" si="398"/>
        <v/>
      </c>
      <c r="AP1138" s="22" t="str">
        <f t="shared" si="399"/>
        <v/>
      </c>
    </row>
    <row r="1139" spans="1:42" x14ac:dyDescent="0.25">
      <c r="A1139" s="10"/>
      <c r="B1139" s="10"/>
      <c r="C1139" s="10"/>
      <c r="D1139" s="10"/>
      <c r="E1139" s="10"/>
      <c r="F1139" s="10"/>
      <c r="G1139" s="10"/>
      <c r="H1139" s="17"/>
      <c r="I1139" s="10"/>
      <c r="J1139" s="10"/>
      <c r="K1139" s="16" t="str">
        <f t="shared" si="378"/>
        <v/>
      </c>
      <c r="L1139" s="23" t="str">
        <f t="shared" si="379"/>
        <v/>
      </c>
      <c r="M1139" s="22" t="str">
        <f t="shared" si="380"/>
        <v/>
      </c>
      <c r="N1139" s="72"/>
      <c r="O1139" s="16" t="str">
        <f t="shared" si="381"/>
        <v/>
      </c>
      <c r="P1139" s="16" t="str">
        <f t="shared" si="382"/>
        <v/>
      </c>
      <c r="Q1139" s="16" t="str">
        <f t="shared" si="383"/>
        <v/>
      </c>
      <c r="R1139" s="23" t="str">
        <f t="shared" si="384"/>
        <v/>
      </c>
      <c r="S1139" s="23" t="str">
        <f t="shared" si="385"/>
        <v/>
      </c>
      <c r="T1139" s="23" t="str">
        <f t="shared" si="386"/>
        <v/>
      </c>
      <c r="U1139" s="23" t="str">
        <f t="shared" si="387"/>
        <v/>
      </c>
      <c r="V1139" s="23" t="str">
        <f t="shared" si="388"/>
        <v/>
      </c>
      <c r="W1139" s="70" t="str">
        <f t="shared" si="389"/>
        <v/>
      </c>
      <c r="X1139" s="70" t="str">
        <f t="shared" si="390"/>
        <v/>
      </c>
      <c r="Y1139" s="70" t="str">
        <f>IF(AND($A1139&lt;&gt;"",$E1139&gt;0),isLaptopBag($C1139,$J1139)*$D1139,"")</f>
        <v/>
      </c>
      <c r="Z1139" s="70" t="str">
        <f t="shared" si="391"/>
        <v/>
      </c>
      <c r="AA1139" s="70" t="str">
        <f t="shared" si="392"/>
        <v/>
      </c>
      <c r="AB1139" s="70" t="str">
        <f t="shared" si="393"/>
        <v/>
      </c>
      <c r="AC1139" s="70" t="str">
        <f t="shared" si="394"/>
        <v/>
      </c>
      <c r="AD1139" s="70" t="str">
        <f t="shared" si="395"/>
        <v/>
      </c>
      <c r="AE1139" s="70" t="str">
        <f t="shared" si="396"/>
        <v/>
      </c>
      <c r="AF1139" s="16"/>
      <c r="AG1139" s="23"/>
      <c r="AH1139" s="22"/>
      <c r="AJ1139" s="83">
        <f t="shared" si="397"/>
        <v>0</v>
      </c>
      <c r="AO1139" s="22" t="str">
        <f t="shared" si="398"/>
        <v/>
      </c>
      <c r="AP1139" s="22" t="str">
        <f t="shared" si="399"/>
        <v/>
      </c>
    </row>
    <row r="1140" spans="1:42" x14ac:dyDescent="0.25">
      <c r="A1140" s="10"/>
      <c r="B1140" s="10"/>
      <c r="C1140" s="10"/>
      <c r="D1140" s="10"/>
      <c r="E1140" s="10"/>
      <c r="F1140" s="10"/>
      <c r="G1140" s="10"/>
      <c r="H1140" s="17"/>
      <c r="I1140" s="10"/>
      <c r="J1140" s="10"/>
      <c r="K1140" s="16" t="str">
        <f t="shared" si="378"/>
        <v/>
      </c>
      <c r="L1140" s="23" t="str">
        <f t="shared" si="379"/>
        <v/>
      </c>
      <c r="M1140" s="22" t="str">
        <f t="shared" si="380"/>
        <v/>
      </c>
      <c r="N1140" s="72"/>
      <c r="O1140" s="16" t="str">
        <f t="shared" si="381"/>
        <v/>
      </c>
      <c r="P1140" s="16" t="str">
        <f t="shared" si="382"/>
        <v/>
      </c>
      <c r="Q1140" s="16" t="str">
        <f t="shared" si="383"/>
        <v/>
      </c>
      <c r="R1140" s="23" t="str">
        <f t="shared" si="384"/>
        <v/>
      </c>
      <c r="S1140" s="23" t="str">
        <f t="shared" si="385"/>
        <v/>
      </c>
      <c r="T1140" s="23" t="str">
        <f t="shared" si="386"/>
        <v/>
      </c>
      <c r="U1140" s="23" t="str">
        <f t="shared" si="387"/>
        <v/>
      </c>
      <c r="V1140" s="23" t="str">
        <f t="shared" si="388"/>
        <v/>
      </c>
      <c r="W1140" s="70" t="str">
        <f t="shared" si="389"/>
        <v/>
      </c>
      <c r="X1140" s="70" t="str">
        <f t="shared" si="390"/>
        <v/>
      </c>
      <c r="Y1140" s="70" t="str">
        <f>IF(AND($A1140&lt;&gt;"",$E1140&gt;0),isLaptopBag($C1140,$J1140)*$D1140,"")</f>
        <v/>
      </c>
      <c r="Z1140" s="70" t="str">
        <f t="shared" si="391"/>
        <v/>
      </c>
      <c r="AA1140" s="70" t="str">
        <f t="shared" si="392"/>
        <v/>
      </c>
      <c r="AB1140" s="70" t="str">
        <f t="shared" si="393"/>
        <v/>
      </c>
      <c r="AC1140" s="70" t="str">
        <f t="shared" si="394"/>
        <v/>
      </c>
      <c r="AD1140" s="70" t="str">
        <f t="shared" si="395"/>
        <v/>
      </c>
      <c r="AE1140" s="70" t="str">
        <f t="shared" si="396"/>
        <v/>
      </c>
      <c r="AF1140" s="16"/>
      <c r="AG1140" s="23"/>
      <c r="AH1140" s="22"/>
      <c r="AJ1140" s="83">
        <f t="shared" si="397"/>
        <v>0</v>
      </c>
      <c r="AO1140" s="22" t="str">
        <f t="shared" si="398"/>
        <v/>
      </c>
      <c r="AP1140" s="22" t="str">
        <f t="shared" si="399"/>
        <v/>
      </c>
    </row>
    <row r="1141" spans="1:42" x14ac:dyDescent="0.25">
      <c r="A1141" s="10"/>
      <c r="B1141" s="10"/>
      <c r="C1141" s="10"/>
      <c r="D1141" s="10"/>
      <c r="E1141" s="10"/>
      <c r="F1141" s="10"/>
      <c r="G1141" s="10"/>
      <c r="H1141" s="17"/>
      <c r="I1141" s="10"/>
      <c r="J1141" s="10"/>
      <c r="K1141" s="16" t="str">
        <f t="shared" si="378"/>
        <v/>
      </c>
      <c r="L1141" s="23" t="str">
        <f t="shared" si="379"/>
        <v/>
      </c>
      <c r="M1141" s="22" t="str">
        <f t="shared" si="380"/>
        <v/>
      </c>
      <c r="N1141" s="72"/>
      <c r="O1141" s="16" t="str">
        <f t="shared" si="381"/>
        <v/>
      </c>
      <c r="P1141" s="16" t="str">
        <f t="shared" si="382"/>
        <v/>
      </c>
      <c r="Q1141" s="16" t="str">
        <f t="shared" si="383"/>
        <v/>
      </c>
      <c r="R1141" s="23" t="str">
        <f t="shared" si="384"/>
        <v/>
      </c>
      <c r="S1141" s="23" t="str">
        <f t="shared" si="385"/>
        <v/>
      </c>
      <c r="T1141" s="23" t="str">
        <f t="shared" si="386"/>
        <v/>
      </c>
      <c r="U1141" s="23" t="str">
        <f t="shared" si="387"/>
        <v/>
      </c>
      <c r="V1141" s="23" t="str">
        <f t="shared" si="388"/>
        <v/>
      </c>
      <c r="W1141" s="70" t="str">
        <f t="shared" si="389"/>
        <v/>
      </c>
      <c r="X1141" s="70" t="str">
        <f t="shared" si="390"/>
        <v/>
      </c>
      <c r="Y1141" s="70" t="str">
        <f>IF(AND($A1141&lt;&gt;"",$E1141&gt;0),isLaptopBag($C1141,$J1141)*$D1141,"")</f>
        <v/>
      </c>
      <c r="Z1141" s="70" t="str">
        <f t="shared" si="391"/>
        <v/>
      </c>
      <c r="AA1141" s="70" t="str">
        <f t="shared" si="392"/>
        <v/>
      </c>
      <c r="AB1141" s="70" t="str">
        <f t="shared" si="393"/>
        <v/>
      </c>
      <c r="AC1141" s="70" t="str">
        <f t="shared" si="394"/>
        <v/>
      </c>
      <c r="AD1141" s="70" t="str">
        <f t="shared" si="395"/>
        <v/>
      </c>
      <c r="AE1141" s="70" t="str">
        <f t="shared" si="396"/>
        <v/>
      </c>
      <c r="AF1141" s="16"/>
      <c r="AG1141" s="23"/>
      <c r="AH1141" s="22"/>
      <c r="AJ1141" s="83">
        <f t="shared" si="397"/>
        <v>0</v>
      </c>
      <c r="AO1141" s="22" t="str">
        <f t="shared" si="398"/>
        <v/>
      </c>
      <c r="AP1141" s="22" t="str">
        <f t="shared" si="399"/>
        <v/>
      </c>
    </row>
    <row r="1142" spans="1:42" x14ac:dyDescent="0.25">
      <c r="A1142" s="10"/>
      <c r="B1142" s="10"/>
      <c r="C1142" s="10"/>
      <c r="D1142" s="10"/>
      <c r="E1142" s="10"/>
      <c r="F1142" s="10"/>
      <c r="G1142" s="10"/>
      <c r="H1142" s="17"/>
      <c r="I1142" s="10"/>
      <c r="J1142" s="10"/>
      <c r="K1142" s="16" t="str">
        <f t="shared" si="378"/>
        <v/>
      </c>
      <c r="L1142" s="23" t="str">
        <f t="shared" si="379"/>
        <v/>
      </c>
      <c r="M1142" s="22" t="str">
        <f t="shared" si="380"/>
        <v/>
      </c>
      <c r="N1142" s="72"/>
      <c r="O1142" s="16" t="str">
        <f t="shared" si="381"/>
        <v/>
      </c>
      <c r="P1142" s="16" t="str">
        <f t="shared" si="382"/>
        <v/>
      </c>
      <c r="Q1142" s="16" t="str">
        <f t="shared" si="383"/>
        <v/>
      </c>
      <c r="R1142" s="23" t="str">
        <f t="shared" si="384"/>
        <v/>
      </c>
      <c r="S1142" s="23" t="str">
        <f t="shared" si="385"/>
        <v/>
      </c>
      <c r="T1142" s="23" t="str">
        <f t="shared" si="386"/>
        <v/>
      </c>
      <c r="U1142" s="23" t="str">
        <f t="shared" si="387"/>
        <v/>
      </c>
      <c r="V1142" s="23" t="str">
        <f t="shared" si="388"/>
        <v/>
      </c>
      <c r="W1142" s="70" t="str">
        <f t="shared" si="389"/>
        <v/>
      </c>
      <c r="X1142" s="70" t="str">
        <f t="shared" si="390"/>
        <v/>
      </c>
      <c r="Y1142" s="70" t="str">
        <f>IF(AND($A1142&lt;&gt;"",$E1142&gt;0),isLaptopBag($C1142,$J1142)*$D1142,"")</f>
        <v/>
      </c>
      <c r="Z1142" s="70" t="str">
        <f t="shared" si="391"/>
        <v/>
      </c>
      <c r="AA1142" s="70" t="str">
        <f t="shared" si="392"/>
        <v/>
      </c>
      <c r="AB1142" s="70" t="str">
        <f t="shared" si="393"/>
        <v/>
      </c>
      <c r="AC1142" s="70" t="str">
        <f t="shared" si="394"/>
        <v/>
      </c>
      <c r="AD1142" s="70" t="str">
        <f t="shared" si="395"/>
        <v/>
      </c>
      <c r="AE1142" s="70" t="str">
        <f t="shared" si="396"/>
        <v/>
      </c>
      <c r="AF1142" s="16"/>
      <c r="AG1142" s="23"/>
      <c r="AH1142" s="22"/>
      <c r="AJ1142" s="83">
        <f t="shared" si="397"/>
        <v>0</v>
      </c>
      <c r="AO1142" s="22" t="str">
        <f t="shared" si="398"/>
        <v/>
      </c>
      <c r="AP1142" s="22" t="str">
        <f t="shared" si="399"/>
        <v/>
      </c>
    </row>
    <row r="1143" spans="1:42" x14ac:dyDescent="0.25">
      <c r="A1143" s="10"/>
      <c r="B1143" s="10"/>
      <c r="C1143" s="10"/>
      <c r="D1143" s="10"/>
      <c r="E1143" s="10"/>
      <c r="F1143" s="10"/>
      <c r="G1143" s="10"/>
      <c r="H1143" s="17"/>
      <c r="I1143" s="10"/>
      <c r="J1143" s="10"/>
      <c r="K1143" s="16" t="str">
        <f t="shared" si="378"/>
        <v/>
      </c>
      <c r="L1143" s="23" t="str">
        <f t="shared" si="379"/>
        <v/>
      </c>
      <c r="M1143" s="22" t="str">
        <f t="shared" si="380"/>
        <v/>
      </c>
      <c r="N1143" s="72"/>
      <c r="O1143" s="16" t="str">
        <f t="shared" si="381"/>
        <v/>
      </c>
      <c r="P1143" s="16" t="str">
        <f t="shared" si="382"/>
        <v/>
      </c>
      <c r="Q1143" s="16" t="str">
        <f t="shared" si="383"/>
        <v/>
      </c>
      <c r="R1143" s="23" t="str">
        <f t="shared" si="384"/>
        <v/>
      </c>
      <c r="S1143" s="23" t="str">
        <f t="shared" si="385"/>
        <v/>
      </c>
      <c r="T1143" s="23" t="str">
        <f t="shared" si="386"/>
        <v/>
      </c>
      <c r="U1143" s="23" t="str">
        <f t="shared" si="387"/>
        <v/>
      </c>
      <c r="V1143" s="23" t="str">
        <f t="shared" si="388"/>
        <v/>
      </c>
      <c r="W1143" s="70" t="str">
        <f t="shared" si="389"/>
        <v/>
      </c>
      <c r="X1143" s="70" t="str">
        <f t="shared" si="390"/>
        <v/>
      </c>
      <c r="Y1143" s="70" t="str">
        <f>IF(AND($A1143&lt;&gt;"",$E1143&gt;0),isLaptopBag($C1143,$J1143)*$D1143,"")</f>
        <v/>
      </c>
      <c r="Z1143" s="70" t="str">
        <f t="shared" si="391"/>
        <v/>
      </c>
      <c r="AA1143" s="70" t="str">
        <f t="shared" si="392"/>
        <v/>
      </c>
      <c r="AB1143" s="70" t="str">
        <f t="shared" si="393"/>
        <v/>
      </c>
      <c r="AC1143" s="70" t="str">
        <f t="shared" si="394"/>
        <v/>
      </c>
      <c r="AD1143" s="70" t="str">
        <f t="shared" si="395"/>
        <v/>
      </c>
      <c r="AE1143" s="70" t="str">
        <f t="shared" si="396"/>
        <v/>
      </c>
      <c r="AF1143" s="16"/>
      <c r="AG1143" s="23"/>
      <c r="AH1143" s="22"/>
      <c r="AJ1143" s="83">
        <f t="shared" si="397"/>
        <v>0</v>
      </c>
      <c r="AO1143" s="22" t="str">
        <f t="shared" si="398"/>
        <v/>
      </c>
      <c r="AP1143" s="22" t="str">
        <f t="shared" si="399"/>
        <v/>
      </c>
    </row>
    <row r="1144" spans="1:42" x14ac:dyDescent="0.25">
      <c r="A1144" s="10"/>
      <c r="B1144" s="10"/>
      <c r="C1144" s="10"/>
      <c r="D1144" s="10"/>
      <c r="E1144" s="10"/>
      <c r="F1144" s="10"/>
      <c r="G1144" s="10"/>
      <c r="H1144" s="17"/>
      <c r="I1144" s="10"/>
      <c r="J1144" s="10"/>
      <c r="K1144" s="16" t="str">
        <f t="shared" si="378"/>
        <v/>
      </c>
      <c r="L1144" s="23" t="str">
        <f t="shared" si="379"/>
        <v/>
      </c>
      <c r="M1144" s="22" t="str">
        <f t="shared" si="380"/>
        <v/>
      </c>
      <c r="N1144" s="72"/>
      <c r="O1144" s="16" t="str">
        <f t="shared" si="381"/>
        <v/>
      </c>
      <c r="P1144" s="16" t="str">
        <f t="shared" si="382"/>
        <v/>
      </c>
      <c r="Q1144" s="16" t="str">
        <f t="shared" si="383"/>
        <v/>
      </c>
      <c r="R1144" s="23" t="str">
        <f t="shared" si="384"/>
        <v/>
      </c>
      <c r="S1144" s="23" t="str">
        <f t="shared" si="385"/>
        <v/>
      </c>
      <c r="T1144" s="23" t="str">
        <f t="shared" si="386"/>
        <v/>
      </c>
      <c r="U1144" s="23" t="str">
        <f t="shared" si="387"/>
        <v/>
      </c>
      <c r="V1144" s="23" t="str">
        <f t="shared" si="388"/>
        <v/>
      </c>
      <c r="W1144" s="70" t="str">
        <f t="shared" si="389"/>
        <v/>
      </c>
      <c r="X1144" s="70" t="str">
        <f t="shared" si="390"/>
        <v/>
      </c>
      <c r="Y1144" s="70" t="str">
        <f>IF(AND($A1144&lt;&gt;"",$E1144&gt;0),isLaptopBag($C1144,$J1144)*$D1144,"")</f>
        <v/>
      </c>
      <c r="Z1144" s="70" t="str">
        <f t="shared" si="391"/>
        <v/>
      </c>
      <c r="AA1144" s="70" t="str">
        <f t="shared" si="392"/>
        <v/>
      </c>
      <c r="AB1144" s="70" t="str">
        <f t="shared" si="393"/>
        <v/>
      </c>
      <c r="AC1144" s="70" t="str">
        <f t="shared" si="394"/>
        <v/>
      </c>
      <c r="AD1144" s="70" t="str">
        <f t="shared" si="395"/>
        <v/>
      </c>
      <c r="AE1144" s="70" t="str">
        <f t="shared" si="396"/>
        <v/>
      </c>
      <c r="AF1144" s="16"/>
      <c r="AG1144" s="23"/>
      <c r="AH1144" s="22"/>
      <c r="AJ1144" s="83">
        <f t="shared" si="397"/>
        <v>0</v>
      </c>
      <c r="AO1144" s="22" t="str">
        <f t="shared" si="398"/>
        <v/>
      </c>
      <c r="AP1144" s="22" t="str">
        <f t="shared" si="399"/>
        <v/>
      </c>
    </row>
    <row r="1145" spans="1:42" x14ac:dyDescent="0.25">
      <c r="A1145" s="10"/>
      <c r="B1145" s="10"/>
      <c r="C1145" s="10"/>
      <c r="D1145" s="10"/>
      <c r="E1145" s="10"/>
      <c r="F1145" s="10"/>
      <c r="G1145" s="10"/>
      <c r="H1145" s="17"/>
      <c r="I1145" s="10"/>
      <c r="J1145" s="10"/>
      <c r="K1145" s="16" t="str">
        <f t="shared" si="378"/>
        <v/>
      </c>
      <c r="L1145" s="23" t="str">
        <f t="shared" si="379"/>
        <v/>
      </c>
      <c r="M1145" s="22" t="str">
        <f t="shared" si="380"/>
        <v/>
      </c>
      <c r="N1145" s="72"/>
      <c r="O1145" s="16" t="str">
        <f t="shared" si="381"/>
        <v/>
      </c>
      <c r="P1145" s="16" t="str">
        <f t="shared" si="382"/>
        <v/>
      </c>
      <c r="Q1145" s="16" t="str">
        <f t="shared" si="383"/>
        <v/>
      </c>
      <c r="R1145" s="23" t="str">
        <f t="shared" si="384"/>
        <v/>
      </c>
      <c r="S1145" s="23" t="str">
        <f t="shared" si="385"/>
        <v/>
      </c>
      <c r="T1145" s="23" t="str">
        <f t="shared" si="386"/>
        <v/>
      </c>
      <c r="U1145" s="23" t="str">
        <f t="shared" si="387"/>
        <v/>
      </c>
      <c r="V1145" s="23" t="str">
        <f t="shared" si="388"/>
        <v/>
      </c>
      <c r="W1145" s="70" t="str">
        <f t="shared" si="389"/>
        <v/>
      </c>
      <c r="X1145" s="70" t="str">
        <f t="shared" si="390"/>
        <v/>
      </c>
      <c r="Y1145" s="70" t="str">
        <f>IF(AND($A1145&lt;&gt;"",$E1145&gt;0),isLaptopBag($C1145,$J1145)*$D1145,"")</f>
        <v/>
      </c>
      <c r="Z1145" s="70" t="str">
        <f t="shared" si="391"/>
        <v/>
      </c>
      <c r="AA1145" s="70" t="str">
        <f t="shared" si="392"/>
        <v/>
      </c>
      <c r="AB1145" s="70" t="str">
        <f t="shared" si="393"/>
        <v/>
      </c>
      <c r="AC1145" s="70" t="str">
        <f t="shared" si="394"/>
        <v/>
      </c>
      <c r="AD1145" s="70" t="str">
        <f t="shared" si="395"/>
        <v/>
      </c>
      <c r="AE1145" s="70" t="str">
        <f t="shared" si="396"/>
        <v/>
      </c>
      <c r="AF1145" s="16"/>
      <c r="AG1145" s="23"/>
      <c r="AH1145" s="22"/>
      <c r="AJ1145" s="83">
        <f t="shared" si="397"/>
        <v>0</v>
      </c>
      <c r="AO1145" s="22" t="str">
        <f t="shared" si="398"/>
        <v/>
      </c>
      <c r="AP1145" s="22" t="str">
        <f t="shared" si="399"/>
        <v/>
      </c>
    </row>
    <row r="1146" spans="1:42" x14ac:dyDescent="0.25">
      <c r="A1146" s="10"/>
      <c r="B1146" s="10"/>
      <c r="C1146" s="10"/>
      <c r="D1146" s="10"/>
      <c r="E1146" s="10"/>
      <c r="F1146" s="10"/>
      <c r="G1146" s="10"/>
      <c r="H1146" s="17"/>
      <c r="I1146" s="10"/>
      <c r="J1146" s="10"/>
      <c r="K1146" s="16" t="str">
        <f t="shared" si="378"/>
        <v/>
      </c>
      <c r="L1146" s="23" t="str">
        <f t="shared" si="379"/>
        <v/>
      </c>
      <c r="M1146" s="22" t="str">
        <f t="shared" si="380"/>
        <v/>
      </c>
      <c r="N1146" s="72"/>
      <c r="O1146" s="16" t="str">
        <f t="shared" si="381"/>
        <v/>
      </c>
      <c r="P1146" s="16" t="str">
        <f t="shared" si="382"/>
        <v/>
      </c>
      <c r="Q1146" s="16" t="str">
        <f t="shared" si="383"/>
        <v/>
      </c>
      <c r="R1146" s="23" t="str">
        <f t="shared" si="384"/>
        <v/>
      </c>
      <c r="S1146" s="23" t="str">
        <f t="shared" si="385"/>
        <v/>
      </c>
      <c r="T1146" s="23" t="str">
        <f t="shared" si="386"/>
        <v/>
      </c>
      <c r="U1146" s="23" t="str">
        <f t="shared" si="387"/>
        <v/>
      </c>
      <c r="V1146" s="23" t="str">
        <f t="shared" si="388"/>
        <v/>
      </c>
      <c r="W1146" s="70" t="str">
        <f t="shared" si="389"/>
        <v/>
      </c>
      <c r="X1146" s="70" t="str">
        <f t="shared" si="390"/>
        <v/>
      </c>
      <c r="Y1146" s="70" t="str">
        <f>IF(AND($A1146&lt;&gt;"",$E1146&gt;0),isLaptopBag($C1146,$J1146)*$D1146,"")</f>
        <v/>
      </c>
      <c r="Z1146" s="70" t="str">
        <f t="shared" si="391"/>
        <v/>
      </c>
      <c r="AA1146" s="70" t="str">
        <f t="shared" si="392"/>
        <v/>
      </c>
      <c r="AB1146" s="70" t="str">
        <f t="shared" si="393"/>
        <v/>
      </c>
      <c r="AC1146" s="70" t="str">
        <f t="shared" si="394"/>
        <v/>
      </c>
      <c r="AD1146" s="70" t="str">
        <f t="shared" si="395"/>
        <v/>
      </c>
      <c r="AE1146" s="70" t="str">
        <f t="shared" si="396"/>
        <v/>
      </c>
      <c r="AF1146" s="16"/>
      <c r="AG1146" s="23"/>
      <c r="AH1146" s="22"/>
      <c r="AJ1146" s="83">
        <f t="shared" si="397"/>
        <v>0</v>
      </c>
      <c r="AO1146" s="22" t="str">
        <f t="shared" si="398"/>
        <v/>
      </c>
      <c r="AP1146" s="22" t="str">
        <f t="shared" si="399"/>
        <v/>
      </c>
    </row>
    <row r="1147" spans="1:42" x14ac:dyDescent="0.25">
      <c r="A1147" s="10"/>
      <c r="B1147" s="10"/>
      <c r="C1147" s="10"/>
      <c r="D1147" s="10"/>
      <c r="E1147" s="10"/>
      <c r="F1147" s="10"/>
      <c r="G1147" s="10"/>
      <c r="H1147" s="17"/>
      <c r="I1147" s="10"/>
      <c r="J1147" s="10"/>
      <c r="K1147" s="16" t="str">
        <f t="shared" si="378"/>
        <v/>
      </c>
      <c r="L1147" s="23" t="str">
        <f t="shared" si="379"/>
        <v/>
      </c>
      <c r="M1147" s="22" t="str">
        <f t="shared" si="380"/>
        <v/>
      </c>
      <c r="N1147" s="72"/>
      <c r="O1147" s="16" t="str">
        <f t="shared" si="381"/>
        <v/>
      </c>
      <c r="P1147" s="16" t="str">
        <f t="shared" si="382"/>
        <v/>
      </c>
      <c r="Q1147" s="16" t="str">
        <f t="shared" si="383"/>
        <v/>
      </c>
      <c r="R1147" s="23" t="str">
        <f t="shared" si="384"/>
        <v/>
      </c>
      <c r="S1147" s="23" t="str">
        <f t="shared" si="385"/>
        <v/>
      </c>
      <c r="T1147" s="23" t="str">
        <f t="shared" si="386"/>
        <v/>
      </c>
      <c r="U1147" s="23" t="str">
        <f t="shared" si="387"/>
        <v/>
      </c>
      <c r="V1147" s="23" t="str">
        <f t="shared" si="388"/>
        <v/>
      </c>
      <c r="W1147" s="70" t="str">
        <f t="shared" si="389"/>
        <v/>
      </c>
      <c r="X1147" s="70" t="str">
        <f t="shared" si="390"/>
        <v/>
      </c>
      <c r="Y1147" s="70" t="str">
        <f>IF(AND($A1147&lt;&gt;"",$E1147&gt;0),isLaptopBag($C1147,$J1147)*$D1147,"")</f>
        <v/>
      </c>
      <c r="Z1147" s="70" t="str">
        <f t="shared" si="391"/>
        <v/>
      </c>
      <c r="AA1147" s="70" t="str">
        <f t="shared" si="392"/>
        <v/>
      </c>
      <c r="AB1147" s="70" t="str">
        <f t="shared" si="393"/>
        <v/>
      </c>
      <c r="AC1147" s="70" t="str">
        <f t="shared" si="394"/>
        <v/>
      </c>
      <c r="AD1147" s="70" t="str">
        <f t="shared" si="395"/>
        <v/>
      </c>
      <c r="AE1147" s="70" t="str">
        <f t="shared" si="396"/>
        <v/>
      </c>
      <c r="AF1147" s="16"/>
      <c r="AG1147" s="23"/>
      <c r="AH1147" s="22"/>
      <c r="AJ1147" s="83">
        <f t="shared" si="397"/>
        <v>0</v>
      </c>
      <c r="AO1147" s="22" t="str">
        <f t="shared" si="398"/>
        <v/>
      </c>
      <c r="AP1147" s="22" t="str">
        <f t="shared" si="399"/>
        <v/>
      </c>
    </row>
    <row r="1148" spans="1:42" x14ac:dyDescent="0.25">
      <c r="A1148" s="10"/>
      <c r="B1148" s="10"/>
      <c r="C1148" s="10"/>
      <c r="D1148" s="10"/>
      <c r="E1148" s="10"/>
      <c r="F1148" s="10"/>
      <c r="G1148" s="10"/>
      <c r="H1148" s="17"/>
      <c r="I1148" s="10"/>
      <c r="J1148" s="10"/>
      <c r="K1148" s="16" t="str">
        <f t="shared" si="378"/>
        <v/>
      </c>
      <c r="L1148" s="23" t="str">
        <f t="shared" si="379"/>
        <v/>
      </c>
      <c r="M1148" s="22" t="str">
        <f t="shared" si="380"/>
        <v/>
      </c>
      <c r="N1148" s="72"/>
      <c r="O1148" s="16" t="str">
        <f t="shared" si="381"/>
        <v/>
      </c>
      <c r="P1148" s="16" t="str">
        <f t="shared" si="382"/>
        <v/>
      </c>
      <c r="Q1148" s="16" t="str">
        <f t="shared" si="383"/>
        <v/>
      </c>
      <c r="R1148" s="23" t="str">
        <f t="shared" si="384"/>
        <v/>
      </c>
      <c r="S1148" s="23" t="str">
        <f t="shared" si="385"/>
        <v/>
      </c>
      <c r="T1148" s="23" t="str">
        <f t="shared" si="386"/>
        <v/>
      </c>
      <c r="U1148" s="23" t="str">
        <f t="shared" si="387"/>
        <v/>
      </c>
      <c r="V1148" s="23" t="str">
        <f t="shared" si="388"/>
        <v/>
      </c>
      <c r="W1148" s="70" t="str">
        <f t="shared" si="389"/>
        <v/>
      </c>
      <c r="X1148" s="70" t="str">
        <f t="shared" si="390"/>
        <v/>
      </c>
      <c r="Y1148" s="70" t="str">
        <f>IF(AND($A1148&lt;&gt;"",$E1148&gt;0),isLaptopBag($C1148,$J1148)*$D1148,"")</f>
        <v/>
      </c>
      <c r="Z1148" s="70" t="str">
        <f t="shared" si="391"/>
        <v/>
      </c>
      <c r="AA1148" s="70" t="str">
        <f t="shared" si="392"/>
        <v/>
      </c>
      <c r="AB1148" s="70" t="str">
        <f t="shared" si="393"/>
        <v/>
      </c>
      <c r="AC1148" s="70" t="str">
        <f t="shared" si="394"/>
        <v/>
      </c>
      <c r="AD1148" s="70" t="str">
        <f t="shared" si="395"/>
        <v/>
      </c>
      <c r="AE1148" s="70" t="str">
        <f t="shared" si="396"/>
        <v/>
      </c>
      <c r="AF1148" s="16"/>
      <c r="AG1148" s="23"/>
      <c r="AH1148" s="22"/>
      <c r="AJ1148" s="83">
        <f t="shared" si="397"/>
        <v>0</v>
      </c>
      <c r="AO1148" s="22" t="str">
        <f t="shared" si="398"/>
        <v/>
      </c>
      <c r="AP1148" s="22" t="str">
        <f t="shared" si="399"/>
        <v/>
      </c>
    </row>
    <row r="1149" spans="1:42" x14ac:dyDescent="0.25">
      <c r="A1149" s="10"/>
      <c r="B1149" s="10"/>
      <c r="C1149" s="10"/>
      <c r="D1149" s="10"/>
      <c r="E1149" s="10"/>
      <c r="F1149" s="10"/>
      <c r="G1149" s="10"/>
      <c r="H1149" s="17"/>
      <c r="I1149" s="10"/>
      <c r="J1149" s="10"/>
      <c r="K1149" s="16" t="str">
        <f t="shared" si="378"/>
        <v/>
      </c>
      <c r="L1149" s="23" t="str">
        <f t="shared" si="379"/>
        <v/>
      </c>
      <c r="M1149" s="22" t="str">
        <f t="shared" si="380"/>
        <v/>
      </c>
      <c r="N1149" s="72"/>
      <c r="O1149" s="16" t="str">
        <f t="shared" si="381"/>
        <v/>
      </c>
      <c r="P1149" s="16" t="str">
        <f t="shared" si="382"/>
        <v/>
      </c>
      <c r="Q1149" s="16" t="str">
        <f t="shared" si="383"/>
        <v/>
      </c>
      <c r="R1149" s="23" t="str">
        <f t="shared" si="384"/>
        <v/>
      </c>
      <c r="S1149" s="23" t="str">
        <f t="shared" si="385"/>
        <v/>
      </c>
      <c r="T1149" s="23" t="str">
        <f t="shared" si="386"/>
        <v/>
      </c>
      <c r="U1149" s="23" t="str">
        <f t="shared" si="387"/>
        <v/>
      </c>
      <c r="V1149" s="23" t="str">
        <f t="shared" si="388"/>
        <v/>
      </c>
      <c r="W1149" s="70" t="str">
        <f t="shared" si="389"/>
        <v/>
      </c>
      <c r="X1149" s="70" t="str">
        <f t="shared" si="390"/>
        <v/>
      </c>
      <c r="Y1149" s="70" t="str">
        <f>IF(AND($A1149&lt;&gt;"",$E1149&gt;0),isLaptopBag($C1149,$J1149)*$D1149,"")</f>
        <v/>
      </c>
      <c r="Z1149" s="70" t="str">
        <f t="shared" si="391"/>
        <v/>
      </c>
      <c r="AA1149" s="70" t="str">
        <f t="shared" si="392"/>
        <v/>
      </c>
      <c r="AB1149" s="70" t="str">
        <f t="shared" si="393"/>
        <v/>
      </c>
      <c r="AC1149" s="70" t="str">
        <f t="shared" si="394"/>
        <v/>
      </c>
      <c r="AD1149" s="70" t="str">
        <f t="shared" si="395"/>
        <v/>
      </c>
      <c r="AE1149" s="70" t="str">
        <f t="shared" si="396"/>
        <v/>
      </c>
      <c r="AF1149" s="16"/>
      <c r="AG1149" s="23"/>
      <c r="AH1149" s="22"/>
      <c r="AJ1149" s="83">
        <f t="shared" si="397"/>
        <v>0</v>
      </c>
      <c r="AO1149" s="22" t="str">
        <f t="shared" si="398"/>
        <v/>
      </c>
      <c r="AP1149" s="22" t="str">
        <f t="shared" si="399"/>
        <v/>
      </c>
    </row>
    <row r="1150" spans="1:42" x14ac:dyDescent="0.25">
      <c r="A1150" s="10"/>
      <c r="B1150" s="10"/>
      <c r="C1150" s="10"/>
      <c r="D1150" s="10"/>
      <c r="E1150" s="10"/>
      <c r="F1150" s="10"/>
      <c r="G1150" s="10"/>
      <c r="H1150" s="17"/>
      <c r="I1150" s="10"/>
      <c r="J1150" s="10"/>
      <c r="K1150" s="16" t="str">
        <f t="shared" si="378"/>
        <v/>
      </c>
      <c r="L1150" s="23" t="str">
        <f t="shared" si="379"/>
        <v/>
      </c>
      <c r="M1150" s="22" t="str">
        <f t="shared" si="380"/>
        <v/>
      </c>
      <c r="N1150" s="72"/>
      <c r="O1150" s="16" t="str">
        <f t="shared" si="381"/>
        <v/>
      </c>
      <c r="P1150" s="16" t="str">
        <f t="shared" si="382"/>
        <v/>
      </c>
      <c r="Q1150" s="16" t="str">
        <f t="shared" si="383"/>
        <v/>
      </c>
      <c r="R1150" s="23" t="str">
        <f t="shared" si="384"/>
        <v/>
      </c>
      <c r="S1150" s="23" t="str">
        <f t="shared" si="385"/>
        <v/>
      </c>
      <c r="T1150" s="23" t="str">
        <f t="shared" si="386"/>
        <v/>
      </c>
      <c r="U1150" s="23" t="str">
        <f t="shared" si="387"/>
        <v/>
      </c>
      <c r="V1150" s="23" t="str">
        <f t="shared" si="388"/>
        <v/>
      </c>
      <c r="W1150" s="70" t="str">
        <f t="shared" si="389"/>
        <v/>
      </c>
      <c r="X1150" s="70" t="str">
        <f t="shared" si="390"/>
        <v/>
      </c>
      <c r="Y1150" s="70" t="str">
        <f>IF(AND($A1150&lt;&gt;"",$E1150&gt;0),isLaptopBag($C1150,$J1150)*$D1150,"")</f>
        <v/>
      </c>
      <c r="Z1150" s="70" t="str">
        <f t="shared" si="391"/>
        <v/>
      </c>
      <c r="AA1150" s="70" t="str">
        <f t="shared" si="392"/>
        <v/>
      </c>
      <c r="AB1150" s="70" t="str">
        <f t="shared" si="393"/>
        <v/>
      </c>
      <c r="AC1150" s="70" t="str">
        <f t="shared" si="394"/>
        <v/>
      </c>
      <c r="AD1150" s="70" t="str">
        <f t="shared" si="395"/>
        <v/>
      </c>
      <c r="AE1150" s="70" t="str">
        <f t="shared" si="396"/>
        <v/>
      </c>
      <c r="AF1150" s="16"/>
      <c r="AG1150" s="23"/>
      <c r="AH1150" s="22"/>
      <c r="AJ1150" s="83">
        <f t="shared" si="397"/>
        <v>0</v>
      </c>
      <c r="AO1150" s="22" t="str">
        <f t="shared" si="398"/>
        <v/>
      </c>
      <c r="AP1150" s="22" t="str">
        <f t="shared" si="399"/>
        <v/>
      </c>
    </row>
    <row r="1151" spans="1:42" x14ac:dyDescent="0.25">
      <c r="A1151" s="10"/>
      <c r="B1151" s="10"/>
      <c r="C1151" s="10"/>
      <c r="D1151" s="10"/>
      <c r="E1151" s="10"/>
      <c r="F1151" s="10"/>
      <c r="G1151" s="10"/>
      <c r="H1151" s="17"/>
      <c r="I1151" s="10"/>
      <c r="J1151" s="10"/>
      <c r="K1151" s="16" t="str">
        <f t="shared" si="378"/>
        <v/>
      </c>
      <c r="L1151" s="23" t="str">
        <f t="shared" si="379"/>
        <v/>
      </c>
      <c r="M1151" s="22" t="str">
        <f t="shared" si="380"/>
        <v/>
      </c>
      <c r="N1151" s="72"/>
      <c r="O1151" s="16" t="str">
        <f t="shared" si="381"/>
        <v/>
      </c>
      <c r="P1151" s="16" t="str">
        <f t="shared" si="382"/>
        <v/>
      </c>
      <c r="Q1151" s="16" t="str">
        <f t="shared" si="383"/>
        <v/>
      </c>
      <c r="R1151" s="23" t="str">
        <f t="shared" si="384"/>
        <v/>
      </c>
      <c r="S1151" s="23" t="str">
        <f t="shared" si="385"/>
        <v/>
      </c>
      <c r="T1151" s="23" t="str">
        <f t="shared" si="386"/>
        <v/>
      </c>
      <c r="U1151" s="23" t="str">
        <f t="shared" si="387"/>
        <v/>
      </c>
      <c r="V1151" s="23" t="str">
        <f t="shared" si="388"/>
        <v/>
      </c>
      <c r="W1151" s="70" t="str">
        <f t="shared" si="389"/>
        <v/>
      </c>
      <c r="X1151" s="70" t="str">
        <f t="shared" si="390"/>
        <v/>
      </c>
      <c r="Y1151" s="70" t="str">
        <f>IF(AND($A1151&lt;&gt;"",$E1151&gt;0),isLaptopBag($C1151,$J1151)*$D1151,"")</f>
        <v/>
      </c>
      <c r="Z1151" s="70" t="str">
        <f t="shared" si="391"/>
        <v/>
      </c>
      <c r="AA1151" s="70" t="str">
        <f t="shared" si="392"/>
        <v/>
      </c>
      <c r="AB1151" s="70" t="str">
        <f t="shared" si="393"/>
        <v/>
      </c>
      <c r="AC1151" s="70" t="str">
        <f t="shared" si="394"/>
        <v/>
      </c>
      <c r="AD1151" s="70" t="str">
        <f t="shared" si="395"/>
        <v/>
      </c>
      <c r="AE1151" s="70" t="str">
        <f t="shared" si="396"/>
        <v/>
      </c>
      <c r="AF1151" s="16"/>
      <c r="AG1151" s="23"/>
      <c r="AH1151" s="22"/>
      <c r="AJ1151" s="83">
        <f t="shared" si="397"/>
        <v>0</v>
      </c>
      <c r="AO1151" s="22" t="str">
        <f t="shared" si="398"/>
        <v/>
      </c>
      <c r="AP1151" s="22" t="str">
        <f t="shared" si="399"/>
        <v/>
      </c>
    </row>
    <row r="1152" spans="1:42" x14ac:dyDescent="0.25">
      <c r="A1152" s="10"/>
      <c r="B1152" s="10"/>
      <c r="C1152" s="10"/>
      <c r="D1152" s="10"/>
      <c r="E1152" s="10"/>
      <c r="F1152" s="10"/>
      <c r="G1152" s="10"/>
      <c r="H1152" s="17"/>
      <c r="I1152" s="10"/>
      <c r="J1152" s="10"/>
      <c r="K1152" s="16" t="str">
        <f t="shared" si="378"/>
        <v/>
      </c>
      <c r="L1152" s="23" t="str">
        <f t="shared" si="379"/>
        <v/>
      </c>
      <c r="M1152" s="22" t="str">
        <f t="shared" si="380"/>
        <v/>
      </c>
      <c r="N1152" s="72"/>
      <c r="O1152" s="16" t="str">
        <f t="shared" si="381"/>
        <v/>
      </c>
      <c r="P1152" s="16" t="str">
        <f t="shared" si="382"/>
        <v/>
      </c>
      <c r="Q1152" s="16" t="str">
        <f t="shared" si="383"/>
        <v/>
      </c>
      <c r="R1152" s="23" t="str">
        <f t="shared" si="384"/>
        <v/>
      </c>
      <c r="S1152" s="23" t="str">
        <f t="shared" si="385"/>
        <v/>
      </c>
      <c r="T1152" s="23" t="str">
        <f t="shared" si="386"/>
        <v/>
      </c>
      <c r="U1152" s="23" t="str">
        <f t="shared" si="387"/>
        <v/>
      </c>
      <c r="V1152" s="23" t="str">
        <f t="shared" si="388"/>
        <v/>
      </c>
      <c r="W1152" s="70" t="str">
        <f t="shared" si="389"/>
        <v/>
      </c>
      <c r="X1152" s="70" t="str">
        <f t="shared" si="390"/>
        <v/>
      </c>
      <c r="Y1152" s="70" t="str">
        <f>IF(AND($A1152&lt;&gt;"",$E1152&gt;0),isLaptopBag($C1152,$J1152)*$D1152,"")</f>
        <v/>
      </c>
      <c r="Z1152" s="70" t="str">
        <f t="shared" si="391"/>
        <v/>
      </c>
      <c r="AA1152" s="70" t="str">
        <f t="shared" si="392"/>
        <v/>
      </c>
      <c r="AB1152" s="70" t="str">
        <f t="shared" si="393"/>
        <v/>
      </c>
      <c r="AC1152" s="70" t="str">
        <f t="shared" si="394"/>
        <v/>
      </c>
      <c r="AD1152" s="70" t="str">
        <f t="shared" si="395"/>
        <v/>
      </c>
      <c r="AE1152" s="70" t="str">
        <f t="shared" si="396"/>
        <v/>
      </c>
      <c r="AF1152" s="16"/>
      <c r="AG1152" s="23"/>
      <c r="AH1152" s="22"/>
      <c r="AJ1152" s="83">
        <f t="shared" si="397"/>
        <v>0</v>
      </c>
      <c r="AO1152" s="22" t="str">
        <f t="shared" si="398"/>
        <v/>
      </c>
      <c r="AP1152" s="22" t="str">
        <f t="shared" si="399"/>
        <v/>
      </c>
    </row>
    <row r="1153" spans="1:42" x14ac:dyDescent="0.25">
      <c r="A1153" s="10"/>
      <c r="B1153" s="10"/>
      <c r="C1153" s="10"/>
      <c r="D1153" s="10"/>
      <c r="E1153" s="10"/>
      <c r="F1153" s="10"/>
      <c r="G1153" s="10"/>
      <c r="H1153" s="17"/>
      <c r="I1153" s="10"/>
      <c r="J1153" s="10"/>
      <c r="K1153" s="16" t="str">
        <f t="shared" si="378"/>
        <v/>
      </c>
      <c r="L1153" s="23" t="str">
        <f t="shared" si="379"/>
        <v/>
      </c>
      <c r="M1153" s="22" t="str">
        <f t="shared" si="380"/>
        <v/>
      </c>
      <c r="N1153" s="72"/>
      <c r="O1153" s="16" t="str">
        <f t="shared" si="381"/>
        <v/>
      </c>
      <c r="P1153" s="16" t="str">
        <f t="shared" si="382"/>
        <v/>
      </c>
      <c r="Q1153" s="16" t="str">
        <f t="shared" si="383"/>
        <v/>
      </c>
      <c r="R1153" s="23" t="str">
        <f t="shared" si="384"/>
        <v/>
      </c>
      <c r="S1153" s="23" t="str">
        <f t="shared" si="385"/>
        <v/>
      </c>
      <c r="T1153" s="23" t="str">
        <f t="shared" si="386"/>
        <v/>
      </c>
      <c r="U1153" s="23" t="str">
        <f t="shared" si="387"/>
        <v/>
      </c>
      <c r="V1153" s="23" t="str">
        <f t="shared" si="388"/>
        <v/>
      </c>
      <c r="W1153" s="70" t="str">
        <f t="shared" si="389"/>
        <v/>
      </c>
      <c r="X1153" s="70" t="str">
        <f t="shared" si="390"/>
        <v/>
      </c>
      <c r="Y1153" s="70" t="str">
        <f>IF(AND($A1153&lt;&gt;"",$E1153&gt;0),isLaptopBag($C1153,$J1153)*$D1153,"")</f>
        <v/>
      </c>
      <c r="Z1153" s="70" t="str">
        <f t="shared" si="391"/>
        <v/>
      </c>
      <c r="AA1153" s="70" t="str">
        <f t="shared" si="392"/>
        <v/>
      </c>
      <c r="AB1153" s="70" t="str">
        <f t="shared" si="393"/>
        <v/>
      </c>
      <c r="AC1153" s="70" t="str">
        <f t="shared" si="394"/>
        <v/>
      </c>
      <c r="AD1153" s="70" t="str">
        <f t="shared" si="395"/>
        <v/>
      </c>
      <c r="AE1153" s="70" t="str">
        <f t="shared" si="396"/>
        <v/>
      </c>
      <c r="AF1153" s="16"/>
      <c r="AG1153" s="23"/>
      <c r="AH1153" s="22"/>
      <c r="AJ1153" s="83">
        <f t="shared" si="397"/>
        <v>0</v>
      </c>
      <c r="AO1153" s="22" t="str">
        <f t="shared" si="398"/>
        <v/>
      </c>
      <c r="AP1153" s="22" t="str">
        <f t="shared" si="399"/>
        <v/>
      </c>
    </row>
    <row r="1154" spans="1:42" x14ac:dyDescent="0.25">
      <c r="A1154" s="10"/>
      <c r="B1154" s="10"/>
      <c r="C1154" s="10"/>
      <c r="D1154" s="10"/>
      <c r="E1154" s="10"/>
      <c r="F1154" s="10"/>
      <c r="G1154" s="10"/>
      <c r="H1154" s="17"/>
      <c r="I1154" s="10"/>
      <c r="J1154" s="10"/>
      <c r="K1154" s="16" t="str">
        <f t="shared" si="378"/>
        <v/>
      </c>
      <c r="L1154" s="23" t="str">
        <f t="shared" si="379"/>
        <v/>
      </c>
      <c r="M1154" s="22" t="str">
        <f t="shared" si="380"/>
        <v/>
      </c>
      <c r="N1154" s="72"/>
      <c r="O1154" s="16" t="str">
        <f t="shared" si="381"/>
        <v/>
      </c>
      <c r="P1154" s="16" t="str">
        <f t="shared" si="382"/>
        <v/>
      </c>
      <c r="Q1154" s="16" t="str">
        <f t="shared" si="383"/>
        <v/>
      </c>
      <c r="R1154" s="23" t="str">
        <f t="shared" si="384"/>
        <v/>
      </c>
      <c r="S1154" s="23" t="str">
        <f t="shared" si="385"/>
        <v/>
      </c>
      <c r="T1154" s="23" t="str">
        <f t="shared" si="386"/>
        <v/>
      </c>
      <c r="U1154" s="23" t="str">
        <f t="shared" si="387"/>
        <v/>
      </c>
      <c r="V1154" s="23" t="str">
        <f t="shared" si="388"/>
        <v/>
      </c>
      <c r="W1154" s="70" t="str">
        <f t="shared" si="389"/>
        <v/>
      </c>
      <c r="X1154" s="70" t="str">
        <f t="shared" si="390"/>
        <v/>
      </c>
      <c r="Y1154" s="70" t="str">
        <f>IF(AND($A1154&lt;&gt;"",$E1154&gt;0),isLaptopBag($C1154,$J1154)*$D1154,"")</f>
        <v/>
      </c>
      <c r="Z1154" s="70" t="str">
        <f t="shared" si="391"/>
        <v/>
      </c>
      <c r="AA1154" s="70" t="str">
        <f t="shared" si="392"/>
        <v/>
      </c>
      <c r="AB1154" s="70" t="str">
        <f t="shared" si="393"/>
        <v/>
      </c>
      <c r="AC1154" s="70" t="str">
        <f t="shared" si="394"/>
        <v/>
      </c>
      <c r="AD1154" s="70" t="str">
        <f t="shared" si="395"/>
        <v/>
      </c>
      <c r="AE1154" s="70" t="str">
        <f t="shared" si="396"/>
        <v/>
      </c>
      <c r="AF1154" s="16"/>
      <c r="AG1154" s="23"/>
      <c r="AH1154" s="22"/>
      <c r="AJ1154" s="83">
        <f t="shared" si="397"/>
        <v>0</v>
      </c>
      <c r="AO1154" s="22" t="str">
        <f t="shared" si="398"/>
        <v/>
      </c>
      <c r="AP1154" s="22" t="str">
        <f t="shared" si="399"/>
        <v/>
      </c>
    </row>
    <row r="1155" spans="1:42" x14ac:dyDescent="0.25">
      <c r="A1155" s="10"/>
      <c r="B1155" s="10"/>
      <c r="C1155" s="10"/>
      <c r="D1155" s="10"/>
      <c r="E1155" s="10"/>
      <c r="F1155" s="10"/>
      <c r="G1155" s="10"/>
      <c r="H1155" s="17"/>
      <c r="I1155" s="10"/>
      <c r="J1155" s="10"/>
      <c r="K1155" s="16" t="str">
        <f t="shared" si="378"/>
        <v/>
      </c>
      <c r="L1155" s="23" t="str">
        <f t="shared" si="379"/>
        <v/>
      </c>
      <c r="M1155" s="22" t="str">
        <f t="shared" si="380"/>
        <v/>
      </c>
      <c r="N1155" s="72"/>
      <c r="O1155" s="16" t="str">
        <f t="shared" si="381"/>
        <v/>
      </c>
      <c r="P1155" s="16" t="str">
        <f t="shared" si="382"/>
        <v/>
      </c>
      <c r="Q1155" s="16" t="str">
        <f t="shared" si="383"/>
        <v/>
      </c>
      <c r="R1155" s="23" t="str">
        <f t="shared" si="384"/>
        <v/>
      </c>
      <c r="S1155" s="23" t="str">
        <f t="shared" si="385"/>
        <v/>
      </c>
      <c r="T1155" s="23" t="str">
        <f t="shared" si="386"/>
        <v/>
      </c>
      <c r="U1155" s="23" t="str">
        <f t="shared" si="387"/>
        <v/>
      </c>
      <c r="V1155" s="23" t="str">
        <f t="shared" si="388"/>
        <v/>
      </c>
      <c r="W1155" s="70" t="str">
        <f t="shared" si="389"/>
        <v/>
      </c>
      <c r="X1155" s="70" t="str">
        <f t="shared" si="390"/>
        <v/>
      </c>
      <c r="Y1155" s="70" t="str">
        <f>IF(AND($A1155&lt;&gt;"",$E1155&gt;0),isLaptopBag($C1155,$J1155)*$D1155,"")</f>
        <v/>
      </c>
      <c r="Z1155" s="70" t="str">
        <f t="shared" si="391"/>
        <v/>
      </c>
      <c r="AA1155" s="70" t="str">
        <f t="shared" si="392"/>
        <v/>
      </c>
      <c r="AB1155" s="70" t="str">
        <f t="shared" si="393"/>
        <v/>
      </c>
      <c r="AC1155" s="70" t="str">
        <f t="shared" si="394"/>
        <v/>
      </c>
      <c r="AD1155" s="70" t="str">
        <f t="shared" si="395"/>
        <v/>
      </c>
      <c r="AE1155" s="70" t="str">
        <f t="shared" si="396"/>
        <v/>
      </c>
      <c r="AF1155" s="16"/>
      <c r="AG1155" s="23"/>
      <c r="AH1155" s="22"/>
      <c r="AJ1155" s="83">
        <f t="shared" si="397"/>
        <v>0</v>
      </c>
      <c r="AO1155" s="22" t="str">
        <f t="shared" si="398"/>
        <v/>
      </c>
      <c r="AP1155" s="22" t="str">
        <f t="shared" si="399"/>
        <v/>
      </c>
    </row>
    <row r="1156" spans="1:42" x14ac:dyDescent="0.25">
      <c r="A1156" s="10"/>
      <c r="B1156" s="10"/>
      <c r="C1156" s="10"/>
      <c r="D1156" s="10"/>
      <c r="E1156" s="10"/>
      <c r="F1156" s="10"/>
      <c r="G1156" s="10"/>
      <c r="H1156" s="17"/>
      <c r="I1156" s="10"/>
      <c r="J1156" s="10"/>
      <c r="K1156" s="16" t="str">
        <f t="shared" si="378"/>
        <v/>
      </c>
      <c r="L1156" s="23" t="str">
        <f t="shared" si="379"/>
        <v/>
      </c>
      <c r="M1156" s="22" t="str">
        <f t="shared" si="380"/>
        <v/>
      </c>
      <c r="N1156" s="72"/>
      <c r="O1156" s="16" t="str">
        <f t="shared" si="381"/>
        <v/>
      </c>
      <c r="P1156" s="16" t="str">
        <f t="shared" si="382"/>
        <v/>
      </c>
      <c r="Q1156" s="16" t="str">
        <f t="shared" si="383"/>
        <v/>
      </c>
      <c r="R1156" s="23" t="str">
        <f t="shared" si="384"/>
        <v/>
      </c>
      <c r="S1156" s="23" t="str">
        <f t="shared" si="385"/>
        <v/>
      </c>
      <c r="T1156" s="23" t="str">
        <f t="shared" si="386"/>
        <v/>
      </c>
      <c r="U1156" s="23" t="str">
        <f t="shared" si="387"/>
        <v/>
      </c>
      <c r="V1156" s="23" t="str">
        <f t="shared" si="388"/>
        <v/>
      </c>
      <c r="W1156" s="70" t="str">
        <f t="shared" si="389"/>
        <v/>
      </c>
      <c r="X1156" s="70" t="str">
        <f t="shared" si="390"/>
        <v/>
      </c>
      <c r="Y1156" s="70" t="str">
        <f>IF(AND($A1156&lt;&gt;"",$E1156&gt;0),isLaptopBag($C1156,$J1156)*$D1156,"")</f>
        <v/>
      </c>
      <c r="Z1156" s="70" t="str">
        <f t="shared" si="391"/>
        <v/>
      </c>
      <c r="AA1156" s="70" t="str">
        <f t="shared" si="392"/>
        <v/>
      </c>
      <c r="AB1156" s="70" t="str">
        <f t="shared" si="393"/>
        <v/>
      </c>
      <c r="AC1156" s="70" t="str">
        <f t="shared" si="394"/>
        <v/>
      </c>
      <c r="AD1156" s="70" t="str">
        <f t="shared" si="395"/>
        <v/>
      </c>
      <c r="AE1156" s="70" t="str">
        <f t="shared" si="396"/>
        <v/>
      </c>
      <c r="AF1156" s="16"/>
      <c r="AG1156" s="23"/>
      <c r="AH1156" s="22"/>
      <c r="AJ1156" s="83">
        <f t="shared" si="397"/>
        <v>0</v>
      </c>
      <c r="AO1156" s="22" t="str">
        <f t="shared" si="398"/>
        <v/>
      </c>
      <c r="AP1156" s="22" t="str">
        <f t="shared" si="399"/>
        <v/>
      </c>
    </row>
    <row r="1157" spans="1:42" x14ac:dyDescent="0.25">
      <c r="A1157" s="10"/>
      <c r="B1157" s="10"/>
      <c r="C1157" s="10"/>
      <c r="D1157" s="10"/>
      <c r="E1157" s="10"/>
      <c r="F1157" s="10"/>
      <c r="G1157" s="10"/>
      <c r="H1157" s="17"/>
      <c r="I1157" s="10"/>
      <c r="J1157" s="10"/>
      <c r="K1157" s="16" t="str">
        <f t="shared" si="378"/>
        <v/>
      </c>
      <c r="L1157" s="23" t="str">
        <f t="shared" si="379"/>
        <v/>
      </c>
      <c r="M1157" s="22" t="str">
        <f t="shared" si="380"/>
        <v/>
      </c>
      <c r="N1157" s="72"/>
      <c r="O1157" s="16" t="str">
        <f t="shared" si="381"/>
        <v/>
      </c>
      <c r="P1157" s="16" t="str">
        <f t="shared" si="382"/>
        <v/>
      </c>
      <c r="Q1157" s="16" t="str">
        <f t="shared" si="383"/>
        <v/>
      </c>
      <c r="R1157" s="23" t="str">
        <f t="shared" si="384"/>
        <v/>
      </c>
      <c r="S1157" s="23" t="str">
        <f t="shared" si="385"/>
        <v/>
      </c>
      <c r="T1157" s="23" t="str">
        <f t="shared" si="386"/>
        <v/>
      </c>
      <c r="U1157" s="23" t="str">
        <f t="shared" si="387"/>
        <v/>
      </c>
      <c r="V1157" s="23" t="str">
        <f t="shared" si="388"/>
        <v/>
      </c>
      <c r="W1157" s="70" t="str">
        <f t="shared" si="389"/>
        <v/>
      </c>
      <c r="X1157" s="70" t="str">
        <f t="shared" si="390"/>
        <v/>
      </c>
      <c r="Y1157" s="70" t="str">
        <f>IF(AND($A1157&lt;&gt;"",$E1157&gt;0),isLaptopBag($C1157,$J1157)*$D1157,"")</f>
        <v/>
      </c>
      <c r="Z1157" s="70" t="str">
        <f t="shared" si="391"/>
        <v/>
      </c>
      <c r="AA1157" s="70" t="str">
        <f t="shared" si="392"/>
        <v/>
      </c>
      <c r="AB1157" s="70" t="str">
        <f t="shared" si="393"/>
        <v/>
      </c>
      <c r="AC1157" s="70" t="str">
        <f t="shared" si="394"/>
        <v/>
      </c>
      <c r="AD1157" s="70" t="str">
        <f t="shared" si="395"/>
        <v/>
      </c>
      <c r="AE1157" s="70" t="str">
        <f t="shared" si="396"/>
        <v/>
      </c>
      <c r="AF1157" s="16"/>
      <c r="AG1157" s="23"/>
      <c r="AH1157" s="22"/>
      <c r="AJ1157" s="83">
        <f t="shared" si="397"/>
        <v>0</v>
      </c>
      <c r="AO1157" s="22" t="str">
        <f t="shared" si="398"/>
        <v/>
      </c>
      <c r="AP1157" s="22" t="str">
        <f t="shared" si="399"/>
        <v/>
      </c>
    </row>
    <row r="1158" spans="1:42" x14ac:dyDescent="0.25">
      <c r="A1158" s="10"/>
      <c r="B1158" s="10"/>
      <c r="C1158" s="10"/>
      <c r="D1158" s="10"/>
      <c r="E1158" s="10"/>
      <c r="F1158" s="10"/>
      <c r="G1158" s="10"/>
      <c r="H1158" s="17"/>
      <c r="I1158" s="10"/>
      <c r="J1158" s="10"/>
      <c r="K1158" s="16" t="str">
        <f t="shared" si="378"/>
        <v/>
      </c>
      <c r="L1158" s="23" t="str">
        <f t="shared" si="379"/>
        <v/>
      </c>
      <c r="M1158" s="22" t="str">
        <f t="shared" si="380"/>
        <v/>
      </c>
      <c r="N1158" s="72"/>
      <c r="O1158" s="16" t="str">
        <f t="shared" si="381"/>
        <v/>
      </c>
      <c r="P1158" s="16" t="str">
        <f t="shared" si="382"/>
        <v/>
      </c>
      <c r="Q1158" s="16" t="str">
        <f t="shared" si="383"/>
        <v/>
      </c>
      <c r="R1158" s="23" t="str">
        <f t="shared" si="384"/>
        <v/>
      </c>
      <c r="S1158" s="23" t="str">
        <f t="shared" si="385"/>
        <v/>
      </c>
      <c r="T1158" s="23" t="str">
        <f t="shared" si="386"/>
        <v/>
      </c>
      <c r="U1158" s="23" t="str">
        <f t="shared" si="387"/>
        <v/>
      </c>
      <c r="V1158" s="23" t="str">
        <f t="shared" si="388"/>
        <v/>
      </c>
      <c r="W1158" s="70" t="str">
        <f t="shared" si="389"/>
        <v/>
      </c>
      <c r="X1158" s="70" t="str">
        <f t="shared" si="390"/>
        <v/>
      </c>
      <c r="Y1158" s="70" t="str">
        <f>IF(AND($A1158&lt;&gt;"",$E1158&gt;0),isLaptopBag($C1158,$J1158)*$D1158,"")</f>
        <v/>
      </c>
      <c r="Z1158" s="70" t="str">
        <f t="shared" si="391"/>
        <v/>
      </c>
      <c r="AA1158" s="70" t="str">
        <f t="shared" si="392"/>
        <v/>
      </c>
      <c r="AB1158" s="70" t="str">
        <f t="shared" si="393"/>
        <v/>
      </c>
      <c r="AC1158" s="70" t="str">
        <f t="shared" si="394"/>
        <v/>
      </c>
      <c r="AD1158" s="70" t="str">
        <f t="shared" si="395"/>
        <v/>
      </c>
      <c r="AE1158" s="70" t="str">
        <f t="shared" si="396"/>
        <v/>
      </c>
      <c r="AF1158" s="16"/>
      <c r="AG1158" s="23"/>
      <c r="AH1158" s="22"/>
      <c r="AJ1158" s="83">
        <f t="shared" si="397"/>
        <v>0</v>
      </c>
      <c r="AO1158" s="22" t="str">
        <f t="shared" si="398"/>
        <v/>
      </c>
      <c r="AP1158" s="22" t="str">
        <f t="shared" si="399"/>
        <v/>
      </c>
    </row>
    <row r="1159" spans="1:42" x14ac:dyDescent="0.25">
      <c r="A1159" s="10"/>
      <c r="B1159" s="10"/>
      <c r="C1159" s="10"/>
      <c r="D1159" s="10"/>
      <c r="E1159" s="10"/>
      <c r="F1159" s="10"/>
      <c r="G1159" s="10"/>
      <c r="H1159" s="17"/>
      <c r="I1159" s="10"/>
      <c r="J1159" s="10"/>
      <c r="K1159" s="16" t="str">
        <f t="shared" si="378"/>
        <v/>
      </c>
      <c r="L1159" s="23" t="str">
        <f t="shared" si="379"/>
        <v/>
      </c>
      <c r="M1159" s="22" t="str">
        <f t="shared" si="380"/>
        <v/>
      </c>
      <c r="N1159" s="72"/>
      <c r="O1159" s="16" t="str">
        <f t="shared" si="381"/>
        <v/>
      </c>
      <c r="P1159" s="16" t="str">
        <f t="shared" si="382"/>
        <v/>
      </c>
      <c r="Q1159" s="16" t="str">
        <f t="shared" si="383"/>
        <v/>
      </c>
      <c r="R1159" s="23" t="str">
        <f t="shared" si="384"/>
        <v/>
      </c>
      <c r="S1159" s="23" t="str">
        <f t="shared" si="385"/>
        <v/>
      </c>
      <c r="T1159" s="23" t="str">
        <f t="shared" si="386"/>
        <v/>
      </c>
      <c r="U1159" s="23" t="str">
        <f t="shared" si="387"/>
        <v/>
      </c>
      <c r="V1159" s="23" t="str">
        <f t="shared" si="388"/>
        <v/>
      </c>
      <c r="W1159" s="70" t="str">
        <f t="shared" si="389"/>
        <v/>
      </c>
      <c r="X1159" s="70" t="str">
        <f t="shared" si="390"/>
        <v/>
      </c>
      <c r="Y1159" s="70" t="str">
        <f>IF(AND($A1159&lt;&gt;"",$E1159&gt;0),isLaptopBag($C1159,$J1159)*$D1159,"")</f>
        <v/>
      </c>
      <c r="Z1159" s="70" t="str">
        <f t="shared" si="391"/>
        <v/>
      </c>
      <c r="AA1159" s="70" t="str">
        <f t="shared" si="392"/>
        <v/>
      </c>
      <c r="AB1159" s="70" t="str">
        <f t="shared" si="393"/>
        <v/>
      </c>
      <c r="AC1159" s="70" t="str">
        <f t="shared" si="394"/>
        <v/>
      </c>
      <c r="AD1159" s="70" t="str">
        <f t="shared" si="395"/>
        <v/>
      </c>
      <c r="AE1159" s="70" t="str">
        <f t="shared" si="396"/>
        <v/>
      </c>
      <c r="AF1159" s="16"/>
      <c r="AG1159" s="23"/>
      <c r="AH1159" s="22"/>
      <c r="AJ1159" s="83">
        <f t="shared" si="397"/>
        <v>0</v>
      </c>
      <c r="AO1159" s="22" t="str">
        <f t="shared" si="398"/>
        <v/>
      </c>
      <c r="AP1159" s="22" t="str">
        <f t="shared" si="399"/>
        <v/>
      </c>
    </row>
    <row r="1160" spans="1:42" x14ac:dyDescent="0.25">
      <c r="A1160" s="10"/>
      <c r="B1160" s="10"/>
      <c r="C1160" s="10"/>
      <c r="D1160" s="10"/>
      <c r="E1160" s="10"/>
      <c r="F1160" s="10"/>
      <c r="G1160" s="10"/>
      <c r="H1160" s="17"/>
      <c r="I1160" s="10"/>
      <c r="J1160" s="10"/>
      <c r="K1160" s="16" t="str">
        <f t="shared" si="378"/>
        <v/>
      </c>
      <c r="L1160" s="23" t="str">
        <f t="shared" si="379"/>
        <v/>
      </c>
      <c r="M1160" s="22" t="str">
        <f t="shared" si="380"/>
        <v/>
      </c>
      <c r="N1160" s="72"/>
      <c r="O1160" s="16" t="str">
        <f t="shared" si="381"/>
        <v/>
      </c>
      <c r="P1160" s="16" t="str">
        <f t="shared" si="382"/>
        <v/>
      </c>
      <c r="Q1160" s="16" t="str">
        <f t="shared" si="383"/>
        <v/>
      </c>
      <c r="R1160" s="23" t="str">
        <f t="shared" si="384"/>
        <v/>
      </c>
      <c r="S1160" s="23" t="str">
        <f t="shared" si="385"/>
        <v/>
      </c>
      <c r="T1160" s="23" t="str">
        <f t="shared" si="386"/>
        <v/>
      </c>
      <c r="U1160" s="23" t="str">
        <f t="shared" si="387"/>
        <v/>
      </c>
      <c r="V1160" s="23" t="str">
        <f t="shared" si="388"/>
        <v/>
      </c>
      <c r="W1160" s="70" t="str">
        <f t="shared" si="389"/>
        <v/>
      </c>
      <c r="X1160" s="70" t="str">
        <f t="shared" si="390"/>
        <v/>
      </c>
      <c r="Y1160" s="70" t="str">
        <f>IF(AND($A1160&lt;&gt;"",$E1160&gt;0),isLaptopBag($C1160,$J1160)*$D1160,"")</f>
        <v/>
      </c>
      <c r="Z1160" s="70" t="str">
        <f t="shared" si="391"/>
        <v/>
      </c>
      <c r="AA1160" s="70" t="str">
        <f t="shared" si="392"/>
        <v/>
      </c>
      <c r="AB1160" s="70" t="str">
        <f t="shared" si="393"/>
        <v/>
      </c>
      <c r="AC1160" s="70" t="str">
        <f t="shared" si="394"/>
        <v/>
      </c>
      <c r="AD1160" s="70" t="str">
        <f t="shared" si="395"/>
        <v/>
      </c>
      <c r="AE1160" s="70" t="str">
        <f t="shared" si="396"/>
        <v/>
      </c>
      <c r="AF1160" s="16"/>
      <c r="AG1160" s="23"/>
      <c r="AH1160" s="22"/>
      <c r="AJ1160" s="83">
        <f t="shared" si="397"/>
        <v>0</v>
      </c>
      <c r="AO1160" s="22" t="str">
        <f t="shared" si="398"/>
        <v/>
      </c>
      <c r="AP1160" s="22" t="str">
        <f t="shared" si="399"/>
        <v/>
      </c>
    </row>
    <row r="1161" spans="1:42" x14ac:dyDescent="0.25">
      <c r="A1161" s="10"/>
      <c r="B1161" s="10"/>
      <c r="C1161" s="10"/>
      <c r="D1161" s="10"/>
      <c r="E1161" s="10"/>
      <c r="F1161" s="10"/>
      <c r="G1161" s="10"/>
      <c r="H1161" s="17"/>
      <c r="I1161" s="10"/>
      <c r="J1161" s="10"/>
      <c r="K1161" s="16" t="str">
        <f t="shared" si="378"/>
        <v/>
      </c>
      <c r="L1161" s="23" t="str">
        <f t="shared" si="379"/>
        <v/>
      </c>
      <c r="M1161" s="22" t="str">
        <f t="shared" si="380"/>
        <v/>
      </c>
      <c r="N1161" s="72"/>
      <c r="O1161" s="16" t="str">
        <f t="shared" si="381"/>
        <v/>
      </c>
      <c r="P1161" s="16" t="str">
        <f t="shared" si="382"/>
        <v/>
      </c>
      <c r="Q1161" s="16" t="str">
        <f t="shared" si="383"/>
        <v/>
      </c>
      <c r="R1161" s="23" t="str">
        <f t="shared" si="384"/>
        <v/>
      </c>
      <c r="S1161" s="23" t="str">
        <f t="shared" si="385"/>
        <v/>
      </c>
      <c r="T1161" s="23" t="str">
        <f t="shared" si="386"/>
        <v/>
      </c>
      <c r="U1161" s="23" t="str">
        <f t="shared" si="387"/>
        <v/>
      </c>
      <c r="V1161" s="23" t="str">
        <f t="shared" si="388"/>
        <v/>
      </c>
      <c r="W1161" s="70" t="str">
        <f t="shared" si="389"/>
        <v/>
      </c>
      <c r="X1161" s="70" t="str">
        <f t="shared" si="390"/>
        <v/>
      </c>
      <c r="Y1161" s="70" t="str">
        <f>IF(AND($A1161&lt;&gt;"",$E1161&gt;0),isLaptopBag($C1161,$J1161)*$D1161,"")</f>
        <v/>
      </c>
      <c r="Z1161" s="70" t="str">
        <f t="shared" si="391"/>
        <v/>
      </c>
      <c r="AA1161" s="70" t="str">
        <f t="shared" si="392"/>
        <v/>
      </c>
      <c r="AB1161" s="70" t="str">
        <f t="shared" si="393"/>
        <v/>
      </c>
      <c r="AC1161" s="70" t="str">
        <f t="shared" si="394"/>
        <v/>
      </c>
      <c r="AD1161" s="70" t="str">
        <f t="shared" si="395"/>
        <v/>
      </c>
      <c r="AE1161" s="70" t="str">
        <f t="shared" si="396"/>
        <v/>
      </c>
      <c r="AF1161" s="16"/>
      <c r="AG1161" s="23"/>
      <c r="AH1161" s="22"/>
      <c r="AJ1161" s="83">
        <f t="shared" si="397"/>
        <v>0</v>
      </c>
      <c r="AO1161" s="22" t="str">
        <f t="shared" si="398"/>
        <v/>
      </c>
      <c r="AP1161" s="22" t="str">
        <f t="shared" si="399"/>
        <v/>
      </c>
    </row>
    <row r="1162" spans="1:42" x14ac:dyDescent="0.25">
      <c r="A1162" s="10"/>
      <c r="B1162" s="10"/>
      <c r="C1162" s="10"/>
      <c r="D1162" s="10"/>
      <c r="E1162" s="10"/>
      <c r="F1162" s="10"/>
      <c r="G1162" s="10"/>
      <c r="H1162" s="17"/>
      <c r="I1162" s="10"/>
      <c r="J1162" s="10"/>
      <c r="K1162" s="16" t="str">
        <f t="shared" si="378"/>
        <v/>
      </c>
      <c r="L1162" s="23" t="str">
        <f t="shared" si="379"/>
        <v/>
      </c>
      <c r="M1162" s="22" t="str">
        <f t="shared" si="380"/>
        <v/>
      </c>
      <c r="N1162" s="72"/>
      <c r="O1162" s="16" t="str">
        <f t="shared" si="381"/>
        <v/>
      </c>
      <c r="P1162" s="16" t="str">
        <f t="shared" si="382"/>
        <v/>
      </c>
      <c r="Q1162" s="16" t="str">
        <f t="shared" si="383"/>
        <v/>
      </c>
      <c r="R1162" s="23" t="str">
        <f t="shared" si="384"/>
        <v/>
      </c>
      <c r="S1162" s="23" t="str">
        <f t="shared" si="385"/>
        <v/>
      </c>
      <c r="T1162" s="23" t="str">
        <f t="shared" si="386"/>
        <v/>
      </c>
      <c r="U1162" s="23" t="str">
        <f t="shared" si="387"/>
        <v/>
      </c>
      <c r="V1162" s="23" t="str">
        <f t="shared" si="388"/>
        <v/>
      </c>
      <c r="W1162" s="70" t="str">
        <f t="shared" si="389"/>
        <v/>
      </c>
      <c r="X1162" s="70" t="str">
        <f t="shared" si="390"/>
        <v/>
      </c>
      <c r="Y1162" s="70" t="str">
        <f>IF(AND($A1162&lt;&gt;"",$E1162&gt;0),isLaptopBag($C1162,$J1162)*$D1162,"")</f>
        <v/>
      </c>
      <c r="Z1162" s="70" t="str">
        <f t="shared" si="391"/>
        <v/>
      </c>
      <c r="AA1162" s="70" t="str">
        <f t="shared" si="392"/>
        <v/>
      </c>
      <c r="AB1162" s="70" t="str">
        <f t="shared" si="393"/>
        <v/>
      </c>
      <c r="AC1162" s="70" t="str">
        <f t="shared" si="394"/>
        <v/>
      </c>
      <c r="AD1162" s="70" t="str">
        <f t="shared" si="395"/>
        <v/>
      </c>
      <c r="AE1162" s="70" t="str">
        <f t="shared" si="396"/>
        <v/>
      </c>
      <c r="AF1162" s="16"/>
      <c r="AG1162" s="23"/>
      <c r="AH1162" s="22"/>
      <c r="AJ1162" s="83">
        <f t="shared" si="397"/>
        <v>0</v>
      </c>
      <c r="AO1162" s="22" t="str">
        <f t="shared" si="398"/>
        <v/>
      </c>
      <c r="AP1162" s="22" t="str">
        <f t="shared" si="399"/>
        <v/>
      </c>
    </row>
    <row r="1163" spans="1:42" x14ac:dyDescent="0.25">
      <c r="A1163" s="10"/>
      <c r="B1163" s="10"/>
      <c r="C1163" s="10"/>
      <c r="D1163" s="10"/>
      <c r="E1163" s="10"/>
      <c r="F1163" s="10"/>
      <c r="G1163" s="10"/>
      <c r="H1163" s="17"/>
      <c r="I1163" s="10"/>
      <c r="J1163" s="10"/>
      <c r="K1163" s="16" t="str">
        <f t="shared" si="378"/>
        <v/>
      </c>
      <c r="L1163" s="23" t="str">
        <f t="shared" si="379"/>
        <v/>
      </c>
      <c r="M1163" s="22" t="str">
        <f t="shared" si="380"/>
        <v/>
      </c>
      <c r="N1163" s="72"/>
      <c r="O1163" s="16" t="str">
        <f t="shared" si="381"/>
        <v/>
      </c>
      <c r="P1163" s="16" t="str">
        <f t="shared" si="382"/>
        <v/>
      </c>
      <c r="Q1163" s="16" t="str">
        <f t="shared" si="383"/>
        <v/>
      </c>
      <c r="R1163" s="23" t="str">
        <f t="shared" si="384"/>
        <v/>
      </c>
      <c r="S1163" s="23" t="str">
        <f t="shared" si="385"/>
        <v/>
      </c>
      <c r="T1163" s="23" t="str">
        <f t="shared" si="386"/>
        <v/>
      </c>
      <c r="U1163" s="23" t="str">
        <f t="shared" si="387"/>
        <v/>
      </c>
      <c r="V1163" s="23" t="str">
        <f t="shared" si="388"/>
        <v/>
      </c>
      <c r="W1163" s="70" t="str">
        <f t="shared" si="389"/>
        <v/>
      </c>
      <c r="X1163" s="70" t="str">
        <f t="shared" si="390"/>
        <v/>
      </c>
      <c r="Y1163" s="70" t="str">
        <f>IF(AND($A1163&lt;&gt;"",$E1163&gt;0),isLaptopBag($C1163,$J1163)*$D1163,"")</f>
        <v/>
      </c>
      <c r="Z1163" s="70" t="str">
        <f t="shared" si="391"/>
        <v/>
      </c>
      <c r="AA1163" s="70" t="str">
        <f t="shared" si="392"/>
        <v/>
      </c>
      <c r="AB1163" s="70" t="str">
        <f t="shared" si="393"/>
        <v/>
      </c>
      <c r="AC1163" s="70" t="str">
        <f t="shared" si="394"/>
        <v/>
      </c>
      <c r="AD1163" s="70" t="str">
        <f t="shared" si="395"/>
        <v/>
      </c>
      <c r="AE1163" s="70" t="str">
        <f t="shared" si="396"/>
        <v/>
      </c>
      <c r="AF1163" s="16"/>
      <c r="AG1163" s="23"/>
      <c r="AH1163" s="22"/>
      <c r="AJ1163" s="83">
        <f t="shared" si="397"/>
        <v>0</v>
      </c>
      <c r="AO1163" s="22" t="str">
        <f t="shared" si="398"/>
        <v/>
      </c>
      <c r="AP1163" s="22" t="str">
        <f t="shared" si="399"/>
        <v/>
      </c>
    </row>
    <row r="1164" spans="1:42" x14ac:dyDescent="0.25">
      <c r="A1164" s="10"/>
      <c r="B1164" s="10"/>
      <c r="C1164" s="10"/>
      <c r="D1164" s="10"/>
      <c r="E1164" s="10"/>
      <c r="F1164" s="10"/>
      <c r="G1164" s="10"/>
      <c r="H1164" s="17"/>
      <c r="I1164" s="10"/>
      <c r="J1164" s="10"/>
      <c r="K1164" s="16" t="str">
        <f t="shared" si="378"/>
        <v/>
      </c>
      <c r="L1164" s="23" t="str">
        <f t="shared" si="379"/>
        <v/>
      </c>
      <c r="M1164" s="22" t="str">
        <f t="shared" si="380"/>
        <v/>
      </c>
      <c r="N1164" s="72"/>
      <c r="O1164" s="16" t="str">
        <f t="shared" si="381"/>
        <v/>
      </c>
      <c r="P1164" s="16" t="str">
        <f t="shared" si="382"/>
        <v/>
      </c>
      <c r="Q1164" s="16" t="str">
        <f t="shared" si="383"/>
        <v/>
      </c>
      <c r="R1164" s="23" t="str">
        <f t="shared" si="384"/>
        <v/>
      </c>
      <c r="S1164" s="23" t="str">
        <f t="shared" si="385"/>
        <v/>
      </c>
      <c r="T1164" s="23" t="str">
        <f t="shared" si="386"/>
        <v/>
      </c>
      <c r="U1164" s="23" t="str">
        <f t="shared" si="387"/>
        <v/>
      </c>
      <c r="V1164" s="23" t="str">
        <f t="shared" si="388"/>
        <v/>
      </c>
      <c r="W1164" s="70" t="str">
        <f t="shared" si="389"/>
        <v/>
      </c>
      <c r="X1164" s="70" t="str">
        <f t="shared" si="390"/>
        <v/>
      </c>
      <c r="Y1164" s="70" t="str">
        <f>IF(AND($A1164&lt;&gt;"",$E1164&gt;0),isLaptopBag($C1164,$J1164)*$D1164,"")</f>
        <v/>
      </c>
      <c r="Z1164" s="70" t="str">
        <f t="shared" si="391"/>
        <v/>
      </c>
      <c r="AA1164" s="70" t="str">
        <f t="shared" si="392"/>
        <v/>
      </c>
      <c r="AB1164" s="70" t="str">
        <f t="shared" si="393"/>
        <v/>
      </c>
      <c r="AC1164" s="70" t="str">
        <f t="shared" si="394"/>
        <v/>
      </c>
      <c r="AD1164" s="70" t="str">
        <f t="shared" si="395"/>
        <v/>
      </c>
      <c r="AE1164" s="70" t="str">
        <f t="shared" si="396"/>
        <v/>
      </c>
      <c r="AF1164" s="16"/>
      <c r="AG1164" s="23"/>
      <c r="AH1164" s="22"/>
      <c r="AJ1164" s="83">
        <f t="shared" si="397"/>
        <v>0</v>
      </c>
      <c r="AO1164" s="22" t="str">
        <f t="shared" si="398"/>
        <v/>
      </c>
      <c r="AP1164" s="22" t="str">
        <f t="shared" si="399"/>
        <v/>
      </c>
    </row>
    <row r="1165" spans="1:42" x14ac:dyDescent="0.25">
      <c r="A1165" s="10"/>
      <c r="B1165" s="10"/>
      <c r="C1165" s="10"/>
      <c r="D1165" s="10"/>
      <c r="E1165" s="10"/>
      <c r="F1165" s="10"/>
      <c r="G1165" s="10"/>
      <c r="H1165" s="17"/>
      <c r="I1165" s="10"/>
      <c r="J1165" s="10"/>
      <c r="K1165" s="16" t="str">
        <f t="shared" ref="K1165:K1228" si="400">IF($AF1165&lt;&gt;"",$AF1165,IF(AND($A1165&lt;&gt;"",$E1165&gt;0),SUM($O1165:$Q1165),""))</f>
        <v/>
      </c>
      <c r="L1165" s="23" t="str">
        <f t="shared" ref="L1165:L1228" si="401">IF($AG1165&lt;&gt;"",$AG1165,IF(AND($A1165&lt;&gt;"",$E1165&gt;0),SUM($R1165:$V1165),""))</f>
        <v/>
      </c>
      <c r="M1165" s="22" t="str">
        <f t="shared" ref="M1165:M1228" si="402">IF($AH1165&lt;&gt;"",$AH1165,IF(AND($A1165&lt;&gt;"",$E1165&gt;0),SUM($W1165:$AE1165)+$AO1165+$AP1165,""))</f>
        <v/>
      </c>
      <c r="N1165" s="72"/>
      <c r="O1165" s="16" t="str">
        <f t="shared" ref="O1165:O1228" si="403">IF(AND($A1165&lt;&gt;"",$E1165&gt;0),IF(AND($J1165="SONY",200000&lt;=$E1165,$E1165&lt;1000000),5000*$D1165,0),"")</f>
        <v/>
      </c>
      <c r="P1165" s="16" t="str">
        <f t="shared" ref="P1165:P1228" si="404">IF(AND($A1165&lt;&gt;"",$E1165&gt;0),IF(AND($J1165="SONY",1000000&lt;=$E1165,$E1165&lt;2000000),10000*$D1165,0),"")</f>
        <v/>
      </c>
      <c r="Q1165" s="16" t="str">
        <f t="shared" ref="Q1165:Q1228" si="405">IF(AND($A1165&lt;&gt;"",$E1165&gt;0),IF(AND($J1165="SONY",$E1165&gt;=2000000),20000*$D1165,0),"")</f>
        <v/>
      </c>
      <c r="R1165" s="23" t="str">
        <f t="shared" ref="R1165:R1228" si="406">IF(AND($A1165&lt;&gt;"",$E1165&gt;0),IF(AND($J1165&lt;&gt;"SONY",100000&lt;=$E1165,$E1165&lt;200000),5000*$D1165,0),"")</f>
        <v/>
      </c>
      <c r="S1165" s="23" t="str">
        <f t="shared" ref="S1165:S1228" si="407">IF(AND($A1165&lt;&gt;"",$E1165&gt;0),IF(AND($J1165&lt;&gt;"SONY",200000&lt;=$E1165,$E1165&lt;500000),10000*$D1165,0),"")</f>
        <v/>
      </c>
      <c r="T1165" s="23" t="str">
        <f t="shared" ref="T1165:T1228" si="408">IF(AND($A1165&lt;&gt;"",$E1165&gt;0),IF(AND($J1165&lt;&gt;"SONY",500000&lt;=$E1165,$E1165&lt;1000000),20000*$D1165,0),"")</f>
        <v/>
      </c>
      <c r="U1165" s="23" t="str">
        <f t="shared" ref="U1165:U1228" si="409">IF(AND($A1165&lt;&gt;"",$E1165&gt;0),IF(AND($J1165&lt;&gt;"SONY",1000000&lt;=$E1165,$E1165&lt;1500000),50000*$D1165,0),"")</f>
        <v/>
      </c>
      <c r="V1165" s="23" t="str">
        <f t="shared" ref="V1165:V1228" si="410">IF(AND($A1165&lt;&gt;"",$E1165&gt;0),IF(AND($J1165&lt;&gt;"SONY",1500000&lt;=$E1165),100000*$D1165,0),"")</f>
        <v/>
      </c>
      <c r="W1165" s="70" t="str">
        <f t="shared" ref="W1165:W1228" si="411">IF(AND($E1165&gt;0,$J1165="ELECOM",$E1165&gt;=500000,ISNUMBER(SEARCH("tai nghe",$C1165))),20000*$D1165,IF($A1165&lt;&gt;"",0,""))</f>
        <v/>
      </c>
      <c r="X1165" s="70" t="str">
        <f t="shared" ref="X1165:X1228" si="412">IF(AND($E1165&gt;0,$J1165="ELECOM",ISNUMBER(SEARCH("loa",$C1165))),20000*$D1165,IF($A1165&lt;&gt;"",0,""))</f>
        <v/>
      </c>
      <c r="Y1165" s="70" t="str">
        <f>IF(AND($A1165&lt;&gt;"",$E1165&gt;0),isLaptopBag($C1165,$J1165)*$D1165,"")</f>
        <v/>
      </c>
      <c r="Z1165" s="70" t="str">
        <f t="shared" ref="Z1165:Z1228" si="413">IF(AND($E1165&gt;0,$J1165="ELECOM",ISNUMBER(SEARCH("ốp",$C1165))),20000*$D1165,IF($A1165&lt;&gt;"",0,""))</f>
        <v/>
      </c>
      <c r="AA1165" s="70" t="str">
        <f t="shared" ref="AA1165:AA1228" si="414">IF(AND($E1165&gt;0,$J1165="ELECOM",ISNUMBER(SEARCH("Bút",$C1165))),20000*$D1165,IF($A1165&lt;&gt;"",0,""))</f>
        <v/>
      </c>
      <c r="AB1165" s="70" t="str">
        <f t="shared" ref="AB1165:AB1228" si="415">IF(AND($E1165&gt;0,$J1165="ELECOM",ISNUMBER(SEARCH("Chuột bi",$C1165))),20000*$D1165,IF($A1165&lt;&gt;"",0,""))</f>
        <v/>
      </c>
      <c r="AC1165" s="70" t="str">
        <f t="shared" ref="AC1165:AC1228" si="416">IF(AND($E1165&gt;0,$J1165="ELECOM",ISNUMBER(SEARCH("Chuột trackball",$C1165))),20000*$D1165,IF($A1165&lt;&gt;"",0,""))</f>
        <v/>
      </c>
      <c r="AD1165" s="70" t="str">
        <f t="shared" ref="AD1165:AD1228" si="417">IF(AND($E1165&gt;0,$J1165="ELECOM",ISNUMBER(SEARCH("Sạc không dây",$C1165))),20000*$D1165,IF($A1165&lt;&gt;"",0,""))</f>
        <v/>
      </c>
      <c r="AE1165" s="70" t="str">
        <f t="shared" ref="AE1165:AE1228" si="418">IF(AND($E1165&gt;0,$J1165="ELECOM",ISNUMBER(SEARCH("Sạc kd",$C1165))),20000*$D1165,IF($A1165&lt;&gt;"",0,""))</f>
        <v/>
      </c>
      <c r="AF1165" s="16"/>
      <c r="AG1165" s="23"/>
      <c r="AH1165" s="22"/>
      <c r="AJ1165" s="83">
        <f t="shared" ref="AJ1165:AJ1228" si="419">DAY(H1165)</f>
        <v>0</v>
      </c>
      <c r="AO1165" s="22" t="str">
        <f t="shared" ref="AO1165:AO1228" si="420">IF(AND($E1165&gt;0,ISNUMBER(SEARCH("Sạc dự phòng Energizer",$C1165))),10000*$D1165,IF($A1165&lt;&gt;"",0,""))</f>
        <v/>
      </c>
      <c r="AP1165" s="22" t="str">
        <f t="shared" ref="AP1165:AP1228" si="421">IF(AND($E1165&gt;0,ISNUMBER(SEARCH("SDP Energizer",$C1165))),10000*$D1165,IF($A1165&lt;&gt;"",0,""))</f>
        <v/>
      </c>
    </row>
    <row r="1166" spans="1:42" x14ac:dyDescent="0.25">
      <c r="A1166" s="10"/>
      <c r="B1166" s="10"/>
      <c r="C1166" s="10"/>
      <c r="D1166" s="10"/>
      <c r="E1166" s="10"/>
      <c r="F1166" s="10"/>
      <c r="G1166" s="10"/>
      <c r="H1166" s="17"/>
      <c r="I1166" s="10"/>
      <c r="J1166" s="10"/>
      <c r="K1166" s="16" t="str">
        <f t="shared" si="400"/>
        <v/>
      </c>
      <c r="L1166" s="23" t="str">
        <f t="shared" si="401"/>
        <v/>
      </c>
      <c r="M1166" s="22" t="str">
        <f t="shared" si="402"/>
        <v/>
      </c>
      <c r="N1166" s="72"/>
      <c r="O1166" s="16" t="str">
        <f t="shared" si="403"/>
        <v/>
      </c>
      <c r="P1166" s="16" t="str">
        <f t="shared" si="404"/>
        <v/>
      </c>
      <c r="Q1166" s="16" t="str">
        <f t="shared" si="405"/>
        <v/>
      </c>
      <c r="R1166" s="23" t="str">
        <f t="shared" si="406"/>
        <v/>
      </c>
      <c r="S1166" s="23" t="str">
        <f t="shared" si="407"/>
        <v/>
      </c>
      <c r="T1166" s="23" t="str">
        <f t="shared" si="408"/>
        <v/>
      </c>
      <c r="U1166" s="23" t="str">
        <f t="shared" si="409"/>
        <v/>
      </c>
      <c r="V1166" s="23" t="str">
        <f t="shared" si="410"/>
        <v/>
      </c>
      <c r="W1166" s="70" t="str">
        <f t="shared" si="411"/>
        <v/>
      </c>
      <c r="X1166" s="70" t="str">
        <f t="shared" si="412"/>
        <v/>
      </c>
      <c r="Y1166" s="70" t="str">
        <f>IF(AND($A1166&lt;&gt;"",$E1166&gt;0),isLaptopBag($C1166,$J1166)*$D1166,"")</f>
        <v/>
      </c>
      <c r="Z1166" s="70" t="str">
        <f t="shared" si="413"/>
        <v/>
      </c>
      <c r="AA1166" s="70" t="str">
        <f t="shared" si="414"/>
        <v/>
      </c>
      <c r="AB1166" s="70" t="str">
        <f t="shared" si="415"/>
        <v/>
      </c>
      <c r="AC1166" s="70" t="str">
        <f t="shared" si="416"/>
        <v/>
      </c>
      <c r="AD1166" s="70" t="str">
        <f t="shared" si="417"/>
        <v/>
      </c>
      <c r="AE1166" s="70" t="str">
        <f t="shared" si="418"/>
        <v/>
      </c>
      <c r="AF1166" s="16"/>
      <c r="AG1166" s="23"/>
      <c r="AH1166" s="22"/>
      <c r="AJ1166" s="83">
        <f t="shared" si="419"/>
        <v>0</v>
      </c>
      <c r="AO1166" s="22" t="str">
        <f t="shared" si="420"/>
        <v/>
      </c>
      <c r="AP1166" s="22" t="str">
        <f t="shared" si="421"/>
        <v/>
      </c>
    </row>
    <row r="1167" spans="1:42" x14ac:dyDescent="0.25">
      <c r="A1167" s="10"/>
      <c r="B1167" s="10"/>
      <c r="C1167" s="10"/>
      <c r="D1167" s="10"/>
      <c r="E1167" s="10"/>
      <c r="F1167" s="10"/>
      <c r="G1167" s="10"/>
      <c r="H1167" s="17"/>
      <c r="I1167" s="10"/>
      <c r="J1167" s="10"/>
      <c r="K1167" s="16" t="str">
        <f t="shared" si="400"/>
        <v/>
      </c>
      <c r="L1167" s="23" t="str">
        <f t="shared" si="401"/>
        <v/>
      </c>
      <c r="M1167" s="22" t="str">
        <f t="shared" si="402"/>
        <v/>
      </c>
      <c r="N1167" s="72"/>
      <c r="O1167" s="16" t="str">
        <f t="shared" si="403"/>
        <v/>
      </c>
      <c r="P1167" s="16" t="str">
        <f t="shared" si="404"/>
        <v/>
      </c>
      <c r="Q1167" s="16" t="str">
        <f t="shared" si="405"/>
        <v/>
      </c>
      <c r="R1167" s="23" t="str">
        <f t="shared" si="406"/>
        <v/>
      </c>
      <c r="S1167" s="23" t="str">
        <f t="shared" si="407"/>
        <v/>
      </c>
      <c r="T1167" s="23" t="str">
        <f t="shared" si="408"/>
        <v/>
      </c>
      <c r="U1167" s="23" t="str">
        <f t="shared" si="409"/>
        <v/>
      </c>
      <c r="V1167" s="23" t="str">
        <f t="shared" si="410"/>
        <v/>
      </c>
      <c r="W1167" s="70" t="str">
        <f t="shared" si="411"/>
        <v/>
      </c>
      <c r="X1167" s="70" t="str">
        <f t="shared" si="412"/>
        <v/>
      </c>
      <c r="Y1167" s="70" t="str">
        <f>IF(AND($A1167&lt;&gt;"",$E1167&gt;0),isLaptopBag($C1167,$J1167)*$D1167,"")</f>
        <v/>
      </c>
      <c r="Z1167" s="70" t="str">
        <f t="shared" si="413"/>
        <v/>
      </c>
      <c r="AA1167" s="70" t="str">
        <f t="shared" si="414"/>
        <v/>
      </c>
      <c r="AB1167" s="70" t="str">
        <f t="shared" si="415"/>
        <v/>
      </c>
      <c r="AC1167" s="70" t="str">
        <f t="shared" si="416"/>
        <v/>
      </c>
      <c r="AD1167" s="70" t="str">
        <f t="shared" si="417"/>
        <v/>
      </c>
      <c r="AE1167" s="70" t="str">
        <f t="shared" si="418"/>
        <v/>
      </c>
      <c r="AF1167" s="16"/>
      <c r="AG1167" s="23"/>
      <c r="AH1167" s="22"/>
      <c r="AJ1167" s="83">
        <f t="shared" si="419"/>
        <v>0</v>
      </c>
      <c r="AO1167" s="22" t="str">
        <f t="shared" si="420"/>
        <v/>
      </c>
      <c r="AP1167" s="22" t="str">
        <f t="shared" si="421"/>
        <v/>
      </c>
    </row>
    <row r="1168" spans="1:42" x14ac:dyDescent="0.25">
      <c r="A1168" s="10"/>
      <c r="B1168" s="10"/>
      <c r="C1168" s="10"/>
      <c r="D1168" s="10"/>
      <c r="E1168" s="10"/>
      <c r="F1168" s="10"/>
      <c r="G1168" s="10"/>
      <c r="H1168" s="17"/>
      <c r="I1168" s="10"/>
      <c r="J1168" s="10"/>
      <c r="K1168" s="16" t="str">
        <f t="shared" si="400"/>
        <v/>
      </c>
      <c r="L1168" s="23" t="str">
        <f t="shared" si="401"/>
        <v/>
      </c>
      <c r="M1168" s="22" t="str">
        <f t="shared" si="402"/>
        <v/>
      </c>
      <c r="N1168" s="72"/>
      <c r="O1168" s="16" t="str">
        <f t="shared" si="403"/>
        <v/>
      </c>
      <c r="P1168" s="16" t="str">
        <f t="shared" si="404"/>
        <v/>
      </c>
      <c r="Q1168" s="16" t="str">
        <f t="shared" si="405"/>
        <v/>
      </c>
      <c r="R1168" s="23" t="str">
        <f t="shared" si="406"/>
        <v/>
      </c>
      <c r="S1168" s="23" t="str">
        <f t="shared" si="407"/>
        <v/>
      </c>
      <c r="T1168" s="23" t="str">
        <f t="shared" si="408"/>
        <v/>
      </c>
      <c r="U1168" s="23" t="str">
        <f t="shared" si="409"/>
        <v/>
      </c>
      <c r="V1168" s="23" t="str">
        <f t="shared" si="410"/>
        <v/>
      </c>
      <c r="W1168" s="70" t="str">
        <f t="shared" si="411"/>
        <v/>
      </c>
      <c r="X1168" s="70" t="str">
        <f t="shared" si="412"/>
        <v/>
      </c>
      <c r="Y1168" s="70" t="str">
        <f>IF(AND($A1168&lt;&gt;"",$E1168&gt;0),isLaptopBag($C1168,$J1168)*$D1168,"")</f>
        <v/>
      </c>
      <c r="Z1168" s="70" t="str">
        <f t="shared" si="413"/>
        <v/>
      </c>
      <c r="AA1168" s="70" t="str">
        <f t="shared" si="414"/>
        <v/>
      </c>
      <c r="AB1168" s="70" t="str">
        <f t="shared" si="415"/>
        <v/>
      </c>
      <c r="AC1168" s="70" t="str">
        <f t="shared" si="416"/>
        <v/>
      </c>
      <c r="AD1168" s="70" t="str">
        <f t="shared" si="417"/>
        <v/>
      </c>
      <c r="AE1168" s="70" t="str">
        <f t="shared" si="418"/>
        <v/>
      </c>
      <c r="AF1168" s="16"/>
      <c r="AG1168" s="23"/>
      <c r="AH1168" s="22"/>
      <c r="AJ1168" s="83">
        <f t="shared" si="419"/>
        <v>0</v>
      </c>
      <c r="AO1168" s="22" t="str">
        <f t="shared" si="420"/>
        <v/>
      </c>
      <c r="AP1168" s="22" t="str">
        <f t="shared" si="421"/>
        <v/>
      </c>
    </row>
    <row r="1169" spans="1:42" x14ac:dyDescent="0.25">
      <c r="A1169" s="10"/>
      <c r="B1169" s="10"/>
      <c r="C1169" s="10"/>
      <c r="D1169" s="10"/>
      <c r="E1169" s="10"/>
      <c r="F1169" s="10"/>
      <c r="G1169" s="10"/>
      <c r="H1169" s="17"/>
      <c r="I1169" s="10"/>
      <c r="J1169" s="10"/>
      <c r="K1169" s="16" t="str">
        <f t="shared" si="400"/>
        <v/>
      </c>
      <c r="L1169" s="23" t="str">
        <f t="shared" si="401"/>
        <v/>
      </c>
      <c r="M1169" s="22" t="str">
        <f t="shared" si="402"/>
        <v/>
      </c>
      <c r="N1169" s="72"/>
      <c r="O1169" s="16" t="str">
        <f t="shared" si="403"/>
        <v/>
      </c>
      <c r="P1169" s="16" t="str">
        <f t="shared" si="404"/>
        <v/>
      </c>
      <c r="Q1169" s="16" t="str">
        <f t="shared" si="405"/>
        <v/>
      </c>
      <c r="R1169" s="23" t="str">
        <f t="shared" si="406"/>
        <v/>
      </c>
      <c r="S1169" s="23" t="str">
        <f t="shared" si="407"/>
        <v/>
      </c>
      <c r="T1169" s="23" t="str">
        <f t="shared" si="408"/>
        <v/>
      </c>
      <c r="U1169" s="23" t="str">
        <f t="shared" si="409"/>
        <v/>
      </c>
      <c r="V1169" s="23" t="str">
        <f t="shared" si="410"/>
        <v/>
      </c>
      <c r="W1169" s="70" t="str">
        <f t="shared" si="411"/>
        <v/>
      </c>
      <c r="X1169" s="70" t="str">
        <f t="shared" si="412"/>
        <v/>
      </c>
      <c r="Y1169" s="70" t="str">
        <f>IF(AND($A1169&lt;&gt;"",$E1169&gt;0),isLaptopBag($C1169,$J1169)*$D1169,"")</f>
        <v/>
      </c>
      <c r="Z1169" s="70" t="str">
        <f t="shared" si="413"/>
        <v/>
      </c>
      <c r="AA1169" s="70" t="str">
        <f t="shared" si="414"/>
        <v/>
      </c>
      <c r="AB1169" s="70" t="str">
        <f t="shared" si="415"/>
        <v/>
      </c>
      <c r="AC1169" s="70" t="str">
        <f t="shared" si="416"/>
        <v/>
      </c>
      <c r="AD1169" s="70" t="str">
        <f t="shared" si="417"/>
        <v/>
      </c>
      <c r="AE1169" s="70" t="str">
        <f t="shared" si="418"/>
        <v/>
      </c>
      <c r="AF1169" s="16"/>
      <c r="AG1169" s="23"/>
      <c r="AH1169" s="22"/>
      <c r="AJ1169" s="83">
        <f t="shared" si="419"/>
        <v>0</v>
      </c>
      <c r="AO1169" s="22" t="str">
        <f t="shared" si="420"/>
        <v/>
      </c>
      <c r="AP1169" s="22" t="str">
        <f t="shared" si="421"/>
        <v/>
      </c>
    </row>
    <row r="1170" spans="1:42" x14ac:dyDescent="0.25">
      <c r="A1170" s="10"/>
      <c r="B1170" s="10"/>
      <c r="C1170" s="10"/>
      <c r="D1170" s="10"/>
      <c r="E1170" s="10"/>
      <c r="F1170" s="10"/>
      <c r="G1170" s="10"/>
      <c r="H1170" s="17"/>
      <c r="I1170" s="10"/>
      <c r="J1170" s="10"/>
      <c r="K1170" s="16" t="str">
        <f t="shared" si="400"/>
        <v/>
      </c>
      <c r="L1170" s="23" t="str">
        <f t="shared" si="401"/>
        <v/>
      </c>
      <c r="M1170" s="22" t="str">
        <f t="shared" si="402"/>
        <v/>
      </c>
      <c r="N1170" s="72"/>
      <c r="O1170" s="16" t="str">
        <f t="shared" si="403"/>
        <v/>
      </c>
      <c r="P1170" s="16" t="str">
        <f t="shared" si="404"/>
        <v/>
      </c>
      <c r="Q1170" s="16" t="str">
        <f t="shared" si="405"/>
        <v/>
      </c>
      <c r="R1170" s="23" t="str">
        <f t="shared" si="406"/>
        <v/>
      </c>
      <c r="S1170" s="23" t="str">
        <f t="shared" si="407"/>
        <v/>
      </c>
      <c r="T1170" s="23" t="str">
        <f t="shared" si="408"/>
        <v/>
      </c>
      <c r="U1170" s="23" t="str">
        <f t="shared" si="409"/>
        <v/>
      </c>
      <c r="V1170" s="23" t="str">
        <f t="shared" si="410"/>
        <v/>
      </c>
      <c r="W1170" s="70" t="str">
        <f t="shared" si="411"/>
        <v/>
      </c>
      <c r="X1170" s="70" t="str">
        <f t="shared" si="412"/>
        <v/>
      </c>
      <c r="Y1170" s="70" t="str">
        <f>IF(AND($A1170&lt;&gt;"",$E1170&gt;0),isLaptopBag($C1170,$J1170)*$D1170,"")</f>
        <v/>
      </c>
      <c r="Z1170" s="70" t="str">
        <f t="shared" si="413"/>
        <v/>
      </c>
      <c r="AA1170" s="70" t="str">
        <f t="shared" si="414"/>
        <v/>
      </c>
      <c r="AB1170" s="70" t="str">
        <f t="shared" si="415"/>
        <v/>
      </c>
      <c r="AC1170" s="70" t="str">
        <f t="shared" si="416"/>
        <v/>
      </c>
      <c r="AD1170" s="70" t="str">
        <f t="shared" si="417"/>
        <v/>
      </c>
      <c r="AE1170" s="70" t="str">
        <f t="shared" si="418"/>
        <v/>
      </c>
      <c r="AF1170" s="16"/>
      <c r="AG1170" s="23"/>
      <c r="AH1170" s="22"/>
      <c r="AJ1170" s="83">
        <f t="shared" si="419"/>
        <v>0</v>
      </c>
      <c r="AO1170" s="22" t="str">
        <f t="shared" si="420"/>
        <v/>
      </c>
      <c r="AP1170" s="22" t="str">
        <f t="shared" si="421"/>
        <v/>
      </c>
    </row>
    <row r="1171" spans="1:42" x14ac:dyDescent="0.25">
      <c r="A1171" s="10"/>
      <c r="B1171" s="10"/>
      <c r="C1171" s="10"/>
      <c r="D1171" s="10"/>
      <c r="E1171" s="10"/>
      <c r="F1171" s="10"/>
      <c r="G1171" s="10"/>
      <c r="H1171" s="17"/>
      <c r="I1171" s="10"/>
      <c r="J1171" s="10"/>
      <c r="K1171" s="16" t="str">
        <f t="shared" si="400"/>
        <v/>
      </c>
      <c r="L1171" s="23" t="str">
        <f t="shared" si="401"/>
        <v/>
      </c>
      <c r="M1171" s="22" t="str">
        <f t="shared" si="402"/>
        <v/>
      </c>
      <c r="N1171" s="72"/>
      <c r="O1171" s="16" t="str">
        <f t="shared" si="403"/>
        <v/>
      </c>
      <c r="P1171" s="16" t="str">
        <f t="shared" si="404"/>
        <v/>
      </c>
      <c r="Q1171" s="16" t="str">
        <f t="shared" si="405"/>
        <v/>
      </c>
      <c r="R1171" s="23" t="str">
        <f t="shared" si="406"/>
        <v/>
      </c>
      <c r="S1171" s="23" t="str">
        <f t="shared" si="407"/>
        <v/>
      </c>
      <c r="T1171" s="23" t="str">
        <f t="shared" si="408"/>
        <v/>
      </c>
      <c r="U1171" s="23" t="str">
        <f t="shared" si="409"/>
        <v/>
      </c>
      <c r="V1171" s="23" t="str">
        <f t="shared" si="410"/>
        <v/>
      </c>
      <c r="W1171" s="70" t="str">
        <f t="shared" si="411"/>
        <v/>
      </c>
      <c r="X1171" s="70" t="str">
        <f t="shared" si="412"/>
        <v/>
      </c>
      <c r="Y1171" s="70" t="str">
        <f>IF(AND($A1171&lt;&gt;"",$E1171&gt;0),isLaptopBag($C1171,$J1171)*$D1171,"")</f>
        <v/>
      </c>
      <c r="Z1171" s="70" t="str">
        <f t="shared" si="413"/>
        <v/>
      </c>
      <c r="AA1171" s="70" t="str">
        <f t="shared" si="414"/>
        <v/>
      </c>
      <c r="AB1171" s="70" t="str">
        <f t="shared" si="415"/>
        <v/>
      </c>
      <c r="AC1171" s="70" t="str">
        <f t="shared" si="416"/>
        <v/>
      </c>
      <c r="AD1171" s="70" t="str">
        <f t="shared" si="417"/>
        <v/>
      </c>
      <c r="AE1171" s="70" t="str">
        <f t="shared" si="418"/>
        <v/>
      </c>
      <c r="AF1171" s="16"/>
      <c r="AG1171" s="23"/>
      <c r="AH1171" s="22"/>
      <c r="AJ1171" s="83">
        <f t="shared" si="419"/>
        <v>0</v>
      </c>
      <c r="AO1171" s="22" t="str">
        <f t="shared" si="420"/>
        <v/>
      </c>
      <c r="AP1171" s="22" t="str">
        <f t="shared" si="421"/>
        <v/>
      </c>
    </row>
    <row r="1172" spans="1:42" x14ac:dyDescent="0.25">
      <c r="A1172" s="10"/>
      <c r="B1172" s="10"/>
      <c r="C1172" s="10"/>
      <c r="D1172" s="10"/>
      <c r="E1172" s="10"/>
      <c r="F1172" s="10"/>
      <c r="G1172" s="10"/>
      <c r="H1172" s="17"/>
      <c r="I1172" s="10"/>
      <c r="J1172" s="10"/>
      <c r="K1172" s="16" t="str">
        <f t="shared" si="400"/>
        <v/>
      </c>
      <c r="L1172" s="23" t="str">
        <f t="shared" si="401"/>
        <v/>
      </c>
      <c r="M1172" s="22" t="str">
        <f t="shared" si="402"/>
        <v/>
      </c>
      <c r="N1172" s="72"/>
      <c r="O1172" s="16" t="str">
        <f t="shared" si="403"/>
        <v/>
      </c>
      <c r="P1172" s="16" t="str">
        <f t="shared" si="404"/>
        <v/>
      </c>
      <c r="Q1172" s="16" t="str">
        <f t="shared" si="405"/>
        <v/>
      </c>
      <c r="R1172" s="23" t="str">
        <f t="shared" si="406"/>
        <v/>
      </c>
      <c r="S1172" s="23" t="str">
        <f t="shared" si="407"/>
        <v/>
      </c>
      <c r="T1172" s="23" t="str">
        <f t="shared" si="408"/>
        <v/>
      </c>
      <c r="U1172" s="23" t="str">
        <f t="shared" si="409"/>
        <v/>
      </c>
      <c r="V1172" s="23" t="str">
        <f t="shared" si="410"/>
        <v/>
      </c>
      <c r="W1172" s="70" t="str">
        <f t="shared" si="411"/>
        <v/>
      </c>
      <c r="X1172" s="70" t="str">
        <f t="shared" si="412"/>
        <v/>
      </c>
      <c r="Y1172" s="70" t="str">
        <f>IF(AND($A1172&lt;&gt;"",$E1172&gt;0),isLaptopBag($C1172,$J1172)*$D1172,"")</f>
        <v/>
      </c>
      <c r="Z1172" s="70" t="str">
        <f t="shared" si="413"/>
        <v/>
      </c>
      <c r="AA1172" s="70" t="str">
        <f t="shared" si="414"/>
        <v/>
      </c>
      <c r="AB1172" s="70" t="str">
        <f t="shared" si="415"/>
        <v/>
      </c>
      <c r="AC1172" s="70" t="str">
        <f t="shared" si="416"/>
        <v/>
      </c>
      <c r="AD1172" s="70" t="str">
        <f t="shared" si="417"/>
        <v/>
      </c>
      <c r="AE1172" s="70" t="str">
        <f t="shared" si="418"/>
        <v/>
      </c>
      <c r="AF1172" s="16"/>
      <c r="AG1172" s="23"/>
      <c r="AH1172" s="22"/>
      <c r="AJ1172" s="83">
        <f t="shared" si="419"/>
        <v>0</v>
      </c>
      <c r="AO1172" s="22" t="str">
        <f t="shared" si="420"/>
        <v/>
      </c>
      <c r="AP1172" s="22" t="str">
        <f t="shared" si="421"/>
        <v/>
      </c>
    </row>
    <row r="1173" spans="1:42" x14ac:dyDescent="0.25">
      <c r="A1173" s="10"/>
      <c r="B1173" s="10"/>
      <c r="C1173" s="10"/>
      <c r="D1173" s="10"/>
      <c r="E1173" s="10"/>
      <c r="F1173" s="10"/>
      <c r="G1173" s="10"/>
      <c r="H1173" s="17"/>
      <c r="I1173" s="10"/>
      <c r="J1173" s="10"/>
      <c r="K1173" s="16" t="str">
        <f t="shared" si="400"/>
        <v/>
      </c>
      <c r="L1173" s="23" t="str">
        <f t="shared" si="401"/>
        <v/>
      </c>
      <c r="M1173" s="22" t="str">
        <f t="shared" si="402"/>
        <v/>
      </c>
      <c r="N1173" s="72"/>
      <c r="O1173" s="16" t="str">
        <f t="shared" si="403"/>
        <v/>
      </c>
      <c r="P1173" s="16" t="str">
        <f t="shared" si="404"/>
        <v/>
      </c>
      <c r="Q1173" s="16" t="str">
        <f t="shared" si="405"/>
        <v/>
      </c>
      <c r="R1173" s="23" t="str">
        <f t="shared" si="406"/>
        <v/>
      </c>
      <c r="S1173" s="23" t="str">
        <f t="shared" si="407"/>
        <v/>
      </c>
      <c r="T1173" s="23" t="str">
        <f t="shared" si="408"/>
        <v/>
      </c>
      <c r="U1173" s="23" t="str">
        <f t="shared" si="409"/>
        <v/>
      </c>
      <c r="V1173" s="23" t="str">
        <f t="shared" si="410"/>
        <v/>
      </c>
      <c r="W1173" s="70" t="str">
        <f t="shared" si="411"/>
        <v/>
      </c>
      <c r="X1173" s="70" t="str">
        <f t="shared" si="412"/>
        <v/>
      </c>
      <c r="Y1173" s="70" t="str">
        <f>IF(AND($A1173&lt;&gt;"",$E1173&gt;0),isLaptopBag($C1173,$J1173)*$D1173,"")</f>
        <v/>
      </c>
      <c r="Z1173" s="70" t="str">
        <f t="shared" si="413"/>
        <v/>
      </c>
      <c r="AA1173" s="70" t="str">
        <f t="shared" si="414"/>
        <v/>
      </c>
      <c r="AB1173" s="70" t="str">
        <f t="shared" si="415"/>
        <v/>
      </c>
      <c r="AC1173" s="70" t="str">
        <f t="shared" si="416"/>
        <v/>
      </c>
      <c r="AD1173" s="70" t="str">
        <f t="shared" si="417"/>
        <v/>
      </c>
      <c r="AE1173" s="70" t="str">
        <f t="shared" si="418"/>
        <v/>
      </c>
      <c r="AF1173" s="16"/>
      <c r="AG1173" s="23"/>
      <c r="AH1173" s="22"/>
      <c r="AJ1173" s="83">
        <f t="shared" si="419"/>
        <v>0</v>
      </c>
      <c r="AO1173" s="22" t="str">
        <f t="shared" si="420"/>
        <v/>
      </c>
      <c r="AP1173" s="22" t="str">
        <f t="shared" si="421"/>
        <v/>
      </c>
    </row>
    <row r="1174" spans="1:42" x14ac:dyDescent="0.25">
      <c r="A1174" s="10"/>
      <c r="B1174" s="10"/>
      <c r="C1174" s="10"/>
      <c r="D1174" s="10"/>
      <c r="E1174" s="10"/>
      <c r="F1174" s="10"/>
      <c r="G1174" s="10"/>
      <c r="H1174" s="17"/>
      <c r="I1174" s="10"/>
      <c r="J1174" s="10"/>
      <c r="K1174" s="16" t="str">
        <f t="shared" si="400"/>
        <v/>
      </c>
      <c r="L1174" s="23" t="str">
        <f t="shared" si="401"/>
        <v/>
      </c>
      <c r="M1174" s="22" t="str">
        <f t="shared" si="402"/>
        <v/>
      </c>
      <c r="N1174" s="72"/>
      <c r="O1174" s="16" t="str">
        <f t="shared" si="403"/>
        <v/>
      </c>
      <c r="P1174" s="16" t="str">
        <f t="shared" si="404"/>
        <v/>
      </c>
      <c r="Q1174" s="16" t="str">
        <f t="shared" si="405"/>
        <v/>
      </c>
      <c r="R1174" s="23" t="str">
        <f t="shared" si="406"/>
        <v/>
      </c>
      <c r="S1174" s="23" t="str">
        <f t="shared" si="407"/>
        <v/>
      </c>
      <c r="T1174" s="23" t="str">
        <f t="shared" si="408"/>
        <v/>
      </c>
      <c r="U1174" s="23" t="str">
        <f t="shared" si="409"/>
        <v/>
      </c>
      <c r="V1174" s="23" t="str">
        <f t="shared" si="410"/>
        <v/>
      </c>
      <c r="W1174" s="70" t="str">
        <f t="shared" si="411"/>
        <v/>
      </c>
      <c r="X1174" s="70" t="str">
        <f t="shared" si="412"/>
        <v/>
      </c>
      <c r="Y1174" s="70" t="str">
        <f>IF(AND($A1174&lt;&gt;"",$E1174&gt;0),isLaptopBag($C1174,$J1174)*$D1174,"")</f>
        <v/>
      </c>
      <c r="Z1174" s="70" t="str">
        <f t="shared" si="413"/>
        <v/>
      </c>
      <c r="AA1174" s="70" t="str">
        <f t="shared" si="414"/>
        <v/>
      </c>
      <c r="AB1174" s="70" t="str">
        <f t="shared" si="415"/>
        <v/>
      </c>
      <c r="AC1174" s="70" t="str">
        <f t="shared" si="416"/>
        <v/>
      </c>
      <c r="AD1174" s="70" t="str">
        <f t="shared" si="417"/>
        <v/>
      </c>
      <c r="AE1174" s="70" t="str">
        <f t="shared" si="418"/>
        <v/>
      </c>
      <c r="AF1174" s="16"/>
      <c r="AG1174" s="23"/>
      <c r="AH1174" s="22"/>
      <c r="AJ1174" s="83">
        <f t="shared" si="419"/>
        <v>0</v>
      </c>
      <c r="AO1174" s="22" t="str">
        <f t="shared" si="420"/>
        <v/>
      </c>
      <c r="AP1174" s="22" t="str">
        <f t="shared" si="421"/>
        <v/>
      </c>
    </row>
    <row r="1175" spans="1:42" x14ac:dyDescent="0.25">
      <c r="A1175" s="10"/>
      <c r="B1175" s="10"/>
      <c r="C1175" s="10"/>
      <c r="D1175" s="10"/>
      <c r="E1175" s="10"/>
      <c r="F1175" s="10"/>
      <c r="G1175" s="10"/>
      <c r="H1175" s="17"/>
      <c r="I1175" s="10"/>
      <c r="J1175" s="10"/>
      <c r="K1175" s="16" t="str">
        <f t="shared" si="400"/>
        <v/>
      </c>
      <c r="L1175" s="23" t="str">
        <f t="shared" si="401"/>
        <v/>
      </c>
      <c r="M1175" s="22" t="str">
        <f t="shared" si="402"/>
        <v/>
      </c>
      <c r="N1175" s="72"/>
      <c r="O1175" s="16" t="str">
        <f t="shared" si="403"/>
        <v/>
      </c>
      <c r="P1175" s="16" t="str">
        <f t="shared" si="404"/>
        <v/>
      </c>
      <c r="Q1175" s="16" t="str">
        <f t="shared" si="405"/>
        <v/>
      </c>
      <c r="R1175" s="23" t="str">
        <f t="shared" si="406"/>
        <v/>
      </c>
      <c r="S1175" s="23" t="str">
        <f t="shared" si="407"/>
        <v/>
      </c>
      <c r="T1175" s="23" t="str">
        <f t="shared" si="408"/>
        <v/>
      </c>
      <c r="U1175" s="23" t="str">
        <f t="shared" si="409"/>
        <v/>
      </c>
      <c r="V1175" s="23" t="str">
        <f t="shared" si="410"/>
        <v/>
      </c>
      <c r="W1175" s="70" t="str">
        <f t="shared" si="411"/>
        <v/>
      </c>
      <c r="X1175" s="70" t="str">
        <f t="shared" si="412"/>
        <v/>
      </c>
      <c r="Y1175" s="70" t="str">
        <f>IF(AND($A1175&lt;&gt;"",$E1175&gt;0),isLaptopBag($C1175,$J1175)*$D1175,"")</f>
        <v/>
      </c>
      <c r="Z1175" s="70" t="str">
        <f t="shared" si="413"/>
        <v/>
      </c>
      <c r="AA1175" s="70" t="str">
        <f t="shared" si="414"/>
        <v/>
      </c>
      <c r="AB1175" s="70" t="str">
        <f t="shared" si="415"/>
        <v/>
      </c>
      <c r="AC1175" s="70" t="str">
        <f t="shared" si="416"/>
        <v/>
      </c>
      <c r="AD1175" s="70" t="str">
        <f t="shared" si="417"/>
        <v/>
      </c>
      <c r="AE1175" s="70" t="str">
        <f t="shared" si="418"/>
        <v/>
      </c>
      <c r="AF1175" s="16"/>
      <c r="AG1175" s="23"/>
      <c r="AH1175" s="22"/>
      <c r="AJ1175" s="83">
        <f t="shared" si="419"/>
        <v>0</v>
      </c>
      <c r="AO1175" s="22" t="str">
        <f t="shared" si="420"/>
        <v/>
      </c>
      <c r="AP1175" s="22" t="str">
        <f t="shared" si="421"/>
        <v/>
      </c>
    </row>
    <row r="1176" spans="1:42" x14ac:dyDescent="0.25">
      <c r="A1176" s="10"/>
      <c r="B1176" s="10"/>
      <c r="C1176" s="10"/>
      <c r="D1176" s="10"/>
      <c r="E1176" s="10"/>
      <c r="F1176" s="10"/>
      <c r="G1176" s="10"/>
      <c r="H1176" s="17"/>
      <c r="I1176" s="10"/>
      <c r="J1176" s="10"/>
      <c r="K1176" s="16" t="str">
        <f t="shared" si="400"/>
        <v/>
      </c>
      <c r="L1176" s="23" t="str">
        <f t="shared" si="401"/>
        <v/>
      </c>
      <c r="M1176" s="22" t="str">
        <f t="shared" si="402"/>
        <v/>
      </c>
      <c r="N1176" s="72"/>
      <c r="O1176" s="16" t="str">
        <f t="shared" si="403"/>
        <v/>
      </c>
      <c r="P1176" s="16" t="str">
        <f t="shared" si="404"/>
        <v/>
      </c>
      <c r="Q1176" s="16" t="str">
        <f t="shared" si="405"/>
        <v/>
      </c>
      <c r="R1176" s="23" t="str">
        <f t="shared" si="406"/>
        <v/>
      </c>
      <c r="S1176" s="23" t="str">
        <f t="shared" si="407"/>
        <v/>
      </c>
      <c r="T1176" s="23" t="str">
        <f t="shared" si="408"/>
        <v/>
      </c>
      <c r="U1176" s="23" t="str">
        <f t="shared" si="409"/>
        <v/>
      </c>
      <c r="V1176" s="23" t="str">
        <f t="shared" si="410"/>
        <v/>
      </c>
      <c r="W1176" s="70" t="str">
        <f t="shared" si="411"/>
        <v/>
      </c>
      <c r="X1176" s="70" t="str">
        <f t="shared" si="412"/>
        <v/>
      </c>
      <c r="Y1176" s="70" t="str">
        <f>IF(AND($A1176&lt;&gt;"",$E1176&gt;0),isLaptopBag($C1176,$J1176)*$D1176,"")</f>
        <v/>
      </c>
      <c r="Z1176" s="70" t="str">
        <f t="shared" si="413"/>
        <v/>
      </c>
      <c r="AA1176" s="70" t="str">
        <f t="shared" si="414"/>
        <v/>
      </c>
      <c r="AB1176" s="70" t="str">
        <f t="shared" si="415"/>
        <v/>
      </c>
      <c r="AC1176" s="70" t="str">
        <f t="shared" si="416"/>
        <v/>
      </c>
      <c r="AD1176" s="70" t="str">
        <f t="shared" si="417"/>
        <v/>
      </c>
      <c r="AE1176" s="70" t="str">
        <f t="shared" si="418"/>
        <v/>
      </c>
      <c r="AF1176" s="16"/>
      <c r="AG1176" s="23"/>
      <c r="AH1176" s="22"/>
      <c r="AJ1176" s="83">
        <f t="shared" si="419"/>
        <v>0</v>
      </c>
      <c r="AO1176" s="22" t="str">
        <f t="shared" si="420"/>
        <v/>
      </c>
      <c r="AP1176" s="22" t="str">
        <f t="shared" si="421"/>
        <v/>
      </c>
    </row>
    <row r="1177" spans="1:42" x14ac:dyDescent="0.25">
      <c r="A1177" s="10"/>
      <c r="B1177" s="10"/>
      <c r="C1177" s="10"/>
      <c r="D1177" s="10"/>
      <c r="E1177" s="10"/>
      <c r="F1177" s="10"/>
      <c r="G1177" s="10"/>
      <c r="H1177" s="17"/>
      <c r="I1177" s="10"/>
      <c r="J1177" s="10"/>
      <c r="K1177" s="16" t="str">
        <f t="shared" si="400"/>
        <v/>
      </c>
      <c r="L1177" s="23" t="str">
        <f t="shared" si="401"/>
        <v/>
      </c>
      <c r="M1177" s="22" t="str">
        <f t="shared" si="402"/>
        <v/>
      </c>
      <c r="N1177" s="72"/>
      <c r="O1177" s="16" t="str">
        <f t="shared" si="403"/>
        <v/>
      </c>
      <c r="P1177" s="16" t="str">
        <f t="shared" si="404"/>
        <v/>
      </c>
      <c r="Q1177" s="16" t="str">
        <f t="shared" si="405"/>
        <v/>
      </c>
      <c r="R1177" s="23" t="str">
        <f t="shared" si="406"/>
        <v/>
      </c>
      <c r="S1177" s="23" t="str">
        <f t="shared" si="407"/>
        <v/>
      </c>
      <c r="T1177" s="23" t="str">
        <f t="shared" si="408"/>
        <v/>
      </c>
      <c r="U1177" s="23" t="str">
        <f t="shared" si="409"/>
        <v/>
      </c>
      <c r="V1177" s="23" t="str">
        <f t="shared" si="410"/>
        <v/>
      </c>
      <c r="W1177" s="70" t="str">
        <f t="shared" si="411"/>
        <v/>
      </c>
      <c r="X1177" s="70" t="str">
        <f t="shared" si="412"/>
        <v/>
      </c>
      <c r="Y1177" s="70" t="str">
        <f>IF(AND($A1177&lt;&gt;"",$E1177&gt;0),isLaptopBag($C1177,$J1177)*$D1177,"")</f>
        <v/>
      </c>
      <c r="Z1177" s="70" t="str">
        <f t="shared" si="413"/>
        <v/>
      </c>
      <c r="AA1177" s="70" t="str">
        <f t="shared" si="414"/>
        <v/>
      </c>
      <c r="AB1177" s="70" t="str">
        <f t="shared" si="415"/>
        <v/>
      </c>
      <c r="AC1177" s="70" t="str">
        <f t="shared" si="416"/>
        <v/>
      </c>
      <c r="AD1177" s="70" t="str">
        <f t="shared" si="417"/>
        <v/>
      </c>
      <c r="AE1177" s="70" t="str">
        <f t="shared" si="418"/>
        <v/>
      </c>
      <c r="AF1177" s="16"/>
      <c r="AG1177" s="23"/>
      <c r="AH1177" s="22"/>
      <c r="AJ1177" s="83">
        <f t="shared" si="419"/>
        <v>0</v>
      </c>
      <c r="AO1177" s="22" t="str">
        <f t="shared" si="420"/>
        <v/>
      </c>
      <c r="AP1177" s="22" t="str">
        <f t="shared" si="421"/>
        <v/>
      </c>
    </row>
    <row r="1178" spans="1:42" x14ac:dyDescent="0.25">
      <c r="A1178" s="10"/>
      <c r="B1178" s="10"/>
      <c r="C1178" s="10"/>
      <c r="D1178" s="10"/>
      <c r="E1178" s="10"/>
      <c r="F1178" s="10"/>
      <c r="G1178" s="10"/>
      <c r="H1178" s="17"/>
      <c r="I1178" s="10"/>
      <c r="J1178" s="10"/>
      <c r="K1178" s="16" t="str">
        <f t="shared" si="400"/>
        <v/>
      </c>
      <c r="L1178" s="23" t="str">
        <f t="shared" si="401"/>
        <v/>
      </c>
      <c r="M1178" s="22" t="str">
        <f t="shared" si="402"/>
        <v/>
      </c>
      <c r="N1178" s="72"/>
      <c r="O1178" s="16" t="str">
        <f t="shared" si="403"/>
        <v/>
      </c>
      <c r="P1178" s="16" t="str">
        <f t="shared" si="404"/>
        <v/>
      </c>
      <c r="Q1178" s="16" t="str">
        <f t="shared" si="405"/>
        <v/>
      </c>
      <c r="R1178" s="23" t="str">
        <f t="shared" si="406"/>
        <v/>
      </c>
      <c r="S1178" s="23" t="str">
        <f t="shared" si="407"/>
        <v/>
      </c>
      <c r="T1178" s="23" t="str">
        <f t="shared" si="408"/>
        <v/>
      </c>
      <c r="U1178" s="23" t="str">
        <f t="shared" si="409"/>
        <v/>
      </c>
      <c r="V1178" s="23" t="str">
        <f t="shared" si="410"/>
        <v/>
      </c>
      <c r="W1178" s="70" t="str">
        <f t="shared" si="411"/>
        <v/>
      </c>
      <c r="X1178" s="70" t="str">
        <f t="shared" si="412"/>
        <v/>
      </c>
      <c r="Y1178" s="70" t="str">
        <f>IF(AND($A1178&lt;&gt;"",$E1178&gt;0),isLaptopBag($C1178,$J1178)*$D1178,"")</f>
        <v/>
      </c>
      <c r="Z1178" s="70" t="str">
        <f t="shared" si="413"/>
        <v/>
      </c>
      <c r="AA1178" s="70" t="str">
        <f t="shared" si="414"/>
        <v/>
      </c>
      <c r="AB1178" s="70" t="str">
        <f t="shared" si="415"/>
        <v/>
      </c>
      <c r="AC1178" s="70" t="str">
        <f t="shared" si="416"/>
        <v/>
      </c>
      <c r="AD1178" s="70" t="str">
        <f t="shared" si="417"/>
        <v/>
      </c>
      <c r="AE1178" s="70" t="str">
        <f t="shared" si="418"/>
        <v/>
      </c>
      <c r="AF1178" s="16"/>
      <c r="AG1178" s="23"/>
      <c r="AH1178" s="22"/>
      <c r="AJ1178" s="83">
        <f t="shared" si="419"/>
        <v>0</v>
      </c>
      <c r="AO1178" s="22" t="str">
        <f t="shared" si="420"/>
        <v/>
      </c>
      <c r="AP1178" s="22" t="str">
        <f t="shared" si="421"/>
        <v/>
      </c>
    </row>
    <row r="1179" spans="1:42" x14ac:dyDescent="0.25">
      <c r="A1179" s="10"/>
      <c r="B1179" s="10"/>
      <c r="C1179" s="10"/>
      <c r="D1179" s="10"/>
      <c r="E1179" s="10"/>
      <c r="F1179" s="10"/>
      <c r="G1179" s="10"/>
      <c r="H1179" s="17"/>
      <c r="I1179" s="10"/>
      <c r="J1179" s="10"/>
      <c r="K1179" s="16" t="str">
        <f t="shared" si="400"/>
        <v/>
      </c>
      <c r="L1179" s="23" t="str">
        <f t="shared" si="401"/>
        <v/>
      </c>
      <c r="M1179" s="22" t="str">
        <f t="shared" si="402"/>
        <v/>
      </c>
      <c r="N1179" s="72"/>
      <c r="O1179" s="16" t="str">
        <f t="shared" si="403"/>
        <v/>
      </c>
      <c r="P1179" s="16" t="str">
        <f t="shared" si="404"/>
        <v/>
      </c>
      <c r="Q1179" s="16" t="str">
        <f t="shared" si="405"/>
        <v/>
      </c>
      <c r="R1179" s="23" t="str">
        <f t="shared" si="406"/>
        <v/>
      </c>
      <c r="S1179" s="23" t="str">
        <f t="shared" si="407"/>
        <v/>
      </c>
      <c r="T1179" s="23" t="str">
        <f t="shared" si="408"/>
        <v/>
      </c>
      <c r="U1179" s="23" t="str">
        <f t="shared" si="409"/>
        <v/>
      </c>
      <c r="V1179" s="23" t="str">
        <f t="shared" si="410"/>
        <v/>
      </c>
      <c r="W1179" s="70" t="str">
        <f t="shared" si="411"/>
        <v/>
      </c>
      <c r="X1179" s="70" t="str">
        <f t="shared" si="412"/>
        <v/>
      </c>
      <c r="Y1179" s="70" t="str">
        <f>IF(AND($A1179&lt;&gt;"",$E1179&gt;0),isLaptopBag($C1179,$J1179)*$D1179,"")</f>
        <v/>
      </c>
      <c r="Z1179" s="70" t="str">
        <f t="shared" si="413"/>
        <v/>
      </c>
      <c r="AA1179" s="70" t="str">
        <f t="shared" si="414"/>
        <v/>
      </c>
      <c r="AB1179" s="70" t="str">
        <f t="shared" si="415"/>
        <v/>
      </c>
      <c r="AC1179" s="70" t="str">
        <f t="shared" si="416"/>
        <v/>
      </c>
      <c r="AD1179" s="70" t="str">
        <f t="shared" si="417"/>
        <v/>
      </c>
      <c r="AE1179" s="70" t="str">
        <f t="shared" si="418"/>
        <v/>
      </c>
      <c r="AF1179" s="16"/>
      <c r="AG1179" s="23"/>
      <c r="AH1179" s="22"/>
      <c r="AJ1179" s="83">
        <f t="shared" si="419"/>
        <v>0</v>
      </c>
      <c r="AO1179" s="22" t="str">
        <f t="shared" si="420"/>
        <v/>
      </c>
      <c r="AP1179" s="22" t="str">
        <f t="shared" si="421"/>
        <v/>
      </c>
    </row>
    <row r="1180" spans="1:42" x14ac:dyDescent="0.25">
      <c r="A1180" s="10"/>
      <c r="B1180" s="10"/>
      <c r="C1180" s="10"/>
      <c r="D1180" s="10"/>
      <c r="E1180" s="10"/>
      <c r="F1180" s="10"/>
      <c r="G1180" s="10"/>
      <c r="H1180" s="17"/>
      <c r="I1180" s="10"/>
      <c r="J1180" s="10"/>
      <c r="K1180" s="16" t="str">
        <f t="shared" si="400"/>
        <v/>
      </c>
      <c r="L1180" s="23" t="str">
        <f t="shared" si="401"/>
        <v/>
      </c>
      <c r="M1180" s="22" t="str">
        <f t="shared" si="402"/>
        <v/>
      </c>
      <c r="N1180" s="72"/>
      <c r="O1180" s="16" t="str">
        <f t="shared" si="403"/>
        <v/>
      </c>
      <c r="P1180" s="16" t="str">
        <f t="shared" si="404"/>
        <v/>
      </c>
      <c r="Q1180" s="16" t="str">
        <f t="shared" si="405"/>
        <v/>
      </c>
      <c r="R1180" s="23" t="str">
        <f t="shared" si="406"/>
        <v/>
      </c>
      <c r="S1180" s="23" t="str">
        <f t="shared" si="407"/>
        <v/>
      </c>
      <c r="T1180" s="23" t="str">
        <f t="shared" si="408"/>
        <v/>
      </c>
      <c r="U1180" s="23" t="str">
        <f t="shared" si="409"/>
        <v/>
      </c>
      <c r="V1180" s="23" t="str">
        <f t="shared" si="410"/>
        <v/>
      </c>
      <c r="W1180" s="70" t="str">
        <f t="shared" si="411"/>
        <v/>
      </c>
      <c r="X1180" s="70" t="str">
        <f t="shared" si="412"/>
        <v/>
      </c>
      <c r="Y1180" s="70" t="str">
        <f>IF(AND($A1180&lt;&gt;"",$E1180&gt;0),isLaptopBag($C1180,$J1180)*$D1180,"")</f>
        <v/>
      </c>
      <c r="Z1180" s="70" t="str">
        <f t="shared" si="413"/>
        <v/>
      </c>
      <c r="AA1180" s="70" t="str">
        <f t="shared" si="414"/>
        <v/>
      </c>
      <c r="AB1180" s="70" t="str">
        <f t="shared" si="415"/>
        <v/>
      </c>
      <c r="AC1180" s="70" t="str">
        <f t="shared" si="416"/>
        <v/>
      </c>
      <c r="AD1180" s="70" t="str">
        <f t="shared" si="417"/>
        <v/>
      </c>
      <c r="AE1180" s="70" t="str">
        <f t="shared" si="418"/>
        <v/>
      </c>
      <c r="AF1180" s="16"/>
      <c r="AG1180" s="23"/>
      <c r="AH1180" s="22"/>
      <c r="AJ1180" s="83">
        <f t="shared" si="419"/>
        <v>0</v>
      </c>
      <c r="AO1180" s="22" t="str">
        <f t="shared" si="420"/>
        <v/>
      </c>
      <c r="AP1180" s="22" t="str">
        <f t="shared" si="421"/>
        <v/>
      </c>
    </row>
    <row r="1181" spans="1:42" x14ac:dyDescent="0.25">
      <c r="A1181" s="10"/>
      <c r="B1181" s="10"/>
      <c r="C1181" s="10"/>
      <c r="D1181" s="10"/>
      <c r="E1181" s="10"/>
      <c r="F1181" s="10"/>
      <c r="G1181" s="10"/>
      <c r="H1181" s="17"/>
      <c r="I1181" s="10"/>
      <c r="J1181" s="10"/>
      <c r="K1181" s="16" t="str">
        <f t="shared" si="400"/>
        <v/>
      </c>
      <c r="L1181" s="23" t="str">
        <f t="shared" si="401"/>
        <v/>
      </c>
      <c r="M1181" s="22" t="str">
        <f t="shared" si="402"/>
        <v/>
      </c>
      <c r="N1181" s="72"/>
      <c r="O1181" s="16" t="str">
        <f t="shared" si="403"/>
        <v/>
      </c>
      <c r="P1181" s="16" t="str">
        <f t="shared" si="404"/>
        <v/>
      </c>
      <c r="Q1181" s="16" t="str">
        <f t="shared" si="405"/>
        <v/>
      </c>
      <c r="R1181" s="23" t="str">
        <f t="shared" si="406"/>
        <v/>
      </c>
      <c r="S1181" s="23" t="str">
        <f t="shared" si="407"/>
        <v/>
      </c>
      <c r="T1181" s="23" t="str">
        <f t="shared" si="408"/>
        <v/>
      </c>
      <c r="U1181" s="23" t="str">
        <f t="shared" si="409"/>
        <v/>
      </c>
      <c r="V1181" s="23" t="str">
        <f t="shared" si="410"/>
        <v/>
      </c>
      <c r="W1181" s="70" t="str">
        <f t="shared" si="411"/>
        <v/>
      </c>
      <c r="X1181" s="70" t="str">
        <f t="shared" si="412"/>
        <v/>
      </c>
      <c r="Y1181" s="70" t="str">
        <f>IF(AND($A1181&lt;&gt;"",$E1181&gt;0),isLaptopBag($C1181,$J1181)*$D1181,"")</f>
        <v/>
      </c>
      <c r="Z1181" s="70" t="str">
        <f t="shared" si="413"/>
        <v/>
      </c>
      <c r="AA1181" s="70" t="str">
        <f t="shared" si="414"/>
        <v/>
      </c>
      <c r="AB1181" s="70" t="str">
        <f t="shared" si="415"/>
        <v/>
      </c>
      <c r="AC1181" s="70" t="str">
        <f t="shared" si="416"/>
        <v/>
      </c>
      <c r="AD1181" s="70" t="str">
        <f t="shared" si="417"/>
        <v/>
      </c>
      <c r="AE1181" s="70" t="str">
        <f t="shared" si="418"/>
        <v/>
      </c>
      <c r="AF1181" s="16"/>
      <c r="AG1181" s="23"/>
      <c r="AH1181" s="22"/>
      <c r="AJ1181" s="83">
        <f t="shared" si="419"/>
        <v>0</v>
      </c>
      <c r="AO1181" s="22" t="str">
        <f t="shared" si="420"/>
        <v/>
      </c>
      <c r="AP1181" s="22" t="str">
        <f t="shared" si="421"/>
        <v/>
      </c>
    </row>
    <row r="1182" spans="1:42" x14ac:dyDescent="0.25">
      <c r="A1182" s="10"/>
      <c r="B1182" s="10"/>
      <c r="C1182" s="10"/>
      <c r="D1182" s="10"/>
      <c r="E1182" s="10"/>
      <c r="F1182" s="10"/>
      <c r="G1182" s="10"/>
      <c r="H1182" s="17"/>
      <c r="I1182" s="10"/>
      <c r="J1182" s="10"/>
      <c r="K1182" s="16" t="str">
        <f t="shared" si="400"/>
        <v/>
      </c>
      <c r="L1182" s="23" t="str">
        <f t="shared" si="401"/>
        <v/>
      </c>
      <c r="M1182" s="22" t="str">
        <f t="shared" si="402"/>
        <v/>
      </c>
      <c r="N1182" s="72"/>
      <c r="O1182" s="16" t="str">
        <f t="shared" si="403"/>
        <v/>
      </c>
      <c r="P1182" s="16" t="str">
        <f t="shared" si="404"/>
        <v/>
      </c>
      <c r="Q1182" s="16" t="str">
        <f t="shared" si="405"/>
        <v/>
      </c>
      <c r="R1182" s="23" t="str">
        <f t="shared" si="406"/>
        <v/>
      </c>
      <c r="S1182" s="23" t="str">
        <f t="shared" si="407"/>
        <v/>
      </c>
      <c r="T1182" s="23" t="str">
        <f t="shared" si="408"/>
        <v/>
      </c>
      <c r="U1182" s="23" t="str">
        <f t="shared" si="409"/>
        <v/>
      </c>
      <c r="V1182" s="23" t="str">
        <f t="shared" si="410"/>
        <v/>
      </c>
      <c r="W1182" s="70" t="str">
        <f t="shared" si="411"/>
        <v/>
      </c>
      <c r="X1182" s="70" t="str">
        <f t="shared" si="412"/>
        <v/>
      </c>
      <c r="Y1182" s="70" t="str">
        <f>IF(AND($A1182&lt;&gt;"",$E1182&gt;0),isLaptopBag($C1182,$J1182)*$D1182,"")</f>
        <v/>
      </c>
      <c r="Z1182" s="70" t="str">
        <f t="shared" si="413"/>
        <v/>
      </c>
      <c r="AA1182" s="70" t="str">
        <f t="shared" si="414"/>
        <v/>
      </c>
      <c r="AB1182" s="70" t="str">
        <f t="shared" si="415"/>
        <v/>
      </c>
      <c r="AC1182" s="70" t="str">
        <f t="shared" si="416"/>
        <v/>
      </c>
      <c r="AD1182" s="70" t="str">
        <f t="shared" si="417"/>
        <v/>
      </c>
      <c r="AE1182" s="70" t="str">
        <f t="shared" si="418"/>
        <v/>
      </c>
      <c r="AF1182" s="16"/>
      <c r="AG1182" s="23"/>
      <c r="AH1182" s="22"/>
      <c r="AJ1182" s="83">
        <f t="shared" si="419"/>
        <v>0</v>
      </c>
      <c r="AO1182" s="22" t="str">
        <f t="shared" si="420"/>
        <v/>
      </c>
      <c r="AP1182" s="22" t="str">
        <f t="shared" si="421"/>
        <v/>
      </c>
    </row>
    <row r="1183" spans="1:42" x14ac:dyDescent="0.25">
      <c r="A1183" s="10"/>
      <c r="B1183" s="10"/>
      <c r="C1183" s="10"/>
      <c r="D1183" s="10"/>
      <c r="E1183" s="10"/>
      <c r="F1183" s="10"/>
      <c r="G1183" s="10"/>
      <c r="H1183" s="17"/>
      <c r="I1183" s="10"/>
      <c r="J1183" s="10"/>
      <c r="K1183" s="16" t="str">
        <f t="shared" si="400"/>
        <v/>
      </c>
      <c r="L1183" s="23" t="str">
        <f t="shared" si="401"/>
        <v/>
      </c>
      <c r="M1183" s="22" t="str">
        <f t="shared" si="402"/>
        <v/>
      </c>
      <c r="N1183" s="72"/>
      <c r="O1183" s="16" t="str">
        <f t="shared" si="403"/>
        <v/>
      </c>
      <c r="P1183" s="16" t="str">
        <f t="shared" si="404"/>
        <v/>
      </c>
      <c r="Q1183" s="16" t="str">
        <f t="shared" si="405"/>
        <v/>
      </c>
      <c r="R1183" s="23" t="str">
        <f t="shared" si="406"/>
        <v/>
      </c>
      <c r="S1183" s="23" t="str">
        <f t="shared" si="407"/>
        <v/>
      </c>
      <c r="T1183" s="23" t="str">
        <f t="shared" si="408"/>
        <v/>
      </c>
      <c r="U1183" s="23" t="str">
        <f t="shared" si="409"/>
        <v/>
      </c>
      <c r="V1183" s="23" t="str">
        <f t="shared" si="410"/>
        <v/>
      </c>
      <c r="W1183" s="70" t="str">
        <f t="shared" si="411"/>
        <v/>
      </c>
      <c r="X1183" s="70" t="str">
        <f t="shared" si="412"/>
        <v/>
      </c>
      <c r="Y1183" s="70" t="str">
        <f>IF(AND($A1183&lt;&gt;"",$E1183&gt;0),isLaptopBag($C1183,$J1183)*$D1183,"")</f>
        <v/>
      </c>
      <c r="Z1183" s="70" t="str">
        <f t="shared" si="413"/>
        <v/>
      </c>
      <c r="AA1183" s="70" t="str">
        <f t="shared" si="414"/>
        <v/>
      </c>
      <c r="AB1183" s="70" t="str">
        <f t="shared" si="415"/>
        <v/>
      </c>
      <c r="AC1183" s="70" t="str">
        <f t="shared" si="416"/>
        <v/>
      </c>
      <c r="AD1183" s="70" t="str">
        <f t="shared" si="417"/>
        <v/>
      </c>
      <c r="AE1183" s="70" t="str">
        <f t="shared" si="418"/>
        <v/>
      </c>
      <c r="AF1183" s="16"/>
      <c r="AG1183" s="23"/>
      <c r="AH1183" s="22"/>
      <c r="AJ1183" s="83">
        <f t="shared" si="419"/>
        <v>0</v>
      </c>
      <c r="AO1183" s="22" t="str">
        <f t="shared" si="420"/>
        <v/>
      </c>
      <c r="AP1183" s="22" t="str">
        <f t="shared" si="421"/>
        <v/>
      </c>
    </row>
    <row r="1184" spans="1:42" x14ac:dyDescent="0.25">
      <c r="A1184" s="10"/>
      <c r="B1184" s="10"/>
      <c r="C1184" s="10"/>
      <c r="D1184" s="10"/>
      <c r="E1184" s="10"/>
      <c r="F1184" s="10"/>
      <c r="G1184" s="10"/>
      <c r="H1184" s="17"/>
      <c r="I1184" s="10"/>
      <c r="J1184" s="10"/>
      <c r="K1184" s="16" t="str">
        <f t="shared" si="400"/>
        <v/>
      </c>
      <c r="L1184" s="23" t="str">
        <f t="shared" si="401"/>
        <v/>
      </c>
      <c r="M1184" s="22" t="str">
        <f t="shared" si="402"/>
        <v/>
      </c>
      <c r="N1184" s="72"/>
      <c r="O1184" s="16" t="str">
        <f t="shared" si="403"/>
        <v/>
      </c>
      <c r="P1184" s="16" t="str">
        <f t="shared" si="404"/>
        <v/>
      </c>
      <c r="Q1184" s="16" t="str">
        <f t="shared" si="405"/>
        <v/>
      </c>
      <c r="R1184" s="23" t="str">
        <f t="shared" si="406"/>
        <v/>
      </c>
      <c r="S1184" s="23" t="str">
        <f t="shared" si="407"/>
        <v/>
      </c>
      <c r="T1184" s="23" t="str">
        <f t="shared" si="408"/>
        <v/>
      </c>
      <c r="U1184" s="23" t="str">
        <f t="shared" si="409"/>
        <v/>
      </c>
      <c r="V1184" s="23" t="str">
        <f t="shared" si="410"/>
        <v/>
      </c>
      <c r="W1184" s="70" t="str">
        <f t="shared" si="411"/>
        <v/>
      </c>
      <c r="X1184" s="70" t="str">
        <f t="shared" si="412"/>
        <v/>
      </c>
      <c r="Y1184" s="70" t="str">
        <f>IF(AND($A1184&lt;&gt;"",$E1184&gt;0),isLaptopBag($C1184,$J1184)*$D1184,"")</f>
        <v/>
      </c>
      <c r="Z1184" s="70" t="str">
        <f t="shared" si="413"/>
        <v/>
      </c>
      <c r="AA1184" s="70" t="str">
        <f t="shared" si="414"/>
        <v/>
      </c>
      <c r="AB1184" s="70" t="str">
        <f t="shared" si="415"/>
        <v/>
      </c>
      <c r="AC1184" s="70" t="str">
        <f t="shared" si="416"/>
        <v/>
      </c>
      <c r="AD1184" s="70" t="str">
        <f t="shared" si="417"/>
        <v/>
      </c>
      <c r="AE1184" s="70" t="str">
        <f t="shared" si="418"/>
        <v/>
      </c>
      <c r="AF1184" s="16"/>
      <c r="AG1184" s="23"/>
      <c r="AH1184" s="22"/>
      <c r="AJ1184" s="83">
        <f t="shared" si="419"/>
        <v>0</v>
      </c>
      <c r="AO1184" s="22" t="str">
        <f t="shared" si="420"/>
        <v/>
      </c>
      <c r="AP1184" s="22" t="str">
        <f t="shared" si="421"/>
        <v/>
      </c>
    </row>
    <row r="1185" spans="1:42" x14ac:dyDescent="0.25">
      <c r="A1185" s="10"/>
      <c r="B1185" s="10"/>
      <c r="C1185" s="10"/>
      <c r="D1185" s="10"/>
      <c r="E1185" s="10"/>
      <c r="F1185" s="10"/>
      <c r="G1185" s="10"/>
      <c r="H1185" s="17"/>
      <c r="I1185" s="10"/>
      <c r="J1185" s="10"/>
      <c r="K1185" s="16" t="str">
        <f t="shared" si="400"/>
        <v/>
      </c>
      <c r="L1185" s="23" t="str">
        <f t="shared" si="401"/>
        <v/>
      </c>
      <c r="M1185" s="22" t="str">
        <f t="shared" si="402"/>
        <v/>
      </c>
      <c r="N1185" s="72"/>
      <c r="O1185" s="16" t="str">
        <f t="shared" si="403"/>
        <v/>
      </c>
      <c r="P1185" s="16" t="str">
        <f t="shared" si="404"/>
        <v/>
      </c>
      <c r="Q1185" s="16" t="str">
        <f t="shared" si="405"/>
        <v/>
      </c>
      <c r="R1185" s="23" t="str">
        <f t="shared" si="406"/>
        <v/>
      </c>
      <c r="S1185" s="23" t="str">
        <f t="shared" si="407"/>
        <v/>
      </c>
      <c r="T1185" s="23" t="str">
        <f t="shared" si="408"/>
        <v/>
      </c>
      <c r="U1185" s="23" t="str">
        <f t="shared" si="409"/>
        <v/>
      </c>
      <c r="V1185" s="23" t="str">
        <f t="shared" si="410"/>
        <v/>
      </c>
      <c r="W1185" s="70" t="str">
        <f t="shared" si="411"/>
        <v/>
      </c>
      <c r="X1185" s="70" t="str">
        <f t="shared" si="412"/>
        <v/>
      </c>
      <c r="Y1185" s="70" t="str">
        <f>IF(AND($A1185&lt;&gt;"",$E1185&gt;0),isLaptopBag($C1185,$J1185)*$D1185,"")</f>
        <v/>
      </c>
      <c r="Z1185" s="70" t="str">
        <f t="shared" si="413"/>
        <v/>
      </c>
      <c r="AA1185" s="70" t="str">
        <f t="shared" si="414"/>
        <v/>
      </c>
      <c r="AB1185" s="70" t="str">
        <f t="shared" si="415"/>
        <v/>
      </c>
      <c r="AC1185" s="70" t="str">
        <f t="shared" si="416"/>
        <v/>
      </c>
      <c r="AD1185" s="70" t="str">
        <f t="shared" si="417"/>
        <v/>
      </c>
      <c r="AE1185" s="70" t="str">
        <f t="shared" si="418"/>
        <v/>
      </c>
      <c r="AF1185" s="16"/>
      <c r="AG1185" s="23"/>
      <c r="AH1185" s="22"/>
      <c r="AJ1185" s="83">
        <f t="shared" si="419"/>
        <v>0</v>
      </c>
      <c r="AO1185" s="22" t="str">
        <f t="shared" si="420"/>
        <v/>
      </c>
      <c r="AP1185" s="22" t="str">
        <f t="shared" si="421"/>
        <v/>
      </c>
    </row>
    <row r="1186" spans="1:42" x14ac:dyDescent="0.25">
      <c r="A1186" s="10"/>
      <c r="B1186" s="10"/>
      <c r="C1186" s="10"/>
      <c r="D1186" s="10"/>
      <c r="E1186" s="10"/>
      <c r="F1186" s="10"/>
      <c r="G1186" s="10"/>
      <c r="H1186" s="17"/>
      <c r="I1186" s="10"/>
      <c r="J1186" s="10"/>
      <c r="K1186" s="16" t="str">
        <f t="shared" si="400"/>
        <v/>
      </c>
      <c r="L1186" s="23" t="str">
        <f t="shared" si="401"/>
        <v/>
      </c>
      <c r="M1186" s="22" t="str">
        <f t="shared" si="402"/>
        <v/>
      </c>
      <c r="N1186" s="72"/>
      <c r="O1186" s="16" t="str">
        <f t="shared" si="403"/>
        <v/>
      </c>
      <c r="P1186" s="16" t="str">
        <f t="shared" si="404"/>
        <v/>
      </c>
      <c r="Q1186" s="16" t="str">
        <f t="shared" si="405"/>
        <v/>
      </c>
      <c r="R1186" s="23" t="str">
        <f t="shared" si="406"/>
        <v/>
      </c>
      <c r="S1186" s="23" t="str">
        <f t="shared" si="407"/>
        <v/>
      </c>
      <c r="T1186" s="23" t="str">
        <f t="shared" si="408"/>
        <v/>
      </c>
      <c r="U1186" s="23" t="str">
        <f t="shared" si="409"/>
        <v/>
      </c>
      <c r="V1186" s="23" t="str">
        <f t="shared" si="410"/>
        <v/>
      </c>
      <c r="W1186" s="70" t="str">
        <f t="shared" si="411"/>
        <v/>
      </c>
      <c r="X1186" s="70" t="str">
        <f t="shared" si="412"/>
        <v/>
      </c>
      <c r="Y1186" s="70" t="str">
        <f>IF(AND($A1186&lt;&gt;"",$E1186&gt;0),isLaptopBag($C1186,$J1186)*$D1186,"")</f>
        <v/>
      </c>
      <c r="Z1186" s="70" t="str">
        <f t="shared" si="413"/>
        <v/>
      </c>
      <c r="AA1186" s="70" t="str">
        <f t="shared" si="414"/>
        <v/>
      </c>
      <c r="AB1186" s="70" t="str">
        <f t="shared" si="415"/>
        <v/>
      </c>
      <c r="AC1186" s="70" t="str">
        <f t="shared" si="416"/>
        <v/>
      </c>
      <c r="AD1186" s="70" t="str">
        <f t="shared" si="417"/>
        <v/>
      </c>
      <c r="AE1186" s="70" t="str">
        <f t="shared" si="418"/>
        <v/>
      </c>
      <c r="AF1186" s="16"/>
      <c r="AG1186" s="23"/>
      <c r="AH1186" s="22"/>
      <c r="AJ1186" s="83">
        <f t="shared" si="419"/>
        <v>0</v>
      </c>
      <c r="AO1186" s="22" t="str">
        <f t="shared" si="420"/>
        <v/>
      </c>
      <c r="AP1186" s="22" t="str">
        <f t="shared" si="421"/>
        <v/>
      </c>
    </row>
    <row r="1187" spans="1:42" x14ac:dyDescent="0.25">
      <c r="A1187" s="10"/>
      <c r="B1187" s="10"/>
      <c r="C1187" s="10"/>
      <c r="D1187" s="10"/>
      <c r="E1187" s="10"/>
      <c r="F1187" s="10"/>
      <c r="G1187" s="10"/>
      <c r="H1187" s="17"/>
      <c r="I1187" s="10"/>
      <c r="J1187" s="10"/>
      <c r="K1187" s="16" t="str">
        <f t="shared" si="400"/>
        <v/>
      </c>
      <c r="L1187" s="23" t="str">
        <f t="shared" si="401"/>
        <v/>
      </c>
      <c r="M1187" s="22" t="str">
        <f t="shared" si="402"/>
        <v/>
      </c>
      <c r="N1187" s="72"/>
      <c r="O1187" s="16" t="str">
        <f t="shared" si="403"/>
        <v/>
      </c>
      <c r="P1187" s="16" t="str">
        <f t="shared" si="404"/>
        <v/>
      </c>
      <c r="Q1187" s="16" t="str">
        <f t="shared" si="405"/>
        <v/>
      </c>
      <c r="R1187" s="23" t="str">
        <f t="shared" si="406"/>
        <v/>
      </c>
      <c r="S1187" s="23" t="str">
        <f t="shared" si="407"/>
        <v/>
      </c>
      <c r="T1187" s="23" t="str">
        <f t="shared" si="408"/>
        <v/>
      </c>
      <c r="U1187" s="23" t="str">
        <f t="shared" si="409"/>
        <v/>
      </c>
      <c r="V1187" s="23" t="str">
        <f t="shared" si="410"/>
        <v/>
      </c>
      <c r="W1187" s="70" t="str">
        <f t="shared" si="411"/>
        <v/>
      </c>
      <c r="X1187" s="70" t="str">
        <f t="shared" si="412"/>
        <v/>
      </c>
      <c r="Y1187" s="70" t="str">
        <f>IF(AND($A1187&lt;&gt;"",$E1187&gt;0),isLaptopBag($C1187,$J1187)*$D1187,"")</f>
        <v/>
      </c>
      <c r="Z1187" s="70" t="str">
        <f t="shared" si="413"/>
        <v/>
      </c>
      <c r="AA1187" s="70" t="str">
        <f t="shared" si="414"/>
        <v/>
      </c>
      <c r="AB1187" s="70" t="str">
        <f t="shared" si="415"/>
        <v/>
      </c>
      <c r="AC1187" s="70" t="str">
        <f t="shared" si="416"/>
        <v/>
      </c>
      <c r="AD1187" s="70" t="str">
        <f t="shared" si="417"/>
        <v/>
      </c>
      <c r="AE1187" s="70" t="str">
        <f t="shared" si="418"/>
        <v/>
      </c>
      <c r="AF1187" s="16"/>
      <c r="AG1187" s="23"/>
      <c r="AH1187" s="22"/>
      <c r="AJ1187" s="83">
        <f t="shared" si="419"/>
        <v>0</v>
      </c>
      <c r="AO1187" s="22" t="str">
        <f t="shared" si="420"/>
        <v/>
      </c>
      <c r="AP1187" s="22" t="str">
        <f t="shared" si="421"/>
        <v/>
      </c>
    </row>
    <row r="1188" spans="1:42" x14ac:dyDescent="0.25">
      <c r="A1188" s="10"/>
      <c r="B1188" s="10"/>
      <c r="C1188" s="10"/>
      <c r="D1188" s="10"/>
      <c r="E1188" s="10"/>
      <c r="F1188" s="10"/>
      <c r="G1188" s="10"/>
      <c r="H1188" s="17"/>
      <c r="I1188" s="10"/>
      <c r="J1188" s="10"/>
      <c r="K1188" s="16" t="str">
        <f t="shared" si="400"/>
        <v/>
      </c>
      <c r="L1188" s="23" t="str">
        <f t="shared" si="401"/>
        <v/>
      </c>
      <c r="M1188" s="22" t="str">
        <f t="shared" si="402"/>
        <v/>
      </c>
      <c r="N1188" s="72"/>
      <c r="O1188" s="16" t="str">
        <f t="shared" si="403"/>
        <v/>
      </c>
      <c r="P1188" s="16" t="str">
        <f t="shared" si="404"/>
        <v/>
      </c>
      <c r="Q1188" s="16" t="str">
        <f t="shared" si="405"/>
        <v/>
      </c>
      <c r="R1188" s="23" t="str">
        <f t="shared" si="406"/>
        <v/>
      </c>
      <c r="S1188" s="23" t="str">
        <f t="shared" si="407"/>
        <v/>
      </c>
      <c r="T1188" s="23" t="str">
        <f t="shared" si="408"/>
        <v/>
      </c>
      <c r="U1188" s="23" t="str">
        <f t="shared" si="409"/>
        <v/>
      </c>
      <c r="V1188" s="23" t="str">
        <f t="shared" si="410"/>
        <v/>
      </c>
      <c r="W1188" s="70" t="str">
        <f t="shared" si="411"/>
        <v/>
      </c>
      <c r="X1188" s="70" t="str">
        <f t="shared" si="412"/>
        <v/>
      </c>
      <c r="Y1188" s="70" t="str">
        <f>IF(AND($A1188&lt;&gt;"",$E1188&gt;0),isLaptopBag($C1188,$J1188)*$D1188,"")</f>
        <v/>
      </c>
      <c r="Z1188" s="70" t="str">
        <f t="shared" si="413"/>
        <v/>
      </c>
      <c r="AA1188" s="70" t="str">
        <f t="shared" si="414"/>
        <v/>
      </c>
      <c r="AB1188" s="70" t="str">
        <f t="shared" si="415"/>
        <v/>
      </c>
      <c r="AC1188" s="70" t="str">
        <f t="shared" si="416"/>
        <v/>
      </c>
      <c r="AD1188" s="70" t="str">
        <f t="shared" si="417"/>
        <v/>
      </c>
      <c r="AE1188" s="70" t="str">
        <f t="shared" si="418"/>
        <v/>
      </c>
      <c r="AF1188" s="16"/>
      <c r="AG1188" s="23"/>
      <c r="AH1188" s="22"/>
      <c r="AJ1188" s="83">
        <f t="shared" si="419"/>
        <v>0</v>
      </c>
      <c r="AO1188" s="22" t="str">
        <f t="shared" si="420"/>
        <v/>
      </c>
      <c r="AP1188" s="22" t="str">
        <f t="shared" si="421"/>
        <v/>
      </c>
    </row>
    <row r="1189" spans="1:42" x14ac:dyDescent="0.25">
      <c r="A1189" s="10"/>
      <c r="B1189" s="10"/>
      <c r="C1189" s="10"/>
      <c r="D1189" s="10"/>
      <c r="E1189" s="10"/>
      <c r="F1189" s="10"/>
      <c r="G1189" s="10"/>
      <c r="H1189" s="17"/>
      <c r="I1189" s="10"/>
      <c r="J1189" s="10"/>
      <c r="K1189" s="16" t="str">
        <f t="shared" si="400"/>
        <v/>
      </c>
      <c r="L1189" s="23" t="str">
        <f t="shared" si="401"/>
        <v/>
      </c>
      <c r="M1189" s="22" t="str">
        <f t="shared" si="402"/>
        <v/>
      </c>
      <c r="N1189" s="72"/>
      <c r="O1189" s="16" t="str">
        <f t="shared" si="403"/>
        <v/>
      </c>
      <c r="P1189" s="16" t="str">
        <f t="shared" si="404"/>
        <v/>
      </c>
      <c r="Q1189" s="16" t="str">
        <f t="shared" si="405"/>
        <v/>
      </c>
      <c r="R1189" s="23" t="str">
        <f t="shared" si="406"/>
        <v/>
      </c>
      <c r="S1189" s="23" t="str">
        <f t="shared" si="407"/>
        <v/>
      </c>
      <c r="T1189" s="23" t="str">
        <f t="shared" si="408"/>
        <v/>
      </c>
      <c r="U1189" s="23" t="str">
        <f t="shared" si="409"/>
        <v/>
      </c>
      <c r="V1189" s="23" t="str">
        <f t="shared" si="410"/>
        <v/>
      </c>
      <c r="W1189" s="70" t="str">
        <f t="shared" si="411"/>
        <v/>
      </c>
      <c r="X1189" s="70" t="str">
        <f t="shared" si="412"/>
        <v/>
      </c>
      <c r="Y1189" s="70" t="str">
        <f>IF(AND($A1189&lt;&gt;"",$E1189&gt;0),isLaptopBag($C1189,$J1189)*$D1189,"")</f>
        <v/>
      </c>
      <c r="Z1189" s="70" t="str">
        <f t="shared" si="413"/>
        <v/>
      </c>
      <c r="AA1189" s="70" t="str">
        <f t="shared" si="414"/>
        <v/>
      </c>
      <c r="AB1189" s="70" t="str">
        <f t="shared" si="415"/>
        <v/>
      </c>
      <c r="AC1189" s="70" t="str">
        <f t="shared" si="416"/>
        <v/>
      </c>
      <c r="AD1189" s="70" t="str">
        <f t="shared" si="417"/>
        <v/>
      </c>
      <c r="AE1189" s="70" t="str">
        <f t="shared" si="418"/>
        <v/>
      </c>
      <c r="AF1189" s="16"/>
      <c r="AG1189" s="23"/>
      <c r="AH1189" s="22"/>
      <c r="AJ1189" s="83">
        <f t="shared" si="419"/>
        <v>0</v>
      </c>
      <c r="AO1189" s="22" t="str">
        <f t="shared" si="420"/>
        <v/>
      </c>
      <c r="AP1189" s="22" t="str">
        <f t="shared" si="421"/>
        <v/>
      </c>
    </row>
    <row r="1190" spans="1:42" x14ac:dyDescent="0.25">
      <c r="A1190" s="10"/>
      <c r="B1190" s="10"/>
      <c r="C1190" s="10"/>
      <c r="D1190" s="10"/>
      <c r="E1190" s="10"/>
      <c r="F1190" s="10"/>
      <c r="G1190" s="10"/>
      <c r="H1190" s="17"/>
      <c r="I1190" s="10"/>
      <c r="J1190" s="10"/>
      <c r="K1190" s="16" t="str">
        <f t="shared" si="400"/>
        <v/>
      </c>
      <c r="L1190" s="23" t="str">
        <f t="shared" si="401"/>
        <v/>
      </c>
      <c r="M1190" s="22" t="str">
        <f t="shared" si="402"/>
        <v/>
      </c>
      <c r="N1190" s="72"/>
      <c r="O1190" s="16" t="str">
        <f t="shared" si="403"/>
        <v/>
      </c>
      <c r="P1190" s="16" t="str">
        <f t="shared" si="404"/>
        <v/>
      </c>
      <c r="Q1190" s="16" t="str">
        <f t="shared" si="405"/>
        <v/>
      </c>
      <c r="R1190" s="23" t="str">
        <f t="shared" si="406"/>
        <v/>
      </c>
      <c r="S1190" s="23" t="str">
        <f t="shared" si="407"/>
        <v/>
      </c>
      <c r="T1190" s="23" t="str">
        <f t="shared" si="408"/>
        <v/>
      </c>
      <c r="U1190" s="23" t="str">
        <f t="shared" si="409"/>
        <v/>
      </c>
      <c r="V1190" s="23" t="str">
        <f t="shared" si="410"/>
        <v/>
      </c>
      <c r="W1190" s="70" t="str">
        <f t="shared" si="411"/>
        <v/>
      </c>
      <c r="X1190" s="70" t="str">
        <f t="shared" si="412"/>
        <v/>
      </c>
      <c r="Y1190" s="70" t="str">
        <f>IF(AND($A1190&lt;&gt;"",$E1190&gt;0),isLaptopBag($C1190,$J1190)*$D1190,"")</f>
        <v/>
      </c>
      <c r="Z1190" s="70" t="str">
        <f t="shared" si="413"/>
        <v/>
      </c>
      <c r="AA1190" s="70" t="str">
        <f t="shared" si="414"/>
        <v/>
      </c>
      <c r="AB1190" s="70" t="str">
        <f t="shared" si="415"/>
        <v/>
      </c>
      <c r="AC1190" s="70" t="str">
        <f t="shared" si="416"/>
        <v/>
      </c>
      <c r="AD1190" s="70" t="str">
        <f t="shared" si="417"/>
        <v/>
      </c>
      <c r="AE1190" s="70" t="str">
        <f t="shared" si="418"/>
        <v/>
      </c>
      <c r="AF1190" s="16"/>
      <c r="AG1190" s="23"/>
      <c r="AH1190" s="22"/>
      <c r="AJ1190" s="83">
        <f t="shared" si="419"/>
        <v>0</v>
      </c>
      <c r="AO1190" s="22" t="str">
        <f t="shared" si="420"/>
        <v/>
      </c>
      <c r="AP1190" s="22" t="str">
        <f t="shared" si="421"/>
        <v/>
      </c>
    </row>
    <row r="1191" spans="1:42" x14ac:dyDescent="0.25">
      <c r="A1191" s="10"/>
      <c r="B1191" s="10"/>
      <c r="C1191" s="10"/>
      <c r="D1191" s="10"/>
      <c r="E1191" s="10"/>
      <c r="F1191" s="10"/>
      <c r="G1191" s="10"/>
      <c r="H1191" s="17"/>
      <c r="I1191" s="10"/>
      <c r="J1191" s="10"/>
      <c r="K1191" s="16" t="str">
        <f t="shared" si="400"/>
        <v/>
      </c>
      <c r="L1191" s="23" t="str">
        <f t="shared" si="401"/>
        <v/>
      </c>
      <c r="M1191" s="22" t="str">
        <f t="shared" si="402"/>
        <v/>
      </c>
      <c r="N1191" s="72"/>
      <c r="O1191" s="16" t="str">
        <f t="shared" si="403"/>
        <v/>
      </c>
      <c r="P1191" s="16" t="str">
        <f t="shared" si="404"/>
        <v/>
      </c>
      <c r="Q1191" s="16" t="str">
        <f t="shared" si="405"/>
        <v/>
      </c>
      <c r="R1191" s="23" t="str">
        <f t="shared" si="406"/>
        <v/>
      </c>
      <c r="S1191" s="23" t="str">
        <f t="shared" si="407"/>
        <v/>
      </c>
      <c r="T1191" s="23" t="str">
        <f t="shared" si="408"/>
        <v/>
      </c>
      <c r="U1191" s="23" t="str">
        <f t="shared" si="409"/>
        <v/>
      </c>
      <c r="V1191" s="23" t="str">
        <f t="shared" si="410"/>
        <v/>
      </c>
      <c r="W1191" s="70" t="str">
        <f t="shared" si="411"/>
        <v/>
      </c>
      <c r="X1191" s="70" t="str">
        <f t="shared" si="412"/>
        <v/>
      </c>
      <c r="Y1191" s="70" t="str">
        <f>IF(AND($A1191&lt;&gt;"",$E1191&gt;0),isLaptopBag($C1191,$J1191)*$D1191,"")</f>
        <v/>
      </c>
      <c r="Z1191" s="70" t="str">
        <f t="shared" si="413"/>
        <v/>
      </c>
      <c r="AA1191" s="70" t="str">
        <f t="shared" si="414"/>
        <v/>
      </c>
      <c r="AB1191" s="70" t="str">
        <f t="shared" si="415"/>
        <v/>
      </c>
      <c r="AC1191" s="70" t="str">
        <f t="shared" si="416"/>
        <v/>
      </c>
      <c r="AD1191" s="70" t="str">
        <f t="shared" si="417"/>
        <v/>
      </c>
      <c r="AE1191" s="70" t="str">
        <f t="shared" si="418"/>
        <v/>
      </c>
      <c r="AF1191" s="16"/>
      <c r="AG1191" s="23"/>
      <c r="AH1191" s="22"/>
      <c r="AJ1191" s="83">
        <f t="shared" si="419"/>
        <v>0</v>
      </c>
      <c r="AO1191" s="22" t="str">
        <f t="shared" si="420"/>
        <v/>
      </c>
      <c r="AP1191" s="22" t="str">
        <f t="shared" si="421"/>
        <v/>
      </c>
    </row>
    <row r="1192" spans="1:42" x14ac:dyDescent="0.25">
      <c r="A1192" s="10"/>
      <c r="B1192" s="10"/>
      <c r="C1192" s="10"/>
      <c r="D1192" s="10"/>
      <c r="E1192" s="10"/>
      <c r="F1192" s="10"/>
      <c r="G1192" s="10"/>
      <c r="H1192" s="17"/>
      <c r="I1192" s="10"/>
      <c r="J1192" s="10"/>
      <c r="K1192" s="16" t="str">
        <f t="shared" si="400"/>
        <v/>
      </c>
      <c r="L1192" s="23" t="str">
        <f t="shared" si="401"/>
        <v/>
      </c>
      <c r="M1192" s="22" t="str">
        <f t="shared" si="402"/>
        <v/>
      </c>
      <c r="N1192" s="72"/>
      <c r="O1192" s="16" t="str">
        <f t="shared" si="403"/>
        <v/>
      </c>
      <c r="P1192" s="16" t="str">
        <f t="shared" si="404"/>
        <v/>
      </c>
      <c r="Q1192" s="16" t="str">
        <f t="shared" si="405"/>
        <v/>
      </c>
      <c r="R1192" s="23" t="str">
        <f t="shared" si="406"/>
        <v/>
      </c>
      <c r="S1192" s="23" t="str">
        <f t="shared" si="407"/>
        <v/>
      </c>
      <c r="T1192" s="23" t="str">
        <f t="shared" si="408"/>
        <v/>
      </c>
      <c r="U1192" s="23" t="str">
        <f t="shared" si="409"/>
        <v/>
      </c>
      <c r="V1192" s="23" t="str">
        <f t="shared" si="410"/>
        <v/>
      </c>
      <c r="W1192" s="70" t="str">
        <f t="shared" si="411"/>
        <v/>
      </c>
      <c r="X1192" s="70" t="str">
        <f t="shared" si="412"/>
        <v/>
      </c>
      <c r="Y1192" s="70" t="str">
        <f>IF(AND($A1192&lt;&gt;"",$E1192&gt;0),isLaptopBag($C1192,$J1192)*$D1192,"")</f>
        <v/>
      </c>
      <c r="Z1192" s="70" t="str">
        <f t="shared" si="413"/>
        <v/>
      </c>
      <c r="AA1192" s="70" t="str">
        <f t="shared" si="414"/>
        <v/>
      </c>
      <c r="AB1192" s="70" t="str">
        <f t="shared" si="415"/>
        <v/>
      </c>
      <c r="AC1192" s="70" t="str">
        <f t="shared" si="416"/>
        <v/>
      </c>
      <c r="AD1192" s="70" t="str">
        <f t="shared" si="417"/>
        <v/>
      </c>
      <c r="AE1192" s="70" t="str">
        <f t="shared" si="418"/>
        <v/>
      </c>
      <c r="AF1192" s="16"/>
      <c r="AG1192" s="23"/>
      <c r="AH1192" s="22"/>
      <c r="AJ1192" s="83">
        <f t="shared" si="419"/>
        <v>0</v>
      </c>
      <c r="AO1192" s="22" t="str">
        <f t="shared" si="420"/>
        <v/>
      </c>
      <c r="AP1192" s="22" t="str">
        <f t="shared" si="421"/>
        <v/>
      </c>
    </row>
    <row r="1193" spans="1:42" x14ac:dyDescent="0.25">
      <c r="A1193" s="10"/>
      <c r="B1193" s="10"/>
      <c r="C1193" s="10"/>
      <c r="D1193" s="10"/>
      <c r="E1193" s="10"/>
      <c r="F1193" s="10"/>
      <c r="G1193" s="10"/>
      <c r="H1193" s="17"/>
      <c r="I1193" s="10"/>
      <c r="J1193" s="10"/>
      <c r="K1193" s="16" t="str">
        <f t="shared" si="400"/>
        <v/>
      </c>
      <c r="L1193" s="23" t="str">
        <f t="shared" si="401"/>
        <v/>
      </c>
      <c r="M1193" s="22" t="str">
        <f t="shared" si="402"/>
        <v/>
      </c>
      <c r="N1193" s="72"/>
      <c r="O1193" s="16" t="str">
        <f t="shared" si="403"/>
        <v/>
      </c>
      <c r="P1193" s="16" t="str">
        <f t="shared" si="404"/>
        <v/>
      </c>
      <c r="Q1193" s="16" t="str">
        <f t="shared" si="405"/>
        <v/>
      </c>
      <c r="R1193" s="23" t="str">
        <f t="shared" si="406"/>
        <v/>
      </c>
      <c r="S1193" s="23" t="str">
        <f t="shared" si="407"/>
        <v/>
      </c>
      <c r="T1193" s="23" t="str">
        <f t="shared" si="408"/>
        <v/>
      </c>
      <c r="U1193" s="23" t="str">
        <f t="shared" si="409"/>
        <v/>
      </c>
      <c r="V1193" s="23" t="str">
        <f t="shared" si="410"/>
        <v/>
      </c>
      <c r="W1193" s="70" t="str">
        <f t="shared" si="411"/>
        <v/>
      </c>
      <c r="X1193" s="70" t="str">
        <f t="shared" si="412"/>
        <v/>
      </c>
      <c r="Y1193" s="70" t="str">
        <f>IF(AND($A1193&lt;&gt;"",$E1193&gt;0),isLaptopBag($C1193,$J1193)*$D1193,"")</f>
        <v/>
      </c>
      <c r="Z1193" s="70" t="str">
        <f t="shared" si="413"/>
        <v/>
      </c>
      <c r="AA1193" s="70" t="str">
        <f t="shared" si="414"/>
        <v/>
      </c>
      <c r="AB1193" s="70" t="str">
        <f t="shared" si="415"/>
        <v/>
      </c>
      <c r="AC1193" s="70" t="str">
        <f t="shared" si="416"/>
        <v/>
      </c>
      <c r="AD1193" s="70" t="str">
        <f t="shared" si="417"/>
        <v/>
      </c>
      <c r="AE1193" s="70" t="str">
        <f t="shared" si="418"/>
        <v/>
      </c>
      <c r="AF1193" s="16"/>
      <c r="AG1193" s="23"/>
      <c r="AH1193" s="22"/>
      <c r="AJ1193" s="83">
        <f t="shared" si="419"/>
        <v>0</v>
      </c>
      <c r="AO1193" s="22" t="str">
        <f t="shared" si="420"/>
        <v/>
      </c>
      <c r="AP1193" s="22" t="str">
        <f t="shared" si="421"/>
        <v/>
      </c>
    </row>
    <row r="1194" spans="1:42" x14ac:dyDescent="0.25">
      <c r="A1194" s="10"/>
      <c r="B1194" s="10"/>
      <c r="C1194" s="10"/>
      <c r="D1194" s="10"/>
      <c r="E1194" s="10"/>
      <c r="F1194" s="10"/>
      <c r="G1194" s="10"/>
      <c r="H1194" s="17"/>
      <c r="I1194" s="10"/>
      <c r="J1194" s="10"/>
      <c r="K1194" s="16" t="str">
        <f t="shared" si="400"/>
        <v/>
      </c>
      <c r="L1194" s="23" t="str">
        <f t="shared" si="401"/>
        <v/>
      </c>
      <c r="M1194" s="22" t="str">
        <f t="shared" si="402"/>
        <v/>
      </c>
      <c r="N1194" s="72"/>
      <c r="O1194" s="16" t="str">
        <f t="shared" si="403"/>
        <v/>
      </c>
      <c r="P1194" s="16" t="str">
        <f t="shared" si="404"/>
        <v/>
      </c>
      <c r="Q1194" s="16" t="str">
        <f t="shared" si="405"/>
        <v/>
      </c>
      <c r="R1194" s="23" t="str">
        <f t="shared" si="406"/>
        <v/>
      </c>
      <c r="S1194" s="23" t="str">
        <f t="shared" si="407"/>
        <v/>
      </c>
      <c r="T1194" s="23" t="str">
        <f t="shared" si="408"/>
        <v/>
      </c>
      <c r="U1194" s="23" t="str">
        <f t="shared" si="409"/>
        <v/>
      </c>
      <c r="V1194" s="23" t="str">
        <f t="shared" si="410"/>
        <v/>
      </c>
      <c r="W1194" s="70" t="str">
        <f t="shared" si="411"/>
        <v/>
      </c>
      <c r="X1194" s="70" t="str">
        <f t="shared" si="412"/>
        <v/>
      </c>
      <c r="Y1194" s="70" t="str">
        <f>IF(AND($A1194&lt;&gt;"",$E1194&gt;0),isLaptopBag($C1194,$J1194)*$D1194,"")</f>
        <v/>
      </c>
      <c r="Z1194" s="70" t="str">
        <f t="shared" si="413"/>
        <v/>
      </c>
      <c r="AA1194" s="70" t="str">
        <f t="shared" si="414"/>
        <v/>
      </c>
      <c r="AB1194" s="70" t="str">
        <f t="shared" si="415"/>
        <v/>
      </c>
      <c r="AC1194" s="70" t="str">
        <f t="shared" si="416"/>
        <v/>
      </c>
      <c r="AD1194" s="70" t="str">
        <f t="shared" si="417"/>
        <v/>
      </c>
      <c r="AE1194" s="70" t="str">
        <f t="shared" si="418"/>
        <v/>
      </c>
      <c r="AF1194" s="16"/>
      <c r="AG1194" s="23"/>
      <c r="AH1194" s="22"/>
      <c r="AJ1194" s="83">
        <f t="shared" si="419"/>
        <v>0</v>
      </c>
      <c r="AO1194" s="22" t="str">
        <f t="shared" si="420"/>
        <v/>
      </c>
      <c r="AP1194" s="22" t="str">
        <f t="shared" si="421"/>
        <v/>
      </c>
    </row>
    <row r="1195" spans="1:42" x14ac:dyDescent="0.25">
      <c r="A1195" s="10"/>
      <c r="B1195" s="10"/>
      <c r="C1195" s="10"/>
      <c r="D1195" s="10"/>
      <c r="E1195" s="10"/>
      <c r="F1195" s="10"/>
      <c r="G1195" s="10"/>
      <c r="H1195" s="17"/>
      <c r="I1195" s="10"/>
      <c r="J1195" s="10"/>
      <c r="K1195" s="16" t="str">
        <f t="shared" si="400"/>
        <v/>
      </c>
      <c r="L1195" s="23" t="str">
        <f t="shared" si="401"/>
        <v/>
      </c>
      <c r="M1195" s="22" t="str">
        <f t="shared" si="402"/>
        <v/>
      </c>
      <c r="N1195" s="72"/>
      <c r="O1195" s="16" t="str">
        <f t="shared" si="403"/>
        <v/>
      </c>
      <c r="P1195" s="16" t="str">
        <f t="shared" si="404"/>
        <v/>
      </c>
      <c r="Q1195" s="16" t="str">
        <f t="shared" si="405"/>
        <v/>
      </c>
      <c r="R1195" s="23" t="str">
        <f t="shared" si="406"/>
        <v/>
      </c>
      <c r="S1195" s="23" t="str">
        <f t="shared" si="407"/>
        <v/>
      </c>
      <c r="T1195" s="23" t="str">
        <f t="shared" si="408"/>
        <v/>
      </c>
      <c r="U1195" s="23" t="str">
        <f t="shared" si="409"/>
        <v/>
      </c>
      <c r="V1195" s="23" t="str">
        <f t="shared" si="410"/>
        <v/>
      </c>
      <c r="W1195" s="70" t="str">
        <f t="shared" si="411"/>
        <v/>
      </c>
      <c r="X1195" s="70" t="str">
        <f t="shared" si="412"/>
        <v/>
      </c>
      <c r="Y1195" s="70" t="str">
        <f>IF(AND($A1195&lt;&gt;"",$E1195&gt;0),isLaptopBag($C1195,$J1195)*$D1195,"")</f>
        <v/>
      </c>
      <c r="Z1195" s="70" t="str">
        <f t="shared" si="413"/>
        <v/>
      </c>
      <c r="AA1195" s="70" t="str">
        <f t="shared" si="414"/>
        <v/>
      </c>
      <c r="AB1195" s="70" t="str">
        <f t="shared" si="415"/>
        <v/>
      </c>
      <c r="AC1195" s="70" t="str">
        <f t="shared" si="416"/>
        <v/>
      </c>
      <c r="AD1195" s="70" t="str">
        <f t="shared" si="417"/>
        <v/>
      </c>
      <c r="AE1195" s="70" t="str">
        <f t="shared" si="418"/>
        <v/>
      </c>
      <c r="AF1195" s="16"/>
      <c r="AG1195" s="23"/>
      <c r="AH1195" s="22"/>
      <c r="AJ1195" s="83">
        <f t="shared" si="419"/>
        <v>0</v>
      </c>
      <c r="AO1195" s="22" t="str">
        <f t="shared" si="420"/>
        <v/>
      </c>
      <c r="AP1195" s="22" t="str">
        <f t="shared" si="421"/>
        <v/>
      </c>
    </row>
    <row r="1196" spans="1:42" x14ac:dyDescent="0.25">
      <c r="A1196" s="10"/>
      <c r="B1196" s="10"/>
      <c r="C1196" s="10"/>
      <c r="D1196" s="10"/>
      <c r="E1196" s="10"/>
      <c r="F1196" s="10"/>
      <c r="G1196" s="10"/>
      <c r="H1196" s="17"/>
      <c r="I1196" s="10"/>
      <c r="J1196" s="10"/>
      <c r="K1196" s="16" t="str">
        <f t="shared" si="400"/>
        <v/>
      </c>
      <c r="L1196" s="23" t="str">
        <f t="shared" si="401"/>
        <v/>
      </c>
      <c r="M1196" s="22" t="str">
        <f t="shared" si="402"/>
        <v/>
      </c>
      <c r="N1196" s="72"/>
      <c r="O1196" s="16" t="str">
        <f t="shared" si="403"/>
        <v/>
      </c>
      <c r="P1196" s="16" t="str">
        <f t="shared" si="404"/>
        <v/>
      </c>
      <c r="Q1196" s="16" t="str">
        <f t="shared" si="405"/>
        <v/>
      </c>
      <c r="R1196" s="23" t="str">
        <f t="shared" si="406"/>
        <v/>
      </c>
      <c r="S1196" s="23" t="str">
        <f t="shared" si="407"/>
        <v/>
      </c>
      <c r="T1196" s="23" t="str">
        <f t="shared" si="408"/>
        <v/>
      </c>
      <c r="U1196" s="23" t="str">
        <f t="shared" si="409"/>
        <v/>
      </c>
      <c r="V1196" s="23" t="str">
        <f t="shared" si="410"/>
        <v/>
      </c>
      <c r="W1196" s="70" t="str">
        <f t="shared" si="411"/>
        <v/>
      </c>
      <c r="X1196" s="70" t="str">
        <f t="shared" si="412"/>
        <v/>
      </c>
      <c r="Y1196" s="70" t="str">
        <f>IF(AND($A1196&lt;&gt;"",$E1196&gt;0),isLaptopBag($C1196,$J1196)*$D1196,"")</f>
        <v/>
      </c>
      <c r="Z1196" s="70" t="str">
        <f t="shared" si="413"/>
        <v/>
      </c>
      <c r="AA1196" s="70" t="str">
        <f t="shared" si="414"/>
        <v/>
      </c>
      <c r="AB1196" s="70" t="str">
        <f t="shared" si="415"/>
        <v/>
      </c>
      <c r="AC1196" s="70" t="str">
        <f t="shared" si="416"/>
        <v/>
      </c>
      <c r="AD1196" s="70" t="str">
        <f t="shared" si="417"/>
        <v/>
      </c>
      <c r="AE1196" s="70" t="str">
        <f t="shared" si="418"/>
        <v/>
      </c>
      <c r="AF1196" s="16"/>
      <c r="AG1196" s="23"/>
      <c r="AH1196" s="22"/>
      <c r="AJ1196" s="83">
        <f t="shared" si="419"/>
        <v>0</v>
      </c>
      <c r="AO1196" s="22" t="str">
        <f t="shared" si="420"/>
        <v/>
      </c>
      <c r="AP1196" s="22" t="str">
        <f t="shared" si="421"/>
        <v/>
      </c>
    </row>
    <row r="1197" spans="1:42" x14ac:dyDescent="0.25">
      <c r="A1197" s="10"/>
      <c r="B1197" s="10"/>
      <c r="C1197" s="10"/>
      <c r="D1197" s="10"/>
      <c r="E1197" s="10"/>
      <c r="F1197" s="10"/>
      <c r="G1197" s="10"/>
      <c r="H1197" s="17"/>
      <c r="I1197" s="10"/>
      <c r="J1197" s="10"/>
      <c r="K1197" s="16" t="str">
        <f t="shared" si="400"/>
        <v/>
      </c>
      <c r="L1197" s="23" t="str">
        <f t="shared" si="401"/>
        <v/>
      </c>
      <c r="M1197" s="22" t="str">
        <f t="shared" si="402"/>
        <v/>
      </c>
      <c r="N1197" s="72"/>
      <c r="O1197" s="16" t="str">
        <f t="shared" si="403"/>
        <v/>
      </c>
      <c r="P1197" s="16" t="str">
        <f t="shared" si="404"/>
        <v/>
      </c>
      <c r="Q1197" s="16" t="str">
        <f t="shared" si="405"/>
        <v/>
      </c>
      <c r="R1197" s="23" t="str">
        <f t="shared" si="406"/>
        <v/>
      </c>
      <c r="S1197" s="23" t="str">
        <f t="shared" si="407"/>
        <v/>
      </c>
      <c r="T1197" s="23" t="str">
        <f t="shared" si="408"/>
        <v/>
      </c>
      <c r="U1197" s="23" t="str">
        <f t="shared" si="409"/>
        <v/>
      </c>
      <c r="V1197" s="23" t="str">
        <f t="shared" si="410"/>
        <v/>
      </c>
      <c r="W1197" s="70" t="str">
        <f t="shared" si="411"/>
        <v/>
      </c>
      <c r="X1197" s="70" t="str">
        <f t="shared" si="412"/>
        <v/>
      </c>
      <c r="Y1197" s="70" t="str">
        <f>IF(AND($A1197&lt;&gt;"",$E1197&gt;0),isLaptopBag($C1197,$J1197)*$D1197,"")</f>
        <v/>
      </c>
      <c r="Z1197" s="70" t="str">
        <f t="shared" si="413"/>
        <v/>
      </c>
      <c r="AA1197" s="70" t="str">
        <f t="shared" si="414"/>
        <v/>
      </c>
      <c r="AB1197" s="70" t="str">
        <f t="shared" si="415"/>
        <v/>
      </c>
      <c r="AC1197" s="70" t="str">
        <f t="shared" si="416"/>
        <v/>
      </c>
      <c r="AD1197" s="70" t="str">
        <f t="shared" si="417"/>
        <v/>
      </c>
      <c r="AE1197" s="70" t="str">
        <f t="shared" si="418"/>
        <v/>
      </c>
      <c r="AF1197" s="16"/>
      <c r="AG1197" s="23"/>
      <c r="AH1197" s="22"/>
      <c r="AJ1197" s="83">
        <f t="shared" si="419"/>
        <v>0</v>
      </c>
      <c r="AO1197" s="22" t="str">
        <f t="shared" si="420"/>
        <v/>
      </c>
      <c r="AP1197" s="22" t="str">
        <f t="shared" si="421"/>
        <v/>
      </c>
    </row>
    <row r="1198" spans="1:42" x14ac:dyDescent="0.25">
      <c r="A1198" s="10"/>
      <c r="B1198" s="10"/>
      <c r="C1198" s="10"/>
      <c r="D1198" s="10"/>
      <c r="E1198" s="10"/>
      <c r="F1198" s="10"/>
      <c r="G1198" s="10"/>
      <c r="H1198" s="17"/>
      <c r="I1198" s="10"/>
      <c r="J1198" s="10"/>
      <c r="K1198" s="16" t="str">
        <f t="shared" si="400"/>
        <v/>
      </c>
      <c r="L1198" s="23" t="str">
        <f t="shared" si="401"/>
        <v/>
      </c>
      <c r="M1198" s="22" t="str">
        <f t="shared" si="402"/>
        <v/>
      </c>
      <c r="N1198" s="72"/>
      <c r="O1198" s="16" t="str">
        <f t="shared" si="403"/>
        <v/>
      </c>
      <c r="P1198" s="16" t="str">
        <f t="shared" si="404"/>
        <v/>
      </c>
      <c r="Q1198" s="16" t="str">
        <f t="shared" si="405"/>
        <v/>
      </c>
      <c r="R1198" s="23" t="str">
        <f t="shared" si="406"/>
        <v/>
      </c>
      <c r="S1198" s="23" t="str">
        <f t="shared" si="407"/>
        <v/>
      </c>
      <c r="T1198" s="23" t="str">
        <f t="shared" si="408"/>
        <v/>
      </c>
      <c r="U1198" s="23" t="str">
        <f t="shared" si="409"/>
        <v/>
      </c>
      <c r="V1198" s="23" t="str">
        <f t="shared" si="410"/>
        <v/>
      </c>
      <c r="W1198" s="70" t="str">
        <f t="shared" si="411"/>
        <v/>
      </c>
      <c r="X1198" s="70" t="str">
        <f t="shared" si="412"/>
        <v/>
      </c>
      <c r="Y1198" s="70" t="str">
        <f>IF(AND($A1198&lt;&gt;"",$E1198&gt;0),isLaptopBag($C1198,$J1198)*$D1198,"")</f>
        <v/>
      </c>
      <c r="Z1198" s="70" t="str">
        <f t="shared" si="413"/>
        <v/>
      </c>
      <c r="AA1198" s="70" t="str">
        <f t="shared" si="414"/>
        <v/>
      </c>
      <c r="AB1198" s="70" t="str">
        <f t="shared" si="415"/>
        <v/>
      </c>
      <c r="AC1198" s="70" t="str">
        <f t="shared" si="416"/>
        <v/>
      </c>
      <c r="AD1198" s="70" t="str">
        <f t="shared" si="417"/>
        <v/>
      </c>
      <c r="AE1198" s="70" t="str">
        <f t="shared" si="418"/>
        <v/>
      </c>
      <c r="AF1198" s="16"/>
      <c r="AG1198" s="23"/>
      <c r="AH1198" s="22"/>
      <c r="AJ1198" s="83">
        <f t="shared" si="419"/>
        <v>0</v>
      </c>
      <c r="AO1198" s="22" t="str">
        <f t="shared" si="420"/>
        <v/>
      </c>
      <c r="AP1198" s="22" t="str">
        <f t="shared" si="421"/>
        <v/>
      </c>
    </row>
    <row r="1199" spans="1:42" x14ac:dyDescent="0.25">
      <c r="A1199" s="10"/>
      <c r="B1199" s="10"/>
      <c r="C1199" s="10"/>
      <c r="D1199" s="10"/>
      <c r="E1199" s="10"/>
      <c r="F1199" s="10"/>
      <c r="G1199" s="10"/>
      <c r="H1199" s="17"/>
      <c r="I1199" s="10"/>
      <c r="J1199" s="10"/>
      <c r="K1199" s="16" t="str">
        <f t="shared" si="400"/>
        <v/>
      </c>
      <c r="L1199" s="23" t="str">
        <f t="shared" si="401"/>
        <v/>
      </c>
      <c r="M1199" s="22" t="str">
        <f t="shared" si="402"/>
        <v/>
      </c>
      <c r="N1199" s="72"/>
      <c r="O1199" s="16" t="str">
        <f t="shared" si="403"/>
        <v/>
      </c>
      <c r="P1199" s="16" t="str">
        <f t="shared" si="404"/>
        <v/>
      </c>
      <c r="Q1199" s="16" t="str">
        <f t="shared" si="405"/>
        <v/>
      </c>
      <c r="R1199" s="23" t="str">
        <f t="shared" si="406"/>
        <v/>
      </c>
      <c r="S1199" s="23" t="str">
        <f t="shared" si="407"/>
        <v/>
      </c>
      <c r="T1199" s="23" t="str">
        <f t="shared" si="408"/>
        <v/>
      </c>
      <c r="U1199" s="23" t="str">
        <f t="shared" si="409"/>
        <v/>
      </c>
      <c r="V1199" s="23" t="str">
        <f t="shared" si="410"/>
        <v/>
      </c>
      <c r="W1199" s="70" t="str">
        <f t="shared" si="411"/>
        <v/>
      </c>
      <c r="X1199" s="70" t="str">
        <f t="shared" si="412"/>
        <v/>
      </c>
      <c r="Y1199" s="70" t="str">
        <f>IF(AND($A1199&lt;&gt;"",$E1199&gt;0),isLaptopBag($C1199,$J1199)*$D1199,"")</f>
        <v/>
      </c>
      <c r="Z1199" s="70" t="str">
        <f t="shared" si="413"/>
        <v/>
      </c>
      <c r="AA1199" s="70" t="str">
        <f t="shared" si="414"/>
        <v/>
      </c>
      <c r="AB1199" s="70" t="str">
        <f t="shared" si="415"/>
        <v/>
      </c>
      <c r="AC1199" s="70" t="str">
        <f t="shared" si="416"/>
        <v/>
      </c>
      <c r="AD1199" s="70" t="str">
        <f t="shared" si="417"/>
        <v/>
      </c>
      <c r="AE1199" s="70" t="str">
        <f t="shared" si="418"/>
        <v/>
      </c>
      <c r="AF1199" s="16"/>
      <c r="AG1199" s="23"/>
      <c r="AH1199" s="22"/>
      <c r="AJ1199" s="83">
        <f t="shared" si="419"/>
        <v>0</v>
      </c>
      <c r="AO1199" s="22" t="str">
        <f t="shared" si="420"/>
        <v/>
      </c>
      <c r="AP1199" s="22" t="str">
        <f t="shared" si="421"/>
        <v/>
      </c>
    </row>
    <row r="1200" spans="1:42" x14ac:dyDescent="0.25">
      <c r="A1200" s="10"/>
      <c r="B1200" s="10"/>
      <c r="C1200" s="10"/>
      <c r="D1200" s="10"/>
      <c r="E1200" s="10"/>
      <c r="F1200" s="10"/>
      <c r="G1200" s="10"/>
      <c r="H1200" s="17"/>
      <c r="I1200" s="10"/>
      <c r="J1200" s="10"/>
      <c r="K1200" s="16" t="str">
        <f t="shared" si="400"/>
        <v/>
      </c>
      <c r="L1200" s="23" t="str">
        <f t="shared" si="401"/>
        <v/>
      </c>
      <c r="M1200" s="22" t="str">
        <f t="shared" si="402"/>
        <v/>
      </c>
      <c r="N1200" s="72"/>
      <c r="O1200" s="16" t="str">
        <f t="shared" si="403"/>
        <v/>
      </c>
      <c r="P1200" s="16" t="str">
        <f t="shared" si="404"/>
        <v/>
      </c>
      <c r="Q1200" s="16" t="str">
        <f t="shared" si="405"/>
        <v/>
      </c>
      <c r="R1200" s="23" t="str">
        <f t="shared" si="406"/>
        <v/>
      </c>
      <c r="S1200" s="23" t="str">
        <f t="shared" si="407"/>
        <v/>
      </c>
      <c r="T1200" s="23" t="str">
        <f t="shared" si="408"/>
        <v/>
      </c>
      <c r="U1200" s="23" t="str">
        <f t="shared" si="409"/>
        <v/>
      </c>
      <c r="V1200" s="23" t="str">
        <f t="shared" si="410"/>
        <v/>
      </c>
      <c r="W1200" s="70" t="str">
        <f t="shared" si="411"/>
        <v/>
      </c>
      <c r="X1200" s="70" t="str">
        <f t="shared" si="412"/>
        <v/>
      </c>
      <c r="Y1200" s="70" t="str">
        <f>IF(AND($A1200&lt;&gt;"",$E1200&gt;0),isLaptopBag($C1200,$J1200)*$D1200,"")</f>
        <v/>
      </c>
      <c r="Z1200" s="70" t="str">
        <f t="shared" si="413"/>
        <v/>
      </c>
      <c r="AA1200" s="70" t="str">
        <f t="shared" si="414"/>
        <v/>
      </c>
      <c r="AB1200" s="70" t="str">
        <f t="shared" si="415"/>
        <v/>
      </c>
      <c r="AC1200" s="70" t="str">
        <f t="shared" si="416"/>
        <v/>
      </c>
      <c r="AD1200" s="70" t="str">
        <f t="shared" si="417"/>
        <v/>
      </c>
      <c r="AE1200" s="70" t="str">
        <f t="shared" si="418"/>
        <v/>
      </c>
      <c r="AF1200" s="16"/>
      <c r="AG1200" s="23"/>
      <c r="AH1200" s="22"/>
      <c r="AJ1200" s="83">
        <f t="shared" si="419"/>
        <v>0</v>
      </c>
      <c r="AO1200" s="22" t="str">
        <f t="shared" si="420"/>
        <v/>
      </c>
      <c r="AP1200" s="22" t="str">
        <f t="shared" si="421"/>
        <v/>
      </c>
    </row>
    <row r="1201" spans="1:42" x14ac:dyDescent="0.25">
      <c r="A1201" s="10"/>
      <c r="B1201" s="10"/>
      <c r="C1201" s="10"/>
      <c r="D1201" s="10"/>
      <c r="E1201" s="10"/>
      <c r="F1201" s="10"/>
      <c r="G1201" s="10"/>
      <c r="H1201" s="17"/>
      <c r="I1201" s="10"/>
      <c r="J1201" s="10"/>
      <c r="K1201" s="16" t="str">
        <f t="shared" si="400"/>
        <v/>
      </c>
      <c r="L1201" s="23" t="str">
        <f t="shared" si="401"/>
        <v/>
      </c>
      <c r="M1201" s="22" t="str">
        <f t="shared" si="402"/>
        <v/>
      </c>
      <c r="N1201" s="72"/>
      <c r="O1201" s="16" t="str">
        <f t="shared" si="403"/>
        <v/>
      </c>
      <c r="P1201" s="16" t="str">
        <f t="shared" si="404"/>
        <v/>
      </c>
      <c r="Q1201" s="16" t="str">
        <f t="shared" si="405"/>
        <v/>
      </c>
      <c r="R1201" s="23" t="str">
        <f t="shared" si="406"/>
        <v/>
      </c>
      <c r="S1201" s="23" t="str">
        <f t="shared" si="407"/>
        <v/>
      </c>
      <c r="T1201" s="23" t="str">
        <f t="shared" si="408"/>
        <v/>
      </c>
      <c r="U1201" s="23" t="str">
        <f t="shared" si="409"/>
        <v/>
      </c>
      <c r="V1201" s="23" t="str">
        <f t="shared" si="410"/>
        <v/>
      </c>
      <c r="W1201" s="70" t="str">
        <f t="shared" si="411"/>
        <v/>
      </c>
      <c r="X1201" s="70" t="str">
        <f t="shared" si="412"/>
        <v/>
      </c>
      <c r="Y1201" s="70" t="str">
        <f>IF(AND($A1201&lt;&gt;"",$E1201&gt;0),isLaptopBag($C1201,$J1201)*$D1201,"")</f>
        <v/>
      </c>
      <c r="Z1201" s="70" t="str">
        <f t="shared" si="413"/>
        <v/>
      </c>
      <c r="AA1201" s="70" t="str">
        <f t="shared" si="414"/>
        <v/>
      </c>
      <c r="AB1201" s="70" t="str">
        <f t="shared" si="415"/>
        <v/>
      </c>
      <c r="AC1201" s="70" t="str">
        <f t="shared" si="416"/>
        <v/>
      </c>
      <c r="AD1201" s="70" t="str">
        <f t="shared" si="417"/>
        <v/>
      </c>
      <c r="AE1201" s="70" t="str">
        <f t="shared" si="418"/>
        <v/>
      </c>
      <c r="AF1201" s="16"/>
      <c r="AG1201" s="23"/>
      <c r="AH1201" s="22"/>
      <c r="AJ1201" s="83">
        <f t="shared" si="419"/>
        <v>0</v>
      </c>
      <c r="AO1201" s="22" t="str">
        <f t="shared" si="420"/>
        <v/>
      </c>
      <c r="AP1201" s="22" t="str">
        <f t="shared" si="421"/>
        <v/>
      </c>
    </row>
    <row r="1202" spans="1:42" x14ac:dyDescent="0.25">
      <c r="A1202" s="10"/>
      <c r="B1202" s="10"/>
      <c r="C1202" s="10"/>
      <c r="D1202" s="10"/>
      <c r="E1202" s="10"/>
      <c r="F1202" s="10"/>
      <c r="G1202" s="10"/>
      <c r="H1202" s="17"/>
      <c r="I1202" s="10"/>
      <c r="J1202" s="10"/>
      <c r="K1202" s="16" t="str">
        <f t="shared" si="400"/>
        <v/>
      </c>
      <c r="L1202" s="23" t="str">
        <f t="shared" si="401"/>
        <v/>
      </c>
      <c r="M1202" s="22" t="str">
        <f t="shared" si="402"/>
        <v/>
      </c>
      <c r="N1202" s="72"/>
      <c r="O1202" s="16" t="str">
        <f t="shared" si="403"/>
        <v/>
      </c>
      <c r="P1202" s="16" t="str">
        <f t="shared" si="404"/>
        <v/>
      </c>
      <c r="Q1202" s="16" t="str">
        <f t="shared" si="405"/>
        <v/>
      </c>
      <c r="R1202" s="23" t="str">
        <f t="shared" si="406"/>
        <v/>
      </c>
      <c r="S1202" s="23" t="str">
        <f t="shared" si="407"/>
        <v/>
      </c>
      <c r="T1202" s="23" t="str">
        <f t="shared" si="408"/>
        <v/>
      </c>
      <c r="U1202" s="23" t="str">
        <f t="shared" si="409"/>
        <v/>
      </c>
      <c r="V1202" s="23" t="str">
        <f t="shared" si="410"/>
        <v/>
      </c>
      <c r="W1202" s="70" t="str">
        <f t="shared" si="411"/>
        <v/>
      </c>
      <c r="X1202" s="70" t="str">
        <f t="shared" si="412"/>
        <v/>
      </c>
      <c r="Y1202" s="70" t="str">
        <f>IF(AND($A1202&lt;&gt;"",$E1202&gt;0),isLaptopBag($C1202,$J1202)*$D1202,"")</f>
        <v/>
      </c>
      <c r="Z1202" s="70" t="str">
        <f t="shared" si="413"/>
        <v/>
      </c>
      <c r="AA1202" s="70" t="str">
        <f t="shared" si="414"/>
        <v/>
      </c>
      <c r="AB1202" s="70" t="str">
        <f t="shared" si="415"/>
        <v/>
      </c>
      <c r="AC1202" s="70" t="str">
        <f t="shared" si="416"/>
        <v/>
      </c>
      <c r="AD1202" s="70" t="str">
        <f t="shared" si="417"/>
        <v/>
      </c>
      <c r="AE1202" s="70" t="str">
        <f t="shared" si="418"/>
        <v/>
      </c>
      <c r="AF1202" s="16"/>
      <c r="AG1202" s="23"/>
      <c r="AH1202" s="22"/>
      <c r="AJ1202" s="83">
        <f t="shared" si="419"/>
        <v>0</v>
      </c>
      <c r="AO1202" s="22" t="str">
        <f t="shared" si="420"/>
        <v/>
      </c>
      <c r="AP1202" s="22" t="str">
        <f t="shared" si="421"/>
        <v/>
      </c>
    </row>
    <row r="1203" spans="1:42" x14ac:dyDescent="0.25">
      <c r="A1203" s="10"/>
      <c r="B1203" s="10"/>
      <c r="C1203" s="10"/>
      <c r="D1203" s="10"/>
      <c r="E1203" s="10"/>
      <c r="F1203" s="10"/>
      <c r="G1203" s="10"/>
      <c r="H1203" s="17"/>
      <c r="I1203" s="10"/>
      <c r="J1203" s="10"/>
      <c r="K1203" s="16" t="str">
        <f t="shared" si="400"/>
        <v/>
      </c>
      <c r="L1203" s="23" t="str">
        <f t="shared" si="401"/>
        <v/>
      </c>
      <c r="M1203" s="22" t="str">
        <f t="shared" si="402"/>
        <v/>
      </c>
      <c r="N1203" s="72"/>
      <c r="O1203" s="16" t="str">
        <f t="shared" si="403"/>
        <v/>
      </c>
      <c r="P1203" s="16" t="str">
        <f t="shared" si="404"/>
        <v/>
      </c>
      <c r="Q1203" s="16" t="str">
        <f t="shared" si="405"/>
        <v/>
      </c>
      <c r="R1203" s="23" t="str">
        <f t="shared" si="406"/>
        <v/>
      </c>
      <c r="S1203" s="23" t="str">
        <f t="shared" si="407"/>
        <v/>
      </c>
      <c r="T1203" s="23" t="str">
        <f t="shared" si="408"/>
        <v/>
      </c>
      <c r="U1203" s="23" t="str">
        <f t="shared" si="409"/>
        <v/>
      </c>
      <c r="V1203" s="23" t="str">
        <f t="shared" si="410"/>
        <v/>
      </c>
      <c r="W1203" s="70" t="str">
        <f t="shared" si="411"/>
        <v/>
      </c>
      <c r="X1203" s="70" t="str">
        <f t="shared" si="412"/>
        <v/>
      </c>
      <c r="Y1203" s="70" t="str">
        <f>IF(AND($A1203&lt;&gt;"",$E1203&gt;0),isLaptopBag($C1203,$J1203)*$D1203,"")</f>
        <v/>
      </c>
      <c r="Z1203" s="70" t="str">
        <f t="shared" si="413"/>
        <v/>
      </c>
      <c r="AA1203" s="70" t="str">
        <f t="shared" si="414"/>
        <v/>
      </c>
      <c r="AB1203" s="70" t="str">
        <f t="shared" si="415"/>
        <v/>
      </c>
      <c r="AC1203" s="70" t="str">
        <f t="shared" si="416"/>
        <v/>
      </c>
      <c r="AD1203" s="70" t="str">
        <f t="shared" si="417"/>
        <v/>
      </c>
      <c r="AE1203" s="70" t="str">
        <f t="shared" si="418"/>
        <v/>
      </c>
      <c r="AF1203" s="16"/>
      <c r="AG1203" s="23"/>
      <c r="AH1203" s="22"/>
      <c r="AJ1203" s="83">
        <f t="shared" si="419"/>
        <v>0</v>
      </c>
      <c r="AO1203" s="22" t="str">
        <f t="shared" si="420"/>
        <v/>
      </c>
      <c r="AP1203" s="22" t="str">
        <f t="shared" si="421"/>
        <v/>
      </c>
    </row>
    <row r="1204" spans="1:42" x14ac:dyDescent="0.25">
      <c r="A1204" s="10"/>
      <c r="B1204" s="10"/>
      <c r="C1204" s="10"/>
      <c r="D1204" s="10"/>
      <c r="E1204" s="10"/>
      <c r="F1204" s="10"/>
      <c r="G1204" s="10"/>
      <c r="H1204" s="17"/>
      <c r="I1204" s="10"/>
      <c r="J1204" s="10"/>
      <c r="K1204" s="16" t="str">
        <f t="shared" si="400"/>
        <v/>
      </c>
      <c r="L1204" s="23" t="str">
        <f t="shared" si="401"/>
        <v/>
      </c>
      <c r="M1204" s="22" t="str">
        <f t="shared" si="402"/>
        <v/>
      </c>
      <c r="N1204" s="72"/>
      <c r="O1204" s="16" t="str">
        <f t="shared" si="403"/>
        <v/>
      </c>
      <c r="P1204" s="16" t="str">
        <f t="shared" si="404"/>
        <v/>
      </c>
      <c r="Q1204" s="16" t="str">
        <f t="shared" si="405"/>
        <v/>
      </c>
      <c r="R1204" s="23" t="str">
        <f t="shared" si="406"/>
        <v/>
      </c>
      <c r="S1204" s="23" t="str">
        <f t="shared" si="407"/>
        <v/>
      </c>
      <c r="T1204" s="23" t="str">
        <f t="shared" si="408"/>
        <v/>
      </c>
      <c r="U1204" s="23" t="str">
        <f t="shared" si="409"/>
        <v/>
      </c>
      <c r="V1204" s="23" t="str">
        <f t="shared" si="410"/>
        <v/>
      </c>
      <c r="W1204" s="70" t="str">
        <f t="shared" si="411"/>
        <v/>
      </c>
      <c r="X1204" s="70" t="str">
        <f t="shared" si="412"/>
        <v/>
      </c>
      <c r="Y1204" s="70" t="str">
        <f>IF(AND($A1204&lt;&gt;"",$E1204&gt;0),isLaptopBag($C1204,$J1204)*$D1204,"")</f>
        <v/>
      </c>
      <c r="Z1204" s="70" t="str">
        <f t="shared" si="413"/>
        <v/>
      </c>
      <c r="AA1204" s="70" t="str">
        <f t="shared" si="414"/>
        <v/>
      </c>
      <c r="AB1204" s="70" t="str">
        <f t="shared" si="415"/>
        <v/>
      </c>
      <c r="AC1204" s="70" t="str">
        <f t="shared" si="416"/>
        <v/>
      </c>
      <c r="AD1204" s="70" t="str">
        <f t="shared" si="417"/>
        <v/>
      </c>
      <c r="AE1204" s="70" t="str">
        <f t="shared" si="418"/>
        <v/>
      </c>
      <c r="AF1204" s="16"/>
      <c r="AG1204" s="23"/>
      <c r="AH1204" s="22"/>
      <c r="AJ1204" s="83">
        <f t="shared" si="419"/>
        <v>0</v>
      </c>
      <c r="AO1204" s="22" t="str">
        <f t="shared" si="420"/>
        <v/>
      </c>
      <c r="AP1204" s="22" t="str">
        <f t="shared" si="421"/>
        <v/>
      </c>
    </row>
    <row r="1205" spans="1:42" x14ac:dyDescent="0.25">
      <c r="A1205" s="10"/>
      <c r="B1205" s="10"/>
      <c r="C1205" s="10"/>
      <c r="D1205" s="10"/>
      <c r="E1205" s="10"/>
      <c r="F1205" s="10"/>
      <c r="G1205" s="10"/>
      <c r="H1205" s="17"/>
      <c r="I1205" s="10"/>
      <c r="J1205" s="10"/>
      <c r="K1205" s="16" t="str">
        <f t="shared" si="400"/>
        <v/>
      </c>
      <c r="L1205" s="23" t="str">
        <f t="shared" si="401"/>
        <v/>
      </c>
      <c r="M1205" s="22" t="str">
        <f t="shared" si="402"/>
        <v/>
      </c>
      <c r="N1205" s="72"/>
      <c r="O1205" s="16" t="str">
        <f t="shared" si="403"/>
        <v/>
      </c>
      <c r="P1205" s="16" t="str">
        <f t="shared" si="404"/>
        <v/>
      </c>
      <c r="Q1205" s="16" t="str">
        <f t="shared" si="405"/>
        <v/>
      </c>
      <c r="R1205" s="23" t="str">
        <f t="shared" si="406"/>
        <v/>
      </c>
      <c r="S1205" s="23" t="str">
        <f t="shared" si="407"/>
        <v/>
      </c>
      <c r="T1205" s="23" t="str">
        <f t="shared" si="408"/>
        <v/>
      </c>
      <c r="U1205" s="23" t="str">
        <f t="shared" si="409"/>
        <v/>
      </c>
      <c r="V1205" s="23" t="str">
        <f t="shared" si="410"/>
        <v/>
      </c>
      <c r="W1205" s="70" t="str">
        <f t="shared" si="411"/>
        <v/>
      </c>
      <c r="X1205" s="70" t="str">
        <f t="shared" si="412"/>
        <v/>
      </c>
      <c r="Y1205" s="70" t="str">
        <f>IF(AND($A1205&lt;&gt;"",$E1205&gt;0),isLaptopBag($C1205,$J1205)*$D1205,"")</f>
        <v/>
      </c>
      <c r="Z1205" s="70" t="str">
        <f t="shared" si="413"/>
        <v/>
      </c>
      <c r="AA1205" s="70" t="str">
        <f t="shared" si="414"/>
        <v/>
      </c>
      <c r="AB1205" s="70" t="str">
        <f t="shared" si="415"/>
        <v/>
      </c>
      <c r="AC1205" s="70" t="str">
        <f t="shared" si="416"/>
        <v/>
      </c>
      <c r="AD1205" s="70" t="str">
        <f t="shared" si="417"/>
        <v/>
      </c>
      <c r="AE1205" s="70" t="str">
        <f t="shared" si="418"/>
        <v/>
      </c>
      <c r="AF1205" s="16"/>
      <c r="AG1205" s="23"/>
      <c r="AH1205" s="22"/>
      <c r="AJ1205" s="83">
        <f t="shared" si="419"/>
        <v>0</v>
      </c>
      <c r="AO1205" s="22" t="str">
        <f t="shared" si="420"/>
        <v/>
      </c>
      <c r="AP1205" s="22" t="str">
        <f t="shared" si="421"/>
        <v/>
      </c>
    </row>
    <row r="1206" spans="1:42" x14ac:dyDescent="0.25">
      <c r="A1206" s="10"/>
      <c r="B1206" s="10"/>
      <c r="C1206" s="10"/>
      <c r="D1206" s="10"/>
      <c r="E1206" s="10"/>
      <c r="F1206" s="10"/>
      <c r="G1206" s="10"/>
      <c r="H1206" s="17"/>
      <c r="I1206" s="10"/>
      <c r="J1206" s="10"/>
      <c r="K1206" s="16" t="str">
        <f t="shared" si="400"/>
        <v/>
      </c>
      <c r="L1206" s="23" t="str">
        <f t="shared" si="401"/>
        <v/>
      </c>
      <c r="M1206" s="22" t="str">
        <f t="shared" si="402"/>
        <v/>
      </c>
      <c r="N1206" s="72"/>
      <c r="O1206" s="16" t="str">
        <f t="shared" si="403"/>
        <v/>
      </c>
      <c r="P1206" s="16" t="str">
        <f t="shared" si="404"/>
        <v/>
      </c>
      <c r="Q1206" s="16" t="str">
        <f t="shared" si="405"/>
        <v/>
      </c>
      <c r="R1206" s="23" t="str">
        <f t="shared" si="406"/>
        <v/>
      </c>
      <c r="S1206" s="23" t="str">
        <f t="shared" si="407"/>
        <v/>
      </c>
      <c r="T1206" s="23" t="str">
        <f t="shared" si="408"/>
        <v/>
      </c>
      <c r="U1206" s="23" t="str">
        <f t="shared" si="409"/>
        <v/>
      </c>
      <c r="V1206" s="23" t="str">
        <f t="shared" si="410"/>
        <v/>
      </c>
      <c r="W1206" s="70" t="str">
        <f t="shared" si="411"/>
        <v/>
      </c>
      <c r="X1206" s="70" t="str">
        <f t="shared" si="412"/>
        <v/>
      </c>
      <c r="Y1206" s="70" t="str">
        <f>IF(AND($A1206&lt;&gt;"",$E1206&gt;0),isLaptopBag($C1206,$J1206)*$D1206,"")</f>
        <v/>
      </c>
      <c r="Z1206" s="70" t="str">
        <f t="shared" si="413"/>
        <v/>
      </c>
      <c r="AA1206" s="70" t="str">
        <f t="shared" si="414"/>
        <v/>
      </c>
      <c r="AB1206" s="70" t="str">
        <f t="shared" si="415"/>
        <v/>
      </c>
      <c r="AC1206" s="70" t="str">
        <f t="shared" si="416"/>
        <v/>
      </c>
      <c r="AD1206" s="70" t="str">
        <f t="shared" si="417"/>
        <v/>
      </c>
      <c r="AE1206" s="70" t="str">
        <f t="shared" si="418"/>
        <v/>
      </c>
      <c r="AF1206" s="16"/>
      <c r="AG1206" s="23"/>
      <c r="AH1206" s="22"/>
      <c r="AJ1206" s="83">
        <f t="shared" si="419"/>
        <v>0</v>
      </c>
      <c r="AO1206" s="22" t="str">
        <f t="shared" si="420"/>
        <v/>
      </c>
      <c r="AP1206" s="22" t="str">
        <f t="shared" si="421"/>
        <v/>
      </c>
    </row>
    <row r="1207" spans="1:42" x14ac:dyDescent="0.25">
      <c r="A1207" s="10"/>
      <c r="B1207" s="10"/>
      <c r="C1207" s="10"/>
      <c r="D1207" s="10"/>
      <c r="E1207" s="10"/>
      <c r="F1207" s="10"/>
      <c r="G1207" s="10"/>
      <c r="H1207" s="17"/>
      <c r="I1207" s="10"/>
      <c r="J1207" s="10"/>
      <c r="K1207" s="16" t="str">
        <f t="shared" si="400"/>
        <v/>
      </c>
      <c r="L1207" s="23" t="str">
        <f t="shared" si="401"/>
        <v/>
      </c>
      <c r="M1207" s="22" t="str">
        <f t="shared" si="402"/>
        <v/>
      </c>
      <c r="N1207" s="72"/>
      <c r="O1207" s="16" t="str">
        <f t="shared" si="403"/>
        <v/>
      </c>
      <c r="P1207" s="16" t="str">
        <f t="shared" si="404"/>
        <v/>
      </c>
      <c r="Q1207" s="16" t="str">
        <f t="shared" si="405"/>
        <v/>
      </c>
      <c r="R1207" s="23" t="str">
        <f t="shared" si="406"/>
        <v/>
      </c>
      <c r="S1207" s="23" t="str">
        <f t="shared" si="407"/>
        <v/>
      </c>
      <c r="T1207" s="23" t="str">
        <f t="shared" si="408"/>
        <v/>
      </c>
      <c r="U1207" s="23" t="str">
        <f t="shared" si="409"/>
        <v/>
      </c>
      <c r="V1207" s="23" t="str">
        <f t="shared" si="410"/>
        <v/>
      </c>
      <c r="W1207" s="70" t="str">
        <f t="shared" si="411"/>
        <v/>
      </c>
      <c r="X1207" s="70" t="str">
        <f t="shared" si="412"/>
        <v/>
      </c>
      <c r="Y1207" s="70" t="str">
        <f>IF(AND($A1207&lt;&gt;"",$E1207&gt;0),isLaptopBag($C1207,$J1207)*$D1207,"")</f>
        <v/>
      </c>
      <c r="Z1207" s="70" t="str">
        <f t="shared" si="413"/>
        <v/>
      </c>
      <c r="AA1207" s="70" t="str">
        <f t="shared" si="414"/>
        <v/>
      </c>
      <c r="AB1207" s="70" t="str">
        <f t="shared" si="415"/>
        <v/>
      </c>
      <c r="AC1207" s="70" t="str">
        <f t="shared" si="416"/>
        <v/>
      </c>
      <c r="AD1207" s="70" t="str">
        <f t="shared" si="417"/>
        <v/>
      </c>
      <c r="AE1207" s="70" t="str">
        <f t="shared" si="418"/>
        <v/>
      </c>
      <c r="AF1207" s="16"/>
      <c r="AG1207" s="23"/>
      <c r="AH1207" s="22"/>
      <c r="AJ1207" s="83">
        <f t="shared" si="419"/>
        <v>0</v>
      </c>
      <c r="AO1207" s="22" t="str">
        <f t="shared" si="420"/>
        <v/>
      </c>
      <c r="AP1207" s="22" t="str">
        <f t="shared" si="421"/>
        <v/>
      </c>
    </row>
    <row r="1208" spans="1:42" x14ac:dyDescent="0.25">
      <c r="A1208" s="10"/>
      <c r="B1208" s="10"/>
      <c r="C1208" s="10"/>
      <c r="D1208" s="10"/>
      <c r="E1208" s="10"/>
      <c r="F1208" s="10"/>
      <c r="G1208" s="10"/>
      <c r="H1208" s="17"/>
      <c r="I1208" s="10"/>
      <c r="J1208" s="10"/>
      <c r="K1208" s="16" t="str">
        <f t="shared" si="400"/>
        <v/>
      </c>
      <c r="L1208" s="23" t="str">
        <f t="shared" si="401"/>
        <v/>
      </c>
      <c r="M1208" s="22" t="str">
        <f t="shared" si="402"/>
        <v/>
      </c>
      <c r="N1208" s="72"/>
      <c r="O1208" s="16" t="str">
        <f t="shared" si="403"/>
        <v/>
      </c>
      <c r="P1208" s="16" t="str">
        <f t="shared" si="404"/>
        <v/>
      </c>
      <c r="Q1208" s="16" t="str">
        <f t="shared" si="405"/>
        <v/>
      </c>
      <c r="R1208" s="23" t="str">
        <f t="shared" si="406"/>
        <v/>
      </c>
      <c r="S1208" s="23" t="str">
        <f t="shared" si="407"/>
        <v/>
      </c>
      <c r="T1208" s="23" t="str">
        <f t="shared" si="408"/>
        <v/>
      </c>
      <c r="U1208" s="23" t="str">
        <f t="shared" si="409"/>
        <v/>
      </c>
      <c r="V1208" s="23" t="str">
        <f t="shared" si="410"/>
        <v/>
      </c>
      <c r="W1208" s="70" t="str">
        <f t="shared" si="411"/>
        <v/>
      </c>
      <c r="X1208" s="70" t="str">
        <f t="shared" si="412"/>
        <v/>
      </c>
      <c r="Y1208" s="70" t="str">
        <f>IF(AND($A1208&lt;&gt;"",$E1208&gt;0),isLaptopBag($C1208,$J1208)*$D1208,"")</f>
        <v/>
      </c>
      <c r="Z1208" s="70" t="str">
        <f t="shared" si="413"/>
        <v/>
      </c>
      <c r="AA1208" s="70" t="str">
        <f t="shared" si="414"/>
        <v/>
      </c>
      <c r="AB1208" s="70" t="str">
        <f t="shared" si="415"/>
        <v/>
      </c>
      <c r="AC1208" s="70" t="str">
        <f t="shared" si="416"/>
        <v/>
      </c>
      <c r="AD1208" s="70" t="str">
        <f t="shared" si="417"/>
        <v/>
      </c>
      <c r="AE1208" s="70" t="str">
        <f t="shared" si="418"/>
        <v/>
      </c>
      <c r="AF1208" s="16"/>
      <c r="AG1208" s="23"/>
      <c r="AH1208" s="22"/>
      <c r="AJ1208" s="83">
        <f t="shared" si="419"/>
        <v>0</v>
      </c>
      <c r="AO1208" s="22" t="str">
        <f t="shared" si="420"/>
        <v/>
      </c>
      <c r="AP1208" s="22" t="str">
        <f t="shared" si="421"/>
        <v/>
      </c>
    </row>
    <row r="1209" spans="1:42" x14ac:dyDescent="0.25">
      <c r="A1209" s="10"/>
      <c r="B1209" s="10"/>
      <c r="C1209" s="10"/>
      <c r="D1209" s="10"/>
      <c r="E1209" s="10"/>
      <c r="F1209" s="10"/>
      <c r="G1209" s="10"/>
      <c r="H1209" s="17"/>
      <c r="I1209" s="10"/>
      <c r="J1209" s="10"/>
      <c r="K1209" s="16" t="str">
        <f t="shared" si="400"/>
        <v/>
      </c>
      <c r="L1209" s="23" t="str">
        <f t="shared" si="401"/>
        <v/>
      </c>
      <c r="M1209" s="22" t="str">
        <f t="shared" si="402"/>
        <v/>
      </c>
      <c r="N1209" s="72"/>
      <c r="O1209" s="16" t="str">
        <f t="shared" si="403"/>
        <v/>
      </c>
      <c r="P1209" s="16" t="str">
        <f t="shared" si="404"/>
        <v/>
      </c>
      <c r="Q1209" s="16" t="str">
        <f t="shared" si="405"/>
        <v/>
      </c>
      <c r="R1209" s="23" t="str">
        <f t="shared" si="406"/>
        <v/>
      </c>
      <c r="S1209" s="23" t="str">
        <f t="shared" si="407"/>
        <v/>
      </c>
      <c r="T1209" s="23" t="str">
        <f t="shared" si="408"/>
        <v/>
      </c>
      <c r="U1209" s="23" t="str">
        <f t="shared" si="409"/>
        <v/>
      </c>
      <c r="V1209" s="23" t="str">
        <f t="shared" si="410"/>
        <v/>
      </c>
      <c r="W1209" s="70" t="str">
        <f t="shared" si="411"/>
        <v/>
      </c>
      <c r="X1209" s="70" t="str">
        <f t="shared" si="412"/>
        <v/>
      </c>
      <c r="Y1209" s="70" t="str">
        <f>IF(AND($A1209&lt;&gt;"",$E1209&gt;0),isLaptopBag($C1209,$J1209)*$D1209,"")</f>
        <v/>
      </c>
      <c r="Z1209" s="70" t="str">
        <f t="shared" si="413"/>
        <v/>
      </c>
      <c r="AA1209" s="70" t="str">
        <f t="shared" si="414"/>
        <v/>
      </c>
      <c r="AB1209" s="70" t="str">
        <f t="shared" si="415"/>
        <v/>
      </c>
      <c r="AC1209" s="70" t="str">
        <f t="shared" si="416"/>
        <v/>
      </c>
      <c r="AD1209" s="70" t="str">
        <f t="shared" si="417"/>
        <v/>
      </c>
      <c r="AE1209" s="70" t="str">
        <f t="shared" si="418"/>
        <v/>
      </c>
      <c r="AF1209" s="16"/>
      <c r="AG1209" s="23"/>
      <c r="AH1209" s="22"/>
      <c r="AJ1209" s="83">
        <f t="shared" si="419"/>
        <v>0</v>
      </c>
      <c r="AO1209" s="22" t="str">
        <f t="shared" si="420"/>
        <v/>
      </c>
      <c r="AP1209" s="22" t="str">
        <f t="shared" si="421"/>
        <v/>
      </c>
    </row>
    <row r="1210" spans="1:42" x14ac:dyDescent="0.25">
      <c r="A1210" s="10"/>
      <c r="B1210" s="10"/>
      <c r="C1210" s="10"/>
      <c r="D1210" s="10"/>
      <c r="E1210" s="10"/>
      <c r="F1210" s="10"/>
      <c r="G1210" s="10"/>
      <c r="H1210" s="17"/>
      <c r="I1210" s="10"/>
      <c r="J1210" s="10"/>
      <c r="K1210" s="16" t="str">
        <f t="shared" si="400"/>
        <v/>
      </c>
      <c r="L1210" s="23" t="str">
        <f t="shared" si="401"/>
        <v/>
      </c>
      <c r="M1210" s="22" t="str">
        <f t="shared" si="402"/>
        <v/>
      </c>
      <c r="N1210" s="72"/>
      <c r="O1210" s="16" t="str">
        <f t="shared" si="403"/>
        <v/>
      </c>
      <c r="P1210" s="16" t="str">
        <f t="shared" si="404"/>
        <v/>
      </c>
      <c r="Q1210" s="16" t="str">
        <f t="shared" si="405"/>
        <v/>
      </c>
      <c r="R1210" s="23" t="str">
        <f t="shared" si="406"/>
        <v/>
      </c>
      <c r="S1210" s="23" t="str">
        <f t="shared" si="407"/>
        <v/>
      </c>
      <c r="T1210" s="23" t="str">
        <f t="shared" si="408"/>
        <v/>
      </c>
      <c r="U1210" s="23" t="str">
        <f t="shared" si="409"/>
        <v/>
      </c>
      <c r="V1210" s="23" t="str">
        <f t="shared" si="410"/>
        <v/>
      </c>
      <c r="W1210" s="70" t="str">
        <f t="shared" si="411"/>
        <v/>
      </c>
      <c r="X1210" s="70" t="str">
        <f t="shared" si="412"/>
        <v/>
      </c>
      <c r="Y1210" s="70" t="str">
        <f>IF(AND($A1210&lt;&gt;"",$E1210&gt;0),isLaptopBag($C1210,$J1210)*$D1210,"")</f>
        <v/>
      </c>
      <c r="Z1210" s="70" t="str">
        <f t="shared" si="413"/>
        <v/>
      </c>
      <c r="AA1210" s="70" t="str">
        <f t="shared" si="414"/>
        <v/>
      </c>
      <c r="AB1210" s="70" t="str">
        <f t="shared" si="415"/>
        <v/>
      </c>
      <c r="AC1210" s="70" t="str">
        <f t="shared" si="416"/>
        <v/>
      </c>
      <c r="AD1210" s="70" t="str">
        <f t="shared" si="417"/>
        <v/>
      </c>
      <c r="AE1210" s="70" t="str">
        <f t="shared" si="418"/>
        <v/>
      </c>
      <c r="AF1210" s="16"/>
      <c r="AG1210" s="23"/>
      <c r="AH1210" s="22"/>
      <c r="AJ1210" s="83">
        <f t="shared" si="419"/>
        <v>0</v>
      </c>
      <c r="AO1210" s="22" t="str">
        <f t="shared" si="420"/>
        <v/>
      </c>
      <c r="AP1210" s="22" t="str">
        <f t="shared" si="421"/>
        <v/>
      </c>
    </row>
    <row r="1211" spans="1:42" x14ac:dyDescent="0.25">
      <c r="A1211" s="10"/>
      <c r="B1211" s="10"/>
      <c r="C1211" s="10"/>
      <c r="D1211" s="10"/>
      <c r="E1211" s="10"/>
      <c r="F1211" s="10"/>
      <c r="G1211" s="10"/>
      <c r="H1211" s="17"/>
      <c r="I1211" s="10"/>
      <c r="J1211" s="10"/>
      <c r="K1211" s="16" t="str">
        <f t="shared" si="400"/>
        <v/>
      </c>
      <c r="L1211" s="23" t="str">
        <f t="shared" si="401"/>
        <v/>
      </c>
      <c r="M1211" s="22" t="str">
        <f t="shared" si="402"/>
        <v/>
      </c>
      <c r="N1211" s="72"/>
      <c r="O1211" s="16" t="str">
        <f t="shared" si="403"/>
        <v/>
      </c>
      <c r="P1211" s="16" t="str">
        <f t="shared" si="404"/>
        <v/>
      </c>
      <c r="Q1211" s="16" t="str">
        <f t="shared" si="405"/>
        <v/>
      </c>
      <c r="R1211" s="23" t="str">
        <f t="shared" si="406"/>
        <v/>
      </c>
      <c r="S1211" s="23" t="str">
        <f t="shared" si="407"/>
        <v/>
      </c>
      <c r="T1211" s="23" t="str">
        <f t="shared" si="408"/>
        <v/>
      </c>
      <c r="U1211" s="23" t="str">
        <f t="shared" si="409"/>
        <v/>
      </c>
      <c r="V1211" s="23" t="str">
        <f t="shared" si="410"/>
        <v/>
      </c>
      <c r="W1211" s="70" t="str">
        <f t="shared" si="411"/>
        <v/>
      </c>
      <c r="X1211" s="70" t="str">
        <f t="shared" si="412"/>
        <v/>
      </c>
      <c r="Y1211" s="70" t="str">
        <f>IF(AND($A1211&lt;&gt;"",$E1211&gt;0),isLaptopBag($C1211,$J1211)*$D1211,"")</f>
        <v/>
      </c>
      <c r="Z1211" s="70" t="str">
        <f t="shared" si="413"/>
        <v/>
      </c>
      <c r="AA1211" s="70" t="str">
        <f t="shared" si="414"/>
        <v/>
      </c>
      <c r="AB1211" s="70" t="str">
        <f t="shared" si="415"/>
        <v/>
      </c>
      <c r="AC1211" s="70" t="str">
        <f t="shared" si="416"/>
        <v/>
      </c>
      <c r="AD1211" s="70" t="str">
        <f t="shared" si="417"/>
        <v/>
      </c>
      <c r="AE1211" s="70" t="str">
        <f t="shared" si="418"/>
        <v/>
      </c>
      <c r="AF1211" s="16"/>
      <c r="AG1211" s="23"/>
      <c r="AH1211" s="22"/>
      <c r="AJ1211" s="83">
        <f t="shared" si="419"/>
        <v>0</v>
      </c>
      <c r="AO1211" s="22" t="str">
        <f t="shared" si="420"/>
        <v/>
      </c>
      <c r="AP1211" s="22" t="str">
        <f t="shared" si="421"/>
        <v/>
      </c>
    </row>
    <row r="1212" spans="1:42" x14ac:dyDescent="0.25">
      <c r="A1212" s="10"/>
      <c r="B1212" s="10"/>
      <c r="C1212" s="10"/>
      <c r="D1212" s="10"/>
      <c r="E1212" s="10"/>
      <c r="F1212" s="10"/>
      <c r="G1212" s="10"/>
      <c r="H1212" s="17"/>
      <c r="I1212" s="10"/>
      <c r="J1212" s="10"/>
      <c r="K1212" s="16" t="str">
        <f t="shared" si="400"/>
        <v/>
      </c>
      <c r="L1212" s="23" t="str">
        <f t="shared" si="401"/>
        <v/>
      </c>
      <c r="M1212" s="22" t="str">
        <f t="shared" si="402"/>
        <v/>
      </c>
      <c r="N1212" s="72"/>
      <c r="O1212" s="16" t="str">
        <f t="shared" si="403"/>
        <v/>
      </c>
      <c r="P1212" s="16" t="str">
        <f t="shared" si="404"/>
        <v/>
      </c>
      <c r="Q1212" s="16" t="str">
        <f t="shared" si="405"/>
        <v/>
      </c>
      <c r="R1212" s="23" t="str">
        <f t="shared" si="406"/>
        <v/>
      </c>
      <c r="S1212" s="23" t="str">
        <f t="shared" si="407"/>
        <v/>
      </c>
      <c r="T1212" s="23" t="str">
        <f t="shared" si="408"/>
        <v/>
      </c>
      <c r="U1212" s="23" t="str">
        <f t="shared" si="409"/>
        <v/>
      </c>
      <c r="V1212" s="23" t="str">
        <f t="shared" si="410"/>
        <v/>
      </c>
      <c r="W1212" s="70" t="str">
        <f t="shared" si="411"/>
        <v/>
      </c>
      <c r="X1212" s="70" t="str">
        <f t="shared" si="412"/>
        <v/>
      </c>
      <c r="Y1212" s="70" t="str">
        <f>IF(AND($A1212&lt;&gt;"",$E1212&gt;0),isLaptopBag($C1212,$J1212)*$D1212,"")</f>
        <v/>
      </c>
      <c r="Z1212" s="70" t="str">
        <f t="shared" si="413"/>
        <v/>
      </c>
      <c r="AA1212" s="70" t="str">
        <f t="shared" si="414"/>
        <v/>
      </c>
      <c r="AB1212" s="70" t="str">
        <f t="shared" si="415"/>
        <v/>
      </c>
      <c r="AC1212" s="70" t="str">
        <f t="shared" si="416"/>
        <v/>
      </c>
      <c r="AD1212" s="70" t="str">
        <f t="shared" si="417"/>
        <v/>
      </c>
      <c r="AE1212" s="70" t="str">
        <f t="shared" si="418"/>
        <v/>
      </c>
      <c r="AF1212" s="16"/>
      <c r="AG1212" s="23"/>
      <c r="AH1212" s="22"/>
      <c r="AJ1212" s="83">
        <f t="shared" si="419"/>
        <v>0</v>
      </c>
      <c r="AO1212" s="22" t="str">
        <f t="shared" si="420"/>
        <v/>
      </c>
      <c r="AP1212" s="22" t="str">
        <f t="shared" si="421"/>
        <v/>
      </c>
    </row>
    <row r="1213" spans="1:42" x14ac:dyDescent="0.25">
      <c r="A1213" s="10"/>
      <c r="B1213" s="10"/>
      <c r="C1213" s="10"/>
      <c r="D1213" s="10"/>
      <c r="E1213" s="10"/>
      <c r="F1213" s="10"/>
      <c r="G1213" s="10"/>
      <c r="H1213" s="17"/>
      <c r="I1213" s="10"/>
      <c r="J1213" s="10"/>
      <c r="K1213" s="16" t="str">
        <f t="shared" si="400"/>
        <v/>
      </c>
      <c r="L1213" s="23" t="str">
        <f t="shared" si="401"/>
        <v/>
      </c>
      <c r="M1213" s="22" t="str">
        <f t="shared" si="402"/>
        <v/>
      </c>
      <c r="N1213" s="72"/>
      <c r="O1213" s="16" t="str">
        <f t="shared" si="403"/>
        <v/>
      </c>
      <c r="P1213" s="16" t="str">
        <f t="shared" si="404"/>
        <v/>
      </c>
      <c r="Q1213" s="16" t="str">
        <f t="shared" si="405"/>
        <v/>
      </c>
      <c r="R1213" s="23" t="str">
        <f t="shared" si="406"/>
        <v/>
      </c>
      <c r="S1213" s="23" t="str">
        <f t="shared" si="407"/>
        <v/>
      </c>
      <c r="T1213" s="23" t="str">
        <f t="shared" si="408"/>
        <v/>
      </c>
      <c r="U1213" s="23" t="str">
        <f t="shared" si="409"/>
        <v/>
      </c>
      <c r="V1213" s="23" t="str">
        <f t="shared" si="410"/>
        <v/>
      </c>
      <c r="W1213" s="70" t="str">
        <f t="shared" si="411"/>
        <v/>
      </c>
      <c r="X1213" s="70" t="str">
        <f t="shared" si="412"/>
        <v/>
      </c>
      <c r="Y1213" s="70" t="str">
        <f>IF(AND($A1213&lt;&gt;"",$E1213&gt;0),isLaptopBag($C1213,$J1213)*$D1213,"")</f>
        <v/>
      </c>
      <c r="Z1213" s="70" t="str">
        <f t="shared" si="413"/>
        <v/>
      </c>
      <c r="AA1213" s="70" t="str">
        <f t="shared" si="414"/>
        <v/>
      </c>
      <c r="AB1213" s="70" t="str">
        <f t="shared" si="415"/>
        <v/>
      </c>
      <c r="AC1213" s="70" t="str">
        <f t="shared" si="416"/>
        <v/>
      </c>
      <c r="AD1213" s="70" t="str">
        <f t="shared" si="417"/>
        <v/>
      </c>
      <c r="AE1213" s="70" t="str">
        <f t="shared" si="418"/>
        <v/>
      </c>
      <c r="AF1213" s="16"/>
      <c r="AG1213" s="23"/>
      <c r="AH1213" s="22"/>
      <c r="AJ1213" s="83">
        <f t="shared" si="419"/>
        <v>0</v>
      </c>
      <c r="AO1213" s="22" t="str">
        <f t="shared" si="420"/>
        <v/>
      </c>
      <c r="AP1213" s="22" t="str">
        <f t="shared" si="421"/>
        <v/>
      </c>
    </row>
    <row r="1214" spans="1:42" x14ac:dyDescent="0.25">
      <c r="A1214" s="10"/>
      <c r="B1214" s="10"/>
      <c r="C1214" s="10"/>
      <c r="D1214" s="10"/>
      <c r="E1214" s="10"/>
      <c r="F1214" s="10"/>
      <c r="G1214" s="10"/>
      <c r="H1214" s="17"/>
      <c r="I1214" s="10"/>
      <c r="J1214" s="10"/>
      <c r="K1214" s="16" t="str">
        <f t="shared" si="400"/>
        <v/>
      </c>
      <c r="L1214" s="23" t="str">
        <f t="shared" si="401"/>
        <v/>
      </c>
      <c r="M1214" s="22" t="str">
        <f t="shared" si="402"/>
        <v/>
      </c>
      <c r="N1214" s="72"/>
      <c r="O1214" s="16" t="str">
        <f t="shared" si="403"/>
        <v/>
      </c>
      <c r="P1214" s="16" t="str">
        <f t="shared" si="404"/>
        <v/>
      </c>
      <c r="Q1214" s="16" t="str">
        <f t="shared" si="405"/>
        <v/>
      </c>
      <c r="R1214" s="23" t="str">
        <f t="shared" si="406"/>
        <v/>
      </c>
      <c r="S1214" s="23" t="str">
        <f t="shared" si="407"/>
        <v/>
      </c>
      <c r="T1214" s="23" t="str">
        <f t="shared" si="408"/>
        <v/>
      </c>
      <c r="U1214" s="23" t="str">
        <f t="shared" si="409"/>
        <v/>
      </c>
      <c r="V1214" s="23" t="str">
        <f t="shared" si="410"/>
        <v/>
      </c>
      <c r="W1214" s="70" t="str">
        <f t="shared" si="411"/>
        <v/>
      </c>
      <c r="X1214" s="70" t="str">
        <f t="shared" si="412"/>
        <v/>
      </c>
      <c r="Y1214" s="70" t="str">
        <f>IF(AND($A1214&lt;&gt;"",$E1214&gt;0),isLaptopBag($C1214,$J1214)*$D1214,"")</f>
        <v/>
      </c>
      <c r="Z1214" s="70" t="str">
        <f t="shared" si="413"/>
        <v/>
      </c>
      <c r="AA1214" s="70" t="str">
        <f t="shared" si="414"/>
        <v/>
      </c>
      <c r="AB1214" s="70" t="str">
        <f t="shared" si="415"/>
        <v/>
      </c>
      <c r="AC1214" s="70" t="str">
        <f t="shared" si="416"/>
        <v/>
      </c>
      <c r="AD1214" s="70" t="str">
        <f t="shared" si="417"/>
        <v/>
      </c>
      <c r="AE1214" s="70" t="str">
        <f t="shared" si="418"/>
        <v/>
      </c>
      <c r="AF1214" s="16"/>
      <c r="AG1214" s="23"/>
      <c r="AH1214" s="22"/>
      <c r="AJ1214" s="83">
        <f t="shared" si="419"/>
        <v>0</v>
      </c>
      <c r="AO1214" s="22" t="str">
        <f t="shared" si="420"/>
        <v/>
      </c>
      <c r="AP1214" s="22" t="str">
        <f t="shared" si="421"/>
        <v/>
      </c>
    </row>
    <row r="1215" spans="1:42" x14ac:dyDescent="0.25">
      <c r="A1215" s="10"/>
      <c r="B1215" s="10"/>
      <c r="C1215" s="10"/>
      <c r="D1215" s="10"/>
      <c r="E1215" s="10"/>
      <c r="F1215" s="10"/>
      <c r="G1215" s="10"/>
      <c r="H1215" s="17"/>
      <c r="I1215" s="10"/>
      <c r="J1215" s="10"/>
      <c r="K1215" s="16" t="str">
        <f t="shared" si="400"/>
        <v/>
      </c>
      <c r="L1215" s="23" t="str">
        <f t="shared" si="401"/>
        <v/>
      </c>
      <c r="M1215" s="22" t="str">
        <f t="shared" si="402"/>
        <v/>
      </c>
      <c r="N1215" s="72"/>
      <c r="O1215" s="16" t="str">
        <f t="shared" si="403"/>
        <v/>
      </c>
      <c r="P1215" s="16" t="str">
        <f t="shared" si="404"/>
        <v/>
      </c>
      <c r="Q1215" s="16" t="str">
        <f t="shared" si="405"/>
        <v/>
      </c>
      <c r="R1215" s="23" t="str">
        <f t="shared" si="406"/>
        <v/>
      </c>
      <c r="S1215" s="23" t="str">
        <f t="shared" si="407"/>
        <v/>
      </c>
      <c r="T1215" s="23" t="str">
        <f t="shared" si="408"/>
        <v/>
      </c>
      <c r="U1215" s="23" t="str">
        <f t="shared" si="409"/>
        <v/>
      </c>
      <c r="V1215" s="23" t="str">
        <f t="shared" si="410"/>
        <v/>
      </c>
      <c r="W1215" s="70" t="str">
        <f t="shared" si="411"/>
        <v/>
      </c>
      <c r="X1215" s="70" t="str">
        <f t="shared" si="412"/>
        <v/>
      </c>
      <c r="Y1215" s="70" t="str">
        <f>IF(AND($A1215&lt;&gt;"",$E1215&gt;0),isLaptopBag($C1215,$J1215)*$D1215,"")</f>
        <v/>
      </c>
      <c r="Z1215" s="70" t="str">
        <f t="shared" si="413"/>
        <v/>
      </c>
      <c r="AA1215" s="70" t="str">
        <f t="shared" si="414"/>
        <v/>
      </c>
      <c r="AB1215" s="70" t="str">
        <f t="shared" si="415"/>
        <v/>
      </c>
      <c r="AC1215" s="70" t="str">
        <f t="shared" si="416"/>
        <v/>
      </c>
      <c r="AD1215" s="70" t="str">
        <f t="shared" si="417"/>
        <v/>
      </c>
      <c r="AE1215" s="70" t="str">
        <f t="shared" si="418"/>
        <v/>
      </c>
      <c r="AF1215" s="16"/>
      <c r="AG1215" s="23"/>
      <c r="AH1215" s="22"/>
      <c r="AJ1215" s="83">
        <f t="shared" si="419"/>
        <v>0</v>
      </c>
      <c r="AO1215" s="22" t="str">
        <f t="shared" si="420"/>
        <v/>
      </c>
      <c r="AP1215" s="22" t="str">
        <f t="shared" si="421"/>
        <v/>
      </c>
    </row>
    <row r="1216" spans="1:42" x14ac:dyDescent="0.25">
      <c r="A1216" s="10"/>
      <c r="B1216" s="10"/>
      <c r="C1216" s="10"/>
      <c r="D1216" s="10"/>
      <c r="E1216" s="10"/>
      <c r="F1216" s="10"/>
      <c r="G1216" s="10"/>
      <c r="H1216" s="17"/>
      <c r="I1216" s="10"/>
      <c r="J1216" s="10"/>
      <c r="K1216" s="16" t="str">
        <f t="shared" si="400"/>
        <v/>
      </c>
      <c r="L1216" s="23" t="str">
        <f t="shared" si="401"/>
        <v/>
      </c>
      <c r="M1216" s="22" t="str">
        <f t="shared" si="402"/>
        <v/>
      </c>
      <c r="N1216" s="72"/>
      <c r="O1216" s="16" t="str">
        <f t="shared" si="403"/>
        <v/>
      </c>
      <c r="P1216" s="16" t="str">
        <f t="shared" si="404"/>
        <v/>
      </c>
      <c r="Q1216" s="16" t="str">
        <f t="shared" si="405"/>
        <v/>
      </c>
      <c r="R1216" s="23" t="str">
        <f t="shared" si="406"/>
        <v/>
      </c>
      <c r="S1216" s="23" t="str">
        <f t="shared" si="407"/>
        <v/>
      </c>
      <c r="T1216" s="23" t="str">
        <f t="shared" si="408"/>
        <v/>
      </c>
      <c r="U1216" s="23" t="str">
        <f t="shared" si="409"/>
        <v/>
      </c>
      <c r="V1216" s="23" t="str">
        <f t="shared" si="410"/>
        <v/>
      </c>
      <c r="W1216" s="70" t="str">
        <f t="shared" si="411"/>
        <v/>
      </c>
      <c r="X1216" s="70" t="str">
        <f t="shared" si="412"/>
        <v/>
      </c>
      <c r="Y1216" s="70" t="str">
        <f>IF(AND($A1216&lt;&gt;"",$E1216&gt;0),isLaptopBag($C1216,$J1216)*$D1216,"")</f>
        <v/>
      </c>
      <c r="Z1216" s="70" t="str">
        <f t="shared" si="413"/>
        <v/>
      </c>
      <c r="AA1216" s="70" t="str">
        <f t="shared" si="414"/>
        <v/>
      </c>
      <c r="AB1216" s="70" t="str">
        <f t="shared" si="415"/>
        <v/>
      </c>
      <c r="AC1216" s="70" t="str">
        <f t="shared" si="416"/>
        <v/>
      </c>
      <c r="AD1216" s="70" t="str">
        <f t="shared" si="417"/>
        <v/>
      </c>
      <c r="AE1216" s="70" t="str">
        <f t="shared" si="418"/>
        <v/>
      </c>
      <c r="AF1216" s="16"/>
      <c r="AG1216" s="23"/>
      <c r="AH1216" s="22"/>
      <c r="AJ1216" s="83">
        <f t="shared" si="419"/>
        <v>0</v>
      </c>
      <c r="AO1216" s="22" t="str">
        <f t="shared" si="420"/>
        <v/>
      </c>
      <c r="AP1216" s="22" t="str">
        <f t="shared" si="421"/>
        <v/>
      </c>
    </row>
    <row r="1217" spans="1:42" x14ac:dyDescent="0.25">
      <c r="A1217" s="10"/>
      <c r="B1217" s="10"/>
      <c r="C1217" s="10"/>
      <c r="D1217" s="10"/>
      <c r="E1217" s="10"/>
      <c r="F1217" s="10"/>
      <c r="G1217" s="10"/>
      <c r="H1217" s="17"/>
      <c r="I1217" s="10"/>
      <c r="J1217" s="10"/>
      <c r="K1217" s="16" t="str">
        <f t="shared" si="400"/>
        <v/>
      </c>
      <c r="L1217" s="23" t="str">
        <f t="shared" si="401"/>
        <v/>
      </c>
      <c r="M1217" s="22" t="str">
        <f t="shared" si="402"/>
        <v/>
      </c>
      <c r="N1217" s="72"/>
      <c r="O1217" s="16" t="str">
        <f t="shared" si="403"/>
        <v/>
      </c>
      <c r="P1217" s="16" t="str">
        <f t="shared" si="404"/>
        <v/>
      </c>
      <c r="Q1217" s="16" t="str">
        <f t="shared" si="405"/>
        <v/>
      </c>
      <c r="R1217" s="23" t="str">
        <f t="shared" si="406"/>
        <v/>
      </c>
      <c r="S1217" s="23" t="str">
        <f t="shared" si="407"/>
        <v/>
      </c>
      <c r="T1217" s="23" t="str">
        <f t="shared" si="408"/>
        <v/>
      </c>
      <c r="U1217" s="23" t="str">
        <f t="shared" si="409"/>
        <v/>
      </c>
      <c r="V1217" s="23" t="str">
        <f t="shared" si="410"/>
        <v/>
      </c>
      <c r="W1217" s="70" t="str">
        <f t="shared" si="411"/>
        <v/>
      </c>
      <c r="X1217" s="70" t="str">
        <f t="shared" si="412"/>
        <v/>
      </c>
      <c r="Y1217" s="70" t="str">
        <f>IF(AND($A1217&lt;&gt;"",$E1217&gt;0),isLaptopBag($C1217,$J1217)*$D1217,"")</f>
        <v/>
      </c>
      <c r="Z1217" s="70" t="str">
        <f t="shared" si="413"/>
        <v/>
      </c>
      <c r="AA1217" s="70" t="str">
        <f t="shared" si="414"/>
        <v/>
      </c>
      <c r="AB1217" s="70" t="str">
        <f t="shared" si="415"/>
        <v/>
      </c>
      <c r="AC1217" s="70" t="str">
        <f t="shared" si="416"/>
        <v/>
      </c>
      <c r="AD1217" s="70" t="str">
        <f t="shared" si="417"/>
        <v/>
      </c>
      <c r="AE1217" s="70" t="str">
        <f t="shared" si="418"/>
        <v/>
      </c>
      <c r="AF1217" s="16"/>
      <c r="AG1217" s="23"/>
      <c r="AH1217" s="22"/>
      <c r="AJ1217" s="83">
        <f t="shared" si="419"/>
        <v>0</v>
      </c>
      <c r="AO1217" s="22" t="str">
        <f t="shared" si="420"/>
        <v/>
      </c>
      <c r="AP1217" s="22" t="str">
        <f t="shared" si="421"/>
        <v/>
      </c>
    </row>
    <row r="1218" spans="1:42" x14ac:dyDescent="0.25">
      <c r="A1218" s="10"/>
      <c r="B1218" s="10"/>
      <c r="C1218" s="10"/>
      <c r="D1218" s="10"/>
      <c r="E1218" s="10"/>
      <c r="F1218" s="10"/>
      <c r="G1218" s="10"/>
      <c r="H1218" s="17"/>
      <c r="I1218" s="10"/>
      <c r="J1218" s="10"/>
      <c r="K1218" s="16" t="str">
        <f t="shared" si="400"/>
        <v/>
      </c>
      <c r="L1218" s="23" t="str">
        <f t="shared" si="401"/>
        <v/>
      </c>
      <c r="M1218" s="22" t="str">
        <f t="shared" si="402"/>
        <v/>
      </c>
      <c r="N1218" s="72"/>
      <c r="O1218" s="16" t="str">
        <f t="shared" si="403"/>
        <v/>
      </c>
      <c r="P1218" s="16" t="str">
        <f t="shared" si="404"/>
        <v/>
      </c>
      <c r="Q1218" s="16" t="str">
        <f t="shared" si="405"/>
        <v/>
      </c>
      <c r="R1218" s="23" t="str">
        <f t="shared" si="406"/>
        <v/>
      </c>
      <c r="S1218" s="23" t="str">
        <f t="shared" si="407"/>
        <v/>
      </c>
      <c r="T1218" s="23" t="str">
        <f t="shared" si="408"/>
        <v/>
      </c>
      <c r="U1218" s="23" t="str">
        <f t="shared" si="409"/>
        <v/>
      </c>
      <c r="V1218" s="23" t="str">
        <f t="shared" si="410"/>
        <v/>
      </c>
      <c r="W1218" s="70" t="str">
        <f t="shared" si="411"/>
        <v/>
      </c>
      <c r="X1218" s="70" t="str">
        <f t="shared" si="412"/>
        <v/>
      </c>
      <c r="Y1218" s="70" t="str">
        <f>IF(AND($A1218&lt;&gt;"",$E1218&gt;0),isLaptopBag($C1218,$J1218)*$D1218,"")</f>
        <v/>
      </c>
      <c r="Z1218" s="70" t="str">
        <f t="shared" si="413"/>
        <v/>
      </c>
      <c r="AA1218" s="70" t="str">
        <f t="shared" si="414"/>
        <v/>
      </c>
      <c r="AB1218" s="70" t="str">
        <f t="shared" si="415"/>
        <v/>
      </c>
      <c r="AC1218" s="70" t="str">
        <f t="shared" si="416"/>
        <v/>
      </c>
      <c r="AD1218" s="70" t="str">
        <f t="shared" si="417"/>
        <v/>
      </c>
      <c r="AE1218" s="70" t="str">
        <f t="shared" si="418"/>
        <v/>
      </c>
      <c r="AF1218" s="16"/>
      <c r="AG1218" s="23"/>
      <c r="AH1218" s="22"/>
      <c r="AJ1218" s="83">
        <f t="shared" si="419"/>
        <v>0</v>
      </c>
      <c r="AO1218" s="22" t="str">
        <f t="shared" si="420"/>
        <v/>
      </c>
      <c r="AP1218" s="22" t="str">
        <f t="shared" si="421"/>
        <v/>
      </c>
    </row>
    <row r="1219" spans="1:42" x14ac:dyDescent="0.25">
      <c r="A1219" s="10"/>
      <c r="B1219" s="10"/>
      <c r="C1219" s="10"/>
      <c r="D1219" s="10"/>
      <c r="E1219" s="10"/>
      <c r="F1219" s="10"/>
      <c r="G1219" s="10"/>
      <c r="H1219" s="17"/>
      <c r="I1219" s="10"/>
      <c r="J1219" s="10"/>
      <c r="K1219" s="16" t="str">
        <f t="shared" si="400"/>
        <v/>
      </c>
      <c r="L1219" s="23" t="str">
        <f t="shared" si="401"/>
        <v/>
      </c>
      <c r="M1219" s="22" t="str">
        <f t="shared" si="402"/>
        <v/>
      </c>
      <c r="N1219" s="72"/>
      <c r="O1219" s="16" t="str">
        <f t="shared" si="403"/>
        <v/>
      </c>
      <c r="P1219" s="16" t="str">
        <f t="shared" si="404"/>
        <v/>
      </c>
      <c r="Q1219" s="16" t="str">
        <f t="shared" si="405"/>
        <v/>
      </c>
      <c r="R1219" s="23" t="str">
        <f t="shared" si="406"/>
        <v/>
      </c>
      <c r="S1219" s="23" t="str">
        <f t="shared" si="407"/>
        <v/>
      </c>
      <c r="T1219" s="23" t="str">
        <f t="shared" si="408"/>
        <v/>
      </c>
      <c r="U1219" s="23" t="str">
        <f t="shared" si="409"/>
        <v/>
      </c>
      <c r="V1219" s="23" t="str">
        <f t="shared" si="410"/>
        <v/>
      </c>
      <c r="W1219" s="70" t="str">
        <f t="shared" si="411"/>
        <v/>
      </c>
      <c r="X1219" s="70" t="str">
        <f t="shared" si="412"/>
        <v/>
      </c>
      <c r="Y1219" s="70" t="str">
        <f>IF(AND($A1219&lt;&gt;"",$E1219&gt;0),isLaptopBag($C1219,$J1219)*$D1219,"")</f>
        <v/>
      </c>
      <c r="Z1219" s="70" t="str">
        <f t="shared" si="413"/>
        <v/>
      </c>
      <c r="AA1219" s="70" t="str">
        <f t="shared" si="414"/>
        <v/>
      </c>
      <c r="AB1219" s="70" t="str">
        <f t="shared" si="415"/>
        <v/>
      </c>
      <c r="AC1219" s="70" t="str">
        <f t="shared" si="416"/>
        <v/>
      </c>
      <c r="AD1219" s="70" t="str">
        <f t="shared" si="417"/>
        <v/>
      </c>
      <c r="AE1219" s="70" t="str">
        <f t="shared" si="418"/>
        <v/>
      </c>
      <c r="AF1219" s="16"/>
      <c r="AG1219" s="23"/>
      <c r="AH1219" s="22"/>
      <c r="AJ1219" s="83">
        <f t="shared" si="419"/>
        <v>0</v>
      </c>
      <c r="AO1219" s="22" t="str">
        <f t="shared" si="420"/>
        <v/>
      </c>
      <c r="AP1219" s="22" t="str">
        <f t="shared" si="421"/>
        <v/>
      </c>
    </row>
    <row r="1220" spans="1:42" x14ac:dyDescent="0.25">
      <c r="A1220" s="10"/>
      <c r="B1220" s="10"/>
      <c r="C1220" s="10"/>
      <c r="D1220" s="10"/>
      <c r="E1220" s="10"/>
      <c r="F1220" s="10"/>
      <c r="G1220" s="10"/>
      <c r="H1220" s="17"/>
      <c r="I1220" s="10"/>
      <c r="J1220" s="10"/>
      <c r="K1220" s="16" t="str">
        <f t="shared" si="400"/>
        <v/>
      </c>
      <c r="L1220" s="23" t="str">
        <f t="shared" si="401"/>
        <v/>
      </c>
      <c r="M1220" s="22" t="str">
        <f t="shared" si="402"/>
        <v/>
      </c>
      <c r="N1220" s="72"/>
      <c r="O1220" s="16" t="str">
        <f t="shared" si="403"/>
        <v/>
      </c>
      <c r="P1220" s="16" t="str">
        <f t="shared" si="404"/>
        <v/>
      </c>
      <c r="Q1220" s="16" t="str">
        <f t="shared" si="405"/>
        <v/>
      </c>
      <c r="R1220" s="23" t="str">
        <f t="shared" si="406"/>
        <v/>
      </c>
      <c r="S1220" s="23" t="str">
        <f t="shared" si="407"/>
        <v/>
      </c>
      <c r="T1220" s="23" t="str">
        <f t="shared" si="408"/>
        <v/>
      </c>
      <c r="U1220" s="23" t="str">
        <f t="shared" si="409"/>
        <v/>
      </c>
      <c r="V1220" s="23" t="str">
        <f t="shared" si="410"/>
        <v/>
      </c>
      <c r="W1220" s="70" t="str">
        <f t="shared" si="411"/>
        <v/>
      </c>
      <c r="X1220" s="70" t="str">
        <f t="shared" si="412"/>
        <v/>
      </c>
      <c r="Y1220" s="70" t="str">
        <f>IF(AND($A1220&lt;&gt;"",$E1220&gt;0),isLaptopBag($C1220,$J1220)*$D1220,"")</f>
        <v/>
      </c>
      <c r="Z1220" s="70" t="str">
        <f t="shared" si="413"/>
        <v/>
      </c>
      <c r="AA1220" s="70" t="str">
        <f t="shared" si="414"/>
        <v/>
      </c>
      <c r="AB1220" s="70" t="str">
        <f t="shared" si="415"/>
        <v/>
      </c>
      <c r="AC1220" s="70" t="str">
        <f t="shared" si="416"/>
        <v/>
      </c>
      <c r="AD1220" s="70" t="str">
        <f t="shared" si="417"/>
        <v/>
      </c>
      <c r="AE1220" s="70" t="str">
        <f t="shared" si="418"/>
        <v/>
      </c>
      <c r="AF1220" s="16"/>
      <c r="AG1220" s="23"/>
      <c r="AH1220" s="22"/>
      <c r="AJ1220" s="83">
        <f t="shared" si="419"/>
        <v>0</v>
      </c>
      <c r="AO1220" s="22" t="str">
        <f t="shared" si="420"/>
        <v/>
      </c>
      <c r="AP1220" s="22" t="str">
        <f t="shared" si="421"/>
        <v/>
      </c>
    </row>
    <row r="1221" spans="1:42" x14ac:dyDescent="0.25">
      <c r="A1221" s="10"/>
      <c r="B1221" s="10"/>
      <c r="C1221" s="10"/>
      <c r="D1221" s="10"/>
      <c r="E1221" s="10"/>
      <c r="F1221" s="10"/>
      <c r="G1221" s="10"/>
      <c r="H1221" s="17"/>
      <c r="I1221" s="10"/>
      <c r="J1221" s="10"/>
      <c r="K1221" s="16" t="str">
        <f t="shared" si="400"/>
        <v/>
      </c>
      <c r="L1221" s="23" t="str">
        <f t="shared" si="401"/>
        <v/>
      </c>
      <c r="M1221" s="22" t="str">
        <f t="shared" si="402"/>
        <v/>
      </c>
      <c r="N1221" s="72"/>
      <c r="O1221" s="16" t="str">
        <f t="shared" si="403"/>
        <v/>
      </c>
      <c r="P1221" s="16" t="str">
        <f t="shared" si="404"/>
        <v/>
      </c>
      <c r="Q1221" s="16" t="str">
        <f t="shared" si="405"/>
        <v/>
      </c>
      <c r="R1221" s="23" t="str">
        <f t="shared" si="406"/>
        <v/>
      </c>
      <c r="S1221" s="23" t="str">
        <f t="shared" si="407"/>
        <v/>
      </c>
      <c r="T1221" s="23" t="str">
        <f t="shared" si="408"/>
        <v/>
      </c>
      <c r="U1221" s="23" t="str">
        <f t="shared" si="409"/>
        <v/>
      </c>
      <c r="V1221" s="23" t="str">
        <f t="shared" si="410"/>
        <v/>
      </c>
      <c r="W1221" s="70" t="str">
        <f t="shared" si="411"/>
        <v/>
      </c>
      <c r="X1221" s="70" t="str">
        <f t="shared" si="412"/>
        <v/>
      </c>
      <c r="Y1221" s="70" t="str">
        <f>IF(AND($A1221&lt;&gt;"",$E1221&gt;0),isLaptopBag($C1221,$J1221)*$D1221,"")</f>
        <v/>
      </c>
      <c r="Z1221" s="70" t="str">
        <f t="shared" si="413"/>
        <v/>
      </c>
      <c r="AA1221" s="70" t="str">
        <f t="shared" si="414"/>
        <v/>
      </c>
      <c r="AB1221" s="70" t="str">
        <f t="shared" si="415"/>
        <v/>
      </c>
      <c r="AC1221" s="70" t="str">
        <f t="shared" si="416"/>
        <v/>
      </c>
      <c r="AD1221" s="70" t="str">
        <f t="shared" si="417"/>
        <v/>
      </c>
      <c r="AE1221" s="70" t="str">
        <f t="shared" si="418"/>
        <v/>
      </c>
      <c r="AF1221" s="16"/>
      <c r="AG1221" s="23"/>
      <c r="AH1221" s="22"/>
      <c r="AJ1221" s="83">
        <f t="shared" si="419"/>
        <v>0</v>
      </c>
      <c r="AO1221" s="22" t="str">
        <f t="shared" si="420"/>
        <v/>
      </c>
      <c r="AP1221" s="22" t="str">
        <f t="shared" si="421"/>
        <v/>
      </c>
    </row>
    <row r="1222" spans="1:42" x14ac:dyDescent="0.25">
      <c r="A1222" s="10"/>
      <c r="B1222" s="10"/>
      <c r="C1222" s="10"/>
      <c r="D1222" s="10"/>
      <c r="E1222" s="10"/>
      <c r="F1222" s="10"/>
      <c r="G1222" s="10"/>
      <c r="H1222" s="17"/>
      <c r="I1222" s="10"/>
      <c r="J1222" s="10"/>
      <c r="K1222" s="16" t="str">
        <f t="shared" si="400"/>
        <v/>
      </c>
      <c r="L1222" s="23" t="str">
        <f t="shared" si="401"/>
        <v/>
      </c>
      <c r="M1222" s="22" t="str">
        <f t="shared" si="402"/>
        <v/>
      </c>
      <c r="N1222" s="72"/>
      <c r="O1222" s="16" t="str">
        <f t="shared" si="403"/>
        <v/>
      </c>
      <c r="P1222" s="16" t="str">
        <f t="shared" si="404"/>
        <v/>
      </c>
      <c r="Q1222" s="16" t="str">
        <f t="shared" si="405"/>
        <v/>
      </c>
      <c r="R1222" s="23" t="str">
        <f t="shared" si="406"/>
        <v/>
      </c>
      <c r="S1222" s="23" t="str">
        <f t="shared" si="407"/>
        <v/>
      </c>
      <c r="T1222" s="23" t="str">
        <f t="shared" si="408"/>
        <v/>
      </c>
      <c r="U1222" s="23" t="str">
        <f t="shared" si="409"/>
        <v/>
      </c>
      <c r="V1222" s="23" t="str">
        <f t="shared" si="410"/>
        <v/>
      </c>
      <c r="W1222" s="70" t="str">
        <f t="shared" si="411"/>
        <v/>
      </c>
      <c r="X1222" s="70" t="str">
        <f t="shared" si="412"/>
        <v/>
      </c>
      <c r="Y1222" s="70" t="str">
        <f>IF(AND($A1222&lt;&gt;"",$E1222&gt;0),isLaptopBag($C1222,$J1222)*$D1222,"")</f>
        <v/>
      </c>
      <c r="Z1222" s="70" t="str">
        <f t="shared" si="413"/>
        <v/>
      </c>
      <c r="AA1222" s="70" t="str">
        <f t="shared" si="414"/>
        <v/>
      </c>
      <c r="AB1222" s="70" t="str">
        <f t="shared" si="415"/>
        <v/>
      </c>
      <c r="AC1222" s="70" t="str">
        <f t="shared" si="416"/>
        <v/>
      </c>
      <c r="AD1222" s="70" t="str">
        <f t="shared" si="417"/>
        <v/>
      </c>
      <c r="AE1222" s="70" t="str">
        <f t="shared" si="418"/>
        <v/>
      </c>
      <c r="AF1222" s="16"/>
      <c r="AG1222" s="23"/>
      <c r="AH1222" s="22"/>
      <c r="AJ1222" s="83">
        <f t="shared" si="419"/>
        <v>0</v>
      </c>
      <c r="AO1222" s="22" t="str">
        <f t="shared" si="420"/>
        <v/>
      </c>
      <c r="AP1222" s="22" t="str">
        <f t="shared" si="421"/>
        <v/>
      </c>
    </row>
    <row r="1223" spans="1:42" x14ac:dyDescent="0.25">
      <c r="A1223" s="10"/>
      <c r="B1223" s="10"/>
      <c r="C1223" s="10"/>
      <c r="D1223" s="10"/>
      <c r="E1223" s="10"/>
      <c r="F1223" s="10"/>
      <c r="G1223" s="10"/>
      <c r="H1223" s="17"/>
      <c r="I1223" s="10"/>
      <c r="J1223" s="10"/>
      <c r="K1223" s="16" t="str">
        <f t="shared" si="400"/>
        <v/>
      </c>
      <c r="L1223" s="23" t="str">
        <f t="shared" si="401"/>
        <v/>
      </c>
      <c r="M1223" s="22" t="str">
        <f t="shared" si="402"/>
        <v/>
      </c>
      <c r="N1223" s="72"/>
      <c r="O1223" s="16" t="str">
        <f t="shared" si="403"/>
        <v/>
      </c>
      <c r="P1223" s="16" t="str">
        <f t="shared" si="404"/>
        <v/>
      </c>
      <c r="Q1223" s="16" t="str">
        <f t="shared" si="405"/>
        <v/>
      </c>
      <c r="R1223" s="23" t="str">
        <f t="shared" si="406"/>
        <v/>
      </c>
      <c r="S1223" s="23" t="str">
        <f t="shared" si="407"/>
        <v/>
      </c>
      <c r="T1223" s="23" t="str">
        <f t="shared" si="408"/>
        <v/>
      </c>
      <c r="U1223" s="23" t="str">
        <f t="shared" si="409"/>
        <v/>
      </c>
      <c r="V1223" s="23" t="str">
        <f t="shared" si="410"/>
        <v/>
      </c>
      <c r="W1223" s="70" t="str">
        <f t="shared" si="411"/>
        <v/>
      </c>
      <c r="X1223" s="70" t="str">
        <f t="shared" si="412"/>
        <v/>
      </c>
      <c r="Y1223" s="70" t="str">
        <f>IF(AND($A1223&lt;&gt;"",$E1223&gt;0),isLaptopBag($C1223,$J1223)*$D1223,"")</f>
        <v/>
      </c>
      <c r="Z1223" s="70" t="str">
        <f t="shared" si="413"/>
        <v/>
      </c>
      <c r="AA1223" s="70" t="str">
        <f t="shared" si="414"/>
        <v/>
      </c>
      <c r="AB1223" s="70" t="str">
        <f t="shared" si="415"/>
        <v/>
      </c>
      <c r="AC1223" s="70" t="str">
        <f t="shared" si="416"/>
        <v/>
      </c>
      <c r="AD1223" s="70" t="str">
        <f t="shared" si="417"/>
        <v/>
      </c>
      <c r="AE1223" s="70" t="str">
        <f t="shared" si="418"/>
        <v/>
      </c>
      <c r="AF1223" s="16"/>
      <c r="AG1223" s="23"/>
      <c r="AH1223" s="22"/>
      <c r="AJ1223" s="83">
        <f t="shared" si="419"/>
        <v>0</v>
      </c>
      <c r="AO1223" s="22" t="str">
        <f t="shared" si="420"/>
        <v/>
      </c>
      <c r="AP1223" s="22" t="str">
        <f t="shared" si="421"/>
        <v/>
      </c>
    </row>
    <row r="1224" spans="1:42" x14ac:dyDescent="0.25">
      <c r="A1224" s="10"/>
      <c r="B1224" s="10"/>
      <c r="C1224" s="10"/>
      <c r="D1224" s="10"/>
      <c r="E1224" s="10"/>
      <c r="F1224" s="10"/>
      <c r="G1224" s="10"/>
      <c r="H1224" s="17"/>
      <c r="I1224" s="10"/>
      <c r="J1224" s="10"/>
      <c r="K1224" s="16" t="str">
        <f t="shared" si="400"/>
        <v/>
      </c>
      <c r="L1224" s="23" t="str">
        <f t="shared" si="401"/>
        <v/>
      </c>
      <c r="M1224" s="22" t="str">
        <f t="shared" si="402"/>
        <v/>
      </c>
      <c r="N1224" s="72"/>
      <c r="O1224" s="16" t="str">
        <f t="shared" si="403"/>
        <v/>
      </c>
      <c r="P1224" s="16" t="str">
        <f t="shared" si="404"/>
        <v/>
      </c>
      <c r="Q1224" s="16" t="str">
        <f t="shared" si="405"/>
        <v/>
      </c>
      <c r="R1224" s="23" t="str">
        <f t="shared" si="406"/>
        <v/>
      </c>
      <c r="S1224" s="23" t="str">
        <f t="shared" si="407"/>
        <v/>
      </c>
      <c r="T1224" s="23" t="str">
        <f t="shared" si="408"/>
        <v/>
      </c>
      <c r="U1224" s="23" t="str">
        <f t="shared" si="409"/>
        <v/>
      </c>
      <c r="V1224" s="23" t="str">
        <f t="shared" si="410"/>
        <v/>
      </c>
      <c r="W1224" s="70" t="str">
        <f t="shared" si="411"/>
        <v/>
      </c>
      <c r="X1224" s="70" t="str">
        <f t="shared" si="412"/>
        <v/>
      </c>
      <c r="Y1224" s="70" t="str">
        <f>IF(AND($A1224&lt;&gt;"",$E1224&gt;0),isLaptopBag($C1224,$J1224)*$D1224,"")</f>
        <v/>
      </c>
      <c r="Z1224" s="70" t="str">
        <f t="shared" si="413"/>
        <v/>
      </c>
      <c r="AA1224" s="70" t="str">
        <f t="shared" si="414"/>
        <v/>
      </c>
      <c r="AB1224" s="70" t="str">
        <f t="shared" si="415"/>
        <v/>
      </c>
      <c r="AC1224" s="70" t="str">
        <f t="shared" si="416"/>
        <v/>
      </c>
      <c r="AD1224" s="70" t="str">
        <f t="shared" si="417"/>
        <v/>
      </c>
      <c r="AE1224" s="70" t="str">
        <f t="shared" si="418"/>
        <v/>
      </c>
      <c r="AF1224" s="16"/>
      <c r="AG1224" s="23"/>
      <c r="AH1224" s="22"/>
      <c r="AJ1224" s="83">
        <f t="shared" si="419"/>
        <v>0</v>
      </c>
      <c r="AO1224" s="22" t="str">
        <f t="shared" si="420"/>
        <v/>
      </c>
      <c r="AP1224" s="22" t="str">
        <f t="shared" si="421"/>
        <v/>
      </c>
    </row>
    <row r="1225" spans="1:42" x14ac:dyDescent="0.25">
      <c r="A1225" s="10"/>
      <c r="B1225" s="10"/>
      <c r="C1225" s="10"/>
      <c r="D1225" s="10"/>
      <c r="E1225" s="10"/>
      <c r="F1225" s="10"/>
      <c r="G1225" s="10"/>
      <c r="H1225" s="17"/>
      <c r="I1225" s="10"/>
      <c r="J1225" s="10"/>
      <c r="K1225" s="16" t="str">
        <f t="shared" si="400"/>
        <v/>
      </c>
      <c r="L1225" s="23" t="str">
        <f t="shared" si="401"/>
        <v/>
      </c>
      <c r="M1225" s="22" t="str">
        <f t="shared" si="402"/>
        <v/>
      </c>
      <c r="N1225" s="72"/>
      <c r="O1225" s="16" t="str">
        <f t="shared" si="403"/>
        <v/>
      </c>
      <c r="P1225" s="16" t="str">
        <f t="shared" si="404"/>
        <v/>
      </c>
      <c r="Q1225" s="16" t="str">
        <f t="shared" si="405"/>
        <v/>
      </c>
      <c r="R1225" s="23" t="str">
        <f t="shared" si="406"/>
        <v/>
      </c>
      <c r="S1225" s="23" t="str">
        <f t="shared" si="407"/>
        <v/>
      </c>
      <c r="T1225" s="23" t="str">
        <f t="shared" si="408"/>
        <v/>
      </c>
      <c r="U1225" s="23" t="str">
        <f t="shared" si="409"/>
        <v/>
      </c>
      <c r="V1225" s="23" t="str">
        <f t="shared" si="410"/>
        <v/>
      </c>
      <c r="W1225" s="70" t="str">
        <f t="shared" si="411"/>
        <v/>
      </c>
      <c r="X1225" s="70" t="str">
        <f t="shared" si="412"/>
        <v/>
      </c>
      <c r="Y1225" s="70" t="str">
        <f>IF(AND($A1225&lt;&gt;"",$E1225&gt;0),isLaptopBag($C1225,$J1225)*$D1225,"")</f>
        <v/>
      </c>
      <c r="Z1225" s="70" t="str">
        <f t="shared" si="413"/>
        <v/>
      </c>
      <c r="AA1225" s="70" t="str">
        <f t="shared" si="414"/>
        <v/>
      </c>
      <c r="AB1225" s="70" t="str">
        <f t="shared" si="415"/>
        <v/>
      </c>
      <c r="AC1225" s="70" t="str">
        <f t="shared" si="416"/>
        <v/>
      </c>
      <c r="AD1225" s="70" t="str">
        <f t="shared" si="417"/>
        <v/>
      </c>
      <c r="AE1225" s="70" t="str">
        <f t="shared" si="418"/>
        <v/>
      </c>
      <c r="AF1225" s="16"/>
      <c r="AG1225" s="23"/>
      <c r="AH1225" s="22"/>
      <c r="AJ1225" s="83">
        <f t="shared" si="419"/>
        <v>0</v>
      </c>
      <c r="AO1225" s="22" t="str">
        <f t="shared" si="420"/>
        <v/>
      </c>
      <c r="AP1225" s="22" t="str">
        <f t="shared" si="421"/>
        <v/>
      </c>
    </row>
    <row r="1226" spans="1:42" x14ac:dyDescent="0.25">
      <c r="A1226" s="10"/>
      <c r="B1226" s="10"/>
      <c r="C1226" s="10"/>
      <c r="D1226" s="10"/>
      <c r="E1226" s="10"/>
      <c r="F1226" s="10"/>
      <c r="G1226" s="10"/>
      <c r="H1226" s="17"/>
      <c r="I1226" s="10"/>
      <c r="J1226" s="10"/>
      <c r="K1226" s="16" t="str">
        <f t="shared" si="400"/>
        <v/>
      </c>
      <c r="L1226" s="23" t="str">
        <f t="shared" si="401"/>
        <v/>
      </c>
      <c r="M1226" s="22" t="str">
        <f t="shared" si="402"/>
        <v/>
      </c>
      <c r="N1226" s="72"/>
      <c r="O1226" s="16" t="str">
        <f t="shared" si="403"/>
        <v/>
      </c>
      <c r="P1226" s="16" t="str">
        <f t="shared" si="404"/>
        <v/>
      </c>
      <c r="Q1226" s="16" t="str">
        <f t="shared" si="405"/>
        <v/>
      </c>
      <c r="R1226" s="23" t="str">
        <f t="shared" si="406"/>
        <v/>
      </c>
      <c r="S1226" s="23" t="str">
        <f t="shared" si="407"/>
        <v/>
      </c>
      <c r="T1226" s="23" t="str">
        <f t="shared" si="408"/>
        <v/>
      </c>
      <c r="U1226" s="23" t="str">
        <f t="shared" si="409"/>
        <v/>
      </c>
      <c r="V1226" s="23" t="str">
        <f t="shared" si="410"/>
        <v/>
      </c>
      <c r="W1226" s="70" t="str">
        <f t="shared" si="411"/>
        <v/>
      </c>
      <c r="X1226" s="70" t="str">
        <f t="shared" si="412"/>
        <v/>
      </c>
      <c r="Y1226" s="70" t="str">
        <f>IF(AND($A1226&lt;&gt;"",$E1226&gt;0),isLaptopBag($C1226,$J1226)*$D1226,"")</f>
        <v/>
      </c>
      <c r="Z1226" s="70" t="str">
        <f t="shared" si="413"/>
        <v/>
      </c>
      <c r="AA1226" s="70" t="str">
        <f t="shared" si="414"/>
        <v/>
      </c>
      <c r="AB1226" s="70" t="str">
        <f t="shared" si="415"/>
        <v/>
      </c>
      <c r="AC1226" s="70" t="str">
        <f t="shared" si="416"/>
        <v/>
      </c>
      <c r="AD1226" s="70" t="str">
        <f t="shared" si="417"/>
        <v/>
      </c>
      <c r="AE1226" s="70" t="str">
        <f t="shared" si="418"/>
        <v/>
      </c>
      <c r="AF1226" s="16"/>
      <c r="AG1226" s="23"/>
      <c r="AH1226" s="22"/>
      <c r="AJ1226" s="83">
        <f t="shared" si="419"/>
        <v>0</v>
      </c>
      <c r="AO1226" s="22" t="str">
        <f t="shared" si="420"/>
        <v/>
      </c>
      <c r="AP1226" s="22" t="str">
        <f t="shared" si="421"/>
        <v/>
      </c>
    </row>
    <row r="1227" spans="1:42" x14ac:dyDescent="0.25">
      <c r="A1227" s="10"/>
      <c r="B1227" s="10"/>
      <c r="C1227" s="10"/>
      <c r="D1227" s="10"/>
      <c r="E1227" s="10"/>
      <c r="F1227" s="10"/>
      <c r="G1227" s="10"/>
      <c r="H1227" s="17"/>
      <c r="I1227" s="10"/>
      <c r="J1227" s="10"/>
      <c r="K1227" s="16" t="str">
        <f t="shared" si="400"/>
        <v/>
      </c>
      <c r="L1227" s="23" t="str">
        <f t="shared" si="401"/>
        <v/>
      </c>
      <c r="M1227" s="22" t="str">
        <f t="shared" si="402"/>
        <v/>
      </c>
      <c r="N1227" s="72"/>
      <c r="O1227" s="16" t="str">
        <f t="shared" si="403"/>
        <v/>
      </c>
      <c r="P1227" s="16" t="str">
        <f t="shared" si="404"/>
        <v/>
      </c>
      <c r="Q1227" s="16" t="str">
        <f t="shared" si="405"/>
        <v/>
      </c>
      <c r="R1227" s="23" t="str">
        <f t="shared" si="406"/>
        <v/>
      </c>
      <c r="S1227" s="23" t="str">
        <f t="shared" si="407"/>
        <v/>
      </c>
      <c r="T1227" s="23" t="str">
        <f t="shared" si="408"/>
        <v/>
      </c>
      <c r="U1227" s="23" t="str">
        <f t="shared" si="409"/>
        <v/>
      </c>
      <c r="V1227" s="23" t="str">
        <f t="shared" si="410"/>
        <v/>
      </c>
      <c r="W1227" s="70" t="str">
        <f t="shared" si="411"/>
        <v/>
      </c>
      <c r="X1227" s="70" t="str">
        <f t="shared" si="412"/>
        <v/>
      </c>
      <c r="Y1227" s="70" t="str">
        <f>IF(AND($A1227&lt;&gt;"",$E1227&gt;0),isLaptopBag($C1227,$J1227)*$D1227,"")</f>
        <v/>
      </c>
      <c r="Z1227" s="70" t="str">
        <f t="shared" si="413"/>
        <v/>
      </c>
      <c r="AA1227" s="70" t="str">
        <f t="shared" si="414"/>
        <v/>
      </c>
      <c r="AB1227" s="70" t="str">
        <f t="shared" si="415"/>
        <v/>
      </c>
      <c r="AC1227" s="70" t="str">
        <f t="shared" si="416"/>
        <v/>
      </c>
      <c r="AD1227" s="70" t="str">
        <f t="shared" si="417"/>
        <v/>
      </c>
      <c r="AE1227" s="70" t="str">
        <f t="shared" si="418"/>
        <v/>
      </c>
      <c r="AF1227" s="16"/>
      <c r="AG1227" s="23"/>
      <c r="AH1227" s="22"/>
      <c r="AJ1227" s="83">
        <f t="shared" si="419"/>
        <v>0</v>
      </c>
      <c r="AO1227" s="22" t="str">
        <f t="shared" si="420"/>
        <v/>
      </c>
      <c r="AP1227" s="22" t="str">
        <f t="shared" si="421"/>
        <v/>
      </c>
    </row>
    <row r="1228" spans="1:42" x14ac:dyDescent="0.25">
      <c r="A1228" s="10"/>
      <c r="B1228" s="10"/>
      <c r="C1228" s="10"/>
      <c r="D1228" s="10"/>
      <c r="E1228" s="10"/>
      <c r="F1228" s="10"/>
      <c r="G1228" s="10"/>
      <c r="H1228" s="17"/>
      <c r="I1228" s="10"/>
      <c r="J1228" s="10"/>
      <c r="K1228" s="16" t="str">
        <f t="shared" si="400"/>
        <v/>
      </c>
      <c r="L1228" s="23" t="str">
        <f t="shared" si="401"/>
        <v/>
      </c>
      <c r="M1228" s="22" t="str">
        <f t="shared" si="402"/>
        <v/>
      </c>
      <c r="N1228" s="72"/>
      <c r="O1228" s="16" t="str">
        <f t="shared" si="403"/>
        <v/>
      </c>
      <c r="P1228" s="16" t="str">
        <f t="shared" si="404"/>
        <v/>
      </c>
      <c r="Q1228" s="16" t="str">
        <f t="shared" si="405"/>
        <v/>
      </c>
      <c r="R1228" s="23" t="str">
        <f t="shared" si="406"/>
        <v/>
      </c>
      <c r="S1228" s="23" t="str">
        <f t="shared" si="407"/>
        <v/>
      </c>
      <c r="T1228" s="23" t="str">
        <f t="shared" si="408"/>
        <v/>
      </c>
      <c r="U1228" s="23" t="str">
        <f t="shared" si="409"/>
        <v/>
      </c>
      <c r="V1228" s="23" t="str">
        <f t="shared" si="410"/>
        <v/>
      </c>
      <c r="W1228" s="70" t="str">
        <f t="shared" si="411"/>
        <v/>
      </c>
      <c r="X1228" s="70" t="str">
        <f t="shared" si="412"/>
        <v/>
      </c>
      <c r="Y1228" s="70" t="str">
        <f>IF(AND($A1228&lt;&gt;"",$E1228&gt;0),isLaptopBag($C1228,$J1228)*$D1228,"")</f>
        <v/>
      </c>
      <c r="Z1228" s="70" t="str">
        <f t="shared" si="413"/>
        <v/>
      </c>
      <c r="AA1228" s="70" t="str">
        <f t="shared" si="414"/>
        <v/>
      </c>
      <c r="AB1228" s="70" t="str">
        <f t="shared" si="415"/>
        <v/>
      </c>
      <c r="AC1228" s="70" t="str">
        <f t="shared" si="416"/>
        <v/>
      </c>
      <c r="AD1228" s="70" t="str">
        <f t="shared" si="417"/>
        <v/>
      </c>
      <c r="AE1228" s="70" t="str">
        <f t="shared" si="418"/>
        <v/>
      </c>
      <c r="AF1228" s="16"/>
      <c r="AG1228" s="23"/>
      <c r="AH1228" s="22"/>
      <c r="AJ1228" s="83">
        <f t="shared" si="419"/>
        <v>0</v>
      </c>
      <c r="AO1228" s="22" t="str">
        <f t="shared" si="420"/>
        <v/>
      </c>
      <c r="AP1228" s="22" t="str">
        <f t="shared" si="421"/>
        <v/>
      </c>
    </row>
    <row r="1229" spans="1:42" x14ac:dyDescent="0.25">
      <c r="A1229" s="10"/>
      <c r="B1229" s="10"/>
      <c r="C1229" s="10"/>
      <c r="D1229" s="10"/>
      <c r="E1229" s="10"/>
      <c r="F1229" s="10"/>
      <c r="G1229" s="10"/>
      <c r="H1229" s="17"/>
      <c r="I1229" s="10"/>
      <c r="J1229" s="10"/>
      <c r="K1229" s="16" t="str">
        <f t="shared" ref="K1229:K1292" si="422">IF($AF1229&lt;&gt;"",$AF1229,IF(AND($A1229&lt;&gt;"",$E1229&gt;0),SUM($O1229:$Q1229),""))</f>
        <v/>
      </c>
      <c r="L1229" s="23" t="str">
        <f t="shared" ref="L1229:L1292" si="423">IF($AG1229&lt;&gt;"",$AG1229,IF(AND($A1229&lt;&gt;"",$E1229&gt;0),SUM($R1229:$V1229),""))</f>
        <v/>
      </c>
      <c r="M1229" s="22" t="str">
        <f t="shared" ref="M1229:M1292" si="424">IF($AH1229&lt;&gt;"",$AH1229,IF(AND($A1229&lt;&gt;"",$E1229&gt;0),SUM($W1229:$AE1229)+$AO1229+$AP1229,""))</f>
        <v/>
      </c>
      <c r="N1229" s="72"/>
      <c r="O1229" s="16" t="str">
        <f t="shared" ref="O1229:O1292" si="425">IF(AND($A1229&lt;&gt;"",$E1229&gt;0),IF(AND($J1229="SONY",200000&lt;=$E1229,$E1229&lt;1000000),5000*$D1229,0),"")</f>
        <v/>
      </c>
      <c r="P1229" s="16" t="str">
        <f t="shared" ref="P1229:P1292" si="426">IF(AND($A1229&lt;&gt;"",$E1229&gt;0),IF(AND($J1229="SONY",1000000&lt;=$E1229,$E1229&lt;2000000),10000*$D1229,0),"")</f>
        <v/>
      </c>
      <c r="Q1229" s="16" t="str">
        <f t="shared" ref="Q1229:Q1292" si="427">IF(AND($A1229&lt;&gt;"",$E1229&gt;0),IF(AND($J1229="SONY",$E1229&gt;=2000000),20000*$D1229,0),"")</f>
        <v/>
      </c>
      <c r="R1229" s="23" t="str">
        <f t="shared" ref="R1229:R1292" si="428">IF(AND($A1229&lt;&gt;"",$E1229&gt;0),IF(AND($J1229&lt;&gt;"SONY",100000&lt;=$E1229,$E1229&lt;200000),5000*$D1229,0),"")</f>
        <v/>
      </c>
      <c r="S1229" s="23" t="str">
        <f t="shared" ref="S1229:S1292" si="429">IF(AND($A1229&lt;&gt;"",$E1229&gt;0),IF(AND($J1229&lt;&gt;"SONY",200000&lt;=$E1229,$E1229&lt;500000),10000*$D1229,0),"")</f>
        <v/>
      </c>
      <c r="T1229" s="23" t="str">
        <f t="shared" ref="T1229:T1292" si="430">IF(AND($A1229&lt;&gt;"",$E1229&gt;0),IF(AND($J1229&lt;&gt;"SONY",500000&lt;=$E1229,$E1229&lt;1000000),20000*$D1229,0),"")</f>
        <v/>
      </c>
      <c r="U1229" s="23" t="str">
        <f t="shared" ref="U1229:U1292" si="431">IF(AND($A1229&lt;&gt;"",$E1229&gt;0),IF(AND($J1229&lt;&gt;"SONY",1000000&lt;=$E1229,$E1229&lt;1500000),50000*$D1229,0),"")</f>
        <v/>
      </c>
      <c r="V1229" s="23" t="str">
        <f t="shared" ref="V1229:V1292" si="432">IF(AND($A1229&lt;&gt;"",$E1229&gt;0),IF(AND($J1229&lt;&gt;"SONY",1500000&lt;=$E1229),100000*$D1229,0),"")</f>
        <v/>
      </c>
      <c r="W1229" s="70" t="str">
        <f t="shared" ref="W1229:W1292" si="433">IF(AND($E1229&gt;0,$J1229="ELECOM",$E1229&gt;=500000,ISNUMBER(SEARCH("tai nghe",$C1229))),20000*$D1229,IF($A1229&lt;&gt;"",0,""))</f>
        <v/>
      </c>
      <c r="X1229" s="70" t="str">
        <f t="shared" ref="X1229:X1292" si="434">IF(AND($E1229&gt;0,$J1229="ELECOM",ISNUMBER(SEARCH("loa",$C1229))),20000*$D1229,IF($A1229&lt;&gt;"",0,""))</f>
        <v/>
      </c>
      <c r="Y1229" s="70" t="str">
        <f>IF(AND($A1229&lt;&gt;"",$E1229&gt;0),isLaptopBag($C1229,$J1229)*$D1229,"")</f>
        <v/>
      </c>
      <c r="Z1229" s="70" t="str">
        <f t="shared" ref="Z1229:Z1292" si="435">IF(AND($E1229&gt;0,$J1229="ELECOM",ISNUMBER(SEARCH("ốp",$C1229))),20000*$D1229,IF($A1229&lt;&gt;"",0,""))</f>
        <v/>
      </c>
      <c r="AA1229" s="70" t="str">
        <f t="shared" ref="AA1229:AA1292" si="436">IF(AND($E1229&gt;0,$J1229="ELECOM",ISNUMBER(SEARCH("Bút",$C1229))),20000*$D1229,IF($A1229&lt;&gt;"",0,""))</f>
        <v/>
      </c>
      <c r="AB1229" s="70" t="str">
        <f t="shared" ref="AB1229:AB1292" si="437">IF(AND($E1229&gt;0,$J1229="ELECOM",ISNUMBER(SEARCH("Chuột bi",$C1229))),20000*$D1229,IF($A1229&lt;&gt;"",0,""))</f>
        <v/>
      </c>
      <c r="AC1229" s="70" t="str">
        <f t="shared" ref="AC1229:AC1292" si="438">IF(AND($E1229&gt;0,$J1229="ELECOM",ISNUMBER(SEARCH("Chuột trackball",$C1229))),20000*$D1229,IF($A1229&lt;&gt;"",0,""))</f>
        <v/>
      </c>
      <c r="AD1229" s="70" t="str">
        <f t="shared" ref="AD1229:AD1292" si="439">IF(AND($E1229&gt;0,$J1229="ELECOM",ISNUMBER(SEARCH("Sạc không dây",$C1229))),20000*$D1229,IF($A1229&lt;&gt;"",0,""))</f>
        <v/>
      </c>
      <c r="AE1229" s="70" t="str">
        <f t="shared" ref="AE1229:AE1292" si="440">IF(AND($E1229&gt;0,$J1229="ELECOM",ISNUMBER(SEARCH("Sạc kd",$C1229))),20000*$D1229,IF($A1229&lt;&gt;"",0,""))</f>
        <v/>
      </c>
      <c r="AF1229" s="16"/>
      <c r="AG1229" s="23"/>
      <c r="AH1229" s="22"/>
      <c r="AJ1229" s="83">
        <f t="shared" ref="AJ1229:AJ1292" si="441">DAY(H1229)</f>
        <v>0</v>
      </c>
      <c r="AO1229" s="22" t="str">
        <f t="shared" ref="AO1229:AO1292" si="442">IF(AND($E1229&gt;0,ISNUMBER(SEARCH("Sạc dự phòng Energizer",$C1229))),10000*$D1229,IF($A1229&lt;&gt;"",0,""))</f>
        <v/>
      </c>
      <c r="AP1229" s="22" t="str">
        <f t="shared" ref="AP1229:AP1292" si="443">IF(AND($E1229&gt;0,ISNUMBER(SEARCH("SDP Energizer",$C1229))),10000*$D1229,IF($A1229&lt;&gt;"",0,""))</f>
        <v/>
      </c>
    </row>
    <row r="1230" spans="1:42" x14ac:dyDescent="0.25">
      <c r="A1230" s="10"/>
      <c r="B1230" s="10"/>
      <c r="C1230" s="10"/>
      <c r="D1230" s="10"/>
      <c r="E1230" s="10"/>
      <c r="F1230" s="10"/>
      <c r="G1230" s="10"/>
      <c r="H1230" s="17"/>
      <c r="I1230" s="10"/>
      <c r="J1230" s="10"/>
      <c r="K1230" s="16" t="str">
        <f t="shared" si="422"/>
        <v/>
      </c>
      <c r="L1230" s="23" t="str">
        <f t="shared" si="423"/>
        <v/>
      </c>
      <c r="M1230" s="22" t="str">
        <f t="shared" si="424"/>
        <v/>
      </c>
      <c r="N1230" s="72"/>
      <c r="O1230" s="16" t="str">
        <f t="shared" si="425"/>
        <v/>
      </c>
      <c r="P1230" s="16" t="str">
        <f t="shared" si="426"/>
        <v/>
      </c>
      <c r="Q1230" s="16" t="str">
        <f t="shared" si="427"/>
        <v/>
      </c>
      <c r="R1230" s="23" t="str">
        <f t="shared" si="428"/>
        <v/>
      </c>
      <c r="S1230" s="23" t="str">
        <f t="shared" si="429"/>
        <v/>
      </c>
      <c r="T1230" s="23" t="str">
        <f t="shared" si="430"/>
        <v/>
      </c>
      <c r="U1230" s="23" t="str">
        <f t="shared" si="431"/>
        <v/>
      </c>
      <c r="V1230" s="23" t="str">
        <f t="shared" si="432"/>
        <v/>
      </c>
      <c r="W1230" s="70" t="str">
        <f t="shared" si="433"/>
        <v/>
      </c>
      <c r="X1230" s="70" t="str">
        <f t="shared" si="434"/>
        <v/>
      </c>
      <c r="Y1230" s="70" t="str">
        <f>IF(AND($A1230&lt;&gt;"",$E1230&gt;0),isLaptopBag($C1230,$J1230)*$D1230,"")</f>
        <v/>
      </c>
      <c r="Z1230" s="70" t="str">
        <f t="shared" si="435"/>
        <v/>
      </c>
      <c r="AA1230" s="70" t="str">
        <f t="shared" si="436"/>
        <v/>
      </c>
      <c r="AB1230" s="70" t="str">
        <f t="shared" si="437"/>
        <v/>
      </c>
      <c r="AC1230" s="70" t="str">
        <f t="shared" si="438"/>
        <v/>
      </c>
      <c r="AD1230" s="70" t="str">
        <f t="shared" si="439"/>
        <v/>
      </c>
      <c r="AE1230" s="70" t="str">
        <f t="shared" si="440"/>
        <v/>
      </c>
      <c r="AF1230" s="16"/>
      <c r="AG1230" s="23"/>
      <c r="AH1230" s="22"/>
      <c r="AJ1230" s="83">
        <f t="shared" si="441"/>
        <v>0</v>
      </c>
      <c r="AO1230" s="22" t="str">
        <f t="shared" si="442"/>
        <v/>
      </c>
      <c r="AP1230" s="22" t="str">
        <f t="shared" si="443"/>
        <v/>
      </c>
    </row>
    <row r="1231" spans="1:42" x14ac:dyDescent="0.25">
      <c r="A1231" s="10"/>
      <c r="B1231" s="10"/>
      <c r="C1231" s="10"/>
      <c r="D1231" s="10"/>
      <c r="E1231" s="10"/>
      <c r="F1231" s="10"/>
      <c r="G1231" s="10"/>
      <c r="H1231" s="17"/>
      <c r="I1231" s="10"/>
      <c r="J1231" s="10"/>
      <c r="K1231" s="16" t="str">
        <f t="shared" si="422"/>
        <v/>
      </c>
      <c r="L1231" s="23" t="str">
        <f t="shared" si="423"/>
        <v/>
      </c>
      <c r="M1231" s="22" t="str">
        <f t="shared" si="424"/>
        <v/>
      </c>
      <c r="N1231" s="72"/>
      <c r="O1231" s="16" t="str">
        <f t="shared" si="425"/>
        <v/>
      </c>
      <c r="P1231" s="16" t="str">
        <f t="shared" si="426"/>
        <v/>
      </c>
      <c r="Q1231" s="16" t="str">
        <f t="shared" si="427"/>
        <v/>
      </c>
      <c r="R1231" s="23" t="str">
        <f t="shared" si="428"/>
        <v/>
      </c>
      <c r="S1231" s="23" t="str">
        <f t="shared" si="429"/>
        <v/>
      </c>
      <c r="T1231" s="23" t="str">
        <f t="shared" si="430"/>
        <v/>
      </c>
      <c r="U1231" s="23" t="str">
        <f t="shared" si="431"/>
        <v/>
      </c>
      <c r="V1231" s="23" t="str">
        <f t="shared" si="432"/>
        <v/>
      </c>
      <c r="W1231" s="70" t="str">
        <f t="shared" si="433"/>
        <v/>
      </c>
      <c r="X1231" s="70" t="str">
        <f t="shared" si="434"/>
        <v/>
      </c>
      <c r="Y1231" s="70" t="str">
        <f>IF(AND($A1231&lt;&gt;"",$E1231&gt;0),isLaptopBag($C1231,$J1231)*$D1231,"")</f>
        <v/>
      </c>
      <c r="Z1231" s="70" t="str">
        <f t="shared" si="435"/>
        <v/>
      </c>
      <c r="AA1231" s="70" t="str">
        <f t="shared" si="436"/>
        <v/>
      </c>
      <c r="AB1231" s="70" t="str">
        <f t="shared" si="437"/>
        <v/>
      </c>
      <c r="AC1231" s="70" t="str">
        <f t="shared" si="438"/>
        <v/>
      </c>
      <c r="AD1231" s="70" t="str">
        <f t="shared" si="439"/>
        <v/>
      </c>
      <c r="AE1231" s="70" t="str">
        <f t="shared" si="440"/>
        <v/>
      </c>
      <c r="AF1231" s="16"/>
      <c r="AG1231" s="23"/>
      <c r="AH1231" s="22"/>
      <c r="AJ1231" s="83">
        <f t="shared" si="441"/>
        <v>0</v>
      </c>
      <c r="AO1231" s="22" t="str">
        <f t="shared" si="442"/>
        <v/>
      </c>
      <c r="AP1231" s="22" t="str">
        <f t="shared" si="443"/>
        <v/>
      </c>
    </row>
    <row r="1232" spans="1:42" x14ac:dyDescent="0.25">
      <c r="A1232" s="10"/>
      <c r="B1232" s="10"/>
      <c r="C1232" s="10"/>
      <c r="D1232" s="10"/>
      <c r="E1232" s="10"/>
      <c r="F1232" s="10"/>
      <c r="G1232" s="10"/>
      <c r="H1232" s="17"/>
      <c r="I1232" s="10"/>
      <c r="J1232" s="10"/>
      <c r="K1232" s="16" t="str">
        <f t="shared" si="422"/>
        <v/>
      </c>
      <c r="L1232" s="23" t="str">
        <f t="shared" si="423"/>
        <v/>
      </c>
      <c r="M1232" s="22" t="str">
        <f t="shared" si="424"/>
        <v/>
      </c>
      <c r="N1232" s="72"/>
      <c r="O1232" s="16" t="str">
        <f t="shared" si="425"/>
        <v/>
      </c>
      <c r="P1232" s="16" t="str">
        <f t="shared" si="426"/>
        <v/>
      </c>
      <c r="Q1232" s="16" t="str">
        <f t="shared" si="427"/>
        <v/>
      </c>
      <c r="R1232" s="23" t="str">
        <f t="shared" si="428"/>
        <v/>
      </c>
      <c r="S1232" s="23" t="str">
        <f t="shared" si="429"/>
        <v/>
      </c>
      <c r="T1232" s="23" t="str">
        <f t="shared" si="430"/>
        <v/>
      </c>
      <c r="U1232" s="23" t="str">
        <f t="shared" si="431"/>
        <v/>
      </c>
      <c r="V1232" s="23" t="str">
        <f t="shared" si="432"/>
        <v/>
      </c>
      <c r="W1232" s="70" t="str">
        <f t="shared" si="433"/>
        <v/>
      </c>
      <c r="X1232" s="70" t="str">
        <f t="shared" si="434"/>
        <v/>
      </c>
      <c r="Y1232" s="70" t="str">
        <f>IF(AND($A1232&lt;&gt;"",$E1232&gt;0),isLaptopBag($C1232,$J1232)*$D1232,"")</f>
        <v/>
      </c>
      <c r="Z1232" s="70" t="str">
        <f t="shared" si="435"/>
        <v/>
      </c>
      <c r="AA1232" s="70" t="str">
        <f t="shared" si="436"/>
        <v/>
      </c>
      <c r="AB1232" s="70" t="str">
        <f t="shared" si="437"/>
        <v/>
      </c>
      <c r="AC1232" s="70" t="str">
        <f t="shared" si="438"/>
        <v/>
      </c>
      <c r="AD1232" s="70" t="str">
        <f t="shared" si="439"/>
        <v/>
      </c>
      <c r="AE1232" s="70" t="str">
        <f t="shared" si="440"/>
        <v/>
      </c>
      <c r="AF1232" s="16"/>
      <c r="AG1232" s="23"/>
      <c r="AH1232" s="22"/>
      <c r="AJ1232" s="83">
        <f t="shared" si="441"/>
        <v>0</v>
      </c>
      <c r="AO1232" s="22" t="str">
        <f t="shared" si="442"/>
        <v/>
      </c>
      <c r="AP1232" s="22" t="str">
        <f t="shared" si="443"/>
        <v/>
      </c>
    </row>
    <row r="1233" spans="1:42" x14ac:dyDescent="0.25">
      <c r="A1233" s="10"/>
      <c r="B1233" s="10"/>
      <c r="C1233" s="10"/>
      <c r="D1233" s="10"/>
      <c r="E1233" s="10"/>
      <c r="F1233" s="10"/>
      <c r="G1233" s="10"/>
      <c r="H1233" s="17"/>
      <c r="I1233" s="10"/>
      <c r="J1233" s="10"/>
      <c r="K1233" s="16" t="str">
        <f t="shared" si="422"/>
        <v/>
      </c>
      <c r="L1233" s="23" t="str">
        <f t="shared" si="423"/>
        <v/>
      </c>
      <c r="M1233" s="22" t="str">
        <f t="shared" si="424"/>
        <v/>
      </c>
      <c r="N1233" s="72"/>
      <c r="O1233" s="16" t="str">
        <f t="shared" si="425"/>
        <v/>
      </c>
      <c r="P1233" s="16" t="str">
        <f t="shared" si="426"/>
        <v/>
      </c>
      <c r="Q1233" s="16" t="str">
        <f t="shared" si="427"/>
        <v/>
      </c>
      <c r="R1233" s="23" t="str">
        <f t="shared" si="428"/>
        <v/>
      </c>
      <c r="S1233" s="23" t="str">
        <f t="shared" si="429"/>
        <v/>
      </c>
      <c r="T1233" s="23" t="str">
        <f t="shared" si="430"/>
        <v/>
      </c>
      <c r="U1233" s="23" t="str">
        <f t="shared" si="431"/>
        <v/>
      </c>
      <c r="V1233" s="23" t="str">
        <f t="shared" si="432"/>
        <v/>
      </c>
      <c r="W1233" s="70" t="str">
        <f t="shared" si="433"/>
        <v/>
      </c>
      <c r="X1233" s="70" t="str">
        <f t="shared" si="434"/>
        <v/>
      </c>
      <c r="Y1233" s="70" t="str">
        <f>IF(AND($A1233&lt;&gt;"",$E1233&gt;0),isLaptopBag($C1233,$J1233)*$D1233,"")</f>
        <v/>
      </c>
      <c r="Z1233" s="70" t="str">
        <f t="shared" si="435"/>
        <v/>
      </c>
      <c r="AA1233" s="70" t="str">
        <f t="shared" si="436"/>
        <v/>
      </c>
      <c r="AB1233" s="70" t="str">
        <f t="shared" si="437"/>
        <v/>
      </c>
      <c r="AC1233" s="70" t="str">
        <f t="shared" si="438"/>
        <v/>
      </c>
      <c r="AD1233" s="70" t="str">
        <f t="shared" si="439"/>
        <v/>
      </c>
      <c r="AE1233" s="70" t="str">
        <f t="shared" si="440"/>
        <v/>
      </c>
      <c r="AF1233" s="16"/>
      <c r="AG1233" s="23"/>
      <c r="AH1233" s="22"/>
      <c r="AJ1233" s="83">
        <f t="shared" si="441"/>
        <v>0</v>
      </c>
      <c r="AO1233" s="22" t="str">
        <f t="shared" si="442"/>
        <v/>
      </c>
      <c r="AP1233" s="22" t="str">
        <f t="shared" si="443"/>
        <v/>
      </c>
    </row>
    <row r="1234" spans="1:42" x14ac:dyDescent="0.25">
      <c r="A1234" s="10"/>
      <c r="B1234" s="10"/>
      <c r="C1234" s="10"/>
      <c r="D1234" s="10"/>
      <c r="E1234" s="10"/>
      <c r="F1234" s="10"/>
      <c r="G1234" s="10"/>
      <c r="H1234" s="17"/>
      <c r="I1234" s="10"/>
      <c r="J1234" s="10"/>
      <c r="K1234" s="16" t="str">
        <f t="shared" si="422"/>
        <v/>
      </c>
      <c r="L1234" s="23" t="str">
        <f t="shared" si="423"/>
        <v/>
      </c>
      <c r="M1234" s="22" t="str">
        <f t="shared" si="424"/>
        <v/>
      </c>
      <c r="N1234" s="72"/>
      <c r="O1234" s="16" t="str">
        <f t="shared" si="425"/>
        <v/>
      </c>
      <c r="P1234" s="16" t="str">
        <f t="shared" si="426"/>
        <v/>
      </c>
      <c r="Q1234" s="16" t="str">
        <f t="shared" si="427"/>
        <v/>
      </c>
      <c r="R1234" s="23" t="str">
        <f t="shared" si="428"/>
        <v/>
      </c>
      <c r="S1234" s="23" t="str">
        <f t="shared" si="429"/>
        <v/>
      </c>
      <c r="T1234" s="23" t="str">
        <f t="shared" si="430"/>
        <v/>
      </c>
      <c r="U1234" s="23" t="str">
        <f t="shared" si="431"/>
        <v/>
      </c>
      <c r="V1234" s="23" t="str">
        <f t="shared" si="432"/>
        <v/>
      </c>
      <c r="W1234" s="70" t="str">
        <f t="shared" si="433"/>
        <v/>
      </c>
      <c r="X1234" s="70" t="str">
        <f t="shared" si="434"/>
        <v/>
      </c>
      <c r="Y1234" s="70" t="str">
        <f>IF(AND($A1234&lt;&gt;"",$E1234&gt;0),isLaptopBag($C1234,$J1234)*$D1234,"")</f>
        <v/>
      </c>
      <c r="Z1234" s="70" t="str">
        <f t="shared" si="435"/>
        <v/>
      </c>
      <c r="AA1234" s="70" t="str">
        <f t="shared" si="436"/>
        <v/>
      </c>
      <c r="AB1234" s="70" t="str">
        <f t="shared" si="437"/>
        <v/>
      </c>
      <c r="AC1234" s="70" t="str">
        <f t="shared" si="438"/>
        <v/>
      </c>
      <c r="AD1234" s="70" t="str">
        <f t="shared" si="439"/>
        <v/>
      </c>
      <c r="AE1234" s="70" t="str">
        <f t="shared" si="440"/>
        <v/>
      </c>
      <c r="AF1234" s="16"/>
      <c r="AG1234" s="23"/>
      <c r="AH1234" s="22"/>
      <c r="AJ1234" s="83">
        <f t="shared" si="441"/>
        <v>0</v>
      </c>
      <c r="AO1234" s="22" t="str">
        <f t="shared" si="442"/>
        <v/>
      </c>
      <c r="AP1234" s="22" t="str">
        <f t="shared" si="443"/>
        <v/>
      </c>
    </row>
    <row r="1235" spans="1:42" x14ac:dyDescent="0.25">
      <c r="A1235" s="10"/>
      <c r="B1235" s="10"/>
      <c r="C1235" s="10"/>
      <c r="D1235" s="10"/>
      <c r="E1235" s="10"/>
      <c r="F1235" s="10"/>
      <c r="G1235" s="10"/>
      <c r="H1235" s="17"/>
      <c r="I1235" s="10"/>
      <c r="J1235" s="10"/>
      <c r="K1235" s="16" t="str">
        <f t="shared" si="422"/>
        <v/>
      </c>
      <c r="L1235" s="23" t="str">
        <f t="shared" si="423"/>
        <v/>
      </c>
      <c r="M1235" s="22" t="str">
        <f t="shared" si="424"/>
        <v/>
      </c>
      <c r="N1235" s="72"/>
      <c r="O1235" s="16" t="str">
        <f t="shared" si="425"/>
        <v/>
      </c>
      <c r="P1235" s="16" t="str">
        <f t="shared" si="426"/>
        <v/>
      </c>
      <c r="Q1235" s="16" t="str">
        <f t="shared" si="427"/>
        <v/>
      </c>
      <c r="R1235" s="23" t="str">
        <f t="shared" si="428"/>
        <v/>
      </c>
      <c r="S1235" s="23" t="str">
        <f t="shared" si="429"/>
        <v/>
      </c>
      <c r="T1235" s="23" t="str">
        <f t="shared" si="430"/>
        <v/>
      </c>
      <c r="U1235" s="23" t="str">
        <f t="shared" si="431"/>
        <v/>
      </c>
      <c r="V1235" s="23" t="str">
        <f t="shared" si="432"/>
        <v/>
      </c>
      <c r="W1235" s="70" t="str">
        <f t="shared" si="433"/>
        <v/>
      </c>
      <c r="X1235" s="70" t="str">
        <f t="shared" si="434"/>
        <v/>
      </c>
      <c r="Y1235" s="70" t="str">
        <f>IF(AND($A1235&lt;&gt;"",$E1235&gt;0),isLaptopBag($C1235,$J1235)*$D1235,"")</f>
        <v/>
      </c>
      <c r="Z1235" s="70" t="str">
        <f t="shared" si="435"/>
        <v/>
      </c>
      <c r="AA1235" s="70" t="str">
        <f t="shared" si="436"/>
        <v/>
      </c>
      <c r="AB1235" s="70" t="str">
        <f t="shared" si="437"/>
        <v/>
      </c>
      <c r="AC1235" s="70" t="str">
        <f t="shared" si="438"/>
        <v/>
      </c>
      <c r="AD1235" s="70" t="str">
        <f t="shared" si="439"/>
        <v/>
      </c>
      <c r="AE1235" s="70" t="str">
        <f t="shared" si="440"/>
        <v/>
      </c>
      <c r="AF1235" s="16"/>
      <c r="AG1235" s="23"/>
      <c r="AH1235" s="22"/>
      <c r="AJ1235" s="83">
        <f t="shared" si="441"/>
        <v>0</v>
      </c>
      <c r="AO1235" s="22" t="str">
        <f t="shared" si="442"/>
        <v/>
      </c>
      <c r="AP1235" s="22" t="str">
        <f t="shared" si="443"/>
        <v/>
      </c>
    </row>
    <row r="1236" spans="1:42" x14ac:dyDescent="0.25">
      <c r="A1236" s="10"/>
      <c r="B1236" s="10"/>
      <c r="C1236" s="10"/>
      <c r="D1236" s="10"/>
      <c r="E1236" s="10"/>
      <c r="F1236" s="10"/>
      <c r="G1236" s="10"/>
      <c r="H1236" s="17"/>
      <c r="I1236" s="10"/>
      <c r="J1236" s="10"/>
      <c r="K1236" s="16" t="str">
        <f t="shared" si="422"/>
        <v/>
      </c>
      <c r="L1236" s="23" t="str">
        <f t="shared" si="423"/>
        <v/>
      </c>
      <c r="M1236" s="22" t="str">
        <f t="shared" si="424"/>
        <v/>
      </c>
      <c r="N1236" s="72"/>
      <c r="O1236" s="16" t="str">
        <f t="shared" si="425"/>
        <v/>
      </c>
      <c r="P1236" s="16" t="str">
        <f t="shared" si="426"/>
        <v/>
      </c>
      <c r="Q1236" s="16" t="str">
        <f t="shared" si="427"/>
        <v/>
      </c>
      <c r="R1236" s="23" t="str">
        <f t="shared" si="428"/>
        <v/>
      </c>
      <c r="S1236" s="23" t="str">
        <f t="shared" si="429"/>
        <v/>
      </c>
      <c r="T1236" s="23" t="str">
        <f t="shared" si="430"/>
        <v/>
      </c>
      <c r="U1236" s="23" t="str">
        <f t="shared" si="431"/>
        <v/>
      </c>
      <c r="V1236" s="23" t="str">
        <f t="shared" si="432"/>
        <v/>
      </c>
      <c r="W1236" s="70" t="str">
        <f t="shared" si="433"/>
        <v/>
      </c>
      <c r="X1236" s="70" t="str">
        <f t="shared" si="434"/>
        <v/>
      </c>
      <c r="Y1236" s="70" t="str">
        <f>IF(AND($A1236&lt;&gt;"",$E1236&gt;0),isLaptopBag($C1236,$J1236)*$D1236,"")</f>
        <v/>
      </c>
      <c r="Z1236" s="70" t="str">
        <f t="shared" si="435"/>
        <v/>
      </c>
      <c r="AA1236" s="70" t="str">
        <f t="shared" si="436"/>
        <v/>
      </c>
      <c r="AB1236" s="70" t="str">
        <f t="shared" si="437"/>
        <v/>
      </c>
      <c r="AC1236" s="70" t="str">
        <f t="shared" si="438"/>
        <v/>
      </c>
      <c r="AD1236" s="70" t="str">
        <f t="shared" si="439"/>
        <v/>
      </c>
      <c r="AE1236" s="70" t="str">
        <f t="shared" si="440"/>
        <v/>
      </c>
      <c r="AF1236" s="16"/>
      <c r="AG1236" s="23"/>
      <c r="AH1236" s="22"/>
      <c r="AJ1236" s="83">
        <f t="shared" si="441"/>
        <v>0</v>
      </c>
      <c r="AO1236" s="22" t="str">
        <f t="shared" si="442"/>
        <v/>
      </c>
      <c r="AP1236" s="22" t="str">
        <f t="shared" si="443"/>
        <v/>
      </c>
    </row>
    <row r="1237" spans="1:42" x14ac:dyDescent="0.25">
      <c r="A1237" s="10"/>
      <c r="B1237" s="10"/>
      <c r="C1237" s="10"/>
      <c r="D1237" s="10"/>
      <c r="E1237" s="10"/>
      <c r="F1237" s="10"/>
      <c r="G1237" s="10"/>
      <c r="H1237" s="17"/>
      <c r="I1237" s="10"/>
      <c r="J1237" s="10"/>
      <c r="K1237" s="16" t="str">
        <f t="shared" si="422"/>
        <v/>
      </c>
      <c r="L1237" s="23" t="str">
        <f t="shared" si="423"/>
        <v/>
      </c>
      <c r="M1237" s="22" t="str">
        <f t="shared" si="424"/>
        <v/>
      </c>
      <c r="N1237" s="72"/>
      <c r="O1237" s="16" t="str">
        <f t="shared" si="425"/>
        <v/>
      </c>
      <c r="P1237" s="16" t="str">
        <f t="shared" si="426"/>
        <v/>
      </c>
      <c r="Q1237" s="16" t="str">
        <f t="shared" si="427"/>
        <v/>
      </c>
      <c r="R1237" s="23" t="str">
        <f t="shared" si="428"/>
        <v/>
      </c>
      <c r="S1237" s="23" t="str">
        <f t="shared" si="429"/>
        <v/>
      </c>
      <c r="T1237" s="23" t="str">
        <f t="shared" si="430"/>
        <v/>
      </c>
      <c r="U1237" s="23" t="str">
        <f t="shared" si="431"/>
        <v/>
      </c>
      <c r="V1237" s="23" t="str">
        <f t="shared" si="432"/>
        <v/>
      </c>
      <c r="W1237" s="70" t="str">
        <f t="shared" si="433"/>
        <v/>
      </c>
      <c r="X1237" s="70" t="str">
        <f t="shared" si="434"/>
        <v/>
      </c>
      <c r="Y1237" s="70" t="str">
        <f>IF(AND($A1237&lt;&gt;"",$E1237&gt;0),isLaptopBag($C1237,$J1237)*$D1237,"")</f>
        <v/>
      </c>
      <c r="Z1237" s="70" t="str">
        <f t="shared" si="435"/>
        <v/>
      </c>
      <c r="AA1237" s="70" t="str">
        <f t="shared" si="436"/>
        <v/>
      </c>
      <c r="AB1237" s="70" t="str">
        <f t="shared" si="437"/>
        <v/>
      </c>
      <c r="AC1237" s="70" t="str">
        <f t="shared" si="438"/>
        <v/>
      </c>
      <c r="AD1237" s="70" t="str">
        <f t="shared" si="439"/>
        <v/>
      </c>
      <c r="AE1237" s="70" t="str">
        <f t="shared" si="440"/>
        <v/>
      </c>
      <c r="AF1237" s="16"/>
      <c r="AG1237" s="23"/>
      <c r="AH1237" s="22"/>
      <c r="AJ1237" s="83">
        <f t="shared" si="441"/>
        <v>0</v>
      </c>
      <c r="AO1237" s="22" t="str">
        <f t="shared" si="442"/>
        <v/>
      </c>
      <c r="AP1237" s="22" t="str">
        <f t="shared" si="443"/>
        <v/>
      </c>
    </row>
    <row r="1238" spans="1:42" x14ac:dyDescent="0.25">
      <c r="A1238" s="10"/>
      <c r="B1238" s="10"/>
      <c r="C1238" s="10"/>
      <c r="D1238" s="10"/>
      <c r="E1238" s="10"/>
      <c r="F1238" s="10"/>
      <c r="G1238" s="10"/>
      <c r="H1238" s="17"/>
      <c r="I1238" s="10"/>
      <c r="J1238" s="10"/>
      <c r="K1238" s="16" t="str">
        <f t="shared" si="422"/>
        <v/>
      </c>
      <c r="L1238" s="23" t="str">
        <f t="shared" si="423"/>
        <v/>
      </c>
      <c r="M1238" s="22" t="str">
        <f t="shared" si="424"/>
        <v/>
      </c>
      <c r="N1238" s="72"/>
      <c r="O1238" s="16" t="str">
        <f t="shared" si="425"/>
        <v/>
      </c>
      <c r="P1238" s="16" t="str">
        <f t="shared" si="426"/>
        <v/>
      </c>
      <c r="Q1238" s="16" t="str">
        <f t="shared" si="427"/>
        <v/>
      </c>
      <c r="R1238" s="23" t="str">
        <f t="shared" si="428"/>
        <v/>
      </c>
      <c r="S1238" s="23" t="str">
        <f t="shared" si="429"/>
        <v/>
      </c>
      <c r="T1238" s="23" t="str">
        <f t="shared" si="430"/>
        <v/>
      </c>
      <c r="U1238" s="23" t="str">
        <f t="shared" si="431"/>
        <v/>
      </c>
      <c r="V1238" s="23" t="str">
        <f t="shared" si="432"/>
        <v/>
      </c>
      <c r="W1238" s="70" t="str">
        <f t="shared" si="433"/>
        <v/>
      </c>
      <c r="X1238" s="70" t="str">
        <f t="shared" si="434"/>
        <v/>
      </c>
      <c r="Y1238" s="70" t="str">
        <f>IF(AND($A1238&lt;&gt;"",$E1238&gt;0),isLaptopBag($C1238,$J1238)*$D1238,"")</f>
        <v/>
      </c>
      <c r="Z1238" s="70" t="str">
        <f t="shared" si="435"/>
        <v/>
      </c>
      <c r="AA1238" s="70" t="str">
        <f t="shared" si="436"/>
        <v/>
      </c>
      <c r="AB1238" s="70" t="str">
        <f t="shared" si="437"/>
        <v/>
      </c>
      <c r="AC1238" s="70" t="str">
        <f t="shared" si="438"/>
        <v/>
      </c>
      <c r="AD1238" s="70" t="str">
        <f t="shared" si="439"/>
        <v/>
      </c>
      <c r="AE1238" s="70" t="str">
        <f t="shared" si="440"/>
        <v/>
      </c>
      <c r="AF1238" s="16"/>
      <c r="AG1238" s="23"/>
      <c r="AH1238" s="22"/>
      <c r="AJ1238" s="83">
        <f t="shared" si="441"/>
        <v>0</v>
      </c>
      <c r="AO1238" s="22" t="str">
        <f t="shared" si="442"/>
        <v/>
      </c>
      <c r="AP1238" s="22" t="str">
        <f t="shared" si="443"/>
        <v/>
      </c>
    </row>
    <row r="1239" spans="1:42" x14ac:dyDescent="0.25">
      <c r="A1239" s="10"/>
      <c r="B1239" s="10"/>
      <c r="C1239" s="10"/>
      <c r="D1239" s="10"/>
      <c r="E1239" s="10"/>
      <c r="F1239" s="10"/>
      <c r="G1239" s="10"/>
      <c r="H1239" s="17"/>
      <c r="I1239" s="10"/>
      <c r="J1239" s="10"/>
      <c r="K1239" s="16" t="str">
        <f t="shared" si="422"/>
        <v/>
      </c>
      <c r="L1239" s="23" t="str">
        <f t="shared" si="423"/>
        <v/>
      </c>
      <c r="M1239" s="22" t="str">
        <f t="shared" si="424"/>
        <v/>
      </c>
      <c r="N1239" s="72"/>
      <c r="O1239" s="16" t="str">
        <f t="shared" si="425"/>
        <v/>
      </c>
      <c r="P1239" s="16" t="str">
        <f t="shared" si="426"/>
        <v/>
      </c>
      <c r="Q1239" s="16" t="str">
        <f t="shared" si="427"/>
        <v/>
      </c>
      <c r="R1239" s="23" t="str">
        <f t="shared" si="428"/>
        <v/>
      </c>
      <c r="S1239" s="23" t="str">
        <f t="shared" si="429"/>
        <v/>
      </c>
      <c r="T1239" s="23" t="str">
        <f t="shared" si="430"/>
        <v/>
      </c>
      <c r="U1239" s="23" t="str">
        <f t="shared" si="431"/>
        <v/>
      </c>
      <c r="V1239" s="23" t="str">
        <f t="shared" si="432"/>
        <v/>
      </c>
      <c r="W1239" s="70" t="str">
        <f t="shared" si="433"/>
        <v/>
      </c>
      <c r="X1239" s="70" t="str">
        <f t="shared" si="434"/>
        <v/>
      </c>
      <c r="Y1239" s="70" t="str">
        <f>IF(AND($A1239&lt;&gt;"",$E1239&gt;0),isLaptopBag($C1239,$J1239)*$D1239,"")</f>
        <v/>
      </c>
      <c r="Z1239" s="70" t="str">
        <f t="shared" si="435"/>
        <v/>
      </c>
      <c r="AA1239" s="70" t="str">
        <f t="shared" si="436"/>
        <v/>
      </c>
      <c r="AB1239" s="70" t="str">
        <f t="shared" si="437"/>
        <v/>
      </c>
      <c r="AC1239" s="70" t="str">
        <f t="shared" si="438"/>
        <v/>
      </c>
      <c r="AD1239" s="70" t="str">
        <f t="shared" si="439"/>
        <v/>
      </c>
      <c r="AE1239" s="70" t="str">
        <f t="shared" si="440"/>
        <v/>
      </c>
      <c r="AF1239" s="16"/>
      <c r="AG1239" s="23"/>
      <c r="AH1239" s="22"/>
      <c r="AJ1239" s="83">
        <f t="shared" si="441"/>
        <v>0</v>
      </c>
      <c r="AO1239" s="22" t="str">
        <f t="shared" si="442"/>
        <v/>
      </c>
      <c r="AP1239" s="22" t="str">
        <f t="shared" si="443"/>
        <v/>
      </c>
    </row>
    <row r="1240" spans="1:42" x14ac:dyDescent="0.25">
      <c r="A1240" s="10"/>
      <c r="B1240" s="10"/>
      <c r="C1240" s="10"/>
      <c r="D1240" s="10"/>
      <c r="E1240" s="10"/>
      <c r="F1240" s="10"/>
      <c r="G1240" s="10"/>
      <c r="H1240" s="17"/>
      <c r="I1240" s="10"/>
      <c r="J1240" s="10"/>
      <c r="K1240" s="16" t="str">
        <f t="shared" si="422"/>
        <v/>
      </c>
      <c r="L1240" s="23" t="str">
        <f t="shared" si="423"/>
        <v/>
      </c>
      <c r="M1240" s="22" t="str">
        <f t="shared" si="424"/>
        <v/>
      </c>
      <c r="N1240" s="72"/>
      <c r="O1240" s="16" t="str">
        <f t="shared" si="425"/>
        <v/>
      </c>
      <c r="P1240" s="16" t="str">
        <f t="shared" si="426"/>
        <v/>
      </c>
      <c r="Q1240" s="16" t="str">
        <f t="shared" si="427"/>
        <v/>
      </c>
      <c r="R1240" s="23" t="str">
        <f t="shared" si="428"/>
        <v/>
      </c>
      <c r="S1240" s="23" t="str">
        <f t="shared" si="429"/>
        <v/>
      </c>
      <c r="T1240" s="23" t="str">
        <f t="shared" si="430"/>
        <v/>
      </c>
      <c r="U1240" s="23" t="str">
        <f t="shared" si="431"/>
        <v/>
      </c>
      <c r="V1240" s="23" t="str">
        <f t="shared" si="432"/>
        <v/>
      </c>
      <c r="W1240" s="70" t="str">
        <f t="shared" si="433"/>
        <v/>
      </c>
      <c r="X1240" s="70" t="str">
        <f t="shared" si="434"/>
        <v/>
      </c>
      <c r="Y1240" s="70" t="str">
        <f>IF(AND($A1240&lt;&gt;"",$E1240&gt;0),isLaptopBag($C1240,$J1240)*$D1240,"")</f>
        <v/>
      </c>
      <c r="Z1240" s="70" t="str">
        <f t="shared" si="435"/>
        <v/>
      </c>
      <c r="AA1240" s="70" t="str">
        <f t="shared" si="436"/>
        <v/>
      </c>
      <c r="AB1240" s="70" t="str">
        <f t="shared" si="437"/>
        <v/>
      </c>
      <c r="AC1240" s="70" t="str">
        <f t="shared" si="438"/>
        <v/>
      </c>
      <c r="AD1240" s="70" t="str">
        <f t="shared" si="439"/>
        <v/>
      </c>
      <c r="AE1240" s="70" t="str">
        <f t="shared" si="440"/>
        <v/>
      </c>
      <c r="AF1240" s="16"/>
      <c r="AG1240" s="23"/>
      <c r="AH1240" s="22"/>
      <c r="AJ1240" s="83">
        <f t="shared" si="441"/>
        <v>0</v>
      </c>
      <c r="AO1240" s="22" t="str">
        <f t="shared" si="442"/>
        <v/>
      </c>
      <c r="AP1240" s="22" t="str">
        <f t="shared" si="443"/>
        <v/>
      </c>
    </row>
    <row r="1241" spans="1:42" x14ac:dyDescent="0.25">
      <c r="A1241" s="10"/>
      <c r="B1241" s="10"/>
      <c r="C1241" s="10"/>
      <c r="D1241" s="10"/>
      <c r="E1241" s="10"/>
      <c r="F1241" s="10"/>
      <c r="G1241" s="10"/>
      <c r="H1241" s="17"/>
      <c r="I1241" s="10"/>
      <c r="J1241" s="10"/>
      <c r="K1241" s="16" t="str">
        <f t="shared" si="422"/>
        <v/>
      </c>
      <c r="L1241" s="23" t="str">
        <f t="shared" si="423"/>
        <v/>
      </c>
      <c r="M1241" s="22" t="str">
        <f t="shared" si="424"/>
        <v/>
      </c>
      <c r="N1241" s="72"/>
      <c r="O1241" s="16" t="str">
        <f t="shared" si="425"/>
        <v/>
      </c>
      <c r="P1241" s="16" t="str">
        <f t="shared" si="426"/>
        <v/>
      </c>
      <c r="Q1241" s="16" t="str">
        <f t="shared" si="427"/>
        <v/>
      </c>
      <c r="R1241" s="23" t="str">
        <f t="shared" si="428"/>
        <v/>
      </c>
      <c r="S1241" s="23" t="str">
        <f t="shared" si="429"/>
        <v/>
      </c>
      <c r="T1241" s="23" t="str">
        <f t="shared" si="430"/>
        <v/>
      </c>
      <c r="U1241" s="23" t="str">
        <f t="shared" si="431"/>
        <v/>
      </c>
      <c r="V1241" s="23" t="str">
        <f t="shared" si="432"/>
        <v/>
      </c>
      <c r="W1241" s="70" t="str">
        <f t="shared" si="433"/>
        <v/>
      </c>
      <c r="X1241" s="70" t="str">
        <f t="shared" si="434"/>
        <v/>
      </c>
      <c r="Y1241" s="70" t="str">
        <f>IF(AND($A1241&lt;&gt;"",$E1241&gt;0),isLaptopBag($C1241,$J1241)*$D1241,"")</f>
        <v/>
      </c>
      <c r="Z1241" s="70" t="str">
        <f t="shared" si="435"/>
        <v/>
      </c>
      <c r="AA1241" s="70" t="str">
        <f t="shared" si="436"/>
        <v/>
      </c>
      <c r="AB1241" s="70" t="str">
        <f t="shared" si="437"/>
        <v/>
      </c>
      <c r="AC1241" s="70" t="str">
        <f t="shared" si="438"/>
        <v/>
      </c>
      <c r="AD1241" s="70" t="str">
        <f t="shared" si="439"/>
        <v/>
      </c>
      <c r="AE1241" s="70" t="str">
        <f t="shared" si="440"/>
        <v/>
      </c>
      <c r="AF1241" s="16"/>
      <c r="AG1241" s="23"/>
      <c r="AH1241" s="22"/>
      <c r="AJ1241" s="83">
        <f t="shared" si="441"/>
        <v>0</v>
      </c>
      <c r="AO1241" s="22" t="str">
        <f t="shared" si="442"/>
        <v/>
      </c>
      <c r="AP1241" s="22" t="str">
        <f t="shared" si="443"/>
        <v/>
      </c>
    </row>
    <row r="1242" spans="1:42" x14ac:dyDescent="0.25">
      <c r="A1242" s="10"/>
      <c r="B1242" s="10"/>
      <c r="C1242" s="10"/>
      <c r="D1242" s="10"/>
      <c r="E1242" s="10"/>
      <c r="F1242" s="10"/>
      <c r="G1242" s="10"/>
      <c r="H1242" s="17"/>
      <c r="I1242" s="10"/>
      <c r="J1242" s="10"/>
      <c r="K1242" s="16" t="str">
        <f t="shared" si="422"/>
        <v/>
      </c>
      <c r="L1242" s="23" t="str">
        <f t="shared" si="423"/>
        <v/>
      </c>
      <c r="M1242" s="22" t="str">
        <f t="shared" si="424"/>
        <v/>
      </c>
      <c r="N1242" s="72"/>
      <c r="O1242" s="16" t="str">
        <f t="shared" si="425"/>
        <v/>
      </c>
      <c r="P1242" s="16" t="str">
        <f t="shared" si="426"/>
        <v/>
      </c>
      <c r="Q1242" s="16" t="str">
        <f t="shared" si="427"/>
        <v/>
      </c>
      <c r="R1242" s="23" t="str">
        <f t="shared" si="428"/>
        <v/>
      </c>
      <c r="S1242" s="23" t="str">
        <f t="shared" si="429"/>
        <v/>
      </c>
      <c r="T1242" s="23" t="str">
        <f t="shared" si="430"/>
        <v/>
      </c>
      <c r="U1242" s="23" t="str">
        <f t="shared" si="431"/>
        <v/>
      </c>
      <c r="V1242" s="23" t="str">
        <f t="shared" si="432"/>
        <v/>
      </c>
      <c r="W1242" s="70" t="str">
        <f t="shared" si="433"/>
        <v/>
      </c>
      <c r="X1242" s="70" t="str">
        <f t="shared" si="434"/>
        <v/>
      </c>
      <c r="Y1242" s="70" t="str">
        <f>IF(AND($A1242&lt;&gt;"",$E1242&gt;0),isLaptopBag($C1242,$J1242)*$D1242,"")</f>
        <v/>
      </c>
      <c r="Z1242" s="70" t="str">
        <f t="shared" si="435"/>
        <v/>
      </c>
      <c r="AA1242" s="70" t="str">
        <f t="shared" si="436"/>
        <v/>
      </c>
      <c r="AB1242" s="70" t="str">
        <f t="shared" si="437"/>
        <v/>
      </c>
      <c r="AC1242" s="70" t="str">
        <f t="shared" si="438"/>
        <v/>
      </c>
      <c r="AD1242" s="70" t="str">
        <f t="shared" si="439"/>
        <v/>
      </c>
      <c r="AE1242" s="70" t="str">
        <f t="shared" si="440"/>
        <v/>
      </c>
      <c r="AF1242" s="16"/>
      <c r="AG1242" s="23"/>
      <c r="AH1242" s="22"/>
      <c r="AJ1242" s="83">
        <f t="shared" si="441"/>
        <v>0</v>
      </c>
      <c r="AO1242" s="22" t="str">
        <f t="shared" si="442"/>
        <v/>
      </c>
      <c r="AP1242" s="22" t="str">
        <f t="shared" si="443"/>
        <v/>
      </c>
    </row>
    <row r="1243" spans="1:42" x14ac:dyDescent="0.25">
      <c r="A1243" s="10"/>
      <c r="B1243" s="10"/>
      <c r="C1243" s="10"/>
      <c r="D1243" s="10"/>
      <c r="E1243" s="10"/>
      <c r="F1243" s="10"/>
      <c r="G1243" s="10"/>
      <c r="H1243" s="17"/>
      <c r="I1243" s="10"/>
      <c r="J1243" s="10"/>
      <c r="K1243" s="16" t="str">
        <f t="shared" si="422"/>
        <v/>
      </c>
      <c r="L1243" s="23" t="str">
        <f t="shared" si="423"/>
        <v/>
      </c>
      <c r="M1243" s="22" t="str">
        <f t="shared" si="424"/>
        <v/>
      </c>
      <c r="N1243" s="72"/>
      <c r="O1243" s="16" t="str">
        <f t="shared" si="425"/>
        <v/>
      </c>
      <c r="P1243" s="16" t="str">
        <f t="shared" si="426"/>
        <v/>
      </c>
      <c r="Q1243" s="16" t="str">
        <f t="shared" si="427"/>
        <v/>
      </c>
      <c r="R1243" s="23" t="str">
        <f t="shared" si="428"/>
        <v/>
      </c>
      <c r="S1243" s="23" t="str">
        <f t="shared" si="429"/>
        <v/>
      </c>
      <c r="T1243" s="23" t="str">
        <f t="shared" si="430"/>
        <v/>
      </c>
      <c r="U1243" s="23" t="str">
        <f t="shared" si="431"/>
        <v/>
      </c>
      <c r="V1243" s="23" t="str">
        <f t="shared" si="432"/>
        <v/>
      </c>
      <c r="W1243" s="70" t="str">
        <f t="shared" si="433"/>
        <v/>
      </c>
      <c r="X1243" s="70" t="str">
        <f t="shared" si="434"/>
        <v/>
      </c>
      <c r="Y1243" s="70" t="str">
        <f>IF(AND($A1243&lt;&gt;"",$E1243&gt;0),isLaptopBag($C1243,$J1243)*$D1243,"")</f>
        <v/>
      </c>
      <c r="Z1243" s="70" t="str">
        <f t="shared" si="435"/>
        <v/>
      </c>
      <c r="AA1243" s="70" t="str">
        <f t="shared" si="436"/>
        <v/>
      </c>
      <c r="AB1243" s="70" t="str">
        <f t="shared" si="437"/>
        <v/>
      </c>
      <c r="AC1243" s="70" t="str">
        <f t="shared" si="438"/>
        <v/>
      </c>
      <c r="AD1243" s="70" t="str">
        <f t="shared" si="439"/>
        <v/>
      </c>
      <c r="AE1243" s="70" t="str">
        <f t="shared" si="440"/>
        <v/>
      </c>
      <c r="AF1243" s="16"/>
      <c r="AG1243" s="23"/>
      <c r="AH1243" s="22"/>
      <c r="AJ1243" s="83">
        <f t="shared" si="441"/>
        <v>0</v>
      </c>
      <c r="AO1243" s="22" t="str">
        <f t="shared" si="442"/>
        <v/>
      </c>
      <c r="AP1243" s="22" t="str">
        <f t="shared" si="443"/>
        <v/>
      </c>
    </row>
    <row r="1244" spans="1:42" x14ac:dyDescent="0.25">
      <c r="A1244" s="10"/>
      <c r="B1244" s="10"/>
      <c r="C1244" s="10"/>
      <c r="D1244" s="10"/>
      <c r="E1244" s="10"/>
      <c r="F1244" s="10"/>
      <c r="G1244" s="10"/>
      <c r="H1244" s="17"/>
      <c r="I1244" s="10"/>
      <c r="J1244" s="10"/>
      <c r="K1244" s="16" t="str">
        <f t="shared" si="422"/>
        <v/>
      </c>
      <c r="L1244" s="23" t="str">
        <f t="shared" si="423"/>
        <v/>
      </c>
      <c r="M1244" s="22" t="str">
        <f t="shared" si="424"/>
        <v/>
      </c>
      <c r="N1244" s="72"/>
      <c r="O1244" s="16" t="str">
        <f t="shared" si="425"/>
        <v/>
      </c>
      <c r="P1244" s="16" t="str">
        <f t="shared" si="426"/>
        <v/>
      </c>
      <c r="Q1244" s="16" t="str">
        <f t="shared" si="427"/>
        <v/>
      </c>
      <c r="R1244" s="23" t="str">
        <f t="shared" si="428"/>
        <v/>
      </c>
      <c r="S1244" s="23" t="str">
        <f t="shared" si="429"/>
        <v/>
      </c>
      <c r="T1244" s="23" t="str">
        <f t="shared" si="430"/>
        <v/>
      </c>
      <c r="U1244" s="23" t="str">
        <f t="shared" si="431"/>
        <v/>
      </c>
      <c r="V1244" s="23" t="str">
        <f t="shared" si="432"/>
        <v/>
      </c>
      <c r="W1244" s="70" t="str">
        <f t="shared" si="433"/>
        <v/>
      </c>
      <c r="X1244" s="70" t="str">
        <f t="shared" si="434"/>
        <v/>
      </c>
      <c r="Y1244" s="70" t="str">
        <f>IF(AND($A1244&lt;&gt;"",$E1244&gt;0),isLaptopBag($C1244,$J1244)*$D1244,"")</f>
        <v/>
      </c>
      <c r="Z1244" s="70" t="str">
        <f t="shared" si="435"/>
        <v/>
      </c>
      <c r="AA1244" s="70" t="str">
        <f t="shared" si="436"/>
        <v/>
      </c>
      <c r="AB1244" s="70" t="str">
        <f t="shared" si="437"/>
        <v/>
      </c>
      <c r="AC1244" s="70" t="str">
        <f t="shared" si="438"/>
        <v/>
      </c>
      <c r="AD1244" s="70" t="str">
        <f t="shared" si="439"/>
        <v/>
      </c>
      <c r="AE1244" s="70" t="str">
        <f t="shared" si="440"/>
        <v/>
      </c>
      <c r="AF1244" s="16"/>
      <c r="AG1244" s="23"/>
      <c r="AH1244" s="22"/>
      <c r="AJ1244" s="83">
        <f t="shared" si="441"/>
        <v>0</v>
      </c>
      <c r="AO1244" s="22" t="str">
        <f t="shared" si="442"/>
        <v/>
      </c>
      <c r="AP1244" s="22" t="str">
        <f t="shared" si="443"/>
        <v/>
      </c>
    </row>
    <row r="1245" spans="1:42" x14ac:dyDescent="0.25">
      <c r="A1245" s="10"/>
      <c r="B1245" s="10"/>
      <c r="C1245" s="10"/>
      <c r="D1245" s="10"/>
      <c r="E1245" s="10"/>
      <c r="F1245" s="10"/>
      <c r="G1245" s="10"/>
      <c r="H1245" s="17"/>
      <c r="I1245" s="10"/>
      <c r="J1245" s="10"/>
      <c r="K1245" s="16" t="str">
        <f t="shared" si="422"/>
        <v/>
      </c>
      <c r="L1245" s="23" t="str">
        <f t="shared" si="423"/>
        <v/>
      </c>
      <c r="M1245" s="22" t="str">
        <f t="shared" si="424"/>
        <v/>
      </c>
      <c r="N1245" s="72"/>
      <c r="O1245" s="16" t="str">
        <f t="shared" si="425"/>
        <v/>
      </c>
      <c r="P1245" s="16" t="str">
        <f t="shared" si="426"/>
        <v/>
      </c>
      <c r="Q1245" s="16" t="str">
        <f t="shared" si="427"/>
        <v/>
      </c>
      <c r="R1245" s="23" t="str">
        <f t="shared" si="428"/>
        <v/>
      </c>
      <c r="S1245" s="23" t="str">
        <f t="shared" si="429"/>
        <v/>
      </c>
      <c r="T1245" s="23" t="str">
        <f t="shared" si="430"/>
        <v/>
      </c>
      <c r="U1245" s="23" t="str">
        <f t="shared" si="431"/>
        <v/>
      </c>
      <c r="V1245" s="23" t="str">
        <f t="shared" si="432"/>
        <v/>
      </c>
      <c r="W1245" s="70" t="str">
        <f t="shared" si="433"/>
        <v/>
      </c>
      <c r="X1245" s="70" t="str">
        <f t="shared" si="434"/>
        <v/>
      </c>
      <c r="Y1245" s="70" t="str">
        <f>IF(AND($A1245&lt;&gt;"",$E1245&gt;0),isLaptopBag($C1245,$J1245)*$D1245,"")</f>
        <v/>
      </c>
      <c r="Z1245" s="70" t="str">
        <f t="shared" si="435"/>
        <v/>
      </c>
      <c r="AA1245" s="70" t="str">
        <f t="shared" si="436"/>
        <v/>
      </c>
      <c r="AB1245" s="70" t="str">
        <f t="shared" si="437"/>
        <v/>
      </c>
      <c r="AC1245" s="70" t="str">
        <f t="shared" si="438"/>
        <v/>
      </c>
      <c r="AD1245" s="70" t="str">
        <f t="shared" si="439"/>
        <v/>
      </c>
      <c r="AE1245" s="70" t="str">
        <f t="shared" si="440"/>
        <v/>
      </c>
      <c r="AF1245" s="16"/>
      <c r="AG1245" s="23"/>
      <c r="AH1245" s="22"/>
      <c r="AJ1245" s="83">
        <f t="shared" si="441"/>
        <v>0</v>
      </c>
      <c r="AO1245" s="22" t="str">
        <f t="shared" si="442"/>
        <v/>
      </c>
      <c r="AP1245" s="22" t="str">
        <f t="shared" si="443"/>
        <v/>
      </c>
    </row>
    <row r="1246" spans="1:42" x14ac:dyDescent="0.25">
      <c r="A1246" s="10"/>
      <c r="B1246" s="10"/>
      <c r="C1246" s="10"/>
      <c r="D1246" s="10"/>
      <c r="E1246" s="10"/>
      <c r="F1246" s="10"/>
      <c r="G1246" s="10"/>
      <c r="H1246" s="17"/>
      <c r="I1246" s="10"/>
      <c r="J1246" s="10"/>
      <c r="K1246" s="16" t="str">
        <f t="shared" si="422"/>
        <v/>
      </c>
      <c r="L1246" s="23" t="str">
        <f t="shared" si="423"/>
        <v/>
      </c>
      <c r="M1246" s="22" t="str">
        <f t="shared" si="424"/>
        <v/>
      </c>
      <c r="N1246" s="72"/>
      <c r="O1246" s="16" t="str">
        <f t="shared" si="425"/>
        <v/>
      </c>
      <c r="P1246" s="16" t="str">
        <f t="shared" si="426"/>
        <v/>
      </c>
      <c r="Q1246" s="16" t="str">
        <f t="shared" si="427"/>
        <v/>
      </c>
      <c r="R1246" s="23" t="str">
        <f t="shared" si="428"/>
        <v/>
      </c>
      <c r="S1246" s="23" t="str">
        <f t="shared" si="429"/>
        <v/>
      </c>
      <c r="T1246" s="23" t="str">
        <f t="shared" si="430"/>
        <v/>
      </c>
      <c r="U1246" s="23" t="str">
        <f t="shared" si="431"/>
        <v/>
      </c>
      <c r="V1246" s="23" t="str">
        <f t="shared" si="432"/>
        <v/>
      </c>
      <c r="W1246" s="70" t="str">
        <f t="shared" si="433"/>
        <v/>
      </c>
      <c r="X1246" s="70" t="str">
        <f t="shared" si="434"/>
        <v/>
      </c>
      <c r="Y1246" s="70" t="str">
        <f>IF(AND($A1246&lt;&gt;"",$E1246&gt;0),isLaptopBag($C1246,$J1246)*$D1246,"")</f>
        <v/>
      </c>
      <c r="Z1246" s="70" t="str">
        <f t="shared" si="435"/>
        <v/>
      </c>
      <c r="AA1246" s="70" t="str">
        <f t="shared" si="436"/>
        <v/>
      </c>
      <c r="AB1246" s="70" t="str">
        <f t="shared" si="437"/>
        <v/>
      </c>
      <c r="AC1246" s="70" t="str">
        <f t="shared" si="438"/>
        <v/>
      </c>
      <c r="AD1246" s="70" t="str">
        <f t="shared" si="439"/>
        <v/>
      </c>
      <c r="AE1246" s="70" t="str">
        <f t="shared" si="440"/>
        <v/>
      </c>
      <c r="AF1246" s="16"/>
      <c r="AG1246" s="23"/>
      <c r="AH1246" s="22"/>
      <c r="AJ1246" s="83">
        <f t="shared" si="441"/>
        <v>0</v>
      </c>
      <c r="AO1246" s="22" t="str">
        <f t="shared" si="442"/>
        <v/>
      </c>
      <c r="AP1246" s="22" t="str">
        <f t="shared" si="443"/>
        <v/>
      </c>
    </row>
    <row r="1247" spans="1:42" x14ac:dyDescent="0.25">
      <c r="A1247" s="10"/>
      <c r="B1247" s="10"/>
      <c r="C1247" s="10"/>
      <c r="D1247" s="10"/>
      <c r="E1247" s="10"/>
      <c r="F1247" s="10"/>
      <c r="G1247" s="10"/>
      <c r="H1247" s="17"/>
      <c r="I1247" s="10"/>
      <c r="J1247" s="10"/>
      <c r="K1247" s="16" t="str">
        <f t="shared" si="422"/>
        <v/>
      </c>
      <c r="L1247" s="23" t="str">
        <f t="shared" si="423"/>
        <v/>
      </c>
      <c r="M1247" s="22" t="str">
        <f t="shared" si="424"/>
        <v/>
      </c>
      <c r="N1247" s="72"/>
      <c r="O1247" s="16" t="str">
        <f t="shared" si="425"/>
        <v/>
      </c>
      <c r="P1247" s="16" t="str">
        <f t="shared" si="426"/>
        <v/>
      </c>
      <c r="Q1247" s="16" t="str">
        <f t="shared" si="427"/>
        <v/>
      </c>
      <c r="R1247" s="23" t="str">
        <f t="shared" si="428"/>
        <v/>
      </c>
      <c r="S1247" s="23" t="str">
        <f t="shared" si="429"/>
        <v/>
      </c>
      <c r="T1247" s="23" t="str">
        <f t="shared" si="430"/>
        <v/>
      </c>
      <c r="U1247" s="23" t="str">
        <f t="shared" si="431"/>
        <v/>
      </c>
      <c r="V1247" s="23" t="str">
        <f t="shared" si="432"/>
        <v/>
      </c>
      <c r="W1247" s="70" t="str">
        <f t="shared" si="433"/>
        <v/>
      </c>
      <c r="X1247" s="70" t="str">
        <f t="shared" si="434"/>
        <v/>
      </c>
      <c r="Y1247" s="70" t="str">
        <f>IF(AND($A1247&lt;&gt;"",$E1247&gt;0),isLaptopBag($C1247,$J1247)*$D1247,"")</f>
        <v/>
      </c>
      <c r="Z1247" s="70" t="str">
        <f t="shared" si="435"/>
        <v/>
      </c>
      <c r="AA1247" s="70" t="str">
        <f t="shared" si="436"/>
        <v/>
      </c>
      <c r="AB1247" s="70" t="str">
        <f t="shared" si="437"/>
        <v/>
      </c>
      <c r="AC1247" s="70" t="str">
        <f t="shared" si="438"/>
        <v/>
      </c>
      <c r="AD1247" s="70" t="str">
        <f t="shared" si="439"/>
        <v/>
      </c>
      <c r="AE1247" s="70" t="str">
        <f t="shared" si="440"/>
        <v/>
      </c>
      <c r="AF1247" s="16"/>
      <c r="AG1247" s="23"/>
      <c r="AH1247" s="22"/>
      <c r="AJ1247" s="83">
        <f t="shared" si="441"/>
        <v>0</v>
      </c>
      <c r="AO1247" s="22" t="str">
        <f t="shared" si="442"/>
        <v/>
      </c>
      <c r="AP1247" s="22" t="str">
        <f t="shared" si="443"/>
        <v/>
      </c>
    </row>
    <row r="1248" spans="1:42" x14ac:dyDescent="0.25">
      <c r="A1248" s="10"/>
      <c r="B1248" s="10"/>
      <c r="C1248" s="10"/>
      <c r="D1248" s="10"/>
      <c r="E1248" s="10"/>
      <c r="F1248" s="10"/>
      <c r="G1248" s="10"/>
      <c r="H1248" s="17"/>
      <c r="I1248" s="10"/>
      <c r="J1248" s="10"/>
      <c r="K1248" s="16" t="str">
        <f t="shared" si="422"/>
        <v/>
      </c>
      <c r="L1248" s="23" t="str">
        <f t="shared" si="423"/>
        <v/>
      </c>
      <c r="M1248" s="22" t="str">
        <f t="shared" si="424"/>
        <v/>
      </c>
      <c r="N1248" s="72"/>
      <c r="O1248" s="16" t="str">
        <f t="shared" si="425"/>
        <v/>
      </c>
      <c r="P1248" s="16" t="str">
        <f t="shared" si="426"/>
        <v/>
      </c>
      <c r="Q1248" s="16" t="str">
        <f t="shared" si="427"/>
        <v/>
      </c>
      <c r="R1248" s="23" t="str">
        <f t="shared" si="428"/>
        <v/>
      </c>
      <c r="S1248" s="23" t="str">
        <f t="shared" si="429"/>
        <v/>
      </c>
      <c r="T1248" s="23" t="str">
        <f t="shared" si="430"/>
        <v/>
      </c>
      <c r="U1248" s="23" t="str">
        <f t="shared" si="431"/>
        <v/>
      </c>
      <c r="V1248" s="23" t="str">
        <f t="shared" si="432"/>
        <v/>
      </c>
      <c r="W1248" s="70" t="str">
        <f t="shared" si="433"/>
        <v/>
      </c>
      <c r="X1248" s="70" t="str">
        <f t="shared" si="434"/>
        <v/>
      </c>
      <c r="Y1248" s="70" t="str">
        <f>IF(AND($A1248&lt;&gt;"",$E1248&gt;0),isLaptopBag($C1248,$J1248)*$D1248,"")</f>
        <v/>
      </c>
      <c r="Z1248" s="70" t="str">
        <f t="shared" si="435"/>
        <v/>
      </c>
      <c r="AA1248" s="70" t="str">
        <f t="shared" si="436"/>
        <v/>
      </c>
      <c r="AB1248" s="70" t="str">
        <f t="shared" si="437"/>
        <v/>
      </c>
      <c r="AC1248" s="70" t="str">
        <f t="shared" si="438"/>
        <v/>
      </c>
      <c r="AD1248" s="70" t="str">
        <f t="shared" si="439"/>
        <v/>
      </c>
      <c r="AE1248" s="70" t="str">
        <f t="shared" si="440"/>
        <v/>
      </c>
      <c r="AF1248" s="16"/>
      <c r="AG1248" s="23"/>
      <c r="AH1248" s="22"/>
      <c r="AJ1248" s="83">
        <f t="shared" si="441"/>
        <v>0</v>
      </c>
      <c r="AO1248" s="22" t="str">
        <f t="shared" si="442"/>
        <v/>
      </c>
      <c r="AP1248" s="22" t="str">
        <f t="shared" si="443"/>
        <v/>
      </c>
    </row>
    <row r="1249" spans="1:42" x14ac:dyDescent="0.25">
      <c r="A1249" s="10"/>
      <c r="B1249" s="10"/>
      <c r="C1249" s="10"/>
      <c r="D1249" s="10"/>
      <c r="E1249" s="10"/>
      <c r="F1249" s="10"/>
      <c r="G1249" s="10"/>
      <c r="H1249" s="17"/>
      <c r="I1249" s="10"/>
      <c r="J1249" s="10"/>
      <c r="K1249" s="16" t="str">
        <f t="shared" si="422"/>
        <v/>
      </c>
      <c r="L1249" s="23" t="str">
        <f t="shared" si="423"/>
        <v/>
      </c>
      <c r="M1249" s="22" t="str">
        <f t="shared" si="424"/>
        <v/>
      </c>
      <c r="N1249" s="72"/>
      <c r="O1249" s="16" t="str">
        <f t="shared" si="425"/>
        <v/>
      </c>
      <c r="P1249" s="16" t="str">
        <f t="shared" si="426"/>
        <v/>
      </c>
      <c r="Q1249" s="16" t="str">
        <f t="shared" si="427"/>
        <v/>
      </c>
      <c r="R1249" s="23" t="str">
        <f t="shared" si="428"/>
        <v/>
      </c>
      <c r="S1249" s="23" t="str">
        <f t="shared" si="429"/>
        <v/>
      </c>
      <c r="T1249" s="23" t="str">
        <f t="shared" si="430"/>
        <v/>
      </c>
      <c r="U1249" s="23" t="str">
        <f t="shared" si="431"/>
        <v/>
      </c>
      <c r="V1249" s="23" t="str">
        <f t="shared" si="432"/>
        <v/>
      </c>
      <c r="W1249" s="70" t="str">
        <f t="shared" si="433"/>
        <v/>
      </c>
      <c r="X1249" s="70" t="str">
        <f t="shared" si="434"/>
        <v/>
      </c>
      <c r="Y1249" s="70" t="str">
        <f>IF(AND($A1249&lt;&gt;"",$E1249&gt;0),isLaptopBag($C1249,$J1249)*$D1249,"")</f>
        <v/>
      </c>
      <c r="Z1249" s="70" t="str">
        <f t="shared" si="435"/>
        <v/>
      </c>
      <c r="AA1249" s="70" t="str">
        <f t="shared" si="436"/>
        <v/>
      </c>
      <c r="AB1249" s="70" t="str">
        <f t="shared" si="437"/>
        <v/>
      </c>
      <c r="AC1249" s="70" t="str">
        <f t="shared" si="438"/>
        <v/>
      </c>
      <c r="AD1249" s="70" t="str">
        <f t="shared" si="439"/>
        <v/>
      </c>
      <c r="AE1249" s="70" t="str">
        <f t="shared" si="440"/>
        <v/>
      </c>
      <c r="AF1249" s="16"/>
      <c r="AG1249" s="23"/>
      <c r="AH1249" s="22"/>
      <c r="AJ1249" s="83">
        <f t="shared" si="441"/>
        <v>0</v>
      </c>
      <c r="AO1249" s="22" t="str">
        <f t="shared" si="442"/>
        <v/>
      </c>
      <c r="AP1249" s="22" t="str">
        <f t="shared" si="443"/>
        <v/>
      </c>
    </row>
    <row r="1250" spans="1:42" x14ac:dyDescent="0.25">
      <c r="A1250" s="10"/>
      <c r="B1250" s="10"/>
      <c r="C1250" s="10"/>
      <c r="D1250" s="10"/>
      <c r="E1250" s="10"/>
      <c r="F1250" s="10"/>
      <c r="G1250" s="10"/>
      <c r="H1250" s="17"/>
      <c r="I1250" s="10"/>
      <c r="J1250" s="10"/>
      <c r="K1250" s="16" t="str">
        <f t="shared" si="422"/>
        <v/>
      </c>
      <c r="L1250" s="23" t="str">
        <f t="shared" si="423"/>
        <v/>
      </c>
      <c r="M1250" s="22" t="str">
        <f t="shared" si="424"/>
        <v/>
      </c>
      <c r="N1250" s="72"/>
      <c r="O1250" s="16" t="str">
        <f t="shared" si="425"/>
        <v/>
      </c>
      <c r="P1250" s="16" t="str">
        <f t="shared" si="426"/>
        <v/>
      </c>
      <c r="Q1250" s="16" t="str">
        <f t="shared" si="427"/>
        <v/>
      </c>
      <c r="R1250" s="23" t="str">
        <f t="shared" si="428"/>
        <v/>
      </c>
      <c r="S1250" s="23" t="str">
        <f t="shared" si="429"/>
        <v/>
      </c>
      <c r="T1250" s="23" t="str">
        <f t="shared" si="430"/>
        <v/>
      </c>
      <c r="U1250" s="23" t="str">
        <f t="shared" si="431"/>
        <v/>
      </c>
      <c r="V1250" s="23" t="str">
        <f t="shared" si="432"/>
        <v/>
      </c>
      <c r="W1250" s="70" t="str">
        <f t="shared" si="433"/>
        <v/>
      </c>
      <c r="X1250" s="70" t="str">
        <f t="shared" si="434"/>
        <v/>
      </c>
      <c r="Y1250" s="70" t="str">
        <f>IF(AND($A1250&lt;&gt;"",$E1250&gt;0),isLaptopBag($C1250,$J1250)*$D1250,"")</f>
        <v/>
      </c>
      <c r="Z1250" s="70" t="str">
        <f t="shared" si="435"/>
        <v/>
      </c>
      <c r="AA1250" s="70" t="str">
        <f t="shared" si="436"/>
        <v/>
      </c>
      <c r="AB1250" s="70" t="str">
        <f t="shared" si="437"/>
        <v/>
      </c>
      <c r="AC1250" s="70" t="str">
        <f t="shared" si="438"/>
        <v/>
      </c>
      <c r="AD1250" s="70" t="str">
        <f t="shared" si="439"/>
        <v/>
      </c>
      <c r="AE1250" s="70" t="str">
        <f t="shared" si="440"/>
        <v/>
      </c>
      <c r="AF1250" s="16"/>
      <c r="AG1250" s="23"/>
      <c r="AH1250" s="22"/>
      <c r="AJ1250" s="83">
        <f t="shared" si="441"/>
        <v>0</v>
      </c>
      <c r="AO1250" s="22" t="str">
        <f t="shared" si="442"/>
        <v/>
      </c>
      <c r="AP1250" s="22" t="str">
        <f t="shared" si="443"/>
        <v/>
      </c>
    </row>
    <row r="1251" spans="1:42" x14ac:dyDescent="0.25">
      <c r="A1251" s="10"/>
      <c r="B1251" s="10"/>
      <c r="C1251" s="10"/>
      <c r="D1251" s="10"/>
      <c r="E1251" s="10"/>
      <c r="F1251" s="10"/>
      <c r="G1251" s="10"/>
      <c r="H1251" s="17"/>
      <c r="I1251" s="10"/>
      <c r="J1251" s="10"/>
      <c r="K1251" s="16" t="str">
        <f t="shared" si="422"/>
        <v/>
      </c>
      <c r="L1251" s="23" t="str">
        <f t="shared" si="423"/>
        <v/>
      </c>
      <c r="M1251" s="22" t="str">
        <f t="shared" si="424"/>
        <v/>
      </c>
      <c r="N1251" s="72"/>
      <c r="O1251" s="16" t="str">
        <f t="shared" si="425"/>
        <v/>
      </c>
      <c r="P1251" s="16" t="str">
        <f t="shared" si="426"/>
        <v/>
      </c>
      <c r="Q1251" s="16" t="str">
        <f t="shared" si="427"/>
        <v/>
      </c>
      <c r="R1251" s="23" t="str">
        <f t="shared" si="428"/>
        <v/>
      </c>
      <c r="S1251" s="23" t="str">
        <f t="shared" si="429"/>
        <v/>
      </c>
      <c r="T1251" s="23" t="str">
        <f t="shared" si="430"/>
        <v/>
      </c>
      <c r="U1251" s="23" t="str">
        <f t="shared" si="431"/>
        <v/>
      </c>
      <c r="V1251" s="23" t="str">
        <f t="shared" si="432"/>
        <v/>
      </c>
      <c r="W1251" s="70" t="str">
        <f t="shared" si="433"/>
        <v/>
      </c>
      <c r="X1251" s="70" t="str">
        <f t="shared" si="434"/>
        <v/>
      </c>
      <c r="Y1251" s="70" t="str">
        <f>IF(AND($A1251&lt;&gt;"",$E1251&gt;0),isLaptopBag($C1251,$J1251)*$D1251,"")</f>
        <v/>
      </c>
      <c r="Z1251" s="70" t="str">
        <f t="shared" si="435"/>
        <v/>
      </c>
      <c r="AA1251" s="70" t="str">
        <f t="shared" si="436"/>
        <v/>
      </c>
      <c r="AB1251" s="70" t="str">
        <f t="shared" si="437"/>
        <v/>
      </c>
      <c r="AC1251" s="70" t="str">
        <f t="shared" si="438"/>
        <v/>
      </c>
      <c r="AD1251" s="70" t="str">
        <f t="shared" si="439"/>
        <v/>
      </c>
      <c r="AE1251" s="70" t="str">
        <f t="shared" si="440"/>
        <v/>
      </c>
      <c r="AF1251" s="16"/>
      <c r="AG1251" s="23"/>
      <c r="AH1251" s="22"/>
      <c r="AJ1251" s="83">
        <f t="shared" si="441"/>
        <v>0</v>
      </c>
      <c r="AO1251" s="22" t="str">
        <f t="shared" si="442"/>
        <v/>
      </c>
      <c r="AP1251" s="22" t="str">
        <f t="shared" si="443"/>
        <v/>
      </c>
    </row>
    <row r="1252" spans="1:42" x14ac:dyDescent="0.25">
      <c r="A1252" s="10"/>
      <c r="B1252" s="10"/>
      <c r="C1252" s="10"/>
      <c r="D1252" s="10"/>
      <c r="E1252" s="10"/>
      <c r="F1252" s="10"/>
      <c r="G1252" s="10"/>
      <c r="H1252" s="17"/>
      <c r="I1252" s="10"/>
      <c r="J1252" s="10"/>
      <c r="K1252" s="16" t="str">
        <f t="shared" si="422"/>
        <v/>
      </c>
      <c r="L1252" s="23" t="str">
        <f t="shared" si="423"/>
        <v/>
      </c>
      <c r="M1252" s="22" t="str">
        <f t="shared" si="424"/>
        <v/>
      </c>
      <c r="N1252" s="72"/>
      <c r="O1252" s="16" t="str">
        <f t="shared" si="425"/>
        <v/>
      </c>
      <c r="P1252" s="16" t="str">
        <f t="shared" si="426"/>
        <v/>
      </c>
      <c r="Q1252" s="16" t="str">
        <f t="shared" si="427"/>
        <v/>
      </c>
      <c r="R1252" s="23" t="str">
        <f t="shared" si="428"/>
        <v/>
      </c>
      <c r="S1252" s="23" t="str">
        <f t="shared" si="429"/>
        <v/>
      </c>
      <c r="T1252" s="23" t="str">
        <f t="shared" si="430"/>
        <v/>
      </c>
      <c r="U1252" s="23" t="str">
        <f t="shared" si="431"/>
        <v/>
      </c>
      <c r="V1252" s="23" t="str">
        <f t="shared" si="432"/>
        <v/>
      </c>
      <c r="W1252" s="70" t="str">
        <f t="shared" si="433"/>
        <v/>
      </c>
      <c r="X1252" s="70" t="str">
        <f t="shared" si="434"/>
        <v/>
      </c>
      <c r="Y1252" s="70" t="str">
        <f>IF(AND($A1252&lt;&gt;"",$E1252&gt;0),isLaptopBag($C1252,$J1252)*$D1252,"")</f>
        <v/>
      </c>
      <c r="Z1252" s="70" t="str">
        <f t="shared" si="435"/>
        <v/>
      </c>
      <c r="AA1252" s="70" t="str">
        <f t="shared" si="436"/>
        <v/>
      </c>
      <c r="AB1252" s="70" t="str">
        <f t="shared" si="437"/>
        <v/>
      </c>
      <c r="AC1252" s="70" t="str">
        <f t="shared" si="438"/>
        <v/>
      </c>
      <c r="AD1252" s="70" t="str">
        <f t="shared" si="439"/>
        <v/>
      </c>
      <c r="AE1252" s="70" t="str">
        <f t="shared" si="440"/>
        <v/>
      </c>
      <c r="AF1252" s="16"/>
      <c r="AG1252" s="23"/>
      <c r="AH1252" s="22"/>
      <c r="AJ1252" s="83">
        <f t="shared" si="441"/>
        <v>0</v>
      </c>
      <c r="AO1252" s="22" t="str">
        <f t="shared" si="442"/>
        <v/>
      </c>
      <c r="AP1252" s="22" t="str">
        <f t="shared" si="443"/>
        <v/>
      </c>
    </row>
    <row r="1253" spans="1:42" x14ac:dyDescent="0.25">
      <c r="A1253" s="10"/>
      <c r="B1253" s="10"/>
      <c r="C1253" s="10"/>
      <c r="D1253" s="10"/>
      <c r="E1253" s="10"/>
      <c r="F1253" s="10"/>
      <c r="G1253" s="10"/>
      <c r="H1253" s="17"/>
      <c r="I1253" s="10"/>
      <c r="J1253" s="10"/>
      <c r="K1253" s="16" t="str">
        <f t="shared" si="422"/>
        <v/>
      </c>
      <c r="L1253" s="23" t="str">
        <f t="shared" si="423"/>
        <v/>
      </c>
      <c r="M1253" s="22" t="str">
        <f t="shared" si="424"/>
        <v/>
      </c>
      <c r="N1253" s="72"/>
      <c r="O1253" s="16" t="str">
        <f t="shared" si="425"/>
        <v/>
      </c>
      <c r="P1253" s="16" t="str">
        <f t="shared" si="426"/>
        <v/>
      </c>
      <c r="Q1253" s="16" t="str">
        <f t="shared" si="427"/>
        <v/>
      </c>
      <c r="R1253" s="23" t="str">
        <f t="shared" si="428"/>
        <v/>
      </c>
      <c r="S1253" s="23" t="str">
        <f t="shared" si="429"/>
        <v/>
      </c>
      <c r="T1253" s="23" t="str">
        <f t="shared" si="430"/>
        <v/>
      </c>
      <c r="U1253" s="23" t="str">
        <f t="shared" si="431"/>
        <v/>
      </c>
      <c r="V1253" s="23" t="str">
        <f t="shared" si="432"/>
        <v/>
      </c>
      <c r="W1253" s="70" t="str">
        <f t="shared" si="433"/>
        <v/>
      </c>
      <c r="X1253" s="70" t="str">
        <f t="shared" si="434"/>
        <v/>
      </c>
      <c r="Y1253" s="70" t="str">
        <f>IF(AND($A1253&lt;&gt;"",$E1253&gt;0),isLaptopBag($C1253,$J1253)*$D1253,"")</f>
        <v/>
      </c>
      <c r="Z1253" s="70" t="str">
        <f t="shared" si="435"/>
        <v/>
      </c>
      <c r="AA1253" s="70" t="str">
        <f t="shared" si="436"/>
        <v/>
      </c>
      <c r="AB1253" s="70" t="str">
        <f t="shared" si="437"/>
        <v/>
      </c>
      <c r="AC1253" s="70" t="str">
        <f t="shared" si="438"/>
        <v/>
      </c>
      <c r="AD1253" s="70" t="str">
        <f t="shared" si="439"/>
        <v/>
      </c>
      <c r="AE1253" s="70" t="str">
        <f t="shared" si="440"/>
        <v/>
      </c>
      <c r="AF1253" s="16"/>
      <c r="AG1253" s="23"/>
      <c r="AH1253" s="22"/>
      <c r="AJ1253" s="83">
        <f t="shared" si="441"/>
        <v>0</v>
      </c>
      <c r="AO1253" s="22" t="str">
        <f t="shared" si="442"/>
        <v/>
      </c>
      <c r="AP1253" s="22" t="str">
        <f t="shared" si="443"/>
        <v/>
      </c>
    </row>
    <row r="1254" spans="1:42" x14ac:dyDescent="0.25">
      <c r="A1254" s="10"/>
      <c r="B1254" s="10"/>
      <c r="C1254" s="10"/>
      <c r="D1254" s="10"/>
      <c r="E1254" s="10"/>
      <c r="F1254" s="10"/>
      <c r="G1254" s="10"/>
      <c r="H1254" s="17"/>
      <c r="I1254" s="10"/>
      <c r="J1254" s="10"/>
      <c r="K1254" s="16" t="str">
        <f t="shared" si="422"/>
        <v/>
      </c>
      <c r="L1254" s="23" t="str">
        <f t="shared" si="423"/>
        <v/>
      </c>
      <c r="M1254" s="22" t="str">
        <f t="shared" si="424"/>
        <v/>
      </c>
      <c r="N1254" s="72"/>
      <c r="O1254" s="16" t="str">
        <f t="shared" si="425"/>
        <v/>
      </c>
      <c r="P1254" s="16" t="str">
        <f t="shared" si="426"/>
        <v/>
      </c>
      <c r="Q1254" s="16" t="str">
        <f t="shared" si="427"/>
        <v/>
      </c>
      <c r="R1254" s="23" t="str">
        <f t="shared" si="428"/>
        <v/>
      </c>
      <c r="S1254" s="23" t="str">
        <f t="shared" si="429"/>
        <v/>
      </c>
      <c r="T1254" s="23" t="str">
        <f t="shared" si="430"/>
        <v/>
      </c>
      <c r="U1254" s="23" t="str">
        <f t="shared" si="431"/>
        <v/>
      </c>
      <c r="V1254" s="23" t="str">
        <f t="shared" si="432"/>
        <v/>
      </c>
      <c r="W1254" s="70" t="str">
        <f t="shared" si="433"/>
        <v/>
      </c>
      <c r="X1254" s="70" t="str">
        <f t="shared" si="434"/>
        <v/>
      </c>
      <c r="Y1254" s="70" t="str">
        <f>IF(AND($A1254&lt;&gt;"",$E1254&gt;0),isLaptopBag($C1254,$J1254)*$D1254,"")</f>
        <v/>
      </c>
      <c r="Z1254" s="70" t="str">
        <f t="shared" si="435"/>
        <v/>
      </c>
      <c r="AA1254" s="70" t="str">
        <f t="shared" si="436"/>
        <v/>
      </c>
      <c r="AB1254" s="70" t="str">
        <f t="shared" si="437"/>
        <v/>
      </c>
      <c r="AC1254" s="70" t="str">
        <f t="shared" si="438"/>
        <v/>
      </c>
      <c r="AD1254" s="70" t="str">
        <f t="shared" si="439"/>
        <v/>
      </c>
      <c r="AE1254" s="70" t="str">
        <f t="shared" si="440"/>
        <v/>
      </c>
      <c r="AF1254" s="16"/>
      <c r="AG1254" s="23"/>
      <c r="AH1254" s="22"/>
      <c r="AJ1254" s="83">
        <f t="shared" si="441"/>
        <v>0</v>
      </c>
      <c r="AO1254" s="22" t="str">
        <f t="shared" si="442"/>
        <v/>
      </c>
      <c r="AP1254" s="22" t="str">
        <f t="shared" si="443"/>
        <v/>
      </c>
    </row>
    <row r="1255" spans="1:42" x14ac:dyDescent="0.25">
      <c r="A1255" s="10"/>
      <c r="B1255" s="10"/>
      <c r="C1255" s="10"/>
      <c r="D1255" s="10"/>
      <c r="E1255" s="10"/>
      <c r="F1255" s="10"/>
      <c r="G1255" s="10"/>
      <c r="H1255" s="17"/>
      <c r="I1255" s="10"/>
      <c r="J1255" s="10"/>
      <c r="K1255" s="16" t="str">
        <f t="shared" si="422"/>
        <v/>
      </c>
      <c r="L1255" s="23" t="str">
        <f t="shared" si="423"/>
        <v/>
      </c>
      <c r="M1255" s="22" t="str">
        <f t="shared" si="424"/>
        <v/>
      </c>
      <c r="N1255" s="72"/>
      <c r="O1255" s="16" t="str">
        <f t="shared" si="425"/>
        <v/>
      </c>
      <c r="P1255" s="16" t="str">
        <f t="shared" si="426"/>
        <v/>
      </c>
      <c r="Q1255" s="16" t="str">
        <f t="shared" si="427"/>
        <v/>
      </c>
      <c r="R1255" s="23" t="str">
        <f t="shared" si="428"/>
        <v/>
      </c>
      <c r="S1255" s="23" t="str">
        <f t="shared" si="429"/>
        <v/>
      </c>
      <c r="T1255" s="23" t="str">
        <f t="shared" si="430"/>
        <v/>
      </c>
      <c r="U1255" s="23" t="str">
        <f t="shared" si="431"/>
        <v/>
      </c>
      <c r="V1255" s="23" t="str">
        <f t="shared" si="432"/>
        <v/>
      </c>
      <c r="W1255" s="70" t="str">
        <f t="shared" si="433"/>
        <v/>
      </c>
      <c r="X1255" s="70" t="str">
        <f t="shared" si="434"/>
        <v/>
      </c>
      <c r="Y1255" s="70" t="str">
        <f>IF(AND($A1255&lt;&gt;"",$E1255&gt;0),isLaptopBag($C1255,$J1255)*$D1255,"")</f>
        <v/>
      </c>
      <c r="Z1255" s="70" t="str">
        <f t="shared" si="435"/>
        <v/>
      </c>
      <c r="AA1255" s="70" t="str">
        <f t="shared" si="436"/>
        <v/>
      </c>
      <c r="AB1255" s="70" t="str">
        <f t="shared" si="437"/>
        <v/>
      </c>
      <c r="AC1255" s="70" t="str">
        <f t="shared" si="438"/>
        <v/>
      </c>
      <c r="AD1255" s="70" t="str">
        <f t="shared" si="439"/>
        <v/>
      </c>
      <c r="AE1255" s="70" t="str">
        <f t="shared" si="440"/>
        <v/>
      </c>
      <c r="AF1255" s="16"/>
      <c r="AG1255" s="23"/>
      <c r="AH1255" s="22"/>
      <c r="AJ1255" s="83">
        <f t="shared" si="441"/>
        <v>0</v>
      </c>
      <c r="AO1255" s="22" t="str">
        <f t="shared" si="442"/>
        <v/>
      </c>
      <c r="AP1255" s="22" t="str">
        <f t="shared" si="443"/>
        <v/>
      </c>
    </row>
    <row r="1256" spans="1:42" x14ac:dyDescent="0.25">
      <c r="A1256" s="10"/>
      <c r="B1256" s="10"/>
      <c r="C1256" s="10"/>
      <c r="D1256" s="10"/>
      <c r="E1256" s="10"/>
      <c r="F1256" s="10"/>
      <c r="G1256" s="10"/>
      <c r="H1256" s="17"/>
      <c r="I1256" s="10"/>
      <c r="J1256" s="10"/>
      <c r="K1256" s="16" t="str">
        <f t="shared" si="422"/>
        <v/>
      </c>
      <c r="L1256" s="23" t="str">
        <f t="shared" si="423"/>
        <v/>
      </c>
      <c r="M1256" s="22" t="str">
        <f t="shared" si="424"/>
        <v/>
      </c>
      <c r="N1256" s="72"/>
      <c r="O1256" s="16" t="str">
        <f t="shared" si="425"/>
        <v/>
      </c>
      <c r="P1256" s="16" t="str">
        <f t="shared" si="426"/>
        <v/>
      </c>
      <c r="Q1256" s="16" t="str">
        <f t="shared" si="427"/>
        <v/>
      </c>
      <c r="R1256" s="23" t="str">
        <f t="shared" si="428"/>
        <v/>
      </c>
      <c r="S1256" s="23" t="str">
        <f t="shared" si="429"/>
        <v/>
      </c>
      <c r="T1256" s="23" t="str">
        <f t="shared" si="430"/>
        <v/>
      </c>
      <c r="U1256" s="23" t="str">
        <f t="shared" si="431"/>
        <v/>
      </c>
      <c r="V1256" s="23" t="str">
        <f t="shared" si="432"/>
        <v/>
      </c>
      <c r="W1256" s="70" t="str">
        <f t="shared" si="433"/>
        <v/>
      </c>
      <c r="X1256" s="70" t="str">
        <f t="shared" si="434"/>
        <v/>
      </c>
      <c r="Y1256" s="70" t="str">
        <f>IF(AND($A1256&lt;&gt;"",$E1256&gt;0),isLaptopBag($C1256,$J1256)*$D1256,"")</f>
        <v/>
      </c>
      <c r="Z1256" s="70" t="str">
        <f t="shared" si="435"/>
        <v/>
      </c>
      <c r="AA1256" s="70" t="str">
        <f t="shared" si="436"/>
        <v/>
      </c>
      <c r="AB1256" s="70" t="str">
        <f t="shared" si="437"/>
        <v/>
      </c>
      <c r="AC1256" s="70" t="str">
        <f t="shared" si="438"/>
        <v/>
      </c>
      <c r="AD1256" s="70" t="str">
        <f t="shared" si="439"/>
        <v/>
      </c>
      <c r="AE1256" s="70" t="str">
        <f t="shared" si="440"/>
        <v/>
      </c>
      <c r="AF1256" s="16"/>
      <c r="AG1256" s="23"/>
      <c r="AH1256" s="22"/>
      <c r="AJ1256" s="83">
        <f t="shared" si="441"/>
        <v>0</v>
      </c>
      <c r="AO1256" s="22" t="str">
        <f t="shared" si="442"/>
        <v/>
      </c>
      <c r="AP1256" s="22" t="str">
        <f t="shared" si="443"/>
        <v/>
      </c>
    </row>
    <row r="1257" spans="1:42" x14ac:dyDescent="0.25">
      <c r="A1257" s="10"/>
      <c r="B1257" s="10"/>
      <c r="C1257" s="10"/>
      <c r="D1257" s="10"/>
      <c r="E1257" s="10"/>
      <c r="F1257" s="10"/>
      <c r="G1257" s="10"/>
      <c r="H1257" s="17"/>
      <c r="I1257" s="10"/>
      <c r="J1257" s="10"/>
      <c r="K1257" s="16" t="str">
        <f t="shared" si="422"/>
        <v/>
      </c>
      <c r="L1257" s="23" t="str">
        <f t="shared" si="423"/>
        <v/>
      </c>
      <c r="M1257" s="22" t="str">
        <f t="shared" si="424"/>
        <v/>
      </c>
      <c r="N1257" s="72"/>
      <c r="O1257" s="16" t="str">
        <f t="shared" si="425"/>
        <v/>
      </c>
      <c r="P1257" s="16" t="str">
        <f t="shared" si="426"/>
        <v/>
      </c>
      <c r="Q1257" s="16" t="str">
        <f t="shared" si="427"/>
        <v/>
      </c>
      <c r="R1257" s="23" t="str">
        <f t="shared" si="428"/>
        <v/>
      </c>
      <c r="S1257" s="23" t="str">
        <f t="shared" si="429"/>
        <v/>
      </c>
      <c r="T1257" s="23" t="str">
        <f t="shared" si="430"/>
        <v/>
      </c>
      <c r="U1257" s="23" t="str">
        <f t="shared" si="431"/>
        <v/>
      </c>
      <c r="V1257" s="23" t="str">
        <f t="shared" si="432"/>
        <v/>
      </c>
      <c r="W1257" s="70" t="str">
        <f t="shared" si="433"/>
        <v/>
      </c>
      <c r="X1257" s="70" t="str">
        <f t="shared" si="434"/>
        <v/>
      </c>
      <c r="Y1257" s="70" t="str">
        <f>IF(AND($A1257&lt;&gt;"",$E1257&gt;0),isLaptopBag($C1257,$J1257)*$D1257,"")</f>
        <v/>
      </c>
      <c r="Z1257" s="70" t="str">
        <f t="shared" si="435"/>
        <v/>
      </c>
      <c r="AA1257" s="70" t="str">
        <f t="shared" si="436"/>
        <v/>
      </c>
      <c r="AB1257" s="70" t="str">
        <f t="shared" si="437"/>
        <v/>
      </c>
      <c r="AC1257" s="70" t="str">
        <f t="shared" si="438"/>
        <v/>
      </c>
      <c r="AD1257" s="70" t="str">
        <f t="shared" si="439"/>
        <v/>
      </c>
      <c r="AE1257" s="70" t="str">
        <f t="shared" si="440"/>
        <v/>
      </c>
      <c r="AF1257" s="16"/>
      <c r="AG1257" s="23"/>
      <c r="AH1257" s="22"/>
      <c r="AJ1257" s="83">
        <f t="shared" si="441"/>
        <v>0</v>
      </c>
      <c r="AO1257" s="22" t="str">
        <f t="shared" si="442"/>
        <v/>
      </c>
      <c r="AP1257" s="22" t="str">
        <f t="shared" si="443"/>
        <v/>
      </c>
    </row>
    <row r="1258" spans="1:42" x14ac:dyDescent="0.25">
      <c r="A1258" s="10"/>
      <c r="B1258" s="10"/>
      <c r="C1258" s="10"/>
      <c r="D1258" s="10"/>
      <c r="E1258" s="10"/>
      <c r="F1258" s="10"/>
      <c r="G1258" s="10"/>
      <c r="H1258" s="17"/>
      <c r="I1258" s="10"/>
      <c r="J1258" s="10"/>
      <c r="K1258" s="16" t="str">
        <f t="shared" si="422"/>
        <v/>
      </c>
      <c r="L1258" s="23" t="str">
        <f t="shared" si="423"/>
        <v/>
      </c>
      <c r="M1258" s="22" t="str">
        <f t="shared" si="424"/>
        <v/>
      </c>
      <c r="N1258" s="72"/>
      <c r="O1258" s="16" t="str">
        <f t="shared" si="425"/>
        <v/>
      </c>
      <c r="P1258" s="16" t="str">
        <f t="shared" si="426"/>
        <v/>
      </c>
      <c r="Q1258" s="16" t="str">
        <f t="shared" si="427"/>
        <v/>
      </c>
      <c r="R1258" s="23" t="str">
        <f t="shared" si="428"/>
        <v/>
      </c>
      <c r="S1258" s="23" t="str">
        <f t="shared" si="429"/>
        <v/>
      </c>
      <c r="T1258" s="23" t="str">
        <f t="shared" si="430"/>
        <v/>
      </c>
      <c r="U1258" s="23" t="str">
        <f t="shared" si="431"/>
        <v/>
      </c>
      <c r="V1258" s="23" t="str">
        <f t="shared" si="432"/>
        <v/>
      </c>
      <c r="W1258" s="70" t="str">
        <f t="shared" si="433"/>
        <v/>
      </c>
      <c r="X1258" s="70" t="str">
        <f t="shared" si="434"/>
        <v/>
      </c>
      <c r="Y1258" s="70" t="str">
        <f>IF(AND($A1258&lt;&gt;"",$E1258&gt;0),isLaptopBag($C1258,$J1258)*$D1258,"")</f>
        <v/>
      </c>
      <c r="Z1258" s="70" t="str">
        <f t="shared" si="435"/>
        <v/>
      </c>
      <c r="AA1258" s="70" t="str">
        <f t="shared" si="436"/>
        <v/>
      </c>
      <c r="AB1258" s="70" t="str">
        <f t="shared" si="437"/>
        <v/>
      </c>
      <c r="AC1258" s="70" t="str">
        <f t="shared" si="438"/>
        <v/>
      </c>
      <c r="AD1258" s="70" t="str">
        <f t="shared" si="439"/>
        <v/>
      </c>
      <c r="AE1258" s="70" t="str">
        <f t="shared" si="440"/>
        <v/>
      </c>
      <c r="AF1258" s="16"/>
      <c r="AG1258" s="23"/>
      <c r="AH1258" s="22"/>
      <c r="AJ1258" s="83">
        <f t="shared" si="441"/>
        <v>0</v>
      </c>
      <c r="AO1258" s="22" t="str">
        <f t="shared" si="442"/>
        <v/>
      </c>
      <c r="AP1258" s="22" t="str">
        <f t="shared" si="443"/>
        <v/>
      </c>
    </row>
    <row r="1259" spans="1:42" x14ac:dyDescent="0.25">
      <c r="A1259" s="10"/>
      <c r="B1259" s="10"/>
      <c r="C1259" s="10"/>
      <c r="D1259" s="10"/>
      <c r="E1259" s="10"/>
      <c r="F1259" s="10"/>
      <c r="G1259" s="10"/>
      <c r="H1259" s="17"/>
      <c r="I1259" s="10"/>
      <c r="J1259" s="10"/>
      <c r="K1259" s="16" t="str">
        <f t="shared" si="422"/>
        <v/>
      </c>
      <c r="L1259" s="23" t="str">
        <f t="shared" si="423"/>
        <v/>
      </c>
      <c r="M1259" s="22" t="str">
        <f t="shared" si="424"/>
        <v/>
      </c>
      <c r="N1259" s="72"/>
      <c r="O1259" s="16" t="str">
        <f t="shared" si="425"/>
        <v/>
      </c>
      <c r="P1259" s="16" t="str">
        <f t="shared" si="426"/>
        <v/>
      </c>
      <c r="Q1259" s="16" t="str">
        <f t="shared" si="427"/>
        <v/>
      </c>
      <c r="R1259" s="23" t="str">
        <f t="shared" si="428"/>
        <v/>
      </c>
      <c r="S1259" s="23" t="str">
        <f t="shared" si="429"/>
        <v/>
      </c>
      <c r="T1259" s="23" t="str">
        <f t="shared" si="430"/>
        <v/>
      </c>
      <c r="U1259" s="23" t="str">
        <f t="shared" si="431"/>
        <v/>
      </c>
      <c r="V1259" s="23" t="str">
        <f t="shared" si="432"/>
        <v/>
      </c>
      <c r="W1259" s="70" t="str">
        <f t="shared" si="433"/>
        <v/>
      </c>
      <c r="X1259" s="70" t="str">
        <f t="shared" si="434"/>
        <v/>
      </c>
      <c r="Y1259" s="70" t="str">
        <f>IF(AND($A1259&lt;&gt;"",$E1259&gt;0),isLaptopBag($C1259,$J1259)*$D1259,"")</f>
        <v/>
      </c>
      <c r="Z1259" s="70" t="str">
        <f t="shared" si="435"/>
        <v/>
      </c>
      <c r="AA1259" s="70" t="str">
        <f t="shared" si="436"/>
        <v/>
      </c>
      <c r="AB1259" s="70" t="str">
        <f t="shared" si="437"/>
        <v/>
      </c>
      <c r="AC1259" s="70" t="str">
        <f t="shared" si="438"/>
        <v/>
      </c>
      <c r="AD1259" s="70" t="str">
        <f t="shared" si="439"/>
        <v/>
      </c>
      <c r="AE1259" s="70" t="str">
        <f t="shared" si="440"/>
        <v/>
      </c>
      <c r="AF1259" s="16"/>
      <c r="AG1259" s="23"/>
      <c r="AH1259" s="22"/>
      <c r="AJ1259" s="83">
        <f t="shared" si="441"/>
        <v>0</v>
      </c>
      <c r="AO1259" s="22" t="str">
        <f t="shared" si="442"/>
        <v/>
      </c>
      <c r="AP1259" s="22" t="str">
        <f t="shared" si="443"/>
        <v/>
      </c>
    </row>
    <row r="1260" spans="1:42" x14ac:dyDescent="0.25">
      <c r="A1260" s="10"/>
      <c r="B1260" s="10"/>
      <c r="C1260" s="10"/>
      <c r="D1260" s="10"/>
      <c r="E1260" s="10"/>
      <c r="F1260" s="10"/>
      <c r="G1260" s="10"/>
      <c r="H1260" s="17"/>
      <c r="I1260" s="10"/>
      <c r="J1260" s="10"/>
      <c r="K1260" s="16" t="str">
        <f t="shared" si="422"/>
        <v/>
      </c>
      <c r="L1260" s="23" t="str">
        <f t="shared" si="423"/>
        <v/>
      </c>
      <c r="M1260" s="22" t="str">
        <f t="shared" si="424"/>
        <v/>
      </c>
      <c r="N1260" s="72"/>
      <c r="O1260" s="16" t="str">
        <f t="shared" si="425"/>
        <v/>
      </c>
      <c r="P1260" s="16" t="str">
        <f t="shared" si="426"/>
        <v/>
      </c>
      <c r="Q1260" s="16" t="str">
        <f t="shared" si="427"/>
        <v/>
      </c>
      <c r="R1260" s="23" t="str">
        <f t="shared" si="428"/>
        <v/>
      </c>
      <c r="S1260" s="23" t="str">
        <f t="shared" si="429"/>
        <v/>
      </c>
      <c r="T1260" s="23" t="str">
        <f t="shared" si="430"/>
        <v/>
      </c>
      <c r="U1260" s="23" t="str">
        <f t="shared" si="431"/>
        <v/>
      </c>
      <c r="V1260" s="23" t="str">
        <f t="shared" si="432"/>
        <v/>
      </c>
      <c r="W1260" s="70" t="str">
        <f t="shared" si="433"/>
        <v/>
      </c>
      <c r="X1260" s="70" t="str">
        <f t="shared" si="434"/>
        <v/>
      </c>
      <c r="Y1260" s="70" t="str">
        <f>IF(AND($A1260&lt;&gt;"",$E1260&gt;0),isLaptopBag($C1260,$J1260)*$D1260,"")</f>
        <v/>
      </c>
      <c r="Z1260" s="70" t="str">
        <f t="shared" si="435"/>
        <v/>
      </c>
      <c r="AA1260" s="70" t="str">
        <f t="shared" si="436"/>
        <v/>
      </c>
      <c r="AB1260" s="70" t="str">
        <f t="shared" si="437"/>
        <v/>
      </c>
      <c r="AC1260" s="70" t="str">
        <f t="shared" si="438"/>
        <v/>
      </c>
      <c r="AD1260" s="70" t="str">
        <f t="shared" si="439"/>
        <v/>
      </c>
      <c r="AE1260" s="70" t="str">
        <f t="shared" si="440"/>
        <v/>
      </c>
      <c r="AF1260" s="16"/>
      <c r="AG1260" s="23"/>
      <c r="AH1260" s="22"/>
      <c r="AJ1260" s="83">
        <f t="shared" si="441"/>
        <v>0</v>
      </c>
      <c r="AO1260" s="22" t="str">
        <f t="shared" si="442"/>
        <v/>
      </c>
      <c r="AP1260" s="22" t="str">
        <f t="shared" si="443"/>
        <v/>
      </c>
    </row>
    <row r="1261" spans="1:42" x14ac:dyDescent="0.25">
      <c r="A1261" s="10"/>
      <c r="B1261" s="10"/>
      <c r="C1261" s="10"/>
      <c r="D1261" s="10"/>
      <c r="E1261" s="10"/>
      <c r="F1261" s="10"/>
      <c r="G1261" s="10"/>
      <c r="H1261" s="17"/>
      <c r="I1261" s="10"/>
      <c r="J1261" s="10"/>
      <c r="K1261" s="16" t="str">
        <f t="shared" si="422"/>
        <v/>
      </c>
      <c r="L1261" s="23" t="str">
        <f t="shared" si="423"/>
        <v/>
      </c>
      <c r="M1261" s="22" t="str">
        <f t="shared" si="424"/>
        <v/>
      </c>
      <c r="N1261" s="72"/>
      <c r="O1261" s="16" t="str">
        <f t="shared" si="425"/>
        <v/>
      </c>
      <c r="P1261" s="16" t="str">
        <f t="shared" si="426"/>
        <v/>
      </c>
      <c r="Q1261" s="16" t="str">
        <f t="shared" si="427"/>
        <v/>
      </c>
      <c r="R1261" s="23" t="str">
        <f t="shared" si="428"/>
        <v/>
      </c>
      <c r="S1261" s="23" t="str">
        <f t="shared" si="429"/>
        <v/>
      </c>
      <c r="T1261" s="23" t="str">
        <f t="shared" si="430"/>
        <v/>
      </c>
      <c r="U1261" s="23" t="str">
        <f t="shared" si="431"/>
        <v/>
      </c>
      <c r="V1261" s="23" t="str">
        <f t="shared" si="432"/>
        <v/>
      </c>
      <c r="W1261" s="70" t="str">
        <f t="shared" si="433"/>
        <v/>
      </c>
      <c r="X1261" s="70" t="str">
        <f t="shared" si="434"/>
        <v/>
      </c>
      <c r="Y1261" s="70" t="str">
        <f>IF(AND($A1261&lt;&gt;"",$E1261&gt;0),isLaptopBag($C1261,$J1261)*$D1261,"")</f>
        <v/>
      </c>
      <c r="Z1261" s="70" t="str">
        <f t="shared" si="435"/>
        <v/>
      </c>
      <c r="AA1261" s="70" t="str">
        <f t="shared" si="436"/>
        <v/>
      </c>
      <c r="AB1261" s="70" t="str">
        <f t="shared" si="437"/>
        <v/>
      </c>
      <c r="AC1261" s="70" t="str">
        <f t="shared" si="438"/>
        <v/>
      </c>
      <c r="AD1261" s="70" t="str">
        <f t="shared" si="439"/>
        <v/>
      </c>
      <c r="AE1261" s="70" t="str">
        <f t="shared" si="440"/>
        <v/>
      </c>
      <c r="AF1261" s="16"/>
      <c r="AG1261" s="23"/>
      <c r="AH1261" s="22"/>
      <c r="AJ1261" s="83">
        <f t="shared" si="441"/>
        <v>0</v>
      </c>
      <c r="AO1261" s="22" t="str">
        <f t="shared" si="442"/>
        <v/>
      </c>
      <c r="AP1261" s="22" t="str">
        <f t="shared" si="443"/>
        <v/>
      </c>
    </row>
    <row r="1262" spans="1:42" x14ac:dyDescent="0.25">
      <c r="A1262" s="10"/>
      <c r="B1262" s="10"/>
      <c r="C1262" s="10"/>
      <c r="D1262" s="10"/>
      <c r="E1262" s="10"/>
      <c r="F1262" s="10"/>
      <c r="G1262" s="10"/>
      <c r="H1262" s="17"/>
      <c r="I1262" s="10"/>
      <c r="J1262" s="10"/>
      <c r="K1262" s="16" t="str">
        <f t="shared" si="422"/>
        <v/>
      </c>
      <c r="L1262" s="23" t="str">
        <f t="shared" si="423"/>
        <v/>
      </c>
      <c r="M1262" s="22" t="str">
        <f t="shared" si="424"/>
        <v/>
      </c>
      <c r="N1262" s="72"/>
      <c r="O1262" s="16" t="str">
        <f t="shared" si="425"/>
        <v/>
      </c>
      <c r="P1262" s="16" t="str">
        <f t="shared" si="426"/>
        <v/>
      </c>
      <c r="Q1262" s="16" t="str">
        <f t="shared" si="427"/>
        <v/>
      </c>
      <c r="R1262" s="23" t="str">
        <f t="shared" si="428"/>
        <v/>
      </c>
      <c r="S1262" s="23" t="str">
        <f t="shared" si="429"/>
        <v/>
      </c>
      <c r="T1262" s="23" t="str">
        <f t="shared" si="430"/>
        <v/>
      </c>
      <c r="U1262" s="23" t="str">
        <f t="shared" si="431"/>
        <v/>
      </c>
      <c r="V1262" s="23" t="str">
        <f t="shared" si="432"/>
        <v/>
      </c>
      <c r="W1262" s="70" t="str">
        <f t="shared" si="433"/>
        <v/>
      </c>
      <c r="X1262" s="70" t="str">
        <f t="shared" si="434"/>
        <v/>
      </c>
      <c r="Y1262" s="70" t="str">
        <f>IF(AND($A1262&lt;&gt;"",$E1262&gt;0),isLaptopBag($C1262,$J1262)*$D1262,"")</f>
        <v/>
      </c>
      <c r="Z1262" s="70" t="str">
        <f t="shared" si="435"/>
        <v/>
      </c>
      <c r="AA1262" s="70" t="str">
        <f t="shared" si="436"/>
        <v/>
      </c>
      <c r="AB1262" s="70" t="str">
        <f t="shared" si="437"/>
        <v/>
      </c>
      <c r="AC1262" s="70" t="str">
        <f t="shared" si="438"/>
        <v/>
      </c>
      <c r="AD1262" s="70" t="str">
        <f t="shared" si="439"/>
        <v/>
      </c>
      <c r="AE1262" s="70" t="str">
        <f t="shared" si="440"/>
        <v/>
      </c>
      <c r="AF1262" s="16"/>
      <c r="AG1262" s="23"/>
      <c r="AH1262" s="22"/>
      <c r="AJ1262" s="83">
        <f t="shared" si="441"/>
        <v>0</v>
      </c>
      <c r="AO1262" s="22" t="str">
        <f t="shared" si="442"/>
        <v/>
      </c>
      <c r="AP1262" s="22" t="str">
        <f t="shared" si="443"/>
        <v/>
      </c>
    </row>
    <row r="1263" spans="1:42" x14ac:dyDescent="0.25">
      <c r="A1263" s="10"/>
      <c r="B1263" s="10"/>
      <c r="C1263" s="10"/>
      <c r="D1263" s="10"/>
      <c r="E1263" s="10"/>
      <c r="F1263" s="10"/>
      <c r="G1263" s="10"/>
      <c r="H1263" s="17"/>
      <c r="I1263" s="10"/>
      <c r="J1263" s="10"/>
      <c r="K1263" s="16" t="str">
        <f t="shared" si="422"/>
        <v/>
      </c>
      <c r="L1263" s="23" t="str">
        <f t="shared" si="423"/>
        <v/>
      </c>
      <c r="M1263" s="22" t="str">
        <f t="shared" si="424"/>
        <v/>
      </c>
      <c r="N1263" s="72"/>
      <c r="O1263" s="16" t="str">
        <f t="shared" si="425"/>
        <v/>
      </c>
      <c r="P1263" s="16" t="str">
        <f t="shared" si="426"/>
        <v/>
      </c>
      <c r="Q1263" s="16" t="str">
        <f t="shared" si="427"/>
        <v/>
      </c>
      <c r="R1263" s="23" t="str">
        <f t="shared" si="428"/>
        <v/>
      </c>
      <c r="S1263" s="23" t="str">
        <f t="shared" si="429"/>
        <v/>
      </c>
      <c r="T1263" s="23" t="str">
        <f t="shared" si="430"/>
        <v/>
      </c>
      <c r="U1263" s="23" t="str">
        <f t="shared" si="431"/>
        <v/>
      </c>
      <c r="V1263" s="23" t="str">
        <f t="shared" si="432"/>
        <v/>
      </c>
      <c r="W1263" s="70" t="str">
        <f t="shared" si="433"/>
        <v/>
      </c>
      <c r="X1263" s="70" t="str">
        <f t="shared" si="434"/>
        <v/>
      </c>
      <c r="Y1263" s="70" t="str">
        <f>IF(AND($A1263&lt;&gt;"",$E1263&gt;0),isLaptopBag($C1263,$J1263)*$D1263,"")</f>
        <v/>
      </c>
      <c r="Z1263" s="70" t="str">
        <f t="shared" si="435"/>
        <v/>
      </c>
      <c r="AA1263" s="70" t="str">
        <f t="shared" si="436"/>
        <v/>
      </c>
      <c r="AB1263" s="70" t="str">
        <f t="shared" si="437"/>
        <v/>
      </c>
      <c r="AC1263" s="70" t="str">
        <f t="shared" si="438"/>
        <v/>
      </c>
      <c r="AD1263" s="70" t="str">
        <f t="shared" si="439"/>
        <v/>
      </c>
      <c r="AE1263" s="70" t="str">
        <f t="shared" si="440"/>
        <v/>
      </c>
      <c r="AF1263" s="16"/>
      <c r="AG1263" s="23"/>
      <c r="AH1263" s="22"/>
      <c r="AJ1263" s="83">
        <f t="shared" si="441"/>
        <v>0</v>
      </c>
      <c r="AO1263" s="22" t="str">
        <f t="shared" si="442"/>
        <v/>
      </c>
      <c r="AP1263" s="22" t="str">
        <f t="shared" si="443"/>
        <v/>
      </c>
    </row>
    <row r="1264" spans="1:42" x14ac:dyDescent="0.25">
      <c r="A1264" s="10"/>
      <c r="B1264" s="10"/>
      <c r="C1264" s="10"/>
      <c r="D1264" s="10"/>
      <c r="E1264" s="10"/>
      <c r="F1264" s="10"/>
      <c r="G1264" s="10"/>
      <c r="H1264" s="17"/>
      <c r="I1264" s="10"/>
      <c r="J1264" s="10"/>
      <c r="K1264" s="16" t="str">
        <f t="shared" si="422"/>
        <v/>
      </c>
      <c r="L1264" s="23" t="str">
        <f t="shared" si="423"/>
        <v/>
      </c>
      <c r="M1264" s="22" t="str">
        <f t="shared" si="424"/>
        <v/>
      </c>
      <c r="N1264" s="72"/>
      <c r="O1264" s="16" t="str">
        <f t="shared" si="425"/>
        <v/>
      </c>
      <c r="P1264" s="16" t="str">
        <f t="shared" si="426"/>
        <v/>
      </c>
      <c r="Q1264" s="16" t="str">
        <f t="shared" si="427"/>
        <v/>
      </c>
      <c r="R1264" s="23" t="str">
        <f t="shared" si="428"/>
        <v/>
      </c>
      <c r="S1264" s="23" t="str">
        <f t="shared" si="429"/>
        <v/>
      </c>
      <c r="T1264" s="23" t="str">
        <f t="shared" si="430"/>
        <v/>
      </c>
      <c r="U1264" s="23" t="str">
        <f t="shared" si="431"/>
        <v/>
      </c>
      <c r="V1264" s="23" t="str">
        <f t="shared" si="432"/>
        <v/>
      </c>
      <c r="W1264" s="70" t="str">
        <f t="shared" si="433"/>
        <v/>
      </c>
      <c r="X1264" s="70" t="str">
        <f t="shared" si="434"/>
        <v/>
      </c>
      <c r="Y1264" s="70" t="str">
        <f>IF(AND($A1264&lt;&gt;"",$E1264&gt;0),isLaptopBag($C1264,$J1264)*$D1264,"")</f>
        <v/>
      </c>
      <c r="Z1264" s="70" t="str">
        <f t="shared" si="435"/>
        <v/>
      </c>
      <c r="AA1264" s="70" t="str">
        <f t="shared" si="436"/>
        <v/>
      </c>
      <c r="AB1264" s="70" t="str">
        <f t="shared" si="437"/>
        <v/>
      </c>
      <c r="AC1264" s="70" t="str">
        <f t="shared" si="438"/>
        <v/>
      </c>
      <c r="AD1264" s="70" t="str">
        <f t="shared" si="439"/>
        <v/>
      </c>
      <c r="AE1264" s="70" t="str">
        <f t="shared" si="440"/>
        <v/>
      </c>
      <c r="AF1264" s="16"/>
      <c r="AG1264" s="23"/>
      <c r="AH1264" s="22"/>
      <c r="AJ1264" s="83">
        <f t="shared" si="441"/>
        <v>0</v>
      </c>
      <c r="AO1264" s="22" t="str">
        <f t="shared" si="442"/>
        <v/>
      </c>
      <c r="AP1264" s="22" t="str">
        <f t="shared" si="443"/>
        <v/>
      </c>
    </row>
    <row r="1265" spans="1:42" x14ac:dyDescent="0.25">
      <c r="A1265" s="10"/>
      <c r="B1265" s="10"/>
      <c r="C1265" s="10"/>
      <c r="D1265" s="10"/>
      <c r="E1265" s="10"/>
      <c r="F1265" s="10"/>
      <c r="G1265" s="10"/>
      <c r="H1265" s="17"/>
      <c r="I1265" s="10"/>
      <c r="J1265" s="10"/>
      <c r="K1265" s="16" t="str">
        <f t="shared" si="422"/>
        <v/>
      </c>
      <c r="L1265" s="23" t="str">
        <f t="shared" si="423"/>
        <v/>
      </c>
      <c r="M1265" s="22" t="str">
        <f t="shared" si="424"/>
        <v/>
      </c>
      <c r="N1265" s="72"/>
      <c r="O1265" s="16" t="str">
        <f t="shared" si="425"/>
        <v/>
      </c>
      <c r="P1265" s="16" t="str">
        <f t="shared" si="426"/>
        <v/>
      </c>
      <c r="Q1265" s="16" t="str">
        <f t="shared" si="427"/>
        <v/>
      </c>
      <c r="R1265" s="23" t="str">
        <f t="shared" si="428"/>
        <v/>
      </c>
      <c r="S1265" s="23" t="str">
        <f t="shared" si="429"/>
        <v/>
      </c>
      <c r="T1265" s="23" t="str">
        <f t="shared" si="430"/>
        <v/>
      </c>
      <c r="U1265" s="23" t="str">
        <f t="shared" si="431"/>
        <v/>
      </c>
      <c r="V1265" s="23" t="str">
        <f t="shared" si="432"/>
        <v/>
      </c>
      <c r="W1265" s="70" t="str">
        <f t="shared" si="433"/>
        <v/>
      </c>
      <c r="X1265" s="70" t="str">
        <f t="shared" si="434"/>
        <v/>
      </c>
      <c r="Y1265" s="70" t="str">
        <f>IF(AND($A1265&lt;&gt;"",$E1265&gt;0),isLaptopBag($C1265,$J1265)*$D1265,"")</f>
        <v/>
      </c>
      <c r="Z1265" s="70" t="str">
        <f t="shared" si="435"/>
        <v/>
      </c>
      <c r="AA1265" s="70" t="str">
        <f t="shared" si="436"/>
        <v/>
      </c>
      <c r="AB1265" s="70" t="str">
        <f t="shared" si="437"/>
        <v/>
      </c>
      <c r="AC1265" s="70" t="str">
        <f t="shared" si="438"/>
        <v/>
      </c>
      <c r="AD1265" s="70" t="str">
        <f t="shared" si="439"/>
        <v/>
      </c>
      <c r="AE1265" s="70" t="str">
        <f t="shared" si="440"/>
        <v/>
      </c>
      <c r="AF1265" s="16"/>
      <c r="AG1265" s="23"/>
      <c r="AH1265" s="22"/>
      <c r="AJ1265" s="83">
        <f t="shared" si="441"/>
        <v>0</v>
      </c>
      <c r="AO1265" s="22" t="str">
        <f t="shared" si="442"/>
        <v/>
      </c>
      <c r="AP1265" s="22" t="str">
        <f t="shared" si="443"/>
        <v/>
      </c>
    </row>
    <row r="1266" spans="1:42" x14ac:dyDescent="0.25">
      <c r="A1266" s="10"/>
      <c r="B1266" s="10"/>
      <c r="C1266" s="10"/>
      <c r="D1266" s="10"/>
      <c r="E1266" s="10"/>
      <c r="F1266" s="10"/>
      <c r="G1266" s="10"/>
      <c r="H1266" s="17"/>
      <c r="I1266" s="10"/>
      <c r="J1266" s="10"/>
      <c r="K1266" s="16" t="str">
        <f t="shared" si="422"/>
        <v/>
      </c>
      <c r="L1266" s="23" t="str">
        <f t="shared" si="423"/>
        <v/>
      </c>
      <c r="M1266" s="22" t="str">
        <f t="shared" si="424"/>
        <v/>
      </c>
      <c r="N1266" s="72"/>
      <c r="O1266" s="16" t="str">
        <f t="shared" si="425"/>
        <v/>
      </c>
      <c r="P1266" s="16" t="str">
        <f t="shared" si="426"/>
        <v/>
      </c>
      <c r="Q1266" s="16" t="str">
        <f t="shared" si="427"/>
        <v/>
      </c>
      <c r="R1266" s="23" t="str">
        <f t="shared" si="428"/>
        <v/>
      </c>
      <c r="S1266" s="23" t="str">
        <f t="shared" si="429"/>
        <v/>
      </c>
      <c r="T1266" s="23" t="str">
        <f t="shared" si="430"/>
        <v/>
      </c>
      <c r="U1266" s="23" t="str">
        <f t="shared" si="431"/>
        <v/>
      </c>
      <c r="V1266" s="23" t="str">
        <f t="shared" si="432"/>
        <v/>
      </c>
      <c r="W1266" s="70" t="str">
        <f t="shared" si="433"/>
        <v/>
      </c>
      <c r="X1266" s="70" t="str">
        <f t="shared" si="434"/>
        <v/>
      </c>
      <c r="Y1266" s="70" t="str">
        <f>IF(AND($A1266&lt;&gt;"",$E1266&gt;0),isLaptopBag($C1266,$J1266)*$D1266,"")</f>
        <v/>
      </c>
      <c r="Z1266" s="70" t="str">
        <f t="shared" si="435"/>
        <v/>
      </c>
      <c r="AA1266" s="70" t="str">
        <f t="shared" si="436"/>
        <v/>
      </c>
      <c r="AB1266" s="70" t="str">
        <f t="shared" si="437"/>
        <v/>
      </c>
      <c r="AC1266" s="70" t="str">
        <f t="shared" si="438"/>
        <v/>
      </c>
      <c r="AD1266" s="70" t="str">
        <f t="shared" si="439"/>
        <v/>
      </c>
      <c r="AE1266" s="70" t="str">
        <f t="shared" si="440"/>
        <v/>
      </c>
      <c r="AF1266" s="16"/>
      <c r="AG1266" s="23"/>
      <c r="AH1266" s="22"/>
      <c r="AJ1266" s="83">
        <f t="shared" si="441"/>
        <v>0</v>
      </c>
      <c r="AO1266" s="22" t="str">
        <f t="shared" si="442"/>
        <v/>
      </c>
      <c r="AP1266" s="22" t="str">
        <f t="shared" si="443"/>
        <v/>
      </c>
    </row>
    <row r="1267" spans="1:42" x14ac:dyDescent="0.25">
      <c r="A1267" s="10"/>
      <c r="B1267" s="10"/>
      <c r="C1267" s="10"/>
      <c r="D1267" s="10"/>
      <c r="E1267" s="10"/>
      <c r="F1267" s="10"/>
      <c r="G1267" s="10"/>
      <c r="H1267" s="17"/>
      <c r="I1267" s="10"/>
      <c r="J1267" s="10"/>
      <c r="K1267" s="16" t="str">
        <f t="shared" si="422"/>
        <v/>
      </c>
      <c r="L1267" s="23" t="str">
        <f t="shared" si="423"/>
        <v/>
      </c>
      <c r="M1267" s="22" t="str">
        <f t="shared" si="424"/>
        <v/>
      </c>
      <c r="N1267" s="72"/>
      <c r="O1267" s="16" t="str">
        <f t="shared" si="425"/>
        <v/>
      </c>
      <c r="P1267" s="16" t="str">
        <f t="shared" si="426"/>
        <v/>
      </c>
      <c r="Q1267" s="16" t="str">
        <f t="shared" si="427"/>
        <v/>
      </c>
      <c r="R1267" s="23" t="str">
        <f t="shared" si="428"/>
        <v/>
      </c>
      <c r="S1267" s="23" t="str">
        <f t="shared" si="429"/>
        <v/>
      </c>
      <c r="T1267" s="23" t="str">
        <f t="shared" si="430"/>
        <v/>
      </c>
      <c r="U1267" s="23" t="str">
        <f t="shared" si="431"/>
        <v/>
      </c>
      <c r="V1267" s="23" t="str">
        <f t="shared" si="432"/>
        <v/>
      </c>
      <c r="W1267" s="70" t="str">
        <f t="shared" si="433"/>
        <v/>
      </c>
      <c r="X1267" s="70" t="str">
        <f t="shared" si="434"/>
        <v/>
      </c>
      <c r="Y1267" s="70" t="str">
        <f>IF(AND($A1267&lt;&gt;"",$E1267&gt;0),isLaptopBag($C1267,$J1267)*$D1267,"")</f>
        <v/>
      </c>
      <c r="Z1267" s="70" t="str">
        <f t="shared" si="435"/>
        <v/>
      </c>
      <c r="AA1267" s="70" t="str">
        <f t="shared" si="436"/>
        <v/>
      </c>
      <c r="AB1267" s="70" t="str">
        <f t="shared" si="437"/>
        <v/>
      </c>
      <c r="AC1267" s="70" t="str">
        <f t="shared" si="438"/>
        <v/>
      </c>
      <c r="AD1267" s="70" t="str">
        <f t="shared" si="439"/>
        <v/>
      </c>
      <c r="AE1267" s="70" t="str">
        <f t="shared" si="440"/>
        <v/>
      </c>
      <c r="AF1267" s="16"/>
      <c r="AG1267" s="23"/>
      <c r="AH1267" s="22"/>
      <c r="AJ1267" s="83">
        <f t="shared" si="441"/>
        <v>0</v>
      </c>
      <c r="AO1267" s="22" t="str">
        <f t="shared" si="442"/>
        <v/>
      </c>
      <c r="AP1267" s="22" t="str">
        <f t="shared" si="443"/>
        <v/>
      </c>
    </row>
    <row r="1268" spans="1:42" x14ac:dyDescent="0.25">
      <c r="A1268" s="10"/>
      <c r="B1268" s="10"/>
      <c r="C1268" s="10"/>
      <c r="D1268" s="10"/>
      <c r="E1268" s="10"/>
      <c r="F1268" s="10"/>
      <c r="G1268" s="10"/>
      <c r="H1268" s="17"/>
      <c r="I1268" s="10"/>
      <c r="J1268" s="10"/>
      <c r="K1268" s="16" t="str">
        <f t="shared" si="422"/>
        <v/>
      </c>
      <c r="L1268" s="23" t="str">
        <f t="shared" si="423"/>
        <v/>
      </c>
      <c r="M1268" s="22" t="str">
        <f t="shared" si="424"/>
        <v/>
      </c>
      <c r="N1268" s="72"/>
      <c r="O1268" s="16" t="str">
        <f t="shared" si="425"/>
        <v/>
      </c>
      <c r="P1268" s="16" t="str">
        <f t="shared" si="426"/>
        <v/>
      </c>
      <c r="Q1268" s="16" t="str">
        <f t="shared" si="427"/>
        <v/>
      </c>
      <c r="R1268" s="23" t="str">
        <f t="shared" si="428"/>
        <v/>
      </c>
      <c r="S1268" s="23" t="str">
        <f t="shared" si="429"/>
        <v/>
      </c>
      <c r="T1268" s="23" t="str">
        <f t="shared" si="430"/>
        <v/>
      </c>
      <c r="U1268" s="23" t="str">
        <f t="shared" si="431"/>
        <v/>
      </c>
      <c r="V1268" s="23" t="str">
        <f t="shared" si="432"/>
        <v/>
      </c>
      <c r="W1268" s="70" t="str">
        <f t="shared" si="433"/>
        <v/>
      </c>
      <c r="X1268" s="70" t="str">
        <f t="shared" si="434"/>
        <v/>
      </c>
      <c r="Y1268" s="70" t="str">
        <f>IF(AND($A1268&lt;&gt;"",$E1268&gt;0),isLaptopBag($C1268,$J1268)*$D1268,"")</f>
        <v/>
      </c>
      <c r="Z1268" s="70" t="str">
        <f t="shared" si="435"/>
        <v/>
      </c>
      <c r="AA1268" s="70" t="str">
        <f t="shared" si="436"/>
        <v/>
      </c>
      <c r="AB1268" s="70" t="str">
        <f t="shared" si="437"/>
        <v/>
      </c>
      <c r="AC1268" s="70" t="str">
        <f t="shared" si="438"/>
        <v/>
      </c>
      <c r="AD1268" s="70" t="str">
        <f t="shared" si="439"/>
        <v/>
      </c>
      <c r="AE1268" s="70" t="str">
        <f t="shared" si="440"/>
        <v/>
      </c>
      <c r="AF1268" s="16"/>
      <c r="AG1268" s="23"/>
      <c r="AH1268" s="22"/>
      <c r="AJ1268" s="83">
        <f t="shared" si="441"/>
        <v>0</v>
      </c>
      <c r="AO1268" s="22" t="str">
        <f t="shared" si="442"/>
        <v/>
      </c>
      <c r="AP1268" s="22" t="str">
        <f t="shared" si="443"/>
        <v/>
      </c>
    </row>
    <row r="1269" spans="1:42" x14ac:dyDescent="0.25">
      <c r="A1269" s="10"/>
      <c r="B1269" s="10"/>
      <c r="C1269" s="10"/>
      <c r="D1269" s="10"/>
      <c r="E1269" s="10"/>
      <c r="F1269" s="10"/>
      <c r="G1269" s="10"/>
      <c r="H1269" s="17"/>
      <c r="I1269" s="10"/>
      <c r="J1269" s="10"/>
      <c r="K1269" s="16" t="str">
        <f t="shared" si="422"/>
        <v/>
      </c>
      <c r="L1269" s="23" t="str">
        <f t="shared" si="423"/>
        <v/>
      </c>
      <c r="M1269" s="22" t="str">
        <f t="shared" si="424"/>
        <v/>
      </c>
      <c r="N1269" s="72"/>
      <c r="O1269" s="16" t="str">
        <f t="shared" si="425"/>
        <v/>
      </c>
      <c r="P1269" s="16" t="str">
        <f t="shared" si="426"/>
        <v/>
      </c>
      <c r="Q1269" s="16" t="str">
        <f t="shared" si="427"/>
        <v/>
      </c>
      <c r="R1269" s="23" t="str">
        <f t="shared" si="428"/>
        <v/>
      </c>
      <c r="S1269" s="23" t="str">
        <f t="shared" si="429"/>
        <v/>
      </c>
      <c r="T1269" s="23" t="str">
        <f t="shared" si="430"/>
        <v/>
      </c>
      <c r="U1269" s="23" t="str">
        <f t="shared" si="431"/>
        <v/>
      </c>
      <c r="V1269" s="23" t="str">
        <f t="shared" si="432"/>
        <v/>
      </c>
      <c r="W1269" s="70" t="str">
        <f t="shared" si="433"/>
        <v/>
      </c>
      <c r="X1269" s="70" t="str">
        <f t="shared" si="434"/>
        <v/>
      </c>
      <c r="Y1269" s="70" t="str">
        <f>IF(AND($A1269&lt;&gt;"",$E1269&gt;0),isLaptopBag($C1269,$J1269)*$D1269,"")</f>
        <v/>
      </c>
      <c r="Z1269" s="70" t="str">
        <f t="shared" si="435"/>
        <v/>
      </c>
      <c r="AA1269" s="70" t="str">
        <f t="shared" si="436"/>
        <v/>
      </c>
      <c r="AB1269" s="70" t="str">
        <f t="shared" si="437"/>
        <v/>
      </c>
      <c r="AC1269" s="70" t="str">
        <f t="shared" si="438"/>
        <v/>
      </c>
      <c r="AD1269" s="70" t="str">
        <f t="shared" si="439"/>
        <v/>
      </c>
      <c r="AE1269" s="70" t="str">
        <f t="shared" si="440"/>
        <v/>
      </c>
      <c r="AF1269" s="16"/>
      <c r="AG1269" s="23"/>
      <c r="AH1269" s="22"/>
      <c r="AJ1269" s="83">
        <f t="shared" si="441"/>
        <v>0</v>
      </c>
      <c r="AO1269" s="22" t="str">
        <f t="shared" si="442"/>
        <v/>
      </c>
      <c r="AP1269" s="22" t="str">
        <f t="shared" si="443"/>
        <v/>
      </c>
    </row>
    <row r="1270" spans="1:42" x14ac:dyDescent="0.25">
      <c r="A1270" s="10"/>
      <c r="B1270" s="10"/>
      <c r="C1270" s="10"/>
      <c r="D1270" s="10"/>
      <c r="E1270" s="10"/>
      <c r="F1270" s="10"/>
      <c r="G1270" s="10"/>
      <c r="H1270" s="17"/>
      <c r="I1270" s="10"/>
      <c r="J1270" s="10"/>
      <c r="K1270" s="16" t="str">
        <f t="shared" si="422"/>
        <v/>
      </c>
      <c r="L1270" s="23" t="str">
        <f t="shared" si="423"/>
        <v/>
      </c>
      <c r="M1270" s="22" t="str">
        <f t="shared" si="424"/>
        <v/>
      </c>
      <c r="N1270" s="72"/>
      <c r="O1270" s="16" t="str">
        <f t="shared" si="425"/>
        <v/>
      </c>
      <c r="P1270" s="16" t="str">
        <f t="shared" si="426"/>
        <v/>
      </c>
      <c r="Q1270" s="16" t="str">
        <f t="shared" si="427"/>
        <v/>
      </c>
      <c r="R1270" s="23" t="str">
        <f t="shared" si="428"/>
        <v/>
      </c>
      <c r="S1270" s="23" t="str">
        <f t="shared" si="429"/>
        <v/>
      </c>
      <c r="T1270" s="23" t="str">
        <f t="shared" si="430"/>
        <v/>
      </c>
      <c r="U1270" s="23" t="str">
        <f t="shared" si="431"/>
        <v/>
      </c>
      <c r="V1270" s="23" t="str">
        <f t="shared" si="432"/>
        <v/>
      </c>
      <c r="W1270" s="70" t="str">
        <f t="shared" si="433"/>
        <v/>
      </c>
      <c r="X1270" s="70" t="str">
        <f t="shared" si="434"/>
        <v/>
      </c>
      <c r="Y1270" s="70" t="str">
        <f>IF(AND($A1270&lt;&gt;"",$E1270&gt;0),isLaptopBag($C1270,$J1270)*$D1270,"")</f>
        <v/>
      </c>
      <c r="Z1270" s="70" t="str">
        <f t="shared" si="435"/>
        <v/>
      </c>
      <c r="AA1270" s="70" t="str">
        <f t="shared" si="436"/>
        <v/>
      </c>
      <c r="AB1270" s="70" t="str">
        <f t="shared" si="437"/>
        <v/>
      </c>
      <c r="AC1270" s="70" t="str">
        <f t="shared" si="438"/>
        <v/>
      </c>
      <c r="AD1270" s="70" t="str">
        <f t="shared" si="439"/>
        <v/>
      </c>
      <c r="AE1270" s="70" t="str">
        <f t="shared" si="440"/>
        <v/>
      </c>
      <c r="AF1270" s="16"/>
      <c r="AG1270" s="23"/>
      <c r="AH1270" s="22"/>
      <c r="AJ1270" s="83">
        <f t="shared" si="441"/>
        <v>0</v>
      </c>
      <c r="AO1270" s="22" t="str">
        <f t="shared" si="442"/>
        <v/>
      </c>
      <c r="AP1270" s="22" t="str">
        <f t="shared" si="443"/>
        <v/>
      </c>
    </row>
    <row r="1271" spans="1:42" x14ac:dyDescent="0.25">
      <c r="A1271" s="10"/>
      <c r="B1271" s="10"/>
      <c r="C1271" s="10"/>
      <c r="D1271" s="10"/>
      <c r="E1271" s="10"/>
      <c r="F1271" s="10"/>
      <c r="G1271" s="10"/>
      <c r="H1271" s="17"/>
      <c r="I1271" s="10"/>
      <c r="J1271" s="10"/>
      <c r="K1271" s="16" t="str">
        <f t="shared" si="422"/>
        <v/>
      </c>
      <c r="L1271" s="23" t="str">
        <f t="shared" si="423"/>
        <v/>
      </c>
      <c r="M1271" s="22" t="str">
        <f t="shared" si="424"/>
        <v/>
      </c>
      <c r="N1271" s="72"/>
      <c r="O1271" s="16" t="str">
        <f t="shared" si="425"/>
        <v/>
      </c>
      <c r="P1271" s="16" t="str">
        <f t="shared" si="426"/>
        <v/>
      </c>
      <c r="Q1271" s="16" t="str">
        <f t="shared" si="427"/>
        <v/>
      </c>
      <c r="R1271" s="23" t="str">
        <f t="shared" si="428"/>
        <v/>
      </c>
      <c r="S1271" s="23" t="str">
        <f t="shared" si="429"/>
        <v/>
      </c>
      <c r="T1271" s="23" t="str">
        <f t="shared" si="430"/>
        <v/>
      </c>
      <c r="U1271" s="23" t="str">
        <f t="shared" si="431"/>
        <v/>
      </c>
      <c r="V1271" s="23" t="str">
        <f t="shared" si="432"/>
        <v/>
      </c>
      <c r="W1271" s="70" t="str">
        <f t="shared" si="433"/>
        <v/>
      </c>
      <c r="X1271" s="70" t="str">
        <f t="shared" si="434"/>
        <v/>
      </c>
      <c r="Y1271" s="70" t="str">
        <f>IF(AND($A1271&lt;&gt;"",$E1271&gt;0),isLaptopBag($C1271,$J1271)*$D1271,"")</f>
        <v/>
      </c>
      <c r="Z1271" s="70" t="str">
        <f t="shared" si="435"/>
        <v/>
      </c>
      <c r="AA1271" s="70" t="str">
        <f t="shared" si="436"/>
        <v/>
      </c>
      <c r="AB1271" s="70" t="str">
        <f t="shared" si="437"/>
        <v/>
      </c>
      <c r="AC1271" s="70" t="str">
        <f t="shared" si="438"/>
        <v/>
      </c>
      <c r="AD1271" s="70" t="str">
        <f t="shared" si="439"/>
        <v/>
      </c>
      <c r="AE1271" s="70" t="str">
        <f t="shared" si="440"/>
        <v/>
      </c>
      <c r="AF1271" s="16"/>
      <c r="AG1271" s="23"/>
      <c r="AH1271" s="22"/>
      <c r="AJ1271" s="83">
        <f t="shared" si="441"/>
        <v>0</v>
      </c>
      <c r="AO1271" s="22" t="str">
        <f t="shared" si="442"/>
        <v/>
      </c>
      <c r="AP1271" s="22" t="str">
        <f t="shared" si="443"/>
        <v/>
      </c>
    </row>
    <row r="1272" spans="1:42" x14ac:dyDescent="0.25">
      <c r="A1272" s="10"/>
      <c r="B1272" s="10"/>
      <c r="C1272" s="10"/>
      <c r="D1272" s="10"/>
      <c r="E1272" s="10"/>
      <c r="F1272" s="10"/>
      <c r="G1272" s="10"/>
      <c r="H1272" s="17"/>
      <c r="I1272" s="10"/>
      <c r="J1272" s="10"/>
      <c r="K1272" s="16" t="str">
        <f t="shared" si="422"/>
        <v/>
      </c>
      <c r="L1272" s="23" t="str">
        <f t="shared" si="423"/>
        <v/>
      </c>
      <c r="M1272" s="22" t="str">
        <f t="shared" si="424"/>
        <v/>
      </c>
      <c r="N1272" s="72"/>
      <c r="O1272" s="16" t="str">
        <f t="shared" si="425"/>
        <v/>
      </c>
      <c r="P1272" s="16" t="str">
        <f t="shared" si="426"/>
        <v/>
      </c>
      <c r="Q1272" s="16" t="str">
        <f t="shared" si="427"/>
        <v/>
      </c>
      <c r="R1272" s="23" t="str">
        <f t="shared" si="428"/>
        <v/>
      </c>
      <c r="S1272" s="23" t="str">
        <f t="shared" si="429"/>
        <v/>
      </c>
      <c r="T1272" s="23" t="str">
        <f t="shared" si="430"/>
        <v/>
      </c>
      <c r="U1272" s="23" t="str">
        <f t="shared" si="431"/>
        <v/>
      </c>
      <c r="V1272" s="23" t="str">
        <f t="shared" si="432"/>
        <v/>
      </c>
      <c r="W1272" s="70" t="str">
        <f t="shared" si="433"/>
        <v/>
      </c>
      <c r="X1272" s="70" t="str">
        <f t="shared" si="434"/>
        <v/>
      </c>
      <c r="Y1272" s="70" t="str">
        <f>IF(AND($A1272&lt;&gt;"",$E1272&gt;0),isLaptopBag($C1272,$J1272)*$D1272,"")</f>
        <v/>
      </c>
      <c r="Z1272" s="70" t="str">
        <f t="shared" si="435"/>
        <v/>
      </c>
      <c r="AA1272" s="70" t="str">
        <f t="shared" si="436"/>
        <v/>
      </c>
      <c r="AB1272" s="70" t="str">
        <f t="shared" si="437"/>
        <v/>
      </c>
      <c r="AC1272" s="70" t="str">
        <f t="shared" si="438"/>
        <v/>
      </c>
      <c r="AD1272" s="70" t="str">
        <f t="shared" si="439"/>
        <v/>
      </c>
      <c r="AE1272" s="70" t="str">
        <f t="shared" si="440"/>
        <v/>
      </c>
      <c r="AF1272" s="16"/>
      <c r="AG1272" s="23"/>
      <c r="AH1272" s="22"/>
      <c r="AJ1272" s="83">
        <f t="shared" si="441"/>
        <v>0</v>
      </c>
      <c r="AO1272" s="22" t="str">
        <f t="shared" si="442"/>
        <v/>
      </c>
      <c r="AP1272" s="22" t="str">
        <f t="shared" si="443"/>
        <v/>
      </c>
    </row>
    <row r="1273" spans="1:42" x14ac:dyDescent="0.25">
      <c r="A1273" s="10"/>
      <c r="B1273" s="10"/>
      <c r="C1273" s="10"/>
      <c r="D1273" s="10"/>
      <c r="E1273" s="10"/>
      <c r="F1273" s="10"/>
      <c r="G1273" s="10"/>
      <c r="H1273" s="17"/>
      <c r="I1273" s="10"/>
      <c r="J1273" s="10"/>
      <c r="K1273" s="16" t="str">
        <f t="shared" si="422"/>
        <v/>
      </c>
      <c r="L1273" s="23" t="str">
        <f t="shared" si="423"/>
        <v/>
      </c>
      <c r="M1273" s="22" t="str">
        <f t="shared" si="424"/>
        <v/>
      </c>
      <c r="N1273" s="72"/>
      <c r="O1273" s="16" t="str">
        <f t="shared" si="425"/>
        <v/>
      </c>
      <c r="P1273" s="16" t="str">
        <f t="shared" si="426"/>
        <v/>
      </c>
      <c r="Q1273" s="16" t="str">
        <f t="shared" si="427"/>
        <v/>
      </c>
      <c r="R1273" s="23" t="str">
        <f t="shared" si="428"/>
        <v/>
      </c>
      <c r="S1273" s="23" t="str">
        <f t="shared" si="429"/>
        <v/>
      </c>
      <c r="T1273" s="23" t="str">
        <f t="shared" si="430"/>
        <v/>
      </c>
      <c r="U1273" s="23" t="str">
        <f t="shared" si="431"/>
        <v/>
      </c>
      <c r="V1273" s="23" t="str">
        <f t="shared" si="432"/>
        <v/>
      </c>
      <c r="W1273" s="70" t="str">
        <f t="shared" si="433"/>
        <v/>
      </c>
      <c r="X1273" s="70" t="str">
        <f t="shared" si="434"/>
        <v/>
      </c>
      <c r="Y1273" s="70" t="str">
        <f>IF(AND($A1273&lt;&gt;"",$E1273&gt;0),isLaptopBag($C1273,$J1273)*$D1273,"")</f>
        <v/>
      </c>
      <c r="Z1273" s="70" t="str">
        <f t="shared" si="435"/>
        <v/>
      </c>
      <c r="AA1273" s="70" t="str">
        <f t="shared" si="436"/>
        <v/>
      </c>
      <c r="AB1273" s="70" t="str">
        <f t="shared" si="437"/>
        <v/>
      </c>
      <c r="AC1273" s="70" t="str">
        <f t="shared" si="438"/>
        <v/>
      </c>
      <c r="AD1273" s="70" t="str">
        <f t="shared" si="439"/>
        <v/>
      </c>
      <c r="AE1273" s="70" t="str">
        <f t="shared" si="440"/>
        <v/>
      </c>
      <c r="AF1273" s="16"/>
      <c r="AG1273" s="23"/>
      <c r="AH1273" s="22"/>
      <c r="AJ1273" s="83">
        <f t="shared" si="441"/>
        <v>0</v>
      </c>
      <c r="AO1273" s="22" t="str">
        <f t="shared" si="442"/>
        <v/>
      </c>
      <c r="AP1273" s="22" t="str">
        <f t="shared" si="443"/>
        <v/>
      </c>
    </row>
    <row r="1274" spans="1:42" x14ac:dyDescent="0.25">
      <c r="A1274" s="10"/>
      <c r="B1274" s="10"/>
      <c r="C1274" s="10"/>
      <c r="D1274" s="10"/>
      <c r="E1274" s="10"/>
      <c r="F1274" s="10"/>
      <c r="G1274" s="10"/>
      <c r="H1274" s="17"/>
      <c r="I1274" s="10"/>
      <c r="J1274" s="10"/>
      <c r="K1274" s="16" t="str">
        <f t="shared" si="422"/>
        <v/>
      </c>
      <c r="L1274" s="23" t="str">
        <f t="shared" si="423"/>
        <v/>
      </c>
      <c r="M1274" s="22" t="str">
        <f t="shared" si="424"/>
        <v/>
      </c>
      <c r="N1274" s="72"/>
      <c r="O1274" s="16" t="str">
        <f t="shared" si="425"/>
        <v/>
      </c>
      <c r="P1274" s="16" t="str">
        <f t="shared" si="426"/>
        <v/>
      </c>
      <c r="Q1274" s="16" t="str">
        <f t="shared" si="427"/>
        <v/>
      </c>
      <c r="R1274" s="23" t="str">
        <f t="shared" si="428"/>
        <v/>
      </c>
      <c r="S1274" s="23" t="str">
        <f t="shared" si="429"/>
        <v/>
      </c>
      <c r="T1274" s="23" t="str">
        <f t="shared" si="430"/>
        <v/>
      </c>
      <c r="U1274" s="23" t="str">
        <f t="shared" si="431"/>
        <v/>
      </c>
      <c r="V1274" s="23" t="str">
        <f t="shared" si="432"/>
        <v/>
      </c>
      <c r="W1274" s="70" t="str">
        <f t="shared" si="433"/>
        <v/>
      </c>
      <c r="X1274" s="70" t="str">
        <f t="shared" si="434"/>
        <v/>
      </c>
      <c r="Y1274" s="70" t="str">
        <f>IF(AND($A1274&lt;&gt;"",$E1274&gt;0),isLaptopBag($C1274,$J1274)*$D1274,"")</f>
        <v/>
      </c>
      <c r="Z1274" s="70" t="str">
        <f t="shared" si="435"/>
        <v/>
      </c>
      <c r="AA1274" s="70" t="str">
        <f t="shared" si="436"/>
        <v/>
      </c>
      <c r="AB1274" s="70" t="str">
        <f t="shared" si="437"/>
        <v/>
      </c>
      <c r="AC1274" s="70" t="str">
        <f t="shared" si="438"/>
        <v/>
      </c>
      <c r="AD1274" s="70" t="str">
        <f t="shared" si="439"/>
        <v/>
      </c>
      <c r="AE1274" s="70" t="str">
        <f t="shared" si="440"/>
        <v/>
      </c>
      <c r="AF1274" s="16"/>
      <c r="AG1274" s="23"/>
      <c r="AH1274" s="22"/>
      <c r="AJ1274" s="83">
        <f t="shared" si="441"/>
        <v>0</v>
      </c>
      <c r="AO1274" s="22" t="str">
        <f t="shared" si="442"/>
        <v/>
      </c>
      <c r="AP1274" s="22" t="str">
        <f t="shared" si="443"/>
        <v/>
      </c>
    </row>
    <row r="1275" spans="1:42" x14ac:dyDescent="0.25">
      <c r="A1275" s="10"/>
      <c r="B1275" s="10"/>
      <c r="C1275" s="10"/>
      <c r="D1275" s="10"/>
      <c r="E1275" s="10"/>
      <c r="F1275" s="10"/>
      <c r="G1275" s="10"/>
      <c r="H1275" s="17"/>
      <c r="I1275" s="10"/>
      <c r="J1275" s="10"/>
      <c r="K1275" s="16" t="str">
        <f t="shared" si="422"/>
        <v/>
      </c>
      <c r="L1275" s="23" t="str">
        <f t="shared" si="423"/>
        <v/>
      </c>
      <c r="M1275" s="22" t="str">
        <f t="shared" si="424"/>
        <v/>
      </c>
      <c r="N1275" s="72"/>
      <c r="O1275" s="16" t="str">
        <f t="shared" si="425"/>
        <v/>
      </c>
      <c r="P1275" s="16" t="str">
        <f t="shared" si="426"/>
        <v/>
      </c>
      <c r="Q1275" s="16" t="str">
        <f t="shared" si="427"/>
        <v/>
      </c>
      <c r="R1275" s="23" t="str">
        <f t="shared" si="428"/>
        <v/>
      </c>
      <c r="S1275" s="23" t="str">
        <f t="shared" si="429"/>
        <v/>
      </c>
      <c r="T1275" s="23" t="str">
        <f t="shared" si="430"/>
        <v/>
      </c>
      <c r="U1275" s="23" t="str">
        <f t="shared" si="431"/>
        <v/>
      </c>
      <c r="V1275" s="23" t="str">
        <f t="shared" si="432"/>
        <v/>
      </c>
      <c r="W1275" s="70" t="str">
        <f t="shared" si="433"/>
        <v/>
      </c>
      <c r="X1275" s="70" t="str">
        <f t="shared" si="434"/>
        <v/>
      </c>
      <c r="Y1275" s="70" t="str">
        <f>IF(AND($A1275&lt;&gt;"",$E1275&gt;0),isLaptopBag($C1275,$J1275)*$D1275,"")</f>
        <v/>
      </c>
      <c r="Z1275" s="70" t="str">
        <f t="shared" si="435"/>
        <v/>
      </c>
      <c r="AA1275" s="70" t="str">
        <f t="shared" si="436"/>
        <v/>
      </c>
      <c r="AB1275" s="70" t="str">
        <f t="shared" si="437"/>
        <v/>
      </c>
      <c r="AC1275" s="70" t="str">
        <f t="shared" si="438"/>
        <v/>
      </c>
      <c r="AD1275" s="70" t="str">
        <f t="shared" si="439"/>
        <v/>
      </c>
      <c r="AE1275" s="70" t="str">
        <f t="shared" si="440"/>
        <v/>
      </c>
      <c r="AF1275" s="16"/>
      <c r="AG1275" s="23"/>
      <c r="AH1275" s="22"/>
      <c r="AJ1275" s="83">
        <f t="shared" si="441"/>
        <v>0</v>
      </c>
      <c r="AO1275" s="22" t="str">
        <f t="shared" si="442"/>
        <v/>
      </c>
      <c r="AP1275" s="22" t="str">
        <f t="shared" si="443"/>
        <v/>
      </c>
    </row>
    <row r="1276" spans="1:42" x14ac:dyDescent="0.25">
      <c r="A1276" s="10"/>
      <c r="B1276" s="10"/>
      <c r="C1276" s="10"/>
      <c r="D1276" s="10"/>
      <c r="E1276" s="10"/>
      <c r="F1276" s="10"/>
      <c r="G1276" s="10"/>
      <c r="H1276" s="17"/>
      <c r="I1276" s="10"/>
      <c r="J1276" s="10"/>
      <c r="K1276" s="16" t="str">
        <f t="shared" si="422"/>
        <v/>
      </c>
      <c r="L1276" s="23" t="str">
        <f t="shared" si="423"/>
        <v/>
      </c>
      <c r="M1276" s="22" t="str">
        <f t="shared" si="424"/>
        <v/>
      </c>
      <c r="N1276" s="72"/>
      <c r="O1276" s="16" t="str">
        <f t="shared" si="425"/>
        <v/>
      </c>
      <c r="P1276" s="16" t="str">
        <f t="shared" si="426"/>
        <v/>
      </c>
      <c r="Q1276" s="16" t="str">
        <f t="shared" si="427"/>
        <v/>
      </c>
      <c r="R1276" s="23" t="str">
        <f t="shared" si="428"/>
        <v/>
      </c>
      <c r="S1276" s="23" t="str">
        <f t="shared" si="429"/>
        <v/>
      </c>
      <c r="T1276" s="23" t="str">
        <f t="shared" si="430"/>
        <v/>
      </c>
      <c r="U1276" s="23" t="str">
        <f t="shared" si="431"/>
        <v/>
      </c>
      <c r="V1276" s="23" t="str">
        <f t="shared" si="432"/>
        <v/>
      </c>
      <c r="W1276" s="70" t="str">
        <f t="shared" si="433"/>
        <v/>
      </c>
      <c r="X1276" s="70" t="str">
        <f t="shared" si="434"/>
        <v/>
      </c>
      <c r="Y1276" s="70" t="str">
        <f>IF(AND($A1276&lt;&gt;"",$E1276&gt;0),isLaptopBag($C1276,$J1276)*$D1276,"")</f>
        <v/>
      </c>
      <c r="Z1276" s="70" t="str">
        <f t="shared" si="435"/>
        <v/>
      </c>
      <c r="AA1276" s="70" t="str">
        <f t="shared" si="436"/>
        <v/>
      </c>
      <c r="AB1276" s="70" t="str">
        <f t="shared" si="437"/>
        <v/>
      </c>
      <c r="AC1276" s="70" t="str">
        <f t="shared" si="438"/>
        <v/>
      </c>
      <c r="AD1276" s="70" t="str">
        <f t="shared" si="439"/>
        <v/>
      </c>
      <c r="AE1276" s="70" t="str">
        <f t="shared" si="440"/>
        <v/>
      </c>
      <c r="AF1276" s="16"/>
      <c r="AG1276" s="23"/>
      <c r="AH1276" s="22"/>
      <c r="AJ1276" s="83">
        <f t="shared" si="441"/>
        <v>0</v>
      </c>
      <c r="AO1276" s="22" t="str">
        <f t="shared" si="442"/>
        <v/>
      </c>
      <c r="AP1276" s="22" t="str">
        <f t="shared" si="443"/>
        <v/>
      </c>
    </row>
    <row r="1277" spans="1:42" x14ac:dyDescent="0.25">
      <c r="A1277" s="10"/>
      <c r="B1277" s="10"/>
      <c r="C1277" s="10"/>
      <c r="D1277" s="10"/>
      <c r="E1277" s="10"/>
      <c r="F1277" s="10"/>
      <c r="G1277" s="10"/>
      <c r="H1277" s="17"/>
      <c r="I1277" s="10"/>
      <c r="J1277" s="10"/>
      <c r="K1277" s="16" t="str">
        <f t="shared" si="422"/>
        <v/>
      </c>
      <c r="L1277" s="23" t="str">
        <f t="shared" si="423"/>
        <v/>
      </c>
      <c r="M1277" s="22" t="str">
        <f t="shared" si="424"/>
        <v/>
      </c>
      <c r="N1277" s="72"/>
      <c r="O1277" s="16" t="str">
        <f t="shared" si="425"/>
        <v/>
      </c>
      <c r="P1277" s="16" t="str">
        <f t="shared" si="426"/>
        <v/>
      </c>
      <c r="Q1277" s="16" t="str">
        <f t="shared" si="427"/>
        <v/>
      </c>
      <c r="R1277" s="23" t="str">
        <f t="shared" si="428"/>
        <v/>
      </c>
      <c r="S1277" s="23" t="str">
        <f t="shared" si="429"/>
        <v/>
      </c>
      <c r="T1277" s="23" t="str">
        <f t="shared" si="430"/>
        <v/>
      </c>
      <c r="U1277" s="23" t="str">
        <f t="shared" si="431"/>
        <v/>
      </c>
      <c r="V1277" s="23" t="str">
        <f t="shared" si="432"/>
        <v/>
      </c>
      <c r="W1277" s="70" t="str">
        <f t="shared" si="433"/>
        <v/>
      </c>
      <c r="X1277" s="70" t="str">
        <f t="shared" si="434"/>
        <v/>
      </c>
      <c r="Y1277" s="70" t="str">
        <f>IF(AND($A1277&lt;&gt;"",$E1277&gt;0),isLaptopBag($C1277,$J1277)*$D1277,"")</f>
        <v/>
      </c>
      <c r="Z1277" s="70" t="str">
        <f t="shared" si="435"/>
        <v/>
      </c>
      <c r="AA1277" s="70" t="str">
        <f t="shared" si="436"/>
        <v/>
      </c>
      <c r="AB1277" s="70" t="str">
        <f t="shared" si="437"/>
        <v/>
      </c>
      <c r="AC1277" s="70" t="str">
        <f t="shared" si="438"/>
        <v/>
      </c>
      <c r="AD1277" s="70" t="str">
        <f t="shared" si="439"/>
        <v/>
      </c>
      <c r="AE1277" s="70" t="str">
        <f t="shared" si="440"/>
        <v/>
      </c>
      <c r="AF1277" s="16"/>
      <c r="AG1277" s="23"/>
      <c r="AH1277" s="22"/>
      <c r="AJ1277" s="83">
        <f t="shared" si="441"/>
        <v>0</v>
      </c>
      <c r="AO1277" s="22" t="str">
        <f t="shared" si="442"/>
        <v/>
      </c>
      <c r="AP1277" s="22" t="str">
        <f t="shared" si="443"/>
        <v/>
      </c>
    </row>
    <row r="1278" spans="1:42" x14ac:dyDescent="0.25">
      <c r="A1278" s="10"/>
      <c r="B1278" s="10"/>
      <c r="C1278" s="10"/>
      <c r="D1278" s="10"/>
      <c r="E1278" s="10"/>
      <c r="F1278" s="10"/>
      <c r="G1278" s="10"/>
      <c r="H1278" s="17"/>
      <c r="I1278" s="10"/>
      <c r="J1278" s="10"/>
      <c r="K1278" s="16" t="str">
        <f t="shared" si="422"/>
        <v/>
      </c>
      <c r="L1278" s="23" t="str">
        <f t="shared" si="423"/>
        <v/>
      </c>
      <c r="M1278" s="22" t="str">
        <f t="shared" si="424"/>
        <v/>
      </c>
      <c r="N1278" s="72"/>
      <c r="O1278" s="16" t="str">
        <f t="shared" si="425"/>
        <v/>
      </c>
      <c r="P1278" s="16" t="str">
        <f t="shared" si="426"/>
        <v/>
      </c>
      <c r="Q1278" s="16" t="str">
        <f t="shared" si="427"/>
        <v/>
      </c>
      <c r="R1278" s="23" t="str">
        <f t="shared" si="428"/>
        <v/>
      </c>
      <c r="S1278" s="23" t="str">
        <f t="shared" si="429"/>
        <v/>
      </c>
      <c r="T1278" s="23" t="str">
        <f t="shared" si="430"/>
        <v/>
      </c>
      <c r="U1278" s="23" t="str">
        <f t="shared" si="431"/>
        <v/>
      </c>
      <c r="V1278" s="23" t="str">
        <f t="shared" si="432"/>
        <v/>
      </c>
      <c r="W1278" s="70" t="str">
        <f t="shared" si="433"/>
        <v/>
      </c>
      <c r="X1278" s="70" t="str">
        <f t="shared" si="434"/>
        <v/>
      </c>
      <c r="Y1278" s="70" t="str">
        <f>IF(AND($A1278&lt;&gt;"",$E1278&gt;0),isLaptopBag($C1278,$J1278)*$D1278,"")</f>
        <v/>
      </c>
      <c r="Z1278" s="70" t="str">
        <f t="shared" si="435"/>
        <v/>
      </c>
      <c r="AA1278" s="70" t="str">
        <f t="shared" si="436"/>
        <v/>
      </c>
      <c r="AB1278" s="70" t="str">
        <f t="shared" si="437"/>
        <v/>
      </c>
      <c r="AC1278" s="70" t="str">
        <f t="shared" si="438"/>
        <v/>
      </c>
      <c r="AD1278" s="70" t="str">
        <f t="shared" si="439"/>
        <v/>
      </c>
      <c r="AE1278" s="70" t="str">
        <f t="shared" si="440"/>
        <v/>
      </c>
      <c r="AF1278" s="16"/>
      <c r="AG1278" s="23"/>
      <c r="AH1278" s="22"/>
      <c r="AJ1278" s="83">
        <f t="shared" si="441"/>
        <v>0</v>
      </c>
      <c r="AO1278" s="22" t="str">
        <f t="shared" si="442"/>
        <v/>
      </c>
      <c r="AP1278" s="22" t="str">
        <f t="shared" si="443"/>
        <v/>
      </c>
    </row>
    <row r="1279" spans="1:42" x14ac:dyDescent="0.25">
      <c r="A1279" s="10"/>
      <c r="B1279" s="10"/>
      <c r="C1279" s="10"/>
      <c r="D1279" s="10"/>
      <c r="E1279" s="10"/>
      <c r="F1279" s="10"/>
      <c r="G1279" s="10"/>
      <c r="H1279" s="17"/>
      <c r="I1279" s="10"/>
      <c r="J1279" s="10"/>
      <c r="K1279" s="16" t="str">
        <f t="shared" si="422"/>
        <v/>
      </c>
      <c r="L1279" s="23" t="str">
        <f t="shared" si="423"/>
        <v/>
      </c>
      <c r="M1279" s="22" t="str">
        <f t="shared" si="424"/>
        <v/>
      </c>
      <c r="N1279" s="72"/>
      <c r="O1279" s="16" t="str">
        <f t="shared" si="425"/>
        <v/>
      </c>
      <c r="P1279" s="16" t="str">
        <f t="shared" si="426"/>
        <v/>
      </c>
      <c r="Q1279" s="16" t="str">
        <f t="shared" si="427"/>
        <v/>
      </c>
      <c r="R1279" s="23" t="str">
        <f t="shared" si="428"/>
        <v/>
      </c>
      <c r="S1279" s="23" t="str">
        <f t="shared" si="429"/>
        <v/>
      </c>
      <c r="T1279" s="23" t="str">
        <f t="shared" si="430"/>
        <v/>
      </c>
      <c r="U1279" s="23" t="str">
        <f t="shared" si="431"/>
        <v/>
      </c>
      <c r="V1279" s="23" t="str">
        <f t="shared" si="432"/>
        <v/>
      </c>
      <c r="W1279" s="70" t="str">
        <f t="shared" si="433"/>
        <v/>
      </c>
      <c r="X1279" s="70" t="str">
        <f t="shared" si="434"/>
        <v/>
      </c>
      <c r="Y1279" s="70" t="str">
        <f>IF(AND($A1279&lt;&gt;"",$E1279&gt;0),isLaptopBag($C1279,$J1279)*$D1279,"")</f>
        <v/>
      </c>
      <c r="Z1279" s="70" t="str">
        <f t="shared" si="435"/>
        <v/>
      </c>
      <c r="AA1279" s="70" t="str">
        <f t="shared" si="436"/>
        <v/>
      </c>
      <c r="AB1279" s="70" t="str">
        <f t="shared" si="437"/>
        <v/>
      </c>
      <c r="AC1279" s="70" t="str">
        <f t="shared" si="438"/>
        <v/>
      </c>
      <c r="AD1279" s="70" t="str">
        <f t="shared" si="439"/>
        <v/>
      </c>
      <c r="AE1279" s="70" t="str">
        <f t="shared" si="440"/>
        <v/>
      </c>
      <c r="AF1279" s="16"/>
      <c r="AG1279" s="23"/>
      <c r="AH1279" s="22"/>
      <c r="AJ1279" s="83">
        <f t="shared" si="441"/>
        <v>0</v>
      </c>
      <c r="AO1279" s="22" t="str">
        <f t="shared" si="442"/>
        <v/>
      </c>
      <c r="AP1279" s="22" t="str">
        <f t="shared" si="443"/>
        <v/>
      </c>
    </row>
    <row r="1280" spans="1:42" x14ac:dyDescent="0.25">
      <c r="A1280" s="10"/>
      <c r="B1280" s="10"/>
      <c r="C1280" s="10"/>
      <c r="D1280" s="10"/>
      <c r="E1280" s="10"/>
      <c r="F1280" s="10"/>
      <c r="G1280" s="10"/>
      <c r="H1280" s="17"/>
      <c r="I1280" s="10"/>
      <c r="J1280" s="10"/>
      <c r="K1280" s="16" t="str">
        <f t="shared" si="422"/>
        <v/>
      </c>
      <c r="L1280" s="23" t="str">
        <f t="shared" si="423"/>
        <v/>
      </c>
      <c r="M1280" s="22" t="str">
        <f t="shared" si="424"/>
        <v/>
      </c>
      <c r="N1280" s="72"/>
      <c r="O1280" s="16" t="str">
        <f t="shared" si="425"/>
        <v/>
      </c>
      <c r="P1280" s="16" t="str">
        <f t="shared" si="426"/>
        <v/>
      </c>
      <c r="Q1280" s="16" t="str">
        <f t="shared" si="427"/>
        <v/>
      </c>
      <c r="R1280" s="23" t="str">
        <f t="shared" si="428"/>
        <v/>
      </c>
      <c r="S1280" s="23" t="str">
        <f t="shared" si="429"/>
        <v/>
      </c>
      <c r="T1280" s="23" t="str">
        <f t="shared" si="430"/>
        <v/>
      </c>
      <c r="U1280" s="23" t="str">
        <f t="shared" si="431"/>
        <v/>
      </c>
      <c r="V1280" s="23" t="str">
        <f t="shared" si="432"/>
        <v/>
      </c>
      <c r="W1280" s="70" t="str">
        <f t="shared" si="433"/>
        <v/>
      </c>
      <c r="X1280" s="70" t="str">
        <f t="shared" si="434"/>
        <v/>
      </c>
      <c r="Y1280" s="70" t="str">
        <f>IF(AND($A1280&lt;&gt;"",$E1280&gt;0),isLaptopBag($C1280,$J1280)*$D1280,"")</f>
        <v/>
      </c>
      <c r="Z1280" s="70" t="str">
        <f t="shared" si="435"/>
        <v/>
      </c>
      <c r="AA1280" s="70" t="str">
        <f t="shared" si="436"/>
        <v/>
      </c>
      <c r="AB1280" s="70" t="str">
        <f t="shared" si="437"/>
        <v/>
      </c>
      <c r="AC1280" s="70" t="str">
        <f t="shared" si="438"/>
        <v/>
      </c>
      <c r="AD1280" s="70" t="str">
        <f t="shared" si="439"/>
        <v/>
      </c>
      <c r="AE1280" s="70" t="str">
        <f t="shared" si="440"/>
        <v/>
      </c>
      <c r="AF1280" s="16"/>
      <c r="AG1280" s="23"/>
      <c r="AH1280" s="22"/>
      <c r="AJ1280" s="83">
        <f t="shared" si="441"/>
        <v>0</v>
      </c>
      <c r="AO1280" s="22" t="str">
        <f t="shared" si="442"/>
        <v/>
      </c>
      <c r="AP1280" s="22" t="str">
        <f t="shared" si="443"/>
        <v/>
      </c>
    </row>
    <row r="1281" spans="1:42" x14ac:dyDescent="0.25">
      <c r="A1281" s="10"/>
      <c r="B1281" s="10"/>
      <c r="C1281" s="10"/>
      <c r="D1281" s="10"/>
      <c r="E1281" s="10"/>
      <c r="F1281" s="10"/>
      <c r="G1281" s="10"/>
      <c r="H1281" s="17"/>
      <c r="I1281" s="10"/>
      <c r="J1281" s="10"/>
      <c r="K1281" s="16" t="str">
        <f t="shared" si="422"/>
        <v/>
      </c>
      <c r="L1281" s="23" t="str">
        <f t="shared" si="423"/>
        <v/>
      </c>
      <c r="M1281" s="22" t="str">
        <f t="shared" si="424"/>
        <v/>
      </c>
      <c r="N1281" s="72"/>
      <c r="O1281" s="16" t="str">
        <f t="shared" si="425"/>
        <v/>
      </c>
      <c r="P1281" s="16" t="str">
        <f t="shared" si="426"/>
        <v/>
      </c>
      <c r="Q1281" s="16" t="str">
        <f t="shared" si="427"/>
        <v/>
      </c>
      <c r="R1281" s="23" t="str">
        <f t="shared" si="428"/>
        <v/>
      </c>
      <c r="S1281" s="23" t="str">
        <f t="shared" si="429"/>
        <v/>
      </c>
      <c r="T1281" s="23" t="str">
        <f t="shared" si="430"/>
        <v/>
      </c>
      <c r="U1281" s="23" t="str">
        <f t="shared" si="431"/>
        <v/>
      </c>
      <c r="V1281" s="23" t="str">
        <f t="shared" si="432"/>
        <v/>
      </c>
      <c r="W1281" s="70" t="str">
        <f t="shared" si="433"/>
        <v/>
      </c>
      <c r="X1281" s="70" t="str">
        <f t="shared" si="434"/>
        <v/>
      </c>
      <c r="Y1281" s="70" t="str">
        <f>IF(AND($A1281&lt;&gt;"",$E1281&gt;0),isLaptopBag($C1281,$J1281)*$D1281,"")</f>
        <v/>
      </c>
      <c r="Z1281" s="70" t="str">
        <f t="shared" si="435"/>
        <v/>
      </c>
      <c r="AA1281" s="70" t="str">
        <f t="shared" si="436"/>
        <v/>
      </c>
      <c r="AB1281" s="70" t="str">
        <f t="shared" si="437"/>
        <v/>
      </c>
      <c r="AC1281" s="70" t="str">
        <f t="shared" si="438"/>
        <v/>
      </c>
      <c r="AD1281" s="70" t="str">
        <f t="shared" si="439"/>
        <v/>
      </c>
      <c r="AE1281" s="70" t="str">
        <f t="shared" si="440"/>
        <v/>
      </c>
      <c r="AF1281" s="16"/>
      <c r="AG1281" s="23"/>
      <c r="AH1281" s="22"/>
      <c r="AJ1281" s="83">
        <f t="shared" si="441"/>
        <v>0</v>
      </c>
      <c r="AO1281" s="22" t="str">
        <f t="shared" si="442"/>
        <v/>
      </c>
      <c r="AP1281" s="22" t="str">
        <f t="shared" si="443"/>
        <v/>
      </c>
    </row>
    <row r="1282" spans="1:42" x14ac:dyDescent="0.25">
      <c r="A1282" s="10"/>
      <c r="B1282" s="10"/>
      <c r="C1282" s="10"/>
      <c r="D1282" s="10"/>
      <c r="E1282" s="10"/>
      <c r="F1282" s="10"/>
      <c r="G1282" s="10"/>
      <c r="H1282" s="17"/>
      <c r="I1282" s="10"/>
      <c r="J1282" s="10"/>
      <c r="K1282" s="16" t="str">
        <f t="shared" si="422"/>
        <v/>
      </c>
      <c r="L1282" s="23" t="str">
        <f t="shared" si="423"/>
        <v/>
      </c>
      <c r="M1282" s="22" t="str">
        <f t="shared" si="424"/>
        <v/>
      </c>
      <c r="N1282" s="72"/>
      <c r="O1282" s="16" t="str">
        <f t="shared" si="425"/>
        <v/>
      </c>
      <c r="P1282" s="16" t="str">
        <f t="shared" si="426"/>
        <v/>
      </c>
      <c r="Q1282" s="16" t="str">
        <f t="shared" si="427"/>
        <v/>
      </c>
      <c r="R1282" s="23" t="str">
        <f t="shared" si="428"/>
        <v/>
      </c>
      <c r="S1282" s="23" t="str">
        <f t="shared" si="429"/>
        <v/>
      </c>
      <c r="T1282" s="23" t="str">
        <f t="shared" si="430"/>
        <v/>
      </c>
      <c r="U1282" s="23" t="str">
        <f t="shared" si="431"/>
        <v/>
      </c>
      <c r="V1282" s="23" t="str">
        <f t="shared" si="432"/>
        <v/>
      </c>
      <c r="W1282" s="70" t="str">
        <f t="shared" si="433"/>
        <v/>
      </c>
      <c r="X1282" s="70" t="str">
        <f t="shared" si="434"/>
        <v/>
      </c>
      <c r="Y1282" s="70" t="str">
        <f>IF(AND($A1282&lt;&gt;"",$E1282&gt;0),isLaptopBag($C1282,$J1282)*$D1282,"")</f>
        <v/>
      </c>
      <c r="Z1282" s="70" t="str">
        <f t="shared" si="435"/>
        <v/>
      </c>
      <c r="AA1282" s="70" t="str">
        <f t="shared" si="436"/>
        <v/>
      </c>
      <c r="AB1282" s="70" t="str">
        <f t="shared" si="437"/>
        <v/>
      </c>
      <c r="AC1282" s="70" t="str">
        <f t="shared" si="438"/>
        <v/>
      </c>
      <c r="AD1282" s="70" t="str">
        <f t="shared" si="439"/>
        <v/>
      </c>
      <c r="AE1282" s="70" t="str">
        <f t="shared" si="440"/>
        <v/>
      </c>
      <c r="AF1282" s="16"/>
      <c r="AG1282" s="23"/>
      <c r="AH1282" s="22"/>
      <c r="AJ1282" s="83">
        <f t="shared" si="441"/>
        <v>0</v>
      </c>
      <c r="AO1282" s="22" t="str">
        <f t="shared" si="442"/>
        <v/>
      </c>
      <c r="AP1282" s="22" t="str">
        <f t="shared" si="443"/>
        <v/>
      </c>
    </row>
    <row r="1283" spans="1:42" x14ac:dyDescent="0.25">
      <c r="A1283" s="10"/>
      <c r="B1283" s="10"/>
      <c r="C1283" s="10"/>
      <c r="D1283" s="10"/>
      <c r="E1283" s="10"/>
      <c r="F1283" s="10"/>
      <c r="G1283" s="10"/>
      <c r="H1283" s="17"/>
      <c r="I1283" s="10"/>
      <c r="J1283" s="10"/>
      <c r="K1283" s="16" t="str">
        <f t="shared" si="422"/>
        <v/>
      </c>
      <c r="L1283" s="23" t="str">
        <f t="shared" si="423"/>
        <v/>
      </c>
      <c r="M1283" s="22" t="str">
        <f t="shared" si="424"/>
        <v/>
      </c>
      <c r="N1283" s="72"/>
      <c r="O1283" s="16" t="str">
        <f t="shared" si="425"/>
        <v/>
      </c>
      <c r="P1283" s="16" t="str">
        <f t="shared" si="426"/>
        <v/>
      </c>
      <c r="Q1283" s="16" t="str">
        <f t="shared" si="427"/>
        <v/>
      </c>
      <c r="R1283" s="23" t="str">
        <f t="shared" si="428"/>
        <v/>
      </c>
      <c r="S1283" s="23" t="str">
        <f t="shared" si="429"/>
        <v/>
      </c>
      <c r="T1283" s="23" t="str">
        <f t="shared" si="430"/>
        <v/>
      </c>
      <c r="U1283" s="23" t="str">
        <f t="shared" si="431"/>
        <v/>
      </c>
      <c r="V1283" s="23" t="str">
        <f t="shared" si="432"/>
        <v/>
      </c>
      <c r="W1283" s="70" t="str">
        <f t="shared" si="433"/>
        <v/>
      </c>
      <c r="X1283" s="70" t="str">
        <f t="shared" si="434"/>
        <v/>
      </c>
      <c r="Y1283" s="70" t="str">
        <f>IF(AND($A1283&lt;&gt;"",$E1283&gt;0),isLaptopBag($C1283,$J1283)*$D1283,"")</f>
        <v/>
      </c>
      <c r="Z1283" s="70" t="str">
        <f t="shared" si="435"/>
        <v/>
      </c>
      <c r="AA1283" s="70" t="str">
        <f t="shared" si="436"/>
        <v/>
      </c>
      <c r="AB1283" s="70" t="str">
        <f t="shared" si="437"/>
        <v/>
      </c>
      <c r="AC1283" s="70" t="str">
        <f t="shared" si="438"/>
        <v/>
      </c>
      <c r="AD1283" s="70" t="str">
        <f t="shared" si="439"/>
        <v/>
      </c>
      <c r="AE1283" s="70" t="str">
        <f t="shared" si="440"/>
        <v/>
      </c>
      <c r="AF1283" s="16"/>
      <c r="AG1283" s="23"/>
      <c r="AH1283" s="22"/>
      <c r="AJ1283" s="83">
        <f t="shared" si="441"/>
        <v>0</v>
      </c>
      <c r="AO1283" s="22" t="str">
        <f t="shared" si="442"/>
        <v/>
      </c>
      <c r="AP1283" s="22" t="str">
        <f t="shared" si="443"/>
        <v/>
      </c>
    </row>
    <row r="1284" spans="1:42" x14ac:dyDescent="0.25">
      <c r="A1284" s="10"/>
      <c r="B1284" s="10"/>
      <c r="C1284" s="10"/>
      <c r="D1284" s="10"/>
      <c r="E1284" s="10"/>
      <c r="F1284" s="10"/>
      <c r="G1284" s="10"/>
      <c r="H1284" s="17"/>
      <c r="I1284" s="10"/>
      <c r="J1284" s="10"/>
      <c r="K1284" s="16" t="str">
        <f t="shared" si="422"/>
        <v/>
      </c>
      <c r="L1284" s="23" t="str">
        <f t="shared" si="423"/>
        <v/>
      </c>
      <c r="M1284" s="22" t="str">
        <f t="shared" si="424"/>
        <v/>
      </c>
      <c r="N1284" s="72"/>
      <c r="O1284" s="16" t="str">
        <f t="shared" si="425"/>
        <v/>
      </c>
      <c r="P1284" s="16" t="str">
        <f t="shared" si="426"/>
        <v/>
      </c>
      <c r="Q1284" s="16" t="str">
        <f t="shared" si="427"/>
        <v/>
      </c>
      <c r="R1284" s="23" t="str">
        <f t="shared" si="428"/>
        <v/>
      </c>
      <c r="S1284" s="23" t="str">
        <f t="shared" si="429"/>
        <v/>
      </c>
      <c r="T1284" s="23" t="str">
        <f t="shared" si="430"/>
        <v/>
      </c>
      <c r="U1284" s="23" t="str">
        <f t="shared" si="431"/>
        <v/>
      </c>
      <c r="V1284" s="23" t="str">
        <f t="shared" si="432"/>
        <v/>
      </c>
      <c r="W1284" s="70" t="str">
        <f t="shared" si="433"/>
        <v/>
      </c>
      <c r="X1284" s="70" t="str">
        <f t="shared" si="434"/>
        <v/>
      </c>
      <c r="Y1284" s="70" t="str">
        <f>IF(AND($A1284&lt;&gt;"",$E1284&gt;0),isLaptopBag($C1284,$J1284)*$D1284,"")</f>
        <v/>
      </c>
      <c r="Z1284" s="70" t="str">
        <f t="shared" si="435"/>
        <v/>
      </c>
      <c r="AA1284" s="70" t="str">
        <f t="shared" si="436"/>
        <v/>
      </c>
      <c r="AB1284" s="70" t="str">
        <f t="shared" si="437"/>
        <v/>
      </c>
      <c r="AC1284" s="70" t="str">
        <f t="shared" si="438"/>
        <v/>
      </c>
      <c r="AD1284" s="70" t="str">
        <f t="shared" si="439"/>
        <v/>
      </c>
      <c r="AE1284" s="70" t="str">
        <f t="shared" si="440"/>
        <v/>
      </c>
      <c r="AF1284" s="16"/>
      <c r="AG1284" s="23"/>
      <c r="AH1284" s="22"/>
      <c r="AJ1284" s="83">
        <f t="shared" si="441"/>
        <v>0</v>
      </c>
      <c r="AO1284" s="22" t="str">
        <f t="shared" si="442"/>
        <v/>
      </c>
      <c r="AP1284" s="22" t="str">
        <f t="shared" si="443"/>
        <v/>
      </c>
    </row>
    <row r="1285" spans="1:42" x14ac:dyDescent="0.25">
      <c r="A1285" s="10"/>
      <c r="B1285" s="10"/>
      <c r="C1285" s="10"/>
      <c r="D1285" s="10"/>
      <c r="E1285" s="10"/>
      <c r="F1285" s="10"/>
      <c r="G1285" s="10"/>
      <c r="H1285" s="17"/>
      <c r="I1285" s="10"/>
      <c r="J1285" s="10"/>
      <c r="K1285" s="16" t="str">
        <f t="shared" si="422"/>
        <v/>
      </c>
      <c r="L1285" s="23" t="str">
        <f t="shared" si="423"/>
        <v/>
      </c>
      <c r="M1285" s="22" t="str">
        <f t="shared" si="424"/>
        <v/>
      </c>
      <c r="N1285" s="72"/>
      <c r="O1285" s="16" t="str">
        <f t="shared" si="425"/>
        <v/>
      </c>
      <c r="P1285" s="16" t="str">
        <f t="shared" si="426"/>
        <v/>
      </c>
      <c r="Q1285" s="16" t="str">
        <f t="shared" si="427"/>
        <v/>
      </c>
      <c r="R1285" s="23" t="str">
        <f t="shared" si="428"/>
        <v/>
      </c>
      <c r="S1285" s="23" t="str">
        <f t="shared" si="429"/>
        <v/>
      </c>
      <c r="T1285" s="23" t="str">
        <f t="shared" si="430"/>
        <v/>
      </c>
      <c r="U1285" s="23" t="str">
        <f t="shared" si="431"/>
        <v/>
      </c>
      <c r="V1285" s="23" t="str">
        <f t="shared" si="432"/>
        <v/>
      </c>
      <c r="W1285" s="70" t="str">
        <f t="shared" si="433"/>
        <v/>
      </c>
      <c r="X1285" s="70" t="str">
        <f t="shared" si="434"/>
        <v/>
      </c>
      <c r="Y1285" s="70" t="str">
        <f>IF(AND($A1285&lt;&gt;"",$E1285&gt;0),isLaptopBag($C1285,$J1285)*$D1285,"")</f>
        <v/>
      </c>
      <c r="Z1285" s="70" t="str">
        <f t="shared" si="435"/>
        <v/>
      </c>
      <c r="AA1285" s="70" t="str">
        <f t="shared" si="436"/>
        <v/>
      </c>
      <c r="AB1285" s="70" t="str">
        <f t="shared" si="437"/>
        <v/>
      </c>
      <c r="AC1285" s="70" t="str">
        <f t="shared" si="438"/>
        <v/>
      </c>
      <c r="AD1285" s="70" t="str">
        <f t="shared" si="439"/>
        <v/>
      </c>
      <c r="AE1285" s="70" t="str">
        <f t="shared" si="440"/>
        <v/>
      </c>
      <c r="AF1285" s="16"/>
      <c r="AG1285" s="23"/>
      <c r="AH1285" s="22"/>
      <c r="AJ1285" s="83">
        <f t="shared" si="441"/>
        <v>0</v>
      </c>
      <c r="AO1285" s="22" t="str">
        <f t="shared" si="442"/>
        <v/>
      </c>
      <c r="AP1285" s="22" t="str">
        <f t="shared" si="443"/>
        <v/>
      </c>
    </row>
    <row r="1286" spans="1:42" x14ac:dyDescent="0.25">
      <c r="A1286" s="10"/>
      <c r="B1286" s="10"/>
      <c r="C1286" s="10"/>
      <c r="D1286" s="10"/>
      <c r="E1286" s="10"/>
      <c r="F1286" s="10"/>
      <c r="G1286" s="10"/>
      <c r="H1286" s="17"/>
      <c r="I1286" s="10"/>
      <c r="J1286" s="10"/>
      <c r="K1286" s="16" t="str">
        <f t="shared" si="422"/>
        <v/>
      </c>
      <c r="L1286" s="23" t="str">
        <f t="shared" si="423"/>
        <v/>
      </c>
      <c r="M1286" s="22" t="str">
        <f t="shared" si="424"/>
        <v/>
      </c>
      <c r="N1286" s="72"/>
      <c r="O1286" s="16" t="str">
        <f t="shared" si="425"/>
        <v/>
      </c>
      <c r="P1286" s="16" t="str">
        <f t="shared" si="426"/>
        <v/>
      </c>
      <c r="Q1286" s="16" t="str">
        <f t="shared" si="427"/>
        <v/>
      </c>
      <c r="R1286" s="23" t="str">
        <f t="shared" si="428"/>
        <v/>
      </c>
      <c r="S1286" s="23" t="str">
        <f t="shared" si="429"/>
        <v/>
      </c>
      <c r="T1286" s="23" t="str">
        <f t="shared" si="430"/>
        <v/>
      </c>
      <c r="U1286" s="23" t="str">
        <f t="shared" si="431"/>
        <v/>
      </c>
      <c r="V1286" s="23" t="str">
        <f t="shared" si="432"/>
        <v/>
      </c>
      <c r="W1286" s="70" t="str">
        <f t="shared" si="433"/>
        <v/>
      </c>
      <c r="X1286" s="70" t="str">
        <f t="shared" si="434"/>
        <v/>
      </c>
      <c r="Y1286" s="70" t="str">
        <f>IF(AND($A1286&lt;&gt;"",$E1286&gt;0),isLaptopBag($C1286,$J1286)*$D1286,"")</f>
        <v/>
      </c>
      <c r="Z1286" s="70" t="str">
        <f t="shared" si="435"/>
        <v/>
      </c>
      <c r="AA1286" s="70" t="str">
        <f t="shared" si="436"/>
        <v/>
      </c>
      <c r="AB1286" s="70" t="str">
        <f t="shared" si="437"/>
        <v/>
      </c>
      <c r="AC1286" s="70" t="str">
        <f t="shared" si="438"/>
        <v/>
      </c>
      <c r="AD1286" s="70" t="str">
        <f t="shared" si="439"/>
        <v/>
      </c>
      <c r="AE1286" s="70" t="str">
        <f t="shared" si="440"/>
        <v/>
      </c>
      <c r="AF1286" s="16"/>
      <c r="AG1286" s="23"/>
      <c r="AH1286" s="22"/>
      <c r="AJ1286" s="83">
        <f t="shared" si="441"/>
        <v>0</v>
      </c>
      <c r="AO1286" s="22" t="str">
        <f t="shared" si="442"/>
        <v/>
      </c>
      <c r="AP1286" s="22" t="str">
        <f t="shared" si="443"/>
        <v/>
      </c>
    </row>
    <row r="1287" spans="1:42" x14ac:dyDescent="0.25">
      <c r="A1287" s="10"/>
      <c r="B1287" s="10"/>
      <c r="C1287" s="10"/>
      <c r="D1287" s="10"/>
      <c r="E1287" s="10"/>
      <c r="F1287" s="10"/>
      <c r="G1287" s="10"/>
      <c r="H1287" s="17"/>
      <c r="I1287" s="10"/>
      <c r="J1287" s="10"/>
      <c r="K1287" s="16" t="str">
        <f t="shared" si="422"/>
        <v/>
      </c>
      <c r="L1287" s="23" t="str">
        <f t="shared" si="423"/>
        <v/>
      </c>
      <c r="M1287" s="22" t="str">
        <f t="shared" si="424"/>
        <v/>
      </c>
      <c r="N1287" s="72"/>
      <c r="O1287" s="16" t="str">
        <f t="shared" si="425"/>
        <v/>
      </c>
      <c r="P1287" s="16" t="str">
        <f t="shared" si="426"/>
        <v/>
      </c>
      <c r="Q1287" s="16" t="str">
        <f t="shared" si="427"/>
        <v/>
      </c>
      <c r="R1287" s="23" t="str">
        <f t="shared" si="428"/>
        <v/>
      </c>
      <c r="S1287" s="23" t="str">
        <f t="shared" si="429"/>
        <v/>
      </c>
      <c r="T1287" s="23" t="str">
        <f t="shared" si="430"/>
        <v/>
      </c>
      <c r="U1287" s="23" t="str">
        <f t="shared" si="431"/>
        <v/>
      </c>
      <c r="V1287" s="23" t="str">
        <f t="shared" si="432"/>
        <v/>
      </c>
      <c r="W1287" s="70" t="str">
        <f t="shared" si="433"/>
        <v/>
      </c>
      <c r="X1287" s="70" t="str">
        <f t="shared" si="434"/>
        <v/>
      </c>
      <c r="Y1287" s="70" t="str">
        <f>IF(AND($A1287&lt;&gt;"",$E1287&gt;0),isLaptopBag($C1287,$J1287)*$D1287,"")</f>
        <v/>
      </c>
      <c r="Z1287" s="70" t="str">
        <f t="shared" si="435"/>
        <v/>
      </c>
      <c r="AA1287" s="70" t="str">
        <f t="shared" si="436"/>
        <v/>
      </c>
      <c r="AB1287" s="70" t="str">
        <f t="shared" si="437"/>
        <v/>
      </c>
      <c r="AC1287" s="70" t="str">
        <f t="shared" si="438"/>
        <v/>
      </c>
      <c r="AD1287" s="70" t="str">
        <f t="shared" si="439"/>
        <v/>
      </c>
      <c r="AE1287" s="70" t="str">
        <f t="shared" si="440"/>
        <v/>
      </c>
      <c r="AF1287" s="16"/>
      <c r="AG1287" s="23"/>
      <c r="AH1287" s="22"/>
      <c r="AJ1287" s="83">
        <f t="shared" si="441"/>
        <v>0</v>
      </c>
      <c r="AO1287" s="22" t="str">
        <f t="shared" si="442"/>
        <v/>
      </c>
      <c r="AP1287" s="22" t="str">
        <f t="shared" si="443"/>
        <v/>
      </c>
    </row>
    <row r="1288" spans="1:42" x14ac:dyDescent="0.25">
      <c r="A1288" s="10"/>
      <c r="B1288" s="10"/>
      <c r="C1288" s="10"/>
      <c r="D1288" s="10"/>
      <c r="E1288" s="10"/>
      <c r="F1288" s="10"/>
      <c r="G1288" s="10"/>
      <c r="H1288" s="17"/>
      <c r="I1288" s="10"/>
      <c r="J1288" s="10"/>
      <c r="K1288" s="16" t="str">
        <f t="shared" si="422"/>
        <v/>
      </c>
      <c r="L1288" s="23" t="str">
        <f t="shared" si="423"/>
        <v/>
      </c>
      <c r="M1288" s="22" t="str">
        <f t="shared" si="424"/>
        <v/>
      </c>
      <c r="N1288" s="72"/>
      <c r="O1288" s="16" t="str">
        <f t="shared" si="425"/>
        <v/>
      </c>
      <c r="P1288" s="16" t="str">
        <f t="shared" si="426"/>
        <v/>
      </c>
      <c r="Q1288" s="16" t="str">
        <f t="shared" si="427"/>
        <v/>
      </c>
      <c r="R1288" s="23" t="str">
        <f t="shared" si="428"/>
        <v/>
      </c>
      <c r="S1288" s="23" t="str">
        <f t="shared" si="429"/>
        <v/>
      </c>
      <c r="T1288" s="23" t="str">
        <f t="shared" si="430"/>
        <v/>
      </c>
      <c r="U1288" s="23" t="str">
        <f t="shared" si="431"/>
        <v/>
      </c>
      <c r="V1288" s="23" t="str">
        <f t="shared" si="432"/>
        <v/>
      </c>
      <c r="W1288" s="70" t="str">
        <f t="shared" si="433"/>
        <v/>
      </c>
      <c r="X1288" s="70" t="str">
        <f t="shared" si="434"/>
        <v/>
      </c>
      <c r="Y1288" s="70" t="str">
        <f>IF(AND($A1288&lt;&gt;"",$E1288&gt;0),isLaptopBag($C1288,$J1288)*$D1288,"")</f>
        <v/>
      </c>
      <c r="Z1288" s="70" t="str">
        <f t="shared" si="435"/>
        <v/>
      </c>
      <c r="AA1288" s="70" t="str">
        <f t="shared" si="436"/>
        <v/>
      </c>
      <c r="AB1288" s="70" t="str">
        <f t="shared" si="437"/>
        <v/>
      </c>
      <c r="AC1288" s="70" t="str">
        <f t="shared" si="438"/>
        <v/>
      </c>
      <c r="AD1288" s="70" t="str">
        <f t="shared" si="439"/>
        <v/>
      </c>
      <c r="AE1288" s="70" t="str">
        <f t="shared" si="440"/>
        <v/>
      </c>
      <c r="AF1288" s="16"/>
      <c r="AG1288" s="23"/>
      <c r="AH1288" s="22"/>
      <c r="AJ1288" s="83">
        <f t="shared" si="441"/>
        <v>0</v>
      </c>
      <c r="AO1288" s="22" t="str">
        <f t="shared" si="442"/>
        <v/>
      </c>
      <c r="AP1288" s="22" t="str">
        <f t="shared" si="443"/>
        <v/>
      </c>
    </row>
    <row r="1289" spans="1:42" x14ac:dyDescent="0.25">
      <c r="A1289" s="10"/>
      <c r="B1289" s="10"/>
      <c r="C1289" s="10"/>
      <c r="D1289" s="10"/>
      <c r="E1289" s="10"/>
      <c r="F1289" s="10"/>
      <c r="G1289" s="10"/>
      <c r="H1289" s="17"/>
      <c r="I1289" s="10"/>
      <c r="J1289" s="10"/>
      <c r="K1289" s="16" t="str">
        <f t="shared" si="422"/>
        <v/>
      </c>
      <c r="L1289" s="23" t="str">
        <f t="shared" si="423"/>
        <v/>
      </c>
      <c r="M1289" s="22" t="str">
        <f t="shared" si="424"/>
        <v/>
      </c>
      <c r="N1289" s="72"/>
      <c r="O1289" s="16" t="str">
        <f t="shared" si="425"/>
        <v/>
      </c>
      <c r="P1289" s="16" t="str">
        <f t="shared" si="426"/>
        <v/>
      </c>
      <c r="Q1289" s="16" t="str">
        <f t="shared" si="427"/>
        <v/>
      </c>
      <c r="R1289" s="23" t="str">
        <f t="shared" si="428"/>
        <v/>
      </c>
      <c r="S1289" s="23" t="str">
        <f t="shared" si="429"/>
        <v/>
      </c>
      <c r="T1289" s="23" t="str">
        <f t="shared" si="430"/>
        <v/>
      </c>
      <c r="U1289" s="23" t="str">
        <f t="shared" si="431"/>
        <v/>
      </c>
      <c r="V1289" s="23" t="str">
        <f t="shared" si="432"/>
        <v/>
      </c>
      <c r="W1289" s="70" t="str">
        <f t="shared" si="433"/>
        <v/>
      </c>
      <c r="X1289" s="70" t="str">
        <f t="shared" si="434"/>
        <v/>
      </c>
      <c r="Y1289" s="70" t="str">
        <f>IF(AND($A1289&lt;&gt;"",$E1289&gt;0),isLaptopBag($C1289,$J1289)*$D1289,"")</f>
        <v/>
      </c>
      <c r="Z1289" s="70" t="str">
        <f t="shared" si="435"/>
        <v/>
      </c>
      <c r="AA1289" s="70" t="str">
        <f t="shared" si="436"/>
        <v/>
      </c>
      <c r="AB1289" s="70" t="str">
        <f t="shared" si="437"/>
        <v/>
      </c>
      <c r="AC1289" s="70" t="str">
        <f t="shared" si="438"/>
        <v/>
      </c>
      <c r="AD1289" s="70" t="str">
        <f t="shared" si="439"/>
        <v/>
      </c>
      <c r="AE1289" s="70" t="str">
        <f t="shared" si="440"/>
        <v/>
      </c>
      <c r="AF1289" s="16"/>
      <c r="AG1289" s="23"/>
      <c r="AH1289" s="22"/>
      <c r="AJ1289" s="83">
        <f t="shared" si="441"/>
        <v>0</v>
      </c>
      <c r="AO1289" s="22" t="str">
        <f t="shared" si="442"/>
        <v/>
      </c>
      <c r="AP1289" s="22" t="str">
        <f t="shared" si="443"/>
        <v/>
      </c>
    </row>
    <row r="1290" spans="1:42" x14ac:dyDescent="0.25">
      <c r="A1290" s="10"/>
      <c r="B1290" s="10"/>
      <c r="C1290" s="10"/>
      <c r="D1290" s="10"/>
      <c r="E1290" s="10"/>
      <c r="F1290" s="10"/>
      <c r="G1290" s="10"/>
      <c r="H1290" s="17"/>
      <c r="I1290" s="10"/>
      <c r="J1290" s="10"/>
      <c r="K1290" s="16" t="str">
        <f t="shared" si="422"/>
        <v/>
      </c>
      <c r="L1290" s="23" t="str">
        <f t="shared" si="423"/>
        <v/>
      </c>
      <c r="M1290" s="22" t="str">
        <f t="shared" si="424"/>
        <v/>
      </c>
      <c r="N1290" s="72"/>
      <c r="O1290" s="16" t="str">
        <f t="shared" si="425"/>
        <v/>
      </c>
      <c r="P1290" s="16" t="str">
        <f t="shared" si="426"/>
        <v/>
      </c>
      <c r="Q1290" s="16" t="str">
        <f t="shared" si="427"/>
        <v/>
      </c>
      <c r="R1290" s="23" t="str">
        <f t="shared" si="428"/>
        <v/>
      </c>
      <c r="S1290" s="23" t="str">
        <f t="shared" si="429"/>
        <v/>
      </c>
      <c r="T1290" s="23" t="str">
        <f t="shared" si="430"/>
        <v/>
      </c>
      <c r="U1290" s="23" t="str">
        <f t="shared" si="431"/>
        <v/>
      </c>
      <c r="V1290" s="23" t="str">
        <f t="shared" si="432"/>
        <v/>
      </c>
      <c r="W1290" s="70" t="str">
        <f t="shared" si="433"/>
        <v/>
      </c>
      <c r="X1290" s="70" t="str">
        <f t="shared" si="434"/>
        <v/>
      </c>
      <c r="Y1290" s="70" t="str">
        <f>IF(AND($A1290&lt;&gt;"",$E1290&gt;0),isLaptopBag($C1290,$J1290)*$D1290,"")</f>
        <v/>
      </c>
      <c r="Z1290" s="70" t="str">
        <f t="shared" si="435"/>
        <v/>
      </c>
      <c r="AA1290" s="70" t="str">
        <f t="shared" si="436"/>
        <v/>
      </c>
      <c r="AB1290" s="70" t="str">
        <f t="shared" si="437"/>
        <v/>
      </c>
      <c r="AC1290" s="70" t="str">
        <f t="shared" si="438"/>
        <v/>
      </c>
      <c r="AD1290" s="70" t="str">
        <f t="shared" si="439"/>
        <v/>
      </c>
      <c r="AE1290" s="70" t="str">
        <f t="shared" si="440"/>
        <v/>
      </c>
      <c r="AF1290" s="16"/>
      <c r="AG1290" s="23"/>
      <c r="AH1290" s="22"/>
      <c r="AJ1290" s="83">
        <f t="shared" si="441"/>
        <v>0</v>
      </c>
      <c r="AO1290" s="22" t="str">
        <f t="shared" si="442"/>
        <v/>
      </c>
      <c r="AP1290" s="22" t="str">
        <f t="shared" si="443"/>
        <v/>
      </c>
    </row>
    <row r="1291" spans="1:42" x14ac:dyDescent="0.25">
      <c r="A1291" s="10"/>
      <c r="B1291" s="10"/>
      <c r="C1291" s="10"/>
      <c r="D1291" s="10"/>
      <c r="E1291" s="10"/>
      <c r="F1291" s="10"/>
      <c r="G1291" s="10"/>
      <c r="H1291" s="17"/>
      <c r="I1291" s="10"/>
      <c r="J1291" s="10"/>
      <c r="K1291" s="16" t="str">
        <f t="shared" si="422"/>
        <v/>
      </c>
      <c r="L1291" s="23" t="str">
        <f t="shared" si="423"/>
        <v/>
      </c>
      <c r="M1291" s="22" t="str">
        <f t="shared" si="424"/>
        <v/>
      </c>
      <c r="N1291" s="72"/>
      <c r="O1291" s="16" t="str">
        <f t="shared" si="425"/>
        <v/>
      </c>
      <c r="P1291" s="16" t="str">
        <f t="shared" si="426"/>
        <v/>
      </c>
      <c r="Q1291" s="16" t="str">
        <f t="shared" si="427"/>
        <v/>
      </c>
      <c r="R1291" s="23" t="str">
        <f t="shared" si="428"/>
        <v/>
      </c>
      <c r="S1291" s="23" t="str">
        <f t="shared" si="429"/>
        <v/>
      </c>
      <c r="T1291" s="23" t="str">
        <f t="shared" si="430"/>
        <v/>
      </c>
      <c r="U1291" s="23" t="str">
        <f t="shared" si="431"/>
        <v/>
      </c>
      <c r="V1291" s="23" t="str">
        <f t="shared" si="432"/>
        <v/>
      </c>
      <c r="W1291" s="70" t="str">
        <f t="shared" si="433"/>
        <v/>
      </c>
      <c r="X1291" s="70" t="str">
        <f t="shared" si="434"/>
        <v/>
      </c>
      <c r="Y1291" s="70" t="str">
        <f>IF(AND($A1291&lt;&gt;"",$E1291&gt;0),isLaptopBag($C1291,$J1291)*$D1291,"")</f>
        <v/>
      </c>
      <c r="Z1291" s="70" t="str">
        <f t="shared" si="435"/>
        <v/>
      </c>
      <c r="AA1291" s="70" t="str">
        <f t="shared" si="436"/>
        <v/>
      </c>
      <c r="AB1291" s="70" t="str">
        <f t="shared" si="437"/>
        <v/>
      </c>
      <c r="AC1291" s="70" t="str">
        <f t="shared" si="438"/>
        <v/>
      </c>
      <c r="AD1291" s="70" t="str">
        <f t="shared" si="439"/>
        <v/>
      </c>
      <c r="AE1291" s="70" t="str">
        <f t="shared" si="440"/>
        <v/>
      </c>
      <c r="AF1291" s="16"/>
      <c r="AG1291" s="23"/>
      <c r="AH1291" s="22"/>
      <c r="AJ1291" s="83">
        <f t="shared" si="441"/>
        <v>0</v>
      </c>
      <c r="AO1291" s="22" t="str">
        <f t="shared" si="442"/>
        <v/>
      </c>
      <c r="AP1291" s="22" t="str">
        <f t="shared" si="443"/>
        <v/>
      </c>
    </row>
    <row r="1292" spans="1:42" x14ac:dyDescent="0.25">
      <c r="A1292" s="10"/>
      <c r="B1292" s="10"/>
      <c r="C1292" s="10"/>
      <c r="D1292" s="10"/>
      <c r="E1292" s="10"/>
      <c r="F1292" s="10"/>
      <c r="G1292" s="10"/>
      <c r="H1292" s="17"/>
      <c r="I1292" s="10"/>
      <c r="J1292" s="10"/>
      <c r="K1292" s="16" t="str">
        <f t="shared" si="422"/>
        <v/>
      </c>
      <c r="L1292" s="23" t="str">
        <f t="shared" si="423"/>
        <v/>
      </c>
      <c r="M1292" s="22" t="str">
        <f t="shared" si="424"/>
        <v/>
      </c>
      <c r="N1292" s="72"/>
      <c r="O1292" s="16" t="str">
        <f t="shared" si="425"/>
        <v/>
      </c>
      <c r="P1292" s="16" t="str">
        <f t="shared" si="426"/>
        <v/>
      </c>
      <c r="Q1292" s="16" t="str">
        <f t="shared" si="427"/>
        <v/>
      </c>
      <c r="R1292" s="23" t="str">
        <f t="shared" si="428"/>
        <v/>
      </c>
      <c r="S1292" s="23" t="str">
        <f t="shared" si="429"/>
        <v/>
      </c>
      <c r="T1292" s="23" t="str">
        <f t="shared" si="430"/>
        <v/>
      </c>
      <c r="U1292" s="23" t="str">
        <f t="shared" si="431"/>
        <v/>
      </c>
      <c r="V1292" s="23" t="str">
        <f t="shared" si="432"/>
        <v/>
      </c>
      <c r="W1292" s="70" t="str">
        <f t="shared" si="433"/>
        <v/>
      </c>
      <c r="X1292" s="70" t="str">
        <f t="shared" si="434"/>
        <v/>
      </c>
      <c r="Y1292" s="70" t="str">
        <f>IF(AND($A1292&lt;&gt;"",$E1292&gt;0),isLaptopBag($C1292,$J1292)*$D1292,"")</f>
        <v/>
      </c>
      <c r="Z1292" s="70" t="str">
        <f t="shared" si="435"/>
        <v/>
      </c>
      <c r="AA1292" s="70" t="str">
        <f t="shared" si="436"/>
        <v/>
      </c>
      <c r="AB1292" s="70" t="str">
        <f t="shared" si="437"/>
        <v/>
      </c>
      <c r="AC1292" s="70" t="str">
        <f t="shared" si="438"/>
        <v/>
      </c>
      <c r="AD1292" s="70" t="str">
        <f t="shared" si="439"/>
        <v/>
      </c>
      <c r="AE1292" s="70" t="str">
        <f t="shared" si="440"/>
        <v/>
      </c>
      <c r="AF1292" s="16"/>
      <c r="AG1292" s="23"/>
      <c r="AH1292" s="22"/>
      <c r="AJ1292" s="83">
        <f t="shared" si="441"/>
        <v>0</v>
      </c>
      <c r="AO1292" s="22" t="str">
        <f t="shared" si="442"/>
        <v/>
      </c>
      <c r="AP1292" s="22" t="str">
        <f t="shared" si="443"/>
        <v/>
      </c>
    </row>
    <row r="1293" spans="1:42" x14ac:dyDescent="0.25">
      <c r="A1293" s="10"/>
      <c r="B1293" s="10"/>
      <c r="C1293" s="10"/>
      <c r="D1293" s="10"/>
      <c r="E1293" s="10"/>
      <c r="F1293" s="10"/>
      <c r="G1293" s="10"/>
      <c r="H1293" s="17"/>
      <c r="I1293" s="10"/>
      <c r="J1293" s="10"/>
      <c r="K1293" s="16" t="str">
        <f t="shared" ref="K1293:K1356" si="444">IF($AF1293&lt;&gt;"",$AF1293,IF(AND($A1293&lt;&gt;"",$E1293&gt;0),SUM($O1293:$Q1293),""))</f>
        <v/>
      </c>
      <c r="L1293" s="23" t="str">
        <f t="shared" ref="L1293:L1356" si="445">IF($AG1293&lt;&gt;"",$AG1293,IF(AND($A1293&lt;&gt;"",$E1293&gt;0),SUM($R1293:$V1293),""))</f>
        <v/>
      </c>
      <c r="M1293" s="22" t="str">
        <f t="shared" ref="M1293:M1356" si="446">IF($AH1293&lt;&gt;"",$AH1293,IF(AND($A1293&lt;&gt;"",$E1293&gt;0),SUM($W1293:$AE1293)+$AO1293+$AP1293,""))</f>
        <v/>
      </c>
      <c r="N1293" s="72"/>
      <c r="O1293" s="16" t="str">
        <f t="shared" ref="O1293:O1356" si="447">IF(AND($A1293&lt;&gt;"",$E1293&gt;0),IF(AND($J1293="SONY",200000&lt;=$E1293,$E1293&lt;1000000),5000*$D1293,0),"")</f>
        <v/>
      </c>
      <c r="P1293" s="16" t="str">
        <f t="shared" ref="P1293:P1356" si="448">IF(AND($A1293&lt;&gt;"",$E1293&gt;0),IF(AND($J1293="SONY",1000000&lt;=$E1293,$E1293&lt;2000000),10000*$D1293,0),"")</f>
        <v/>
      </c>
      <c r="Q1293" s="16" t="str">
        <f t="shared" ref="Q1293:Q1356" si="449">IF(AND($A1293&lt;&gt;"",$E1293&gt;0),IF(AND($J1293="SONY",$E1293&gt;=2000000),20000*$D1293,0),"")</f>
        <v/>
      </c>
      <c r="R1293" s="23" t="str">
        <f t="shared" ref="R1293:R1356" si="450">IF(AND($A1293&lt;&gt;"",$E1293&gt;0),IF(AND($J1293&lt;&gt;"SONY",100000&lt;=$E1293,$E1293&lt;200000),5000*$D1293,0),"")</f>
        <v/>
      </c>
      <c r="S1293" s="23" t="str">
        <f t="shared" ref="S1293:S1356" si="451">IF(AND($A1293&lt;&gt;"",$E1293&gt;0),IF(AND($J1293&lt;&gt;"SONY",200000&lt;=$E1293,$E1293&lt;500000),10000*$D1293,0),"")</f>
        <v/>
      </c>
      <c r="T1293" s="23" t="str">
        <f t="shared" ref="T1293:T1356" si="452">IF(AND($A1293&lt;&gt;"",$E1293&gt;0),IF(AND($J1293&lt;&gt;"SONY",500000&lt;=$E1293,$E1293&lt;1000000),20000*$D1293,0),"")</f>
        <v/>
      </c>
      <c r="U1293" s="23" t="str">
        <f t="shared" ref="U1293:U1356" si="453">IF(AND($A1293&lt;&gt;"",$E1293&gt;0),IF(AND($J1293&lt;&gt;"SONY",1000000&lt;=$E1293,$E1293&lt;1500000),50000*$D1293,0),"")</f>
        <v/>
      </c>
      <c r="V1293" s="23" t="str">
        <f t="shared" ref="V1293:V1356" si="454">IF(AND($A1293&lt;&gt;"",$E1293&gt;0),IF(AND($J1293&lt;&gt;"SONY",1500000&lt;=$E1293),100000*$D1293,0),"")</f>
        <v/>
      </c>
      <c r="W1293" s="70" t="str">
        <f t="shared" ref="W1293:W1356" si="455">IF(AND($E1293&gt;0,$J1293="ELECOM",$E1293&gt;=500000,ISNUMBER(SEARCH("tai nghe",$C1293))),20000*$D1293,IF($A1293&lt;&gt;"",0,""))</f>
        <v/>
      </c>
      <c r="X1293" s="70" t="str">
        <f t="shared" ref="X1293:X1356" si="456">IF(AND($E1293&gt;0,$J1293="ELECOM",ISNUMBER(SEARCH("loa",$C1293))),20000*$D1293,IF($A1293&lt;&gt;"",0,""))</f>
        <v/>
      </c>
      <c r="Y1293" s="70" t="str">
        <f>IF(AND($A1293&lt;&gt;"",$E1293&gt;0),isLaptopBag($C1293,$J1293)*$D1293,"")</f>
        <v/>
      </c>
      <c r="Z1293" s="70" t="str">
        <f t="shared" ref="Z1293:Z1356" si="457">IF(AND($E1293&gt;0,$J1293="ELECOM",ISNUMBER(SEARCH("ốp",$C1293))),20000*$D1293,IF($A1293&lt;&gt;"",0,""))</f>
        <v/>
      </c>
      <c r="AA1293" s="70" t="str">
        <f t="shared" ref="AA1293:AA1356" si="458">IF(AND($E1293&gt;0,$J1293="ELECOM",ISNUMBER(SEARCH("Bút",$C1293))),20000*$D1293,IF($A1293&lt;&gt;"",0,""))</f>
        <v/>
      </c>
      <c r="AB1293" s="70" t="str">
        <f t="shared" ref="AB1293:AB1356" si="459">IF(AND($E1293&gt;0,$J1293="ELECOM",ISNUMBER(SEARCH("Chuột bi",$C1293))),20000*$D1293,IF($A1293&lt;&gt;"",0,""))</f>
        <v/>
      </c>
      <c r="AC1293" s="70" t="str">
        <f t="shared" ref="AC1293:AC1356" si="460">IF(AND($E1293&gt;0,$J1293="ELECOM",ISNUMBER(SEARCH("Chuột trackball",$C1293))),20000*$D1293,IF($A1293&lt;&gt;"",0,""))</f>
        <v/>
      </c>
      <c r="AD1293" s="70" t="str">
        <f t="shared" ref="AD1293:AD1356" si="461">IF(AND($E1293&gt;0,$J1293="ELECOM",ISNUMBER(SEARCH("Sạc không dây",$C1293))),20000*$D1293,IF($A1293&lt;&gt;"",0,""))</f>
        <v/>
      </c>
      <c r="AE1293" s="70" t="str">
        <f t="shared" ref="AE1293:AE1356" si="462">IF(AND($E1293&gt;0,$J1293="ELECOM",ISNUMBER(SEARCH("Sạc kd",$C1293))),20000*$D1293,IF($A1293&lt;&gt;"",0,""))</f>
        <v/>
      </c>
      <c r="AF1293" s="16"/>
      <c r="AG1293" s="23"/>
      <c r="AH1293" s="22"/>
      <c r="AJ1293" s="83">
        <f t="shared" ref="AJ1293:AJ1356" si="463">DAY(H1293)</f>
        <v>0</v>
      </c>
      <c r="AO1293" s="22" t="str">
        <f t="shared" ref="AO1293:AO1356" si="464">IF(AND($E1293&gt;0,ISNUMBER(SEARCH("Sạc dự phòng Energizer",$C1293))),10000*$D1293,IF($A1293&lt;&gt;"",0,""))</f>
        <v/>
      </c>
      <c r="AP1293" s="22" t="str">
        <f t="shared" ref="AP1293:AP1356" si="465">IF(AND($E1293&gt;0,ISNUMBER(SEARCH("SDP Energizer",$C1293))),10000*$D1293,IF($A1293&lt;&gt;"",0,""))</f>
        <v/>
      </c>
    </row>
    <row r="1294" spans="1:42" x14ac:dyDescent="0.25">
      <c r="A1294" s="10"/>
      <c r="B1294" s="10"/>
      <c r="C1294" s="10"/>
      <c r="D1294" s="10"/>
      <c r="E1294" s="10"/>
      <c r="F1294" s="10"/>
      <c r="G1294" s="10"/>
      <c r="H1294" s="17"/>
      <c r="I1294" s="10"/>
      <c r="J1294" s="10"/>
      <c r="K1294" s="16" t="str">
        <f t="shared" si="444"/>
        <v/>
      </c>
      <c r="L1294" s="23" t="str">
        <f t="shared" si="445"/>
        <v/>
      </c>
      <c r="M1294" s="22" t="str">
        <f t="shared" si="446"/>
        <v/>
      </c>
      <c r="N1294" s="72"/>
      <c r="O1294" s="16" t="str">
        <f t="shared" si="447"/>
        <v/>
      </c>
      <c r="P1294" s="16" t="str">
        <f t="shared" si="448"/>
        <v/>
      </c>
      <c r="Q1294" s="16" t="str">
        <f t="shared" si="449"/>
        <v/>
      </c>
      <c r="R1294" s="23" t="str">
        <f t="shared" si="450"/>
        <v/>
      </c>
      <c r="S1294" s="23" t="str">
        <f t="shared" si="451"/>
        <v/>
      </c>
      <c r="T1294" s="23" t="str">
        <f t="shared" si="452"/>
        <v/>
      </c>
      <c r="U1294" s="23" t="str">
        <f t="shared" si="453"/>
        <v/>
      </c>
      <c r="V1294" s="23" t="str">
        <f t="shared" si="454"/>
        <v/>
      </c>
      <c r="W1294" s="70" t="str">
        <f t="shared" si="455"/>
        <v/>
      </c>
      <c r="X1294" s="70" t="str">
        <f t="shared" si="456"/>
        <v/>
      </c>
      <c r="Y1294" s="70" t="str">
        <f>IF(AND($A1294&lt;&gt;"",$E1294&gt;0),isLaptopBag($C1294,$J1294)*$D1294,"")</f>
        <v/>
      </c>
      <c r="Z1294" s="70" t="str">
        <f t="shared" si="457"/>
        <v/>
      </c>
      <c r="AA1294" s="70" t="str">
        <f t="shared" si="458"/>
        <v/>
      </c>
      <c r="AB1294" s="70" t="str">
        <f t="shared" si="459"/>
        <v/>
      </c>
      <c r="AC1294" s="70" t="str">
        <f t="shared" si="460"/>
        <v/>
      </c>
      <c r="AD1294" s="70" t="str">
        <f t="shared" si="461"/>
        <v/>
      </c>
      <c r="AE1294" s="70" t="str">
        <f t="shared" si="462"/>
        <v/>
      </c>
      <c r="AF1294" s="16"/>
      <c r="AG1294" s="23"/>
      <c r="AH1294" s="22"/>
      <c r="AJ1294" s="83">
        <f t="shared" si="463"/>
        <v>0</v>
      </c>
      <c r="AO1294" s="22" t="str">
        <f t="shared" si="464"/>
        <v/>
      </c>
      <c r="AP1294" s="22" t="str">
        <f t="shared" si="465"/>
        <v/>
      </c>
    </row>
    <row r="1295" spans="1:42" x14ac:dyDescent="0.25">
      <c r="A1295" s="10"/>
      <c r="B1295" s="10"/>
      <c r="C1295" s="10"/>
      <c r="D1295" s="10"/>
      <c r="E1295" s="10"/>
      <c r="F1295" s="10"/>
      <c r="G1295" s="10"/>
      <c r="H1295" s="17"/>
      <c r="I1295" s="10"/>
      <c r="J1295" s="10"/>
      <c r="K1295" s="16" t="str">
        <f t="shared" si="444"/>
        <v/>
      </c>
      <c r="L1295" s="23" t="str">
        <f t="shared" si="445"/>
        <v/>
      </c>
      <c r="M1295" s="22" t="str">
        <f t="shared" si="446"/>
        <v/>
      </c>
      <c r="N1295" s="72"/>
      <c r="O1295" s="16" t="str">
        <f t="shared" si="447"/>
        <v/>
      </c>
      <c r="P1295" s="16" t="str">
        <f t="shared" si="448"/>
        <v/>
      </c>
      <c r="Q1295" s="16" t="str">
        <f t="shared" si="449"/>
        <v/>
      </c>
      <c r="R1295" s="23" t="str">
        <f t="shared" si="450"/>
        <v/>
      </c>
      <c r="S1295" s="23" t="str">
        <f t="shared" si="451"/>
        <v/>
      </c>
      <c r="T1295" s="23" t="str">
        <f t="shared" si="452"/>
        <v/>
      </c>
      <c r="U1295" s="23" t="str">
        <f t="shared" si="453"/>
        <v/>
      </c>
      <c r="V1295" s="23" t="str">
        <f t="shared" si="454"/>
        <v/>
      </c>
      <c r="W1295" s="70" t="str">
        <f t="shared" si="455"/>
        <v/>
      </c>
      <c r="X1295" s="70" t="str">
        <f t="shared" si="456"/>
        <v/>
      </c>
      <c r="Y1295" s="70" t="str">
        <f>IF(AND($A1295&lt;&gt;"",$E1295&gt;0),isLaptopBag($C1295,$J1295)*$D1295,"")</f>
        <v/>
      </c>
      <c r="Z1295" s="70" t="str">
        <f t="shared" si="457"/>
        <v/>
      </c>
      <c r="AA1295" s="70" t="str">
        <f t="shared" si="458"/>
        <v/>
      </c>
      <c r="AB1295" s="70" t="str">
        <f t="shared" si="459"/>
        <v/>
      </c>
      <c r="AC1295" s="70" t="str">
        <f t="shared" si="460"/>
        <v/>
      </c>
      <c r="AD1295" s="70" t="str">
        <f t="shared" si="461"/>
        <v/>
      </c>
      <c r="AE1295" s="70" t="str">
        <f t="shared" si="462"/>
        <v/>
      </c>
      <c r="AF1295" s="16"/>
      <c r="AG1295" s="23"/>
      <c r="AH1295" s="22"/>
      <c r="AJ1295" s="83">
        <f t="shared" si="463"/>
        <v>0</v>
      </c>
      <c r="AO1295" s="22" t="str">
        <f t="shared" si="464"/>
        <v/>
      </c>
      <c r="AP1295" s="22" t="str">
        <f t="shared" si="465"/>
        <v/>
      </c>
    </row>
    <row r="1296" spans="1:42" x14ac:dyDescent="0.25">
      <c r="A1296" s="10"/>
      <c r="B1296" s="10"/>
      <c r="C1296" s="10"/>
      <c r="D1296" s="10"/>
      <c r="E1296" s="10"/>
      <c r="F1296" s="10"/>
      <c r="G1296" s="10"/>
      <c r="H1296" s="17"/>
      <c r="I1296" s="10"/>
      <c r="J1296" s="10"/>
      <c r="K1296" s="16" t="str">
        <f t="shared" si="444"/>
        <v/>
      </c>
      <c r="L1296" s="23" t="str">
        <f t="shared" si="445"/>
        <v/>
      </c>
      <c r="M1296" s="22" t="str">
        <f t="shared" si="446"/>
        <v/>
      </c>
      <c r="N1296" s="72"/>
      <c r="O1296" s="16" t="str">
        <f t="shared" si="447"/>
        <v/>
      </c>
      <c r="P1296" s="16" t="str">
        <f t="shared" si="448"/>
        <v/>
      </c>
      <c r="Q1296" s="16" t="str">
        <f t="shared" si="449"/>
        <v/>
      </c>
      <c r="R1296" s="23" t="str">
        <f t="shared" si="450"/>
        <v/>
      </c>
      <c r="S1296" s="23" t="str">
        <f t="shared" si="451"/>
        <v/>
      </c>
      <c r="T1296" s="23" t="str">
        <f t="shared" si="452"/>
        <v/>
      </c>
      <c r="U1296" s="23" t="str">
        <f t="shared" si="453"/>
        <v/>
      </c>
      <c r="V1296" s="23" t="str">
        <f t="shared" si="454"/>
        <v/>
      </c>
      <c r="W1296" s="70" t="str">
        <f t="shared" si="455"/>
        <v/>
      </c>
      <c r="X1296" s="70" t="str">
        <f t="shared" si="456"/>
        <v/>
      </c>
      <c r="Y1296" s="70" t="str">
        <f>IF(AND($A1296&lt;&gt;"",$E1296&gt;0),isLaptopBag($C1296,$J1296)*$D1296,"")</f>
        <v/>
      </c>
      <c r="Z1296" s="70" t="str">
        <f t="shared" si="457"/>
        <v/>
      </c>
      <c r="AA1296" s="70" t="str">
        <f t="shared" si="458"/>
        <v/>
      </c>
      <c r="AB1296" s="70" t="str">
        <f t="shared" si="459"/>
        <v/>
      </c>
      <c r="AC1296" s="70" t="str">
        <f t="shared" si="460"/>
        <v/>
      </c>
      <c r="AD1296" s="70" t="str">
        <f t="shared" si="461"/>
        <v/>
      </c>
      <c r="AE1296" s="70" t="str">
        <f t="shared" si="462"/>
        <v/>
      </c>
      <c r="AF1296" s="16"/>
      <c r="AG1296" s="23"/>
      <c r="AH1296" s="22"/>
      <c r="AJ1296" s="83">
        <f t="shared" si="463"/>
        <v>0</v>
      </c>
      <c r="AO1296" s="22" t="str">
        <f t="shared" si="464"/>
        <v/>
      </c>
      <c r="AP1296" s="22" t="str">
        <f t="shared" si="465"/>
        <v/>
      </c>
    </row>
    <row r="1297" spans="1:42" x14ac:dyDescent="0.25">
      <c r="A1297" s="10"/>
      <c r="B1297" s="10"/>
      <c r="C1297" s="10"/>
      <c r="D1297" s="10"/>
      <c r="E1297" s="10"/>
      <c r="F1297" s="10"/>
      <c r="G1297" s="10"/>
      <c r="H1297" s="17"/>
      <c r="I1297" s="10"/>
      <c r="J1297" s="10"/>
      <c r="K1297" s="16" t="str">
        <f t="shared" si="444"/>
        <v/>
      </c>
      <c r="L1297" s="23" t="str">
        <f t="shared" si="445"/>
        <v/>
      </c>
      <c r="M1297" s="22" t="str">
        <f t="shared" si="446"/>
        <v/>
      </c>
      <c r="N1297" s="72"/>
      <c r="O1297" s="16" t="str">
        <f t="shared" si="447"/>
        <v/>
      </c>
      <c r="P1297" s="16" t="str">
        <f t="shared" si="448"/>
        <v/>
      </c>
      <c r="Q1297" s="16" t="str">
        <f t="shared" si="449"/>
        <v/>
      </c>
      <c r="R1297" s="23" t="str">
        <f t="shared" si="450"/>
        <v/>
      </c>
      <c r="S1297" s="23" t="str">
        <f t="shared" si="451"/>
        <v/>
      </c>
      <c r="T1297" s="23" t="str">
        <f t="shared" si="452"/>
        <v/>
      </c>
      <c r="U1297" s="23" t="str">
        <f t="shared" si="453"/>
        <v/>
      </c>
      <c r="V1297" s="23" t="str">
        <f t="shared" si="454"/>
        <v/>
      </c>
      <c r="W1297" s="70" t="str">
        <f t="shared" si="455"/>
        <v/>
      </c>
      <c r="X1297" s="70" t="str">
        <f t="shared" si="456"/>
        <v/>
      </c>
      <c r="Y1297" s="70" t="str">
        <f>IF(AND($A1297&lt;&gt;"",$E1297&gt;0),isLaptopBag($C1297,$J1297)*$D1297,"")</f>
        <v/>
      </c>
      <c r="Z1297" s="70" t="str">
        <f t="shared" si="457"/>
        <v/>
      </c>
      <c r="AA1297" s="70" t="str">
        <f t="shared" si="458"/>
        <v/>
      </c>
      <c r="AB1297" s="70" t="str">
        <f t="shared" si="459"/>
        <v/>
      </c>
      <c r="AC1297" s="70" t="str">
        <f t="shared" si="460"/>
        <v/>
      </c>
      <c r="AD1297" s="70" t="str">
        <f t="shared" si="461"/>
        <v/>
      </c>
      <c r="AE1297" s="70" t="str">
        <f t="shared" si="462"/>
        <v/>
      </c>
      <c r="AF1297" s="16"/>
      <c r="AG1297" s="23"/>
      <c r="AH1297" s="22"/>
      <c r="AJ1297" s="83">
        <f t="shared" si="463"/>
        <v>0</v>
      </c>
      <c r="AO1297" s="22" t="str">
        <f t="shared" si="464"/>
        <v/>
      </c>
      <c r="AP1297" s="22" t="str">
        <f t="shared" si="465"/>
        <v/>
      </c>
    </row>
    <row r="1298" spans="1:42" x14ac:dyDescent="0.25">
      <c r="A1298" s="10"/>
      <c r="B1298" s="10"/>
      <c r="C1298" s="10"/>
      <c r="D1298" s="10"/>
      <c r="E1298" s="10"/>
      <c r="F1298" s="10"/>
      <c r="G1298" s="10"/>
      <c r="H1298" s="17"/>
      <c r="I1298" s="10"/>
      <c r="J1298" s="10"/>
      <c r="K1298" s="16" t="str">
        <f t="shared" si="444"/>
        <v/>
      </c>
      <c r="L1298" s="23" t="str">
        <f t="shared" si="445"/>
        <v/>
      </c>
      <c r="M1298" s="22" t="str">
        <f t="shared" si="446"/>
        <v/>
      </c>
      <c r="N1298" s="72"/>
      <c r="O1298" s="16" t="str">
        <f t="shared" si="447"/>
        <v/>
      </c>
      <c r="P1298" s="16" t="str">
        <f t="shared" si="448"/>
        <v/>
      </c>
      <c r="Q1298" s="16" t="str">
        <f t="shared" si="449"/>
        <v/>
      </c>
      <c r="R1298" s="23" t="str">
        <f t="shared" si="450"/>
        <v/>
      </c>
      <c r="S1298" s="23" t="str">
        <f t="shared" si="451"/>
        <v/>
      </c>
      <c r="T1298" s="23" t="str">
        <f t="shared" si="452"/>
        <v/>
      </c>
      <c r="U1298" s="23" t="str">
        <f t="shared" si="453"/>
        <v/>
      </c>
      <c r="V1298" s="23" t="str">
        <f t="shared" si="454"/>
        <v/>
      </c>
      <c r="W1298" s="70" t="str">
        <f t="shared" si="455"/>
        <v/>
      </c>
      <c r="X1298" s="70" t="str">
        <f t="shared" si="456"/>
        <v/>
      </c>
      <c r="Y1298" s="70" t="str">
        <f>IF(AND($A1298&lt;&gt;"",$E1298&gt;0),isLaptopBag($C1298,$J1298)*$D1298,"")</f>
        <v/>
      </c>
      <c r="Z1298" s="70" t="str">
        <f t="shared" si="457"/>
        <v/>
      </c>
      <c r="AA1298" s="70" t="str">
        <f t="shared" si="458"/>
        <v/>
      </c>
      <c r="AB1298" s="70" t="str">
        <f t="shared" si="459"/>
        <v/>
      </c>
      <c r="AC1298" s="70" t="str">
        <f t="shared" si="460"/>
        <v/>
      </c>
      <c r="AD1298" s="70" t="str">
        <f t="shared" si="461"/>
        <v/>
      </c>
      <c r="AE1298" s="70" t="str">
        <f t="shared" si="462"/>
        <v/>
      </c>
      <c r="AF1298" s="16"/>
      <c r="AG1298" s="23"/>
      <c r="AH1298" s="22"/>
      <c r="AJ1298" s="83">
        <f t="shared" si="463"/>
        <v>0</v>
      </c>
      <c r="AO1298" s="22" t="str">
        <f t="shared" si="464"/>
        <v/>
      </c>
      <c r="AP1298" s="22" t="str">
        <f t="shared" si="465"/>
        <v/>
      </c>
    </row>
    <row r="1299" spans="1:42" x14ac:dyDescent="0.25">
      <c r="A1299" s="10"/>
      <c r="B1299" s="10"/>
      <c r="C1299" s="10"/>
      <c r="D1299" s="10"/>
      <c r="E1299" s="10"/>
      <c r="F1299" s="10"/>
      <c r="G1299" s="10"/>
      <c r="H1299" s="17"/>
      <c r="I1299" s="10"/>
      <c r="J1299" s="10"/>
      <c r="K1299" s="16" t="str">
        <f t="shared" si="444"/>
        <v/>
      </c>
      <c r="L1299" s="23" t="str">
        <f t="shared" si="445"/>
        <v/>
      </c>
      <c r="M1299" s="22" t="str">
        <f t="shared" si="446"/>
        <v/>
      </c>
      <c r="N1299" s="72"/>
      <c r="O1299" s="16" t="str">
        <f t="shared" si="447"/>
        <v/>
      </c>
      <c r="P1299" s="16" t="str">
        <f t="shared" si="448"/>
        <v/>
      </c>
      <c r="Q1299" s="16" t="str">
        <f t="shared" si="449"/>
        <v/>
      </c>
      <c r="R1299" s="23" t="str">
        <f t="shared" si="450"/>
        <v/>
      </c>
      <c r="S1299" s="23" t="str">
        <f t="shared" si="451"/>
        <v/>
      </c>
      <c r="T1299" s="23" t="str">
        <f t="shared" si="452"/>
        <v/>
      </c>
      <c r="U1299" s="23" t="str">
        <f t="shared" si="453"/>
        <v/>
      </c>
      <c r="V1299" s="23" t="str">
        <f t="shared" si="454"/>
        <v/>
      </c>
      <c r="W1299" s="70" t="str">
        <f t="shared" si="455"/>
        <v/>
      </c>
      <c r="X1299" s="70" t="str">
        <f t="shared" si="456"/>
        <v/>
      </c>
      <c r="Y1299" s="70" t="str">
        <f>IF(AND($A1299&lt;&gt;"",$E1299&gt;0),isLaptopBag($C1299,$J1299)*$D1299,"")</f>
        <v/>
      </c>
      <c r="Z1299" s="70" t="str">
        <f t="shared" si="457"/>
        <v/>
      </c>
      <c r="AA1299" s="70" t="str">
        <f t="shared" si="458"/>
        <v/>
      </c>
      <c r="AB1299" s="70" t="str">
        <f t="shared" si="459"/>
        <v/>
      </c>
      <c r="AC1299" s="70" t="str">
        <f t="shared" si="460"/>
        <v/>
      </c>
      <c r="AD1299" s="70" t="str">
        <f t="shared" si="461"/>
        <v/>
      </c>
      <c r="AE1299" s="70" t="str">
        <f t="shared" si="462"/>
        <v/>
      </c>
      <c r="AF1299" s="16"/>
      <c r="AG1299" s="23"/>
      <c r="AH1299" s="22"/>
      <c r="AJ1299" s="83">
        <f t="shared" si="463"/>
        <v>0</v>
      </c>
      <c r="AO1299" s="22" t="str">
        <f t="shared" si="464"/>
        <v/>
      </c>
      <c r="AP1299" s="22" t="str">
        <f t="shared" si="465"/>
        <v/>
      </c>
    </row>
    <row r="1300" spans="1:42" x14ac:dyDescent="0.25">
      <c r="A1300" s="10"/>
      <c r="B1300" s="10"/>
      <c r="C1300" s="10"/>
      <c r="D1300" s="10"/>
      <c r="E1300" s="10"/>
      <c r="F1300" s="10"/>
      <c r="G1300" s="10"/>
      <c r="H1300" s="17"/>
      <c r="I1300" s="10"/>
      <c r="J1300" s="10"/>
      <c r="K1300" s="16" t="str">
        <f t="shared" si="444"/>
        <v/>
      </c>
      <c r="L1300" s="23" t="str">
        <f t="shared" si="445"/>
        <v/>
      </c>
      <c r="M1300" s="22" t="str">
        <f t="shared" si="446"/>
        <v/>
      </c>
      <c r="N1300" s="72"/>
      <c r="O1300" s="16" t="str">
        <f t="shared" si="447"/>
        <v/>
      </c>
      <c r="P1300" s="16" t="str">
        <f t="shared" si="448"/>
        <v/>
      </c>
      <c r="Q1300" s="16" t="str">
        <f t="shared" si="449"/>
        <v/>
      </c>
      <c r="R1300" s="23" t="str">
        <f t="shared" si="450"/>
        <v/>
      </c>
      <c r="S1300" s="23" t="str">
        <f t="shared" si="451"/>
        <v/>
      </c>
      <c r="T1300" s="23" t="str">
        <f t="shared" si="452"/>
        <v/>
      </c>
      <c r="U1300" s="23" t="str">
        <f t="shared" si="453"/>
        <v/>
      </c>
      <c r="V1300" s="23" t="str">
        <f t="shared" si="454"/>
        <v/>
      </c>
      <c r="W1300" s="70" t="str">
        <f t="shared" si="455"/>
        <v/>
      </c>
      <c r="X1300" s="70" t="str">
        <f t="shared" si="456"/>
        <v/>
      </c>
      <c r="Y1300" s="70" t="str">
        <f>IF(AND($A1300&lt;&gt;"",$E1300&gt;0),isLaptopBag($C1300,$J1300)*$D1300,"")</f>
        <v/>
      </c>
      <c r="Z1300" s="70" t="str">
        <f t="shared" si="457"/>
        <v/>
      </c>
      <c r="AA1300" s="70" t="str">
        <f t="shared" si="458"/>
        <v/>
      </c>
      <c r="AB1300" s="70" t="str">
        <f t="shared" si="459"/>
        <v/>
      </c>
      <c r="AC1300" s="70" t="str">
        <f t="shared" si="460"/>
        <v/>
      </c>
      <c r="AD1300" s="70" t="str">
        <f t="shared" si="461"/>
        <v/>
      </c>
      <c r="AE1300" s="70" t="str">
        <f t="shared" si="462"/>
        <v/>
      </c>
      <c r="AF1300" s="16"/>
      <c r="AG1300" s="23"/>
      <c r="AH1300" s="22"/>
      <c r="AJ1300" s="83">
        <f t="shared" si="463"/>
        <v>0</v>
      </c>
      <c r="AO1300" s="22" t="str">
        <f t="shared" si="464"/>
        <v/>
      </c>
      <c r="AP1300" s="22" t="str">
        <f t="shared" si="465"/>
        <v/>
      </c>
    </row>
    <row r="1301" spans="1:42" x14ac:dyDescent="0.25">
      <c r="A1301" s="10"/>
      <c r="B1301" s="10"/>
      <c r="C1301" s="10"/>
      <c r="D1301" s="10"/>
      <c r="E1301" s="10"/>
      <c r="F1301" s="10"/>
      <c r="G1301" s="10"/>
      <c r="H1301" s="17"/>
      <c r="I1301" s="10"/>
      <c r="J1301" s="10"/>
      <c r="K1301" s="16" t="str">
        <f t="shared" si="444"/>
        <v/>
      </c>
      <c r="L1301" s="23" t="str">
        <f t="shared" si="445"/>
        <v/>
      </c>
      <c r="M1301" s="22" t="str">
        <f t="shared" si="446"/>
        <v/>
      </c>
      <c r="N1301" s="72"/>
      <c r="O1301" s="16" t="str">
        <f t="shared" si="447"/>
        <v/>
      </c>
      <c r="P1301" s="16" t="str">
        <f t="shared" si="448"/>
        <v/>
      </c>
      <c r="Q1301" s="16" t="str">
        <f t="shared" si="449"/>
        <v/>
      </c>
      <c r="R1301" s="23" t="str">
        <f t="shared" si="450"/>
        <v/>
      </c>
      <c r="S1301" s="23" t="str">
        <f t="shared" si="451"/>
        <v/>
      </c>
      <c r="T1301" s="23" t="str">
        <f t="shared" si="452"/>
        <v/>
      </c>
      <c r="U1301" s="23" t="str">
        <f t="shared" si="453"/>
        <v/>
      </c>
      <c r="V1301" s="23" t="str">
        <f t="shared" si="454"/>
        <v/>
      </c>
      <c r="W1301" s="70" t="str">
        <f t="shared" si="455"/>
        <v/>
      </c>
      <c r="X1301" s="70" t="str">
        <f t="shared" si="456"/>
        <v/>
      </c>
      <c r="Y1301" s="70" t="str">
        <f>IF(AND($A1301&lt;&gt;"",$E1301&gt;0),isLaptopBag($C1301,$J1301)*$D1301,"")</f>
        <v/>
      </c>
      <c r="Z1301" s="70" t="str">
        <f t="shared" si="457"/>
        <v/>
      </c>
      <c r="AA1301" s="70" t="str">
        <f t="shared" si="458"/>
        <v/>
      </c>
      <c r="AB1301" s="70" t="str">
        <f t="shared" si="459"/>
        <v/>
      </c>
      <c r="AC1301" s="70" t="str">
        <f t="shared" si="460"/>
        <v/>
      </c>
      <c r="AD1301" s="70" t="str">
        <f t="shared" si="461"/>
        <v/>
      </c>
      <c r="AE1301" s="70" t="str">
        <f t="shared" si="462"/>
        <v/>
      </c>
      <c r="AF1301" s="16"/>
      <c r="AG1301" s="23"/>
      <c r="AH1301" s="22"/>
      <c r="AJ1301" s="83">
        <f t="shared" si="463"/>
        <v>0</v>
      </c>
      <c r="AO1301" s="22" t="str">
        <f t="shared" si="464"/>
        <v/>
      </c>
      <c r="AP1301" s="22" t="str">
        <f t="shared" si="465"/>
        <v/>
      </c>
    </row>
    <row r="1302" spans="1:42" x14ac:dyDescent="0.25">
      <c r="A1302" s="10"/>
      <c r="B1302" s="10"/>
      <c r="C1302" s="10"/>
      <c r="D1302" s="10"/>
      <c r="E1302" s="10"/>
      <c r="F1302" s="10"/>
      <c r="G1302" s="10"/>
      <c r="H1302" s="17"/>
      <c r="I1302" s="10"/>
      <c r="J1302" s="10"/>
      <c r="K1302" s="16" t="str">
        <f t="shared" si="444"/>
        <v/>
      </c>
      <c r="L1302" s="23" t="str">
        <f t="shared" si="445"/>
        <v/>
      </c>
      <c r="M1302" s="22" t="str">
        <f t="shared" si="446"/>
        <v/>
      </c>
      <c r="N1302" s="72"/>
      <c r="O1302" s="16" t="str">
        <f t="shared" si="447"/>
        <v/>
      </c>
      <c r="P1302" s="16" t="str">
        <f t="shared" si="448"/>
        <v/>
      </c>
      <c r="Q1302" s="16" t="str">
        <f t="shared" si="449"/>
        <v/>
      </c>
      <c r="R1302" s="23" t="str">
        <f t="shared" si="450"/>
        <v/>
      </c>
      <c r="S1302" s="23" t="str">
        <f t="shared" si="451"/>
        <v/>
      </c>
      <c r="T1302" s="23" t="str">
        <f t="shared" si="452"/>
        <v/>
      </c>
      <c r="U1302" s="23" t="str">
        <f t="shared" si="453"/>
        <v/>
      </c>
      <c r="V1302" s="23" t="str">
        <f t="shared" si="454"/>
        <v/>
      </c>
      <c r="W1302" s="70" t="str">
        <f t="shared" si="455"/>
        <v/>
      </c>
      <c r="X1302" s="70" t="str">
        <f t="shared" si="456"/>
        <v/>
      </c>
      <c r="Y1302" s="70" t="str">
        <f>IF(AND($A1302&lt;&gt;"",$E1302&gt;0),isLaptopBag($C1302,$J1302)*$D1302,"")</f>
        <v/>
      </c>
      <c r="Z1302" s="70" t="str">
        <f t="shared" si="457"/>
        <v/>
      </c>
      <c r="AA1302" s="70" t="str">
        <f t="shared" si="458"/>
        <v/>
      </c>
      <c r="AB1302" s="70" t="str">
        <f t="shared" si="459"/>
        <v/>
      </c>
      <c r="AC1302" s="70" t="str">
        <f t="shared" si="460"/>
        <v/>
      </c>
      <c r="AD1302" s="70" t="str">
        <f t="shared" si="461"/>
        <v/>
      </c>
      <c r="AE1302" s="70" t="str">
        <f t="shared" si="462"/>
        <v/>
      </c>
      <c r="AF1302" s="16"/>
      <c r="AG1302" s="23"/>
      <c r="AH1302" s="22"/>
      <c r="AJ1302" s="83">
        <f t="shared" si="463"/>
        <v>0</v>
      </c>
      <c r="AO1302" s="22" t="str">
        <f t="shared" si="464"/>
        <v/>
      </c>
      <c r="AP1302" s="22" t="str">
        <f t="shared" si="465"/>
        <v/>
      </c>
    </row>
    <row r="1303" spans="1:42" x14ac:dyDescent="0.25">
      <c r="A1303" s="10"/>
      <c r="B1303" s="10"/>
      <c r="C1303" s="10"/>
      <c r="D1303" s="10"/>
      <c r="E1303" s="10"/>
      <c r="F1303" s="10"/>
      <c r="G1303" s="10"/>
      <c r="H1303" s="17"/>
      <c r="I1303" s="10"/>
      <c r="J1303" s="10"/>
      <c r="K1303" s="16" t="str">
        <f t="shared" si="444"/>
        <v/>
      </c>
      <c r="L1303" s="23" t="str">
        <f t="shared" si="445"/>
        <v/>
      </c>
      <c r="M1303" s="22" t="str">
        <f t="shared" si="446"/>
        <v/>
      </c>
      <c r="N1303" s="72"/>
      <c r="O1303" s="16" t="str">
        <f t="shared" si="447"/>
        <v/>
      </c>
      <c r="P1303" s="16" t="str">
        <f t="shared" si="448"/>
        <v/>
      </c>
      <c r="Q1303" s="16" t="str">
        <f t="shared" si="449"/>
        <v/>
      </c>
      <c r="R1303" s="23" t="str">
        <f t="shared" si="450"/>
        <v/>
      </c>
      <c r="S1303" s="23" t="str">
        <f t="shared" si="451"/>
        <v/>
      </c>
      <c r="T1303" s="23" t="str">
        <f t="shared" si="452"/>
        <v/>
      </c>
      <c r="U1303" s="23" t="str">
        <f t="shared" si="453"/>
        <v/>
      </c>
      <c r="V1303" s="23" t="str">
        <f t="shared" si="454"/>
        <v/>
      </c>
      <c r="W1303" s="70" t="str">
        <f t="shared" si="455"/>
        <v/>
      </c>
      <c r="X1303" s="70" t="str">
        <f t="shared" si="456"/>
        <v/>
      </c>
      <c r="Y1303" s="70" t="str">
        <f>IF(AND($A1303&lt;&gt;"",$E1303&gt;0),isLaptopBag($C1303,$J1303)*$D1303,"")</f>
        <v/>
      </c>
      <c r="Z1303" s="70" t="str">
        <f t="shared" si="457"/>
        <v/>
      </c>
      <c r="AA1303" s="70" t="str">
        <f t="shared" si="458"/>
        <v/>
      </c>
      <c r="AB1303" s="70" t="str">
        <f t="shared" si="459"/>
        <v/>
      </c>
      <c r="AC1303" s="70" t="str">
        <f t="shared" si="460"/>
        <v/>
      </c>
      <c r="AD1303" s="70" t="str">
        <f t="shared" si="461"/>
        <v/>
      </c>
      <c r="AE1303" s="70" t="str">
        <f t="shared" si="462"/>
        <v/>
      </c>
      <c r="AF1303" s="16"/>
      <c r="AG1303" s="23"/>
      <c r="AH1303" s="22"/>
      <c r="AJ1303" s="83">
        <f t="shared" si="463"/>
        <v>0</v>
      </c>
      <c r="AO1303" s="22" t="str">
        <f t="shared" si="464"/>
        <v/>
      </c>
      <c r="AP1303" s="22" t="str">
        <f t="shared" si="465"/>
        <v/>
      </c>
    </row>
    <row r="1304" spans="1:42" x14ac:dyDescent="0.25">
      <c r="A1304" s="10"/>
      <c r="B1304" s="10"/>
      <c r="C1304" s="10"/>
      <c r="D1304" s="10"/>
      <c r="E1304" s="10"/>
      <c r="F1304" s="10"/>
      <c r="G1304" s="10"/>
      <c r="H1304" s="17"/>
      <c r="I1304" s="10"/>
      <c r="J1304" s="10"/>
      <c r="K1304" s="16" t="str">
        <f t="shared" si="444"/>
        <v/>
      </c>
      <c r="L1304" s="23" t="str">
        <f t="shared" si="445"/>
        <v/>
      </c>
      <c r="M1304" s="22" t="str">
        <f t="shared" si="446"/>
        <v/>
      </c>
      <c r="N1304" s="72"/>
      <c r="O1304" s="16" t="str">
        <f t="shared" si="447"/>
        <v/>
      </c>
      <c r="P1304" s="16" t="str">
        <f t="shared" si="448"/>
        <v/>
      </c>
      <c r="Q1304" s="16" t="str">
        <f t="shared" si="449"/>
        <v/>
      </c>
      <c r="R1304" s="23" t="str">
        <f t="shared" si="450"/>
        <v/>
      </c>
      <c r="S1304" s="23" t="str">
        <f t="shared" si="451"/>
        <v/>
      </c>
      <c r="T1304" s="23" t="str">
        <f t="shared" si="452"/>
        <v/>
      </c>
      <c r="U1304" s="23" t="str">
        <f t="shared" si="453"/>
        <v/>
      </c>
      <c r="V1304" s="23" t="str">
        <f t="shared" si="454"/>
        <v/>
      </c>
      <c r="W1304" s="70" t="str">
        <f t="shared" si="455"/>
        <v/>
      </c>
      <c r="X1304" s="70" t="str">
        <f t="shared" si="456"/>
        <v/>
      </c>
      <c r="Y1304" s="70" t="str">
        <f>IF(AND($A1304&lt;&gt;"",$E1304&gt;0),isLaptopBag($C1304,$J1304)*$D1304,"")</f>
        <v/>
      </c>
      <c r="Z1304" s="70" t="str">
        <f t="shared" si="457"/>
        <v/>
      </c>
      <c r="AA1304" s="70" t="str">
        <f t="shared" si="458"/>
        <v/>
      </c>
      <c r="AB1304" s="70" t="str">
        <f t="shared" si="459"/>
        <v/>
      </c>
      <c r="AC1304" s="70" t="str">
        <f t="shared" si="460"/>
        <v/>
      </c>
      <c r="AD1304" s="70" t="str">
        <f t="shared" si="461"/>
        <v/>
      </c>
      <c r="AE1304" s="70" t="str">
        <f t="shared" si="462"/>
        <v/>
      </c>
      <c r="AF1304" s="16"/>
      <c r="AG1304" s="23"/>
      <c r="AH1304" s="22"/>
      <c r="AJ1304" s="83">
        <f t="shared" si="463"/>
        <v>0</v>
      </c>
      <c r="AO1304" s="22" t="str">
        <f t="shared" si="464"/>
        <v/>
      </c>
      <c r="AP1304" s="22" t="str">
        <f t="shared" si="465"/>
        <v/>
      </c>
    </row>
    <row r="1305" spans="1:42" x14ac:dyDescent="0.25">
      <c r="A1305" s="10"/>
      <c r="B1305" s="10"/>
      <c r="C1305" s="10"/>
      <c r="D1305" s="10"/>
      <c r="E1305" s="10"/>
      <c r="F1305" s="10"/>
      <c r="G1305" s="10"/>
      <c r="H1305" s="17"/>
      <c r="I1305" s="10"/>
      <c r="J1305" s="10"/>
      <c r="K1305" s="16" t="str">
        <f t="shared" si="444"/>
        <v/>
      </c>
      <c r="L1305" s="23" t="str">
        <f t="shared" si="445"/>
        <v/>
      </c>
      <c r="M1305" s="22" t="str">
        <f t="shared" si="446"/>
        <v/>
      </c>
      <c r="N1305" s="72"/>
      <c r="O1305" s="16" t="str">
        <f t="shared" si="447"/>
        <v/>
      </c>
      <c r="P1305" s="16" t="str">
        <f t="shared" si="448"/>
        <v/>
      </c>
      <c r="Q1305" s="16" t="str">
        <f t="shared" si="449"/>
        <v/>
      </c>
      <c r="R1305" s="23" t="str">
        <f t="shared" si="450"/>
        <v/>
      </c>
      <c r="S1305" s="23" t="str">
        <f t="shared" si="451"/>
        <v/>
      </c>
      <c r="T1305" s="23" t="str">
        <f t="shared" si="452"/>
        <v/>
      </c>
      <c r="U1305" s="23" t="str">
        <f t="shared" si="453"/>
        <v/>
      </c>
      <c r="V1305" s="23" t="str">
        <f t="shared" si="454"/>
        <v/>
      </c>
      <c r="W1305" s="70" t="str">
        <f t="shared" si="455"/>
        <v/>
      </c>
      <c r="X1305" s="70" t="str">
        <f t="shared" si="456"/>
        <v/>
      </c>
      <c r="Y1305" s="70" t="str">
        <f>IF(AND($A1305&lt;&gt;"",$E1305&gt;0),isLaptopBag($C1305,$J1305)*$D1305,"")</f>
        <v/>
      </c>
      <c r="Z1305" s="70" t="str">
        <f t="shared" si="457"/>
        <v/>
      </c>
      <c r="AA1305" s="70" t="str">
        <f t="shared" si="458"/>
        <v/>
      </c>
      <c r="AB1305" s="70" t="str">
        <f t="shared" si="459"/>
        <v/>
      </c>
      <c r="AC1305" s="70" t="str">
        <f t="shared" si="460"/>
        <v/>
      </c>
      <c r="AD1305" s="70" t="str">
        <f t="shared" si="461"/>
        <v/>
      </c>
      <c r="AE1305" s="70" t="str">
        <f t="shared" si="462"/>
        <v/>
      </c>
      <c r="AF1305" s="16"/>
      <c r="AG1305" s="23"/>
      <c r="AH1305" s="22"/>
      <c r="AJ1305" s="83">
        <f t="shared" si="463"/>
        <v>0</v>
      </c>
      <c r="AO1305" s="22" t="str">
        <f t="shared" si="464"/>
        <v/>
      </c>
      <c r="AP1305" s="22" t="str">
        <f t="shared" si="465"/>
        <v/>
      </c>
    </row>
    <row r="1306" spans="1:42" x14ac:dyDescent="0.25">
      <c r="A1306" s="10"/>
      <c r="B1306" s="10"/>
      <c r="C1306" s="10"/>
      <c r="D1306" s="10"/>
      <c r="E1306" s="10"/>
      <c r="F1306" s="10"/>
      <c r="G1306" s="10"/>
      <c r="H1306" s="17"/>
      <c r="I1306" s="10"/>
      <c r="J1306" s="10"/>
      <c r="K1306" s="16" t="str">
        <f t="shared" si="444"/>
        <v/>
      </c>
      <c r="L1306" s="23" t="str">
        <f t="shared" si="445"/>
        <v/>
      </c>
      <c r="M1306" s="22" t="str">
        <f t="shared" si="446"/>
        <v/>
      </c>
      <c r="N1306" s="72"/>
      <c r="O1306" s="16" t="str">
        <f t="shared" si="447"/>
        <v/>
      </c>
      <c r="P1306" s="16" t="str">
        <f t="shared" si="448"/>
        <v/>
      </c>
      <c r="Q1306" s="16" t="str">
        <f t="shared" si="449"/>
        <v/>
      </c>
      <c r="R1306" s="23" t="str">
        <f t="shared" si="450"/>
        <v/>
      </c>
      <c r="S1306" s="23" t="str">
        <f t="shared" si="451"/>
        <v/>
      </c>
      <c r="T1306" s="23" t="str">
        <f t="shared" si="452"/>
        <v/>
      </c>
      <c r="U1306" s="23" t="str">
        <f t="shared" si="453"/>
        <v/>
      </c>
      <c r="V1306" s="23" t="str">
        <f t="shared" si="454"/>
        <v/>
      </c>
      <c r="W1306" s="70" t="str">
        <f t="shared" si="455"/>
        <v/>
      </c>
      <c r="X1306" s="70" t="str">
        <f t="shared" si="456"/>
        <v/>
      </c>
      <c r="Y1306" s="70" t="str">
        <f>IF(AND($A1306&lt;&gt;"",$E1306&gt;0),isLaptopBag($C1306,$J1306)*$D1306,"")</f>
        <v/>
      </c>
      <c r="Z1306" s="70" t="str">
        <f t="shared" si="457"/>
        <v/>
      </c>
      <c r="AA1306" s="70" t="str">
        <f t="shared" si="458"/>
        <v/>
      </c>
      <c r="AB1306" s="70" t="str">
        <f t="shared" si="459"/>
        <v/>
      </c>
      <c r="AC1306" s="70" t="str">
        <f t="shared" si="460"/>
        <v/>
      </c>
      <c r="AD1306" s="70" t="str">
        <f t="shared" si="461"/>
        <v/>
      </c>
      <c r="AE1306" s="70" t="str">
        <f t="shared" si="462"/>
        <v/>
      </c>
      <c r="AF1306" s="16"/>
      <c r="AG1306" s="23"/>
      <c r="AH1306" s="22"/>
      <c r="AJ1306" s="83">
        <f t="shared" si="463"/>
        <v>0</v>
      </c>
      <c r="AO1306" s="22" t="str">
        <f t="shared" si="464"/>
        <v/>
      </c>
      <c r="AP1306" s="22" t="str">
        <f t="shared" si="465"/>
        <v/>
      </c>
    </row>
    <row r="1307" spans="1:42" x14ac:dyDescent="0.25">
      <c r="A1307" s="10"/>
      <c r="B1307" s="10"/>
      <c r="C1307" s="10"/>
      <c r="D1307" s="10"/>
      <c r="E1307" s="10"/>
      <c r="F1307" s="10"/>
      <c r="G1307" s="10"/>
      <c r="H1307" s="17"/>
      <c r="I1307" s="10"/>
      <c r="J1307" s="10"/>
      <c r="K1307" s="16" t="str">
        <f t="shared" si="444"/>
        <v/>
      </c>
      <c r="L1307" s="23" t="str">
        <f t="shared" si="445"/>
        <v/>
      </c>
      <c r="M1307" s="22" t="str">
        <f t="shared" si="446"/>
        <v/>
      </c>
      <c r="N1307" s="72"/>
      <c r="O1307" s="16" t="str">
        <f t="shared" si="447"/>
        <v/>
      </c>
      <c r="P1307" s="16" t="str">
        <f t="shared" si="448"/>
        <v/>
      </c>
      <c r="Q1307" s="16" t="str">
        <f t="shared" si="449"/>
        <v/>
      </c>
      <c r="R1307" s="23" t="str">
        <f t="shared" si="450"/>
        <v/>
      </c>
      <c r="S1307" s="23" t="str">
        <f t="shared" si="451"/>
        <v/>
      </c>
      <c r="T1307" s="23" t="str">
        <f t="shared" si="452"/>
        <v/>
      </c>
      <c r="U1307" s="23" t="str">
        <f t="shared" si="453"/>
        <v/>
      </c>
      <c r="V1307" s="23" t="str">
        <f t="shared" si="454"/>
        <v/>
      </c>
      <c r="W1307" s="70" t="str">
        <f t="shared" si="455"/>
        <v/>
      </c>
      <c r="X1307" s="70" t="str">
        <f t="shared" si="456"/>
        <v/>
      </c>
      <c r="Y1307" s="70" t="str">
        <f>IF(AND($A1307&lt;&gt;"",$E1307&gt;0),isLaptopBag($C1307,$J1307)*$D1307,"")</f>
        <v/>
      </c>
      <c r="Z1307" s="70" t="str">
        <f t="shared" si="457"/>
        <v/>
      </c>
      <c r="AA1307" s="70" t="str">
        <f t="shared" si="458"/>
        <v/>
      </c>
      <c r="AB1307" s="70" t="str">
        <f t="shared" si="459"/>
        <v/>
      </c>
      <c r="AC1307" s="70" t="str">
        <f t="shared" si="460"/>
        <v/>
      </c>
      <c r="AD1307" s="70" t="str">
        <f t="shared" si="461"/>
        <v/>
      </c>
      <c r="AE1307" s="70" t="str">
        <f t="shared" si="462"/>
        <v/>
      </c>
      <c r="AF1307" s="16"/>
      <c r="AG1307" s="23"/>
      <c r="AH1307" s="22"/>
      <c r="AJ1307" s="83">
        <f t="shared" si="463"/>
        <v>0</v>
      </c>
      <c r="AO1307" s="22" t="str">
        <f t="shared" si="464"/>
        <v/>
      </c>
      <c r="AP1307" s="22" t="str">
        <f t="shared" si="465"/>
        <v/>
      </c>
    </row>
    <row r="1308" spans="1:42" x14ac:dyDescent="0.25">
      <c r="A1308" s="10"/>
      <c r="B1308" s="10"/>
      <c r="C1308" s="10"/>
      <c r="D1308" s="10"/>
      <c r="E1308" s="10"/>
      <c r="F1308" s="10"/>
      <c r="G1308" s="10"/>
      <c r="H1308" s="17"/>
      <c r="I1308" s="10"/>
      <c r="J1308" s="10"/>
      <c r="K1308" s="16" t="str">
        <f t="shared" si="444"/>
        <v/>
      </c>
      <c r="L1308" s="23" t="str">
        <f t="shared" si="445"/>
        <v/>
      </c>
      <c r="M1308" s="22" t="str">
        <f t="shared" si="446"/>
        <v/>
      </c>
      <c r="N1308" s="72"/>
      <c r="O1308" s="16" t="str">
        <f t="shared" si="447"/>
        <v/>
      </c>
      <c r="P1308" s="16" t="str">
        <f t="shared" si="448"/>
        <v/>
      </c>
      <c r="Q1308" s="16" t="str">
        <f t="shared" si="449"/>
        <v/>
      </c>
      <c r="R1308" s="23" t="str">
        <f t="shared" si="450"/>
        <v/>
      </c>
      <c r="S1308" s="23" t="str">
        <f t="shared" si="451"/>
        <v/>
      </c>
      <c r="T1308" s="23" t="str">
        <f t="shared" si="452"/>
        <v/>
      </c>
      <c r="U1308" s="23" t="str">
        <f t="shared" si="453"/>
        <v/>
      </c>
      <c r="V1308" s="23" t="str">
        <f t="shared" si="454"/>
        <v/>
      </c>
      <c r="W1308" s="70" t="str">
        <f t="shared" si="455"/>
        <v/>
      </c>
      <c r="X1308" s="70" t="str">
        <f t="shared" si="456"/>
        <v/>
      </c>
      <c r="Y1308" s="70" t="str">
        <f>IF(AND($A1308&lt;&gt;"",$E1308&gt;0),isLaptopBag($C1308,$J1308)*$D1308,"")</f>
        <v/>
      </c>
      <c r="Z1308" s="70" t="str">
        <f t="shared" si="457"/>
        <v/>
      </c>
      <c r="AA1308" s="70" t="str">
        <f t="shared" si="458"/>
        <v/>
      </c>
      <c r="AB1308" s="70" t="str">
        <f t="shared" si="459"/>
        <v/>
      </c>
      <c r="AC1308" s="70" t="str">
        <f t="shared" si="460"/>
        <v/>
      </c>
      <c r="AD1308" s="70" t="str">
        <f t="shared" si="461"/>
        <v/>
      </c>
      <c r="AE1308" s="70" t="str">
        <f t="shared" si="462"/>
        <v/>
      </c>
      <c r="AF1308" s="16"/>
      <c r="AG1308" s="23"/>
      <c r="AH1308" s="22"/>
      <c r="AJ1308" s="83">
        <f t="shared" si="463"/>
        <v>0</v>
      </c>
      <c r="AO1308" s="22" t="str">
        <f t="shared" si="464"/>
        <v/>
      </c>
      <c r="AP1308" s="22" t="str">
        <f t="shared" si="465"/>
        <v/>
      </c>
    </row>
    <row r="1309" spans="1:42" x14ac:dyDescent="0.25">
      <c r="A1309" s="10"/>
      <c r="B1309" s="10"/>
      <c r="C1309" s="10"/>
      <c r="D1309" s="10"/>
      <c r="E1309" s="10"/>
      <c r="F1309" s="10"/>
      <c r="G1309" s="10"/>
      <c r="H1309" s="17"/>
      <c r="I1309" s="10"/>
      <c r="J1309" s="10"/>
      <c r="K1309" s="16" t="str">
        <f t="shared" si="444"/>
        <v/>
      </c>
      <c r="L1309" s="23" t="str">
        <f t="shared" si="445"/>
        <v/>
      </c>
      <c r="M1309" s="22" t="str">
        <f t="shared" si="446"/>
        <v/>
      </c>
      <c r="N1309" s="72"/>
      <c r="O1309" s="16" t="str">
        <f t="shared" si="447"/>
        <v/>
      </c>
      <c r="P1309" s="16" t="str">
        <f t="shared" si="448"/>
        <v/>
      </c>
      <c r="Q1309" s="16" t="str">
        <f t="shared" si="449"/>
        <v/>
      </c>
      <c r="R1309" s="23" t="str">
        <f t="shared" si="450"/>
        <v/>
      </c>
      <c r="S1309" s="23" t="str">
        <f t="shared" si="451"/>
        <v/>
      </c>
      <c r="T1309" s="23" t="str">
        <f t="shared" si="452"/>
        <v/>
      </c>
      <c r="U1309" s="23" t="str">
        <f t="shared" si="453"/>
        <v/>
      </c>
      <c r="V1309" s="23" t="str">
        <f t="shared" si="454"/>
        <v/>
      </c>
      <c r="W1309" s="70" t="str">
        <f t="shared" si="455"/>
        <v/>
      </c>
      <c r="X1309" s="70" t="str">
        <f t="shared" si="456"/>
        <v/>
      </c>
      <c r="Y1309" s="70" t="str">
        <f>IF(AND($A1309&lt;&gt;"",$E1309&gt;0),isLaptopBag($C1309,$J1309)*$D1309,"")</f>
        <v/>
      </c>
      <c r="Z1309" s="70" t="str">
        <f t="shared" si="457"/>
        <v/>
      </c>
      <c r="AA1309" s="70" t="str">
        <f t="shared" si="458"/>
        <v/>
      </c>
      <c r="AB1309" s="70" t="str">
        <f t="shared" si="459"/>
        <v/>
      </c>
      <c r="AC1309" s="70" t="str">
        <f t="shared" si="460"/>
        <v/>
      </c>
      <c r="AD1309" s="70" t="str">
        <f t="shared" si="461"/>
        <v/>
      </c>
      <c r="AE1309" s="70" t="str">
        <f t="shared" si="462"/>
        <v/>
      </c>
      <c r="AF1309" s="16"/>
      <c r="AG1309" s="23"/>
      <c r="AH1309" s="22"/>
      <c r="AJ1309" s="83">
        <f t="shared" si="463"/>
        <v>0</v>
      </c>
      <c r="AO1309" s="22" t="str">
        <f t="shared" si="464"/>
        <v/>
      </c>
      <c r="AP1309" s="22" t="str">
        <f t="shared" si="465"/>
        <v/>
      </c>
    </row>
    <row r="1310" spans="1:42" x14ac:dyDescent="0.25">
      <c r="A1310" s="10"/>
      <c r="B1310" s="10"/>
      <c r="C1310" s="10"/>
      <c r="D1310" s="10"/>
      <c r="E1310" s="10"/>
      <c r="F1310" s="10"/>
      <c r="G1310" s="10"/>
      <c r="H1310" s="17"/>
      <c r="I1310" s="10"/>
      <c r="J1310" s="10"/>
      <c r="K1310" s="16" t="str">
        <f t="shared" si="444"/>
        <v/>
      </c>
      <c r="L1310" s="23" t="str">
        <f t="shared" si="445"/>
        <v/>
      </c>
      <c r="M1310" s="22" t="str">
        <f t="shared" si="446"/>
        <v/>
      </c>
      <c r="N1310" s="72"/>
      <c r="O1310" s="16" t="str">
        <f t="shared" si="447"/>
        <v/>
      </c>
      <c r="P1310" s="16" t="str">
        <f t="shared" si="448"/>
        <v/>
      </c>
      <c r="Q1310" s="16" t="str">
        <f t="shared" si="449"/>
        <v/>
      </c>
      <c r="R1310" s="23" t="str">
        <f t="shared" si="450"/>
        <v/>
      </c>
      <c r="S1310" s="23" t="str">
        <f t="shared" si="451"/>
        <v/>
      </c>
      <c r="T1310" s="23" t="str">
        <f t="shared" si="452"/>
        <v/>
      </c>
      <c r="U1310" s="23" t="str">
        <f t="shared" si="453"/>
        <v/>
      </c>
      <c r="V1310" s="23" t="str">
        <f t="shared" si="454"/>
        <v/>
      </c>
      <c r="W1310" s="70" t="str">
        <f t="shared" si="455"/>
        <v/>
      </c>
      <c r="X1310" s="70" t="str">
        <f t="shared" si="456"/>
        <v/>
      </c>
      <c r="Y1310" s="70" t="str">
        <f>IF(AND($A1310&lt;&gt;"",$E1310&gt;0),isLaptopBag($C1310,$J1310)*$D1310,"")</f>
        <v/>
      </c>
      <c r="Z1310" s="70" t="str">
        <f t="shared" si="457"/>
        <v/>
      </c>
      <c r="AA1310" s="70" t="str">
        <f t="shared" si="458"/>
        <v/>
      </c>
      <c r="AB1310" s="70" t="str">
        <f t="shared" si="459"/>
        <v/>
      </c>
      <c r="AC1310" s="70" t="str">
        <f t="shared" si="460"/>
        <v/>
      </c>
      <c r="AD1310" s="70" t="str">
        <f t="shared" si="461"/>
        <v/>
      </c>
      <c r="AE1310" s="70" t="str">
        <f t="shared" si="462"/>
        <v/>
      </c>
      <c r="AF1310" s="16"/>
      <c r="AG1310" s="23"/>
      <c r="AH1310" s="22"/>
      <c r="AJ1310" s="83">
        <f t="shared" si="463"/>
        <v>0</v>
      </c>
      <c r="AO1310" s="22" t="str">
        <f t="shared" si="464"/>
        <v/>
      </c>
      <c r="AP1310" s="22" t="str">
        <f t="shared" si="465"/>
        <v/>
      </c>
    </row>
    <row r="1311" spans="1:42" x14ac:dyDescent="0.25">
      <c r="A1311" s="10"/>
      <c r="B1311" s="10"/>
      <c r="C1311" s="10"/>
      <c r="D1311" s="10"/>
      <c r="E1311" s="10"/>
      <c r="F1311" s="10"/>
      <c r="G1311" s="10"/>
      <c r="H1311" s="17"/>
      <c r="I1311" s="10"/>
      <c r="J1311" s="10"/>
      <c r="K1311" s="16" t="str">
        <f t="shared" si="444"/>
        <v/>
      </c>
      <c r="L1311" s="23" t="str">
        <f t="shared" si="445"/>
        <v/>
      </c>
      <c r="M1311" s="22" t="str">
        <f t="shared" si="446"/>
        <v/>
      </c>
      <c r="N1311" s="72"/>
      <c r="O1311" s="16" t="str">
        <f t="shared" si="447"/>
        <v/>
      </c>
      <c r="P1311" s="16" t="str">
        <f t="shared" si="448"/>
        <v/>
      </c>
      <c r="Q1311" s="16" t="str">
        <f t="shared" si="449"/>
        <v/>
      </c>
      <c r="R1311" s="23" t="str">
        <f t="shared" si="450"/>
        <v/>
      </c>
      <c r="S1311" s="23" t="str">
        <f t="shared" si="451"/>
        <v/>
      </c>
      <c r="T1311" s="23" t="str">
        <f t="shared" si="452"/>
        <v/>
      </c>
      <c r="U1311" s="23" t="str">
        <f t="shared" si="453"/>
        <v/>
      </c>
      <c r="V1311" s="23" t="str">
        <f t="shared" si="454"/>
        <v/>
      </c>
      <c r="W1311" s="70" t="str">
        <f t="shared" si="455"/>
        <v/>
      </c>
      <c r="X1311" s="70" t="str">
        <f t="shared" si="456"/>
        <v/>
      </c>
      <c r="Y1311" s="70" t="str">
        <f>IF(AND($A1311&lt;&gt;"",$E1311&gt;0),isLaptopBag($C1311,$J1311)*$D1311,"")</f>
        <v/>
      </c>
      <c r="Z1311" s="70" t="str">
        <f t="shared" si="457"/>
        <v/>
      </c>
      <c r="AA1311" s="70" t="str">
        <f t="shared" si="458"/>
        <v/>
      </c>
      <c r="AB1311" s="70" t="str">
        <f t="shared" si="459"/>
        <v/>
      </c>
      <c r="AC1311" s="70" t="str">
        <f t="shared" si="460"/>
        <v/>
      </c>
      <c r="AD1311" s="70" t="str">
        <f t="shared" si="461"/>
        <v/>
      </c>
      <c r="AE1311" s="70" t="str">
        <f t="shared" si="462"/>
        <v/>
      </c>
      <c r="AF1311" s="16"/>
      <c r="AG1311" s="23"/>
      <c r="AH1311" s="22"/>
      <c r="AJ1311" s="83">
        <f t="shared" si="463"/>
        <v>0</v>
      </c>
      <c r="AO1311" s="22" t="str">
        <f t="shared" si="464"/>
        <v/>
      </c>
      <c r="AP1311" s="22" t="str">
        <f t="shared" si="465"/>
        <v/>
      </c>
    </row>
    <row r="1312" spans="1:42" x14ac:dyDescent="0.25">
      <c r="A1312" s="10"/>
      <c r="B1312" s="10"/>
      <c r="C1312" s="10"/>
      <c r="D1312" s="10"/>
      <c r="E1312" s="10"/>
      <c r="F1312" s="10"/>
      <c r="G1312" s="10"/>
      <c r="H1312" s="17"/>
      <c r="I1312" s="10"/>
      <c r="J1312" s="10"/>
      <c r="K1312" s="16" t="str">
        <f t="shared" si="444"/>
        <v/>
      </c>
      <c r="L1312" s="23" t="str">
        <f t="shared" si="445"/>
        <v/>
      </c>
      <c r="M1312" s="22" t="str">
        <f t="shared" si="446"/>
        <v/>
      </c>
      <c r="N1312" s="72"/>
      <c r="O1312" s="16" t="str">
        <f t="shared" si="447"/>
        <v/>
      </c>
      <c r="P1312" s="16" t="str">
        <f t="shared" si="448"/>
        <v/>
      </c>
      <c r="Q1312" s="16" t="str">
        <f t="shared" si="449"/>
        <v/>
      </c>
      <c r="R1312" s="23" t="str">
        <f t="shared" si="450"/>
        <v/>
      </c>
      <c r="S1312" s="23" t="str">
        <f t="shared" si="451"/>
        <v/>
      </c>
      <c r="T1312" s="23" t="str">
        <f t="shared" si="452"/>
        <v/>
      </c>
      <c r="U1312" s="23" t="str">
        <f t="shared" si="453"/>
        <v/>
      </c>
      <c r="V1312" s="23" t="str">
        <f t="shared" si="454"/>
        <v/>
      </c>
      <c r="W1312" s="70" t="str">
        <f t="shared" si="455"/>
        <v/>
      </c>
      <c r="X1312" s="70" t="str">
        <f t="shared" si="456"/>
        <v/>
      </c>
      <c r="Y1312" s="70" t="str">
        <f>IF(AND($A1312&lt;&gt;"",$E1312&gt;0),isLaptopBag($C1312,$J1312)*$D1312,"")</f>
        <v/>
      </c>
      <c r="Z1312" s="70" t="str">
        <f t="shared" si="457"/>
        <v/>
      </c>
      <c r="AA1312" s="70" t="str">
        <f t="shared" si="458"/>
        <v/>
      </c>
      <c r="AB1312" s="70" t="str">
        <f t="shared" si="459"/>
        <v/>
      </c>
      <c r="AC1312" s="70" t="str">
        <f t="shared" si="460"/>
        <v/>
      </c>
      <c r="AD1312" s="70" t="str">
        <f t="shared" si="461"/>
        <v/>
      </c>
      <c r="AE1312" s="70" t="str">
        <f t="shared" si="462"/>
        <v/>
      </c>
      <c r="AF1312" s="16"/>
      <c r="AG1312" s="23"/>
      <c r="AH1312" s="22"/>
      <c r="AJ1312" s="83">
        <f t="shared" si="463"/>
        <v>0</v>
      </c>
      <c r="AO1312" s="22" t="str">
        <f t="shared" si="464"/>
        <v/>
      </c>
      <c r="AP1312" s="22" t="str">
        <f t="shared" si="465"/>
        <v/>
      </c>
    </row>
    <row r="1313" spans="1:42" x14ac:dyDescent="0.25">
      <c r="A1313" s="10"/>
      <c r="B1313" s="10"/>
      <c r="C1313" s="10"/>
      <c r="D1313" s="10"/>
      <c r="E1313" s="10"/>
      <c r="F1313" s="10"/>
      <c r="G1313" s="10"/>
      <c r="H1313" s="17"/>
      <c r="I1313" s="10"/>
      <c r="J1313" s="10"/>
      <c r="K1313" s="16" t="str">
        <f t="shared" si="444"/>
        <v/>
      </c>
      <c r="L1313" s="23" t="str">
        <f t="shared" si="445"/>
        <v/>
      </c>
      <c r="M1313" s="22" t="str">
        <f t="shared" si="446"/>
        <v/>
      </c>
      <c r="N1313" s="72"/>
      <c r="O1313" s="16" t="str">
        <f t="shared" si="447"/>
        <v/>
      </c>
      <c r="P1313" s="16" t="str">
        <f t="shared" si="448"/>
        <v/>
      </c>
      <c r="Q1313" s="16" t="str">
        <f t="shared" si="449"/>
        <v/>
      </c>
      <c r="R1313" s="23" t="str">
        <f t="shared" si="450"/>
        <v/>
      </c>
      <c r="S1313" s="23" t="str">
        <f t="shared" si="451"/>
        <v/>
      </c>
      <c r="T1313" s="23" t="str">
        <f t="shared" si="452"/>
        <v/>
      </c>
      <c r="U1313" s="23" t="str">
        <f t="shared" si="453"/>
        <v/>
      </c>
      <c r="V1313" s="23" t="str">
        <f t="shared" si="454"/>
        <v/>
      </c>
      <c r="W1313" s="70" t="str">
        <f t="shared" si="455"/>
        <v/>
      </c>
      <c r="X1313" s="70" t="str">
        <f t="shared" si="456"/>
        <v/>
      </c>
      <c r="Y1313" s="70" t="str">
        <f>IF(AND($A1313&lt;&gt;"",$E1313&gt;0),isLaptopBag($C1313,$J1313)*$D1313,"")</f>
        <v/>
      </c>
      <c r="Z1313" s="70" t="str">
        <f t="shared" si="457"/>
        <v/>
      </c>
      <c r="AA1313" s="70" t="str">
        <f t="shared" si="458"/>
        <v/>
      </c>
      <c r="AB1313" s="70" t="str">
        <f t="shared" si="459"/>
        <v/>
      </c>
      <c r="AC1313" s="70" t="str">
        <f t="shared" si="460"/>
        <v/>
      </c>
      <c r="AD1313" s="70" t="str">
        <f t="shared" si="461"/>
        <v/>
      </c>
      <c r="AE1313" s="70" t="str">
        <f t="shared" si="462"/>
        <v/>
      </c>
      <c r="AF1313" s="16"/>
      <c r="AG1313" s="23"/>
      <c r="AH1313" s="22"/>
      <c r="AJ1313" s="83">
        <f t="shared" si="463"/>
        <v>0</v>
      </c>
      <c r="AO1313" s="22" t="str">
        <f t="shared" si="464"/>
        <v/>
      </c>
      <c r="AP1313" s="22" t="str">
        <f t="shared" si="465"/>
        <v/>
      </c>
    </row>
    <row r="1314" spans="1:42" x14ac:dyDescent="0.25">
      <c r="A1314" s="10"/>
      <c r="B1314" s="10"/>
      <c r="C1314" s="10"/>
      <c r="D1314" s="10"/>
      <c r="E1314" s="10"/>
      <c r="F1314" s="10"/>
      <c r="G1314" s="10"/>
      <c r="H1314" s="17"/>
      <c r="I1314" s="10"/>
      <c r="J1314" s="10"/>
      <c r="K1314" s="16" t="str">
        <f t="shared" si="444"/>
        <v/>
      </c>
      <c r="L1314" s="23" t="str">
        <f t="shared" si="445"/>
        <v/>
      </c>
      <c r="M1314" s="22" t="str">
        <f t="shared" si="446"/>
        <v/>
      </c>
      <c r="N1314" s="72"/>
      <c r="O1314" s="16" t="str">
        <f t="shared" si="447"/>
        <v/>
      </c>
      <c r="P1314" s="16" t="str">
        <f t="shared" si="448"/>
        <v/>
      </c>
      <c r="Q1314" s="16" t="str">
        <f t="shared" si="449"/>
        <v/>
      </c>
      <c r="R1314" s="23" t="str">
        <f t="shared" si="450"/>
        <v/>
      </c>
      <c r="S1314" s="23" t="str">
        <f t="shared" si="451"/>
        <v/>
      </c>
      <c r="T1314" s="23" t="str">
        <f t="shared" si="452"/>
        <v/>
      </c>
      <c r="U1314" s="23" t="str">
        <f t="shared" si="453"/>
        <v/>
      </c>
      <c r="V1314" s="23" t="str">
        <f t="shared" si="454"/>
        <v/>
      </c>
      <c r="W1314" s="70" t="str">
        <f t="shared" si="455"/>
        <v/>
      </c>
      <c r="X1314" s="70" t="str">
        <f t="shared" si="456"/>
        <v/>
      </c>
      <c r="Y1314" s="70" t="str">
        <f>IF(AND($A1314&lt;&gt;"",$E1314&gt;0),isLaptopBag($C1314,$J1314)*$D1314,"")</f>
        <v/>
      </c>
      <c r="Z1314" s="70" t="str">
        <f t="shared" si="457"/>
        <v/>
      </c>
      <c r="AA1314" s="70" t="str">
        <f t="shared" si="458"/>
        <v/>
      </c>
      <c r="AB1314" s="70" t="str">
        <f t="shared" si="459"/>
        <v/>
      </c>
      <c r="AC1314" s="70" t="str">
        <f t="shared" si="460"/>
        <v/>
      </c>
      <c r="AD1314" s="70" t="str">
        <f t="shared" si="461"/>
        <v/>
      </c>
      <c r="AE1314" s="70" t="str">
        <f t="shared" si="462"/>
        <v/>
      </c>
      <c r="AF1314" s="16"/>
      <c r="AG1314" s="23"/>
      <c r="AH1314" s="22"/>
      <c r="AJ1314" s="83">
        <f t="shared" si="463"/>
        <v>0</v>
      </c>
      <c r="AO1314" s="22" t="str">
        <f t="shared" si="464"/>
        <v/>
      </c>
      <c r="AP1314" s="22" t="str">
        <f t="shared" si="465"/>
        <v/>
      </c>
    </row>
    <row r="1315" spans="1:42" x14ac:dyDescent="0.25">
      <c r="A1315" s="10"/>
      <c r="B1315" s="10"/>
      <c r="C1315" s="10"/>
      <c r="D1315" s="10"/>
      <c r="E1315" s="10"/>
      <c r="F1315" s="10"/>
      <c r="G1315" s="10"/>
      <c r="H1315" s="17"/>
      <c r="I1315" s="10"/>
      <c r="J1315" s="10"/>
      <c r="K1315" s="16" t="str">
        <f t="shared" si="444"/>
        <v/>
      </c>
      <c r="L1315" s="23" t="str">
        <f t="shared" si="445"/>
        <v/>
      </c>
      <c r="M1315" s="22" t="str">
        <f t="shared" si="446"/>
        <v/>
      </c>
      <c r="N1315" s="72"/>
      <c r="O1315" s="16" t="str">
        <f t="shared" si="447"/>
        <v/>
      </c>
      <c r="P1315" s="16" t="str">
        <f t="shared" si="448"/>
        <v/>
      </c>
      <c r="Q1315" s="16" t="str">
        <f t="shared" si="449"/>
        <v/>
      </c>
      <c r="R1315" s="23" t="str">
        <f t="shared" si="450"/>
        <v/>
      </c>
      <c r="S1315" s="23" t="str">
        <f t="shared" si="451"/>
        <v/>
      </c>
      <c r="T1315" s="23" t="str">
        <f t="shared" si="452"/>
        <v/>
      </c>
      <c r="U1315" s="23" t="str">
        <f t="shared" si="453"/>
        <v/>
      </c>
      <c r="V1315" s="23" t="str">
        <f t="shared" si="454"/>
        <v/>
      </c>
      <c r="W1315" s="70" t="str">
        <f t="shared" si="455"/>
        <v/>
      </c>
      <c r="X1315" s="70" t="str">
        <f t="shared" si="456"/>
        <v/>
      </c>
      <c r="Y1315" s="70" t="str">
        <f>IF(AND($A1315&lt;&gt;"",$E1315&gt;0),isLaptopBag($C1315,$J1315)*$D1315,"")</f>
        <v/>
      </c>
      <c r="Z1315" s="70" t="str">
        <f t="shared" si="457"/>
        <v/>
      </c>
      <c r="AA1315" s="70" t="str">
        <f t="shared" si="458"/>
        <v/>
      </c>
      <c r="AB1315" s="70" t="str">
        <f t="shared" si="459"/>
        <v/>
      </c>
      <c r="AC1315" s="70" t="str">
        <f t="shared" si="460"/>
        <v/>
      </c>
      <c r="AD1315" s="70" t="str">
        <f t="shared" si="461"/>
        <v/>
      </c>
      <c r="AE1315" s="70" t="str">
        <f t="shared" si="462"/>
        <v/>
      </c>
      <c r="AF1315" s="16"/>
      <c r="AG1315" s="23"/>
      <c r="AH1315" s="22"/>
      <c r="AJ1315" s="83">
        <f t="shared" si="463"/>
        <v>0</v>
      </c>
      <c r="AO1315" s="22" t="str">
        <f t="shared" si="464"/>
        <v/>
      </c>
      <c r="AP1315" s="22" t="str">
        <f t="shared" si="465"/>
        <v/>
      </c>
    </row>
    <row r="1316" spans="1:42" x14ac:dyDescent="0.25">
      <c r="A1316" s="10"/>
      <c r="B1316" s="10"/>
      <c r="C1316" s="10"/>
      <c r="D1316" s="10"/>
      <c r="E1316" s="10"/>
      <c r="F1316" s="10"/>
      <c r="G1316" s="10"/>
      <c r="H1316" s="17"/>
      <c r="I1316" s="10"/>
      <c r="J1316" s="10"/>
      <c r="K1316" s="16" t="str">
        <f t="shared" si="444"/>
        <v/>
      </c>
      <c r="L1316" s="23" t="str">
        <f t="shared" si="445"/>
        <v/>
      </c>
      <c r="M1316" s="22" t="str">
        <f t="shared" si="446"/>
        <v/>
      </c>
      <c r="N1316" s="72"/>
      <c r="O1316" s="16" t="str">
        <f t="shared" si="447"/>
        <v/>
      </c>
      <c r="P1316" s="16" t="str">
        <f t="shared" si="448"/>
        <v/>
      </c>
      <c r="Q1316" s="16" t="str">
        <f t="shared" si="449"/>
        <v/>
      </c>
      <c r="R1316" s="23" t="str">
        <f t="shared" si="450"/>
        <v/>
      </c>
      <c r="S1316" s="23" t="str">
        <f t="shared" si="451"/>
        <v/>
      </c>
      <c r="T1316" s="23" t="str">
        <f t="shared" si="452"/>
        <v/>
      </c>
      <c r="U1316" s="23" t="str">
        <f t="shared" si="453"/>
        <v/>
      </c>
      <c r="V1316" s="23" t="str">
        <f t="shared" si="454"/>
        <v/>
      </c>
      <c r="W1316" s="70" t="str">
        <f t="shared" si="455"/>
        <v/>
      </c>
      <c r="X1316" s="70" t="str">
        <f t="shared" si="456"/>
        <v/>
      </c>
      <c r="Y1316" s="70" t="str">
        <f>IF(AND($A1316&lt;&gt;"",$E1316&gt;0),isLaptopBag($C1316,$J1316)*$D1316,"")</f>
        <v/>
      </c>
      <c r="Z1316" s="70" t="str">
        <f t="shared" si="457"/>
        <v/>
      </c>
      <c r="AA1316" s="70" t="str">
        <f t="shared" si="458"/>
        <v/>
      </c>
      <c r="AB1316" s="70" t="str">
        <f t="shared" si="459"/>
        <v/>
      </c>
      <c r="AC1316" s="70" t="str">
        <f t="shared" si="460"/>
        <v/>
      </c>
      <c r="AD1316" s="70" t="str">
        <f t="shared" si="461"/>
        <v/>
      </c>
      <c r="AE1316" s="70" t="str">
        <f t="shared" si="462"/>
        <v/>
      </c>
      <c r="AF1316" s="16"/>
      <c r="AG1316" s="23"/>
      <c r="AH1316" s="22"/>
      <c r="AJ1316" s="83">
        <f t="shared" si="463"/>
        <v>0</v>
      </c>
      <c r="AO1316" s="22" t="str">
        <f t="shared" si="464"/>
        <v/>
      </c>
      <c r="AP1316" s="22" t="str">
        <f t="shared" si="465"/>
        <v/>
      </c>
    </row>
    <row r="1317" spans="1:42" x14ac:dyDescent="0.25">
      <c r="A1317" s="10"/>
      <c r="B1317" s="10"/>
      <c r="C1317" s="10"/>
      <c r="D1317" s="10"/>
      <c r="E1317" s="10"/>
      <c r="F1317" s="10"/>
      <c r="G1317" s="10"/>
      <c r="H1317" s="17"/>
      <c r="I1317" s="10"/>
      <c r="J1317" s="10"/>
      <c r="K1317" s="16" t="str">
        <f t="shared" si="444"/>
        <v/>
      </c>
      <c r="L1317" s="23" t="str">
        <f t="shared" si="445"/>
        <v/>
      </c>
      <c r="M1317" s="22" t="str">
        <f t="shared" si="446"/>
        <v/>
      </c>
      <c r="N1317" s="72"/>
      <c r="O1317" s="16" t="str">
        <f t="shared" si="447"/>
        <v/>
      </c>
      <c r="P1317" s="16" t="str">
        <f t="shared" si="448"/>
        <v/>
      </c>
      <c r="Q1317" s="16" t="str">
        <f t="shared" si="449"/>
        <v/>
      </c>
      <c r="R1317" s="23" t="str">
        <f t="shared" si="450"/>
        <v/>
      </c>
      <c r="S1317" s="23" t="str">
        <f t="shared" si="451"/>
        <v/>
      </c>
      <c r="T1317" s="23" t="str">
        <f t="shared" si="452"/>
        <v/>
      </c>
      <c r="U1317" s="23" t="str">
        <f t="shared" si="453"/>
        <v/>
      </c>
      <c r="V1317" s="23" t="str">
        <f t="shared" si="454"/>
        <v/>
      </c>
      <c r="W1317" s="70" t="str">
        <f t="shared" si="455"/>
        <v/>
      </c>
      <c r="X1317" s="70" t="str">
        <f t="shared" si="456"/>
        <v/>
      </c>
      <c r="Y1317" s="70" t="str">
        <f>IF(AND($A1317&lt;&gt;"",$E1317&gt;0),isLaptopBag($C1317,$J1317)*$D1317,"")</f>
        <v/>
      </c>
      <c r="Z1317" s="70" t="str">
        <f t="shared" si="457"/>
        <v/>
      </c>
      <c r="AA1317" s="70" t="str">
        <f t="shared" si="458"/>
        <v/>
      </c>
      <c r="AB1317" s="70" t="str">
        <f t="shared" si="459"/>
        <v/>
      </c>
      <c r="AC1317" s="70" t="str">
        <f t="shared" si="460"/>
        <v/>
      </c>
      <c r="AD1317" s="70" t="str">
        <f t="shared" si="461"/>
        <v/>
      </c>
      <c r="AE1317" s="70" t="str">
        <f t="shared" si="462"/>
        <v/>
      </c>
      <c r="AF1317" s="16"/>
      <c r="AG1317" s="23"/>
      <c r="AH1317" s="22"/>
      <c r="AJ1317" s="83">
        <f t="shared" si="463"/>
        <v>0</v>
      </c>
      <c r="AO1317" s="22" t="str">
        <f t="shared" si="464"/>
        <v/>
      </c>
      <c r="AP1317" s="22" t="str">
        <f t="shared" si="465"/>
        <v/>
      </c>
    </row>
    <row r="1318" spans="1:42" x14ac:dyDescent="0.25">
      <c r="A1318" s="10"/>
      <c r="B1318" s="10"/>
      <c r="C1318" s="10"/>
      <c r="D1318" s="10"/>
      <c r="E1318" s="10"/>
      <c r="F1318" s="10"/>
      <c r="G1318" s="10"/>
      <c r="H1318" s="17"/>
      <c r="I1318" s="10"/>
      <c r="J1318" s="10"/>
      <c r="K1318" s="16" t="str">
        <f t="shared" si="444"/>
        <v/>
      </c>
      <c r="L1318" s="23" t="str">
        <f t="shared" si="445"/>
        <v/>
      </c>
      <c r="M1318" s="22" t="str">
        <f t="shared" si="446"/>
        <v/>
      </c>
      <c r="N1318" s="72"/>
      <c r="O1318" s="16" t="str">
        <f t="shared" si="447"/>
        <v/>
      </c>
      <c r="P1318" s="16" t="str">
        <f t="shared" si="448"/>
        <v/>
      </c>
      <c r="Q1318" s="16" t="str">
        <f t="shared" si="449"/>
        <v/>
      </c>
      <c r="R1318" s="23" t="str">
        <f t="shared" si="450"/>
        <v/>
      </c>
      <c r="S1318" s="23" t="str">
        <f t="shared" si="451"/>
        <v/>
      </c>
      <c r="T1318" s="23" t="str">
        <f t="shared" si="452"/>
        <v/>
      </c>
      <c r="U1318" s="23" t="str">
        <f t="shared" si="453"/>
        <v/>
      </c>
      <c r="V1318" s="23" t="str">
        <f t="shared" si="454"/>
        <v/>
      </c>
      <c r="W1318" s="70" t="str">
        <f t="shared" si="455"/>
        <v/>
      </c>
      <c r="X1318" s="70" t="str">
        <f t="shared" si="456"/>
        <v/>
      </c>
      <c r="Y1318" s="70" t="str">
        <f>IF(AND($A1318&lt;&gt;"",$E1318&gt;0),isLaptopBag($C1318,$J1318)*$D1318,"")</f>
        <v/>
      </c>
      <c r="Z1318" s="70" t="str">
        <f t="shared" si="457"/>
        <v/>
      </c>
      <c r="AA1318" s="70" t="str">
        <f t="shared" si="458"/>
        <v/>
      </c>
      <c r="AB1318" s="70" t="str">
        <f t="shared" si="459"/>
        <v/>
      </c>
      <c r="AC1318" s="70" t="str">
        <f t="shared" si="460"/>
        <v/>
      </c>
      <c r="AD1318" s="70" t="str">
        <f t="shared" si="461"/>
        <v/>
      </c>
      <c r="AE1318" s="70" t="str">
        <f t="shared" si="462"/>
        <v/>
      </c>
      <c r="AF1318" s="16"/>
      <c r="AG1318" s="23"/>
      <c r="AH1318" s="22"/>
      <c r="AJ1318" s="83">
        <f t="shared" si="463"/>
        <v>0</v>
      </c>
      <c r="AO1318" s="22" t="str">
        <f t="shared" si="464"/>
        <v/>
      </c>
      <c r="AP1318" s="22" t="str">
        <f t="shared" si="465"/>
        <v/>
      </c>
    </row>
    <row r="1319" spans="1:42" x14ac:dyDescent="0.25">
      <c r="A1319" s="10"/>
      <c r="B1319" s="10"/>
      <c r="C1319" s="10"/>
      <c r="D1319" s="10"/>
      <c r="E1319" s="10"/>
      <c r="F1319" s="10"/>
      <c r="G1319" s="10"/>
      <c r="H1319" s="17"/>
      <c r="I1319" s="10"/>
      <c r="J1319" s="10"/>
      <c r="K1319" s="16" t="str">
        <f t="shared" si="444"/>
        <v/>
      </c>
      <c r="L1319" s="23" t="str">
        <f t="shared" si="445"/>
        <v/>
      </c>
      <c r="M1319" s="22" t="str">
        <f t="shared" si="446"/>
        <v/>
      </c>
      <c r="N1319" s="72"/>
      <c r="O1319" s="16" t="str">
        <f t="shared" si="447"/>
        <v/>
      </c>
      <c r="P1319" s="16" t="str">
        <f t="shared" si="448"/>
        <v/>
      </c>
      <c r="Q1319" s="16" t="str">
        <f t="shared" si="449"/>
        <v/>
      </c>
      <c r="R1319" s="23" t="str">
        <f t="shared" si="450"/>
        <v/>
      </c>
      <c r="S1319" s="23" t="str">
        <f t="shared" si="451"/>
        <v/>
      </c>
      <c r="T1319" s="23" t="str">
        <f t="shared" si="452"/>
        <v/>
      </c>
      <c r="U1319" s="23" t="str">
        <f t="shared" si="453"/>
        <v/>
      </c>
      <c r="V1319" s="23" t="str">
        <f t="shared" si="454"/>
        <v/>
      </c>
      <c r="W1319" s="70" t="str">
        <f t="shared" si="455"/>
        <v/>
      </c>
      <c r="X1319" s="70" t="str">
        <f t="shared" si="456"/>
        <v/>
      </c>
      <c r="Y1319" s="70" t="str">
        <f>IF(AND($A1319&lt;&gt;"",$E1319&gt;0),isLaptopBag($C1319,$J1319)*$D1319,"")</f>
        <v/>
      </c>
      <c r="Z1319" s="70" t="str">
        <f t="shared" si="457"/>
        <v/>
      </c>
      <c r="AA1319" s="70" t="str">
        <f t="shared" si="458"/>
        <v/>
      </c>
      <c r="AB1319" s="70" t="str">
        <f t="shared" si="459"/>
        <v/>
      </c>
      <c r="AC1319" s="70" t="str">
        <f t="shared" si="460"/>
        <v/>
      </c>
      <c r="AD1319" s="70" t="str">
        <f t="shared" si="461"/>
        <v/>
      </c>
      <c r="AE1319" s="70" t="str">
        <f t="shared" si="462"/>
        <v/>
      </c>
      <c r="AF1319" s="16"/>
      <c r="AG1319" s="23"/>
      <c r="AH1319" s="22"/>
      <c r="AJ1319" s="83">
        <f t="shared" si="463"/>
        <v>0</v>
      </c>
      <c r="AO1319" s="22" t="str">
        <f t="shared" si="464"/>
        <v/>
      </c>
      <c r="AP1319" s="22" t="str">
        <f t="shared" si="465"/>
        <v/>
      </c>
    </row>
    <row r="1320" spans="1:42" x14ac:dyDescent="0.25">
      <c r="A1320" s="10"/>
      <c r="B1320" s="10"/>
      <c r="C1320" s="10"/>
      <c r="D1320" s="10"/>
      <c r="E1320" s="10"/>
      <c r="F1320" s="10"/>
      <c r="G1320" s="10"/>
      <c r="H1320" s="17"/>
      <c r="I1320" s="10"/>
      <c r="J1320" s="10"/>
      <c r="K1320" s="16" t="str">
        <f t="shared" si="444"/>
        <v/>
      </c>
      <c r="L1320" s="23" t="str">
        <f t="shared" si="445"/>
        <v/>
      </c>
      <c r="M1320" s="22" t="str">
        <f t="shared" si="446"/>
        <v/>
      </c>
      <c r="N1320" s="72"/>
      <c r="O1320" s="16" t="str">
        <f t="shared" si="447"/>
        <v/>
      </c>
      <c r="P1320" s="16" t="str">
        <f t="shared" si="448"/>
        <v/>
      </c>
      <c r="Q1320" s="16" t="str">
        <f t="shared" si="449"/>
        <v/>
      </c>
      <c r="R1320" s="23" t="str">
        <f t="shared" si="450"/>
        <v/>
      </c>
      <c r="S1320" s="23" t="str">
        <f t="shared" si="451"/>
        <v/>
      </c>
      <c r="T1320" s="23" t="str">
        <f t="shared" si="452"/>
        <v/>
      </c>
      <c r="U1320" s="23" t="str">
        <f t="shared" si="453"/>
        <v/>
      </c>
      <c r="V1320" s="23" t="str">
        <f t="shared" si="454"/>
        <v/>
      </c>
      <c r="W1320" s="70" t="str">
        <f t="shared" si="455"/>
        <v/>
      </c>
      <c r="X1320" s="70" t="str">
        <f t="shared" si="456"/>
        <v/>
      </c>
      <c r="Y1320" s="70" t="str">
        <f>IF(AND($A1320&lt;&gt;"",$E1320&gt;0),isLaptopBag($C1320,$J1320)*$D1320,"")</f>
        <v/>
      </c>
      <c r="Z1320" s="70" t="str">
        <f t="shared" si="457"/>
        <v/>
      </c>
      <c r="AA1320" s="70" t="str">
        <f t="shared" si="458"/>
        <v/>
      </c>
      <c r="AB1320" s="70" t="str">
        <f t="shared" si="459"/>
        <v/>
      </c>
      <c r="AC1320" s="70" t="str">
        <f t="shared" si="460"/>
        <v/>
      </c>
      <c r="AD1320" s="70" t="str">
        <f t="shared" si="461"/>
        <v/>
      </c>
      <c r="AE1320" s="70" t="str">
        <f t="shared" si="462"/>
        <v/>
      </c>
      <c r="AF1320" s="16"/>
      <c r="AG1320" s="23"/>
      <c r="AH1320" s="22"/>
      <c r="AJ1320" s="83">
        <f t="shared" si="463"/>
        <v>0</v>
      </c>
      <c r="AO1320" s="22" t="str">
        <f t="shared" si="464"/>
        <v/>
      </c>
      <c r="AP1320" s="22" t="str">
        <f t="shared" si="465"/>
        <v/>
      </c>
    </row>
    <row r="1321" spans="1:42" x14ac:dyDescent="0.25">
      <c r="A1321" s="10"/>
      <c r="B1321" s="10"/>
      <c r="C1321" s="10"/>
      <c r="D1321" s="10"/>
      <c r="E1321" s="10"/>
      <c r="F1321" s="10"/>
      <c r="G1321" s="10"/>
      <c r="H1321" s="17"/>
      <c r="I1321" s="10"/>
      <c r="J1321" s="10"/>
      <c r="K1321" s="16" t="str">
        <f t="shared" si="444"/>
        <v/>
      </c>
      <c r="L1321" s="23" t="str">
        <f t="shared" si="445"/>
        <v/>
      </c>
      <c r="M1321" s="22" t="str">
        <f t="shared" si="446"/>
        <v/>
      </c>
      <c r="N1321" s="72"/>
      <c r="O1321" s="16" t="str">
        <f t="shared" si="447"/>
        <v/>
      </c>
      <c r="P1321" s="16" t="str">
        <f t="shared" si="448"/>
        <v/>
      </c>
      <c r="Q1321" s="16" t="str">
        <f t="shared" si="449"/>
        <v/>
      </c>
      <c r="R1321" s="23" t="str">
        <f t="shared" si="450"/>
        <v/>
      </c>
      <c r="S1321" s="23" t="str">
        <f t="shared" si="451"/>
        <v/>
      </c>
      <c r="T1321" s="23" t="str">
        <f t="shared" si="452"/>
        <v/>
      </c>
      <c r="U1321" s="23" t="str">
        <f t="shared" si="453"/>
        <v/>
      </c>
      <c r="V1321" s="23" t="str">
        <f t="shared" si="454"/>
        <v/>
      </c>
      <c r="W1321" s="70" t="str">
        <f t="shared" si="455"/>
        <v/>
      </c>
      <c r="X1321" s="70" t="str">
        <f t="shared" si="456"/>
        <v/>
      </c>
      <c r="Y1321" s="70" t="str">
        <f>IF(AND($A1321&lt;&gt;"",$E1321&gt;0),isLaptopBag($C1321,$J1321)*$D1321,"")</f>
        <v/>
      </c>
      <c r="Z1321" s="70" t="str">
        <f t="shared" si="457"/>
        <v/>
      </c>
      <c r="AA1321" s="70" t="str">
        <f t="shared" si="458"/>
        <v/>
      </c>
      <c r="AB1321" s="70" t="str">
        <f t="shared" si="459"/>
        <v/>
      </c>
      <c r="AC1321" s="70" t="str">
        <f t="shared" si="460"/>
        <v/>
      </c>
      <c r="AD1321" s="70" t="str">
        <f t="shared" si="461"/>
        <v/>
      </c>
      <c r="AE1321" s="70" t="str">
        <f t="shared" si="462"/>
        <v/>
      </c>
      <c r="AF1321" s="16"/>
      <c r="AG1321" s="23"/>
      <c r="AH1321" s="22"/>
      <c r="AJ1321" s="83">
        <f t="shared" si="463"/>
        <v>0</v>
      </c>
      <c r="AO1321" s="22" t="str">
        <f t="shared" si="464"/>
        <v/>
      </c>
      <c r="AP1321" s="22" t="str">
        <f t="shared" si="465"/>
        <v/>
      </c>
    </row>
    <row r="1322" spans="1:42" x14ac:dyDescent="0.25">
      <c r="A1322" s="10"/>
      <c r="B1322" s="10"/>
      <c r="C1322" s="10"/>
      <c r="D1322" s="10"/>
      <c r="E1322" s="10"/>
      <c r="F1322" s="10"/>
      <c r="G1322" s="10"/>
      <c r="H1322" s="17"/>
      <c r="I1322" s="10"/>
      <c r="J1322" s="10"/>
      <c r="K1322" s="16" t="str">
        <f t="shared" si="444"/>
        <v/>
      </c>
      <c r="L1322" s="23" t="str">
        <f t="shared" si="445"/>
        <v/>
      </c>
      <c r="M1322" s="22" t="str">
        <f t="shared" si="446"/>
        <v/>
      </c>
      <c r="N1322" s="72"/>
      <c r="O1322" s="16" t="str">
        <f t="shared" si="447"/>
        <v/>
      </c>
      <c r="P1322" s="16" t="str">
        <f t="shared" si="448"/>
        <v/>
      </c>
      <c r="Q1322" s="16" t="str">
        <f t="shared" si="449"/>
        <v/>
      </c>
      <c r="R1322" s="23" t="str">
        <f t="shared" si="450"/>
        <v/>
      </c>
      <c r="S1322" s="23" t="str">
        <f t="shared" si="451"/>
        <v/>
      </c>
      <c r="T1322" s="23" t="str">
        <f t="shared" si="452"/>
        <v/>
      </c>
      <c r="U1322" s="23" t="str">
        <f t="shared" si="453"/>
        <v/>
      </c>
      <c r="V1322" s="23" t="str">
        <f t="shared" si="454"/>
        <v/>
      </c>
      <c r="W1322" s="70" t="str">
        <f t="shared" si="455"/>
        <v/>
      </c>
      <c r="X1322" s="70" t="str">
        <f t="shared" si="456"/>
        <v/>
      </c>
      <c r="Y1322" s="70" t="str">
        <f>IF(AND($A1322&lt;&gt;"",$E1322&gt;0),isLaptopBag($C1322,$J1322)*$D1322,"")</f>
        <v/>
      </c>
      <c r="Z1322" s="70" t="str">
        <f t="shared" si="457"/>
        <v/>
      </c>
      <c r="AA1322" s="70" t="str">
        <f t="shared" si="458"/>
        <v/>
      </c>
      <c r="AB1322" s="70" t="str">
        <f t="shared" si="459"/>
        <v/>
      </c>
      <c r="AC1322" s="70" t="str">
        <f t="shared" si="460"/>
        <v/>
      </c>
      <c r="AD1322" s="70" t="str">
        <f t="shared" si="461"/>
        <v/>
      </c>
      <c r="AE1322" s="70" t="str">
        <f t="shared" si="462"/>
        <v/>
      </c>
      <c r="AF1322" s="16"/>
      <c r="AG1322" s="23"/>
      <c r="AH1322" s="22"/>
      <c r="AJ1322" s="83">
        <f t="shared" si="463"/>
        <v>0</v>
      </c>
      <c r="AO1322" s="22" t="str">
        <f t="shared" si="464"/>
        <v/>
      </c>
      <c r="AP1322" s="22" t="str">
        <f t="shared" si="465"/>
        <v/>
      </c>
    </row>
    <row r="1323" spans="1:42" x14ac:dyDescent="0.25">
      <c r="A1323" s="10"/>
      <c r="B1323" s="10"/>
      <c r="C1323" s="10"/>
      <c r="D1323" s="10"/>
      <c r="E1323" s="10"/>
      <c r="F1323" s="10"/>
      <c r="G1323" s="10"/>
      <c r="H1323" s="17"/>
      <c r="I1323" s="10"/>
      <c r="J1323" s="10"/>
      <c r="K1323" s="16" t="str">
        <f t="shared" si="444"/>
        <v/>
      </c>
      <c r="L1323" s="23" t="str">
        <f t="shared" si="445"/>
        <v/>
      </c>
      <c r="M1323" s="22" t="str">
        <f t="shared" si="446"/>
        <v/>
      </c>
      <c r="N1323" s="72"/>
      <c r="O1323" s="16" t="str">
        <f t="shared" si="447"/>
        <v/>
      </c>
      <c r="P1323" s="16" t="str">
        <f t="shared" si="448"/>
        <v/>
      </c>
      <c r="Q1323" s="16" t="str">
        <f t="shared" si="449"/>
        <v/>
      </c>
      <c r="R1323" s="23" t="str">
        <f t="shared" si="450"/>
        <v/>
      </c>
      <c r="S1323" s="23" t="str">
        <f t="shared" si="451"/>
        <v/>
      </c>
      <c r="T1323" s="23" t="str">
        <f t="shared" si="452"/>
        <v/>
      </c>
      <c r="U1323" s="23" t="str">
        <f t="shared" si="453"/>
        <v/>
      </c>
      <c r="V1323" s="23" t="str">
        <f t="shared" si="454"/>
        <v/>
      </c>
      <c r="W1323" s="70" t="str">
        <f t="shared" si="455"/>
        <v/>
      </c>
      <c r="X1323" s="70" t="str">
        <f t="shared" si="456"/>
        <v/>
      </c>
      <c r="Y1323" s="70" t="str">
        <f>IF(AND($A1323&lt;&gt;"",$E1323&gt;0),isLaptopBag($C1323,$J1323)*$D1323,"")</f>
        <v/>
      </c>
      <c r="Z1323" s="70" t="str">
        <f t="shared" si="457"/>
        <v/>
      </c>
      <c r="AA1323" s="70" t="str">
        <f t="shared" si="458"/>
        <v/>
      </c>
      <c r="AB1323" s="70" t="str">
        <f t="shared" si="459"/>
        <v/>
      </c>
      <c r="AC1323" s="70" t="str">
        <f t="shared" si="460"/>
        <v/>
      </c>
      <c r="AD1323" s="70" t="str">
        <f t="shared" si="461"/>
        <v/>
      </c>
      <c r="AE1323" s="70" t="str">
        <f t="shared" si="462"/>
        <v/>
      </c>
      <c r="AF1323" s="16"/>
      <c r="AG1323" s="23"/>
      <c r="AH1323" s="22"/>
      <c r="AJ1323" s="83">
        <f t="shared" si="463"/>
        <v>0</v>
      </c>
      <c r="AO1323" s="22" t="str">
        <f t="shared" si="464"/>
        <v/>
      </c>
      <c r="AP1323" s="22" t="str">
        <f t="shared" si="465"/>
        <v/>
      </c>
    </row>
    <row r="1324" spans="1:42" x14ac:dyDescent="0.25">
      <c r="A1324" s="10"/>
      <c r="B1324" s="10"/>
      <c r="C1324" s="10"/>
      <c r="D1324" s="10"/>
      <c r="E1324" s="10"/>
      <c r="F1324" s="10"/>
      <c r="G1324" s="10"/>
      <c r="H1324" s="17"/>
      <c r="I1324" s="10"/>
      <c r="J1324" s="10"/>
      <c r="K1324" s="16" t="str">
        <f t="shared" si="444"/>
        <v/>
      </c>
      <c r="L1324" s="23" t="str">
        <f t="shared" si="445"/>
        <v/>
      </c>
      <c r="M1324" s="22" t="str">
        <f t="shared" si="446"/>
        <v/>
      </c>
      <c r="N1324" s="72"/>
      <c r="O1324" s="16" t="str">
        <f t="shared" si="447"/>
        <v/>
      </c>
      <c r="P1324" s="16" t="str">
        <f t="shared" si="448"/>
        <v/>
      </c>
      <c r="Q1324" s="16" t="str">
        <f t="shared" si="449"/>
        <v/>
      </c>
      <c r="R1324" s="23" t="str">
        <f t="shared" si="450"/>
        <v/>
      </c>
      <c r="S1324" s="23" t="str">
        <f t="shared" si="451"/>
        <v/>
      </c>
      <c r="T1324" s="23" t="str">
        <f t="shared" si="452"/>
        <v/>
      </c>
      <c r="U1324" s="23" t="str">
        <f t="shared" si="453"/>
        <v/>
      </c>
      <c r="V1324" s="23" t="str">
        <f t="shared" si="454"/>
        <v/>
      </c>
      <c r="W1324" s="70" t="str">
        <f t="shared" si="455"/>
        <v/>
      </c>
      <c r="X1324" s="70" t="str">
        <f t="shared" si="456"/>
        <v/>
      </c>
      <c r="Y1324" s="70" t="str">
        <f>IF(AND($A1324&lt;&gt;"",$E1324&gt;0),isLaptopBag($C1324,$J1324)*$D1324,"")</f>
        <v/>
      </c>
      <c r="Z1324" s="70" t="str">
        <f t="shared" si="457"/>
        <v/>
      </c>
      <c r="AA1324" s="70" t="str">
        <f t="shared" si="458"/>
        <v/>
      </c>
      <c r="AB1324" s="70" t="str">
        <f t="shared" si="459"/>
        <v/>
      </c>
      <c r="AC1324" s="70" t="str">
        <f t="shared" si="460"/>
        <v/>
      </c>
      <c r="AD1324" s="70" t="str">
        <f t="shared" si="461"/>
        <v/>
      </c>
      <c r="AE1324" s="70" t="str">
        <f t="shared" si="462"/>
        <v/>
      </c>
      <c r="AF1324" s="16"/>
      <c r="AG1324" s="23"/>
      <c r="AH1324" s="22"/>
      <c r="AJ1324" s="83">
        <f t="shared" si="463"/>
        <v>0</v>
      </c>
      <c r="AO1324" s="22" t="str">
        <f t="shared" si="464"/>
        <v/>
      </c>
      <c r="AP1324" s="22" t="str">
        <f t="shared" si="465"/>
        <v/>
      </c>
    </row>
    <row r="1325" spans="1:42" x14ac:dyDescent="0.25">
      <c r="A1325" s="10"/>
      <c r="B1325" s="10"/>
      <c r="C1325" s="10"/>
      <c r="D1325" s="10"/>
      <c r="E1325" s="10"/>
      <c r="F1325" s="10"/>
      <c r="G1325" s="10"/>
      <c r="H1325" s="17"/>
      <c r="I1325" s="10"/>
      <c r="J1325" s="10"/>
      <c r="K1325" s="16" t="str">
        <f t="shared" si="444"/>
        <v/>
      </c>
      <c r="L1325" s="23" t="str">
        <f t="shared" si="445"/>
        <v/>
      </c>
      <c r="M1325" s="22" t="str">
        <f t="shared" si="446"/>
        <v/>
      </c>
      <c r="N1325" s="72"/>
      <c r="O1325" s="16" t="str">
        <f t="shared" si="447"/>
        <v/>
      </c>
      <c r="P1325" s="16" t="str">
        <f t="shared" si="448"/>
        <v/>
      </c>
      <c r="Q1325" s="16" t="str">
        <f t="shared" si="449"/>
        <v/>
      </c>
      <c r="R1325" s="23" t="str">
        <f t="shared" si="450"/>
        <v/>
      </c>
      <c r="S1325" s="23" t="str">
        <f t="shared" si="451"/>
        <v/>
      </c>
      <c r="T1325" s="23" t="str">
        <f t="shared" si="452"/>
        <v/>
      </c>
      <c r="U1325" s="23" t="str">
        <f t="shared" si="453"/>
        <v/>
      </c>
      <c r="V1325" s="23" t="str">
        <f t="shared" si="454"/>
        <v/>
      </c>
      <c r="W1325" s="70" t="str">
        <f t="shared" si="455"/>
        <v/>
      </c>
      <c r="X1325" s="70" t="str">
        <f t="shared" si="456"/>
        <v/>
      </c>
      <c r="Y1325" s="70" t="str">
        <f>IF(AND($A1325&lt;&gt;"",$E1325&gt;0),isLaptopBag($C1325,$J1325)*$D1325,"")</f>
        <v/>
      </c>
      <c r="Z1325" s="70" t="str">
        <f t="shared" si="457"/>
        <v/>
      </c>
      <c r="AA1325" s="70" t="str">
        <f t="shared" si="458"/>
        <v/>
      </c>
      <c r="AB1325" s="70" t="str">
        <f t="shared" si="459"/>
        <v/>
      </c>
      <c r="AC1325" s="70" t="str">
        <f t="shared" si="460"/>
        <v/>
      </c>
      <c r="AD1325" s="70" t="str">
        <f t="shared" si="461"/>
        <v/>
      </c>
      <c r="AE1325" s="70" t="str">
        <f t="shared" si="462"/>
        <v/>
      </c>
      <c r="AF1325" s="16"/>
      <c r="AG1325" s="23"/>
      <c r="AH1325" s="22"/>
      <c r="AJ1325" s="83">
        <f t="shared" si="463"/>
        <v>0</v>
      </c>
      <c r="AO1325" s="22" t="str">
        <f t="shared" si="464"/>
        <v/>
      </c>
      <c r="AP1325" s="22" t="str">
        <f t="shared" si="465"/>
        <v/>
      </c>
    </row>
    <row r="1326" spans="1:42" x14ac:dyDescent="0.25">
      <c r="A1326" s="10"/>
      <c r="B1326" s="10"/>
      <c r="C1326" s="10"/>
      <c r="D1326" s="10"/>
      <c r="E1326" s="10"/>
      <c r="F1326" s="10"/>
      <c r="G1326" s="10"/>
      <c r="H1326" s="17"/>
      <c r="I1326" s="10"/>
      <c r="J1326" s="10"/>
      <c r="K1326" s="16" t="str">
        <f t="shared" si="444"/>
        <v/>
      </c>
      <c r="L1326" s="23" t="str">
        <f t="shared" si="445"/>
        <v/>
      </c>
      <c r="M1326" s="22" t="str">
        <f t="shared" si="446"/>
        <v/>
      </c>
      <c r="N1326" s="72"/>
      <c r="O1326" s="16" t="str">
        <f t="shared" si="447"/>
        <v/>
      </c>
      <c r="P1326" s="16" t="str">
        <f t="shared" si="448"/>
        <v/>
      </c>
      <c r="Q1326" s="16" t="str">
        <f t="shared" si="449"/>
        <v/>
      </c>
      <c r="R1326" s="23" t="str">
        <f t="shared" si="450"/>
        <v/>
      </c>
      <c r="S1326" s="23" t="str">
        <f t="shared" si="451"/>
        <v/>
      </c>
      <c r="T1326" s="23" t="str">
        <f t="shared" si="452"/>
        <v/>
      </c>
      <c r="U1326" s="23" t="str">
        <f t="shared" si="453"/>
        <v/>
      </c>
      <c r="V1326" s="23" t="str">
        <f t="shared" si="454"/>
        <v/>
      </c>
      <c r="W1326" s="70" t="str">
        <f t="shared" si="455"/>
        <v/>
      </c>
      <c r="X1326" s="70" t="str">
        <f t="shared" si="456"/>
        <v/>
      </c>
      <c r="Y1326" s="70" t="str">
        <f>IF(AND($A1326&lt;&gt;"",$E1326&gt;0),isLaptopBag($C1326,$J1326)*$D1326,"")</f>
        <v/>
      </c>
      <c r="Z1326" s="70" t="str">
        <f t="shared" si="457"/>
        <v/>
      </c>
      <c r="AA1326" s="70" t="str">
        <f t="shared" si="458"/>
        <v/>
      </c>
      <c r="AB1326" s="70" t="str">
        <f t="shared" si="459"/>
        <v/>
      </c>
      <c r="AC1326" s="70" t="str">
        <f t="shared" si="460"/>
        <v/>
      </c>
      <c r="AD1326" s="70" t="str">
        <f t="shared" si="461"/>
        <v/>
      </c>
      <c r="AE1326" s="70" t="str">
        <f t="shared" si="462"/>
        <v/>
      </c>
      <c r="AF1326" s="16"/>
      <c r="AG1326" s="23"/>
      <c r="AH1326" s="22"/>
      <c r="AJ1326" s="83">
        <f t="shared" si="463"/>
        <v>0</v>
      </c>
      <c r="AO1326" s="22" t="str">
        <f t="shared" si="464"/>
        <v/>
      </c>
      <c r="AP1326" s="22" t="str">
        <f t="shared" si="465"/>
        <v/>
      </c>
    </row>
    <row r="1327" spans="1:42" x14ac:dyDescent="0.25">
      <c r="A1327" s="10"/>
      <c r="B1327" s="10"/>
      <c r="C1327" s="10"/>
      <c r="D1327" s="10"/>
      <c r="E1327" s="10"/>
      <c r="F1327" s="10"/>
      <c r="G1327" s="10"/>
      <c r="H1327" s="17"/>
      <c r="I1327" s="10"/>
      <c r="J1327" s="10"/>
      <c r="K1327" s="16" t="str">
        <f t="shared" si="444"/>
        <v/>
      </c>
      <c r="L1327" s="23" t="str">
        <f t="shared" si="445"/>
        <v/>
      </c>
      <c r="M1327" s="22" t="str">
        <f t="shared" si="446"/>
        <v/>
      </c>
      <c r="N1327" s="72"/>
      <c r="O1327" s="16" t="str">
        <f t="shared" si="447"/>
        <v/>
      </c>
      <c r="P1327" s="16" t="str">
        <f t="shared" si="448"/>
        <v/>
      </c>
      <c r="Q1327" s="16" t="str">
        <f t="shared" si="449"/>
        <v/>
      </c>
      <c r="R1327" s="23" t="str">
        <f t="shared" si="450"/>
        <v/>
      </c>
      <c r="S1327" s="23" t="str">
        <f t="shared" si="451"/>
        <v/>
      </c>
      <c r="T1327" s="23" t="str">
        <f t="shared" si="452"/>
        <v/>
      </c>
      <c r="U1327" s="23" t="str">
        <f t="shared" si="453"/>
        <v/>
      </c>
      <c r="V1327" s="23" t="str">
        <f t="shared" si="454"/>
        <v/>
      </c>
      <c r="W1327" s="70" t="str">
        <f t="shared" si="455"/>
        <v/>
      </c>
      <c r="X1327" s="70" t="str">
        <f t="shared" si="456"/>
        <v/>
      </c>
      <c r="Y1327" s="70" t="str">
        <f>IF(AND($A1327&lt;&gt;"",$E1327&gt;0),isLaptopBag($C1327,$J1327)*$D1327,"")</f>
        <v/>
      </c>
      <c r="Z1327" s="70" t="str">
        <f t="shared" si="457"/>
        <v/>
      </c>
      <c r="AA1327" s="70" t="str">
        <f t="shared" si="458"/>
        <v/>
      </c>
      <c r="AB1327" s="70" t="str">
        <f t="shared" si="459"/>
        <v/>
      </c>
      <c r="AC1327" s="70" t="str">
        <f t="shared" si="460"/>
        <v/>
      </c>
      <c r="AD1327" s="70" t="str">
        <f t="shared" si="461"/>
        <v/>
      </c>
      <c r="AE1327" s="70" t="str">
        <f t="shared" si="462"/>
        <v/>
      </c>
      <c r="AF1327" s="16"/>
      <c r="AG1327" s="23"/>
      <c r="AH1327" s="22"/>
      <c r="AJ1327" s="83">
        <f t="shared" si="463"/>
        <v>0</v>
      </c>
      <c r="AO1327" s="22" t="str">
        <f t="shared" si="464"/>
        <v/>
      </c>
      <c r="AP1327" s="22" t="str">
        <f t="shared" si="465"/>
        <v/>
      </c>
    </row>
    <row r="1328" spans="1:42" x14ac:dyDescent="0.25">
      <c r="A1328" s="10"/>
      <c r="B1328" s="10"/>
      <c r="C1328" s="10"/>
      <c r="D1328" s="10"/>
      <c r="E1328" s="10"/>
      <c r="F1328" s="10"/>
      <c r="G1328" s="10"/>
      <c r="H1328" s="17"/>
      <c r="I1328" s="10"/>
      <c r="J1328" s="10"/>
      <c r="K1328" s="16" t="str">
        <f t="shared" si="444"/>
        <v/>
      </c>
      <c r="L1328" s="23" t="str">
        <f t="shared" si="445"/>
        <v/>
      </c>
      <c r="M1328" s="22" t="str">
        <f t="shared" si="446"/>
        <v/>
      </c>
      <c r="N1328" s="72"/>
      <c r="O1328" s="16" t="str">
        <f t="shared" si="447"/>
        <v/>
      </c>
      <c r="P1328" s="16" t="str">
        <f t="shared" si="448"/>
        <v/>
      </c>
      <c r="Q1328" s="16" t="str">
        <f t="shared" si="449"/>
        <v/>
      </c>
      <c r="R1328" s="23" t="str">
        <f t="shared" si="450"/>
        <v/>
      </c>
      <c r="S1328" s="23" t="str">
        <f t="shared" si="451"/>
        <v/>
      </c>
      <c r="T1328" s="23" t="str">
        <f t="shared" si="452"/>
        <v/>
      </c>
      <c r="U1328" s="23" t="str">
        <f t="shared" si="453"/>
        <v/>
      </c>
      <c r="V1328" s="23" t="str">
        <f t="shared" si="454"/>
        <v/>
      </c>
      <c r="W1328" s="70" t="str">
        <f t="shared" si="455"/>
        <v/>
      </c>
      <c r="X1328" s="70" t="str">
        <f t="shared" si="456"/>
        <v/>
      </c>
      <c r="Y1328" s="70" t="str">
        <f>IF(AND($A1328&lt;&gt;"",$E1328&gt;0),isLaptopBag($C1328,$J1328)*$D1328,"")</f>
        <v/>
      </c>
      <c r="Z1328" s="70" t="str">
        <f t="shared" si="457"/>
        <v/>
      </c>
      <c r="AA1328" s="70" t="str">
        <f t="shared" si="458"/>
        <v/>
      </c>
      <c r="AB1328" s="70" t="str">
        <f t="shared" si="459"/>
        <v/>
      </c>
      <c r="AC1328" s="70" t="str">
        <f t="shared" si="460"/>
        <v/>
      </c>
      <c r="AD1328" s="70" t="str">
        <f t="shared" si="461"/>
        <v/>
      </c>
      <c r="AE1328" s="70" t="str">
        <f t="shared" si="462"/>
        <v/>
      </c>
      <c r="AF1328" s="16"/>
      <c r="AG1328" s="23"/>
      <c r="AH1328" s="22"/>
      <c r="AJ1328" s="83">
        <f t="shared" si="463"/>
        <v>0</v>
      </c>
      <c r="AO1328" s="22" t="str">
        <f t="shared" si="464"/>
        <v/>
      </c>
      <c r="AP1328" s="22" t="str">
        <f t="shared" si="465"/>
        <v/>
      </c>
    </row>
    <row r="1329" spans="1:42" x14ac:dyDescent="0.25">
      <c r="A1329" s="10"/>
      <c r="B1329" s="10"/>
      <c r="C1329" s="10"/>
      <c r="D1329" s="10"/>
      <c r="E1329" s="10"/>
      <c r="F1329" s="10"/>
      <c r="G1329" s="10"/>
      <c r="H1329" s="17"/>
      <c r="I1329" s="10"/>
      <c r="J1329" s="10"/>
      <c r="K1329" s="16" t="str">
        <f t="shared" si="444"/>
        <v/>
      </c>
      <c r="L1329" s="23" t="str">
        <f t="shared" si="445"/>
        <v/>
      </c>
      <c r="M1329" s="22" t="str">
        <f t="shared" si="446"/>
        <v/>
      </c>
      <c r="N1329" s="72"/>
      <c r="O1329" s="16" t="str">
        <f t="shared" si="447"/>
        <v/>
      </c>
      <c r="P1329" s="16" t="str">
        <f t="shared" si="448"/>
        <v/>
      </c>
      <c r="Q1329" s="16" t="str">
        <f t="shared" si="449"/>
        <v/>
      </c>
      <c r="R1329" s="23" t="str">
        <f t="shared" si="450"/>
        <v/>
      </c>
      <c r="S1329" s="23" t="str">
        <f t="shared" si="451"/>
        <v/>
      </c>
      <c r="T1329" s="23" t="str">
        <f t="shared" si="452"/>
        <v/>
      </c>
      <c r="U1329" s="23" t="str">
        <f t="shared" si="453"/>
        <v/>
      </c>
      <c r="V1329" s="23" t="str">
        <f t="shared" si="454"/>
        <v/>
      </c>
      <c r="W1329" s="70" t="str">
        <f t="shared" si="455"/>
        <v/>
      </c>
      <c r="X1329" s="70" t="str">
        <f t="shared" si="456"/>
        <v/>
      </c>
      <c r="Y1329" s="70" t="str">
        <f>IF(AND($A1329&lt;&gt;"",$E1329&gt;0),isLaptopBag($C1329,$J1329)*$D1329,"")</f>
        <v/>
      </c>
      <c r="Z1329" s="70" t="str">
        <f t="shared" si="457"/>
        <v/>
      </c>
      <c r="AA1329" s="70" t="str">
        <f t="shared" si="458"/>
        <v/>
      </c>
      <c r="AB1329" s="70" t="str">
        <f t="shared" si="459"/>
        <v/>
      </c>
      <c r="AC1329" s="70" t="str">
        <f t="shared" si="460"/>
        <v/>
      </c>
      <c r="AD1329" s="70" t="str">
        <f t="shared" si="461"/>
        <v/>
      </c>
      <c r="AE1329" s="70" t="str">
        <f t="shared" si="462"/>
        <v/>
      </c>
      <c r="AF1329" s="16"/>
      <c r="AG1329" s="23"/>
      <c r="AH1329" s="22"/>
      <c r="AJ1329" s="83">
        <f t="shared" si="463"/>
        <v>0</v>
      </c>
      <c r="AO1329" s="22" t="str">
        <f t="shared" si="464"/>
        <v/>
      </c>
      <c r="AP1329" s="22" t="str">
        <f t="shared" si="465"/>
        <v/>
      </c>
    </row>
    <row r="1330" spans="1:42" x14ac:dyDescent="0.25">
      <c r="A1330" s="10"/>
      <c r="B1330" s="10"/>
      <c r="C1330" s="10"/>
      <c r="D1330" s="10"/>
      <c r="E1330" s="10"/>
      <c r="F1330" s="10"/>
      <c r="G1330" s="10"/>
      <c r="H1330" s="17"/>
      <c r="I1330" s="10"/>
      <c r="J1330" s="10"/>
      <c r="K1330" s="16" t="str">
        <f t="shared" si="444"/>
        <v/>
      </c>
      <c r="L1330" s="23" t="str">
        <f t="shared" si="445"/>
        <v/>
      </c>
      <c r="M1330" s="22" t="str">
        <f t="shared" si="446"/>
        <v/>
      </c>
      <c r="N1330" s="72"/>
      <c r="O1330" s="16" t="str">
        <f t="shared" si="447"/>
        <v/>
      </c>
      <c r="P1330" s="16" t="str">
        <f t="shared" si="448"/>
        <v/>
      </c>
      <c r="Q1330" s="16" t="str">
        <f t="shared" si="449"/>
        <v/>
      </c>
      <c r="R1330" s="23" t="str">
        <f t="shared" si="450"/>
        <v/>
      </c>
      <c r="S1330" s="23" t="str">
        <f t="shared" si="451"/>
        <v/>
      </c>
      <c r="T1330" s="23" t="str">
        <f t="shared" si="452"/>
        <v/>
      </c>
      <c r="U1330" s="23" t="str">
        <f t="shared" si="453"/>
        <v/>
      </c>
      <c r="V1330" s="23" t="str">
        <f t="shared" si="454"/>
        <v/>
      </c>
      <c r="W1330" s="70" t="str">
        <f t="shared" si="455"/>
        <v/>
      </c>
      <c r="X1330" s="70" t="str">
        <f t="shared" si="456"/>
        <v/>
      </c>
      <c r="Y1330" s="70" t="str">
        <f>IF(AND($A1330&lt;&gt;"",$E1330&gt;0),isLaptopBag($C1330,$J1330)*$D1330,"")</f>
        <v/>
      </c>
      <c r="Z1330" s="70" t="str">
        <f t="shared" si="457"/>
        <v/>
      </c>
      <c r="AA1330" s="70" t="str">
        <f t="shared" si="458"/>
        <v/>
      </c>
      <c r="AB1330" s="70" t="str">
        <f t="shared" si="459"/>
        <v/>
      </c>
      <c r="AC1330" s="70" t="str">
        <f t="shared" si="460"/>
        <v/>
      </c>
      <c r="AD1330" s="70" t="str">
        <f t="shared" si="461"/>
        <v/>
      </c>
      <c r="AE1330" s="70" t="str">
        <f t="shared" si="462"/>
        <v/>
      </c>
      <c r="AF1330" s="16"/>
      <c r="AG1330" s="23"/>
      <c r="AH1330" s="22"/>
      <c r="AJ1330" s="83">
        <f t="shared" si="463"/>
        <v>0</v>
      </c>
      <c r="AO1330" s="22" t="str">
        <f t="shared" si="464"/>
        <v/>
      </c>
      <c r="AP1330" s="22" t="str">
        <f t="shared" si="465"/>
        <v/>
      </c>
    </row>
    <row r="1331" spans="1:42" x14ac:dyDescent="0.25">
      <c r="A1331" s="10"/>
      <c r="B1331" s="10"/>
      <c r="C1331" s="10"/>
      <c r="D1331" s="10"/>
      <c r="E1331" s="10"/>
      <c r="F1331" s="10"/>
      <c r="G1331" s="10"/>
      <c r="H1331" s="17"/>
      <c r="I1331" s="10"/>
      <c r="J1331" s="10"/>
      <c r="K1331" s="16" t="str">
        <f t="shared" si="444"/>
        <v/>
      </c>
      <c r="L1331" s="23" t="str">
        <f t="shared" si="445"/>
        <v/>
      </c>
      <c r="M1331" s="22" t="str">
        <f t="shared" si="446"/>
        <v/>
      </c>
      <c r="N1331" s="72"/>
      <c r="O1331" s="16" t="str">
        <f t="shared" si="447"/>
        <v/>
      </c>
      <c r="P1331" s="16" t="str">
        <f t="shared" si="448"/>
        <v/>
      </c>
      <c r="Q1331" s="16" t="str">
        <f t="shared" si="449"/>
        <v/>
      </c>
      <c r="R1331" s="23" t="str">
        <f t="shared" si="450"/>
        <v/>
      </c>
      <c r="S1331" s="23" t="str">
        <f t="shared" si="451"/>
        <v/>
      </c>
      <c r="T1331" s="23" t="str">
        <f t="shared" si="452"/>
        <v/>
      </c>
      <c r="U1331" s="23" t="str">
        <f t="shared" si="453"/>
        <v/>
      </c>
      <c r="V1331" s="23" t="str">
        <f t="shared" si="454"/>
        <v/>
      </c>
      <c r="W1331" s="70" t="str">
        <f t="shared" si="455"/>
        <v/>
      </c>
      <c r="X1331" s="70" t="str">
        <f t="shared" si="456"/>
        <v/>
      </c>
      <c r="Y1331" s="70" t="str">
        <f>IF(AND($A1331&lt;&gt;"",$E1331&gt;0),isLaptopBag($C1331,$J1331)*$D1331,"")</f>
        <v/>
      </c>
      <c r="Z1331" s="70" t="str">
        <f t="shared" si="457"/>
        <v/>
      </c>
      <c r="AA1331" s="70" t="str">
        <f t="shared" si="458"/>
        <v/>
      </c>
      <c r="AB1331" s="70" t="str">
        <f t="shared" si="459"/>
        <v/>
      </c>
      <c r="AC1331" s="70" t="str">
        <f t="shared" si="460"/>
        <v/>
      </c>
      <c r="AD1331" s="70" t="str">
        <f t="shared" si="461"/>
        <v/>
      </c>
      <c r="AE1331" s="70" t="str">
        <f t="shared" si="462"/>
        <v/>
      </c>
      <c r="AF1331" s="16"/>
      <c r="AG1331" s="23"/>
      <c r="AH1331" s="22"/>
      <c r="AJ1331" s="83">
        <f t="shared" si="463"/>
        <v>0</v>
      </c>
      <c r="AO1331" s="22" t="str">
        <f t="shared" si="464"/>
        <v/>
      </c>
      <c r="AP1331" s="22" t="str">
        <f t="shared" si="465"/>
        <v/>
      </c>
    </row>
    <row r="1332" spans="1:42" x14ac:dyDescent="0.25">
      <c r="A1332" s="10"/>
      <c r="B1332" s="10"/>
      <c r="C1332" s="10"/>
      <c r="D1332" s="10"/>
      <c r="E1332" s="10"/>
      <c r="F1332" s="10"/>
      <c r="G1332" s="10"/>
      <c r="H1332" s="17"/>
      <c r="I1332" s="10"/>
      <c r="J1332" s="10"/>
      <c r="K1332" s="16" t="str">
        <f t="shared" si="444"/>
        <v/>
      </c>
      <c r="L1332" s="23" t="str">
        <f t="shared" si="445"/>
        <v/>
      </c>
      <c r="M1332" s="22" t="str">
        <f t="shared" si="446"/>
        <v/>
      </c>
      <c r="N1332" s="72"/>
      <c r="O1332" s="16" t="str">
        <f t="shared" si="447"/>
        <v/>
      </c>
      <c r="P1332" s="16" t="str">
        <f t="shared" si="448"/>
        <v/>
      </c>
      <c r="Q1332" s="16" t="str">
        <f t="shared" si="449"/>
        <v/>
      </c>
      <c r="R1332" s="23" t="str">
        <f t="shared" si="450"/>
        <v/>
      </c>
      <c r="S1332" s="23" t="str">
        <f t="shared" si="451"/>
        <v/>
      </c>
      <c r="T1332" s="23" t="str">
        <f t="shared" si="452"/>
        <v/>
      </c>
      <c r="U1332" s="23" t="str">
        <f t="shared" si="453"/>
        <v/>
      </c>
      <c r="V1332" s="23" t="str">
        <f t="shared" si="454"/>
        <v/>
      </c>
      <c r="W1332" s="70" t="str">
        <f t="shared" si="455"/>
        <v/>
      </c>
      <c r="X1332" s="70" t="str">
        <f t="shared" si="456"/>
        <v/>
      </c>
      <c r="Y1332" s="70" t="str">
        <f>IF(AND($A1332&lt;&gt;"",$E1332&gt;0),isLaptopBag($C1332,$J1332)*$D1332,"")</f>
        <v/>
      </c>
      <c r="Z1332" s="70" t="str">
        <f t="shared" si="457"/>
        <v/>
      </c>
      <c r="AA1332" s="70" t="str">
        <f t="shared" si="458"/>
        <v/>
      </c>
      <c r="AB1332" s="70" t="str">
        <f t="shared" si="459"/>
        <v/>
      </c>
      <c r="AC1332" s="70" t="str">
        <f t="shared" si="460"/>
        <v/>
      </c>
      <c r="AD1332" s="70" t="str">
        <f t="shared" si="461"/>
        <v/>
      </c>
      <c r="AE1332" s="70" t="str">
        <f t="shared" si="462"/>
        <v/>
      </c>
      <c r="AF1332" s="16"/>
      <c r="AG1332" s="23"/>
      <c r="AH1332" s="22"/>
      <c r="AJ1332" s="83">
        <f t="shared" si="463"/>
        <v>0</v>
      </c>
      <c r="AO1332" s="22" t="str">
        <f t="shared" si="464"/>
        <v/>
      </c>
      <c r="AP1332" s="22" t="str">
        <f t="shared" si="465"/>
        <v/>
      </c>
    </row>
    <row r="1333" spans="1:42" x14ac:dyDescent="0.25">
      <c r="A1333" s="10"/>
      <c r="B1333" s="10"/>
      <c r="C1333" s="10"/>
      <c r="D1333" s="10"/>
      <c r="E1333" s="10"/>
      <c r="F1333" s="10"/>
      <c r="G1333" s="10"/>
      <c r="H1333" s="17"/>
      <c r="I1333" s="10"/>
      <c r="J1333" s="10"/>
      <c r="K1333" s="16" t="str">
        <f t="shared" si="444"/>
        <v/>
      </c>
      <c r="L1333" s="23" t="str">
        <f t="shared" si="445"/>
        <v/>
      </c>
      <c r="M1333" s="22" t="str">
        <f t="shared" si="446"/>
        <v/>
      </c>
      <c r="N1333" s="72"/>
      <c r="O1333" s="16" t="str">
        <f t="shared" si="447"/>
        <v/>
      </c>
      <c r="P1333" s="16" t="str">
        <f t="shared" si="448"/>
        <v/>
      </c>
      <c r="Q1333" s="16" t="str">
        <f t="shared" si="449"/>
        <v/>
      </c>
      <c r="R1333" s="23" t="str">
        <f t="shared" si="450"/>
        <v/>
      </c>
      <c r="S1333" s="23" t="str">
        <f t="shared" si="451"/>
        <v/>
      </c>
      <c r="T1333" s="23" t="str">
        <f t="shared" si="452"/>
        <v/>
      </c>
      <c r="U1333" s="23" t="str">
        <f t="shared" si="453"/>
        <v/>
      </c>
      <c r="V1333" s="23" t="str">
        <f t="shared" si="454"/>
        <v/>
      </c>
      <c r="W1333" s="70" t="str">
        <f t="shared" si="455"/>
        <v/>
      </c>
      <c r="X1333" s="70" t="str">
        <f t="shared" si="456"/>
        <v/>
      </c>
      <c r="Y1333" s="70" t="str">
        <f>IF(AND($A1333&lt;&gt;"",$E1333&gt;0),isLaptopBag($C1333,$J1333)*$D1333,"")</f>
        <v/>
      </c>
      <c r="Z1333" s="70" t="str">
        <f t="shared" si="457"/>
        <v/>
      </c>
      <c r="AA1333" s="70" t="str">
        <f t="shared" si="458"/>
        <v/>
      </c>
      <c r="AB1333" s="70" t="str">
        <f t="shared" si="459"/>
        <v/>
      </c>
      <c r="AC1333" s="70" t="str">
        <f t="shared" si="460"/>
        <v/>
      </c>
      <c r="AD1333" s="70" t="str">
        <f t="shared" si="461"/>
        <v/>
      </c>
      <c r="AE1333" s="70" t="str">
        <f t="shared" si="462"/>
        <v/>
      </c>
      <c r="AF1333" s="16"/>
      <c r="AG1333" s="23"/>
      <c r="AH1333" s="22"/>
      <c r="AJ1333" s="83">
        <f t="shared" si="463"/>
        <v>0</v>
      </c>
      <c r="AO1333" s="22" t="str">
        <f t="shared" si="464"/>
        <v/>
      </c>
      <c r="AP1333" s="22" t="str">
        <f t="shared" si="465"/>
        <v/>
      </c>
    </row>
    <row r="1334" spans="1:42" x14ac:dyDescent="0.25">
      <c r="A1334" s="10"/>
      <c r="B1334" s="10"/>
      <c r="C1334" s="10"/>
      <c r="D1334" s="10"/>
      <c r="E1334" s="10"/>
      <c r="F1334" s="10"/>
      <c r="G1334" s="10"/>
      <c r="H1334" s="17"/>
      <c r="I1334" s="10"/>
      <c r="J1334" s="10"/>
      <c r="K1334" s="16" t="str">
        <f t="shared" si="444"/>
        <v/>
      </c>
      <c r="L1334" s="23" t="str">
        <f t="shared" si="445"/>
        <v/>
      </c>
      <c r="M1334" s="22" t="str">
        <f t="shared" si="446"/>
        <v/>
      </c>
      <c r="N1334" s="72"/>
      <c r="O1334" s="16" t="str">
        <f t="shared" si="447"/>
        <v/>
      </c>
      <c r="P1334" s="16" t="str">
        <f t="shared" si="448"/>
        <v/>
      </c>
      <c r="Q1334" s="16" t="str">
        <f t="shared" si="449"/>
        <v/>
      </c>
      <c r="R1334" s="23" t="str">
        <f t="shared" si="450"/>
        <v/>
      </c>
      <c r="S1334" s="23" t="str">
        <f t="shared" si="451"/>
        <v/>
      </c>
      <c r="T1334" s="23" t="str">
        <f t="shared" si="452"/>
        <v/>
      </c>
      <c r="U1334" s="23" t="str">
        <f t="shared" si="453"/>
        <v/>
      </c>
      <c r="V1334" s="23" t="str">
        <f t="shared" si="454"/>
        <v/>
      </c>
      <c r="W1334" s="70" t="str">
        <f t="shared" si="455"/>
        <v/>
      </c>
      <c r="X1334" s="70" t="str">
        <f t="shared" si="456"/>
        <v/>
      </c>
      <c r="Y1334" s="70" t="str">
        <f>IF(AND($A1334&lt;&gt;"",$E1334&gt;0),isLaptopBag($C1334,$J1334)*$D1334,"")</f>
        <v/>
      </c>
      <c r="Z1334" s="70" t="str">
        <f t="shared" si="457"/>
        <v/>
      </c>
      <c r="AA1334" s="70" t="str">
        <f t="shared" si="458"/>
        <v/>
      </c>
      <c r="AB1334" s="70" t="str">
        <f t="shared" si="459"/>
        <v/>
      </c>
      <c r="AC1334" s="70" t="str">
        <f t="shared" si="460"/>
        <v/>
      </c>
      <c r="AD1334" s="70" t="str">
        <f t="shared" si="461"/>
        <v/>
      </c>
      <c r="AE1334" s="70" t="str">
        <f t="shared" si="462"/>
        <v/>
      </c>
      <c r="AF1334" s="16"/>
      <c r="AG1334" s="23"/>
      <c r="AH1334" s="22"/>
      <c r="AJ1334" s="83">
        <f t="shared" si="463"/>
        <v>0</v>
      </c>
      <c r="AO1334" s="22" t="str">
        <f t="shared" si="464"/>
        <v/>
      </c>
      <c r="AP1334" s="22" t="str">
        <f t="shared" si="465"/>
        <v/>
      </c>
    </row>
    <row r="1335" spans="1:42" x14ac:dyDescent="0.25">
      <c r="A1335" s="10"/>
      <c r="B1335" s="10"/>
      <c r="C1335" s="10"/>
      <c r="D1335" s="10"/>
      <c r="E1335" s="10"/>
      <c r="F1335" s="10"/>
      <c r="G1335" s="10"/>
      <c r="H1335" s="17"/>
      <c r="I1335" s="10"/>
      <c r="J1335" s="10"/>
      <c r="K1335" s="16" t="str">
        <f t="shared" si="444"/>
        <v/>
      </c>
      <c r="L1335" s="23" t="str">
        <f t="shared" si="445"/>
        <v/>
      </c>
      <c r="M1335" s="22" t="str">
        <f t="shared" si="446"/>
        <v/>
      </c>
      <c r="N1335" s="72"/>
      <c r="O1335" s="16" t="str">
        <f t="shared" si="447"/>
        <v/>
      </c>
      <c r="P1335" s="16" t="str">
        <f t="shared" si="448"/>
        <v/>
      </c>
      <c r="Q1335" s="16" t="str">
        <f t="shared" si="449"/>
        <v/>
      </c>
      <c r="R1335" s="23" t="str">
        <f t="shared" si="450"/>
        <v/>
      </c>
      <c r="S1335" s="23" t="str">
        <f t="shared" si="451"/>
        <v/>
      </c>
      <c r="T1335" s="23" t="str">
        <f t="shared" si="452"/>
        <v/>
      </c>
      <c r="U1335" s="23" t="str">
        <f t="shared" si="453"/>
        <v/>
      </c>
      <c r="V1335" s="23" t="str">
        <f t="shared" si="454"/>
        <v/>
      </c>
      <c r="W1335" s="70" t="str">
        <f t="shared" si="455"/>
        <v/>
      </c>
      <c r="X1335" s="70" t="str">
        <f t="shared" si="456"/>
        <v/>
      </c>
      <c r="Y1335" s="70" t="str">
        <f>IF(AND($A1335&lt;&gt;"",$E1335&gt;0),isLaptopBag($C1335,$J1335)*$D1335,"")</f>
        <v/>
      </c>
      <c r="Z1335" s="70" t="str">
        <f t="shared" si="457"/>
        <v/>
      </c>
      <c r="AA1335" s="70" t="str">
        <f t="shared" si="458"/>
        <v/>
      </c>
      <c r="AB1335" s="70" t="str">
        <f t="shared" si="459"/>
        <v/>
      </c>
      <c r="AC1335" s="70" t="str">
        <f t="shared" si="460"/>
        <v/>
      </c>
      <c r="AD1335" s="70" t="str">
        <f t="shared" si="461"/>
        <v/>
      </c>
      <c r="AE1335" s="70" t="str">
        <f t="shared" si="462"/>
        <v/>
      </c>
      <c r="AF1335" s="16"/>
      <c r="AG1335" s="23"/>
      <c r="AH1335" s="22"/>
      <c r="AJ1335" s="83">
        <f t="shared" si="463"/>
        <v>0</v>
      </c>
      <c r="AO1335" s="22" t="str">
        <f t="shared" si="464"/>
        <v/>
      </c>
      <c r="AP1335" s="22" t="str">
        <f t="shared" si="465"/>
        <v/>
      </c>
    </row>
    <row r="1336" spans="1:42" x14ac:dyDescent="0.25">
      <c r="A1336" s="10"/>
      <c r="B1336" s="10"/>
      <c r="C1336" s="10"/>
      <c r="D1336" s="10"/>
      <c r="E1336" s="10"/>
      <c r="F1336" s="10"/>
      <c r="G1336" s="10"/>
      <c r="H1336" s="17"/>
      <c r="I1336" s="10"/>
      <c r="J1336" s="10"/>
      <c r="K1336" s="16" t="str">
        <f t="shared" si="444"/>
        <v/>
      </c>
      <c r="L1336" s="23" t="str">
        <f t="shared" si="445"/>
        <v/>
      </c>
      <c r="M1336" s="22" t="str">
        <f t="shared" si="446"/>
        <v/>
      </c>
      <c r="N1336" s="72"/>
      <c r="O1336" s="16" t="str">
        <f t="shared" si="447"/>
        <v/>
      </c>
      <c r="P1336" s="16" t="str">
        <f t="shared" si="448"/>
        <v/>
      </c>
      <c r="Q1336" s="16" t="str">
        <f t="shared" si="449"/>
        <v/>
      </c>
      <c r="R1336" s="23" t="str">
        <f t="shared" si="450"/>
        <v/>
      </c>
      <c r="S1336" s="23" t="str">
        <f t="shared" si="451"/>
        <v/>
      </c>
      <c r="T1336" s="23" t="str">
        <f t="shared" si="452"/>
        <v/>
      </c>
      <c r="U1336" s="23" t="str">
        <f t="shared" si="453"/>
        <v/>
      </c>
      <c r="V1336" s="23" t="str">
        <f t="shared" si="454"/>
        <v/>
      </c>
      <c r="W1336" s="70" t="str">
        <f t="shared" si="455"/>
        <v/>
      </c>
      <c r="X1336" s="70" t="str">
        <f t="shared" si="456"/>
        <v/>
      </c>
      <c r="Y1336" s="70" t="str">
        <f>IF(AND($A1336&lt;&gt;"",$E1336&gt;0),isLaptopBag($C1336,$J1336)*$D1336,"")</f>
        <v/>
      </c>
      <c r="Z1336" s="70" t="str">
        <f t="shared" si="457"/>
        <v/>
      </c>
      <c r="AA1336" s="70" t="str">
        <f t="shared" si="458"/>
        <v/>
      </c>
      <c r="AB1336" s="70" t="str">
        <f t="shared" si="459"/>
        <v/>
      </c>
      <c r="AC1336" s="70" t="str">
        <f t="shared" si="460"/>
        <v/>
      </c>
      <c r="AD1336" s="70" t="str">
        <f t="shared" si="461"/>
        <v/>
      </c>
      <c r="AE1336" s="70" t="str">
        <f t="shared" si="462"/>
        <v/>
      </c>
      <c r="AF1336" s="16"/>
      <c r="AG1336" s="23"/>
      <c r="AH1336" s="22"/>
      <c r="AJ1336" s="83">
        <f t="shared" si="463"/>
        <v>0</v>
      </c>
      <c r="AO1336" s="22" t="str">
        <f t="shared" si="464"/>
        <v/>
      </c>
      <c r="AP1336" s="22" t="str">
        <f t="shared" si="465"/>
        <v/>
      </c>
    </row>
    <row r="1337" spans="1:42" x14ac:dyDescent="0.25">
      <c r="A1337" s="10"/>
      <c r="B1337" s="10"/>
      <c r="C1337" s="10"/>
      <c r="D1337" s="10"/>
      <c r="E1337" s="10"/>
      <c r="F1337" s="10"/>
      <c r="G1337" s="10"/>
      <c r="H1337" s="17"/>
      <c r="I1337" s="10"/>
      <c r="J1337" s="10"/>
      <c r="K1337" s="16" t="str">
        <f t="shared" si="444"/>
        <v/>
      </c>
      <c r="L1337" s="23" t="str">
        <f t="shared" si="445"/>
        <v/>
      </c>
      <c r="M1337" s="22" t="str">
        <f t="shared" si="446"/>
        <v/>
      </c>
      <c r="N1337" s="72"/>
      <c r="O1337" s="16" t="str">
        <f t="shared" si="447"/>
        <v/>
      </c>
      <c r="P1337" s="16" t="str">
        <f t="shared" si="448"/>
        <v/>
      </c>
      <c r="Q1337" s="16" t="str">
        <f t="shared" si="449"/>
        <v/>
      </c>
      <c r="R1337" s="23" t="str">
        <f t="shared" si="450"/>
        <v/>
      </c>
      <c r="S1337" s="23" t="str">
        <f t="shared" si="451"/>
        <v/>
      </c>
      <c r="T1337" s="23" t="str">
        <f t="shared" si="452"/>
        <v/>
      </c>
      <c r="U1337" s="23" t="str">
        <f t="shared" si="453"/>
        <v/>
      </c>
      <c r="V1337" s="23" t="str">
        <f t="shared" si="454"/>
        <v/>
      </c>
      <c r="W1337" s="70" t="str">
        <f t="shared" si="455"/>
        <v/>
      </c>
      <c r="X1337" s="70" t="str">
        <f t="shared" si="456"/>
        <v/>
      </c>
      <c r="Y1337" s="70" t="str">
        <f>IF(AND($A1337&lt;&gt;"",$E1337&gt;0),isLaptopBag($C1337,$J1337)*$D1337,"")</f>
        <v/>
      </c>
      <c r="Z1337" s="70" t="str">
        <f t="shared" si="457"/>
        <v/>
      </c>
      <c r="AA1337" s="70" t="str">
        <f t="shared" si="458"/>
        <v/>
      </c>
      <c r="AB1337" s="70" t="str">
        <f t="shared" si="459"/>
        <v/>
      </c>
      <c r="AC1337" s="70" t="str">
        <f t="shared" si="460"/>
        <v/>
      </c>
      <c r="AD1337" s="70" t="str">
        <f t="shared" si="461"/>
        <v/>
      </c>
      <c r="AE1337" s="70" t="str">
        <f t="shared" si="462"/>
        <v/>
      </c>
      <c r="AF1337" s="16"/>
      <c r="AG1337" s="23"/>
      <c r="AH1337" s="22"/>
      <c r="AJ1337" s="83">
        <f t="shared" si="463"/>
        <v>0</v>
      </c>
      <c r="AO1337" s="22" t="str">
        <f t="shared" si="464"/>
        <v/>
      </c>
      <c r="AP1337" s="22" t="str">
        <f t="shared" si="465"/>
        <v/>
      </c>
    </row>
    <row r="1338" spans="1:42" x14ac:dyDescent="0.25">
      <c r="A1338" s="10"/>
      <c r="B1338" s="10"/>
      <c r="C1338" s="10"/>
      <c r="D1338" s="10"/>
      <c r="E1338" s="10"/>
      <c r="F1338" s="10"/>
      <c r="G1338" s="10"/>
      <c r="H1338" s="17"/>
      <c r="I1338" s="10"/>
      <c r="J1338" s="10"/>
      <c r="K1338" s="16" t="str">
        <f t="shared" si="444"/>
        <v/>
      </c>
      <c r="L1338" s="23" t="str">
        <f t="shared" si="445"/>
        <v/>
      </c>
      <c r="M1338" s="22" t="str">
        <f t="shared" si="446"/>
        <v/>
      </c>
      <c r="N1338" s="72"/>
      <c r="O1338" s="16" t="str">
        <f t="shared" si="447"/>
        <v/>
      </c>
      <c r="P1338" s="16" t="str">
        <f t="shared" si="448"/>
        <v/>
      </c>
      <c r="Q1338" s="16" t="str">
        <f t="shared" si="449"/>
        <v/>
      </c>
      <c r="R1338" s="23" t="str">
        <f t="shared" si="450"/>
        <v/>
      </c>
      <c r="S1338" s="23" t="str">
        <f t="shared" si="451"/>
        <v/>
      </c>
      <c r="T1338" s="23" t="str">
        <f t="shared" si="452"/>
        <v/>
      </c>
      <c r="U1338" s="23" t="str">
        <f t="shared" si="453"/>
        <v/>
      </c>
      <c r="V1338" s="23" t="str">
        <f t="shared" si="454"/>
        <v/>
      </c>
      <c r="W1338" s="70" t="str">
        <f t="shared" si="455"/>
        <v/>
      </c>
      <c r="X1338" s="70" t="str">
        <f t="shared" si="456"/>
        <v/>
      </c>
      <c r="Y1338" s="70" t="str">
        <f>IF(AND($A1338&lt;&gt;"",$E1338&gt;0),isLaptopBag($C1338,$J1338)*$D1338,"")</f>
        <v/>
      </c>
      <c r="Z1338" s="70" t="str">
        <f t="shared" si="457"/>
        <v/>
      </c>
      <c r="AA1338" s="70" t="str">
        <f t="shared" si="458"/>
        <v/>
      </c>
      <c r="AB1338" s="70" t="str">
        <f t="shared" si="459"/>
        <v/>
      </c>
      <c r="AC1338" s="70" t="str">
        <f t="shared" si="460"/>
        <v/>
      </c>
      <c r="AD1338" s="70" t="str">
        <f t="shared" si="461"/>
        <v/>
      </c>
      <c r="AE1338" s="70" t="str">
        <f t="shared" si="462"/>
        <v/>
      </c>
      <c r="AF1338" s="16"/>
      <c r="AG1338" s="23"/>
      <c r="AH1338" s="22"/>
      <c r="AJ1338" s="83">
        <f t="shared" si="463"/>
        <v>0</v>
      </c>
      <c r="AO1338" s="22" t="str">
        <f t="shared" si="464"/>
        <v/>
      </c>
      <c r="AP1338" s="22" t="str">
        <f t="shared" si="465"/>
        <v/>
      </c>
    </row>
    <row r="1339" spans="1:42" x14ac:dyDescent="0.25">
      <c r="A1339" s="10"/>
      <c r="B1339" s="10"/>
      <c r="C1339" s="10"/>
      <c r="D1339" s="10"/>
      <c r="E1339" s="10"/>
      <c r="F1339" s="10"/>
      <c r="G1339" s="10"/>
      <c r="H1339" s="17"/>
      <c r="I1339" s="10"/>
      <c r="J1339" s="10"/>
      <c r="K1339" s="16" t="str">
        <f t="shared" si="444"/>
        <v/>
      </c>
      <c r="L1339" s="23" t="str">
        <f t="shared" si="445"/>
        <v/>
      </c>
      <c r="M1339" s="22" t="str">
        <f t="shared" si="446"/>
        <v/>
      </c>
      <c r="N1339" s="72"/>
      <c r="O1339" s="16" t="str">
        <f t="shared" si="447"/>
        <v/>
      </c>
      <c r="P1339" s="16" t="str">
        <f t="shared" si="448"/>
        <v/>
      </c>
      <c r="Q1339" s="16" t="str">
        <f t="shared" si="449"/>
        <v/>
      </c>
      <c r="R1339" s="23" t="str">
        <f t="shared" si="450"/>
        <v/>
      </c>
      <c r="S1339" s="23" t="str">
        <f t="shared" si="451"/>
        <v/>
      </c>
      <c r="T1339" s="23" t="str">
        <f t="shared" si="452"/>
        <v/>
      </c>
      <c r="U1339" s="23" t="str">
        <f t="shared" si="453"/>
        <v/>
      </c>
      <c r="V1339" s="23" t="str">
        <f t="shared" si="454"/>
        <v/>
      </c>
      <c r="W1339" s="70" t="str">
        <f t="shared" si="455"/>
        <v/>
      </c>
      <c r="X1339" s="70" t="str">
        <f t="shared" si="456"/>
        <v/>
      </c>
      <c r="Y1339" s="70" t="str">
        <f>IF(AND($A1339&lt;&gt;"",$E1339&gt;0),isLaptopBag($C1339,$J1339)*$D1339,"")</f>
        <v/>
      </c>
      <c r="Z1339" s="70" t="str">
        <f t="shared" si="457"/>
        <v/>
      </c>
      <c r="AA1339" s="70" t="str">
        <f t="shared" si="458"/>
        <v/>
      </c>
      <c r="AB1339" s="70" t="str">
        <f t="shared" si="459"/>
        <v/>
      </c>
      <c r="AC1339" s="70" t="str">
        <f t="shared" si="460"/>
        <v/>
      </c>
      <c r="AD1339" s="70" t="str">
        <f t="shared" si="461"/>
        <v/>
      </c>
      <c r="AE1339" s="70" t="str">
        <f t="shared" si="462"/>
        <v/>
      </c>
      <c r="AF1339" s="16"/>
      <c r="AG1339" s="23"/>
      <c r="AH1339" s="22"/>
      <c r="AJ1339" s="83">
        <f t="shared" si="463"/>
        <v>0</v>
      </c>
      <c r="AO1339" s="22" t="str">
        <f t="shared" si="464"/>
        <v/>
      </c>
      <c r="AP1339" s="22" t="str">
        <f t="shared" si="465"/>
        <v/>
      </c>
    </row>
    <row r="1340" spans="1:42" x14ac:dyDescent="0.25">
      <c r="A1340" s="10"/>
      <c r="B1340" s="10"/>
      <c r="C1340" s="10"/>
      <c r="D1340" s="10"/>
      <c r="E1340" s="10"/>
      <c r="F1340" s="10"/>
      <c r="G1340" s="10"/>
      <c r="H1340" s="17"/>
      <c r="I1340" s="10"/>
      <c r="J1340" s="10"/>
      <c r="K1340" s="16" t="str">
        <f t="shared" si="444"/>
        <v/>
      </c>
      <c r="L1340" s="23" t="str">
        <f t="shared" si="445"/>
        <v/>
      </c>
      <c r="M1340" s="22" t="str">
        <f t="shared" si="446"/>
        <v/>
      </c>
      <c r="N1340" s="72"/>
      <c r="O1340" s="16" t="str">
        <f t="shared" si="447"/>
        <v/>
      </c>
      <c r="P1340" s="16" t="str">
        <f t="shared" si="448"/>
        <v/>
      </c>
      <c r="Q1340" s="16" t="str">
        <f t="shared" si="449"/>
        <v/>
      </c>
      <c r="R1340" s="23" t="str">
        <f t="shared" si="450"/>
        <v/>
      </c>
      <c r="S1340" s="23" t="str">
        <f t="shared" si="451"/>
        <v/>
      </c>
      <c r="T1340" s="23" t="str">
        <f t="shared" si="452"/>
        <v/>
      </c>
      <c r="U1340" s="23" t="str">
        <f t="shared" si="453"/>
        <v/>
      </c>
      <c r="V1340" s="23" t="str">
        <f t="shared" si="454"/>
        <v/>
      </c>
      <c r="W1340" s="70" t="str">
        <f t="shared" si="455"/>
        <v/>
      </c>
      <c r="X1340" s="70" t="str">
        <f t="shared" si="456"/>
        <v/>
      </c>
      <c r="Y1340" s="70" t="str">
        <f>IF(AND($A1340&lt;&gt;"",$E1340&gt;0),isLaptopBag($C1340,$J1340)*$D1340,"")</f>
        <v/>
      </c>
      <c r="Z1340" s="70" t="str">
        <f t="shared" si="457"/>
        <v/>
      </c>
      <c r="AA1340" s="70" t="str">
        <f t="shared" si="458"/>
        <v/>
      </c>
      <c r="AB1340" s="70" t="str">
        <f t="shared" si="459"/>
        <v/>
      </c>
      <c r="AC1340" s="70" t="str">
        <f t="shared" si="460"/>
        <v/>
      </c>
      <c r="AD1340" s="70" t="str">
        <f t="shared" si="461"/>
        <v/>
      </c>
      <c r="AE1340" s="70" t="str">
        <f t="shared" si="462"/>
        <v/>
      </c>
      <c r="AF1340" s="16"/>
      <c r="AG1340" s="23"/>
      <c r="AH1340" s="22"/>
      <c r="AJ1340" s="83">
        <f t="shared" si="463"/>
        <v>0</v>
      </c>
      <c r="AO1340" s="22" t="str">
        <f t="shared" si="464"/>
        <v/>
      </c>
      <c r="AP1340" s="22" t="str">
        <f t="shared" si="465"/>
        <v/>
      </c>
    </row>
    <row r="1341" spans="1:42" x14ac:dyDescent="0.25">
      <c r="A1341" s="10"/>
      <c r="B1341" s="10"/>
      <c r="C1341" s="10"/>
      <c r="D1341" s="10"/>
      <c r="E1341" s="10"/>
      <c r="F1341" s="10"/>
      <c r="G1341" s="10"/>
      <c r="H1341" s="17"/>
      <c r="I1341" s="10"/>
      <c r="J1341" s="10"/>
      <c r="K1341" s="16" t="str">
        <f t="shared" si="444"/>
        <v/>
      </c>
      <c r="L1341" s="23" t="str">
        <f t="shared" si="445"/>
        <v/>
      </c>
      <c r="M1341" s="22" t="str">
        <f t="shared" si="446"/>
        <v/>
      </c>
      <c r="N1341" s="72"/>
      <c r="O1341" s="16" t="str">
        <f t="shared" si="447"/>
        <v/>
      </c>
      <c r="P1341" s="16" t="str">
        <f t="shared" si="448"/>
        <v/>
      </c>
      <c r="Q1341" s="16" t="str">
        <f t="shared" si="449"/>
        <v/>
      </c>
      <c r="R1341" s="23" t="str">
        <f t="shared" si="450"/>
        <v/>
      </c>
      <c r="S1341" s="23" t="str">
        <f t="shared" si="451"/>
        <v/>
      </c>
      <c r="T1341" s="23" t="str">
        <f t="shared" si="452"/>
        <v/>
      </c>
      <c r="U1341" s="23" t="str">
        <f t="shared" si="453"/>
        <v/>
      </c>
      <c r="V1341" s="23" t="str">
        <f t="shared" si="454"/>
        <v/>
      </c>
      <c r="W1341" s="70" t="str">
        <f t="shared" si="455"/>
        <v/>
      </c>
      <c r="X1341" s="70" t="str">
        <f t="shared" si="456"/>
        <v/>
      </c>
      <c r="Y1341" s="70" t="str">
        <f>IF(AND($A1341&lt;&gt;"",$E1341&gt;0),isLaptopBag($C1341,$J1341)*$D1341,"")</f>
        <v/>
      </c>
      <c r="Z1341" s="70" t="str">
        <f t="shared" si="457"/>
        <v/>
      </c>
      <c r="AA1341" s="70" t="str">
        <f t="shared" si="458"/>
        <v/>
      </c>
      <c r="AB1341" s="70" t="str">
        <f t="shared" si="459"/>
        <v/>
      </c>
      <c r="AC1341" s="70" t="str">
        <f t="shared" si="460"/>
        <v/>
      </c>
      <c r="AD1341" s="70" t="str">
        <f t="shared" si="461"/>
        <v/>
      </c>
      <c r="AE1341" s="70" t="str">
        <f t="shared" si="462"/>
        <v/>
      </c>
      <c r="AF1341" s="16"/>
      <c r="AG1341" s="23"/>
      <c r="AH1341" s="22"/>
      <c r="AJ1341" s="83">
        <f t="shared" si="463"/>
        <v>0</v>
      </c>
      <c r="AO1341" s="22" t="str">
        <f t="shared" si="464"/>
        <v/>
      </c>
      <c r="AP1341" s="22" t="str">
        <f t="shared" si="465"/>
        <v/>
      </c>
    </row>
    <row r="1342" spans="1:42" x14ac:dyDescent="0.25">
      <c r="A1342" s="10"/>
      <c r="B1342" s="10"/>
      <c r="C1342" s="10"/>
      <c r="D1342" s="10"/>
      <c r="E1342" s="10"/>
      <c r="F1342" s="10"/>
      <c r="G1342" s="10"/>
      <c r="H1342" s="17"/>
      <c r="I1342" s="10"/>
      <c r="J1342" s="10"/>
      <c r="K1342" s="16" t="str">
        <f t="shared" si="444"/>
        <v/>
      </c>
      <c r="L1342" s="23" t="str">
        <f t="shared" si="445"/>
        <v/>
      </c>
      <c r="M1342" s="22" t="str">
        <f t="shared" si="446"/>
        <v/>
      </c>
      <c r="N1342" s="72"/>
      <c r="O1342" s="16" t="str">
        <f t="shared" si="447"/>
        <v/>
      </c>
      <c r="P1342" s="16" t="str">
        <f t="shared" si="448"/>
        <v/>
      </c>
      <c r="Q1342" s="16" t="str">
        <f t="shared" si="449"/>
        <v/>
      </c>
      <c r="R1342" s="23" t="str">
        <f t="shared" si="450"/>
        <v/>
      </c>
      <c r="S1342" s="23" t="str">
        <f t="shared" si="451"/>
        <v/>
      </c>
      <c r="T1342" s="23" t="str">
        <f t="shared" si="452"/>
        <v/>
      </c>
      <c r="U1342" s="23" t="str">
        <f t="shared" si="453"/>
        <v/>
      </c>
      <c r="V1342" s="23" t="str">
        <f t="shared" si="454"/>
        <v/>
      </c>
      <c r="W1342" s="70" t="str">
        <f t="shared" si="455"/>
        <v/>
      </c>
      <c r="X1342" s="70" t="str">
        <f t="shared" si="456"/>
        <v/>
      </c>
      <c r="Y1342" s="70" t="str">
        <f>IF(AND($A1342&lt;&gt;"",$E1342&gt;0),isLaptopBag($C1342,$J1342)*$D1342,"")</f>
        <v/>
      </c>
      <c r="Z1342" s="70" t="str">
        <f t="shared" si="457"/>
        <v/>
      </c>
      <c r="AA1342" s="70" t="str">
        <f t="shared" si="458"/>
        <v/>
      </c>
      <c r="AB1342" s="70" t="str">
        <f t="shared" si="459"/>
        <v/>
      </c>
      <c r="AC1342" s="70" t="str">
        <f t="shared" si="460"/>
        <v/>
      </c>
      <c r="AD1342" s="70" t="str">
        <f t="shared" si="461"/>
        <v/>
      </c>
      <c r="AE1342" s="70" t="str">
        <f t="shared" si="462"/>
        <v/>
      </c>
      <c r="AF1342" s="16"/>
      <c r="AG1342" s="23"/>
      <c r="AH1342" s="22"/>
      <c r="AJ1342" s="83">
        <f t="shared" si="463"/>
        <v>0</v>
      </c>
      <c r="AO1342" s="22" t="str">
        <f t="shared" si="464"/>
        <v/>
      </c>
      <c r="AP1342" s="22" t="str">
        <f t="shared" si="465"/>
        <v/>
      </c>
    </row>
    <row r="1343" spans="1:42" x14ac:dyDescent="0.25">
      <c r="A1343" s="10"/>
      <c r="B1343" s="10"/>
      <c r="C1343" s="10"/>
      <c r="D1343" s="10"/>
      <c r="E1343" s="10"/>
      <c r="F1343" s="10"/>
      <c r="G1343" s="10"/>
      <c r="H1343" s="17"/>
      <c r="I1343" s="10"/>
      <c r="J1343" s="10"/>
      <c r="K1343" s="16" t="str">
        <f t="shared" si="444"/>
        <v/>
      </c>
      <c r="L1343" s="23" t="str">
        <f t="shared" si="445"/>
        <v/>
      </c>
      <c r="M1343" s="22" t="str">
        <f t="shared" si="446"/>
        <v/>
      </c>
      <c r="N1343" s="72"/>
      <c r="O1343" s="16" t="str">
        <f t="shared" si="447"/>
        <v/>
      </c>
      <c r="P1343" s="16" t="str">
        <f t="shared" si="448"/>
        <v/>
      </c>
      <c r="Q1343" s="16" t="str">
        <f t="shared" si="449"/>
        <v/>
      </c>
      <c r="R1343" s="23" t="str">
        <f t="shared" si="450"/>
        <v/>
      </c>
      <c r="S1343" s="23" t="str">
        <f t="shared" si="451"/>
        <v/>
      </c>
      <c r="T1343" s="23" t="str">
        <f t="shared" si="452"/>
        <v/>
      </c>
      <c r="U1343" s="23" t="str">
        <f t="shared" si="453"/>
        <v/>
      </c>
      <c r="V1343" s="23" t="str">
        <f t="shared" si="454"/>
        <v/>
      </c>
      <c r="W1343" s="70" t="str">
        <f t="shared" si="455"/>
        <v/>
      </c>
      <c r="X1343" s="70" t="str">
        <f t="shared" si="456"/>
        <v/>
      </c>
      <c r="Y1343" s="70" t="str">
        <f>IF(AND($A1343&lt;&gt;"",$E1343&gt;0),isLaptopBag($C1343,$J1343)*$D1343,"")</f>
        <v/>
      </c>
      <c r="Z1343" s="70" t="str">
        <f t="shared" si="457"/>
        <v/>
      </c>
      <c r="AA1343" s="70" t="str">
        <f t="shared" si="458"/>
        <v/>
      </c>
      <c r="AB1343" s="70" t="str">
        <f t="shared" si="459"/>
        <v/>
      </c>
      <c r="AC1343" s="70" t="str">
        <f t="shared" si="460"/>
        <v/>
      </c>
      <c r="AD1343" s="70" t="str">
        <f t="shared" si="461"/>
        <v/>
      </c>
      <c r="AE1343" s="70" t="str">
        <f t="shared" si="462"/>
        <v/>
      </c>
      <c r="AF1343" s="16"/>
      <c r="AG1343" s="23"/>
      <c r="AH1343" s="22"/>
      <c r="AJ1343" s="83">
        <f t="shared" si="463"/>
        <v>0</v>
      </c>
      <c r="AO1343" s="22" t="str">
        <f t="shared" si="464"/>
        <v/>
      </c>
      <c r="AP1343" s="22" t="str">
        <f t="shared" si="465"/>
        <v/>
      </c>
    </row>
    <row r="1344" spans="1:42" x14ac:dyDescent="0.25">
      <c r="A1344" s="10"/>
      <c r="B1344" s="10"/>
      <c r="C1344" s="10"/>
      <c r="D1344" s="10"/>
      <c r="E1344" s="10"/>
      <c r="F1344" s="10"/>
      <c r="G1344" s="10"/>
      <c r="H1344" s="17"/>
      <c r="I1344" s="10"/>
      <c r="J1344" s="10"/>
      <c r="K1344" s="16" t="str">
        <f t="shared" si="444"/>
        <v/>
      </c>
      <c r="L1344" s="23" t="str">
        <f t="shared" si="445"/>
        <v/>
      </c>
      <c r="M1344" s="22" t="str">
        <f t="shared" si="446"/>
        <v/>
      </c>
      <c r="N1344" s="72"/>
      <c r="O1344" s="16" t="str">
        <f t="shared" si="447"/>
        <v/>
      </c>
      <c r="P1344" s="16" t="str">
        <f t="shared" si="448"/>
        <v/>
      </c>
      <c r="Q1344" s="16" t="str">
        <f t="shared" si="449"/>
        <v/>
      </c>
      <c r="R1344" s="23" t="str">
        <f t="shared" si="450"/>
        <v/>
      </c>
      <c r="S1344" s="23" t="str">
        <f t="shared" si="451"/>
        <v/>
      </c>
      <c r="T1344" s="23" t="str">
        <f t="shared" si="452"/>
        <v/>
      </c>
      <c r="U1344" s="23" t="str">
        <f t="shared" si="453"/>
        <v/>
      </c>
      <c r="V1344" s="23" t="str">
        <f t="shared" si="454"/>
        <v/>
      </c>
      <c r="W1344" s="70" t="str">
        <f t="shared" si="455"/>
        <v/>
      </c>
      <c r="X1344" s="70" t="str">
        <f t="shared" si="456"/>
        <v/>
      </c>
      <c r="Y1344" s="70" t="str">
        <f>IF(AND($A1344&lt;&gt;"",$E1344&gt;0),isLaptopBag($C1344,$J1344)*$D1344,"")</f>
        <v/>
      </c>
      <c r="Z1344" s="70" t="str">
        <f t="shared" si="457"/>
        <v/>
      </c>
      <c r="AA1344" s="70" t="str">
        <f t="shared" si="458"/>
        <v/>
      </c>
      <c r="AB1344" s="70" t="str">
        <f t="shared" si="459"/>
        <v/>
      </c>
      <c r="AC1344" s="70" t="str">
        <f t="shared" si="460"/>
        <v/>
      </c>
      <c r="AD1344" s="70" t="str">
        <f t="shared" si="461"/>
        <v/>
      </c>
      <c r="AE1344" s="70" t="str">
        <f t="shared" si="462"/>
        <v/>
      </c>
      <c r="AF1344" s="16"/>
      <c r="AG1344" s="23"/>
      <c r="AH1344" s="22"/>
      <c r="AJ1344" s="83">
        <f t="shared" si="463"/>
        <v>0</v>
      </c>
      <c r="AO1344" s="22" t="str">
        <f t="shared" si="464"/>
        <v/>
      </c>
      <c r="AP1344" s="22" t="str">
        <f t="shared" si="465"/>
        <v/>
      </c>
    </row>
    <row r="1345" spans="1:42" x14ac:dyDescent="0.25">
      <c r="A1345" s="10"/>
      <c r="B1345" s="10"/>
      <c r="C1345" s="10"/>
      <c r="D1345" s="10"/>
      <c r="E1345" s="10"/>
      <c r="F1345" s="10"/>
      <c r="G1345" s="10"/>
      <c r="H1345" s="17"/>
      <c r="I1345" s="10"/>
      <c r="J1345" s="10"/>
      <c r="K1345" s="16" t="str">
        <f t="shared" si="444"/>
        <v/>
      </c>
      <c r="L1345" s="23" t="str">
        <f t="shared" si="445"/>
        <v/>
      </c>
      <c r="M1345" s="22" t="str">
        <f t="shared" si="446"/>
        <v/>
      </c>
      <c r="N1345" s="72"/>
      <c r="O1345" s="16" t="str">
        <f t="shared" si="447"/>
        <v/>
      </c>
      <c r="P1345" s="16" t="str">
        <f t="shared" si="448"/>
        <v/>
      </c>
      <c r="Q1345" s="16" t="str">
        <f t="shared" si="449"/>
        <v/>
      </c>
      <c r="R1345" s="23" t="str">
        <f t="shared" si="450"/>
        <v/>
      </c>
      <c r="S1345" s="23" t="str">
        <f t="shared" si="451"/>
        <v/>
      </c>
      <c r="T1345" s="23" t="str">
        <f t="shared" si="452"/>
        <v/>
      </c>
      <c r="U1345" s="23" t="str">
        <f t="shared" si="453"/>
        <v/>
      </c>
      <c r="V1345" s="23" t="str">
        <f t="shared" si="454"/>
        <v/>
      </c>
      <c r="W1345" s="70" t="str">
        <f t="shared" si="455"/>
        <v/>
      </c>
      <c r="X1345" s="70" t="str">
        <f t="shared" si="456"/>
        <v/>
      </c>
      <c r="Y1345" s="70" t="str">
        <f>IF(AND($A1345&lt;&gt;"",$E1345&gt;0),isLaptopBag($C1345,$J1345)*$D1345,"")</f>
        <v/>
      </c>
      <c r="Z1345" s="70" t="str">
        <f t="shared" si="457"/>
        <v/>
      </c>
      <c r="AA1345" s="70" t="str">
        <f t="shared" si="458"/>
        <v/>
      </c>
      <c r="AB1345" s="70" t="str">
        <f t="shared" si="459"/>
        <v/>
      </c>
      <c r="AC1345" s="70" t="str">
        <f t="shared" si="460"/>
        <v/>
      </c>
      <c r="AD1345" s="70" t="str">
        <f t="shared" si="461"/>
        <v/>
      </c>
      <c r="AE1345" s="70" t="str">
        <f t="shared" si="462"/>
        <v/>
      </c>
      <c r="AF1345" s="16"/>
      <c r="AG1345" s="23"/>
      <c r="AH1345" s="22"/>
      <c r="AJ1345" s="83">
        <f t="shared" si="463"/>
        <v>0</v>
      </c>
      <c r="AO1345" s="22" t="str">
        <f t="shared" si="464"/>
        <v/>
      </c>
      <c r="AP1345" s="22" t="str">
        <f t="shared" si="465"/>
        <v/>
      </c>
    </row>
    <row r="1346" spans="1:42" x14ac:dyDescent="0.25">
      <c r="A1346" s="10"/>
      <c r="B1346" s="10"/>
      <c r="C1346" s="10"/>
      <c r="D1346" s="10"/>
      <c r="E1346" s="10"/>
      <c r="F1346" s="10"/>
      <c r="G1346" s="10"/>
      <c r="H1346" s="17"/>
      <c r="I1346" s="10"/>
      <c r="J1346" s="10"/>
      <c r="K1346" s="16" t="str">
        <f t="shared" si="444"/>
        <v/>
      </c>
      <c r="L1346" s="23" t="str">
        <f t="shared" si="445"/>
        <v/>
      </c>
      <c r="M1346" s="22" t="str">
        <f t="shared" si="446"/>
        <v/>
      </c>
      <c r="N1346" s="72"/>
      <c r="O1346" s="16" t="str">
        <f t="shared" si="447"/>
        <v/>
      </c>
      <c r="P1346" s="16" t="str">
        <f t="shared" si="448"/>
        <v/>
      </c>
      <c r="Q1346" s="16" t="str">
        <f t="shared" si="449"/>
        <v/>
      </c>
      <c r="R1346" s="23" t="str">
        <f t="shared" si="450"/>
        <v/>
      </c>
      <c r="S1346" s="23" t="str">
        <f t="shared" si="451"/>
        <v/>
      </c>
      <c r="T1346" s="23" t="str">
        <f t="shared" si="452"/>
        <v/>
      </c>
      <c r="U1346" s="23" t="str">
        <f t="shared" si="453"/>
        <v/>
      </c>
      <c r="V1346" s="23" t="str">
        <f t="shared" si="454"/>
        <v/>
      </c>
      <c r="W1346" s="70" t="str">
        <f t="shared" si="455"/>
        <v/>
      </c>
      <c r="X1346" s="70" t="str">
        <f t="shared" si="456"/>
        <v/>
      </c>
      <c r="Y1346" s="70" t="str">
        <f>IF(AND($A1346&lt;&gt;"",$E1346&gt;0),isLaptopBag($C1346,$J1346)*$D1346,"")</f>
        <v/>
      </c>
      <c r="Z1346" s="70" t="str">
        <f t="shared" si="457"/>
        <v/>
      </c>
      <c r="AA1346" s="70" t="str">
        <f t="shared" si="458"/>
        <v/>
      </c>
      <c r="AB1346" s="70" t="str">
        <f t="shared" si="459"/>
        <v/>
      </c>
      <c r="AC1346" s="70" t="str">
        <f t="shared" si="460"/>
        <v/>
      </c>
      <c r="AD1346" s="70" t="str">
        <f t="shared" si="461"/>
        <v/>
      </c>
      <c r="AE1346" s="70" t="str">
        <f t="shared" si="462"/>
        <v/>
      </c>
      <c r="AF1346" s="16"/>
      <c r="AG1346" s="23"/>
      <c r="AH1346" s="22"/>
      <c r="AJ1346" s="83">
        <f t="shared" si="463"/>
        <v>0</v>
      </c>
      <c r="AO1346" s="22" t="str">
        <f t="shared" si="464"/>
        <v/>
      </c>
      <c r="AP1346" s="22" t="str">
        <f t="shared" si="465"/>
        <v/>
      </c>
    </row>
    <row r="1347" spans="1:42" x14ac:dyDescent="0.25">
      <c r="A1347" s="10"/>
      <c r="B1347" s="10"/>
      <c r="C1347" s="10"/>
      <c r="D1347" s="10"/>
      <c r="E1347" s="10"/>
      <c r="F1347" s="10"/>
      <c r="G1347" s="10"/>
      <c r="H1347" s="17"/>
      <c r="I1347" s="10"/>
      <c r="J1347" s="10"/>
      <c r="K1347" s="16" t="str">
        <f t="shared" si="444"/>
        <v/>
      </c>
      <c r="L1347" s="23" t="str">
        <f t="shared" si="445"/>
        <v/>
      </c>
      <c r="M1347" s="22" t="str">
        <f t="shared" si="446"/>
        <v/>
      </c>
      <c r="N1347" s="72"/>
      <c r="O1347" s="16" t="str">
        <f t="shared" si="447"/>
        <v/>
      </c>
      <c r="P1347" s="16" t="str">
        <f t="shared" si="448"/>
        <v/>
      </c>
      <c r="Q1347" s="16" t="str">
        <f t="shared" si="449"/>
        <v/>
      </c>
      <c r="R1347" s="23" t="str">
        <f t="shared" si="450"/>
        <v/>
      </c>
      <c r="S1347" s="23" t="str">
        <f t="shared" si="451"/>
        <v/>
      </c>
      <c r="T1347" s="23" t="str">
        <f t="shared" si="452"/>
        <v/>
      </c>
      <c r="U1347" s="23" t="str">
        <f t="shared" si="453"/>
        <v/>
      </c>
      <c r="V1347" s="23" t="str">
        <f t="shared" si="454"/>
        <v/>
      </c>
      <c r="W1347" s="70" t="str">
        <f t="shared" si="455"/>
        <v/>
      </c>
      <c r="X1347" s="70" t="str">
        <f t="shared" si="456"/>
        <v/>
      </c>
      <c r="Y1347" s="70" t="str">
        <f>IF(AND($A1347&lt;&gt;"",$E1347&gt;0),isLaptopBag($C1347,$J1347)*$D1347,"")</f>
        <v/>
      </c>
      <c r="Z1347" s="70" t="str">
        <f t="shared" si="457"/>
        <v/>
      </c>
      <c r="AA1347" s="70" t="str">
        <f t="shared" si="458"/>
        <v/>
      </c>
      <c r="AB1347" s="70" t="str">
        <f t="shared" si="459"/>
        <v/>
      </c>
      <c r="AC1347" s="70" t="str">
        <f t="shared" si="460"/>
        <v/>
      </c>
      <c r="AD1347" s="70" t="str">
        <f t="shared" si="461"/>
        <v/>
      </c>
      <c r="AE1347" s="70" t="str">
        <f t="shared" si="462"/>
        <v/>
      </c>
      <c r="AF1347" s="16"/>
      <c r="AG1347" s="23"/>
      <c r="AH1347" s="22"/>
      <c r="AJ1347" s="83">
        <f t="shared" si="463"/>
        <v>0</v>
      </c>
      <c r="AO1347" s="22" t="str">
        <f t="shared" si="464"/>
        <v/>
      </c>
      <c r="AP1347" s="22" t="str">
        <f t="shared" si="465"/>
        <v/>
      </c>
    </row>
    <row r="1348" spans="1:42" x14ac:dyDescent="0.25">
      <c r="A1348" s="10"/>
      <c r="B1348" s="10"/>
      <c r="C1348" s="10"/>
      <c r="D1348" s="10"/>
      <c r="E1348" s="10"/>
      <c r="F1348" s="10"/>
      <c r="G1348" s="10"/>
      <c r="H1348" s="17"/>
      <c r="I1348" s="10"/>
      <c r="J1348" s="10"/>
      <c r="K1348" s="16" t="str">
        <f t="shared" si="444"/>
        <v/>
      </c>
      <c r="L1348" s="23" t="str">
        <f t="shared" si="445"/>
        <v/>
      </c>
      <c r="M1348" s="22" t="str">
        <f t="shared" si="446"/>
        <v/>
      </c>
      <c r="N1348" s="72"/>
      <c r="O1348" s="16" t="str">
        <f t="shared" si="447"/>
        <v/>
      </c>
      <c r="P1348" s="16" t="str">
        <f t="shared" si="448"/>
        <v/>
      </c>
      <c r="Q1348" s="16" t="str">
        <f t="shared" si="449"/>
        <v/>
      </c>
      <c r="R1348" s="23" t="str">
        <f t="shared" si="450"/>
        <v/>
      </c>
      <c r="S1348" s="23" t="str">
        <f t="shared" si="451"/>
        <v/>
      </c>
      <c r="T1348" s="23" t="str">
        <f t="shared" si="452"/>
        <v/>
      </c>
      <c r="U1348" s="23" t="str">
        <f t="shared" si="453"/>
        <v/>
      </c>
      <c r="V1348" s="23" t="str">
        <f t="shared" si="454"/>
        <v/>
      </c>
      <c r="W1348" s="70" t="str">
        <f t="shared" si="455"/>
        <v/>
      </c>
      <c r="X1348" s="70" t="str">
        <f t="shared" si="456"/>
        <v/>
      </c>
      <c r="Y1348" s="70" t="str">
        <f>IF(AND($A1348&lt;&gt;"",$E1348&gt;0),isLaptopBag($C1348,$J1348)*$D1348,"")</f>
        <v/>
      </c>
      <c r="Z1348" s="70" t="str">
        <f t="shared" si="457"/>
        <v/>
      </c>
      <c r="AA1348" s="70" t="str">
        <f t="shared" si="458"/>
        <v/>
      </c>
      <c r="AB1348" s="70" t="str">
        <f t="shared" si="459"/>
        <v/>
      </c>
      <c r="AC1348" s="70" t="str">
        <f t="shared" si="460"/>
        <v/>
      </c>
      <c r="AD1348" s="70" t="str">
        <f t="shared" si="461"/>
        <v/>
      </c>
      <c r="AE1348" s="70" t="str">
        <f t="shared" si="462"/>
        <v/>
      </c>
      <c r="AF1348" s="16"/>
      <c r="AG1348" s="23"/>
      <c r="AH1348" s="22"/>
      <c r="AJ1348" s="83">
        <f t="shared" si="463"/>
        <v>0</v>
      </c>
      <c r="AO1348" s="22" t="str">
        <f t="shared" si="464"/>
        <v/>
      </c>
      <c r="AP1348" s="22" t="str">
        <f t="shared" si="465"/>
        <v/>
      </c>
    </row>
    <row r="1349" spans="1:42" x14ac:dyDescent="0.25">
      <c r="A1349" s="10"/>
      <c r="B1349" s="10"/>
      <c r="C1349" s="10"/>
      <c r="D1349" s="10"/>
      <c r="E1349" s="10"/>
      <c r="F1349" s="10"/>
      <c r="G1349" s="10"/>
      <c r="H1349" s="17"/>
      <c r="I1349" s="10"/>
      <c r="J1349" s="10"/>
      <c r="K1349" s="16" t="str">
        <f t="shared" si="444"/>
        <v/>
      </c>
      <c r="L1349" s="23" t="str">
        <f t="shared" si="445"/>
        <v/>
      </c>
      <c r="M1349" s="22" t="str">
        <f t="shared" si="446"/>
        <v/>
      </c>
      <c r="N1349" s="72"/>
      <c r="O1349" s="16" t="str">
        <f t="shared" si="447"/>
        <v/>
      </c>
      <c r="P1349" s="16" t="str">
        <f t="shared" si="448"/>
        <v/>
      </c>
      <c r="Q1349" s="16" t="str">
        <f t="shared" si="449"/>
        <v/>
      </c>
      <c r="R1349" s="23" t="str">
        <f t="shared" si="450"/>
        <v/>
      </c>
      <c r="S1349" s="23" t="str">
        <f t="shared" si="451"/>
        <v/>
      </c>
      <c r="T1349" s="23" t="str">
        <f t="shared" si="452"/>
        <v/>
      </c>
      <c r="U1349" s="23" t="str">
        <f t="shared" si="453"/>
        <v/>
      </c>
      <c r="V1349" s="23" t="str">
        <f t="shared" si="454"/>
        <v/>
      </c>
      <c r="W1349" s="70" t="str">
        <f t="shared" si="455"/>
        <v/>
      </c>
      <c r="X1349" s="70" t="str">
        <f t="shared" si="456"/>
        <v/>
      </c>
      <c r="Y1349" s="70" t="str">
        <f>IF(AND($A1349&lt;&gt;"",$E1349&gt;0),isLaptopBag($C1349,$J1349)*$D1349,"")</f>
        <v/>
      </c>
      <c r="Z1349" s="70" t="str">
        <f t="shared" si="457"/>
        <v/>
      </c>
      <c r="AA1349" s="70" t="str">
        <f t="shared" si="458"/>
        <v/>
      </c>
      <c r="AB1349" s="70" t="str">
        <f t="shared" si="459"/>
        <v/>
      </c>
      <c r="AC1349" s="70" t="str">
        <f t="shared" si="460"/>
        <v/>
      </c>
      <c r="AD1349" s="70" t="str">
        <f t="shared" si="461"/>
        <v/>
      </c>
      <c r="AE1349" s="70" t="str">
        <f t="shared" si="462"/>
        <v/>
      </c>
      <c r="AF1349" s="16"/>
      <c r="AG1349" s="23"/>
      <c r="AH1349" s="22"/>
      <c r="AJ1349" s="83">
        <f t="shared" si="463"/>
        <v>0</v>
      </c>
      <c r="AO1349" s="22" t="str">
        <f t="shared" si="464"/>
        <v/>
      </c>
      <c r="AP1349" s="22" t="str">
        <f t="shared" si="465"/>
        <v/>
      </c>
    </row>
    <row r="1350" spans="1:42" x14ac:dyDescent="0.25">
      <c r="A1350" s="10"/>
      <c r="B1350" s="10"/>
      <c r="C1350" s="10"/>
      <c r="D1350" s="10"/>
      <c r="E1350" s="10"/>
      <c r="F1350" s="10"/>
      <c r="G1350" s="10"/>
      <c r="H1350" s="17"/>
      <c r="I1350" s="10"/>
      <c r="J1350" s="10"/>
      <c r="K1350" s="16" t="str">
        <f t="shared" si="444"/>
        <v/>
      </c>
      <c r="L1350" s="23" t="str">
        <f t="shared" si="445"/>
        <v/>
      </c>
      <c r="M1350" s="22" t="str">
        <f t="shared" si="446"/>
        <v/>
      </c>
      <c r="N1350" s="72"/>
      <c r="O1350" s="16" t="str">
        <f t="shared" si="447"/>
        <v/>
      </c>
      <c r="P1350" s="16" t="str">
        <f t="shared" si="448"/>
        <v/>
      </c>
      <c r="Q1350" s="16" t="str">
        <f t="shared" si="449"/>
        <v/>
      </c>
      <c r="R1350" s="23" t="str">
        <f t="shared" si="450"/>
        <v/>
      </c>
      <c r="S1350" s="23" t="str">
        <f t="shared" si="451"/>
        <v/>
      </c>
      <c r="T1350" s="23" t="str">
        <f t="shared" si="452"/>
        <v/>
      </c>
      <c r="U1350" s="23" t="str">
        <f t="shared" si="453"/>
        <v/>
      </c>
      <c r="V1350" s="23" t="str">
        <f t="shared" si="454"/>
        <v/>
      </c>
      <c r="W1350" s="70" t="str">
        <f t="shared" si="455"/>
        <v/>
      </c>
      <c r="X1350" s="70" t="str">
        <f t="shared" si="456"/>
        <v/>
      </c>
      <c r="Y1350" s="70" t="str">
        <f>IF(AND($A1350&lt;&gt;"",$E1350&gt;0),isLaptopBag($C1350,$J1350)*$D1350,"")</f>
        <v/>
      </c>
      <c r="Z1350" s="70" t="str">
        <f t="shared" si="457"/>
        <v/>
      </c>
      <c r="AA1350" s="70" t="str">
        <f t="shared" si="458"/>
        <v/>
      </c>
      <c r="AB1350" s="70" t="str">
        <f t="shared" si="459"/>
        <v/>
      </c>
      <c r="AC1350" s="70" t="str">
        <f t="shared" si="460"/>
        <v/>
      </c>
      <c r="AD1350" s="70" t="str">
        <f t="shared" si="461"/>
        <v/>
      </c>
      <c r="AE1350" s="70" t="str">
        <f t="shared" si="462"/>
        <v/>
      </c>
      <c r="AF1350" s="16"/>
      <c r="AG1350" s="23"/>
      <c r="AH1350" s="22"/>
      <c r="AJ1350" s="83">
        <f t="shared" si="463"/>
        <v>0</v>
      </c>
      <c r="AO1350" s="22" t="str">
        <f t="shared" si="464"/>
        <v/>
      </c>
      <c r="AP1350" s="22" t="str">
        <f t="shared" si="465"/>
        <v/>
      </c>
    </row>
    <row r="1351" spans="1:42" x14ac:dyDescent="0.25">
      <c r="A1351" s="10"/>
      <c r="B1351" s="10"/>
      <c r="C1351" s="10"/>
      <c r="D1351" s="10"/>
      <c r="E1351" s="10"/>
      <c r="F1351" s="10"/>
      <c r="G1351" s="10"/>
      <c r="H1351" s="17"/>
      <c r="I1351" s="10"/>
      <c r="J1351" s="10"/>
      <c r="K1351" s="16" t="str">
        <f t="shared" si="444"/>
        <v/>
      </c>
      <c r="L1351" s="23" t="str">
        <f t="shared" si="445"/>
        <v/>
      </c>
      <c r="M1351" s="22" t="str">
        <f t="shared" si="446"/>
        <v/>
      </c>
      <c r="N1351" s="72"/>
      <c r="O1351" s="16" t="str">
        <f t="shared" si="447"/>
        <v/>
      </c>
      <c r="P1351" s="16" t="str">
        <f t="shared" si="448"/>
        <v/>
      </c>
      <c r="Q1351" s="16" t="str">
        <f t="shared" si="449"/>
        <v/>
      </c>
      <c r="R1351" s="23" t="str">
        <f t="shared" si="450"/>
        <v/>
      </c>
      <c r="S1351" s="23" t="str">
        <f t="shared" si="451"/>
        <v/>
      </c>
      <c r="T1351" s="23" t="str">
        <f t="shared" si="452"/>
        <v/>
      </c>
      <c r="U1351" s="23" t="str">
        <f t="shared" si="453"/>
        <v/>
      </c>
      <c r="V1351" s="23" t="str">
        <f t="shared" si="454"/>
        <v/>
      </c>
      <c r="W1351" s="70" t="str">
        <f t="shared" si="455"/>
        <v/>
      </c>
      <c r="X1351" s="70" t="str">
        <f t="shared" si="456"/>
        <v/>
      </c>
      <c r="Y1351" s="70" t="str">
        <f>IF(AND($A1351&lt;&gt;"",$E1351&gt;0),isLaptopBag($C1351,$J1351)*$D1351,"")</f>
        <v/>
      </c>
      <c r="Z1351" s="70" t="str">
        <f t="shared" si="457"/>
        <v/>
      </c>
      <c r="AA1351" s="70" t="str">
        <f t="shared" si="458"/>
        <v/>
      </c>
      <c r="AB1351" s="70" t="str">
        <f t="shared" si="459"/>
        <v/>
      </c>
      <c r="AC1351" s="70" t="str">
        <f t="shared" si="460"/>
        <v/>
      </c>
      <c r="AD1351" s="70" t="str">
        <f t="shared" si="461"/>
        <v/>
      </c>
      <c r="AE1351" s="70" t="str">
        <f t="shared" si="462"/>
        <v/>
      </c>
      <c r="AF1351" s="16"/>
      <c r="AG1351" s="23"/>
      <c r="AH1351" s="22"/>
      <c r="AJ1351" s="83">
        <f t="shared" si="463"/>
        <v>0</v>
      </c>
      <c r="AO1351" s="22" t="str">
        <f t="shared" si="464"/>
        <v/>
      </c>
      <c r="AP1351" s="22" t="str">
        <f t="shared" si="465"/>
        <v/>
      </c>
    </row>
    <row r="1352" spans="1:42" x14ac:dyDescent="0.25">
      <c r="A1352" s="10"/>
      <c r="B1352" s="10"/>
      <c r="C1352" s="10"/>
      <c r="D1352" s="10"/>
      <c r="E1352" s="10"/>
      <c r="F1352" s="10"/>
      <c r="G1352" s="10"/>
      <c r="H1352" s="17"/>
      <c r="I1352" s="10"/>
      <c r="J1352" s="10"/>
      <c r="K1352" s="16" t="str">
        <f t="shared" si="444"/>
        <v/>
      </c>
      <c r="L1352" s="23" t="str">
        <f t="shared" si="445"/>
        <v/>
      </c>
      <c r="M1352" s="22" t="str">
        <f t="shared" si="446"/>
        <v/>
      </c>
      <c r="N1352" s="72"/>
      <c r="O1352" s="16" t="str">
        <f t="shared" si="447"/>
        <v/>
      </c>
      <c r="P1352" s="16" t="str">
        <f t="shared" si="448"/>
        <v/>
      </c>
      <c r="Q1352" s="16" t="str">
        <f t="shared" si="449"/>
        <v/>
      </c>
      <c r="R1352" s="23" t="str">
        <f t="shared" si="450"/>
        <v/>
      </c>
      <c r="S1352" s="23" t="str">
        <f t="shared" si="451"/>
        <v/>
      </c>
      <c r="T1352" s="23" t="str">
        <f t="shared" si="452"/>
        <v/>
      </c>
      <c r="U1352" s="23" t="str">
        <f t="shared" si="453"/>
        <v/>
      </c>
      <c r="V1352" s="23" t="str">
        <f t="shared" si="454"/>
        <v/>
      </c>
      <c r="W1352" s="70" t="str">
        <f t="shared" si="455"/>
        <v/>
      </c>
      <c r="X1352" s="70" t="str">
        <f t="shared" si="456"/>
        <v/>
      </c>
      <c r="Y1352" s="70" t="str">
        <f>IF(AND($A1352&lt;&gt;"",$E1352&gt;0),isLaptopBag($C1352,$J1352)*$D1352,"")</f>
        <v/>
      </c>
      <c r="Z1352" s="70" t="str">
        <f t="shared" si="457"/>
        <v/>
      </c>
      <c r="AA1352" s="70" t="str">
        <f t="shared" si="458"/>
        <v/>
      </c>
      <c r="AB1352" s="70" t="str">
        <f t="shared" si="459"/>
        <v/>
      </c>
      <c r="AC1352" s="70" t="str">
        <f t="shared" si="460"/>
        <v/>
      </c>
      <c r="AD1352" s="70" t="str">
        <f t="shared" si="461"/>
        <v/>
      </c>
      <c r="AE1352" s="70" t="str">
        <f t="shared" si="462"/>
        <v/>
      </c>
      <c r="AF1352" s="16"/>
      <c r="AG1352" s="23"/>
      <c r="AH1352" s="22"/>
      <c r="AJ1352" s="83">
        <f t="shared" si="463"/>
        <v>0</v>
      </c>
      <c r="AO1352" s="22" t="str">
        <f t="shared" si="464"/>
        <v/>
      </c>
      <c r="AP1352" s="22" t="str">
        <f t="shared" si="465"/>
        <v/>
      </c>
    </row>
    <row r="1353" spans="1:42" x14ac:dyDescent="0.25">
      <c r="A1353" s="10"/>
      <c r="B1353" s="10"/>
      <c r="C1353" s="10"/>
      <c r="D1353" s="10"/>
      <c r="E1353" s="10"/>
      <c r="F1353" s="10"/>
      <c r="G1353" s="10"/>
      <c r="H1353" s="17"/>
      <c r="I1353" s="10"/>
      <c r="J1353" s="10"/>
      <c r="K1353" s="16" t="str">
        <f t="shared" si="444"/>
        <v/>
      </c>
      <c r="L1353" s="23" t="str">
        <f t="shared" si="445"/>
        <v/>
      </c>
      <c r="M1353" s="22" t="str">
        <f t="shared" si="446"/>
        <v/>
      </c>
      <c r="N1353" s="72"/>
      <c r="O1353" s="16" t="str">
        <f t="shared" si="447"/>
        <v/>
      </c>
      <c r="P1353" s="16" t="str">
        <f t="shared" si="448"/>
        <v/>
      </c>
      <c r="Q1353" s="16" t="str">
        <f t="shared" si="449"/>
        <v/>
      </c>
      <c r="R1353" s="23" t="str">
        <f t="shared" si="450"/>
        <v/>
      </c>
      <c r="S1353" s="23" t="str">
        <f t="shared" si="451"/>
        <v/>
      </c>
      <c r="T1353" s="23" t="str">
        <f t="shared" si="452"/>
        <v/>
      </c>
      <c r="U1353" s="23" t="str">
        <f t="shared" si="453"/>
        <v/>
      </c>
      <c r="V1353" s="23" t="str">
        <f t="shared" si="454"/>
        <v/>
      </c>
      <c r="W1353" s="70" t="str">
        <f t="shared" si="455"/>
        <v/>
      </c>
      <c r="X1353" s="70" t="str">
        <f t="shared" si="456"/>
        <v/>
      </c>
      <c r="Y1353" s="70" t="str">
        <f>IF(AND($A1353&lt;&gt;"",$E1353&gt;0),isLaptopBag($C1353,$J1353)*$D1353,"")</f>
        <v/>
      </c>
      <c r="Z1353" s="70" t="str">
        <f t="shared" si="457"/>
        <v/>
      </c>
      <c r="AA1353" s="70" t="str">
        <f t="shared" si="458"/>
        <v/>
      </c>
      <c r="AB1353" s="70" t="str">
        <f t="shared" si="459"/>
        <v/>
      </c>
      <c r="AC1353" s="70" t="str">
        <f t="shared" si="460"/>
        <v/>
      </c>
      <c r="AD1353" s="70" t="str">
        <f t="shared" si="461"/>
        <v/>
      </c>
      <c r="AE1353" s="70" t="str">
        <f t="shared" si="462"/>
        <v/>
      </c>
      <c r="AF1353" s="16"/>
      <c r="AG1353" s="23"/>
      <c r="AH1353" s="22"/>
      <c r="AJ1353" s="83">
        <f t="shared" si="463"/>
        <v>0</v>
      </c>
      <c r="AO1353" s="22" t="str">
        <f t="shared" si="464"/>
        <v/>
      </c>
      <c r="AP1353" s="22" t="str">
        <f t="shared" si="465"/>
        <v/>
      </c>
    </row>
    <row r="1354" spans="1:42" x14ac:dyDescent="0.25">
      <c r="A1354" s="10"/>
      <c r="B1354" s="10"/>
      <c r="C1354" s="10"/>
      <c r="D1354" s="10"/>
      <c r="E1354" s="10"/>
      <c r="F1354" s="10"/>
      <c r="G1354" s="10"/>
      <c r="H1354" s="17"/>
      <c r="I1354" s="10"/>
      <c r="J1354" s="10"/>
      <c r="K1354" s="16" t="str">
        <f t="shared" si="444"/>
        <v/>
      </c>
      <c r="L1354" s="23" t="str">
        <f t="shared" si="445"/>
        <v/>
      </c>
      <c r="M1354" s="22" t="str">
        <f t="shared" si="446"/>
        <v/>
      </c>
      <c r="N1354" s="72"/>
      <c r="O1354" s="16" t="str">
        <f t="shared" si="447"/>
        <v/>
      </c>
      <c r="P1354" s="16" t="str">
        <f t="shared" si="448"/>
        <v/>
      </c>
      <c r="Q1354" s="16" t="str">
        <f t="shared" si="449"/>
        <v/>
      </c>
      <c r="R1354" s="23" t="str">
        <f t="shared" si="450"/>
        <v/>
      </c>
      <c r="S1354" s="23" t="str">
        <f t="shared" si="451"/>
        <v/>
      </c>
      <c r="T1354" s="23" t="str">
        <f t="shared" si="452"/>
        <v/>
      </c>
      <c r="U1354" s="23" t="str">
        <f t="shared" si="453"/>
        <v/>
      </c>
      <c r="V1354" s="23" t="str">
        <f t="shared" si="454"/>
        <v/>
      </c>
      <c r="W1354" s="70" t="str">
        <f t="shared" si="455"/>
        <v/>
      </c>
      <c r="X1354" s="70" t="str">
        <f t="shared" si="456"/>
        <v/>
      </c>
      <c r="Y1354" s="70" t="str">
        <f>IF(AND($A1354&lt;&gt;"",$E1354&gt;0),isLaptopBag($C1354,$J1354)*$D1354,"")</f>
        <v/>
      </c>
      <c r="Z1354" s="70" t="str">
        <f t="shared" si="457"/>
        <v/>
      </c>
      <c r="AA1354" s="70" t="str">
        <f t="shared" si="458"/>
        <v/>
      </c>
      <c r="AB1354" s="70" t="str">
        <f t="shared" si="459"/>
        <v/>
      </c>
      <c r="AC1354" s="70" t="str">
        <f t="shared" si="460"/>
        <v/>
      </c>
      <c r="AD1354" s="70" t="str">
        <f t="shared" si="461"/>
        <v/>
      </c>
      <c r="AE1354" s="70" t="str">
        <f t="shared" si="462"/>
        <v/>
      </c>
      <c r="AF1354" s="16"/>
      <c r="AG1354" s="23"/>
      <c r="AH1354" s="22"/>
      <c r="AJ1354" s="83">
        <f t="shared" si="463"/>
        <v>0</v>
      </c>
      <c r="AO1354" s="22" t="str">
        <f t="shared" si="464"/>
        <v/>
      </c>
      <c r="AP1354" s="22" t="str">
        <f t="shared" si="465"/>
        <v/>
      </c>
    </row>
    <row r="1355" spans="1:42" x14ac:dyDescent="0.25">
      <c r="A1355" s="10"/>
      <c r="B1355" s="10"/>
      <c r="C1355" s="10"/>
      <c r="D1355" s="10"/>
      <c r="E1355" s="10"/>
      <c r="F1355" s="10"/>
      <c r="G1355" s="10"/>
      <c r="H1355" s="17"/>
      <c r="I1355" s="10"/>
      <c r="J1355" s="10"/>
      <c r="K1355" s="16" t="str">
        <f t="shared" si="444"/>
        <v/>
      </c>
      <c r="L1355" s="23" t="str">
        <f t="shared" si="445"/>
        <v/>
      </c>
      <c r="M1355" s="22" t="str">
        <f t="shared" si="446"/>
        <v/>
      </c>
      <c r="N1355" s="72"/>
      <c r="O1355" s="16" t="str">
        <f t="shared" si="447"/>
        <v/>
      </c>
      <c r="P1355" s="16" t="str">
        <f t="shared" si="448"/>
        <v/>
      </c>
      <c r="Q1355" s="16" t="str">
        <f t="shared" si="449"/>
        <v/>
      </c>
      <c r="R1355" s="23" t="str">
        <f t="shared" si="450"/>
        <v/>
      </c>
      <c r="S1355" s="23" t="str">
        <f t="shared" si="451"/>
        <v/>
      </c>
      <c r="T1355" s="23" t="str">
        <f t="shared" si="452"/>
        <v/>
      </c>
      <c r="U1355" s="23" t="str">
        <f t="shared" si="453"/>
        <v/>
      </c>
      <c r="V1355" s="23" t="str">
        <f t="shared" si="454"/>
        <v/>
      </c>
      <c r="W1355" s="70" t="str">
        <f t="shared" si="455"/>
        <v/>
      </c>
      <c r="X1355" s="70" t="str">
        <f t="shared" si="456"/>
        <v/>
      </c>
      <c r="Y1355" s="70" t="str">
        <f>IF(AND($A1355&lt;&gt;"",$E1355&gt;0),isLaptopBag($C1355,$J1355)*$D1355,"")</f>
        <v/>
      </c>
      <c r="Z1355" s="70" t="str">
        <f t="shared" si="457"/>
        <v/>
      </c>
      <c r="AA1355" s="70" t="str">
        <f t="shared" si="458"/>
        <v/>
      </c>
      <c r="AB1355" s="70" t="str">
        <f t="shared" si="459"/>
        <v/>
      </c>
      <c r="AC1355" s="70" t="str">
        <f t="shared" si="460"/>
        <v/>
      </c>
      <c r="AD1355" s="70" t="str">
        <f t="shared" si="461"/>
        <v/>
      </c>
      <c r="AE1355" s="70" t="str">
        <f t="shared" si="462"/>
        <v/>
      </c>
      <c r="AF1355" s="16"/>
      <c r="AG1355" s="23"/>
      <c r="AH1355" s="22"/>
      <c r="AJ1355" s="83">
        <f t="shared" si="463"/>
        <v>0</v>
      </c>
      <c r="AO1355" s="22" t="str">
        <f t="shared" si="464"/>
        <v/>
      </c>
      <c r="AP1355" s="22" t="str">
        <f t="shared" si="465"/>
        <v/>
      </c>
    </row>
    <row r="1356" spans="1:42" x14ac:dyDescent="0.25">
      <c r="A1356" s="10"/>
      <c r="B1356" s="10"/>
      <c r="C1356" s="10"/>
      <c r="D1356" s="10"/>
      <c r="E1356" s="10"/>
      <c r="F1356" s="10"/>
      <c r="G1356" s="10"/>
      <c r="H1356" s="17"/>
      <c r="I1356" s="10"/>
      <c r="J1356" s="10"/>
      <c r="K1356" s="16" t="str">
        <f t="shared" si="444"/>
        <v/>
      </c>
      <c r="L1356" s="23" t="str">
        <f t="shared" si="445"/>
        <v/>
      </c>
      <c r="M1356" s="22" t="str">
        <f t="shared" si="446"/>
        <v/>
      </c>
      <c r="N1356" s="72"/>
      <c r="O1356" s="16" t="str">
        <f t="shared" si="447"/>
        <v/>
      </c>
      <c r="P1356" s="16" t="str">
        <f t="shared" si="448"/>
        <v/>
      </c>
      <c r="Q1356" s="16" t="str">
        <f t="shared" si="449"/>
        <v/>
      </c>
      <c r="R1356" s="23" t="str">
        <f t="shared" si="450"/>
        <v/>
      </c>
      <c r="S1356" s="23" t="str">
        <f t="shared" si="451"/>
        <v/>
      </c>
      <c r="T1356" s="23" t="str">
        <f t="shared" si="452"/>
        <v/>
      </c>
      <c r="U1356" s="23" t="str">
        <f t="shared" si="453"/>
        <v/>
      </c>
      <c r="V1356" s="23" t="str">
        <f t="shared" si="454"/>
        <v/>
      </c>
      <c r="W1356" s="70" t="str">
        <f t="shared" si="455"/>
        <v/>
      </c>
      <c r="X1356" s="70" t="str">
        <f t="shared" si="456"/>
        <v/>
      </c>
      <c r="Y1356" s="70" t="str">
        <f>IF(AND($A1356&lt;&gt;"",$E1356&gt;0),isLaptopBag($C1356,$J1356)*$D1356,"")</f>
        <v/>
      </c>
      <c r="Z1356" s="70" t="str">
        <f t="shared" si="457"/>
        <v/>
      </c>
      <c r="AA1356" s="70" t="str">
        <f t="shared" si="458"/>
        <v/>
      </c>
      <c r="AB1356" s="70" t="str">
        <f t="shared" si="459"/>
        <v/>
      </c>
      <c r="AC1356" s="70" t="str">
        <f t="shared" si="460"/>
        <v/>
      </c>
      <c r="AD1356" s="70" t="str">
        <f t="shared" si="461"/>
        <v/>
      </c>
      <c r="AE1356" s="70" t="str">
        <f t="shared" si="462"/>
        <v/>
      </c>
      <c r="AF1356" s="16"/>
      <c r="AG1356" s="23"/>
      <c r="AH1356" s="22"/>
      <c r="AJ1356" s="83">
        <f t="shared" si="463"/>
        <v>0</v>
      </c>
      <c r="AO1356" s="22" t="str">
        <f t="shared" si="464"/>
        <v/>
      </c>
      <c r="AP1356" s="22" t="str">
        <f t="shared" si="465"/>
        <v/>
      </c>
    </row>
    <row r="1357" spans="1:42" x14ac:dyDescent="0.25">
      <c r="A1357" s="10"/>
      <c r="B1357" s="10"/>
      <c r="C1357" s="10"/>
      <c r="D1357" s="10"/>
      <c r="E1357" s="10"/>
      <c r="F1357" s="10"/>
      <c r="G1357" s="10"/>
      <c r="H1357" s="17"/>
      <c r="I1357" s="10"/>
      <c r="J1357" s="10"/>
      <c r="K1357" s="16" t="str">
        <f t="shared" ref="K1357:K1420" si="466">IF($AF1357&lt;&gt;"",$AF1357,IF(AND($A1357&lt;&gt;"",$E1357&gt;0),SUM($O1357:$Q1357),""))</f>
        <v/>
      </c>
      <c r="L1357" s="23" t="str">
        <f t="shared" ref="L1357:L1420" si="467">IF($AG1357&lt;&gt;"",$AG1357,IF(AND($A1357&lt;&gt;"",$E1357&gt;0),SUM($R1357:$V1357),""))</f>
        <v/>
      </c>
      <c r="M1357" s="22" t="str">
        <f t="shared" ref="M1357:M1420" si="468">IF($AH1357&lt;&gt;"",$AH1357,IF(AND($A1357&lt;&gt;"",$E1357&gt;0),SUM($W1357:$AE1357)+$AO1357+$AP1357,""))</f>
        <v/>
      </c>
      <c r="N1357" s="72"/>
      <c r="O1357" s="16" t="str">
        <f t="shared" ref="O1357:O1420" si="469">IF(AND($A1357&lt;&gt;"",$E1357&gt;0),IF(AND($J1357="SONY",200000&lt;=$E1357,$E1357&lt;1000000),5000*$D1357,0),"")</f>
        <v/>
      </c>
      <c r="P1357" s="16" t="str">
        <f t="shared" ref="P1357:P1420" si="470">IF(AND($A1357&lt;&gt;"",$E1357&gt;0),IF(AND($J1357="SONY",1000000&lt;=$E1357,$E1357&lt;2000000),10000*$D1357,0),"")</f>
        <v/>
      </c>
      <c r="Q1357" s="16" t="str">
        <f t="shared" ref="Q1357:Q1420" si="471">IF(AND($A1357&lt;&gt;"",$E1357&gt;0),IF(AND($J1357="SONY",$E1357&gt;=2000000),20000*$D1357,0),"")</f>
        <v/>
      </c>
      <c r="R1357" s="23" t="str">
        <f t="shared" ref="R1357:R1420" si="472">IF(AND($A1357&lt;&gt;"",$E1357&gt;0),IF(AND($J1357&lt;&gt;"SONY",100000&lt;=$E1357,$E1357&lt;200000),5000*$D1357,0),"")</f>
        <v/>
      </c>
      <c r="S1357" s="23" t="str">
        <f t="shared" ref="S1357:S1420" si="473">IF(AND($A1357&lt;&gt;"",$E1357&gt;0),IF(AND($J1357&lt;&gt;"SONY",200000&lt;=$E1357,$E1357&lt;500000),10000*$D1357,0),"")</f>
        <v/>
      </c>
      <c r="T1357" s="23" t="str">
        <f t="shared" ref="T1357:T1420" si="474">IF(AND($A1357&lt;&gt;"",$E1357&gt;0),IF(AND($J1357&lt;&gt;"SONY",500000&lt;=$E1357,$E1357&lt;1000000),20000*$D1357,0),"")</f>
        <v/>
      </c>
      <c r="U1357" s="23" t="str">
        <f t="shared" ref="U1357:U1420" si="475">IF(AND($A1357&lt;&gt;"",$E1357&gt;0),IF(AND($J1357&lt;&gt;"SONY",1000000&lt;=$E1357,$E1357&lt;1500000),50000*$D1357,0),"")</f>
        <v/>
      </c>
      <c r="V1357" s="23" t="str">
        <f t="shared" ref="V1357:V1420" si="476">IF(AND($A1357&lt;&gt;"",$E1357&gt;0),IF(AND($J1357&lt;&gt;"SONY",1500000&lt;=$E1357),100000*$D1357,0),"")</f>
        <v/>
      </c>
      <c r="W1357" s="70" t="str">
        <f t="shared" ref="W1357:W1420" si="477">IF(AND($E1357&gt;0,$J1357="ELECOM",$E1357&gt;=500000,ISNUMBER(SEARCH("tai nghe",$C1357))),20000*$D1357,IF($A1357&lt;&gt;"",0,""))</f>
        <v/>
      </c>
      <c r="X1357" s="70" t="str">
        <f t="shared" ref="X1357:X1420" si="478">IF(AND($E1357&gt;0,$J1357="ELECOM",ISNUMBER(SEARCH("loa",$C1357))),20000*$D1357,IF($A1357&lt;&gt;"",0,""))</f>
        <v/>
      </c>
      <c r="Y1357" s="70" t="str">
        <f>IF(AND($A1357&lt;&gt;"",$E1357&gt;0),isLaptopBag($C1357,$J1357)*$D1357,"")</f>
        <v/>
      </c>
      <c r="Z1357" s="70" t="str">
        <f t="shared" ref="Z1357:Z1420" si="479">IF(AND($E1357&gt;0,$J1357="ELECOM",ISNUMBER(SEARCH("ốp",$C1357))),20000*$D1357,IF($A1357&lt;&gt;"",0,""))</f>
        <v/>
      </c>
      <c r="AA1357" s="70" t="str">
        <f t="shared" ref="AA1357:AA1420" si="480">IF(AND($E1357&gt;0,$J1357="ELECOM",ISNUMBER(SEARCH("Bút",$C1357))),20000*$D1357,IF($A1357&lt;&gt;"",0,""))</f>
        <v/>
      </c>
      <c r="AB1357" s="70" t="str">
        <f t="shared" ref="AB1357:AB1420" si="481">IF(AND($E1357&gt;0,$J1357="ELECOM",ISNUMBER(SEARCH("Chuột bi",$C1357))),20000*$D1357,IF($A1357&lt;&gt;"",0,""))</f>
        <v/>
      </c>
      <c r="AC1357" s="70" t="str">
        <f t="shared" ref="AC1357:AC1420" si="482">IF(AND($E1357&gt;0,$J1357="ELECOM",ISNUMBER(SEARCH("Chuột trackball",$C1357))),20000*$D1357,IF($A1357&lt;&gt;"",0,""))</f>
        <v/>
      </c>
      <c r="AD1357" s="70" t="str">
        <f t="shared" ref="AD1357:AD1420" si="483">IF(AND($E1357&gt;0,$J1357="ELECOM",ISNUMBER(SEARCH("Sạc không dây",$C1357))),20000*$D1357,IF($A1357&lt;&gt;"",0,""))</f>
        <v/>
      </c>
      <c r="AE1357" s="70" t="str">
        <f t="shared" ref="AE1357:AE1420" si="484">IF(AND($E1357&gt;0,$J1357="ELECOM",ISNUMBER(SEARCH("Sạc kd",$C1357))),20000*$D1357,IF($A1357&lt;&gt;"",0,""))</f>
        <v/>
      </c>
      <c r="AF1357" s="16"/>
      <c r="AG1357" s="23"/>
      <c r="AH1357" s="22"/>
      <c r="AJ1357" s="83">
        <f t="shared" ref="AJ1357:AJ1420" si="485">DAY(H1357)</f>
        <v>0</v>
      </c>
      <c r="AO1357" s="22" t="str">
        <f t="shared" ref="AO1357:AO1420" si="486">IF(AND($E1357&gt;0,ISNUMBER(SEARCH("Sạc dự phòng Energizer",$C1357))),10000*$D1357,IF($A1357&lt;&gt;"",0,""))</f>
        <v/>
      </c>
      <c r="AP1357" s="22" t="str">
        <f t="shared" ref="AP1357:AP1420" si="487">IF(AND($E1357&gt;0,ISNUMBER(SEARCH("SDP Energizer",$C1357))),10000*$D1357,IF($A1357&lt;&gt;"",0,""))</f>
        <v/>
      </c>
    </row>
    <row r="1358" spans="1:42" x14ac:dyDescent="0.25">
      <c r="A1358" s="10"/>
      <c r="B1358" s="10"/>
      <c r="C1358" s="10"/>
      <c r="D1358" s="10"/>
      <c r="E1358" s="10"/>
      <c r="F1358" s="10"/>
      <c r="G1358" s="10"/>
      <c r="H1358" s="17"/>
      <c r="I1358" s="10"/>
      <c r="J1358" s="10"/>
      <c r="K1358" s="16" t="str">
        <f t="shared" si="466"/>
        <v/>
      </c>
      <c r="L1358" s="23" t="str">
        <f t="shared" si="467"/>
        <v/>
      </c>
      <c r="M1358" s="22" t="str">
        <f t="shared" si="468"/>
        <v/>
      </c>
      <c r="N1358" s="72"/>
      <c r="O1358" s="16" t="str">
        <f t="shared" si="469"/>
        <v/>
      </c>
      <c r="P1358" s="16" t="str">
        <f t="shared" si="470"/>
        <v/>
      </c>
      <c r="Q1358" s="16" t="str">
        <f t="shared" si="471"/>
        <v/>
      </c>
      <c r="R1358" s="23" t="str">
        <f t="shared" si="472"/>
        <v/>
      </c>
      <c r="S1358" s="23" t="str">
        <f t="shared" si="473"/>
        <v/>
      </c>
      <c r="T1358" s="23" t="str">
        <f t="shared" si="474"/>
        <v/>
      </c>
      <c r="U1358" s="23" t="str">
        <f t="shared" si="475"/>
        <v/>
      </c>
      <c r="V1358" s="23" t="str">
        <f t="shared" si="476"/>
        <v/>
      </c>
      <c r="W1358" s="70" t="str">
        <f t="shared" si="477"/>
        <v/>
      </c>
      <c r="X1358" s="70" t="str">
        <f t="shared" si="478"/>
        <v/>
      </c>
      <c r="Y1358" s="70" t="str">
        <f>IF(AND($A1358&lt;&gt;"",$E1358&gt;0),isLaptopBag($C1358,$J1358)*$D1358,"")</f>
        <v/>
      </c>
      <c r="Z1358" s="70" t="str">
        <f t="shared" si="479"/>
        <v/>
      </c>
      <c r="AA1358" s="70" t="str">
        <f t="shared" si="480"/>
        <v/>
      </c>
      <c r="AB1358" s="70" t="str">
        <f t="shared" si="481"/>
        <v/>
      </c>
      <c r="AC1358" s="70" t="str">
        <f t="shared" si="482"/>
        <v/>
      </c>
      <c r="AD1358" s="70" t="str">
        <f t="shared" si="483"/>
        <v/>
      </c>
      <c r="AE1358" s="70" t="str">
        <f t="shared" si="484"/>
        <v/>
      </c>
      <c r="AF1358" s="16"/>
      <c r="AG1358" s="23"/>
      <c r="AH1358" s="22"/>
      <c r="AJ1358" s="83">
        <f t="shared" si="485"/>
        <v>0</v>
      </c>
      <c r="AO1358" s="22" t="str">
        <f t="shared" si="486"/>
        <v/>
      </c>
      <c r="AP1358" s="22" t="str">
        <f t="shared" si="487"/>
        <v/>
      </c>
    </row>
    <row r="1359" spans="1:42" x14ac:dyDescent="0.25">
      <c r="A1359" s="10"/>
      <c r="B1359" s="10"/>
      <c r="C1359" s="10"/>
      <c r="D1359" s="10"/>
      <c r="E1359" s="10"/>
      <c r="F1359" s="10"/>
      <c r="G1359" s="10"/>
      <c r="H1359" s="17"/>
      <c r="I1359" s="10"/>
      <c r="J1359" s="10"/>
      <c r="K1359" s="16" t="str">
        <f t="shared" si="466"/>
        <v/>
      </c>
      <c r="L1359" s="23" t="str">
        <f t="shared" si="467"/>
        <v/>
      </c>
      <c r="M1359" s="22" t="str">
        <f t="shared" si="468"/>
        <v/>
      </c>
      <c r="N1359" s="72"/>
      <c r="O1359" s="16" t="str">
        <f t="shared" si="469"/>
        <v/>
      </c>
      <c r="P1359" s="16" t="str">
        <f t="shared" si="470"/>
        <v/>
      </c>
      <c r="Q1359" s="16" t="str">
        <f t="shared" si="471"/>
        <v/>
      </c>
      <c r="R1359" s="23" t="str">
        <f t="shared" si="472"/>
        <v/>
      </c>
      <c r="S1359" s="23" t="str">
        <f t="shared" si="473"/>
        <v/>
      </c>
      <c r="T1359" s="23" t="str">
        <f t="shared" si="474"/>
        <v/>
      </c>
      <c r="U1359" s="23" t="str">
        <f t="shared" si="475"/>
        <v/>
      </c>
      <c r="V1359" s="23" t="str">
        <f t="shared" si="476"/>
        <v/>
      </c>
      <c r="W1359" s="70" t="str">
        <f t="shared" si="477"/>
        <v/>
      </c>
      <c r="X1359" s="70" t="str">
        <f t="shared" si="478"/>
        <v/>
      </c>
      <c r="Y1359" s="70" t="str">
        <f>IF(AND($A1359&lt;&gt;"",$E1359&gt;0),isLaptopBag($C1359,$J1359)*$D1359,"")</f>
        <v/>
      </c>
      <c r="Z1359" s="70" t="str">
        <f t="shared" si="479"/>
        <v/>
      </c>
      <c r="AA1359" s="70" t="str">
        <f t="shared" si="480"/>
        <v/>
      </c>
      <c r="AB1359" s="70" t="str">
        <f t="shared" si="481"/>
        <v/>
      </c>
      <c r="AC1359" s="70" t="str">
        <f t="shared" si="482"/>
        <v/>
      </c>
      <c r="AD1359" s="70" t="str">
        <f t="shared" si="483"/>
        <v/>
      </c>
      <c r="AE1359" s="70" t="str">
        <f t="shared" si="484"/>
        <v/>
      </c>
      <c r="AF1359" s="16"/>
      <c r="AG1359" s="23"/>
      <c r="AH1359" s="22"/>
      <c r="AJ1359" s="83">
        <f t="shared" si="485"/>
        <v>0</v>
      </c>
      <c r="AO1359" s="22" t="str">
        <f t="shared" si="486"/>
        <v/>
      </c>
      <c r="AP1359" s="22" t="str">
        <f t="shared" si="487"/>
        <v/>
      </c>
    </row>
    <row r="1360" spans="1:42" x14ac:dyDescent="0.25">
      <c r="A1360" s="10"/>
      <c r="B1360" s="10"/>
      <c r="C1360" s="10"/>
      <c r="D1360" s="10"/>
      <c r="E1360" s="10"/>
      <c r="F1360" s="10"/>
      <c r="G1360" s="10"/>
      <c r="H1360" s="17"/>
      <c r="I1360" s="10"/>
      <c r="J1360" s="10"/>
      <c r="K1360" s="16" t="str">
        <f t="shared" si="466"/>
        <v/>
      </c>
      <c r="L1360" s="23" t="str">
        <f t="shared" si="467"/>
        <v/>
      </c>
      <c r="M1360" s="22" t="str">
        <f t="shared" si="468"/>
        <v/>
      </c>
      <c r="N1360" s="72"/>
      <c r="O1360" s="16" t="str">
        <f t="shared" si="469"/>
        <v/>
      </c>
      <c r="P1360" s="16" t="str">
        <f t="shared" si="470"/>
        <v/>
      </c>
      <c r="Q1360" s="16" t="str">
        <f t="shared" si="471"/>
        <v/>
      </c>
      <c r="R1360" s="23" t="str">
        <f t="shared" si="472"/>
        <v/>
      </c>
      <c r="S1360" s="23" t="str">
        <f t="shared" si="473"/>
        <v/>
      </c>
      <c r="T1360" s="23" t="str">
        <f t="shared" si="474"/>
        <v/>
      </c>
      <c r="U1360" s="23" t="str">
        <f t="shared" si="475"/>
        <v/>
      </c>
      <c r="V1360" s="23" t="str">
        <f t="shared" si="476"/>
        <v/>
      </c>
      <c r="W1360" s="70" t="str">
        <f t="shared" si="477"/>
        <v/>
      </c>
      <c r="X1360" s="70" t="str">
        <f t="shared" si="478"/>
        <v/>
      </c>
      <c r="Y1360" s="70" t="str">
        <f>IF(AND($A1360&lt;&gt;"",$E1360&gt;0),isLaptopBag($C1360,$J1360)*$D1360,"")</f>
        <v/>
      </c>
      <c r="Z1360" s="70" t="str">
        <f t="shared" si="479"/>
        <v/>
      </c>
      <c r="AA1360" s="70" t="str">
        <f t="shared" si="480"/>
        <v/>
      </c>
      <c r="AB1360" s="70" t="str">
        <f t="shared" si="481"/>
        <v/>
      </c>
      <c r="AC1360" s="70" t="str">
        <f t="shared" si="482"/>
        <v/>
      </c>
      <c r="AD1360" s="70" t="str">
        <f t="shared" si="483"/>
        <v/>
      </c>
      <c r="AE1360" s="70" t="str">
        <f t="shared" si="484"/>
        <v/>
      </c>
      <c r="AF1360" s="16"/>
      <c r="AG1360" s="23"/>
      <c r="AH1360" s="22"/>
      <c r="AJ1360" s="83">
        <f t="shared" si="485"/>
        <v>0</v>
      </c>
      <c r="AO1360" s="22" t="str">
        <f t="shared" si="486"/>
        <v/>
      </c>
      <c r="AP1360" s="22" t="str">
        <f t="shared" si="487"/>
        <v/>
      </c>
    </row>
    <row r="1361" spans="1:42" x14ac:dyDescent="0.25">
      <c r="A1361" s="10"/>
      <c r="B1361" s="10"/>
      <c r="C1361" s="10"/>
      <c r="D1361" s="10"/>
      <c r="E1361" s="10"/>
      <c r="F1361" s="10"/>
      <c r="G1361" s="10"/>
      <c r="H1361" s="17"/>
      <c r="I1361" s="10"/>
      <c r="J1361" s="10"/>
      <c r="K1361" s="16" t="str">
        <f t="shared" si="466"/>
        <v/>
      </c>
      <c r="L1361" s="23" t="str">
        <f t="shared" si="467"/>
        <v/>
      </c>
      <c r="M1361" s="22" t="str">
        <f t="shared" si="468"/>
        <v/>
      </c>
      <c r="N1361" s="72"/>
      <c r="O1361" s="16" t="str">
        <f t="shared" si="469"/>
        <v/>
      </c>
      <c r="P1361" s="16" t="str">
        <f t="shared" si="470"/>
        <v/>
      </c>
      <c r="Q1361" s="16" t="str">
        <f t="shared" si="471"/>
        <v/>
      </c>
      <c r="R1361" s="23" t="str">
        <f t="shared" si="472"/>
        <v/>
      </c>
      <c r="S1361" s="23" t="str">
        <f t="shared" si="473"/>
        <v/>
      </c>
      <c r="T1361" s="23" t="str">
        <f t="shared" si="474"/>
        <v/>
      </c>
      <c r="U1361" s="23" t="str">
        <f t="shared" si="475"/>
        <v/>
      </c>
      <c r="V1361" s="23" t="str">
        <f t="shared" si="476"/>
        <v/>
      </c>
      <c r="W1361" s="70" t="str">
        <f t="shared" si="477"/>
        <v/>
      </c>
      <c r="X1361" s="70" t="str">
        <f t="shared" si="478"/>
        <v/>
      </c>
      <c r="Y1361" s="70" t="str">
        <f>IF(AND($A1361&lt;&gt;"",$E1361&gt;0),isLaptopBag($C1361,$J1361)*$D1361,"")</f>
        <v/>
      </c>
      <c r="Z1361" s="70" t="str">
        <f t="shared" si="479"/>
        <v/>
      </c>
      <c r="AA1361" s="70" t="str">
        <f t="shared" si="480"/>
        <v/>
      </c>
      <c r="AB1361" s="70" t="str">
        <f t="shared" si="481"/>
        <v/>
      </c>
      <c r="AC1361" s="70" t="str">
        <f t="shared" si="482"/>
        <v/>
      </c>
      <c r="AD1361" s="70" t="str">
        <f t="shared" si="483"/>
        <v/>
      </c>
      <c r="AE1361" s="70" t="str">
        <f t="shared" si="484"/>
        <v/>
      </c>
      <c r="AF1361" s="16"/>
      <c r="AG1361" s="23"/>
      <c r="AH1361" s="22"/>
      <c r="AJ1361" s="83">
        <f t="shared" si="485"/>
        <v>0</v>
      </c>
      <c r="AO1361" s="22" t="str">
        <f t="shared" si="486"/>
        <v/>
      </c>
      <c r="AP1361" s="22" t="str">
        <f t="shared" si="487"/>
        <v/>
      </c>
    </row>
    <row r="1362" spans="1:42" x14ac:dyDescent="0.25">
      <c r="A1362" s="10"/>
      <c r="B1362" s="10"/>
      <c r="C1362" s="10"/>
      <c r="D1362" s="10"/>
      <c r="E1362" s="10"/>
      <c r="F1362" s="10"/>
      <c r="G1362" s="10"/>
      <c r="H1362" s="17"/>
      <c r="I1362" s="10"/>
      <c r="J1362" s="10"/>
      <c r="K1362" s="16" t="str">
        <f t="shared" si="466"/>
        <v/>
      </c>
      <c r="L1362" s="23" t="str">
        <f t="shared" si="467"/>
        <v/>
      </c>
      <c r="M1362" s="22" t="str">
        <f t="shared" si="468"/>
        <v/>
      </c>
      <c r="N1362" s="72"/>
      <c r="O1362" s="16" t="str">
        <f t="shared" si="469"/>
        <v/>
      </c>
      <c r="P1362" s="16" t="str">
        <f t="shared" si="470"/>
        <v/>
      </c>
      <c r="Q1362" s="16" t="str">
        <f t="shared" si="471"/>
        <v/>
      </c>
      <c r="R1362" s="23" t="str">
        <f t="shared" si="472"/>
        <v/>
      </c>
      <c r="S1362" s="23" t="str">
        <f t="shared" si="473"/>
        <v/>
      </c>
      <c r="T1362" s="23" t="str">
        <f t="shared" si="474"/>
        <v/>
      </c>
      <c r="U1362" s="23" t="str">
        <f t="shared" si="475"/>
        <v/>
      </c>
      <c r="V1362" s="23" t="str">
        <f t="shared" si="476"/>
        <v/>
      </c>
      <c r="W1362" s="70" t="str">
        <f t="shared" si="477"/>
        <v/>
      </c>
      <c r="X1362" s="70" t="str">
        <f t="shared" si="478"/>
        <v/>
      </c>
      <c r="Y1362" s="70" t="str">
        <f>IF(AND($A1362&lt;&gt;"",$E1362&gt;0),isLaptopBag($C1362,$J1362)*$D1362,"")</f>
        <v/>
      </c>
      <c r="Z1362" s="70" t="str">
        <f t="shared" si="479"/>
        <v/>
      </c>
      <c r="AA1362" s="70" t="str">
        <f t="shared" si="480"/>
        <v/>
      </c>
      <c r="AB1362" s="70" t="str">
        <f t="shared" si="481"/>
        <v/>
      </c>
      <c r="AC1362" s="70" t="str">
        <f t="shared" si="482"/>
        <v/>
      </c>
      <c r="AD1362" s="70" t="str">
        <f t="shared" si="483"/>
        <v/>
      </c>
      <c r="AE1362" s="70" t="str">
        <f t="shared" si="484"/>
        <v/>
      </c>
      <c r="AF1362" s="16"/>
      <c r="AG1362" s="23"/>
      <c r="AH1362" s="22"/>
      <c r="AJ1362" s="83">
        <f t="shared" si="485"/>
        <v>0</v>
      </c>
      <c r="AO1362" s="22" t="str">
        <f t="shared" si="486"/>
        <v/>
      </c>
      <c r="AP1362" s="22" t="str">
        <f t="shared" si="487"/>
        <v/>
      </c>
    </row>
    <row r="1363" spans="1:42" x14ac:dyDescent="0.25">
      <c r="A1363" s="10"/>
      <c r="B1363" s="10"/>
      <c r="C1363" s="10"/>
      <c r="D1363" s="10"/>
      <c r="E1363" s="10"/>
      <c r="F1363" s="10"/>
      <c r="G1363" s="10"/>
      <c r="H1363" s="17"/>
      <c r="I1363" s="10"/>
      <c r="J1363" s="10"/>
      <c r="K1363" s="16" t="str">
        <f t="shared" si="466"/>
        <v/>
      </c>
      <c r="L1363" s="23" t="str">
        <f t="shared" si="467"/>
        <v/>
      </c>
      <c r="M1363" s="22" t="str">
        <f t="shared" si="468"/>
        <v/>
      </c>
      <c r="N1363" s="72"/>
      <c r="O1363" s="16" t="str">
        <f t="shared" si="469"/>
        <v/>
      </c>
      <c r="P1363" s="16" t="str">
        <f t="shared" si="470"/>
        <v/>
      </c>
      <c r="Q1363" s="16" t="str">
        <f t="shared" si="471"/>
        <v/>
      </c>
      <c r="R1363" s="23" t="str">
        <f t="shared" si="472"/>
        <v/>
      </c>
      <c r="S1363" s="23" t="str">
        <f t="shared" si="473"/>
        <v/>
      </c>
      <c r="T1363" s="23" t="str">
        <f t="shared" si="474"/>
        <v/>
      </c>
      <c r="U1363" s="23" t="str">
        <f t="shared" si="475"/>
        <v/>
      </c>
      <c r="V1363" s="23" t="str">
        <f t="shared" si="476"/>
        <v/>
      </c>
      <c r="W1363" s="70" t="str">
        <f t="shared" si="477"/>
        <v/>
      </c>
      <c r="X1363" s="70" t="str">
        <f t="shared" si="478"/>
        <v/>
      </c>
      <c r="Y1363" s="70" t="str">
        <f>IF(AND($A1363&lt;&gt;"",$E1363&gt;0),isLaptopBag($C1363,$J1363)*$D1363,"")</f>
        <v/>
      </c>
      <c r="Z1363" s="70" t="str">
        <f t="shared" si="479"/>
        <v/>
      </c>
      <c r="AA1363" s="70" t="str">
        <f t="shared" si="480"/>
        <v/>
      </c>
      <c r="AB1363" s="70" t="str">
        <f t="shared" si="481"/>
        <v/>
      </c>
      <c r="AC1363" s="70" t="str">
        <f t="shared" si="482"/>
        <v/>
      </c>
      <c r="AD1363" s="70" t="str">
        <f t="shared" si="483"/>
        <v/>
      </c>
      <c r="AE1363" s="70" t="str">
        <f t="shared" si="484"/>
        <v/>
      </c>
      <c r="AF1363" s="16"/>
      <c r="AG1363" s="23"/>
      <c r="AH1363" s="22"/>
      <c r="AJ1363" s="83">
        <f t="shared" si="485"/>
        <v>0</v>
      </c>
      <c r="AO1363" s="22" t="str">
        <f t="shared" si="486"/>
        <v/>
      </c>
      <c r="AP1363" s="22" t="str">
        <f t="shared" si="487"/>
        <v/>
      </c>
    </row>
    <row r="1364" spans="1:42" x14ac:dyDescent="0.25">
      <c r="A1364" s="10"/>
      <c r="B1364" s="10"/>
      <c r="C1364" s="10"/>
      <c r="D1364" s="10"/>
      <c r="E1364" s="10"/>
      <c r="F1364" s="10"/>
      <c r="G1364" s="10"/>
      <c r="H1364" s="17"/>
      <c r="I1364" s="10"/>
      <c r="J1364" s="10"/>
      <c r="K1364" s="16" t="str">
        <f t="shared" si="466"/>
        <v/>
      </c>
      <c r="L1364" s="23" t="str">
        <f t="shared" si="467"/>
        <v/>
      </c>
      <c r="M1364" s="22" t="str">
        <f t="shared" si="468"/>
        <v/>
      </c>
      <c r="N1364" s="72"/>
      <c r="O1364" s="16" t="str">
        <f t="shared" si="469"/>
        <v/>
      </c>
      <c r="P1364" s="16" t="str">
        <f t="shared" si="470"/>
        <v/>
      </c>
      <c r="Q1364" s="16" t="str">
        <f t="shared" si="471"/>
        <v/>
      </c>
      <c r="R1364" s="23" t="str">
        <f t="shared" si="472"/>
        <v/>
      </c>
      <c r="S1364" s="23" t="str">
        <f t="shared" si="473"/>
        <v/>
      </c>
      <c r="T1364" s="23" t="str">
        <f t="shared" si="474"/>
        <v/>
      </c>
      <c r="U1364" s="23" t="str">
        <f t="shared" si="475"/>
        <v/>
      </c>
      <c r="V1364" s="23" t="str">
        <f t="shared" si="476"/>
        <v/>
      </c>
      <c r="W1364" s="70" t="str">
        <f t="shared" si="477"/>
        <v/>
      </c>
      <c r="X1364" s="70" t="str">
        <f t="shared" si="478"/>
        <v/>
      </c>
      <c r="Y1364" s="70" t="str">
        <f>IF(AND($A1364&lt;&gt;"",$E1364&gt;0),isLaptopBag($C1364,$J1364)*$D1364,"")</f>
        <v/>
      </c>
      <c r="Z1364" s="70" t="str">
        <f t="shared" si="479"/>
        <v/>
      </c>
      <c r="AA1364" s="70" t="str">
        <f t="shared" si="480"/>
        <v/>
      </c>
      <c r="AB1364" s="70" t="str">
        <f t="shared" si="481"/>
        <v/>
      </c>
      <c r="AC1364" s="70" t="str">
        <f t="shared" si="482"/>
        <v/>
      </c>
      <c r="AD1364" s="70" t="str">
        <f t="shared" si="483"/>
        <v/>
      </c>
      <c r="AE1364" s="70" t="str">
        <f t="shared" si="484"/>
        <v/>
      </c>
      <c r="AF1364" s="16"/>
      <c r="AG1364" s="23"/>
      <c r="AH1364" s="22"/>
      <c r="AJ1364" s="83">
        <f t="shared" si="485"/>
        <v>0</v>
      </c>
      <c r="AO1364" s="22" t="str">
        <f t="shared" si="486"/>
        <v/>
      </c>
      <c r="AP1364" s="22" t="str">
        <f t="shared" si="487"/>
        <v/>
      </c>
    </row>
    <row r="1365" spans="1:42" x14ac:dyDescent="0.25">
      <c r="A1365" s="10"/>
      <c r="B1365" s="10"/>
      <c r="C1365" s="10"/>
      <c r="D1365" s="10"/>
      <c r="E1365" s="10"/>
      <c r="F1365" s="10"/>
      <c r="G1365" s="10"/>
      <c r="H1365" s="17"/>
      <c r="I1365" s="10"/>
      <c r="J1365" s="10"/>
      <c r="K1365" s="16" t="str">
        <f t="shared" si="466"/>
        <v/>
      </c>
      <c r="L1365" s="23" t="str">
        <f t="shared" si="467"/>
        <v/>
      </c>
      <c r="M1365" s="22" t="str">
        <f t="shared" si="468"/>
        <v/>
      </c>
      <c r="N1365" s="72"/>
      <c r="O1365" s="16" t="str">
        <f t="shared" si="469"/>
        <v/>
      </c>
      <c r="P1365" s="16" t="str">
        <f t="shared" si="470"/>
        <v/>
      </c>
      <c r="Q1365" s="16" t="str">
        <f t="shared" si="471"/>
        <v/>
      </c>
      <c r="R1365" s="23" t="str">
        <f t="shared" si="472"/>
        <v/>
      </c>
      <c r="S1365" s="23" t="str">
        <f t="shared" si="473"/>
        <v/>
      </c>
      <c r="T1365" s="23" t="str">
        <f t="shared" si="474"/>
        <v/>
      </c>
      <c r="U1365" s="23" t="str">
        <f t="shared" si="475"/>
        <v/>
      </c>
      <c r="V1365" s="23" t="str">
        <f t="shared" si="476"/>
        <v/>
      </c>
      <c r="W1365" s="70" t="str">
        <f t="shared" si="477"/>
        <v/>
      </c>
      <c r="X1365" s="70" t="str">
        <f t="shared" si="478"/>
        <v/>
      </c>
      <c r="Y1365" s="70" t="str">
        <f>IF(AND($A1365&lt;&gt;"",$E1365&gt;0),isLaptopBag($C1365,$J1365)*$D1365,"")</f>
        <v/>
      </c>
      <c r="Z1365" s="70" t="str">
        <f t="shared" si="479"/>
        <v/>
      </c>
      <c r="AA1365" s="70" t="str">
        <f t="shared" si="480"/>
        <v/>
      </c>
      <c r="AB1365" s="70" t="str">
        <f t="shared" si="481"/>
        <v/>
      </c>
      <c r="AC1365" s="70" t="str">
        <f t="shared" si="482"/>
        <v/>
      </c>
      <c r="AD1365" s="70" t="str">
        <f t="shared" si="483"/>
        <v/>
      </c>
      <c r="AE1365" s="70" t="str">
        <f t="shared" si="484"/>
        <v/>
      </c>
      <c r="AF1365" s="16"/>
      <c r="AG1365" s="23"/>
      <c r="AH1365" s="22"/>
      <c r="AJ1365" s="83">
        <f t="shared" si="485"/>
        <v>0</v>
      </c>
      <c r="AO1365" s="22" t="str">
        <f t="shared" si="486"/>
        <v/>
      </c>
      <c r="AP1365" s="22" t="str">
        <f t="shared" si="487"/>
        <v/>
      </c>
    </row>
    <row r="1366" spans="1:42" x14ac:dyDescent="0.25">
      <c r="A1366" s="10"/>
      <c r="B1366" s="10"/>
      <c r="C1366" s="10"/>
      <c r="D1366" s="10"/>
      <c r="E1366" s="10"/>
      <c r="F1366" s="10"/>
      <c r="G1366" s="10"/>
      <c r="H1366" s="17"/>
      <c r="I1366" s="10"/>
      <c r="J1366" s="10"/>
      <c r="K1366" s="16" t="str">
        <f t="shared" si="466"/>
        <v/>
      </c>
      <c r="L1366" s="23" t="str">
        <f t="shared" si="467"/>
        <v/>
      </c>
      <c r="M1366" s="22" t="str">
        <f t="shared" si="468"/>
        <v/>
      </c>
      <c r="N1366" s="72"/>
      <c r="O1366" s="16" t="str">
        <f t="shared" si="469"/>
        <v/>
      </c>
      <c r="P1366" s="16" t="str">
        <f t="shared" si="470"/>
        <v/>
      </c>
      <c r="Q1366" s="16" t="str">
        <f t="shared" si="471"/>
        <v/>
      </c>
      <c r="R1366" s="23" t="str">
        <f t="shared" si="472"/>
        <v/>
      </c>
      <c r="S1366" s="23" t="str">
        <f t="shared" si="473"/>
        <v/>
      </c>
      <c r="T1366" s="23" t="str">
        <f t="shared" si="474"/>
        <v/>
      </c>
      <c r="U1366" s="23" t="str">
        <f t="shared" si="475"/>
        <v/>
      </c>
      <c r="V1366" s="23" t="str">
        <f t="shared" si="476"/>
        <v/>
      </c>
      <c r="W1366" s="70" t="str">
        <f t="shared" si="477"/>
        <v/>
      </c>
      <c r="X1366" s="70" t="str">
        <f t="shared" si="478"/>
        <v/>
      </c>
      <c r="Y1366" s="70" t="str">
        <f>IF(AND($A1366&lt;&gt;"",$E1366&gt;0),isLaptopBag($C1366,$J1366)*$D1366,"")</f>
        <v/>
      </c>
      <c r="Z1366" s="70" t="str">
        <f t="shared" si="479"/>
        <v/>
      </c>
      <c r="AA1366" s="70" t="str">
        <f t="shared" si="480"/>
        <v/>
      </c>
      <c r="AB1366" s="70" t="str">
        <f t="shared" si="481"/>
        <v/>
      </c>
      <c r="AC1366" s="70" t="str">
        <f t="shared" si="482"/>
        <v/>
      </c>
      <c r="AD1366" s="70" t="str">
        <f t="shared" si="483"/>
        <v/>
      </c>
      <c r="AE1366" s="70" t="str">
        <f t="shared" si="484"/>
        <v/>
      </c>
      <c r="AF1366" s="16"/>
      <c r="AG1366" s="23"/>
      <c r="AH1366" s="22"/>
      <c r="AJ1366" s="83">
        <f t="shared" si="485"/>
        <v>0</v>
      </c>
      <c r="AO1366" s="22" t="str">
        <f t="shared" si="486"/>
        <v/>
      </c>
      <c r="AP1366" s="22" t="str">
        <f t="shared" si="487"/>
        <v/>
      </c>
    </row>
    <row r="1367" spans="1:42" x14ac:dyDescent="0.25">
      <c r="A1367" s="10"/>
      <c r="B1367" s="10"/>
      <c r="C1367" s="10"/>
      <c r="D1367" s="10"/>
      <c r="E1367" s="10"/>
      <c r="F1367" s="10"/>
      <c r="G1367" s="10"/>
      <c r="H1367" s="17"/>
      <c r="I1367" s="10"/>
      <c r="J1367" s="10"/>
      <c r="K1367" s="16" t="str">
        <f t="shared" si="466"/>
        <v/>
      </c>
      <c r="L1367" s="23" t="str">
        <f t="shared" si="467"/>
        <v/>
      </c>
      <c r="M1367" s="22" t="str">
        <f t="shared" si="468"/>
        <v/>
      </c>
      <c r="N1367" s="72"/>
      <c r="O1367" s="16" t="str">
        <f t="shared" si="469"/>
        <v/>
      </c>
      <c r="P1367" s="16" t="str">
        <f t="shared" si="470"/>
        <v/>
      </c>
      <c r="Q1367" s="16" t="str">
        <f t="shared" si="471"/>
        <v/>
      </c>
      <c r="R1367" s="23" t="str">
        <f t="shared" si="472"/>
        <v/>
      </c>
      <c r="S1367" s="23" t="str">
        <f t="shared" si="473"/>
        <v/>
      </c>
      <c r="T1367" s="23" t="str">
        <f t="shared" si="474"/>
        <v/>
      </c>
      <c r="U1367" s="23" t="str">
        <f t="shared" si="475"/>
        <v/>
      </c>
      <c r="V1367" s="23" t="str">
        <f t="shared" si="476"/>
        <v/>
      </c>
      <c r="W1367" s="70" t="str">
        <f t="shared" si="477"/>
        <v/>
      </c>
      <c r="X1367" s="70" t="str">
        <f t="shared" si="478"/>
        <v/>
      </c>
      <c r="Y1367" s="70" t="str">
        <f>IF(AND($A1367&lt;&gt;"",$E1367&gt;0),isLaptopBag($C1367,$J1367)*$D1367,"")</f>
        <v/>
      </c>
      <c r="Z1367" s="70" t="str">
        <f t="shared" si="479"/>
        <v/>
      </c>
      <c r="AA1367" s="70" t="str">
        <f t="shared" si="480"/>
        <v/>
      </c>
      <c r="AB1367" s="70" t="str">
        <f t="shared" si="481"/>
        <v/>
      </c>
      <c r="AC1367" s="70" t="str">
        <f t="shared" si="482"/>
        <v/>
      </c>
      <c r="AD1367" s="70" t="str">
        <f t="shared" si="483"/>
        <v/>
      </c>
      <c r="AE1367" s="70" t="str">
        <f t="shared" si="484"/>
        <v/>
      </c>
      <c r="AF1367" s="16"/>
      <c r="AG1367" s="23"/>
      <c r="AH1367" s="22"/>
      <c r="AJ1367" s="83">
        <f t="shared" si="485"/>
        <v>0</v>
      </c>
      <c r="AO1367" s="22" t="str">
        <f t="shared" si="486"/>
        <v/>
      </c>
      <c r="AP1367" s="22" t="str">
        <f t="shared" si="487"/>
        <v/>
      </c>
    </row>
    <row r="1368" spans="1:42" x14ac:dyDescent="0.25">
      <c r="A1368" s="10"/>
      <c r="B1368" s="10"/>
      <c r="C1368" s="10"/>
      <c r="D1368" s="10"/>
      <c r="E1368" s="10"/>
      <c r="F1368" s="10"/>
      <c r="G1368" s="10"/>
      <c r="H1368" s="17"/>
      <c r="I1368" s="10"/>
      <c r="J1368" s="10"/>
      <c r="K1368" s="16" t="str">
        <f t="shared" si="466"/>
        <v/>
      </c>
      <c r="L1368" s="23" t="str">
        <f t="shared" si="467"/>
        <v/>
      </c>
      <c r="M1368" s="22" t="str">
        <f t="shared" si="468"/>
        <v/>
      </c>
      <c r="N1368" s="72"/>
      <c r="O1368" s="16" t="str">
        <f t="shared" si="469"/>
        <v/>
      </c>
      <c r="P1368" s="16" t="str">
        <f t="shared" si="470"/>
        <v/>
      </c>
      <c r="Q1368" s="16" t="str">
        <f t="shared" si="471"/>
        <v/>
      </c>
      <c r="R1368" s="23" t="str">
        <f t="shared" si="472"/>
        <v/>
      </c>
      <c r="S1368" s="23" t="str">
        <f t="shared" si="473"/>
        <v/>
      </c>
      <c r="T1368" s="23" t="str">
        <f t="shared" si="474"/>
        <v/>
      </c>
      <c r="U1368" s="23" t="str">
        <f t="shared" si="475"/>
        <v/>
      </c>
      <c r="V1368" s="23" t="str">
        <f t="shared" si="476"/>
        <v/>
      </c>
      <c r="W1368" s="70" t="str">
        <f t="shared" si="477"/>
        <v/>
      </c>
      <c r="X1368" s="70" t="str">
        <f t="shared" si="478"/>
        <v/>
      </c>
      <c r="Y1368" s="70" t="str">
        <f>IF(AND($A1368&lt;&gt;"",$E1368&gt;0),isLaptopBag($C1368,$J1368)*$D1368,"")</f>
        <v/>
      </c>
      <c r="Z1368" s="70" t="str">
        <f t="shared" si="479"/>
        <v/>
      </c>
      <c r="AA1368" s="70" t="str">
        <f t="shared" si="480"/>
        <v/>
      </c>
      <c r="AB1368" s="70" t="str">
        <f t="shared" si="481"/>
        <v/>
      </c>
      <c r="AC1368" s="70" t="str">
        <f t="shared" si="482"/>
        <v/>
      </c>
      <c r="AD1368" s="70" t="str">
        <f t="shared" si="483"/>
        <v/>
      </c>
      <c r="AE1368" s="70" t="str">
        <f t="shared" si="484"/>
        <v/>
      </c>
      <c r="AF1368" s="16"/>
      <c r="AG1368" s="23"/>
      <c r="AH1368" s="22"/>
      <c r="AJ1368" s="83">
        <f t="shared" si="485"/>
        <v>0</v>
      </c>
      <c r="AO1368" s="22" t="str">
        <f t="shared" si="486"/>
        <v/>
      </c>
      <c r="AP1368" s="22" t="str">
        <f t="shared" si="487"/>
        <v/>
      </c>
    </row>
    <row r="1369" spans="1:42" x14ac:dyDescent="0.25">
      <c r="A1369" s="10"/>
      <c r="B1369" s="10"/>
      <c r="C1369" s="10"/>
      <c r="D1369" s="10"/>
      <c r="E1369" s="10"/>
      <c r="F1369" s="10"/>
      <c r="G1369" s="10"/>
      <c r="H1369" s="17"/>
      <c r="I1369" s="10"/>
      <c r="J1369" s="10"/>
      <c r="K1369" s="16" t="str">
        <f t="shared" si="466"/>
        <v/>
      </c>
      <c r="L1369" s="23" t="str">
        <f t="shared" si="467"/>
        <v/>
      </c>
      <c r="M1369" s="22" t="str">
        <f t="shared" si="468"/>
        <v/>
      </c>
      <c r="N1369" s="72"/>
      <c r="O1369" s="16" t="str">
        <f t="shared" si="469"/>
        <v/>
      </c>
      <c r="P1369" s="16" t="str">
        <f t="shared" si="470"/>
        <v/>
      </c>
      <c r="Q1369" s="16" t="str">
        <f t="shared" si="471"/>
        <v/>
      </c>
      <c r="R1369" s="23" t="str">
        <f t="shared" si="472"/>
        <v/>
      </c>
      <c r="S1369" s="23" t="str">
        <f t="shared" si="473"/>
        <v/>
      </c>
      <c r="T1369" s="23" t="str">
        <f t="shared" si="474"/>
        <v/>
      </c>
      <c r="U1369" s="23" t="str">
        <f t="shared" si="475"/>
        <v/>
      </c>
      <c r="V1369" s="23" t="str">
        <f t="shared" si="476"/>
        <v/>
      </c>
      <c r="W1369" s="70" t="str">
        <f t="shared" si="477"/>
        <v/>
      </c>
      <c r="X1369" s="70" t="str">
        <f t="shared" si="478"/>
        <v/>
      </c>
      <c r="Y1369" s="70" t="str">
        <f>IF(AND($A1369&lt;&gt;"",$E1369&gt;0),isLaptopBag($C1369,$J1369)*$D1369,"")</f>
        <v/>
      </c>
      <c r="Z1369" s="70" t="str">
        <f t="shared" si="479"/>
        <v/>
      </c>
      <c r="AA1369" s="70" t="str">
        <f t="shared" si="480"/>
        <v/>
      </c>
      <c r="AB1369" s="70" t="str">
        <f t="shared" si="481"/>
        <v/>
      </c>
      <c r="AC1369" s="70" t="str">
        <f t="shared" si="482"/>
        <v/>
      </c>
      <c r="AD1369" s="70" t="str">
        <f t="shared" si="483"/>
        <v/>
      </c>
      <c r="AE1369" s="70" t="str">
        <f t="shared" si="484"/>
        <v/>
      </c>
      <c r="AF1369" s="16"/>
      <c r="AG1369" s="23"/>
      <c r="AH1369" s="22"/>
      <c r="AJ1369" s="83">
        <f t="shared" si="485"/>
        <v>0</v>
      </c>
      <c r="AO1369" s="22" t="str">
        <f t="shared" si="486"/>
        <v/>
      </c>
      <c r="AP1369" s="22" t="str">
        <f t="shared" si="487"/>
        <v/>
      </c>
    </row>
    <row r="1370" spans="1:42" x14ac:dyDescent="0.25">
      <c r="A1370" s="10"/>
      <c r="B1370" s="10"/>
      <c r="C1370" s="10"/>
      <c r="D1370" s="10"/>
      <c r="E1370" s="10"/>
      <c r="F1370" s="10"/>
      <c r="G1370" s="10"/>
      <c r="H1370" s="17"/>
      <c r="I1370" s="10"/>
      <c r="J1370" s="10"/>
      <c r="K1370" s="16" t="str">
        <f t="shared" si="466"/>
        <v/>
      </c>
      <c r="L1370" s="23" t="str">
        <f t="shared" si="467"/>
        <v/>
      </c>
      <c r="M1370" s="22" t="str">
        <f t="shared" si="468"/>
        <v/>
      </c>
      <c r="N1370" s="72"/>
      <c r="O1370" s="16" t="str">
        <f t="shared" si="469"/>
        <v/>
      </c>
      <c r="P1370" s="16" t="str">
        <f t="shared" si="470"/>
        <v/>
      </c>
      <c r="Q1370" s="16" t="str">
        <f t="shared" si="471"/>
        <v/>
      </c>
      <c r="R1370" s="23" t="str">
        <f t="shared" si="472"/>
        <v/>
      </c>
      <c r="S1370" s="23" t="str">
        <f t="shared" si="473"/>
        <v/>
      </c>
      <c r="T1370" s="23" t="str">
        <f t="shared" si="474"/>
        <v/>
      </c>
      <c r="U1370" s="23" t="str">
        <f t="shared" si="475"/>
        <v/>
      </c>
      <c r="V1370" s="23" t="str">
        <f t="shared" si="476"/>
        <v/>
      </c>
      <c r="W1370" s="70" t="str">
        <f t="shared" si="477"/>
        <v/>
      </c>
      <c r="X1370" s="70" t="str">
        <f t="shared" si="478"/>
        <v/>
      </c>
      <c r="Y1370" s="70" t="str">
        <f>IF(AND($A1370&lt;&gt;"",$E1370&gt;0),isLaptopBag($C1370,$J1370)*$D1370,"")</f>
        <v/>
      </c>
      <c r="Z1370" s="70" t="str">
        <f t="shared" si="479"/>
        <v/>
      </c>
      <c r="AA1370" s="70" t="str">
        <f t="shared" si="480"/>
        <v/>
      </c>
      <c r="AB1370" s="70" t="str">
        <f t="shared" si="481"/>
        <v/>
      </c>
      <c r="AC1370" s="70" t="str">
        <f t="shared" si="482"/>
        <v/>
      </c>
      <c r="AD1370" s="70" t="str">
        <f t="shared" si="483"/>
        <v/>
      </c>
      <c r="AE1370" s="70" t="str">
        <f t="shared" si="484"/>
        <v/>
      </c>
      <c r="AF1370" s="16"/>
      <c r="AG1370" s="23"/>
      <c r="AH1370" s="22"/>
      <c r="AJ1370" s="83">
        <f t="shared" si="485"/>
        <v>0</v>
      </c>
      <c r="AO1370" s="22" t="str">
        <f t="shared" si="486"/>
        <v/>
      </c>
      <c r="AP1370" s="22" t="str">
        <f t="shared" si="487"/>
        <v/>
      </c>
    </row>
    <row r="1371" spans="1:42" x14ac:dyDescent="0.25">
      <c r="A1371" s="10"/>
      <c r="B1371" s="10"/>
      <c r="C1371" s="10"/>
      <c r="D1371" s="10"/>
      <c r="E1371" s="10"/>
      <c r="F1371" s="10"/>
      <c r="G1371" s="10"/>
      <c r="H1371" s="17"/>
      <c r="I1371" s="10"/>
      <c r="J1371" s="10"/>
      <c r="K1371" s="16" t="str">
        <f t="shared" si="466"/>
        <v/>
      </c>
      <c r="L1371" s="23" t="str">
        <f t="shared" si="467"/>
        <v/>
      </c>
      <c r="M1371" s="22" t="str">
        <f t="shared" si="468"/>
        <v/>
      </c>
      <c r="N1371" s="72"/>
      <c r="O1371" s="16" t="str">
        <f t="shared" si="469"/>
        <v/>
      </c>
      <c r="P1371" s="16" t="str">
        <f t="shared" si="470"/>
        <v/>
      </c>
      <c r="Q1371" s="16" t="str">
        <f t="shared" si="471"/>
        <v/>
      </c>
      <c r="R1371" s="23" t="str">
        <f t="shared" si="472"/>
        <v/>
      </c>
      <c r="S1371" s="23" t="str">
        <f t="shared" si="473"/>
        <v/>
      </c>
      <c r="T1371" s="23" t="str">
        <f t="shared" si="474"/>
        <v/>
      </c>
      <c r="U1371" s="23" t="str">
        <f t="shared" si="475"/>
        <v/>
      </c>
      <c r="V1371" s="23" t="str">
        <f t="shared" si="476"/>
        <v/>
      </c>
      <c r="W1371" s="70" t="str">
        <f t="shared" si="477"/>
        <v/>
      </c>
      <c r="X1371" s="70" t="str">
        <f t="shared" si="478"/>
        <v/>
      </c>
      <c r="Y1371" s="70" t="str">
        <f>IF(AND($A1371&lt;&gt;"",$E1371&gt;0),isLaptopBag($C1371,$J1371)*$D1371,"")</f>
        <v/>
      </c>
      <c r="Z1371" s="70" t="str">
        <f t="shared" si="479"/>
        <v/>
      </c>
      <c r="AA1371" s="70" t="str">
        <f t="shared" si="480"/>
        <v/>
      </c>
      <c r="AB1371" s="70" t="str">
        <f t="shared" si="481"/>
        <v/>
      </c>
      <c r="AC1371" s="70" t="str">
        <f t="shared" si="482"/>
        <v/>
      </c>
      <c r="AD1371" s="70" t="str">
        <f t="shared" si="483"/>
        <v/>
      </c>
      <c r="AE1371" s="70" t="str">
        <f t="shared" si="484"/>
        <v/>
      </c>
      <c r="AF1371" s="16"/>
      <c r="AG1371" s="23"/>
      <c r="AH1371" s="22"/>
      <c r="AJ1371" s="83">
        <f t="shared" si="485"/>
        <v>0</v>
      </c>
      <c r="AO1371" s="22" t="str">
        <f t="shared" si="486"/>
        <v/>
      </c>
      <c r="AP1371" s="22" t="str">
        <f t="shared" si="487"/>
        <v/>
      </c>
    </row>
    <row r="1372" spans="1:42" x14ac:dyDescent="0.25">
      <c r="A1372" s="10"/>
      <c r="B1372" s="10"/>
      <c r="C1372" s="10"/>
      <c r="D1372" s="10"/>
      <c r="E1372" s="10"/>
      <c r="F1372" s="10"/>
      <c r="G1372" s="10"/>
      <c r="H1372" s="17"/>
      <c r="I1372" s="10"/>
      <c r="J1372" s="10"/>
      <c r="K1372" s="16" t="str">
        <f t="shared" si="466"/>
        <v/>
      </c>
      <c r="L1372" s="23" t="str">
        <f t="shared" si="467"/>
        <v/>
      </c>
      <c r="M1372" s="22" t="str">
        <f t="shared" si="468"/>
        <v/>
      </c>
      <c r="N1372" s="72"/>
      <c r="O1372" s="16" t="str">
        <f t="shared" si="469"/>
        <v/>
      </c>
      <c r="P1372" s="16" t="str">
        <f t="shared" si="470"/>
        <v/>
      </c>
      <c r="Q1372" s="16" t="str">
        <f t="shared" si="471"/>
        <v/>
      </c>
      <c r="R1372" s="23" t="str">
        <f t="shared" si="472"/>
        <v/>
      </c>
      <c r="S1372" s="23" t="str">
        <f t="shared" si="473"/>
        <v/>
      </c>
      <c r="T1372" s="23" t="str">
        <f t="shared" si="474"/>
        <v/>
      </c>
      <c r="U1372" s="23" t="str">
        <f t="shared" si="475"/>
        <v/>
      </c>
      <c r="V1372" s="23" t="str">
        <f t="shared" si="476"/>
        <v/>
      </c>
      <c r="W1372" s="70" t="str">
        <f t="shared" si="477"/>
        <v/>
      </c>
      <c r="X1372" s="70" t="str">
        <f t="shared" si="478"/>
        <v/>
      </c>
      <c r="Y1372" s="70" t="str">
        <f>IF(AND($A1372&lt;&gt;"",$E1372&gt;0),isLaptopBag($C1372,$J1372)*$D1372,"")</f>
        <v/>
      </c>
      <c r="Z1372" s="70" t="str">
        <f t="shared" si="479"/>
        <v/>
      </c>
      <c r="AA1372" s="70" t="str">
        <f t="shared" si="480"/>
        <v/>
      </c>
      <c r="AB1372" s="70" t="str">
        <f t="shared" si="481"/>
        <v/>
      </c>
      <c r="AC1372" s="70" t="str">
        <f t="shared" si="482"/>
        <v/>
      </c>
      <c r="AD1372" s="70" t="str">
        <f t="shared" si="483"/>
        <v/>
      </c>
      <c r="AE1372" s="70" t="str">
        <f t="shared" si="484"/>
        <v/>
      </c>
      <c r="AF1372" s="16"/>
      <c r="AG1372" s="23"/>
      <c r="AH1372" s="22"/>
      <c r="AJ1372" s="83">
        <f t="shared" si="485"/>
        <v>0</v>
      </c>
      <c r="AO1372" s="22" t="str">
        <f t="shared" si="486"/>
        <v/>
      </c>
      <c r="AP1372" s="22" t="str">
        <f t="shared" si="487"/>
        <v/>
      </c>
    </row>
    <row r="1373" spans="1:42" x14ac:dyDescent="0.25">
      <c r="A1373" s="10"/>
      <c r="B1373" s="10"/>
      <c r="C1373" s="10"/>
      <c r="D1373" s="10"/>
      <c r="E1373" s="10"/>
      <c r="F1373" s="10"/>
      <c r="G1373" s="10"/>
      <c r="H1373" s="17"/>
      <c r="I1373" s="10"/>
      <c r="J1373" s="10"/>
      <c r="K1373" s="16" t="str">
        <f t="shared" si="466"/>
        <v/>
      </c>
      <c r="L1373" s="23" t="str">
        <f t="shared" si="467"/>
        <v/>
      </c>
      <c r="M1373" s="22" t="str">
        <f t="shared" si="468"/>
        <v/>
      </c>
      <c r="N1373" s="72"/>
      <c r="O1373" s="16" t="str">
        <f t="shared" si="469"/>
        <v/>
      </c>
      <c r="P1373" s="16" t="str">
        <f t="shared" si="470"/>
        <v/>
      </c>
      <c r="Q1373" s="16" t="str">
        <f t="shared" si="471"/>
        <v/>
      </c>
      <c r="R1373" s="23" t="str">
        <f t="shared" si="472"/>
        <v/>
      </c>
      <c r="S1373" s="23" t="str">
        <f t="shared" si="473"/>
        <v/>
      </c>
      <c r="T1373" s="23" t="str">
        <f t="shared" si="474"/>
        <v/>
      </c>
      <c r="U1373" s="23" t="str">
        <f t="shared" si="475"/>
        <v/>
      </c>
      <c r="V1373" s="23" t="str">
        <f t="shared" si="476"/>
        <v/>
      </c>
      <c r="W1373" s="70" t="str">
        <f t="shared" si="477"/>
        <v/>
      </c>
      <c r="X1373" s="70" t="str">
        <f t="shared" si="478"/>
        <v/>
      </c>
      <c r="Y1373" s="70" t="str">
        <f>IF(AND($A1373&lt;&gt;"",$E1373&gt;0),isLaptopBag($C1373,$J1373)*$D1373,"")</f>
        <v/>
      </c>
      <c r="Z1373" s="70" t="str">
        <f t="shared" si="479"/>
        <v/>
      </c>
      <c r="AA1373" s="70" t="str">
        <f t="shared" si="480"/>
        <v/>
      </c>
      <c r="AB1373" s="70" t="str">
        <f t="shared" si="481"/>
        <v/>
      </c>
      <c r="AC1373" s="70" t="str">
        <f t="shared" si="482"/>
        <v/>
      </c>
      <c r="AD1373" s="70" t="str">
        <f t="shared" si="483"/>
        <v/>
      </c>
      <c r="AE1373" s="70" t="str">
        <f t="shared" si="484"/>
        <v/>
      </c>
      <c r="AF1373" s="16"/>
      <c r="AG1373" s="23"/>
      <c r="AH1373" s="22"/>
      <c r="AJ1373" s="83">
        <f t="shared" si="485"/>
        <v>0</v>
      </c>
      <c r="AO1373" s="22" t="str">
        <f t="shared" si="486"/>
        <v/>
      </c>
      <c r="AP1373" s="22" t="str">
        <f t="shared" si="487"/>
        <v/>
      </c>
    </row>
    <row r="1374" spans="1:42" x14ac:dyDescent="0.25">
      <c r="A1374" s="10"/>
      <c r="B1374" s="10"/>
      <c r="C1374" s="10"/>
      <c r="D1374" s="10"/>
      <c r="E1374" s="10"/>
      <c r="F1374" s="10"/>
      <c r="G1374" s="10"/>
      <c r="H1374" s="17"/>
      <c r="I1374" s="10"/>
      <c r="J1374" s="10"/>
      <c r="K1374" s="16" t="str">
        <f t="shared" si="466"/>
        <v/>
      </c>
      <c r="L1374" s="23" t="str">
        <f t="shared" si="467"/>
        <v/>
      </c>
      <c r="M1374" s="22" t="str">
        <f t="shared" si="468"/>
        <v/>
      </c>
      <c r="N1374" s="72"/>
      <c r="O1374" s="16" t="str">
        <f t="shared" si="469"/>
        <v/>
      </c>
      <c r="P1374" s="16" t="str">
        <f t="shared" si="470"/>
        <v/>
      </c>
      <c r="Q1374" s="16" t="str">
        <f t="shared" si="471"/>
        <v/>
      </c>
      <c r="R1374" s="23" t="str">
        <f t="shared" si="472"/>
        <v/>
      </c>
      <c r="S1374" s="23" t="str">
        <f t="shared" si="473"/>
        <v/>
      </c>
      <c r="T1374" s="23" t="str">
        <f t="shared" si="474"/>
        <v/>
      </c>
      <c r="U1374" s="23" t="str">
        <f t="shared" si="475"/>
        <v/>
      </c>
      <c r="V1374" s="23" t="str">
        <f t="shared" si="476"/>
        <v/>
      </c>
      <c r="W1374" s="70" t="str">
        <f t="shared" si="477"/>
        <v/>
      </c>
      <c r="X1374" s="70" t="str">
        <f t="shared" si="478"/>
        <v/>
      </c>
      <c r="Y1374" s="70" t="str">
        <f>IF(AND($A1374&lt;&gt;"",$E1374&gt;0),isLaptopBag($C1374,$J1374)*$D1374,"")</f>
        <v/>
      </c>
      <c r="Z1374" s="70" t="str">
        <f t="shared" si="479"/>
        <v/>
      </c>
      <c r="AA1374" s="70" t="str">
        <f t="shared" si="480"/>
        <v/>
      </c>
      <c r="AB1374" s="70" t="str">
        <f t="shared" si="481"/>
        <v/>
      </c>
      <c r="AC1374" s="70" t="str">
        <f t="shared" si="482"/>
        <v/>
      </c>
      <c r="AD1374" s="70" t="str">
        <f t="shared" si="483"/>
        <v/>
      </c>
      <c r="AE1374" s="70" t="str">
        <f t="shared" si="484"/>
        <v/>
      </c>
      <c r="AF1374" s="16"/>
      <c r="AG1374" s="23"/>
      <c r="AH1374" s="22"/>
      <c r="AJ1374" s="83">
        <f t="shared" si="485"/>
        <v>0</v>
      </c>
      <c r="AO1374" s="22" t="str">
        <f t="shared" si="486"/>
        <v/>
      </c>
      <c r="AP1374" s="22" t="str">
        <f t="shared" si="487"/>
        <v/>
      </c>
    </row>
    <row r="1375" spans="1:42" x14ac:dyDescent="0.25">
      <c r="A1375" s="10"/>
      <c r="B1375" s="10"/>
      <c r="C1375" s="10"/>
      <c r="D1375" s="10"/>
      <c r="E1375" s="10"/>
      <c r="F1375" s="10"/>
      <c r="G1375" s="10"/>
      <c r="H1375" s="17"/>
      <c r="I1375" s="10"/>
      <c r="J1375" s="10"/>
      <c r="K1375" s="16" t="str">
        <f t="shared" si="466"/>
        <v/>
      </c>
      <c r="L1375" s="23" t="str">
        <f t="shared" si="467"/>
        <v/>
      </c>
      <c r="M1375" s="22" t="str">
        <f t="shared" si="468"/>
        <v/>
      </c>
      <c r="N1375" s="72"/>
      <c r="O1375" s="16" t="str">
        <f t="shared" si="469"/>
        <v/>
      </c>
      <c r="P1375" s="16" t="str">
        <f t="shared" si="470"/>
        <v/>
      </c>
      <c r="Q1375" s="16" t="str">
        <f t="shared" si="471"/>
        <v/>
      </c>
      <c r="R1375" s="23" t="str">
        <f t="shared" si="472"/>
        <v/>
      </c>
      <c r="S1375" s="23" t="str">
        <f t="shared" si="473"/>
        <v/>
      </c>
      <c r="T1375" s="23" t="str">
        <f t="shared" si="474"/>
        <v/>
      </c>
      <c r="U1375" s="23" t="str">
        <f t="shared" si="475"/>
        <v/>
      </c>
      <c r="V1375" s="23" t="str">
        <f t="shared" si="476"/>
        <v/>
      </c>
      <c r="W1375" s="70" t="str">
        <f t="shared" si="477"/>
        <v/>
      </c>
      <c r="X1375" s="70" t="str">
        <f t="shared" si="478"/>
        <v/>
      </c>
      <c r="Y1375" s="70" t="str">
        <f>IF(AND($A1375&lt;&gt;"",$E1375&gt;0),isLaptopBag($C1375,$J1375)*$D1375,"")</f>
        <v/>
      </c>
      <c r="Z1375" s="70" t="str">
        <f t="shared" si="479"/>
        <v/>
      </c>
      <c r="AA1375" s="70" t="str">
        <f t="shared" si="480"/>
        <v/>
      </c>
      <c r="AB1375" s="70" t="str">
        <f t="shared" si="481"/>
        <v/>
      </c>
      <c r="AC1375" s="70" t="str">
        <f t="shared" si="482"/>
        <v/>
      </c>
      <c r="AD1375" s="70" t="str">
        <f t="shared" si="483"/>
        <v/>
      </c>
      <c r="AE1375" s="70" t="str">
        <f t="shared" si="484"/>
        <v/>
      </c>
      <c r="AF1375" s="16"/>
      <c r="AG1375" s="23"/>
      <c r="AH1375" s="22"/>
      <c r="AJ1375" s="83">
        <f t="shared" si="485"/>
        <v>0</v>
      </c>
      <c r="AO1375" s="22" t="str">
        <f t="shared" si="486"/>
        <v/>
      </c>
      <c r="AP1375" s="22" t="str">
        <f t="shared" si="487"/>
        <v/>
      </c>
    </row>
    <row r="1376" spans="1:42" x14ac:dyDescent="0.25">
      <c r="A1376" s="10"/>
      <c r="B1376" s="10"/>
      <c r="C1376" s="10"/>
      <c r="D1376" s="10"/>
      <c r="E1376" s="10"/>
      <c r="F1376" s="10"/>
      <c r="G1376" s="10"/>
      <c r="H1376" s="17"/>
      <c r="I1376" s="10"/>
      <c r="J1376" s="10"/>
      <c r="K1376" s="16" t="str">
        <f t="shared" si="466"/>
        <v/>
      </c>
      <c r="L1376" s="23" t="str">
        <f t="shared" si="467"/>
        <v/>
      </c>
      <c r="M1376" s="22" t="str">
        <f t="shared" si="468"/>
        <v/>
      </c>
      <c r="N1376" s="72"/>
      <c r="O1376" s="16" t="str">
        <f t="shared" si="469"/>
        <v/>
      </c>
      <c r="P1376" s="16" t="str">
        <f t="shared" si="470"/>
        <v/>
      </c>
      <c r="Q1376" s="16" t="str">
        <f t="shared" si="471"/>
        <v/>
      </c>
      <c r="R1376" s="23" t="str">
        <f t="shared" si="472"/>
        <v/>
      </c>
      <c r="S1376" s="23" t="str">
        <f t="shared" si="473"/>
        <v/>
      </c>
      <c r="T1376" s="23" t="str">
        <f t="shared" si="474"/>
        <v/>
      </c>
      <c r="U1376" s="23" t="str">
        <f t="shared" si="475"/>
        <v/>
      </c>
      <c r="V1376" s="23" t="str">
        <f t="shared" si="476"/>
        <v/>
      </c>
      <c r="W1376" s="70" t="str">
        <f t="shared" si="477"/>
        <v/>
      </c>
      <c r="X1376" s="70" t="str">
        <f t="shared" si="478"/>
        <v/>
      </c>
      <c r="Y1376" s="70" t="str">
        <f>IF(AND($A1376&lt;&gt;"",$E1376&gt;0),isLaptopBag($C1376,$J1376)*$D1376,"")</f>
        <v/>
      </c>
      <c r="Z1376" s="70" t="str">
        <f t="shared" si="479"/>
        <v/>
      </c>
      <c r="AA1376" s="70" t="str">
        <f t="shared" si="480"/>
        <v/>
      </c>
      <c r="AB1376" s="70" t="str">
        <f t="shared" si="481"/>
        <v/>
      </c>
      <c r="AC1376" s="70" t="str">
        <f t="shared" si="482"/>
        <v/>
      </c>
      <c r="AD1376" s="70" t="str">
        <f t="shared" si="483"/>
        <v/>
      </c>
      <c r="AE1376" s="70" t="str">
        <f t="shared" si="484"/>
        <v/>
      </c>
      <c r="AF1376" s="16"/>
      <c r="AG1376" s="23"/>
      <c r="AH1376" s="22"/>
      <c r="AJ1376" s="83">
        <f t="shared" si="485"/>
        <v>0</v>
      </c>
      <c r="AO1376" s="22" t="str">
        <f t="shared" si="486"/>
        <v/>
      </c>
      <c r="AP1376" s="22" t="str">
        <f t="shared" si="487"/>
        <v/>
      </c>
    </row>
    <row r="1377" spans="1:42" x14ac:dyDescent="0.25">
      <c r="A1377" s="10"/>
      <c r="B1377" s="10"/>
      <c r="C1377" s="10"/>
      <c r="D1377" s="10"/>
      <c r="E1377" s="10"/>
      <c r="F1377" s="10"/>
      <c r="G1377" s="10"/>
      <c r="H1377" s="17"/>
      <c r="I1377" s="10"/>
      <c r="J1377" s="10"/>
      <c r="K1377" s="16" t="str">
        <f t="shared" si="466"/>
        <v/>
      </c>
      <c r="L1377" s="23" t="str">
        <f t="shared" si="467"/>
        <v/>
      </c>
      <c r="M1377" s="22" t="str">
        <f t="shared" si="468"/>
        <v/>
      </c>
      <c r="N1377" s="72"/>
      <c r="O1377" s="16" t="str">
        <f t="shared" si="469"/>
        <v/>
      </c>
      <c r="P1377" s="16" t="str">
        <f t="shared" si="470"/>
        <v/>
      </c>
      <c r="Q1377" s="16" t="str">
        <f t="shared" si="471"/>
        <v/>
      </c>
      <c r="R1377" s="23" t="str">
        <f t="shared" si="472"/>
        <v/>
      </c>
      <c r="S1377" s="23" t="str">
        <f t="shared" si="473"/>
        <v/>
      </c>
      <c r="T1377" s="23" t="str">
        <f t="shared" si="474"/>
        <v/>
      </c>
      <c r="U1377" s="23" t="str">
        <f t="shared" si="475"/>
        <v/>
      </c>
      <c r="V1377" s="23" t="str">
        <f t="shared" si="476"/>
        <v/>
      </c>
      <c r="W1377" s="70" t="str">
        <f t="shared" si="477"/>
        <v/>
      </c>
      <c r="X1377" s="70" t="str">
        <f t="shared" si="478"/>
        <v/>
      </c>
      <c r="Y1377" s="70" t="str">
        <f>IF(AND($A1377&lt;&gt;"",$E1377&gt;0),isLaptopBag($C1377,$J1377)*$D1377,"")</f>
        <v/>
      </c>
      <c r="Z1377" s="70" t="str">
        <f t="shared" si="479"/>
        <v/>
      </c>
      <c r="AA1377" s="70" t="str">
        <f t="shared" si="480"/>
        <v/>
      </c>
      <c r="AB1377" s="70" t="str">
        <f t="shared" si="481"/>
        <v/>
      </c>
      <c r="AC1377" s="70" t="str">
        <f t="shared" si="482"/>
        <v/>
      </c>
      <c r="AD1377" s="70" t="str">
        <f t="shared" si="483"/>
        <v/>
      </c>
      <c r="AE1377" s="70" t="str">
        <f t="shared" si="484"/>
        <v/>
      </c>
      <c r="AF1377" s="16"/>
      <c r="AG1377" s="23"/>
      <c r="AH1377" s="22"/>
      <c r="AJ1377" s="83">
        <f t="shared" si="485"/>
        <v>0</v>
      </c>
      <c r="AO1377" s="22" t="str">
        <f t="shared" si="486"/>
        <v/>
      </c>
      <c r="AP1377" s="22" t="str">
        <f t="shared" si="487"/>
        <v/>
      </c>
    </row>
    <row r="1378" spans="1:42" x14ac:dyDescent="0.25">
      <c r="A1378" s="10"/>
      <c r="B1378" s="10"/>
      <c r="C1378" s="10"/>
      <c r="D1378" s="10"/>
      <c r="E1378" s="10"/>
      <c r="F1378" s="10"/>
      <c r="G1378" s="10"/>
      <c r="H1378" s="17"/>
      <c r="I1378" s="10"/>
      <c r="J1378" s="10"/>
      <c r="K1378" s="16" t="str">
        <f t="shared" si="466"/>
        <v/>
      </c>
      <c r="L1378" s="23" t="str">
        <f t="shared" si="467"/>
        <v/>
      </c>
      <c r="M1378" s="22" t="str">
        <f t="shared" si="468"/>
        <v/>
      </c>
      <c r="N1378" s="72"/>
      <c r="O1378" s="16" t="str">
        <f t="shared" si="469"/>
        <v/>
      </c>
      <c r="P1378" s="16" t="str">
        <f t="shared" si="470"/>
        <v/>
      </c>
      <c r="Q1378" s="16" t="str">
        <f t="shared" si="471"/>
        <v/>
      </c>
      <c r="R1378" s="23" t="str">
        <f t="shared" si="472"/>
        <v/>
      </c>
      <c r="S1378" s="23" t="str">
        <f t="shared" si="473"/>
        <v/>
      </c>
      <c r="T1378" s="23" t="str">
        <f t="shared" si="474"/>
        <v/>
      </c>
      <c r="U1378" s="23" t="str">
        <f t="shared" si="475"/>
        <v/>
      </c>
      <c r="V1378" s="23" t="str">
        <f t="shared" si="476"/>
        <v/>
      </c>
      <c r="W1378" s="70" t="str">
        <f t="shared" si="477"/>
        <v/>
      </c>
      <c r="X1378" s="70" t="str">
        <f t="shared" si="478"/>
        <v/>
      </c>
      <c r="Y1378" s="70" t="str">
        <f>IF(AND($A1378&lt;&gt;"",$E1378&gt;0),isLaptopBag($C1378,$J1378)*$D1378,"")</f>
        <v/>
      </c>
      <c r="Z1378" s="70" t="str">
        <f t="shared" si="479"/>
        <v/>
      </c>
      <c r="AA1378" s="70" t="str">
        <f t="shared" si="480"/>
        <v/>
      </c>
      <c r="AB1378" s="70" t="str">
        <f t="shared" si="481"/>
        <v/>
      </c>
      <c r="AC1378" s="70" t="str">
        <f t="shared" si="482"/>
        <v/>
      </c>
      <c r="AD1378" s="70" t="str">
        <f t="shared" si="483"/>
        <v/>
      </c>
      <c r="AE1378" s="70" t="str">
        <f t="shared" si="484"/>
        <v/>
      </c>
      <c r="AF1378" s="16"/>
      <c r="AG1378" s="23"/>
      <c r="AH1378" s="22"/>
      <c r="AJ1378" s="83">
        <f t="shared" si="485"/>
        <v>0</v>
      </c>
      <c r="AO1378" s="22" t="str">
        <f t="shared" si="486"/>
        <v/>
      </c>
      <c r="AP1378" s="22" t="str">
        <f t="shared" si="487"/>
        <v/>
      </c>
    </row>
    <row r="1379" spans="1:42" x14ac:dyDescent="0.25">
      <c r="A1379" s="10"/>
      <c r="B1379" s="10"/>
      <c r="C1379" s="10"/>
      <c r="D1379" s="10"/>
      <c r="E1379" s="10"/>
      <c r="F1379" s="10"/>
      <c r="G1379" s="10"/>
      <c r="H1379" s="17"/>
      <c r="I1379" s="10"/>
      <c r="J1379" s="10"/>
      <c r="K1379" s="16" t="str">
        <f t="shared" si="466"/>
        <v/>
      </c>
      <c r="L1379" s="23" t="str">
        <f t="shared" si="467"/>
        <v/>
      </c>
      <c r="M1379" s="22" t="str">
        <f t="shared" si="468"/>
        <v/>
      </c>
      <c r="N1379" s="72"/>
      <c r="O1379" s="16" t="str">
        <f t="shared" si="469"/>
        <v/>
      </c>
      <c r="P1379" s="16" t="str">
        <f t="shared" si="470"/>
        <v/>
      </c>
      <c r="Q1379" s="16" t="str">
        <f t="shared" si="471"/>
        <v/>
      </c>
      <c r="R1379" s="23" t="str">
        <f t="shared" si="472"/>
        <v/>
      </c>
      <c r="S1379" s="23" t="str">
        <f t="shared" si="473"/>
        <v/>
      </c>
      <c r="T1379" s="23" t="str">
        <f t="shared" si="474"/>
        <v/>
      </c>
      <c r="U1379" s="23" t="str">
        <f t="shared" si="475"/>
        <v/>
      </c>
      <c r="V1379" s="23" t="str">
        <f t="shared" si="476"/>
        <v/>
      </c>
      <c r="W1379" s="70" t="str">
        <f t="shared" si="477"/>
        <v/>
      </c>
      <c r="X1379" s="70" t="str">
        <f t="shared" si="478"/>
        <v/>
      </c>
      <c r="Y1379" s="70" t="str">
        <f>IF(AND($A1379&lt;&gt;"",$E1379&gt;0),isLaptopBag($C1379,$J1379)*$D1379,"")</f>
        <v/>
      </c>
      <c r="Z1379" s="70" t="str">
        <f t="shared" si="479"/>
        <v/>
      </c>
      <c r="AA1379" s="70" t="str">
        <f t="shared" si="480"/>
        <v/>
      </c>
      <c r="AB1379" s="70" t="str">
        <f t="shared" si="481"/>
        <v/>
      </c>
      <c r="AC1379" s="70" t="str">
        <f t="shared" si="482"/>
        <v/>
      </c>
      <c r="AD1379" s="70" t="str">
        <f t="shared" si="483"/>
        <v/>
      </c>
      <c r="AE1379" s="70" t="str">
        <f t="shared" si="484"/>
        <v/>
      </c>
      <c r="AF1379" s="16"/>
      <c r="AG1379" s="23"/>
      <c r="AH1379" s="22"/>
      <c r="AJ1379" s="83">
        <f t="shared" si="485"/>
        <v>0</v>
      </c>
      <c r="AO1379" s="22" t="str">
        <f t="shared" si="486"/>
        <v/>
      </c>
      <c r="AP1379" s="22" t="str">
        <f t="shared" si="487"/>
        <v/>
      </c>
    </row>
    <row r="1380" spans="1:42" x14ac:dyDescent="0.25">
      <c r="A1380" s="10"/>
      <c r="B1380" s="10"/>
      <c r="C1380" s="10"/>
      <c r="D1380" s="10"/>
      <c r="E1380" s="10"/>
      <c r="F1380" s="10"/>
      <c r="G1380" s="10"/>
      <c r="H1380" s="17"/>
      <c r="I1380" s="10"/>
      <c r="J1380" s="10"/>
      <c r="K1380" s="16" t="str">
        <f t="shared" si="466"/>
        <v/>
      </c>
      <c r="L1380" s="23" t="str">
        <f t="shared" si="467"/>
        <v/>
      </c>
      <c r="M1380" s="22" t="str">
        <f t="shared" si="468"/>
        <v/>
      </c>
      <c r="N1380" s="72"/>
      <c r="O1380" s="16" t="str">
        <f t="shared" si="469"/>
        <v/>
      </c>
      <c r="P1380" s="16" t="str">
        <f t="shared" si="470"/>
        <v/>
      </c>
      <c r="Q1380" s="16" t="str">
        <f t="shared" si="471"/>
        <v/>
      </c>
      <c r="R1380" s="23" t="str">
        <f t="shared" si="472"/>
        <v/>
      </c>
      <c r="S1380" s="23" t="str">
        <f t="shared" si="473"/>
        <v/>
      </c>
      <c r="T1380" s="23" t="str">
        <f t="shared" si="474"/>
        <v/>
      </c>
      <c r="U1380" s="23" t="str">
        <f t="shared" si="475"/>
        <v/>
      </c>
      <c r="V1380" s="23" t="str">
        <f t="shared" si="476"/>
        <v/>
      </c>
      <c r="W1380" s="70" t="str">
        <f t="shared" si="477"/>
        <v/>
      </c>
      <c r="X1380" s="70" t="str">
        <f t="shared" si="478"/>
        <v/>
      </c>
      <c r="Y1380" s="70" t="str">
        <f>IF(AND($A1380&lt;&gt;"",$E1380&gt;0),isLaptopBag($C1380,$J1380)*$D1380,"")</f>
        <v/>
      </c>
      <c r="Z1380" s="70" t="str">
        <f t="shared" si="479"/>
        <v/>
      </c>
      <c r="AA1380" s="70" t="str">
        <f t="shared" si="480"/>
        <v/>
      </c>
      <c r="AB1380" s="70" t="str">
        <f t="shared" si="481"/>
        <v/>
      </c>
      <c r="AC1380" s="70" t="str">
        <f t="shared" si="482"/>
        <v/>
      </c>
      <c r="AD1380" s="70" t="str">
        <f t="shared" si="483"/>
        <v/>
      </c>
      <c r="AE1380" s="70" t="str">
        <f t="shared" si="484"/>
        <v/>
      </c>
      <c r="AF1380" s="16"/>
      <c r="AG1380" s="23"/>
      <c r="AH1380" s="22"/>
      <c r="AJ1380" s="83">
        <f t="shared" si="485"/>
        <v>0</v>
      </c>
      <c r="AO1380" s="22" t="str">
        <f t="shared" si="486"/>
        <v/>
      </c>
      <c r="AP1380" s="22" t="str">
        <f t="shared" si="487"/>
        <v/>
      </c>
    </row>
    <row r="1381" spans="1:42" x14ac:dyDescent="0.25">
      <c r="A1381" s="10"/>
      <c r="B1381" s="10"/>
      <c r="C1381" s="10"/>
      <c r="D1381" s="10"/>
      <c r="E1381" s="10"/>
      <c r="F1381" s="10"/>
      <c r="G1381" s="10"/>
      <c r="H1381" s="17"/>
      <c r="I1381" s="10"/>
      <c r="J1381" s="10"/>
      <c r="K1381" s="16" t="str">
        <f t="shared" si="466"/>
        <v/>
      </c>
      <c r="L1381" s="23" t="str">
        <f t="shared" si="467"/>
        <v/>
      </c>
      <c r="M1381" s="22" t="str">
        <f t="shared" si="468"/>
        <v/>
      </c>
      <c r="N1381" s="72"/>
      <c r="O1381" s="16" t="str">
        <f t="shared" si="469"/>
        <v/>
      </c>
      <c r="P1381" s="16" t="str">
        <f t="shared" si="470"/>
        <v/>
      </c>
      <c r="Q1381" s="16" t="str">
        <f t="shared" si="471"/>
        <v/>
      </c>
      <c r="R1381" s="23" t="str">
        <f t="shared" si="472"/>
        <v/>
      </c>
      <c r="S1381" s="23" t="str">
        <f t="shared" si="473"/>
        <v/>
      </c>
      <c r="T1381" s="23" t="str">
        <f t="shared" si="474"/>
        <v/>
      </c>
      <c r="U1381" s="23" t="str">
        <f t="shared" si="475"/>
        <v/>
      </c>
      <c r="V1381" s="23" t="str">
        <f t="shared" si="476"/>
        <v/>
      </c>
      <c r="W1381" s="70" t="str">
        <f t="shared" si="477"/>
        <v/>
      </c>
      <c r="X1381" s="70" t="str">
        <f t="shared" si="478"/>
        <v/>
      </c>
      <c r="Y1381" s="70" t="str">
        <f>IF(AND($A1381&lt;&gt;"",$E1381&gt;0),isLaptopBag($C1381,$J1381)*$D1381,"")</f>
        <v/>
      </c>
      <c r="Z1381" s="70" t="str">
        <f t="shared" si="479"/>
        <v/>
      </c>
      <c r="AA1381" s="70" t="str">
        <f t="shared" si="480"/>
        <v/>
      </c>
      <c r="AB1381" s="70" t="str">
        <f t="shared" si="481"/>
        <v/>
      </c>
      <c r="AC1381" s="70" t="str">
        <f t="shared" si="482"/>
        <v/>
      </c>
      <c r="AD1381" s="70" t="str">
        <f t="shared" si="483"/>
        <v/>
      </c>
      <c r="AE1381" s="70" t="str">
        <f t="shared" si="484"/>
        <v/>
      </c>
      <c r="AF1381" s="16"/>
      <c r="AG1381" s="23"/>
      <c r="AH1381" s="22"/>
      <c r="AJ1381" s="83">
        <f t="shared" si="485"/>
        <v>0</v>
      </c>
      <c r="AO1381" s="22" t="str">
        <f t="shared" si="486"/>
        <v/>
      </c>
      <c r="AP1381" s="22" t="str">
        <f t="shared" si="487"/>
        <v/>
      </c>
    </row>
    <row r="1382" spans="1:42" x14ac:dyDescent="0.25">
      <c r="A1382" s="10"/>
      <c r="B1382" s="10"/>
      <c r="C1382" s="10"/>
      <c r="D1382" s="10"/>
      <c r="E1382" s="10"/>
      <c r="F1382" s="10"/>
      <c r="G1382" s="10"/>
      <c r="H1382" s="17"/>
      <c r="I1382" s="10"/>
      <c r="J1382" s="10"/>
      <c r="K1382" s="16" t="str">
        <f t="shared" si="466"/>
        <v/>
      </c>
      <c r="L1382" s="23" t="str">
        <f t="shared" si="467"/>
        <v/>
      </c>
      <c r="M1382" s="22" t="str">
        <f t="shared" si="468"/>
        <v/>
      </c>
      <c r="N1382" s="72"/>
      <c r="O1382" s="16" t="str">
        <f t="shared" si="469"/>
        <v/>
      </c>
      <c r="P1382" s="16" t="str">
        <f t="shared" si="470"/>
        <v/>
      </c>
      <c r="Q1382" s="16" t="str">
        <f t="shared" si="471"/>
        <v/>
      </c>
      <c r="R1382" s="23" t="str">
        <f t="shared" si="472"/>
        <v/>
      </c>
      <c r="S1382" s="23" t="str">
        <f t="shared" si="473"/>
        <v/>
      </c>
      <c r="T1382" s="23" t="str">
        <f t="shared" si="474"/>
        <v/>
      </c>
      <c r="U1382" s="23" t="str">
        <f t="shared" si="475"/>
        <v/>
      </c>
      <c r="V1382" s="23" t="str">
        <f t="shared" si="476"/>
        <v/>
      </c>
      <c r="W1382" s="70" t="str">
        <f t="shared" si="477"/>
        <v/>
      </c>
      <c r="X1382" s="70" t="str">
        <f t="shared" si="478"/>
        <v/>
      </c>
      <c r="Y1382" s="70" t="str">
        <f>IF(AND($A1382&lt;&gt;"",$E1382&gt;0),isLaptopBag($C1382,$J1382)*$D1382,"")</f>
        <v/>
      </c>
      <c r="Z1382" s="70" t="str">
        <f t="shared" si="479"/>
        <v/>
      </c>
      <c r="AA1382" s="70" t="str">
        <f t="shared" si="480"/>
        <v/>
      </c>
      <c r="AB1382" s="70" t="str">
        <f t="shared" si="481"/>
        <v/>
      </c>
      <c r="AC1382" s="70" t="str">
        <f t="shared" si="482"/>
        <v/>
      </c>
      <c r="AD1382" s="70" t="str">
        <f t="shared" si="483"/>
        <v/>
      </c>
      <c r="AE1382" s="70" t="str">
        <f t="shared" si="484"/>
        <v/>
      </c>
      <c r="AF1382" s="16"/>
      <c r="AG1382" s="23"/>
      <c r="AH1382" s="22"/>
      <c r="AJ1382" s="83">
        <f t="shared" si="485"/>
        <v>0</v>
      </c>
      <c r="AO1382" s="22" t="str">
        <f t="shared" si="486"/>
        <v/>
      </c>
      <c r="AP1382" s="22" t="str">
        <f t="shared" si="487"/>
        <v/>
      </c>
    </row>
    <row r="1383" spans="1:42" x14ac:dyDescent="0.25">
      <c r="A1383" s="10"/>
      <c r="B1383" s="10"/>
      <c r="C1383" s="10"/>
      <c r="D1383" s="10"/>
      <c r="E1383" s="10"/>
      <c r="F1383" s="10"/>
      <c r="G1383" s="10"/>
      <c r="H1383" s="17"/>
      <c r="I1383" s="10"/>
      <c r="J1383" s="10"/>
      <c r="K1383" s="16" t="str">
        <f t="shared" si="466"/>
        <v/>
      </c>
      <c r="L1383" s="23" t="str">
        <f t="shared" si="467"/>
        <v/>
      </c>
      <c r="M1383" s="22" t="str">
        <f t="shared" si="468"/>
        <v/>
      </c>
      <c r="N1383" s="72"/>
      <c r="O1383" s="16" t="str">
        <f t="shared" si="469"/>
        <v/>
      </c>
      <c r="P1383" s="16" t="str">
        <f t="shared" si="470"/>
        <v/>
      </c>
      <c r="Q1383" s="16" t="str">
        <f t="shared" si="471"/>
        <v/>
      </c>
      <c r="R1383" s="23" t="str">
        <f t="shared" si="472"/>
        <v/>
      </c>
      <c r="S1383" s="23" t="str">
        <f t="shared" si="473"/>
        <v/>
      </c>
      <c r="T1383" s="23" t="str">
        <f t="shared" si="474"/>
        <v/>
      </c>
      <c r="U1383" s="23" t="str">
        <f t="shared" si="475"/>
        <v/>
      </c>
      <c r="V1383" s="23" t="str">
        <f t="shared" si="476"/>
        <v/>
      </c>
      <c r="W1383" s="70" t="str">
        <f t="shared" si="477"/>
        <v/>
      </c>
      <c r="X1383" s="70" t="str">
        <f t="shared" si="478"/>
        <v/>
      </c>
      <c r="Y1383" s="70" t="str">
        <f>IF(AND($A1383&lt;&gt;"",$E1383&gt;0),isLaptopBag($C1383,$J1383)*$D1383,"")</f>
        <v/>
      </c>
      <c r="Z1383" s="70" t="str">
        <f t="shared" si="479"/>
        <v/>
      </c>
      <c r="AA1383" s="70" t="str">
        <f t="shared" si="480"/>
        <v/>
      </c>
      <c r="AB1383" s="70" t="str">
        <f t="shared" si="481"/>
        <v/>
      </c>
      <c r="AC1383" s="70" t="str">
        <f t="shared" si="482"/>
        <v/>
      </c>
      <c r="AD1383" s="70" t="str">
        <f t="shared" si="483"/>
        <v/>
      </c>
      <c r="AE1383" s="70" t="str">
        <f t="shared" si="484"/>
        <v/>
      </c>
      <c r="AF1383" s="16"/>
      <c r="AG1383" s="23"/>
      <c r="AH1383" s="22"/>
      <c r="AJ1383" s="83">
        <f t="shared" si="485"/>
        <v>0</v>
      </c>
      <c r="AO1383" s="22" t="str">
        <f t="shared" si="486"/>
        <v/>
      </c>
      <c r="AP1383" s="22" t="str">
        <f t="shared" si="487"/>
        <v/>
      </c>
    </row>
    <row r="1384" spans="1:42" x14ac:dyDescent="0.25">
      <c r="A1384" s="10"/>
      <c r="B1384" s="10"/>
      <c r="C1384" s="10"/>
      <c r="D1384" s="10"/>
      <c r="E1384" s="10"/>
      <c r="F1384" s="10"/>
      <c r="G1384" s="10"/>
      <c r="H1384" s="17"/>
      <c r="I1384" s="10"/>
      <c r="J1384" s="10"/>
      <c r="K1384" s="16" t="str">
        <f t="shared" si="466"/>
        <v/>
      </c>
      <c r="L1384" s="23" t="str">
        <f t="shared" si="467"/>
        <v/>
      </c>
      <c r="M1384" s="22" t="str">
        <f t="shared" si="468"/>
        <v/>
      </c>
      <c r="N1384" s="72"/>
      <c r="O1384" s="16" t="str">
        <f t="shared" si="469"/>
        <v/>
      </c>
      <c r="P1384" s="16" t="str">
        <f t="shared" si="470"/>
        <v/>
      </c>
      <c r="Q1384" s="16" t="str">
        <f t="shared" si="471"/>
        <v/>
      </c>
      <c r="R1384" s="23" t="str">
        <f t="shared" si="472"/>
        <v/>
      </c>
      <c r="S1384" s="23" t="str">
        <f t="shared" si="473"/>
        <v/>
      </c>
      <c r="T1384" s="23" t="str">
        <f t="shared" si="474"/>
        <v/>
      </c>
      <c r="U1384" s="23" t="str">
        <f t="shared" si="475"/>
        <v/>
      </c>
      <c r="V1384" s="23" t="str">
        <f t="shared" si="476"/>
        <v/>
      </c>
      <c r="W1384" s="70" t="str">
        <f t="shared" si="477"/>
        <v/>
      </c>
      <c r="X1384" s="70" t="str">
        <f t="shared" si="478"/>
        <v/>
      </c>
      <c r="Y1384" s="70" t="str">
        <f>IF(AND($A1384&lt;&gt;"",$E1384&gt;0),isLaptopBag($C1384,$J1384)*$D1384,"")</f>
        <v/>
      </c>
      <c r="Z1384" s="70" t="str">
        <f t="shared" si="479"/>
        <v/>
      </c>
      <c r="AA1384" s="70" t="str">
        <f t="shared" si="480"/>
        <v/>
      </c>
      <c r="AB1384" s="70" t="str">
        <f t="shared" si="481"/>
        <v/>
      </c>
      <c r="AC1384" s="70" t="str">
        <f t="shared" si="482"/>
        <v/>
      </c>
      <c r="AD1384" s="70" t="str">
        <f t="shared" si="483"/>
        <v/>
      </c>
      <c r="AE1384" s="70" t="str">
        <f t="shared" si="484"/>
        <v/>
      </c>
      <c r="AF1384" s="16"/>
      <c r="AG1384" s="23"/>
      <c r="AH1384" s="22"/>
      <c r="AJ1384" s="83">
        <f t="shared" si="485"/>
        <v>0</v>
      </c>
      <c r="AO1384" s="22" t="str">
        <f t="shared" si="486"/>
        <v/>
      </c>
      <c r="AP1384" s="22" t="str">
        <f t="shared" si="487"/>
        <v/>
      </c>
    </row>
    <row r="1385" spans="1:42" x14ac:dyDescent="0.25">
      <c r="A1385" s="10"/>
      <c r="B1385" s="10"/>
      <c r="C1385" s="10"/>
      <c r="D1385" s="10"/>
      <c r="E1385" s="10"/>
      <c r="F1385" s="10"/>
      <c r="G1385" s="10"/>
      <c r="H1385" s="17"/>
      <c r="I1385" s="10"/>
      <c r="J1385" s="10"/>
      <c r="K1385" s="16" t="str">
        <f t="shared" si="466"/>
        <v/>
      </c>
      <c r="L1385" s="23" t="str">
        <f t="shared" si="467"/>
        <v/>
      </c>
      <c r="M1385" s="22" t="str">
        <f t="shared" si="468"/>
        <v/>
      </c>
      <c r="N1385" s="72"/>
      <c r="O1385" s="16" t="str">
        <f t="shared" si="469"/>
        <v/>
      </c>
      <c r="P1385" s="16" t="str">
        <f t="shared" si="470"/>
        <v/>
      </c>
      <c r="Q1385" s="16" t="str">
        <f t="shared" si="471"/>
        <v/>
      </c>
      <c r="R1385" s="23" t="str">
        <f t="shared" si="472"/>
        <v/>
      </c>
      <c r="S1385" s="23" t="str">
        <f t="shared" si="473"/>
        <v/>
      </c>
      <c r="T1385" s="23" t="str">
        <f t="shared" si="474"/>
        <v/>
      </c>
      <c r="U1385" s="23" t="str">
        <f t="shared" si="475"/>
        <v/>
      </c>
      <c r="V1385" s="23" t="str">
        <f t="shared" si="476"/>
        <v/>
      </c>
      <c r="W1385" s="70" t="str">
        <f t="shared" si="477"/>
        <v/>
      </c>
      <c r="X1385" s="70" t="str">
        <f t="shared" si="478"/>
        <v/>
      </c>
      <c r="Y1385" s="70" t="str">
        <f>IF(AND($A1385&lt;&gt;"",$E1385&gt;0),isLaptopBag($C1385,$J1385)*$D1385,"")</f>
        <v/>
      </c>
      <c r="Z1385" s="70" t="str">
        <f t="shared" si="479"/>
        <v/>
      </c>
      <c r="AA1385" s="70" t="str">
        <f t="shared" si="480"/>
        <v/>
      </c>
      <c r="AB1385" s="70" t="str">
        <f t="shared" si="481"/>
        <v/>
      </c>
      <c r="AC1385" s="70" t="str">
        <f t="shared" si="482"/>
        <v/>
      </c>
      <c r="AD1385" s="70" t="str">
        <f t="shared" si="483"/>
        <v/>
      </c>
      <c r="AE1385" s="70" t="str">
        <f t="shared" si="484"/>
        <v/>
      </c>
      <c r="AF1385" s="16"/>
      <c r="AG1385" s="23"/>
      <c r="AH1385" s="22"/>
      <c r="AJ1385" s="83">
        <f t="shared" si="485"/>
        <v>0</v>
      </c>
      <c r="AO1385" s="22" t="str">
        <f t="shared" si="486"/>
        <v/>
      </c>
      <c r="AP1385" s="22" t="str">
        <f t="shared" si="487"/>
        <v/>
      </c>
    </row>
    <row r="1386" spans="1:42" x14ac:dyDescent="0.25">
      <c r="A1386" s="10"/>
      <c r="B1386" s="10"/>
      <c r="C1386" s="10"/>
      <c r="D1386" s="10"/>
      <c r="E1386" s="10"/>
      <c r="F1386" s="10"/>
      <c r="G1386" s="10"/>
      <c r="H1386" s="17"/>
      <c r="I1386" s="10"/>
      <c r="J1386" s="10"/>
      <c r="K1386" s="16" t="str">
        <f t="shared" si="466"/>
        <v/>
      </c>
      <c r="L1386" s="23" t="str">
        <f t="shared" si="467"/>
        <v/>
      </c>
      <c r="M1386" s="22" t="str">
        <f t="shared" si="468"/>
        <v/>
      </c>
      <c r="N1386" s="72"/>
      <c r="O1386" s="16" t="str">
        <f t="shared" si="469"/>
        <v/>
      </c>
      <c r="P1386" s="16" t="str">
        <f t="shared" si="470"/>
        <v/>
      </c>
      <c r="Q1386" s="16" t="str">
        <f t="shared" si="471"/>
        <v/>
      </c>
      <c r="R1386" s="23" t="str">
        <f t="shared" si="472"/>
        <v/>
      </c>
      <c r="S1386" s="23" t="str">
        <f t="shared" si="473"/>
        <v/>
      </c>
      <c r="T1386" s="23" t="str">
        <f t="shared" si="474"/>
        <v/>
      </c>
      <c r="U1386" s="23" t="str">
        <f t="shared" si="475"/>
        <v/>
      </c>
      <c r="V1386" s="23" t="str">
        <f t="shared" si="476"/>
        <v/>
      </c>
      <c r="W1386" s="70" t="str">
        <f t="shared" si="477"/>
        <v/>
      </c>
      <c r="X1386" s="70" t="str">
        <f t="shared" si="478"/>
        <v/>
      </c>
      <c r="Y1386" s="70" t="str">
        <f>IF(AND($A1386&lt;&gt;"",$E1386&gt;0),isLaptopBag($C1386,$J1386)*$D1386,"")</f>
        <v/>
      </c>
      <c r="Z1386" s="70" t="str">
        <f t="shared" si="479"/>
        <v/>
      </c>
      <c r="AA1386" s="70" t="str">
        <f t="shared" si="480"/>
        <v/>
      </c>
      <c r="AB1386" s="70" t="str">
        <f t="shared" si="481"/>
        <v/>
      </c>
      <c r="AC1386" s="70" t="str">
        <f t="shared" si="482"/>
        <v/>
      </c>
      <c r="AD1386" s="70" t="str">
        <f t="shared" si="483"/>
        <v/>
      </c>
      <c r="AE1386" s="70" t="str">
        <f t="shared" si="484"/>
        <v/>
      </c>
      <c r="AF1386" s="16"/>
      <c r="AG1386" s="23"/>
      <c r="AH1386" s="22"/>
      <c r="AJ1386" s="83">
        <f t="shared" si="485"/>
        <v>0</v>
      </c>
      <c r="AO1386" s="22" t="str">
        <f t="shared" si="486"/>
        <v/>
      </c>
      <c r="AP1386" s="22" t="str">
        <f t="shared" si="487"/>
        <v/>
      </c>
    </row>
    <row r="1387" spans="1:42" x14ac:dyDescent="0.25">
      <c r="A1387" s="10"/>
      <c r="B1387" s="10"/>
      <c r="C1387" s="10"/>
      <c r="D1387" s="10"/>
      <c r="E1387" s="10"/>
      <c r="F1387" s="10"/>
      <c r="G1387" s="10"/>
      <c r="H1387" s="17"/>
      <c r="I1387" s="10"/>
      <c r="J1387" s="10"/>
      <c r="K1387" s="16" t="str">
        <f t="shared" si="466"/>
        <v/>
      </c>
      <c r="L1387" s="23" t="str">
        <f t="shared" si="467"/>
        <v/>
      </c>
      <c r="M1387" s="22" t="str">
        <f t="shared" si="468"/>
        <v/>
      </c>
      <c r="N1387" s="72"/>
      <c r="O1387" s="16" t="str">
        <f t="shared" si="469"/>
        <v/>
      </c>
      <c r="P1387" s="16" t="str">
        <f t="shared" si="470"/>
        <v/>
      </c>
      <c r="Q1387" s="16" t="str">
        <f t="shared" si="471"/>
        <v/>
      </c>
      <c r="R1387" s="23" t="str">
        <f t="shared" si="472"/>
        <v/>
      </c>
      <c r="S1387" s="23" t="str">
        <f t="shared" si="473"/>
        <v/>
      </c>
      <c r="T1387" s="23" t="str">
        <f t="shared" si="474"/>
        <v/>
      </c>
      <c r="U1387" s="23" t="str">
        <f t="shared" si="475"/>
        <v/>
      </c>
      <c r="V1387" s="23" t="str">
        <f t="shared" si="476"/>
        <v/>
      </c>
      <c r="W1387" s="70" t="str">
        <f t="shared" si="477"/>
        <v/>
      </c>
      <c r="X1387" s="70" t="str">
        <f t="shared" si="478"/>
        <v/>
      </c>
      <c r="Y1387" s="70" t="str">
        <f>IF(AND($A1387&lt;&gt;"",$E1387&gt;0),isLaptopBag($C1387,$J1387)*$D1387,"")</f>
        <v/>
      </c>
      <c r="Z1387" s="70" t="str">
        <f t="shared" si="479"/>
        <v/>
      </c>
      <c r="AA1387" s="70" t="str">
        <f t="shared" si="480"/>
        <v/>
      </c>
      <c r="AB1387" s="70" t="str">
        <f t="shared" si="481"/>
        <v/>
      </c>
      <c r="AC1387" s="70" t="str">
        <f t="shared" si="482"/>
        <v/>
      </c>
      <c r="AD1387" s="70" t="str">
        <f t="shared" si="483"/>
        <v/>
      </c>
      <c r="AE1387" s="70" t="str">
        <f t="shared" si="484"/>
        <v/>
      </c>
      <c r="AF1387" s="16"/>
      <c r="AG1387" s="23"/>
      <c r="AH1387" s="22"/>
      <c r="AJ1387" s="83">
        <f t="shared" si="485"/>
        <v>0</v>
      </c>
      <c r="AO1387" s="22" t="str">
        <f t="shared" si="486"/>
        <v/>
      </c>
      <c r="AP1387" s="22" t="str">
        <f t="shared" si="487"/>
        <v/>
      </c>
    </row>
    <row r="1388" spans="1:42" x14ac:dyDescent="0.25">
      <c r="A1388" s="10"/>
      <c r="B1388" s="10"/>
      <c r="C1388" s="10"/>
      <c r="D1388" s="10"/>
      <c r="E1388" s="10"/>
      <c r="F1388" s="10"/>
      <c r="G1388" s="10"/>
      <c r="H1388" s="17"/>
      <c r="I1388" s="10"/>
      <c r="J1388" s="10"/>
      <c r="K1388" s="16" t="str">
        <f t="shared" si="466"/>
        <v/>
      </c>
      <c r="L1388" s="23" t="str">
        <f t="shared" si="467"/>
        <v/>
      </c>
      <c r="M1388" s="22" t="str">
        <f t="shared" si="468"/>
        <v/>
      </c>
      <c r="N1388" s="72"/>
      <c r="O1388" s="16" t="str">
        <f t="shared" si="469"/>
        <v/>
      </c>
      <c r="P1388" s="16" t="str">
        <f t="shared" si="470"/>
        <v/>
      </c>
      <c r="Q1388" s="16" t="str">
        <f t="shared" si="471"/>
        <v/>
      </c>
      <c r="R1388" s="23" t="str">
        <f t="shared" si="472"/>
        <v/>
      </c>
      <c r="S1388" s="23" t="str">
        <f t="shared" si="473"/>
        <v/>
      </c>
      <c r="T1388" s="23" t="str">
        <f t="shared" si="474"/>
        <v/>
      </c>
      <c r="U1388" s="23" t="str">
        <f t="shared" si="475"/>
        <v/>
      </c>
      <c r="V1388" s="23" t="str">
        <f t="shared" si="476"/>
        <v/>
      </c>
      <c r="W1388" s="70" t="str">
        <f t="shared" si="477"/>
        <v/>
      </c>
      <c r="X1388" s="70" t="str">
        <f t="shared" si="478"/>
        <v/>
      </c>
      <c r="Y1388" s="70" t="str">
        <f>IF(AND($A1388&lt;&gt;"",$E1388&gt;0),isLaptopBag($C1388,$J1388)*$D1388,"")</f>
        <v/>
      </c>
      <c r="Z1388" s="70" t="str">
        <f t="shared" si="479"/>
        <v/>
      </c>
      <c r="AA1388" s="70" t="str">
        <f t="shared" si="480"/>
        <v/>
      </c>
      <c r="AB1388" s="70" t="str">
        <f t="shared" si="481"/>
        <v/>
      </c>
      <c r="AC1388" s="70" t="str">
        <f t="shared" si="482"/>
        <v/>
      </c>
      <c r="AD1388" s="70" t="str">
        <f t="shared" si="483"/>
        <v/>
      </c>
      <c r="AE1388" s="70" t="str">
        <f t="shared" si="484"/>
        <v/>
      </c>
      <c r="AF1388" s="16"/>
      <c r="AG1388" s="23"/>
      <c r="AH1388" s="22"/>
      <c r="AJ1388" s="83">
        <f t="shared" si="485"/>
        <v>0</v>
      </c>
      <c r="AO1388" s="22" t="str">
        <f t="shared" si="486"/>
        <v/>
      </c>
      <c r="AP1388" s="22" t="str">
        <f t="shared" si="487"/>
        <v/>
      </c>
    </row>
    <row r="1389" spans="1:42" x14ac:dyDescent="0.25">
      <c r="A1389" s="10"/>
      <c r="B1389" s="10"/>
      <c r="C1389" s="10"/>
      <c r="D1389" s="10"/>
      <c r="E1389" s="10"/>
      <c r="F1389" s="10"/>
      <c r="G1389" s="10"/>
      <c r="H1389" s="17"/>
      <c r="I1389" s="10"/>
      <c r="J1389" s="10"/>
      <c r="K1389" s="16" t="str">
        <f t="shared" si="466"/>
        <v/>
      </c>
      <c r="L1389" s="23" t="str">
        <f t="shared" si="467"/>
        <v/>
      </c>
      <c r="M1389" s="22" t="str">
        <f t="shared" si="468"/>
        <v/>
      </c>
      <c r="N1389" s="72"/>
      <c r="O1389" s="16" t="str">
        <f t="shared" si="469"/>
        <v/>
      </c>
      <c r="P1389" s="16" t="str">
        <f t="shared" si="470"/>
        <v/>
      </c>
      <c r="Q1389" s="16" t="str">
        <f t="shared" si="471"/>
        <v/>
      </c>
      <c r="R1389" s="23" t="str">
        <f t="shared" si="472"/>
        <v/>
      </c>
      <c r="S1389" s="23" t="str">
        <f t="shared" si="473"/>
        <v/>
      </c>
      <c r="T1389" s="23" t="str">
        <f t="shared" si="474"/>
        <v/>
      </c>
      <c r="U1389" s="23" t="str">
        <f t="shared" si="475"/>
        <v/>
      </c>
      <c r="V1389" s="23" t="str">
        <f t="shared" si="476"/>
        <v/>
      </c>
      <c r="W1389" s="70" t="str">
        <f t="shared" si="477"/>
        <v/>
      </c>
      <c r="X1389" s="70" t="str">
        <f t="shared" si="478"/>
        <v/>
      </c>
      <c r="Y1389" s="70" t="str">
        <f>IF(AND($A1389&lt;&gt;"",$E1389&gt;0),isLaptopBag($C1389,$J1389)*$D1389,"")</f>
        <v/>
      </c>
      <c r="Z1389" s="70" t="str">
        <f t="shared" si="479"/>
        <v/>
      </c>
      <c r="AA1389" s="70" t="str">
        <f t="shared" si="480"/>
        <v/>
      </c>
      <c r="AB1389" s="70" t="str">
        <f t="shared" si="481"/>
        <v/>
      </c>
      <c r="AC1389" s="70" t="str">
        <f t="shared" si="482"/>
        <v/>
      </c>
      <c r="AD1389" s="70" t="str">
        <f t="shared" si="483"/>
        <v/>
      </c>
      <c r="AE1389" s="70" t="str">
        <f t="shared" si="484"/>
        <v/>
      </c>
      <c r="AF1389" s="16"/>
      <c r="AG1389" s="23"/>
      <c r="AH1389" s="22"/>
      <c r="AJ1389" s="83">
        <f t="shared" si="485"/>
        <v>0</v>
      </c>
      <c r="AO1389" s="22" t="str">
        <f t="shared" si="486"/>
        <v/>
      </c>
      <c r="AP1389" s="22" t="str">
        <f t="shared" si="487"/>
        <v/>
      </c>
    </row>
    <row r="1390" spans="1:42" x14ac:dyDescent="0.25">
      <c r="A1390" s="10"/>
      <c r="B1390" s="10"/>
      <c r="C1390" s="10"/>
      <c r="D1390" s="10"/>
      <c r="E1390" s="10"/>
      <c r="F1390" s="10"/>
      <c r="G1390" s="10"/>
      <c r="H1390" s="17"/>
      <c r="I1390" s="10"/>
      <c r="J1390" s="10"/>
      <c r="K1390" s="16" t="str">
        <f t="shared" si="466"/>
        <v/>
      </c>
      <c r="L1390" s="23" t="str">
        <f t="shared" si="467"/>
        <v/>
      </c>
      <c r="M1390" s="22" t="str">
        <f t="shared" si="468"/>
        <v/>
      </c>
      <c r="N1390" s="72"/>
      <c r="O1390" s="16" t="str">
        <f t="shared" si="469"/>
        <v/>
      </c>
      <c r="P1390" s="16" t="str">
        <f t="shared" si="470"/>
        <v/>
      </c>
      <c r="Q1390" s="16" t="str">
        <f t="shared" si="471"/>
        <v/>
      </c>
      <c r="R1390" s="23" t="str">
        <f t="shared" si="472"/>
        <v/>
      </c>
      <c r="S1390" s="23" t="str">
        <f t="shared" si="473"/>
        <v/>
      </c>
      <c r="T1390" s="23" t="str">
        <f t="shared" si="474"/>
        <v/>
      </c>
      <c r="U1390" s="23" t="str">
        <f t="shared" si="475"/>
        <v/>
      </c>
      <c r="V1390" s="23" t="str">
        <f t="shared" si="476"/>
        <v/>
      </c>
      <c r="W1390" s="70" t="str">
        <f t="shared" si="477"/>
        <v/>
      </c>
      <c r="X1390" s="70" t="str">
        <f t="shared" si="478"/>
        <v/>
      </c>
      <c r="Y1390" s="70" t="str">
        <f>IF(AND($A1390&lt;&gt;"",$E1390&gt;0),isLaptopBag($C1390,$J1390)*$D1390,"")</f>
        <v/>
      </c>
      <c r="Z1390" s="70" t="str">
        <f t="shared" si="479"/>
        <v/>
      </c>
      <c r="AA1390" s="70" t="str">
        <f t="shared" si="480"/>
        <v/>
      </c>
      <c r="AB1390" s="70" t="str">
        <f t="shared" si="481"/>
        <v/>
      </c>
      <c r="AC1390" s="70" t="str">
        <f t="shared" si="482"/>
        <v/>
      </c>
      <c r="AD1390" s="70" t="str">
        <f t="shared" si="483"/>
        <v/>
      </c>
      <c r="AE1390" s="70" t="str">
        <f t="shared" si="484"/>
        <v/>
      </c>
      <c r="AF1390" s="16"/>
      <c r="AG1390" s="23"/>
      <c r="AH1390" s="22"/>
      <c r="AJ1390" s="83">
        <f t="shared" si="485"/>
        <v>0</v>
      </c>
      <c r="AO1390" s="22" t="str">
        <f t="shared" si="486"/>
        <v/>
      </c>
      <c r="AP1390" s="22" t="str">
        <f t="shared" si="487"/>
        <v/>
      </c>
    </row>
    <row r="1391" spans="1:42" x14ac:dyDescent="0.25">
      <c r="A1391" s="10"/>
      <c r="B1391" s="10"/>
      <c r="C1391" s="10"/>
      <c r="D1391" s="10"/>
      <c r="E1391" s="10"/>
      <c r="F1391" s="10"/>
      <c r="G1391" s="10"/>
      <c r="H1391" s="17"/>
      <c r="I1391" s="10"/>
      <c r="J1391" s="10"/>
      <c r="K1391" s="16" t="str">
        <f t="shared" si="466"/>
        <v/>
      </c>
      <c r="L1391" s="23" t="str">
        <f t="shared" si="467"/>
        <v/>
      </c>
      <c r="M1391" s="22" t="str">
        <f t="shared" si="468"/>
        <v/>
      </c>
      <c r="N1391" s="72"/>
      <c r="O1391" s="16" t="str">
        <f t="shared" si="469"/>
        <v/>
      </c>
      <c r="P1391" s="16" t="str">
        <f t="shared" si="470"/>
        <v/>
      </c>
      <c r="Q1391" s="16" t="str">
        <f t="shared" si="471"/>
        <v/>
      </c>
      <c r="R1391" s="23" t="str">
        <f t="shared" si="472"/>
        <v/>
      </c>
      <c r="S1391" s="23" t="str">
        <f t="shared" si="473"/>
        <v/>
      </c>
      <c r="T1391" s="23" t="str">
        <f t="shared" si="474"/>
        <v/>
      </c>
      <c r="U1391" s="23" t="str">
        <f t="shared" si="475"/>
        <v/>
      </c>
      <c r="V1391" s="23" t="str">
        <f t="shared" si="476"/>
        <v/>
      </c>
      <c r="W1391" s="70" t="str">
        <f t="shared" si="477"/>
        <v/>
      </c>
      <c r="X1391" s="70" t="str">
        <f t="shared" si="478"/>
        <v/>
      </c>
      <c r="Y1391" s="70" t="str">
        <f>IF(AND($A1391&lt;&gt;"",$E1391&gt;0),isLaptopBag($C1391,$J1391)*$D1391,"")</f>
        <v/>
      </c>
      <c r="Z1391" s="70" t="str">
        <f t="shared" si="479"/>
        <v/>
      </c>
      <c r="AA1391" s="70" t="str">
        <f t="shared" si="480"/>
        <v/>
      </c>
      <c r="AB1391" s="70" t="str">
        <f t="shared" si="481"/>
        <v/>
      </c>
      <c r="AC1391" s="70" t="str">
        <f t="shared" si="482"/>
        <v/>
      </c>
      <c r="AD1391" s="70" t="str">
        <f t="shared" si="483"/>
        <v/>
      </c>
      <c r="AE1391" s="70" t="str">
        <f t="shared" si="484"/>
        <v/>
      </c>
      <c r="AF1391" s="16"/>
      <c r="AG1391" s="23"/>
      <c r="AH1391" s="22"/>
      <c r="AJ1391" s="83">
        <f t="shared" si="485"/>
        <v>0</v>
      </c>
      <c r="AO1391" s="22" t="str">
        <f t="shared" si="486"/>
        <v/>
      </c>
      <c r="AP1391" s="22" t="str">
        <f t="shared" si="487"/>
        <v/>
      </c>
    </row>
    <row r="1392" spans="1:42" x14ac:dyDescent="0.25">
      <c r="A1392" s="10"/>
      <c r="B1392" s="10"/>
      <c r="C1392" s="10"/>
      <c r="D1392" s="10"/>
      <c r="E1392" s="10"/>
      <c r="F1392" s="10"/>
      <c r="G1392" s="10"/>
      <c r="H1392" s="17"/>
      <c r="I1392" s="10"/>
      <c r="J1392" s="10"/>
      <c r="K1392" s="16" t="str">
        <f t="shared" si="466"/>
        <v/>
      </c>
      <c r="L1392" s="23" t="str">
        <f t="shared" si="467"/>
        <v/>
      </c>
      <c r="M1392" s="22" t="str">
        <f t="shared" si="468"/>
        <v/>
      </c>
      <c r="N1392" s="72"/>
      <c r="O1392" s="16" t="str">
        <f t="shared" si="469"/>
        <v/>
      </c>
      <c r="P1392" s="16" t="str">
        <f t="shared" si="470"/>
        <v/>
      </c>
      <c r="Q1392" s="16" t="str">
        <f t="shared" si="471"/>
        <v/>
      </c>
      <c r="R1392" s="23" t="str">
        <f t="shared" si="472"/>
        <v/>
      </c>
      <c r="S1392" s="23" t="str">
        <f t="shared" si="473"/>
        <v/>
      </c>
      <c r="T1392" s="23" t="str">
        <f t="shared" si="474"/>
        <v/>
      </c>
      <c r="U1392" s="23" t="str">
        <f t="shared" si="475"/>
        <v/>
      </c>
      <c r="V1392" s="23" t="str">
        <f t="shared" si="476"/>
        <v/>
      </c>
      <c r="W1392" s="70" t="str">
        <f t="shared" si="477"/>
        <v/>
      </c>
      <c r="X1392" s="70" t="str">
        <f t="shared" si="478"/>
        <v/>
      </c>
      <c r="Y1392" s="70" t="str">
        <f>IF(AND($A1392&lt;&gt;"",$E1392&gt;0),isLaptopBag($C1392,$J1392)*$D1392,"")</f>
        <v/>
      </c>
      <c r="Z1392" s="70" t="str">
        <f t="shared" si="479"/>
        <v/>
      </c>
      <c r="AA1392" s="70" t="str">
        <f t="shared" si="480"/>
        <v/>
      </c>
      <c r="AB1392" s="70" t="str">
        <f t="shared" si="481"/>
        <v/>
      </c>
      <c r="AC1392" s="70" t="str">
        <f t="shared" si="482"/>
        <v/>
      </c>
      <c r="AD1392" s="70" t="str">
        <f t="shared" si="483"/>
        <v/>
      </c>
      <c r="AE1392" s="70" t="str">
        <f t="shared" si="484"/>
        <v/>
      </c>
      <c r="AF1392" s="16"/>
      <c r="AG1392" s="23"/>
      <c r="AH1392" s="22"/>
      <c r="AJ1392" s="83">
        <f t="shared" si="485"/>
        <v>0</v>
      </c>
      <c r="AO1392" s="22" t="str">
        <f t="shared" si="486"/>
        <v/>
      </c>
      <c r="AP1392" s="22" t="str">
        <f t="shared" si="487"/>
        <v/>
      </c>
    </row>
    <row r="1393" spans="1:42" x14ac:dyDescent="0.25">
      <c r="A1393" s="10"/>
      <c r="B1393" s="10"/>
      <c r="C1393" s="10"/>
      <c r="D1393" s="10"/>
      <c r="E1393" s="10"/>
      <c r="F1393" s="10"/>
      <c r="G1393" s="10"/>
      <c r="H1393" s="17"/>
      <c r="I1393" s="10"/>
      <c r="J1393" s="10"/>
      <c r="K1393" s="16" t="str">
        <f t="shared" si="466"/>
        <v/>
      </c>
      <c r="L1393" s="23" t="str">
        <f t="shared" si="467"/>
        <v/>
      </c>
      <c r="M1393" s="22" t="str">
        <f t="shared" si="468"/>
        <v/>
      </c>
      <c r="N1393" s="72"/>
      <c r="O1393" s="16" t="str">
        <f t="shared" si="469"/>
        <v/>
      </c>
      <c r="P1393" s="16" t="str">
        <f t="shared" si="470"/>
        <v/>
      </c>
      <c r="Q1393" s="16" t="str">
        <f t="shared" si="471"/>
        <v/>
      </c>
      <c r="R1393" s="23" t="str">
        <f t="shared" si="472"/>
        <v/>
      </c>
      <c r="S1393" s="23" t="str">
        <f t="shared" si="473"/>
        <v/>
      </c>
      <c r="T1393" s="23" t="str">
        <f t="shared" si="474"/>
        <v/>
      </c>
      <c r="U1393" s="23" t="str">
        <f t="shared" si="475"/>
        <v/>
      </c>
      <c r="V1393" s="23" t="str">
        <f t="shared" si="476"/>
        <v/>
      </c>
      <c r="W1393" s="70" t="str">
        <f t="shared" si="477"/>
        <v/>
      </c>
      <c r="X1393" s="70" t="str">
        <f t="shared" si="478"/>
        <v/>
      </c>
      <c r="Y1393" s="70" t="str">
        <f>IF(AND($A1393&lt;&gt;"",$E1393&gt;0),isLaptopBag($C1393,$J1393)*$D1393,"")</f>
        <v/>
      </c>
      <c r="Z1393" s="70" t="str">
        <f t="shared" si="479"/>
        <v/>
      </c>
      <c r="AA1393" s="70" t="str">
        <f t="shared" si="480"/>
        <v/>
      </c>
      <c r="AB1393" s="70" t="str">
        <f t="shared" si="481"/>
        <v/>
      </c>
      <c r="AC1393" s="70" t="str">
        <f t="shared" si="482"/>
        <v/>
      </c>
      <c r="AD1393" s="70" t="str">
        <f t="shared" si="483"/>
        <v/>
      </c>
      <c r="AE1393" s="70" t="str">
        <f t="shared" si="484"/>
        <v/>
      </c>
      <c r="AF1393" s="16"/>
      <c r="AG1393" s="23"/>
      <c r="AH1393" s="22"/>
      <c r="AJ1393" s="83">
        <f t="shared" si="485"/>
        <v>0</v>
      </c>
      <c r="AO1393" s="22" t="str">
        <f t="shared" si="486"/>
        <v/>
      </c>
      <c r="AP1393" s="22" t="str">
        <f t="shared" si="487"/>
        <v/>
      </c>
    </row>
    <row r="1394" spans="1:42" x14ac:dyDescent="0.25">
      <c r="A1394" s="10"/>
      <c r="B1394" s="10"/>
      <c r="C1394" s="10"/>
      <c r="D1394" s="10"/>
      <c r="E1394" s="10"/>
      <c r="F1394" s="10"/>
      <c r="G1394" s="10"/>
      <c r="H1394" s="17"/>
      <c r="I1394" s="10"/>
      <c r="J1394" s="10"/>
      <c r="K1394" s="16" t="str">
        <f t="shared" si="466"/>
        <v/>
      </c>
      <c r="L1394" s="23" t="str">
        <f t="shared" si="467"/>
        <v/>
      </c>
      <c r="M1394" s="22" t="str">
        <f t="shared" si="468"/>
        <v/>
      </c>
      <c r="N1394" s="72"/>
      <c r="O1394" s="16" t="str">
        <f t="shared" si="469"/>
        <v/>
      </c>
      <c r="P1394" s="16" t="str">
        <f t="shared" si="470"/>
        <v/>
      </c>
      <c r="Q1394" s="16" t="str">
        <f t="shared" si="471"/>
        <v/>
      </c>
      <c r="R1394" s="23" t="str">
        <f t="shared" si="472"/>
        <v/>
      </c>
      <c r="S1394" s="23" t="str">
        <f t="shared" si="473"/>
        <v/>
      </c>
      <c r="T1394" s="23" t="str">
        <f t="shared" si="474"/>
        <v/>
      </c>
      <c r="U1394" s="23" t="str">
        <f t="shared" si="475"/>
        <v/>
      </c>
      <c r="V1394" s="23" t="str">
        <f t="shared" si="476"/>
        <v/>
      </c>
      <c r="W1394" s="70" t="str">
        <f t="shared" si="477"/>
        <v/>
      </c>
      <c r="X1394" s="70" t="str">
        <f t="shared" si="478"/>
        <v/>
      </c>
      <c r="Y1394" s="70" t="str">
        <f>IF(AND($A1394&lt;&gt;"",$E1394&gt;0),isLaptopBag($C1394,$J1394)*$D1394,"")</f>
        <v/>
      </c>
      <c r="Z1394" s="70" t="str">
        <f t="shared" si="479"/>
        <v/>
      </c>
      <c r="AA1394" s="70" t="str">
        <f t="shared" si="480"/>
        <v/>
      </c>
      <c r="AB1394" s="70" t="str">
        <f t="shared" si="481"/>
        <v/>
      </c>
      <c r="AC1394" s="70" t="str">
        <f t="shared" si="482"/>
        <v/>
      </c>
      <c r="AD1394" s="70" t="str">
        <f t="shared" si="483"/>
        <v/>
      </c>
      <c r="AE1394" s="70" t="str">
        <f t="shared" si="484"/>
        <v/>
      </c>
      <c r="AF1394" s="16"/>
      <c r="AG1394" s="23"/>
      <c r="AH1394" s="22"/>
      <c r="AJ1394" s="83">
        <f t="shared" si="485"/>
        <v>0</v>
      </c>
      <c r="AO1394" s="22" t="str">
        <f t="shared" si="486"/>
        <v/>
      </c>
      <c r="AP1394" s="22" t="str">
        <f t="shared" si="487"/>
        <v/>
      </c>
    </row>
    <row r="1395" spans="1:42" x14ac:dyDescent="0.25">
      <c r="A1395" s="10"/>
      <c r="B1395" s="10"/>
      <c r="C1395" s="10"/>
      <c r="D1395" s="10"/>
      <c r="E1395" s="10"/>
      <c r="F1395" s="10"/>
      <c r="G1395" s="10"/>
      <c r="H1395" s="17"/>
      <c r="I1395" s="10"/>
      <c r="J1395" s="10"/>
      <c r="K1395" s="16" t="str">
        <f t="shared" si="466"/>
        <v/>
      </c>
      <c r="L1395" s="23" t="str">
        <f t="shared" si="467"/>
        <v/>
      </c>
      <c r="M1395" s="22" t="str">
        <f t="shared" si="468"/>
        <v/>
      </c>
      <c r="N1395" s="72"/>
      <c r="O1395" s="16" t="str">
        <f t="shared" si="469"/>
        <v/>
      </c>
      <c r="P1395" s="16" t="str">
        <f t="shared" si="470"/>
        <v/>
      </c>
      <c r="Q1395" s="16" t="str">
        <f t="shared" si="471"/>
        <v/>
      </c>
      <c r="R1395" s="23" t="str">
        <f t="shared" si="472"/>
        <v/>
      </c>
      <c r="S1395" s="23" t="str">
        <f t="shared" si="473"/>
        <v/>
      </c>
      <c r="T1395" s="23" t="str">
        <f t="shared" si="474"/>
        <v/>
      </c>
      <c r="U1395" s="23" t="str">
        <f t="shared" si="475"/>
        <v/>
      </c>
      <c r="V1395" s="23" t="str">
        <f t="shared" si="476"/>
        <v/>
      </c>
      <c r="W1395" s="70" t="str">
        <f t="shared" si="477"/>
        <v/>
      </c>
      <c r="X1395" s="70" t="str">
        <f t="shared" si="478"/>
        <v/>
      </c>
      <c r="Y1395" s="70" t="str">
        <f>IF(AND($A1395&lt;&gt;"",$E1395&gt;0),isLaptopBag($C1395,$J1395)*$D1395,"")</f>
        <v/>
      </c>
      <c r="Z1395" s="70" t="str">
        <f t="shared" si="479"/>
        <v/>
      </c>
      <c r="AA1395" s="70" t="str">
        <f t="shared" si="480"/>
        <v/>
      </c>
      <c r="AB1395" s="70" t="str">
        <f t="shared" si="481"/>
        <v/>
      </c>
      <c r="AC1395" s="70" t="str">
        <f t="shared" si="482"/>
        <v/>
      </c>
      <c r="AD1395" s="70" t="str">
        <f t="shared" si="483"/>
        <v/>
      </c>
      <c r="AE1395" s="70" t="str">
        <f t="shared" si="484"/>
        <v/>
      </c>
      <c r="AF1395" s="16"/>
      <c r="AG1395" s="23"/>
      <c r="AH1395" s="22"/>
      <c r="AJ1395" s="83">
        <f t="shared" si="485"/>
        <v>0</v>
      </c>
      <c r="AO1395" s="22" t="str">
        <f t="shared" si="486"/>
        <v/>
      </c>
      <c r="AP1395" s="22" t="str">
        <f t="shared" si="487"/>
        <v/>
      </c>
    </row>
    <row r="1396" spans="1:42" x14ac:dyDescent="0.25">
      <c r="A1396" s="10"/>
      <c r="B1396" s="10"/>
      <c r="C1396" s="10"/>
      <c r="D1396" s="10"/>
      <c r="E1396" s="10"/>
      <c r="F1396" s="10"/>
      <c r="G1396" s="10"/>
      <c r="H1396" s="17"/>
      <c r="I1396" s="10"/>
      <c r="J1396" s="10"/>
      <c r="K1396" s="16" t="str">
        <f t="shared" si="466"/>
        <v/>
      </c>
      <c r="L1396" s="23" t="str">
        <f t="shared" si="467"/>
        <v/>
      </c>
      <c r="M1396" s="22" t="str">
        <f t="shared" si="468"/>
        <v/>
      </c>
      <c r="N1396" s="72"/>
      <c r="O1396" s="16" t="str">
        <f t="shared" si="469"/>
        <v/>
      </c>
      <c r="P1396" s="16" t="str">
        <f t="shared" si="470"/>
        <v/>
      </c>
      <c r="Q1396" s="16" t="str">
        <f t="shared" si="471"/>
        <v/>
      </c>
      <c r="R1396" s="23" t="str">
        <f t="shared" si="472"/>
        <v/>
      </c>
      <c r="S1396" s="23" t="str">
        <f t="shared" si="473"/>
        <v/>
      </c>
      <c r="T1396" s="23" t="str">
        <f t="shared" si="474"/>
        <v/>
      </c>
      <c r="U1396" s="23" t="str">
        <f t="shared" si="475"/>
        <v/>
      </c>
      <c r="V1396" s="23" t="str">
        <f t="shared" si="476"/>
        <v/>
      </c>
      <c r="W1396" s="70" t="str">
        <f t="shared" si="477"/>
        <v/>
      </c>
      <c r="X1396" s="70" t="str">
        <f t="shared" si="478"/>
        <v/>
      </c>
      <c r="Y1396" s="70" t="str">
        <f>IF(AND($A1396&lt;&gt;"",$E1396&gt;0),isLaptopBag($C1396,$J1396)*$D1396,"")</f>
        <v/>
      </c>
      <c r="Z1396" s="70" t="str">
        <f t="shared" si="479"/>
        <v/>
      </c>
      <c r="AA1396" s="70" t="str">
        <f t="shared" si="480"/>
        <v/>
      </c>
      <c r="AB1396" s="70" t="str">
        <f t="shared" si="481"/>
        <v/>
      </c>
      <c r="AC1396" s="70" t="str">
        <f t="shared" si="482"/>
        <v/>
      </c>
      <c r="AD1396" s="70" t="str">
        <f t="shared" si="483"/>
        <v/>
      </c>
      <c r="AE1396" s="70" t="str">
        <f t="shared" si="484"/>
        <v/>
      </c>
      <c r="AF1396" s="16"/>
      <c r="AG1396" s="23"/>
      <c r="AH1396" s="22"/>
      <c r="AJ1396" s="83">
        <f t="shared" si="485"/>
        <v>0</v>
      </c>
      <c r="AO1396" s="22" t="str">
        <f t="shared" si="486"/>
        <v/>
      </c>
      <c r="AP1396" s="22" t="str">
        <f t="shared" si="487"/>
        <v/>
      </c>
    </row>
    <row r="1397" spans="1:42" x14ac:dyDescent="0.25">
      <c r="A1397" s="10"/>
      <c r="B1397" s="10"/>
      <c r="C1397" s="10"/>
      <c r="D1397" s="10"/>
      <c r="E1397" s="10"/>
      <c r="F1397" s="10"/>
      <c r="G1397" s="10"/>
      <c r="H1397" s="17"/>
      <c r="I1397" s="10"/>
      <c r="J1397" s="10"/>
      <c r="K1397" s="16" t="str">
        <f t="shared" si="466"/>
        <v/>
      </c>
      <c r="L1397" s="23" t="str">
        <f t="shared" si="467"/>
        <v/>
      </c>
      <c r="M1397" s="22" t="str">
        <f t="shared" si="468"/>
        <v/>
      </c>
      <c r="N1397" s="72"/>
      <c r="O1397" s="16" t="str">
        <f t="shared" si="469"/>
        <v/>
      </c>
      <c r="P1397" s="16" t="str">
        <f t="shared" si="470"/>
        <v/>
      </c>
      <c r="Q1397" s="16" t="str">
        <f t="shared" si="471"/>
        <v/>
      </c>
      <c r="R1397" s="23" t="str">
        <f t="shared" si="472"/>
        <v/>
      </c>
      <c r="S1397" s="23" t="str">
        <f t="shared" si="473"/>
        <v/>
      </c>
      <c r="T1397" s="23" t="str">
        <f t="shared" si="474"/>
        <v/>
      </c>
      <c r="U1397" s="23" t="str">
        <f t="shared" si="475"/>
        <v/>
      </c>
      <c r="V1397" s="23" t="str">
        <f t="shared" si="476"/>
        <v/>
      </c>
      <c r="W1397" s="70" t="str">
        <f t="shared" si="477"/>
        <v/>
      </c>
      <c r="X1397" s="70" t="str">
        <f t="shared" si="478"/>
        <v/>
      </c>
      <c r="Y1397" s="70" t="str">
        <f>IF(AND($A1397&lt;&gt;"",$E1397&gt;0),isLaptopBag($C1397,$J1397)*$D1397,"")</f>
        <v/>
      </c>
      <c r="Z1397" s="70" t="str">
        <f t="shared" si="479"/>
        <v/>
      </c>
      <c r="AA1397" s="70" t="str">
        <f t="shared" si="480"/>
        <v/>
      </c>
      <c r="AB1397" s="70" t="str">
        <f t="shared" si="481"/>
        <v/>
      </c>
      <c r="AC1397" s="70" t="str">
        <f t="shared" si="482"/>
        <v/>
      </c>
      <c r="AD1397" s="70" t="str">
        <f t="shared" si="483"/>
        <v/>
      </c>
      <c r="AE1397" s="70" t="str">
        <f t="shared" si="484"/>
        <v/>
      </c>
      <c r="AF1397" s="16"/>
      <c r="AG1397" s="23"/>
      <c r="AH1397" s="22"/>
      <c r="AJ1397" s="83">
        <f t="shared" si="485"/>
        <v>0</v>
      </c>
      <c r="AO1397" s="22" t="str">
        <f t="shared" si="486"/>
        <v/>
      </c>
      <c r="AP1397" s="22" t="str">
        <f t="shared" si="487"/>
        <v/>
      </c>
    </row>
    <row r="1398" spans="1:42" x14ac:dyDescent="0.25">
      <c r="A1398" s="10"/>
      <c r="B1398" s="10"/>
      <c r="C1398" s="10"/>
      <c r="D1398" s="10"/>
      <c r="E1398" s="10"/>
      <c r="F1398" s="10"/>
      <c r="G1398" s="10"/>
      <c r="H1398" s="17"/>
      <c r="I1398" s="10"/>
      <c r="J1398" s="10"/>
      <c r="K1398" s="16" t="str">
        <f t="shared" si="466"/>
        <v/>
      </c>
      <c r="L1398" s="23" t="str">
        <f t="shared" si="467"/>
        <v/>
      </c>
      <c r="M1398" s="22" t="str">
        <f t="shared" si="468"/>
        <v/>
      </c>
      <c r="N1398" s="72"/>
      <c r="O1398" s="16" t="str">
        <f t="shared" si="469"/>
        <v/>
      </c>
      <c r="P1398" s="16" t="str">
        <f t="shared" si="470"/>
        <v/>
      </c>
      <c r="Q1398" s="16" t="str">
        <f t="shared" si="471"/>
        <v/>
      </c>
      <c r="R1398" s="23" t="str">
        <f t="shared" si="472"/>
        <v/>
      </c>
      <c r="S1398" s="23" t="str">
        <f t="shared" si="473"/>
        <v/>
      </c>
      <c r="T1398" s="23" t="str">
        <f t="shared" si="474"/>
        <v/>
      </c>
      <c r="U1398" s="23" t="str">
        <f t="shared" si="475"/>
        <v/>
      </c>
      <c r="V1398" s="23" t="str">
        <f t="shared" si="476"/>
        <v/>
      </c>
      <c r="W1398" s="70" t="str">
        <f t="shared" si="477"/>
        <v/>
      </c>
      <c r="X1398" s="70" t="str">
        <f t="shared" si="478"/>
        <v/>
      </c>
      <c r="Y1398" s="70" t="str">
        <f>IF(AND($A1398&lt;&gt;"",$E1398&gt;0),isLaptopBag($C1398,$J1398)*$D1398,"")</f>
        <v/>
      </c>
      <c r="Z1398" s="70" t="str">
        <f t="shared" si="479"/>
        <v/>
      </c>
      <c r="AA1398" s="70" t="str">
        <f t="shared" si="480"/>
        <v/>
      </c>
      <c r="AB1398" s="70" t="str">
        <f t="shared" si="481"/>
        <v/>
      </c>
      <c r="AC1398" s="70" t="str">
        <f t="shared" si="482"/>
        <v/>
      </c>
      <c r="AD1398" s="70" t="str">
        <f t="shared" si="483"/>
        <v/>
      </c>
      <c r="AE1398" s="70" t="str">
        <f t="shared" si="484"/>
        <v/>
      </c>
      <c r="AF1398" s="16"/>
      <c r="AG1398" s="23"/>
      <c r="AH1398" s="22"/>
      <c r="AJ1398" s="83">
        <f t="shared" si="485"/>
        <v>0</v>
      </c>
      <c r="AO1398" s="22" t="str">
        <f t="shared" si="486"/>
        <v/>
      </c>
      <c r="AP1398" s="22" t="str">
        <f t="shared" si="487"/>
        <v/>
      </c>
    </row>
    <row r="1399" spans="1:42" x14ac:dyDescent="0.25">
      <c r="A1399" s="10"/>
      <c r="B1399" s="10"/>
      <c r="C1399" s="10"/>
      <c r="D1399" s="10"/>
      <c r="E1399" s="10"/>
      <c r="F1399" s="10"/>
      <c r="G1399" s="10"/>
      <c r="H1399" s="17"/>
      <c r="I1399" s="10"/>
      <c r="J1399" s="10"/>
      <c r="K1399" s="16" t="str">
        <f t="shared" si="466"/>
        <v/>
      </c>
      <c r="L1399" s="23" t="str">
        <f t="shared" si="467"/>
        <v/>
      </c>
      <c r="M1399" s="22" t="str">
        <f t="shared" si="468"/>
        <v/>
      </c>
      <c r="N1399" s="72"/>
      <c r="O1399" s="16" t="str">
        <f t="shared" si="469"/>
        <v/>
      </c>
      <c r="P1399" s="16" t="str">
        <f t="shared" si="470"/>
        <v/>
      </c>
      <c r="Q1399" s="16" t="str">
        <f t="shared" si="471"/>
        <v/>
      </c>
      <c r="R1399" s="23" t="str">
        <f t="shared" si="472"/>
        <v/>
      </c>
      <c r="S1399" s="23" t="str">
        <f t="shared" si="473"/>
        <v/>
      </c>
      <c r="T1399" s="23" t="str">
        <f t="shared" si="474"/>
        <v/>
      </c>
      <c r="U1399" s="23" t="str">
        <f t="shared" si="475"/>
        <v/>
      </c>
      <c r="V1399" s="23" t="str">
        <f t="shared" si="476"/>
        <v/>
      </c>
      <c r="W1399" s="70" t="str">
        <f t="shared" si="477"/>
        <v/>
      </c>
      <c r="X1399" s="70" t="str">
        <f t="shared" si="478"/>
        <v/>
      </c>
      <c r="Y1399" s="70" t="str">
        <f>IF(AND($A1399&lt;&gt;"",$E1399&gt;0),isLaptopBag($C1399,$J1399)*$D1399,"")</f>
        <v/>
      </c>
      <c r="Z1399" s="70" t="str">
        <f t="shared" si="479"/>
        <v/>
      </c>
      <c r="AA1399" s="70" t="str">
        <f t="shared" si="480"/>
        <v/>
      </c>
      <c r="AB1399" s="70" t="str">
        <f t="shared" si="481"/>
        <v/>
      </c>
      <c r="AC1399" s="70" t="str">
        <f t="shared" si="482"/>
        <v/>
      </c>
      <c r="AD1399" s="70" t="str">
        <f t="shared" si="483"/>
        <v/>
      </c>
      <c r="AE1399" s="70" t="str">
        <f t="shared" si="484"/>
        <v/>
      </c>
      <c r="AF1399" s="16"/>
      <c r="AG1399" s="23"/>
      <c r="AH1399" s="22"/>
      <c r="AJ1399" s="83">
        <f t="shared" si="485"/>
        <v>0</v>
      </c>
      <c r="AO1399" s="22" t="str">
        <f t="shared" si="486"/>
        <v/>
      </c>
      <c r="AP1399" s="22" t="str">
        <f t="shared" si="487"/>
        <v/>
      </c>
    </row>
    <row r="1400" spans="1:42" x14ac:dyDescent="0.25">
      <c r="A1400" s="10"/>
      <c r="B1400" s="10"/>
      <c r="C1400" s="10"/>
      <c r="D1400" s="10"/>
      <c r="E1400" s="10"/>
      <c r="F1400" s="10"/>
      <c r="G1400" s="10"/>
      <c r="H1400" s="17"/>
      <c r="I1400" s="10"/>
      <c r="J1400" s="10"/>
      <c r="K1400" s="16" t="str">
        <f t="shared" si="466"/>
        <v/>
      </c>
      <c r="L1400" s="23" t="str">
        <f t="shared" si="467"/>
        <v/>
      </c>
      <c r="M1400" s="22" t="str">
        <f t="shared" si="468"/>
        <v/>
      </c>
      <c r="N1400" s="72"/>
      <c r="O1400" s="16" t="str">
        <f t="shared" si="469"/>
        <v/>
      </c>
      <c r="P1400" s="16" t="str">
        <f t="shared" si="470"/>
        <v/>
      </c>
      <c r="Q1400" s="16" t="str">
        <f t="shared" si="471"/>
        <v/>
      </c>
      <c r="R1400" s="23" t="str">
        <f t="shared" si="472"/>
        <v/>
      </c>
      <c r="S1400" s="23" t="str">
        <f t="shared" si="473"/>
        <v/>
      </c>
      <c r="T1400" s="23" t="str">
        <f t="shared" si="474"/>
        <v/>
      </c>
      <c r="U1400" s="23" t="str">
        <f t="shared" si="475"/>
        <v/>
      </c>
      <c r="V1400" s="23" t="str">
        <f t="shared" si="476"/>
        <v/>
      </c>
      <c r="W1400" s="70" t="str">
        <f t="shared" si="477"/>
        <v/>
      </c>
      <c r="X1400" s="70" t="str">
        <f t="shared" si="478"/>
        <v/>
      </c>
      <c r="Y1400" s="70" t="str">
        <f>IF(AND($A1400&lt;&gt;"",$E1400&gt;0),isLaptopBag($C1400,$J1400)*$D1400,"")</f>
        <v/>
      </c>
      <c r="Z1400" s="70" t="str">
        <f t="shared" si="479"/>
        <v/>
      </c>
      <c r="AA1400" s="70" t="str">
        <f t="shared" si="480"/>
        <v/>
      </c>
      <c r="AB1400" s="70" t="str">
        <f t="shared" si="481"/>
        <v/>
      </c>
      <c r="AC1400" s="70" t="str">
        <f t="shared" si="482"/>
        <v/>
      </c>
      <c r="AD1400" s="70" t="str">
        <f t="shared" si="483"/>
        <v/>
      </c>
      <c r="AE1400" s="70" t="str">
        <f t="shared" si="484"/>
        <v/>
      </c>
      <c r="AF1400" s="16"/>
      <c r="AG1400" s="23"/>
      <c r="AH1400" s="22"/>
      <c r="AJ1400" s="83">
        <f t="shared" si="485"/>
        <v>0</v>
      </c>
      <c r="AO1400" s="22" t="str">
        <f t="shared" si="486"/>
        <v/>
      </c>
      <c r="AP1400" s="22" t="str">
        <f t="shared" si="487"/>
        <v/>
      </c>
    </row>
    <row r="1401" spans="1:42" x14ac:dyDescent="0.25">
      <c r="A1401" s="10"/>
      <c r="B1401" s="10"/>
      <c r="C1401" s="10"/>
      <c r="D1401" s="10"/>
      <c r="E1401" s="10"/>
      <c r="F1401" s="10"/>
      <c r="G1401" s="10"/>
      <c r="H1401" s="17"/>
      <c r="I1401" s="10"/>
      <c r="J1401" s="10"/>
      <c r="K1401" s="16" t="str">
        <f t="shared" si="466"/>
        <v/>
      </c>
      <c r="L1401" s="23" t="str">
        <f t="shared" si="467"/>
        <v/>
      </c>
      <c r="M1401" s="22" t="str">
        <f t="shared" si="468"/>
        <v/>
      </c>
      <c r="N1401" s="72"/>
      <c r="O1401" s="16" t="str">
        <f t="shared" si="469"/>
        <v/>
      </c>
      <c r="P1401" s="16" t="str">
        <f t="shared" si="470"/>
        <v/>
      </c>
      <c r="Q1401" s="16" t="str">
        <f t="shared" si="471"/>
        <v/>
      </c>
      <c r="R1401" s="23" t="str">
        <f t="shared" si="472"/>
        <v/>
      </c>
      <c r="S1401" s="23" t="str">
        <f t="shared" si="473"/>
        <v/>
      </c>
      <c r="T1401" s="23" t="str">
        <f t="shared" si="474"/>
        <v/>
      </c>
      <c r="U1401" s="23" t="str">
        <f t="shared" si="475"/>
        <v/>
      </c>
      <c r="V1401" s="23" t="str">
        <f t="shared" si="476"/>
        <v/>
      </c>
      <c r="W1401" s="70" t="str">
        <f t="shared" si="477"/>
        <v/>
      </c>
      <c r="X1401" s="70" t="str">
        <f t="shared" si="478"/>
        <v/>
      </c>
      <c r="Y1401" s="70" t="str">
        <f>IF(AND($A1401&lt;&gt;"",$E1401&gt;0),isLaptopBag($C1401,$J1401)*$D1401,"")</f>
        <v/>
      </c>
      <c r="Z1401" s="70" t="str">
        <f t="shared" si="479"/>
        <v/>
      </c>
      <c r="AA1401" s="70" t="str">
        <f t="shared" si="480"/>
        <v/>
      </c>
      <c r="AB1401" s="70" t="str">
        <f t="shared" si="481"/>
        <v/>
      </c>
      <c r="AC1401" s="70" t="str">
        <f t="shared" si="482"/>
        <v/>
      </c>
      <c r="AD1401" s="70" t="str">
        <f t="shared" si="483"/>
        <v/>
      </c>
      <c r="AE1401" s="70" t="str">
        <f t="shared" si="484"/>
        <v/>
      </c>
      <c r="AF1401" s="16"/>
      <c r="AG1401" s="23"/>
      <c r="AH1401" s="22"/>
      <c r="AJ1401" s="83">
        <f t="shared" si="485"/>
        <v>0</v>
      </c>
      <c r="AO1401" s="22" t="str">
        <f t="shared" si="486"/>
        <v/>
      </c>
      <c r="AP1401" s="22" t="str">
        <f t="shared" si="487"/>
        <v/>
      </c>
    </row>
    <row r="1402" spans="1:42" x14ac:dyDescent="0.25">
      <c r="A1402" s="10"/>
      <c r="B1402" s="10"/>
      <c r="C1402" s="10"/>
      <c r="D1402" s="10"/>
      <c r="E1402" s="10"/>
      <c r="F1402" s="10"/>
      <c r="G1402" s="10"/>
      <c r="H1402" s="17"/>
      <c r="I1402" s="10"/>
      <c r="J1402" s="10"/>
      <c r="K1402" s="16" t="str">
        <f t="shared" si="466"/>
        <v/>
      </c>
      <c r="L1402" s="23" t="str">
        <f t="shared" si="467"/>
        <v/>
      </c>
      <c r="M1402" s="22" t="str">
        <f t="shared" si="468"/>
        <v/>
      </c>
      <c r="N1402" s="72"/>
      <c r="O1402" s="16" t="str">
        <f t="shared" si="469"/>
        <v/>
      </c>
      <c r="P1402" s="16" t="str">
        <f t="shared" si="470"/>
        <v/>
      </c>
      <c r="Q1402" s="16" t="str">
        <f t="shared" si="471"/>
        <v/>
      </c>
      <c r="R1402" s="23" t="str">
        <f t="shared" si="472"/>
        <v/>
      </c>
      <c r="S1402" s="23" t="str">
        <f t="shared" si="473"/>
        <v/>
      </c>
      <c r="T1402" s="23" t="str">
        <f t="shared" si="474"/>
        <v/>
      </c>
      <c r="U1402" s="23" t="str">
        <f t="shared" si="475"/>
        <v/>
      </c>
      <c r="V1402" s="23" t="str">
        <f t="shared" si="476"/>
        <v/>
      </c>
      <c r="W1402" s="70" t="str">
        <f t="shared" si="477"/>
        <v/>
      </c>
      <c r="X1402" s="70" t="str">
        <f t="shared" si="478"/>
        <v/>
      </c>
      <c r="Y1402" s="70" t="str">
        <f>IF(AND($A1402&lt;&gt;"",$E1402&gt;0),isLaptopBag($C1402,$J1402)*$D1402,"")</f>
        <v/>
      </c>
      <c r="Z1402" s="70" t="str">
        <f t="shared" si="479"/>
        <v/>
      </c>
      <c r="AA1402" s="70" t="str">
        <f t="shared" si="480"/>
        <v/>
      </c>
      <c r="AB1402" s="70" t="str">
        <f t="shared" si="481"/>
        <v/>
      </c>
      <c r="AC1402" s="70" t="str">
        <f t="shared" si="482"/>
        <v/>
      </c>
      <c r="AD1402" s="70" t="str">
        <f t="shared" si="483"/>
        <v/>
      </c>
      <c r="AE1402" s="70" t="str">
        <f t="shared" si="484"/>
        <v/>
      </c>
      <c r="AF1402" s="16"/>
      <c r="AG1402" s="23"/>
      <c r="AH1402" s="22"/>
      <c r="AJ1402" s="83">
        <f t="shared" si="485"/>
        <v>0</v>
      </c>
      <c r="AO1402" s="22" t="str">
        <f t="shared" si="486"/>
        <v/>
      </c>
      <c r="AP1402" s="22" t="str">
        <f t="shared" si="487"/>
        <v/>
      </c>
    </row>
    <row r="1403" spans="1:42" x14ac:dyDescent="0.25">
      <c r="A1403" s="10"/>
      <c r="B1403" s="10"/>
      <c r="C1403" s="10"/>
      <c r="D1403" s="10"/>
      <c r="E1403" s="10"/>
      <c r="F1403" s="10"/>
      <c r="G1403" s="10"/>
      <c r="H1403" s="17"/>
      <c r="I1403" s="10"/>
      <c r="J1403" s="10"/>
      <c r="K1403" s="16" t="str">
        <f t="shared" si="466"/>
        <v/>
      </c>
      <c r="L1403" s="23" t="str">
        <f t="shared" si="467"/>
        <v/>
      </c>
      <c r="M1403" s="22" t="str">
        <f t="shared" si="468"/>
        <v/>
      </c>
      <c r="N1403" s="72"/>
      <c r="O1403" s="16" t="str">
        <f t="shared" si="469"/>
        <v/>
      </c>
      <c r="P1403" s="16" t="str">
        <f t="shared" si="470"/>
        <v/>
      </c>
      <c r="Q1403" s="16" t="str">
        <f t="shared" si="471"/>
        <v/>
      </c>
      <c r="R1403" s="23" t="str">
        <f t="shared" si="472"/>
        <v/>
      </c>
      <c r="S1403" s="23" t="str">
        <f t="shared" si="473"/>
        <v/>
      </c>
      <c r="T1403" s="23" t="str">
        <f t="shared" si="474"/>
        <v/>
      </c>
      <c r="U1403" s="23" t="str">
        <f t="shared" si="475"/>
        <v/>
      </c>
      <c r="V1403" s="23" t="str">
        <f t="shared" si="476"/>
        <v/>
      </c>
      <c r="W1403" s="70" t="str">
        <f t="shared" si="477"/>
        <v/>
      </c>
      <c r="X1403" s="70" t="str">
        <f t="shared" si="478"/>
        <v/>
      </c>
      <c r="Y1403" s="70" t="str">
        <f>IF(AND($A1403&lt;&gt;"",$E1403&gt;0),isLaptopBag($C1403,$J1403)*$D1403,"")</f>
        <v/>
      </c>
      <c r="Z1403" s="70" t="str">
        <f t="shared" si="479"/>
        <v/>
      </c>
      <c r="AA1403" s="70" t="str">
        <f t="shared" si="480"/>
        <v/>
      </c>
      <c r="AB1403" s="70" t="str">
        <f t="shared" si="481"/>
        <v/>
      </c>
      <c r="AC1403" s="70" t="str">
        <f t="shared" si="482"/>
        <v/>
      </c>
      <c r="AD1403" s="70" t="str">
        <f t="shared" si="483"/>
        <v/>
      </c>
      <c r="AE1403" s="70" t="str">
        <f t="shared" si="484"/>
        <v/>
      </c>
      <c r="AF1403" s="16"/>
      <c r="AG1403" s="23"/>
      <c r="AH1403" s="22"/>
      <c r="AJ1403" s="83">
        <f t="shared" si="485"/>
        <v>0</v>
      </c>
      <c r="AO1403" s="22" t="str">
        <f t="shared" si="486"/>
        <v/>
      </c>
      <c r="AP1403" s="22" t="str">
        <f t="shared" si="487"/>
        <v/>
      </c>
    </row>
    <row r="1404" spans="1:42" x14ac:dyDescent="0.25">
      <c r="A1404" s="10"/>
      <c r="B1404" s="10"/>
      <c r="C1404" s="10"/>
      <c r="D1404" s="10"/>
      <c r="E1404" s="10"/>
      <c r="F1404" s="10"/>
      <c r="G1404" s="10"/>
      <c r="H1404" s="17"/>
      <c r="I1404" s="10"/>
      <c r="J1404" s="10"/>
      <c r="K1404" s="16" t="str">
        <f t="shared" si="466"/>
        <v/>
      </c>
      <c r="L1404" s="23" t="str">
        <f t="shared" si="467"/>
        <v/>
      </c>
      <c r="M1404" s="22" t="str">
        <f t="shared" si="468"/>
        <v/>
      </c>
      <c r="N1404" s="72"/>
      <c r="O1404" s="16" t="str">
        <f t="shared" si="469"/>
        <v/>
      </c>
      <c r="P1404" s="16" t="str">
        <f t="shared" si="470"/>
        <v/>
      </c>
      <c r="Q1404" s="16" t="str">
        <f t="shared" si="471"/>
        <v/>
      </c>
      <c r="R1404" s="23" t="str">
        <f t="shared" si="472"/>
        <v/>
      </c>
      <c r="S1404" s="23" t="str">
        <f t="shared" si="473"/>
        <v/>
      </c>
      <c r="T1404" s="23" t="str">
        <f t="shared" si="474"/>
        <v/>
      </c>
      <c r="U1404" s="23" t="str">
        <f t="shared" si="475"/>
        <v/>
      </c>
      <c r="V1404" s="23" t="str">
        <f t="shared" si="476"/>
        <v/>
      </c>
      <c r="W1404" s="70" t="str">
        <f t="shared" si="477"/>
        <v/>
      </c>
      <c r="X1404" s="70" t="str">
        <f t="shared" si="478"/>
        <v/>
      </c>
      <c r="Y1404" s="70" t="str">
        <f>IF(AND($A1404&lt;&gt;"",$E1404&gt;0),isLaptopBag($C1404,$J1404)*$D1404,"")</f>
        <v/>
      </c>
      <c r="Z1404" s="70" t="str">
        <f t="shared" si="479"/>
        <v/>
      </c>
      <c r="AA1404" s="70" t="str">
        <f t="shared" si="480"/>
        <v/>
      </c>
      <c r="AB1404" s="70" t="str">
        <f t="shared" si="481"/>
        <v/>
      </c>
      <c r="AC1404" s="70" t="str">
        <f t="shared" si="482"/>
        <v/>
      </c>
      <c r="AD1404" s="70" t="str">
        <f t="shared" si="483"/>
        <v/>
      </c>
      <c r="AE1404" s="70" t="str">
        <f t="shared" si="484"/>
        <v/>
      </c>
      <c r="AF1404" s="16"/>
      <c r="AG1404" s="23"/>
      <c r="AH1404" s="22"/>
      <c r="AJ1404" s="83">
        <f t="shared" si="485"/>
        <v>0</v>
      </c>
      <c r="AO1404" s="22" t="str">
        <f t="shared" si="486"/>
        <v/>
      </c>
      <c r="AP1404" s="22" t="str">
        <f t="shared" si="487"/>
        <v/>
      </c>
    </row>
    <row r="1405" spans="1:42" x14ac:dyDescent="0.25">
      <c r="A1405" s="10"/>
      <c r="B1405" s="10"/>
      <c r="C1405" s="10"/>
      <c r="D1405" s="10"/>
      <c r="E1405" s="10"/>
      <c r="F1405" s="10"/>
      <c r="G1405" s="10"/>
      <c r="H1405" s="17"/>
      <c r="I1405" s="10"/>
      <c r="J1405" s="10"/>
      <c r="K1405" s="16" t="str">
        <f t="shared" si="466"/>
        <v/>
      </c>
      <c r="L1405" s="23" t="str">
        <f t="shared" si="467"/>
        <v/>
      </c>
      <c r="M1405" s="22" t="str">
        <f t="shared" si="468"/>
        <v/>
      </c>
      <c r="N1405" s="72"/>
      <c r="O1405" s="16" t="str">
        <f t="shared" si="469"/>
        <v/>
      </c>
      <c r="P1405" s="16" t="str">
        <f t="shared" si="470"/>
        <v/>
      </c>
      <c r="Q1405" s="16" t="str">
        <f t="shared" si="471"/>
        <v/>
      </c>
      <c r="R1405" s="23" t="str">
        <f t="shared" si="472"/>
        <v/>
      </c>
      <c r="S1405" s="23" t="str">
        <f t="shared" si="473"/>
        <v/>
      </c>
      <c r="T1405" s="23" t="str">
        <f t="shared" si="474"/>
        <v/>
      </c>
      <c r="U1405" s="23" t="str">
        <f t="shared" si="475"/>
        <v/>
      </c>
      <c r="V1405" s="23" t="str">
        <f t="shared" si="476"/>
        <v/>
      </c>
      <c r="W1405" s="70" t="str">
        <f t="shared" si="477"/>
        <v/>
      </c>
      <c r="X1405" s="70" t="str">
        <f t="shared" si="478"/>
        <v/>
      </c>
      <c r="Y1405" s="70" t="str">
        <f>IF(AND($A1405&lt;&gt;"",$E1405&gt;0),isLaptopBag($C1405,$J1405)*$D1405,"")</f>
        <v/>
      </c>
      <c r="Z1405" s="70" t="str">
        <f t="shared" si="479"/>
        <v/>
      </c>
      <c r="AA1405" s="70" t="str">
        <f t="shared" si="480"/>
        <v/>
      </c>
      <c r="AB1405" s="70" t="str">
        <f t="shared" si="481"/>
        <v/>
      </c>
      <c r="AC1405" s="70" t="str">
        <f t="shared" si="482"/>
        <v/>
      </c>
      <c r="AD1405" s="70" t="str">
        <f t="shared" si="483"/>
        <v/>
      </c>
      <c r="AE1405" s="70" t="str">
        <f t="shared" si="484"/>
        <v/>
      </c>
      <c r="AF1405" s="16"/>
      <c r="AG1405" s="23"/>
      <c r="AH1405" s="22"/>
      <c r="AJ1405" s="83">
        <f t="shared" si="485"/>
        <v>0</v>
      </c>
      <c r="AO1405" s="22" t="str">
        <f t="shared" si="486"/>
        <v/>
      </c>
      <c r="AP1405" s="22" t="str">
        <f t="shared" si="487"/>
        <v/>
      </c>
    </row>
    <row r="1406" spans="1:42" x14ac:dyDescent="0.25">
      <c r="A1406" s="10"/>
      <c r="B1406" s="10"/>
      <c r="C1406" s="10"/>
      <c r="D1406" s="10"/>
      <c r="E1406" s="10"/>
      <c r="F1406" s="10"/>
      <c r="G1406" s="10"/>
      <c r="H1406" s="17"/>
      <c r="I1406" s="10"/>
      <c r="J1406" s="10"/>
      <c r="K1406" s="16" t="str">
        <f t="shared" si="466"/>
        <v/>
      </c>
      <c r="L1406" s="23" t="str">
        <f t="shared" si="467"/>
        <v/>
      </c>
      <c r="M1406" s="22" t="str">
        <f t="shared" si="468"/>
        <v/>
      </c>
      <c r="N1406" s="72"/>
      <c r="O1406" s="16" t="str">
        <f t="shared" si="469"/>
        <v/>
      </c>
      <c r="P1406" s="16" t="str">
        <f t="shared" si="470"/>
        <v/>
      </c>
      <c r="Q1406" s="16" t="str">
        <f t="shared" si="471"/>
        <v/>
      </c>
      <c r="R1406" s="23" t="str">
        <f t="shared" si="472"/>
        <v/>
      </c>
      <c r="S1406" s="23" t="str">
        <f t="shared" si="473"/>
        <v/>
      </c>
      <c r="T1406" s="23" t="str">
        <f t="shared" si="474"/>
        <v/>
      </c>
      <c r="U1406" s="23" t="str">
        <f t="shared" si="475"/>
        <v/>
      </c>
      <c r="V1406" s="23" t="str">
        <f t="shared" si="476"/>
        <v/>
      </c>
      <c r="W1406" s="70" t="str">
        <f t="shared" si="477"/>
        <v/>
      </c>
      <c r="X1406" s="70" t="str">
        <f t="shared" si="478"/>
        <v/>
      </c>
      <c r="Y1406" s="70" t="str">
        <f>IF(AND($A1406&lt;&gt;"",$E1406&gt;0),isLaptopBag($C1406,$J1406)*$D1406,"")</f>
        <v/>
      </c>
      <c r="Z1406" s="70" t="str">
        <f t="shared" si="479"/>
        <v/>
      </c>
      <c r="AA1406" s="70" t="str">
        <f t="shared" si="480"/>
        <v/>
      </c>
      <c r="AB1406" s="70" t="str">
        <f t="shared" si="481"/>
        <v/>
      </c>
      <c r="AC1406" s="70" t="str">
        <f t="shared" si="482"/>
        <v/>
      </c>
      <c r="AD1406" s="70" t="str">
        <f t="shared" si="483"/>
        <v/>
      </c>
      <c r="AE1406" s="70" t="str">
        <f t="shared" si="484"/>
        <v/>
      </c>
      <c r="AF1406" s="16"/>
      <c r="AG1406" s="23"/>
      <c r="AH1406" s="22"/>
      <c r="AJ1406" s="83">
        <f t="shared" si="485"/>
        <v>0</v>
      </c>
      <c r="AO1406" s="22" t="str">
        <f t="shared" si="486"/>
        <v/>
      </c>
      <c r="AP1406" s="22" t="str">
        <f t="shared" si="487"/>
        <v/>
      </c>
    </row>
    <row r="1407" spans="1:42" x14ac:dyDescent="0.25">
      <c r="A1407" s="10"/>
      <c r="B1407" s="10"/>
      <c r="C1407" s="10"/>
      <c r="D1407" s="10"/>
      <c r="E1407" s="10"/>
      <c r="F1407" s="10"/>
      <c r="G1407" s="10"/>
      <c r="H1407" s="17"/>
      <c r="I1407" s="10"/>
      <c r="J1407" s="10"/>
      <c r="K1407" s="16" t="str">
        <f t="shared" si="466"/>
        <v/>
      </c>
      <c r="L1407" s="23" t="str">
        <f t="shared" si="467"/>
        <v/>
      </c>
      <c r="M1407" s="22" t="str">
        <f t="shared" si="468"/>
        <v/>
      </c>
      <c r="N1407" s="72"/>
      <c r="O1407" s="16" t="str">
        <f t="shared" si="469"/>
        <v/>
      </c>
      <c r="P1407" s="16" t="str">
        <f t="shared" si="470"/>
        <v/>
      </c>
      <c r="Q1407" s="16" t="str">
        <f t="shared" si="471"/>
        <v/>
      </c>
      <c r="R1407" s="23" t="str">
        <f t="shared" si="472"/>
        <v/>
      </c>
      <c r="S1407" s="23" t="str">
        <f t="shared" si="473"/>
        <v/>
      </c>
      <c r="T1407" s="23" t="str">
        <f t="shared" si="474"/>
        <v/>
      </c>
      <c r="U1407" s="23" t="str">
        <f t="shared" si="475"/>
        <v/>
      </c>
      <c r="V1407" s="23" t="str">
        <f t="shared" si="476"/>
        <v/>
      </c>
      <c r="W1407" s="70" t="str">
        <f t="shared" si="477"/>
        <v/>
      </c>
      <c r="X1407" s="70" t="str">
        <f t="shared" si="478"/>
        <v/>
      </c>
      <c r="Y1407" s="70" t="str">
        <f>IF(AND($A1407&lt;&gt;"",$E1407&gt;0),isLaptopBag($C1407,$J1407)*$D1407,"")</f>
        <v/>
      </c>
      <c r="Z1407" s="70" t="str">
        <f t="shared" si="479"/>
        <v/>
      </c>
      <c r="AA1407" s="70" t="str">
        <f t="shared" si="480"/>
        <v/>
      </c>
      <c r="AB1407" s="70" t="str">
        <f t="shared" si="481"/>
        <v/>
      </c>
      <c r="AC1407" s="70" t="str">
        <f t="shared" si="482"/>
        <v/>
      </c>
      <c r="AD1407" s="70" t="str">
        <f t="shared" si="483"/>
        <v/>
      </c>
      <c r="AE1407" s="70" t="str">
        <f t="shared" si="484"/>
        <v/>
      </c>
      <c r="AF1407" s="16"/>
      <c r="AG1407" s="23"/>
      <c r="AH1407" s="22"/>
      <c r="AJ1407" s="83">
        <f t="shared" si="485"/>
        <v>0</v>
      </c>
      <c r="AO1407" s="22" t="str">
        <f t="shared" si="486"/>
        <v/>
      </c>
      <c r="AP1407" s="22" t="str">
        <f t="shared" si="487"/>
        <v/>
      </c>
    </row>
    <row r="1408" spans="1:42" x14ac:dyDescent="0.25">
      <c r="A1408" s="10"/>
      <c r="B1408" s="10"/>
      <c r="C1408" s="10"/>
      <c r="D1408" s="10"/>
      <c r="E1408" s="10"/>
      <c r="F1408" s="10"/>
      <c r="G1408" s="10"/>
      <c r="H1408" s="17"/>
      <c r="I1408" s="10"/>
      <c r="J1408" s="10"/>
      <c r="K1408" s="16" t="str">
        <f t="shared" si="466"/>
        <v/>
      </c>
      <c r="L1408" s="23" t="str">
        <f t="shared" si="467"/>
        <v/>
      </c>
      <c r="M1408" s="22" t="str">
        <f t="shared" si="468"/>
        <v/>
      </c>
      <c r="N1408" s="72"/>
      <c r="O1408" s="16" t="str">
        <f t="shared" si="469"/>
        <v/>
      </c>
      <c r="P1408" s="16" t="str">
        <f t="shared" si="470"/>
        <v/>
      </c>
      <c r="Q1408" s="16" t="str">
        <f t="shared" si="471"/>
        <v/>
      </c>
      <c r="R1408" s="23" t="str">
        <f t="shared" si="472"/>
        <v/>
      </c>
      <c r="S1408" s="23" t="str">
        <f t="shared" si="473"/>
        <v/>
      </c>
      <c r="T1408" s="23" t="str">
        <f t="shared" si="474"/>
        <v/>
      </c>
      <c r="U1408" s="23" t="str">
        <f t="shared" si="475"/>
        <v/>
      </c>
      <c r="V1408" s="23" t="str">
        <f t="shared" si="476"/>
        <v/>
      </c>
      <c r="W1408" s="70" t="str">
        <f t="shared" si="477"/>
        <v/>
      </c>
      <c r="X1408" s="70" t="str">
        <f t="shared" si="478"/>
        <v/>
      </c>
      <c r="Y1408" s="70" t="str">
        <f>IF(AND($A1408&lt;&gt;"",$E1408&gt;0),isLaptopBag($C1408,$J1408)*$D1408,"")</f>
        <v/>
      </c>
      <c r="Z1408" s="70" t="str">
        <f t="shared" si="479"/>
        <v/>
      </c>
      <c r="AA1408" s="70" t="str">
        <f t="shared" si="480"/>
        <v/>
      </c>
      <c r="AB1408" s="70" t="str">
        <f t="shared" si="481"/>
        <v/>
      </c>
      <c r="AC1408" s="70" t="str">
        <f t="shared" si="482"/>
        <v/>
      </c>
      <c r="AD1408" s="70" t="str">
        <f t="shared" si="483"/>
        <v/>
      </c>
      <c r="AE1408" s="70" t="str">
        <f t="shared" si="484"/>
        <v/>
      </c>
      <c r="AF1408" s="16"/>
      <c r="AG1408" s="23"/>
      <c r="AH1408" s="22"/>
      <c r="AJ1408" s="83">
        <f t="shared" si="485"/>
        <v>0</v>
      </c>
      <c r="AO1408" s="22" t="str">
        <f t="shared" si="486"/>
        <v/>
      </c>
      <c r="AP1408" s="22" t="str">
        <f t="shared" si="487"/>
        <v/>
      </c>
    </row>
    <row r="1409" spans="1:42" x14ac:dyDescent="0.25">
      <c r="A1409" s="10"/>
      <c r="B1409" s="10"/>
      <c r="C1409" s="10"/>
      <c r="D1409" s="10"/>
      <c r="E1409" s="10"/>
      <c r="F1409" s="10"/>
      <c r="G1409" s="10"/>
      <c r="H1409" s="17"/>
      <c r="I1409" s="10"/>
      <c r="J1409" s="10"/>
      <c r="K1409" s="16" t="str">
        <f t="shared" si="466"/>
        <v/>
      </c>
      <c r="L1409" s="23" t="str">
        <f t="shared" si="467"/>
        <v/>
      </c>
      <c r="M1409" s="22" t="str">
        <f t="shared" si="468"/>
        <v/>
      </c>
      <c r="N1409" s="72"/>
      <c r="O1409" s="16" t="str">
        <f t="shared" si="469"/>
        <v/>
      </c>
      <c r="P1409" s="16" t="str">
        <f t="shared" si="470"/>
        <v/>
      </c>
      <c r="Q1409" s="16" t="str">
        <f t="shared" si="471"/>
        <v/>
      </c>
      <c r="R1409" s="23" t="str">
        <f t="shared" si="472"/>
        <v/>
      </c>
      <c r="S1409" s="23" t="str">
        <f t="shared" si="473"/>
        <v/>
      </c>
      <c r="T1409" s="23" t="str">
        <f t="shared" si="474"/>
        <v/>
      </c>
      <c r="U1409" s="23" t="str">
        <f t="shared" si="475"/>
        <v/>
      </c>
      <c r="V1409" s="23" t="str">
        <f t="shared" si="476"/>
        <v/>
      </c>
      <c r="W1409" s="70" t="str">
        <f t="shared" si="477"/>
        <v/>
      </c>
      <c r="X1409" s="70" t="str">
        <f t="shared" si="478"/>
        <v/>
      </c>
      <c r="Y1409" s="70" t="str">
        <f>IF(AND($A1409&lt;&gt;"",$E1409&gt;0),isLaptopBag($C1409,$J1409)*$D1409,"")</f>
        <v/>
      </c>
      <c r="Z1409" s="70" t="str">
        <f t="shared" si="479"/>
        <v/>
      </c>
      <c r="AA1409" s="70" t="str">
        <f t="shared" si="480"/>
        <v/>
      </c>
      <c r="AB1409" s="70" t="str">
        <f t="shared" si="481"/>
        <v/>
      </c>
      <c r="AC1409" s="70" t="str">
        <f t="shared" si="482"/>
        <v/>
      </c>
      <c r="AD1409" s="70" t="str">
        <f t="shared" si="483"/>
        <v/>
      </c>
      <c r="AE1409" s="70" t="str">
        <f t="shared" si="484"/>
        <v/>
      </c>
      <c r="AF1409" s="16"/>
      <c r="AG1409" s="23"/>
      <c r="AH1409" s="22"/>
      <c r="AJ1409" s="83">
        <f t="shared" si="485"/>
        <v>0</v>
      </c>
      <c r="AO1409" s="22" t="str">
        <f t="shared" si="486"/>
        <v/>
      </c>
      <c r="AP1409" s="22" t="str">
        <f t="shared" si="487"/>
        <v/>
      </c>
    </row>
    <row r="1410" spans="1:42" x14ac:dyDescent="0.25">
      <c r="A1410" s="10"/>
      <c r="B1410" s="10"/>
      <c r="C1410" s="10"/>
      <c r="D1410" s="10"/>
      <c r="E1410" s="10"/>
      <c r="F1410" s="10"/>
      <c r="G1410" s="10"/>
      <c r="H1410" s="17"/>
      <c r="I1410" s="10"/>
      <c r="J1410" s="10"/>
      <c r="K1410" s="16" t="str">
        <f t="shared" si="466"/>
        <v/>
      </c>
      <c r="L1410" s="23" t="str">
        <f t="shared" si="467"/>
        <v/>
      </c>
      <c r="M1410" s="22" t="str">
        <f t="shared" si="468"/>
        <v/>
      </c>
      <c r="N1410" s="72"/>
      <c r="O1410" s="16" t="str">
        <f t="shared" si="469"/>
        <v/>
      </c>
      <c r="P1410" s="16" t="str">
        <f t="shared" si="470"/>
        <v/>
      </c>
      <c r="Q1410" s="16" t="str">
        <f t="shared" si="471"/>
        <v/>
      </c>
      <c r="R1410" s="23" t="str">
        <f t="shared" si="472"/>
        <v/>
      </c>
      <c r="S1410" s="23" t="str">
        <f t="shared" si="473"/>
        <v/>
      </c>
      <c r="T1410" s="23" t="str">
        <f t="shared" si="474"/>
        <v/>
      </c>
      <c r="U1410" s="23" t="str">
        <f t="shared" si="475"/>
        <v/>
      </c>
      <c r="V1410" s="23" t="str">
        <f t="shared" si="476"/>
        <v/>
      </c>
      <c r="W1410" s="70" t="str">
        <f t="shared" si="477"/>
        <v/>
      </c>
      <c r="X1410" s="70" t="str">
        <f t="shared" si="478"/>
        <v/>
      </c>
      <c r="Y1410" s="70" t="str">
        <f>IF(AND($A1410&lt;&gt;"",$E1410&gt;0),isLaptopBag($C1410,$J1410)*$D1410,"")</f>
        <v/>
      </c>
      <c r="Z1410" s="70" t="str">
        <f t="shared" si="479"/>
        <v/>
      </c>
      <c r="AA1410" s="70" t="str">
        <f t="shared" si="480"/>
        <v/>
      </c>
      <c r="AB1410" s="70" t="str">
        <f t="shared" si="481"/>
        <v/>
      </c>
      <c r="AC1410" s="70" t="str">
        <f t="shared" si="482"/>
        <v/>
      </c>
      <c r="AD1410" s="70" t="str">
        <f t="shared" si="483"/>
        <v/>
      </c>
      <c r="AE1410" s="70" t="str">
        <f t="shared" si="484"/>
        <v/>
      </c>
      <c r="AF1410" s="16"/>
      <c r="AG1410" s="23"/>
      <c r="AH1410" s="22"/>
      <c r="AJ1410" s="83">
        <f t="shared" si="485"/>
        <v>0</v>
      </c>
      <c r="AO1410" s="22" t="str">
        <f t="shared" si="486"/>
        <v/>
      </c>
      <c r="AP1410" s="22" t="str">
        <f t="shared" si="487"/>
        <v/>
      </c>
    </row>
    <row r="1411" spans="1:42" x14ac:dyDescent="0.25">
      <c r="A1411" s="10"/>
      <c r="B1411" s="10"/>
      <c r="C1411" s="10"/>
      <c r="D1411" s="10"/>
      <c r="E1411" s="10"/>
      <c r="F1411" s="10"/>
      <c r="G1411" s="10"/>
      <c r="H1411" s="17"/>
      <c r="I1411" s="10"/>
      <c r="J1411" s="10"/>
      <c r="K1411" s="16" t="str">
        <f t="shared" si="466"/>
        <v/>
      </c>
      <c r="L1411" s="23" t="str">
        <f t="shared" si="467"/>
        <v/>
      </c>
      <c r="M1411" s="22" t="str">
        <f t="shared" si="468"/>
        <v/>
      </c>
      <c r="N1411" s="72"/>
      <c r="O1411" s="16" t="str">
        <f t="shared" si="469"/>
        <v/>
      </c>
      <c r="P1411" s="16" t="str">
        <f t="shared" si="470"/>
        <v/>
      </c>
      <c r="Q1411" s="16" t="str">
        <f t="shared" si="471"/>
        <v/>
      </c>
      <c r="R1411" s="23" t="str">
        <f t="shared" si="472"/>
        <v/>
      </c>
      <c r="S1411" s="23" t="str">
        <f t="shared" si="473"/>
        <v/>
      </c>
      <c r="T1411" s="23" t="str">
        <f t="shared" si="474"/>
        <v/>
      </c>
      <c r="U1411" s="23" t="str">
        <f t="shared" si="475"/>
        <v/>
      </c>
      <c r="V1411" s="23" t="str">
        <f t="shared" si="476"/>
        <v/>
      </c>
      <c r="W1411" s="70" t="str">
        <f t="shared" si="477"/>
        <v/>
      </c>
      <c r="X1411" s="70" t="str">
        <f t="shared" si="478"/>
        <v/>
      </c>
      <c r="Y1411" s="70" t="str">
        <f>IF(AND($A1411&lt;&gt;"",$E1411&gt;0),isLaptopBag($C1411,$J1411)*$D1411,"")</f>
        <v/>
      </c>
      <c r="Z1411" s="70" t="str">
        <f t="shared" si="479"/>
        <v/>
      </c>
      <c r="AA1411" s="70" t="str">
        <f t="shared" si="480"/>
        <v/>
      </c>
      <c r="AB1411" s="70" t="str">
        <f t="shared" si="481"/>
        <v/>
      </c>
      <c r="AC1411" s="70" t="str">
        <f t="shared" si="482"/>
        <v/>
      </c>
      <c r="AD1411" s="70" t="str">
        <f t="shared" si="483"/>
        <v/>
      </c>
      <c r="AE1411" s="70" t="str">
        <f t="shared" si="484"/>
        <v/>
      </c>
      <c r="AF1411" s="16"/>
      <c r="AG1411" s="23"/>
      <c r="AH1411" s="22"/>
      <c r="AJ1411" s="83">
        <f t="shared" si="485"/>
        <v>0</v>
      </c>
      <c r="AO1411" s="22" t="str">
        <f t="shared" si="486"/>
        <v/>
      </c>
      <c r="AP1411" s="22" t="str">
        <f t="shared" si="487"/>
        <v/>
      </c>
    </row>
    <row r="1412" spans="1:42" x14ac:dyDescent="0.25">
      <c r="A1412" s="10"/>
      <c r="B1412" s="10"/>
      <c r="C1412" s="10"/>
      <c r="D1412" s="10"/>
      <c r="E1412" s="10"/>
      <c r="F1412" s="10"/>
      <c r="G1412" s="10"/>
      <c r="H1412" s="17"/>
      <c r="I1412" s="10"/>
      <c r="J1412" s="10"/>
      <c r="K1412" s="16" t="str">
        <f t="shared" si="466"/>
        <v/>
      </c>
      <c r="L1412" s="23" t="str">
        <f t="shared" si="467"/>
        <v/>
      </c>
      <c r="M1412" s="22" t="str">
        <f t="shared" si="468"/>
        <v/>
      </c>
      <c r="N1412" s="72"/>
      <c r="O1412" s="16" t="str">
        <f t="shared" si="469"/>
        <v/>
      </c>
      <c r="P1412" s="16" t="str">
        <f t="shared" si="470"/>
        <v/>
      </c>
      <c r="Q1412" s="16" t="str">
        <f t="shared" si="471"/>
        <v/>
      </c>
      <c r="R1412" s="23" t="str">
        <f t="shared" si="472"/>
        <v/>
      </c>
      <c r="S1412" s="23" t="str">
        <f t="shared" si="473"/>
        <v/>
      </c>
      <c r="T1412" s="23" t="str">
        <f t="shared" si="474"/>
        <v/>
      </c>
      <c r="U1412" s="23" t="str">
        <f t="shared" si="475"/>
        <v/>
      </c>
      <c r="V1412" s="23" t="str">
        <f t="shared" si="476"/>
        <v/>
      </c>
      <c r="W1412" s="70" t="str">
        <f t="shared" si="477"/>
        <v/>
      </c>
      <c r="X1412" s="70" t="str">
        <f t="shared" si="478"/>
        <v/>
      </c>
      <c r="Y1412" s="70" t="str">
        <f>IF(AND($A1412&lt;&gt;"",$E1412&gt;0),isLaptopBag($C1412,$J1412)*$D1412,"")</f>
        <v/>
      </c>
      <c r="Z1412" s="70" t="str">
        <f t="shared" si="479"/>
        <v/>
      </c>
      <c r="AA1412" s="70" t="str">
        <f t="shared" si="480"/>
        <v/>
      </c>
      <c r="AB1412" s="70" t="str">
        <f t="shared" si="481"/>
        <v/>
      </c>
      <c r="AC1412" s="70" t="str">
        <f t="shared" si="482"/>
        <v/>
      </c>
      <c r="AD1412" s="70" t="str">
        <f t="shared" si="483"/>
        <v/>
      </c>
      <c r="AE1412" s="70" t="str">
        <f t="shared" si="484"/>
        <v/>
      </c>
      <c r="AF1412" s="16"/>
      <c r="AG1412" s="23"/>
      <c r="AH1412" s="22"/>
      <c r="AJ1412" s="83">
        <f t="shared" si="485"/>
        <v>0</v>
      </c>
      <c r="AO1412" s="22" t="str">
        <f t="shared" si="486"/>
        <v/>
      </c>
      <c r="AP1412" s="22" t="str">
        <f t="shared" si="487"/>
        <v/>
      </c>
    </row>
    <row r="1413" spans="1:42" x14ac:dyDescent="0.25">
      <c r="A1413" s="10"/>
      <c r="B1413" s="10"/>
      <c r="C1413" s="10"/>
      <c r="D1413" s="10"/>
      <c r="E1413" s="10"/>
      <c r="F1413" s="10"/>
      <c r="G1413" s="10"/>
      <c r="H1413" s="17"/>
      <c r="I1413" s="10"/>
      <c r="J1413" s="10"/>
      <c r="K1413" s="16" t="str">
        <f t="shared" si="466"/>
        <v/>
      </c>
      <c r="L1413" s="23" t="str">
        <f t="shared" si="467"/>
        <v/>
      </c>
      <c r="M1413" s="22" t="str">
        <f t="shared" si="468"/>
        <v/>
      </c>
      <c r="N1413" s="72"/>
      <c r="O1413" s="16" t="str">
        <f t="shared" si="469"/>
        <v/>
      </c>
      <c r="P1413" s="16" t="str">
        <f t="shared" si="470"/>
        <v/>
      </c>
      <c r="Q1413" s="16" t="str">
        <f t="shared" si="471"/>
        <v/>
      </c>
      <c r="R1413" s="23" t="str">
        <f t="shared" si="472"/>
        <v/>
      </c>
      <c r="S1413" s="23" t="str">
        <f t="shared" si="473"/>
        <v/>
      </c>
      <c r="T1413" s="23" t="str">
        <f t="shared" si="474"/>
        <v/>
      </c>
      <c r="U1413" s="23" t="str">
        <f t="shared" si="475"/>
        <v/>
      </c>
      <c r="V1413" s="23" t="str">
        <f t="shared" si="476"/>
        <v/>
      </c>
      <c r="W1413" s="70" t="str">
        <f t="shared" si="477"/>
        <v/>
      </c>
      <c r="X1413" s="70" t="str">
        <f t="shared" si="478"/>
        <v/>
      </c>
      <c r="Y1413" s="70" t="str">
        <f>IF(AND($A1413&lt;&gt;"",$E1413&gt;0),isLaptopBag($C1413,$J1413)*$D1413,"")</f>
        <v/>
      </c>
      <c r="Z1413" s="70" t="str">
        <f t="shared" si="479"/>
        <v/>
      </c>
      <c r="AA1413" s="70" t="str">
        <f t="shared" si="480"/>
        <v/>
      </c>
      <c r="AB1413" s="70" t="str">
        <f t="shared" si="481"/>
        <v/>
      </c>
      <c r="AC1413" s="70" t="str">
        <f t="shared" si="482"/>
        <v/>
      </c>
      <c r="AD1413" s="70" t="str">
        <f t="shared" si="483"/>
        <v/>
      </c>
      <c r="AE1413" s="70" t="str">
        <f t="shared" si="484"/>
        <v/>
      </c>
      <c r="AF1413" s="16"/>
      <c r="AG1413" s="23"/>
      <c r="AH1413" s="22"/>
      <c r="AJ1413" s="83">
        <f t="shared" si="485"/>
        <v>0</v>
      </c>
      <c r="AO1413" s="22" t="str">
        <f t="shared" si="486"/>
        <v/>
      </c>
      <c r="AP1413" s="22" t="str">
        <f t="shared" si="487"/>
        <v/>
      </c>
    </row>
    <row r="1414" spans="1:42" x14ac:dyDescent="0.25">
      <c r="A1414" s="10"/>
      <c r="B1414" s="10"/>
      <c r="C1414" s="10"/>
      <c r="D1414" s="10"/>
      <c r="E1414" s="10"/>
      <c r="F1414" s="10"/>
      <c r="G1414" s="10"/>
      <c r="H1414" s="17"/>
      <c r="I1414" s="10"/>
      <c r="J1414" s="10"/>
      <c r="K1414" s="16" t="str">
        <f t="shared" si="466"/>
        <v/>
      </c>
      <c r="L1414" s="23" t="str">
        <f t="shared" si="467"/>
        <v/>
      </c>
      <c r="M1414" s="22" t="str">
        <f t="shared" si="468"/>
        <v/>
      </c>
      <c r="N1414" s="72"/>
      <c r="O1414" s="16" t="str">
        <f t="shared" si="469"/>
        <v/>
      </c>
      <c r="P1414" s="16" t="str">
        <f t="shared" si="470"/>
        <v/>
      </c>
      <c r="Q1414" s="16" t="str">
        <f t="shared" si="471"/>
        <v/>
      </c>
      <c r="R1414" s="23" t="str">
        <f t="shared" si="472"/>
        <v/>
      </c>
      <c r="S1414" s="23" t="str">
        <f t="shared" si="473"/>
        <v/>
      </c>
      <c r="T1414" s="23" t="str">
        <f t="shared" si="474"/>
        <v/>
      </c>
      <c r="U1414" s="23" t="str">
        <f t="shared" si="475"/>
        <v/>
      </c>
      <c r="V1414" s="23" t="str">
        <f t="shared" si="476"/>
        <v/>
      </c>
      <c r="W1414" s="70" t="str">
        <f t="shared" si="477"/>
        <v/>
      </c>
      <c r="X1414" s="70" t="str">
        <f t="shared" si="478"/>
        <v/>
      </c>
      <c r="Y1414" s="70" t="str">
        <f>IF(AND($A1414&lt;&gt;"",$E1414&gt;0),isLaptopBag($C1414,$J1414)*$D1414,"")</f>
        <v/>
      </c>
      <c r="Z1414" s="70" t="str">
        <f t="shared" si="479"/>
        <v/>
      </c>
      <c r="AA1414" s="70" t="str">
        <f t="shared" si="480"/>
        <v/>
      </c>
      <c r="AB1414" s="70" t="str">
        <f t="shared" si="481"/>
        <v/>
      </c>
      <c r="AC1414" s="70" t="str">
        <f t="shared" si="482"/>
        <v/>
      </c>
      <c r="AD1414" s="70" t="str">
        <f t="shared" si="483"/>
        <v/>
      </c>
      <c r="AE1414" s="70" t="str">
        <f t="shared" si="484"/>
        <v/>
      </c>
      <c r="AF1414" s="16"/>
      <c r="AG1414" s="23"/>
      <c r="AH1414" s="22"/>
      <c r="AJ1414" s="83">
        <f t="shared" si="485"/>
        <v>0</v>
      </c>
      <c r="AO1414" s="22" t="str">
        <f t="shared" si="486"/>
        <v/>
      </c>
      <c r="AP1414" s="22" t="str">
        <f t="shared" si="487"/>
        <v/>
      </c>
    </row>
    <row r="1415" spans="1:42" x14ac:dyDescent="0.25">
      <c r="A1415" s="10"/>
      <c r="B1415" s="10"/>
      <c r="C1415" s="10"/>
      <c r="D1415" s="10"/>
      <c r="E1415" s="10"/>
      <c r="F1415" s="10"/>
      <c r="G1415" s="10"/>
      <c r="H1415" s="17"/>
      <c r="I1415" s="10"/>
      <c r="J1415" s="10"/>
      <c r="K1415" s="16" t="str">
        <f t="shared" si="466"/>
        <v/>
      </c>
      <c r="L1415" s="23" t="str">
        <f t="shared" si="467"/>
        <v/>
      </c>
      <c r="M1415" s="22" t="str">
        <f t="shared" si="468"/>
        <v/>
      </c>
      <c r="N1415" s="72"/>
      <c r="O1415" s="16" t="str">
        <f t="shared" si="469"/>
        <v/>
      </c>
      <c r="P1415" s="16" t="str">
        <f t="shared" si="470"/>
        <v/>
      </c>
      <c r="Q1415" s="16" t="str">
        <f t="shared" si="471"/>
        <v/>
      </c>
      <c r="R1415" s="23" t="str">
        <f t="shared" si="472"/>
        <v/>
      </c>
      <c r="S1415" s="23" t="str">
        <f t="shared" si="473"/>
        <v/>
      </c>
      <c r="T1415" s="23" t="str">
        <f t="shared" si="474"/>
        <v/>
      </c>
      <c r="U1415" s="23" t="str">
        <f t="shared" si="475"/>
        <v/>
      </c>
      <c r="V1415" s="23" t="str">
        <f t="shared" si="476"/>
        <v/>
      </c>
      <c r="W1415" s="70" t="str">
        <f t="shared" si="477"/>
        <v/>
      </c>
      <c r="X1415" s="70" t="str">
        <f t="shared" si="478"/>
        <v/>
      </c>
      <c r="Y1415" s="70" t="str">
        <f>IF(AND($A1415&lt;&gt;"",$E1415&gt;0),isLaptopBag($C1415,$J1415)*$D1415,"")</f>
        <v/>
      </c>
      <c r="Z1415" s="70" t="str">
        <f t="shared" si="479"/>
        <v/>
      </c>
      <c r="AA1415" s="70" t="str">
        <f t="shared" si="480"/>
        <v/>
      </c>
      <c r="AB1415" s="70" t="str">
        <f t="shared" si="481"/>
        <v/>
      </c>
      <c r="AC1415" s="70" t="str">
        <f t="shared" si="482"/>
        <v/>
      </c>
      <c r="AD1415" s="70" t="str">
        <f t="shared" si="483"/>
        <v/>
      </c>
      <c r="AE1415" s="70" t="str">
        <f t="shared" si="484"/>
        <v/>
      </c>
      <c r="AF1415" s="16"/>
      <c r="AG1415" s="23"/>
      <c r="AH1415" s="22"/>
      <c r="AJ1415" s="83">
        <f t="shared" si="485"/>
        <v>0</v>
      </c>
      <c r="AO1415" s="22" t="str">
        <f t="shared" si="486"/>
        <v/>
      </c>
      <c r="AP1415" s="22" t="str">
        <f t="shared" si="487"/>
        <v/>
      </c>
    </row>
    <row r="1416" spans="1:42" x14ac:dyDescent="0.25">
      <c r="A1416" s="10"/>
      <c r="B1416" s="10"/>
      <c r="C1416" s="10"/>
      <c r="D1416" s="10"/>
      <c r="E1416" s="10"/>
      <c r="F1416" s="10"/>
      <c r="G1416" s="10"/>
      <c r="H1416" s="17"/>
      <c r="I1416" s="10"/>
      <c r="J1416" s="10"/>
      <c r="K1416" s="16" t="str">
        <f t="shared" si="466"/>
        <v/>
      </c>
      <c r="L1416" s="23" t="str">
        <f t="shared" si="467"/>
        <v/>
      </c>
      <c r="M1416" s="22" t="str">
        <f t="shared" si="468"/>
        <v/>
      </c>
      <c r="N1416" s="72"/>
      <c r="O1416" s="16" t="str">
        <f t="shared" si="469"/>
        <v/>
      </c>
      <c r="P1416" s="16" t="str">
        <f t="shared" si="470"/>
        <v/>
      </c>
      <c r="Q1416" s="16" t="str">
        <f t="shared" si="471"/>
        <v/>
      </c>
      <c r="R1416" s="23" t="str">
        <f t="shared" si="472"/>
        <v/>
      </c>
      <c r="S1416" s="23" t="str">
        <f t="shared" si="473"/>
        <v/>
      </c>
      <c r="T1416" s="23" t="str">
        <f t="shared" si="474"/>
        <v/>
      </c>
      <c r="U1416" s="23" t="str">
        <f t="shared" si="475"/>
        <v/>
      </c>
      <c r="V1416" s="23" t="str">
        <f t="shared" si="476"/>
        <v/>
      </c>
      <c r="W1416" s="70" t="str">
        <f t="shared" si="477"/>
        <v/>
      </c>
      <c r="X1416" s="70" t="str">
        <f t="shared" si="478"/>
        <v/>
      </c>
      <c r="Y1416" s="70" t="str">
        <f>IF(AND($A1416&lt;&gt;"",$E1416&gt;0),isLaptopBag($C1416,$J1416)*$D1416,"")</f>
        <v/>
      </c>
      <c r="Z1416" s="70" t="str">
        <f t="shared" si="479"/>
        <v/>
      </c>
      <c r="AA1416" s="70" t="str">
        <f t="shared" si="480"/>
        <v/>
      </c>
      <c r="AB1416" s="70" t="str">
        <f t="shared" si="481"/>
        <v/>
      </c>
      <c r="AC1416" s="70" t="str">
        <f t="shared" si="482"/>
        <v/>
      </c>
      <c r="AD1416" s="70" t="str">
        <f t="shared" si="483"/>
        <v/>
      </c>
      <c r="AE1416" s="70" t="str">
        <f t="shared" si="484"/>
        <v/>
      </c>
      <c r="AF1416" s="16"/>
      <c r="AG1416" s="23"/>
      <c r="AH1416" s="22"/>
      <c r="AJ1416" s="83">
        <f t="shared" si="485"/>
        <v>0</v>
      </c>
      <c r="AO1416" s="22" t="str">
        <f t="shared" si="486"/>
        <v/>
      </c>
      <c r="AP1416" s="22" t="str">
        <f t="shared" si="487"/>
        <v/>
      </c>
    </row>
    <row r="1417" spans="1:42" x14ac:dyDescent="0.25">
      <c r="A1417" s="10"/>
      <c r="B1417" s="10"/>
      <c r="C1417" s="10"/>
      <c r="D1417" s="10"/>
      <c r="E1417" s="10"/>
      <c r="F1417" s="10"/>
      <c r="G1417" s="10"/>
      <c r="H1417" s="17"/>
      <c r="I1417" s="10"/>
      <c r="J1417" s="10"/>
      <c r="K1417" s="16" t="str">
        <f t="shared" si="466"/>
        <v/>
      </c>
      <c r="L1417" s="23" t="str">
        <f t="shared" si="467"/>
        <v/>
      </c>
      <c r="M1417" s="22" t="str">
        <f t="shared" si="468"/>
        <v/>
      </c>
      <c r="N1417" s="72"/>
      <c r="O1417" s="16" t="str">
        <f t="shared" si="469"/>
        <v/>
      </c>
      <c r="P1417" s="16" t="str">
        <f t="shared" si="470"/>
        <v/>
      </c>
      <c r="Q1417" s="16" t="str">
        <f t="shared" si="471"/>
        <v/>
      </c>
      <c r="R1417" s="23" t="str">
        <f t="shared" si="472"/>
        <v/>
      </c>
      <c r="S1417" s="23" t="str">
        <f t="shared" si="473"/>
        <v/>
      </c>
      <c r="T1417" s="23" t="str">
        <f t="shared" si="474"/>
        <v/>
      </c>
      <c r="U1417" s="23" t="str">
        <f t="shared" si="475"/>
        <v/>
      </c>
      <c r="V1417" s="23" t="str">
        <f t="shared" si="476"/>
        <v/>
      </c>
      <c r="W1417" s="70" t="str">
        <f t="shared" si="477"/>
        <v/>
      </c>
      <c r="X1417" s="70" t="str">
        <f t="shared" si="478"/>
        <v/>
      </c>
      <c r="Y1417" s="70" t="str">
        <f>IF(AND($A1417&lt;&gt;"",$E1417&gt;0),isLaptopBag($C1417,$J1417)*$D1417,"")</f>
        <v/>
      </c>
      <c r="Z1417" s="70" t="str">
        <f t="shared" si="479"/>
        <v/>
      </c>
      <c r="AA1417" s="70" t="str">
        <f t="shared" si="480"/>
        <v/>
      </c>
      <c r="AB1417" s="70" t="str">
        <f t="shared" si="481"/>
        <v/>
      </c>
      <c r="AC1417" s="70" t="str">
        <f t="shared" si="482"/>
        <v/>
      </c>
      <c r="AD1417" s="70" t="str">
        <f t="shared" si="483"/>
        <v/>
      </c>
      <c r="AE1417" s="70" t="str">
        <f t="shared" si="484"/>
        <v/>
      </c>
      <c r="AF1417" s="16"/>
      <c r="AG1417" s="23"/>
      <c r="AH1417" s="22"/>
      <c r="AJ1417" s="83">
        <f t="shared" si="485"/>
        <v>0</v>
      </c>
      <c r="AO1417" s="22" t="str">
        <f t="shared" si="486"/>
        <v/>
      </c>
      <c r="AP1417" s="22" t="str">
        <f t="shared" si="487"/>
        <v/>
      </c>
    </row>
    <row r="1418" spans="1:42" x14ac:dyDescent="0.25">
      <c r="A1418" s="10"/>
      <c r="B1418" s="10"/>
      <c r="C1418" s="10"/>
      <c r="D1418" s="10"/>
      <c r="E1418" s="10"/>
      <c r="F1418" s="10"/>
      <c r="G1418" s="10"/>
      <c r="H1418" s="17"/>
      <c r="I1418" s="10"/>
      <c r="J1418" s="10"/>
      <c r="K1418" s="16" t="str">
        <f t="shared" si="466"/>
        <v/>
      </c>
      <c r="L1418" s="23" t="str">
        <f t="shared" si="467"/>
        <v/>
      </c>
      <c r="M1418" s="22" t="str">
        <f t="shared" si="468"/>
        <v/>
      </c>
      <c r="N1418" s="72"/>
      <c r="O1418" s="16" t="str">
        <f t="shared" si="469"/>
        <v/>
      </c>
      <c r="P1418" s="16" t="str">
        <f t="shared" si="470"/>
        <v/>
      </c>
      <c r="Q1418" s="16" t="str">
        <f t="shared" si="471"/>
        <v/>
      </c>
      <c r="R1418" s="23" t="str">
        <f t="shared" si="472"/>
        <v/>
      </c>
      <c r="S1418" s="23" t="str">
        <f t="shared" si="473"/>
        <v/>
      </c>
      <c r="T1418" s="23" t="str">
        <f t="shared" si="474"/>
        <v/>
      </c>
      <c r="U1418" s="23" t="str">
        <f t="shared" si="475"/>
        <v/>
      </c>
      <c r="V1418" s="23" t="str">
        <f t="shared" si="476"/>
        <v/>
      </c>
      <c r="W1418" s="70" t="str">
        <f t="shared" si="477"/>
        <v/>
      </c>
      <c r="X1418" s="70" t="str">
        <f t="shared" si="478"/>
        <v/>
      </c>
      <c r="Y1418" s="70" t="str">
        <f>IF(AND($A1418&lt;&gt;"",$E1418&gt;0),isLaptopBag($C1418,$J1418)*$D1418,"")</f>
        <v/>
      </c>
      <c r="Z1418" s="70" t="str">
        <f t="shared" si="479"/>
        <v/>
      </c>
      <c r="AA1418" s="70" t="str">
        <f t="shared" si="480"/>
        <v/>
      </c>
      <c r="AB1418" s="70" t="str">
        <f t="shared" si="481"/>
        <v/>
      </c>
      <c r="AC1418" s="70" t="str">
        <f t="shared" si="482"/>
        <v/>
      </c>
      <c r="AD1418" s="70" t="str">
        <f t="shared" si="483"/>
        <v/>
      </c>
      <c r="AE1418" s="70" t="str">
        <f t="shared" si="484"/>
        <v/>
      </c>
      <c r="AF1418" s="16"/>
      <c r="AG1418" s="23"/>
      <c r="AH1418" s="22"/>
      <c r="AJ1418" s="83">
        <f t="shared" si="485"/>
        <v>0</v>
      </c>
      <c r="AO1418" s="22" t="str">
        <f t="shared" si="486"/>
        <v/>
      </c>
      <c r="AP1418" s="22" t="str">
        <f t="shared" si="487"/>
        <v/>
      </c>
    </row>
    <row r="1419" spans="1:42" x14ac:dyDescent="0.25">
      <c r="A1419" s="10"/>
      <c r="B1419" s="10"/>
      <c r="C1419" s="10"/>
      <c r="D1419" s="10"/>
      <c r="E1419" s="10"/>
      <c r="F1419" s="10"/>
      <c r="G1419" s="10"/>
      <c r="H1419" s="17"/>
      <c r="I1419" s="10"/>
      <c r="J1419" s="10"/>
      <c r="K1419" s="16" t="str">
        <f t="shared" si="466"/>
        <v/>
      </c>
      <c r="L1419" s="23" t="str">
        <f t="shared" si="467"/>
        <v/>
      </c>
      <c r="M1419" s="22" t="str">
        <f t="shared" si="468"/>
        <v/>
      </c>
      <c r="N1419" s="72"/>
      <c r="O1419" s="16" t="str">
        <f t="shared" si="469"/>
        <v/>
      </c>
      <c r="P1419" s="16" t="str">
        <f t="shared" si="470"/>
        <v/>
      </c>
      <c r="Q1419" s="16" t="str">
        <f t="shared" si="471"/>
        <v/>
      </c>
      <c r="R1419" s="23" t="str">
        <f t="shared" si="472"/>
        <v/>
      </c>
      <c r="S1419" s="23" t="str">
        <f t="shared" si="473"/>
        <v/>
      </c>
      <c r="T1419" s="23" t="str">
        <f t="shared" si="474"/>
        <v/>
      </c>
      <c r="U1419" s="23" t="str">
        <f t="shared" si="475"/>
        <v/>
      </c>
      <c r="V1419" s="23" t="str">
        <f t="shared" si="476"/>
        <v/>
      </c>
      <c r="W1419" s="70" t="str">
        <f t="shared" si="477"/>
        <v/>
      </c>
      <c r="X1419" s="70" t="str">
        <f t="shared" si="478"/>
        <v/>
      </c>
      <c r="Y1419" s="70" t="str">
        <f>IF(AND($A1419&lt;&gt;"",$E1419&gt;0),isLaptopBag($C1419,$J1419)*$D1419,"")</f>
        <v/>
      </c>
      <c r="Z1419" s="70" t="str">
        <f t="shared" si="479"/>
        <v/>
      </c>
      <c r="AA1419" s="70" t="str">
        <f t="shared" si="480"/>
        <v/>
      </c>
      <c r="AB1419" s="70" t="str">
        <f t="shared" si="481"/>
        <v/>
      </c>
      <c r="AC1419" s="70" t="str">
        <f t="shared" si="482"/>
        <v/>
      </c>
      <c r="AD1419" s="70" t="str">
        <f t="shared" si="483"/>
        <v/>
      </c>
      <c r="AE1419" s="70" t="str">
        <f t="shared" si="484"/>
        <v/>
      </c>
      <c r="AF1419" s="16"/>
      <c r="AG1419" s="23"/>
      <c r="AH1419" s="22"/>
      <c r="AJ1419" s="83">
        <f t="shared" si="485"/>
        <v>0</v>
      </c>
      <c r="AO1419" s="22" t="str">
        <f t="shared" si="486"/>
        <v/>
      </c>
      <c r="AP1419" s="22" t="str">
        <f t="shared" si="487"/>
        <v/>
      </c>
    </row>
    <row r="1420" spans="1:42" x14ac:dyDescent="0.25">
      <c r="A1420" s="10"/>
      <c r="B1420" s="10"/>
      <c r="C1420" s="10"/>
      <c r="D1420" s="10"/>
      <c r="E1420" s="10"/>
      <c r="F1420" s="10"/>
      <c r="G1420" s="10"/>
      <c r="H1420" s="17"/>
      <c r="I1420" s="10"/>
      <c r="J1420" s="10"/>
      <c r="K1420" s="16" t="str">
        <f t="shared" si="466"/>
        <v/>
      </c>
      <c r="L1420" s="23" t="str">
        <f t="shared" si="467"/>
        <v/>
      </c>
      <c r="M1420" s="22" t="str">
        <f t="shared" si="468"/>
        <v/>
      </c>
      <c r="N1420" s="72"/>
      <c r="O1420" s="16" t="str">
        <f t="shared" si="469"/>
        <v/>
      </c>
      <c r="P1420" s="16" t="str">
        <f t="shared" si="470"/>
        <v/>
      </c>
      <c r="Q1420" s="16" t="str">
        <f t="shared" si="471"/>
        <v/>
      </c>
      <c r="R1420" s="23" t="str">
        <f t="shared" si="472"/>
        <v/>
      </c>
      <c r="S1420" s="23" t="str">
        <f t="shared" si="473"/>
        <v/>
      </c>
      <c r="T1420" s="23" t="str">
        <f t="shared" si="474"/>
        <v/>
      </c>
      <c r="U1420" s="23" t="str">
        <f t="shared" si="475"/>
        <v/>
      </c>
      <c r="V1420" s="23" t="str">
        <f t="shared" si="476"/>
        <v/>
      </c>
      <c r="W1420" s="70" t="str">
        <f t="shared" si="477"/>
        <v/>
      </c>
      <c r="X1420" s="70" t="str">
        <f t="shared" si="478"/>
        <v/>
      </c>
      <c r="Y1420" s="70" t="str">
        <f>IF(AND($A1420&lt;&gt;"",$E1420&gt;0),isLaptopBag($C1420,$J1420)*$D1420,"")</f>
        <v/>
      </c>
      <c r="Z1420" s="70" t="str">
        <f t="shared" si="479"/>
        <v/>
      </c>
      <c r="AA1420" s="70" t="str">
        <f t="shared" si="480"/>
        <v/>
      </c>
      <c r="AB1420" s="70" t="str">
        <f t="shared" si="481"/>
        <v/>
      </c>
      <c r="AC1420" s="70" t="str">
        <f t="shared" si="482"/>
        <v/>
      </c>
      <c r="AD1420" s="70" t="str">
        <f t="shared" si="483"/>
        <v/>
      </c>
      <c r="AE1420" s="70" t="str">
        <f t="shared" si="484"/>
        <v/>
      </c>
      <c r="AF1420" s="16"/>
      <c r="AG1420" s="23"/>
      <c r="AH1420" s="22"/>
      <c r="AJ1420" s="83">
        <f t="shared" si="485"/>
        <v>0</v>
      </c>
      <c r="AO1420" s="22" t="str">
        <f t="shared" si="486"/>
        <v/>
      </c>
      <c r="AP1420" s="22" t="str">
        <f t="shared" si="487"/>
        <v/>
      </c>
    </row>
    <row r="1421" spans="1:42" x14ac:dyDescent="0.25">
      <c r="A1421" s="10"/>
      <c r="B1421" s="10"/>
      <c r="C1421" s="10"/>
      <c r="D1421" s="10"/>
      <c r="E1421" s="10"/>
      <c r="F1421" s="10"/>
      <c r="G1421" s="10"/>
      <c r="H1421" s="17"/>
      <c r="I1421" s="10"/>
      <c r="J1421" s="10"/>
      <c r="K1421" s="16" t="str">
        <f t="shared" ref="K1421:K1484" si="488">IF($AF1421&lt;&gt;"",$AF1421,IF(AND($A1421&lt;&gt;"",$E1421&gt;0),SUM($O1421:$Q1421),""))</f>
        <v/>
      </c>
      <c r="L1421" s="23" t="str">
        <f t="shared" ref="L1421:L1484" si="489">IF($AG1421&lt;&gt;"",$AG1421,IF(AND($A1421&lt;&gt;"",$E1421&gt;0),SUM($R1421:$V1421),""))</f>
        <v/>
      </c>
      <c r="M1421" s="22" t="str">
        <f t="shared" ref="M1421:M1484" si="490">IF($AH1421&lt;&gt;"",$AH1421,IF(AND($A1421&lt;&gt;"",$E1421&gt;0),SUM($W1421:$AE1421)+$AO1421+$AP1421,""))</f>
        <v/>
      </c>
      <c r="N1421" s="72"/>
      <c r="O1421" s="16" t="str">
        <f t="shared" ref="O1421:O1484" si="491">IF(AND($A1421&lt;&gt;"",$E1421&gt;0),IF(AND($J1421="SONY",200000&lt;=$E1421,$E1421&lt;1000000),5000*$D1421,0),"")</f>
        <v/>
      </c>
      <c r="P1421" s="16" t="str">
        <f t="shared" ref="P1421:P1484" si="492">IF(AND($A1421&lt;&gt;"",$E1421&gt;0),IF(AND($J1421="SONY",1000000&lt;=$E1421,$E1421&lt;2000000),10000*$D1421,0),"")</f>
        <v/>
      </c>
      <c r="Q1421" s="16" t="str">
        <f t="shared" ref="Q1421:Q1484" si="493">IF(AND($A1421&lt;&gt;"",$E1421&gt;0),IF(AND($J1421="SONY",$E1421&gt;=2000000),20000*$D1421,0),"")</f>
        <v/>
      </c>
      <c r="R1421" s="23" t="str">
        <f t="shared" ref="R1421:R1484" si="494">IF(AND($A1421&lt;&gt;"",$E1421&gt;0),IF(AND($J1421&lt;&gt;"SONY",100000&lt;=$E1421,$E1421&lt;200000),5000*$D1421,0),"")</f>
        <v/>
      </c>
      <c r="S1421" s="23" t="str">
        <f t="shared" ref="S1421:S1484" si="495">IF(AND($A1421&lt;&gt;"",$E1421&gt;0),IF(AND($J1421&lt;&gt;"SONY",200000&lt;=$E1421,$E1421&lt;500000),10000*$D1421,0),"")</f>
        <v/>
      </c>
      <c r="T1421" s="23" t="str">
        <f t="shared" ref="T1421:T1484" si="496">IF(AND($A1421&lt;&gt;"",$E1421&gt;0),IF(AND($J1421&lt;&gt;"SONY",500000&lt;=$E1421,$E1421&lt;1000000),20000*$D1421,0),"")</f>
        <v/>
      </c>
      <c r="U1421" s="23" t="str">
        <f t="shared" ref="U1421:U1484" si="497">IF(AND($A1421&lt;&gt;"",$E1421&gt;0),IF(AND($J1421&lt;&gt;"SONY",1000000&lt;=$E1421,$E1421&lt;1500000),50000*$D1421,0),"")</f>
        <v/>
      </c>
      <c r="V1421" s="23" t="str">
        <f t="shared" ref="V1421:V1484" si="498">IF(AND($A1421&lt;&gt;"",$E1421&gt;0),IF(AND($J1421&lt;&gt;"SONY",1500000&lt;=$E1421),100000*$D1421,0),"")</f>
        <v/>
      </c>
      <c r="W1421" s="70" t="str">
        <f t="shared" ref="W1421:W1484" si="499">IF(AND($E1421&gt;0,$J1421="ELECOM",$E1421&gt;=500000,ISNUMBER(SEARCH("tai nghe",$C1421))),20000*$D1421,IF($A1421&lt;&gt;"",0,""))</f>
        <v/>
      </c>
      <c r="X1421" s="70" t="str">
        <f t="shared" ref="X1421:X1484" si="500">IF(AND($E1421&gt;0,$J1421="ELECOM",ISNUMBER(SEARCH("loa",$C1421))),20000*$D1421,IF($A1421&lt;&gt;"",0,""))</f>
        <v/>
      </c>
      <c r="Y1421" s="70" t="str">
        <f>IF(AND($A1421&lt;&gt;"",$E1421&gt;0),isLaptopBag($C1421,$J1421)*$D1421,"")</f>
        <v/>
      </c>
      <c r="Z1421" s="70" t="str">
        <f t="shared" ref="Z1421:Z1484" si="501">IF(AND($E1421&gt;0,$J1421="ELECOM",ISNUMBER(SEARCH("ốp",$C1421))),20000*$D1421,IF($A1421&lt;&gt;"",0,""))</f>
        <v/>
      </c>
      <c r="AA1421" s="70" t="str">
        <f t="shared" ref="AA1421:AA1484" si="502">IF(AND($E1421&gt;0,$J1421="ELECOM",ISNUMBER(SEARCH("Bút",$C1421))),20000*$D1421,IF($A1421&lt;&gt;"",0,""))</f>
        <v/>
      </c>
      <c r="AB1421" s="70" t="str">
        <f t="shared" ref="AB1421:AB1484" si="503">IF(AND($E1421&gt;0,$J1421="ELECOM",ISNUMBER(SEARCH("Chuột bi",$C1421))),20000*$D1421,IF($A1421&lt;&gt;"",0,""))</f>
        <v/>
      </c>
      <c r="AC1421" s="70" t="str">
        <f t="shared" ref="AC1421:AC1484" si="504">IF(AND($E1421&gt;0,$J1421="ELECOM",ISNUMBER(SEARCH("Chuột trackball",$C1421))),20000*$D1421,IF($A1421&lt;&gt;"",0,""))</f>
        <v/>
      </c>
      <c r="AD1421" s="70" t="str">
        <f t="shared" ref="AD1421:AD1484" si="505">IF(AND($E1421&gt;0,$J1421="ELECOM",ISNUMBER(SEARCH("Sạc không dây",$C1421))),20000*$D1421,IF($A1421&lt;&gt;"",0,""))</f>
        <v/>
      </c>
      <c r="AE1421" s="70" t="str">
        <f t="shared" ref="AE1421:AE1484" si="506">IF(AND($E1421&gt;0,$J1421="ELECOM",ISNUMBER(SEARCH("Sạc kd",$C1421))),20000*$D1421,IF($A1421&lt;&gt;"",0,""))</f>
        <v/>
      </c>
      <c r="AF1421" s="16"/>
      <c r="AG1421" s="23"/>
      <c r="AH1421" s="22"/>
      <c r="AJ1421" s="83">
        <f t="shared" ref="AJ1421:AJ1484" si="507">DAY(H1421)</f>
        <v>0</v>
      </c>
      <c r="AO1421" s="22" t="str">
        <f t="shared" ref="AO1421:AO1484" si="508">IF(AND($E1421&gt;0,ISNUMBER(SEARCH("Sạc dự phòng Energizer",$C1421))),10000*$D1421,IF($A1421&lt;&gt;"",0,""))</f>
        <v/>
      </c>
      <c r="AP1421" s="22" t="str">
        <f t="shared" ref="AP1421:AP1484" si="509">IF(AND($E1421&gt;0,ISNUMBER(SEARCH("SDP Energizer",$C1421))),10000*$D1421,IF($A1421&lt;&gt;"",0,""))</f>
        <v/>
      </c>
    </row>
    <row r="1422" spans="1:42" x14ac:dyDescent="0.25">
      <c r="A1422" s="10"/>
      <c r="B1422" s="10"/>
      <c r="C1422" s="10"/>
      <c r="D1422" s="10"/>
      <c r="E1422" s="10"/>
      <c r="F1422" s="10"/>
      <c r="G1422" s="10"/>
      <c r="H1422" s="17"/>
      <c r="I1422" s="10"/>
      <c r="J1422" s="10"/>
      <c r="K1422" s="16" t="str">
        <f t="shared" si="488"/>
        <v/>
      </c>
      <c r="L1422" s="23" t="str">
        <f t="shared" si="489"/>
        <v/>
      </c>
      <c r="M1422" s="22" t="str">
        <f t="shared" si="490"/>
        <v/>
      </c>
      <c r="N1422" s="72"/>
      <c r="O1422" s="16" t="str">
        <f t="shared" si="491"/>
        <v/>
      </c>
      <c r="P1422" s="16" t="str">
        <f t="shared" si="492"/>
        <v/>
      </c>
      <c r="Q1422" s="16" t="str">
        <f t="shared" si="493"/>
        <v/>
      </c>
      <c r="R1422" s="23" t="str">
        <f t="shared" si="494"/>
        <v/>
      </c>
      <c r="S1422" s="23" t="str">
        <f t="shared" si="495"/>
        <v/>
      </c>
      <c r="T1422" s="23" t="str">
        <f t="shared" si="496"/>
        <v/>
      </c>
      <c r="U1422" s="23" t="str">
        <f t="shared" si="497"/>
        <v/>
      </c>
      <c r="V1422" s="23" t="str">
        <f t="shared" si="498"/>
        <v/>
      </c>
      <c r="W1422" s="70" t="str">
        <f t="shared" si="499"/>
        <v/>
      </c>
      <c r="X1422" s="70" t="str">
        <f t="shared" si="500"/>
        <v/>
      </c>
      <c r="Y1422" s="70" t="str">
        <f>IF(AND($A1422&lt;&gt;"",$E1422&gt;0),isLaptopBag($C1422,$J1422)*$D1422,"")</f>
        <v/>
      </c>
      <c r="Z1422" s="70" t="str">
        <f t="shared" si="501"/>
        <v/>
      </c>
      <c r="AA1422" s="70" t="str">
        <f t="shared" si="502"/>
        <v/>
      </c>
      <c r="AB1422" s="70" t="str">
        <f t="shared" si="503"/>
        <v/>
      </c>
      <c r="AC1422" s="70" t="str">
        <f t="shared" si="504"/>
        <v/>
      </c>
      <c r="AD1422" s="70" t="str">
        <f t="shared" si="505"/>
        <v/>
      </c>
      <c r="AE1422" s="70" t="str">
        <f t="shared" si="506"/>
        <v/>
      </c>
      <c r="AF1422" s="16"/>
      <c r="AG1422" s="23"/>
      <c r="AH1422" s="22"/>
      <c r="AJ1422" s="83">
        <f t="shared" si="507"/>
        <v>0</v>
      </c>
      <c r="AO1422" s="22" t="str">
        <f t="shared" si="508"/>
        <v/>
      </c>
      <c r="AP1422" s="22" t="str">
        <f t="shared" si="509"/>
        <v/>
      </c>
    </row>
    <row r="1423" spans="1:42" x14ac:dyDescent="0.25">
      <c r="A1423" s="10"/>
      <c r="B1423" s="10"/>
      <c r="C1423" s="10"/>
      <c r="D1423" s="10"/>
      <c r="E1423" s="10"/>
      <c r="F1423" s="10"/>
      <c r="G1423" s="10"/>
      <c r="H1423" s="17"/>
      <c r="I1423" s="10"/>
      <c r="J1423" s="10"/>
      <c r="K1423" s="16" t="str">
        <f t="shared" si="488"/>
        <v/>
      </c>
      <c r="L1423" s="23" t="str">
        <f t="shared" si="489"/>
        <v/>
      </c>
      <c r="M1423" s="22" t="str">
        <f t="shared" si="490"/>
        <v/>
      </c>
      <c r="N1423" s="72"/>
      <c r="O1423" s="16" t="str">
        <f t="shared" si="491"/>
        <v/>
      </c>
      <c r="P1423" s="16" t="str">
        <f t="shared" si="492"/>
        <v/>
      </c>
      <c r="Q1423" s="16" t="str">
        <f t="shared" si="493"/>
        <v/>
      </c>
      <c r="R1423" s="23" t="str">
        <f t="shared" si="494"/>
        <v/>
      </c>
      <c r="S1423" s="23" t="str">
        <f t="shared" si="495"/>
        <v/>
      </c>
      <c r="T1423" s="23" t="str">
        <f t="shared" si="496"/>
        <v/>
      </c>
      <c r="U1423" s="23" t="str">
        <f t="shared" si="497"/>
        <v/>
      </c>
      <c r="V1423" s="23" t="str">
        <f t="shared" si="498"/>
        <v/>
      </c>
      <c r="W1423" s="70" t="str">
        <f t="shared" si="499"/>
        <v/>
      </c>
      <c r="X1423" s="70" t="str">
        <f t="shared" si="500"/>
        <v/>
      </c>
      <c r="Y1423" s="70" t="str">
        <f>IF(AND($A1423&lt;&gt;"",$E1423&gt;0),isLaptopBag($C1423,$J1423)*$D1423,"")</f>
        <v/>
      </c>
      <c r="Z1423" s="70" t="str">
        <f t="shared" si="501"/>
        <v/>
      </c>
      <c r="AA1423" s="70" t="str">
        <f t="shared" si="502"/>
        <v/>
      </c>
      <c r="AB1423" s="70" t="str">
        <f t="shared" si="503"/>
        <v/>
      </c>
      <c r="AC1423" s="70" t="str">
        <f t="shared" si="504"/>
        <v/>
      </c>
      <c r="AD1423" s="70" t="str">
        <f t="shared" si="505"/>
        <v/>
      </c>
      <c r="AE1423" s="70" t="str">
        <f t="shared" si="506"/>
        <v/>
      </c>
      <c r="AF1423" s="16"/>
      <c r="AG1423" s="23"/>
      <c r="AH1423" s="22"/>
      <c r="AJ1423" s="83">
        <f t="shared" si="507"/>
        <v>0</v>
      </c>
      <c r="AO1423" s="22" t="str">
        <f t="shared" si="508"/>
        <v/>
      </c>
      <c r="AP1423" s="22" t="str">
        <f t="shared" si="509"/>
        <v/>
      </c>
    </row>
    <row r="1424" spans="1:42" x14ac:dyDescent="0.25">
      <c r="A1424" s="10"/>
      <c r="B1424" s="10"/>
      <c r="C1424" s="10"/>
      <c r="D1424" s="10"/>
      <c r="E1424" s="10"/>
      <c r="F1424" s="10"/>
      <c r="G1424" s="10"/>
      <c r="H1424" s="17"/>
      <c r="I1424" s="10"/>
      <c r="J1424" s="10"/>
      <c r="K1424" s="16" t="str">
        <f t="shared" si="488"/>
        <v/>
      </c>
      <c r="L1424" s="23" t="str">
        <f t="shared" si="489"/>
        <v/>
      </c>
      <c r="M1424" s="22" t="str">
        <f t="shared" si="490"/>
        <v/>
      </c>
      <c r="N1424" s="72"/>
      <c r="O1424" s="16" t="str">
        <f t="shared" si="491"/>
        <v/>
      </c>
      <c r="P1424" s="16" t="str">
        <f t="shared" si="492"/>
        <v/>
      </c>
      <c r="Q1424" s="16" t="str">
        <f t="shared" si="493"/>
        <v/>
      </c>
      <c r="R1424" s="23" t="str">
        <f t="shared" si="494"/>
        <v/>
      </c>
      <c r="S1424" s="23" t="str">
        <f t="shared" si="495"/>
        <v/>
      </c>
      <c r="T1424" s="23" t="str">
        <f t="shared" si="496"/>
        <v/>
      </c>
      <c r="U1424" s="23" t="str">
        <f t="shared" si="497"/>
        <v/>
      </c>
      <c r="V1424" s="23" t="str">
        <f t="shared" si="498"/>
        <v/>
      </c>
      <c r="W1424" s="70" t="str">
        <f t="shared" si="499"/>
        <v/>
      </c>
      <c r="X1424" s="70" t="str">
        <f t="shared" si="500"/>
        <v/>
      </c>
      <c r="Y1424" s="70" t="str">
        <f>IF(AND($A1424&lt;&gt;"",$E1424&gt;0),isLaptopBag($C1424,$J1424)*$D1424,"")</f>
        <v/>
      </c>
      <c r="Z1424" s="70" t="str">
        <f t="shared" si="501"/>
        <v/>
      </c>
      <c r="AA1424" s="70" t="str">
        <f t="shared" si="502"/>
        <v/>
      </c>
      <c r="AB1424" s="70" t="str">
        <f t="shared" si="503"/>
        <v/>
      </c>
      <c r="AC1424" s="70" t="str">
        <f t="shared" si="504"/>
        <v/>
      </c>
      <c r="AD1424" s="70" t="str">
        <f t="shared" si="505"/>
        <v/>
      </c>
      <c r="AE1424" s="70" t="str">
        <f t="shared" si="506"/>
        <v/>
      </c>
      <c r="AF1424" s="16"/>
      <c r="AG1424" s="23"/>
      <c r="AH1424" s="22"/>
      <c r="AJ1424" s="83">
        <f t="shared" si="507"/>
        <v>0</v>
      </c>
      <c r="AO1424" s="22" t="str">
        <f t="shared" si="508"/>
        <v/>
      </c>
      <c r="AP1424" s="22" t="str">
        <f t="shared" si="509"/>
        <v/>
      </c>
    </row>
    <row r="1425" spans="1:42" x14ac:dyDescent="0.25">
      <c r="A1425" s="10"/>
      <c r="B1425" s="10"/>
      <c r="C1425" s="10"/>
      <c r="D1425" s="10"/>
      <c r="E1425" s="10"/>
      <c r="F1425" s="10"/>
      <c r="G1425" s="10"/>
      <c r="H1425" s="17"/>
      <c r="I1425" s="10"/>
      <c r="J1425" s="10"/>
      <c r="K1425" s="16" t="str">
        <f t="shared" si="488"/>
        <v/>
      </c>
      <c r="L1425" s="23" t="str">
        <f t="shared" si="489"/>
        <v/>
      </c>
      <c r="M1425" s="22" t="str">
        <f t="shared" si="490"/>
        <v/>
      </c>
      <c r="N1425" s="72"/>
      <c r="O1425" s="16" t="str">
        <f t="shared" si="491"/>
        <v/>
      </c>
      <c r="P1425" s="16" t="str">
        <f t="shared" si="492"/>
        <v/>
      </c>
      <c r="Q1425" s="16" t="str">
        <f t="shared" si="493"/>
        <v/>
      </c>
      <c r="R1425" s="23" t="str">
        <f t="shared" si="494"/>
        <v/>
      </c>
      <c r="S1425" s="23" t="str">
        <f t="shared" si="495"/>
        <v/>
      </c>
      <c r="T1425" s="23" t="str">
        <f t="shared" si="496"/>
        <v/>
      </c>
      <c r="U1425" s="23" t="str">
        <f t="shared" si="497"/>
        <v/>
      </c>
      <c r="V1425" s="23" t="str">
        <f t="shared" si="498"/>
        <v/>
      </c>
      <c r="W1425" s="70" t="str">
        <f t="shared" si="499"/>
        <v/>
      </c>
      <c r="X1425" s="70" t="str">
        <f t="shared" si="500"/>
        <v/>
      </c>
      <c r="Y1425" s="70" t="str">
        <f>IF(AND($A1425&lt;&gt;"",$E1425&gt;0),isLaptopBag($C1425,$J1425)*$D1425,"")</f>
        <v/>
      </c>
      <c r="Z1425" s="70" t="str">
        <f t="shared" si="501"/>
        <v/>
      </c>
      <c r="AA1425" s="70" t="str">
        <f t="shared" si="502"/>
        <v/>
      </c>
      <c r="AB1425" s="70" t="str">
        <f t="shared" si="503"/>
        <v/>
      </c>
      <c r="AC1425" s="70" t="str">
        <f t="shared" si="504"/>
        <v/>
      </c>
      <c r="AD1425" s="70" t="str">
        <f t="shared" si="505"/>
        <v/>
      </c>
      <c r="AE1425" s="70" t="str">
        <f t="shared" si="506"/>
        <v/>
      </c>
      <c r="AF1425" s="16"/>
      <c r="AG1425" s="23"/>
      <c r="AH1425" s="22"/>
      <c r="AJ1425" s="83">
        <f t="shared" si="507"/>
        <v>0</v>
      </c>
      <c r="AO1425" s="22" t="str">
        <f t="shared" si="508"/>
        <v/>
      </c>
      <c r="AP1425" s="22" t="str">
        <f t="shared" si="509"/>
        <v/>
      </c>
    </row>
    <row r="1426" spans="1:42" x14ac:dyDescent="0.25">
      <c r="A1426" s="10"/>
      <c r="B1426" s="10"/>
      <c r="C1426" s="10"/>
      <c r="D1426" s="10"/>
      <c r="E1426" s="10"/>
      <c r="F1426" s="10"/>
      <c r="G1426" s="10"/>
      <c r="H1426" s="17"/>
      <c r="I1426" s="10"/>
      <c r="J1426" s="10"/>
      <c r="K1426" s="16" t="str">
        <f t="shared" si="488"/>
        <v/>
      </c>
      <c r="L1426" s="23" t="str">
        <f t="shared" si="489"/>
        <v/>
      </c>
      <c r="M1426" s="22" t="str">
        <f t="shared" si="490"/>
        <v/>
      </c>
      <c r="N1426" s="72"/>
      <c r="O1426" s="16" t="str">
        <f t="shared" si="491"/>
        <v/>
      </c>
      <c r="P1426" s="16" t="str">
        <f t="shared" si="492"/>
        <v/>
      </c>
      <c r="Q1426" s="16" t="str">
        <f t="shared" si="493"/>
        <v/>
      </c>
      <c r="R1426" s="23" t="str">
        <f t="shared" si="494"/>
        <v/>
      </c>
      <c r="S1426" s="23" t="str">
        <f t="shared" si="495"/>
        <v/>
      </c>
      <c r="T1426" s="23" t="str">
        <f t="shared" si="496"/>
        <v/>
      </c>
      <c r="U1426" s="23" t="str">
        <f t="shared" si="497"/>
        <v/>
      </c>
      <c r="V1426" s="23" t="str">
        <f t="shared" si="498"/>
        <v/>
      </c>
      <c r="W1426" s="70" t="str">
        <f t="shared" si="499"/>
        <v/>
      </c>
      <c r="X1426" s="70" t="str">
        <f t="shared" si="500"/>
        <v/>
      </c>
      <c r="Y1426" s="70" t="str">
        <f>IF(AND($A1426&lt;&gt;"",$E1426&gt;0),isLaptopBag($C1426,$J1426)*$D1426,"")</f>
        <v/>
      </c>
      <c r="Z1426" s="70" t="str">
        <f t="shared" si="501"/>
        <v/>
      </c>
      <c r="AA1426" s="70" t="str">
        <f t="shared" si="502"/>
        <v/>
      </c>
      <c r="AB1426" s="70" t="str">
        <f t="shared" si="503"/>
        <v/>
      </c>
      <c r="AC1426" s="70" t="str">
        <f t="shared" si="504"/>
        <v/>
      </c>
      <c r="AD1426" s="70" t="str">
        <f t="shared" si="505"/>
        <v/>
      </c>
      <c r="AE1426" s="70" t="str">
        <f t="shared" si="506"/>
        <v/>
      </c>
      <c r="AF1426" s="16"/>
      <c r="AG1426" s="23"/>
      <c r="AH1426" s="22"/>
      <c r="AJ1426" s="83">
        <f t="shared" si="507"/>
        <v>0</v>
      </c>
      <c r="AO1426" s="22" t="str">
        <f t="shared" si="508"/>
        <v/>
      </c>
      <c r="AP1426" s="22" t="str">
        <f t="shared" si="509"/>
        <v/>
      </c>
    </row>
    <row r="1427" spans="1:42" x14ac:dyDescent="0.25">
      <c r="A1427" s="10"/>
      <c r="B1427" s="10"/>
      <c r="C1427" s="10"/>
      <c r="D1427" s="10"/>
      <c r="E1427" s="10"/>
      <c r="F1427" s="10"/>
      <c r="G1427" s="10"/>
      <c r="H1427" s="17"/>
      <c r="I1427" s="10"/>
      <c r="J1427" s="10"/>
      <c r="K1427" s="16" t="str">
        <f t="shared" si="488"/>
        <v/>
      </c>
      <c r="L1427" s="23" t="str">
        <f t="shared" si="489"/>
        <v/>
      </c>
      <c r="M1427" s="22" t="str">
        <f t="shared" si="490"/>
        <v/>
      </c>
      <c r="N1427" s="72"/>
      <c r="O1427" s="16" t="str">
        <f t="shared" si="491"/>
        <v/>
      </c>
      <c r="P1427" s="16" t="str">
        <f t="shared" si="492"/>
        <v/>
      </c>
      <c r="Q1427" s="16" t="str">
        <f t="shared" si="493"/>
        <v/>
      </c>
      <c r="R1427" s="23" t="str">
        <f t="shared" si="494"/>
        <v/>
      </c>
      <c r="S1427" s="23" t="str">
        <f t="shared" si="495"/>
        <v/>
      </c>
      <c r="T1427" s="23" t="str">
        <f t="shared" si="496"/>
        <v/>
      </c>
      <c r="U1427" s="23" t="str">
        <f t="shared" si="497"/>
        <v/>
      </c>
      <c r="V1427" s="23" t="str">
        <f t="shared" si="498"/>
        <v/>
      </c>
      <c r="W1427" s="70" t="str">
        <f t="shared" si="499"/>
        <v/>
      </c>
      <c r="X1427" s="70" t="str">
        <f t="shared" si="500"/>
        <v/>
      </c>
      <c r="Y1427" s="70" t="str">
        <f>IF(AND($A1427&lt;&gt;"",$E1427&gt;0),isLaptopBag($C1427,$J1427)*$D1427,"")</f>
        <v/>
      </c>
      <c r="Z1427" s="70" t="str">
        <f t="shared" si="501"/>
        <v/>
      </c>
      <c r="AA1427" s="70" t="str">
        <f t="shared" si="502"/>
        <v/>
      </c>
      <c r="AB1427" s="70" t="str">
        <f t="shared" si="503"/>
        <v/>
      </c>
      <c r="AC1427" s="70" t="str">
        <f t="shared" si="504"/>
        <v/>
      </c>
      <c r="AD1427" s="70" t="str">
        <f t="shared" si="505"/>
        <v/>
      </c>
      <c r="AE1427" s="70" t="str">
        <f t="shared" si="506"/>
        <v/>
      </c>
      <c r="AF1427" s="16"/>
      <c r="AG1427" s="23"/>
      <c r="AH1427" s="22"/>
      <c r="AJ1427" s="83">
        <f t="shared" si="507"/>
        <v>0</v>
      </c>
      <c r="AO1427" s="22" t="str">
        <f t="shared" si="508"/>
        <v/>
      </c>
      <c r="AP1427" s="22" t="str">
        <f t="shared" si="509"/>
        <v/>
      </c>
    </row>
    <row r="1428" spans="1:42" x14ac:dyDescent="0.25">
      <c r="A1428" s="10"/>
      <c r="B1428" s="10"/>
      <c r="C1428" s="10"/>
      <c r="D1428" s="10"/>
      <c r="E1428" s="10"/>
      <c r="F1428" s="10"/>
      <c r="G1428" s="10"/>
      <c r="H1428" s="17"/>
      <c r="I1428" s="10"/>
      <c r="J1428" s="10"/>
      <c r="K1428" s="16" t="str">
        <f t="shared" si="488"/>
        <v/>
      </c>
      <c r="L1428" s="23" t="str">
        <f t="shared" si="489"/>
        <v/>
      </c>
      <c r="M1428" s="22" t="str">
        <f t="shared" si="490"/>
        <v/>
      </c>
      <c r="N1428" s="72"/>
      <c r="O1428" s="16" t="str">
        <f t="shared" si="491"/>
        <v/>
      </c>
      <c r="P1428" s="16" t="str">
        <f t="shared" si="492"/>
        <v/>
      </c>
      <c r="Q1428" s="16" t="str">
        <f t="shared" si="493"/>
        <v/>
      </c>
      <c r="R1428" s="23" t="str">
        <f t="shared" si="494"/>
        <v/>
      </c>
      <c r="S1428" s="23" t="str">
        <f t="shared" si="495"/>
        <v/>
      </c>
      <c r="T1428" s="23" t="str">
        <f t="shared" si="496"/>
        <v/>
      </c>
      <c r="U1428" s="23" t="str">
        <f t="shared" si="497"/>
        <v/>
      </c>
      <c r="V1428" s="23" t="str">
        <f t="shared" si="498"/>
        <v/>
      </c>
      <c r="W1428" s="70" t="str">
        <f t="shared" si="499"/>
        <v/>
      </c>
      <c r="X1428" s="70" t="str">
        <f t="shared" si="500"/>
        <v/>
      </c>
      <c r="Y1428" s="70" t="str">
        <f>IF(AND($A1428&lt;&gt;"",$E1428&gt;0),isLaptopBag($C1428,$J1428)*$D1428,"")</f>
        <v/>
      </c>
      <c r="Z1428" s="70" t="str">
        <f t="shared" si="501"/>
        <v/>
      </c>
      <c r="AA1428" s="70" t="str">
        <f t="shared" si="502"/>
        <v/>
      </c>
      <c r="AB1428" s="70" t="str">
        <f t="shared" si="503"/>
        <v/>
      </c>
      <c r="AC1428" s="70" t="str">
        <f t="shared" si="504"/>
        <v/>
      </c>
      <c r="AD1428" s="70" t="str">
        <f t="shared" si="505"/>
        <v/>
      </c>
      <c r="AE1428" s="70" t="str">
        <f t="shared" si="506"/>
        <v/>
      </c>
      <c r="AF1428" s="16"/>
      <c r="AG1428" s="23"/>
      <c r="AH1428" s="22"/>
      <c r="AJ1428" s="83">
        <f t="shared" si="507"/>
        <v>0</v>
      </c>
      <c r="AO1428" s="22" t="str">
        <f t="shared" si="508"/>
        <v/>
      </c>
      <c r="AP1428" s="22" t="str">
        <f t="shared" si="509"/>
        <v/>
      </c>
    </row>
    <row r="1429" spans="1:42" x14ac:dyDescent="0.25">
      <c r="A1429" s="10"/>
      <c r="B1429" s="10"/>
      <c r="C1429" s="10"/>
      <c r="D1429" s="10"/>
      <c r="E1429" s="10"/>
      <c r="F1429" s="10"/>
      <c r="G1429" s="10"/>
      <c r="H1429" s="17"/>
      <c r="I1429" s="10"/>
      <c r="J1429" s="10"/>
      <c r="K1429" s="16" t="str">
        <f t="shared" si="488"/>
        <v/>
      </c>
      <c r="L1429" s="23" t="str">
        <f t="shared" si="489"/>
        <v/>
      </c>
      <c r="M1429" s="22" t="str">
        <f t="shared" si="490"/>
        <v/>
      </c>
      <c r="N1429" s="72"/>
      <c r="O1429" s="16" t="str">
        <f t="shared" si="491"/>
        <v/>
      </c>
      <c r="P1429" s="16" t="str">
        <f t="shared" si="492"/>
        <v/>
      </c>
      <c r="Q1429" s="16" t="str">
        <f t="shared" si="493"/>
        <v/>
      </c>
      <c r="R1429" s="23" t="str">
        <f t="shared" si="494"/>
        <v/>
      </c>
      <c r="S1429" s="23" t="str">
        <f t="shared" si="495"/>
        <v/>
      </c>
      <c r="T1429" s="23" t="str">
        <f t="shared" si="496"/>
        <v/>
      </c>
      <c r="U1429" s="23" t="str">
        <f t="shared" si="497"/>
        <v/>
      </c>
      <c r="V1429" s="23" t="str">
        <f t="shared" si="498"/>
        <v/>
      </c>
      <c r="W1429" s="70" t="str">
        <f t="shared" si="499"/>
        <v/>
      </c>
      <c r="X1429" s="70" t="str">
        <f t="shared" si="500"/>
        <v/>
      </c>
      <c r="Y1429" s="70" t="str">
        <f>IF(AND($A1429&lt;&gt;"",$E1429&gt;0),isLaptopBag($C1429,$J1429)*$D1429,"")</f>
        <v/>
      </c>
      <c r="Z1429" s="70" t="str">
        <f t="shared" si="501"/>
        <v/>
      </c>
      <c r="AA1429" s="70" t="str">
        <f t="shared" si="502"/>
        <v/>
      </c>
      <c r="AB1429" s="70" t="str">
        <f t="shared" si="503"/>
        <v/>
      </c>
      <c r="AC1429" s="70" t="str">
        <f t="shared" si="504"/>
        <v/>
      </c>
      <c r="AD1429" s="70" t="str">
        <f t="shared" si="505"/>
        <v/>
      </c>
      <c r="AE1429" s="70" t="str">
        <f t="shared" si="506"/>
        <v/>
      </c>
      <c r="AF1429" s="16"/>
      <c r="AG1429" s="23"/>
      <c r="AH1429" s="22"/>
      <c r="AJ1429" s="83">
        <f t="shared" si="507"/>
        <v>0</v>
      </c>
      <c r="AO1429" s="22" t="str">
        <f t="shared" si="508"/>
        <v/>
      </c>
      <c r="AP1429" s="22" t="str">
        <f t="shared" si="509"/>
        <v/>
      </c>
    </row>
    <row r="1430" spans="1:42" x14ac:dyDescent="0.25">
      <c r="A1430" s="10"/>
      <c r="B1430" s="10"/>
      <c r="C1430" s="10"/>
      <c r="D1430" s="10"/>
      <c r="E1430" s="10"/>
      <c r="F1430" s="10"/>
      <c r="G1430" s="10"/>
      <c r="H1430" s="17"/>
      <c r="I1430" s="10"/>
      <c r="J1430" s="10"/>
      <c r="K1430" s="16" t="str">
        <f t="shared" si="488"/>
        <v/>
      </c>
      <c r="L1430" s="23" t="str">
        <f t="shared" si="489"/>
        <v/>
      </c>
      <c r="M1430" s="22" t="str">
        <f t="shared" si="490"/>
        <v/>
      </c>
      <c r="N1430" s="72"/>
      <c r="O1430" s="16" t="str">
        <f t="shared" si="491"/>
        <v/>
      </c>
      <c r="P1430" s="16" t="str">
        <f t="shared" si="492"/>
        <v/>
      </c>
      <c r="Q1430" s="16" t="str">
        <f t="shared" si="493"/>
        <v/>
      </c>
      <c r="R1430" s="23" t="str">
        <f t="shared" si="494"/>
        <v/>
      </c>
      <c r="S1430" s="23" t="str">
        <f t="shared" si="495"/>
        <v/>
      </c>
      <c r="T1430" s="23" t="str">
        <f t="shared" si="496"/>
        <v/>
      </c>
      <c r="U1430" s="23" t="str">
        <f t="shared" si="497"/>
        <v/>
      </c>
      <c r="V1430" s="23" t="str">
        <f t="shared" si="498"/>
        <v/>
      </c>
      <c r="W1430" s="70" t="str">
        <f t="shared" si="499"/>
        <v/>
      </c>
      <c r="X1430" s="70" t="str">
        <f t="shared" si="500"/>
        <v/>
      </c>
      <c r="Y1430" s="70" t="str">
        <f>IF(AND($A1430&lt;&gt;"",$E1430&gt;0),isLaptopBag($C1430,$J1430)*$D1430,"")</f>
        <v/>
      </c>
      <c r="Z1430" s="70" t="str">
        <f t="shared" si="501"/>
        <v/>
      </c>
      <c r="AA1430" s="70" t="str">
        <f t="shared" si="502"/>
        <v/>
      </c>
      <c r="AB1430" s="70" t="str">
        <f t="shared" si="503"/>
        <v/>
      </c>
      <c r="AC1430" s="70" t="str">
        <f t="shared" si="504"/>
        <v/>
      </c>
      <c r="AD1430" s="70" t="str">
        <f t="shared" si="505"/>
        <v/>
      </c>
      <c r="AE1430" s="70" t="str">
        <f t="shared" si="506"/>
        <v/>
      </c>
      <c r="AF1430" s="16"/>
      <c r="AG1430" s="23"/>
      <c r="AH1430" s="22"/>
      <c r="AJ1430" s="83">
        <f t="shared" si="507"/>
        <v>0</v>
      </c>
      <c r="AO1430" s="22" t="str">
        <f t="shared" si="508"/>
        <v/>
      </c>
      <c r="AP1430" s="22" t="str">
        <f t="shared" si="509"/>
        <v/>
      </c>
    </row>
    <row r="1431" spans="1:42" x14ac:dyDescent="0.25">
      <c r="A1431" s="10"/>
      <c r="B1431" s="10"/>
      <c r="C1431" s="10"/>
      <c r="D1431" s="10"/>
      <c r="E1431" s="10"/>
      <c r="F1431" s="10"/>
      <c r="G1431" s="10"/>
      <c r="H1431" s="17"/>
      <c r="I1431" s="10"/>
      <c r="J1431" s="10"/>
      <c r="K1431" s="16" t="str">
        <f t="shared" si="488"/>
        <v/>
      </c>
      <c r="L1431" s="23" t="str">
        <f t="shared" si="489"/>
        <v/>
      </c>
      <c r="M1431" s="22" t="str">
        <f t="shared" si="490"/>
        <v/>
      </c>
      <c r="N1431" s="72"/>
      <c r="O1431" s="16" t="str">
        <f t="shared" si="491"/>
        <v/>
      </c>
      <c r="P1431" s="16" t="str">
        <f t="shared" si="492"/>
        <v/>
      </c>
      <c r="Q1431" s="16" t="str">
        <f t="shared" si="493"/>
        <v/>
      </c>
      <c r="R1431" s="23" t="str">
        <f t="shared" si="494"/>
        <v/>
      </c>
      <c r="S1431" s="23" t="str">
        <f t="shared" si="495"/>
        <v/>
      </c>
      <c r="T1431" s="23" t="str">
        <f t="shared" si="496"/>
        <v/>
      </c>
      <c r="U1431" s="23" t="str">
        <f t="shared" si="497"/>
        <v/>
      </c>
      <c r="V1431" s="23" t="str">
        <f t="shared" si="498"/>
        <v/>
      </c>
      <c r="W1431" s="70" t="str">
        <f t="shared" si="499"/>
        <v/>
      </c>
      <c r="X1431" s="70" t="str">
        <f t="shared" si="500"/>
        <v/>
      </c>
      <c r="Y1431" s="70" t="str">
        <f>IF(AND($A1431&lt;&gt;"",$E1431&gt;0),isLaptopBag($C1431,$J1431)*$D1431,"")</f>
        <v/>
      </c>
      <c r="Z1431" s="70" t="str">
        <f t="shared" si="501"/>
        <v/>
      </c>
      <c r="AA1431" s="70" t="str">
        <f t="shared" si="502"/>
        <v/>
      </c>
      <c r="AB1431" s="70" t="str">
        <f t="shared" si="503"/>
        <v/>
      </c>
      <c r="AC1431" s="70" t="str">
        <f t="shared" si="504"/>
        <v/>
      </c>
      <c r="AD1431" s="70" t="str">
        <f t="shared" si="505"/>
        <v/>
      </c>
      <c r="AE1431" s="70" t="str">
        <f t="shared" si="506"/>
        <v/>
      </c>
      <c r="AF1431" s="16"/>
      <c r="AG1431" s="23"/>
      <c r="AH1431" s="22"/>
      <c r="AJ1431" s="83">
        <f t="shared" si="507"/>
        <v>0</v>
      </c>
      <c r="AO1431" s="22" t="str">
        <f t="shared" si="508"/>
        <v/>
      </c>
      <c r="AP1431" s="22" t="str">
        <f t="shared" si="509"/>
        <v/>
      </c>
    </row>
    <row r="1432" spans="1:42" x14ac:dyDescent="0.25">
      <c r="A1432" s="10"/>
      <c r="B1432" s="10"/>
      <c r="C1432" s="10"/>
      <c r="D1432" s="10"/>
      <c r="E1432" s="10"/>
      <c r="F1432" s="10"/>
      <c r="G1432" s="10"/>
      <c r="H1432" s="17"/>
      <c r="I1432" s="10"/>
      <c r="J1432" s="10"/>
      <c r="K1432" s="16" t="str">
        <f t="shared" si="488"/>
        <v/>
      </c>
      <c r="L1432" s="23" t="str">
        <f t="shared" si="489"/>
        <v/>
      </c>
      <c r="M1432" s="22" t="str">
        <f t="shared" si="490"/>
        <v/>
      </c>
      <c r="N1432" s="72"/>
      <c r="O1432" s="16" t="str">
        <f t="shared" si="491"/>
        <v/>
      </c>
      <c r="P1432" s="16" t="str">
        <f t="shared" si="492"/>
        <v/>
      </c>
      <c r="Q1432" s="16" t="str">
        <f t="shared" si="493"/>
        <v/>
      </c>
      <c r="R1432" s="23" t="str">
        <f t="shared" si="494"/>
        <v/>
      </c>
      <c r="S1432" s="23" t="str">
        <f t="shared" si="495"/>
        <v/>
      </c>
      <c r="T1432" s="23" t="str">
        <f t="shared" si="496"/>
        <v/>
      </c>
      <c r="U1432" s="23" t="str">
        <f t="shared" si="497"/>
        <v/>
      </c>
      <c r="V1432" s="23" t="str">
        <f t="shared" si="498"/>
        <v/>
      </c>
      <c r="W1432" s="70" t="str">
        <f t="shared" si="499"/>
        <v/>
      </c>
      <c r="X1432" s="70" t="str">
        <f t="shared" si="500"/>
        <v/>
      </c>
      <c r="Y1432" s="70" t="str">
        <f>IF(AND($A1432&lt;&gt;"",$E1432&gt;0),isLaptopBag($C1432,$J1432)*$D1432,"")</f>
        <v/>
      </c>
      <c r="Z1432" s="70" t="str">
        <f t="shared" si="501"/>
        <v/>
      </c>
      <c r="AA1432" s="70" t="str">
        <f t="shared" si="502"/>
        <v/>
      </c>
      <c r="AB1432" s="70" t="str">
        <f t="shared" si="503"/>
        <v/>
      </c>
      <c r="AC1432" s="70" t="str">
        <f t="shared" si="504"/>
        <v/>
      </c>
      <c r="AD1432" s="70" t="str">
        <f t="shared" si="505"/>
        <v/>
      </c>
      <c r="AE1432" s="70" t="str">
        <f t="shared" si="506"/>
        <v/>
      </c>
      <c r="AF1432" s="16"/>
      <c r="AG1432" s="23"/>
      <c r="AH1432" s="22"/>
      <c r="AJ1432" s="83">
        <f t="shared" si="507"/>
        <v>0</v>
      </c>
      <c r="AO1432" s="22" t="str">
        <f t="shared" si="508"/>
        <v/>
      </c>
      <c r="AP1432" s="22" t="str">
        <f t="shared" si="509"/>
        <v/>
      </c>
    </row>
    <row r="1433" spans="1:42" x14ac:dyDescent="0.25">
      <c r="A1433" s="10"/>
      <c r="B1433" s="10"/>
      <c r="C1433" s="10"/>
      <c r="D1433" s="10"/>
      <c r="E1433" s="10"/>
      <c r="F1433" s="10"/>
      <c r="G1433" s="10"/>
      <c r="H1433" s="17"/>
      <c r="I1433" s="10"/>
      <c r="J1433" s="10"/>
      <c r="K1433" s="16" t="str">
        <f t="shared" si="488"/>
        <v/>
      </c>
      <c r="L1433" s="23" t="str">
        <f t="shared" si="489"/>
        <v/>
      </c>
      <c r="M1433" s="22" t="str">
        <f t="shared" si="490"/>
        <v/>
      </c>
      <c r="N1433" s="72"/>
      <c r="O1433" s="16" t="str">
        <f t="shared" si="491"/>
        <v/>
      </c>
      <c r="P1433" s="16" t="str">
        <f t="shared" si="492"/>
        <v/>
      </c>
      <c r="Q1433" s="16" t="str">
        <f t="shared" si="493"/>
        <v/>
      </c>
      <c r="R1433" s="23" t="str">
        <f t="shared" si="494"/>
        <v/>
      </c>
      <c r="S1433" s="23" t="str">
        <f t="shared" si="495"/>
        <v/>
      </c>
      <c r="T1433" s="23" t="str">
        <f t="shared" si="496"/>
        <v/>
      </c>
      <c r="U1433" s="23" t="str">
        <f t="shared" si="497"/>
        <v/>
      </c>
      <c r="V1433" s="23" t="str">
        <f t="shared" si="498"/>
        <v/>
      </c>
      <c r="W1433" s="70" t="str">
        <f t="shared" si="499"/>
        <v/>
      </c>
      <c r="X1433" s="70" t="str">
        <f t="shared" si="500"/>
        <v/>
      </c>
      <c r="Y1433" s="70" t="str">
        <f>IF(AND($A1433&lt;&gt;"",$E1433&gt;0),isLaptopBag($C1433,$J1433)*$D1433,"")</f>
        <v/>
      </c>
      <c r="Z1433" s="70" t="str">
        <f t="shared" si="501"/>
        <v/>
      </c>
      <c r="AA1433" s="70" t="str">
        <f t="shared" si="502"/>
        <v/>
      </c>
      <c r="AB1433" s="70" t="str">
        <f t="shared" si="503"/>
        <v/>
      </c>
      <c r="AC1433" s="70" t="str">
        <f t="shared" si="504"/>
        <v/>
      </c>
      <c r="AD1433" s="70" t="str">
        <f t="shared" si="505"/>
        <v/>
      </c>
      <c r="AE1433" s="70" t="str">
        <f t="shared" si="506"/>
        <v/>
      </c>
      <c r="AF1433" s="16"/>
      <c r="AG1433" s="23"/>
      <c r="AH1433" s="22"/>
      <c r="AJ1433" s="83">
        <f t="shared" si="507"/>
        <v>0</v>
      </c>
      <c r="AO1433" s="22" t="str">
        <f t="shared" si="508"/>
        <v/>
      </c>
      <c r="AP1433" s="22" t="str">
        <f t="shared" si="509"/>
        <v/>
      </c>
    </row>
    <row r="1434" spans="1:42" x14ac:dyDescent="0.25">
      <c r="A1434" s="10"/>
      <c r="B1434" s="10"/>
      <c r="C1434" s="10"/>
      <c r="D1434" s="10"/>
      <c r="E1434" s="10"/>
      <c r="F1434" s="10"/>
      <c r="G1434" s="10"/>
      <c r="H1434" s="17"/>
      <c r="I1434" s="10"/>
      <c r="J1434" s="10"/>
      <c r="K1434" s="16" t="str">
        <f t="shared" si="488"/>
        <v/>
      </c>
      <c r="L1434" s="23" t="str">
        <f t="shared" si="489"/>
        <v/>
      </c>
      <c r="M1434" s="22" t="str">
        <f t="shared" si="490"/>
        <v/>
      </c>
      <c r="N1434" s="72"/>
      <c r="O1434" s="16" t="str">
        <f t="shared" si="491"/>
        <v/>
      </c>
      <c r="P1434" s="16" t="str">
        <f t="shared" si="492"/>
        <v/>
      </c>
      <c r="Q1434" s="16" t="str">
        <f t="shared" si="493"/>
        <v/>
      </c>
      <c r="R1434" s="23" t="str">
        <f t="shared" si="494"/>
        <v/>
      </c>
      <c r="S1434" s="23" t="str">
        <f t="shared" si="495"/>
        <v/>
      </c>
      <c r="T1434" s="23" t="str">
        <f t="shared" si="496"/>
        <v/>
      </c>
      <c r="U1434" s="23" t="str">
        <f t="shared" si="497"/>
        <v/>
      </c>
      <c r="V1434" s="23" t="str">
        <f t="shared" si="498"/>
        <v/>
      </c>
      <c r="W1434" s="70" t="str">
        <f t="shared" si="499"/>
        <v/>
      </c>
      <c r="X1434" s="70" t="str">
        <f t="shared" si="500"/>
        <v/>
      </c>
      <c r="Y1434" s="70" t="str">
        <f>IF(AND($A1434&lt;&gt;"",$E1434&gt;0),isLaptopBag($C1434,$J1434)*$D1434,"")</f>
        <v/>
      </c>
      <c r="Z1434" s="70" t="str">
        <f t="shared" si="501"/>
        <v/>
      </c>
      <c r="AA1434" s="70" t="str">
        <f t="shared" si="502"/>
        <v/>
      </c>
      <c r="AB1434" s="70" t="str">
        <f t="shared" si="503"/>
        <v/>
      </c>
      <c r="AC1434" s="70" t="str">
        <f t="shared" si="504"/>
        <v/>
      </c>
      <c r="AD1434" s="70" t="str">
        <f t="shared" si="505"/>
        <v/>
      </c>
      <c r="AE1434" s="70" t="str">
        <f t="shared" si="506"/>
        <v/>
      </c>
      <c r="AF1434" s="16"/>
      <c r="AG1434" s="23"/>
      <c r="AH1434" s="22"/>
      <c r="AJ1434" s="83">
        <f t="shared" si="507"/>
        <v>0</v>
      </c>
      <c r="AO1434" s="22" t="str">
        <f t="shared" si="508"/>
        <v/>
      </c>
      <c r="AP1434" s="22" t="str">
        <f t="shared" si="509"/>
        <v/>
      </c>
    </row>
    <row r="1435" spans="1:42" x14ac:dyDescent="0.25">
      <c r="A1435" s="10"/>
      <c r="B1435" s="10"/>
      <c r="C1435" s="10"/>
      <c r="D1435" s="10"/>
      <c r="E1435" s="10"/>
      <c r="F1435" s="10"/>
      <c r="G1435" s="10"/>
      <c r="H1435" s="17"/>
      <c r="I1435" s="10"/>
      <c r="J1435" s="10"/>
      <c r="K1435" s="16" t="str">
        <f t="shared" si="488"/>
        <v/>
      </c>
      <c r="L1435" s="23" t="str">
        <f t="shared" si="489"/>
        <v/>
      </c>
      <c r="M1435" s="22" t="str">
        <f t="shared" si="490"/>
        <v/>
      </c>
      <c r="N1435" s="72"/>
      <c r="O1435" s="16" t="str">
        <f t="shared" si="491"/>
        <v/>
      </c>
      <c r="P1435" s="16" t="str">
        <f t="shared" si="492"/>
        <v/>
      </c>
      <c r="Q1435" s="16" t="str">
        <f t="shared" si="493"/>
        <v/>
      </c>
      <c r="R1435" s="23" t="str">
        <f t="shared" si="494"/>
        <v/>
      </c>
      <c r="S1435" s="23" t="str">
        <f t="shared" si="495"/>
        <v/>
      </c>
      <c r="T1435" s="23" t="str">
        <f t="shared" si="496"/>
        <v/>
      </c>
      <c r="U1435" s="23" t="str">
        <f t="shared" si="497"/>
        <v/>
      </c>
      <c r="V1435" s="23" t="str">
        <f t="shared" si="498"/>
        <v/>
      </c>
      <c r="W1435" s="70" t="str">
        <f t="shared" si="499"/>
        <v/>
      </c>
      <c r="X1435" s="70" t="str">
        <f t="shared" si="500"/>
        <v/>
      </c>
      <c r="Y1435" s="70" t="str">
        <f>IF(AND($A1435&lt;&gt;"",$E1435&gt;0),isLaptopBag($C1435,$J1435)*$D1435,"")</f>
        <v/>
      </c>
      <c r="Z1435" s="70" t="str">
        <f t="shared" si="501"/>
        <v/>
      </c>
      <c r="AA1435" s="70" t="str">
        <f t="shared" si="502"/>
        <v/>
      </c>
      <c r="AB1435" s="70" t="str">
        <f t="shared" si="503"/>
        <v/>
      </c>
      <c r="AC1435" s="70" t="str">
        <f t="shared" si="504"/>
        <v/>
      </c>
      <c r="AD1435" s="70" t="str">
        <f t="shared" si="505"/>
        <v/>
      </c>
      <c r="AE1435" s="70" t="str">
        <f t="shared" si="506"/>
        <v/>
      </c>
      <c r="AF1435" s="16"/>
      <c r="AG1435" s="23"/>
      <c r="AH1435" s="22"/>
      <c r="AJ1435" s="83">
        <f t="shared" si="507"/>
        <v>0</v>
      </c>
      <c r="AO1435" s="22" t="str">
        <f t="shared" si="508"/>
        <v/>
      </c>
      <c r="AP1435" s="22" t="str">
        <f t="shared" si="509"/>
        <v/>
      </c>
    </row>
    <row r="1436" spans="1:42" x14ac:dyDescent="0.25">
      <c r="A1436" s="10"/>
      <c r="B1436" s="10"/>
      <c r="C1436" s="10"/>
      <c r="D1436" s="10"/>
      <c r="E1436" s="10"/>
      <c r="F1436" s="10"/>
      <c r="G1436" s="10"/>
      <c r="H1436" s="17"/>
      <c r="I1436" s="10"/>
      <c r="J1436" s="10"/>
      <c r="K1436" s="16" t="str">
        <f t="shared" si="488"/>
        <v/>
      </c>
      <c r="L1436" s="23" t="str">
        <f t="shared" si="489"/>
        <v/>
      </c>
      <c r="M1436" s="22" t="str">
        <f t="shared" si="490"/>
        <v/>
      </c>
      <c r="N1436" s="72"/>
      <c r="O1436" s="16" t="str">
        <f t="shared" si="491"/>
        <v/>
      </c>
      <c r="P1436" s="16" t="str">
        <f t="shared" si="492"/>
        <v/>
      </c>
      <c r="Q1436" s="16" t="str">
        <f t="shared" si="493"/>
        <v/>
      </c>
      <c r="R1436" s="23" t="str">
        <f t="shared" si="494"/>
        <v/>
      </c>
      <c r="S1436" s="23" t="str">
        <f t="shared" si="495"/>
        <v/>
      </c>
      <c r="T1436" s="23" t="str">
        <f t="shared" si="496"/>
        <v/>
      </c>
      <c r="U1436" s="23" t="str">
        <f t="shared" si="497"/>
        <v/>
      </c>
      <c r="V1436" s="23" t="str">
        <f t="shared" si="498"/>
        <v/>
      </c>
      <c r="W1436" s="70" t="str">
        <f t="shared" si="499"/>
        <v/>
      </c>
      <c r="X1436" s="70" t="str">
        <f t="shared" si="500"/>
        <v/>
      </c>
      <c r="Y1436" s="70" t="str">
        <f>IF(AND($A1436&lt;&gt;"",$E1436&gt;0),isLaptopBag($C1436,$J1436)*$D1436,"")</f>
        <v/>
      </c>
      <c r="Z1436" s="70" t="str">
        <f t="shared" si="501"/>
        <v/>
      </c>
      <c r="AA1436" s="70" t="str">
        <f t="shared" si="502"/>
        <v/>
      </c>
      <c r="AB1436" s="70" t="str">
        <f t="shared" si="503"/>
        <v/>
      </c>
      <c r="AC1436" s="70" t="str">
        <f t="shared" si="504"/>
        <v/>
      </c>
      <c r="AD1436" s="70" t="str">
        <f t="shared" si="505"/>
        <v/>
      </c>
      <c r="AE1436" s="70" t="str">
        <f t="shared" si="506"/>
        <v/>
      </c>
      <c r="AF1436" s="16"/>
      <c r="AG1436" s="23"/>
      <c r="AH1436" s="22"/>
      <c r="AJ1436" s="83">
        <f t="shared" si="507"/>
        <v>0</v>
      </c>
      <c r="AO1436" s="22" t="str">
        <f t="shared" si="508"/>
        <v/>
      </c>
      <c r="AP1436" s="22" t="str">
        <f t="shared" si="509"/>
        <v/>
      </c>
    </row>
    <row r="1437" spans="1:42" x14ac:dyDescent="0.25">
      <c r="A1437" s="10"/>
      <c r="B1437" s="10"/>
      <c r="C1437" s="10"/>
      <c r="D1437" s="10"/>
      <c r="E1437" s="10"/>
      <c r="F1437" s="10"/>
      <c r="G1437" s="10"/>
      <c r="H1437" s="17"/>
      <c r="I1437" s="10"/>
      <c r="J1437" s="10"/>
      <c r="K1437" s="16" t="str">
        <f t="shared" si="488"/>
        <v/>
      </c>
      <c r="L1437" s="23" t="str">
        <f t="shared" si="489"/>
        <v/>
      </c>
      <c r="M1437" s="22" t="str">
        <f t="shared" si="490"/>
        <v/>
      </c>
      <c r="N1437" s="72"/>
      <c r="O1437" s="16" t="str">
        <f t="shared" si="491"/>
        <v/>
      </c>
      <c r="P1437" s="16" t="str">
        <f t="shared" si="492"/>
        <v/>
      </c>
      <c r="Q1437" s="16" t="str">
        <f t="shared" si="493"/>
        <v/>
      </c>
      <c r="R1437" s="23" t="str">
        <f t="shared" si="494"/>
        <v/>
      </c>
      <c r="S1437" s="23" t="str">
        <f t="shared" si="495"/>
        <v/>
      </c>
      <c r="T1437" s="23" t="str">
        <f t="shared" si="496"/>
        <v/>
      </c>
      <c r="U1437" s="23" t="str">
        <f t="shared" si="497"/>
        <v/>
      </c>
      <c r="V1437" s="23" t="str">
        <f t="shared" si="498"/>
        <v/>
      </c>
      <c r="W1437" s="70" t="str">
        <f t="shared" si="499"/>
        <v/>
      </c>
      <c r="X1437" s="70" t="str">
        <f t="shared" si="500"/>
        <v/>
      </c>
      <c r="Y1437" s="70" t="str">
        <f>IF(AND($A1437&lt;&gt;"",$E1437&gt;0),isLaptopBag($C1437,$J1437)*$D1437,"")</f>
        <v/>
      </c>
      <c r="Z1437" s="70" t="str">
        <f t="shared" si="501"/>
        <v/>
      </c>
      <c r="AA1437" s="70" t="str">
        <f t="shared" si="502"/>
        <v/>
      </c>
      <c r="AB1437" s="70" t="str">
        <f t="shared" si="503"/>
        <v/>
      </c>
      <c r="AC1437" s="70" t="str">
        <f t="shared" si="504"/>
        <v/>
      </c>
      <c r="AD1437" s="70" t="str">
        <f t="shared" si="505"/>
        <v/>
      </c>
      <c r="AE1437" s="70" t="str">
        <f t="shared" si="506"/>
        <v/>
      </c>
      <c r="AF1437" s="16"/>
      <c r="AG1437" s="23"/>
      <c r="AH1437" s="22"/>
      <c r="AJ1437" s="83">
        <f t="shared" si="507"/>
        <v>0</v>
      </c>
      <c r="AO1437" s="22" t="str">
        <f t="shared" si="508"/>
        <v/>
      </c>
      <c r="AP1437" s="22" t="str">
        <f t="shared" si="509"/>
        <v/>
      </c>
    </row>
    <row r="1438" spans="1:42" x14ac:dyDescent="0.25">
      <c r="A1438" s="10"/>
      <c r="B1438" s="10"/>
      <c r="C1438" s="10"/>
      <c r="D1438" s="10"/>
      <c r="E1438" s="10"/>
      <c r="F1438" s="10"/>
      <c r="G1438" s="10"/>
      <c r="H1438" s="17"/>
      <c r="I1438" s="10"/>
      <c r="J1438" s="10"/>
      <c r="K1438" s="16" t="str">
        <f t="shared" si="488"/>
        <v/>
      </c>
      <c r="L1438" s="23" t="str">
        <f t="shared" si="489"/>
        <v/>
      </c>
      <c r="M1438" s="22" t="str">
        <f t="shared" si="490"/>
        <v/>
      </c>
      <c r="N1438" s="72"/>
      <c r="O1438" s="16" t="str">
        <f t="shared" si="491"/>
        <v/>
      </c>
      <c r="P1438" s="16" t="str">
        <f t="shared" si="492"/>
        <v/>
      </c>
      <c r="Q1438" s="16" t="str">
        <f t="shared" si="493"/>
        <v/>
      </c>
      <c r="R1438" s="23" t="str">
        <f t="shared" si="494"/>
        <v/>
      </c>
      <c r="S1438" s="23" t="str">
        <f t="shared" si="495"/>
        <v/>
      </c>
      <c r="T1438" s="23" t="str">
        <f t="shared" si="496"/>
        <v/>
      </c>
      <c r="U1438" s="23" t="str">
        <f t="shared" si="497"/>
        <v/>
      </c>
      <c r="V1438" s="23" t="str">
        <f t="shared" si="498"/>
        <v/>
      </c>
      <c r="W1438" s="70" t="str">
        <f t="shared" si="499"/>
        <v/>
      </c>
      <c r="X1438" s="70" t="str">
        <f t="shared" si="500"/>
        <v/>
      </c>
      <c r="Y1438" s="70" t="str">
        <f>IF(AND($A1438&lt;&gt;"",$E1438&gt;0),isLaptopBag($C1438,$J1438)*$D1438,"")</f>
        <v/>
      </c>
      <c r="Z1438" s="70" t="str">
        <f t="shared" si="501"/>
        <v/>
      </c>
      <c r="AA1438" s="70" t="str">
        <f t="shared" si="502"/>
        <v/>
      </c>
      <c r="AB1438" s="70" t="str">
        <f t="shared" si="503"/>
        <v/>
      </c>
      <c r="AC1438" s="70" t="str">
        <f t="shared" si="504"/>
        <v/>
      </c>
      <c r="AD1438" s="70" t="str">
        <f t="shared" si="505"/>
        <v/>
      </c>
      <c r="AE1438" s="70" t="str">
        <f t="shared" si="506"/>
        <v/>
      </c>
      <c r="AF1438" s="16"/>
      <c r="AG1438" s="23"/>
      <c r="AH1438" s="22"/>
      <c r="AJ1438" s="83">
        <f t="shared" si="507"/>
        <v>0</v>
      </c>
      <c r="AO1438" s="22" t="str">
        <f t="shared" si="508"/>
        <v/>
      </c>
      <c r="AP1438" s="22" t="str">
        <f t="shared" si="509"/>
        <v/>
      </c>
    </row>
    <row r="1439" spans="1:42" x14ac:dyDescent="0.25">
      <c r="A1439" s="10"/>
      <c r="B1439" s="10"/>
      <c r="C1439" s="10"/>
      <c r="D1439" s="10"/>
      <c r="E1439" s="10"/>
      <c r="F1439" s="10"/>
      <c r="G1439" s="10"/>
      <c r="H1439" s="17"/>
      <c r="I1439" s="10"/>
      <c r="J1439" s="10"/>
      <c r="K1439" s="16" t="str">
        <f t="shared" si="488"/>
        <v/>
      </c>
      <c r="L1439" s="23" t="str">
        <f t="shared" si="489"/>
        <v/>
      </c>
      <c r="M1439" s="22" t="str">
        <f t="shared" si="490"/>
        <v/>
      </c>
      <c r="N1439" s="72"/>
      <c r="O1439" s="16" t="str">
        <f t="shared" si="491"/>
        <v/>
      </c>
      <c r="P1439" s="16" t="str">
        <f t="shared" si="492"/>
        <v/>
      </c>
      <c r="Q1439" s="16" t="str">
        <f t="shared" si="493"/>
        <v/>
      </c>
      <c r="R1439" s="23" t="str">
        <f t="shared" si="494"/>
        <v/>
      </c>
      <c r="S1439" s="23" t="str">
        <f t="shared" si="495"/>
        <v/>
      </c>
      <c r="T1439" s="23" t="str">
        <f t="shared" si="496"/>
        <v/>
      </c>
      <c r="U1439" s="23" t="str">
        <f t="shared" si="497"/>
        <v/>
      </c>
      <c r="V1439" s="23" t="str">
        <f t="shared" si="498"/>
        <v/>
      </c>
      <c r="W1439" s="70" t="str">
        <f t="shared" si="499"/>
        <v/>
      </c>
      <c r="X1439" s="70" t="str">
        <f t="shared" si="500"/>
        <v/>
      </c>
      <c r="Y1439" s="70" t="str">
        <f>IF(AND($A1439&lt;&gt;"",$E1439&gt;0),isLaptopBag($C1439,$J1439)*$D1439,"")</f>
        <v/>
      </c>
      <c r="Z1439" s="70" t="str">
        <f t="shared" si="501"/>
        <v/>
      </c>
      <c r="AA1439" s="70" t="str">
        <f t="shared" si="502"/>
        <v/>
      </c>
      <c r="AB1439" s="70" t="str">
        <f t="shared" si="503"/>
        <v/>
      </c>
      <c r="AC1439" s="70" t="str">
        <f t="shared" si="504"/>
        <v/>
      </c>
      <c r="AD1439" s="70" t="str">
        <f t="shared" si="505"/>
        <v/>
      </c>
      <c r="AE1439" s="70" t="str">
        <f t="shared" si="506"/>
        <v/>
      </c>
      <c r="AF1439" s="16"/>
      <c r="AG1439" s="23"/>
      <c r="AH1439" s="22"/>
      <c r="AJ1439" s="83">
        <f t="shared" si="507"/>
        <v>0</v>
      </c>
      <c r="AO1439" s="22" t="str">
        <f t="shared" si="508"/>
        <v/>
      </c>
      <c r="AP1439" s="22" t="str">
        <f t="shared" si="509"/>
        <v/>
      </c>
    </row>
    <row r="1440" spans="1:42" x14ac:dyDescent="0.25">
      <c r="A1440" s="10"/>
      <c r="B1440" s="10"/>
      <c r="C1440" s="10"/>
      <c r="D1440" s="10"/>
      <c r="E1440" s="10"/>
      <c r="F1440" s="10"/>
      <c r="G1440" s="10"/>
      <c r="H1440" s="17"/>
      <c r="I1440" s="10"/>
      <c r="J1440" s="10"/>
      <c r="K1440" s="16" t="str">
        <f t="shared" si="488"/>
        <v/>
      </c>
      <c r="L1440" s="23" t="str">
        <f t="shared" si="489"/>
        <v/>
      </c>
      <c r="M1440" s="22" t="str">
        <f t="shared" si="490"/>
        <v/>
      </c>
      <c r="N1440" s="72"/>
      <c r="O1440" s="16" t="str">
        <f t="shared" si="491"/>
        <v/>
      </c>
      <c r="P1440" s="16" t="str">
        <f t="shared" si="492"/>
        <v/>
      </c>
      <c r="Q1440" s="16" t="str">
        <f t="shared" si="493"/>
        <v/>
      </c>
      <c r="R1440" s="23" t="str">
        <f t="shared" si="494"/>
        <v/>
      </c>
      <c r="S1440" s="23" t="str">
        <f t="shared" si="495"/>
        <v/>
      </c>
      <c r="T1440" s="23" t="str">
        <f t="shared" si="496"/>
        <v/>
      </c>
      <c r="U1440" s="23" t="str">
        <f t="shared" si="497"/>
        <v/>
      </c>
      <c r="V1440" s="23" t="str">
        <f t="shared" si="498"/>
        <v/>
      </c>
      <c r="W1440" s="70" t="str">
        <f t="shared" si="499"/>
        <v/>
      </c>
      <c r="X1440" s="70" t="str">
        <f t="shared" si="500"/>
        <v/>
      </c>
      <c r="Y1440" s="70" t="str">
        <f>IF(AND($A1440&lt;&gt;"",$E1440&gt;0),isLaptopBag($C1440,$J1440)*$D1440,"")</f>
        <v/>
      </c>
      <c r="Z1440" s="70" t="str">
        <f t="shared" si="501"/>
        <v/>
      </c>
      <c r="AA1440" s="70" t="str">
        <f t="shared" si="502"/>
        <v/>
      </c>
      <c r="AB1440" s="70" t="str">
        <f t="shared" si="503"/>
        <v/>
      </c>
      <c r="AC1440" s="70" t="str">
        <f t="shared" si="504"/>
        <v/>
      </c>
      <c r="AD1440" s="70" t="str">
        <f t="shared" si="505"/>
        <v/>
      </c>
      <c r="AE1440" s="70" t="str">
        <f t="shared" si="506"/>
        <v/>
      </c>
      <c r="AF1440" s="16"/>
      <c r="AG1440" s="23"/>
      <c r="AH1440" s="22"/>
      <c r="AJ1440" s="83">
        <f t="shared" si="507"/>
        <v>0</v>
      </c>
      <c r="AO1440" s="22" t="str">
        <f t="shared" si="508"/>
        <v/>
      </c>
      <c r="AP1440" s="22" t="str">
        <f t="shared" si="509"/>
        <v/>
      </c>
    </row>
    <row r="1441" spans="1:42" x14ac:dyDescent="0.25">
      <c r="A1441" s="10"/>
      <c r="B1441" s="10"/>
      <c r="C1441" s="10"/>
      <c r="D1441" s="10"/>
      <c r="E1441" s="10"/>
      <c r="F1441" s="10"/>
      <c r="G1441" s="10"/>
      <c r="H1441" s="17"/>
      <c r="I1441" s="10"/>
      <c r="J1441" s="10"/>
      <c r="K1441" s="16" t="str">
        <f t="shared" si="488"/>
        <v/>
      </c>
      <c r="L1441" s="23" t="str">
        <f t="shared" si="489"/>
        <v/>
      </c>
      <c r="M1441" s="22" t="str">
        <f t="shared" si="490"/>
        <v/>
      </c>
      <c r="N1441" s="72"/>
      <c r="O1441" s="16" t="str">
        <f t="shared" si="491"/>
        <v/>
      </c>
      <c r="P1441" s="16" t="str">
        <f t="shared" si="492"/>
        <v/>
      </c>
      <c r="Q1441" s="16" t="str">
        <f t="shared" si="493"/>
        <v/>
      </c>
      <c r="R1441" s="23" t="str">
        <f t="shared" si="494"/>
        <v/>
      </c>
      <c r="S1441" s="23" t="str">
        <f t="shared" si="495"/>
        <v/>
      </c>
      <c r="T1441" s="23" t="str">
        <f t="shared" si="496"/>
        <v/>
      </c>
      <c r="U1441" s="23" t="str">
        <f t="shared" si="497"/>
        <v/>
      </c>
      <c r="V1441" s="23" t="str">
        <f t="shared" si="498"/>
        <v/>
      </c>
      <c r="W1441" s="70" t="str">
        <f t="shared" si="499"/>
        <v/>
      </c>
      <c r="X1441" s="70" t="str">
        <f t="shared" si="500"/>
        <v/>
      </c>
      <c r="Y1441" s="70" t="str">
        <f>IF(AND($A1441&lt;&gt;"",$E1441&gt;0),isLaptopBag($C1441,$J1441)*$D1441,"")</f>
        <v/>
      </c>
      <c r="Z1441" s="70" t="str">
        <f t="shared" si="501"/>
        <v/>
      </c>
      <c r="AA1441" s="70" t="str">
        <f t="shared" si="502"/>
        <v/>
      </c>
      <c r="AB1441" s="70" t="str">
        <f t="shared" si="503"/>
        <v/>
      </c>
      <c r="AC1441" s="70" t="str">
        <f t="shared" si="504"/>
        <v/>
      </c>
      <c r="AD1441" s="70" t="str">
        <f t="shared" si="505"/>
        <v/>
      </c>
      <c r="AE1441" s="70" t="str">
        <f t="shared" si="506"/>
        <v/>
      </c>
      <c r="AF1441" s="16"/>
      <c r="AG1441" s="23"/>
      <c r="AH1441" s="22"/>
      <c r="AJ1441" s="83">
        <f t="shared" si="507"/>
        <v>0</v>
      </c>
      <c r="AO1441" s="22" t="str">
        <f t="shared" si="508"/>
        <v/>
      </c>
      <c r="AP1441" s="22" t="str">
        <f t="shared" si="509"/>
        <v/>
      </c>
    </row>
    <row r="1442" spans="1:42" x14ac:dyDescent="0.25">
      <c r="A1442" s="10"/>
      <c r="B1442" s="10"/>
      <c r="C1442" s="10"/>
      <c r="D1442" s="10"/>
      <c r="E1442" s="10"/>
      <c r="F1442" s="10"/>
      <c r="G1442" s="10"/>
      <c r="H1442" s="17"/>
      <c r="I1442" s="10"/>
      <c r="J1442" s="10"/>
      <c r="K1442" s="16" t="str">
        <f t="shared" si="488"/>
        <v/>
      </c>
      <c r="L1442" s="23" t="str">
        <f t="shared" si="489"/>
        <v/>
      </c>
      <c r="M1442" s="22" t="str">
        <f t="shared" si="490"/>
        <v/>
      </c>
      <c r="N1442" s="72"/>
      <c r="O1442" s="16" t="str">
        <f t="shared" si="491"/>
        <v/>
      </c>
      <c r="P1442" s="16" t="str">
        <f t="shared" si="492"/>
        <v/>
      </c>
      <c r="Q1442" s="16" t="str">
        <f t="shared" si="493"/>
        <v/>
      </c>
      <c r="R1442" s="23" t="str">
        <f t="shared" si="494"/>
        <v/>
      </c>
      <c r="S1442" s="23" t="str">
        <f t="shared" si="495"/>
        <v/>
      </c>
      <c r="T1442" s="23" t="str">
        <f t="shared" si="496"/>
        <v/>
      </c>
      <c r="U1442" s="23" t="str">
        <f t="shared" si="497"/>
        <v/>
      </c>
      <c r="V1442" s="23" t="str">
        <f t="shared" si="498"/>
        <v/>
      </c>
      <c r="W1442" s="70" t="str">
        <f t="shared" si="499"/>
        <v/>
      </c>
      <c r="X1442" s="70" t="str">
        <f t="shared" si="500"/>
        <v/>
      </c>
      <c r="Y1442" s="70" t="str">
        <f>IF(AND($A1442&lt;&gt;"",$E1442&gt;0),isLaptopBag($C1442,$J1442)*$D1442,"")</f>
        <v/>
      </c>
      <c r="Z1442" s="70" t="str">
        <f t="shared" si="501"/>
        <v/>
      </c>
      <c r="AA1442" s="70" t="str">
        <f t="shared" si="502"/>
        <v/>
      </c>
      <c r="AB1442" s="70" t="str">
        <f t="shared" si="503"/>
        <v/>
      </c>
      <c r="AC1442" s="70" t="str">
        <f t="shared" si="504"/>
        <v/>
      </c>
      <c r="AD1442" s="70" t="str">
        <f t="shared" si="505"/>
        <v/>
      </c>
      <c r="AE1442" s="70" t="str">
        <f t="shared" si="506"/>
        <v/>
      </c>
      <c r="AF1442" s="16"/>
      <c r="AG1442" s="23"/>
      <c r="AH1442" s="22"/>
      <c r="AJ1442" s="83">
        <f t="shared" si="507"/>
        <v>0</v>
      </c>
      <c r="AO1442" s="22" t="str">
        <f t="shared" si="508"/>
        <v/>
      </c>
      <c r="AP1442" s="22" t="str">
        <f t="shared" si="509"/>
        <v/>
      </c>
    </row>
    <row r="1443" spans="1:42" x14ac:dyDescent="0.25">
      <c r="A1443" s="10"/>
      <c r="B1443" s="10"/>
      <c r="C1443" s="10"/>
      <c r="D1443" s="10"/>
      <c r="E1443" s="10"/>
      <c r="F1443" s="10"/>
      <c r="G1443" s="10"/>
      <c r="H1443" s="17"/>
      <c r="I1443" s="10"/>
      <c r="J1443" s="10"/>
      <c r="K1443" s="16" t="str">
        <f t="shared" si="488"/>
        <v/>
      </c>
      <c r="L1443" s="23" t="str">
        <f t="shared" si="489"/>
        <v/>
      </c>
      <c r="M1443" s="22" t="str">
        <f t="shared" si="490"/>
        <v/>
      </c>
      <c r="N1443" s="72"/>
      <c r="O1443" s="16" t="str">
        <f t="shared" si="491"/>
        <v/>
      </c>
      <c r="P1443" s="16" t="str">
        <f t="shared" si="492"/>
        <v/>
      </c>
      <c r="Q1443" s="16" t="str">
        <f t="shared" si="493"/>
        <v/>
      </c>
      <c r="R1443" s="23" t="str">
        <f t="shared" si="494"/>
        <v/>
      </c>
      <c r="S1443" s="23" t="str">
        <f t="shared" si="495"/>
        <v/>
      </c>
      <c r="T1443" s="23" t="str">
        <f t="shared" si="496"/>
        <v/>
      </c>
      <c r="U1443" s="23" t="str">
        <f t="shared" si="497"/>
        <v/>
      </c>
      <c r="V1443" s="23" t="str">
        <f t="shared" si="498"/>
        <v/>
      </c>
      <c r="W1443" s="70" t="str">
        <f t="shared" si="499"/>
        <v/>
      </c>
      <c r="X1443" s="70" t="str">
        <f t="shared" si="500"/>
        <v/>
      </c>
      <c r="Y1443" s="70" t="str">
        <f>IF(AND($A1443&lt;&gt;"",$E1443&gt;0),isLaptopBag($C1443,$J1443)*$D1443,"")</f>
        <v/>
      </c>
      <c r="Z1443" s="70" t="str">
        <f t="shared" si="501"/>
        <v/>
      </c>
      <c r="AA1443" s="70" t="str">
        <f t="shared" si="502"/>
        <v/>
      </c>
      <c r="AB1443" s="70" t="str">
        <f t="shared" si="503"/>
        <v/>
      </c>
      <c r="AC1443" s="70" t="str">
        <f t="shared" si="504"/>
        <v/>
      </c>
      <c r="AD1443" s="70" t="str">
        <f t="shared" si="505"/>
        <v/>
      </c>
      <c r="AE1443" s="70" t="str">
        <f t="shared" si="506"/>
        <v/>
      </c>
      <c r="AF1443" s="16"/>
      <c r="AG1443" s="23"/>
      <c r="AH1443" s="22"/>
      <c r="AJ1443" s="83">
        <f t="shared" si="507"/>
        <v>0</v>
      </c>
      <c r="AO1443" s="22" t="str">
        <f t="shared" si="508"/>
        <v/>
      </c>
      <c r="AP1443" s="22" t="str">
        <f t="shared" si="509"/>
        <v/>
      </c>
    </row>
    <row r="1444" spans="1:42" x14ac:dyDescent="0.25">
      <c r="A1444" s="10"/>
      <c r="B1444" s="10"/>
      <c r="C1444" s="10"/>
      <c r="D1444" s="10"/>
      <c r="E1444" s="10"/>
      <c r="F1444" s="10"/>
      <c r="G1444" s="10"/>
      <c r="H1444" s="17"/>
      <c r="I1444" s="10"/>
      <c r="J1444" s="10"/>
      <c r="K1444" s="16" t="str">
        <f t="shared" si="488"/>
        <v/>
      </c>
      <c r="L1444" s="23" t="str">
        <f t="shared" si="489"/>
        <v/>
      </c>
      <c r="M1444" s="22" t="str">
        <f t="shared" si="490"/>
        <v/>
      </c>
      <c r="N1444" s="72"/>
      <c r="O1444" s="16" t="str">
        <f t="shared" si="491"/>
        <v/>
      </c>
      <c r="P1444" s="16" t="str">
        <f t="shared" si="492"/>
        <v/>
      </c>
      <c r="Q1444" s="16" t="str">
        <f t="shared" si="493"/>
        <v/>
      </c>
      <c r="R1444" s="23" t="str">
        <f t="shared" si="494"/>
        <v/>
      </c>
      <c r="S1444" s="23" t="str">
        <f t="shared" si="495"/>
        <v/>
      </c>
      <c r="T1444" s="23" t="str">
        <f t="shared" si="496"/>
        <v/>
      </c>
      <c r="U1444" s="23" t="str">
        <f t="shared" si="497"/>
        <v/>
      </c>
      <c r="V1444" s="23" t="str">
        <f t="shared" si="498"/>
        <v/>
      </c>
      <c r="W1444" s="70" t="str">
        <f t="shared" si="499"/>
        <v/>
      </c>
      <c r="X1444" s="70" t="str">
        <f t="shared" si="500"/>
        <v/>
      </c>
      <c r="Y1444" s="70" t="str">
        <f>IF(AND($A1444&lt;&gt;"",$E1444&gt;0),isLaptopBag($C1444,$J1444)*$D1444,"")</f>
        <v/>
      </c>
      <c r="Z1444" s="70" t="str">
        <f t="shared" si="501"/>
        <v/>
      </c>
      <c r="AA1444" s="70" t="str">
        <f t="shared" si="502"/>
        <v/>
      </c>
      <c r="AB1444" s="70" t="str">
        <f t="shared" si="503"/>
        <v/>
      </c>
      <c r="AC1444" s="70" t="str">
        <f t="shared" si="504"/>
        <v/>
      </c>
      <c r="AD1444" s="70" t="str">
        <f t="shared" si="505"/>
        <v/>
      </c>
      <c r="AE1444" s="70" t="str">
        <f t="shared" si="506"/>
        <v/>
      </c>
      <c r="AF1444" s="16"/>
      <c r="AG1444" s="23"/>
      <c r="AH1444" s="22"/>
      <c r="AJ1444" s="83">
        <f t="shared" si="507"/>
        <v>0</v>
      </c>
      <c r="AO1444" s="22" t="str">
        <f t="shared" si="508"/>
        <v/>
      </c>
      <c r="AP1444" s="22" t="str">
        <f t="shared" si="509"/>
        <v/>
      </c>
    </row>
    <row r="1445" spans="1:42" x14ac:dyDescent="0.25">
      <c r="A1445" s="10"/>
      <c r="B1445" s="10"/>
      <c r="C1445" s="10"/>
      <c r="D1445" s="10"/>
      <c r="E1445" s="10"/>
      <c r="F1445" s="10"/>
      <c r="G1445" s="10"/>
      <c r="H1445" s="17"/>
      <c r="I1445" s="10"/>
      <c r="J1445" s="10"/>
      <c r="K1445" s="16" t="str">
        <f t="shared" si="488"/>
        <v/>
      </c>
      <c r="L1445" s="23" t="str">
        <f t="shared" si="489"/>
        <v/>
      </c>
      <c r="M1445" s="22" t="str">
        <f t="shared" si="490"/>
        <v/>
      </c>
      <c r="N1445" s="72"/>
      <c r="O1445" s="16" t="str">
        <f t="shared" si="491"/>
        <v/>
      </c>
      <c r="P1445" s="16" t="str">
        <f t="shared" si="492"/>
        <v/>
      </c>
      <c r="Q1445" s="16" t="str">
        <f t="shared" si="493"/>
        <v/>
      </c>
      <c r="R1445" s="23" t="str">
        <f t="shared" si="494"/>
        <v/>
      </c>
      <c r="S1445" s="23" t="str">
        <f t="shared" si="495"/>
        <v/>
      </c>
      <c r="T1445" s="23" t="str">
        <f t="shared" si="496"/>
        <v/>
      </c>
      <c r="U1445" s="23" t="str">
        <f t="shared" si="497"/>
        <v/>
      </c>
      <c r="V1445" s="23" t="str">
        <f t="shared" si="498"/>
        <v/>
      </c>
      <c r="W1445" s="70" t="str">
        <f t="shared" si="499"/>
        <v/>
      </c>
      <c r="X1445" s="70" t="str">
        <f t="shared" si="500"/>
        <v/>
      </c>
      <c r="Y1445" s="70" t="str">
        <f>IF(AND($A1445&lt;&gt;"",$E1445&gt;0),isLaptopBag($C1445,$J1445)*$D1445,"")</f>
        <v/>
      </c>
      <c r="Z1445" s="70" t="str">
        <f t="shared" si="501"/>
        <v/>
      </c>
      <c r="AA1445" s="70" t="str">
        <f t="shared" si="502"/>
        <v/>
      </c>
      <c r="AB1445" s="70" t="str">
        <f t="shared" si="503"/>
        <v/>
      </c>
      <c r="AC1445" s="70" t="str">
        <f t="shared" si="504"/>
        <v/>
      </c>
      <c r="AD1445" s="70" t="str">
        <f t="shared" si="505"/>
        <v/>
      </c>
      <c r="AE1445" s="70" t="str">
        <f t="shared" si="506"/>
        <v/>
      </c>
      <c r="AF1445" s="16"/>
      <c r="AG1445" s="23"/>
      <c r="AH1445" s="22"/>
      <c r="AJ1445" s="83">
        <f t="shared" si="507"/>
        <v>0</v>
      </c>
      <c r="AO1445" s="22" t="str">
        <f t="shared" si="508"/>
        <v/>
      </c>
      <c r="AP1445" s="22" t="str">
        <f t="shared" si="509"/>
        <v/>
      </c>
    </row>
    <row r="1446" spans="1:42" x14ac:dyDescent="0.25">
      <c r="A1446" s="10"/>
      <c r="B1446" s="10"/>
      <c r="C1446" s="10"/>
      <c r="D1446" s="10"/>
      <c r="E1446" s="10"/>
      <c r="F1446" s="10"/>
      <c r="G1446" s="10"/>
      <c r="H1446" s="17"/>
      <c r="I1446" s="10"/>
      <c r="J1446" s="10"/>
      <c r="K1446" s="16" t="str">
        <f t="shared" si="488"/>
        <v/>
      </c>
      <c r="L1446" s="23" t="str">
        <f t="shared" si="489"/>
        <v/>
      </c>
      <c r="M1446" s="22" t="str">
        <f t="shared" si="490"/>
        <v/>
      </c>
      <c r="N1446" s="72"/>
      <c r="O1446" s="16" t="str">
        <f t="shared" si="491"/>
        <v/>
      </c>
      <c r="P1446" s="16" t="str">
        <f t="shared" si="492"/>
        <v/>
      </c>
      <c r="Q1446" s="16" t="str">
        <f t="shared" si="493"/>
        <v/>
      </c>
      <c r="R1446" s="23" t="str">
        <f t="shared" si="494"/>
        <v/>
      </c>
      <c r="S1446" s="23" t="str">
        <f t="shared" si="495"/>
        <v/>
      </c>
      <c r="T1446" s="23" t="str">
        <f t="shared" si="496"/>
        <v/>
      </c>
      <c r="U1446" s="23" t="str">
        <f t="shared" si="497"/>
        <v/>
      </c>
      <c r="V1446" s="23" t="str">
        <f t="shared" si="498"/>
        <v/>
      </c>
      <c r="W1446" s="70" t="str">
        <f t="shared" si="499"/>
        <v/>
      </c>
      <c r="X1446" s="70" t="str">
        <f t="shared" si="500"/>
        <v/>
      </c>
      <c r="Y1446" s="70" t="str">
        <f>IF(AND($A1446&lt;&gt;"",$E1446&gt;0),isLaptopBag($C1446,$J1446)*$D1446,"")</f>
        <v/>
      </c>
      <c r="Z1446" s="70" t="str">
        <f t="shared" si="501"/>
        <v/>
      </c>
      <c r="AA1446" s="70" t="str">
        <f t="shared" si="502"/>
        <v/>
      </c>
      <c r="AB1446" s="70" t="str">
        <f t="shared" si="503"/>
        <v/>
      </c>
      <c r="AC1446" s="70" t="str">
        <f t="shared" si="504"/>
        <v/>
      </c>
      <c r="AD1446" s="70" t="str">
        <f t="shared" si="505"/>
        <v/>
      </c>
      <c r="AE1446" s="70" t="str">
        <f t="shared" si="506"/>
        <v/>
      </c>
      <c r="AF1446" s="16"/>
      <c r="AG1446" s="23"/>
      <c r="AH1446" s="22"/>
      <c r="AJ1446" s="83">
        <f t="shared" si="507"/>
        <v>0</v>
      </c>
      <c r="AO1446" s="22" t="str">
        <f t="shared" si="508"/>
        <v/>
      </c>
      <c r="AP1446" s="22" t="str">
        <f t="shared" si="509"/>
        <v/>
      </c>
    </row>
    <row r="1447" spans="1:42" x14ac:dyDescent="0.25">
      <c r="A1447" s="10"/>
      <c r="B1447" s="10"/>
      <c r="C1447" s="10"/>
      <c r="D1447" s="10"/>
      <c r="E1447" s="10"/>
      <c r="F1447" s="10"/>
      <c r="G1447" s="10"/>
      <c r="H1447" s="17"/>
      <c r="I1447" s="10"/>
      <c r="J1447" s="10"/>
      <c r="K1447" s="16" t="str">
        <f t="shared" si="488"/>
        <v/>
      </c>
      <c r="L1447" s="23" t="str">
        <f t="shared" si="489"/>
        <v/>
      </c>
      <c r="M1447" s="22" t="str">
        <f t="shared" si="490"/>
        <v/>
      </c>
      <c r="N1447" s="72"/>
      <c r="O1447" s="16" t="str">
        <f t="shared" si="491"/>
        <v/>
      </c>
      <c r="P1447" s="16" t="str">
        <f t="shared" si="492"/>
        <v/>
      </c>
      <c r="Q1447" s="16" t="str">
        <f t="shared" si="493"/>
        <v/>
      </c>
      <c r="R1447" s="23" t="str">
        <f t="shared" si="494"/>
        <v/>
      </c>
      <c r="S1447" s="23" t="str">
        <f t="shared" si="495"/>
        <v/>
      </c>
      <c r="T1447" s="23" t="str">
        <f t="shared" si="496"/>
        <v/>
      </c>
      <c r="U1447" s="23" t="str">
        <f t="shared" si="497"/>
        <v/>
      </c>
      <c r="V1447" s="23" t="str">
        <f t="shared" si="498"/>
        <v/>
      </c>
      <c r="W1447" s="70" t="str">
        <f t="shared" si="499"/>
        <v/>
      </c>
      <c r="X1447" s="70" t="str">
        <f t="shared" si="500"/>
        <v/>
      </c>
      <c r="Y1447" s="70" t="str">
        <f>IF(AND($A1447&lt;&gt;"",$E1447&gt;0),isLaptopBag($C1447,$J1447)*$D1447,"")</f>
        <v/>
      </c>
      <c r="Z1447" s="70" t="str">
        <f t="shared" si="501"/>
        <v/>
      </c>
      <c r="AA1447" s="70" t="str">
        <f t="shared" si="502"/>
        <v/>
      </c>
      <c r="AB1447" s="70" t="str">
        <f t="shared" si="503"/>
        <v/>
      </c>
      <c r="AC1447" s="70" t="str">
        <f t="shared" si="504"/>
        <v/>
      </c>
      <c r="AD1447" s="70" t="str">
        <f t="shared" si="505"/>
        <v/>
      </c>
      <c r="AE1447" s="70" t="str">
        <f t="shared" si="506"/>
        <v/>
      </c>
      <c r="AF1447" s="16"/>
      <c r="AG1447" s="23"/>
      <c r="AH1447" s="22"/>
      <c r="AJ1447" s="83">
        <f t="shared" si="507"/>
        <v>0</v>
      </c>
      <c r="AO1447" s="22" t="str">
        <f t="shared" si="508"/>
        <v/>
      </c>
      <c r="AP1447" s="22" t="str">
        <f t="shared" si="509"/>
        <v/>
      </c>
    </row>
    <row r="1448" spans="1:42" x14ac:dyDescent="0.25">
      <c r="A1448" s="10"/>
      <c r="B1448" s="10"/>
      <c r="C1448" s="10"/>
      <c r="D1448" s="10"/>
      <c r="E1448" s="10"/>
      <c r="F1448" s="10"/>
      <c r="G1448" s="10"/>
      <c r="H1448" s="17"/>
      <c r="I1448" s="10"/>
      <c r="J1448" s="10"/>
      <c r="K1448" s="16" t="str">
        <f t="shared" si="488"/>
        <v/>
      </c>
      <c r="L1448" s="23" t="str">
        <f t="shared" si="489"/>
        <v/>
      </c>
      <c r="M1448" s="22" t="str">
        <f t="shared" si="490"/>
        <v/>
      </c>
      <c r="N1448" s="72"/>
      <c r="O1448" s="16" t="str">
        <f t="shared" si="491"/>
        <v/>
      </c>
      <c r="P1448" s="16" t="str">
        <f t="shared" si="492"/>
        <v/>
      </c>
      <c r="Q1448" s="16" t="str">
        <f t="shared" si="493"/>
        <v/>
      </c>
      <c r="R1448" s="23" t="str">
        <f t="shared" si="494"/>
        <v/>
      </c>
      <c r="S1448" s="23" t="str">
        <f t="shared" si="495"/>
        <v/>
      </c>
      <c r="T1448" s="23" t="str">
        <f t="shared" si="496"/>
        <v/>
      </c>
      <c r="U1448" s="23" t="str">
        <f t="shared" si="497"/>
        <v/>
      </c>
      <c r="V1448" s="23" t="str">
        <f t="shared" si="498"/>
        <v/>
      </c>
      <c r="W1448" s="70" t="str">
        <f t="shared" si="499"/>
        <v/>
      </c>
      <c r="X1448" s="70" t="str">
        <f t="shared" si="500"/>
        <v/>
      </c>
      <c r="Y1448" s="70" t="str">
        <f>IF(AND($A1448&lt;&gt;"",$E1448&gt;0),isLaptopBag($C1448,$J1448)*$D1448,"")</f>
        <v/>
      </c>
      <c r="Z1448" s="70" t="str">
        <f t="shared" si="501"/>
        <v/>
      </c>
      <c r="AA1448" s="70" t="str">
        <f t="shared" si="502"/>
        <v/>
      </c>
      <c r="AB1448" s="70" t="str">
        <f t="shared" si="503"/>
        <v/>
      </c>
      <c r="AC1448" s="70" t="str">
        <f t="shared" si="504"/>
        <v/>
      </c>
      <c r="AD1448" s="70" t="str">
        <f t="shared" si="505"/>
        <v/>
      </c>
      <c r="AE1448" s="70" t="str">
        <f t="shared" si="506"/>
        <v/>
      </c>
      <c r="AF1448" s="16"/>
      <c r="AG1448" s="23"/>
      <c r="AH1448" s="22"/>
      <c r="AJ1448" s="83">
        <f t="shared" si="507"/>
        <v>0</v>
      </c>
      <c r="AO1448" s="22" t="str">
        <f t="shared" si="508"/>
        <v/>
      </c>
      <c r="AP1448" s="22" t="str">
        <f t="shared" si="509"/>
        <v/>
      </c>
    </row>
    <row r="1449" spans="1:42" x14ac:dyDescent="0.25">
      <c r="A1449" s="10"/>
      <c r="B1449" s="10"/>
      <c r="C1449" s="10"/>
      <c r="D1449" s="10"/>
      <c r="E1449" s="10"/>
      <c r="F1449" s="10"/>
      <c r="G1449" s="10"/>
      <c r="H1449" s="17"/>
      <c r="I1449" s="10"/>
      <c r="J1449" s="10"/>
      <c r="K1449" s="16" t="str">
        <f t="shared" si="488"/>
        <v/>
      </c>
      <c r="L1449" s="23" t="str">
        <f t="shared" si="489"/>
        <v/>
      </c>
      <c r="M1449" s="22" t="str">
        <f t="shared" si="490"/>
        <v/>
      </c>
      <c r="N1449" s="72"/>
      <c r="O1449" s="16" t="str">
        <f t="shared" si="491"/>
        <v/>
      </c>
      <c r="P1449" s="16" t="str">
        <f t="shared" si="492"/>
        <v/>
      </c>
      <c r="Q1449" s="16" t="str">
        <f t="shared" si="493"/>
        <v/>
      </c>
      <c r="R1449" s="23" t="str">
        <f t="shared" si="494"/>
        <v/>
      </c>
      <c r="S1449" s="23" t="str">
        <f t="shared" si="495"/>
        <v/>
      </c>
      <c r="T1449" s="23" t="str">
        <f t="shared" si="496"/>
        <v/>
      </c>
      <c r="U1449" s="23" t="str">
        <f t="shared" si="497"/>
        <v/>
      </c>
      <c r="V1449" s="23" t="str">
        <f t="shared" si="498"/>
        <v/>
      </c>
      <c r="W1449" s="70" t="str">
        <f t="shared" si="499"/>
        <v/>
      </c>
      <c r="X1449" s="70" t="str">
        <f t="shared" si="500"/>
        <v/>
      </c>
      <c r="Y1449" s="70" t="str">
        <f>IF(AND($A1449&lt;&gt;"",$E1449&gt;0),isLaptopBag($C1449,$J1449)*$D1449,"")</f>
        <v/>
      </c>
      <c r="Z1449" s="70" t="str">
        <f t="shared" si="501"/>
        <v/>
      </c>
      <c r="AA1449" s="70" t="str">
        <f t="shared" si="502"/>
        <v/>
      </c>
      <c r="AB1449" s="70" t="str">
        <f t="shared" si="503"/>
        <v/>
      </c>
      <c r="AC1449" s="70" t="str">
        <f t="shared" si="504"/>
        <v/>
      </c>
      <c r="AD1449" s="70" t="str">
        <f t="shared" si="505"/>
        <v/>
      </c>
      <c r="AE1449" s="70" t="str">
        <f t="shared" si="506"/>
        <v/>
      </c>
      <c r="AF1449" s="16"/>
      <c r="AG1449" s="23"/>
      <c r="AH1449" s="22"/>
      <c r="AJ1449" s="83">
        <f t="shared" si="507"/>
        <v>0</v>
      </c>
      <c r="AO1449" s="22" t="str">
        <f t="shared" si="508"/>
        <v/>
      </c>
      <c r="AP1449" s="22" t="str">
        <f t="shared" si="509"/>
        <v/>
      </c>
    </row>
    <row r="1450" spans="1:42" x14ac:dyDescent="0.25">
      <c r="A1450" s="10"/>
      <c r="B1450" s="10"/>
      <c r="C1450" s="10"/>
      <c r="D1450" s="10"/>
      <c r="E1450" s="10"/>
      <c r="F1450" s="10"/>
      <c r="G1450" s="10"/>
      <c r="H1450" s="17"/>
      <c r="I1450" s="10"/>
      <c r="J1450" s="10"/>
      <c r="K1450" s="16" t="str">
        <f t="shared" si="488"/>
        <v/>
      </c>
      <c r="L1450" s="23" t="str">
        <f t="shared" si="489"/>
        <v/>
      </c>
      <c r="M1450" s="22" t="str">
        <f t="shared" si="490"/>
        <v/>
      </c>
      <c r="N1450" s="72"/>
      <c r="O1450" s="16" t="str">
        <f t="shared" si="491"/>
        <v/>
      </c>
      <c r="P1450" s="16" t="str">
        <f t="shared" si="492"/>
        <v/>
      </c>
      <c r="Q1450" s="16" t="str">
        <f t="shared" si="493"/>
        <v/>
      </c>
      <c r="R1450" s="23" t="str">
        <f t="shared" si="494"/>
        <v/>
      </c>
      <c r="S1450" s="23" t="str">
        <f t="shared" si="495"/>
        <v/>
      </c>
      <c r="T1450" s="23" t="str">
        <f t="shared" si="496"/>
        <v/>
      </c>
      <c r="U1450" s="23" t="str">
        <f t="shared" si="497"/>
        <v/>
      </c>
      <c r="V1450" s="23" t="str">
        <f t="shared" si="498"/>
        <v/>
      </c>
      <c r="W1450" s="70" t="str">
        <f t="shared" si="499"/>
        <v/>
      </c>
      <c r="X1450" s="70" t="str">
        <f t="shared" si="500"/>
        <v/>
      </c>
      <c r="Y1450" s="70" t="str">
        <f>IF(AND($A1450&lt;&gt;"",$E1450&gt;0),isLaptopBag($C1450,$J1450)*$D1450,"")</f>
        <v/>
      </c>
      <c r="Z1450" s="70" t="str">
        <f t="shared" si="501"/>
        <v/>
      </c>
      <c r="AA1450" s="70" t="str">
        <f t="shared" si="502"/>
        <v/>
      </c>
      <c r="AB1450" s="70" t="str">
        <f t="shared" si="503"/>
        <v/>
      </c>
      <c r="AC1450" s="70" t="str">
        <f t="shared" si="504"/>
        <v/>
      </c>
      <c r="AD1450" s="70" t="str">
        <f t="shared" si="505"/>
        <v/>
      </c>
      <c r="AE1450" s="70" t="str">
        <f t="shared" si="506"/>
        <v/>
      </c>
      <c r="AF1450" s="16"/>
      <c r="AG1450" s="23"/>
      <c r="AH1450" s="22"/>
      <c r="AJ1450" s="83">
        <f t="shared" si="507"/>
        <v>0</v>
      </c>
      <c r="AO1450" s="22" t="str">
        <f t="shared" si="508"/>
        <v/>
      </c>
      <c r="AP1450" s="22" t="str">
        <f t="shared" si="509"/>
        <v/>
      </c>
    </row>
    <row r="1451" spans="1:42" x14ac:dyDescent="0.25">
      <c r="A1451" s="10"/>
      <c r="B1451" s="10"/>
      <c r="C1451" s="10"/>
      <c r="D1451" s="10"/>
      <c r="E1451" s="10"/>
      <c r="F1451" s="10"/>
      <c r="G1451" s="10"/>
      <c r="H1451" s="17"/>
      <c r="I1451" s="10"/>
      <c r="J1451" s="10"/>
      <c r="K1451" s="16" t="str">
        <f t="shared" si="488"/>
        <v/>
      </c>
      <c r="L1451" s="23" t="str">
        <f t="shared" si="489"/>
        <v/>
      </c>
      <c r="M1451" s="22" t="str">
        <f t="shared" si="490"/>
        <v/>
      </c>
      <c r="N1451" s="72"/>
      <c r="O1451" s="16" t="str">
        <f t="shared" si="491"/>
        <v/>
      </c>
      <c r="P1451" s="16" t="str">
        <f t="shared" si="492"/>
        <v/>
      </c>
      <c r="Q1451" s="16" t="str">
        <f t="shared" si="493"/>
        <v/>
      </c>
      <c r="R1451" s="23" t="str">
        <f t="shared" si="494"/>
        <v/>
      </c>
      <c r="S1451" s="23" t="str">
        <f t="shared" si="495"/>
        <v/>
      </c>
      <c r="T1451" s="23" t="str">
        <f t="shared" si="496"/>
        <v/>
      </c>
      <c r="U1451" s="23" t="str">
        <f t="shared" si="497"/>
        <v/>
      </c>
      <c r="V1451" s="23" t="str">
        <f t="shared" si="498"/>
        <v/>
      </c>
      <c r="W1451" s="70" t="str">
        <f t="shared" si="499"/>
        <v/>
      </c>
      <c r="X1451" s="70" t="str">
        <f t="shared" si="500"/>
        <v/>
      </c>
      <c r="Y1451" s="70" t="str">
        <f>IF(AND($A1451&lt;&gt;"",$E1451&gt;0),isLaptopBag($C1451,$J1451)*$D1451,"")</f>
        <v/>
      </c>
      <c r="Z1451" s="70" t="str">
        <f t="shared" si="501"/>
        <v/>
      </c>
      <c r="AA1451" s="70" t="str">
        <f t="shared" si="502"/>
        <v/>
      </c>
      <c r="AB1451" s="70" t="str">
        <f t="shared" si="503"/>
        <v/>
      </c>
      <c r="AC1451" s="70" t="str">
        <f t="shared" si="504"/>
        <v/>
      </c>
      <c r="AD1451" s="70" t="str">
        <f t="shared" si="505"/>
        <v/>
      </c>
      <c r="AE1451" s="70" t="str">
        <f t="shared" si="506"/>
        <v/>
      </c>
      <c r="AF1451" s="16"/>
      <c r="AG1451" s="23"/>
      <c r="AH1451" s="22"/>
      <c r="AJ1451" s="83">
        <f t="shared" si="507"/>
        <v>0</v>
      </c>
      <c r="AO1451" s="22" t="str">
        <f t="shared" si="508"/>
        <v/>
      </c>
      <c r="AP1451" s="22" t="str">
        <f t="shared" si="509"/>
        <v/>
      </c>
    </row>
    <row r="1452" spans="1:42" x14ac:dyDescent="0.25">
      <c r="A1452" s="10"/>
      <c r="B1452" s="10"/>
      <c r="C1452" s="10"/>
      <c r="D1452" s="10"/>
      <c r="E1452" s="10"/>
      <c r="F1452" s="10"/>
      <c r="G1452" s="10"/>
      <c r="H1452" s="17"/>
      <c r="I1452" s="10"/>
      <c r="J1452" s="10"/>
      <c r="K1452" s="16" t="str">
        <f t="shared" si="488"/>
        <v/>
      </c>
      <c r="L1452" s="23" t="str">
        <f t="shared" si="489"/>
        <v/>
      </c>
      <c r="M1452" s="22" t="str">
        <f t="shared" si="490"/>
        <v/>
      </c>
      <c r="N1452" s="72"/>
      <c r="O1452" s="16" t="str">
        <f t="shared" si="491"/>
        <v/>
      </c>
      <c r="P1452" s="16" t="str">
        <f t="shared" si="492"/>
        <v/>
      </c>
      <c r="Q1452" s="16" t="str">
        <f t="shared" si="493"/>
        <v/>
      </c>
      <c r="R1452" s="23" t="str">
        <f t="shared" si="494"/>
        <v/>
      </c>
      <c r="S1452" s="23" t="str">
        <f t="shared" si="495"/>
        <v/>
      </c>
      <c r="T1452" s="23" t="str">
        <f t="shared" si="496"/>
        <v/>
      </c>
      <c r="U1452" s="23" t="str">
        <f t="shared" si="497"/>
        <v/>
      </c>
      <c r="V1452" s="23" t="str">
        <f t="shared" si="498"/>
        <v/>
      </c>
      <c r="W1452" s="70" t="str">
        <f t="shared" si="499"/>
        <v/>
      </c>
      <c r="X1452" s="70" t="str">
        <f t="shared" si="500"/>
        <v/>
      </c>
      <c r="Y1452" s="70" t="str">
        <f>IF(AND($A1452&lt;&gt;"",$E1452&gt;0),isLaptopBag($C1452,$J1452)*$D1452,"")</f>
        <v/>
      </c>
      <c r="Z1452" s="70" t="str">
        <f t="shared" si="501"/>
        <v/>
      </c>
      <c r="AA1452" s="70" t="str">
        <f t="shared" si="502"/>
        <v/>
      </c>
      <c r="AB1452" s="70" t="str">
        <f t="shared" si="503"/>
        <v/>
      </c>
      <c r="AC1452" s="70" t="str">
        <f t="shared" si="504"/>
        <v/>
      </c>
      <c r="AD1452" s="70" t="str">
        <f t="shared" si="505"/>
        <v/>
      </c>
      <c r="AE1452" s="70" t="str">
        <f t="shared" si="506"/>
        <v/>
      </c>
      <c r="AF1452" s="16"/>
      <c r="AG1452" s="23"/>
      <c r="AH1452" s="22"/>
      <c r="AJ1452" s="83">
        <f t="shared" si="507"/>
        <v>0</v>
      </c>
      <c r="AO1452" s="22" t="str">
        <f t="shared" si="508"/>
        <v/>
      </c>
      <c r="AP1452" s="22" t="str">
        <f t="shared" si="509"/>
        <v/>
      </c>
    </row>
    <row r="1453" spans="1:42" x14ac:dyDescent="0.25">
      <c r="A1453" s="10"/>
      <c r="B1453" s="10"/>
      <c r="C1453" s="10"/>
      <c r="D1453" s="10"/>
      <c r="E1453" s="10"/>
      <c r="F1453" s="10"/>
      <c r="G1453" s="10"/>
      <c r="H1453" s="17"/>
      <c r="I1453" s="10"/>
      <c r="J1453" s="10"/>
      <c r="K1453" s="16" t="str">
        <f t="shared" si="488"/>
        <v/>
      </c>
      <c r="L1453" s="23" t="str">
        <f t="shared" si="489"/>
        <v/>
      </c>
      <c r="M1453" s="22" t="str">
        <f t="shared" si="490"/>
        <v/>
      </c>
      <c r="N1453" s="72"/>
      <c r="O1453" s="16" t="str">
        <f t="shared" si="491"/>
        <v/>
      </c>
      <c r="P1453" s="16" t="str">
        <f t="shared" si="492"/>
        <v/>
      </c>
      <c r="Q1453" s="16" t="str">
        <f t="shared" si="493"/>
        <v/>
      </c>
      <c r="R1453" s="23" t="str">
        <f t="shared" si="494"/>
        <v/>
      </c>
      <c r="S1453" s="23" t="str">
        <f t="shared" si="495"/>
        <v/>
      </c>
      <c r="T1453" s="23" t="str">
        <f t="shared" si="496"/>
        <v/>
      </c>
      <c r="U1453" s="23" t="str">
        <f t="shared" si="497"/>
        <v/>
      </c>
      <c r="V1453" s="23" t="str">
        <f t="shared" si="498"/>
        <v/>
      </c>
      <c r="W1453" s="70" t="str">
        <f t="shared" si="499"/>
        <v/>
      </c>
      <c r="X1453" s="70" t="str">
        <f t="shared" si="500"/>
        <v/>
      </c>
      <c r="Y1453" s="70" t="str">
        <f>IF(AND($A1453&lt;&gt;"",$E1453&gt;0),isLaptopBag($C1453,$J1453)*$D1453,"")</f>
        <v/>
      </c>
      <c r="Z1453" s="70" t="str">
        <f t="shared" si="501"/>
        <v/>
      </c>
      <c r="AA1453" s="70" t="str">
        <f t="shared" si="502"/>
        <v/>
      </c>
      <c r="AB1453" s="70" t="str">
        <f t="shared" si="503"/>
        <v/>
      </c>
      <c r="AC1453" s="70" t="str">
        <f t="shared" si="504"/>
        <v/>
      </c>
      <c r="AD1453" s="70" t="str">
        <f t="shared" si="505"/>
        <v/>
      </c>
      <c r="AE1453" s="70" t="str">
        <f t="shared" si="506"/>
        <v/>
      </c>
      <c r="AF1453" s="16"/>
      <c r="AG1453" s="23"/>
      <c r="AH1453" s="22"/>
      <c r="AJ1453" s="83">
        <f t="shared" si="507"/>
        <v>0</v>
      </c>
      <c r="AO1453" s="22" t="str">
        <f t="shared" si="508"/>
        <v/>
      </c>
      <c r="AP1453" s="22" t="str">
        <f t="shared" si="509"/>
        <v/>
      </c>
    </row>
    <row r="1454" spans="1:42" x14ac:dyDescent="0.25">
      <c r="A1454" s="10"/>
      <c r="B1454" s="10"/>
      <c r="C1454" s="10"/>
      <c r="D1454" s="10"/>
      <c r="E1454" s="10"/>
      <c r="F1454" s="10"/>
      <c r="G1454" s="10"/>
      <c r="H1454" s="17"/>
      <c r="I1454" s="10"/>
      <c r="J1454" s="10"/>
      <c r="K1454" s="16" t="str">
        <f t="shared" si="488"/>
        <v/>
      </c>
      <c r="L1454" s="23" t="str">
        <f t="shared" si="489"/>
        <v/>
      </c>
      <c r="M1454" s="22" t="str">
        <f t="shared" si="490"/>
        <v/>
      </c>
      <c r="N1454" s="72"/>
      <c r="O1454" s="16" t="str">
        <f t="shared" si="491"/>
        <v/>
      </c>
      <c r="P1454" s="16" t="str">
        <f t="shared" si="492"/>
        <v/>
      </c>
      <c r="Q1454" s="16" t="str">
        <f t="shared" si="493"/>
        <v/>
      </c>
      <c r="R1454" s="23" t="str">
        <f t="shared" si="494"/>
        <v/>
      </c>
      <c r="S1454" s="23" t="str">
        <f t="shared" si="495"/>
        <v/>
      </c>
      <c r="T1454" s="23" t="str">
        <f t="shared" si="496"/>
        <v/>
      </c>
      <c r="U1454" s="23" t="str">
        <f t="shared" si="497"/>
        <v/>
      </c>
      <c r="V1454" s="23" t="str">
        <f t="shared" si="498"/>
        <v/>
      </c>
      <c r="W1454" s="70" t="str">
        <f t="shared" si="499"/>
        <v/>
      </c>
      <c r="X1454" s="70" t="str">
        <f t="shared" si="500"/>
        <v/>
      </c>
      <c r="Y1454" s="70" t="str">
        <f>IF(AND($A1454&lt;&gt;"",$E1454&gt;0),isLaptopBag($C1454,$J1454)*$D1454,"")</f>
        <v/>
      </c>
      <c r="Z1454" s="70" t="str">
        <f t="shared" si="501"/>
        <v/>
      </c>
      <c r="AA1454" s="70" t="str">
        <f t="shared" si="502"/>
        <v/>
      </c>
      <c r="AB1454" s="70" t="str">
        <f t="shared" si="503"/>
        <v/>
      </c>
      <c r="AC1454" s="70" t="str">
        <f t="shared" si="504"/>
        <v/>
      </c>
      <c r="AD1454" s="70" t="str">
        <f t="shared" si="505"/>
        <v/>
      </c>
      <c r="AE1454" s="70" t="str">
        <f t="shared" si="506"/>
        <v/>
      </c>
      <c r="AF1454" s="16"/>
      <c r="AG1454" s="23"/>
      <c r="AH1454" s="22"/>
      <c r="AJ1454" s="83">
        <f t="shared" si="507"/>
        <v>0</v>
      </c>
      <c r="AO1454" s="22" t="str">
        <f t="shared" si="508"/>
        <v/>
      </c>
      <c r="AP1454" s="22" t="str">
        <f t="shared" si="509"/>
        <v/>
      </c>
    </row>
    <row r="1455" spans="1:42" x14ac:dyDescent="0.25">
      <c r="A1455" s="10"/>
      <c r="B1455" s="10"/>
      <c r="C1455" s="10"/>
      <c r="D1455" s="10"/>
      <c r="E1455" s="10"/>
      <c r="F1455" s="10"/>
      <c r="G1455" s="10"/>
      <c r="H1455" s="17"/>
      <c r="I1455" s="10"/>
      <c r="J1455" s="10"/>
      <c r="K1455" s="16" t="str">
        <f t="shared" si="488"/>
        <v/>
      </c>
      <c r="L1455" s="23" t="str">
        <f t="shared" si="489"/>
        <v/>
      </c>
      <c r="M1455" s="22" t="str">
        <f t="shared" si="490"/>
        <v/>
      </c>
      <c r="N1455" s="72"/>
      <c r="O1455" s="16" t="str">
        <f t="shared" si="491"/>
        <v/>
      </c>
      <c r="P1455" s="16" t="str">
        <f t="shared" si="492"/>
        <v/>
      </c>
      <c r="Q1455" s="16" t="str">
        <f t="shared" si="493"/>
        <v/>
      </c>
      <c r="R1455" s="23" t="str">
        <f t="shared" si="494"/>
        <v/>
      </c>
      <c r="S1455" s="23" t="str">
        <f t="shared" si="495"/>
        <v/>
      </c>
      <c r="T1455" s="23" t="str">
        <f t="shared" si="496"/>
        <v/>
      </c>
      <c r="U1455" s="23" t="str">
        <f t="shared" si="497"/>
        <v/>
      </c>
      <c r="V1455" s="23" t="str">
        <f t="shared" si="498"/>
        <v/>
      </c>
      <c r="W1455" s="70" t="str">
        <f t="shared" si="499"/>
        <v/>
      </c>
      <c r="X1455" s="70" t="str">
        <f t="shared" si="500"/>
        <v/>
      </c>
      <c r="Y1455" s="70" t="str">
        <f>IF(AND($A1455&lt;&gt;"",$E1455&gt;0),isLaptopBag($C1455,$J1455)*$D1455,"")</f>
        <v/>
      </c>
      <c r="Z1455" s="70" t="str">
        <f t="shared" si="501"/>
        <v/>
      </c>
      <c r="AA1455" s="70" t="str">
        <f t="shared" si="502"/>
        <v/>
      </c>
      <c r="AB1455" s="70" t="str">
        <f t="shared" si="503"/>
        <v/>
      </c>
      <c r="AC1455" s="70" t="str">
        <f t="shared" si="504"/>
        <v/>
      </c>
      <c r="AD1455" s="70" t="str">
        <f t="shared" si="505"/>
        <v/>
      </c>
      <c r="AE1455" s="70" t="str">
        <f t="shared" si="506"/>
        <v/>
      </c>
      <c r="AF1455" s="16"/>
      <c r="AG1455" s="23"/>
      <c r="AH1455" s="22"/>
      <c r="AJ1455" s="83">
        <f t="shared" si="507"/>
        <v>0</v>
      </c>
      <c r="AO1455" s="22" t="str">
        <f t="shared" si="508"/>
        <v/>
      </c>
      <c r="AP1455" s="22" t="str">
        <f t="shared" si="509"/>
        <v/>
      </c>
    </row>
    <row r="1456" spans="1:42" x14ac:dyDescent="0.25">
      <c r="A1456" s="10"/>
      <c r="B1456" s="10"/>
      <c r="C1456" s="10"/>
      <c r="D1456" s="10"/>
      <c r="E1456" s="10"/>
      <c r="F1456" s="10"/>
      <c r="G1456" s="10"/>
      <c r="H1456" s="17"/>
      <c r="I1456" s="10"/>
      <c r="J1456" s="10"/>
      <c r="K1456" s="16" t="str">
        <f t="shared" si="488"/>
        <v/>
      </c>
      <c r="L1456" s="23" t="str">
        <f t="shared" si="489"/>
        <v/>
      </c>
      <c r="M1456" s="22" t="str">
        <f t="shared" si="490"/>
        <v/>
      </c>
      <c r="N1456" s="72"/>
      <c r="O1456" s="16" t="str">
        <f t="shared" si="491"/>
        <v/>
      </c>
      <c r="P1456" s="16" t="str">
        <f t="shared" si="492"/>
        <v/>
      </c>
      <c r="Q1456" s="16" t="str">
        <f t="shared" si="493"/>
        <v/>
      </c>
      <c r="R1456" s="23" t="str">
        <f t="shared" si="494"/>
        <v/>
      </c>
      <c r="S1456" s="23" t="str">
        <f t="shared" si="495"/>
        <v/>
      </c>
      <c r="T1456" s="23" t="str">
        <f t="shared" si="496"/>
        <v/>
      </c>
      <c r="U1456" s="23" t="str">
        <f t="shared" si="497"/>
        <v/>
      </c>
      <c r="V1456" s="23" t="str">
        <f t="shared" si="498"/>
        <v/>
      </c>
      <c r="W1456" s="70" t="str">
        <f t="shared" si="499"/>
        <v/>
      </c>
      <c r="X1456" s="70" t="str">
        <f t="shared" si="500"/>
        <v/>
      </c>
      <c r="Y1456" s="70" t="str">
        <f>IF(AND($A1456&lt;&gt;"",$E1456&gt;0),isLaptopBag($C1456,$J1456)*$D1456,"")</f>
        <v/>
      </c>
      <c r="Z1456" s="70" t="str">
        <f t="shared" si="501"/>
        <v/>
      </c>
      <c r="AA1456" s="70" t="str">
        <f t="shared" si="502"/>
        <v/>
      </c>
      <c r="AB1456" s="70" t="str">
        <f t="shared" si="503"/>
        <v/>
      </c>
      <c r="AC1456" s="70" t="str">
        <f t="shared" si="504"/>
        <v/>
      </c>
      <c r="AD1456" s="70" t="str">
        <f t="shared" si="505"/>
        <v/>
      </c>
      <c r="AE1456" s="70" t="str">
        <f t="shared" si="506"/>
        <v/>
      </c>
      <c r="AF1456" s="16"/>
      <c r="AG1456" s="23"/>
      <c r="AH1456" s="22"/>
      <c r="AJ1456" s="83">
        <f t="shared" si="507"/>
        <v>0</v>
      </c>
      <c r="AO1456" s="22" t="str">
        <f t="shared" si="508"/>
        <v/>
      </c>
      <c r="AP1456" s="22" t="str">
        <f t="shared" si="509"/>
        <v/>
      </c>
    </row>
    <row r="1457" spans="1:42" x14ac:dyDescent="0.25">
      <c r="A1457" s="10"/>
      <c r="B1457" s="10"/>
      <c r="C1457" s="10"/>
      <c r="D1457" s="10"/>
      <c r="E1457" s="10"/>
      <c r="F1457" s="10"/>
      <c r="G1457" s="10"/>
      <c r="H1457" s="17"/>
      <c r="I1457" s="10"/>
      <c r="J1457" s="10"/>
      <c r="K1457" s="16" t="str">
        <f t="shared" si="488"/>
        <v/>
      </c>
      <c r="L1457" s="23" t="str">
        <f t="shared" si="489"/>
        <v/>
      </c>
      <c r="M1457" s="22" t="str">
        <f t="shared" si="490"/>
        <v/>
      </c>
      <c r="N1457" s="72"/>
      <c r="O1457" s="16" t="str">
        <f t="shared" si="491"/>
        <v/>
      </c>
      <c r="P1457" s="16" t="str">
        <f t="shared" si="492"/>
        <v/>
      </c>
      <c r="Q1457" s="16" t="str">
        <f t="shared" si="493"/>
        <v/>
      </c>
      <c r="R1457" s="23" t="str">
        <f t="shared" si="494"/>
        <v/>
      </c>
      <c r="S1457" s="23" t="str">
        <f t="shared" si="495"/>
        <v/>
      </c>
      <c r="T1457" s="23" t="str">
        <f t="shared" si="496"/>
        <v/>
      </c>
      <c r="U1457" s="23" t="str">
        <f t="shared" si="497"/>
        <v/>
      </c>
      <c r="V1457" s="23" t="str">
        <f t="shared" si="498"/>
        <v/>
      </c>
      <c r="W1457" s="70" t="str">
        <f t="shared" si="499"/>
        <v/>
      </c>
      <c r="X1457" s="70" t="str">
        <f t="shared" si="500"/>
        <v/>
      </c>
      <c r="Y1457" s="70" t="str">
        <f>IF(AND($A1457&lt;&gt;"",$E1457&gt;0),isLaptopBag($C1457,$J1457)*$D1457,"")</f>
        <v/>
      </c>
      <c r="Z1457" s="70" t="str">
        <f t="shared" si="501"/>
        <v/>
      </c>
      <c r="AA1457" s="70" t="str">
        <f t="shared" si="502"/>
        <v/>
      </c>
      <c r="AB1457" s="70" t="str">
        <f t="shared" si="503"/>
        <v/>
      </c>
      <c r="AC1457" s="70" t="str">
        <f t="shared" si="504"/>
        <v/>
      </c>
      <c r="AD1457" s="70" t="str">
        <f t="shared" si="505"/>
        <v/>
      </c>
      <c r="AE1457" s="70" t="str">
        <f t="shared" si="506"/>
        <v/>
      </c>
      <c r="AF1457" s="16"/>
      <c r="AG1457" s="23"/>
      <c r="AH1457" s="22"/>
      <c r="AJ1457" s="83">
        <f t="shared" si="507"/>
        <v>0</v>
      </c>
      <c r="AO1457" s="22" t="str">
        <f t="shared" si="508"/>
        <v/>
      </c>
      <c r="AP1457" s="22" t="str">
        <f t="shared" si="509"/>
        <v/>
      </c>
    </row>
    <row r="1458" spans="1:42" x14ac:dyDescent="0.25">
      <c r="A1458" s="10"/>
      <c r="B1458" s="10"/>
      <c r="C1458" s="10"/>
      <c r="D1458" s="10"/>
      <c r="E1458" s="10"/>
      <c r="F1458" s="10"/>
      <c r="G1458" s="10"/>
      <c r="H1458" s="17"/>
      <c r="I1458" s="10"/>
      <c r="J1458" s="10"/>
      <c r="K1458" s="16" t="str">
        <f t="shared" si="488"/>
        <v/>
      </c>
      <c r="L1458" s="23" t="str">
        <f t="shared" si="489"/>
        <v/>
      </c>
      <c r="M1458" s="22" t="str">
        <f t="shared" si="490"/>
        <v/>
      </c>
      <c r="N1458" s="72"/>
      <c r="O1458" s="16" t="str">
        <f t="shared" si="491"/>
        <v/>
      </c>
      <c r="P1458" s="16" t="str">
        <f t="shared" si="492"/>
        <v/>
      </c>
      <c r="Q1458" s="16" t="str">
        <f t="shared" si="493"/>
        <v/>
      </c>
      <c r="R1458" s="23" t="str">
        <f t="shared" si="494"/>
        <v/>
      </c>
      <c r="S1458" s="23" t="str">
        <f t="shared" si="495"/>
        <v/>
      </c>
      <c r="T1458" s="23" t="str">
        <f t="shared" si="496"/>
        <v/>
      </c>
      <c r="U1458" s="23" t="str">
        <f t="shared" si="497"/>
        <v/>
      </c>
      <c r="V1458" s="23" t="str">
        <f t="shared" si="498"/>
        <v/>
      </c>
      <c r="W1458" s="70" t="str">
        <f t="shared" si="499"/>
        <v/>
      </c>
      <c r="X1458" s="70" t="str">
        <f t="shared" si="500"/>
        <v/>
      </c>
      <c r="Y1458" s="70" t="str">
        <f>IF(AND($A1458&lt;&gt;"",$E1458&gt;0),isLaptopBag($C1458,$J1458)*$D1458,"")</f>
        <v/>
      </c>
      <c r="Z1458" s="70" t="str">
        <f t="shared" si="501"/>
        <v/>
      </c>
      <c r="AA1458" s="70" t="str">
        <f t="shared" si="502"/>
        <v/>
      </c>
      <c r="AB1458" s="70" t="str">
        <f t="shared" si="503"/>
        <v/>
      </c>
      <c r="AC1458" s="70" t="str">
        <f t="shared" si="504"/>
        <v/>
      </c>
      <c r="AD1458" s="70" t="str">
        <f t="shared" si="505"/>
        <v/>
      </c>
      <c r="AE1458" s="70" t="str">
        <f t="shared" si="506"/>
        <v/>
      </c>
      <c r="AF1458" s="16"/>
      <c r="AG1458" s="23"/>
      <c r="AH1458" s="22"/>
      <c r="AJ1458" s="83">
        <f t="shared" si="507"/>
        <v>0</v>
      </c>
      <c r="AO1458" s="22" t="str">
        <f t="shared" si="508"/>
        <v/>
      </c>
      <c r="AP1458" s="22" t="str">
        <f t="shared" si="509"/>
        <v/>
      </c>
    </row>
    <row r="1459" spans="1:42" x14ac:dyDescent="0.25">
      <c r="A1459" s="10"/>
      <c r="B1459" s="10"/>
      <c r="C1459" s="10"/>
      <c r="D1459" s="10"/>
      <c r="E1459" s="10"/>
      <c r="F1459" s="10"/>
      <c r="G1459" s="10"/>
      <c r="H1459" s="17"/>
      <c r="I1459" s="10"/>
      <c r="J1459" s="10"/>
      <c r="K1459" s="16" t="str">
        <f t="shared" si="488"/>
        <v/>
      </c>
      <c r="L1459" s="23" t="str">
        <f t="shared" si="489"/>
        <v/>
      </c>
      <c r="M1459" s="22" t="str">
        <f t="shared" si="490"/>
        <v/>
      </c>
      <c r="N1459" s="72"/>
      <c r="O1459" s="16" t="str">
        <f t="shared" si="491"/>
        <v/>
      </c>
      <c r="P1459" s="16" t="str">
        <f t="shared" si="492"/>
        <v/>
      </c>
      <c r="Q1459" s="16" t="str">
        <f t="shared" si="493"/>
        <v/>
      </c>
      <c r="R1459" s="23" t="str">
        <f t="shared" si="494"/>
        <v/>
      </c>
      <c r="S1459" s="23" t="str">
        <f t="shared" si="495"/>
        <v/>
      </c>
      <c r="T1459" s="23" t="str">
        <f t="shared" si="496"/>
        <v/>
      </c>
      <c r="U1459" s="23" t="str">
        <f t="shared" si="497"/>
        <v/>
      </c>
      <c r="V1459" s="23" t="str">
        <f t="shared" si="498"/>
        <v/>
      </c>
      <c r="W1459" s="70" t="str">
        <f t="shared" si="499"/>
        <v/>
      </c>
      <c r="X1459" s="70" t="str">
        <f t="shared" si="500"/>
        <v/>
      </c>
      <c r="Y1459" s="70" t="str">
        <f>IF(AND($A1459&lt;&gt;"",$E1459&gt;0),isLaptopBag($C1459,$J1459)*$D1459,"")</f>
        <v/>
      </c>
      <c r="Z1459" s="70" t="str">
        <f t="shared" si="501"/>
        <v/>
      </c>
      <c r="AA1459" s="70" t="str">
        <f t="shared" si="502"/>
        <v/>
      </c>
      <c r="AB1459" s="70" t="str">
        <f t="shared" si="503"/>
        <v/>
      </c>
      <c r="AC1459" s="70" t="str">
        <f t="shared" si="504"/>
        <v/>
      </c>
      <c r="AD1459" s="70" t="str">
        <f t="shared" si="505"/>
        <v/>
      </c>
      <c r="AE1459" s="70" t="str">
        <f t="shared" si="506"/>
        <v/>
      </c>
      <c r="AF1459" s="16"/>
      <c r="AG1459" s="23"/>
      <c r="AH1459" s="22"/>
      <c r="AJ1459" s="83">
        <f t="shared" si="507"/>
        <v>0</v>
      </c>
      <c r="AO1459" s="22" t="str">
        <f t="shared" si="508"/>
        <v/>
      </c>
      <c r="AP1459" s="22" t="str">
        <f t="shared" si="509"/>
        <v/>
      </c>
    </row>
    <row r="1460" spans="1:42" x14ac:dyDescent="0.25">
      <c r="A1460" s="10"/>
      <c r="B1460" s="10"/>
      <c r="C1460" s="10"/>
      <c r="D1460" s="10"/>
      <c r="E1460" s="10"/>
      <c r="F1460" s="10"/>
      <c r="G1460" s="10"/>
      <c r="H1460" s="17"/>
      <c r="I1460" s="10"/>
      <c r="J1460" s="10"/>
      <c r="K1460" s="16" t="str">
        <f t="shared" si="488"/>
        <v/>
      </c>
      <c r="L1460" s="23" t="str">
        <f t="shared" si="489"/>
        <v/>
      </c>
      <c r="M1460" s="22" t="str">
        <f t="shared" si="490"/>
        <v/>
      </c>
      <c r="N1460" s="72"/>
      <c r="O1460" s="16" t="str">
        <f t="shared" si="491"/>
        <v/>
      </c>
      <c r="P1460" s="16" t="str">
        <f t="shared" si="492"/>
        <v/>
      </c>
      <c r="Q1460" s="16" t="str">
        <f t="shared" si="493"/>
        <v/>
      </c>
      <c r="R1460" s="23" t="str">
        <f t="shared" si="494"/>
        <v/>
      </c>
      <c r="S1460" s="23" t="str">
        <f t="shared" si="495"/>
        <v/>
      </c>
      <c r="T1460" s="23" t="str">
        <f t="shared" si="496"/>
        <v/>
      </c>
      <c r="U1460" s="23" t="str">
        <f t="shared" si="497"/>
        <v/>
      </c>
      <c r="V1460" s="23" t="str">
        <f t="shared" si="498"/>
        <v/>
      </c>
      <c r="W1460" s="70" t="str">
        <f t="shared" si="499"/>
        <v/>
      </c>
      <c r="X1460" s="70" t="str">
        <f t="shared" si="500"/>
        <v/>
      </c>
      <c r="Y1460" s="70" t="str">
        <f>IF(AND($A1460&lt;&gt;"",$E1460&gt;0),isLaptopBag($C1460,$J1460)*$D1460,"")</f>
        <v/>
      </c>
      <c r="Z1460" s="70" t="str">
        <f t="shared" si="501"/>
        <v/>
      </c>
      <c r="AA1460" s="70" t="str">
        <f t="shared" si="502"/>
        <v/>
      </c>
      <c r="AB1460" s="70" t="str">
        <f t="shared" si="503"/>
        <v/>
      </c>
      <c r="AC1460" s="70" t="str">
        <f t="shared" si="504"/>
        <v/>
      </c>
      <c r="AD1460" s="70" t="str">
        <f t="shared" si="505"/>
        <v/>
      </c>
      <c r="AE1460" s="70" t="str">
        <f t="shared" si="506"/>
        <v/>
      </c>
      <c r="AF1460" s="16"/>
      <c r="AG1460" s="23"/>
      <c r="AH1460" s="22"/>
      <c r="AJ1460" s="83">
        <f t="shared" si="507"/>
        <v>0</v>
      </c>
      <c r="AO1460" s="22" t="str">
        <f t="shared" si="508"/>
        <v/>
      </c>
      <c r="AP1460" s="22" t="str">
        <f t="shared" si="509"/>
        <v/>
      </c>
    </row>
    <row r="1461" spans="1:42" x14ac:dyDescent="0.25">
      <c r="A1461" s="10"/>
      <c r="B1461" s="10"/>
      <c r="C1461" s="10"/>
      <c r="D1461" s="10"/>
      <c r="E1461" s="10"/>
      <c r="F1461" s="10"/>
      <c r="G1461" s="10"/>
      <c r="H1461" s="17"/>
      <c r="I1461" s="10"/>
      <c r="J1461" s="10"/>
      <c r="K1461" s="16" t="str">
        <f t="shared" si="488"/>
        <v/>
      </c>
      <c r="L1461" s="23" t="str">
        <f t="shared" si="489"/>
        <v/>
      </c>
      <c r="M1461" s="22" t="str">
        <f t="shared" si="490"/>
        <v/>
      </c>
      <c r="N1461" s="72"/>
      <c r="O1461" s="16" t="str">
        <f t="shared" si="491"/>
        <v/>
      </c>
      <c r="P1461" s="16" t="str">
        <f t="shared" si="492"/>
        <v/>
      </c>
      <c r="Q1461" s="16" t="str">
        <f t="shared" si="493"/>
        <v/>
      </c>
      <c r="R1461" s="23" t="str">
        <f t="shared" si="494"/>
        <v/>
      </c>
      <c r="S1461" s="23" t="str">
        <f t="shared" si="495"/>
        <v/>
      </c>
      <c r="T1461" s="23" t="str">
        <f t="shared" si="496"/>
        <v/>
      </c>
      <c r="U1461" s="23" t="str">
        <f t="shared" si="497"/>
        <v/>
      </c>
      <c r="V1461" s="23" t="str">
        <f t="shared" si="498"/>
        <v/>
      </c>
      <c r="W1461" s="70" t="str">
        <f t="shared" si="499"/>
        <v/>
      </c>
      <c r="X1461" s="70" t="str">
        <f t="shared" si="500"/>
        <v/>
      </c>
      <c r="Y1461" s="70" t="str">
        <f>IF(AND($A1461&lt;&gt;"",$E1461&gt;0),isLaptopBag($C1461,$J1461)*$D1461,"")</f>
        <v/>
      </c>
      <c r="Z1461" s="70" t="str">
        <f t="shared" si="501"/>
        <v/>
      </c>
      <c r="AA1461" s="70" t="str">
        <f t="shared" si="502"/>
        <v/>
      </c>
      <c r="AB1461" s="70" t="str">
        <f t="shared" si="503"/>
        <v/>
      </c>
      <c r="AC1461" s="70" t="str">
        <f t="shared" si="504"/>
        <v/>
      </c>
      <c r="AD1461" s="70" t="str">
        <f t="shared" si="505"/>
        <v/>
      </c>
      <c r="AE1461" s="70" t="str">
        <f t="shared" si="506"/>
        <v/>
      </c>
      <c r="AF1461" s="16"/>
      <c r="AG1461" s="23"/>
      <c r="AH1461" s="22"/>
      <c r="AJ1461" s="83">
        <f t="shared" si="507"/>
        <v>0</v>
      </c>
      <c r="AO1461" s="22" t="str">
        <f t="shared" si="508"/>
        <v/>
      </c>
      <c r="AP1461" s="22" t="str">
        <f t="shared" si="509"/>
        <v/>
      </c>
    </row>
    <row r="1462" spans="1:42" x14ac:dyDescent="0.25">
      <c r="A1462" s="10"/>
      <c r="B1462" s="10"/>
      <c r="C1462" s="10"/>
      <c r="D1462" s="10"/>
      <c r="E1462" s="10"/>
      <c r="F1462" s="10"/>
      <c r="G1462" s="10"/>
      <c r="H1462" s="17"/>
      <c r="I1462" s="10"/>
      <c r="J1462" s="10"/>
      <c r="K1462" s="16" t="str">
        <f t="shared" si="488"/>
        <v/>
      </c>
      <c r="L1462" s="23" t="str">
        <f t="shared" si="489"/>
        <v/>
      </c>
      <c r="M1462" s="22" t="str">
        <f t="shared" si="490"/>
        <v/>
      </c>
      <c r="N1462" s="72"/>
      <c r="O1462" s="16" t="str">
        <f t="shared" si="491"/>
        <v/>
      </c>
      <c r="P1462" s="16" t="str">
        <f t="shared" si="492"/>
        <v/>
      </c>
      <c r="Q1462" s="16" t="str">
        <f t="shared" si="493"/>
        <v/>
      </c>
      <c r="R1462" s="23" t="str">
        <f t="shared" si="494"/>
        <v/>
      </c>
      <c r="S1462" s="23" t="str">
        <f t="shared" si="495"/>
        <v/>
      </c>
      <c r="T1462" s="23" t="str">
        <f t="shared" si="496"/>
        <v/>
      </c>
      <c r="U1462" s="23" t="str">
        <f t="shared" si="497"/>
        <v/>
      </c>
      <c r="V1462" s="23" t="str">
        <f t="shared" si="498"/>
        <v/>
      </c>
      <c r="W1462" s="70" t="str">
        <f t="shared" si="499"/>
        <v/>
      </c>
      <c r="X1462" s="70" t="str">
        <f t="shared" si="500"/>
        <v/>
      </c>
      <c r="Y1462" s="70" t="str">
        <f>IF(AND($A1462&lt;&gt;"",$E1462&gt;0),isLaptopBag($C1462,$J1462)*$D1462,"")</f>
        <v/>
      </c>
      <c r="Z1462" s="70" t="str">
        <f t="shared" si="501"/>
        <v/>
      </c>
      <c r="AA1462" s="70" t="str">
        <f t="shared" si="502"/>
        <v/>
      </c>
      <c r="AB1462" s="70" t="str">
        <f t="shared" si="503"/>
        <v/>
      </c>
      <c r="AC1462" s="70" t="str">
        <f t="shared" si="504"/>
        <v/>
      </c>
      <c r="AD1462" s="70" t="str">
        <f t="shared" si="505"/>
        <v/>
      </c>
      <c r="AE1462" s="70" t="str">
        <f t="shared" si="506"/>
        <v/>
      </c>
      <c r="AF1462" s="16"/>
      <c r="AG1462" s="23"/>
      <c r="AH1462" s="22"/>
      <c r="AJ1462" s="83">
        <f t="shared" si="507"/>
        <v>0</v>
      </c>
      <c r="AO1462" s="22" t="str">
        <f t="shared" si="508"/>
        <v/>
      </c>
      <c r="AP1462" s="22" t="str">
        <f t="shared" si="509"/>
        <v/>
      </c>
    </row>
    <row r="1463" spans="1:42" x14ac:dyDescent="0.25">
      <c r="A1463" s="10"/>
      <c r="B1463" s="10"/>
      <c r="C1463" s="10"/>
      <c r="D1463" s="10"/>
      <c r="E1463" s="10"/>
      <c r="F1463" s="10"/>
      <c r="G1463" s="10"/>
      <c r="H1463" s="17"/>
      <c r="I1463" s="10"/>
      <c r="J1463" s="10"/>
      <c r="K1463" s="16" t="str">
        <f t="shared" si="488"/>
        <v/>
      </c>
      <c r="L1463" s="23" t="str">
        <f t="shared" si="489"/>
        <v/>
      </c>
      <c r="M1463" s="22" t="str">
        <f t="shared" si="490"/>
        <v/>
      </c>
      <c r="N1463" s="72"/>
      <c r="O1463" s="16" t="str">
        <f t="shared" si="491"/>
        <v/>
      </c>
      <c r="P1463" s="16" t="str">
        <f t="shared" si="492"/>
        <v/>
      </c>
      <c r="Q1463" s="16" t="str">
        <f t="shared" si="493"/>
        <v/>
      </c>
      <c r="R1463" s="23" t="str">
        <f t="shared" si="494"/>
        <v/>
      </c>
      <c r="S1463" s="23" t="str">
        <f t="shared" si="495"/>
        <v/>
      </c>
      <c r="T1463" s="23" t="str">
        <f t="shared" si="496"/>
        <v/>
      </c>
      <c r="U1463" s="23" t="str">
        <f t="shared" si="497"/>
        <v/>
      </c>
      <c r="V1463" s="23" t="str">
        <f t="shared" si="498"/>
        <v/>
      </c>
      <c r="W1463" s="70" t="str">
        <f t="shared" si="499"/>
        <v/>
      </c>
      <c r="X1463" s="70" t="str">
        <f t="shared" si="500"/>
        <v/>
      </c>
      <c r="Y1463" s="70" t="str">
        <f>IF(AND($A1463&lt;&gt;"",$E1463&gt;0),isLaptopBag($C1463,$J1463)*$D1463,"")</f>
        <v/>
      </c>
      <c r="Z1463" s="70" t="str">
        <f t="shared" si="501"/>
        <v/>
      </c>
      <c r="AA1463" s="70" t="str">
        <f t="shared" si="502"/>
        <v/>
      </c>
      <c r="AB1463" s="70" t="str">
        <f t="shared" si="503"/>
        <v/>
      </c>
      <c r="AC1463" s="70" t="str">
        <f t="shared" si="504"/>
        <v/>
      </c>
      <c r="AD1463" s="70" t="str">
        <f t="shared" si="505"/>
        <v/>
      </c>
      <c r="AE1463" s="70" t="str">
        <f t="shared" si="506"/>
        <v/>
      </c>
      <c r="AF1463" s="16"/>
      <c r="AG1463" s="23"/>
      <c r="AH1463" s="22"/>
      <c r="AJ1463" s="83">
        <f t="shared" si="507"/>
        <v>0</v>
      </c>
      <c r="AO1463" s="22" t="str">
        <f t="shared" si="508"/>
        <v/>
      </c>
      <c r="AP1463" s="22" t="str">
        <f t="shared" si="509"/>
        <v/>
      </c>
    </row>
    <row r="1464" spans="1:42" x14ac:dyDescent="0.25">
      <c r="A1464" s="10"/>
      <c r="B1464" s="10"/>
      <c r="C1464" s="10"/>
      <c r="D1464" s="10"/>
      <c r="E1464" s="10"/>
      <c r="F1464" s="10"/>
      <c r="G1464" s="10"/>
      <c r="H1464" s="17"/>
      <c r="I1464" s="10"/>
      <c r="J1464" s="10"/>
      <c r="K1464" s="16" t="str">
        <f t="shared" si="488"/>
        <v/>
      </c>
      <c r="L1464" s="23" t="str">
        <f t="shared" si="489"/>
        <v/>
      </c>
      <c r="M1464" s="22" t="str">
        <f t="shared" si="490"/>
        <v/>
      </c>
      <c r="N1464" s="72"/>
      <c r="O1464" s="16" t="str">
        <f t="shared" si="491"/>
        <v/>
      </c>
      <c r="P1464" s="16" t="str">
        <f t="shared" si="492"/>
        <v/>
      </c>
      <c r="Q1464" s="16" t="str">
        <f t="shared" si="493"/>
        <v/>
      </c>
      <c r="R1464" s="23" t="str">
        <f t="shared" si="494"/>
        <v/>
      </c>
      <c r="S1464" s="23" t="str">
        <f t="shared" si="495"/>
        <v/>
      </c>
      <c r="T1464" s="23" t="str">
        <f t="shared" si="496"/>
        <v/>
      </c>
      <c r="U1464" s="23" t="str">
        <f t="shared" si="497"/>
        <v/>
      </c>
      <c r="V1464" s="23" t="str">
        <f t="shared" si="498"/>
        <v/>
      </c>
      <c r="W1464" s="70" t="str">
        <f t="shared" si="499"/>
        <v/>
      </c>
      <c r="X1464" s="70" t="str">
        <f t="shared" si="500"/>
        <v/>
      </c>
      <c r="Y1464" s="70" t="str">
        <f>IF(AND($A1464&lt;&gt;"",$E1464&gt;0),isLaptopBag($C1464,$J1464)*$D1464,"")</f>
        <v/>
      </c>
      <c r="Z1464" s="70" t="str">
        <f t="shared" si="501"/>
        <v/>
      </c>
      <c r="AA1464" s="70" t="str">
        <f t="shared" si="502"/>
        <v/>
      </c>
      <c r="AB1464" s="70" t="str">
        <f t="shared" si="503"/>
        <v/>
      </c>
      <c r="AC1464" s="70" t="str">
        <f t="shared" si="504"/>
        <v/>
      </c>
      <c r="AD1464" s="70" t="str">
        <f t="shared" si="505"/>
        <v/>
      </c>
      <c r="AE1464" s="70" t="str">
        <f t="shared" si="506"/>
        <v/>
      </c>
      <c r="AF1464" s="16"/>
      <c r="AG1464" s="23"/>
      <c r="AH1464" s="22"/>
      <c r="AJ1464" s="83">
        <f t="shared" si="507"/>
        <v>0</v>
      </c>
      <c r="AO1464" s="22" t="str">
        <f t="shared" si="508"/>
        <v/>
      </c>
      <c r="AP1464" s="22" t="str">
        <f t="shared" si="509"/>
        <v/>
      </c>
    </row>
    <row r="1465" spans="1:42" x14ac:dyDescent="0.25">
      <c r="A1465" s="10"/>
      <c r="B1465" s="10"/>
      <c r="C1465" s="10"/>
      <c r="D1465" s="10"/>
      <c r="E1465" s="10"/>
      <c r="F1465" s="10"/>
      <c r="G1465" s="10"/>
      <c r="H1465" s="17"/>
      <c r="I1465" s="10"/>
      <c r="J1465" s="10"/>
      <c r="K1465" s="16" t="str">
        <f t="shared" si="488"/>
        <v/>
      </c>
      <c r="L1465" s="23" t="str">
        <f t="shared" si="489"/>
        <v/>
      </c>
      <c r="M1465" s="22" t="str">
        <f t="shared" si="490"/>
        <v/>
      </c>
      <c r="N1465" s="72"/>
      <c r="O1465" s="16" t="str">
        <f t="shared" si="491"/>
        <v/>
      </c>
      <c r="P1465" s="16" t="str">
        <f t="shared" si="492"/>
        <v/>
      </c>
      <c r="Q1465" s="16" t="str">
        <f t="shared" si="493"/>
        <v/>
      </c>
      <c r="R1465" s="23" t="str">
        <f t="shared" si="494"/>
        <v/>
      </c>
      <c r="S1465" s="23" t="str">
        <f t="shared" si="495"/>
        <v/>
      </c>
      <c r="T1465" s="23" t="str">
        <f t="shared" si="496"/>
        <v/>
      </c>
      <c r="U1465" s="23" t="str">
        <f t="shared" si="497"/>
        <v/>
      </c>
      <c r="V1465" s="23" t="str">
        <f t="shared" si="498"/>
        <v/>
      </c>
      <c r="W1465" s="70" t="str">
        <f t="shared" si="499"/>
        <v/>
      </c>
      <c r="X1465" s="70" t="str">
        <f t="shared" si="500"/>
        <v/>
      </c>
      <c r="Y1465" s="70" t="str">
        <f>IF(AND($A1465&lt;&gt;"",$E1465&gt;0),isLaptopBag($C1465,$J1465)*$D1465,"")</f>
        <v/>
      </c>
      <c r="Z1465" s="70" t="str">
        <f t="shared" si="501"/>
        <v/>
      </c>
      <c r="AA1465" s="70" t="str">
        <f t="shared" si="502"/>
        <v/>
      </c>
      <c r="AB1465" s="70" t="str">
        <f t="shared" si="503"/>
        <v/>
      </c>
      <c r="AC1465" s="70" t="str">
        <f t="shared" si="504"/>
        <v/>
      </c>
      <c r="AD1465" s="70" t="str">
        <f t="shared" si="505"/>
        <v/>
      </c>
      <c r="AE1465" s="70" t="str">
        <f t="shared" si="506"/>
        <v/>
      </c>
      <c r="AF1465" s="16"/>
      <c r="AG1465" s="23"/>
      <c r="AH1465" s="22"/>
      <c r="AJ1465" s="83">
        <f t="shared" si="507"/>
        <v>0</v>
      </c>
      <c r="AO1465" s="22" t="str">
        <f t="shared" si="508"/>
        <v/>
      </c>
      <c r="AP1465" s="22" t="str">
        <f t="shared" si="509"/>
        <v/>
      </c>
    </row>
    <row r="1466" spans="1:42" x14ac:dyDescent="0.25">
      <c r="A1466" s="10"/>
      <c r="B1466" s="10"/>
      <c r="C1466" s="10"/>
      <c r="D1466" s="10"/>
      <c r="E1466" s="10"/>
      <c r="F1466" s="10"/>
      <c r="G1466" s="10"/>
      <c r="H1466" s="17"/>
      <c r="I1466" s="10"/>
      <c r="J1466" s="10"/>
      <c r="K1466" s="16" t="str">
        <f t="shared" si="488"/>
        <v/>
      </c>
      <c r="L1466" s="23" t="str">
        <f t="shared" si="489"/>
        <v/>
      </c>
      <c r="M1466" s="22" t="str">
        <f t="shared" si="490"/>
        <v/>
      </c>
      <c r="N1466" s="72"/>
      <c r="O1466" s="16" t="str">
        <f t="shared" si="491"/>
        <v/>
      </c>
      <c r="P1466" s="16" t="str">
        <f t="shared" si="492"/>
        <v/>
      </c>
      <c r="Q1466" s="16" t="str">
        <f t="shared" si="493"/>
        <v/>
      </c>
      <c r="R1466" s="23" t="str">
        <f t="shared" si="494"/>
        <v/>
      </c>
      <c r="S1466" s="23" t="str">
        <f t="shared" si="495"/>
        <v/>
      </c>
      <c r="T1466" s="23" t="str">
        <f t="shared" si="496"/>
        <v/>
      </c>
      <c r="U1466" s="23" t="str">
        <f t="shared" si="497"/>
        <v/>
      </c>
      <c r="V1466" s="23" t="str">
        <f t="shared" si="498"/>
        <v/>
      </c>
      <c r="W1466" s="70" t="str">
        <f t="shared" si="499"/>
        <v/>
      </c>
      <c r="X1466" s="70" t="str">
        <f t="shared" si="500"/>
        <v/>
      </c>
      <c r="Y1466" s="70" t="str">
        <f>IF(AND($A1466&lt;&gt;"",$E1466&gt;0),isLaptopBag($C1466,$J1466)*$D1466,"")</f>
        <v/>
      </c>
      <c r="Z1466" s="70" t="str">
        <f t="shared" si="501"/>
        <v/>
      </c>
      <c r="AA1466" s="70" t="str">
        <f t="shared" si="502"/>
        <v/>
      </c>
      <c r="AB1466" s="70" t="str">
        <f t="shared" si="503"/>
        <v/>
      </c>
      <c r="AC1466" s="70" t="str">
        <f t="shared" si="504"/>
        <v/>
      </c>
      <c r="AD1466" s="70" t="str">
        <f t="shared" si="505"/>
        <v/>
      </c>
      <c r="AE1466" s="70" t="str">
        <f t="shared" si="506"/>
        <v/>
      </c>
      <c r="AF1466" s="16"/>
      <c r="AG1466" s="23"/>
      <c r="AH1466" s="22"/>
      <c r="AJ1466" s="83">
        <f t="shared" si="507"/>
        <v>0</v>
      </c>
      <c r="AO1466" s="22" t="str">
        <f t="shared" si="508"/>
        <v/>
      </c>
      <c r="AP1466" s="22" t="str">
        <f t="shared" si="509"/>
        <v/>
      </c>
    </row>
    <row r="1467" spans="1:42" x14ac:dyDescent="0.25">
      <c r="A1467" s="10"/>
      <c r="B1467" s="10"/>
      <c r="C1467" s="10"/>
      <c r="D1467" s="10"/>
      <c r="E1467" s="10"/>
      <c r="F1467" s="10"/>
      <c r="G1467" s="10"/>
      <c r="H1467" s="17"/>
      <c r="I1467" s="10"/>
      <c r="J1467" s="10"/>
      <c r="K1467" s="16" t="str">
        <f t="shared" si="488"/>
        <v/>
      </c>
      <c r="L1467" s="23" t="str">
        <f t="shared" si="489"/>
        <v/>
      </c>
      <c r="M1467" s="22" t="str">
        <f t="shared" si="490"/>
        <v/>
      </c>
      <c r="N1467" s="72"/>
      <c r="O1467" s="16" t="str">
        <f t="shared" si="491"/>
        <v/>
      </c>
      <c r="P1467" s="16" t="str">
        <f t="shared" si="492"/>
        <v/>
      </c>
      <c r="Q1467" s="16" t="str">
        <f t="shared" si="493"/>
        <v/>
      </c>
      <c r="R1467" s="23" t="str">
        <f t="shared" si="494"/>
        <v/>
      </c>
      <c r="S1467" s="23" t="str">
        <f t="shared" si="495"/>
        <v/>
      </c>
      <c r="T1467" s="23" t="str">
        <f t="shared" si="496"/>
        <v/>
      </c>
      <c r="U1467" s="23" t="str">
        <f t="shared" si="497"/>
        <v/>
      </c>
      <c r="V1467" s="23" t="str">
        <f t="shared" si="498"/>
        <v/>
      </c>
      <c r="W1467" s="70" t="str">
        <f t="shared" si="499"/>
        <v/>
      </c>
      <c r="X1467" s="70" t="str">
        <f t="shared" si="500"/>
        <v/>
      </c>
      <c r="Y1467" s="70" t="str">
        <f>IF(AND($A1467&lt;&gt;"",$E1467&gt;0),isLaptopBag($C1467,$J1467)*$D1467,"")</f>
        <v/>
      </c>
      <c r="Z1467" s="70" t="str">
        <f t="shared" si="501"/>
        <v/>
      </c>
      <c r="AA1467" s="70" t="str">
        <f t="shared" si="502"/>
        <v/>
      </c>
      <c r="AB1467" s="70" t="str">
        <f t="shared" si="503"/>
        <v/>
      </c>
      <c r="AC1467" s="70" t="str">
        <f t="shared" si="504"/>
        <v/>
      </c>
      <c r="AD1467" s="70" t="str">
        <f t="shared" si="505"/>
        <v/>
      </c>
      <c r="AE1467" s="70" t="str">
        <f t="shared" si="506"/>
        <v/>
      </c>
      <c r="AF1467" s="16"/>
      <c r="AG1467" s="23"/>
      <c r="AH1467" s="22"/>
      <c r="AJ1467" s="83">
        <f t="shared" si="507"/>
        <v>0</v>
      </c>
      <c r="AO1467" s="22" t="str">
        <f t="shared" si="508"/>
        <v/>
      </c>
      <c r="AP1467" s="22" t="str">
        <f t="shared" si="509"/>
        <v/>
      </c>
    </row>
    <row r="1468" spans="1:42" x14ac:dyDescent="0.25">
      <c r="A1468" s="10"/>
      <c r="B1468" s="10"/>
      <c r="C1468" s="10"/>
      <c r="D1468" s="10"/>
      <c r="E1468" s="10"/>
      <c r="F1468" s="10"/>
      <c r="G1468" s="10"/>
      <c r="H1468" s="17"/>
      <c r="I1468" s="10"/>
      <c r="J1468" s="10"/>
      <c r="K1468" s="16" t="str">
        <f t="shared" si="488"/>
        <v/>
      </c>
      <c r="L1468" s="23" t="str">
        <f t="shared" si="489"/>
        <v/>
      </c>
      <c r="M1468" s="22" t="str">
        <f t="shared" si="490"/>
        <v/>
      </c>
      <c r="N1468" s="72"/>
      <c r="O1468" s="16" t="str">
        <f t="shared" si="491"/>
        <v/>
      </c>
      <c r="P1468" s="16" t="str">
        <f t="shared" si="492"/>
        <v/>
      </c>
      <c r="Q1468" s="16" t="str">
        <f t="shared" si="493"/>
        <v/>
      </c>
      <c r="R1468" s="23" t="str">
        <f t="shared" si="494"/>
        <v/>
      </c>
      <c r="S1468" s="23" t="str">
        <f t="shared" si="495"/>
        <v/>
      </c>
      <c r="T1468" s="23" t="str">
        <f t="shared" si="496"/>
        <v/>
      </c>
      <c r="U1468" s="23" t="str">
        <f t="shared" si="497"/>
        <v/>
      </c>
      <c r="V1468" s="23" t="str">
        <f t="shared" si="498"/>
        <v/>
      </c>
      <c r="W1468" s="70" t="str">
        <f t="shared" si="499"/>
        <v/>
      </c>
      <c r="X1468" s="70" t="str">
        <f t="shared" si="500"/>
        <v/>
      </c>
      <c r="Y1468" s="70" t="str">
        <f>IF(AND($A1468&lt;&gt;"",$E1468&gt;0),isLaptopBag($C1468,$J1468)*$D1468,"")</f>
        <v/>
      </c>
      <c r="Z1468" s="70" t="str">
        <f t="shared" si="501"/>
        <v/>
      </c>
      <c r="AA1468" s="70" t="str">
        <f t="shared" si="502"/>
        <v/>
      </c>
      <c r="AB1468" s="70" t="str">
        <f t="shared" si="503"/>
        <v/>
      </c>
      <c r="AC1468" s="70" t="str">
        <f t="shared" si="504"/>
        <v/>
      </c>
      <c r="AD1468" s="70" t="str">
        <f t="shared" si="505"/>
        <v/>
      </c>
      <c r="AE1468" s="70" t="str">
        <f t="shared" si="506"/>
        <v/>
      </c>
      <c r="AF1468" s="16"/>
      <c r="AG1468" s="23"/>
      <c r="AH1468" s="22"/>
      <c r="AJ1468" s="83">
        <f t="shared" si="507"/>
        <v>0</v>
      </c>
      <c r="AO1468" s="22" t="str">
        <f t="shared" si="508"/>
        <v/>
      </c>
      <c r="AP1468" s="22" t="str">
        <f t="shared" si="509"/>
        <v/>
      </c>
    </row>
    <row r="1469" spans="1:42" x14ac:dyDescent="0.25">
      <c r="A1469" s="10"/>
      <c r="B1469" s="10"/>
      <c r="C1469" s="10"/>
      <c r="D1469" s="10"/>
      <c r="E1469" s="10"/>
      <c r="F1469" s="10"/>
      <c r="G1469" s="10"/>
      <c r="H1469" s="17"/>
      <c r="I1469" s="10"/>
      <c r="J1469" s="10"/>
      <c r="K1469" s="16" t="str">
        <f t="shared" si="488"/>
        <v/>
      </c>
      <c r="L1469" s="23" t="str">
        <f t="shared" si="489"/>
        <v/>
      </c>
      <c r="M1469" s="22" t="str">
        <f t="shared" si="490"/>
        <v/>
      </c>
      <c r="N1469" s="72"/>
      <c r="O1469" s="16" t="str">
        <f t="shared" si="491"/>
        <v/>
      </c>
      <c r="P1469" s="16" t="str">
        <f t="shared" si="492"/>
        <v/>
      </c>
      <c r="Q1469" s="16" t="str">
        <f t="shared" si="493"/>
        <v/>
      </c>
      <c r="R1469" s="23" t="str">
        <f t="shared" si="494"/>
        <v/>
      </c>
      <c r="S1469" s="23" t="str">
        <f t="shared" si="495"/>
        <v/>
      </c>
      <c r="T1469" s="23" t="str">
        <f t="shared" si="496"/>
        <v/>
      </c>
      <c r="U1469" s="23" t="str">
        <f t="shared" si="497"/>
        <v/>
      </c>
      <c r="V1469" s="23" t="str">
        <f t="shared" si="498"/>
        <v/>
      </c>
      <c r="W1469" s="70" t="str">
        <f t="shared" si="499"/>
        <v/>
      </c>
      <c r="X1469" s="70" t="str">
        <f t="shared" si="500"/>
        <v/>
      </c>
      <c r="Y1469" s="70" t="str">
        <f>IF(AND($A1469&lt;&gt;"",$E1469&gt;0),isLaptopBag($C1469,$J1469)*$D1469,"")</f>
        <v/>
      </c>
      <c r="Z1469" s="70" t="str">
        <f t="shared" si="501"/>
        <v/>
      </c>
      <c r="AA1469" s="70" t="str">
        <f t="shared" si="502"/>
        <v/>
      </c>
      <c r="AB1469" s="70" t="str">
        <f t="shared" si="503"/>
        <v/>
      </c>
      <c r="AC1469" s="70" t="str">
        <f t="shared" si="504"/>
        <v/>
      </c>
      <c r="AD1469" s="70" t="str">
        <f t="shared" si="505"/>
        <v/>
      </c>
      <c r="AE1469" s="70" t="str">
        <f t="shared" si="506"/>
        <v/>
      </c>
      <c r="AF1469" s="16"/>
      <c r="AG1469" s="23"/>
      <c r="AH1469" s="22"/>
      <c r="AJ1469" s="83">
        <f t="shared" si="507"/>
        <v>0</v>
      </c>
      <c r="AO1469" s="22" t="str">
        <f t="shared" si="508"/>
        <v/>
      </c>
      <c r="AP1469" s="22" t="str">
        <f t="shared" si="509"/>
        <v/>
      </c>
    </row>
    <row r="1470" spans="1:42" x14ac:dyDescent="0.25">
      <c r="A1470" s="10"/>
      <c r="B1470" s="10"/>
      <c r="C1470" s="10"/>
      <c r="D1470" s="10"/>
      <c r="E1470" s="10"/>
      <c r="F1470" s="10"/>
      <c r="G1470" s="10"/>
      <c r="H1470" s="17"/>
      <c r="I1470" s="10"/>
      <c r="J1470" s="10"/>
      <c r="K1470" s="16" t="str">
        <f t="shared" si="488"/>
        <v/>
      </c>
      <c r="L1470" s="23" t="str">
        <f t="shared" si="489"/>
        <v/>
      </c>
      <c r="M1470" s="22" t="str">
        <f t="shared" si="490"/>
        <v/>
      </c>
      <c r="N1470" s="72"/>
      <c r="O1470" s="16" t="str">
        <f t="shared" si="491"/>
        <v/>
      </c>
      <c r="P1470" s="16" t="str">
        <f t="shared" si="492"/>
        <v/>
      </c>
      <c r="Q1470" s="16" t="str">
        <f t="shared" si="493"/>
        <v/>
      </c>
      <c r="R1470" s="23" t="str">
        <f t="shared" si="494"/>
        <v/>
      </c>
      <c r="S1470" s="23" t="str">
        <f t="shared" si="495"/>
        <v/>
      </c>
      <c r="T1470" s="23" t="str">
        <f t="shared" si="496"/>
        <v/>
      </c>
      <c r="U1470" s="23" t="str">
        <f t="shared" si="497"/>
        <v/>
      </c>
      <c r="V1470" s="23" t="str">
        <f t="shared" si="498"/>
        <v/>
      </c>
      <c r="W1470" s="70" t="str">
        <f t="shared" si="499"/>
        <v/>
      </c>
      <c r="X1470" s="70" t="str">
        <f t="shared" si="500"/>
        <v/>
      </c>
      <c r="Y1470" s="70" t="str">
        <f>IF(AND($A1470&lt;&gt;"",$E1470&gt;0),isLaptopBag($C1470,$J1470)*$D1470,"")</f>
        <v/>
      </c>
      <c r="Z1470" s="70" t="str">
        <f t="shared" si="501"/>
        <v/>
      </c>
      <c r="AA1470" s="70" t="str">
        <f t="shared" si="502"/>
        <v/>
      </c>
      <c r="AB1470" s="70" t="str">
        <f t="shared" si="503"/>
        <v/>
      </c>
      <c r="AC1470" s="70" t="str">
        <f t="shared" si="504"/>
        <v/>
      </c>
      <c r="AD1470" s="70" t="str">
        <f t="shared" si="505"/>
        <v/>
      </c>
      <c r="AE1470" s="70" t="str">
        <f t="shared" si="506"/>
        <v/>
      </c>
      <c r="AF1470" s="16"/>
      <c r="AG1470" s="23"/>
      <c r="AH1470" s="22"/>
      <c r="AJ1470" s="83">
        <f t="shared" si="507"/>
        <v>0</v>
      </c>
      <c r="AO1470" s="22" t="str">
        <f t="shared" si="508"/>
        <v/>
      </c>
      <c r="AP1470" s="22" t="str">
        <f t="shared" si="509"/>
        <v/>
      </c>
    </row>
    <row r="1471" spans="1:42" x14ac:dyDescent="0.25">
      <c r="A1471" s="10"/>
      <c r="B1471" s="10"/>
      <c r="C1471" s="10"/>
      <c r="D1471" s="10"/>
      <c r="E1471" s="10"/>
      <c r="F1471" s="10"/>
      <c r="G1471" s="10"/>
      <c r="H1471" s="17"/>
      <c r="I1471" s="10"/>
      <c r="J1471" s="10"/>
      <c r="K1471" s="16" t="str">
        <f t="shared" si="488"/>
        <v/>
      </c>
      <c r="L1471" s="23" t="str">
        <f t="shared" si="489"/>
        <v/>
      </c>
      <c r="M1471" s="22" t="str">
        <f t="shared" si="490"/>
        <v/>
      </c>
      <c r="N1471" s="72"/>
      <c r="O1471" s="16" t="str">
        <f t="shared" si="491"/>
        <v/>
      </c>
      <c r="P1471" s="16" t="str">
        <f t="shared" si="492"/>
        <v/>
      </c>
      <c r="Q1471" s="16" t="str">
        <f t="shared" si="493"/>
        <v/>
      </c>
      <c r="R1471" s="23" t="str">
        <f t="shared" si="494"/>
        <v/>
      </c>
      <c r="S1471" s="23" t="str">
        <f t="shared" si="495"/>
        <v/>
      </c>
      <c r="T1471" s="23" t="str">
        <f t="shared" si="496"/>
        <v/>
      </c>
      <c r="U1471" s="23" t="str">
        <f t="shared" si="497"/>
        <v/>
      </c>
      <c r="V1471" s="23" t="str">
        <f t="shared" si="498"/>
        <v/>
      </c>
      <c r="W1471" s="70" t="str">
        <f t="shared" si="499"/>
        <v/>
      </c>
      <c r="X1471" s="70" t="str">
        <f t="shared" si="500"/>
        <v/>
      </c>
      <c r="Y1471" s="70" t="str">
        <f>IF(AND($A1471&lt;&gt;"",$E1471&gt;0),isLaptopBag($C1471,$J1471)*$D1471,"")</f>
        <v/>
      </c>
      <c r="Z1471" s="70" t="str">
        <f t="shared" si="501"/>
        <v/>
      </c>
      <c r="AA1471" s="70" t="str">
        <f t="shared" si="502"/>
        <v/>
      </c>
      <c r="AB1471" s="70" t="str">
        <f t="shared" si="503"/>
        <v/>
      </c>
      <c r="AC1471" s="70" t="str">
        <f t="shared" si="504"/>
        <v/>
      </c>
      <c r="AD1471" s="70" t="str">
        <f t="shared" si="505"/>
        <v/>
      </c>
      <c r="AE1471" s="70" t="str">
        <f t="shared" si="506"/>
        <v/>
      </c>
      <c r="AF1471" s="16"/>
      <c r="AG1471" s="23"/>
      <c r="AH1471" s="22"/>
      <c r="AJ1471" s="83">
        <f t="shared" si="507"/>
        <v>0</v>
      </c>
      <c r="AO1471" s="22" t="str">
        <f t="shared" si="508"/>
        <v/>
      </c>
      <c r="AP1471" s="22" t="str">
        <f t="shared" si="509"/>
        <v/>
      </c>
    </row>
    <row r="1472" spans="1:42" x14ac:dyDescent="0.25">
      <c r="A1472" s="10"/>
      <c r="B1472" s="10"/>
      <c r="C1472" s="10"/>
      <c r="D1472" s="10"/>
      <c r="E1472" s="10"/>
      <c r="F1472" s="10"/>
      <c r="G1472" s="10"/>
      <c r="H1472" s="17"/>
      <c r="I1472" s="10"/>
      <c r="J1472" s="10"/>
      <c r="K1472" s="16" t="str">
        <f t="shared" si="488"/>
        <v/>
      </c>
      <c r="L1472" s="23" t="str">
        <f t="shared" si="489"/>
        <v/>
      </c>
      <c r="M1472" s="22" t="str">
        <f t="shared" si="490"/>
        <v/>
      </c>
      <c r="N1472" s="72"/>
      <c r="O1472" s="16" t="str">
        <f t="shared" si="491"/>
        <v/>
      </c>
      <c r="P1472" s="16" t="str">
        <f t="shared" si="492"/>
        <v/>
      </c>
      <c r="Q1472" s="16" t="str">
        <f t="shared" si="493"/>
        <v/>
      </c>
      <c r="R1472" s="23" t="str">
        <f t="shared" si="494"/>
        <v/>
      </c>
      <c r="S1472" s="23" t="str">
        <f t="shared" si="495"/>
        <v/>
      </c>
      <c r="T1472" s="23" t="str">
        <f t="shared" si="496"/>
        <v/>
      </c>
      <c r="U1472" s="23" t="str">
        <f t="shared" si="497"/>
        <v/>
      </c>
      <c r="V1472" s="23" t="str">
        <f t="shared" si="498"/>
        <v/>
      </c>
      <c r="W1472" s="70" t="str">
        <f t="shared" si="499"/>
        <v/>
      </c>
      <c r="X1472" s="70" t="str">
        <f t="shared" si="500"/>
        <v/>
      </c>
      <c r="Y1472" s="70" t="str">
        <f>IF(AND($A1472&lt;&gt;"",$E1472&gt;0),isLaptopBag($C1472,$J1472)*$D1472,"")</f>
        <v/>
      </c>
      <c r="Z1472" s="70" t="str">
        <f t="shared" si="501"/>
        <v/>
      </c>
      <c r="AA1472" s="70" t="str">
        <f t="shared" si="502"/>
        <v/>
      </c>
      <c r="AB1472" s="70" t="str">
        <f t="shared" si="503"/>
        <v/>
      </c>
      <c r="AC1472" s="70" t="str">
        <f t="shared" si="504"/>
        <v/>
      </c>
      <c r="AD1472" s="70" t="str">
        <f t="shared" si="505"/>
        <v/>
      </c>
      <c r="AE1472" s="70" t="str">
        <f t="shared" si="506"/>
        <v/>
      </c>
      <c r="AF1472" s="16"/>
      <c r="AG1472" s="23"/>
      <c r="AH1472" s="22"/>
      <c r="AJ1472" s="83">
        <f t="shared" si="507"/>
        <v>0</v>
      </c>
      <c r="AO1472" s="22" t="str">
        <f t="shared" si="508"/>
        <v/>
      </c>
      <c r="AP1472" s="22" t="str">
        <f t="shared" si="509"/>
        <v/>
      </c>
    </row>
    <row r="1473" spans="1:42" x14ac:dyDescent="0.25">
      <c r="A1473" s="10"/>
      <c r="B1473" s="10"/>
      <c r="C1473" s="10"/>
      <c r="D1473" s="10"/>
      <c r="E1473" s="10"/>
      <c r="F1473" s="10"/>
      <c r="G1473" s="10"/>
      <c r="H1473" s="17"/>
      <c r="I1473" s="10"/>
      <c r="J1473" s="10"/>
      <c r="K1473" s="16" t="str">
        <f t="shared" si="488"/>
        <v/>
      </c>
      <c r="L1473" s="23" t="str">
        <f t="shared" si="489"/>
        <v/>
      </c>
      <c r="M1473" s="22" t="str">
        <f t="shared" si="490"/>
        <v/>
      </c>
      <c r="N1473" s="72"/>
      <c r="O1473" s="16" t="str">
        <f t="shared" si="491"/>
        <v/>
      </c>
      <c r="P1473" s="16" t="str">
        <f t="shared" si="492"/>
        <v/>
      </c>
      <c r="Q1473" s="16" t="str">
        <f t="shared" si="493"/>
        <v/>
      </c>
      <c r="R1473" s="23" t="str">
        <f t="shared" si="494"/>
        <v/>
      </c>
      <c r="S1473" s="23" t="str">
        <f t="shared" si="495"/>
        <v/>
      </c>
      <c r="T1473" s="23" t="str">
        <f t="shared" si="496"/>
        <v/>
      </c>
      <c r="U1473" s="23" t="str">
        <f t="shared" si="497"/>
        <v/>
      </c>
      <c r="V1473" s="23" t="str">
        <f t="shared" si="498"/>
        <v/>
      </c>
      <c r="W1473" s="70" t="str">
        <f t="shared" si="499"/>
        <v/>
      </c>
      <c r="X1473" s="70" t="str">
        <f t="shared" si="500"/>
        <v/>
      </c>
      <c r="Y1473" s="70" t="str">
        <f>IF(AND($A1473&lt;&gt;"",$E1473&gt;0),isLaptopBag($C1473,$J1473)*$D1473,"")</f>
        <v/>
      </c>
      <c r="Z1473" s="70" t="str">
        <f t="shared" si="501"/>
        <v/>
      </c>
      <c r="AA1473" s="70" t="str">
        <f t="shared" si="502"/>
        <v/>
      </c>
      <c r="AB1473" s="70" t="str">
        <f t="shared" si="503"/>
        <v/>
      </c>
      <c r="AC1473" s="70" t="str">
        <f t="shared" si="504"/>
        <v/>
      </c>
      <c r="AD1473" s="70" t="str">
        <f t="shared" si="505"/>
        <v/>
      </c>
      <c r="AE1473" s="70" t="str">
        <f t="shared" si="506"/>
        <v/>
      </c>
      <c r="AF1473" s="16"/>
      <c r="AG1473" s="23"/>
      <c r="AH1473" s="22"/>
      <c r="AJ1473" s="83">
        <f t="shared" si="507"/>
        <v>0</v>
      </c>
      <c r="AO1473" s="22" t="str">
        <f t="shared" si="508"/>
        <v/>
      </c>
      <c r="AP1473" s="22" t="str">
        <f t="shared" si="509"/>
        <v/>
      </c>
    </row>
    <row r="1474" spans="1:42" x14ac:dyDescent="0.25">
      <c r="A1474" s="10"/>
      <c r="B1474" s="10"/>
      <c r="C1474" s="10"/>
      <c r="D1474" s="10"/>
      <c r="E1474" s="10"/>
      <c r="F1474" s="10"/>
      <c r="G1474" s="10"/>
      <c r="H1474" s="17"/>
      <c r="I1474" s="10"/>
      <c r="J1474" s="10"/>
      <c r="K1474" s="16" t="str">
        <f t="shared" si="488"/>
        <v/>
      </c>
      <c r="L1474" s="23" t="str">
        <f t="shared" si="489"/>
        <v/>
      </c>
      <c r="M1474" s="22" t="str">
        <f t="shared" si="490"/>
        <v/>
      </c>
      <c r="N1474" s="72"/>
      <c r="O1474" s="16" t="str">
        <f t="shared" si="491"/>
        <v/>
      </c>
      <c r="P1474" s="16" t="str">
        <f t="shared" si="492"/>
        <v/>
      </c>
      <c r="Q1474" s="16" t="str">
        <f t="shared" si="493"/>
        <v/>
      </c>
      <c r="R1474" s="23" t="str">
        <f t="shared" si="494"/>
        <v/>
      </c>
      <c r="S1474" s="23" t="str">
        <f t="shared" si="495"/>
        <v/>
      </c>
      <c r="T1474" s="23" t="str">
        <f t="shared" si="496"/>
        <v/>
      </c>
      <c r="U1474" s="23" t="str">
        <f t="shared" si="497"/>
        <v/>
      </c>
      <c r="V1474" s="23" t="str">
        <f t="shared" si="498"/>
        <v/>
      </c>
      <c r="W1474" s="70" t="str">
        <f t="shared" si="499"/>
        <v/>
      </c>
      <c r="X1474" s="70" t="str">
        <f t="shared" si="500"/>
        <v/>
      </c>
      <c r="Y1474" s="70" t="str">
        <f>IF(AND($A1474&lt;&gt;"",$E1474&gt;0),isLaptopBag($C1474,$J1474)*$D1474,"")</f>
        <v/>
      </c>
      <c r="Z1474" s="70" t="str">
        <f t="shared" si="501"/>
        <v/>
      </c>
      <c r="AA1474" s="70" t="str">
        <f t="shared" si="502"/>
        <v/>
      </c>
      <c r="AB1474" s="70" t="str">
        <f t="shared" si="503"/>
        <v/>
      </c>
      <c r="AC1474" s="70" t="str">
        <f t="shared" si="504"/>
        <v/>
      </c>
      <c r="AD1474" s="70" t="str">
        <f t="shared" si="505"/>
        <v/>
      </c>
      <c r="AE1474" s="70" t="str">
        <f t="shared" si="506"/>
        <v/>
      </c>
      <c r="AF1474" s="16"/>
      <c r="AG1474" s="23"/>
      <c r="AH1474" s="22"/>
      <c r="AJ1474" s="83">
        <f t="shared" si="507"/>
        <v>0</v>
      </c>
      <c r="AO1474" s="22" t="str">
        <f t="shared" si="508"/>
        <v/>
      </c>
      <c r="AP1474" s="22" t="str">
        <f t="shared" si="509"/>
        <v/>
      </c>
    </row>
    <row r="1475" spans="1:42" x14ac:dyDescent="0.25">
      <c r="A1475" s="10"/>
      <c r="B1475" s="10"/>
      <c r="C1475" s="10"/>
      <c r="D1475" s="10"/>
      <c r="E1475" s="10"/>
      <c r="F1475" s="10"/>
      <c r="G1475" s="10"/>
      <c r="H1475" s="17"/>
      <c r="I1475" s="10"/>
      <c r="J1475" s="10"/>
      <c r="K1475" s="16" t="str">
        <f t="shared" si="488"/>
        <v/>
      </c>
      <c r="L1475" s="23" t="str">
        <f t="shared" si="489"/>
        <v/>
      </c>
      <c r="M1475" s="22" t="str">
        <f t="shared" si="490"/>
        <v/>
      </c>
      <c r="N1475" s="72"/>
      <c r="O1475" s="16" t="str">
        <f t="shared" si="491"/>
        <v/>
      </c>
      <c r="P1475" s="16" t="str">
        <f t="shared" si="492"/>
        <v/>
      </c>
      <c r="Q1475" s="16" t="str">
        <f t="shared" si="493"/>
        <v/>
      </c>
      <c r="R1475" s="23" t="str">
        <f t="shared" si="494"/>
        <v/>
      </c>
      <c r="S1475" s="23" t="str">
        <f t="shared" si="495"/>
        <v/>
      </c>
      <c r="T1475" s="23" t="str">
        <f t="shared" si="496"/>
        <v/>
      </c>
      <c r="U1475" s="23" t="str">
        <f t="shared" si="497"/>
        <v/>
      </c>
      <c r="V1475" s="23" t="str">
        <f t="shared" si="498"/>
        <v/>
      </c>
      <c r="W1475" s="70" t="str">
        <f t="shared" si="499"/>
        <v/>
      </c>
      <c r="X1475" s="70" t="str">
        <f t="shared" si="500"/>
        <v/>
      </c>
      <c r="Y1475" s="70" t="str">
        <f>IF(AND($A1475&lt;&gt;"",$E1475&gt;0),isLaptopBag($C1475,$J1475)*$D1475,"")</f>
        <v/>
      </c>
      <c r="Z1475" s="70" t="str">
        <f t="shared" si="501"/>
        <v/>
      </c>
      <c r="AA1475" s="70" t="str">
        <f t="shared" si="502"/>
        <v/>
      </c>
      <c r="AB1475" s="70" t="str">
        <f t="shared" si="503"/>
        <v/>
      </c>
      <c r="AC1475" s="70" t="str">
        <f t="shared" si="504"/>
        <v/>
      </c>
      <c r="AD1475" s="70" t="str">
        <f t="shared" si="505"/>
        <v/>
      </c>
      <c r="AE1475" s="70" t="str">
        <f t="shared" si="506"/>
        <v/>
      </c>
      <c r="AF1475" s="16"/>
      <c r="AG1475" s="23"/>
      <c r="AH1475" s="22"/>
      <c r="AJ1475" s="83">
        <f t="shared" si="507"/>
        <v>0</v>
      </c>
      <c r="AO1475" s="22" t="str">
        <f t="shared" si="508"/>
        <v/>
      </c>
      <c r="AP1475" s="22" t="str">
        <f t="shared" si="509"/>
        <v/>
      </c>
    </row>
    <row r="1476" spans="1:42" x14ac:dyDescent="0.25">
      <c r="A1476" s="10"/>
      <c r="B1476" s="10"/>
      <c r="C1476" s="10"/>
      <c r="D1476" s="10"/>
      <c r="E1476" s="10"/>
      <c r="F1476" s="10"/>
      <c r="G1476" s="10"/>
      <c r="H1476" s="17"/>
      <c r="I1476" s="10"/>
      <c r="J1476" s="10"/>
      <c r="K1476" s="16" t="str">
        <f t="shared" si="488"/>
        <v/>
      </c>
      <c r="L1476" s="23" t="str">
        <f t="shared" si="489"/>
        <v/>
      </c>
      <c r="M1476" s="22" t="str">
        <f t="shared" si="490"/>
        <v/>
      </c>
      <c r="N1476" s="72"/>
      <c r="O1476" s="16" t="str">
        <f t="shared" si="491"/>
        <v/>
      </c>
      <c r="P1476" s="16" t="str">
        <f t="shared" si="492"/>
        <v/>
      </c>
      <c r="Q1476" s="16" t="str">
        <f t="shared" si="493"/>
        <v/>
      </c>
      <c r="R1476" s="23" t="str">
        <f t="shared" si="494"/>
        <v/>
      </c>
      <c r="S1476" s="23" t="str">
        <f t="shared" si="495"/>
        <v/>
      </c>
      <c r="T1476" s="23" t="str">
        <f t="shared" si="496"/>
        <v/>
      </c>
      <c r="U1476" s="23" t="str">
        <f t="shared" si="497"/>
        <v/>
      </c>
      <c r="V1476" s="23" t="str">
        <f t="shared" si="498"/>
        <v/>
      </c>
      <c r="W1476" s="70" t="str">
        <f t="shared" si="499"/>
        <v/>
      </c>
      <c r="X1476" s="70" t="str">
        <f t="shared" si="500"/>
        <v/>
      </c>
      <c r="Y1476" s="70" t="str">
        <f>IF(AND($A1476&lt;&gt;"",$E1476&gt;0),isLaptopBag($C1476,$J1476)*$D1476,"")</f>
        <v/>
      </c>
      <c r="Z1476" s="70" t="str">
        <f t="shared" si="501"/>
        <v/>
      </c>
      <c r="AA1476" s="70" t="str">
        <f t="shared" si="502"/>
        <v/>
      </c>
      <c r="AB1476" s="70" t="str">
        <f t="shared" si="503"/>
        <v/>
      </c>
      <c r="AC1476" s="70" t="str">
        <f t="shared" si="504"/>
        <v/>
      </c>
      <c r="AD1476" s="70" t="str">
        <f t="shared" si="505"/>
        <v/>
      </c>
      <c r="AE1476" s="70" t="str">
        <f t="shared" si="506"/>
        <v/>
      </c>
      <c r="AF1476" s="16"/>
      <c r="AG1476" s="23"/>
      <c r="AH1476" s="22"/>
      <c r="AJ1476" s="83">
        <f t="shared" si="507"/>
        <v>0</v>
      </c>
      <c r="AO1476" s="22" t="str">
        <f t="shared" si="508"/>
        <v/>
      </c>
      <c r="AP1476" s="22" t="str">
        <f t="shared" si="509"/>
        <v/>
      </c>
    </row>
    <row r="1477" spans="1:42" x14ac:dyDescent="0.25">
      <c r="A1477" s="10"/>
      <c r="B1477" s="10"/>
      <c r="C1477" s="10"/>
      <c r="D1477" s="10"/>
      <c r="E1477" s="10"/>
      <c r="F1477" s="10"/>
      <c r="G1477" s="10"/>
      <c r="H1477" s="17"/>
      <c r="I1477" s="10"/>
      <c r="J1477" s="10"/>
      <c r="K1477" s="16" t="str">
        <f t="shared" si="488"/>
        <v/>
      </c>
      <c r="L1477" s="23" t="str">
        <f t="shared" si="489"/>
        <v/>
      </c>
      <c r="M1477" s="22" t="str">
        <f t="shared" si="490"/>
        <v/>
      </c>
      <c r="N1477" s="72"/>
      <c r="O1477" s="16" t="str">
        <f t="shared" si="491"/>
        <v/>
      </c>
      <c r="P1477" s="16" t="str">
        <f t="shared" si="492"/>
        <v/>
      </c>
      <c r="Q1477" s="16" t="str">
        <f t="shared" si="493"/>
        <v/>
      </c>
      <c r="R1477" s="23" t="str">
        <f t="shared" si="494"/>
        <v/>
      </c>
      <c r="S1477" s="23" t="str">
        <f t="shared" si="495"/>
        <v/>
      </c>
      <c r="T1477" s="23" t="str">
        <f t="shared" si="496"/>
        <v/>
      </c>
      <c r="U1477" s="23" t="str">
        <f t="shared" si="497"/>
        <v/>
      </c>
      <c r="V1477" s="23" t="str">
        <f t="shared" si="498"/>
        <v/>
      </c>
      <c r="W1477" s="70" t="str">
        <f t="shared" si="499"/>
        <v/>
      </c>
      <c r="X1477" s="70" t="str">
        <f t="shared" si="500"/>
        <v/>
      </c>
      <c r="Y1477" s="70" t="str">
        <f>IF(AND($A1477&lt;&gt;"",$E1477&gt;0),isLaptopBag($C1477,$J1477)*$D1477,"")</f>
        <v/>
      </c>
      <c r="Z1477" s="70" t="str">
        <f t="shared" si="501"/>
        <v/>
      </c>
      <c r="AA1477" s="70" t="str">
        <f t="shared" si="502"/>
        <v/>
      </c>
      <c r="AB1477" s="70" t="str">
        <f t="shared" si="503"/>
        <v/>
      </c>
      <c r="AC1477" s="70" t="str">
        <f t="shared" si="504"/>
        <v/>
      </c>
      <c r="AD1477" s="70" t="str">
        <f t="shared" si="505"/>
        <v/>
      </c>
      <c r="AE1477" s="70" t="str">
        <f t="shared" si="506"/>
        <v/>
      </c>
      <c r="AF1477" s="16"/>
      <c r="AG1477" s="23"/>
      <c r="AH1477" s="22"/>
      <c r="AJ1477" s="83">
        <f t="shared" si="507"/>
        <v>0</v>
      </c>
      <c r="AO1477" s="22" t="str">
        <f t="shared" si="508"/>
        <v/>
      </c>
      <c r="AP1477" s="22" t="str">
        <f t="shared" si="509"/>
        <v/>
      </c>
    </row>
    <row r="1478" spans="1:42" x14ac:dyDescent="0.25">
      <c r="A1478" s="10"/>
      <c r="B1478" s="10"/>
      <c r="C1478" s="10"/>
      <c r="D1478" s="10"/>
      <c r="E1478" s="10"/>
      <c r="F1478" s="10"/>
      <c r="G1478" s="10"/>
      <c r="H1478" s="17"/>
      <c r="I1478" s="10"/>
      <c r="J1478" s="10"/>
      <c r="K1478" s="16" t="str">
        <f t="shared" si="488"/>
        <v/>
      </c>
      <c r="L1478" s="23" t="str">
        <f t="shared" si="489"/>
        <v/>
      </c>
      <c r="M1478" s="22" t="str">
        <f t="shared" si="490"/>
        <v/>
      </c>
      <c r="N1478" s="72"/>
      <c r="O1478" s="16" t="str">
        <f t="shared" si="491"/>
        <v/>
      </c>
      <c r="P1478" s="16" t="str">
        <f t="shared" si="492"/>
        <v/>
      </c>
      <c r="Q1478" s="16" t="str">
        <f t="shared" si="493"/>
        <v/>
      </c>
      <c r="R1478" s="23" t="str">
        <f t="shared" si="494"/>
        <v/>
      </c>
      <c r="S1478" s="23" t="str">
        <f t="shared" si="495"/>
        <v/>
      </c>
      <c r="T1478" s="23" t="str">
        <f t="shared" si="496"/>
        <v/>
      </c>
      <c r="U1478" s="23" t="str">
        <f t="shared" si="497"/>
        <v/>
      </c>
      <c r="V1478" s="23" t="str">
        <f t="shared" si="498"/>
        <v/>
      </c>
      <c r="W1478" s="70" t="str">
        <f t="shared" si="499"/>
        <v/>
      </c>
      <c r="X1478" s="70" t="str">
        <f t="shared" si="500"/>
        <v/>
      </c>
      <c r="Y1478" s="70" t="str">
        <f>IF(AND($A1478&lt;&gt;"",$E1478&gt;0),isLaptopBag($C1478,$J1478)*$D1478,"")</f>
        <v/>
      </c>
      <c r="Z1478" s="70" t="str">
        <f t="shared" si="501"/>
        <v/>
      </c>
      <c r="AA1478" s="70" t="str">
        <f t="shared" si="502"/>
        <v/>
      </c>
      <c r="AB1478" s="70" t="str">
        <f t="shared" si="503"/>
        <v/>
      </c>
      <c r="AC1478" s="70" t="str">
        <f t="shared" si="504"/>
        <v/>
      </c>
      <c r="AD1478" s="70" t="str">
        <f t="shared" si="505"/>
        <v/>
      </c>
      <c r="AE1478" s="70" t="str">
        <f t="shared" si="506"/>
        <v/>
      </c>
      <c r="AF1478" s="16"/>
      <c r="AG1478" s="23"/>
      <c r="AH1478" s="22"/>
      <c r="AJ1478" s="83">
        <f t="shared" si="507"/>
        <v>0</v>
      </c>
      <c r="AO1478" s="22" t="str">
        <f t="shared" si="508"/>
        <v/>
      </c>
      <c r="AP1478" s="22" t="str">
        <f t="shared" si="509"/>
        <v/>
      </c>
    </row>
    <row r="1479" spans="1:42" x14ac:dyDescent="0.25">
      <c r="A1479" s="10"/>
      <c r="B1479" s="10"/>
      <c r="C1479" s="10"/>
      <c r="D1479" s="10"/>
      <c r="E1479" s="10"/>
      <c r="F1479" s="10"/>
      <c r="G1479" s="10"/>
      <c r="H1479" s="17"/>
      <c r="I1479" s="10"/>
      <c r="J1479" s="10"/>
      <c r="K1479" s="16" t="str">
        <f t="shared" si="488"/>
        <v/>
      </c>
      <c r="L1479" s="23" t="str">
        <f t="shared" si="489"/>
        <v/>
      </c>
      <c r="M1479" s="22" t="str">
        <f t="shared" si="490"/>
        <v/>
      </c>
      <c r="N1479" s="72"/>
      <c r="O1479" s="16" t="str">
        <f t="shared" si="491"/>
        <v/>
      </c>
      <c r="P1479" s="16" t="str">
        <f t="shared" si="492"/>
        <v/>
      </c>
      <c r="Q1479" s="16" t="str">
        <f t="shared" si="493"/>
        <v/>
      </c>
      <c r="R1479" s="23" t="str">
        <f t="shared" si="494"/>
        <v/>
      </c>
      <c r="S1479" s="23" t="str">
        <f t="shared" si="495"/>
        <v/>
      </c>
      <c r="T1479" s="23" t="str">
        <f t="shared" si="496"/>
        <v/>
      </c>
      <c r="U1479" s="23" t="str">
        <f t="shared" si="497"/>
        <v/>
      </c>
      <c r="V1479" s="23" t="str">
        <f t="shared" si="498"/>
        <v/>
      </c>
      <c r="W1479" s="70" t="str">
        <f t="shared" si="499"/>
        <v/>
      </c>
      <c r="X1479" s="70" t="str">
        <f t="shared" si="500"/>
        <v/>
      </c>
      <c r="Y1479" s="70" t="str">
        <f>IF(AND($A1479&lt;&gt;"",$E1479&gt;0),isLaptopBag($C1479,$J1479)*$D1479,"")</f>
        <v/>
      </c>
      <c r="Z1479" s="70" t="str">
        <f t="shared" si="501"/>
        <v/>
      </c>
      <c r="AA1479" s="70" t="str">
        <f t="shared" si="502"/>
        <v/>
      </c>
      <c r="AB1479" s="70" t="str">
        <f t="shared" si="503"/>
        <v/>
      </c>
      <c r="AC1479" s="70" t="str">
        <f t="shared" si="504"/>
        <v/>
      </c>
      <c r="AD1479" s="70" t="str">
        <f t="shared" si="505"/>
        <v/>
      </c>
      <c r="AE1479" s="70" t="str">
        <f t="shared" si="506"/>
        <v/>
      </c>
      <c r="AF1479" s="16"/>
      <c r="AG1479" s="23"/>
      <c r="AH1479" s="22"/>
      <c r="AJ1479" s="83">
        <f t="shared" si="507"/>
        <v>0</v>
      </c>
      <c r="AO1479" s="22" t="str">
        <f t="shared" si="508"/>
        <v/>
      </c>
      <c r="AP1479" s="22" t="str">
        <f t="shared" si="509"/>
        <v/>
      </c>
    </row>
    <row r="1480" spans="1:42" x14ac:dyDescent="0.25">
      <c r="A1480" s="10"/>
      <c r="B1480" s="10"/>
      <c r="C1480" s="10"/>
      <c r="D1480" s="10"/>
      <c r="E1480" s="10"/>
      <c r="F1480" s="10"/>
      <c r="G1480" s="10"/>
      <c r="H1480" s="17"/>
      <c r="I1480" s="10"/>
      <c r="J1480" s="10"/>
      <c r="K1480" s="16" t="str">
        <f t="shared" si="488"/>
        <v/>
      </c>
      <c r="L1480" s="23" t="str">
        <f t="shared" si="489"/>
        <v/>
      </c>
      <c r="M1480" s="22" t="str">
        <f t="shared" si="490"/>
        <v/>
      </c>
      <c r="N1480" s="72"/>
      <c r="O1480" s="16" t="str">
        <f t="shared" si="491"/>
        <v/>
      </c>
      <c r="P1480" s="16" t="str">
        <f t="shared" si="492"/>
        <v/>
      </c>
      <c r="Q1480" s="16" t="str">
        <f t="shared" si="493"/>
        <v/>
      </c>
      <c r="R1480" s="23" t="str">
        <f t="shared" si="494"/>
        <v/>
      </c>
      <c r="S1480" s="23" t="str">
        <f t="shared" si="495"/>
        <v/>
      </c>
      <c r="T1480" s="23" t="str">
        <f t="shared" si="496"/>
        <v/>
      </c>
      <c r="U1480" s="23" t="str">
        <f t="shared" si="497"/>
        <v/>
      </c>
      <c r="V1480" s="23" t="str">
        <f t="shared" si="498"/>
        <v/>
      </c>
      <c r="W1480" s="70" t="str">
        <f t="shared" si="499"/>
        <v/>
      </c>
      <c r="X1480" s="70" t="str">
        <f t="shared" si="500"/>
        <v/>
      </c>
      <c r="Y1480" s="70" t="str">
        <f>IF(AND($A1480&lt;&gt;"",$E1480&gt;0),isLaptopBag($C1480,$J1480)*$D1480,"")</f>
        <v/>
      </c>
      <c r="Z1480" s="70" t="str">
        <f t="shared" si="501"/>
        <v/>
      </c>
      <c r="AA1480" s="70" t="str">
        <f t="shared" si="502"/>
        <v/>
      </c>
      <c r="AB1480" s="70" t="str">
        <f t="shared" si="503"/>
        <v/>
      </c>
      <c r="AC1480" s="70" t="str">
        <f t="shared" si="504"/>
        <v/>
      </c>
      <c r="AD1480" s="70" t="str">
        <f t="shared" si="505"/>
        <v/>
      </c>
      <c r="AE1480" s="70" t="str">
        <f t="shared" si="506"/>
        <v/>
      </c>
      <c r="AF1480" s="16"/>
      <c r="AG1480" s="23"/>
      <c r="AH1480" s="22"/>
      <c r="AJ1480" s="83">
        <f t="shared" si="507"/>
        <v>0</v>
      </c>
      <c r="AO1480" s="22" t="str">
        <f t="shared" si="508"/>
        <v/>
      </c>
      <c r="AP1480" s="22" t="str">
        <f t="shared" si="509"/>
        <v/>
      </c>
    </row>
    <row r="1481" spans="1:42" x14ac:dyDescent="0.25">
      <c r="A1481" s="10"/>
      <c r="B1481" s="10"/>
      <c r="C1481" s="10"/>
      <c r="D1481" s="10"/>
      <c r="E1481" s="10"/>
      <c r="F1481" s="10"/>
      <c r="G1481" s="10"/>
      <c r="H1481" s="17"/>
      <c r="I1481" s="10"/>
      <c r="J1481" s="10"/>
      <c r="K1481" s="16" t="str">
        <f t="shared" si="488"/>
        <v/>
      </c>
      <c r="L1481" s="23" t="str">
        <f t="shared" si="489"/>
        <v/>
      </c>
      <c r="M1481" s="22" t="str">
        <f t="shared" si="490"/>
        <v/>
      </c>
      <c r="N1481" s="72"/>
      <c r="O1481" s="16" t="str">
        <f t="shared" si="491"/>
        <v/>
      </c>
      <c r="P1481" s="16" t="str">
        <f t="shared" si="492"/>
        <v/>
      </c>
      <c r="Q1481" s="16" t="str">
        <f t="shared" si="493"/>
        <v/>
      </c>
      <c r="R1481" s="23" t="str">
        <f t="shared" si="494"/>
        <v/>
      </c>
      <c r="S1481" s="23" t="str">
        <f t="shared" si="495"/>
        <v/>
      </c>
      <c r="T1481" s="23" t="str">
        <f t="shared" si="496"/>
        <v/>
      </c>
      <c r="U1481" s="23" t="str">
        <f t="shared" si="497"/>
        <v/>
      </c>
      <c r="V1481" s="23" t="str">
        <f t="shared" si="498"/>
        <v/>
      </c>
      <c r="W1481" s="70" t="str">
        <f t="shared" si="499"/>
        <v/>
      </c>
      <c r="X1481" s="70" t="str">
        <f t="shared" si="500"/>
        <v/>
      </c>
      <c r="Y1481" s="70" t="str">
        <f>IF(AND($A1481&lt;&gt;"",$E1481&gt;0),isLaptopBag($C1481,$J1481)*$D1481,"")</f>
        <v/>
      </c>
      <c r="Z1481" s="70" t="str">
        <f t="shared" si="501"/>
        <v/>
      </c>
      <c r="AA1481" s="70" t="str">
        <f t="shared" si="502"/>
        <v/>
      </c>
      <c r="AB1481" s="70" t="str">
        <f t="shared" si="503"/>
        <v/>
      </c>
      <c r="AC1481" s="70" t="str">
        <f t="shared" si="504"/>
        <v/>
      </c>
      <c r="AD1481" s="70" t="str">
        <f t="shared" si="505"/>
        <v/>
      </c>
      <c r="AE1481" s="70" t="str">
        <f t="shared" si="506"/>
        <v/>
      </c>
      <c r="AF1481" s="16"/>
      <c r="AG1481" s="23"/>
      <c r="AH1481" s="22"/>
      <c r="AJ1481" s="83">
        <f t="shared" si="507"/>
        <v>0</v>
      </c>
      <c r="AO1481" s="22" t="str">
        <f t="shared" si="508"/>
        <v/>
      </c>
      <c r="AP1481" s="22" t="str">
        <f t="shared" si="509"/>
        <v/>
      </c>
    </row>
    <row r="1482" spans="1:42" x14ac:dyDescent="0.25">
      <c r="A1482" s="10"/>
      <c r="B1482" s="10"/>
      <c r="C1482" s="10"/>
      <c r="D1482" s="10"/>
      <c r="E1482" s="10"/>
      <c r="F1482" s="10"/>
      <c r="G1482" s="10"/>
      <c r="H1482" s="17"/>
      <c r="I1482" s="10"/>
      <c r="J1482" s="10"/>
      <c r="K1482" s="16" t="str">
        <f t="shared" si="488"/>
        <v/>
      </c>
      <c r="L1482" s="23" t="str">
        <f t="shared" si="489"/>
        <v/>
      </c>
      <c r="M1482" s="22" t="str">
        <f t="shared" si="490"/>
        <v/>
      </c>
      <c r="N1482" s="72"/>
      <c r="O1482" s="16" t="str">
        <f t="shared" si="491"/>
        <v/>
      </c>
      <c r="P1482" s="16" t="str">
        <f t="shared" si="492"/>
        <v/>
      </c>
      <c r="Q1482" s="16" t="str">
        <f t="shared" si="493"/>
        <v/>
      </c>
      <c r="R1482" s="23" t="str">
        <f t="shared" si="494"/>
        <v/>
      </c>
      <c r="S1482" s="23" t="str">
        <f t="shared" si="495"/>
        <v/>
      </c>
      <c r="T1482" s="23" t="str">
        <f t="shared" si="496"/>
        <v/>
      </c>
      <c r="U1482" s="23" t="str">
        <f t="shared" si="497"/>
        <v/>
      </c>
      <c r="V1482" s="23" t="str">
        <f t="shared" si="498"/>
        <v/>
      </c>
      <c r="W1482" s="70" t="str">
        <f t="shared" si="499"/>
        <v/>
      </c>
      <c r="X1482" s="70" t="str">
        <f t="shared" si="500"/>
        <v/>
      </c>
      <c r="Y1482" s="70" t="str">
        <f>IF(AND($A1482&lt;&gt;"",$E1482&gt;0),isLaptopBag($C1482,$J1482)*$D1482,"")</f>
        <v/>
      </c>
      <c r="Z1482" s="70" t="str">
        <f t="shared" si="501"/>
        <v/>
      </c>
      <c r="AA1482" s="70" t="str">
        <f t="shared" si="502"/>
        <v/>
      </c>
      <c r="AB1482" s="70" t="str">
        <f t="shared" si="503"/>
        <v/>
      </c>
      <c r="AC1482" s="70" t="str">
        <f t="shared" si="504"/>
        <v/>
      </c>
      <c r="AD1482" s="70" t="str">
        <f t="shared" si="505"/>
        <v/>
      </c>
      <c r="AE1482" s="70" t="str">
        <f t="shared" si="506"/>
        <v/>
      </c>
      <c r="AF1482" s="16"/>
      <c r="AG1482" s="23"/>
      <c r="AH1482" s="22"/>
      <c r="AJ1482" s="83">
        <f t="shared" si="507"/>
        <v>0</v>
      </c>
      <c r="AO1482" s="22" t="str">
        <f t="shared" si="508"/>
        <v/>
      </c>
      <c r="AP1482" s="22" t="str">
        <f t="shared" si="509"/>
        <v/>
      </c>
    </row>
    <row r="1483" spans="1:42" x14ac:dyDescent="0.25">
      <c r="A1483" s="10"/>
      <c r="B1483" s="10"/>
      <c r="C1483" s="10"/>
      <c r="D1483" s="10"/>
      <c r="E1483" s="10"/>
      <c r="F1483" s="10"/>
      <c r="G1483" s="10"/>
      <c r="H1483" s="17"/>
      <c r="I1483" s="10"/>
      <c r="J1483" s="10"/>
      <c r="K1483" s="16" t="str">
        <f t="shared" si="488"/>
        <v/>
      </c>
      <c r="L1483" s="23" t="str">
        <f t="shared" si="489"/>
        <v/>
      </c>
      <c r="M1483" s="22" t="str">
        <f t="shared" si="490"/>
        <v/>
      </c>
      <c r="N1483" s="72"/>
      <c r="O1483" s="16" t="str">
        <f t="shared" si="491"/>
        <v/>
      </c>
      <c r="P1483" s="16" t="str">
        <f t="shared" si="492"/>
        <v/>
      </c>
      <c r="Q1483" s="16" t="str">
        <f t="shared" si="493"/>
        <v/>
      </c>
      <c r="R1483" s="23" t="str">
        <f t="shared" si="494"/>
        <v/>
      </c>
      <c r="S1483" s="23" t="str">
        <f t="shared" si="495"/>
        <v/>
      </c>
      <c r="T1483" s="23" t="str">
        <f t="shared" si="496"/>
        <v/>
      </c>
      <c r="U1483" s="23" t="str">
        <f t="shared" si="497"/>
        <v/>
      </c>
      <c r="V1483" s="23" t="str">
        <f t="shared" si="498"/>
        <v/>
      </c>
      <c r="W1483" s="70" t="str">
        <f t="shared" si="499"/>
        <v/>
      </c>
      <c r="X1483" s="70" t="str">
        <f t="shared" si="500"/>
        <v/>
      </c>
      <c r="Y1483" s="70" t="str">
        <f>IF(AND($A1483&lt;&gt;"",$E1483&gt;0),isLaptopBag($C1483,$J1483)*$D1483,"")</f>
        <v/>
      </c>
      <c r="Z1483" s="70" t="str">
        <f t="shared" si="501"/>
        <v/>
      </c>
      <c r="AA1483" s="70" t="str">
        <f t="shared" si="502"/>
        <v/>
      </c>
      <c r="AB1483" s="70" t="str">
        <f t="shared" si="503"/>
        <v/>
      </c>
      <c r="AC1483" s="70" t="str">
        <f t="shared" si="504"/>
        <v/>
      </c>
      <c r="AD1483" s="70" t="str">
        <f t="shared" si="505"/>
        <v/>
      </c>
      <c r="AE1483" s="70" t="str">
        <f t="shared" si="506"/>
        <v/>
      </c>
      <c r="AF1483" s="16"/>
      <c r="AG1483" s="23"/>
      <c r="AH1483" s="22"/>
      <c r="AJ1483" s="83">
        <f t="shared" si="507"/>
        <v>0</v>
      </c>
      <c r="AO1483" s="22" t="str">
        <f t="shared" si="508"/>
        <v/>
      </c>
      <c r="AP1483" s="22" t="str">
        <f t="shared" si="509"/>
        <v/>
      </c>
    </row>
    <row r="1484" spans="1:42" x14ac:dyDescent="0.25">
      <c r="A1484" s="10"/>
      <c r="B1484" s="10"/>
      <c r="C1484" s="10"/>
      <c r="D1484" s="10"/>
      <c r="E1484" s="10"/>
      <c r="F1484" s="10"/>
      <c r="G1484" s="10"/>
      <c r="H1484" s="17"/>
      <c r="I1484" s="10"/>
      <c r="J1484" s="10"/>
      <c r="K1484" s="16" t="str">
        <f t="shared" si="488"/>
        <v/>
      </c>
      <c r="L1484" s="23" t="str">
        <f t="shared" si="489"/>
        <v/>
      </c>
      <c r="M1484" s="22" t="str">
        <f t="shared" si="490"/>
        <v/>
      </c>
      <c r="N1484" s="72"/>
      <c r="O1484" s="16" t="str">
        <f t="shared" si="491"/>
        <v/>
      </c>
      <c r="P1484" s="16" t="str">
        <f t="shared" si="492"/>
        <v/>
      </c>
      <c r="Q1484" s="16" t="str">
        <f t="shared" si="493"/>
        <v/>
      </c>
      <c r="R1484" s="23" t="str">
        <f t="shared" si="494"/>
        <v/>
      </c>
      <c r="S1484" s="23" t="str">
        <f t="shared" si="495"/>
        <v/>
      </c>
      <c r="T1484" s="23" t="str">
        <f t="shared" si="496"/>
        <v/>
      </c>
      <c r="U1484" s="23" t="str">
        <f t="shared" si="497"/>
        <v/>
      </c>
      <c r="V1484" s="23" t="str">
        <f t="shared" si="498"/>
        <v/>
      </c>
      <c r="W1484" s="70" t="str">
        <f t="shared" si="499"/>
        <v/>
      </c>
      <c r="X1484" s="70" t="str">
        <f t="shared" si="500"/>
        <v/>
      </c>
      <c r="Y1484" s="70" t="str">
        <f>IF(AND($A1484&lt;&gt;"",$E1484&gt;0),isLaptopBag($C1484,$J1484)*$D1484,"")</f>
        <v/>
      </c>
      <c r="Z1484" s="70" t="str">
        <f t="shared" si="501"/>
        <v/>
      </c>
      <c r="AA1484" s="70" t="str">
        <f t="shared" si="502"/>
        <v/>
      </c>
      <c r="AB1484" s="70" t="str">
        <f t="shared" si="503"/>
        <v/>
      </c>
      <c r="AC1484" s="70" t="str">
        <f t="shared" si="504"/>
        <v/>
      </c>
      <c r="AD1484" s="70" t="str">
        <f t="shared" si="505"/>
        <v/>
      </c>
      <c r="AE1484" s="70" t="str">
        <f t="shared" si="506"/>
        <v/>
      </c>
      <c r="AF1484" s="16"/>
      <c r="AG1484" s="23"/>
      <c r="AH1484" s="22"/>
      <c r="AJ1484" s="83">
        <f t="shared" si="507"/>
        <v>0</v>
      </c>
      <c r="AO1484" s="22" t="str">
        <f t="shared" si="508"/>
        <v/>
      </c>
      <c r="AP1484" s="22" t="str">
        <f t="shared" si="509"/>
        <v/>
      </c>
    </row>
    <row r="1485" spans="1:42" x14ac:dyDescent="0.25">
      <c r="A1485" s="10"/>
      <c r="B1485" s="10"/>
      <c r="C1485" s="10"/>
      <c r="D1485" s="10"/>
      <c r="E1485" s="10"/>
      <c r="F1485" s="10"/>
      <c r="G1485" s="10"/>
      <c r="H1485" s="17"/>
      <c r="I1485" s="10"/>
      <c r="J1485" s="10"/>
      <c r="K1485" s="16" t="str">
        <f t="shared" ref="K1485:K1548" si="510">IF($AF1485&lt;&gt;"",$AF1485,IF(AND($A1485&lt;&gt;"",$E1485&gt;0),SUM($O1485:$Q1485),""))</f>
        <v/>
      </c>
      <c r="L1485" s="23" t="str">
        <f t="shared" ref="L1485:L1548" si="511">IF($AG1485&lt;&gt;"",$AG1485,IF(AND($A1485&lt;&gt;"",$E1485&gt;0),SUM($R1485:$V1485),""))</f>
        <v/>
      </c>
      <c r="M1485" s="22" t="str">
        <f t="shared" ref="M1485:M1548" si="512">IF($AH1485&lt;&gt;"",$AH1485,IF(AND($A1485&lt;&gt;"",$E1485&gt;0),SUM($W1485:$AE1485)+$AO1485+$AP1485,""))</f>
        <v/>
      </c>
      <c r="N1485" s="72"/>
      <c r="O1485" s="16" t="str">
        <f t="shared" ref="O1485:O1548" si="513">IF(AND($A1485&lt;&gt;"",$E1485&gt;0),IF(AND($J1485="SONY",200000&lt;=$E1485,$E1485&lt;1000000),5000*$D1485,0),"")</f>
        <v/>
      </c>
      <c r="P1485" s="16" t="str">
        <f t="shared" ref="P1485:P1548" si="514">IF(AND($A1485&lt;&gt;"",$E1485&gt;0),IF(AND($J1485="SONY",1000000&lt;=$E1485,$E1485&lt;2000000),10000*$D1485,0),"")</f>
        <v/>
      </c>
      <c r="Q1485" s="16" t="str">
        <f t="shared" ref="Q1485:Q1548" si="515">IF(AND($A1485&lt;&gt;"",$E1485&gt;0),IF(AND($J1485="SONY",$E1485&gt;=2000000),20000*$D1485,0),"")</f>
        <v/>
      </c>
      <c r="R1485" s="23" t="str">
        <f t="shared" ref="R1485:R1548" si="516">IF(AND($A1485&lt;&gt;"",$E1485&gt;0),IF(AND($J1485&lt;&gt;"SONY",100000&lt;=$E1485,$E1485&lt;200000),5000*$D1485,0),"")</f>
        <v/>
      </c>
      <c r="S1485" s="23" t="str">
        <f t="shared" ref="S1485:S1548" si="517">IF(AND($A1485&lt;&gt;"",$E1485&gt;0),IF(AND($J1485&lt;&gt;"SONY",200000&lt;=$E1485,$E1485&lt;500000),10000*$D1485,0),"")</f>
        <v/>
      </c>
      <c r="T1485" s="23" t="str">
        <f t="shared" ref="T1485:T1548" si="518">IF(AND($A1485&lt;&gt;"",$E1485&gt;0),IF(AND($J1485&lt;&gt;"SONY",500000&lt;=$E1485,$E1485&lt;1000000),20000*$D1485,0),"")</f>
        <v/>
      </c>
      <c r="U1485" s="23" t="str">
        <f t="shared" ref="U1485:U1548" si="519">IF(AND($A1485&lt;&gt;"",$E1485&gt;0),IF(AND($J1485&lt;&gt;"SONY",1000000&lt;=$E1485,$E1485&lt;1500000),50000*$D1485,0),"")</f>
        <v/>
      </c>
      <c r="V1485" s="23" t="str">
        <f t="shared" ref="V1485:V1548" si="520">IF(AND($A1485&lt;&gt;"",$E1485&gt;0),IF(AND($J1485&lt;&gt;"SONY",1500000&lt;=$E1485),100000*$D1485,0),"")</f>
        <v/>
      </c>
      <c r="W1485" s="70" t="str">
        <f t="shared" ref="W1485:W1548" si="521">IF(AND($E1485&gt;0,$J1485="ELECOM",$E1485&gt;=500000,ISNUMBER(SEARCH("tai nghe",$C1485))),20000*$D1485,IF($A1485&lt;&gt;"",0,""))</f>
        <v/>
      </c>
      <c r="X1485" s="70" t="str">
        <f t="shared" ref="X1485:X1548" si="522">IF(AND($E1485&gt;0,$J1485="ELECOM",ISNUMBER(SEARCH("loa",$C1485))),20000*$D1485,IF($A1485&lt;&gt;"",0,""))</f>
        <v/>
      </c>
      <c r="Y1485" s="70" t="str">
        <f>IF(AND($A1485&lt;&gt;"",$E1485&gt;0),isLaptopBag($C1485,$J1485)*$D1485,"")</f>
        <v/>
      </c>
      <c r="Z1485" s="70" t="str">
        <f t="shared" ref="Z1485:Z1548" si="523">IF(AND($E1485&gt;0,$J1485="ELECOM",ISNUMBER(SEARCH("ốp",$C1485))),20000*$D1485,IF($A1485&lt;&gt;"",0,""))</f>
        <v/>
      </c>
      <c r="AA1485" s="70" t="str">
        <f t="shared" ref="AA1485:AA1548" si="524">IF(AND($E1485&gt;0,$J1485="ELECOM",ISNUMBER(SEARCH("Bút",$C1485))),20000*$D1485,IF($A1485&lt;&gt;"",0,""))</f>
        <v/>
      </c>
      <c r="AB1485" s="70" t="str">
        <f t="shared" ref="AB1485:AB1548" si="525">IF(AND($E1485&gt;0,$J1485="ELECOM",ISNUMBER(SEARCH("Chuột bi",$C1485))),20000*$D1485,IF($A1485&lt;&gt;"",0,""))</f>
        <v/>
      </c>
      <c r="AC1485" s="70" t="str">
        <f t="shared" ref="AC1485:AC1548" si="526">IF(AND($E1485&gt;0,$J1485="ELECOM",ISNUMBER(SEARCH("Chuột trackball",$C1485))),20000*$D1485,IF($A1485&lt;&gt;"",0,""))</f>
        <v/>
      </c>
      <c r="AD1485" s="70" t="str">
        <f t="shared" ref="AD1485:AD1548" si="527">IF(AND($E1485&gt;0,$J1485="ELECOM",ISNUMBER(SEARCH("Sạc không dây",$C1485))),20000*$D1485,IF($A1485&lt;&gt;"",0,""))</f>
        <v/>
      </c>
      <c r="AE1485" s="70" t="str">
        <f t="shared" ref="AE1485:AE1548" si="528">IF(AND($E1485&gt;0,$J1485="ELECOM",ISNUMBER(SEARCH("Sạc kd",$C1485))),20000*$D1485,IF($A1485&lt;&gt;"",0,""))</f>
        <v/>
      </c>
      <c r="AF1485" s="16"/>
      <c r="AG1485" s="23"/>
      <c r="AH1485" s="22"/>
      <c r="AJ1485" s="83">
        <f t="shared" ref="AJ1485:AJ1548" si="529">DAY(H1485)</f>
        <v>0</v>
      </c>
      <c r="AO1485" s="22" t="str">
        <f t="shared" ref="AO1485:AO1548" si="530">IF(AND($E1485&gt;0,ISNUMBER(SEARCH("Sạc dự phòng Energizer",$C1485))),10000*$D1485,IF($A1485&lt;&gt;"",0,""))</f>
        <v/>
      </c>
      <c r="AP1485" s="22" t="str">
        <f t="shared" ref="AP1485:AP1548" si="531">IF(AND($E1485&gt;0,ISNUMBER(SEARCH("SDP Energizer",$C1485))),10000*$D1485,IF($A1485&lt;&gt;"",0,""))</f>
        <v/>
      </c>
    </row>
    <row r="1486" spans="1:42" x14ac:dyDescent="0.25">
      <c r="A1486" s="10"/>
      <c r="B1486" s="10"/>
      <c r="C1486" s="10"/>
      <c r="D1486" s="10"/>
      <c r="E1486" s="10"/>
      <c r="F1486" s="10"/>
      <c r="G1486" s="10"/>
      <c r="H1486" s="17"/>
      <c r="I1486" s="10"/>
      <c r="J1486" s="10"/>
      <c r="K1486" s="16" t="str">
        <f t="shared" si="510"/>
        <v/>
      </c>
      <c r="L1486" s="23" t="str">
        <f t="shared" si="511"/>
        <v/>
      </c>
      <c r="M1486" s="22" t="str">
        <f t="shared" si="512"/>
        <v/>
      </c>
      <c r="N1486" s="72"/>
      <c r="O1486" s="16" t="str">
        <f t="shared" si="513"/>
        <v/>
      </c>
      <c r="P1486" s="16" t="str">
        <f t="shared" si="514"/>
        <v/>
      </c>
      <c r="Q1486" s="16" t="str">
        <f t="shared" si="515"/>
        <v/>
      </c>
      <c r="R1486" s="23" t="str">
        <f t="shared" si="516"/>
        <v/>
      </c>
      <c r="S1486" s="23" t="str">
        <f t="shared" si="517"/>
        <v/>
      </c>
      <c r="T1486" s="23" t="str">
        <f t="shared" si="518"/>
        <v/>
      </c>
      <c r="U1486" s="23" t="str">
        <f t="shared" si="519"/>
        <v/>
      </c>
      <c r="V1486" s="23" t="str">
        <f t="shared" si="520"/>
        <v/>
      </c>
      <c r="W1486" s="70" t="str">
        <f t="shared" si="521"/>
        <v/>
      </c>
      <c r="X1486" s="70" t="str">
        <f t="shared" si="522"/>
        <v/>
      </c>
      <c r="Y1486" s="70" t="str">
        <f>IF(AND($A1486&lt;&gt;"",$E1486&gt;0),isLaptopBag($C1486,$J1486)*$D1486,"")</f>
        <v/>
      </c>
      <c r="Z1486" s="70" t="str">
        <f t="shared" si="523"/>
        <v/>
      </c>
      <c r="AA1486" s="70" t="str">
        <f t="shared" si="524"/>
        <v/>
      </c>
      <c r="AB1486" s="70" t="str">
        <f t="shared" si="525"/>
        <v/>
      </c>
      <c r="AC1486" s="70" t="str">
        <f t="shared" si="526"/>
        <v/>
      </c>
      <c r="AD1486" s="70" t="str">
        <f t="shared" si="527"/>
        <v/>
      </c>
      <c r="AE1486" s="70" t="str">
        <f t="shared" si="528"/>
        <v/>
      </c>
      <c r="AF1486" s="16"/>
      <c r="AG1486" s="23"/>
      <c r="AH1486" s="22"/>
      <c r="AJ1486" s="83">
        <f t="shared" si="529"/>
        <v>0</v>
      </c>
      <c r="AO1486" s="22" t="str">
        <f t="shared" si="530"/>
        <v/>
      </c>
      <c r="AP1486" s="22" t="str">
        <f t="shared" si="531"/>
        <v/>
      </c>
    </row>
    <row r="1487" spans="1:42" x14ac:dyDescent="0.25">
      <c r="A1487" s="10"/>
      <c r="B1487" s="10"/>
      <c r="C1487" s="10"/>
      <c r="D1487" s="10"/>
      <c r="E1487" s="10"/>
      <c r="F1487" s="10"/>
      <c r="G1487" s="10"/>
      <c r="H1487" s="17"/>
      <c r="I1487" s="10"/>
      <c r="J1487" s="10"/>
      <c r="K1487" s="16" t="str">
        <f t="shared" si="510"/>
        <v/>
      </c>
      <c r="L1487" s="23" t="str">
        <f t="shared" si="511"/>
        <v/>
      </c>
      <c r="M1487" s="22" t="str">
        <f t="shared" si="512"/>
        <v/>
      </c>
      <c r="N1487" s="72"/>
      <c r="O1487" s="16" t="str">
        <f t="shared" si="513"/>
        <v/>
      </c>
      <c r="P1487" s="16" t="str">
        <f t="shared" si="514"/>
        <v/>
      </c>
      <c r="Q1487" s="16" t="str">
        <f t="shared" si="515"/>
        <v/>
      </c>
      <c r="R1487" s="23" t="str">
        <f t="shared" si="516"/>
        <v/>
      </c>
      <c r="S1487" s="23" t="str">
        <f t="shared" si="517"/>
        <v/>
      </c>
      <c r="T1487" s="23" t="str">
        <f t="shared" si="518"/>
        <v/>
      </c>
      <c r="U1487" s="23" t="str">
        <f t="shared" si="519"/>
        <v/>
      </c>
      <c r="V1487" s="23" t="str">
        <f t="shared" si="520"/>
        <v/>
      </c>
      <c r="W1487" s="70" t="str">
        <f t="shared" si="521"/>
        <v/>
      </c>
      <c r="X1487" s="70" t="str">
        <f t="shared" si="522"/>
        <v/>
      </c>
      <c r="Y1487" s="70" t="str">
        <f>IF(AND($A1487&lt;&gt;"",$E1487&gt;0),isLaptopBag($C1487,$J1487)*$D1487,"")</f>
        <v/>
      </c>
      <c r="Z1487" s="70" t="str">
        <f t="shared" si="523"/>
        <v/>
      </c>
      <c r="AA1487" s="70" t="str">
        <f t="shared" si="524"/>
        <v/>
      </c>
      <c r="AB1487" s="70" t="str">
        <f t="shared" si="525"/>
        <v/>
      </c>
      <c r="AC1487" s="70" t="str">
        <f t="shared" si="526"/>
        <v/>
      </c>
      <c r="AD1487" s="70" t="str">
        <f t="shared" si="527"/>
        <v/>
      </c>
      <c r="AE1487" s="70" t="str">
        <f t="shared" si="528"/>
        <v/>
      </c>
      <c r="AF1487" s="16"/>
      <c r="AG1487" s="23"/>
      <c r="AH1487" s="22"/>
      <c r="AJ1487" s="83">
        <f t="shared" si="529"/>
        <v>0</v>
      </c>
      <c r="AO1487" s="22" t="str">
        <f t="shared" si="530"/>
        <v/>
      </c>
      <c r="AP1487" s="22" t="str">
        <f t="shared" si="531"/>
        <v/>
      </c>
    </row>
    <row r="1488" spans="1:42" x14ac:dyDescent="0.25">
      <c r="A1488" s="10"/>
      <c r="B1488" s="10"/>
      <c r="C1488" s="10"/>
      <c r="D1488" s="10"/>
      <c r="E1488" s="10"/>
      <c r="F1488" s="10"/>
      <c r="G1488" s="10"/>
      <c r="H1488" s="17"/>
      <c r="I1488" s="10"/>
      <c r="J1488" s="10"/>
      <c r="K1488" s="16" t="str">
        <f t="shared" si="510"/>
        <v/>
      </c>
      <c r="L1488" s="23" t="str">
        <f t="shared" si="511"/>
        <v/>
      </c>
      <c r="M1488" s="22" t="str">
        <f t="shared" si="512"/>
        <v/>
      </c>
      <c r="N1488" s="72"/>
      <c r="O1488" s="16" t="str">
        <f t="shared" si="513"/>
        <v/>
      </c>
      <c r="P1488" s="16" t="str">
        <f t="shared" si="514"/>
        <v/>
      </c>
      <c r="Q1488" s="16" t="str">
        <f t="shared" si="515"/>
        <v/>
      </c>
      <c r="R1488" s="23" t="str">
        <f t="shared" si="516"/>
        <v/>
      </c>
      <c r="S1488" s="23" t="str">
        <f t="shared" si="517"/>
        <v/>
      </c>
      <c r="T1488" s="23" t="str">
        <f t="shared" si="518"/>
        <v/>
      </c>
      <c r="U1488" s="23" t="str">
        <f t="shared" si="519"/>
        <v/>
      </c>
      <c r="V1488" s="23" t="str">
        <f t="shared" si="520"/>
        <v/>
      </c>
      <c r="W1488" s="70" t="str">
        <f t="shared" si="521"/>
        <v/>
      </c>
      <c r="X1488" s="70" t="str">
        <f t="shared" si="522"/>
        <v/>
      </c>
      <c r="Y1488" s="70" t="str">
        <f>IF(AND($A1488&lt;&gt;"",$E1488&gt;0),isLaptopBag($C1488,$J1488)*$D1488,"")</f>
        <v/>
      </c>
      <c r="Z1488" s="70" t="str">
        <f t="shared" si="523"/>
        <v/>
      </c>
      <c r="AA1488" s="70" t="str">
        <f t="shared" si="524"/>
        <v/>
      </c>
      <c r="AB1488" s="70" t="str">
        <f t="shared" si="525"/>
        <v/>
      </c>
      <c r="AC1488" s="70" t="str">
        <f t="shared" si="526"/>
        <v/>
      </c>
      <c r="AD1488" s="70" t="str">
        <f t="shared" si="527"/>
        <v/>
      </c>
      <c r="AE1488" s="70" t="str">
        <f t="shared" si="528"/>
        <v/>
      </c>
      <c r="AF1488" s="16"/>
      <c r="AG1488" s="23"/>
      <c r="AH1488" s="22"/>
      <c r="AJ1488" s="83">
        <f t="shared" si="529"/>
        <v>0</v>
      </c>
      <c r="AO1488" s="22" t="str">
        <f t="shared" si="530"/>
        <v/>
      </c>
      <c r="AP1488" s="22" t="str">
        <f t="shared" si="531"/>
        <v/>
      </c>
    </row>
    <row r="1489" spans="1:42" x14ac:dyDescent="0.25">
      <c r="A1489" s="10"/>
      <c r="B1489" s="10"/>
      <c r="C1489" s="10"/>
      <c r="D1489" s="10"/>
      <c r="E1489" s="10"/>
      <c r="F1489" s="10"/>
      <c r="G1489" s="10"/>
      <c r="H1489" s="17"/>
      <c r="I1489" s="10"/>
      <c r="J1489" s="10"/>
      <c r="K1489" s="16" t="str">
        <f t="shared" si="510"/>
        <v/>
      </c>
      <c r="L1489" s="23" t="str">
        <f t="shared" si="511"/>
        <v/>
      </c>
      <c r="M1489" s="22" t="str">
        <f t="shared" si="512"/>
        <v/>
      </c>
      <c r="N1489" s="72"/>
      <c r="O1489" s="16" t="str">
        <f t="shared" si="513"/>
        <v/>
      </c>
      <c r="P1489" s="16" t="str">
        <f t="shared" si="514"/>
        <v/>
      </c>
      <c r="Q1489" s="16" t="str">
        <f t="shared" si="515"/>
        <v/>
      </c>
      <c r="R1489" s="23" t="str">
        <f t="shared" si="516"/>
        <v/>
      </c>
      <c r="S1489" s="23" t="str">
        <f t="shared" si="517"/>
        <v/>
      </c>
      <c r="T1489" s="23" t="str">
        <f t="shared" si="518"/>
        <v/>
      </c>
      <c r="U1489" s="23" t="str">
        <f t="shared" si="519"/>
        <v/>
      </c>
      <c r="V1489" s="23" t="str">
        <f t="shared" si="520"/>
        <v/>
      </c>
      <c r="W1489" s="70" t="str">
        <f t="shared" si="521"/>
        <v/>
      </c>
      <c r="X1489" s="70" t="str">
        <f t="shared" si="522"/>
        <v/>
      </c>
      <c r="Y1489" s="70" t="str">
        <f>IF(AND($A1489&lt;&gt;"",$E1489&gt;0),isLaptopBag($C1489,$J1489)*$D1489,"")</f>
        <v/>
      </c>
      <c r="Z1489" s="70" t="str">
        <f t="shared" si="523"/>
        <v/>
      </c>
      <c r="AA1489" s="70" t="str">
        <f t="shared" si="524"/>
        <v/>
      </c>
      <c r="AB1489" s="70" t="str">
        <f t="shared" si="525"/>
        <v/>
      </c>
      <c r="AC1489" s="70" t="str">
        <f t="shared" si="526"/>
        <v/>
      </c>
      <c r="AD1489" s="70" t="str">
        <f t="shared" si="527"/>
        <v/>
      </c>
      <c r="AE1489" s="70" t="str">
        <f t="shared" si="528"/>
        <v/>
      </c>
      <c r="AF1489" s="16"/>
      <c r="AG1489" s="23"/>
      <c r="AH1489" s="22"/>
      <c r="AJ1489" s="83">
        <f t="shared" si="529"/>
        <v>0</v>
      </c>
      <c r="AO1489" s="22" t="str">
        <f t="shared" si="530"/>
        <v/>
      </c>
      <c r="AP1489" s="22" t="str">
        <f t="shared" si="531"/>
        <v/>
      </c>
    </row>
    <row r="1490" spans="1:42" x14ac:dyDescent="0.25">
      <c r="A1490" s="10"/>
      <c r="B1490" s="10"/>
      <c r="C1490" s="10"/>
      <c r="D1490" s="10"/>
      <c r="E1490" s="10"/>
      <c r="F1490" s="10"/>
      <c r="G1490" s="10"/>
      <c r="H1490" s="17"/>
      <c r="I1490" s="10"/>
      <c r="J1490" s="10"/>
      <c r="K1490" s="16" t="str">
        <f t="shared" si="510"/>
        <v/>
      </c>
      <c r="L1490" s="23" t="str">
        <f t="shared" si="511"/>
        <v/>
      </c>
      <c r="M1490" s="22" t="str">
        <f t="shared" si="512"/>
        <v/>
      </c>
      <c r="N1490" s="72"/>
      <c r="O1490" s="16" t="str">
        <f t="shared" si="513"/>
        <v/>
      </c>
      <c r="P1490" s="16" t="str">
        <f t="shared" si="514"/>
        <v/>
      </c>
      <c r="Q1490" s="16" t="str">
        <f t="shared" si="515"/>
        <v/>
      </c>
      <c r="R1490" s="23" t="str">
        <f t="shared" si="516"/>
        <v/>
      </c>
      <c r="S1490" s="23" t="str">
        <f t="shared" si="517"/>
        <v/>
      </c>
      <c r="T1490" s="23" t="str">
        <f t="shared" si="518"/>
        <v/>
      </c>
      <c r="U1490" s="23" t="str">
        <f t="shared" si="519"/>
        <v/>
      </c>
      <c r="V1490" s="23" t="str">
        <f t="shared" si="520"/>
        <v/>
      </c>
      <c r="W1490" s="70" t="str">
        <f t="shared" si="521"/>
        <v/>
      </c>
      <c r="X1490" s="70" t="str">
        <f t="shared" si="522"/>
        <v/>
      </c>
      <c r="Y1490" s="70" t="str">
        <f>IF(AND($A1490&lt;&gt;"",$E1490&gt;0),isLaptopBag($C1490,$J1490)*$D1490,"")</f>
        <v/>
      </c>
      <c r="Z1490" s="70" t="str">
        <f t="shared" si="523"/>
        <v/>
      </c>
      <c r="AA1490" s="70" t="str">
        <f t="shared" si="524"/>
        <v/>
      </c>
      <c r="AB1490" s="70" t="str">
        <f t="shared" si="525"/>
        <v/>
      </c>
      <c r="AC1490" s="70" t="str">
        <f t="shared" si="526"/>
        <v/>
      </c>
      <c r="AD1490" s="70" t="str">
        <f t="shared" si="527"/>
        <v/>
      </c>
      <c r="AE1490" s="70" t="str">
        <f t="shared" si="528"/>
        <v/>
      </c>
      <c r="AF1490" s="16"/>
      <c r="AG1490" s="23"/>
      <c r="AH1490" s="22"/>
      <c r="AJ1490" s="83">
        <f t="shared" si="529"/>
        <v>0</v>
      </c>
      <c r="AO1490" s="22" t="str">
        <f t="shared" si="530"/>
        <v/>
      </c>
      <c r="AP1490" s="22" t="str">
        <f t="shared" si="531"/>
        <v/>
      </c>
    </row>
    <row r="1491" spans="1:42" x14ac:dyDescent="0.25">
      <c r="A1491" s="10"/>
      <c r="B1491" s="10"/>
      <c r="C1491" s="10"/>
      <c r="D1491" s="10"/>
      <c r="E1491" s="10"/>
      <c r="F1491" s="10"/>
      <c r="G1491" s="10"/>
      <c r="H1491" s="17"/>
      <c r="I1491" s="10"/>
      <c r="J1491" s="10"/>
      <c r="K1491" s="16" t="str">
        <f t="shared" si="510"/>
        <v/>
      </c>
      <c r="L1491" s="23" t="str">
        <f t="shared" si="511"/>
        <v/>
      </c>
      <c r="M1491" s="22" t="str">
        <f t="shared" si="512"/>
        <v/>
      </c>
      <c r="N1491" s="72"/>
      <c r="O1491" s="16" t="str">
        <f t="shared" si="513"/>
        <v/>
      </c>
      <c r="P1491" s="16" t="str">
        <f t="shared" si="514"/>
        <v/>
      </c>
      <c r="Q1491" s="16" t="str">
        <f t="shared" si="515"/>
        <v/>
      </c>
      <c r="R1491" s="23" t="str">
        <f t="shared" si="516"/>
        <v/>
      </c>
      <c r="S1491" s="23" t="str">
        <f t="shared" si="517"/>
        <v/>
      </c>
      <c r="T1491" s="23" t="str">
        <f t="shared" si="518"/>
        <v/>
      </c>
      <c r="U1491" s="23" t="str">
        <f t="shared" si="519"/>
        <v/>
      </c>
      <c r="V1491" s="23" t="str">
        <f t="shared" si="520"/>
        <v/>
      </c>
      <c r="W1491" s="70" t="str">
        <f t="shared" si="521"/>
        <v/>
      </c>
      <c r="X1491" s="70" t="str">
        <f t="shared" si="522"/>
        <v/>
      </c>
      <c r="Y1491" s="70" t="str">
        <f>IF(AND($A1491&lt;&gt;"",$E1491&gt;0),isLaptopBag($C1491,$J1491)*$D1491,"")</f>
        <v/>
      </c>
      <c r="Z1491" s="70" t="str">
        <f t="shared" si="523"/>
        <v/>
      </c>
      <c r="AA1491" s="70" t="str">
        <f t="shared" si="524"/>
        <v/>
      </c>
      <c r="AB1491" s="70" t="str">
        <f t="shared" si="525"/>
        <v/>
      </c>
      <c r="AC1491" s="70" t="str">
        <f t="shared" si="526"/>
        <v/>
      </c>
      <c r="AD1491" s="70" t="str">
        <f t="shared" si="527"/>
        <v/>
      </c>
      <c r="AE1491" s="70" t="str">
        <f t="shared" si="528"/>
        <v/>
      </c>
      <c r="AF1491" s="16"/>
      <c r="AG1491" s="23"/>
      <c r="AH1491" s="22"/>
      <c r="AJ1491" s="83">
        <f t="shared" si="529"/>
        <v>0</v>
      </c>
      <c r="AO1491" s="22" t="str">
        <f t="shared" si="530"/>
        <v/>
      </c>
      <c r="AP1491" s="22" t="str">
        <f t="shared" si="531"/>
        <v/>
      </c>
    </row>
    <row r="1492" spans="1:42" x14ac:dyDescent="0.25">
      <c r="A1492" s="10"/>
      <c r="B1492" s="10"/>
      <c r="C1492" s="10"/>
      <c r="D1492" s="10"/>
      <c r="E1492" s="10"/>
      <c r="F1492" s="10"/>
      <c r="G1492" s="10"/>
      <c r="H1492" s="17"/>
      <c r="I1492" s="10"/>
      <c r="J1492" s="10"/>
      <c r="K1492" s="16" t="str">
        <f t="shared" si="510"/>
        <v/>
      </c>
      <c r="L1492" s="23" t="str">
        <f t="shared" si="511"/>
        <v/>
      </c>
      <c r="M1492" s="22" t="str">
        <f t="shared" si="512"/>
        <v/>
      </c>
      <c r="N1492" s="72"/>
      <c r="O1492" s="16" t="str">
        <f t="shared" si="513"/>
        <v/>
      </c>
      <c r="P1492" s="16" t="str">
        <f t="shared" si="514"/>
        <v/>
      </c>
      <c r="Q1492" s="16" t="str">
        <f t="shared" si="515"/>
        <v/>
      </c>
      <c r="R1492" s="23" t="str">
        <f t="shared" si="516"/>
        <v/>
      </c>
      <c r="S1492" s="23" t="str">
        <f t="shared" si="517"/>
        <v/>
      </c>
      <c r="T1492" s="23" t="str">
        <f t="shared" si="518"/>
        <v/>
      </c>
      <c r="U1492" s="23" t="str">
        <f t="shared" si="519"/>
        <v/>
      </c>
      <c r="V1492" s="23" t="str">
        <f t="shared" si="520"/>
        <v/>
      </c>
      <c r="W1492" s="70" t="str">
        <f t="shared" si="521"/>
        <v/>
      </c>
      <c r="X1492" s="70" t="str">
        <f t="shared" si="522"/>
        <v/>
      </c>
      <c r="Y1492" s="70" t="str">
        <f>IF(AND($A1492&lt;&gt;"",$E1492&gt;0),isLaptopBag($C1492,$J1492)*$D1492,"")</f>
        <v/>
      </c>
      <c r="Z1492" s="70" t="str">
        <f t="shared" si="523"/>
        <v/>
      </c>
      <c r="AA1492" s="70" t="str">
        <f t="shared" si="524"/>
        <v/>
      </c>
      <c r="AB1492" s="70" t="str">
        <f t="shared" si="525"/>
        <v/>
      </c>
      <c r="AC1492" s="70" t="str">
        <f t="shared" si="526"/>
        <v/>
      </c>
      <c r="AD1492" s="70" t="str">
        <f t="shared" si="527"/>
        <v/>
      </c>
      <c r="AE1492" s="70" t="str">
        <f t="shared" si="528"/>
        <v/>
      </c>
      <c r="AF1492" s="16"/>
      <c r="AG1492" s="23"/>
      <c r="AH1492" s="22"/>
      <c r="AJ1492" s="83">
        <f t="shared" si="529"/>
        <v>0</v>
      </c>
      <c r="AO1492" s="22" t="str">
        <f t="shared" si="530"/>
        <v/>
      </c>
      <c r="AP1492" s="22" t="str">
        <f t="shared" si="531"/>
        <v/>
      </c>
    </row>
    <row r="1493" spans="1:42" x14ac:dyDescent="0.25">
      <c r="A1493" s="10"/>
      <c r="B1493" s="10"/>
      <c r="C1493" s="10"/>
      <c r="D1493" s="10"/>
      <c r="E1493" s="10"/>
      <c r="F1493" s="10"/>
      <c r="G1493" s="10"/>
      <c r="H1493" s="17"/>
      <c r="I1493" s="10"/>
      <c r="J1493" s="10"/>
      <c r="K1493" s="16" t="str">
        <f t="shared" si="510"/>
        <v/>
      </c>
      <c r="L1493" s="23" t="str">
        <f t="shared" si="511"/>
        <v/>
      </c>
      <c r="M1493" s="22" t="str">
        <f t="shared" si="512"/>
        <v/>
      </c>
      <c r="N1493" s="72"/>
      <c r="O1493" s="16" t="str">
        <f t="shared" si="513"/>
        <v/>
      </c>
      <c r="P1493" s="16" t="str">
        <f t="shared" si="514"/>
        <v/>
      </c>
      <c r="Q1493" s="16" t="str">
        <f t="shared" si="515"/>
        <v/>
      </c>
      <c r="R1493" s="23" t="str">
        <f t="shared" si="516"/>
        <v/>
      </c>
      <c r="S1493" s="23" t="str">
        <f t="shared" si="517"/>
        <v/>
      </c>
      <c r="T1493" s="23" t="str">
        <f t="shared" si="518"/>
        <v/>
      </c>
      <c r="U1493" s="23" t="str">
        <f t="shared" si="519"/>
        <v/>
      </c>
      <c r="V1493" s="23" t="str">
        <f t="shared" si="520"/>
        <v/>
      </c>
      <c r="W1493" s="70" t="str">
        <f t="shared" si="521"/>
        <v/>
      </c>
      <c r="X1493" s="70" t="str">
        <f t="shared" si="522"/>
        <v/>
      </c>
      <c r="Y1493" s="70" t="str">
        <f>IF(AND($A1493&lt;&gt;"",$E1493&gt;0),isLaptopBag($C1493,$J1493)*$D1493,"")</f>
        <v/>
      </c>
      <c r="Z1493" s="70" t="str">
        <f t="shared" si="523"/>
        <v/>
      </c>
      <c r="AA1493" s="70" t="str">
        <f t="shared" si="524"/>
        <v/>
      </c>
      <c r="AB1493" s="70" t="str">
        <f t="shared" si="525"/>
        <v/>
      </c>
      <c r="AC1493" s="70" t="str">
        <f t="shared" si="526"/>
        <v/>
      </c>
      <c r="AD1493" s="70" t="str">
        <f t="shared" si="527"/>
        <v/>
      </c>
      <c r="AE1493" s="70" t="str">
        <f t="shared" si="528"/>
        <v/>
      </c>
      <c r="AF1493" s="16"/>
      <c r="AG1493" s="23"/>
      <c r="AH1493" s="22"/>
      <c r="AJ1493" s="83">
        <f t="shared" si="529"/>
        <v>0</v>
      </c>
      <c r="AO1493" s="22" t="str">
        <f t="shared" si="530"/>
        <v/>
      </c>
      <c r="AP1493" s="22" t="str">
        <f t="shared" si="531"/>
        <v/>
      </c>
    </row>
    <row r="1494" spans="1:42" x14ac:dyDescent="0.25">
      <c r="A1494" s="10"/>
      <c r="B1494" s="10"/>
      <c r="C1494" s="10"/>
      <c r="D1494" s="10"/>
      <c r="E1494" s="10"/>
      <c r="F1494" s="10"/>
      <c r="G1494" s="10"/>
      <c r="H1494" s="17"/>
      <c r="I1494" s="10"/>
      <c r="J1494" s="10"/>
      <c r="K1494" s="16" t="str">
        <f t="shared" si="510"/>
        <v/>
      </c>
      <c r="L1494" s="23" t="str">
        <f t="shared" si="511"/>
        <v/>
      </c>
      <c r="M1494" s="22" t="str">
        <f t="shared" si="512"/>
        <v/>
      </c>
      <c r="N1494" s="72"/>
      <c r="O1494" s="16" t="str">
        <f t="shared" si="513"/>
        <v/>
      </c>
      <c r="P1494" s="16" t="str">
        <f t="shared" si="514"/>
        <v/>
      </c>
      <c r="Q1494" s="16" t="str">
        <f t="shared" si="515"/>
        <v/>
      </c>
      <c r="R1494" s="23" t="str">
        <f t="shared" si="516"/>
        <v/>
      </c>
      <c r="S1494" s="23" t="str">
        <f t="shared" si="517"/>
        <v/>
      </c>
      <c r="T1494" s="23" t="str">
        <f t="shared" si="518"/>
        <v/>
      </c>
      <c r="U1494" s="23" t="str">
        <f t="shared" si="519"/>
        <v/>
      </c>
      <c r="V1494" s="23" t="str">
        <f t="shared" si="520"/>
        <v/>
      </c>
      <c r="W1494" s="70" t="str">
        <f t="shared" si="521"/>
        <v/>
      </c>
      <c r="X1494" s="70" t="str">
        <f t="shared" si="522"/>
        <v/>
      </c>
      <c r="Y1494" s="70" t="str">
        <f>IF(AND($A1494&lt;&gt;"",$E1494&gt;0),isLaptopBag($C1494,$J1494)*$D1494,"")</f>
        <v/>
      </c>
      <c r="Z1494" s="70" t="str">
        <f t="shared" si="523"/>
        <v/>
      </c>
      <c r="AA1494" s="70" t="str">
        <f t="shared" si="524"/>
        <v/>
      </c>
      <c r="AB1494" s="70" t="str">
        <f t="shared" si="525"/>
        <v/>
      </c>
      <c r="AC1494" s="70" t="str">
        <f t="shared" si="526"/>
        <v/>
      </c>
      <c r="AD1494" s="70" t="str">
        <f t="shared" si="527"/>
        <v/>
      </c>
      <c r="AE1494" s="70" t="str">
        <f t="shared" si="528"/>
        <v/>
      </c>
      <c r="AF1494" s="16"/>
      <c r="AG1494" s="23"/>
      <c r="AH1494" s="22"/>
      <c r="AJ1494" s="83">
        <f t="shared" si="529"/>
        <v>0</v>
      </c>
      <c r="AO1494" s="22" t="str">
        <f t="shared" si="530"/>
        <v/>
      </c>
      <c r="AP1494" s="22" t="str">
        <f t="shared" si="531"/>
        <v/>
      </c>
    </row>
    <row r="1495" spans="1:42" x14ac:dyDescent="0.25">
      <c r="A1495" s="10"/>
      <c r="B1495" s="10"/>
      <c r="C1495" s="10"/>
      <c r="D1495" s="10"/>
      <c r="E1495" s="10"/>
      <c r="F1495" s="10"/>
      <c r="G1495" s="10"/>
      <c r="H1495" s="17"/>
      <c r="I1495" s="10"/>
      <c r="J1495" s="10"/>
      <c r="K1495" s="16" t="str">
        <f t="shared" si="510"/>
        <v/>
      </c>
      <c r="L1495" s="23" t="str">
        <f t="shared" si="511"/>
        <v/>
      </c>
      <c r="M1495" s="22" t="str">
        <f t="shared" si="512"/>
        <v/>
      </c>
      <c r="N1495" s="72"/>
      <c r="O1495" s="16" t="str">
        <f t="shared" si="513"/>
        <v/>
      </c>
      <c r="P1495" s="16" t="str">
        <f t="shared" si="514"/>
        <v/>
      </c>
      <c r="Q1495" s="16" t="str">
        <f t="shared" si="515"/>
        <v/>
      </c>
      <c r="R1495" s="23" t="str">
        <f t="shared" si="516"/>
        <v/>
      </c>
      <c r="S1495" s="23" t="str">
        <f t="shared" si="517"/>
        <v/>
      </c>
      <c r="T1495" s="23" t="str">
        <f t="shared" si="518"/>
        <v/>
      </c>
      <c r="U1495" s="23" t="str">
        <f t="shared" si="519"/>
        <v/>
      </c>
      <c r="V1495" s="23" t="str">
        <f t="shared" si="520"/>
        <v/>
      </c>
      <c r="W1495" s="70" t="str">
        <f t="shared" si="521"/>
        <v/>
      </c>
      <c r="X1495" s="70" t="str">
        <f t="shared" si="522"/>
        <v/>
      </c>
      <c r="Y1495" s="70" t="str">
        <f>IF(AND($A1495&lt;&gt;"",$E1495&gt;0),isLaptopBag($C1495,$J1495)*$D1495,"")</f>
        <v/>
      </c>
      <c r="Z1495" s="70" t="str">
        <f t="shared" si="523"/>
        <v/>
      </c>
      <c r="AA1495" s="70" t="str">
        <f t="shared" si="524"/>
        <v/>
      </c>
      <c r="AB1495" s="70" t="str">
        <f t="shared" si="525"/>
        <v/>
      </c>
      <c r="AC1495" s="70" t="str">
        <f t="shared" si="526"/>
        <v/>
      </c>
      <c r="AD1495" s="70" t="str">
        <f t="shared" si="527"/>
        <v/>
      </c>
      <c r="AE1495" s="70" t="str">
        <f t="shared" si="528"/>
        <v/>
      </c>
      <c r="AF1495" s="16"/>
      <c r="AG1495" s="23"/>
      <c r="AH1495" s="22"/>
      <c r="AJ1495" s="83">
        <f t="shared" si="529"/>
        <v>0</v>
      </c>
      <c r="AO1495" s="22" t="str">
        <f t="shared" si="530"/>
        <v/>
      </c>
      <c r="AP1495" s="22" t="str">
        <f t="shared" si="531"/>
        <v/>
      </c>
    </row>
    <row r="1496" spans="1:42" x14ac:dyDescent="0.25">
      <c r="A1496" s="10"/>
      <c r="B1496" s="10"/>
      <c r="C1496" s="10"/>
      <c r="D1496" s="10"/>
      <c r="E1496" s="10"/>
      <c r="F1496" s="10"/>
      <c r="G1496" s="10"/>
      <c r="H1496" s="17"/>
      <c r="I1496" s="10"/>
      <c r="J1496" s="10"/>
      <c r="K1496" s="16" t="str">
        <f t="shared" si="510"/>
        <v/>
      </c>
      <c r="L1496" s="23" t="str">
        <f t="shared" si="511"/>
        <v/>
      </c>
      <c r="M1496" s="22" t="str">
        <f t="shared" si="512"/>
        <v/>
      </c>
      <c r="N1496" s="72"/>
      <c r="O1496" s="16" t="str">
        <f t="shared" si="513"/>
        <v/>
      </c>
      <c r="P1496" s="16" t="str">
        <f t="shared" si="514"/>
        <v/>
      </c>
      <c r="Q1496" s="16" t="str">
        <f t="shared" si="515"/>
        <v/>
      </c>
      <c r="R1496" s="23" t="str">
        <f t="shared" si="516"/>
        <v/>
      </c>
      <c r="S1496" s="23" t="str">
        <f t="shared" si="517"/>
        <v/>
      </c>
      <c r="T1496" s="23" t="str">
        <f t="shared" si="518"/>
        <v/>
      </c>
      <c r="U1496" s="23" t="str">
        <f t="shared" si="519"/>
        <v/>
      </c>
      <c r="V1496" s="23" t="str">
        <f t="shared" si="520"/>
        <v/>
      </c>
      <c r="W1496" s="70" t="str">
        <f t="shared" si="521"/>
        <v/>
      </c>
      <c r="X1496" s="70" t="str">
        <f t="shared" si="522"/>
        <v/>
      </c>
      <c r="Y1496" s="70" t="str">
        <f>IF(AND($A1496&lt;&gt;"",$E1496&gt;0),isLaptopBag($C1496,$J1496)*$D1496,"")</f>
        <v/>
      </c>
      <c r="Z1496" s="70" t="str">
        <f t="shared" si="523"/>
        <v/>
      </c>
      <c r="AA1496" s="70" t="str">
        <f t="shared" si="524"/>
        <v/>
      </c>
      <c r="AB1496" s="70" t="str">
        <f t="shared" si="525"/>
        <v/>
      </c>
      <c r="AC1496" s="70" t="str">
        <f t="shared" si="526"/>
        <v/>
      </c>
      <c r="AD1496" s="70" t="str">
        <f t="shared" si="527"/>
        <v/>
      </c>
      <c r="AE1496" s="70" t="str">
        <f t="shared" si="528"/>
        <v/>
      </c>
      <c r="AF1496" s="16"/>
      <c r="AG1496" s="23"/>
      <c r="AH1496" s="22"/>
      <c r="AJ1496" s="83">
        <f t="shared" si="529"/>
        <v>0</v>
      </c>
      <c r="AO1496" s="22" t="str">
        <f t="shared" si="530"/>
        <v/>
      </c>
      <c r="AP1496" s="22" t="str">
        <f t="shared" si="531"/>
        <v/>
      </c>
    </row>
    <row r="1497" spans="1:42" x14ac:dyDescent="0.25">
      <c r="A1497" s="10"/>
      <c r="B1497" s="10"/>
      <c r="C1497" s="10"/>
      <c r="D1497" s="10"/>
      <c r="E1497" s="10"/>
      <c r="F1497" s="10"/>
      <c r="G1497" s="10"/>
      <c r="H1497" s="17"/>
      <c r="I1497" s="10"/>
      <c r="J1497" s="10"/>
      <c r="K1497" s="16" t="str">
        <f t="shared" si="510"/>
        <v/>
      </c>
      <c r="L1497" s="23" t="str">
        <f t="shared" si="511"/>
        <v/>
      </c>
      <c r="M1497" s="22" t="str">
        <f t="shared" si="512"/>
        <v/>
      </c>
      <c r="N1497" s="72"/>
      <c r="O1497" s="16" t="str">
        <f t="shared" si="513"/>
        <v/>
      </c>
      <c r="P1497" s="16" t="str">
        <f t="shared" si="514"/>
        <v/>
      </c>
      <c r="Q1497" s="16" t="str">
        <f t="shared" si="515"/>
        <v/>
      </c>
      <c r="R1497" s="23" t="str">
        <f t="shared" si="516"/>
        <v/>
      </c>
      <c r="S1497" s="23" t="str">
        <f t="shared" si="517"/>
        <v/>
      </c>
      <c r="T1497" s="23" t="str">
        <f t="shared" si="518"/>
        <v/>
      </c>
      <c r="U1497" s="23" t="str">
        <f t="shared" si="519"/>
        <v/>
      </c>
      <c r="V1497" s="23" t="str">
        <f t="shared" si="520"/>
        <v/>
      </c>
      <c r="W1497" s="70" t="str">
        <f t="shared" si="521"/>
        <v/>
      </c>
      <c r="X1497" s="70" t="str">
        <f t="shared" si="522"/>
        <v/>
      </c>
      <c r="Y1497" s="70" t="str">
        <f>IF(AND($A1497&lt;&gt;"",$E1497&gt;0),isLaptopBag($C1497,$J1497)*$D1497,"")</f>
        <v/>
      </c>
      <c r="Z1497" s="70" t="str">
        <f t="shared" si="523"/>
        <v/>
      </c>
      <c r="AA1497" s="70" t="str">
        <f t="shared" si="524"/>
        <v/>
      </c>
      <c r="AB1497" s="70" t="str">
        <f t="shared" si="525"/>
        <v/>
      </c>
      <c r="AC1497" s="70" t="str">
        <f t="shared" si="526"/>
        <v/>
      </c>
      <c r="AD1497" s="70" t="str">
        <f t="shared" si="527"/>
        <v/>
      </c>
      <c r="AE1497" s="70" t="str">
        <f t="shared" si="528"/>
        <v/>
      </c>
      <c r="AF1497" s="16"/>
      <c r="AG1497" s="23"/>
      <c r="AH1497" s="22"/>
      <c r="AJ1497" s="83">
        <f t="shared" si="529"/>
        <v>0</v>
      </c>
      <c r="AO1497" s="22" t="str">
        <f t="shared" si="530"/>
        <v/>
      </c>
      <c r="AP1497" s="22" t="str">
        <f t="shared" si="531"/>
        <v/>
      </c>
    </row>
    <row r="1498" spans="1:42" x14ac:dyDescent="0.25">
      <c r="A1498" s="10"/>
      <c r="B1498" s="10"/>
      <c r="C1498" s="10"/>
      <c r="D1498" s="10"/>
      <c r="E1498" s="10"/>
      <c r="F1498" s="10"/>
      <c r="G1498" s="10"/>
      <c r="H1498" s="17"/>
      <c r="I1498" s="10"/>
      <c r="J1498" s="10"/>
      <c r="K1498" s="16" t="str">
        <f t="shared" si="510"/>
        <v/>
      </c>
      <c r="L1498" s="23" t="str">
        <f t="shared" si="511"/>
        <v/>
      </c>
      <c r="M1498" s="22" t="str">
        <f t="shared" si="512"/>
        <v/>
      </c>
      <c r="N1498" s="72"/>
      <c r="O1498" s="16" t="str">
        <f t="shared" si="513"/>
        <v/>
      </c>
      <c r="P1498" s="16" t="str">
        <f t="shared" si="514"/>
        <v/>
      </c>
      <c r="Q1498" s="16" t="str">
        <f t="shared" si="515"/>
        <v/>
      </c>
      <c r="R1498" s="23" t="str">
        <f t="shared" si="516"/>
        <v/>
      </c>
      <c r="S1498" s="23" t="str">
        <f t="shared" si="517"/>
        <v/>
      </c>
      <c r="T1498" s="23" t="str">
        <f t="shared" si="518"/>
        <v/>
      </c>
      <c r="U1498" s="23" t="str">
        <f t="shared" si="519"/>
        <v/>
      </c>
      <c r="V1498" s="23" t="str">
        <f t="shared" si="520"/>
        <v/>
      </c>
      <c r="W1498" s="70" t="str">
        <f t="shared" si="521"/>
        <v/>
      </c>
      <c r="X1498" s="70" t="str">
        <f t="shared" si="522"/>
        <v/>
      </c>
      <c r="Y1498" s="70" t="str">
        <f>IF(AND($A1498&lt;&gt;"",$E1498&gt;0),isLaptopBag($C1498,$J1498)*$D1498,"")</f>
        <v/>
      </c>
      <c r="Z1498" s="70" t="str">
        <f t="shared" si="523"/>
        <v/>
      </c>
      <c r="AA1498" s="70" t="str">
        <f t="shared" si="524"/>
        <v/>
      </c>
      <c r="AB1498" s="70" t="str">
        <f t="shared" si="525"/>
        <v/>
      </c>
      <c r="AC1498" s="70" t="str">
        <f t="shared" si="526"/>
        <v/>
      </c>
      <c r="AD1498" s="70" t="str">
        <f t="shared" si="527"/>
        <v/>
      </c>
      <c r="AE1498" s="70" t="str">
        <f t="shared" si="528"/>
        <v/>
      </c>
      <c r="AF1498" s="16"/>
      <c r="AG1498" s="23"/>
      <c r="AH1498" s="22"/>
      <c r="AJ1498" s="83">
        <f t="shared" si="529"/>
        <v>0</v>
      </c>
      <c r="AO1498" s="22" t="str">
        <f t="shared" si="530"/>
        <v/>
      </c>
      <c r="AP1498" s="22" t="str">
        <f t="shared" si="531"/>
        <v/>
      </c>
    </row>
    <row r="1499" spans="1:42" x14ac:dyDescent="0.25">
      <c r="A1499" s="10"/>
      <c r="B1499" s="10"/>
      <c r="C1499" s="10"/>
      <c r="D1499" s="10"/>
      <c r="E1499" s="10"/>
      <c r="F1499" s="10"/>
      <c r="G1499" s="10"/>
      <c r="H1499" s="17"/>
      <c r="I1499" s="10"/>
      <c r="J1499" s="10"/>
      <c r="K1499" s="16" t="str">
        <f t="shared" si="510"/>
        <v/>
      </c>
      <c r="L1499" s="23" t="str">
        <f t="shared" si="511"/>
        <v/>
      </c>
      <c r="M1499" s="22" t="str">
        <f t="shared" si="512"/>
        <v/>
      </c>
      <c r="N1499" s="72"/>
      <c r="O1499" s="16" t="str">
        <f t="shared" si="513"/>
        <v/>
      </c>
      <c r="P1499" s="16" t="str">
        <f t="shared" si="514"/>
        <v/>
      </c>
      <c r="Q1499" s="16" t="str">
        <f t="shared" si="515"/>
        <v/>
      </c>
      <c r="R1499" s="23" t="str">
        <f t="shared" si="516"/>
        <v/>
      </c>
      <c r="S1499" s="23" t="str">
        <f t="shared" si="517"/>
        <v/>
      </c>
      <c r="T1499" s="23" t="str">
        <f t="shared" si="518"/>
        <v/>
      </c>
      <c r="U1499" s="23" t="str">
        <f t="shared" si="519"/>
        <v/>
      </c>
      <c r="V1499" s="23" t="str">
        <f t="shared" si="520"/>
        <v/>
      </c>
      <c r="W1499" s="70" t="str">
        <f t="shared" si="521"/>
        <v/>
      </c>
      <c r="X1499" s="70" t="str">
        <f t="shared" si="522"/>
        <v/>
      </c>
      <c r="Y1499" s="70" t="str">
        <f>IF(AND($A1499&lt;&gt;"",$E1499&gt;0),isLaptopBag($C1499,$J1499)*$D1499,"")</f>
        <v/>
      </c>
      <c r="Z1499" s="70" t="str">
        <f t="shared" si="523"/>
        <v/>
      </c>
      <c r="AA1499" s="70" t="str">
        <f t="shared" si="524"/>
        <v/>
      </c>
      <c r="AB1499" s="70" t="str">
        <f t="shared" si="525"/>
        <v/>
      </c>
      <c r="AC1499" s="70" t="str">
        <f t="shared" si="526"/>
        <v/>
      </c>
      <c r="AD1499" s="70" t="str">
        <f t="shared" si="527"/>
        <v/>
      </c>
      <c r="AE1499" s="70" t="str">
        <f t="shared" si="528"/>
        <v/>
      </c>
      <c r="AF1499" s="16"/>
      <c r="AG1499" s="23"/>
      <c r="AH1499" s="22"/>
      <c r="AJ1499" s="83">
        <f t="shared" si="529"/>
        <v>0</v>
      </c>
      <c r="AO1499" s="22" t="str">
        <f t="shared" si="530"/>
        <v/>
      </c>
      <c r="AP1499" s="22" t="str">
        <f t="shared" si="531"/>
        <v/>
      </c>
    </row>
    <row r="1500" spans="1:42" x14ac:dyDescent="0.25">
      <c r="A1500" s="10"/>
      <c r="B1500" s="10"/>
      <c r="C1500" s="10"/>
      <c r="D1500" s="10"/>
      <c r="E1500" s="10"/>
      <c r="F1500" s="10"/>
      <c r="G1500" s="10"/>
      <c r="H1500" s="17"/>
      <c r="I1500" s="10"/>
      <c r="J1500" s="10"/>
      <c r="K1500" s="16" t="str">
        <f t="shared" si="510"/>
        <v/>
      </c>
      <c r="L1500" s="23" t="str">
        <f t="shared" si="511"/>
        <v/>
      </c>
      <c r="M1500" s="22" t="str">
        <f t="shared" si="512"/>
        <v/>
      </c>
      <c r="N1500" s="72"/>
      <c r="O1500" s="16" t="str">
        <f t="shared" si="513"/>
        <v/>
      </c>
      <c r="P1500" s="16" t="str">
        <f t="shared" si="514"/>
        <v/>
      </c>
      <c r="Q1500" s="16" t="str">
        <f t="shared" si="515"/>
        <v/>
      </c>
      <c r="R1500" s="23" t="str">
        <f t="shared" si="516"/>
        <v/>
      </c>
      <c r="S1500" s="23" t="str">
        <f t="shared" si="517"/>
        <v/>
      </c>
      <c r="T1500" s="23" t="str">
        <f t="shared" si="518"/>
        <v/>
      </c>
      <c r="U1500" s="23" t="str">
        <f t="shared" si="519"/>
        <v/>
      </c>
      <c r="V1500" s="23" t="str">
        <f t="shared" si="520"/>
        <v/>
      </c>
      <c r="W1500" s="70" t="str">
        <f t="shared" si="521"/>
        <v/>
      </c>
      <c r="X1500" s="70" t="str">
        <f t="shared" si="522"/>
        <v/>
      </c>
      <c r="Y1500" s="70" t="str">
        <f>IF(AND($A1500&lt;&gt;"",$E1500&gt;0),isLaptopBag($C1500,$J1500)*$D1500,"")</f>
        <v/>
      </c>
      <c r="Z1500" s="70" t="str">
        <f t="shared" si="523"/>
        <v/>
      </c>
      <c r="AA1500" s="70" t="str">
        <f t="shared" si="524"/>
        <v/>
      </c>
      <c r="AB1500" s="70" t="str">
        <f t="shared" si="525"/>
        <v/>
      </c>
      <c r="AC1500" s="70" t="str">
        <f t="shared" si="526"/>
        <v/>
      </c>
      <c r="AD1500" s="70" t="str">
        <f t="shared" si="527"/>
        <v/>
      </c>
      <c r="AE1500" s="70" t="str">
        <f t="shared" si="528"/>
        <v/>
      </c>
      <c r="AF1500" s="16"/>
      <c r="AG1500" s="23"/>
      <c r="AH1500" s="22"/>
      <c r="AJ1500" s="83">
        <f t="shared" si="529"/>
        <v>0</v>
      </c>
      <c r="AO1500" s="22" t="str">
        <f t="shared" si="530"/>
        <v/>
      </c>
      <c r="AP1500" s="22" t="str">
        <f t="shared" si="531"/>
        <v/>
      </c>
    </row>
    <row r="1501" spans="1:42" x14ac:dyDescent="0.25">
      <c r="A1501" s="10"/>
      <c r="B1501" s="10"/>
      <c r="C1501" s="10"/>
      <c r="D1501" s="10"/>
      <c r="E1501" s="10"/>
      <c r="F1501" s="10"/>
      <c r="G1501" s="10"/>
      <c r="H1501" s="17"/>
      <c r="I1501" s="10"/>
      <c r="J1501" s="10"/>
      <c r="K1501" s="16" t="str">
        <f t="shared" si="510"/>
        <v/>
      </c>
      <c r="L1501" s="23" t="str">
        <f t="shared" si="511"/>
        <v/>
      </c>
      <c r="M1501" s="22" t="str">
        <f t="shared" si="512"/>
        <v/>
      </c>
      <c r="N1501" s="72"/>
      <c r="O1501" s="16" t="str">
        <f t="shared" si="513"/>
        <v/>
      </c>
      <c r="P1501" s="16" t="str">
        <f t="shared" si="514"/>
        <v/>
      </c>
      <c r="Q1501" s="16" t="str">
        <f t="shared" si="515"/>
        <v/>
      </c>
      <c r="R1501" s="23" t="str">
        <f t="shared" si="516"/>
        <v/>
      </c>
      <c r="S1501" s="23" t="str">
        <f t="shared" si="517"/>
        <v/>
      </c>
      <c r="T1501" s="23" t="str">
        <f t="shared" si="518"/>
        <v/>
      </c>
      <c r="U1501" s="23" t="str">
        <f t="shared" si="519"/>
        <v/>
      </c>
      <c r="V1501" s="23" t="str">
        <f t="shared" si="520"/>
        <v/>
      </c>
      <c r="W1501" s="70" t="str">
        <f t="shared" si="521"/>
        <v/>
      </c>
      <c r="X1501" s="70" t="str">
        <f t="shared" si="522"/>
        <v/>
      </c>
      <c r="Y1501" s="70" t="str">
        <f>IF(AND($A1501&lt;&gt;"",$E1501&gt;0),isLaptopBag($C1501,$J1501)*$D1501,"")</f>
        <v/>
      </c>
      <c r="Z1501" s="70" t="str">
        <f t="shared" si="523"/>
        <v/>
      </c>
      <c r="AA1501" s="70" t="str">
        <f t="shared" si="524"/>
        <v/>
      </c>
      <c r="AB1501" s="70" t="str">
        <f t="shared" si="525"/>
        <v/>
      </c>
      <c r="AC1501" s="70" t="str">
        <f t="shared" si="526"/>
        <v/>
      </c>
      <c r="AD1501" s="70" t="str">
        <f t="shared" si="527"/>
        <v/>
      </c>
      <c r="AE1501" s="70" t="str">
        <f t="shared" si="528"/>
        <v/>
      </c>
      <c r="AF1501" s="16"/>
      <c r="AG1501" s="23"/>
      <c r="AH1501" s="22"/>
      <c r="AJ1501" s="83">
        <f t="shared" si="529"/>
        <v>0</v>
      </c>
      <c r="AO1501" s="22" t="str">
        <f t="shared" si="530"/>
        <v/>
      </c>
      <c r="AP1501" s="22" t="str">
        <f t="shared" si="531"/>
        <v/>
      </c>
    </row>
    <row r="1502" spans="1:42" x14ac:dyDescent="0.25">
      <c r="A1502" s="10"/>
      <c r="B1502" s="10"/>
      <c r="C1502" s="10"/>
      <c r="D1502" s="10"/>
      <c r="E1502" s="10"/>
      <c r="F1502" s="10"/>
      <c r="G1502" s="10"/>
      <c r="H1502" s="17"/>
      <c r="I1502" s="10"/>
      <c r="J1502" s="10"/>
      <c r="K1502" s="16" t="str">
        <f t="shared" si="510"/>
        <v/>
      </c>
      <c r="L1502" s="23" t="str">
        <f t="shared" si="511"/>
        <v/>
      </c>
      <c r="M1502" s="22" t="str">
        <f t="shared" si="512"/>
        <v/>
      </c>
      <c r="N1502" s="72"/>
      <c r="O1502" s="16" t="str">
        <f t="shared" si="513"/>
        <v/>
      </c>
      <c r="P1502" s="16" t="str">
        <f t="shared" si="514"/>
        <v/>
      </c>
      <c r="Q1502" s="16" t="str">
        <f t="shared" si="515"/>
        <v/>
      </c>
      <c r="R1502" s="23" t="str">
        <f t="shared" si="516"/>
        <v/>
      </c>
      <c r="S1502" s="23" t="str">
        <f t="shared" si="517"/>
        <v/>
      </c>
      <c r="T1502" s="23" t="str">
        <f t="shared" si="518"/>
        <v/>
      </c>
      <c r="U1502" s="23" t="str">
        <f t="shared" si="519"/>
        <v/>
      </c>
      <c r="V1502" s="23" t="str">
        <f t="shared" si="520"/>
        <v/>
      </c>
      <c r="W1502" s="70" t="str">
        <f t="shared" si="521"/>
        <v/>
      </c>
      <c r="X1502" s="70" t="str">
        <f t="shared" si="522"/>
        <v/>
      </c>
      <c r="Y1502" s="70" t="str">
        <f>IF(AND($A1502&lt;&gt;"",$E1502&gt;0),isLaptopBag($C1502,$J1502)*$D1502,"")</f>
        <v/>
      </c>
      <c r="Z1502" s="70" t="str">
        <f t="shared" si="523"/>
        <v/>
      </c>
      <c r="AA1502" s="70" t="str">
        <f t="shared" si="524"/>
        <v/>
      </c>
      <c r="AB1502" s="70" t="str">
        <f t="shared" si="525"/>
        <v/>
      </c>
      <c r="AC1502" s="70" t="str">
        <f t="shared" si="526"/>
        <v/>
      </c>
      <c r="AD1502" s="70" t="str">
        <f t="shared" si="527"/>
        <v/>
      </c>
      <c r="AE1502" s="70" t="str">
        <f t="shared" si="528"/>
        <v/>
      </c>
      <c r="AF1502" s="16"/>
      <c r="AG1502" s="23"/>
      <c r="AH1502" s="22"/>
      <c r="AJ1502" s="83">
        <f t="shared" si="529"/>
        <v>0</v>
      </c>
      <c r="AO1502" s="22" t="str">
        <f t="shared" si="530"/>
        <v/>
      </c>
      <c r="AP1502" s="22" t="str">
        <f t="shared" si="531"/>
        <v/>
      </c>
    </row>
    <row r="1503" spans="1:42" x14ac:dyDescent="0.25">
      <c r="A1503" s="10"/>
      <c r="B1503" s="10"/>
      <c r="C1503" s="10"/>
      <c r="D1503" s="10"/>
      <c r="E1503" s="10"/>
      <c r="F1503" s="10"/>
      <c r="G1503" s="10"/>
      <c r="H1503" s="17"/>
      <c r="I1503" s="10"/>
      <c r="J1503" s="10"/>
      <c r="K1503" s="16" t="str">
        <f t="shared" si="510"/>
        <v/>
      </c>
      <c r="L1503" s="23" t="str">
        <f t="shared" si="511"/>
        <v/>
      </c>
      <c r="M1503" s="22" t="str">
        <f t="shared" si="512"/>
        <v/>
      </c>
      <c r="N1503" s="72"/>
      <c r="O1503" s="16" t="str">
        <f t="shared" si="513"/>
        <v/>
      </c>
      <c r="P1503" s="16" t="str">
        <f t="shared" si="514"/>
        <v/>
      </c>
      <c r="Q1503" s="16" t="str">
        <f t="shared" si="515"/>
        <v/>
      </c>
      <c r="R1503" s="23" t="str">
        <f t="shared" si="516"/>
        <v/>
      </c>
      <c r="S1503" s="23" t="str">
        <f t="shared" si="517"/>
        <v/>
      </c>
      <c r="T1503" s="23" t="str">
        <f t="shared" si="518"/>
        <v/>
      </c>
      <c r="U1503" s="23" t="str">
        <f t="shared" si="519"/>
        <v/>
      </c>
      <c r="V1503" s="23" t="str">
        <f t="shared" si="520"/>
        <v/>
      </c>
      <c r="W1503" s="70" t="str">
        <f t="shared" si="521"/>
        <v/>
      </c>
      <c r="X1503" s="70" t="str">
        <f t="shared" si="522"/>
        <v/>
      </c>
      <c r="Y1503" s="70" t="str">
        <f>IF(AND($A1503&lt;&gt;"",$E1503&gt;0),isLaptopBag($C1503,$J1503)*$D1503,"")</f>
        <v/>
      </c>
      <c r="Z1503" s="70" t="str">
        <f t="shared" si="523"/>
        <v/>
      </c>
      <c r="AA1503" s="70" t="str">
        <f t="shared" si="524"/>
        <v/>
      </c>
      <c r="AB1503" s="70" t="str">
        <f t="shared" si="525"/>
        <v/>
      </c>
      <c r="AC1503" s="70" t="str">
        <f t="shared" si="526"/>
        <v/>
      </c>
      <c r="AD1503" s="70" t="str">
        <f t="shared" si="527"/>
        <v/>
      </c>
      <c r="AE1503" s="70" t="str">
        <f t="shared" si="528"/>
        <v/>
      </c>
      <c r="AF1503" s="16"/>
      <c r="AG1503" s="23"/>
      <c r="AH1503" s="22"/>
      <c r="AJ1503" s="83">
        <f t="shared" si="529"/>
        <v>0</v>
      </c>
      <c r="AO1503" s="22" t="str">
        <f t="shared" si="530"/>
        <v/>
      </c>
      <c r="AP1503" s="22" t="str">
        <f t="shared" si="531"/>
        <v/>
      </c>
    </row>
    <row r="1504" spans="1:42" x14ac:dyDescent="0.25">
      <c r="A1504" s="10"/>
      <c r="B1504" s="10"/>
      <c r="C1504" s="10"/>
      <c r="D1504" s="10"/>
      <c r="E1504" s="10"/>
      <c r="F1504" s="10"/>
      <c r="G1504" s="10"/>
      <c r="H1504" s="17"/>
      <c r="I1504" s="10"/>
      <c r="J1504" s="10"/>
      <c r="K1504" s="16" t="str">
        <f t="shared" si="510"/>
        <v/>
      </c>
      <c r="L1504" s="23" t="str">
        <f t="shared" si="511"/>
        <v/>
      </c>
      <c r="M1504" s="22" t="str">
        <f t="shared" si="512"/>
        <v/>
      </c>
      <c r="N1504" s="72"/>
      <c r="O1504" s="16" t="str">
        <f t="shared" si="513"/>
        <v/>
      </c>
      <c r="P1504" s="16" t="str">
        <f t="shared" si="514"/>
        <v/>
      </c>
      <c r="Q1504" s="16" t="str">
        <f t="shared" si="515"/>
        <v/>
      </c>
      <c r="R1504" s="23" t="str">
        <f t="shared" si="516"/>
        <v/>
      </c>
      <c r="S1504" s="23" t="str">
        <f t="shared" si="517"/>
        <v/>
      </c>
      <c r="T1504" s="23" t="str">
        <f t="shared" si="518"/>
        <v/>
      </c>
      <c r="U1504" s="23" t="str">
        <f t="shared" si="519"/>
        <v/>
      </c>
      <c r="V1504" s="23" t="str">
        <f t="shared" si="520"/>
        <v/>
      </c>
      <c r="W1504" s="70" t="str">
        <f t="shared" si="521"/>
        <v/>
      </c>
      <c r="X1504" s="70" t="str">
        <f t="shared" si="522"/>
        <v/>
      </c>
      <c r="Y1504" s="70" t="str">
        <f>IF(AND($A1504&lt;&gt;"",$E1504&gt;0),isLaptopBag($C1504,$J1504)*$D1504,"")</f>
        <v/>
      </c>
      <c r="Z1504" s="70" t="str">
        <f t="shared" si="523"/>
        <v/>
      </c>
      <c r="AA1504" s="70" t="str">
        <f t="shared" si="524"/>
        <v/>
      </c>
      <c r="AB1504" s="70" t="str">
        <f t="shared" si="525"/>
        <v/>
      </c>
      <c r="AC1504" s="70" t="str">
        <f t="shared" si="526"/>
        <v/>
      </c>
      <c r="AD1504" s="70" t="str">
        <f t="shared" si="527"/>
        <v/>
      </c>
      <c r="AE1504" s="70" t="str">
        <f t="shared" si="528"/>
        <v/>
      </c>
      <c r="AF1504" s="16"/>
      <c r="AG1504" s="23"/>
      <c r="AH1504" s="22"/>
      <c r="AJ1504" s="83">
        <f t="shared" si="529"/>
        <v>0</v>
      </c>
      <c r="AO1504" s="22" t="str">
        <f t="shared" si="530"/>
        <v/>
      </c>
      <c r="AP1504" s="22" t="str">
        <f t="shared" si="531"/>
        <v/>
      </c>
    </row>
    <row r="1505" spans="1:42" x14ac:dyDescent="0.25">
      <c r="A1505" s="10"/>
      <c r="B1505" s="10"/>
      <c r="C1505" s="10"/>
      <c r="D1505" s="10"/>
      <c r="E1505" s="10"/>
      <c r="F1505" s="10"/>
      <c r="G1505" s="10"/>
      <c r="H1505" s="17"/>
      <c r="I1505" s="10"/>
      <c r="J1505" s="10"/>
      <c r="K1505" s="16" t="str">
        <f t="shared" si="510"/>
        <v/>
      </c>
      <c r="L1505" s="23" t="str">
        <f t="shared" si="511"/>
        <v/>
      </c>
      <c r="M1505" s="22" t="str">
        <f t="shared" si="512"/>
        <v/>
      </c>
      <c r="N1505" s="72"/>
      <c r="O1505" s="16" t="str">
        <f t="shared" si="513"/>
        <v/>
      </c>
      <c r="P1505" s="16" t="str">
        <f t="shared" si="514"/>
        <v/>
      </c>
      <c r="Q1505" s="16" t="str">
        <f t="shared" si="515"/>
        <v/>
      </c>
      <c r="R1505" s="23" t="str">
        <f t="shared" si="516"/>
        <v/>
      </c>
      <c r="S1505" s="23" t="str">
        <f t="shared" si="517"/>
        <v/>
      </c>
      <c r="T1505" s="23" t="str">
        <f t="shared" si="518"/>
        <v/>
      </c>
      <c r="U1505" s="23" t="str">
        <f t="shared" si="519"/>
        <v/>
      </c>
      <c r="V1505" s="23" t="str">
        <f t="shared" si="520"/>
        <v/>
      </c>
      <c r="W1505" s="70" t="str">
        <f t="shared" si="521"/>
        <v/>
      </c>
      <c r="X1505" s="70" t="str">
        <f t="shared" si="522"/>
        <v/>
      </c>
      <c r="Y1505" s="70" t="str">
        <f>IF(AND($A1505&lt;&gt;"",$E1505&gt;0),isLaptopBag($C1505,$J1505)*$D1505,"")</f>
        <v/>
      </c>
      <c r="Z1505" s="70" t="str">
        <f t="shared" si="523"/>
        <v/>
      </c>
      <c r="AA1505" s="70" t="str">
        <f t="shared" si="524"/>
        <v/>
      </c>
      <c r="AB1505" s="70" t="str">
        <f t="shared" si="525"/>
        <v/>
      </c>
      <c r="AC1505" s="70" t="str">
        <f t="shared" si="526"/>
        <v/>
      </c>
      <c r="AD1505" s="70" t="str">
        <f t="shared" si="527"/>
        <v/>
      </c>
      <c r="AE1505" s="70" t="str">
        <f t="shared" si="528"/>
        <v/>
      </c>
      <c r="AF1505" s="16"/>
      <c r="AG1505" s="23"/>
      <c r="AH1505" s="22"/>
      <c r="AJ1505" s="83">
        <f t="shared" si="529"/>
        <v>0</v>
      </c>
      <c r="AO1505" s="22" t="str">
        <f t="shared" si="530"/>
        <v/>
      </c>
      <c r="AP1505" s="22" t="str">
        <f t="shared" si="531"/>
        <v/>
      </c>
    </row>
    <row r="1506" spans="1:42" x14ac:dyDescent="0.25">
      <c r="A1506" s="10"/>
      <c r="B1506" s="10"/>
      <c r="C1506" s="10"/>
      <c r="D1506" s="10"/>
      <c r="E1506" s="10"/>
      <c r="F1506" s="10"/>
      <c r="G1506" s="10"/>
      <c r="H1506" s="17"/>
      <c r="I1506" s="10"/>
      <c r="J1506" s="10"/>
      <c r="K1506" s="16" t="str">
        <f t="shared" si="510"/>
        <v/>
      </c>
      <c r="L1506" s="23" t="str">
        <f t="shared" si="511"/>
        <v/>
      </c>
      <c r="M1506" s="22" t="str">
        <f t="shared" si="512"/>
        <v/>
      </c>
      <c r="N1506" s="72"/>
      <c r="O1506" s="16" t="str">
        <f t="shared" si="513"/>
        <v/>
      </c>
      <c r="P1506" s="16" t="str">
        <f t="shared" si="514"/>
        <v/>
      </c>
      <c r="Q1506" s="16" t="str">
        <f t="shared" si="515"/>
        <v/>
      </c>
      <c r="R1506" s="23" t="str">
        <f t="shared" si="516"/>
        <v/>
      </c>
      <c r="S1506" s="23" t="str">
        <f t="shared" si="517"/>
        <v/>
      </c>
      <c r="T1506" s="23" t="str">
        <f t="shared" si="518"/>
        <v/>
      </c>
      <c r="U1506" s="23" t="str">
        <f t="shared" si="519"/>
        <v/>
      </c>
      <c r="V1506" s="23" t="str">
        <f t="shared" si="520"/>
        <v/>
      </c>
      <c r="W1506" s="70" t="str">
        <f t="shared" si="521"/>
        <v/>
      </c>
      <c r="X1506" s="70" t="str">
        <f t="shared" si="522"/>
        <v/>
      </c>
      <c r="Y1506" s="70" t="str">
        <f>IF(AND($A1506&lt;&gt;"",$E1506&gt;0),isLaptopBag($C1506,$J1506)*$D1506,"")</f>
        <v/>
      </c>
      <c r="Z1506" s="70" t="str">
        <f t="shared" si="523"/>
        <v/>
      </c>
      <c r="AA1506" s="70" t="str">
        <f t="shared" si="524"/>
        <v/>
      </c>
      <c r="AB1506" s="70" t="str">
        <f t="shared" si="525"/>
        <v/>
      </c>
      <c r="AC1506" s="70" t="str">
        <f t="shared" si="526"/>
        <v/>
      </c>
      <c r="AD1506" s="70" t="str">
        <f t="shared" si="527"/>
        <v/>
      </c>
      <c r="AE1506" s="70" t="str">
        <f t="shared" si="528"/>
        <v/>
      </c>
      <c r="AF1506" s="16"/>
      <c r="AG1506" s="23"/>
      <c r="AH1506" s="22"/>
      <c r="AJ1506" s="83">
        <f t="shared" si="529"/>
        <v>0</v>
      </c>
      <c r="AO1506" s="22" t="str">
        <f t="shared" si="530"/>
        <v/>
      </c>
      <c r="AP1506" s="22" t="str">
        <f t="shared" si="531"/>
        <v/>
      </c>
    </row>
    <row r="1507" spans="1:42" x14ac:dyDescent="0.25">
      <c r="A1507" s="10"/>
      <c r="B1507" s="10"/>
      <c r="C1507" s="10"/>
      <c r="D1507" s="10"/>
      <c r="E1507" s="10"/>
      <c r="F1507" s="10"/>
      <c r="G1507" s="10"/>
      <c r="H1507" s="17"/>
      <c r="I1507" s="10"/>
      <c r="J1507" s="10"/>
      <c r="K1507" s="16" t="str">
        <f t="shared" si="510"/>
        <v/>
      </c>
      <c r="L1507" s="23" t="str">
        <f t="shared" si="511"/>
        <v/>
      </c>
      <c r="M1507" s="22" t="str">
        <f t="shared" si="512"/>
        <v/>
      </c>
      <c r="N1507" s="72"/>
      <c r="O1507" s="16" t="str">
        <f t="shared" si="513"/>
        <v/>
      </c>
      <c r="P1507" s="16" t="str">
        <f t="shared" si="514"/>
        <v/>
      </c>
      <c r="Q1507" s="16" t="str">
        <f t="shared" si="515"/>
        <v/>
      </c>
      <c r="R1507" s="23" t="str">
        <f t="shared" si="516"/>
        <v/>
      </c>
      <c r="S1507" s="23" t="str">
        <f t="shared" si="517"/>
        <v/>
      </c>
      <c r="T1507" s="23" t="str">
        <f t="shared" si="518"/>
        <v/>
      </c>
      <c r="U1507" s="23" t="str">
        <f t="shared" si="519"/>
        <v/>
      </c>
      <c r="V1507" s="23" t="str">
        <f t="shared" si="520"/>
        <v/>
      </c>
      <c r="W1507" s="70" t="str">
        <f t="shared" si="521"/>
        <v/>
      </c>
      <c r="X1507" s="70" t="str">
        <f t="shared" si="522"/>
        <v/>
      </c>
      <c r="Y1507" s="70" t="str">
        <f>IF(AND($A1507&lt;&gt;"",$E1507&gt;0),isLaptopBag($C1507,$J1507)*$D1507,"")</f>
        <v/>
      </c>
      <c r="Z1507" s="70" t="str">
        <f t="shared" si="523"/>
        <v/>
      </c>
      <c r="AA1507" s="70" t="str">
        <f t="shared" si="524"/>
        <v/>
      </c>
      <c r="AB1507" s="70" t="str">
        <f t="shared" si="525"/>
        <v/>
      </c>
      <c r="AC1507" s="70" t="str">
        <f t="shared" si="526"/>
        <v/>
      </c>
      <c r="AD1507" s="70" t="str">
        <f t="shared" si="527"/>
        <v/>
      </c>
      <c r="AE1507" s="70" t="str">
        <f t="shared" si="528"/>
        <v/>
      </c>
      <c r="AF1507" s="16"/>
      <c r="AG1507" s="23"/>
      <c r="AH1507" s="22"/>
      <c r="AJ1507" s="83">
        <f t="shared" si="529"/>
        <v>0</v>
      </c>
      <c r="AO1507" s="22" t="str">
        <f t="shared" si="530"/>
        <v/>
      </c>
      <c r="AP1507" s="22" t="str">
        <f t="shared" si="531"/>
        <v/>
      </c>
    </row>
    <row r="1508" spans="1:42" x14ac:dyDescent="0.25">
      <c r="A1508" s="10"/>
      <c r="B1508" s="10"/>
      <c r="C1508" s="10"/>
      <c r="D1508" s="10"/>
      <c r="E1508" s="10"/>
      <c r="F1508" s="10"/>
      <c r="G1508" s="10"/>
      <c r="H1508" s="17"/>
      <c r="I1508" s="10"/>
      <c r="J1508" s="10"/>
      <c r="K1508" s="16" t="str">
        <f t="shared" si="510"/>
        <v/>
      </c>
      <c r="L1508" s="23" t="str">
        <f t="shared" si="511"/>
        <v/>
      </c>
      <c r="M1508" s="22" t="str">
        <f t="shared" si="512"/>
        <v/>
      </c>
      <c r="N1508" s="72"/>
      <c r="O1508" s="16" t="str">
        <f t="shared" si="513"/>
        <v/>
      </c>
      <c r="P1508" s="16" t="str">
        <f t="shared" si="514"/>
        <v/>
      </c>
      <c r="Q1508" s="16" t="str">
        <f t="shared" si="515"/>
        <v/>
      </c>
      <c r="R1508" s="23" t="str">
        <f t="shared" si="516"/>
        <v/>
      </c>
      <c r="S1508" s="23" t="str">
        <f t="shared" si="517"/>
        <v/>
      </c>
      <c r="T1508" s="23" t="str">
        <f t="shared" si="518"/>
        <v/>
      </c>
      <c r="U1508" s="23" t="str">
        <f t="shared" si="519"/>
        <v/>
      </c>
      <c r="V1508" s="23" t="str">
        <f t="shared" si="520"/>
        <v/>
      </c>
      <c r="W1508" s="70" t="str">
        <f t="shared" si="521"/>
        <v/>
      </c>
      <c r="X1508" s="70" t="str">
        <f t="shared" si="522"/>
        <v/>
      </c>
      <c r="Y1508" s="70" t="str">
        <f>IF(AND($A1508&lt;&gt;"",$E1508&gt;0),isLaptopBag($C1508,$J1508)*$D1508,"")</f>
        <v/>
      </c>
      <c r="Z1508" s="70" t="str">
        <f t="shared" si="523"/>
        <v/>
      </c>
      <c r="AA1508" s="70" t="str">
        <f t="shared" si="524"/>
        <v/>
      </c>
      <c r="AB1508" s="70" t="str">
        <f t="shared" si="525"/>
        <v/>
      </c>
      <c r="AC1508" s="70" t="str">
        <f t="shared" si="526"/>
        <v/>
      </c>
      <c r="AD1508" s="70" t="str">
        <f t="shared" si="527"/>
        <v/>
      </c>
      <c r="AE1508" s="70" t="str">
        <f t="shared" si="528"/>
        <v/>
      </c>
      <c r="AF1508" s="16"/>
      <c r="AG1508" s="23"/>
      <c r="AH1508" s="22"/>
      <c r="AJ1508" s="83">
        <f t="shared" si="529"/>
        <v>0</v>
      </c>
      <c r="AO1508" s="22" t="str">
        <f t="shared" si="530"/>
        <v/>
      </c>
      <c r="AP1508" s="22" t="str">
        <f t="shared" si="531"/>
        <v/>
      </c>
    </row>
    <row r="1509" spans="1:42" x14ac:dyDescent="0.25">
      <c r="A1509" s="10"/>
      <c r="B1509" s="10"/>
      <c r="C1509" s="10"/>
      <c r="D1509" s="10"/>
      <c r="E1509" s="10"/>
      <c r="F1509" s="10"/>
      <c r="G1509" s="10"/>
      <c r="H1509" s="17"/>
      <c r="I1509" s="10"/>
      <c r="J1509" s="10"/>
      <c r="K1509" s="16" t="str">
        <f t="shared" si="510"/>
        <v/>
      </c>
      <c r="L1509" s="23" t="str">
        <f t="shared" si="511"/>
        <v/>
      </c>
      <c r="M1509" s="22" t="str">
        <f t="shared" si="512"/>
        <v/>
      </c>
      <c r="N1509" s="72"/>
      <c r="O1509" s="16" t="str">
        <f t="shared" si="513"/>
        <v/>
      </c>
      <c r="P1509" s="16" t="str">
        <f t="shared" si="514"/>
        <v/>
      </c>
      <c r="Q1509" s="16" t="str">
        <f t="shared" si="515"/>
        <v/>
      </c>
      <c r="R1509" s="23" t="str">
        <f t="shared" si="516"/>
        <v/>
      </c>
      <c r="S1509" s="23" t="str">
        <f t="shared" si="517"/>
        <v/>
      </c>
      <c r="T1509" s="23" t="str">
        <f t="shared" si="518"/>
        <v/>
      </c>
      <c r="U1509" s="23" t="str">
        <f t="shared" si="519"/>
        <v/>
      </c>
      <c r="V1509" s="23" t="str">
        <f t="shared" si="520"/>
        <v/>
      </c>
      <c r="W1509" s="70" t="str">
        <f t="shared" si="521"/>
        <v/>
      </c>
      <c r="X1509" s="70" t="str">
        <f t="shared" si="522"/>
        <v/>
      </c>
      <c r="Y1509" s="70" t="str">
        <f>IF(AND($A1509&lt;&gt;"",$E1509&gt;0),isLaptopBag($C1509,$J1509)*$D1509,"")</f>
        <v/>
      </c>
      <c r="Z1509" s="70" t="str">
        <f t="shared" si="523"/>
        <v/>
      </c>
      <c r="AA1509" s="70" t="str">
        <f t="shared" si="524"/>
        <v/>
      </c>
      <c r="AB1509" s="70" t="str">
        <f t="shared" si="525"/>
        <v/>
      </c>
      <c r="AC1509" s="70" t="str">
        <f t="shared" si="526"/>
        <v/>
      </c>
      <c r="AD1509" s="70" t="str">
        <f t="shared" si="527"/>
        <v/>
      </c>
      <c r="AE1509" s="70" t="str">
        <f t="shared" si="528"/>
        <v/>
      </c>
      <c r="AF1509" s="16"/>
      <c r="AG1509" s="23"/>
      <c r="AH1509" s="22"/>
      <c r="AJ1509" s="83">
        <f t="shared" si="529"/>
        <v>0</v>
      </c>
      <c r="AO1509" s="22" t="str">
        <f t="shared" si="530"/>
        <v/>
      </c>
      <c r="AP1509" s="22" t="str">
        <f t="shared" si="531"/>
        <v/>
      </c>
    </row>
    <row r="1510" spans="1:42" x14ac:dyDescent="0.25">
      <c r="A1510" s="10"/>
      <c r="B1510" s="10"/>
      <c r="C1510" s="10"/>
      <c r="D1510" s="10"/>
      <c r="E1510" s="10"/>
      <c r="F1510" s="10"/>
      <c r="G1510" s="10"/>
      <c r="H1510" s="17"/>
      <c r="I1510" s="10"/>
      <c r="J1510" s="10"/>
      <c r="K1510" s="16" t="str">
        <f t="shared" si="510"/>
        <v/>
      </c>
      <c r="L1510" s="23" t="str">
        <f t="shared" si="511"/>
        <v/>
      </c>
      <c r="M1510" s="22" t="str">
        <f t="shared" si="512"/>
        <v/>
      </c>
      <c r="N1510" s="72"/>
      <c r="O1510" s="16" t="str">
        <f t="shared" si="513"/>
        <v/>
      </c>
      <c r="P1510" s="16" t="str">
        <f t="shared" si="514"/>
        <v/>
      </c>
      <c r="Q1510" s="16" t="str">
        <f t="shared" si="515"/>
        <v/>
      </c>
      <c r="R1510" s="23" t="str">
        <f t="shared" si="516"/>
        <v/>
      </c>
      <c r="S1510" s="23" t="str">
        <f t="shared" si="517"/>
        <v/>
      </c>
      <c r="T1510" s="23" t="str">
        <f t="shared" si="518"/>
        <v/>
      </c>
      <c r="U1510" s="23" t="str">
        <f t="shared" si="519"/>
        <v/>
      </c>
      <c r="V1510" s="23" t="str">
        <f t="shared" si="520"/>
        <v/>
      </c>
      <c r="W1510" s="70" t="str">
        <f t="shared" si="521"/>
        <v/>
      </c>
      <c r="X1510" s="70" t="str">
        <f t="shared" si="522"/>
        <v/>
      </c>
      <c r="Y1510" s="70" t="str">
        <f>IF(AND($A1510&lt;&gt;"",$E1510&gt;0),isLaptopBag($C1510,$J1510)*$D1510,"")</f>
        <v/>
      </c>
      <c r="Z1510" s="70" t="str">
        <f t="shared" si="523"/>
        <v/>
      </c>
      <c r="AA1510" s="70" t="str">
        <f t="shared" si="524"/>
        <v/>
      </c>
      <c r="AB1510" s="70" t="str">
        <f t="shared" si="525"/>
        <v/>
      </c>
      <c r="AC1510" s="70" t="str">
        <f t="shared" si="526"/>
        <v/>
      </c>
      <c r="AD1510" s="70" t="str">
        <f t="shared" si="527"/>
        <v/>
      </c>
      <c r="AE1510" s="70" t="str">
        <f t="shared" si="528"/>
        <v/>
      </c>
      <c r="AF1510" s="16"/>
      <c r="AG1510" s="23"/>
      <c r="AH1510" s="22"/>
      <c r="AJ1510" s="83">
        <f t="shared" si="529"/>
        <v>0</v>
      </c>
      <c r="AO1510" s="22" t="str">
        <f t="shared" si="530"/>
        <v/>
      </c>
      <c r="AP1510" s="22" t="str">
        <f t="shared" si="531"/>
        <v/>
      </c>
    </row>
    <row r="1511" spans="1:42" x14ac:dyDescent="0.25">
      <c r="A1511" s="10"/>
      <c r="B1511" s="10"/>
      <c r="C1511" s="10"/>
      <c r="D1511" s="10"/>
      <c r="E1511" s="10"/>
      <c r="F1511" s="10"/>
      <c r="G1511" s="10"/>
      <c r="H1511" s="17"/>
      <c r="I1511" s="10"/>
      <c r="J1511" s="10"/>
      <c r="K1511" s="16" t="str">
        <f t="shared" si="510"/>
        <v/>
      </c>
      <c r="L1511" s="23" t="str">
        <f t="shared" si="511"/>
        <v/>
      </c>
      <c r="M1511" s="22" t="str">
        <f t="shared" si="512"/>
        <v/>
      </c>
      <c r="N1511" s="72"/>
      <c r="O1511" s="16" t="str">
        <f t="shared" si="513"/>
        <v/>
      </c>
      <c r="P1511" s="16" t="str">
        <f t="shared" si="514"/>
        <v/>
      </c>
      <c r="Q1511" s="16" t="str">
        <f t="shared" si="515"/>
        <v/>
      </c>
      <c r="R1511" s="23" t="str">
        <f t="shared" si="516"/>
        <v/>
      </c>
      <c r="S1511" s="23" t="str">
        <f t="shared" si="517"/>
        <v/>
      </c>
      <c r="T1511" s="23" t="str">
        <f t="shared" si="518"/>
        <v/>
      </c>
      <c r="U1511" s="23" t="str">
        <f t="shared" si="519"/>
        <v/>
      </c>
      <c r="V1511" s="23" t="str">
        <f t="shared" si="520"/>
        <v/>
      </c>
      <c r="W1511" s="70" t="str">
        <f t="shared" si="521"/>
        <v/>
      </c>
      <c r="X1511" s="70" t="str">
        <f t="shared" si="522"/>
        <v/>
      </c>
      <c r="Y1511" s="70" t="str">
        <f>IF(AND($A1511&lt;&gt;"",$E1511&gt;0),isLaptopBag($C1511,$J1511)*$D1511,"")</f>
        <v/>
      </c>
      <c r="Z1511" s="70" t="str">
        <f t="shared" si="523"/>
        <v/>
      </c>
      <c r="AA1511" s="70" t="str">
        <f t="shared" si="524"/>
        <v/>
      </c>
      <c r="AB1511" s="70" t="str">
        <f t="shared" si="525"/>
        <v/>
      </c>
      <c r="AC1511" s="70" t="str">
        <f t="shared" si="526"/>
        <v/>
      </c>
      <c r="AD1511" s="70" t="str">
        <f t="shared" si="527"/>
        <v/>
      </c>
      <c r="AE1511" s="70" t="str">
        <f t="shared" si="528"/>
        <v/>
      </c>
      <c r="AF1511" s="16"/>
      <c r="AG1511" s="23"/>
      <c r="AH1511" s="22"/>
      <c r="AJ1511" s="83">
        <f t="shared" si="529"/>
        <v>0</v>
      </c>
      <c r="AO1511" s="22" t="str">
        <f t="shared" si="530"/>
        <v/>
      </c>
      <c r="AP1511" s="22" t="str">
        <f t="shared" si="531"/>
        <v/>
      </c>
    </row>
    <row r="1512" spans="1:42" x14ac:dyDescent="0.25">
      <c r="A1512" s="10"/>
      <c r="B1512" s="10"/>
      <c r="C1512" s="10"/>
      <c r="D1512" s="10"/>
      <c r="E1512" s="10"/>
      <c r="F1512" s="10"/>
      <c r="G1512" s="10"/>
      <c r="H1512" s="17"/>
      <c r="I1512" s="10"/>
      <c r="J1512" s="10"/>
      <c r="K1512" s="16" t="str">
        <f t="shared" si="510"/>
        <v/>
      </c>
      <c r="L1512" s="23" t="str">
        <f t="shared" si="511"/>
        <v/>
      </c>
      <c r="M1512" s="22" t="str">
        <f t="shared" si="512"/>
        <v/>
      </c>
      <c r="N1512" s="72"/>
      <c r="O1512" s="16" t="str">
        <f t="shared" si="513"/>
        <v/>
      </c>
      <c r="P1512" s="16" t="str">
        <f t="shared" si="514"/>
        <v/>
      </c>
      <c r="Q1512" s="16" t="str">
        <f t="shared" si="515"/>
        <v/>
      </c>
      <c r="R1512" s="23" t="str">
        <f t="shared" si="516"/>
        <v/>
      </c>
      <c r="S1512" s="23" t="str">
        <f t="shared" si="517"/>
        <v/>
      </c>
      <c r="T1512" s="23" t="str">
        <f t="shared" si="518"/>
        <v/>
      </c>
      <c r="U1512" s="23" t="str">
        <f t="shared" si="519"/>
        <v/>
      </c>
      <c r="V1512" s="23" t="str">
        <f t="shared" si="520"/>
        <v/>
      </c>
      <c r="W1512" s="70" t="str">
        <f t="shared" si="521"/>
        <v/>
      </c>
      <c r="X1512" s="70" t="str">
        <f t="shared" si="522"/>
        <v/>
      </c>
      <c r="Y1512" s="70" t="str">
        <f>IF(AND($A1512&lt;&gt;"",$E1512&gt;0),isLaptopBag($C1512,$J1512)*$D1512,"")</f>
        <v/>
      </c>
      <c r="Z1512" s="70" t="str">
        <f t="shared" si="523"/>
        <v/>
      </c>
      <c r="AA1512" s="70" t="str">
        <f t="shared" si="524"/>
        <v/>
      </c>
      <c r="AB1512" s="70" t="str">
        <f t="shared" si="525"/>
        <v/>
      </c>
      <c r="AC1512" s="70" t="str">
        <f t="shared" si="526"/>
        <v/>
      </c>
      <c r="AD1512" s="70" t="str">
        <f t="shared" si="527"/>
        <v/>
      </c>
      <c r="AE1512" s="70" t="str">
        <f t="shared" si="528"/>
        <v/>
      </c>
      <c r="AF1512" s="16"/>
      <c r="AG1512" s="23"/>
      <c r="AH1512" s="22"/>
      <c r="AJ1512" s="83">
        <f t="shared" si="529"/>
        <v>0</v>
      </c>
      <c r="AO1512" s="22" t="str">
        <f t="shared" si="530"/>
        <v/>
      </c>
      <c r="AP1512" s="22" t="str">
        <f t="shared" si="531"/>
        <v/>
      </c>
    </row>
    <row r="1513" spans="1:42" x14ac:dyDescent="0.25">
      <c r="A1513" s="10"/>
      <c r="B1513" s="10"/>
      <c r="C1513" s="10"/>
      <c r="D1513" s="10"/>
      <c r="E1513" s="10"/>
      <c r="F1513" s="10"/>
      <c r="G1513" s="10"/>
      <c r="H1513" s="17"/>
      <c r="I1513" s="10"/>
      <c r="J1513" s="10"/>
      <c r="K1513" s="16" t="str">
        <f t="shared" si="510"/>
        <v/>
      </c>
      <c r="L1513" s="23" t="str">
        <f t="shared" si="511"/>
        <v/>
      </c>
      <c r="M1513" s="22" t="str">
        <f t="shared" si="512"/>
        <v/>
      </c>
      <c r="N1513" s="72"/>
      <c r="O1513" s="16" t="str">
        <f t="shared" si="513"/>
        <v/>
      </c>
      <c r="P1513" s="16" t="str">
        <f t="shared" si="514"/>
        <v/>
      </c>
      <c r="Q1513" s="16" t="str">
        <f t="shared" si="515"/>
        <v/>
      </c>
      <c r="R1513" s="23" t="str">
        <f t="shared" si="516"/>
        <v/>
      </c>
      <c r="S1513" s="23" t="str">
        <f t="shared" si="517"/>
        <v/>
      </c>
      <c r="T1513" s="23" t="str">
        <f t="shared" si="518"/>
        <v/>
      </c>
      <c r="U1513" s="23" t="str">
        <f t="shared" si="519"/>
        <v/>
      </c>
      <c r="V1513" s="23" t="str">
        <f t="shared" si="520"/>
        <v/>
      </c>
      <c r="W1513" s="70" t="str">
        <f t="shared" si="521"/>
        <v/>
      </c>
      <c r="X1513" s="70" t="str">
        <f t="shared" si="522"/>
        <v/>
      </c>
      <c r="Y1513" s="70" t="str">
        <f>IF(AND($A1513&lt;&gt;"",$E1513&gt;0),isLaptopBag($C1513,$J1513)*$D1513,"")</f>
        <v/>
      </c>
      <c r="Z1513" s="70" t="str">
        <f t="shared" si="523"/>
        <v/>
      </c>
      <c r="AA1513" s="70" t="str">
        <f t="shared" si="524"/>
        <v/>
      </c>
      <c r="AB1513" s="70" t="str">
        <f t="shared" si="525"/>
        <v/>
      </c>
      <c r="AC1513" s="70" t="str">
        <f t="shared" si="526"/>
        <v/>
      </c>
      <c r="AD1513" s="70" t="str">
        <f t="shared" si="527"/>
        <v/>
      </c>
      <c r="AE1513" s="70" t="str">
        <f t="shared" si="528"/>
        <v/>
      </c>
      <c r="AF1513" s="16"/>
      <c r="AG1513" s="23"/>
      <c r="AH1513" s="22"/>
      <c r="AJ1513" s="83">
        <f t="shared" si="529"/>
        <v>0</v>
      </c>
      <c r="AO1513" s="22" t="str">
        <f t="shared" si="530"/>
        <v/>
      </c>
      <c r="AP1513" s="22" t="str">
        <f t="shared" si="531"/>
        <v/>
      </c>
    </row>
    <row r="1514" spans="1:42" x14ac:dyDescent="0.25">
      <c r="A1514" s="10"/>
      <c r="B1514" s="10"/>
      <c r="C1514" s="10"/>
      <c r="D1514" s="10"/>
      <c r="E1514" s="10"/>
      <c r="F1514" s="10"/>
      <c r="G1514" s="10"/>
      <c r="H1514" s="17"/>
      <c r="I1514" s="10"/>
      <c r="J1514" s="10"/>
      <c r="K1514" s="16" t="str">
        <f t="shared" si="510"/>
        <v/>
      </c>
      <c r="L1514" s="23" t="str">
        <f t="shared" si="511"/>
        <v/>
      </c>
      <c r="M1514" s="22" t="str">
        <f t="shared" si="512"/>
        <v/>
      </c>
      <c r="N1514" s="72"/>
      <c r="O1514" s="16" t="str">
        <f t="shared" si="513"/>
        <v/>
      </c>
      <c r="P1514" s="16" t="str">
        <f t="shared" si="514"/>
        <v/>
      </c>
      <c r="Q1514" s="16" t="str">
        <f t="shared" si="515"/>
        <v/>
      </c>
      <c r="R1514" s="23" t="str">
        <f t="shared" si="516"/>
        <v/>
      </c>
      <c r="S1514" s="23" t="str">
        <f t="shared" si="517"/>
        <v/>
      </c>
      <c r="T1514" s="23" t="str">
        <f t="shared" si="518"/>
        <v/>
      </c>
      <c r="U1514" s="23" t="str">
        <f t="shared" si="519"/>
        <v/>
      </c>
      <c r="V1514" s="23" t="str">
        <f t="shared" si="520"/>
        <v/>
      </c>
      <c r="W1514" s="70" t="str">
        <f t="shared" si="521"/>
        <v/>
      </c>
      <c r="X1514" s="70" t="str">
        <f t="shared" si="522"/>
        <v/>
      </c>
      <c r="Y1514" s="70" t="str">
        <f>IF(AND($A1514&lt;&gt;"",$E1514&gt;0),isLaptopBag($C1514,$J1514)*$D1514,"")</f>
        <v/>
      </c>
      <c r="Z1514" s="70" t="str">
        <f t="shared" si="523"/>
        <v/>
      </c>
      <c r="AA1514" s="70" t="str">
        <f t="shared" si="524"/>
        <v/>
      </c>
      <c r="AB1514" s="70" t="str">
        <f t="shared" si="525"/>
        <v/>
      </c>
      <c r="AC1514" s="70" t="str">
        <f t="shared" si="526"/>
        <v/>
      </c>
      <c r="AD1514" s="70" t="str">
        <f t="shared" si="527"/>
        <v/>
      </c>
      <c r="AE1514" s="70" t="str">
        <f t="shared" si="528"/>
        <v/>
      </c>
      <c r="AF1514" s="16"/>
      <c r="AG1514" s="23"/>
      <c r="AH1514" s="22"/>
      <c r="AJ1514" s="83">
        <f t="shared" si="529"/>
        <v>0</v>
      </c>
      <c r="AO1514" s="22" t="str">
        <f t="shared" si="530"/>
        <v/>
      </c>
      <c r="AP1514" s="22" t="str">
        <f t="shared" si="531"/>
        <v/>
      </c>
    </row>
    <row r="1515" spans="1:42" x14ac:dyDescent="0.25">
      <c r="A1515" s="10"/>
      <c r="B1515" s="10"/>
      <c r="C1515" s="10"/>
      <c r="D1515" s="10"/>
      <c r="E1515" s="10"/>
      <c r="F1515" s="10"/>
      <c r="G1515" s="10"/>
      <c r="H1515" s="17"/>
      <c r="I1515" s="10"/>
      <c r="J1515" s="10"/>
      <c r="K1515" s="16" t="str">
        <f t="shared" si="510"/>
        <v/>
      </c>
      <c r="L1515" s="23" t="str">
        <f t="shared" si="511"/>
        <v/>
      </c>
      <c r="M1515" s="22" t="str">
        <f t="shared" si="512"/>
        <v/>
      </c>
      <c r="N1515" s="72"/>
      <c r="O1515" s="16" t="str">
        <f t="shared" si="513"/>
        <v/>
      </c>
      <c r="P1515" s="16" t="str">
        <f t="shared" si="514"/>
        <v/>
      </c>
      <c r="Q1515" s="16" t="str">
        <f t="shared" si="515"/>
        <v/>
      </c>
      <c r="R1515" s="23" t="str">
        <f t="shared" si="516"/>
        <v/>
      </c>
      <c r="S1515" s="23" t="str">
        <f t="shared" si="517"/>
        <v/>
      </c>
      <c r="T1515" s="23" t="str">
        <f t="shared" si="518"/>
        <v/>
      </c>
      <c r="U1515" s="23" t="str">
        <f t="shared" si="519"/>
        <v/>
      </c>
      <c r="V1515" s="23" t="str">
        <f t="shared" si="520"/>
        <v/>
      </c>
      <c r="W1515" s="70" t="str">
        <f t="shared" si="521"/>
        <v/>
      </c>
      <c r="X1515" s="70" t="str">
        <f t="shared" si="522"/>
        <v/>
      </c>
      <c r="Y1515" s="70" t="str">
        <f>IF(AND($A1515&lt;&gt;"",$E1515&gt;0),isLaptopBag($C1515,$J1515)*$D1515,"")</f>
        <v/>
      </c>
      <c r="Z1515" s="70" t="str">
        <f t="shared" si="523"/>
        <v/>
      </c>
      <c r="AA1515" s="70" t="str">
        <f t="shared" si="524"/>
        <v/>
      </c>
      <c r="AB1515" s="70" t="str">
        <f t="shared" si="525"/>
        <v/>
      </c>
      <c r="AC1515" s="70" t="str">
        <f t="shared" si="526"/>
        <v/>
      </c>
      <c r="AD1515" s="70" t="str">
        <f t="shared" si="527"/>
        <v/>
      </c>
      <c r="AE1515" s="70" t="str">
        <f t="shared" si="528"/>
        <v/>
      </c>
      <c r="AF1515" s="16"/>
      <c r="AG1515" s="23"/>
      <c r="AH1515" s="22"/>
      <c r="AJ1515" s="83">
        <f t="shared" si="529"/>
        <v>0</v>
      </c>
      <c r="AO1515" s="22" t="str">
        <f t="shared" si="530"/>
        <v/>
      </c>
      <c r="AP1515" s="22" t="str">
        <f t="shared" si="531"/>
        <v/>
      </c>
    </row>
    <row r="1516" spans="1:42" x14ac:dyDescent="0.25">
      <c r="A1516" s="10"/>
      <c r="B1516" s="10"/>
      <c r="C1516" s="10"/>
      <c r="D1516" s="10"/>
      <c r="E1516" s="10"/>
      <c r="F1516" s="10"/>
      <c r="G1516" s="10"/>
      <c r="H1516" s="17"/>
      <c r="I1516" s="10"/>
      <c r="J1516" s="10"/>
      <c r="K1516" s="16" t="str">
        <f t="shared" si="510"/>
        <v/>
      </c>
      <c r="L1516" s="23" t="str">
        <f t="shared" si="511"/>
        <v/>
      </c>
      <c r="M1516" s="22" t="str">
        <f t="shared" si="512"/>
        <v/>
      </c>
      <c r="N1516" s="72"/>
      <c r="O1516" s="16" t="str">
        <f t="shared" si="513"/>
        <v/>
      </c>
      <c r="P1516" s="16" t="str">
        <f t="shared" si="514"/>
        <v/>
      </c>
      <c r="Q1516" s="16" t="str">
        <f t="shared" si="515"/>
        <v/>
      </c>
      <c r="R1516" s="23" t="str">
        <f t="shared" si="516"/>
        <v/>
      </c>
      <c r="S1516" s="23" t="str">
        <f t="shared" si="517"/>
        <v/>
      </c>
      <c r="T1516" s="23" t="str">
        <f t="shared" si="518"/>
        <v/>
      </c>
      <c r="U1516" s="23" t="str">
        <f t="shared" si="519"/>
        <v/>
      </c>
      <c r="V1516" s="23" t="str">
        <f t="shared" si="520"/>
        <v/>
      </c>
      <c r="W1516" s="70" t="str">
        <f t="shared" si="521"/>
        <v/>
      </c>
      <c r="X1516" s="70" t="str">
        <f t="shared" si="522"/>
        <v/>
      </c>
      <c r="Y1516" s="70" t="str">
        <f>IF(AND($A1516&lt;&gt;"",$E1516&gt;0),isLaptopBag($C1516,$J1516)*$D1516,"")</f>
        <v/>
      </c>
      <c r="Z1516" s="70" t="str">
        <f t="shared" si="523"/>
        <v/>
      </c>
      <c r="AA1516" s="70" t="str">
        <f t="shared" si="524"/>
        <v/>
      </c>
      <c r="AB1516" s="70" t="str">
        <f t="shared" si="525"/>
        <v/>
      </c>
      <c r="AC1516" s="70" t="str">
        <f t="shared" si="526"/>
        <v/>
      </c>
      <c r="AD1516" s="70" t="str">
        <f t="shared" si="527"/>
        <v/>
      </c>
      <c r="AE1516" s="70" t="str">
        <f t="shared" si="528"/>
        <v/>
      </c>
      <c r="AF1516" s="16"/>
      <c r="AG1516" s="23"/>
      <c r="AH1516" s="22"/>
      <c r="AJ1516" s="83">
        <f t="shared" si="529"/>
        <v>0</v>
      </c>
      <c r="AO1516" s="22" t="str">
        <f t="shared" si="530"/>
        <v/>
      </c>
      <c r="AP1516" s="22" t="str">
        <f t="shared" si="531"/>
        <v/>
      </c>
    </row>
    <row r="1517" spans="1:42" x14ac:dyDescent="0.25">
      <c r="A1517" s="10"/>
      <c r="B1517" s="10"/>
      <c r="C1517" s="10"/>
      <c r="D1517" s="10"/>
      <c r="E1517" s="10"/>
      <c r="F1517" s="10"/>
      <c r="G1517" s="10"/>
      <c r="H1517" s="17"/>
      <c r="I1517" s="10"/>
      <c r="J1517" s="10"/>
      <c r="K1517" s="16" t="str">
        <f t="shared" si="510"/>
        <v/>
      </c>
      <c r="L1517" s="23" t="str">
        <f t="shared" si="511"/>
        <v/>
      </c>
      <c r="M1517" s="22" t="str">
        <f t="shared" si="512"/>
        <v/>
      </c>
      <c r="N1517" s="72"/>
      <c r="O1517" s="16" t="str">
        <f t="shared" si="513"/>
        <v/>
      </c>
      <c r="P1517" s="16" t="str">
        <f t="shared" si="514"/>
        <v/>
      </c>
      <c r="Q1517" s="16" t="str">
        <f t="shared" si="515"/>
        <v/>
      </c>
      <c r="R1517" s="23" t="str">
        <f t="shared" si="516"/>
        <v/>
      </c>
      <c r="S1517" s="23" t="str">
        <f t="shared" si="517"/>
        <v/>
      </c>
      <c r="T1517" s="23" t="str">
        <f t="shared" si="518"/>
        <v/>
      </c>
      <c r="U1517" s="23" t="str">
        <f t="shared" si="519"/>
        <v/>
      </c>
      <c r="V1517" s="23" t="str">
        <f t="shared" si="520"/>
        <v/>
      </c>
      <c r="W1517" s="70" t="str">
        <f t="shared" si="521"/>
        <v/>
      </c>
      <c r="X1517" s="70" t="str">
        <f t="shared" si="522"/>
        <v/>
      </c>
      <c r="Y1517" s="70" t="str">
        <f>IF(AND($A1517&lt;&gt;"",$E1517&gt;0),isLaptopBag($C1517,$J1517)*$D1517,"")</f>
        <v/>
      </c>
      <c r="Z1517" s="70" t="str">
        <f t="shared" si="523"/>
        <v/>
      </c>
      <c r="AA1517" s="70" t="str">
        <f t="shared" si="524"/>
        <v/>
      </c>
      <c r="AB1517" s="70" t="str">
        <f t="shared" si="525"/>
        <v/>
      </c>
      <c r="AC1517" s="70" t="str">
        <f t="shared" si="526"/>
        <v/>
      </c>
      <c r="AD1517" s="70" t="str">
        <f t="shared" si="527"/>
        <v/>
      </c>
      <c r="AE1517" s="70" t="str">
        <f t="shared" si="528"/>
        <v/>
      </c>
      <c r="AF1517" s="16"/>
      <c r="AG1517" s="23"/>
      <c r="AH1517" s="22"/>
      <c r="AJ1517" s="83">
        <f t="shared" si="529"/>
        <v>0</v>
      </c>
      <c r="AO1517" s="22" t="str">
        <f t="shared" si="530"/>
        <v/>
      </c>
      <c r="AP1517" s="22" t="str">
        <f t="shared" si="531"/>
        <v/>
      </c>
    </row>
    <row r="1518" spans="1:42" x14ac:dyDescent="0.25">
      <c r="A1518" s="10"/>
      <c r="B1518" s="10"/>
      <c r="C1518" s="10"/>
      <c r="D1518" s="10"/>
      <c r="E1518" s="10"/>
      <c r="F1518" s="10"/>
      <c r="G1518" s="10"/>
      <c r="H1518" s="17"/>
      <c r="I1518" s="10"/>
      <c r="J1518" s="10"/>
      <c r="K1518" s="16" t="str">
        <f t="shared" si="510"/>
        <v/>
      </c>
      <c r="L1518" s="23" t="str">
        <f t="shared" si="511"/>
        <v/>
      </c>
      <c r="M1518" s="22" t="str">
        <f t="shared" si="512"/>
        <v/>
      </c>
      <c r="N1518" s="72"/>
      <c r="O1518" s="16" t="str">
        <f t="shared" si="513"/>
        <v/>
      </c>
      <c r="P1518" s="16" t="str">
        <f t="shared" si="514"/>
        <v/>
      </c>
      <c r="Q1518" s="16" t="str">
        <f t="shared" si="515"/>
        <v/>
      </c>
      <c r="R1518" s="23" t="str">
        <f t="shared" si="516"/>
        <v/>
      </c>
      <c r="S1518" s="23" t="str">
        <f t="shared" si="517"/>
        <v/>
      </c>
      <c r="T1518" s="23" t="str">
        <f t="shared" si="518"/>
        <v/>
      </c>
      <c r="U1518" s="23" t="str">
        <f t="shared" si="519"/>
        <v/>
      </c>
      <c r="V1518" s="23" t="str">
        <f t="shared" si="520"/>
        <v/>
      </c>
      <c r="W1518" s="70" t="str">
        <f t="shared" si="521"/>
        <v/>
      </c>
      <c r="X1518" s="70" t="str">
        <f t="shared" si="522"/>
        <v/>
      </c>
      <c r="Y1518" s="70" t="str">
        <f>IF(AND($A1518&lt;&gt;"",$E1518&gt;0),isLaptopBag($C1518,$J1518)*$D1518,"")</f>
        <v/>
      </c>
      <c r="Z1518" s="70" t="str">
        <f t="shared" si="523"/>
        <v/>
      </c>
      <c r="AA1518" s="70" t="str">
        <f t="shared" si="524"/>
        <v/>
      </c>
      <c r="AB1518" s="70" t="str">
        <f t="shared" si="525"/>
        <v/>
      </c>
      <c r="AC1518" s="70" t="str">
        <f t="shared" si="526"/>
        <v/>
      </c>
      <c r="AD1518" s="70" t="str">
        <f t="shared" si="527"/>
        <v/>
      </c>
      <c r="AE1518" s="70" t="str">
        <f t="shared" si="528"/>
        <v/>
      </c>
      <c r="AF1518" s="16"/>
      <c r="AG1518" s="23"/>
      <c r="AH1518" s="22"/>
      <c r="AJ1518" s="83">
        <f t="shared" si="529"/>
        <v>0</v>
      </c>
      <c r="AO1518" s="22" t="str">
        <f t="shared" si="530"/>
        <v/>
      </c>
      <c r="AP1518" s="22" t="str">
        <f t="shared" si="531"/>
        <v/>
      </c>
    </row>
    <row r="1519" spans="1:42" x14ac:dyDescent="0.25">
      <c r="A1519" s="10"/>
      <c r="B1519" s="10"/>
      <c r="C1519" s="10"/>
      <c r="D1519" s="10"/>
      <c r="E1519" s="10"/>
      <c r="F1519" s="10"/>
      <c r="G1519" s="10"/>
      <c r="H1519" s="17"/>
      <c r="I1519" s="10"/>
      <c r="J1519" s="10"/>
      <c r="K1519" s="16" t="str">
        <f t="shared" si="510"/>
        <v/>
      </c>
      <c r="L1519" s="23" t="str">
        <f t="shared" si="511"/>
        <v/>
      </c>
      <c r="M1519" s="22" t="str">
        <f t="shared" si="512"/>
        <v/>
      </c>
      <c r="N1519" s="72"/>
      <c r="O1519" s="16" t="str">
        <f t="shared" si="513"/>
        <v/>
      </c>
      <c r="P1519" s="16" t="str">
        <f t="shared" si="514"/>
        <v/>
      </c>
      <c r="Q1519" s="16" t="str">
        <f t="shared" si="515"/>
        <v/>
      </c>
      <c r="R1519" s="23" t="str">
        <f t="shared" si="516"/>
        <v/>
      </c>
      <c r="S1519" s="23" t="str">
        <f t="shared" si="517"/>
        <v/>
      </c>
      <c r="T1519" s="23" t="str">
        <f t="shared" si="518"/>
        <v/>
      </c>
      <c r="U1519" s="23" t="str">
        <f t="shared" si="519"/>
        <v/>
      </c>
      <c r="V1519" s="23" t="str">
        <f t="shared" si="520"/>
        <v/>
      </c>
      <c r="W1519" s="70" t="str">
        <f t="shared" si="521"/>
        <v/>
      </c>
      <c r="X1519" s="70" t="str">
        <f t="shared" si="522"/>
        <v/>
      </c>
      <c r="Y1519" s="70" t="str">
        <f>IF(AND($A1519&lt;&gt;"",$E1519&gt;0),isLaptopBag($C1519,$J1519)*$D1519,"")</f>
        <v/>
      </c>
      <c r="Z1519" s="70" t="str">
        <f t="shared" si="523"/>
        <v/>
      </c>
      <c r="AA1519" s="70" t="str">
        <f t="shared" si="524"/>
        <v/>
      </c>
      <c r="AB1519" s="70" t="str">
        <f t="shared" si="525"/>
        <v/>
      </c>
      <c r="AC1519" s="70" t="str">
        <f t="shared" si="526"/>
        <v/>
      </c>
      <c r="AD1519" s="70" t="str">
        <f t="shared" si="527"/>
        <v/>
      </c>
      <c r="AE1519" s="70" t="str">
        <f t="shared" si="528"/>
        <v/>
      </c>
      <c r="AF1519" s="16"/>
      <c r="AG1519" s="23"/>
      <c r="AH1519" s="22"/>
      <c r="AJ1519" s="83">
        <f t="shared" si="529"/>
        <v>0</v>
      </c>
      <c r="AO1519" s="22" t="str">
        <f t="shared" si="530"/>
        <v/>
      </c>
      <c r="AP1519" s="22" t="str">
        <f t="shared" si="531"/>
        <v/>
      </c>
    </row>
    <row r="1520" spans="1:42" x14ac:dyDescent="0.25">
      <c r="A1520" s="10"/>
      <c r="B1520" s="10"/>
      <c r="C1520" s="10"/>
      <c r="D1520" s="10"/>
      <c r="E1520" s="10"/>
      <c r="F1520" s="10"/>
      <c r="G1520" s="10"/>
      <c r="H1520" s="17"/>
      <c r="I1520" s="10"/>
      <c r="J1520" s="10"/>
      <c r="K1520" s="16" t="str">
        <f t="shared" si="510"/>
        <v/>
      </c>
      <c r="L1520" s="23" t="str">
        <f t="shared" si="511"/>
        <v/>
      </c>
      <c r="M1520" s="22" t="str">
        <f t="shared" si="512"/>
        <v/>
      </c>
      <c r="N1520" s="72"/>
      <c r="O1520" s="16" t="str">
        <f t="shared" si="513"/>
        <v/>
      </c>
      <c r="P1520" s="16" t="str">
        <f t="shared" si="514"/>
        <v/>
      </c>
      <c r="Q1520" s="16" t="str">
        <f t="shared" si="515"/>
        <v/>
      </c>
      <c r="R1520" s="23" t="str">
        <f t="shared" si="516"/>
        <v/>
      </c>
      <c r="S1520" s="23" t="str">
        <f t="shared" si="517"/>
        <v/>
      </c>
      <c r="T1520" s="23" t="str">
        <f t="shared" si="518"/>
        <v/>
      </c>
      <c r="U1520" s="23" t="str">
        <f t="shared" si="519"/>
        <v/>
      </c>
      <c r="V1520" s="23" t="str">
        <f t="shared" si="520"/>
        <v/>
      </c>
      <c r="W1520" s="70" t="str">
        <f t="shared" si="521"/>
        <v/>
      </c>
      <c r="X1520" s="70" t="str">
        <f t="shared" si="522"/>
        <v/>
      </c>
      <c r="Y1520" s="70" t="str">
        <f>IF(AND($A1520&lt;&gt;"",$E1520&gt;0),isLaptopBag($C1520,$J1520)*$D1520,"")</f>
        <v/>
      </c>
      <c r="Z1520" s="70" t="str">
        <f t="shared" si="523"/>
        <v/>
      </c>
      <c r="AA1520" s="70" t="str">
        <f t="shared" si="524"/>
        <v/>
      </c>
      <c r="AB1520" s="70" t="str">
        <f t="shared" si="525"/>
        <v/>
      </c>
      <c r="AC1520" s="70" t="str">
        <f t="shared" si="526"/>
        <v/>
      </c>
      <c r="AD1520" s="70" t="str">
        <f t="shared" si="527"/>
        <v/>
      </c>
      <c r="AE1520" s="70" t="str">
        <f t="shared" si="528"/>
        <v/>
      </c>
      <c r="AF1520" s="16"/>
      <c r="AG1520" s="23"/>
      <c r="AH1520" s="22"/>
      <c r="AJ1520" s="83">
        <f t="shared" si="529"/>
        <v>0</v>
      </c>
      <c r="AO1520" s="22" t="str">
        <f t="shared" si="530"/>
        <v/>
      </c>
      <c r="AP1520" s="22" t="str">
        <f t="shared" si="531"/>
        <v/>
      </c>
    </row>
    <row r="1521" spans="1:42" x14ac:dyDescent="0.25">
      <c r="A1521" s="10"/>
      <c r="B1521" s="10"/>
      <c r="C1521" s="10"/>
      <c r="D1521" s="10"/>
      <c r="E1521" s="10"/>
      <c r="F1521" s="10"/>
      <c r="G1521" s="10"/>
      <c r="H1521" s="17"/>
      <c r="I1521" s="10"/>
      <c r="J1521" s="10"/>
      <c r="K1521" s="16" t="str">
        <f t="shared" si="510"/>
        <v/>
      </c>
      <c r="L1521" s="23" t="str">
        <f t="shared" si="511"/>
        <v/>
      </c>
      <c r="M1521" s="22" t="str">
        <f t="shared" si="512"/>
        <v/>
      </c>
      <c r="N1521" s="72"/>
      <c r="O1521" s="16" t="str">
        <f t="shared" si="513"/>
        <v/>
      </c>
      <c r="P1521" s="16" t="str">
        <f t="shared" si="514"/>
        <v/>
      </c>
      <c r="Q1521" s="16" t="str">
        <f t="shared" si="515"/>
        <v/>
      </c>
      <c r="R1521" s="23" t="str">
        <f t="shared" si="516"/>
        <v/>
      </c>
      <c r="S1521" s="23" t="str">
        <f t="shared" si="517"/>
        <v/>
      </c>
      <c r="T1521" s="23" t="str">
        <f t="shared" si="518"/>
        <v/>
      </c>
      <c r="U1521" s="23" t="str">
        <f t="shared" si="519"/>
        <v/>
      </c>
      <c r="V1521" s="23" t="str">
        <f t="shared" si="520"/>
        <v/>
      </c>
      <c r="W1521" s="70" t="str">
        <f t="shared" si="521"/>
        <v/>
      </c>
      <c r="X1521" s="70" t="str">
        <f t="shared" si="522"/>
        <v/>
      </c>
      <c r="Y1521" s="70" t="str">
        <f>IF(AND($A1521&lt;&gt;"",$E1521&gt;0),isLaptopBag($C1521,$J1521)*$D1521,"")</f>
        <v/>
      </c>
      <c r="Z1521" s="70" t="str">
        <f t="shared" si="523"/>
        <v/>
      </c>
      <c r="AA1521" s="70" t="str">
        <f t="shared" si="524"/>
        <v/>
      </c>
      <c r="AB1521" s="70" t="str">
        <f t="shared" si="525"/>
        <v/>
      </c>
      <c r="AC1521" s="70" t="str">
        <f t="shared" si="526"/>
        <v/>
      </c>
      <c r="AD1521" s="70" t="str">
        <f t="shared" si="527"/>
        <v/>
      </c>
      <c r="AE1521" s="70" t="str">
        <f t="shared" si="528"/>
        <v/>
      </c>
      <c r="AF1521" s="16"/>
      <c r="AG1521" s="23"/>
      <c r="AH1521" s="22"/>
      <c r="AJ1521" s="83">
        <f t="shared" si="529"/>
        <v>0</v>
      </c>
      <c r="AO1521" s="22" t="str">
        <f t="shared" si="530"/>
        <v/>
      </c>
      <c r="AP1521" s="22" t="str">
        <f t="shared" si="531"/>
        <v/>
      </c>
    </row>
    <row r="1522" spans="1:42" x14ac:dyDescent="0.25">
      <c r="A1522" s="10"/>
      <c r="B1522" s="10"/>
      <c r="C1522" s="10"/>
      <c r="D1522" s="10"/>
      <c r="E1522" s="10"/>
      <c r="F1522" s="10"/>
      <c r="G1522" s="10"/>
      <c r="H1522" s="17"/>
      <c r="I1522" s="10"/>
      <c r="J1522" s="10"/>
      <c r="K1522" s="16" t="str">
        <f t="shared" si="510"/>
        <v/>
      </c>
      <c r="L1522" s="23" t="str">
        <f t="shared" si="511"/>
        <v/>
      </c>
      <c r="M1522" s="22" t="str">
        <f t="shared" si="512"/>
        <v/>
      </c>
      <c r="N1522" s="72"/>
      <c r="O1522" s="16" t="str">
        <f t="shared" si="513"/>
        <v/>
      </c>
      <c r="P1522" s="16" t="str">
        <f t="shared" si="514"/>
        <v/>
      </c>
      <c r="Q1522" s="16" t="str">
        <f t="shared" si="515"/>
        <v/>
      </c>
      <c r="R1522" s="23" t="str">
        <f t="shared" si="516"/>
        <v/>
      </c>
      <c r="S1522" s="23" t="str">
        <f t="shared" si="517"/>
        <v/>
      </c>
      <c r="T1522" s="23" t="str">
        <f t="shared" si="518"/>
        <v/>
      </c>
      <c r="U1522" s="23" t="str">
        <f t="shared" si="519"/>
        <v/>
      </c>
      <c r="V1522" s="23" t="str">
        <f t="shared" si="520"/>
        <v/>
      </c>
      <c r="W1522" s="70" t="str">
        <f t="shared" si="521"/>
        <v/>
      </c>
      <c r="X1522" s="70" t="str">
        <f t="shared" si="522"/>
        <v/>
      </c>
      <c r="Y1522" s="70" t="str">
        <f>IF(AND($A1522&lt;&gt;"",$E1522&gt;0),isLaptopBag($C1522,$J1522)*$D1522,"")</f>
        <v/>
      </c>
      <c r="Z1522" s="70" t="str">
        <f t="shared" si="523"/>
        <v/>
      </c>
      <c r="AA1522" s="70" t="str">
        <f t="shared" si="524"/>
        <v/>
      </c>
      <c r="AB1522" s="70" t="str">
        <f t="shared" si="525"/>
        <v/>
      </c>
      <c r="AC1522" s="70" t="str">
        <f t="shared" si="526"/>
        <v/>
      </c>
      <c r="AD1522" s="70" t="str">
        <f t="shared" si="527"/>
        <v/>
      </c>
      <c r="AE1522" s="70" t="str">
        <f t="shared" si="528"/>
        <v/>
      </c>
      <c r="AF1522" s="16"/>
      <c r="AG1522" s="23"/>
      <c r="AH1522" s="22"/>
      <c r="AJ1522" s="83">
        <f t="shared" si="529"/>
        <v>0</v>
      </c>
      <c r="AO1522" s="22" t="str">
        <f t="shared" si="530"/>
        <v/>
      </c>
      <c r="AP1522" s="22" t="str">
        <f t="shared" si="531"/>
        <v/>
      </c>
    </row>
    <row r="1523" spans="1:42" x14ac:dyDescent="0.25">
      <c r="A1523" s="10"/>
      <c r="B1523" s="10"/>
      <c r="C1523" s="10"/>
      <c r="D1523" s="10"/>
      <c r="E1523" s="10"/>
      <c r="F1523" s="10"/>
      <c r="G1523" s="10"/>
      <c r="H1523" s="17"/>
      <c r="I1523" s="10"/>
      <c r="J1523" s="10"/>
      <c r="K1523" s="16" t="str">
        <f t="shared" si="510"/>
        <v/>
      </c>
      <c r="L1523" s="23" t="str">
        <f t="shared" si="511"/>
        <v/>
      </c>
      <c r="M1523" s="22" t="str">
        <f t="shared" si="512"/>
        <v/>
      </c>
      <c r="N1523" s="72"/>
      <c r="O1523" s="16" t="str">
        <f t="shared" si="513"/>
        <v/>
      </c>
      <c r="P1523" s="16" t="str">
        <f t="shared" si="514"/>
        <v/>
      </c>
      <c r="Q1523" s="16" t="str">
        <f t="shared" si="515"/>
        <v/>
      </c>
      <c r="R1523" s="23" t="str">
        <f t="shared" si="516"/>
        <v/>
      </c>
      <c r="S1523" s="23" t="str">
        <f t="shared" si="517"/>
        <v/>
      </c>
      <c r="T1523" s="23" t="str">
        <f t="shared" si="518"/>
        <v/>
      </c>
      <c r="U1523" s="23" t="str">
        <f t="shared" si="519"/>
        <v/>
      </c>
      <c r="V1523" s="23" t="str">
        <f t="shared" si="520"/>
        <v/>
      </c>
      <c r="W1523" s="70" t="str">
        <f t="shared" si="521"/>
        <v/>
      </c>
      <c r="X1523" s="70" t="str">
        <f t="shared" si="522"/>
        <v/>
      </c>
      <c r="Y1523" s="70" t="str">
        <f>IF(AND($A1523&lt;&gt;"",$E1523&gt;0),isLaptopBag($C1523,$J1523)*$D1523,"")</f>
        <v/>
      </c>
      <c r="Z1523" s="70" t="str">
        <f t="shared" si="523"/>
        <v/>
      </c>
      <c r="AA1523" s="70" t="str">
        <f t="shared" si="524"/>
        <v/>
      </c>
      <c r="AB1523" s="70" t="str">
        <f t="shared" si="525"/>
        <v/>
      </c>
      <c r="AC1523" s="70" t="str">
        <f t="shared" si="526"/>
        <v/>
      </c>
      <c r="AD1523" s="70" t="str">
        <f t="shared" si="527"/>
        <v/>
      </c>
      <c r="AE1523" s="70" t="str">
        <f t="shared" si="528"/>
        <v/>
      </c>
      <c r="AF1523" s="16"/>
      <c r="AG1523" s="23"/>
      <c r="AH1523" s="22"/>
      <c r="AJ1523" s="83">
        <f t="shared" si="529"/>
        <v>0</v>
      </c>
      <c r="AO1523" s="22" t="str">
        <f t="shared" si="530"/>
        <v/>
      </c>
      <c r="AP1523" s="22" t="str">
        <f t="shared" si="531"/>
        <v/>
      </c>
    </row>
    <row r="1524" spans="1:42" x14ac:dyDescent="0.25">
      <c r="A1524" s="10"/>
      <c r="B1524" s="10"/>
      <c r="C1524" s="10"/>
      <c r="D1524" s="10"/>
      <c r="E1524" s="10"/>
      <c r="F1524" s="10"/>
      <c r="G1524" s="10"/>
      <c r="H1524" s="17"/>
      <c r="I1524" s="10"/>
      <c r="J1524" s="10"/>
      <c r="K1524" s="16" t="str">
        <f t="shared" si="510"/>
        <v/>
      </c>
      <c r="L1524" s="23" t="str">
        <f t="shared" si="511"/>
        <v/>
      </c>
      <c r="M1524" s="22" t="str">
        <f t="shared" si="512"/>
        <v/>
      </c>
      <c r="N1524" s="72"/>
      <c r="O1524" s="16" t="str">
        <f t="shared" si="513"/>
        <v/>
      </c>
      <c r="P1524" s="16" t="str">
        <f t="shared" si="514"/>
        <v/>
      </c>
      <c r="Q1524" s="16" t="str">
        <f t="shared" si="515"/>
        <v/>
      </c>
      <c r="R1524" s="23" t="str">
        <f t="shared" si="516"/>
        <v/>
      </c>
      <c r="S1524" s="23" t="str">
        <f t="shared" si="517"/>
        <v/>
      </c>
      <c r="T1524" s="23" t="str">
        <f t="shared" si="518"/>
        <v/>
      </c>
      <c r="U1524" s="23" t="str">
        <f t="shared" si="519"/>
        <v/>
      </c>
      <c r="V1524" s="23" t="str">
        <f t="shared" si="520"/>
        <v/>
      </c>
      <c r="W1524" s="70" t="str">
        <f t="shared" si="521"/>
        <v/>
      </c>
      <c r="X1524" s="70" t="str">
        <f t="shared" si="522"/>
        <v/>
      </c>
      <c r="Y1524" s="70" t="str">
        <f>IF(AND($A1524&lt;&gt;"",$E1524&gt;0),isLaptopBag($C1524,$J1524)*$D1524,"")</f>
        <v/>
      </c>
      <c r="Z1524" s="70" t="str">
        <f t="shared" si="523"/>
        <v/>
      </c>
      <c r="AA1524" s="70" t="str">
        <f t="shared" si="524"/>
        <v/>
      </c>
      <c r="AB1524" s="70" t="str">
        <f t="shared" si="525"/>
        <v/>
      </c>
      <c r="AC1524" s="70" t="str">
        <f t="shared" si="526"/>
        <v/>
      </c>
      <c r="AD1524" s="70" t="str">
        <f t="shared" si="527"/>
        <v/>
      </c>
      <c r="AE1524" s="70" t="str">
        <f t="shared" si="528"/>
        <v/>
      </c>
      <c r="AF1524" s="16"/>
      <c r="AG1524" s="23"/>
      <c r="AH1524" s="22"/>
      <c r="AJ1524" s="83">
        <f t="shared" si="529"/>
        <v>0</v>
      </c>
      <c r="AO1524" s="22" t="str">
        <f t="shared" si="530"/>
        <v/>
      </c>
      <c r="AP1524" s="22" t="str">
        <f t="shared" si="531"/>
        <v/>
      </c>
    </row>
    <row r="1525" spans="1:42" x14ac:dyDescent="0.25">
      <c r="A1525" s="10"/>
      <c r="B1525" s="10"/>
      <c r="C1525" s="10"/>
      <c r="D1525" s="10"/>
      <c r="E1525" s="10"/>
      <c r="F1525" s="10"/>
      <c r="G1525" s="10"/>
      <c r="H1525" s="17"/>
      <c r="I1525" s="10"/>
      <c r="J1525" s="10"/>
      <c r="K1525" s="16" t="str">
        <f t="shared" si="510"/>
        <v/>
      </c>
      <c r="L1525" s="23" t="str">
        <f t="shared" si="511"/>
        <v/>
      </c>
      <c r="M1525" s="22" t="str">
        <f t="shared" si="512"/>
        <v/>
      </c>
      <c r="N1525" s="72"/>
      <c r="O1525" s="16" t="str">
        <f t="shared" si="513"/>
        <v/>
      </c>
      <c r="P1525" s="16" t="str">
        <f t="shared" si="514"/>
        <v/>
      </c>
      <c r="Q1525" s="16" t="str">
        <f t="shared" si="515"/>
        <v/>
      </c>
      <c r="R1525" s="23" t="str">
        <f t="shared" si="516"/>
        <v/>
      </c>
      <c r="S1525" s="23" t="str">
        <f t="shared" si="517"/>
        <v/>
      </c>
      <c r="T1525" s="23" t="str">
        <f t="shared" si="518"/>
        <v/>
      </c>
      <c r="U1525" s="23" t="str">
        <f t="shared" si="519"/>
        <v/>
      </c>
      <c r="V1525" s="23" t="str">
        <f t="shared" si="520"/>
        <v/>
      </c>
      <c r="W1525" s="70" t="str">
        <f t="shared" si="521"/>
        <v/>
      </c>
      <c r="X1525" s="70" t="str">
        <f t="shared" si="522"/>
        <v/>
      </c>
      <c r="Y1525" s="70" t="str">
        <f>IF(AND($A1525&lt;&gt;"",$E1525&gt;0),isLaptopBag($C1525,$J1525)*$D1525,"")</f>
        <v/>
      </c>
      <c r="Z1525" s="70" t="str">
        <f t="shared" si="523"/>
        <v/>
      </c>
      <c r="AA1525" s="70" t="str">
        <f t="shared" si="524"/>
        <v/>
      </c>
      <c r="AB1525" s="70" t="str">
        <f t="shared" si="525"/>
        <v/>
      </c>
      <c r="AC1525" s="70" t="str">
        <f t="shared" si="526"/>
        <v/>
      </c>
      <c r="AD1525" s="70" t="str">
        <f t="shared" si="527"/>
        <v/>
      </c>
      <c r="AE1525" s="70" t="str">
        <f t="shared" si="528"/>
        <v/>
      </c>
      <c r="AF1525" s="16"/>
      <c r="AG1525" s="23"/>
      <c r="AH1525" s="22"/>
      <c r="AJ1525" s="83">
        <f t="shared" si="529"/>
        <v>0</v>
      </c>
      <c r="AO1525" s="22" t="str">
        <f t="shared" si="530"/>
        <v/>
      </c>
      <c r="AP1525" s="22" t="str">
        <f t="shared" si="531"/>
        <v/>
      </c>
    </row>
    <row r="1526" spans="1:42" x14ac:dyDescent="0.25">
      <c r="A1526" s="10"/>
      <c r="B1526" s="10"/>
      <c r="C1526" s="10"/>
      <c r="D1526" s="10"/>
      <c r="E1526" s="10"/>
      <c r="F1526" s="10"/>
      <c r="G1526" s="10"/>
      <c r="H1526" s="17"/>
      <c r="I1526" s="10"/>
      <c r="J1526" s="10"/>
      <c r="K1526" s="16" t="str">
        <f t="shared" si="510"/>
        <v/>
      </c>
      <c r="L1526" s="23" t="str">
        <f t="shared" si="511"/>
        <v/>
      </c>
      <c r="M1526" s="22" t="str">
        <f t="shared" si="512"/>
        <v/>
      </c>
      <c r="N1526" s="72"/>
      <c r="O1526" s="16" t="str">
        <f t="shared" si="513"/>
        <v/>
      </c>
      <c r="P1526" s="16" t="str">
        <f t="shared" si="514"/>
        <v/>
      </c>
      <c r="Q1526" s="16" t="str">
        <f t="shared" si="515"/>
        <v/>
      </c>
      <c r="R1526" s="23" t="str">
        <f t="shared" si="516"/>
        <v/>
      </c>
      <c r="S1526" s="23" t="str">
        <f t="shared" si="517"/>
        <v/>
      </c>
      <c r="T1526" s="23" t="str">
        <f t="shared" si="518"/>
        <v/>
      </c>
      <c r="U1526" s="23" t="str">
        <f t="shared" si="519"/>
        <v/>
      </c>
      <c r="V1526" s="23" t="str">
        <f t="shared" si="520"/>
        <v/>
      </c>
      <c r="W1526" s="70" t="str">
        <f t="shared" si="521"/>
        <v/>
      </c>
      <c r="X1526" s="70" t="str">
        <f t="shared" si="522"/>
        <v/>
      </c>
      <c r="Y1526" s="70" t="str">
        <f>IF(AND($A1526&lt;&gt;"",$E1526&gt;0),isLaptopBag($C1526,$J1526)*$D1526,"")</f>
        <v/>
      </c>
      <c r="Z1526" s="70" t="str">
        <f t="shared" si="523"/>
        <v/>
      </c>
      <c r="AA1526" s="70" t="str">
        <f t="shared" si="524"/>
        <v/>
      </c>
      <c r="AB1526" s="70" t="str">
        <f t="shared" si="525"/>
        <v/>
      </c>
      <c r="AC1526" s="70" t="str">
        <f t="shared" si="526"/>
        <v/>
      </c>
      <c r="AD1526" s="70" t="str">
        <f t="shared" si="527"/>
        <v/>
      </c>
      <c r="AE1526" s="70" t="str">
        <f t="shared" si="528"/>
        <v/>
      </c>
      <c r="AF1526" s="16"/>
      <c r="AG1526" s="23"/>
      <c r="AH1526" s="22"/>
      <c r="AJ1526" s="83">
        <f t="shared" si="529"/>
        <v>0</v>
      </c>
      <c r="AO1526" s="22" t="str">
        <f t="shared" si="530"/>
        <v/>
      </c>
      <c r="AP1526" s="22" t="str">
        <f t="shared" si="531"/>
        <v/>
      </c>
    </row>
    <row r="1527" spans="1:42" x14ac:dyDescent="0.25">
      <c r="A1527" s="10"/>
      <c r="B1527" s="10"/>
      <c r="C1527" s="10"/>
      <c r="D1527" s="10"/>
      <c r="E1527" s="10"/>
      <c r="F1527" s="10"/>
      <c r="G1527" s="10"/>
      <c r="H1527" s="17"/>
      <c r="I1527" s="10"/>
      <c r="J1527" s="10"/>
      <c r="K1527" s="16" t="str">
        <f t="shared" si="510"/>
        <v/>
      </c>
      <c r="L1527" s="23" t="str">
        <f t="shared" si="511"/>
        <v/>
      </c>
      <c r="M1527" s="22" t="str">
        <f t="shared" si="512"/>
        <v/>
      </c>
      <c r="N1527" s="72"/>
      <c r="O1527" s="16" t="str">
        <f t="shared" si="513"/>
        <v/>
      </c>
      <c r="P1527" s="16" t="str">
        <f t="shared" si="514"/>
        <v/>
      </c>
      <c r="Q1527" s="16" t="str">
        <f t="shared" si="515"/>
        <v/>
      </c>
      <c r="R1527" s="23" t="str">
        <f t="shared" si="516"/>
        <v/>
      </c>
      <c r="S1527" s="23" t="str">
        <f t="shared" si="517"/>
        <v/>
      </c>
      <c r="T1527" s="23" t="str">
        <f t="shared" si="518"/>
        <v/>
      </c>
      <c r="U1527" s="23" t="str">
        <f t="shared" si="519"/>
        <v/>
      </c>
      <c r="V1527" s="23" t="str">
        <f t="shared" si="520"/>
        <v/>
      </c>
      <c r="W1527" s="70" t="str">
        <f t="shared" si="521"/>
        <v/>
      </c>
      <c r="X1527" s="70" t="str">
        <f t="shared" si="522"/>
        <v/>
      </c>
      <c r="Y1527" s="70" t="str">
        <f>IF(AND($A1527&lt;&gt;"",$E1527&gt;0),isLaptopBag($C1527,$J1527)*$D1527,"")</f>
        <v/>
      </c>
      <c r="Z1527" s="70" t="str">
        <f t="shared" si="523"/>
        <v/>
      </c>
      <c r="AA1527" s="70" t="str">
        <f t="shared" si="524"/>
        <v/>
      </c>
      <c r="AB1527" s="70" t="str">
        <f t="shared" si="525"/>
        <v/>
      </c>
      <c r="AC1527" s="70" t="str">
        <f t="shared" si="526"/>
        <v/>
      </c>
      <c r="AD1527" s="70" t="str">
        <f t="shared" si="527"/>
        <v/>
      </c>
      <c r="AE1527" s="70" t="str">
        <f t="shared" si="528"/>
        <v/>
      </c>
      <c r="AF1527" s="16"/>
      <c r="AG1527" s="23"/>
      <c r="AH1527" s="22"/>
      <c r="AJ1527" s="83">
        <f t="shared" si="529"/>
        <v>0</v>
      </c>
      <c r="AO1527" s="22" t="str">
        <f t="shared" si="530"/>
        <v/>
      </c>
      <c r="AP1527" s="22" t="str">
        <f t="shared" si="531"/>
        <v/>
      </c>
    </row>
    <row r="1528" spans="1:42" x14ac:dyDescent="0.25">
      <c r="A1528" s="10"/>
      <c r="B1528" s="10"/>
      <c r="C1528" s="10"/>
      <c r="D1528" s="10"/>
      <c r="E1528" s="10"/>
      <c r="F1528" s="10"/>
      <c r="G1528" s="10"/>
      <c r="H1528" s="17"/>
      <c r="I1528" s="10"/>
      <c r="J1528" s="10"/>
      <c r="K1528" s="16" t="str">
        <f t="shared" si="510"/>
        <v/>
      </c>
      <c r="L1528" s="23" t="str">
        <f t="shared" si="511"/>
        <v/>
      </c>
      <c r="M1528" s="22" t="str">
        <f t="shared" si="512"/>
        <v/>
      </c>
      <c r="N1528" s="72"/>
      <c r="O1528" s="16" t="str">
        <f t="shared" si="513"/>
        <v/>
      </c>
      <c r="P1528" s="16" t="str">
        <f t="shared" si="514"/>
        <v/>
      </c>
      <c r="Q1528" s="16" t="str">
        <f t="shared" si="515"/>
        <v/>
      </c>
      <c r="R1528" s="23" t="str">
        <f t="shared" si="516"/>
        <v/>
      </c>
      <c r="S1528" s="23" t="str">
        <f t="shared" si="517"/>
        <v/>
      </c>
      <c r="T1528" s="23" t="str">
        <f t="shared" si="518"/>
        <v/>
      </c>
      <c r="U1528" s="23" t="str">
        <f t="shared" si="519"/>
        <v/>
      </c>
      <c r="V1528" s="23" t="str">
        <f t="shared" si="520"/>
        <v/>
      </c>
      <c r="W1528" s="70" t="str">
        <f t="shared" si="521"/>
        <v/>
      </c>
      <c r="X1528" s="70" t="str">
        <f t="shared" si="522"/>
        <v/>
      </c>
      <c r="Y1528" s="70" t="str">
        <f>IF(AND($A1528&lt;&gt;"",$E1528&gt;0),isLaptopBag($C1528,$J1528)*$D1528,"")</f>
        <v/>
      </c>
      <c r="Z1528" s="70" t="str">
        <f t="shared" si="523"/>
        <v/>
      </c>
      <c r="AA1528" s="70" t="str">
        <f t="shared" si="524"/>
        <v/>
      </c>
      <c r="AB1528" s="70" t="str">
        <f t="shared" si="525"/>
        <v/>
      </c>
      <c r="AC1528" s="70" t="str">
        <f t="shared" si="526"/>
        <v/>
      </c>
      <c r="AD1528" s="70" t="str">
        <f t="shared" si="527"/>
        <v/>
      </c>
      <c r="AE1528" s="70" t="str">
        <f t="shared" si="528"/>
        <v/>
      </c>
      <c r="AF1528" s="16"/>
      <c r="AG1528" s="23"/>
      <c r="AH1528" s="22"/>
      <c r="AJ1528" s="83">
        <f t="shared" si="529"/>
        <v>0</v>
      </c>
      <c r="AO1528" s="22" t="str">
        <f t="shared" si="530"/>
        <v/>
      </c>
      <c r="AP1528" s="22" t="str">
        <f t="shared" si="531"/>
        <v/>
      </c>
    </row>
    <row r="1529" spans="1:42" x14ac:dyDescent="0.25">
      <c r="A1529" s="10"/>
      <c r="B1529" s="10"/>
      <c r="C1529" s="10"/>
      <c r="D1529" s="10"/>
      <c r="E1529" s="10"/>
      <c r="F1529" s="10"/>
      <c r="G1529" s="10"/>
      <c r="H1529" s="17"/>
      <c r="I1529" s="10"/>
      <c r="J1529" s="10"/>
      <c r="K1529" s="16" t="str">
        <f t="shared" si="510"/>
        <v/>
      </c>
      <c r="L1529" s="23" t="str">
        <f t="shared" si="511"/>
        <v/>
      </c>
      <c r="M1529" s="22" t="str">
        <f t="shared" si="512"/>
        <v/>
      </c>
      <c r="N1529" s="72"/>
      <c r="O1529" s="16" t="str">
        <f t="shared" si="513"/>
        <v/>
      </c>
      <c r="P1529" s="16" t="str">
        <f t="shared" si="514"/>
        <v/>
      </c>
      <c r="Q1529" s="16" t="str">
        <f t="shared" si="515"/>
        <v/>
      </c>
      <c r="R1529" s="23" t="str">
        <f t="shared" si="516"/>
        <v/>
      </c>
      <c r="S1529" s="23" t="str">
        <f t="shared" si="517"/>
        <v/>
      </c>
      <c r="T1529" s="23" t="str">
        <f t="shared" si="518"/>
        <v/>
      </c>
      <c r="U1529" s="23" t="str">
        <f t="shared" si="519"/>
        <v/>
      </c>
      <c r="V1529" s="23" t="str">
        <f t="shared" si="520"/>
        <v/>
      </c>
      <c r="W1529" s="70" t="str">
        <f t="shared" si="521"/>
        <v/>
      </c>
      <c r="X1529" s="70" t="str">
        <f t="shared" si="522"/>
        <v/>
      </c>
      <c r="Y1529" s="70" t="str">
        <f>IF(AND($A1529&lt;&gt;"",$E1529&gt;0),isLaptopBag($C1529,$J1529)*$D1529,"")</f>
        <v/>
      </c>
      <c r="Z1529" s="70" t="str">
        <f t="shared" si="523"/>
        <v/>
      </c>
      <c r="AA1529" s="70" t="str">
        <f t="shared" si="524"/>
        <v/>
      </c>
      <c r="AB1529" s="70" t="str">
        <f t="shared" si="525"/>
        <v/>
      </c>
      <c r="AC1529" s="70" t="str">
        <f t="shared" si="526"/>
        <v/>
      </c>
      <c r="AD1529" s="70" t="str">
        <f t="shared" si="527"/>
        <v/>
      </c>
      <c r="AE1529" s="70" t="str">
        <f t="shared" si="528"/>
        <v/>
      </c>
      <c r="AF1529" s="16"/>
      <c r="AG1529" s="23"/>
      <c r="AH1529" s="22"/>
      <c r="AJ1529" s="83">
        <f t="shared" si="529"/>
        <v>0</v>
      </c>
      <c r="AO1529" s="22" t="str">
        <f t="shared" si="530"/>
        <v/>
      </c>
      <c r="AP1529" s="22" t="str">
        <f t="shared" si="531"/>
        <v/>
      </c>
    </row>
    <row r="1530" spans="1:42" x14ac:dyDescent="0.25">
      <c r="A1530" s="10"/>
      <c r="B1530" s="10"/>
      <c r="C1530" s="10"/>
      <c r="D1530" s="10"/>
      <c r="E1530" s="10"/>
      <c r="F1530" s="10"/>
      <c r="G1530" s="10"/>
      <c r="H1530" s="17"/>
      <c r="I1530" s="10"/>
      <c r="J1530" s="10"/>
      <c r="K1530" s="16" t="str">
        <f t="shared" si="510"/>
        <v/>
      </c>
      <c r="L1530" s="23" t="str">
        <f t="shared" si="511"/>
        <v/>
      </c>
      <c r="M1530" s="22" t="str">
        <f t="shared" si="512"/>
        <v/>
      </c>
      <c r="N1530" s="72"/>
      <c r="O1530" s="16" t="str">
        <f t="shared" si="513"/>
        <v/>
      </c>
      <c r="P1530" s="16" t="str">
        <f t="shared" si="514"/>
        <v/>
      </c>
      <c r="Q1530" s="16" t="str">
        <f t="shared" si="515"/>
        <v/>
      </c>
      <c r="R1530" s="23" t="str">
        <f t="shared" si="516"/>
        <v/>
      </c>
      <c r="S1530" s="23" t="str">
        <f t="shared" si="517"/>
        <v/>
      </c>
      <c r="T1530" s="23" t="str">
        <f t="shared" si="518"/>
        <v/>
      </c>
      <c r="U1530" s="23" t="str">
        <f t="shared" si="519"/>
        <v/>
      </c>
      <c r="V1530" s="23" t="str">
        <f t="shared" si="520"/>
        <v/>
      </c>
      <c r="W1530" s="70" t="str">
        <f t="shared" si="521"/>
        <v/>
      </c>
      <c r="X1530" s="70" t="str">
        <f t="shared" si="522"/>
        <v/>
      </c>
      <c r="Y1530" s="70" t="str">
        <f>IF(AND($A1530&lt;&gt;"",$E1530&gt;0),isLaptopBag($C1530,$J1530)*$D1530,"")</f>
        <v/>
      </c>
      <c r="Z1530" s="70" t="str">
        <f t="shared" si="523"/>
        <v/>
      </c>
      <c r="AA1530" s="70" t="str">
        <f t="shared" si="524"/>
        <v/>
      </c>
      <c r="AB1530" s="70" t="str">
        <f t="shared" si="525"/>
        <v/>
      </c>
      <c r="AC1530" s="70" t="str">
        <f t="shared" si="526"/>
        <v/>
      </c>
      <c r="AD1530" s="70" t="str">
        <f t="shared" si="527"/>
        <v/>
      </c>
      <c r="AE1530" s="70" t="str">
        <f t="shared" si="528"/>
        <v/>
      </c>
      <c r="AF1530" s="16"/>
      <c r="AG1530" s="23"/>
      <c r="AH1530" s="22"/>
      <c r="AJ1530" s="83">
        <f t="shared" si="529"/>
        <v>0</v>
      </c>
      <c r="AO1530" s="22" t="str">
        <f t="shared" si="530"/>
        <v/>
      </c>
      <c r="AP1530" s="22" t="str">
        <f t="shared" si="531"/>
        <v/>
      </c>
    </row>
    <row r="1531" spans="1:42" x14ac:dyDescent="0.25">
      <c r="A1531" s="10"/>
      <c r="B1531" s="10"/>
      <c r="C1531" s="10"/>
      <c r="D1531" s="10"/>
      <c r="E1531" s="10"/>
      <c r="F1531" s="10"/>
      <c r="G1531" s="10"/>
      <c r="H1531" s="17"/>
      <c r="I1531" s="10"/>
      <c r="J1531" s="10"/>
      <c r="K1531" s="16" t="str">
        <f t="shared" si="510"/>
        <v/>
      </c>
      <c r="L1531" s="23" t="str">
        <f t="shared" si="511"/>
        <v/>
      </c>
      <c r="M1531" s="22" t="str">
        <f t="shared" si="512"/>
        <v/>
      </c>
      <c r="N1531" s="72"/>
      <c r="O1531" s="16" t="str">
        <f t="shared" si="513"/>
        <v/>
      </c>
      <c r="P1531" s="16" t="str">
        <f t="shared" si="514"/>
        <v/>
      </c>
      <c r="Q1531" s="16" t="str">
        <f t="shared" si="515"/>
        <v/>
      </c>
      <c r="R1531" s="23" t="str">
        <f t="shared" si="516"/>
        <v/>
      </c>
      <c r="S1531" s="23" t="str">
        <f t="shared" si="517"/>
        <v/>
      </c>
      <c r="T1531" s="23" t="str">
        <f t="shared" si="518"/>
        <v/>
      </c>
      <c r="U1531" s="23" t="str">
        <f t="shared" si="519"/>
        <v/>
      </c>
      <c r="V1531" s="23" t="str">
        <f t="shared" si="520"/>
        <v/>
      </c>
      <c r="W1531" s="70" t="str">
        <f t="shared" si="521"/>
        <v/>
      </c>
      <c r="X1531" s="70" t="str">
        <f t="shared" si="522"/>
        <v/>
      </c>
      <c r="Y1531" s="70" t="str">
        <f>IF(AND($A1531&lt;&gt;"",$E1531&gt;0),isLaptopBag($C1531,$J1531)*$D1531,"")</f>
        <v/>
      </c>
      <c r="Z1531" s="70" t="str">
        <f t="shared" si="523"/>
        <v/>
      </c>
      <c r="AA1531" s="70" t="str">
        <f t="shared" si="524"/>
        <v/>
      </c>
      <c r="AB1531" s="70" t="str">
        <f t="shared" si="525"/>
        <v/>
      </c>
      <c r="AC1531" s="70" t="str">
        <f t="shared" si="526"/>
        <v/>
      </c>
      <c r="AD1531" s="70" t="str">
        <f t="shared" si="527"/>
        <v/>
      </c>
      <c r="AE1531" s="70" t="str">
        <f t="shared" si="528"/>
        <v/>
      </c>
      <c r="AF1531" s="16"/>
      <c r="AG1531" s="23"/>
      <c r="AH1531" s="22"/>
      <c r="AJ1531" s="83">
        <f t="shared" si="529"/>
        <v>0</v>
      </c>
      <c r="AO1531" s="22" t="str">
        <f t="shared" si="530"/>
        <v/>
      </c>
      <c r="AP1531" s="22" t="str">
        <f t="shared" si="531"/>
        <v/>
      </c>
    </row>
    <row r="1532" spans="1:42" x14ac:dyDescent="0.25">
      <c r="A1532" s="10"/>
      <c r="B1532" s="10"/>
      <c r="C1532" s="10"/>
      <c r="D1532" s="10"/>
      <c r="E1532" s="10"/>
      <c r="F1532" s="10"/>
      <c r="G1532" s="10"/>
      <c r="H1532" s="17"/>
      <c r="I1532" s="10"/>
      <c r="J1532" s="10"/>
      <c r="K1532" s="16" t="str">
        <f t="shared" si="510"/>
        <v/>
      </c>
      <c r="L1532" s="23" t="str">
        <f t="shared" si="511"/>
        <v/>
      </c>
      <c r="M1532" s="22" t="str">
        <f t="shared" si="512"/>
        <v/>
      </c>
      <c r="N1532" s="72"/>
      <c r="O1532" s="16" t="str">
        <f t="shared" si="513"/>
        <v/>
      </c>
      <c r="P1532" s="16" t="str">
        <f t="shared" si="514"/>
        <v/>
      </c>
      <c r="Q1532" s="16" t="str">
        <f t="shared" si="515"/>
        <v/>
      </c>
      <c r="R1532" s="23" t="str">
        <f t="shared" si="516"/>
        <v/>
      </c>
      <c r="S1532" s="23" t="str">
        <f t="shared" si="517"/>
        <v/>
      </c>
      <c r="T1532" s="23" t="str">
        <f t="shared" si="518"/>
        <v/>
      </c>
      <c r="U1532" s="23" t="str">
        <f t="shared" si="519"/>
        <v/>
      </c>
      <c r="V1532" s="23" t="str">
        <f t="shared" si="520"/>
        <v/>
      </c>
      <c r="W1532" s="70" t="str">
        <f t="shared" si="521"/>
        <v/>
      </c>
      <c r="X1532" s="70" t="str">
        <f t="shared" si="522"/>
        <v/>
      </c>
      <c r="Y1532" s="70" t="str">
        <f>IF(AND($A1532&lt;&gt;"",$E1532&gt;0),isLaptopBag($C1532,$J1532)*$D1532,"")</f>
        <v/>
      </c>
      <c r="Z1532" s="70" t="str">
        <f t="shared" si="523"/>
        <v/>
      </c>
      <c r="AA1532" s="70" t="str">
        <f t="shared" si="524"/>
        <v/>
      </c>
      <c r="AB1532" s="70" t="str">
        <f t="shared" si="525"/>
        <v/>
      </c>
      <c r="AC1532" s="70" t="str">
        <f t="shared" si="526"/>
        <v/>
      </c>
      <c r="AD1532" s="70" t="str">
        <f t="shared" si="527"/>
        <v/>
      </c>
      <c r="AE1532" s="70" t="str">
        <f t="shared" si="528"/>
        <v/>
      </c>
      <c r="AF1532" s="16"/>
      <c r="AG1532" s="23"/>
      <c r="AH1532" s="22"/>
      <c r="AJ1532" s="83">
        <f t="shared" si="529"/>
        <v>0</v>
      </c>
      <c r="AO1532" s="22" t="str">
        <f t="shared" si="530"/>
        <v/>
      </c>
      <c r="AP1532" s="22" t="str">
        <f t="shared" si="531"/>
        <v/>
      </c>
    </row>
    <row r="1533" spans="1:42" x14ac:dyDescent="0.25">
      <c r="A1533" s="10"/>
      <c r="B1533" s="10"/>
      <c r="C1533" s="10"/>
      <c r="D1533" s="10"/>
      <c r="E1533" s="10"/>
      <c r="F1533" s="10"/>
      <c r="G1533" s="10"/>
      <c r="H1533" s="17"/>
      <c r="I1533" s="10"/>
      <c r="J1533" s="10"/>
      <c r="K1533" s="16" t="str">
        <f t="shared" si="510"/>
        <v/>
      </c>
      <c r="L1533" s="23" t="str">
        <f t="shared" si="511"/>
        <v/>
      </c>
      <c r="M1533" s="22" t="str">
        <f t="shared" si="512"/>
        <v/>
      </c>
      <c r="N1533" s="72"/>
      <c r="O1533" s="16" t="str">
        <f t="shared" si="513"/>
        <v/>
      </c>
      <c r="P1533" s="16" t="str">
        <f t="shared" si="514"/>
        <v/>
      </c>
      <c r="Q1533" s="16" t="str">
        <f t="shared" si="515"/>
        <v/>
      </c>
      <c r="R1533" s="23" t="str">
        <f t="shared" si="516"/>
        <v/>
      </c>
      <c r="S1533" s="23" t="str">
        <f t="shared" si="517"/>
        <v/>
      </c>
      <c r="T1533" s="23" t="str">
        <f t="shared" si="518"/>
        <v/>
      </c>
      <c r="U1533" s="23" t="str">
        <f t="shared" si="519"/>
        <v/>
      </c>
      <c r="V1533" s="23" t="str">
        <f t="shared" si="520"/>
        <v/>
      </c>
      <c r="W1533" s="70" t="str">
        <f t="shared" si="521"/>
        <v/>
      </c>
      <c r="X1533" s="70" t="str">
        <f t="shared" si="522"/>
        <v/>
      </c>
      <c r="Y1533" s="70" t="str">
        <f>IF(AND($A1533&lt;&gt;"",$E1533&gt;0),isLaptopBag($C1533,$J1533)*$D1533,"")</f>
        <v/>
      </c>
      <c r="Z1533" s="70" t="str">
        <f t="shared" si="523"/>
        <v/>
      </c>
      <c r="AA1533" s="70" t="str">
        <f t="shared" si="524"/>
        <v/>
      </c>
      <c r="AB1533" s="70" t="str">
        <f t="shared" si="525"/>
        <v/>
      </c>
      <c r="AC1533" s="70" t="str">
        <f t="shared" si="526"/>
        <v/>
      </c>
      <c r="AD1533" s="70" t="str">
        <f t="shared" si="527"/>
        <v/>
      </c>
      <c r="AE1533" s="70" t="str">
        <f t="shared" si="528"/>
        <v/>
      </c>
      <c r="AF1533" s="16"/>
      <c r="AG1533" s="23"/>
      <c r="AH1533" s="22"/>
      <c r="AJ1533" s="83">
        <f t="shared" si="529"/>
        <v>0</v>
      </c>
      <c r="AO1533" s="22" t="str">
        <f t="shared" si="530"/>
        <v/>
      </c>
      <c r="AP1533" s="22" t="str">
        <f t="shared" si="531"/>
        <v/>
      </c>
    </row>
    <row r="1534" spans="1:42" x14ac:dyDescent="0.25">
      <c r="A1534" s="10"/>
      <c r="B1534" s="10"/>
      <c r="C1534" s="10"/>
      <c r="D1534" s="10"/>
      <c r="E1534" s="10"/>
      <c r="F1534" s="10"/>
      <c r="G1534" s="10"/>
      <c r="H1534" s="17"/>
      <c r="I1534" s="10"/>
      <c r="J1534" s="10"/>
      <c r="K1534" s="16" t="str">
        <f t="shared" si="510"/>
        <v/>
      </c>
      <c r="L1534" s="23" t="str">
        <f t="shared" si="511"/>
        <v/>
      </c>
      <c r="M1534" s="22" t="str">
        <f t="shared" si="512"/>
        <v/>
      </c>
      <c r="N1534" s="72"/>
      <c r="O1534" s="16" t="str">
        <f t="shared" si="513"/>
        <v/>
      </c>
      <c r="P1534" s="16" t="str">
        <f t="shared" si="514"/>
        <v/>
      </c>
      <c r="Q1534" s="16" t="str">
        <f t="shared" si="515"/>
        <v/>
      </c>
      <c r="R1534" s="23" t="str">
        <f t="shared" si="516"/>
        <v/>
      </c>
      <c r="S1534" s="23" t="str">
        <f t="shared" si="517"/>
        <v/>
      </c>
      <c r="T1534" s="23" t="str">
        <f t="shared" si="518"/>
        <v/>
      </c>
      <c r="U1534" s="23" t="str">
        <f t="shared" si="519"/>
        <v/>
      </c>
      <c r="V1534" s="23" t="str">
        <f t="shared" si="520"/>
        <v/>
      </c>
      <c r="W1534" s="70" t="str">
        <f t="shared" si="521"/>
        <v/>
      </c>
      <c r="X1534" s="70" t="str">
        <f t="shared" si="522"/>
        <v/>
      </c>
      <c r="Y1534" s="70" t="str">
        <f>IF(AND($A1534&lt;&gt;"",$E1534&gt;0),isLaptopBag($C1534,$J1534)*$D1534,"")</f>
        <v/>
      </c>
      <c r="Z1534" s="70" t="str">
        <f t="shared" si="523"/>
        <v/>
      </c>
      <c r="AA1534" s="70" t="str">
        <f t="shared" si="524"/>
        <v/>
      </c>
      <c r="AB1534" s="70" t="str">
        <f t="shared" si="525"/>
        <v/>
      </c>
      <c r="AC1534" s="70" t="str">
        <f t="shared" si="526"/>
        <v/>
      </c>
      <c r="AD1534" s="70" t="str">
        <f t="shared" si="527"/>
        <v/>
      </c>
      <c r="AE1534" s="70" t="str">
        <f t="shared" si="528"/>
        <v/>
      </c>
      <c r="AF1534" s="16"/>
      <c r="AG1534" s="23"/>
      <c r="AH1534" s="22"/>
      <c r="AJ1534" s="83">
        <f t="shared" si="529"/>
        <v>0</v>
      </c>
      <c r="AO1534" s="22" t="str">
        <f t="shared" si="530"/>
        <v/>
      </c>
      <c r="AP1534" s="22" t="str">
        <f t="shared" si="531"/>
        <v/>
      </c>
    </row>
    <row r="1535" spans="1:42" x14ac:dyDescent="0.25">
      <c r="A1535" s="10"/>
      <c r="B1535" s="10"/>
      <c r="C1535" s="10"/>
      <c r="D1535" s="10"/>
      <c r="E1535" s="10"/>
      <c r="F1535" s="10"/>
      <c r="G1535" s="10"/>
      <c r="H1535" s="17"/>
      <c r="I1535" s="10"/>
      <c r="J1535" s="10"/>
      <c r="K1535" s="16" t="str">
        <f t="shared" si="510"/>
        <v/>
      </c>
      <c r="L1535" s="23" t="str">
        <f t="shared" si="511"/>
        <v/>
      </c>
      <c r="M1535" s="22" t="str">
        <f t="shared" si="512"/>
        <v/>
      </c>
      <c r="N1535" s="72"/>
      <c r="O1535" s="16" t="str">
        <f t="shared" si="513"/>
        <v/>
      </c>
      <c r="P1535" s="16" t="str">
        <f t="shared" si="514"/>
        <v/>
      </c>
      <c r="Q1535" s="16" t="str">
        <f t="shared" si="515"/>
        <v/>
      </c>
      <c r="R1535" s="23" t="str">
        <f t="shared" si="516"/>
        <v/>
      </c>
      <c r="S1535" s="23" t="str">
        <f t="shared" si="517"/>
        <v/>
      </c>
      <c r="T1535" s="23" t="str">
        <f t="shared" si="518"/>
        <v/>
      </c>
      <c r="U1535" s="23" t="str">
        <f t="shared" si="519"/>
        <v/>
      </c>
      <c r="V1535" s="23" t="str">
        <f t="shared" si="520"/>
        <v/>
      </c>
      <c r="W1535" s="70" t="str">
        <f t="shared" si="521"/>
        <v/>
      </c>
      <c r="X1535" s="70" t="str">
        <f t="shared" si="522"/>
        <v/>
      </c>
      <c r="Y1535" s="70" t="str">
        <f>IF(AND($A1535&lt;&gt;"",$E1535&gt;0),isLaptopBag($C1535,$J1535)*$D1535,"")</f>
        <v/>
      </c>
      <c r="Z1535" s="70" t="str">
        <f t="shared" si="523"/>
        <v/>
      </c>
      <c r="AA1535" s="70" t="str">
        <f t="shared" si="524"/>
        <v/>
      </c>
      <c r="AB1535" s="70" t="str">
        <f t="shared" si="525"/>
        <v/>
      </c>
      <c r="AC1535" s="70" t="str">
        <f t="shared" si="526"/>
        <v/>
      </c>
      <c r="AD1535" s="70" t="str">
        <f t="shared" si="527"/>
        <v/>
      </c>
      <c r="AE1535" s="70" t="str">
        <f t="shared" si="528"/>
        <v/>
      </c>
      <c r="AF1535" s="16"/>
      <c r="AG1535" s="23"/>
      <c r="AH1535" s="22"/>
      <c r="AJ1535" s="83">
        <f t="shared" si="529"/>
        <v>0</v>
      </c>
      <c r="AO1535" s="22" t="str">
        <f t="shared" si="530"/>
        <v/>
      </c>
      <c r="AP1535" s="22" t="str">
        <f t="shared" si="531"/>
        <v/>
      </c>
    </row>
    <row r="1536" spans="1:42" x14ac:dyDescent="0.25">
      <c r="A1536" s="10"/>
      <c r="B1536" s="10"/>
      <c r="C1536" s="10"/>
      <c r="D1536" s="10"/>
      <c r="E1536" s="10"/>
      <c r="F1536" s="10"/>
      <c r="G1536" s="10"/>
      <c r="H1536" s="17"/>
      <c r="I1536" s="10"/>
      <c r="J1536" s="10"/>
      <c r="K1536" s="16" t="str">
        <f t="shared" si="510"/>
        <v/>
      </c>
      <c r="L1536" s="23" t="str">
        <f t="shared" si="511"/>
        <v/>
      </c>
      <c r="M1536" s="22" t="str">
        <f t="shared" si="512"/>
        <v/>
      </c>
      <c r="N1536" s="72"/>
      <c r="O1536" s="16" t="str">
        <f t="shared" si="513"/>
        <v/>
      </c>
      <c r="P1536" s="16" t="str">
        <f t="shared" si="514"/>
        <v/>
      </c>
      <c r="Q1536" s="16" t="str">
        <f t="shared" si="515"/>
        <v/>
      </c>
      <c r="R1536" s="23" t="str">
        <f t="shared" si="516"/>
        <v/>
      </c>
      <c r="S1536" s="23" t="str">
        <f t="shared" si="517"/>
        <v/>
      </c>
      <c r="T1536" s="23" t="str">
        <f t="shared" si="518"/>
        <v/>
      </c>
      <c r="U1536" s="23" t="str">
        <f t="shared" si="519"/>
        <v/>
      </c>
      <c r="V1536" s="23" t="str">
        <f t="shared" si="520"/>
        <v/>
      </c>
      <c r="W1536" s="70" t="str">
        <f t="shared" si="521"/>
        <v/>
      </c>
      <c r="X1536" s="70" t="str">
        <f t="shared" si="522"/>
        <v/>
      </c>
      <c r="Y1536" s="70" t="str">
        <f>IF(AND($A1536&lt;&gt;"",$E1536&gt;0),isLaptopBag($C1536,$J1536)*$D1536,"")</f>
        <v/>
      </c>
      <c r="Z1536" s="70" t="str">
        <f t="shared" si="523"/>
        <v/>
      </c>
      <c r="AA1536" s="70" t="str">
        <f t="shared" si="524"/>
        <v/>
      </c>
      <c r="AB1536" s="70" t="str">
        <f t="shared" si="525"/>
        <v/>
      </c>
      <c r="AC1536" s="70" t="str">
        <f t="shared" si="526"/>
        <v/>
      </c>
      <c r="AD1536" s="70" t="str">
        <f t="shared" si="527"/>
        <v/>
      </c>
      <c r="AE1536" s="70" t="str">
        <f t="shared" si="528"/>
        <v/>
      </c>
      <c r="AF1536" s="16"/>
      <c r="AG1536" s="23"/>
      <c r="AH1536" s="22"/>
      <c r="AJ1536" s="83">
        <f t="shared" si="529"/>
        <v>0</v>
      </c>
      <c r="AO1536" s="22" t="str">
        <f t="shared" si="530"/>
        <v/>
      </c>
      <c r="AP1536" s="22" t="str">
        <f t="shared" si="531"/>
        <v/>
      </c>
    </row>
    <row r="1537" spans="1:42" x14ac:dyDescent="0.25">
      <c r="A1537" s="10"/>
      <c r="B1537" s="10"/>
      <c r="C1537" s="10"/>
      <c r="D1537" s="10"/>
      <c r="E1537" s="10"/>
      <c r="F1537" s="10"/>
      <c r="G1537" s="10"/>
      <c r="H1537" s="17"/>
      <c r="I1537" s="10"/>
      <c r="J1537" s="10"/>
      <c r="K1537" s="16" t="str">
        <f t="shared" si="510"/>
        <v/>
      </c>
      <c r="L1537" s="23" t="str">
        <f t="shared" si="511"/>
        <v/>
      </c>
      <c r="M1537" s="22" t="str">
        <f t="shared" si="512"/>
        <v/>
      </c>
      <c r="N1537" s="72"/>
      <c r="O1537" s="16" t="str">
        <f t="shared" si="513"/>
        <v/>
      </c>
      <c r="P1537" s="16" t="str">
        <f t="shared" si="514"/>
        <v/>
      </c>
      <c r="Q1537" s="16" t="str">
        <f t="shared" si="515"/>
        <v/>
      </c>
      <c r="R1537" s="23" t="str">
        <f t="shared" si="516"/>
        <v/>
      </c>
      <c r="S1537" s="23" t="str">
        <f t="shared" si="517"/>
        <v/>
      </c>
      <c r="T1537" s="23" t="str">
        <f t="shared" si="518"/>
        <v/>
      </c>
      <c r="U1537" s="23" t="str">
        <f t="shared" si="519"/>
        <v/>
      </c>
      <c r="V1537" s="23" t="str">
        <f t="shared" si="520"/>
        <v/>
      </c>
      <c r="W1537" s="70" t="str">
        <f t="shared" si="521"/>
        <v/>
      </c>
      <c r="X1537" s="70" t="str">
        <f t="shared" si="522"/>
        <v/>
      </c>
      <c r="Y1537" s="70" t="str">
        <f>IF(AND($A1537&lt;&gt;"",$E1537&gt;0),isLaptopBag($C1537,$J1537)*$D1537,"")</f>
        <v/>
      </c>
      <c r="Z1537" s="70" t="str">
        <f t="shared" si="523"/>
        <v/>
      </c>
      <c r="AA1537" s="70" t="str">
        <f t="shared" si="524"/>
        <v/>
      </c>
      <c r="AB1537" s="70" t="str">
        <f t="shared" si="525"/>
        <v/>
      </c>
      <c r="AC1537" s="70" t="str">
        <f t="shared" si="526"/>
        <v/>
      </c>
      <c r="AD1537" s="70" t="str">
        <f t="shared" si="527"/>
        <v/>
      </c>
      <c r="AE1537" s="70" t="str">
        <f t="shared" si="528"/>
        <v/>
      </c>
      <c r="AF1537" s="16"/>
      <c r="AG1537" s="23"/>
      <c r="AH1537" s="22"/>
      <c r="AJ1537" s="83">
        <f t="shared" si="529"/>
        <v>0</v>
      </c>
      <c r="AO1537" s="22" t="str">
        <f t="shared" si="530"/>
        <v/>
      </c>
      <c r="AP1537" s="22" t="str">
        <f t="shared" si="531"/>
        <v/>
      </c>
    </row>
    <row r="1538" spans="1:42" x14ac:dyDescent="0.25">
      <c r="A1538" s="10"/>
      <c r="B1538" s="10"/>
      <c r="C1538" s="10"/>
      <c r="D1538" s="10"/>
      <c r="E1538" s="10"/>
      <c r="F1538" s="10"/>
      <c r="G1538" s="10"/>
      <c r="H1538" s="17"/>
      <c r="I1538" s="10"/>
      <c r="J1538" s="10"/>
      <c r="K1538" s="16" t="str">
        <f t="shared" si="510"/>
        <v/>
      </c>
      <c r="L1538" s="23" t="str">
        <f t="shared" si="511"/>
        <v/>
      </c>
      <c r="M1538" s="22" t="str">
        <f t="shared" si="512"/>
        <v/>
      </c>
      <c r="N1538" s="72"/>
      <c r="O1538" s="16" t="str">
        <f t="shared" si="513"/>
        <v/>
      </c>
      <c r="P1538" s="16" t="str">
        <f t="shared" si="514"/>
        <v/>
      </c>
      <c r="Q1538" s="16" t="str">
        <f t="shared" si="515"/>
        <v/>
      </c>
      <c r="R1538" s="23" t="str">
        <f t="shared" si="516"/>
        <v/>
      </c>
      <c r="S1538" s="23" t="str">
        <f t="shared" si="517"/>
        <v/>
      </c>
      <c r="T1538" s="23" t="str">
        <f t="shared" si="518"/>
        <v/>
      </c>
      <c r="U1538" s="23" t="str">
        <f t="shared" si="519"/>
        <v/>
      </c>
      <c r="V1538" s="23" t="str">
        <f t="shared" si="520"/>
        <v/>
      </c>
      <c r="W1538" s="70" t="str">
        <f t="shared" si="521"/>
        <v/>
      </c>
      <c r="X1538" s="70" t="str">
        <f t="shared" si="522"/>
        <v/>
      </c>
      <c r="Y1538" s="70" t="str">
        <f>IF(AND($A1538&lt;&gt;"",$E1538&gt;0),isLaptopBag($C1538,$J1538)*$D1538,"")</f>
        <v/>
      </c>
      <c r="Z1538" s="70" t="str">
        <f t="shared" si="523"/>
        <v/>
      </c>
      <c r="AA1538" s="70" t="str">
        <f t="shared" si="524"/>
        <v/>
      </c>
      <c r="AB1538" s="70" t="str">
        <f t="shared" si="525"/>
        <v/>
      </c>
      <c r="AC1538" s="70" t="str">
        <f t="shared" si="526"/>
        <v/>
      </c>
      <c r="AD1538" s="70" t="str">
        <f t="shared" si="527"/>
        <v/>
      </c>
      <c r="AE1538" s="70" t="str">
        <f t="shared" si="528"/>
        <v/>
      </c>
      <c r="AF1538" s="16"/>
      <c r="AG1538" s="23"/>
      <c r="AH1538" s="22"/>
      <c r="AJ1538" s="83">
        <f t="shared" si="529"/>
        <v>0</v>
      </c>
      <c r="AO1538" s="22" t="str">
        <f t="shared" si="530"/>
        <v/>
      </c>
      <c r="AP1538" s="22" t="str">
        <f t="shared" si="531"/>
        <v/>
      </c>
    </row>
    <row r="1539" spans="1:42" x14ac:dyDescent="0.25">
      <c r="A1539" s="10"/>
      <c r="B1539" s="10"/>
      <c r="C1539" s="10"/>
      <c r="D1539" s="10"/>
      <c r="E1539" s="10"/>
      <c r="F1539" s="10"/>
      <c r="G1539" s="10"/>
      <c r="H1539" s="17"/>
      <c r="I1539" s="10"/>
      <c r="J1539" s="10"/>
      <c r="K1539" s="16" t="str">
        <f t="shared" si="510"/>
        <v/>
      </c>
      <c r="L1539" s="23" t="str">
        <f t="shared" si="511"/>
        <v/>
      </c>
      <c r="M1539" s="22" t="str">
        <f t="shared" si="512"/>
        <v/>
      </c>
      <c r="N1539" s="72"/>
      <c r="O1539" s="16" t="str">
        <f t="shared" si="513"/>
        <v/>
      </c>
      <c r="P1539" s="16" t="str">
        <f t="shared" si="514"/>
        <v/>
      </c>
      <c r="Q1539" s="16" t="str">
        <f t="shared" si="515"/>
        <v/>
      </c>
      <c r="R1539" s="23" t="str">
        <f t="shared" si="516"/>
        <v/>
      </c>
      <c r="S1539" s="23" t="str">
        <f t="shared" si="517"/>
        <v/>
      </c>
      <c r="T1539" s="23" t="str">
        <f t="shared" si="518"/>
        <v/>
      </c>
      <c r="U1539" s="23" t="str">
        <f t="shared" si="519"/>
        <v/>
      </c>
      <c r="V1539" s="23" t="str">
        <f t="shared" si="520"/>
        <v/>
      </c>
      <c r="W1539" s="70" t="str">
        <f t="shared" si="521"/>
        <v/>
      </c>
      <c r="X1539" s="70" t="str">
        <f t="shared" si="522"/>
        <v/>
      </c>
      <c r="Y1539" s="70" t="str">
        <f>IF(AND($A1539&lt;&gt;"",$E1539&gt;0),isLaptopBag($C1539,$J1539)*$D1539,"")</f>
        <v/>
      </c>
      <c r="Z1539" s="70" t="str">
        <f t="shared" si="523"/>
        <v/>
      </c>
      <c r="AA1539" s="70" t="str">
        <f t="shared" si="524"/>
        <v/>
      </c>
      <c r="AB1539" s="70" t="str">
        <f t="shared" si="525"/>
        <v/>
      </c>
      <c r="AC1539" s="70" t="str">
        <f t="shared" si="526"/>
        <v/>
      </c>
      <c r="AD1539" s="70" t="str">
        <f t="shared" si="527"/>
        <v/>
      </c>
      <c r="AE1539" s="70" t="str">
        <f t="shared" si="528"/>
        <v/>
      </c>
      <c r="AF1539" s="16"/>
      <c r="AG1539" s="23"/>
      <c r="AH1539" s="22"/>
      <c r="AJ1539" s="83">
        <f t="shared" si="529"/>
        <v>0</v>
      </c>
      <c r="AO1539" s="22" t="str">
        <f t="shared" si="530"/>
        <v/>
      </c>
      <c r="AP1539" s="22" t="str">
        <f t="shared" si="531"/>
        <v/>
      </c>
    </row>
    <row r="1540" spans="1:42" x14ac:dyDescent="0.25">
      <c r="A1540" s="10"/>
      <c r="B1540" s="10"/>
      <c r="C1540" s="10"/>
      <c r="D1540" s="10"/>
      <c r="E1540" s="10"/>
      <c r="F1540" s="10"/>
      <c r="G1540" s="10"/>
      <c r="H1540" s="17"/>
      <c r="I1540" s="10"/>
      <c r="J1540" s="10"/>
      <c r="K1540" s="16" t="str">
        <f t="shared" si="510"/>
        <v/>
      </c>
      <c r="L1540" s="23" t="str">
        <f t="shared" si="511"/>
        <v/>
      </c>
      <c r="M1540" s="22" t="str">
        <f t="shared" si="512"/>
        <v/>
      </c>
      <c r="N1540" s="72"/>
      <c r="O1540" s="16" t="str">
        <f t="shared" si="513"/>
        <v/>
      </c>
      <c r="P1540" s="16" t="str">
        <f t="shared" si="514"/>
        <v/>
      </c>
      <c r="Q1540" s="16" t="str">
        <f t="shared" si="515"/>
        <v/>
      </c>
      <c r="R1540" s="23" t="str">
        <f t="shared" si="516"/>
        <v/>
      </c>
      <c r="S1540" s="23" t="str">
        <f t="shared" si="517"/>
        <v/>
      </c>
      <c r="T1540" s="23" t="str">
        <f t="shared" si="518"/>
        <v/>
      </c>
      <c r="U1540" s="23" t="str">
        <f t="shared" si="519"/>
        <v/>
      </c>
      <c r="V1540" s="23" t="str">
        <f t="shared" si="520"/>
        <v/>
      </c>
      <c r="W1540" s="70" t="str">
        <f t="shared" si="521"/>
        <v/>
      </c>
      <c r="X1540" s="70" t="str">
        <f t="shared" si="522"/>
        <v/>
      </c>
      <c r="Y1540" s="70" t="str">
        <f>IF(AND($A1540&lt;&gt;"",$E1540&gt;0),isLaptopBag($C1540,$J1540)*$D1540,"")</f>
        <v/>
      </c>
      <c r="Z1540" s="70" t="str">
        <f t="shared" si="523"/>
        <v/>
      </c>
      <c r="AA1540" s="70" t="str">
        <f t="shared" si="524"/>
        <v/>
      </c>
      <c r="AB1540" s="70" t="str">
        <f t="shared" si="525"/>
        <v/>
      </c>
      <c r="AC1540" s="70" t="str">
        <f t="shared" si="526"/>
        <v/>
      </c>
      <c r="AD1540" s="70" t="str">
        <f t="shared" si="527"/>
        <v/>
      </c>
      <c r="AE1540" s="70" t="str">
        <f t="shared" si="528"/>
        <v/>
      </c>
      <c r="AF1540" s="16"/>
      <c r="AG1540" s="23"/>
      <c r="AH1540" s="22"/>
      <c r="AJ1540" s="83">
        <f t="shared" si="529"/>
        <v>0</v>
      </c>
      <c r="AO1540" s="22" t="str">
        <f t="shared" si="530"/>
        <v/>
      </c>
      <c r="AP1540" s="22" t="str">
        <f t="shared" si="531"/>
        <v/>
      </c>
    </row>
    <row r="1541" spans="1:42" x14ac:dyDescent="0.25">
      <c r="A1541" s="10"/>
      <c r="B1541" s="10"/>
      <c r="C1541" s="10"/>
      <c r="D1541" s="10"/>
      <c r="E1541" s="10"/>
      <c r="F1541" s="10"/>
      <c r="G1541" s="10"/>
      <c r="H1541" s="17"/>
      <c r="I1541" s="10"/>
      <c r="J1541" s="10"/>
      <c r="K1541" s="16" t="str">
        <f t="shared" si="510"/>
        <v/>
      </c>
      <c r="L1541" s="23" t="str">
        <f t="shared" si="511"/>
        <v/>
      </c>
      <c r="M1541" s="22" t="str">
        <f t="shared" si="512"/>
        <v/>
      </c>
      <c r="N1541" s="72"/>
      <c r="O1541" s="16" t="str">
        <f t="shared" si="513"/>
        <v/>
      </c>
      <c r="P1541" s="16" t="str">
        <f t="shared" si="514"/>
        <v/>
      </c>
      <c r="Q1541" s="16" t="str">
        <f t="shared" si="515"/>
        <v/>
      </c>
      <c r="R1541" s="23" t="str">
        <f t="shared" si="516"/>
        <v/>
      </c>
      <c r="S1541" s="23" t="str">
        <f t="shared" si="517"/>
        <v/>
      </c>
      <c r="T1541" s="23" t="str">
        <f t="shared" si="518"/>
        <v/>
      </c>
      <c r="U1541" s="23" t="str">
        <f t="shared" si="519"/>
        <v/>
      </c>
      <c r="V1541" s="23" t="str">
        <f t="shared" si="520"/>
        <v/>
      </c>
      <c r="W1541" s="70" t="str">
        <f t="shared" si="521"/>
        <v/>
      </c>
      <c r="X1541" s="70" t="str">
        <f t="shared" si="522"/>
        <v/>
      </c>
      <c r="Y1541" s="70" t="str">
        <f>IF(AND($A1541&lt;&gt;"",$E1541&gt;0),isLaptopBag($C1541,$J1541)*$D1541,"")</f>
        <v/>
      </c>
      <c r="Z1541" s="70" t="str">
        <f t="shared" si="523"/>
        <v/>
      </c>
      <c r="AA1541" s="70" t="str">
        <f t="shared" si="524"/>
        <v/>
      </c>
      <c r="AB1541" s="70" t="str">
        <f t="shared" si="525"/>
        <v/>
      </c>
      <c r="AC1541" s="70" t="str">
        <f t="shared" si="526"/>
        <v/>
      </c>
      <c r="AD1541" s="70" t="str">
        <f t="shared" si="527"/>
        <v/>
      </c>
      <c r="AE1541" s="70" t="str">
        <f t="shared" si="528"/>
        <v/>
      </c>
      <c r="AF1541" s="16"/>
      <c r="AG1541" s="23"/>
      <c r="AH1541" s="22"/>
      <c r="AJ1541" s="83">
        <f t="shared" si="529"/>
        <v>0</v>
      </c>
      <c r="AO1541" s="22" t="str">
        <f t="shared" si="530"/>
        <v/>
      </c>
      <c r="AP1541" s="22" t="str">
        <f t="shared" si="531"/>
        <v/>
      </c>
    </row>
    <row r="1542" spans="1:42" x14ac:dyDescent="0.25">
      <c r="A1542" s="10"/>
      <c r="B1542" s="10"/>
      <c r="C1542" s="10"/>
      <c r="D1542" s="10"/>
      <c r="E1542" s="10"/>
      <c r="F1542" s="10"/>
      <c r="G1542" s="10"/>
      <c r="H1542" s="17"/>
      <c r="I1542" s="10"/>
      <c r="J1542" s="10"/>
      <c r="K1542" s="16" t="str">
        <f t="shared" si="510"/>
        <v/>
      </c>
      <c r="L1542" s="23" t="str">
        <f t="shared" si="511"/>
        <v/>
      </c>
      <c r="M1542" s="22" t="str">
        <f t="shared" si="512"/>
        <v/>
      </c>
      <c r="N1542" s="72"/>
      <c r="O1542" s="16" t="str">
        <f t="shared" si="513"/>
        <v/>
      </c>
      <c r="P1542" s="16" t="str">
        <f t="shared" si="514"/>
        <v/>
      </c>
      <c r="Q1542" s="16" t="str">
        <f t="shared" si="515"/>
        <v/>
      </c>
      <c r="R1542" s="23" t="str">
        <f t="shared" si="516"/>
        <v/>
      </c>
      <c r="S1542" s="23" t="str">
        <f t="shared" si="517"/>
        <v/>
      </c>
      <c r="T1542" s="23" t="str">
        <f t="shared" si="518"/>
        <v/>
      </c>
      <c r="U1542" s="23" t="str">
        <f t="shared" si="519"/>
        <v/>
      </c>
      <c r="V1542" s="23" t="str">
        <f t="shared" si="520"/>
        <v/>
      </c>
      <c r="W1542" s="70" t="str">
        <f t="shared" si="521"/>
        <v/>
      </c>
      <c r="X1542" s="70" t="str">
        <f t="shared" si="522"/>
        <v/>
      </c>
      <c r="Y1542" s="70" t="str">
        <f>IF(AND($A1542&lt;&gt;"",$E1542&gt;0),isLaptopBag($C1542,$J1542)*$D1542,"")</f>
        <v/>
      </c>
      <c r="Z1542" s="70" t="str">
        <f t="shared" si="523"/>
        <v/>
      </c>
      <c r="AA1542" s="70" t="str">
        <f t="shared" si="524"/>
        <v/>
      </c>
      <c r="AB1542" s="70" t="str">
        <f t="shared" si="525"/>
        <v/>
      </c>
      <c r="AC1542" s="70" t="str">
        <f t="shared" si="526"/>
        <v/>
      </c>
      <c r="AD1542" s="70" t="str">
        <f t="shared" si="527"/>
        <v/>
      </c>
      <c r="AE1542" s="70" t="str">
        <f t="shared" si="528"/>
        <v/>
      </c>
      <c r="AF1542" s="16"/>
      <c r="AG1542" s="23"/>
      <c r="AH1542" s="22"/>
      <c r="AJ1542" s="83">
        <f t="shared" si="529"/>
        <v>0</v>
      </c>
      <c r="AO1542" s="22" t="str">
        <f t="shared" si="530"/>
        <v/>
      </c>
      <c r="AP1542" s="22" t="str">
        <f t="shared" si="531"/>
        <v/>
      </c>
    </row>
    <row r="1543" spans="1:42" x14ac:dyDescent="0.25">
      <c r="A1543" s="10"/>
      <c r="B1543" s="10"/>
      <c r="C1543" s="10"/>
      <c r="D1543" s="10"/>
      <c r="E1543" s="10"/>
      <c r="F1543" s="10"/>
      <c r="G1543" s="10"/>
      <c r="H1543" s="17"/>
      <c r="I1543" s="10"/>
      <c r="J1543" s="10"/>
      <c r="K1543" s="16" t="str">
        <f t="shared" si="510"/>
        <v/>
      </c>
      <c r="L1543" s="23" t="str">
        <f t="shared" si="511"/>
        <v/>
      </c>
      <c r="M1543" s="22" t="str">
        <f t="shared" si="512"/>
        <v/>
      </c>
      <c r="N1543" s="72"/>
      <c r="O1543" s="16" t="str">
        <f t="shared" si="513"/>
        <v/>
      </c>
      <c r="P1543" s="16" t="str">
        <f t="shared" si="514"/>
        <v/>
      </c>
      <c r="Q1543" s="16" t="str">
        <f t="shared" si="515"/>
        <v/>
      </c>
      <c r="R1543" s="23" t="str">
        <f t="shared" si="516"/>
        <v/>
      </c>
      <c r="S1543" s="23" t="str">
        <f t="shared" si="517"/>
        <v/>
      </c>
      <c r="T1543" s="23" t="str">
        <f t="shared" si="518"/>
        <v/>
      </c>
      <c r="U1543" s="23" t="str">
        <f t="shared" si="519"/>
        <v/>
      </c>
      <c r="V1543" s="23" t="str">
        <f t="shared" si="520"/>
        <v/>
      </c>
      <c r="W1543" s="70" t="str">
        <f t="shared" si="521"/>
        <v/>
      </c>
      <c r="X1543" s="70" t="str">
        <f t="shared" si="522"/>
        <v/>
      </c>
      <c r="Y1543" s="70" t="str">
        <f>IF(AND($A1543&lt;&gt;"",$E1543&gt;0),isLaptopBag($C1543,$J1543)*$D1543,"")</f>
        <v/>
      </c>
      <c r="Z1543" s="70" t="str">
        <f t="shared" si="523"/>
        <v/>
      </c>
      <c r="AA1543" s="70" t="str">
        <f t="shared" si="524"/>
        <v/>
      </c>
      <c r="AB1543" s="70" t="str">
        <f t="shared" si="525"/>
        <v/>
      </c>
      <c r="AC1543" s="70" t="str">
        <f t="shared" si="526"/>
        <v/>
      </c>
      <c r="AD1543" s="70" t="str">
        <f t="shared" si="527"/>
        <v/>
      </c>
      <c r="AE1543" s="70" t="str">
        <f t="shared" si="528"/>
        <v/>
      </c>
      <c r="AF1543" s="16"/>
      <c r="AG1543" s="23"/>
      <c r="AH1543" s="22"/>
      <c r="AJ1543" s="83">
        <f t="shared" si="529"/>
        <v>0</v>
      </c>
      <c r="AO1543" s="22" t="str">
        <f t="shared" si="530"/>
        <v/>
      </c>
      <c r="AP1543" s="22" t="str">
        <f t="shared" si="531"/>
        <v/>
      </c>
    </row>
    <row r="1544" spans="1:42" x14ac:dyDescent="0.25">
      <c r="A1544" s="10"/>
      <c r="B1544" s="10"/>
      <c r="C1544" s="10"/>
      <c r="D1544" s="10"/>
      <c r="E1544" s="10"/>
      <c r="F1544" s="10"/>
      <c r="G1544" s="10"/>
      <c r="H1544" s="17"/>
      <c r="I1544" s="10"/>
      <c r="J1544" s="10"/>
      <c r="K1544" s="16" t="str">
        <f t="shared" si="510"/>
        <v/>
      </c>
      <c r="L1544" s="23" t="str">
        <f t="shared" si="511"/>
        <v/>
      </c>
      <c r="M1544" s="22" t="str">
        <f t="shared" si="512"/>
        <v/>
      </c>
      <c r="N1544" s="72"/>
      <c r="O1544" s="16" t="str">
        <f t="shared" si="513"/>
        <v/>
      </c>
      <c r="P1544" s="16" t="str">
        <f t="shared" si="514"/>
        <v/>
      </c>
      <c r="Q1544" s="16" t="str">
        <f t="shared" si="515"/>
        <v/>
      </c>
      <c r="R1544" s="23" t="str">
        <f t="shared" si="516"/>
        <v/>
      </c>
      <c r="S1544" s="23" t="str">
        <f t="shared" si="517"/>
        <v/>
      </c>
      <c r="T1544" s="23" t="str">
        <f t="shared" si="518"/>
        <v/>
      </c>
      <c r="U1544" s="23" t="str">
        <f t="shared" si="519"/>
        <v/>
      </c>
      <c r="V1544" s="23" t="str">
        <f t="shared" si="520"/>
        <v/>
      </c>
      <c r="W1544" s="70" t="str">
        <f t="shared" si="521"/>
        <v/>
      </c>
      <c r="X1544" s="70" t="str">
        <f t="shared" si="522"/>
        <v/>
      </c>
      <c r="Y1544" s="70" t="str">
        <f>IF(AND($A1544&lt;&gt;"",$E1544&gt;0),isLaptopBag($C1544,$J1544)*$D1544,"")</f>
        <v/>
      </c>
      <c r="Z1544" s="70" t="str">
        <f t="shared" si="523"/>
        <v/>
      </c>
      <c r="AA1544" s="70" t="str">
        <f t="shared" si="524"/>
        <v/>
      </c>
      <c r="AB1544" s="70" t="str">
        <f t="shared" si="525"/>
        <v/>
      </c>
      <c r="AC1544" s="70" t="str">
        <f t="shared" si="526"/>
        <v/>
      </c>
      <c r="AD1544" s="70" t="str">
        <f t="shared" si="527"/>
        <v/>
      </c>
      <c r="AE1544" s="70" t="str">
        <f t="shared" si="528"/>
        <v/>
      </c>
      <c r="AF1544" s="16"/>
      <c r="AG1544" s="23"/>
      <c r="AH1544" s="22"/>
      <c r="AJ1544" s="83">
        <f t="shared" si="529"/>
        <v>0</v>
      </c>
      <c r="AO1544" s="22" t="str">
        <f t="shared" si="530"/>
        <v/>
      </c>
      <c r="AP1544" s="22" t="str">
        <f t="shared" si="531"/>
        <v/>
      </c>
    </row>
    <row r="1545" spans="1:42" x14ac:dyDescent="0.25">
      <c r="A1545" s="10"/>
      <c r="B1545" s="10"/>
      <c r="C1545" s="10"/>
      <c r="D1545" s="10"/>
      <c r="E1545" s="10"/>
      <c r="F1545" s="10"/>
      <c r="G1545" s="10"/>
      <c r="H1545" s="17"/>
      <c r="I1545" s="10"/>
      <c r="J1545" s="10"/>
      <c r="K1545" s="16" t="str">
        <f t="shared" si="510"/>
        <v/>
      </c>
      <c r="L1545" s="23" t="str">
        <f t="shared" si="511"/>
        <v/>
      </c>
      <c r="M1545" s="22" t="str">
        <f t="shared" si="512"/>
        <v/>
      </c>
      <c r="N1545" s="72"/>
      <c r="O1545" s="16" t="str">
        <f t="shared" si="513"/>
        <v/>
      </c>
      <c r="P1545" s="16" t="str">
        <f t="shared" si="514"/>
        <v/>
      </c>
      <c r="Q1545" s="16" t="str">
        <f t="shared" si="515"/>
        <v/>
      </c>
      <c r="R1545" s="23" t="str">
        <f t="shared" si="516"/>
        <v/>
      </c>
      <c r="S1545" s="23" t="str">
        <f t="shared" si="517"/>
        <v/>
      </c>
      <c r="T1545" s="23" t="str">
        <f t="shared" si="518"/>
        <v/>
      </c>
      <c r="U1545" s="23" t="str">
        <f t="shared" si="519"/>
        <v/>
      </c>
      <c r="V1545" s="23" t="str">
        <f t="shared" si="520"/>
        <v/>
      </c>
      <c r="W1545" s="70" t="str">
        <f t="shared" si="521"/>
        <v/>
      </c>
      <c r="X1545" s="70" t="str">
        <f t="shared" si="522"/>
        <v/>
      </c>
      <c r="Y1545" s="70" t="str">
        <f>IF(AND($A1545&lt;&gt;"",$E1545&gt;0),isLaptopBag($C1545,$J1545)*$D1545,"")</f>
        <v/>
      </c>
      <c r="Z1545" s="70" t="str">
        <f t="shared" si="523"/>
        <v/>
      </c>
      <c r="AA1545" s="70" t="str">
        <f t="shared" si="524"/>
        <v/>
      </c>
      <c r="AB1545" s="70" t="str">
        <f t="shared" si="525"/>
        <v/>
      </c>
      <c r="AC1545" s="70" t="str">
        <f t="shared" si="526"/>
        <v/>
      </c>
      <c r="AD1545" s="70" t="str">
        <f t="shared" si="527"/>
        <v/>
      </c>
      <c r="AE1545" s="70" t="str">
        <f t="shared" si="528"/>
        <v/>
      </c>
      <c r="AF1545" s="16"/>
      <c r="AG1545" s="23"/>
      <c r="AH1545" s="22"/>
      <c r="AJ1545" s="83">
        <f t="shared" si="529"/>
        <v>0</v>
      </c>
      <c r="AO1545" s="22" t="str">
        <f t="shared" si="530"/>
        <v/>
      </c>
      <c r="AP1545" s="22" t="str">
        <f t="shared" si="531"/>
        <v/>
      </c>
    </row>
    <row r="1546" spans="1:42" x14ac:dyDescent="0.25">
      <c r="A1546" s="10"/>
      <c r="B1546" s="10"/>
      <c r="C1546" s="10"/>
      <c r="D1546" s="10"/>
      <c r="E1546" s="10"/>
      <c r="F1546" s="10"/>
      <c r="G1546" s="10"/>
      <c r="H1546" s="17"/>
      <c r="I1546" s="10"/>
      <c r="J1546" s="10"/>
      <c r="K1546" s="16" t="str">
        <f t="shared" si="510"/>
        <v/>
      </c>
      <c r="L1546" s="23" t="str">
        <f t="shared" si="511"/>
        <v/>
      </c>
      <c r="M1546" s="22" t="str">
        <f t="shared" si="512"/>
        <v/>
      </c>
      <c r="N1546" s="72"/>
      <c r="O1546" s="16" t="str">
        <f t="shared" si="513"/>
        <v/>
      </c>
      <c r="P1546" s="16" t="str">
        <f t="shared" si="514"/>
        <v/>
      </c>
      <c r="Q1546" s="16" t="str">
        <f t="shared" si="515"/>
        <v/>
      </c>
      <c r="R1546" s="23" t="str">
        <f t="shared" si="516"/>
        <v/>
      </c>
      <c r="S1546" s="23" t="str">
        <f t="shared" si="517"/>
        <v/>
      </c>
      <c r="T1546" s="23" t="str">
        <f t="shared" si="518"/>
        <v/>
      </c>
      <c r="U1546" s="23" t="str">
        <f t="shared" si="519"/>
        <v/>
      </c>
      <c r="V1546" s="23" t="str">
        <f t="shared" si="520"/>
        <v/>
      </c>
      <c r="W1546" s="70" t="str">
        <f t="shared" si="521"/>
        <v/>
      </c>
      <c r="X1546" s="70" t="str">
        <f t="shared" si="522"/>
        <v/>
      </c>
      <c r="Y1546" s="70" t="str">
        <f>IF(AND($A1546&lt;&gt;"",$E1546&gt;0),isLaptopBag($C1546,$J1546)*$D1546,"")</f>
        <v/>
      </c>
      <c r="Z1546" s="70" t="str">
        <f t="shared" si="523"/>
        <v/>
      </c>
      <c r="AA1546" s="70" t="str">
        <f t="shared" si="524"/>
        <v/>
      </c>
      <c r="AB1546" s="70" t="str">
        <f t="shared" si="525"/>
        <v/>
      </c>
      <c r="AC1546" s="70" t="str">
        <f t="shared" si="526"/>
        <v/>
      </c>
      <c r="AD1546" s="70" t="str">
        <f t="shared" si="527"/>
        <v/>
      </c>
      <c r="AE1546" s="70" t="str">
        <f t="shared" si="528"/>
        <v/>
      </c>
      <c r="AF1546" s="16"/>
      <c r="AG1546" s="23"/>
      <c r="AH1546" s="22"/>
      <c r="AJ1546" s="83">
        <f t="shared" si="529"/>
        <v>0</v>
      </c>
      <c r="AO1546" s="22" t="str">
        <f t="shared" si="530"/>
        <v/>
      </c>
      <c r="AP1546" s="22" t="str">
        <f t="shared" si="531"/>
        <v/>
      </c>
    </row>
    <row r="1547" spans="1:42" x14ac:dyDescent="0.25">
      <c r="A1547" s="10"/>
      <c r="B1547" s="10"/>
      <c r="C1547" s="10"/>
      <c r="D1547" s="10"/>
      <c r="E1547" s="10"/>
      <c r="F1547" s="10"/>
      <c r="G1547" s="10"/>
      <c r="H1547" s="17"/>
      <c r="I1547" s="10"/>
      <c r="J1547" s="10"/>
      <c r="K1547" s="16" t="str">
        <f t="shared" si="510"/>
        <v/>
      </c>
      <c r="L1547" s="23" t="str">
        <f t="shared" si="511"/>
        <v/>
      </c>
      <c r="M1547" s="22" t="str">
        <f t="shared" si="512"/>
        <v/>
      </c>
      <c r="N1547" s="72"/>
      <c r="O1547" s="16" t="str">
        <f t="shared" si="513"/>
        <v/>
      </c>
      <c r="P1547" s="16" t="str">
        <f t="shared" si="514"/>
        <v/>
      </c>
      <c r="Q1547" s="16" t="str">
        <f t="shared" si="515"/>
        <v/>
      </c>
      <c r="R1547" s="23" t="str">
        <f t="shared" si="516"/>
        <v/>
      </c>
      <c r="S1547" s="23" t="str">
        <f t="shared" si="517"/>
        <v/>
      </c>
      <c r="T1547" s="23" t="str">
        <f t="shared" si="518"/>
        <v/>
      </c>
      <c r="U1547" s="23" t="str">
        <f t="shared" si="519"/>
        <v/>
      </c>
      <c r="V1547" s="23" t="str">
        <f t="shared" si="520"/>
        <v/>
      </c>
      <c r="W1547" s="70" t="str">
        <f t="shared" si="521"/>
        <v/>
      </c>
      <c r="X1547" s="70" t="str">
        <f t="shared" si="522"/>
        <v/>
      </c>
      <c r="Y1547" s="70" t="str">
        <f>IF(AND($A1547&lt;&gt;"",$E1547&gt;0),isLaptopBag($C1547,$J1547)*$D1547,"")</f>
        <v/>
      </c>
      <c r="Z1547" s="70" t="str">
        <f t="shared" si="523"/>
        <v/>
      </c>
      <c r="AA1547" s="70" t="str">
        <f t="shared" si="524"/>
        <v/>
      </c>
      <c r="AB1547" s="70" t="str">
        <f t="shared" si="525"/>
        <v/>
      </c>
      <c r="AC1547" s="70" t="str">
        <f t="shared" si="526"/>
        <v/>
      </c>
      <c r="AD1547" s="70" t="str">
        <f t="shared" si="527"/>
        <v/>
      </c>
      <c r="AE1547" s="70" t="str">
        <f t="shared" si="528"/>
        <v/>
      </c>
      <c r="AF1547" s="16"/>
      <c r="AG1547" s="23"/>
      <c r="AH1547" s="22"/>
      <c r="AJ1547" s="83">
        <f t="shared" si="529"/>
        <v>0</v>
      </c>
      <c r="AO1547" s="22" t="str">
        <f t="shared" si="530"/>
        <v/>
      </c>
      <c r="AP1547" s="22" t="str">
        <f t="shared" si="531"/>
        <v/>
      </c>
    </row>
    <row r="1548" spans="1:42" x14ac:dyDescent="0.25">
      <c r="A1548" s="10"/>
      <c r="B1548" s="10"/>
      <c r="C1548" s="10"/>
      <c r="D1548" s="10"/>
      <c r="E1548" s="10"/>
      <c r="F1548" s="10"/>
      <c r="G1548" s="10"/>
      <c r="H1548" s="17"/>
      <c r="I1548" s="10"/>
      <c r="J1548" s="10"/>
      <c r="K1548" s="16" t="str">
        <f t="shared" si="510"/>
        <v/>
      </c>
      <c r="L1548" s="23" t="str">
        <f t="shared" si="511"/>
        <v/>
      </c>
      <c r="M1548" s="22" t="str">
        <f t="shared" si="512"/>
        <v/>
      </c>
      <c r="N1548" s="72"/>
      <c r="O1548" s="16" t="str">
        <f t="shared" si="513"/>
        <v/>
      </c>
      <c r="P1548" s="16" t="str">
        <f t="shared" si="514"/>
        <v/>
      </c>
      <c r="Q1548" s="16" t="str">
        <f t="shared" si="515"/>
        <v/>
      </c>
      <c r="R1548" s="23" t="str">
        <f t="shared" si="516"/>
        <v/>
      </c>
      <c r="S1548" s="23" t="str">
        <f t="shared" si="517"/>
        <v/>
      </c>
      <c r="T1548" s="23" t="str">
        <f t="shared" si="518"/>
        <v/>
      </c>
      <c r="U1548" s="23" t="str">
        <f t="shared" si="519"/>
        <v/>
      </c>
      <c r="V1548" s="23" t="str">
        <f t="shared" si="520"/>
        <v/>
      </c>
      <c r="W1548" s="70" t="str">
        <f t="shared" si="521"/>
        <v/>
      </c>
      <c r="X1548" s="70" t="str">
        <f t="shared" si="522"/>
        <v/>
      </c>
      <c r="Y1548" s="70" t="str">
        <f>IF(AND($A1548&lt;&gt;"",$E1548&gt;0),isLaptopBag($C1548,$J1548)*$D1548,"")</f>
        <v/>
      </c>
      <c r="Z1548" s="70" t="str">
        <f t="shared" si="523"/>
        <v/>
      </c>
      <c r="AA1548" s="70" t="str">
        <f t="shared" si="524"/>
        <v/>
      </c>
      <c r="AB1548" s="70" t="str">
        <f t="shared" si="525"/>
        <v/>
      </c>
      <c r="AC1548" s="70" t="str">
        <f t="shared" si="526"/>
        <v/>
      </c>
      <c r="AD1548" s="70" t="str">
        <f t="shared" si="527"/>
        <v/>
      </c>
      <c r="AE1548" s="70" t="str">
        <f t="shared" si="528"/>
        <v/>
      </c>
      <c r="AF1548" s="16"/>
      <c r="AG1548" s="23"/>
      <c r="AH1548" s="22"/>
      <c r="AJ1548" s="83">
        <f t="shared" si="529"/>
        <v>0</v>
      </c>
      <c r="AO1548" s="22" t="str">
        <f t="shared" si="530"/>
        <v/>
      </c>
      <c r="AP1548" s="22" t="str">
        <f t="shared" si="531"/>
        <v/>
      </c>
    </row>
    <row r="1549" spans="1:42" x14ac:dyDescent="0.25">
      <c r="A1549" s="10"/>
      <c r="B1549" s="10"/>
      <c r="C1549" s="10"/>
      <c r="D1549" s="10"/>
      <c r="E1549" s="10"/>
      <c r="F1549" s="10"/>
      <c r="G1549" s="10"/>
      <c r="H1549" s="17"/>
      <c r="I1549" s="10"/>
      <c r="J1549" s="10"/>
      <c r="K1549" s="16" t="str">
        <f t="shared" ref="K1549:K1612" si="532">IF($AF1549&lt;&gt;"",$AF1549,IF(AND($A1549&lt;&gt;"",$E1549&gt;0),SUM($O1549:$Q1549),""))</f>
        <v/>
      </c>
      <c r="L1549" s="23" t="str">
        <f t="shared" ref="L1549:L1612" si="533">IF($AG1549&lt;&gt;"",$AG1549,IF(AND($A1549&lt;&gt;"",$E1549&gt;0),SUM($R1549:$V1549),""))</f>
        <v/>
      </c>
      <c r="M1549" s="22" t="str">
        <f t="shared" ref="M1549:M1612" si="534">IF($AH1549&lt;&gt;"",$AH1549,IF(AND($A1549&lt;&gt;"",$E1549&gt;0),SUM($W1549:$AE1549)+$AO1549+$AP1549,""))</f>
        <v/>
      </c>
      <c r="N1549" s="72"/>
      <c r="O1549" s="16" t="str">
        <f t="shared" ref="O1549:O1612" si="535">IF(AND($A1549&lt;&gt;"",$E1549&gt;0),IF(AND($J1549="SONY",200000&lt;=$E1549,$E1549&lt;1000000),5000*$D1549,0),"")</f>
        <v/>
      </c>
      <c r="P1549" s="16" t="str">
        <f t="shared" ref="P1549:P1612" si="536">IF(AND($A1549&lt;&gt;"",$E1549&gt;0),IF(AND($J1549="SONY",1000000&lt;=$E1549,$E1549&lt;2000000),10000*$D1549,0),"")</f>
        <v/>
      </c>
      <c r="Q1549" s="16" t="str">
        <f t="shared" ref="Q1549:Q1612" si="537">IF(AND($A1549&lt;&gt;"",$E1549&gt;0),IF(AND($J1549="SONY",$E1549&gt;=2000000),20000*$D1549,0),"")</f>
        <v/>
      </c>
      <c r="R1549" s="23" t="str">
        <f t="shared" ref="R1549:R1612" si="538">IF(AND($A1549&lt;&gt;"",$E1549&gt;0),IF(AND($J1549&lt;&gt;"SONY",100000&lt;=$E1549,$E1549&lt;200000),5000*$D1549,0),"")</f>
        <v/>
      </c>
      <c r="S1549" s="23" t="str">
        <f t="shared" ref="S1549:S1612" si="539">IF(AND($A1549&lt;&gt;"",$E1549&gt;0),IF(AND($J1549&lt;&gt;"SONY",200000&lt;=$E1549,$E1549&lt;500000),10000*$D1549,0),"")</f>
        <v/>
      </c>
      <c r="T1549" s="23" t="str">
        <f t="shared" ref="T1549:T1612" si="540">IF(AND($A1549&lt;&gt;"",$E1549&gt;0),IF(AND($J1549&lt;&gt;"SONY",500000&lt;=$E1549,$E1549&lt;1000000),20000*$D1549,0),"")</f>
        <v/>
      </c>
      <c r="U1549" s="23" t="str">
        <f t="shared" ref="U1549:U1612" si="541">IF(AND($A1549&lt;&gt;"",$E1549&gt;0),IF(AND($J1549&lt;&gt;"SONY",1000000&lt;=$E1549,$E1549&lt;1500000),50000*$D1549,0),"")</f>
        <v/>
      </c>
      <c r="V1549" s="23" t="str">
        <f t="shared" ref="V1549:V1612" si="542">IF(AND($A1549&lt;&gt;"",$E1549&gt;0),IF(AND($J1549&lt;&gt;"SONY",1500000&lt;=$E1549),100000*$D1549,0),"")</f>
        <v/>
      </c>
      <c r="W1549" s="70" t="str">
        <f t="shared" ref="W1549:W1612" si="543">IF(AND($E1549&gt;0,$J1549="ELECOM",$E1549&gt;=500000,ISNUMBER(SEARCH("tai nghe",$C1549))),20000*$D1549,IF($A1549&lt;&gt;"",0,""))</f>
        <v/>
      </c>
      <c r="X1549" s="70" t="str">
        <f t="shared" ref="X1549:X1612" si="544">IF(AND($E1549&gt;0,$J1549="ELECOM",ISNUMBER(SEARCH("loa",$C1549))),20000*$D1549,IF($A1549&lt;&gt;"",0,""))</f>
        <v/>
      </c>
      <c r="Y1549" s="70" t="str">
        <f>IF(AND($A1549&lt;&gt;"",$E1549&gt;0),isLaptopBag($C1549,$J1549)*$D1549,"")</f>
        <v/>
      </c>
      <c r="Z1549" s="70" t="str">
        <f t="shared" ref="Z1549:Z1612" si="545">IF(AND($E1549&gt;0,$J1549="ELECOM",ISNUMBER(SEARCH("ốp",$C1549))),20000*$D1549,IF($A1549&lt;&gt;"",0,""))</f>
        <v/>
      </c>
      <c r="AA1549" s="70" t="str">
        <f t="shared" ref="AA1549:AA1612" si="546">IF(AND($E1549&gt;0,$J1549="ELECOM",ISNUMBER(SEARCH("Bút",$C1549))),20000*$D1549,IF($A1549&lt;&gt;"",0,""))</f>
        <v/>
      </c>
      <c r="AB1549" s="70" t="str">
        <f t="shared" ref="AB1549:AB1612" si="547">IF(AND($E1549&gt;0,$J1549="ELECOM",ISNUMBER(SEARCH("Chuột bi",$C1549))),20000*$D1549,IF($A1549&lt;&gt;"",0,""))</f>
        <v/>
      </c>
      <c r="AC1549" s="70" t="str">
        <f t="shared" ref="AC1549:AC1612" si="548">IF(AND($E1549&gt;0,$J1549="ELECOM",ISNUMBER(SEARCH("Chuột trackball",$C1549))),20000*$D1549,IF($A1549&lt;&gt;"",0,""))</f>
        <v/>
      </c>
      <c r="AD1549" s="70" t="str">
        <f t="shared" ref="AD1549:AD1612" si="549">IF(AND($E1549&gt;0,$J1549="ELECOM",ISNUMBER(SEARCH("Sạc không dây",$C1549))),20000*$D1549,IF($A1549&lt;&gt;"",0,""))</f>
        <v/>
      </c>
      <c r="AE1549" s="70" t="str">
        <f t="shared" ref="AE1549:AE1612" si="550">IF(AND($E1549&gt;0,$J1549="ELECOM",ISNUMBER(SEARCH("Sạc kd",$C1549))),20000*$D1549,IF($A1549&lt;&gt;"",0,""))</f>
        <v/>
      </c>
      <c r="AF1549" s="16"/>
      <c r="AG1549" s="23"/>
      <c r="AH1549" s="22"/>
      <c r="AJ1549" s="83">
        <f t="shared" ref="AJ1549:AJ1612" si="551">DAY(H1549)</f>
        <v>0</v>
      </c>
      <c r="AO1549" s="22" t="str">
        <f t="shared" ref="AO1549:AO1612" si="552">IF(AND($E1549&gt;0,ISNUMBER(SEARCH("Sạc dự phòng Energizer",$C1549))),10000*$D1549,IF($A1549&lt;&gt;"",0,""))</f>
        <v/>
      </c>
      <c r="AP1549" s="22" t="str">
        <f t="shared" ref="AP1549:AP1612" si="553">IF(AND($E1549&gt;0,ISNUMBER(SEARCH("SDP Energizer",$C1549))),10000*$D1549,IF($A1549&lt;&gt;"",0,""))</f>
        <v/>
      </c>
    </row>
    <row r="1550" spans="1:42" x14ac:dyDescent="0.25">
      <c r="A1550" s="10"/>
      <c r="B1550" s="10"/>
      <c r="C1550" s="10"/>
      <c r="D1550" s="10"/>
      <c r="E1550" s="10"/>
      <c r="F1550" s="10"/>
      <c r="G1550" s="10"/>
      <c r="H1550" s="17"/>
      <c r="I1550" s="10"/>
      <c r="J1550" s="10"/>
      <c r="K1550" s="16" t="str">
        <f t="shared" si="532"/>
        <v/>
      </c>
      <c r="L1550" s="23" t="str">
        <f t="shared" si="533"/>
        <v/>
      </c>
      <c r="M1550" s="22" t="str">
        <f t="shared" si="534"/>
        <v/>
      </c>
      <c r="N1550" s="72"/>
      <c r="O1550" s="16" t="str">
        <f t="shared" si="535"/>
        <v/>
      </c>
      <c r="P1550" s="16" t="str">
        <f t="shared" si="536"/>
        <v/>
      </c>
      <c r="Q1550" s="16" t="str">
        <f t="shared" si="537"/>
        <v/>
      </c>
      <c r="R1550" s="23" t="str">
        <f t="shared" si="538"/>
        <v/>
      </c>
      <c r="S1550" s="23" t="str">
        <f t="shared" si="539"/>
        <v/>
      </c>
      <c r="T1550" s="23" t="str">
        <f t="shared" si="540"/>
        <v/>
      </c>
      <c r="U1550" s="23" t="str">
        <f t="shared" si="541"/>
        <v/>
      </c>
      <c r="V1550" s="23" t="str">
        <f t="shared" si="542"/>
        <v/>
      </c>
      <c r="W1550" s="70" t="str">
        <f t="shared" si="543"/>
        <v/>
      </c>
      <c r="X1550" s="70" t="str">
        <f t="shared" si="544"/>
        <v/>
      </c>
      <c r="Y1550" s="70" t="str">
        <f>IF(AND($A1550&lt;&gt;"",$E1550&gt;0),isLaptopBag($C1550,$J1550)*$D1550,"")</f>
        <v/>
      </c>
      <c r="Z1550" s="70" t="str">
        <f t="shared" si="545"/>
        <v/>
      </c>
      <c r="AA1550" s="70" t="str">
        <f t="shared" si="546"/>
        <v/>
      </c>
      <c r="AB1550" s="70" t="str">
        <f t="shared" si="547"/>
        <v/>
      </c>
      <c r="AC1550" s="70" t="str">
        <f t="shared" si="548"/>
        <v/>
      </c>
      <c r="AD1550" s="70" t="str">
        <f t="shared" si="549"/>
        <v/>
      </c>
      <c r="AE1550" s="70" t="str">
        <f t="shared" si="550"/>
        <v/>
      </c>
      <c r="AF1550" s="16"/>
      <c r="AG1550" s="23"/>
      <c r="AH1550" s="22"/>
      <c r="AJ1550" s="83">
        <f t="shared" si="551"/>
        <v>0</v>
      </c>
      <c r="AO1550" s="22" t="str">
        <f t="shared" si="552"/>
        <v/>
      </c>
      <c r="AP1550" s="22" t="str">
        <f t="shared" si="553"/>
        <v/>
      </c>
    </row>
    <row r="1551" spans="1:42" x14ac:dyDescent="0.25">
      <c r="A1551" s="10"/>
      <c r="B1551" s="10"/>
      <c r="C1551" s="10"/>
      <c r="D1551" s="10"/>
      <c r="E1551" s="10"/>
      <c r="F1551" s="10"/>
      <c r="G1551" s="10"/>
      <c r="H1551" s="17"/>
      <c r="I1551" s="10"/>
      <c r="J1551" s="10"/>
      <c r="K1551" s="16" t="str">
        <f t="shared" si="532"/>
        <v/>
      </c>
      <c r="L1551" s="23" t="str">
        <f t="shared" si="533"/>
        <v/>
      </c>
      <c r="M1551" s="22" t="str">
        <f t="shared" si="534"/>
        <v/>
      </c>
      <c r="N1551" s="72"/>
      <c r="O1551" s="16" t="str">
        <f t="shared" si="535"/>
        <v/>
      </c>
      <c r="P1551" s="16" t="str">
        <f t="shared" si="536"/>
        <v/>
      </c>
      <c r="Q1551" s="16" t="str">
        <f t="shared" si="537"/>
        <v/>
      </c>
      <c r="R1551" s="23" t="str">
        <f t="shared" si="538"/>
        <v/>
      </c>
      <c r="S1551" s="23" t="str">
        <f t="shared" si="539"/>
        <v/>
      </c>
      <c r="T1551" s="23" t="str">
        <f t="shared" si="540"/>
        <v/>
      </c>
      <c r="U1551" s="23" t="str">
        <f t="shared" si="541"/>
        <v/>
      </c>
      <c r="V1551" s="23" t="str">
        <f t="shared" si="542"/>
        <v/>
      </c>
      <c r="W1551" s="70" t="str">
        <f t="shared" si="543"/>
        <v/>
      </c>
      <c r="X1551" s="70" t="str">
        <f t="shared" si="544"/>
        <v/>
      </c>
      <c r="Y1551" s="70" t="str">
        <f>IF(AND($A1551&lt;&gt;"",$E1551&gt;0),isLaptopBag($C1551,$J1551)*$D1551,"")</f>
        <v/>
      </c>
      <c r="Z1551" s="70" t="str">
        <f t="shared" si="545"/>
        <v/>
      </c>
      <c r="AA1551" s="70" t="str">
        <f t="shared" si="546"/>
        <v/>
      </c>
      <c r="AB1551" s="70" t="str">
        <f t="shared" si="547"/>
        <v/>
      </c>
      <c r="AC1551" s="70" t="str">
        <f t="shared" si="548"/>
        <v/>
      </c>
      <c r="AD1551" s="70" t="str">
        <f t="shared" si="549"/>
        <v/>
      </c>
      <c r="AE1551" s="70" t="str">
        <f t="shared" si="550"/>
        <v/>
      </c>
      <c r="AF1551" s="16"/>
      <c r="AG1551" s="23"/>
      <c r="AH1551" s="22"/>
      <c r="AJ1551" s="83">
        <f t="shared" si="551"/>
        <v>0</v>
      </c>
      <c r="AO1551" s="22" t="str">
        <f t="shared" si="552"/>
        <v/>
      </c>
      <c r="AP1551" s="22" t="str">
        <f t="shared" si="553"/>
        <v/>
      </c>
    </row>
    <row r="1552" spans="1:42" x14ac:dyDescent="0.25">
      <c r="A1552" s="10"/>
      <c r="B1552" s="10"/>
      <c r="C1552" s="10"/>
      <c r="D1552" s="10"/>
      <c r="E1552" s="10"/>
      <c r="F1552" s="10"/>
      <c r="G1552" s="10"/>
      <c r="H1552" s="17"/>
      <c r="I1552" s="10"/>
      <c r="J1552" s="10"/>
      <c r="K1552" s="16" t="str">
        <f t="shared" si="532"/>
        <v/>
      </c>
      <c r="L1552" s="23" t="str">
        <f t="shared" si="533"/>
        <v/>
      </c>
      <c r="M1552" s="22" t="str">
        <f t="shared" si="534"/>
        <v/>
      </c>
      <c r="N1552" s="72"/>
      <c r="O1552" s="16" t="str">
        <f t="shared" si="535"/>
        <v/>
      </c>
      <c r="P1552" s="16" t="str">
        <f t="shared" si="536"/>
        <v/>
      </c>
      <c r="Q1552" s="16" t="str">
        <f t="shared" si="537"/>
        <v/>
      </c>
      <c r="R1552" s="23" t="str">
        <f t="shared" si="538"/>
        <v/>
      </c>
      <c r="S1552" s="23" t="str">
        <f t="shared" si="539"/>
        <v/>
      </c>
      <c r="T1552" s="23" t="str">
        <f t="shared" si="540"/>
        <v/>
      </c>
      <c r="U1552" s="23" t="str">
        <f t="shared" si="541"/>
        <v/>
      </c>
      <c r="V1552" s="23" t="str">
        <f t="shared" si="542"/>
        <v/>
      </c>
      <c r="W1552" s="70" t="str">
        <f t="shared" si="543"/>
        <v/>
      </c>
      <c r="X1552" s="70" t="str">
        <f t="shared" si="544"/>
        <v/>
      </c>
      <c r="Y1552" s="70" t="str">
        <f>IF(AND($A1552&lt;&gt;"",$E1552&gt;0),isLaptopBag($C1552,$J1552)*$D1552,"")</f>
        <v/>
      </c>
      <c r="Z1552" s="70" t="str">
        <f t="shared" si="545"/>
        <v/>
      </c>
      <c r="AA1552" s="70" t="str">
        <f t="shared" si="546"/>
        <v/>
      </c>
      <c r="AB1552" s="70" t="str">
        <f t="shared" si="547"/>
        <v/>
      </c>
      <c r="AC1552" s="70" t="str">
        <f t="shared" si="548"/>
        <v/>
      </c>
      <c r="AD1552" s="70" t="str">
        <f t="shared" si="549"/>
        <v/>
      </c>
      <c r="AE1552" s="70" t="str">
        <f t="shared" si="550"/>
        <v/>
      </c>
      <c r="AF1552" s="16"/>
      <c r="AG1552" s="23"/>
      <c r="AH1552" s="22"/>
      <c r="AJ1552" s="83">
        <f t="shared" si="551"/>
        <v>0</v>
      </c>
      <c r="AO1552" s="22" t="str">
        <f t="shared" si="552"/>
        <v/>
      </c>
      <c r="AP1552" s="22" t="str">
        <f t="shared" si="553"/>
        <v/>
      </c>
    </row>
    <row r="1553" spans="1:42" x14ac:dyDescent="0.25">
      <c r="A1553" s="10"/>
      <c r="B1553" s="10"/>
      <c r="C1553" s="10"/>
      <c r="D1553" s="10"/>
      <c r="E1553" s="10"/>
      <c r="F1553" s="10"/>
      <c r="G1553" s="10"/>
      <c r="H1553" s="17"/>
      <c r="I1553" s="10"/>
      <c r="J1553" s="10"/>
      <c r="K1553" s="16" t="str">
        <f t="shared" si="532"/>
        <v/>
      </c>
      <c r="L1553" s="23" t="str">
        <f t="shared" si="533"/>
        <v/>
      </c>
      <c r="M1553" s="22" t="str">
        <f t="shared" si="534"/>
        <v/>
      </c>
      <c r="N1553" s="72"/>
      <c r="O1553" s="16" t="str">
        <f t="shared" si="535"/>
        <v/>
      </c>
      <c r="P1553" s="16" t="str">
        <f t="shared" si="536"/>
        <v/>
      </c>
      <c r="Q1553" s="16" t="str">
        <f t="shared" si="537"/>
        <v/>
      </c>
      <c r="R1553" s="23" t="str">
        <f t="shared" si="538"/>
        <v/>
      </c>
      <c r="S1553" s="23" t="str">
        <f t="shared" si="539"/>
        <v/>
      </c>
      <c r="T1553" s="23" t="str">
        <f t="shared" si="540"/>
        <v/>
      </c>
      <c r="U1553" s="23" t="str">
        <f t="shared" si="541"/>
        <v/>
      </c>
      <c r="V1553" s="23" t="str">
        <f t="shared" si="542"/>
        <v/>
      </c>
      <c r="W1553" s="70" t="str">
        <f t="shared" si="543"/>
        <v/>
      </c>
      <c r="X1553" s="70" t="str">
        <f t="shared" si="544"/>
        <v/>
      </c>
      <c r="Y1553" s="70" t="str">
        <f>IF(AND($A1553&lt;&gt;"",$E1553&gt;0),isLaptopBag($C1553,$J1553)*$D1553,"")</f>
        <v/>
      </c>
      <c r="Z1553" s="70" t="str">
        <f t="shared" si="545"/>
        <v/>
      </c>
      <c r="AA1553" s="70" t="str">
        <f t="shared" si="546"/>
        <v/>
      </c>
      <c r="AB1553" s="70" t="str">
        <f t="shared" si="547"/>
        <v/>
      </c>
      <c r="AC1553" s="70" t="str">
        <f t="shared" si="548"/>
        <v/>
      </c>
      <c r="AD1553" s="70" t="str">
        <f t="shared" si="549"/>
        <v/>
      </c>
      <c r="AE1553" s="70" t="str">
        <f t="shared" si="550"/>
        <v/>
      </c>
      <c r="AF1553" s="16"/>
      <c r="AG1553" s="23"/>
      <c r="AH1553" s="22"/>
      <c r="AJ1553" s="83">
        <f t="shared" si="551"/>
        <v>0</v>
      </c>
      <c r="AO1553" s="22" t="str">
        <f t="shared" si="552"/>
        <v/>
      </c>
      <c r="AP1553" s="22" t="str">
        <f t="shared" si="553"/>
        <v/>
      </c>
    </row>
    <row r="1554" spans="1:42" x14ac:dyDescent="0.25">
      <c r="A1554" s="10"/>
      <c r="B1554" s="10"/>
      <c r="C1554" s="10"/>
      <c r="D1554" s="10"/>
      <c r="E1554" s="10"/>
      <c r="F1554" s="10"/>
      <c r="G1554" s="10"/>
      <c r="H1554" s="17"/>
      <c r="I1554" s="10"/>
      <c r="J1554" s="10"/>
      <c r="K1554" s="16" t="str">
        <f t="shared" si="532"/>
        <v/>
      </c>
      <c r="L1554" s="23" t="str">
        <f t="shared" si="533"/>
        <v/>
      </c>
      <c r="M1554" s="22" t="str">
        <f t="shared" si="534"/>
        <v/>
      </c>
      <c r="N1554" s="72"/>
      <c r="O1554" s="16" t="str">
        <f t="shared" si="535"/>
        <v/>
      </c>
      <c r="P1554" s="16" t="str">
        <f t="shared" si="536"/>
        <v/>
      </c>
      <c r="Q1554" s="16" t="str">
        <f t="shared" si="537"/>
        <v/>
      </c>
      <c r="R1554" s="23" t="str">
        <f t="shared" si="538"/>
        <v/>
      </c>
      <c r="S1554" s="23" t="str">
        <f t="shared" si="539"/>
        <v/>
      </c>
      <c r="T1554" s="23" t="str">
        <f t="shared" si="540"/>
        <v/>
      </c>
      <c r="U1554" s="23" t="str">
        <f t="shared" si="541"/>
        <v/>
      </c>
      <c r="V1554" s="23" t="str">
        <f t="shared" si="542"/>
        <v/>
      </c>
      <c r="W1554" s="70" t="str">
        <f t="shared" si="543"/>
        <v/>
      </c>
      <c r="X1554" s="70" t="str">
        <f t="shared" si="544"/>
        <v/>
      </c>
      <c r="Y1554" s="70" t="str">
        <f>IF(AND($A1554&lt;&gt;"",$E1554&gt;0),isLaptopBag($C1554,$J1554)*$D1554,"")</f>
        <v/>
      </c>
      <c r="Z1554" s="70" t="str">
        <f t="shared" si="545"/>
        <v/>
      </c>
      <c r="AA1554" s="70" t="str">
        <f t="shared" si="546"/>
        <v/>
      </c>
      <c r="AB1554" s="70" t="str">
        <f t="shared" si="547"/>
        <v/>
      </c>
      <c r="AC1554" s="70" t="str">
        <f t="shared" si="548"/>
        <v/>
      </c>
      <c r="AD1554" s="70" t="str">
        <f t="shared" si="549"/>
        <v/>
      </c>
      <c r="AE1554" s="70" t="str">
        <f t="shared" si="550"/>
        <v/>
      </c>
      <c r="AF1554" s="16"/>
      <c r="AG1554" s="23"/>
      <c r="AH1554" s="22"/>
      <c r="AJ1554" s="83">
        <f t="shared" si="551"/>
        <v>0</v>
      </c>
      <c r="AO1554" s="22" t="str">
        <f t="shared" si="552"/>
        <v/>
      </c>
      <c r="AP1554" s="22" t="str">
        <f t="shared" si="553"/>
        <v/>
      </c>
    </row>
    <row r="1555" spans="1:42" x14ac:dyDescent="0.25">
      <c r="A1555" s="10"/>
      <c r="B1555" s="10"/>
      <c r="C1555" s="10"/>
      <c r="D1555" s="10"/>
      <c r="E1555" s="10"/>
      <c r="F1555" s="10"/>
      <c r="G1555" s="10"/>
      <c r="H1555" s="17"/>
      <c r="I1555" s="10"/>
      <c r="J1555" s="10"/>
      <c r="K1555" s="16" t="str">
        <f t="shared" si="532"/>
        <v/>
      </c>
      <c r="L1555" s="23" t="str">
        <f t="shared" si="533"/>
        <v/>
      </c>
      <c r="M1555" s="22" t="str">
        <f t="shared" si="534"/>
        <v/>
      </c>
      <c r="N1555" s="72"/>
      <c r="O1555" s="16" t="str">
        <f t="shared" si="535"/>
        <v/>
      </c>
      <c r="P1555" s="16" t="str">
        <f t="shared" si="536"/>
        <v/>
      </c>
      <c r="Q1555" s="16" t="str">
        <f t="shared" si="537"/>
        <v/>
      </c>
      <c r="R1555" s="23" t="str">
        <f t="shared" si="538"/>
        <v/>
      </c>
      <c r="S1555" s="23" t="str">
        <f t="shared" si="539"/>
        <v/>
      </c>
      <c r="T1555" s="23" t="str">
        <f t="shared" si="540"/>
        <v/>
      </c>
      <c r="U1555" s="23" t="str">
        <f t="shared" si="541"/>
        <v/>
      </c>
      <c r="V1555" s="23" t="str">
        <f t="shared" si="542"/>
        <v/>
      </c>
      <c r="W1555" s="70" t="str">
        <f t="shared" si="543"/>
        <v/>
      </c>
      <c r="X1555" s="70" t="str">
        <f t="shared" si="544"/>
        <v/>
      </c>
      <c r="Y1555" s="70" t="str">
        <f>IF(AND($A1555&lt;&gt;"",$E1555&gt;0),isLaptopBag($C1555,$J1555)*$D1555,"")</f>
        <v/>
      </c>
      <c r="Z1555" s="70" t="str">
        <f t="shared" si="545"/>
        <v/>
      </c>
      <c r="AA1555" s="70" t="str">
        <f t="shared" si="546"/>
        <v/>
      </c>
      <c r="AB1555" s="70" t="str">
        <f t="shared" si="547"/>
        <v/>
      </c>
      <c r="AC1555" s="70" t="str">
        <f t="shared" si="548"/>
        <v/>
      </c>
      <c r="AD1555" s="70" t="str">
        <f t="shared" si="549"/>
        <v/>
      </c>
      <c r="AE1555" s="70" t="str">
        <f t="shared" si="550"/>
        <v/>
      </c>
      <c r="AF1555" s="16"/>
      <c r="AG1555" s="23"/>
      <c r="AH1555" s="22"/>
      <c r="AJ1555" s="83">
        <f t="shared" si="551"/>
        <v>0</v>
      </c>
      <c r="AO1555" s="22" t="str">
        <f t="shared" si="552"/>
        <v/>
      </c>
      <c r="AP1555" s="22" t="str">
        <f t="shared" si="553"/>
        <v/>
      </c>
    </row>
    <row r="1556" spans="1:42" x14ac:dyDescent="0.25">
      <c r="A1556" s="10"/>
      <c r="B1556" s="10"/>
      <c r="C1556" s="10"/>
      <c r="D1556" s="10"/>
      <c r="E1556" s="10"/>
      <c r="F1556" s="10"/>
      <c r="G1556" s="10"/>
      <c r="H1556" s="17"/>
      <c r="I1556" s="10"/>
      <c r="J1556" s="10"/>
      <c r="K1556" s="16" t="str">
        <f t="shared" si="532"/>
        <v/>
      </c>
      <c r="L1556" s="23" t="str">
        <f t="shared" si="533"/>
        <v/>
      </c>
      <c r="M1556" s="22" t="str">
        <f t="shared" si="534"/>
        <v/>
      </c>
      <c r="N1556" s="72"/>
      <c r="O1556" s="16" t="str">
        <f t="shared" si="535"/>
        <v/>
      </c>
      <c r="P1556" s="16" t="str">
        <f t="shared" si="536"/>
        <v/>
      </c>
      <c r="Q1556" s="16" t="str">
        <f t="shared" si="537"/>
        <v/>
      </c>
      <c r="R1556" s="23" t="str">
        <f t="shared" si="538"/>
        <v/>
      </c>
      <c r="S1556" s="23" t="str">
        <f t="shared" si="539"/>
        <v/>
      </c>
      <c r="T1556" s="23" t="str">
        <f t="shared" si="540"/>
        <v/>
      </c>
      <c r="U1556" s="23" t="str">
        <f t="shared" si="541"/>
        <v/>
      </c>
      <c r="V1556" s="23" t="str">
        <f t="shared" si="542"/>
        <v/>
      </c>
      <c r="W1556" s="70" t="str">
        <f t="shared" si="543"/>
        <v/>
      </c>
      <c r="X1556" s="70" t="str">
        <f t="shared" si="544"/>
        <v/>
      </c>
      <c r="Y1556" s="70" t="str">
        <f>IF(AND($A1556&lt;&gt;"",$E1556&gt;0),isLaptopBag($C1556,$J1556)*$D1556,"")</f>
        <v/>
      </c>
      <c r="Z1556" s="70" t="str">
        <f t="shared" si="545"/>
        <v/>
      </c>
      <c r="AA1556" s="70" t="str">
        <f t="shared" si="546"/>
        <v/>
      </c>
      <c r="AB1556" s="70" t="str">
        <f t="shared" si="547"/>
        <v/>
      </c>
      <c r="AC1556" s="70" t="str">
        <f t="shared" si="548"/>
        <v/>
      </c>
      <c r="AD1556" s="70" t="str">
        <f t="shared" si="549"/>
        <v/>
      </c>
      <c r="AE1556" s="70" t="str">
        <f t="shared" si="550"/>
        <v/>
      </c>
      <c r="AF1556" s="16"/>
      <c r="AG1556" s="23"/>
      <c r="AH1556" s="22"/>
      <c r="AJ1556" s="83">
        <f t="shared" si="551"/>
        <v>0</v>
      </c>
      <c r="AO1556" s="22" t="str">
        <f t="shared" si="552"/>
        <v/>
      </c>
      <c r="AP1556" s="22" t="str">
        <f t="shared" si="553"/>
        <v/>
      </c>
    </row>
    <row r="1557" spans="1:42" x14ac:dyDescent="0.25">
      <c r="A1557" s="10"/>
      <c r="B1557" s="10"/>
      <c r="C1557" s="10"/>
      <c r="D1557" s="10"/>
      <c r="E1557" s="10"/>
      <c r="F1557" s="10"/>
      <c r="G1557" s="10"/>
      <c r="H1557" s="17"/>
      <c r="I1557" s="10"/>
      <c r="J1557" s="10"/>
      <c r="K1557" s="16" t="str">
        <f t="shared" si="532"/>
        <v/>
      </c>
      <c r="L1557" s="23" t="str">
        <f t="shared" si="533"/>
        <v/>
      </c>
      <c r="M1557" s="22" t="str">
        <f t="shared" si="534"/>
        <v/>
      </c>
      <c r="N1557" s="72"/>
      <c r="O1557" s="16" t="str">
        <f t="shared" si="535"/>
        <v/>
      </c>
      <c r="P1557" s="16" t="str">
        <f t="shared" si="536"/>
        <v/>
      </c>
      <c r="Q1557" s="16" t="str">
        <f t="shared" si="537"/>
        <v/>
      </c>
      <c r="R1557" s="23" t="str">
        <f t="shared" si="538"/>
        <v/>
      </c>
      <c r="S1557" s="23" t="str">
        <f t="shared" si="539"/>
        <v/>
      </c>
      <c r="T1557" s="23" t="str">
        <f t="shared" si="540"/>
        <v/>
      </c>
      <c r="U1557" s="23" t="str">
        <f t="shared" si="541"/>
        <v/>
      </c>
      <c r="V1557" s="23" t="str">
        <f t="shared" si="542"/>
        <v/>
      </c>
      <c r="W1557" s="70" t="str">
        <f t="shared" si="543"/>
        <v/>
      </c>
      <c r="X1557" s="70" t="str">
        <f t="shared" si="544"/>
        <v/>
      </c>
      <c r="Y1557" s="70" t="str">
        <f>IF(AND($A1557&lt;&gt;"",$E1557&gt;0),isLaptopBag($C1557,$J1557)*$D1557,"")</f>
        <v/>
      </c>
      <c r="Z1557" s="70" t="str">
        <f t="shared" si="545"/>
        <v/>
      </c>
      <c r="AA1557" s="70" t="str">
        <f t="shared" si="546"/>
        <v/>
      </c>
      <c r="AB1557" s="70" t="str">
        <f t="shared" si="547"/>
        <v/>
      </c>
      <c r="AC1557" s="70" t="str">
        <f t="shared" si="548"/>
        <v/>
      </c>
      <c r="AD1557" s="70" t="str">
        <f t="shared" si="549"/>
        <v/>
      </c>
      <c r="AE1557" s="70" t="str">
        <f t="shared" si="550"/>
        <v/>
      </c>
      <c r="AF1557" s="16"/>
      <c r="AG1557" s="23"/>
      <c r="AH1557" s="22"/>
      <c r="AJ1557" s="83">
        <f t="shared" si="551"/>
        <v>0</v>
      </c>
      <c r="AO1557" s="22" t="str">
        <f t="shared" si="552"/>
        <v/>
      </c>
      <c r="AP1557" s="22" t="str">
        <f t="shared" si="553"/>
        <v/>
      </c>
    </row>
    <row r="1558" spans="1:42" x14ac:dyDescent="0.25">
      <c r="A1558" s="10"/>
      <c r="B1558" s="10"/>
      <c r="C1558" s="10"/>
      <c r="D1558" s="10"/>
      <c r="E1558" s="10"/>
      <c r="F1558" s="10"/>
      <c r="G1558" s="10"/>
      <c r="H1558" s="17"/>
      <c r="I1558" s="10"/>
      <c r="J1558" s="10"/>
      <c r="K1558" s="16" t="str">
        <f t="shared" si="532"/>
        <v/>
      </c>
      <c r="L1558" s="23" t="str">
        <f t="shared" si="533"/>
        <v/>
      </c>
      <c r="M1558" s="22" t="str">
        <f t="shared" si="534"/>
        <v/>
      </c>
      <c r="N1558" s="72"/>
      <c r="O1558" s="16" t="str">
        <f t="shared" si="535"/>
        <v/>
      </c>
      <c r="P1558" s="16" t="str">
        <f t="shared" si="536"/>
        <v/>
      </c>
      <c r="Q1558" s="16" t="str">
        <f t="shared" si="537"/>
        <v/>
      </c>
      <c r="R1558" s="23" t="str">
        <f t="shared" si="538"/>
        <v/>
      </c>
      <c r="S1558" s="23" t="str">
        <f t="shared" si="539"/>
        <v/>
      </c>
      <c r="T1558" s="23" t="str">
        <f t="shared" si="540"/>
        <v/>
      </c>
      <c r="U1558" s="23" t="str">
        <f t="shared" si="541"/>
        <v/>
      </c>
      <c r="V1558" s="23" t="str">
        <f t="shared" si="542"/>
        <v/>
      </c>
      <c r="W1558" s="70" t="str">
        <f t="shared" si="543"/>
        <v/>
      </c>
      <c r="X1558" s="70" t="str">
        <f t="shared" si="544"/>
        <v/>
      </c>
      <c r="Y1558" s="70" t="str">
        <f>IF(AND($A1558&lt;&gt;"",$E1558&gt;0),isLaptopBag($C1558,$J1558)*$D1558,"")</f>
        <v/>
      </c>
      <c r="Z1558" s="70" t="str">
        <f t="shared" si="545"/>
        <v/>
      </c>
      <c r="AA1558" s="70" t="str">
        <f t="shared" si="546"/>
        <v/>
      </c>
      <c r="AB1558" s="70" t="str">
        <f t="shared" si="547"/>
        <v/>
      </c>
      <c r="AC1558" s="70" t="str">
        <f t="shared" si="548"/>
        <v/>
      </c>
      <c r="AD1558" s="70" t="str">
        <f t="shared" si="549"/>
        <v/>
      </c>
      <c r="AE1558" s="70" t="str">
        <f t="shared" si="550"/>
        <v/>
      </c>
      <c r="AF1558" s="16"/>
      <c r="AG1558" s="23"/>
      <c r="AH1558" s="22"/>
      <c r="AJ1558" s="83">
        <f t="shared" si="551"/>
        <v>0</v>
      </c>
      <c r="AO1558" s="22" t="str">
        <f t="shared" si="552"/>
        <v/>
      </c>
      <c r="AP1558" s="22" t="str">
        <f t="shared" si="553"/>
        <v/>
      </c>
    </row>
    <row r="1559" spans="1:42" x14ac:dyDescent="0.25">
      <c r="A1559" s="10"/>
      <c r="B1559" s="10"/>
      <c r="C1559" s="10"/>
      <c r="D1559" s="10"/>
      <c r="E1559" s="10"/>
      <c r="F1559" s="10"/>
      <c r="G1559" s="10"/>
      <c r="H1559" s="17"/>
      <c r="I1559" s="10"/>
      <c r="J1559" s="10"/>
      <c r="K1559" s="16" t="str">
        <f t="shared" si="532"/>
        <v/>
      </c>
      <c r="L1559" s="23" t="str">
        <f t="shared" si="533"/>
        <v/>
      </c>
      <c r="M1559" s="22" t="str">
        <f t="shared" si="534"/>
        <v/>
      </c>
      <c r="N1559" s="72"/>
      <c r="O1559" s="16" t="str">
        <f t="shared" si="535"/>
        <v/>
      </c>
      <c r="P1559" s="16" t="str">
        <f t="shared" si="536"/>
        <v/>
      </c>
      <c r="Q1559" s="16" t="str">
        <f t="shared" si="537"/>
        <v/>
      </c>
      <c r="R1559" s="23" t="str">
        <f t="shared" si="538"/>
        <v/>
      </c>
      <c r="S1559" s="23" t="str">
        <f t="shared" si="539"/>
        <v/>
      </c>
      <c r="T1559" s="23" t="str">
        <f t="shared" si="540"/>
        <v/>
      </c>
      <c r="U1559" s="23" t="str">
        <f t="shared" si="541"/>
        <v/>
      </c>
      <c r="V1559" s="23" t="str">
        <f t="shared" si="542"/>
        <v/>
      </c>
      <c r="W1559" s="70" t="str">
        <f t="shared" si="543"/>
        <v/>
      </c>
      <c r="X1559" s="70" t="str">
        <f t="shared" si="544"/>
        <v/>
      </c>
      <c r="Y1559" s="70" t="str">
        <f>IF(AND($A1559&lt;&gt;"",$E1559&gt;0),isLaptopBag($C1559,$J1559)*$D1559,"")</f>
        <v/>
      </c>
      <c r="Z1559" s="70" t="str">
        <f t="shared" si="545"/>
        <v/>
      </c>
      <c r="AA1559" s="70" t="str">
        <f t="shared" si="546"/>
        <v/>
      </c>
      <c r="AB1559" s="70" t="str">
        <f t="shared" si="547"/>
        <v/>
      </c>
      <c r="AC1559" s="70" t="str">
        <f t="shared" si="548"/>
        <v/>
      </c>
      <c r="AD1559" s="70" t="str">
        <f t="shared" si="549"/>
        <v/>
      </c>
      <c r="AE1559" s="70" t="str">
        <f t="shared" si="550"/>
        <v/>
      </c>
      <c r="AF1559" s="16"/>
      <c r="AG1559" s="23"/>
      <c r="AH1559" s="22"/>
      <c r="AJ1559" s="83">
        <f t="shared" si="551"/>
        <v>0</v>
      </c>
      <c r="AO1559" s="22" t="str">
        <f t="shared" si="552"/>
        <v/>
      </c>
      <c r="AP1559" s="22" t="str">
        <f t="shared" si="553"/>
        <v/>
      </c>
    </row>
    <row r="1560" spans="1:42" x14ac:dyDescent="0.25">
      <c r="A1560" s="10"/>
      <c r="B1560" s="10"/>
      <c r="C1560" s="10"/>
      <c r="D1560" s="10"/>
      <c r="E1560" s="10"/>
      <c r="F1560" s="10"/>
      <c r="G1560" s="10"/>
      <c r="H1560" s="17"/>
      <c r="I1560" s="10"/>
      <c r="J1560" s="10"/>
      <c r="K1560" s="16" t="str">
        <f t="shared" si="532"/>
        <v/>
      </c>
      <c r="L1560" s="23" t="str">
        <f t="shared" si="533"/>
        <v/>
      </c>
      <c r="M1560" s="22" t="str">
        <f t="shared" si="534"/>
        <v/>
      </c>
      <c r="N1560" s="72"/>
      <c r="O1560" s="16" t="str">
        <f t="shared" si="535"/>
        <v/>
      </c>
      <c r="P1560" s="16" t="str">
        <f t="shared" si="536"/>
        <v/>
      </c>
      <c r="Q1560" s="16" t="str">
        <f t="shared" si="537"/>
        <v/>
      </c>
      <c r="R1560" s="23" t="str">
        <f t="shared" si="538"/>
        <v/>
      </c>
      <c r="S1560" s="23" t="str">
        <f t="shared" si="539"/>
        <v/>
      </c>
      <c r="T1560" s="23" t="str">
        <f t="shared" si="540"/>
        <v/>
      </c>
      <c r="U1560" s="23" t="str">
        <f t="shared" si="541"/>
        <v/>
      </c>
      <c r="V1560" s="23" t="str">
        <f t="shared" si="542"/>
        <v/>
      </c>
      <c r="W1560" s="70" t="str">
        <f t="shared" si="543"/>
        <v/>
      </c>
      <c r="X1560" s="70" t="str">
        <f t="shared" si="544"/>
        <v/>
      </c>
      <c r="Y1560" s="70" t="str">
        <f>IF(AND($A1560&lt;&gt;"",$E1560&gt;0),isLaptopBag($C1560,$J1560)*$D1560,"")</f>
        <v/>
      </c>
      <c r="Z1560" s="70" t="str">
        <f t="shared" si="545"/>
        <v/>
      </c>
      <c r="AA1560" s="70" t="str">
        <f t="shared" si="546"/>
        <v/>
      </c>
      <c r="AB1560" s="70" t="str">
        <f t="shared" si="547"/>
        <v/>
      </c>
      <c r="AC1560" s="70" t="str">
        <f t="shared" si="548"/>
        <v/>
      </c>
      <c r="AD1560" s="70" t="str">
        <f t="shared" si="549"/>
        <v/>
      </c>
      <c r="AE1560" s="70" t="str">
        <f t="shared" si="550"/>
        <v/>
      </c>
      <c r="AF1560" s="16"/>
      <c r="AG1560" s="23"/>
      <c r="AH1560" s="22"/>
      <c r="AJ1560" s="83">
        <f t="shared" si="551"/>
        <v>0</v>
      </c>
      <c r="AO1560" s="22" t="str">
        <f t="shared" si="552"/>
        <v/>
      </c>
      <c r="AP1560" s="22" t="str">
        <f t="shared" si="553"/>
        <v/>
      </c>
    </row>
    <row r="1561" spans="1:42" x14ac:dyDescent="0.25">
      <c r="A1561" s="10"/>
      <c r="B1561" s="10"/>
      <c r="C1561" s="10"/>
      <c r="D1561" s="10"/>
      <c r="E1561" s="10"/>
      <c r="F1561" s="10"/>
      <c r="G1561" s="10"/>
      <c r="H1561" s="17"/>
      <c r="I1561" s="10"/>
      <c r="J1561" s="10"/>
      <c r="K1561" s="16" t="str">
        <f t="shared" si="532"/>
        <v/>
      </c>
      <c r="L1561" s="23" t="str">
        <f t="shared" si="533"/>
        <v/>
      </c>
      <c r="M1561" s="22" t="str">
        <f t="shared" si="534"/>
        <v/>
      </c>
      <c r="N1561" s="72"/>
      <c r="O1561" s="16" t="str">
        <f t="shared" si="535"/>
        <v/>
      </c>
      <c r="P1561" s="16" t="str">
        <f t="shared" si="536"/>
        <v/>
      </c>
      <c r="Q1561" s="16" t="str">
        <f t="shared" si="537"/>
        <v/>
      </c>
      <c r="R1561" s="23" t="str">
        <f t="shared" si="538"/>
        <v/>
      </c>
      <c r="S1561" s="23" t="str">
        <f t="shared" si="539"/>
        <v/>
      </c>
      <c r="T1561" s="23" t="str">
        <f t="shared" si="540"/>
        <v/>
      </c>
      <c r="U1561" s="23" t="str">
        <f t="shared" si="541"/>
        <v/>
      </c>
      <c r="V1561" s="23" t="str">
        <f t="shared" si="542"/>
        <v/>
      </c>
      <c r="W1561" s="70" t="str">
        <f t="shared" si="543"/>
        <v/>
      </c>
      <c r="X1561" s="70" t="str">
        <f t="shared" si="544"/>
        <v/>
      </c>
      <c r="Y1561" s="70" t="str">
        <f>IF(AND($A1561&lt;&gt;"",$E1561&gt;0),isLaptopBag($C1561,$J1561)*$D1561,"")</f>
        <v/>
      </c>
      <c r="Z1561" s="70" t="str">
        <f t="shared" si="545"/>
        <v/>
      </c>
      <c r="AA1561" s="70" t="str">
        <f t="shared" si="546"/>
        <v/>
      </c>
      <c r="AB1561" s="70" t="str">
        <f t="shared" si="547"/>
        <v/>
      </c>
      <c r="AC1561" s="70" t="str">
        <f t="shared" si="548"/>
        <v/>
      </c>
      <c r="AD1561" s="70" t="str">
        <f t="shared" si="549"/>
        <v/>
      </c>
      <c r="AE1561" s="70" t="str">
        <f t="shared" si="550"/>
        <v/>
      </c>
      <c r="AF1561" s="16"/>
      <c r="AG1561" s="23"/>
      <c r="AH1561" s="22"/>
      <c r="AJ1561" s="83">
        <f t="shared" si="551"/>
        <v>0</v>
      </c>
      <c r="AO1561" s="22" t="str">
        <f t="shared" si="552"/>
        <v/>
      </c>
      <c r="AP1561" s="22" t="str">
        <f t="shared" si="553"/>
        <v/>
      </c>
    </row>
    <row r="1562" spans="1:42" x14ac:dyDescent="0.25">
      <c r="A1562" s="10"/>
      <c r="B1562" s="10"/>
      <c r="C1562" s="10"/>
      <c r="D1562" s="10"/>
      <c r="E1562" s="10"/>
      <c r="F1562" s="10"/>
      <c r="G1562" s="10"/>
      <c r="H1562" s="17"/>
      <c r="I1562" s="10"/>
      <c r="J1562" s="10"/>
      <c r="K1562" s="16" t="str">
        <f t="shared" si="532"/>
        <v/>
      </c>
      <c r="L1562" s="23" t="str">
        <f t="shared" si="533"/>
        <v/>
      </c>
      <c r="M1562" s="22" t="str">
        <f t="shared" si="534"/>
        <v/>
      </c>
      <c r="N1562" s="72"/>
      <c r="O1562" s="16" t="str">
        <f t="shared" si="535"/>
        <v/>
      </c>
      <c r="P1562" s="16" t="str">
        <f t="shared" si="536"/>
        <v/>
      </c>
      <c r="Q1562" s="16" t="str">
        <f t="shared" si="537"/>
        <v/>
      </c>
      <c r="R1562" s="23" t="str">
        <f t="shared" si="538"/>
        <v/>
      </c>
      <c r="S1562" s="23" t="str">
        <f t="shared" si="539"/>
        <v/>
      </c>
      <c r="T1562" s="23" t="str">
        <f t="shared" si="540"/>
        <v/>
      </c>
      <c r="U1562" s="23" t="str">
        <f t="shared" si="541"/>
        <v/>
      </c>
      <c r="V1562" s="23" t="str">
        <f t="shared" si="542"/>
        <v/>
      </c>
      <c r="W1562" s="70" t="str">
        <f t="shared" si="543"/>
        <v/>
      </c>
      <c r="X1562" s="70" t="str">
        <f t="shared" si="544"/>
        <v/>
      </c>
      <c r="Y1562" s="70" t="str">
        <f>IF(AND($A1562&lt;&gt;"",$E1562&gt;0),isLaptopBag($C1562,$J1562)*$D1562,"")</f>
        <v/>
      </c>
      <c r="Z1562" s="70" t="str">
        <f t="shared" si="545"/>
        <v/>
      </c>
      <c r="AA1562" s="70" t="str">
        <f t="shared" si="546"/>
        <v/>
      </c>
      <c r="AB1562" s="70" t="str">
        <f t="shared" si="547"/>
        <v/>
      </c>
      <c r="AC1562" s="70" t="str">
        <f t="shared" si="548"/>
        <v/>
      </c>
      <c r="AD1562" s="70" t="str">
        <f t="shared" si="549"/>
        <v/>
      </c>
      <c r="AE1562" s="70" t="str">
        <f t="shared" si="550"/>
        <v/>
      </c>
      <c r="AF1562" s="16"/>
      <c r="AG1562" s="23"/>
      <c r="AH1562" s="22"/>
      <c r="AJ1562" s="83">
        <f t="shared" si="551"/>
        <v>0</v>
      </c>
      <c r="AO1562" s="22" t="str">
        <f t="shared" si="552"/>
        <v/>
      </c>
      <c r="AP1562" s="22" t="str">
        <f t="shared" si="553"/>
        <v/>
      </c>
    </row>
    <row r="1563" spans="1:42" x14ac:dyDescent="0.25">
      <c r="A1563" s="10"/>
      <c r="B1563" s="10"/>
      <c r="C1563" s="10"/>
      <c r="D1563" s="10"/>
      <c r="E1563" s="10"/>
      <c r="F1563" s="10"/>
      <c r="G1563" s="10"/>
      <c r="H1563" s="17"/>
      <c r="I1563" s="10"/>
      <c r="J1563" s="10"/>
      <c r="K1563" s="16" t="str">
        <f t="shared" si="532"/>
        <v/>
      </c>
      <c r="L1563" s="23" t="str">
        <f t="shared" si="533"/>
        <v/>
      </c>
      <c r="M1563" s="22" t="str">
        <f t="shared" si="534"/>
        <v/>
      </c>
      <c r="N1563" s="72"/>
      <c r="O1563" s="16" t="str">
        <f t="shared" si="535"/>
        <v/>
      </c>
      <c r="P1563" s="16" t="str">
        <f t="shared" si="536"/>
        <v/>
      </c>
      <c r="Q1563" s="16" t="str">
        <f t="shared" si="537"/>
        <v/>
      </c>
      <c r="R1563" s="23" t="str">
        <f t="shared" si="538"/>
        <v/>
      </c>
      <c r="S1563" s="23" t="str">
        <f t="shared" si="539"/>
        <v/>
      </c>
      <c r="T1563" s="23" t="str">
        <f t="shared" si="540"/>
        <v/>
      </c>
      <c r="U1563" s="23" t="str">
        <f t="shared" si="541"/>
        <v/>
      </c>
      <c r="V1563" s="23" t="str">
        <f t="shared" si="542"/>
        <v/>
      </c>
      <c r="W1563" s="70" t="str">
        <f t="shared" si="543"/>
        <v/>
      </c>
      <c r="X1563" s="70" t="str">
        <f t="shared" si="544"/>
        <v/>
      </c>
      <c r="Y1563" s="70" t="str">
        <f>IF(AND($A1563&lt;&gt;"",$E1563&gt;0),isLaptopBag($C1563,$J1563)*$D1563,"")</f>
        <v/>
      </c>
      <c r="Z1563" s="70" t="str">
        <f t="shared" si="545"/>
        <v/>
      </c>
      <c r="AA1563" s="70" t="str">
        <f t="shared" si="546"/>
        <v/>
      </c>
      <c r="AB1563" s="70" t="str">
        <f t="shared" si="547"/>
        <v/>
      </c>
      <c r="AC1563" s="70" t="str">
        <f t="shared" si="548"/>
        <v/>
      </c>
      <c r="AD1563" s="70" t="str">
        <f t="shared" si="549"/>
        <v/>
      </c>
      <c r="AE1563" s="70" t="str">
        <f t="shared" si="550"/>
        <v/>
      </c>
      <c r="AF1563" s="16"/>
      <c r="AG1563" s="23"/>
      <c r="AH1563" s="22"/>
      <c r="AJ1563" s="83">
        <f t="shared" si="551"/>
        <v>0</v>
      </c>
      <c r="AO1563" s="22" t="str">
        <f t="shared" si="552"/>
        <v/>
      </c>
      <c r="AP1563" s="22" t="str">
        <f t="shared" si="553"/>
        <v/>
      </c>
    </row>
    <row r="1564" spans="1:42" x14ac:dyDescent="0.25">
      <c r="A1564" s="10"/>
      <c r="B1564" s="10"/>
      <c r="C1564" s="10"/>
      <c r="D1564" s="10"/>
      <c r="E1564" s="10"/>
      <c r="F1564" s="10"/>
      <c r="G1564" s="10"/>
      <c r="H1564" s="17"/>
      <c r="I1564" s="10"/>
      <c r="J1564" s="10"/>
      <c r="K1564" s="16" t="str">
        <f t="shared" si="532"/>
        <v/>
      </c>
      <c r="L1564" s="23" t="str">
        <f t="shared" si="533"/>
        <v/>
      </c>
      <c r="M1564" s="22" t="str">
        <f t="shared" si="534"/>
        <v/>
      </c>
      <c r="N1564" s="72"/>
      <c r="O1564" s="16" t="str">
        <f t="shared" si="535"/>
        <v/>
      </c>
      <c r="P1564" s="16" t="str">
        <f t="shared" si="536"/>
        <v/>
      </c>
      <c r="Q1564" s="16" t="str">
        <f t="shared" si="537"/>
        <v/>
      </c>
      <c r="R1564" s="23" t="str">
        <f t="shared" si="538"/>
        <v/>
      </c>
      <c r="S1564" s="23" t="str">
        <f t="shared" si="539"/>
        <v/>
      </c>
      <c r="T1564" s="23" t="str">
        <f t="shared" si="540"/>
        <v/>
      </c>
      <c r="U1564" s="23" t="str">
        <f t="shared" si="541"/>
        <v/>
      </c>
      <c r="V1564" s="23" t="str">
        <f t="shared" si="542"/>
        <v/>
      </c>
      <c r="W1564" s="70" t="str">
        <f t="shared" si="543"/>
        <v/>
      </c>
      <c r="X1564" s="70" t="str">
        <f t="shared" si="544"/>
        <v/>
      </c>
      <c r="Y1564" s="70" t="str">
        <f>IF(AND($A1564&lt;&gt;"",$E1564&gt;0),isLaptopBag($C1564,$J1564)*$D1564,"")</f>
        <v/>
      </c>
      <c r="Z1564" s="70" t="str">
        <f t="shared" si="545"/>
        <v/>
      </c>
      <c r="AA1564" s="70" t="str">
        <f t="shared" si="546"/>
        <v/>
      </c>
      <c r="AB1564" s="70" t="str">
        <f t="shared" si="547"/>
        <v/>
      </c>
      <c r="AC1564" s="70" t="str">
        <f t="shared" si="548"/>
        <v/>
      </c>
      <c r="AD1564" s="70" t="str">
        <f t="shared" si="549"/>
        <v/>
      </c>
      <c r="AE1564" s="70" t="str">
        <f t="shared" si="550"/>
        <v/>
      </c>
      <c r="AF1564" s="16"/>
      <c r="AG1564" s="23"/>
      <c r="AH1564" s="22"/>
      <c r="AJ1564" s="83">
        <f t="shared" si="551"/>
        <v>0</v>
      </c>
      <c r="AO1564" s="22" t="str">
        <f t="shared" si="552"/>
        <v/>
      </c>
      <c r="AP1564" s="22" t="str">
        <f t="shared" si="553"/>
        <v/>
      </c>
    </row>
    <row r="1565" spans="1:42" x14ac:dyDescent="0.25">
      <c r="A1565" s="10"/>
      <c r="B1565" s="10"/>
      <c r="C1565" s="10"/>
      <c r="D1565" s="10"/>
      <c r="E1565" s="10"/>
      <c r="F1565" s="10"/>
      <c r="G1565" s="10"/>
      <c r="H1565" s="17"/>
      <c r="I1565" s="10"/>
      <c r="J1565" s="10"/>
      <c r="K1565" s="16" t="str">
        <f t="shared" si="532"/>
        <v/>
      </c>
      <c r="L1565" s="23" t="str">
        <f t="shared" si="533"/>
        <v/>
      </c>
      <c r="M1565" s="22" t="str">
        <f t="shared" si="534"/>
        <v/>
      </c>
      <c r="N1565" s="72"/>
      <c r="O1565" s="16" t="str">
        <f t="shared" si="535"/>
        <v/>
      </c>
      <c r="P1565" s="16" t="str">
        <f t="shared" si="536"/>
        <v/>
      </c>
      <c r="Q1565" s="16" t="str">
        <f t="shared" si="537"/>
        <v/>
      </c>
      <c r="R1565" s="23" t="str">
        <f t="shared" si="538"/>
        <v/>
      </c>
      <c r="S1565" s="23" t="str">
        <f t="shared" si="539"/>
        <v/>
      </c>
      <c r="T1565" s="23" t="str">
        <f t="shared" si="540"/>
        <v/>
      </c>
      <c r="U1565" s="23" t="str">
        <f t="shared" si="541"/>
        <v/>
      </c>
      <c r="V1565" s="23" t="str">
        <f t="shared" si="542"/>
        <v/>
      </c>
      <c r="W1565" s="70" t="str">
        <f t="shared" si="543"/>
        <v/>
      </c>
      <c r="X1565" s="70" t="str">
        <f t="shared" si="544"/>
        <v/>
      </c>
      <c r="Y1565" s="70" t="str">
        <f>IF(AND($A1565&lt;&gt;"",$E1565&gt;0),isLaptopBag($C1565,$J1565)*$D1565,"")</f>
        <v/>
      </c>
      <c r="Z1565" s="70" t="str">
        <f t="shared" si="545"/>
        <v/>
      </c>
      <c r="AA1565" s="70" t="str">
        <f t="shared" si="546"/>
        <v/>
      </c>
      <c r="AB1565" s="70" t="str">
        <f t="shared" si="547"/>
        <v/>
      </c>
      <c r="AC1565" s="70" t="str">
        <f t="shared" si="548"/>
        <v/>
      </c>
      <c r="AD1565" s="70" t="str">
        <f t="shared" si="549"/>
        <v/>
      </c>
      <c r="AE1565" s="70" t="str">
        <f t="shared" si="550"/>
        <v/>
      </c>
      <c r="AF1565" s="16"/>
      <c r="AG1565" s="23"/>
      <c r="AH1565" s="22"/>
      <c r="AJ1565" s="83">
        <f t="shared" si="551"/>
        <v>0</v>
      </c>
      <c r="AO1565" s="22" t="str">
        <f t="shared" si="552"/>
        <v/>
      </c>
      <c r="AP1565" s="22" t="str">
        <f t="shared" si="553"/>
        <v/>
      </c>
    </row>
    <row r="1566" spans="1:42" x14ac:dyDescent="0.25">
      <c r="A1566" s="10"/>
      <c r="B1566" s="10"/>
      <c r="C1566" s="10"/>
      <c r="D1566" s="10"/>
      <c r="E1566" s="10"/>
      <c r="F1566" s="10"/>
      <c r="G1566" s="10"/>
      <c r="H1566" s="17"/>
      <c r="I1566" s="10"/>
      <c r="J1566" s="10"/>
      <c r="K1566" s="16" t="str">
        <f t="shared" si="532"/>
        <v/>
      </c>
      <c r="L1566" s="23" t="str">
        <f t="shared" si="533"/>
        <v/>
      </c>
      <c r="M1566" s="22" t="str">
        <f t="shared" si="534"/>
        <v/>
      </c>
      <c r="N1566" s="72"/>
      <c r="O1566" s="16" t="str">
        <f t="shared" si="535"/>
        <v/>
      </c>
      <c r="P1566" s="16" t="str">
        <f t="shared" si="536"/>
        <v/>
      </c>
      <c r="Q1566" s="16" t="str">
        <f t="shared" si="537"/>
        <v/>
      </c>
      <c r="R1566" s="23" t="str">
        <f t="shared" si="538"/>
        <v/>
      </c>
      <c r="S1566" s="23" t="str">
        <f t="shared" si="539"/>
        <v/>
      </c>
      <c r="T1566" s="23" t="str">
        <f t="shared" si="540"/>
        <v/>
      </c>
      <c r="U1566" s="23" t="str">
        <f t="shared" si="541"/>
        <v/>
      </c>
      <c r="V1566" s="23" t="str">
        <f t="shared" si="542"/>
        <v/>
      </c>
      <c r="W1566" s="70" t="str">
        <f t="shared" si="543"/>
        <v/>
      </c>
      <c r="X1566" s="70" t="str">
        <f t="shared" si="544"/>
        <v/>
      </c>
      <c r="Y1566" s="70" t="str">
        <f>IF(AND($A1566&lt;&gt;"",$E1566&gt;0),isLaptopBag($C1566,$J1566)*$D1566,"")</f>
        <v/>
      </c>
      <c r="Z1566" s="70" t="str">
        <f t="shared" si="545"/>
        <v/>
      </c>
      <c r="AA1566" s="70" t="str">
        <f t="shared" si="546"/>
        <v/>
      </c>
      <c r="AB1566" s="70" t="str">
        <f t="shared" si="547"/>
        <v/>
      </c>
      <c r="AC1566" s="70" t="str">
        <f t="shared" si="548"/>
        <v/>
      </c>
      <c r="AD1566" s="70" t="str">
        <f t="shared" si="549"/>
        <v/>
      </c>
      <c r="AE1566" s="70" t="str">
        <f t="shared" si="550"/>
        <v/>
      </c>
      <c r="AF1566" s="16"/>
      <c r="AG1566" s="23"/>
      <c r="AH1566" s="22"/>
      <c r="AJ1566" s="83">
        <f t="shared" si="551"/>
        <v>0</v>
      </c>
      <c r="AO1566" s="22" t="str">
        <f t="shared" si="552"/>
        <v/>
      </c>
      <c r="AP1566" s="22" t="str">
        <f t="shared" si="553"/>
        <v/>
      </c>
    </row>
    <row r="1567" spans="1:42" x14ac:dyDescent="0.25">
      <c r="A1567" s="10"/>
      <c r="B1567" s="10"/>
      <c r="C1567" s="10"/>
      <c r="D1567" s="10"/>
      <c r="E1567" s="10"/>
      <c r="F1567" s="10"/>
      <c r="G1567" s="10"/>
      <c r="H1567" s="17"/>
      <c r="I1567" s="10"/>
      <c r="J1567" s="10"/>
      <c r="K1567" s="16" t="str">
        <f t="shared" si="532"/>
        <v/>
      </c>
      <c r="L1567" s="23" t="str">
        <f t="shared" si="533"/>
        <v/>
      </c>
      <c r="M1567" s="22" t="str">
        <f t="shared" si="534"/>
        <v/>
      </c>
      <c r="N1567" s="72"/>
      <c r="O1567" s="16" t="str">
        <f t="shared" si="535"/>
        <v/>
      </c>
      <c r="P1567" s="16" t="str">
        <f t="shared" si="536"/>
        <v/>
      </c>
      <c r="Q1567" s="16" t="str">
        <f t="shared" si="537"/>
        <v/>
      </c>
      <c r="R1567" s="23" t="str">
        <f t="shared" si="538"/>
        <v/>
      </c>
      <c r="S1567" s="23" t="str">
        <f t="shared" si="539"/>
        <v/>
      </c>
      <c r="T1567" s="23" t="str">
        <f t="shared" si="540"/>
        <v/>
      </c>
      <c r="U1567" s="23" t="str">
        <f t="shared" si="541"/>
        <v/>
      </c>
      <c r="V1567" s="23" t="str">
        <f t="shared" si="542"/>
        <v/>
      </c>
      <c r="W1567" s="70" t="str">
        <f t="shared" si="543"/>
        <v/>
      </c>
      <c r="X1567" s="70" t="str">
        <f t="shared" si="544"/>
        <v/>
      </c>
      <c r="Y1567" s="70" t="str">
        <f>IF(AND($A1567&lt;&gt;"",$E1567&gt;0),isLaptopBag($C1567,$J1567)*$D1567,"")</f>
        <v/>
      </c>
      <c r="Z1567" s="70" t="str">
        <f t="shared" si="545"/>
        <v/>
      </c>
      <c r="AA1567" s="70" t="str">
        <f t="shared" si="546"/>
        <v/>
      </c>
      <c r="AB1567" s="70" t="str">
        <f t="shared" si="547"/>
        <v/>
      </c>
      <c r="AC1567" s="70" t="str">
        <f t="shared" si="548"/>
        <v/>
      </c>
      <c r="AD1567" s="70" t="str">
        <f t="shared" si="549"/>
        <v/>
      </c>
      <c r="AE1567" s="70" t="str">
        <f t="shared" si="550"/>
        <v/>
      </c>
      <c r="AF1567" s="16"/>
      <c r="AG1567" s="23"/>
      <c r="AH1567" s="22"/>
      <c r="AJ1567" s="83">
        <f t="shared" si="551"/>
        <v>0</v>
      </c>
      <c r="AO1567" s="22" t="str">
        <f t="shared" si="552"/>
        <v/>
      </c>
      <c r="AP1567" s="22" t="str">
        <f t="shared" si="553"/>
        <v/>
      </c>
    </row>
    <row r="1568" spans="1:42" x14ac:dyDescent="0.25">
      <c r="A1568" s="10"/>
      <c r="B1568" s="10"/>
      <c r="C1568" s="10"/>
      <c r="D1568" s="10"/>
      <c r="E1568" s="10"/>
      <c r="F1568" s="10"/>
      <c r="G1568" s="10"/>
      <c r="H1568" s="17"/>
      <c r="I1568" s="10"/>
      <c r="J1568" s="10"/>
      <c r="K1568" s="16" t="str">
        <f t="shared" si="532"/>
        <v/>
      </c>
      <c r="L1568" s="23" t="str">
        <f t="shared" si="533"/>
        <v/>
      </c>
      <c r="M1568" s="22" t="str">
        <f t="shared" si="534"/>
        <v/>
      </c>
      <c r="N1568" s="72"/>
      <c r="O1568" s="16" t="str">
        <f t="shared" si="535"/>
        <v/>
      </c>
      <c r="P1568" s="16" t="str">
        <f t="shared" si="536"/>
        <v/>
      </c>
      <c r="Q1568" s="16" t="str">
        <f t="shared" si="537"/>
        <v/>
      </c>
      <c r="R1568" s="23" t="str">
        <f t="shared" si="538"/>
        <v/>
      </c>
      <c r="S1568" s="23" t="str">
        <f t="shared" si="539"/>
        <v/>
      </c>
      <c r="T1568" s="23" t="str">
        <f t="shared" si="540"/>
        <v/>
      </c>
      <c r="U1568" s="23" t="str">
        <f t="shared" si="541"/>
        <v/>
      </c>
      <c r="V1568" s="23" t="str">
        <f t="shared" si="542"/>
        <v/>
      </c>
      <c r="W1568" s="70" t="str">
        <f t="shared" si="543"/>
        <v/>
      </c>
      <c r="X1568" s="70" t="str">
        <f t="shared" si="544"/>
        <v/>
      </c>
      <c r="Y1568" s="70" t="str">
        <f>IF(AND($A1568&lt;&gt;"",$E1568&gt;0),isLaptopBag($C1568,$J1568)*$D1568,"")</f>
        <v/>
      </c>
      <c r="Z1568" s="70" t="str">
        <f t="shared" si="545"/>
        <v/>
      </c>
      <c r="AA1568" s="70" t="str">
        <f t="shared" si="546"/>
        <v/>
      </c>
      <c r="AB1568" s="70" t="str">
        <f t="shared" si="547"/>
        <v/>
      </c>
      <c r="AC1568" s="70" t="str">
        <f t="shared" si="548"/>
        <v/>
      </c>
      <c r="AD1568" s="70" t="str">
        <f t="shared" si="549"/>
        <v/>
      </c>
      <c r="AE1568" s="70" t="str">
        <f t="shared" si="550"/>
        <v/>
      </c>
      <c r="AF1568" s="16"/>
      <c r="AG1568" s="23"/>
      <c r="AH1568" s="22"/>
      <c r="AJ1568" s="83">
        <f t="shared" si="551"/>
        <v>0</v>
      </c>
      <c r="AO1568" s="22" t="str">
        <f t="shared" si="552"/>
        <v/>
      </c>
      <c r="AP1568" s="22" t="str">
        <f t="shared" si="553"/>
        <v/>
      </c>
    </row>
    <row r="1569" spans="1:42" x14ac:dyDescent="0.25">
      <c r="A1569" s="10"/>
      <c r="B1569" s="10"/>
      <c r="C1569" s="10"/>
      <c r="D1569" s="10"/>
      <c r="E1569" s="10"/>
      <c r="F1569" s="10"/>
      <c r="G1569" s="10"/>
      <c r="H1569" s="17"/>
      <c r="I1569" s="10"/>
      <c r="J1569" s="10"/>
      <c r="K1569" s="16" t="str">
        <f t="shared" si="532"/>
        <v/>
      </c>
      <c r="L1569" s="23" t="str">
        <f t="shared" si="533"/>
        <v/>
      </c>
      <c r="M1569" s="22" t="str">
        <f t="shared" si="534"/>
        <v/>
      </c>
      <c r="N1569" s="72"/>
      <c r="O1569" s="16" t="str">
        <f t="shared" si="535"/>
        <v/>
      </c>
      <c r="P1569" s="16" t="str">
        <f t="shared" si="536"/>
        <v/>
      </c>
      <c r="Q1569" s="16" t="str">
        <f t="shared" si="537"/>
        <v/>
      </c>
      <c r="R1569" s="23" t="str">
        <f t="shared" si="538"/>
        <v/>
      </c>
      <c r="S1569" s="23" t="str">
        <f t="shared" si="539"/>
        <v/>
      </c>
      <c r="T1569" s="23" t="str">
        <f t="shared" si="540"/>
        <v/>
      </c>
      <c r="U1569" s="23" t="str">
        <f t="shared" si="541"/>
        <v/>
      </c>
      <c r="V1569" s="23" t="str">
        <f t="shared" si="542"/>
        <v/>
      </c>
      <c r="W1569" s="70" t="str">
        <f t="shared" si="543"/>
        <v/>
      </c>
      <c r="X1569" s="70" t="str">
        <f t="shared" si="544"/>
        <v/>
      </c>
      <c r="Y1569" s="70" t="str">
        <f>IF(AND($A1569&lt;&gt;"",$E1569&gt;0),isLaptopBag($C1569,$J1569)*$D1569,"")</f>
        <v/>
      </c>
      <c r="Z1569" s="70" t="str">
        <f t="shared" si="545"/>
        <v/>
      </c>
      <c r="AA1569" s="70" t="str">
        <f t="shared" si="546"/>
        <v/>
      </c>
      <c r="AB1569" s="70" t="str">
        <f t="shared" si="547"/>
        <v/>
      </c>
      <c r="AC1569" s="70" t="str">
        <f t="shared" si="548"/>
        <v/>
      </c>
      <c r="AD1569" s="70" t="str">
        <f t="shared" si="549"/>
        <v/>
      </c>
      <c r="AE1569" s="70" t="str">
        <f t="shared" si="550"/>
        <v/>
      </c>
      <c r="AF1569" s="16"/>
      <c r="AG1569" s="23"/>
      <c r="AH1569" s="22"/>
      <c r="AJ1569" s="83">
        <f t="shared" si="551"/>
        <v>0</v>
      </c>
      <c r="AO1569" s="22" t="str">
        <f t="shared" si="552"/>
        <v/>
      </c>
      <c r="AP1569" s="22" t="str">
        <f t="shared" si="553"/>
        <v/>
      </c>
    </row>
    <row r="1570" spans="1:42" x14ac:dyDescent="0.25">
      <c r="A1570" s="10"/>
      <c r="B1570" s="10"/>
      <c r="C1570" s="10"/>
      <c r="D1570" s="10"/>
      <c r="E1570" s="10"/>
      <c r="F1570" s="10"/>
      <c r="G1570" s="10"/>
      <c r="H1570" s="17"/>
      <c r="I1570" s="10"/>
      <c r="J1570" s="10"/>
      <c r="K1570" s="16" t="str">
        <f t="shared" si="532"/>
        <v/>
      </c>
      <c r="L1570" s="23" t="str">
        <f t="shared" si="533"/>
        <v/>
      </c>
      <c r="M1570" s="22" t="str">
        <f t="shared" si="534"/>
        <v/>
      </c>
      <c r="N1570" s="72"/>
      <c r="O1570" s="16" t="str">
        <f t="shared" si="535"/>
        <v/>
      </c>
      <c r="P1570" s="16" t="str">
        <f t="shared" si="536"/>
        <v/>
      </c>
      <c r="Q1570" s="16" t="str">
        <f t="shared" si="537"/>
        <v/>
      </c>
      <c r="R1570" s="23" t="str">
        <f t="shared" si="538"/>
        <v/>
      </c>
      <c r="S1570" s="23" t="str">
        <f t="shared" si="539"/>
        <v/>
      </c>
      <c r="T1570" s="23" t="str">
        <f t="shared" si="540"/>
        <v/>
      </c>
      <c r="U1570" s="23" t="str">
        <f t="shared" si="541"/>
        <v/>
      </c>
      <c r="V1570" s="23" t="str">
        <f t="shared" si="542"/>
        <v/>
      </c>
      <c r="W1570" s="70" t="str">
        <f t="shared" si="543"/>
        <v/>
      </c>
      <c r="X1570" s="70" t="str">
        <f t="shared" si="544"/>
        <v/>
      </c>
      <c r="Y1570" s="70" t="str">
        <f>IF(AND($A1570&lt;&gt;"",$E1570&gt;0),isLaptopBag($C1570,$J1570)*$D1570,"")</f>
        <v/>
      </c>
      <c r="Z1570" s="70" t="str">
        <f t="shared" si="545"/>
        <v/>
      </c>
      <c r="AA1570" s="70" t="str">
        <f t="shared" si="546"/>
        <v/>
      </c>
      <c r="AB1570" s="70" t="str">
        <f t="shared" si="547"/>
        <v/>
      </c>
      <c r="AC1570" s="70" t="str">
        <f t="shared" si="548"/>
        <v/>
      </c>
      <c r="AD1570" s="70" t="str">
        <f t="shared" si="549"/>
        <v/>
      </c>
      <c r="AE1570" s="70" t="str">
        <f t="shared" si="550"/>
        <v/>
      </c>
      <c r="AF1570" s="16"/>
      <c r="AG1570" s="23"/>
      <c r="AH1570" s="22"/>
      <c r="AJ1570" s="83">
        <f t="shared" si="551"/>
        <v>0</v>
      </c>
      <c r="AO1570" s="22" t="str">
        <f t="shared" si="552"/>
        <v/>
      </c>
      <c r="AP1570" s="22" t="str">
        <f t="shared" si="553"/>
        <v/>
      </c>
    </row>
    <row r="1571" spans="1:42" x14ac:dyDescent="0.25">
      <c r="A1571" s="10"/>
      <c r="B1571" s="10"/>
      <c r="C1571" s="10"/>
      <c r="D1571" s="10"/>
      <c r="E1571" s="10"/>
      <c r="F1571" s="10"/>
      <c r="G1571" s="10"/>
      <c r="H1571" s="17"/>
      <c r="I1571" s="10"/>
      <c r="J1571" s="10"/>
      <c r="K1571" s="16" t="str">
        <f t="shared" si="532"/>
        <v/>
      </c>
      <c r="L1571" s="23" t="str">
        <f t="shared" si="533"/>
        <v/>
      </c>
      <c r="M1571" s="22" t="str">
        <f t="shared" si="534"/>
        <v/>
      </c>
      <c r="N1571" s="72"/>
      <c r="O1571" s="16" t="str">
        <f t="shared" si="535"/>
        <v/>
      </c>
      <c r="P1571" s="16" t="str">
        <f t="shared" si="536"/>
        <v/>
      </c>
      <c r="Q1571" s="16" t="str">
        <f t="shared" si="537"/>
        <v/>
      </c>
      <c r="R1571" s="23" t="str">
        <f t="shared" si="538"/>
        <v/>
      </c>
      <c r="S1571" s="23" t="str">
        <f t="shared" si="539"/>
        <v/>
      </c>
      <c r="T1571" s="23" t="str">
        <f t="shared" si="540"/>
        <v/>
      </c>
      <c r="U1571" s="23" t="str">
        <f t="shared" si="541"/>
        <v/>
      </c>
      <c r="V1571" s="23" t="str">
        <f t="shared" si="542"/>
        <v/>
      </c>
      <c r="W1571" s="70" t="str">
        <f t="shared" si="543"/>
        <v/>
      </c>
      <c r="X1571" s="70" t="str">
        <f t="shared" si="544"/>
        <v/>
      </c>
      <c r="Y1571" s="70" t="str">
        <f>IF(AND($A1571&lt;&gt;"",$E1571&gt;0),isLaptopBag($C1571,$J1571)*$D1571,"")</f>
        <v/>
      </c>
      <c r="Z1571" s="70" t="str">
        <f t="shared" si="545"/>
        <v/>
      </c>
      <c r="AA1571" s="70" t="str">
        <f t="shared" si="546"/>
        <v/>
      </c>
      <c r="AB1571" s="70" t="str">
        <f t="shared" si="547"/>
        <v/>
      </c>
      <c r="AC1571" s="70" t="str">
        <f t="shared" si="548"/>
        <v/>
      </c>
      <c r="AD1571" s="70" t="str">
        <f t="shared" si="549"/>
        <v/>
      </c>
      <c r="AE1571" s="70" t="str">
        <f t="shared" si="550"/>
        <v/>
      </c>
      <c r="AF1571" s="16"/>
      <c r="AG1571" s="23"/>
      <c r="AH1571" s="22"/>
      <c r="AJ1571" s="83">
        <f t="shared" si="551"/>
        <v>0</v>
      </c>
      <c r="AO1571" s="22" t="str">
        <f t="shared" si="552"/>
        <v/>
      </c>
      <c r="AP1571" s="22" t="str">
        <f t="shared" si="553"/>
        <v/>
      </c>
    </row>
    <row r="1572" spans="1:42" x14ac:dyDescent="0.25">
      <c r="A1572" s="10"/>
      <c r="B1572" s="10"/>
      <c r="C1572" s="10"/>
      <c r="D1572" s="10"/>
      <c r="E1572" s="10"/>
      <c r="F1572" s="10"/>
      <c r="G1572" s="10"/>
      <c r="H1572" s="17"/>
      <c r="I1572" s="10"/>
      <c r="J1572" s="10"/>
      <c r="K1572" s="16" t="str">
        <f t="shared" si="532"/>
        <v/>
      </c>
      <c r="L1572" s="23" t="str">
        <f t="shared" si="533"/>
        <v/>
      </c>
      <c r="M1572" s="22" t="str">
        <f t="shared" si="534"/>
        <v/>
      </c>
      <c r="N1572" s="72"/>
      <c r="O1572" s="16" t="str">
        <f t="shared" si="535"/>
        <v/>
      </c>
      <c r="P1572" s="16" t="str">
        <f t="shared" si="536"/>
        <v/>
      </c>
      <c r="Q1572" s="16" t="str">
        <f t="shared" si="537"/>
        <v/>
      </c>
      <c r="R1572" s="23" t="str">
        <f t="shared" si="538"/>
        <v/>
      </c>
      <c r="S1572" s="23" t="str">
        <f t="shared" si="539"/>
        <v/>
      </c>
      <c r="T1572" s="23" t="str">
        <f t="shared" si="540"/>
        <v/>
      </c>
      <c r="U1572" s="23" t="str">
        <f t="shared" si="541"/>
        <v/>
      </c>
      <c r="V1572" s="23" t="str">
        <f t="shared" si="542"/>
        <v/>
      </c>
      <c r="W1572" s="70" t="str">
        <f t="shared" si="543"/>
        <v/>
      </c>
      <c r="X1572" s="70" t="str">
        <f t="shared" si="544"/>
        <v/>
      </c>
      <c r="Y1572" s="70" t="str">
        <f>IF(AND($A1572&lt;&gt;"",$E1572&gt;0),isLaptopBag($C1572,$J1572)*$D1572,"")</f>
        <v/>
      </c>
      <c r="Z1572" s="70" t="str">
        <f t="shared" si="545"/>
        <v/>
      </c>
      <c r="AA1572" s="70" t="str">
        <f t="shared" si="546"/>
        <v/>
      </c>
      <c r="AB1572" s="70" t="str">
        <f t="shared" si="547"/>
        <v/>
      </c>
      <c r="AC1572" s="70" t="str">
        <f t="shared" si="548"/>
        <v/>
      </c>
      <c r="AD1572" s="70" t="str">
        <f t="shared" si="549"/>
        <v/>
      </c>
      <c r="AE1572" s="70" t="str">
        <f t="shared" si="550"/>
        <v/>
      </c>
      <c r="AF1572" s="16"/>
      <c r="AG1572" s="23"/>
      <c r="AH1572" s="22"/>
      <c r="AJ1572" s="83">
        <f t="shared" si="551"/>
        <v>0</v>
      </c>
      <c r="AO1572" s="22" t="str">
        <f t="shared" si="552"/>
        <v/>
      </c>
      <c r="AP1572" s="22" t="str">
        <f t="shared" si="553"/>
        <v/>
      </c>
    </row>
    <row r="1573" spans="1:42" x14ac:dyDescent="0.25">
      <c r="A1573" s="10"/>
      <c r="B1573" s="10"/>
      <c r="C1573" s="10"/>
      <c r="D1573" s="10"/>
      <c r="E1573" s="10"/>
      <c r="F1573" s="10"/>
      <c r="G1573" s="10"/>
      <c r="H1573" s="17"/>
      <c r="I1573" s="10"/>
      <c r="J1573" s="10"/>
      <c r="K1573" s="16" t="str">
        <f t="shared" si="532"/>
        <v/>
      </c>
      <c r="L1573" s="23" t="str">
        <f t="shared" si="533"/>
        <v/>
      </c>
      <c r="M1573" s="22" t="str">
        <f t="shared" si="534"/>
        <v/>
      </c>
      <c r="N1573" s="72"/>
      <c r="O1573" s="16" t="str">
        <f t="shared" si="535"/>
        <v/>
      </c>
      <c r="P1573" s="16" t="str">
        <f t="shared" si="536"/>
        <v/>
      </c>
      <c r="Q1573" s="16" t="str">
        <f t="shared" si="537"/>
        <v/>
      </c>
      <c r="R1573" s="23" t="str">
        <f t="shared" si="538"/>
        <v/>
      </c>
      <c r="S1573" s="23" t="str">
        <f t="shared" si="539"/>
        <v/>
      </c>
      <c r="T1573" s="23" t="str">
        <f t="shared" si="540"/>
        <v/>
      </c>
      <c r="U1573" s="23" t="str">
        <f t="shared" si="541"/>
        <v/>
      </c>
      <c r="V1573" s="23" t="str">
        <f t="shared" si="542"/>
        <v/>
      </c>
      <c r="W1573" s="70" t="str">
        <f t="shared" si="543"/>
        <v/>
      </c>
      <c r="X1573" s="70" t="str">
        <f t="shared" si="544"/>
        <v/>
      </c>
      <c r="Y1573" s="70" t="str">
        <f>IF(AND($A1573&lt;&gt;"",$E1573&gt;0),isLaptopBag($C1573,$J1573)*$D1573,"")</f>
        <v/>
      </c>
      <c r="Z1573" s="70" t="str">
        <f t="shared" si="545"/>
        <v/>
      </c>
      <c r="AA1573" s="70" t="str">
        <f t="shared" si="546"/>
        <v/>
      </c>
      <c r="AB1573" s="70" t="str">
        <f t="shared" si="547"/>
        <v/>
      </c>
      <c r="AC1573" s="70" t="str">
        <f t="shared" si="548"/>
        <v/>
      </c>
      <c r="AD1573" s="70" t="str">
        <f t="shared" si="549"/>
        <v/>
      </c>
      <c r="AE1573" s="70" t="str">
        <f t="shared" si="550"/>
        <v/>
      </c>
      <c r="AF1573" s="16"/>
      <c r="AG1573" s="23"/>
      <c r="AH1573" s="22"/>
      <c r="AJ1573" s="83">
        <f t="shared" si="551"/>
        <v>0</v>
      </c>
      <c r="AO1573" s="22" t="str">
        <f t="shared" si="552"/>
        <v/>
      </c>
      <c r="AP1573" s="22" t="str">
        <f t="shared" si="553"/>
        <v/>
      </c>
    </row>
    <row r="1574" spans="1:42" x14ac:dyDescent="0.25">
      <c r="A1574" s="10"/>
      <c r="B1574" s="10"/>
      <c r="C1574" s="10"/>
      <c r="D1574" s="10"/>
      <c r="E1574" s="10"/>
      <c r="F1574" s="10"/>
      <c r="G1574" s="10"/>
      <c r="H1574" s="17"/>
      <c r="I1574" s="10"/>
      <c r="J1574" s="10"/>
      <c r="K1574" s="16" t="str">
        <f t="shared" si="532"/>
        <v/>
      </c>
      <c r="L1574" s="23" t="str">
        <f t="shared" si="533"/>
        <v/>
      </c>
      <c r="M1574" s="22" t="str">
        <f t="shared" si="534"/>
        <v/>
      </c>
      <c r="N1574" s="72"/>
      <c r="O1574" s="16" t="str">
        <f t="shared" si="535"/>
        <v/>
      </c>
      <c r="P1574" s="16" t="str">
        <f t="shared" si="536"/>
        <v/>
      </c>
      <c r="Q1574" s="16" t="str">
        <f t="shared" si="537"/>
        <v/>
      </c>
      <c r="R1574" s="23" t="str">
        <f t="shared" si="538"/>
        <v/>
      </c>
      <c r="S1574" s="23" t="str">
        <f t="shared" si="539"/>
        <v/>
      </c>
      <c r="T1574" s="23" t="str">
        <f t="shared" si="540"/>
        <v/>
      </c>
      <c r="U1574" s="23" t="str">
        <f t="shared" si="541"/>
        <v/>
      </c>
      <c r="V1574" s="23" t="str">
        <f t="shared" si="542"/>
        <v/>
      </c>
      <c r="W1574" s="70" t="str">
        <f t="shared" si="543"/>
        <v/>
      </c>
      <c r="X1574" s="70" t="str">
        <f t="shared" si="544"/>
        <v/>
      </c>
      <c r="Y1574" s="70" t="str">
        <f>IF(AND($A1574&lt;&gt;"",$E1574&gt;0),isLaptopBag($C1574,$J1574)*$D1574,"")</f>
        <v/>
      </c>
      <c r="Z1574" s="70" t="str">
        <f t="shared" si="545"/>
        <v/>
      </c>
      <c r="AA1574" s="70" t="str">
        <f t="shared" si="546"/>
        <v/>
      </c>
      <c r="AB1574" s="70" t="str">
        <f t="shared" si="547"/>
        <v/>
      </c>
      <c r="AC1574" s="70" t="str">
        <f t="shared" si="548"/>
        <v/>
      </c>
      <c r="AD1574" s="70" t="str">
        <f t="shared" si="549"/>
        <v/>
      </c>
      <c r="AE1574" s="70" t="str">
        <f t="shared" si="550"/>
        <v/>
      </c>
      <c r="AF1574" s="16"/>
      <c r="AG1574" s="23"/>
      <c r="AH1574" s="22"/>
      <c r="AJ1574" s="83">
        <f t="shared" si="551"/>
        <v>0</v>
      </c>
      <c r="AO1574" s="22" t="str">
        <f t="shared" si="552"/>
        <v/>
      </c>
      <c r="AP1574" s="22" t="str">
        <f t="shared" si="553"/>
        <v/>
      </c>
    </row>
    <row r="1575" spans="1:42" x14ac:dyDescent="0.25">
      <c r="A1575" s="10"/>
      <c r="B1575" s="10"/>
      <c r="C1575" s="10"/>
      <c r="D1575" s="10"/>
      <c r="E1575" s="10"/>
      <c r="F1575" s="10"/>
      <c r="G1575" s="10"/>
      <c r="H1575" s="17"/>
      <c r="I1575" s="10"/>
      <c r="J1575" s="10"/>
      <c r="K1575" s="16" t="str">
        <f t="shared" si="532"/>
        <v/>
      </c>
      <c r="L1575" s="23" t="str">
        <f t="shared" si="533"/>
        <v/>
      </c>
      <c r="M1575" s="22" t="str">
        <f t="shared" si="534"/>
        <v/>
      </c>
      <c r="N1575" s="72"/>
      <c r="O1575" s="16" t="str">
        <f t="shared" si="535"/>
        <v/>
      </c>
      <c r="P1575" s="16" t="str">
        <f t="shared" si="536"/>
        <v/>
      </c>
      <c r="Q1575" s="16" t="str">
        <f t="shared" si="537"/>
        <v/>
      </c>
      <c r="R1575" s="23" t="str">
        <f t="shared" si="538"/>
        <v/>
      </c>
      <c r="S1575" s="23" t="str">
        <f t="shared" si="539"/>
        <v/>
      </c>
      <c r="T1575" s="23" t="str">
        <f t="shared" si="540"/>
        <v/>
      </c>
      <c r="U1575" s="23" t="str">
        <f t="shared" si="541"/>
        <v/>
      </c>
      <c r="V1575" s="23" t="str">
        <f t="shared" si="542"/>
        <v/>
      </c>
      <c r="W1575" s="70" t="str">
        <f t="shared" si="543"/>
        <v/>
      </c>
      <c r="X1575" s="70" t="str">
        <f t="shared" si="544"/>
        <v/>
      </c>
      <c r="Y1575" s="70" t="str">
        <f>IF(AND($A1575&lt;&gt;"",$E1575&gt;0),isLaptopBag($C1575,$J1575)*$D1575,"")</f>
        <v/>
      </c>
      <c r="Z1575" s="70" t="str">
        <f t="shared" si="545"/>
        <v/>
      </c>
      <c r="AA1575" s="70" t="str">
        <f t="shared" si="546"/>
        <v/>
      </c>
      <c r="AB1575" s="70" t="str">
        <f t="shared" si="547"/>
        <v/>
      </c>
      <c r="AC1575" s="70" t="str">
        <f t="shared" si="548"/>
        <v/>
      </c>
      <c r="AD1575" s="70" t="str">
        <f t="shared" si="549"/>
        <v/>
      </c>
      <c r="AE1575" s="70" t="str">
        <f t="shared" si="550"/>
        <v/>
      </c>
      <c r="AF1575" s="16"/>
      <c r="AG1575" s="23"/>
      <c r="AH1575" s="22"/>
      <c r="AJ1575" s="83">
        <f t="shared" si="551"/>
        <v>0</v>
      </c>
      <c r="AO1575" s="22" t="str">
        <f t="shared" si="552"/>
        <v/>
      </c>
      <c r="AP1575" s="22" t="str">
        <f t="shared" si="553"/>
        <v/>
      </c>
    </row>
    <row r="1576" spans="1:42" x14ac:dyDescent="0.25">
      <c r="A1576" s="10"/>
      <c r="B1576" s="10"/>
      <c r="C1576" s="10"/>
      <c r="D1576" s="10"/>
      <c r="E1576" s="10"/>
      <c r="F1576" s="10"/>
      <c r="G1576" s="10"/>
      <c r="H1576" s="17"/>
      <c r="I1576" s="10"/>
      <c r="J1576" s="10"/>
      <c r="K1576" s="16" t="str">
        <f t="shared" si="532"/>
        <v/>
      </c>
      <c r="L1576" s="23" t="str">
        <f t="shared" si="533"/>
        <v/>
      </c>
      <c r="M1576" s="22" t="str">
        <f t="shared" si="534"/>
        <v/>
      </c>
      <c r="N1576" s="72"/>
      <c r="O1576" s="16" t="str">
        <f t="shared" si="535"/>
        <v/>
      </c>
      <c r="P1576" s="16" t="str">
        <f t="shared" si="536"/>
        <v/>
      </c>
      <c r="Q1576" s="16" t="str">
        <f t="shared" si="537"/>
        <v/>
      </c>
      <c r="R1576" s="23" t="str">
        <f t="shared" si="538"/>
        <v/>
      </c>
      <c r="S1576" s="23" t="str">
        <f t="shared" si="539"/>
        <v/>
      </c>
      <c r="T1576" s="23" t="str">
        <f t="shared" si="540"/>
        <v/>
      </c>
      <c r="U1576" s="23" t="str">
        <f t="shared" si="541"/>
        <v/>
      </c>
      <c r="V1576" s="23" t="str">
        <f t="shared" si="542"/>
        <v/>
      </c>
      <c r="W1576" s="70" t="str">
        <f t="shared" si="543"/>
        <v/>
      </c>
      <c r="X1576" s="70" t="str">
        <f t="shared" si="544"/>
        <v/>
      </c>
      <c r="Y1576" s="70" t="str">
        <f>IF(AND($A1576&lt;&gt;"",$E1576&gt;0),isLaptopBag($C1576,$J1576)*$D1576,"")</f>
        <v/>
      </c>
      <c r="Z1576" s="70" t="str">
        <f t="shared" si="545"/>
        <v/>
      </c>
      <c r="AA1576" s="70" t="str">
        <f t="shared" si="546"/>
        <v/>
      </c>
      <c r="AB1576" s="70" t="str">
        <f t="shared" si="547"/>
        <v/>
      </c>
      <c r="AC1576" s="70" t="str">
        <f t="shared" si="548"/>
        <v/>
      </c>
      <c r="AD1576" s="70" t="str">
        <f t="shared" si="549"/>
        <v/>
      </c>
      <c r="AE1576" s="70" t="str">
        <f t="shared" si="550"/>
        <v/>
      </c>
      <c r="AF1576" s="16"/>
      <c r="AG1576" s="23"/>
      <c r="AH1576" s="22"/>
      <c r="AJ1576" s="83">
        <f t="shared" si="551"/>
        <v>0</v>
      </c>
      <c r="AO1576" s="22" t="str">
        <f t="shared" si="552"/>
        <v/>
      </c>
      <c r="AP1576" s="22" t="str">
        <f t="shared" si="553"/>
        <v/>
      </c>
    </row>
    <row r="1577" spans="1:42" x14ac:dyDescent="0.25">
      <c r="A1577" s="10"/>
      <c r="B1577" s="10"/>
      <c r="C1577" s="10"/>
      <c r="D1577" s="10"/>
      <c r="E1577" s="10"/>
      <c r="F1577" s="10"/>
      <c r="G1577" s="10"/>
      <c r="H1577" s="17"/>
      <c r="I1577" s="10"/>
      <c r="J1577" s="10"/>
      <c r="K1577" s="16" t="str">
        <f t="shared" si="532"/>
        <v/>
      </c>
      <c r="L1577" s="23" t="str">
        <f t="shared" si="533"/>
        <v/>
      </c>
      <c r="M1577" s="22" t="str">
        <f t="shared" si="534"/>
        <v/>
      </c>
      <c r="N1577" s="72"/>
      <c r="O1577" s="16" t="str">
        <f t="shared" si="535"/>
        <v/>
      </c>
      <c r="P1577" s="16" t="str">
        <f t="shared" si="536"/>
        <v/>
      </c>
      <c r="Q1577" s="16" t="str">
        <f t="shared" si="537"/>
        <v/>
      </c>
      <c r="R1577" s="23" t="str">
        <f t="shared" si="538"/>
        <v/>
      </c>
      <c r="S1577" s="23" t="str">
        <f t="shared" si="539"/>
        <v/>
      </c>
      <c r="T1577" s="23" t="str">
        <f t="shared" si="540"/>
        <v/>
      </c>
      <c r="U1577" s="23" t="str">
        <f t="shared" si="541"/>
        <v/>
      </c>
      <c r="V1577" s="23" t="str">
        <f t="shared" si="542"/>
        <v/>
      </c>
      <c r="W1577" s="70" t="str">
        <f t="shared" si="543"/>
        <v/>
      </c>
      <c r="X1577" s="70" t="str">
        <f t="shared" si="544"/>
        <v/>
      </c>
      <c r="Y1577" s="70" t="str">
        <f>IF(AND($A1577&lt;&gt;"",$E1577&gt;0),isLaptopBag($C1577,$J1577)*$D1577,"")</f>
        <v/>
      </c>
      <c r="Z1577" s="70" t="str">
        <f t="shared" si="545"/>
        <v/>
      </c>
      <c r="AA1577" s="70" t="str">
        <f t="shared" si="546"/>
        <v/>
      </c>
      <c r="AB1577" s="70" t="str">
        <f t="shared" si="547"/>
        <v/>
      </c>
      <c r="AC1577" s="70" t="str">
        <f t="shared" si="548"/>
        <v/>
      </c>
      <c r="AD1577" s="70" t="str">
        <f t="shared" si="549"/>
        <v/>
      </c>
      <c r="AE1577" s="70" t="str">
        <f t="shared" si="550"/>
        <v/>
      </c>
      <c r="AF1577" s="16"/>
      <c r="AG1577" s="23"/>
      <c r="AH1577" s="22"/>
      <c r="AJ1577" s="83">
        <f t="shared" si="551"/>
        <v>0</v>
      </c>
      <c r="AO1577" s="22" t="str">
        <f t="shared" si="552"/>
        <v/>
      </c>
      <c r="AP1577" s="22" t="str">
        <f t="shared" si="553"/>
        <v/>
      </c>
    </row>
    <row r="1578" spans="1:42" x14ac:dyDescent="0.25">
      <c r="A1578" s="10"/>
      <c r="B1578" s="10"/>
      <c r="C1578" s="10"/>
      <c r="D1578" s="10"/>
      <c r="E1578" s="10"/>
      <c r="F1578" s="10"/>
      <c r="G1578" s="10"/>
      <c r="H1578" s="17"/>
      <c r="I1578" s="10"/>
      <c r="J1578" s="10"/>
      <c r="K1578" s="16" t="str">
        <f t="shared" si="532"/>
        <v/>
      </c>
      <c r="L1578" s="23" t="str">
        <f t="shared" si="533"/>
        <v/>
      </c>
      <c r="M1578" s="22" t="str">
        <f t="shared" si="534"/>
        <v/>
      </c>
      <c r="N1578" s="72"/>
      <c r="O1578" s="16" t="str">
        <f t="shared" si="535"/>
        <v/>
      </c>
      <c r="P1578" s="16" t="str">
        <f t="shared" si="536"/>
        <v/>
      </c>
      <c r="Q1578" s="16" t="str">
        <f t="shared" si="537"/>
        <v/>
      </c>
      <c r="R1578" s="23" t="str">
        <f t="shared" si="538"/>
        <v/>
      </c>
      <c r="S1578" s="23" t="str">
        <f t="shared" si="539"/>
        <v/>
      </c>
      <c r="T1578" s="23" t="str">
        <f t="shared" si="540"/>
        <v/>
      </c>
      <c r="U1578" s="23" t="str">
        <f t="shared" si="541"/>
        <v/>
      </c>
      <c r="V1578" s="23" t="str">
        <f t="shared" si="542"/>
        <v/>
      </c>
      <c r="W1578" s="70" t="str">
        <f t="shared" si="543"/>
        <v/>
      </c>
      <c r="X1578" s="70" t="str">
        <f t="shared" si="544"/>
        <v/>
      </c>
      <c r="Y1578" s="70" t="str">
        <f>IF(AND($A1578&lt;&gt;"",$E1578&gt;0),isLaptopBag($C1578,$J1578)*$D1578,"")</f>
        <v/>
      </c>
      <c r="Z1578" s="70" t="str">
        <f t="shared" si="545"/>
        <v/>
      </c>
      <c r="AA1578" s="70" t="str">
        <f t="shared" si="546"/>
        <v/>
      </c>
      <c r="AB1578" s="70" t="str">
        <f t="shared" si="547"/>
        <v/>
      </c>
      <c r="AC1578" s="70" t="str">
        <f t="shared" si="548"/>
        <v/>
      </c>
      <c r="AD1578" s="70" t="str">
        <f t="shared" si="549"/>
        <v/>
      </c>
      <c r="AE1578" s="70" t="str">
        <f t="shared" si="550"/>
        <v/>
      </c>
      <c r="AF1578" s="16"/>
      <c r="AG1578" s="23"/>
      <c r="AH1578" s="22"/>
      <c r="AJ1578" s="83">
        <f t="shared" si="551"/>
        <v>0</v>
      </c>
      <c r="AO1578" s="22" t="str">
        <f t="shared" si="552"/>
        <v/>
      </c>
      <c r="AP1578" s="22" t="str">
        <f t="shared" si="553"/>
        <v/>
      </c>
    </row>
    <row r="1579" spans="1:42" x14ac:dyDescent="0.25">
      <c r="A1579" s="10"/>
      <c r="B1579" s="10"/>
      <c r="C1579" s="10"/>
      <c r="D1579" s="10"/>
      <c r="E1579" s="10"/>
      <c r="F1579" s="10"/>
      <c r="G1579" s="10"/>
      <c r="H1579" s="17"/>
      <c r="I1579" s="10"/>
      <c r="J1579" s="10"/>
      <c r="K1579" s="16" t="str">
        <f t="shared" si="532"/>
        <v/>
      </c>
      <c r="L1579" s="23" t="str">
        <f t="shared" si="533"/>
        <v/>
      </c>
      <c r="M1579" s="22" t="str">
        <f t="shared" si="534"/>
        <v/>
      </c>
      <c r="N1579" s="72"/>
      <c r="O1579" s="16" t="str">
        <f t="shared" si="535"/>
        <v/>
      </c>
      <c r="P1579" s="16" t="str">
        <f t="shared" si="536"/>
        <v/>
      </c>
      <c r="Q1579" s="16" t="str">
        <f t="shared" si="537"/>
        <v/>
      </c>
      <c r="R1579" s="23" t="str">
        <f t="shared" si="538"/>
        <v/>
      </c>
      <c r="S1579" s="23" t="str">
        <f t="shared" si="539"/>
        <v/>
      </c>
      <c r="T1579" s="23" t="str">
        <f t="shared" si="540"/>
        <v/>
      </c>
      <c r="U1579" s="23" t="str">
        <f t="shared" si="541"/>
        <v/>
      </c>
      <c r="V1579" s="23" t="str">
        <f t="shared" si="542"/>
        <v/>
      </c>
      <c r="W1579" s="70" t="str">
        <f t="shared" si="543"/>
        <v/>
      </c>
      <c r="X1579" s="70" t="str">
        <f t="shared" si="544"/>
        <v/>
      </c>
      <c r="Y1579" s="70" t="str">
        <f>IF(AND($A1579&lt;&gt;"",$E1579&gt;0),isLaptopBag($C1579,$J1579)*$D1579,"")</f>
        <v/>
      </c>
      <c r="Z1579" s="70" t="str">
        <f t="shared" si="545"/>
        <v/>
      </c>
      <c r="AA1579" s="70" t="str">
        <f t="shared" si="546"/>
        <v/>
      </c>
      <c r="AB1579" s="70" t="str">
        <f t="shared" si="547"/>
        <v/>
      </c>
      <c r="AC1579" s="70" t="str">
        <f t="shared" si="548"/>
        <v/>
      </c>
      <c r="AD1579" s="70" t="str">
        <f t="shared" si="549"/>
        <v/>
      </c>
      <c r="AE1579" s="70" t="str">
        <f t="shared" si="550"/>
        <v/>
      </c>
      <c r="AF1579" s="16"/>
      <c r="AG1579" s="23"/>
      <c r="AH1579" s="22"/>
      <c r="AJ1579" s="83">
        <f t="shared" si="551"/>
        <v>0</v>
      </c>
      <c r="AO1579" s="22" t="str">
        <f t="shared" si="552"/>
        <v/>
      </c>
      <c r="AP1579" s="22" t="str">
        <f t="shared" si="553"/>
        <v/>
      </c>
    </row>
    <row r="1580" spans="1:42" x14ac:dyDescent="0.25">
      <c r="A1580" s="10"/>
      <c r="B1580" s="10"/>
      <c r="C1580" s="10"/>
      <c r="D1580" s="10"/>
      <c r="E1580" s="10"/>
      <c r="F1580" s="10"/>
      <c r="G1580" s="10"/>
      <c r="H1580" s="17"/>
      <c r="I1580" s="10"/>
      <c r="J1580" s="10"/>
      <c r="K1580" s="16" t="str">
        <f t="shared" si="532"/>
        <v/>
      </c>
      <c r="L1580" s="23" t="str">
        <f t="shared" si="533"/>
        <v/>
      </c>
      <c r="M1580" s="22" t="str">
        <f t="shared" si="534"/>
        <v/>
      </c>
      <c r="N1580" s="72"/>
      <c r="O1580" s="16" t="str">
        <f t="shared" si="535"/>
        <v/>
      </c>
      <c r="P1580" s="16" t="str">
        <f t="shared" si="536"/>
        <v/>
      </c>
      <c r="Q1580" s="16" t="str">
        <f t="shared" si="537"/>
        <v/>
      </c>
      <c r="R1580" s="23" t="str">
        <f t="shared" si="538"/>
        <v/>
      </c>
      <c r="S1580" s="23" t="str">
        <f t="shared" si="539"/>
        <v/>
      </c>
      <c r="T1580" s="23" t="str">
        <f t="shared" si="540"/>
        <v/>
      </c>
      <c r="U1580" s="23" t="str">
        <f t="shared" si="541"/>
        <v/>
      </c>
      <c r="V1580" s="23" t="str">
        <f t="shared" si="542"/>
        <v/>
      </c>
      <c r="W1580" s="70" t="str">
        <f t="shared" si="543"/>
        <v/>
      </c>
      <c r="X1580" s="70" t="str">
        <f t="shared" si="544"/>
        <v/>
      </c>
      <c r="Y1580" s="70" t="str">
        <f>IF(AND($A1580&lt;&gt;"",$E1580&gt;0),isLaptopBag($C1580,$J1580)*$D1580,"")</f>
        <v/>
      </c>
      <c r="Z1580" s="70" t="str">
        <f t="shared" si="545"/>
        <v/>
      </c>
      <c r="AA1580" s="70" t="str">
        <f t="shared" si="546"/>
        <v/>
      </c>
      <c r="AB1580" s="70" t="str">
        <f t="shared" si="547"/>
        <v/>
      </c>
      <c r="AC1580" s="70" t="str">
        <f t="shared" si="548"/>
        <v/>
      </c>
      <c r="AD1580" s="70" t="str">
        <f t="shared" si="549"/>
        <v/>
      </c>
      <c r="AE1580" s="70" t="str">
        <f t="shared" si="550"/>
        <v/>
      </c>
      <c r="AF1580" s="16"/>
      <c r="AG1580" s="23"/>
      <c r="AH1580" s="22"/>
      <c r="AJ1580" s="83">
        <f t="shared" si="551"/>
        <v>0</v>
      </c>
      <c r="AO1580" s="22" t="str">
        <f t="shared" si="552"/>
        <v/>
      </c>
      <c r="AP1580" s="22" t="str">
        <f t="shared" si="553"/>
        <v/>
      </c>
    </row>
    <row r="1581" spans="1:42" x14ac:dyDescent="0.25">
      <c r="A1581" s="10"/>
      <c r="B1581" s="10"/>
      <c r="C1581" s="10"/>
      <c r="D1581" s="10"/>
      <c r="E1581" s="10"/>
      <c r="F1581" s="10"/>
      <c r="G1581" s="10"/>
      <c r="H1581" s="17"/>
      <c r="I1581" s="10"/>
      <c r="J1581" s="10"/>
      <c r="K1581" s="16" t="str">
        <f t="shared" si="532"/>
        <v/>
      </c>
      <c r="L1581" s="23" t="str">
        <f t="shared" si="533"/>
        <v/>
      </c>
      <c r="M1581" s="22" t="str">
        <f t="shared" si="534"/>
        <v/>
      </c>
      <c r="N1581" s="72"/>
      <c r="O1581" s="16" t="str">
        <f t="shared" si="535"/>
        <v/>
      </c>
      <c r="P1581" s="16" t="str">
        <f t="shared" si="536"/>
        <v/>
      </c>
      <c r="Q1581" s="16" t="str">
        <f t="shared" si="537"/>
        <v/>
      </c>
      <c r="R1581" s="23" t="str">
        <f t="shared" si="538"/>
        <v/>
      </c>
      <c r="S1581" s="23" t="str">
        <f t="shared" si="539"/>
        <v/>
      </c>
      <c r="T1581" s="23" t="str">
        <f t="shared" si="540"/>
        <v/>
      </c>
      <c r="U1581" s="23" t="str">
        <f t="shared" si="541"/>
        <v/>
      </c>
      <c r="V1581" s="23" t="str">
        <f t="shared" si="542"/>
        <v/>
      </c>
      <c r="W1581" s="70" t="str">
        <f t="shared" si="543"/>
        <v/>
      </c>
      <c r="X1581" s="70" t="str">
        <f t="shared" si="544"/>
        <v/>
      </c>
      <c r="Y1581" s="70" t="str">
        <f>IF(AND($A1581&lt;&gt;"",$E1581&gt;0),isLaptopBag($C1581,$J1581)*$D1581,"")</f>
        <v/>
      </c>
      <c r="Z1581" s="70" t="str">
        <f t="shared" si="545"/>
        <v/>
      </c>
      <c r="AA1581" s="70" t="str">
        <f t="shared" si="546"/>
        <v/>
      </c>
      <c r="AB1581" s="70" t="str">
        <f t="shared" si="547"/>
        <v/>
      </c>
      <c r="AC1581" s="70" t="str">
        <f t="shared" si="548"/>
        <v/>
      </c>
      <c r="AD1581" s="70" t="str">
        <f t="shared" si="549"/>
        <v/>
      </c>
      <c r="AE1581" s="70" t="str">
        <f t="shared" si="550"/>
        <v/>
      </c>
      <c r="AF1581" s="16"/>
      <c r="AG1581" s="23"/>
      <c r="AH1581" s="22"/>
      <c r="AJ1581" s="83">
        <f t="shared" si="551"/>
        <v>0</v>
      </c>
      <c r="AO1581" s="22" t="str">
        <f t="shared" si="552"/>
        <v/>
      </c>
      <c r="AP1581" s="22" t="str">
        <f t="shared" si="553"/>
        <v/>
      </c>
    </row>
    <row r="1582" spans="1:42" x14ac:dyDescent="0.25">
      <c r="A1582" s="10"/>
      <c r="B1582" s="10"/>
      <c r="C1582" s="10"/>
      <c r="D1582" s="10"/>
      <c r="E1582" s="10"/>
      <c r="F1582" s="10"/>
      <c r="G1582" s="10"/>
      <c r="H1582" s="17"/>
      <c r="I1582" s="10"/>
      <c r="J1582" s="10"/>
      <c r="K1582" s="16" t="str">
        <f t="shared" si="532"/>
        <v/>
      </c>
      <c r="L1582" s="23" t="str">
        <f t="shared" si="533"/>
        <v/>
      </c>
      <c r="M1582" s="22" t="str">
        <f t="shared" si="534"/>
        <v/>
      </c>
      <c r="N1582" s="72"/>
      <c r="O1582" s="16" t="str">
        <f t="shared" si="535"/>
        <v/>
      </c>
      <c r="P1582" s="16" t="str">
        <f t="shared" si="536"/>
        <v/>
      </c>
      <c r="Q1582" s="16" t="str">
        <f t="shared" si="537"/>
        <v/>
      </c>
      <c r="R1582" s="23" t="str">
        <f t="shared" si="538"/>
        <v/>
      </c>
      <c r="S1582" s="23" t="str">
        <f t="shared" si="539"/>
        <v/>
      </c>
      <c r="T1582" s="23" t="str">
        <f t="shared" si="540"/>
        <v/>
      </c>
      <c r="U1582" s="23" t="str">
        <f t="shared" si="541"/>
        <v/>
      </c>
      <c r="V1582" s="23" t="str">
        <f t="shared" si="542"/>
        <v/>
      </c>
      <c r="W1582" s="70" t="str">
        <f t="shared" si="543"/>
        <v/>
      </c>
      <c r="X1582" s="70" t="str">
        <f t="shared" si="544"/>
        <v/>
      </c>
      <c r="Y1582" s="70" t="str">
        <f>IF(AND($A1582&lt;&gt;"",$E1582&gt;0),isLaptopBag($C1582,$J1582)*$D1582,"")</f>
        <v/>
      </c>
      <c r="Z1582" s="70" t="str">
        <f t="shared" si="545"/>
        <v/>
      </c>
      <c r="AA1582" s="70" t="str">
        <f t="shared" si="546"/>
        <v/>
      </c>
      <c r="AB1582" s="70" t="str">
        <f t="shared" si="547"/>
        <v/>
      </c>
      <c r="AC1582" s="70" t="str">
        <f t="shared" si="548"/>
        <v/>
      </c>
      <c r="AD1582" s="70" t="str">
        <f t="shared" si="549"/>
        <v/>
      </c>
      <c r="AE1582" s="70" t="str">
        <f t="shared" si="550"/>
        <v/>
      </c>
      <c r="AF1582" s="16"/>
      <c r="AG1582" s="23"/>
      <c r="AH1582" s="22"/>
      <c r="AJ1582" s="83">
        <f t="shared" si="551"/>
        <v>0</v>
      </c>
      <c r="AO1582" s="22" t="str">
        <f t="shared" si="552"/>
        <v/>
      </c>
      <c r="AP1582" s="22" t="str">
        <f t="shared" si="553"/>
        <v/>
      </c>
    </row>
    <row r="1583" spans="1:42" x14ac:dyDescent="0.25">
      <c r="A1583" s="10"/>
      <c r="B1583" s="10"/>
      <c r="C1583" s="10"/>
      <c r="D1583" s="10"/>
      <c r="E1583" s="10"/>
      <c r="F1583" s="10"/>
      <c r="G1583" s="10"/>
      <c r="H1583" s="17"/>
      <c r="I1583" s="10"/>
      <c r="J1583" s="10"/>
      <c r="K1583" s="16" t="str">
        <f t="shared" si="532"/>
        <v/>
      </c>
      <c r="L1583" s="23" t="str">
        <f t="shared" si="533"/>
        <v/>
      </c>
      <c r="M1583" s="22" t="str">
        <f t="shared" si="534"/>
        <v/>
      </c>
      <c r="N1583" s="72"/>
      <c r="O1583" s="16" t="str">
        <f t="shared" si="535"/>
        <v/>
      </c>
      <c r="P1583" s="16" t="str">
        <f t="shared" si="536"/>
        <v/>
      </c>
      <c r="Q1583" s="16" t="str">
        <f t="shared" si="537"/>
        <v/>
      </c>
      <c r="R1583" s="23" t="str">
        <f t="shared" si="538"/>
        <v/>
      </c>
      <c r="S1583" s="23" t="str">
        <f t="shared" si="539"/>
        <v/>
      </c>
      <c r="T1583" s="23" t="str">
        <f t="shared" si="540"/>
        <v/>
      </c>
      <c r="U1583" s="23" t="str">
        <f t="shared" si="541"/>
        <v/>
      </c>
      <c r="V1583" s="23" t="str">
        <f t="shared" si="542"/>
        <v/>
      </c>
      <c r="W1583" s="70" t="str">
        <f t="shared" si="543"/>
        <v/>
      </c>
      <c r="X1583" s="70" t="str">
        <f t="shared" si="544"/>
        <v/>
      </c>
      <c r="Y1583" s="70" t="str">
        <f>IF(AND($A1583&lt;&gt;"",$E1583&gt;0),isLaptopBag($C1583,$J1583)*$D1583,"")</f>
        <v/>
      </c>
      <c r="Z1583" s="70" t="str">
        <f t="shared" si="545"/>
        <v/>
      </c>
      <c r="AA1583" s="70" t="str">
        <f t="shared" si="546"/>
        <v/>
      </c>
      <c r="AB1583" s="70" t="str">
        <f t="shared" si="547"/>
        <v/>
      </c>
      <c r="AC1583" s="70" t="str">
        <f t="shared" si="548"/>
        <v/>
      </c>
      <c r="AD1583" s="70" t="str">
        <f t="shared" si="549"/>
        <v/>
      </c>
      <c r="AE1583" s="70" t="str">
        <f t="shared" si="550"/>
        <v/>
      </c>
      <c r="AF1583" s="16"/>
      <c r="AG1583" s="23"/>
      <c r="AH1583" s="22"/>
      <c r="AJ1583" s="83">
        <f t="shared" si="551"/>
        <v>0</v>
      </c>
      <c r="AO1583" s="22" t="str">
        <f t="shared" si="552"/>
        <v/>
      </c>
      <c r="AP1583" s="22" t="str">
        <f t="shared" si="553"/>
        <v/>
      </c>
    </row>
    <row r="1584" spans="1:42" x14ac:dyDescent="0.25">
      <c r="A1584" s="10"/>
      <c r="B1584" s="10"/>
      <c r="C1584" s="10"/>
      <c r="D1584" s="10"/>
      <c r="E1584" s="10"/>
      <c r="F1584" s="10"/>
      <c r="G1584" s="10"/>
      <c r="H1584" s="17"/>
      <c r="I1584" s="10"/>
      <c r="J1584" s="10"/>
      <c r="K1584" s="16" t="str">
        <f t="shared" si="532"/>
        <v/>
      </c>
      <c r="L1584" s="23" t="str">
        <f t="shared" si="533"/>
        <v/>
      </c>
      <c r="M1584" s="22" t="str">
        <f t="shared" si="534"/>
        <v/>
      </c>
      <c r="N1584" s="72"/>
      <c r="O1584" s="16" t="str">
        <f t="shared" si="535"/>
        <v/>
      </c>
      <c r="P1584" s="16" t="str">
        <f t="shared" si="536"/>
        <v/>
      </c>
      <c r="Q1584" s="16" t="str">
        <f t="shared" si="537"/>
        <v/>
      </c>
      <c r="R1584" s="23" t="str">
        <f t="shared" si="538"/>
        <v/>
      </c>
      <c r="S1584" s="23" t="str">
        <f t="shared" si="539"/>
        <v/>
      </c>
      <c r="T1584" s="23" t="str">
        <f t="shared" si="540"/>
        <v/>
      </c>
      <c r="U1584" s="23" t="str">
        <f t="shared" si="541"/>
        <v/>
      </c>
      <c r="V1584" s="23" t="str">
        <f t="shared" si="542"/>
        <v/>
      </c>
      <c r="W1584" s="70" t="str">
        <f t="shared" si="543"/>
        <v/>
      </c>
      <c r="X1584" s="70" t="str">
        <f t="shared" si="544"/>
        <v/>
      </c>
      <c r="Y1584" s="70" t="str">
        <f>IF(AND($A1584&lt;&gt;"",$E1584&gt;0),isLaptopBag($C1584,$J1584)*$D1584,"")</f>
        <v/>
      </c>
      <c r="Z1584" s="70" t="str">
        <f t="shared" si="545"/>
        <v/>
      </c>
      <c r="AA1584" s="70" t="str">
        <f t="shared" si="546"/>
        <v/>
      </c>
      <c r="AB1584" s="70" t="str">
        <f t="shared" si="547"/>
        <v/>
      </c>
      <c r="AC1584" s="70" t="str">
        <f t="shared" si="548"/>
        <v/>
      </c>
      <c r="AD1584" s="70" t="str">
        <f t="shared" si="549"/>
        <v/>
      </c>
      <c r="AE1584" s="70" t="str">
        <f t="shared" si="550"/>
        <v/>
      </c>
      <c r="AF1584" s="16"/>
      <c r="AG1584" s="23"/>
      <c r="AH1584" s="22"/>
      <c r="AJ1584" s="83">
        <f t="shared" si="551"/>
        <v>0</v>
      </c>
      <c r="AO1584" s="22" t="str">
        <f t="shared" si="552"/>
        <v/>
      </c>
      <c r="AP1584" s="22" t="str">
        <f t="shared" si="553"/>
        <v/>
      </c>
    </row>
    <row r="1585" spans="1:42" x14ac:dyDescent="0.25">
      <c r="A1585" s="10"/>
      <c r="B1585" s="10"/>
      <c r="C1585" s="10"/>
      <c r="D1585" s="10"/>
      <c r="E1585" s="10"/>
      <c r="F1585" s="10"/>
      <c r="G1585" s="10"/>
      <c r="H1585" s="17"/>
      <c r="I1585" s="10"/>
      <c r="J1585" s="10"/>
      <c r="K1585" s="16" t="str">
        <f t="shared" si="532"/>
        <v/>
      </c>
      <c r="L1585" s="23" t="str">
        <f t="shared" si="533"/>
        <v/>
      </c>
      <c r="M1585" s="22" t="str">
        <f t="shared" si="534"/>
        <v/>
      </c>
      <c r="N1585" s="72"/>
      <c r="O1585" s="16" t="str">
        <f t="shared" si="535"/>
        <v/>
      </c>
      <c r="P1585" s="16" t="str">
        <f t="shared" si="536"/>
        <v/>
      </c>
      <c r="Q1585" s="16" t="str">
        <f t="shared" si="537"/>
        <v/>
      </c>
      <c r="R1585" s="23" t="str">
        <f t="shared" si="538"/>
        <v/>
      </c>
      <c r="S1585" s="23" t="str">
        <f t="shared" si="539"/>
        <v/>
      </c>
      <c r="T1585" s="23" t="str">
        <f t="shared" si="540"/>
        <v/>
      </c>
      <c r="U1585" s="23" t="str">
        <f t="shared" si="541"/>
        <v/>
      </c>
      <c r="V1585" s="23" t="str">
        <f t="shared" si="542"/>
        <v/>
      </c>
      <c r="W1585" s="70" t="str">
        <f t="shared" si="543"/>
        <v/>
      </c>
      <c r="X1585" s="70" t="str">
        <f t="shared" si="544"/>
        <v/>
      </c>
      <c r="Y1585" s="70" t="str">
        <f>IF(AND($A1585&lt;&gt;"",$E1585&gt;0),isLaptopBag($C1585,$J1585)*$D1585,"")</f>
        <v/>
      </c>
      <c r="Z1585" s="70" t="str">
        <f t="shared" si="545"/>
        <v/>
      </c>
      <c r="AA1585" s="70" t="str">
        <f t="shared" si="546"/>
        <v/>
      </c>
      <c r="AB1585" s="70" t="str">
        <f t="shared" si="547"/>
        <v/>
      </c>
      <c r="AC1585" s="70" t="str">
        <f t="shared" si="548"/>
        <v/>
      </c>
      <c r="AD1585" s="70" t="str">
        <f t="shared" si="549"/>
        <v/>
      </c>
      <c r="AE1585" s="70" t="str">
        <f t="shared" si="550"/>
        <v/>
      </c>
      <c r="AF1585" s="16"/>
      <c r="AG1585" s="23"/>
      <c r="AH1585" s="22"/>
      <c r="AJ1585" s="83">
        <f t="shared" si="551"/>
        <v>0</v>
      </c>
      <c r="AO1585" s="22" t="str">
        <f t="shared" si="552"/>
        <v/>
      </c>
      <c r="AP1585" s="22" t="str">
        <f t="shared" si="553"/>
        <v/>
      </c>
    </row>
    <row r="1586" spans="1:42" x14ac:dyDescent="0.25">
      <c r="A1586" s="10"/>
      <c r="B1586" s="10"/>
      <c r="C1586" s="10"/>
      <c r="D1586" s="10"/>
      <c r="E1586" s="10"/>
      <c r="F1586" s="10"/>
      <c r="G1586" s="10"/>
      <c r="H1586" s="17"/>
      <c r="I1586" s="10"/>
      <c r="J1586" s="10"/>
      <c r="K1586" s="16" t="str">
        <f t="shared" si="532"/>
        <v/>
      </c>
      <c r="L1586" s="23" t="str">
        <f t="shared" si="533"/>
        <v/>
      </c>
      <c r="M1586" s="22" t="str">
        <f t="shared" si="534"/>
        <v/>
      </c>
      <c r="N1586" s="72"/>
      <c r="O1586" s="16" t="str">
        <f t="shared" si="535"/>
        <v/>
      </c>
      <c r="P1586" s="16" t="str">
        <f t="shared" si="536"/>
        <v/>
      </c>
      <c r="Q1586" s="16" t="str">
        <f t="shared" si="537"/>
        <v/>
      </c>
      <c r="R1586" s="23" t="str">
        <f t="shared" si="538"/>
        <v/>
      </c>
      <c r="S1586" s="23" t="str">
        <f t="shared" si="539"/>
        <v/>
      </c>
      <c r="T1586" s="23" t="str">
        <f t="shared" si="540"/>
        <v/>
      </c>
      <c r="U1586" s="23" t="str">
        <f t="shared" si="541"/>
        <v/>
      </c>
      <c r="V1586" s="23" t="str">
        <f t="shared" si="542"/>
        <v/>
      </c>
      <c r="W1586" s="70" t="str">
        <f t="shared" si="543"/>
        <v/>
      </c>
      <c r="X1586" s="70" t="str">
        <f t="shared" si="544"/>
        <v/>
      </c>
      <c r="Y1586" s="70" t="str">
        <f>IF(AND($A1586&lt;&gt;"",$E1586&gt;0),isLaptopBag($C1586,$J1586)*$D1586,"")</f>
        <v/>
      </c>
      <c r="Z1586" s="70" t="str">
        <f t="shared" si="545"/>
        <v/>
      </c>
      <c r="AA1586" s="70" t="str">
        <f t="shared" si="546"/>
        <v/>
      </c>
      <c r="AB1586" s="70" t="str">
        <f t="shared" si="547"/>
        <v/>
      </c>
      <c r="AC1586" s="70" t="str">
        <f t="shared" si="548"/>
        <v/>
      </c>
      <c r="AD1586" s="70" t="str">
        <f t="shared" si="549"/>
        <v/>
      </c>
      <c r="AE1586" s="70" t="str">
        <f t="shared" si="550"/>
        <v/>
      </c>
      <c r="AF1586" s="16"/>
      <c r="AG1586" s="23"/>
      <c r="AH1586" s="22"/>
      <c r="AJ1586" s="83">
        <f t="shared" si="551"/>
        <v>0</v>
      </c>
      <c r="AO1586" s="22" t="str">
        <f t="shared" si="552"/>
        <v/>
      </c>
      <c r="AP1586" s="22" t="str">
        <f t="shared" si="553"/>
        <v/>
      </c>
    </row>
    <row r="1587" spans="1:42" x14ac:dyDescent="0.25">
      <c r="A1587" s="10"/>
      <c r="B1587" s="10"/>
      <c r="C1587" s="10"/>
      <c r="D1587" s="10"/>
      <c r="E1587" s="10"/>
      <c r="F1587" s="10"/>
      <c r="G1587" s="10"/>
      <c r="H1587" s="17"/>
      <c r="I1587" s="10"/>
      <c r="J1587" s="10"/>
      <c r="K1587" s="16" t="str">
        <f t="shared" si="532"/>
        <v/>
      </c>
      <c r="L1587" s="23" t="str">
        <f t="shared" si="533"/>
        <v/>
      </c>
      <c r="M1587" s="22" t="str">
        <f t="shared" si="534"/>
        <v/>
      </c>
      <c r="N1587" s="72"/>
      <c r="O1587" s="16" t="str">
        <f t="shared" si="535"/>
        <v/>
      </c>
      <c r="P1587" s="16" t="str">
        <f t="shared" si="536"/>
        <v/>
      </c>
      <c r="Q1587" s="16" t="str">
        <f t="shared" si="537"/>
        <v/>
      </c>
      <c r="R1587" s="23" t="str">
        <f t="shared" si="538"/>
        <v/>
      </c>
      <c r="S1587" s="23" t="str">
        <f t="shared" si="539"/>
        <v/>
      </c>
      <c r="T1587" s="23" t="str">
        <f t="shared" si="540"/>
        <v/>
      </c>
      <c r="U1587" s="23" t="str">
        <f t="shared" si="541"/>
        <v/>
      </c>
      <c r="V1587" s="23" t="str">
        <f t="shared" si="542"/>
        <v/>
      </c>
      <c r="W1587" s="70" t="str">
        <f t="shared" si="543"/>
        <v/>
      </c>
      <c r="X1587" s="70" t="str">
        <f t="shared" si="544"/>
        <v/>
      </c>
      <c r="Y1587" s="70" t="str">
        <f>IF(AND($A1587&lt;&gt;"",$E1587&gt;0),isLaptopBag($C1587,$J1587)*$D1587,"")</f>
        <v/>
      </c>
      <c r="Z1587" s="70" t="str">
        <f t="shared" si="545"/>
        <v/>
      </c>
      <c r="AA1587" s="70" t="str">
        <f t="shared" si="546"/>
        <v/>
      </c>
      <c r="AB1587" s="70" t="str">
        <f t="shared" si="547"/>
        <v/>
      </c>
      <c r="AC1587" s="70" t="str">
        <f t="shared" si="548"/>
        <v/>
      </c>
      <c r="AD1587" s="70" t="str">
        <f t="shared" si="549"/>
        <v/>
      </c>
      <c r="AE1587" s="70" t="str">
        <f t="shared" si="550"/>
        <v/>
      </c>
      <c r="AF1587" s="16"/>
      <c r="AG1587" s="23"/>
      <c r="AH1587" s="22"/>
      <c r="AJ1587" s="83">
        <f t="shared" si="551"/>
        <v>0</v>
      </c>
      <c r="AO1587" s="22" t="str">
        <f t="shared" si="552"/>
        <v/>
      </c>
      <c r="AP1587" s="22" t="str">
        <f t="shared" si="553"/>
        <v/>
      </c>
    </row>
    <row r="1588" spans="1:42" x14ac:dyDescent="0.25">
      <c r="A1588" s="10"/>
      <c r="B1588" s="10"/>
      <c r="C1588" s="10"/>
      <c r="D1588" s="10"/>
      <c r="E1588" s="10"/>
      <c r="F1588" s="10"/>
      <c r="G1588" s="10"/>
      <c r="H1588" s="17"/>
      <c r="I1588" s="10"/>
      <c r="J1588" s="10"/>
      <c r="K1588" s="16" t="str">
        <f t="shared" si="532"/>
        <v/>
      </c>
      <c r="L1588" s="23" t="str">
        <f t="shared" si="533"/>
        <v/>
      </c>
      <c r="M1588" s="22" t="str">
        <f t="shared" si="534"/>
        <v/>
      </c>
      <c r="N1588" s="72"/>
      <c r="O1588" s="16" t="str">
        <f t="shared" si="535"/>
        <v/>
      </c>
      <c r="P1588" s="16" t="str">
        <f t="shared" si="536"/>
        <v/>
      </c>
      <c r="Q1588" s="16" t="str">
        <f t="shared" si="537"/>
        <v/>
      </c>
      <c r="R1588" s="23" t="str">
        <f t="shared" si="538"/>
        <v/>
      </c>
      <c r="S1588" s="23" t="str">
        <f t="shared" si="539"/>
        <v/>
      </c>
      <c r="T1588" s="23" t="str">
        <f t="shared" si="540"/>
        <v/>
      </c>
      <c r="U1588" s="23" t="str">
        <f t="shared" si="541"/>
        <v/>
      </c>
      <c r="V1588" s="23" t="str">
        <f t="shared" si="542"/>
        <v/>
      </c>
      <c r="W1588" s="70" t="str">
        <f t="shared" si="543"/>
        <v/>
      </c>
      <c r="X1588" s="70" t="str">
        <f t="shared" si="544"/>
        <v/>
      </c>
      <c r="Y1588" s="70" t="str">
        <f>IF(AND($A1588&lt;&gt;"",$E1588&gt;0),isLaptopBag($C1588,$J1588)*$D1588,"")</f>
        <v/>
      </c>
      <c r="Z1588" s="70" t="str">
        <f t="shared" si="545"/>
        <v/>
      </c>
      <c r="AA1588" s="70" t="str">
        <f t="shared" si="546"/>
        <v/>
      </c>
      <c r="AB1588" s="70" t="str">
        <f t="shared" si="547"/>
        <v/>
      </c>
      <c r="AC1588" s="70" t="str">
        <f t="shared" si="548"/>
        <v/>
      </c>
      <c r="AD1588" s="70" t="str">
        <f t="shared" si="549"/>
        <v/>
      </c>
      <c r="AE1588" s="70" t="str">
        <f t="shared" si="550"/>
        <v/>
      </c>
      <c r="AF1588" s="16"/>
      <c r="AG1588" s="23"/>
      <c r="AH1588" s="22"/>
      <c r="AJ1588" s="83">
        <f t="shared" si="551"/>
        <v>0</v>
      </c>
      <c r="AO1588" s="22" t="str">
        <f t="shared" si="552"/>
        <v/>
      </c>
      <c r="AP1588" s="22" t="str">
        <f t="shared" si="553"/>
        <v/>
      </c>
    </row>
    <row r="1589" spans="1:42" x14ac:dyDescent="0.25">
      <c r="A1589" s="10"/>
      <c r="B1589" s="10"/>
      <c r="C1589" s="10"/>
      <c r="D1589" s="10"/>
      <c r="E1589" s="10"/>
      <c r="F1589" s="10"/>
      <c r="G1589" s="10"/>
      <c r="H1589" s="17"/>
      <c r="I1589" s="10"/>
      <c r="J1589" s="10"/>
      <c r="K1589" s="16" t="str">
        <f t="shared" si="532"/>
        <v/>
      </c>
      <c r="L1589" s="23" t="str">
        <f t="shared" si="533"/>
        <v/>
      </c>
      <c r="M1589" s="22" t="str">
        <f t="shared" si="534"/>
        <v/>
      </c>
      <c r="N1589" s="72"/>
      <c r="O1589" s="16" t="str">
        <f t="shared" si="535"/>
        <v/>
      </c>
      <c r="P1589" s="16" t="str">
        <f t="shared" si="536"/>
        <v/>
      </c>
      <c r="Q1589" s="16" t="str">
        <f t="shared" si="537"/>
        <v/>
      </c>
      <c r="R1589" s="23" t="str">
        <f t="shared" si="538"/>
        <v/>
      </c>
      <c r="S1589" s="23" t="str">
        <f t="shared" si="539"/>
        <v/>
      </c>
      <c r="T1589" s="23" t="str">
        <f t="shared" si="540"/>
        <v/>
      </c>
      <c r="U1589" s="23" t="str">
        <f t="shared" si="541"/>
        <v/>
      </c>
      <c r="V1589" s="23" t="str">
        <f t="shared" si="542"/>
        <v/>
      </c>
      <c r="W1589" s="70" t="str">
        <f t="shared" si="543"/>
        <v/>
      </c>
      <c r="X1589" s="70" t="str">
        <f t="shared" si="544"/>
        <v/>
      </c>
      <c r="Y1589" s="70" t="str">
        <f>IF(AND($A1589&lt;&gt;"",$E1589&gt;0),isLaptopBag($C1589,$J1589)*$D1589,"")</f>
        <v/>
      </c>
      <c r="Z1589" s="70" t="str">
        <f t="shared" si="545"/>
        <v/>
      </c>
      <c r="AA1589" s="70" t="str">
        <f t="shared" si="546"/>
        <v/>
      </c>
      <c r="AB1589" s="70" t="str">
        <f t="shared" si="547"/>
        <v/>
      </c>
      <c r="AC1589" s="70" t="str">
        <f t="shared" si="548"/>
        <v/>
      </c>
      <c r="AD1589" s="70" t="str">
        <f t="shared" si="549"/>
        <v/>
      </c>
      <c r="AE1589" s="70" t="str">
        <f t="shared" si="550"/>
        <v/>
      </c>
      <c r="AF1589" s="16"/>
      <c r="AG1589" s="23"/>
      <c r="AH1589" s="22"/>
      <c r="AJ1589" s="83">
        <f t="shared" si="551"/>
        <v>0</v>
      </c>
      <c r="AO1589" s="22" t="str">
        <f t="shared" si="552"/>
        <v/>
      </c>
      <c r="AP1589" s="22" t="str">
        <f t="shared" si="553"/>
        <v/>
      </c>
    </row>
    <row r="1590" spans="1:42" x14ac:dyDescent="0.25">
      <c r="A1590" s="10"/>
      <c r="B1590" s="10"/>
      <c r="C1590" s="10"/>
      <c r="D1590" s="10"/>
      <c r="E1590" s="10"/>
      <c r="F1590" s="10"/>
      <c r="G1590" s="10"/>
      <c r="H1590" s="17"/>
      <c r="I1590" s="10"/>
      <c r="J1590" s="10"/>
      <c r="K1590" s="16" t="str">
        <f t="shared" si="532"/>
        <v/>
      </c>
      <c r="L1590" s="23" t="str">
        <f t="shared" si="533"/>
        <v/>
      </c>
      <c r="M1590" s="22" t="str">
        <f t="shared" si="534"/>
        <v/>
      </c>
      <c r="N1590" s="72"/>
      <c r="O1590" s="16" t="str">
        <f t="shared" si="535"/>
        <v/>
      </c>
      <c r="P1590" s="16" t="str">
        <f t="shared" si="536"/>
        <v/>
      </c>
      <c r="Q1590" s="16" t="str">
        <f t="shared" si="537"/>
        <v/>
      </c>
      <c r="R1590" s="23" t="str">
        <f t="shared" si="538"/>
        <v/>
      </c>
      <c r="S1590" s="23" t="str">
        <f t="shared" si="539"/>
        <v/>
      </c>
      <c r="T1590" s="23" t="str">
        <f t="shared" si="540"/>
        <v/>
      </c>
      <c r="U1590" s="23" t="str">
        <f t="shared" si="541"/>
        <v/>
      </c>
      <c r="V1590" s="23" t="str">
        <f t="shared" si="542"/>
        <v/>
      </c>
      <c r="W1590" s="70" t="str">
        <f t="shared" si="543"/>
        <v/>
      </c>
      <c r="X1590" s="70" t="str">
        <f t="shared" si="544"/>
        <v/>
      </c>
      <c r="Y1590" s="70" t="str">
        <f>IF(AND($A1590&lt;&gt;"",$E1590&gt;0),isLaptopBag($C1590,$J1590)*$D1590,"")</f>
        <v/>
      </c>
      <c r="Z1590" s="70" t="str">
        <f t="shared" si="545"/>
        <v/>
      </c>
      <c r="AA1590" s="70" t="str">
        <f t="shared" si="546"/>
        <v/>
      </c>
      <c r="AB1590" s="70" t="str">
        <f t="shared" si="547"/>
        <v/>
      </c>
      <c r="AC1590" s="70" t="str">
        <f t="shared" si="548"/>
        <v/>
      </c>
      <c r="AD1590" s="70" t="str">
        <f t="shared" si="549"/>
        <v/>
      </c>
      <c r="AE1590" s="70" t="str">
        <f t="shared" si="550"/>
        <v/>
      </c>
      <c r="AF1590" s="16"/>
      <c r="AG1590" s="23"/>
      <c r="AH1590" s="22"/>
      <c r="AJ1590" s="83">
        <f t="shared" si="551"/>
        <v>0</v>
      </c>
      <c r="AO1590" s="22" t="str">
        <f t="shared" si="552"/>
        <v/>
      </c>
      <c r="AP1590" s="22" t="str">
        <f t="shared" si="553"/>
        <v/>
      </c>
    </row>
    <row r="1591" spans="1:42" x14ac:dyDescent="0.25">
      <c r="A1591" s="10"/>
      <c r="B1591" s="10"/>
      <c r="C1591" s="10"/>
      <c r="D1591" s="10"/>
      <c r="E1591" s="10"/>
      <c r="F1591" s="10"/>
      <c r="G1591" s="10"/>
      <c r="H1591" s="17"/>
      <c r="I1591" s="10"/>
      <c r="J1591" s="10"/>
      <c r="K1591" s="16" t="str">
        <f t="shared" si="532"/>
        <v/>
      </c>
      <c r="L1591" s="23" t="str">
        <f t="shared" si="533"/>
        <v/>
      </c>
      <c r="M1591" s="22" t="str">
        <f t="shared" si="534"/>
        <v/>
      </c>
      <c r="N1591" s="72"/>
      <c r="O1591" s="16" t="str">
        <f t="shared" si="535"/>
        <v/>
      </c>
      <c r="P1591" s="16" t="str">
        <f t="shared" si="536"/>
        <v/>
      </c>
      <c r="Q1591" s="16" t="str">
        <f t="shared" si="537"/>
        <v/>
      </c>
      <c r="R1591" s="23" t="str">
        <f t="shared" si="538"/>
        <v/>
      </c>
      <c r="S1591" s="23" t="str">
        <f t="shared" si="539"/>
        <v/>
      </c>
      <c r="T1591" s="23" t="str">
        <f t="shared" si="540"/>
        <v/>
      </c>
      <c r="U1591" s="23" t="str">
        <f t="shared" si="541"/>
        <v/>
      </c>
      <c r="V1591" s="23" t="str">
        <f t="shared" si="542"/>
        <v/>
      </c>
      <c r="W1591" s="70" t="str">
        <f t="shared" si="543"/>
        <v/>
      </c>
      <c r="X1591" s="70" t="str">
        <f t="shared" si="544"/>
        <v/>
      </c>
      <c r="Y1591" s="70" t="str">
        <f>IF(AND($A1591&lt;&gt;"",$E1591&gt;0),isLaptopBag($C1591,$J1591)*$D1591,"")</f>
        <v/>
      </c>
      <c r="Z1591" s="70" t="str">
        <f t="shared" si="545"/>
        <v/>
      </c>
      <c r="AA1591" s="70" t="str">
        <f t="shared" si="546"/>
        <v/>
      </c>
      <c r="AB1591" s="70" t="str">
        <f t="shared" si="547"/>
        <v/>
      </c>
      <c r="AC1591" s="70" t="str">
        <f t="shared" si="548"/>
        <v/>
      </c>
      <c r="AD1591" s="70" t="str">
        <f t="shared" si="549"/>
        <v/>
      </c>
      <c r="AE1591" s="70" t="str">
        <f t="shared" si="550"/>
        <v/>
      </c>
      <c r="AF1591" s="16"/>
      <c r="AG1591" s="23"/>
      <c r="AH1591" s="22"/>
      <c r="AJ1591" s="83">
        <f t="shared" si="551"/>
        <v>0</v>
      </c>
      <c r="AO1591" s="22" t="str">
        <f t="shared" si="552"/>
        <v/>
      </c>
      <c r="AP1591" s="22" t="str">
        <f t="shared" si="553"/>
        <v/>
      </c>
    </row>
    <row r="1592" spans="1:42" x14ac:dyDescent="0.25">
      <c r="A1592" s="10"/>
      <c r="B1592" s="10"/>
      <c r="C1592" s="10"/>
      <c r="D1592" s="10"/>
      <c r="E1592" s="10"/>
      <c r="F1592" s="10"/>
      <c r="G1592" s="10"/>
      <c r="H1592" s="17"/>
      <c r="I1592" s="10"/>
      <c r="J1592" s="10"/>
      <c r="K1592" s="16" t="str">
        <f t="shared" si="532"/>
        <v/>
      </c>
      <c r="L1592" s="23" t="str">
        <f t="shared" si="533"/>
        <v/>
      </c>
      <c r="M1592" s="22" t="str">
        <f t="shared" si="534"/>
        <v/>
      </c>
      <c r="N1592" s="72"/>
      <c r="O1592" s="16" t="str">
        <f t="shared" si="535"/>
        <v/>
      </c>
      <c r="P1592" s="16" t="str">
        <f t="shared" si="536"/>
        <v/>
      </c>
      <c r="Q1592" s="16" t="str">
        <f t="shared" si="537"/>
        <v/>
      </c>
      <c r="R1592" s="23" t="str">
        <f t="shared" si="538"/>
        <v/>
      </c>
      <c r="S1592" s="23" t="str">
        <f t="shared" si="539"/>
        <v/>
      </c>
      <c r="T1592" s="23" t="str">
        <f t="shared" si="540"/>
        <v/>
      </c>
      <c r="U1592" s="23" t="str">
        <f t="shared" si="541"/>
        <v/>
      </c>
      <c r="V1592" s="23" t="str">
        <f t="shared" si="542"/>
        <v/>
      </c>
      <c r="W1592" s="70" t="str">
        <f t="shared" si="543"/>
        <v/>
      </c>
      <c r="X1592" s="70" t="str">
        <f t="shared" si="544"/>
        <v/>
      </c>
      <c r="Y1592" s="70" t="str">
        <f>IF(AND($A1592&lt;&gt;"",$E1592&gt;0),isLaptopBag($C1592,$J1592)*$D1592,"")</f>
        <v/>
      </c>
      <c r="Z1592" s="70" t="str">
        <f t="shared" si="545"/>
        <v/>
      </c>
      <c r="AA1592" s="70" t="str">
        <f t="shared" si="546"/>
        <v/>
      </c>
      <c r="AB1592" s="70" t="str">
        <f t="shared" si="547"/>
        <v/>
      </c>
      <c r="AC1592" s="70" t="str">
        <f t="shared" si="548"/>
        <v/>
      </c>
      <c r="AD1592" s="70" t="str">
        <f t="shared" si="549"/>
        <v/>
      </c>
      <c r="AE1592" s="70" t="str">
        <f t="shared" si="550"/>
        <v/>
      </c>
      <c r="AF1592" s="16"/>
      <c r="AG1592" s="23"/>
      <c r="AH1592" s="22"/>
      <c r="AJ1592" s="83">
        <f t="shared" si="551"/>
        <v>0</v>
      </c>
      <c r="AO1592" s="22" t="str">
        <f t="shared" si="552"/>
        <v/>
      </c>
      <c r="AP1592" s="22" t="str">
        <f t="shared" si="553"/>
        <v/>
      </c>
    </row>
    <row r="1593" spans="1:42" x14ac:dyDescent="0.25">
      <c r="A1593" s="10"/>
      <c r="B1593" s="10"/>
      <c r="C1593" s="10"/>
      <c r="D1593" s="10"/>
      <c r="E1593" s="10"/>
      <c r="F1593" s="10"/>
      <c r="G1593" s="10"/>
      <c r="H1593" s="17"/>
      <c r="I1593" s="10"/>
      <c r="J1593" s="10"/>
      <c r="K1593" s="16" t="str">
        <f t="shared" si="532"/>
        <v/>
      </c>
      <c r="L1593" s="23" t="str">
        <f t="shared" si="533"/>
        <v/>
      </c>
      <c r="M1593" s="22" t="str">
        <f t="shared" si="534"/>
        <v/>
      </c>
      <c r="N1593" s="72"/>
      <c r="O1593" s="16" t="str">
        <f t="shared" si="535"/>
        <v/>
      </c>
      <c r="P1593" s="16" t="str">
        <f t="shared" si="536"/>
        <v/>
      </c>
      <c r="Q1593" s="16" t="str">
        <f t="shared" si="537"/>
        <v/>
      </c>
      <c r="R1593" s="23" t="str">
        <f t="shared" si="538"/>
        <v/>
      </c>
      <c r="S1593" s="23" t="str">
        <f t="shared" si="539"/>
        <v/>
      </c>
      <c r="T1593" s="23" t="str">
        <f t="shared" si="540"/>
        <v/>
      </c>
      <c r="U1593" s="23" t="str">
        <f t="shared" si="541"/>
        <v/>
      </c>
      <c r="V1593" s="23" t="str">
        <f t="shared" si="542"/>
        <v/>
      </c>
      <c r="W1593" s="70" t="str">
        <f t="shared" si="543"/>
        <v/>
      </c>
      <c r="X1593" s="70" t="str">
        <f t="shared" si="544"/>
        <v/>
      </c>
      <c r="Y1593" s="70" t="str">
        <f>IF(AND($A1593&lt;&gt;"",$E1593&gt;0),isLaptopBag($C1593,$J1593)*$D1593,"")</f>
        <v/>
      </c>
      <c r="Z1593" s="70" t="str">
        <f t="shared" si="545"/>
        <v/>
      </c>
      <c r="AA1593" s="70" t="str">
        <f t="shared" si="546"/>
        <v/>
      </c>
      <c r="AB1593" s="70" t="str">
        <f t="shared" si="547"/>
        <v/>
      </c>
      <c r="AC1593" s="70" t="str">
        <f t="shared" si="548"/>
        <v/>
      </c>
      <c r="AD1593" s="70" t="str">
        <f t="shared" si="549"/>
        <v/>
      </c>
      <c r="AE1593" s="70" t="str">
        <f t="shared" si="550"/>
        <v/>
      </c>
      <c r="AF1593" s="16"/>
      <c r="AG1593" s="23"/>
      <c r="AH1593" s="22"/>
      <c r="AJ1593" s="83">
        <f t="shared" si="551"/>
        <v>0</v>
      </c>
      <c r="AO1593" s="22" t="str">
        <f t="shared" si="552"/>
        <v/>
      </c>
      <c r="AP1593" s="22" t="str">
        <f t="shared" si="553"/>
        <v/>
      </c>
    </row>
    <row r="1594" spans="1:42" x14ac:dyDescent="0.25">
      <c r="A1594" s="10"/>
      <c r="B1594" s="10"/>
      <c r="C1594" s="10"/>
      <c r="D1594" s="10"/>
      <c r="E1594" s="10"/>
      <c r="F1594" s="10"/>
      <c r="G1594" s="10"/>
      <c r="H1594" s="17"/>
      <c r="I1594" s="10"/>
      <c r="J1594" s="10"/>
      <c r="K1594" s="16" t="str">
        <f t="shared" si="532"/>
        <v/>
      </c>
      <c r="L1594" s="23" t="str">
        <f t="shared" si="533"/>
        <v/>
      </c>
      <c r="M1594" s="22" t="str">
        <f t="shared" si="534"/>
        <v/>
      </c>
      <c r="N1594" s="72"/>
      <c r="O1594" s="16" t="str">
        <f t="shared" si="535"/>
        <v/>
      </c>
      <c r="P1594" s="16" t="str">
        <f t="shared" si="536"/>
        <v/>
      </c>
      <c r="Q1594" s="16" t="str">
        <f t="shared" si="537"/>
        <v/>
      </c>
      <c r="R1594" s="23" t="str">
        <f t="shared" si="538"/>
        <v/>
      </c>
      <c r="S1594" s="23" t="str">
        <f t="shared" si="539"/>
        <v/>
      </c>
      <c r="T1594" s="23" t="str">
        <f t="shared" si="540"/>
        <v/>
      </c>
      <c r="U1594" s="23" t="str">
        <f t="shared" si="541"/>
        <v/>
      </c>
      <c r="V1594" s="23" t="str">
        <f t="shared" si="542"/>
        <v/>
      </c>
      <c r="W1594" s="70" t="str">
        <f t="shared" si="543"/>
        <v/>
      </c>
      <c r="X1594" s="70" t="str">
        <f t="shared" si="544"/>
        <v/>
      </c>
      <c r="Y1594" s="70" t="str">
        <f>IF(AND($A1594&lt;&gt;"",$E1594&gt;0),isLaptopBag($C1594,$J1594)*$D1594,"")</f>
        <v/>
      </c>
      <c r="Z1594" s="70" t="str">
        <f t="shared" si="545"/>
        <v/>
      </c>
      <c r="AA1594" s="70" t="str">
        <f t="shared" si="546"/>
        <v/>
      </c>
      <c r="AB1594" s="70" t="str">
        <f t="shared" si="547"/>
        <v/>
      </c>
      <c r="AC1594" s="70" t="str">
        <f t="shared" si="548"/>
        <v/>
      </c>
      <c r="AD1594" s="70" t="str">
        <f t="shared" si="549"/>
        <v/>
      </c>
      <c r="AE1594" s="70" t="str">
        <f t="shared" si="550"/>
        <v/>
      </c>
      <c r="AF1594" s="16"/>
      <c r="AG1594" s="23"/>
      <c r="AH1594" s="22"/>
      <c r="AJ1594" s="83">
        <f t="shared" si="551"/>
        <v>0</v>
      </c>
      <c r="AO1594" s="22" t="str">
        <f t="shared" si="552"/>
        <v/>
      </c>
      <c r="AP1594" s="22" t="str">
        <f t="shared" si="553"/>
        <v/>
      </c>
    </row>
    <row r="1595" spans="1:42" x14ac:dyDescent="0.25">
      <c r="A1595" s="10"/>
      <c r="B1595" s="10"/>
      <c r="C1595" s="10"/>
      <c r="D1595" s="10"/>
      <c r="E1595" s="10"/>
      <c r="F1595" s="10"/>
      <c r="G1595" s="10"/>
      <c r="H1595" s="17"/>
      <c r="I1595" s="10"/>
      <c r="J1595" s="10"/>
      <c r="K1595" s="16" t="str">
        <f t="shared" si="532"/>
        <v/>
      </c>
      <c r="L1595" s="23" t="str">
        <f t="shared" si="533"/>
        <v/>
      </c>
      <c r="M1595" s="22" t="str">
        <f t="shared" si="534"/>
        <v/>
      </c>
      <c r="N1595" s="72"/>
      <c r="O1595" s="16" t="str">
        <f t="shared" si="535"/>
        <v/>
      </c>
      <c r="P1595" s="16" t="str">
        <f t="shared" si="536"/>
        <v/>
      </c>
      <c r="Q1595" s="16" t="str">
        <f t="shared" si="537"/>
        <v/>
      </c>
      <c r="R1595" s="23" t="str">
        <f t="shared" si="538"/>
        <v/>
      </c>
      <c r="S1595" s="23" t="str">
        <f t="shared" si="539"/>
        <v/>
      </c>
      <c r="T1595" s="23" t="str">
        <f t="shared" si="540"/>
        <v/>
      </c>
      <c r="U1595" s="23" t="str">
        <f t="shared" si="541"/>
        <v/>
      </c>
      <c r="V1595" s="23" t="str">
        <f t="shared" si="542"/>
        <v/>
      </c>
      <c r="W1595" s="70" t="str">
        <f t="shared" si="543"/>
        <v/>
      </c>
      <c r="X1595" s="70" t="str">
        <f t="shared" si="544"/>
        <v/>
      </c>
      <c r="Y1595" s="70" t="str">
        <f>IF(AND($A1595&lt;&gt;"",$E1595&gt;0),isLaptopBag($C1595,$J1595)*$D1595,"")</f>
        <v/>
      </c>
      <c r="Z1595" s="70" t="str">
        <f t="shared" si="545"/>
        <v/>
      </c>
      <c r="AA1595" s="70" t="str">
        <f t="shared" si="546"/>
        <v/>
      </c>
      <c r="AB1595" s="70" t="str">
        <f t="shared" si="547"/>
        <v/>
      </c>
      <c r="AC1595" s="70" t="str">
        <f t="shared" si="548"/>
        <v/>
      </c>
      <c r="AD1595" s="70" t="str">
        <f t="shared" si="549"/>
        <v/>
      </c>
      <c r="AE1595" s="70" t="str">
        <f t="shared" si="550"/>
        <v/>
      </c>
      <c r="AF1595" s="16"/>
      <c r="AG1595" s="23"/>
      <c r="AH1595" s="22"/>
      <c r="AJ1595" s="83">
        <f t="shared" si="551"/>
        <v>0</v>
      </c>
      <c r="AO1595" s="22" t="str">
        <f t="shared" si="552"/>
        <v/>
      </c>
      <c r="AP1595" s="22" t="str">
        <f t="shared" si="553"/>
        <v/>
      </c>
    </row>
    <row r="1596" spans="1:42" x14ac:dyDescent="0.25">
      <c r="A1596" s="10"/>
      <c r="B1596" s="10"/>
      <c r="C1596" s="10"/>
      <c r="D1596" s="10"/>
      <c r="E1596" s="10"/>
      <c r="F1596" s="10"/>
      <c r="G1596" s="10"/>
      <c r="H1596" s="17"/>
      <c r="I1596" s="10"/>
      <c r="J1596" s="10"/>
      <c r="K1596" s="16" t="str">
        <f t="shared" si="532"/>
        <v/>
      </c>
      <c r="L1596" s="23" t="str">
        <f t="shared" si="533"/>
        <v/>
      </c>
      <c r="M1596" s="22" t="str">
        <f t="shared" si="534"/>
        <v/>
      </c>
      <c r="N1596" s="72"/>
      <c r="O1596" s="16" t="str">
        <f t="shared" si="535"/>
        <v/>
      </c>
      <c r="P1596" s="16" t="str">
        <f t="shared" si="536"/>
        <v/>
      </c>
      <c r="Q1596" s="16" t="str">
        <f t="shared" si="537"/>
        <v/>
      </c>
      <c r="R1596" s="23" t="str">
        <f t="shared" si="538"/>
        <v/>
      </c>
      <c r="S1596" s="23" t="str">
        <f t="shared" si="539"/>
        <v/>
      </c>
      <c r="T1596" s="23" t="str">
        <f t="shared" si="540"/>
        <v/>
      </c>
      <c r="U1596" s="23" t="str">
        <f t="shared" si="541"/>
        <v/>
      </c>
      <c r="V1596" s="23" t="str">
        <f t="shared" si="542"/>
        <v/>
      </c>
      <c r="W1596" s="70" t="str">
        <f t="shared" si="543"/>
        <v/>
      </c>
      <c r="X1596" s="70" t="str">
        <f t="shared" si="544"/>
        <v/>
      </c>
      <c r="Y1596" s="70" t="str">
        <f>IF(AND($A1596&lt;&gt;"",$E1596&gt;0),isLaptopBag($C1596,$J1596)*$D1596,"")</f>
        <v/>
      </c>
      <c r="Z1596" s="70" t="str">
        <f t="shared" si="545"/>
        <v/>
      </c>
      <c r="AA1596" s="70" t="str">
        <f t="shared" si="546"/>
        <v/>
      </c>
      <c r="AB1596" s="70" t="str">
        <f t="shared" si="547"/>
        <v/>
      </c>
      <c r="AC1596" s="70" t="str">
        <f t="shared" si="548"/>
        <v/>
      </c>
      <c r="AD1596" s="70" t="str">
        <f t="shared" si="549"/>
        <v/>
      </c>
      <c r="AE1596" s="70" t="str">
        <f t="shared" si="550"/>
        <v/>
      </c>
      <c r="AF1596" s="16"/>
      <c r="AG1596" s="23"/>
      <c r="AH1596" s="22"/>
      <c r="AJ1596" s="83">
        <f t="shared" si="551"/>
        <v>0</v>
      </c>
      <c r="AO1596" s="22" t="str">
        <f t="shared" si="552"/>
        <v/>
      </c>
      <c r="AP1596" s="22" t="str">
        <f t="shared" si="553"/>
        <v/>
      </c>
    </row>
    <row r="1597" spans="1:42" x14ac:dyDescent="0.25">
      <c r="A1597" s="10"/>
      <c r="B1597" s="10"/>
      <c r="C1597" s="10"/>
      <c r="D1597" s="10"/>
      <c r="E1597" s="10"/>
      <c r="F1597" s="10"/>
      <c r="G1597" s="10"/>
      <c r="H1597" s="17"/>
      <c r="I1597" s="10"/>
      <c r="J1597" s="10"/>
      <c r="K1597" s="16" t="str">
        <f t="shared" si="532"/>
        <v/>
      </c>
      <c r="L1597" s="23" t="str">
        <f t="shared" si="533"/>
        <v/>
      </c>
      <c r="M1597" s="22" t="str">
        <f t="shared" si="534"/>
        <v/>
      </c>
      <c r="N1597" s="72"/>
      <c r="O1597" s="16" t="str">
        <f t="shared" si="535"/>
        <v/>
      </c>
      <c r="P1597" s="16" t="str">
        <f t="shared" si="536"/>
        <v/>
      </c>
      <c r="Q1597" s="16" t="str">
        <f t="shared" si="537"/>
        <v/>
      </c>
      <c r="R1597" s="23" t="str">
        <f t="shared" si="538"/>
        <v/>
      </c>
      <c r="S1597" s="23" t="str">
        <f t="shared" si="539"/>
        <v/>
      </c>
      <c r="T1597" s="23" t="str">
        <f t="shared" si="540"/>
        <v/>
      </c>
      <c r="U1597" s="23" t="str">
        <f t="shared" si="541"/>
        <v/>
      </c>
      <c r="V1597" s="23" t="str">
        <f t="shared" si="542"/>
        <v/>
      </c>
      <c r="W1597" s="70" t="str">
        <f t="shared" si="543"/>
        <v/>
      </c>
      <c r="X1597" s="70" t="str">
        <f t="shared" si="544"/>
        <v/>
      </c>
      <c r="Y1597" s="70" t="str">
        <f>IF(AND($A1597&lt;&gt;"",$E1597&gt;0),isLaptopBag($C1597,$J1597)*$D1597,"")</f>
        <v/>
      </c>
      <c r="Z1597" s="70" t="str">
        <f t="shared" si="545"/>
        <v/>
      </c>
      <c r="AA1597" s="70" t="str">
        <f t="shared" si="546"/>
        <v/>
      </c>
      <c r="AB1597" s="70" t="str">
        <f t="shared" si="547"/>
        <v/>
      </c>
      <c r="AC1597" s="70" t="str">
        <f t="shared" si="548"/>
        <v/>
      </c>
      <c r="AD1597" s="70" t="str">
        <f t="shared" si="549"/>
        <v/>
      </c>
      <c r="AE1597" s="70" t="str">
        <f t="shared" si="550"/>
        <v/>
      </c>
      <c r="AF1597" s="16"/>
      <c r="AG1597" s="23"/>
      <c r="AH1597" s="22"/>
      <c r="AJ1597" s="83">
        <f t="shared" si="551"/>
        <v>0</v>
      </c>
      <c r="AO1597" s="22" t="str">
        <f t="shared" si="552"/>
        <v/>
      </c>
      <c r="AP1597" s="22" t="str">
        <f t="shared" si="553"/>
        <v/>
      </c>
    </row>
    <row r="1598" spans="1:42" x14ac:dyDescent="0.25">
      <c r="A1598" s="10"/>
      <c r="B1598" s="10"/>
      <c r="C1598" s="10"/>
      <c r="D1598" s="10"/>
      <c r="E1598" s="10"/>
      <c r="F1598" s="10"/>
      <c r="G1598" s="10"/>
      <c r="H1598" s="17"/>
      <c r="I1598" s="10"/>
      <c r="J1598" s="10"/>
      <c r="K1598" s="16" t="str">
        <f t="shared" si="532"/>
        <v/>
      </c>
      <c r="L1598" s="23" t="str">
        <f t="shared" si="533"/>
        <v/>
      </c>
      <c r="M1598" s="22" t="str">
        <f t="shared" si="534"/>
        <v/>
      </c>
      <c r="N1598" s="72"/>
      <c r="O1598" s="16" t="str">
        <f t="shared" si="535"/>
        <v/>
      </c>
      <c r="P1598" s="16" t="str">
        <f t="shared" si="536"/>
        <v/>
      </c>
      <c r="Q1598" s="16" t="str">
        <f t="shared" si="537"/>
        <v/>
      </c>
      <c r="R1598" s="23" t="str">
        <f t="shared" si="538"/>
        <v/>
      </c>
      <c r="S1598" s="23" t="str">
        <f t="shared" si="539"/>
        <v/>
      </c>
      <c r="T1598" s="23" t="str">
        <f t="shared" si="540"/>
        <v/>
      </c>
      <c r="U1598" s="23" t="str">
        <f t="shared" si="541"/>
        <v/>
      </c>
      <c r="V1598" s="23" t="str">
        <f t="shared" si="542"/>
        <v/>
      </c>
      <c r="W1598" s="70" t="str">
        <f t="shared" si="543"/>
        <v/>
      </c>
      <c r="X1598" s="70" t="str">
        <f t="shared" si="544"/>
        <v/>
      </c>
      <c r="Y1598" s="70" t="str">
        <f>IF(AND($A1598&lt;&gt;"",$E1598&gt;0),isLaptopBag($C1598,$J1598)*$D1598,"")</f>
        <v/>
      </c>
      <c r="Z1598" s="70" t="str">
        <f t="shared" si="545"/>
        <v/>
      </c>
      <c r="AA1598" s="70" t="str">
        <f t="shared" si="546"/>
        <v/>
      </c>
      <c r="AB1598" s="70" t="str">
        <f t="shared" si="547"/>
        <v/>
      </c>
      <c r="AC1598" s="70" t="str">
        <f t="shared" si="548"/>
        <v/>
      </c>
      <c r="AD1598" s="70" t="str">
        <f t="shared" si="549"/>
        <v/>
      </c>
      <c r="AE1598" s="70" t="str">
        <f t="shared" si="550"/>
        <v/>
      </c>
      <c r="AF1598" s="16"/>
      <c r="AG1598" s="23"/>
      <c r="AH1598" s="22"/>
      <c r="AJ1598" s="83">
        <f t="shared" si="551"/>
        <v>0</v>
      </c>
      <c r="AO1598" s="22" t="str">
        <f t="shared" si="552"/>
        <v/>
      </c>
      <c r="AP1598" s="22" t="str">
        <f t="shared" si="553"/>
        <v/>
      </c>
    </row>
    <row r="1599" spans="1:42" x14ac:dyDescent="0.25">
      <c r="A1599" s="10"/>
      <c r="B1599" s="10"/>
      <c r="C1599" s="10"/>
      <c r="D1599" s="10"/>
      <c r="E1599" s="10"/>
      <c r="F1599" s="10"/>
      <c r="G1599" s="10"/>
      <c r="H1599" s="17"/>
      <c r="I1599" s="10"/>
      <c r="J1599" s="10"/>
      <c r="K1599" s="16" t="str">
        <f t="shared" si="532"/>
        <v/>
      </c>
      <c r="L1599" s="23" t="str">
        <f t="shared" si="533"/>
        <v/>
      </c>
      <c r="M1599" s="22" t="str">
        <f t="shared" si="534"/>
        <v/>
      </c>
      <c r="N1599" s="72"/>
      <c r="O1599" s="16" t="str">
        <f t="shared" si="535"/>
        <v/>
      </c>
      <c r="P1599" s="16" t="str">
        <f t="shared" si="536"/>
        <v/>
      </c>
      <c r="Q1599" s="16" t="str">
        <f t="shared" si="537"/>
        <v/>
      </c>
      <c r="R1599" s="23" t="str">
        <f t="shared" si="538"/>
        <v/>
      </c>
      <c r="S1599" s="23" t="str">
        <f t="shared" si="539"/>
        <v/>
      </c>
      <c r="T1599" s="23" t="str">
        <f t="shared" si="540"/>
        <v/>
      </c>
      <c r="U1599" s="23" t="str">
        <f t="shared" si="541"/>
        <v/>
      </c>
      <c r="V1599" s="23" t="str">
        <f t="shared" si="542"/>
        <v/>
      </c>
      <c r="W1599" s="70" t="str">
        <f t="shared" si="543"/>
        <v/>
      </c>
      <c r="X1599" s="70" t="str">
        <f t="shared" si="544"/>
        <v/>
      </c>
      <c r="Y1599" s="70" t="str">
        <f>IF(AND($A1599&lt;&gt;"",$E1599&gt;0),isLaptopBag($C1599,$J1599)*$D1599,"")</f>
        <v/>
      </c>
      <c r="Z1599" s="70" t="str">
        <f t="shared" si="545"/>
        <v/>
      </c>
      <c r="AA1599" s="70" t="str">
        <f t="shared" si="546"/>
        <v/>
      </c>
      <c r="AB1599" s="70" t="str">
        <f t="shared" si="547"/>
        <v/>
      </c>
      <c r="AC1599" s="70" t="str">
        <f t="shared" si="548"/>
        <v/>
      </c>
      <c r="AD1599" s="70" t="str">
        <f t="shared" si="549"/>
        <v/>
      </c>
      <c r="AE1599" s="70" t="str">
        <f t="shared" si="550"/>
        <v/>
      </c>
      <c r="AF1599" s="16"/>
      <c r="AG1599" s="23"/>
      <c r="AH1599" s="22"/>
      <c r="AJ1599" s="83">
        <f t="shared" si="551"/>
        <v>0</v>
      </c>
      <c r="AO1599" s="22" t="str">
        <f t="shared" si="552"/>
        <v/>
      </c>
      <c r="AP1599" s="22" t="str">
        <f t="shared" si="553"/>
        <v/>
      </c>
    </row>
    <row r="1600" spans="1:42" x14ac:dyDescent="0.25">
      <c r="A1600" s="10"/>
      <c r="B1600" s="10"/>
      <c r="C1600" s="10"/>
      <c r="D1600" s="10"/>
      <c r="E1600" s="10"/>
      <c r="F1600" s="10"/>
      <c r="G1600" s="10"/>
      <c r="H1600" s="17"/>
      <c r="I1600" s="10"/>
      <c r="J1600" s="10"/>
      <c r="K1600" s="16" t="str">
        <f t="shared" si="532"/>
        <v/>
      </c>
      <c r="L1600" s="23" t="str">
        <f t="shared" si="533"/>
        <v/>
      </c>
      <c r="M1600" s="22" t="str">
        <f t="shared" si="534"/>
        <v/>
      </c>
      <c r="N1600" s="72"/>
      <c r="O1600" s="16" t="str">
        <f t="shared" si="535"/>
        <v/>
      </c>
      <c r="P1600" s="16" t="str">
        <f t="shared" si="536"/>
        <v/>
      </c>
      <c r="Q1600" s="16" t="str">
        <f t="shared" si="537"/>
        <v/>
      </c>
      <c r="R1600" s="23" t="str">
        <f t="shared" si="538"/>
        <v/>
      </c>
      <c r="S1600" s="23" t="str">
        <f t="shared" si="539"/>
        <v/>
      </c>
      <c r="T1600" s="23" t="str">
        <f t="shared" si="540"/>
        <v/>
      </c>
      <c r="U1600" s="23" t="str">
        <f t="shared" si="541"/>
        <v/>
      </c>
      <c r="V1600" s="23" t="str">
        <f t="shared" si="542"/>
        <v/>
      </c>
      <c r="W1600" s="70" t="str">
        <f t="shared" si="543"/>
        <v/>
      </c>
      <c r="X1600" s="70" t="str">
        <f t="shared" si="544"/>
        <v/>
      </c>
      <c r="Y1600" s="70" t="str">
        <f>IF(AND($A1600&lt;&gt;"",$E1600&gt;0),isLaptopBag($C1600,$J1600)*$D1600,"")</f>
        <v/>
      </c>
      <c r="Z1600" s="70" t="str">
        <f t="shared" si="545"/>
        <v/>
      </c>
      <c r="AA1600" s="70" t="str">
        <f t="shared" si="546"/>
        <v/>
      </c>
      <c r="AB1600" s="70" t="str">
        <f t="shared" si="547"/>
        <v/>
      </c>
      <c r="AC1600" s="70" t="str">
        <f t="shared" si="548"/>
        <v/>
      </c>
      <c r="AD1600" s="70" t="str">
        <f t="shared" si="549"/>
        <v/>
      </c>
      <c r="AE1600" s="70" t="str">
        <f t="shared" si="550"/>
        <v/>
      </c>
      <c r="AF1600" s="16"/>
      <c r="AG1600" s="23"/>
      <c r="AH1600" s="22"/>
      <c r="AJ1600" s="83">
        <f t="shared" si="551"/>
        <v>0</v>
      </c>
      <c r="AO1600" s="22" t="str">
        <f t="shared" si="552"/>
        <v/>
      </c>
      <c r="AP1600" s="22" t="str">
        <f t="shared" si="553"/>
        <v/>
      </c>
    </row>
    <row r="1601" spans="1:42" x14ac:dyDescent="0.25">
      <c r="A1601" s="10"/>
      <c r="B1601" s="10"/>
      <c r="C1601" s="10"/>
      <c r="D1601" s="10"/>
      <c r="E1601" s="10"/>
      <c r="F1601" s="10"/>
      <c r="G1601" s="10"/>
      <c r="H1601" s="17"/>
      <c r="I1601" s="10"/>
      <c r="J1601" s="10"/>
      <c r="K1601" s="16" t="str">
        <f t="shared" si="532"/>
        <v/>
      </c>
      <c r="L1601" s="23" t="str">
        <f t="shared" si="533"/>
        <v/>
      </c>
      <c r="M1601" s="22" t="str">
        <f t="shared" si="534"/>
        <v/>
      </c>
      <c r="N1601" s="72"/>
      <c r="O1601" s="16" t="str">
        <f t="shared" si="535"/>
        <v/>
      </c>
      <c r="P1601" s="16" t="str">
        <f t="shared" si="536"/>
        <v/>
      </c>
      <c r="Q1601" s="16" t="str">
        <f t="shared" si="537"/>
        <v/>
      </c>
      <c r="R1601" s="23" t="str">
        <f t="shared" si="538"/>
        <v/>
      </c>
      <c r="S1601" s="23" t="str">
        <f t="shared" si="539"/>
        <v/>
      </c>
      <c r="T1601" s="23" t="str">
        <f t="shared" si="540"/>
        <v/>
      </c>
      <c r="U1601" s="23" t="str">
        <f t="shared" si="541"/>
        <v/>
      </c>
      <c r="V1601" s="23" t="str">
        <f t="shared" si="542"/>
        <v/>
      </c>
      <c r="W1601" s="70" t="str">
        <f t="shared" si="543"/>
        <v/>
      </c>
      <c r="X1601" s="70" t="str">
        <f t="shared" si="544"/>
        <v/>
      </c>
      <c r="Y1601" s="70" t="str">
        <f>IF(AND($A1601&lt;&gt;"",$E1601&gt;0),isLaptopBag($C1601,$J1601)*$D1601,"")</f>
        <v/>
      </c>
      <c r="Z1601" s="70" t="str">
        <f t="shared" si="545"/>
        <v/>
      </c>
      <c r="AA1601" s="70" t="str">
        <f t="shared" si="546"/>
        <v/>
      </c>
      <c r="AB1601" s="70" t="str">
        <f t="shared" si="547"/>
        <v/>
      </c>
      <c r="AC1601" s="70" t="str">
        <f t="shared" si="548"/>
        <v/>
      </c>
      <c r="AD1601" s="70" t="str">
        <f t="shared" si="549"/>
        <v/>
      </c>
      <c r="AE1601" s="70" t="str">
        <f t="shared" si="550"/>
        <v/>
      </c>
      <c r="AF1601" s="16"/>
      <c r="AG1601" s="23"/>
      <c r="AH1601" s="22"/>
      <c r="AJ1601" s="83">
        <f t="shared" si="551"/>
        <v>0</v>
      </c>
      <c r="AO1601" s="22" t="str">
        <f t="shared" si="552"/>
        <v/>
      </c>
      <c r="AP1601" s="22" t="str">
        <f t="shared" si="553"/>
        <v/>
      </c>
    </row>
    <row r="1602" spans="1:42" x14ac:dyDescent="0.25">
      <c r="A1602" s="10"/>
      <c r="B1602" s="10"/>
      <c r="C1602" s="10"/>
      <c r="D1602" s="10"/>
      <c r="E1602" s="10"/>
      <c r="F1602" s="10"/>
      <c r="G1602" s="10"/>
      <c r="H1602" s="17"/>
      <c r="I1602" s="10"/>
      <c r="J1602" s="10"/>
      <c r="K1602" s="16" t="str">
        <f t="shared" si="532"/>
        <v/>
      </c>
      <c r="L1602" s="23" t="str">
        <f t="shared" si="533"/>
        <v/>
      </c>
      <c r="M1602" s="22" t="str">
        <f t="shared" si="534"/>
        <v/>
      </c>
      <c r="N1602" s="72"/>
      <c r="O1602" s="16" t="str">
        <f t="shared" si="535"/>
        <v/>
      </c>
      <c r="P1602" s="16" t="str">
        <f t="shared" si="536"/>
        <v/>
      </c>
      <c r="Q1602" s="16" t="str">
        <f t="shared" si="537"/>
        <v/>
      </c>
      <c r="R1602" s="23" t="str">
        <f t="shared" si="538"/>
        <v/>
      </c>
      <c r="S1602" s="23" t="str">
        <f t="shared" si="539"/>
        <v/>
      </c>
      <c r="T1602" s="23" t="str">
        <f t="shared" si="540"/>
        <v/>
      </c>
      <c r="U1602" s="23" t="str">
        <f t="shared" si="541"/>
        <v/>
      </c>
      <c r="V1602" s="23" t="str">
        <f t="shared" si="542"/>
        <v/>
      </c>
      <c r="W1602" s="70" t="str">
        <f t="shared" si="543"/>
        <v/>
      </c>
      <c r="X1602" s="70" t="str">
        <f t="shared" si="544"/>
        <v/>
      </c>
      <c r="Y1602" s="70" t="str">
        <f>IF(AND($A1602&lt;&gt;"",$E1602&gt;0),isLaptopBag($C1602,$J1602)*$D1602,"")</f>
        <v/>
      </c>
      <c r="Z1602" s="70" t="str">
        <f t="shared" si="545"/>
        <v/>
      </c>
      <c r="AA1602" s="70" t="str">
        <f t="shared" si="546"/>
        <v/>
      </c>
      <c r="AB1602" s="70" t="str">
        <f t="shared" si="547"/>
        <v/>
      </c>
      <c r="AC1602" s="70" t="str">
        <f t="shared" si="548"/>
        <v/>
      </c>
      <c r="AD1602" s="70" t="str">
        <f t="shared" si="549"/>
        <v/>
      </c>
      <c r="AE1602" s="70" t="str">
        <f t="shared" si="550"/>
        <v/>
      </c>
      <c r="AF1602" s="16"/>
      <c r="AG1602" s="23"/>
      <c r="AH1602" s="22"/>
      <c r="AJ1602" s="83">
        <f t="shared" si="551"/>
        <v>0</v>
      </c>
      <c r="AO1602" s="22" t="str">
        <f t="shared" si="552"/>
        <v/>
      </c>
      <c r="AP1602" s="22" t="str">
        <f t="shared" si="553"/>
        <v/>
      </c>
    </row>
    <row r="1603" spans="1:42" x14ac:dyDescent="0.25">
      <c r="A1603" s="10"/>
      <c r="B1603" s="10"/>
      <c r="C1603" s="10"/>
      <c r="D1603" s="10"/>
      <c r="E1603" s="10"/>
      <c r="F1603" s="10"/>
      <c r="G1603" s="10"/>
      <c r="H1603" s="17"/>
      <c r="I1603" s="10"/>
      <c r="J1603" s="10"/>
      <c r="K1603" s="16" t="str">
        <f t="shared" si="532"/>
        <v/>
      </c>
      <c r="L1603" s="23" t="str">
        <f t="shared" si="533"/>
        <v/>
      </c>
      <c r="M1603" s="22" t="str">
        <f t="shared" si="534"/>
        <v/>
      </c>
      <c r="N1603" s="72"/>
      <c r="O1603" s="16" t="str">
        <f t="shared" si="535"/>
        <v/>
      </c>
      <c r="P1603" s="16" t="str">
        <f t="shared" si="536"/>
        <v/>
      </c>
      <c r="Q1603" s="16" t="str">
        <f t="shared" si="537"/>
        <v/>
      </c>
      <c r="R1603" s="23" t="str">
        <f t="shared" si="538"/>
        <v/>
      </c>
      <c r="S1603" s="23" t="str">
        <f t="shared" si="539"/>
        <v/>
      </c>
      <c r="T1603" s="23" t="str">
        <f t="shared" si="540"/>
        <v/>
      </c>
      <c r="U1603" s="23" t="str">
        <f t="shared" si="541"/>
        <v/>
      </c>
      <c r="V1603" s="23" t="str">
        <f t="shared" si="542"/>
        <v/>
      </c>
      <c r="W1603" s="70" t="str">
        <f t="shared" si="543"/>
        <v/>
      </c>
      <c r="X1603" s="70" t="str">
        <f t="shared" si="544"/>
        <v/>
      </c>
      <c r="Y1603" s="70" t="str">
        <f>IF(AND($A1603&lt;&gt;"",$E1603&gt;0),isLaptopBag($C1603,$J1603)*$D1603,"")</f>
        <v/>
      </c>
      <c r="Z1603" s="70" t="str">
        <f t="shared" si="545"/>
        <v/>
      </c>
      <c r="AA1603" s="70" t="str">
        <f t="shared" si="546"/>
        <v/>
      </c>
      <c r="AB1603" s="70" t="str">
        <f t="shared" si="547"/>
        <v/>
      </c>
      <c r="AC1603" s="70" t="str">
        <f t="shared" si="548"/>
        <v/>
      </c>
      <c r="AD1603" s="70" t="str">
        <f t="shared" si="549"/>
        <v/>
      </c>
      <c r="AE1603" s="70" t="str">
        <f t="shared" si="550"/>
        <v/>
      </c>
      <c r="AF1603" s="16"/>
      <c r="AG1603" s="23"/>
      <c r="AH1603" s="22"/>
      <c r="AJ1603" s="83">
        <f t="shared" si="551"/>
        <v>0</v>
      </c>
      <c r="AO1603" s="22" t="str">
        <f t="shared" si="552"/>
        <v/>
      </c>
      <c r="AP1603" s="22" t="str">
        <f t="shared" si="553"/>
        <v/>
      </c>
    </row>
    <row r="1604" spans="1:42" x14ac:dyDescent="0.25">
      <c r="A1604" s="10"/>
      <c r="B1604" s="10"/>
      <c r="C1604" s="10"/>
      <c r="D1604" s="10"/>
      <c r="E1604" s="10"/>
      <c r="F1604" s="10"/>
      <c r="G1604" s="10"/>
      <c r="H1604" s="17"/>
      <c r="I1604" s="10"/>
      <c r="J1604" s="10"/>
      <c r="K1604" s="16" t="str">
        <f t="shared" si="532"/>
        <v/>
      </c>
      <c r="L1604" s="23" t="str">
        <f t="shared" si="533"/>
        <v/>
      </c>
      <c r="M1604" s="22" t="str">
        <f t="shared" si="534"/>
        <v/>
      </c>
      <c r="N1604" s="72"/>
      <c r="O1604" s="16" t="str">
        <f t="shared" si="535"/>
        <v/>
      </c>
      <c r="P1604" s="16" t="str">
        <f t="shared" si="536"/>
        <v/>
      </c>
      <c r="Q1604" s="16" t="str">
        <f t="shared" si="537"/>
        <v/>
      </c>
      <c r="R1604" s="23" t="str">
        <f t="shared" si="538"/>
        <v/>
      </c>
      <c r="S1604" s="23" t="str">
        <f t="shared" si="539"/>
        <v/>
      </c>
      <c r="T1604" s="23" t="str">
        <f t="shared" si="540"/>
        <v/>
      </c>
      <c r="U1604" s="23" t="str">
        <f t="shared" si="541"/>
        <v/>
      </c>
      <c r="V1604" s="23" t="str">
        <f t="shared" si="542"/>
        <v/>
      </c>
      <c r="W1604" s="70" t="str">
        <f t="shared" si="543"/>
        <v/>
      </c>
      <c r="X1604" s="70" t="str">
        <f t="shared" si="544"/>
        <v/>
      </c>
      <c r="Y1604" s="70" t="str">
        <f>IF(AND($A1604&lt;&gt;"",$E1604&gt;0),isLaptopBag($C1604,$J1604)*$D1604,"")</f>
        <v/>
      </c>
      <c r="Z1604" s="70" t="str">
        <f t="shared" si="545"/>
        <v/>
      </c>
      <c r="AA1604" s="70" t="str">
        <f t="shared" si="546"/>
        <v/>
      </c>
      <c r="AB1604" s="70" t="str">
        <f t="shared" si="547"/>
        <v/>
      </c>
      <c r="AC1604" s="70" t="str">
        <f t="shared" si="548"/>
        <v/>
      </c>
      <c r="AD1604" s="70" t="str">
        <f t="shared" si="549"/>
        <v/>
      </c>
      <c r="AE1604" s="70" t="str">
        <f t="shared" si="550"/>
        <v/>
      </c>
      <c r="AF1604" s="16"/>
      <c r="AG1604" s="23"/>
      <c r="AH1604" s="22"/>
      <c r="AJ1604" s="83">
        <f t="shared" si="551"/>
        <v>0</v>
      </c>
      <c r="AO1604" s="22" t="str">
        <f t="shared" si="552"/>
        <v/>
      </c>
      <c r="AP1604" s="22" t="str">
        <f t="shared" si="553"/>
        <v/>
      </c>
    </row>
    <row r="1605" spans="1:42" x14ac:dyDescent="0.25">
      <c r="A1605" s="10"/>
      <c r="B1605" s="10"/>
      <c r="C1605" s="10"/>
      <c r="D1605" s="10"/>
      <c r="E1605" s="10"/>
      <c r="F1605" s="10"/>
      <c r="G1605" s="10"/>
      <c r="H1605" s="17"/>
      <c r="I1605" s="10"/>
      <c r="J1605" s="10"/>
      <c r="K1605" s="16" t="str">
        <f t="shared" si="532"/>
        <v/>
      </c>
      <c r="L1605" s="23" t="str">
        <f t="shared" si="533"/>
        <v/>
      </c>
      <c r="M1605" s="22" t="str">
        <f t="shared" si="534"/>
        <v/>
      </c>
      <c r="N1605" s="72"/>
      <c r="O1605" s="16" t="str">
        <f t="shared" si="535"/>
        <v/>
      </c>
      <c r="P1605" s="16" t="str">
        <f t="shared" si="536"/>
        <v/>
      </c>
      <c r="Q1605" s="16" t="str">
        <f t="shared" si="537"/>
        <v/>
      </c>
      <c r="R1605" s="23" t="str">
        <f t="shared" si="538"/>
        <v/>
      </c>
      <c r="S1605" s="23" t="str">
        <f t="shared" si="539"/>
        <v/>
      </c>
      <c r="T1605" s="23" t="str">
        <f t="shared" si="540"/>
        <v/>
      </c>
      <c r="U1605" s="23" t="str">
        <f t="shared" si="541"/>
        <v/>
      </c>
      <c r="V1605" s="23" t="str">
        <f t="shared" si="542"/>
        <v/>
      </c>
      <c r="W1605" s="70" t="str">
        <f t="shared" si="543"/>
        <v/>
      </c>
      <c r="X1605" s="70" t="str">
        <f t="shared" si="544"/>
        <v/>
      </c>
      <c r="Y1605" s="70" t="str">
        <f>IF(AND($A1605&lt;&gt;"",$E1605&gt;0),isLaptopBag($C1605,$J1605)*$D1605,"")</f>
        <v/>
      </c>
      <c r="Z1605" s="70" t="str">
        <f t="shared" si="545"/>
        <v/>
      </c>
      <c r="AA1605" s="70" t="str">
        <f t="shared" si="546"/>
        <v/>
      </c>
      <c r="AB1605" s="70" t="str">
        <f t="shared" si="547"/>
        <v/>
      </c>
      <c r="AC1605" s="70" t="str">
        <f t="shared" si="548"/>
        <v/>
      </c>
      <c r="AD1605" s="70" t="str">
        <f t="shared" si="549"/>
        <v/>
      </c>
      <c r="AE1605" s="70" t="str">
        <f t="shared" si="550"/>
        <v/>
      </c>
      <c r="AF1605" s="16"/>
      <c r="AG1605" s="23"/>
      <c r="AH1605" s="22"/>
      <c r="AJ1605" s="83">
        <f t="shared" si="551"/>
        <v>0</v>
      </c>
      <c r="AO1605" s="22" t="str">
        <f t="shared" si="552"/>
        <v/>
      </c>
      <c r="AP1605" s="22" t="str">
        <f t="shared" si="553"/>
        <v/>
      </c>
    </row>
    <row r="1606" spans="1:42" x14ac:dyDescent="0.25">
      <c r="A1606" s="10"/>
      <c r="B1606" s="10"/>
      <c r="C1606" s="10"/>
      <c r="D1606" s="10"/>
      <c r="E1606" s="10"/>
      <c r="F1606" s="10"/>
      <c r="G1606" s="10"/>
      <c r="H1606" s="17"/>
      <c r="I1606" s="10"/>
      <c r="J1606" s="10"/>
      <c r="K1606" s="16" t="str">
        <f t="shared" si="532"/>
        <v/>
      </c>
      <c r="L1606" s="23" t="str">
        <f t="shared" si="533"/>
        <v/>
      </c>
      <c r="M1606" s="22" t="str">
        <f t="shared" si="534"/>
        <v/>
      </c>
      <c r="N1606" s="72"/>
      <c r="O1606" s="16" t="str">
        <f t="shared" si="535"/>
        <v/>
      </c>
      <c r="P1606" s="16" t="str">
        <f t="shared" si="536"/>
        <v/>
      </c>
      <c r="Q1606" s="16" t="str">
        <f t="shared" si="537"/>
        <v/>
      </c>
      <c r="R1606" s="23" t="str">
        <f t="shared" si="538"/>
        <v/>
      </c>
      <c r="S1606" s="23" t="str">
        <f t="shared" si="539"/>
        <v/>
      </c>
      <c r="T1606" s="23" t="str">
        <f t="shared" si="540"/>
        <v/>
      </c>
      <c r="U1606" s="23" t="str">
        <f t="shared" si="541"/>
        <v/>
      </c>
      <c r="V1606" s="23" t="str">
        <f t="shared" si="542"/>
        <v/>
      </c>
      <c r="W1606" s="70" t="str">
        <f t="shared" si="543"/>
        <v/>
      </c>
      <c r="X1606" s="70" t="str">
        <f t="shared" si="544"/>
        <v/>
      </c>
      <c r="Y1606" s="70" t="str">
        <f>IF(AND($A1606&lt;&gt;"",$E1606&gt;0),isLaptopBag($C1606,$J1606)*$D1606,"")</f>
        <v/>
      </c>
      <c r="Z1606" s="70" t="str">
        <f t="shared" si="545"/>
        <v/>
      </c>
      <c r="AA1606" s="70" t="str">
        <f t="shared" si="546"/>
        <v/>
      </c>
      <c r="AB1606" s="70" t="str">
        <f t="shared" si="547"/>
        <v/>
      </c>
      <c r="AC1606" s="70" t="str">
        <f t="shared" si="548"/>
        <v/>
      </c>
      <c r="AD1606" s="70" t="str">
        <f t="shared" si="549"/>
        <v/>
      </c>
      <c r="AE1606" s="70" t="str">
        <f t="shared" si="550"/>
        <v/>
      </c>
      <c r="AF1606" s="16"/>
      <c r="AG1606" s="23"/>
      <c r="AH1606" s="22"/>
      <c r="AJ1606" s="83">
        <f t="shared" si="551"/>
        <v>0</v>
      </c>
      <c r="AO1606" s="22" t="str">
        <f t="shared" si="552"/>
        <v/>
      </c>
      <c r="AP1606" s="22" t="str">
        <f t="shared" si="553"/>
        <v/>
      </c>
    </row>
    <row r="1607" spans="1:42" x14ac:dyDescent="0.25">
      <c r="A1607" s="10"/>
      <c r="B1607" s="10"/>
      <c r="C1607" s="10"/>
      <c r="D1607" s="10"/>
      <c r="E1607" s="10"/>
      <c r="F1607" s="10"/>
      <c r="G1607" s="10"/>
      <c r="H1607" s="17"/>
      <c r="I1607" s="10"/>
      <c r="J1607" s="10"/>
      <c r="K1607" s="16" t="str">
        <f t="shared" si="532"/>
        <v/>
      </c>
      <c r="L1607" s="23" t="str">
        <f t="shared" si="533"/>
        <v/>
      </c>
      <c r="M1607" s="22" t="str">
        <f t="shared" si="534"/>
        <v/>
      </c>
      <c r="N1607" s="72"/>
      <c r="O1607" s="16" t="str">
        <f t="shared" si="535"/>
        <v/>
      </c>
      <c r="P1607" s="16" t="str">
        <f t="shared" si="536"/>
        <v/>
      </c>
      <c r="Q1607" s="16" t="str">
        <f t="shared" si="537"/>
        <v/>
      </c>
      <c r="R1607" s="23" t="str">
        <f t="shared" si="538"/>
        <v/>
      </c>
      <c r="S1607" s="23" t="str">
        <f t="shared" si="539"/>
        <v/>
      </c>
      <c r="T1607" s="23" t="str">
        <f t="shared" si="540"/>
        <v/>
      </c>
      <c r="U1607" s="23" t="str">
        <f t="shared" si="541"/>
        <v/>
      </c>
      <c r="V1607" s="23" t="str">
        <f t="shared" si="542"/>
        <v/>
      </c>
      <c r="W1607" s="70" t="str">
        <f t="shared" si="543"/>
        <v/>
      </c>
      <c r="X1607" s="70" t="str">
        <f t="shared" si="544"/>
        <v/>
      </c>
      <c r="Y1607" s="70" t="str">
        <f>IF(AND($A1607&lt;&gt;"",$E1607&gt;0),isLaptopBag($C1607,$J1607)*$D1607,"")</f>
        <v/>
      </c>
      <c r="Z1607" s="70" t="str">
        <f t="shared" si="545"/>
        <v/>
      </c>
      <c r="AA1607" s="70" t="str">
        <f t="shared" si="546"/>
        <v/>
      </c>
      <c r="AB1607" s="70" t="str">
        <f t="shared" si="547"/>
        <v/>
      </c>
      <c r="AC1607" s="70" t="str">
        <f t="shared" si="548"/>
        <v/>
      </c>
      <c r="AD1607" s="70" t="str">
        <f t="shared" si="549"/>
        <v/>
      </c>
      <c r="AE1607" s="70" t="str">
        <f t="shared" si="550"/>
        <v/>
      </c>
      <c r="AF1607" s="16"/>
      <c r="AG1607" s="23"/>
      <c r="AH1607" s="22"/>
      <c r="AJ1607" s="83">
        <f t="shared" si="551"/>
        <v>0</v>
      </c>
      <c r="AO1607" s="22" t="str">
        <f t="shared" si="552"/>
        <v/>
      </c>
      <c r="AP1607" s="22" t="str">
        <f t="shared" si="553"/>
        <v/>
      </c>
    </row>
    <row r="1608" spans="1:42" x14ac:dyDescent="0.25">
      <c r="A1608" s="10"/>
      <c r="B1608" s="10"/>
      <c r="C1608" s="10"/>
      <c r="D1608" s="10"/>
      <c r="E1608" s="10"/>
      <c r="F1608" s="10"/>
      <c r="G1608" s="10"/>
      <c r="H1608" s="17"/>
      <c r="I1608" s="10"/>
      <c r="J1608" s="10"/>
      <c r="K1608" s="16" t="str">
        <f t="shared" si="532"/>
        <v/>
      </c>
      <c r="L1608" s="23" t="str">
        <f t="shared" si="533"/>
        <v/>
      </c>
      <c r="M1608" s="22" t="str">
        <f t="shared" si="534"/>
        <v/>
      </c>
      <c r="N1608" s="72"/>
      <c r="O1608" s="16" t="str">
        <f t="shared" si="535"/>
        <v/>
      </c>
      <c r="P1608" s="16" t="str">
        <f t="shared" si="536"/>
        <v/>
      </c>
      <c r="Q1608" s="16" t="str">
        <f t="shared" si="537"/>
        <v/>
      </c>
      <c r="R1608" s="23" t="str">
        <f t="shared" si="538"/>
        <v/>
      </c>
      <c r="S1608" s="23" t="str">
        <f t="shared" si="539"/>
        <v/>
      </c>
      <c r="T1608" s="23" t="str">
        <f t="shared" si="540"/>
        <v/>
      </c>
      <c r="U1608" s="23" t="str">
        <f t="shared" si="541"/>
        <v/>
      </c>
      <c r="V1608" s="23" t="str">
        <f t="shared" si="542"/>
        <v/>
      </c>
      <c r="W1608" s="70" t="str">
        <f t="shared" si="543"/>
        <v/>
      </c>
      <c r="X1608" s="70" t="str">
        <f t="shared" si="544"/>
        <v/>
      </c>
      <c r="Y1608" s="70" t="str">
        <f>IF(AND($A1608&lt;&gt;"",$E1608&gt;0),isLaptopBag($C1608,$J1608)*$D1608,"")</f>
        <v/>
      </c>
      <c r="Z1608" s="70" t="str">
        <f t="shared" si="545"/>
        <v/>
      </c>
      <c r="AA1608" s="70" t="str">
        <f t="shared" si="546"/>
        <v/>
      </c>
      <c r="AB1608" s="70" t="str">
        <f t="shared" si="547"/>
        <v/>
      </c>
      <c r="AC1608" s="70" t="str">
        <f t="shared" si="548"/>
        <v/>
      </c>
      <c r="AD1608" s="70" t="str">
        <f t="shared" si="549"/>
        <v/>
      </c>
      <c r="AE1608" s="70" t="str">
        <f t="shared" si="550"/>
        <v/>
      </c>
      <c r="AF1608" s="16"/>
      <c r="AG1608" s="23"/>
      <c r="AH1608" s="22"/>
      <c r="AJ1608" s="83">
        <f t="shared" si="551"/>
        <v>0</v>
      </c>
      <c r="AO1608" s="22" t="str">
        <f t="shared" si="552"/>
        <v/>
      </c>
      <c r="AP1608" s="22" t="str">
        <f t="shared" si="553"/>
        <v/>
      </c>
    </row>
    <row r="1609" spans="1:42" x14ac:dyDescent="0.25">
      <c r="A1609" s="10"/>
      <c r="B1609" s="10"/>
      <c r="C1609" s="10"/>
      <c r="D1609" s="10"/>
      <c r="E1609" s="10"/>
      <c r="F1609" s="10"/>
      <c r="G1609" s="10"/>
      <c r="H1609" s="17"/>
      <c r="I1609" s="10"/>
      <c r="J1609" s="10"/>
      <c r="K1609" s="16" t="str">
        <f t="shared" si="532"/>
        <v/>
      </c>
      <c r="L1609" s="23" t="str">
        <f t="shared" si="533"/>
        <v/>
      </c>
      <c r="M1609" s="22" t="str">
        <f t="shared" si="534"/>
        <v/>
      </c>
      <c r="N1609" s="72"/>
      <c r="O1609" s="16" t="str">
        <f t="shared" si="535"/>
        <v/>
      </c>
      <c r="P1609" s="16" t="str">
        <f t="shared" si="536"/>
        <v/>
      </c>
      <c r="Q1609" s="16" t="str">
        <f t="shared" si="537"/>
        <v/>
      </c>
      <c r="R1609" s="23" t="str">
        <f t="shared" si="538"/>
        <v/>
      </c>
      <c r="S1609" s="23" t="str">
        <f t="shared" si="539"/>
        <v/>
      </c>
      <c r="T1609" s="23" t="str">
        <f t="shared" si="540"/>
        <v/>
      </c>
      <c r="U1609" s="23" t="str">
        <f t="shared" si="541"/>
        <v/>
      </c>
      <c r="V1609" s="23" t="str">
        <f t="shared" si="542"/>
        <v/>
      </c>
      <c r="W1609" s="70" t="str">
        <f t="shared" si="543"/>
        <v/>
      </c>
      <c r="X1609" s="70" t="str">
        <f t="shared" si="544"/>
        <v/>
      </c>
      <c r="Y1609" s="70" t="str">
        <f>IF(AND($A1609&lt;&gt;"",$E1609&gt;0),isLaptopBag($C1609,$J1609)*$D1609,"")</f>
        <v/>
      </c>
      <c r="Z1609" s="70" t="str">
        <f t="shared" si="545"/>
        <v/>
      </c>
      <c r="AA1609" s="70" t="str">
        <f t="shared" si="546"/>
        <v/>
      </c>
      <c r="AB1609" s="70" t="str">
        <f t="shared" si="547"/>
        <v/>
      </c>
      <c r="AC1609" s="70" t="str">
        <f t="shared" si="548"/>
        <v/>
      </c>
      <c r="AD1609" s="70" t="str">
        <f t="shared" si="549"/>
        <v/>
      </c>
      <c r="AE1609" s="70" t="str">
        <f t="shared" si="550"/>
        <v/>
      </c>
      <c r="AF1609" s="16"/>
      <c r="AG1609" s="23"/>
      <c r="AH1609" s="22"/>
      <c r="AJ1609" s="83">
        <f t="shared" si="551"/>
        <v>0</v>
      </c>
      <c r="AO1609" s="22" t="str">
        <f t="shared" si="552"/>
        <v/>
      </c>
      <c r="AP1609" s="22" t="str">
        <f t="shared" si="553"/>
        <v/>
      </c>
    </row>
    <row r="1610" spans="1:42" x14ac:dyDescent="0.25">
      <c r="A1610" s="10"/>
      <c r="B1610" s="10"/>
      <c r="C1610" s="10"/>
      <c r="D1610" s="10"/>
      <c r="E1610" s="10"/>
      <c r="F1610" s="10"/>
      <c r="G1610" s="10"/>
      <c r="H1610" s="17"/>
      <c r="I1610" s="10"/>
      <c r="J1610" s="10"/>
      <c r="K1610" s="16" t="str">
        <f t="shared" si="532"/>
        <v/>
      </c>
      <c r="L1610" s="23" t="str">
        <f t="shared" si="533"/>
        <v/>
      </c>
      <c r="M1610" s="22" t="str">
        <f t="shared" si="534"/>
        <v/>
      </c>
      <c r="N1610" s="72"/>
      <c r="O1610" s="16" t="str">
        <f t="shared" si="535"/>
        <v/>
      </c>
      <c r="P1610" s="16" t="str">
        <f t="shared" si="536"/>
        <v/>
      </c>
      <c r="Q1610" s="16" t="str">
        <f t="shared" si="537"/>
        <v/>
      </c>
      <c r="R1610" s="23" t="str">
        <f t="shared" si="538"/>
        <v/>
      </c>
      <c r="S1610" s="23" t="str">
        <f t="shared" si="539"/>
        <v/>
      </c>
      <c r="T1610" s="23" t="str">
        <f t="shared" si="540"/>
        <v/>
      </c>
      <c r="U1610" s="23" t="str">
        <f t="shared" si="541"/>
        <v/>
      </c>
      <c r="V1610" s="23" t="str">
        <f t="shared" si="542"/>
        <v/>
      </c>
      <c r="W1610" s="70" t="str">
        <f t="shared" si="543"/>
        <v/>
      </c>
      <c r="X1610" s="70" t="str">
        <f t="shared" si="544"/>
        <v/>
      </c>
      <c r="Y1610" s="70" t="str">
        <f>IF(AND($A1610&lt;&gt;"",$E1610&gt;0),isLaptopBag($C1610,$J1610)*$D1610,"")</f>
        <v/>
      </c>
      <c r="Z1610" s="70" t="str">
        <f t="shared" si="545"/>
        <v/>
      </c>
      <c r="AA1610" s="70" t="str">
        <f t="shared" si="546"/>
        <v/>
      </c>
      <c r="AB1610" s="70" t="str">
        <f t="shared" si="547"/>
        <v/>
      </c>
      <c r="AC1610" s="70" t="str">
        <f t="shared" si="548"/>
        <v/>
      </c>
      <c r="AD1610" s="70" t="str">
        <f t="shared" si="549"/>
        <v/>
      </c>
      <c r="AE1610" s="70" t="str">
        <f t="shared" si="550"/>
        <v/>
      </c>
      <c r="AF1610" s="16"/>
      <c r="AG1610" s="23"/>
      <c r="AH1610" s="22"/>
      <c r="AJ1610" s="83">
        <f t="shared" si="551"/>
        <v>0</v>
      </c>
      <c r="AO1610" s="22" t="str">
        <f t="shared" si="552"/>
        <v/>
      </c>
      <c r="AP1610" s="22" t="str">
        <f t="shared" si="553"/>
        <v/>
      </c>
    </row>
    <row r="1611" spans="1:42" x14ac:dyDescent="0.25">
      <c r="A1611" s="10"/>
      <c r="B1611" s="10"/>
      <c r="C1611" s="10"/>
      <c r="D1611" s="10"/>
      <c r="E1611" s="10"/>
      <c r="F1611" s="10"/>
      <c r="G1611" s="10"/>
      <c r="H1611" s="17"/>
      <c r="I1611" s="10"/>
      <c r="J1611" s="10"/>
      <c r="K1611" s="16" t="str">
        <f t="shared" si="532"/>
        <v/>
      </c>
      <c r="L1611" s="23" t="str">
        <f t="shared" si="533"/>
        <v/>
      </c>
      <c r="M1611" s="22" t="str">
        <f t="shared" si="534"/>
        <v/>
      </c>
      <c r="N1611" s="72"/>
      <c r="O1611" s="16" t="str">
        <f t="shared" si="535"/>
        <v/>
      </c>
      <c r="P1611" s="16" t="str">
        <f t="shared" si="536"/>
        <v/>
      </c>
      <c r="Q1611" s="16" t="str">
        <f t="shared" si="537"/>
        <v/>
      </c>
      <c r="R1611" s="23" t="str">
        <f t="shared" si="538"/>
        <v/>
      </c>
      <c r="S1611" s="23" t="str">
        <f t="shared" si="539"/>
        <v/>
      </c>
      <c r="T1611" s="23" t="str">
        <f t="shared" si="540"/>
        <v/>
      </c>
      <c r="U1611" s="23" t="str">
        <f t="shared" si="541"/>
        <v/>
      </c>
      <c r="V1611" s="23" t="str">
        <f t="shared" si="542"/>
        <v/>
      </c>
      <c r="W1611" s="70" t="str">
        <f t="shared" si="543"/>
        <v/>
      </c>
      <c r="X1611" s="70" t="str">
        <f t="shared" si="544"/>
        <v/>
      </c>
      <c r="Y1611" s="70" t="str">
        <f>IF(AND($A1611&lt;&gt;"",$E1611&gt;0),isLaptopBag($C1611,$J1611)*$D1611,"")</f>
        <v/>
      </c>
      <c r="Z1611" s="70" t="str">
        <f t="shared" si="545"/>
        <v/>
      </c>
      <c r="AA1611" s="70" t="str">
        <f t="shared" si="546"/>
        <v/>
      </c>
      <c r="AB1611" s="70" t="str">
        <f t="shared" si="547"/>
        <v/>
      </c>
      <c r="AC1611" s="70" t="str">
        <f t="shared" si="548"/>
        <v/>
      </c>
      <c r="AD1611" s="70" t="str">
        <f t="shared" si="549"/>
        <v/>
      </c>
      <c r="AE1611" s="70" t="str">
        <f t="shared" si="550"/>
        <v/>
      </c>
      <c r="AF1611" s="16"/>
      <c r="AG1611" s="23"/>
      <c r="AH1611" s="22"/>
      <c r="AJ1611" s="83">
        <f t="shared" si="551"/>
        <v>0</v>
      </c>
      <c r="AO1611" s="22" t="str">
        <f t="shared" si="552"/>
        <v/>
      </c>
      <c r="AP1611" s="22" t="str">
        <f t="shared" si="553"/>
        <v/>
      </c>
    </row>
    <row r="1612" spans="1:42" x14ac:dyDescent="0.25">
      <c r="A1612" s="10"/>
      <c r="B1612" s="10"/>
      <c r="C1612" s="10"/>
      <c r="D1612" s="10"/>
      <c r="E1612" s="10"/>
      <c r="F1612" s="10"/>
      <c r="G1612" s="10"/>
      <c r="H1612" s="17"/>
      <c r="I1612" s="10"/>
      <c r="J1612" s="10"/>
      <c r="K1612" s="16" t="str">
        <f t="shared" si="532"/>
        <v/>
      </c>
      <c r="L1612" s="23" t="str">
        <f t="shared" si="533"/>
        <v/>
      </c>
      <c r="M1612" s="22" t="str">
        <f t="shared" si="534"/>
        <v/>
      </c>
      <c r="N1612" s="72"/>
      <c r="O1612" s="16" t="str">
        <f t="shared" si="535"/>
        <v/>
      </c>
      <c r="P1612" s="16" t="str">
        <f t="shared" si="536"/>
        <v/>
      </c>
      <c r="Q1612" s="16" t="str">
        <f t="shared" si="537"/>
        <v/>
      </c>
      <c r="R1612" s="23" t="str">
        <f t="shared" si="538"/>
        <v/>
      </c>
      <c r="S1612" s="23" t="str">
        <f t="shared" si="539"/>
        <v/>
      </c>
      <c r="T1612" s="23" t="str">
        <f t="shared" si="540"/>
        <v/>
      </c>
      <c r="U1612" s="23" t="str">
        <f t="shared" si="541"/>
        <v/>
      </c>
      <c r="V1612" s="23" t="str">
        <f t="shared" si="542"/>
        <v/>
      </c>
      <c r="W1612" s="70" t="str">
        <f t="shared" si="543"/>
        <v/>
      </c>
      <c r="X1612" s="70" t="str">
        <f t="shared" si="544"/>
        <v/>
      </c>
      <c r="Y1612" s="70" t="str">
        <f>IF(AND($A1612&lt;&gt;"",$E1612&gt;0),isLaptopBag($C1612,$J1612)*$D1612,"")</f>
        <v/>
      </c>
      <c r="Z1612" s="70" t="str">
        <f t="shared" si="545"/>
        <v/>
      </c>
      <c r="AA1612" s="70" t="str">
        <f t="shared" si="546"/>
        <v/>
      </c>
      <c r="AB1612" s="70" t="str">
        <f t="shared" si="547"/>
        <v/>
      </c>
      <c r="AC1612" s="70" t="str">
        <f t="shared" si="548"/>
        <v/>
      </c>
      <c r="AD1612" s="70" t="str">
        <f t="shared" si="549"/>
        <v/>
      </c>
      <c r="AE1612" s="70" t="str">
        <f t="shared" si="550"/>
        <v/>
      </c>
      <c r="AF1612" s="16"/>
      <c r="AG1612" s="23"/>
      <c r="AH1612" s="22"/>
      <c r="AJ1612" s="83">
        <f t="shared" si="551"/>
        <v>0</v>
      </c>
      <c r="AO1612" s="22" t="str">
        <f t="shared" si="552"/>
        <v/>
      </c>
      <c r="AP1612" s="22" t="str">
        <f t="shared" si="553"/>
        <v/>
      </c>
    </row>
    <row r="1613" spans="1:42" x14ac:dyDescent="0.25">
      <c r="A1613" s="10"/>
      <c r="B1613" s="10"/>
      <c r="C1613" s="10"/>
      <c r="D1613" s="10"/>
      <c r="E1613" s="10"/>
      <c r="F1613" s="10"/>
      <c r="G1613" s="10"/>
      <c r="H1613" s="17"/>
      <c r="I1613" s="10"/>
      <c r="J1613" s="10"/>
      <c r="K1613" s="16" t="str">
        <f t="shared" ref="K1613:K1676" si="554">IF($AF1613&lt;&gt;"",$AF1613,IF(AND($A1613&lt;&gt;"",$E1613&gt;0),SUM($O1613:$Q1613),""))</f>
        <v/>
      </c>
      <c r="L1613" s="23" t="str">
        <f t="shared" ref="L1613:L1676" si="555">IF($AG1613&lt;&gt;"",$AG1613,IF(AND($A1613&lt;&gt;"",$E1613&gt;0),SUM($R1613:$V1613),""))</f>
        <v/>
      </c>
      <c r="M1613" s="22" t="str">
        <f t="shared" ref="M1613:M1676" si="556">IF($AH1613&lt;&gt;"",$AH1613,IF(AND($A1613&lt;&gt;"",$E1613&gt;0),SUM($W1613:$AE1613)+$AO1613+$AP1613,""))</f>
        <v/>
      </c>
      <c r="N1613" s="72"/>
      <c r="O1613" s="16" t="str">
        <f t="shared" ref="O1613:O1676" si="557">IF(AND($A1613&lt;&gt;"",$E1613&gt;0),IF(AND($J1613="SONY",200000&lt;=$E1613,$E1613&lt;1000000),5000*$D1613,0),"")</f>
        <v/>
      </c>
      <c r="P1613" s="16" t="str">
        <f t="shared" ref="P1613:P1676" si="558">IF(AND($A1613&lt;&gt;"",$E1613&gt;0),IF(AND($J1613="SONY",1000000&lt;=$E1613,$E1613&lt;2000000),10000*$D1613,0),"")</f>
        <v/>
      </c>
      <c r="Q1613" s="16" t="str">
        <f t="shared" ref="Q1613:Q1676" si="559">IF(AND($A1613&lt;&gt;"",$E1613&gt;0),IF(AND($J1613="SONY",$E1613&gt;=2000000),20000*$D1613,0),"")</f>
        <v/>
      </c>
      <c r="R1613" s="23" t="str">
        <f t="shared" ref="R1613:R1676" si="560">IF(AND($A1613&lt;&gt;"",$E1613&gt;0),IF(AND($J1613&lt;&gt;"SONY",100000&lt;=$E1613,$E1613&lt;200000),5000*$D1613,0),"")</f>
        <v/>
      </c>
      <c r="S1613" s="23" t="str">
        <f t="shared" ref="S1613:S1676" si="561">IF(AND($A1613&lt;&gt;"",$E1613&gt;0),IF(AND($J1613&lt;&gt;"SONY",200000&lt;=$E1613,$E1613&lt;500000),10000*$D1613,0),"")</f>
        <v/>
      </c>
      <c r="T1613" s="23" t="str">
        <f t="shared" ref="T1613:T1676" si="562">IF(AND($A1613&lt;&gt;"",$E1613&gt;0),IF(AND($J1613&lt;&gt;"SONY",500000&lt;=$E1613,$E1613&lt;1000000),20000*$D1613,0),"")</f>
        <v/>
      </c>
      <c r="U1613" s="23" t="str">
        <f t="shared" ref="U1613:U1676" si="563">IF(AND($A1613&lt;&gt;"",$E1613&gt;0),IF(AND($J1613&lt;&gt;"SONY",1000000&lt;=$E1613,$E1613&lt;1500000),50000*$D1613,0),"")</f>
        <v/>
      </c>
      <c r="V1613" s="23" t="str">
        <f t="shared" ref="V1613:V1676" si="564">IF(AND($A1613&lt;&gt;"",$E1613&gt;0),IF(AND($J1613&lt;&gt;"SONY",1500000&lt;=$E1613),100000*$D1613,0),"")</f>
        <v/>
      </c>
      <c r="W1613" s="70" t="str">
        <f t="shared" ref="W1613:W1676" si="565">IF(AND($E1613&gt;0,$J1613="ELECOM",$E1613&gt;=500000,ISNUMBER(SEARCH("tai nghe",$C1613))),20000*$D1613,IF($A1613&lt;&gt;"",0,""))</f>
        <v/>
      </c>
      <c r="X1613" s="70" t="str">
        <f t="shared" ref="X1613:X1676" si="566">IF(AND($E1613&gt;0,$J1613="ELECOM",ISNUMBER(SEARCH("loa",$C1613))),20000*$D1613,IF($A1613&lt;&gt;"",0,""))</f>
        <v/>
      </c>
      <c r="Y1613" s="70" t="str">
        <f>IF(AND($A1613&lt;&gt;"",$E1613&gt;0),isLaptopBag($C1613,$J1613)*$D1613,"")</f>
        <v/>
      </c>
      <c r="Z1613" s="70" t="str">
        <f t="shared" ref="Z1613:Z1676" si="567">IF(AND($E1613&gt;0,$J1613="ELECOM",ISNUMBER(SEARCH("ốp",$C1613))),20000*$D1613,IF($A1613&lt;&gt;"",0,""))</f>
        <v/>
      </c>
      <c r="AA1613" s="70" t="str">
        <f t="shared" ref="AA1613:AA1676" si="568">IF(AND($E1613&gt;0,$J1613="ELECOM",ISNUMBER(SEARCH("Bút",$C1613))),20000*$D1613,IF($A1613&lt;&gt;"",0,""))</f>
        <v/>
      </c>
      <c r="AB1613" s="70" t="str">
        <f t="shared" ref="AB1613:AB1676" si="569">IF(AND($E1613&gt;0,$J1613="ELECOM",ISNUMBER(SEARCH("Chuột bi",$C1613))),20000*$D1613,IF($A1613&lt;&gt;"",0,""))</f>
        <v/>
      </c>
      <c r="AC1613" s="70" t="str">
        <f t="shared" ref="AC1613:AC1676" si="570">IF(AND($E1613&gt;0,$J1613="ELECOM",ISNUMBER(SEARCH("Chuột trackball",$C1613))),20000*$D1613,IF($A1613&lt;&gt;"",0,""))</f>
        <v/>
      </c>
      <c r="AD1613" s="70" t="str">
        <f t="shared" ref="AD1613:AD1676" si="571">IF(AND($E1613&gt;0,$J1613="ELECOM",ISNUMBER(SEARCH("Sạc không dây",$C1613))),20000*$D1613,IF($A1613&lt;&gt;"",0,""))</f>
        <v/>
      </c>
      <c r="AE1613" s="70" t="str">
        <f t="shared" ref="AE1613:AE1676" si="572">IF(AND($E1613&gt;0,$J1613="ELECOM",ISNUMBER(SEARCH("Sạc kd",$C1613))),20000*$D1613,IF($A1613&lt;&gt;"",0,""))</f>
        <v/>
      </c>
      <c r="AF1613" s="16"/>
      <c r="AG1613" s="23"/>
      <c r="AH1613" s="22"/>
      <c r="AJ1613" s="83">
        <f t="shared" ref="AJ1613:AJ1676" si="573">DAY(H1613)</f>
        <v>0</v>
      </c>
      <c r="AO1613" s="22" t="str">
        <f t="shared" ref="AO1613:AO1676" si="574">IF(AND($E1613&gt;0,ISNUMBER(SEARCH("Sạc dự phòng Energizer",$C1613))),10000*$D1613,IF($A1613&lt;&gt;"",0,""))</f>
        <v/>
      </c>
      <c r="AP1613" s="22" t="str">
        <f t="shared" ref="AP1613:AP1676" si="575">IF(AND($E1613&gt;0,ISNUMBER(SEARCH("SDP Energizer",$C1613))),10000*$D1613,IF($A1613&lt;&gt;"",0,""))</f>
        <v/>
      </c>
    </row>
    <row r="1614" spans="1:42" x14ac:dyDescent="0.25">
      <c r="A1614" s="10"/>
      <c r="B1614" s="10"/>
      <c r="C1614" s="10"/>
      <c r="D1614" s="10"/>
      <c r="E1614" s="10"/>
      <c r="F1614" s="10"/>
      <c r="G1614" s="10"/>
      <c r="H1614" s="17"/>
      <c r="I1614" s="10"/>
      <c r="J1614" s="10"/>
      <c r="K1614" s="16" t="str">
        <f t="shared" si="554"/>
        <v/>
      </c>
      <c r="L1614" s="23" t="str">
        <f t="shared" si="555"/>
        <v/>
      </c>
      <c r="M1614" s="22" t="str">
        <f t="shared" si="556"/>
        <v/>
      </c>
      <c r="N1614" s="72"/>
      <c r="O1614" s="16" t="str">
        <f t="shared" si="557"/>
        <v/>
      </c>
      <c r="P1614" s="16" t="str">
        <f t="shared" si="558"/>
        <v/>
      </c>
      <c r="Q1614" s="16" t="str">
        <f t="shared" si="559"/>
        <v/>
      </c>
      <c r="R1614" s="23" t="str">
        <f t="shared" si="560"/>
        <v/>
      </c>
      <c r="S1614" s="23" t="str">
        <f t="shared" si="561"/>
        <v/>
      </c>
      <c r="T1614" s="23" t="str">
        <f t="shared" si="562"/>
        <v/>
      </c>
      <c r="U1614" s="23" t="str">
        <f t="shared" si="563"/>
        <v/>
      </c>
      <c r="V1614" s="23" t="str">
        <f t="shared" si="564"/>
        <v/>
      </c>
      <c r="W1614" s="70" t="str">
        <f t="shared" si="565"/>
        <v/>
      </c>
      <c r="X1614" s="70" t="str">
        <f t="shared" si="566"/>
        <v/>
      </c>
      <c r="Y1614" s="70" t="str">
        <f>IF(AND($A1614&lt;&gt;"",$E1614&gt;0),isLaptopBag($C1614,$J1614)*$D1614,"")</f>
        <v/>
      </c>
      <c r="Z1614" s="70" t="str">
        <f t="shared" si="567"/>
        <v/>
      </c>
      <c r="AA1614" s="70" t="str">
        <f t="shared" si="568"/>
        <v/>
      </c>
      <c r="AB1614" s="70" t="str">
        <f t="shared" si="569"/>
        <v/>
      </c>
      <c r="AC1614" s="70" t="str">
        <f t="shared" si="570"/>
        <v/>
      </c>
      <c r="AD1614" s="70" t="str">
        <f t="shared" si="571"/>
        <v/>
      </c>
      <c r="AE1614" s="70" t="str">
        <f t="shared" si="572"/>
        <v/>
      </c>
      <c r="AF1614" s="16"/>
      <c r="AG1614" s="23"/>
      <c r="AH1614" s="22"/>
      <c r="AJ1614" s="83">
        <f t="shared" si="573"/>
        <v>0</v>
      </c>
      <c r="AO1614" s="22" t="str">
        <f t="shared" si="574"/>
        <v/>
      </c>
      <c r="AP1614" s="22" t="str">
        <f t="shared" si="575"/>
        <v/>
      </c>
    </row>
    <row r="1615" spans="1:42" x14ac:dyDescent="0.25">
      <c r="A1615" s="10"/>
      <c r="B1615" s="10"/>
      <c r="C1615" s="10"/>
      <c r="D1615" s="10"/>
      <c r="E1615" s="10"/>
      <c r="F1615" s="10"/>
      <c r="G1615" s="10"/>
      <c r="H1615" s="17"/>
      <c r="I1615" s="10"/>
      <c r="J1615" s="10"/>
      <c r="K1615" s="16" t="str">
        <f t="shared" si="554"/>
        <v/>
      </c>
      <c r="L1615" s="23" t="str">
        <f t="shared" si="555"/>
        <v/>
      </c>
      <c r="M1615" s="22" t="str">
        <f t="shared" si="556"/>
        <v/>
      </c>
      <c r="N1615" s="72"/>
      <c r="O1615" s="16" t="str">
        <f t="shared" si="557"/>
        <v/>
      </c>
      <c r="P1615" s="16" t="str">
        <f t="shared" si="558"/>
        <v/>
      </c>
      <c r="Q1615" s="16" t="str">
        <f t="shared" si="559"/>
        <v/>
      </c>
      <c r="R1615" s="23" t="str">
        <f t="shared" si="560"/>
        <v/>
      </c>
      <c r="S1615" s="23" t="str">
        <f t="shared" si="561"/>
        <v/>
      </c>
      <c r="T1615" s="23" t="str">
        <f t="shared" si="562"/>
        <v/>
      </c>
      <c r="U1615" s="23" t="str">
        <f t="shared" si="563"/>
        <v/>
      </c>
      <c r="V1615" s="23" t="str">
        <f t="shared" si="564"/>
        <v/>
      </c>
      <c r="W1615" s="70" t="str">
        <f t="shared" si="565"/>
        <v/>
      </c>
      <c r="X1615" s="70" t="str">
        <f t="shared" si="566"/>
        <v/>
      </c>
      <c r="Y1615" s="70" t="str">
        <f>IF(AND($A1615&lt;&gt;"",$E1615&gt;0),isLaptopBag($C1615,$J1615)*$D1615,"")</f>
        <v/>
      </c>
      <c r="Z1615" s="70" t="str">
        <f t="shared" si="567"/>
        <v/>
      </c>
      <c r="AA1615" s="70" t="str">
        <f t="shared" si="568"/>
        <v/>
      </c>
      <c r="AB1615" s="70" t="str">
        <f t="shared" si="569"/>
        <v/>
      </c>
      <c r="AC1615" s="70" t="str">
        <f t="shared" si="570"/>
        <v/>
      </c>
      <c r="AD1615" s="70" t="str">
        <f t="shared" si="571"/>
        <v/>
      </c>
      <c r="AE1615" s="70" t="str">
        <f t="shared" si="572"/>
        <v/>
      </c>
      <c r="AF1615" s="16"/>
      <c r="AG1615" s="23"/>
      <c r="AH1615" s="22"/>
      <c r="AJ1615" s="83">
        <f t="shared" si="573"/>
        <v>0</v>
      </c>
      <c r="AO1615" s="22" t="str">
        <f t="shared" si="574"/>
        <v/>
      </c>
      <c r="AP1615" s="22" t="str">
        <f t="shared" si="575"/>
        <v/>
      </c>
    </row>
    <row r="1616" spans="1:42" x14ac:dyDescent="0.25">
      <c r="A1616" s="10"/>
      <c r="B1616" s="10"/>
      <c r="C1616" s="10"/>
      <c r="D1616" s="10"/>
      <c r="E1616" s="10"/>
      <c r="F1616" s="10"/>
      <c r="G1616" s="10"/>
      <c r="H1616" s="17"/>
      <c r="I1616" s="10"/>
      <c r="J1616" s="10"/>
      <c r="K1616" s="16" t="str">
        <f t="shared" si="554"/>
        <v/>
      </c>
      <c r="L1616" s="23" t="str">
        <f t="shared" si="555"/>
        <v/>
      </c>
      <c r="M1616" s="22" t="str">
        <f t="shared" si="556"/>
        <v/>
      </c>
      <c r="N1616" s="72"/>
      <c r="O1616" s="16" t="str">
        <f t="shared" si="557"/>
        <v/>
      </c>
      <c r="P1616" s="16" t="str">
        <f t="shared" si="558"/>
        <v/>
      </c>
      <c r="Q1616" s="16" t="str">
        <f t="shared" si="559"/>
        <v/>
      </c>
      <c r="R1616" s="23" t="str">
        <f t="shared" si="560"/>
        <v/>
      </c>
      <c r="S1616" s="23" t="str">
        <f t="shared" si="561"/>
        <v/>
      </c>
      <c r="T1616" s="23" t="str">
        <f t="shared" si="562"/>
        <v/>
      </c>
      <c r="U1616" s="23" t="str">
        <f t="shared" si="563"/>
        <v/>
      </c>
      <c r="V1616" s="23" t="str">
        <f t="shared" si="564"/>
        <v/>
      </c>
      <c r="W1616" s="70" t="str">
        <f t="shared" si="565"/>
        <v/>
      </c>
      <c r="X1616" s="70" t="str">
        <f t="shared" si="566"/>
        <v/>
      </c>
      <c r="Y1616" s="70" t="str">
        <f>IF(AND($A1616&lt;&gt;"",$E1616&gt;0),isLaptopBag($C1616,$J1616)*$D1616,"")</f>
        <v/>
      </c>
      <c r="Z1616" s="70" t="str">
        <f t="shared" si="567"/>
        <v/>
      </c>
      <c r="AA1616" s="70" t="str">
        <f t="shared" si="568"/>
        <v/>
      </c>
      <c r="AB1616" s="70" t="str">
        <f t="shared" si="569"/>
        <v/>
      </c>
      <c r="AC1616" s="70" t="str">
        <f t="shared" si="570"/>
        <v/>
      </c>
      <c r="AD1616" s="70" t="str">
        <f t="shared" si="571"/>
        <v/>
      </c>
      <c r="AE1616" s="70" t="str">
        <f t="shared" si="572"/>
        <v/>
      </c>
      <c r="AF1616" s="16"/>
      <c r="AG1616" s="23"/>
      <c r="AH1616" s="22"/>
      <c r="AJ1616" s="83">
        <f t="shared" si="573"/>
        <v>0</v>
      </c>
      <c r="AO1616" s="22" t="str">
        <f t="shared" si="574"/>
        <v/>
      </c>
      <c r="AP1616" s="22" t="str">
        <f t="shared" si="575"/>
        <v/>
      </c>
    </row>
    <row r="1617" spans="1:42" x14ac:dyDescent="0.25">
      <c r="A1617" s="10"/>
      <c r="B1617" s="10"/>
      <c r="C1617" s="10"/>
      <c r="D1617" s="10"/>
      <c r="E1617" s="10"/>
      <c r="F1617" s="10"/>
      <c r="G1617" s="10"/>
      <c r="H1617" s="17"/>
      <c r="I1617" s="10"/>
      <c r="J1617" s="10"/>
      <c r="K1617" s="16" t="str">
        <f t="shared" si="554"/>
        <v/>
      </c>
      <c r="L1617" s="23" t="str">
        <f t="shared" si="555"/>
        <v/>
      </c>
      <c r="M1617" s="22" t="str">
        <f t="shared" si="556"/>
        <v/>
      </c>
      <c r="N1617" s="72"/>
      <c r="O1617" s="16" t="str">
        <f t="shared" si="557"/>
        <v/>
      </c>
      <c r="P1617" s="16" t="str">
        <f t="shared" si="558"/>
        <v/>
      </c>
      <c r="Q1617" s="16" t="str">
        <f t="shared" si="559"/>
        <v/>
      </c>
      <c r="R1617" s="23" t="str">
        <f t="shared" si="560"/>
        <v/>
      </c>
      <c r="S1617" s="23" t="str">
        <f t="shared" si="561"/>
        <v/>
      </c>
      <c r="T1617" s="23" t="str">
        <f t="shared" si="562"/>
        <v/>
      </c>
      <c r="U1617" s="23" t="str">
        <f t="shared" si="563"/>
        <v/>
      </c>
      <c r="V1617" s="23" t="str">
        <f t="shared" si="564"/>
        <v/>
      </c>
      <c r="W1617" s="70" t="str">
        <f t="shared" si="565"/>
        <v/>
      </c>
      <c r="X1617" s="70" t="str">
        <f t="shared" si="566"/>
        <v/>
      </c>
      <c r="Y1617" s="70" t="str">
        <f>IF(AND($A1617&lt;&gt;"",$E1617&gt;0),isLaptopBag($C1617,$J1617)*$D1617,"")</f>
        <v/>
      </c>
      <c r="Z1617" s="70" t="str">
        <f t="shared" si="567"/>
        <v/>
      </c>
      <c r="AA1617" s="70" t="str">
        <f t="shared" si="568"/>
        <v/>
      </c>
      <c r="AB1617" s="70" t="str">
        <f t="shared" si="569"/>
        <v/>
      </c>
      <c r="AC1617" s="70" t="str">
        <f t="shared" si="570"/>
        <v/>
      </c>
      <c r="AD1617" s="70" t="str">
        <f t="shared" si="571"/>
        <v/>
      </c>
      <c r="AE1617" s="70" t="str">
        <f t="shared" si="572"/>
        <v/>
      </c>
      <c r="AF1617" s="16"/>
      <c r="AG1617" s="23"/>
      <c r="AH1617" s="22"/>
      <c r="AJ1617" s="83">
        <f t="shared" si="573"/>
        <v>0</v>
      </c>
      <c r="AO1617" s="22" t="str">
        <f t="shared" si="574"/>
        <v/>
      </c>
      <c r="AP1617" s="22" t="str">
        <f t="shared" si="575"/>
        <v/>
      </c>
    </row>
    <row r="1618" spans="1:42" x14ac:dyDescent="0.25">
      <c r="A1618" s="10"/>
      <c r="B1618" s="10"/>
      <c r="C1618" s="10"/>
      <c r="D1618" s="10"/>
      <c r="E1618" s="10"/>
      <c r="F1618" s="10"/>
      <c r="G1618" s="10"/>
      <c r="H1618" s="17"/>
      <c r="I1618" s="10"/>
      <c r="J1618" s="10"/>
      <c r="K1618" s="16" t="str">
        <f t="shared" si="554"/>
        <v/>
      </c>
      <c r="L1618" s="23" t="str">
        <f t="shared" si="555"/>
        <v/>
      </c>
      <c r="M1618" s="22" t="str">
        <f t="shared" si="556"/>
        <v/>
      </c>
      <c r="N1618" s="72"/>
      <c r="O1618" s="16" t="str">
        <f t="shared" si="557"/>
        <v/>
      </c>
      <c r="P1618" s="16" t="str">
        <f t="shared" si="558"/>
        <v/>
      </c>
      <c r="Q1618" s="16" t="str">
        <f t="shared" si="559"/>
        <v/>
      </c>
      <c r="R1618" s="23" t="str">
        <f t="shared" si="560"/>
        <v/>
      </c>
      <c r="S1618" s="23" t="str">
        <f t="shared" si="561"/>
        <v/>
      </c>
      <c r="T1618" s="23" t="str">
        <f t="shared" si="562"/>
        <v/>
      </c>
      <c r="U1618" s="23" t="str">
        <f t="shared" si="563"/>
        <v/>
      </c>
      <c r="V1618" s="23" t="str">
        <f t="shared" si="564"/>
        <v/>
      </c>
      <c r="W1618" s="70" t="str">
        <f t="shared" si="565"/>
        <v/>
      </c>
      <c r="X1618" s="70" t="str">
        <f t="shared" si="566"/>
        <v/>
      </c>
      <c r="Y1618" s="70" t="str">
        <f>IF(AND($A1618&lt;&gt;"",$E1618&gt;0),isLaptopBag($C1618,$J1618)*$D1618,"")</f>
        <v/>
      </c>
      <c r="Z1618" s="70" t="str">
        <f t="shared" si="567"/>
        <v/>
      </c>
      <c r="AA1618" s="70" t="str">
        <f t="shared" si="568"/>
        <v/>
      </c>
      <c r="AB1618" s="70" t="str">
        <f t="shared" si="569"/>
        <v/>
      </c>
      <c r="AC1618" s="70" t="str">
        <f t="shared" si="570"/>
        <v/>
      </c>
      <c r="AD1618" s="70" t="str">
        <f t="shared" si="571"/>
        <v/>
      </c>
      <c r="AE1618" s="70" t="str">
        <f t="shared" si="572"/>
        <v/>
      </c>
      <c r="AF1618" s="16"/>
      <c r="AG1618" s="23"/>
      <c r="AH1618" s="22"/>
      <c r="AJ1618" s="83">
        <f t="shared" si="573"/>
        <v>0</v>
      </c>
      <c r="AO1618" s="22" t="str">
        <f t="shared" si="574"/>
        <v/>
      </c>
      <c r="AP1618" s="22" t="str">
        <f t="shared" si="575"/>
        <v/>
      </c>
    </row>
    <row r="1619" spans="1:42" x14ac:dyDescent="0.25">
      <c r="A1619" s="10"/>
      <c r="B1619" s="10"/>
      <c r="C1619" s="10"/>
      <c r="D1619" s="10"/>
      <c r="E1619" s="10"/>
      <c r="F1619" s="10"/>
      <c r="G1619" s="10"/>
      <c r="H1619" s="17"/>
      <c r="I1619" s="10"/>
      <c r="J1619" s="10"/>
      <c r="K1619" s="16" t="str">
        <f t="shared" si="554"/>
        <v/>
      </c>
      <c r="L1619" s="23" t="str">
        <f t="shared" si="555"/>
        <v/>
      </c>
      <c r="M1619" s="22" t="str">
        <f t="shared" si="556"/>
        <v/>
      </c>
      <c r="N1619" s="72"/>
      <c r="O1619" s="16" t="str">
        <f t="shared" si="557"/>
        <v/>
      </c>
      <c r="P1619" s="16" t="str">
        <f t="shared" si="558"/>
        <v/>
      </c>
      <c r="Q1619" s="16" t="str">
        <f t="shared" si="559"/>
        <v/>
      </c>
      <c r="R1619" s="23" t="str">
        <f t="shared" si="560"/>
        <v/>
      </c>
      <c r="S1619" s="23" t="str">
        <f t="shared" si="561"/>
        <v/>
      </c>
      <c r="T1619" s="23" t="str">
        <f t="shared" si="562"/>
        <v/>
      </c>
      <c r="U1619" s="23" t="str">
        <f t="shared" si="563"/>
        <v/>
      </c>
      <c r="V1619" s="23" t="str">
        <f t="shared" si="564"/>
        <v/>
      </c>
      <c r="W1619" s="70" t="str">
        <f t="shared" si="565"/>
        <v/>
      </c>
      <c r="X1619" s="70" t="str">
        <f t="shared" si="566"/>
        <v/>
      </c>
      <c r="Y1619" s="70" t="str">
        <f>IF(AND($A1619&lt;&gt;"",$E1619&gt;0),isLaptopBag($C1619,$J1619)*$D1619,"")</f>
        <v/>
      </c>
      <c r="Z1619" s="70" t="str">
        <f t="shared" si="567"/>
        <v/>
      </c>
      <c r="AA1619" s="70" t="str">
        <f t="shared" si="568"/>
        <v/>
      </c>
      <c r="AB1619" s="70" t="str">
        <f t="shared" si="569"/>
        <v/>
      </c>
      <c r="AC1619" s="70" t="str">
        <f t="shared" si="570"/>
        <v/>
      </c>
      <c r="AD1619" s="70" t="str">
        <f t="shared" si="571"/>
        <v/>
      </c>
      <c r="AE1619" s="70" t="str">
        <f t="shared" si="572"/>
        <v/>
      </c>
      <c r="AF1619" s="16"/>
      <c r="AG1619" s="23"/>
      <c r="AH1619" s="22"/>
      <c r="AJ1619" s="83">
        <f t="shared" si="573"/>
        <v>0</v>
      </c>
      <c r="AO1619" s="22" t="str">
        <f t="shared" si="574"/>
        <v/>
      </c>
      <c r="AP1619" s="22" t="str">
        <f t="shared" si="575"/>
        <v/>
      </c>
    </row>
    <row r="1620" spans="1:42" x14ac:dyDescent="0.25">
      <c r="A1620" s="10"/>
      <c r="B1620" s="10"/>
      <c r="C1620" s="10"/>
      <c r="D1620" s="10"/>
      <c r="E1620" s="10"/>
      <c r="F1620" s="10"/>
      <c r="G1620" s="10"/>
      <c r="H1620" s="17"/>
      <c r="I1620" s="10"/>
      <c r="J1620" s="10"/>
      <c r="K1620" s="16" t="str">
        <f t="shared" si="554"/>
        <v/>
      </c>
      <c r="L1620" s="23" t="str">
        <f t="shared" si="555"/>
        <v/>
      </c>
      <c r="M1620" s="22" t="str">
        <f t="shared" si="556"/>
        <v/>
      </c>
      <c r="N1620" s="72"/>
      <c r="O1620" s="16" t="str">
        <f t="shared" si="557"/>
        <v/>
      </c>
      <c r="P1620" s="16" t="str">
        <f t="shared" si="558"/>
        <v/>
      </c>
      <c r="Q1620" s="16" t="str">
        <f t="shared" si="559"/>
        <v/>
      </c>
      <c r="R1620" s="23" t="str">
        <f t="shared" si="560"/>
        <v/>
      </c>
      <c r="S1620" s="23" t="str">
        <f t="shared" si="561"/>
        <v/>
      </c>
      <c r="T1620" s="23" t="str">
        <f t="shared" si="562"/>
        <v/>
      </c>
      <c r="U1620" s="23" t="str">
        <f t="shared" si="563"/>
        <v/>
      </c>
      <c r="V1620" s="23" t="str">
        <f t="shared" si="564"/>
        <v/>
      </c>
      <c r="W1620" s="70" t="str">
        <f t="shared" si="565"/>
        <v/>
      </c>
      <c r="X1620" s="70" t="str">
        <f t="shared" si="566"/>
        <v/>
      </c>
      <c r="Y1620" s="70" t="str">
        <f>IF(AND($A1620&lt;&gt;"",$E1620&gt;0),isLaptopBag($C1620,$J1620)*$D1620,"")</f>
        <v/>
      </c>
      <c r="Z1620" s="70" t="str">
        <f t="shared" si="567"/>
        <v/>
      </c>
      <c r="AA1620" s="70" t="str">
        <f t="shared" si="568"/>
        <v/>
      </c>
      <c r="AB1620" s="70" t="str">
        <f t="shared" si="569"/>
        <v/>
      </c>
      <c r="AC1620" s="70" t="str">
        <f t="shared" si="570"/>
        <v/>
      </c>
      <c r="AD1620" s="70" t="str">
        <f t="shared" si="571"/>
        <v/>
      </c>
      <c r="AE1620" s="70" t="str">
        <f t="shared" si="572"/>
        <v/>
      </c>
      <c r="AF1620" s="16"/>
      <c r="AG1620" s="23"/>
      <c r="AH1620" s="22"/>
      <c r="AJ1620" s="83">
        <f t="shared" si="573"/>
        <v>0</v>
      </c>
      <c r="AO1620" s="22" t="str">
        <f t="shared" si="574"/>
        <v/>
      </c>
      <c r="AP1620" s="22" t="str">
        <f t="shared" si="575"/>
        <v/>
      </c>
    </row>
    <row r="1621" spans="1:42" x14ac:dyDescent="0.25">
      <c r="A1621" s="10"/>
      <c r="B1621" s="10"/>
      <c r="C1621" s="10"/>
      <c r="D1621" s="10"/>
      <c r="E1621" s="10"/>
      <c r="F1621" s="10"/>
      <c r="G1621" s="10"/>
      <c r="H1621" s="17"/>
      <c r="I1621" s="10"/>
      <c r="J1621" s="10"/>
      <c r="K1621" s="16" t="str">
        <f t="shared" si="554"/>
        <v/>
      </c>
      <c r="L1621" s="23" t="str">
        <f t="shared" si="555"/>
        <v/>
      </c>
      <c r="M1621" s="22" t="str">
        <f t="shared" si="556"/>
        <v/>
      </c>
      <c r="N1621" s="72"/>
      <c r="O1621" s="16" t="str">
        <f t="shared" si="557"/>
        <v/>
      </c>
      <c r="P1621" s="16" t="str">
        <f t="shared" si="558"/>
        <v/>
      </c>
      <c r="Q1621" s="16" t="str">
        <f t="shared" si="559"/>
        <v/>
      </c>
      <c r="R1621" s="23" t="str">
        <f t="shared" si="560"/>
        <v/>
      </c>
      <c r="S1621" s="23" t="str">
        <f t="shared" si="561"/>
        <v/>
      </c>
      <c r="T1621" s="23" t="str">
        <f t="shared" si="562"/>
        <v/>
      </c>
      <c r="U1621" s="23" t="str">
        <f t="shared" si="563"/>
        <v/>
      </c>
      <c r="V1621" s="23" t="str">
        <f t="shared" si="564"/>
        <v/>
      </c>
      <c r="W1621" s="70" t="str">
        <f t="shared" si="565"/>
        <v/>
      </c>
      <c r="X1621" s="70" t="str">
        <f t="shared" si="566"/>
        <v/>
      </c>
      <c r="Y1621" s="70" t="str">
        <f>IF(AND($A1621&lt;&gt;"",$E1621&gt;0),isLaptopBag($C1621,$J1621)*$D1621,"")</f>
        <v/>
      </c>
      <c r="Z1621" s="70" t="str">
        <f t="shared" si="567"/>
        <v/>
      </c>
      <c r="AA1621" s="70" t="str">
        <f t="shared" si="568"/>
        <v/>
      </c>
      <c r="AB1621" s="70" t="str">
        <f t="shared" si="569"/>
        <v/>
      </c>
      <c r="AC1621" s="70" t="str">
        <f t="shared" si="570"/>
        <v/>
      </c>
      <c r="AD1621" s="70" t="str">
        <f t="shared" si="571"/>
        <v/>
      </c>
      <c r="AE1621" s="70" t="str">
        <f t="shared" si="572"/>
        <v/>
      </c>
      <c r="AF1621" s="16"/>
      <c r="AG1621" s="23"/>
      <c r="AH1621" s="22"/>
      <c r="AJ1621" s="83">
        <f t="shared" si="573"/>
        <v>0</v>
      </c>
      <c r="AO1621" s="22" t="str">
        <f t="shared" si="574"/>
        <v/>
      </c>
      <c r="AP1621" s="22" t="str">
        <f t="shared" si="575"/>
        <v/>
      </c>
    </row>
    <row r="1622" spans="1:42" x14ac:dyDescent="0.25">
      <c r="A1622" s="10"/>
      <c r="B1622" s="10"/>
      <c r="C1622" s="10"/>
      <c r="D1622" s="10"/>
      <c r="E1622" s="10"/>
      <c r="F1622" s="10"/>
      <c r="G1622" s="10"/>
      <c r="H1622" s="17"/>
      <c r="I1622" s="10"/>
      <c r="J1622" s="10"/>
      <c r="K1622" s="16" t="str">
        <f t="shared" si="554"/>
        <v/>
      </c>
      <c r="L1622" s="23" t="str">
        <f t="shared" si="555"/>
        <v/>
      </c>
      <c r="M1622" s="22" t="str">
        <f t="shared" si="556"/>
        <v/>
      </c>
      <c r="N1622" s="72"/>
      <c r="O1622" s="16" t="str">
        <f t="shared" si="557"/>
        <v/>
      </c>
      <c r="P1622" s="16" t="str">
        <f t="shared" si="558"/>
        <v/>
      </c>
      <c r="Q1622" s="16" t="str">
        <f t="shared" si="559"/>
        <v/>
      </c>
      <c r="R1622" s="23" t="str">
        <f t="shared" si="560"/>
        <v/>
      </c>
      <c r="S1622" s="23" t="str">
        <f t="shared" si="561"/>
        <v/>
      </c>
      <c r="T1622" s="23" t="str">
        <f t="shared" si="562"/>
        <v/>
      </c>
      <c r="U1622" s="23" t="str">
        <f t="shared" si="563"/>
        <v/>
      </c>
      <c r="V1622" s="23" t="str">
        <f t="shared" si="564"/>
        <v/>
      </c>
      <c r="W1622" s="70" t="str">
        <f t="shared" si="565"/>
        <v/>
      </c>
      <c r="X1622" s="70" t="str">
        <f t="shared" si="566"/>
        <v/>
      </c>
      <c r="Y1622" s="70" t="str">
        <f>IF(AND($A1622&lt;&gt;"",$E1622&gt;0),isLaptopBag($C1622,$J1622)*$D1622,"")</f>
        <v/>
      </c>
      <c r="Z1622" s="70" t="str">
        <f t="shared" si="567"/>
        <v/>
      </c>
      <c r="AA1622" s="70" t="str">
        <f t="shared" si="568"/>
        <v/>
      </c>
      <c r="AB1622" s="70" t="str">
        <f t="shared" si="569"/>
        <v/>
      </c>
      <c r="AC1622" s="70" t="str">
        <f t="shared" si="570"/>
        <v/>
      </c>
      <c r="AD1622" s="70" t="str">
        <f t="shared" si="571"/>
        <v/>
      </c>
      <c r="AE1622" s="70" t="str">
        <f t="shared" si="572"/>
        <v/>
      </c>
      <c r="AF1622" s="16"/>
      <c r="AG1622" s="23"/>
      <c r="AH1622" s="22"/>
      <c r="AJ1622" s="83">
        <f t="shared" si="573"/>
        <v>0</v>
      </c>
      <c r="AO1622" s="22" t="str">
        <f t="shared" si="574"/>
        <v/>
      </c>
      <c r="AP1622" s="22" t="str">
        <f t="shared" si="575"/>
        <v/>
      </c>
    </row>
    <row r="1623" spans="1:42" x14ac:dyDescent="0.25">
      <c r="A1623" s="10"/>
      <c r="B1623" s="10"/>
      <c r="C1623" s="10"/>
      <c r="D1623" s="10"/>
      <c r="E1623" s="10"/>
      <c r="F1623" s="10"/>
      <c r="G1623" s="10"/>
      <c r="H1623" s="17"/>
      <c r="I1623" s="10"/>
      <c r="J1623" s="10"/>
      <c r="K1623" s="16" t="str">
        <f t="shared" si="554"/>
        <v/>
      </c>
      <c r="L1623" s="23" t="str">
        <f t="shared" si="555"/>
        <v/>
      </c>
      <c r="M1623" s="22" t="str">
        <f t="shared" si="556"/>
        <v/>
      </c>
      <c r="N1623" s="72"/>
      <c r="O1623" s="16" t="str">
        <f t="shared" si="557"/>
        <v/>
      </c>
      <c r="P1623" s="16" t="str">
        <f t="shared" si="558"/>
        <v/>
      </c>
      <c r="Q1623" s="16" t="str">
        <f t="shared" si="559"/>
        <v/>
      </c>
      <c r="R1623" s="23" t="str">
        <f t="shared" si="560"/>
        <v/>
      </c>
      <c r="S1623" s="23" t="str">
        <f t="shared" si="561"/>
        <v/>
      </c>
      <c r="T1623" s="23" t="str">
        <f t="shared" si="562"/>
        <v/>
      </c>
      <c r="U1623" s="23" t="str">
        <f t="shared" si="563"/>
        <v/>
      </c>
      <c r="V1623" s="23" t="str">
        <f t="shared" si="564"/>
        <v/>
      </c>
      <c r="W1623" s="70" t="str">
        <f t="shared" si="565"/>
        <v/>
      </c>
      <c r="X1623" s="70" t="str">
        <f t="shared" si="566"/>
        <v/>
      </c>
      <c r="Y1623" s="70" t="str">
        <f>IF(AND($A1623&lt;&gt;"",$E1623&gt;0),isLaptopBag($C1623,$J1623)*$D1623,"")</f>
        <v/>
      </c>
      <c r="Z1623" s="70" t="str">
        <f t="shared" si="567"/>
        <v/>
      </c>
      <c r="AA1623" s="70" t="str">
        <f t="shared" si="568"/>
        <v/>
      </c>
      <c r="AB1623" s="70" t="str">
        <f t="shared" si="569"/>
        <v/>
      </c>
      <c r="AC1623" s="70" t="str">
        <f t="shared" si="570"/>
        <v/>
      </c>
      <c r="AD1623" s="70" t="str">
        <f t="shared" si="571"/>
        <v/>
      </c>
      <c r="AE1623" s="70" t="str">
        <f t="shared" si="572"/>
        <v/>
      </c>
      <c r="AF1623" s="16"/>
      <c r="AG1623" s="23"/>
      <c r="AH1623" s="22"/>
      <c r="AJ1623" s="83">
        <f t="shared" si="573"/>
        <v>0</v>
      </c>
      <c r="AO1623" s="22" t="str">
        <f t="shared" si="574"/>
        <v/>
      </c>
      <c r="AP1623" s="22" t="str">
        <f t="shared" si="575"/>
        <v/>
      </c>
    </row>
    <row r="1624" spans="1:42" x14ac:dyDescent="0.25">
      <c r="A1624" s="10"/>
      <c r="B1624" s="10"/>
      <c r="C1624" s="10"/>
      <c r="D1624" s="10"/>
      <c r="E1624" s="10"/>
      <c r="F1624" s="10"/>
      <c r="G1624" s="10"/>
      <c r="H1624" s="17"/>
      <c r="I1624" s="10"/>
      <c r="J1624" s="10"/>
      <c r="K1624" s="16" t="str">
        <f t="shared" si="554"/>
        <v/>
      </c>
      <c r="L1624" s="23" t="str">
        <f t="shared" si="555"/>
        <v/>
      </c>
      <c r="M1624" s="22" t="str">
        <f t="shared" si="556"/>
        <v/>
      </c>
      <c r="N1624" s="72"/>
      <c r="O1624" s="16" t="str">
        <f t="shared" si="557"/>
        <v/>
      </c>
      <c r="P1624" s="16" t="str">
        <f t="shared" si="558"/>
        <v/>
      </c>
      <c r="Q1624" s="16" t="str">
        <f t="shared" si="559"/>
        <v/>
      </c>
      <c r="R1624" s="23" t="str">
        <f t="shared" si="560"/>
        <v/>
      </c>
      <c r="S1624" s="23" t="str">
        <f t="shared" si="561"/>
        <v/>
      </c>
      <c r="T1624" s="23" t="str">
        <f t="shared" si="562"/>
        <v/>
      </c>
      <c r="U1624" s="23" t="str">
        <f t="shared" si="563"/>
        <v/>
      </c>
      <c r="V1624" s="23" t="str">
        <f t="shared" si="564"/>
        <v/>
      </c>
      <c r="W1624" s="70" t="str">
        <f t="shared" si="565"/>
        <v/>
      </c>
      <c r="X1624" s="70" t="str">
        <f t="shared" si="566"/>
        <v/>
      </c>
      <c r="Y1624" s="70" t="str">
        <f>IF(AND($A1624&lt;&gt;"",$E1624&gt;0),isLaptopBag($C1624,$J1624)*$D1624,"")</f>
        <v/>
      </c>
      <c r="Z1624" s="70" t="str">
        <f t="shared" si="567"/>
        <v/>
      </c>
      <c r="AA1624" s="70" t="str">
        <f t="shared" si="568"/>
        <v/>
      </c>
      <c r="AB1624" s="70" t="str">
        <f t="shared" si="569"/>
        <v/>
      </c>
      <c r="AC1624" s="70" t="str">
        <f t="shared" si="570"/>
        <v/>
      </c>
      <c r="AD1624" s="70" t="str">
        <f t="shared" si="571"/>
        <v/>
      </c>
      <c r="AE1624" s="70" t="str">
        <f t="shared" si="572"/>
        <v/>
      </c>
      <c r="AF1624" s="16"/>
      <c r="AG1624" s="23"/>
      <c r="AH1624" s="22"/>
      <c r="AJ1624" s="83">
        <f t="shared" si="573"/>
        <v>0</v>
      </c>
      <c r="AO1624" s="22" t="str">
        <f t="shared" si="574"/>
        <v/>
      </c>
      <c r="AP1624" s="22" t="str">
        <f t="shared" si="575"/>
        <v/>
      </c>
    </row>
    <row r="1625" spans="1:42" x14ac:dyDescent="0.25">
      <c r="A1625" s="10"/>
      <c r="B1625" s="10"/>
      <c r="C1625" s="10"/>
      <c r="D1625" s="10"/>
      <c r="E1625" s="10"/>
      <c r="F1625" s="10"/>
      <c r="G1625" s="10"/>
      <c r="H1625" s="17"/>
      <c r="I1625" s="10"/>
      <c r="J1625" s="10"/>
      <c r="K1625" s="16" t="str">
        <f t="shared" si="554"/>
        <v/>
      </c>
      <c r="L1625" s="23" t="str">
        <f t="shared" si="555"/>
        <v/>
      </c>
      <c r="M1625" s="22" t="str">
        <f t="shared" si="556"/>
        <v/>
      </c>
      <c r="N1625" s="72"/>
      <c r="O1625" s="16" t="str">
        <f t="shared" si="557"/>
        <v/>
      </c>
      <c r="P1625" s="16" t="str">
        <f t="shared" si="558"/>
        <v/>
      </c>
      <c r="Q1625" s="16" t="str">
        <f t="shared" si="559"/>
        <v/>
      </c>
      <c r="R1625" s="23" t="str">
        <f t="shared" si="560"/>
        <v/>
      </c>
      <c r="S1625" s="23" t="str">
        <f t="shared" si="561"/>
        <v/>
      </c>
      <c r="T1625" s="23" t="str">
        <f t="shared" si="562"/>
        <v/>
      </c>
      <c r="U1625" s="23" t="str">
        <f t="shared" si="563"/>
        <v/>
      </c>
      <c r="V1625" s="23" t="str">
        <f t="shared" si="564"/>
        <v/>
      </c>
      <c r="W1625" s="70" t="str">
        <f t="shared" si="565"/>
        <v/>
      </c>
      <c r="X1625" s="70" t="str">
        <f t="shared" si="566"/>
        <v/>
      </c>
      <c r="Y1625" s="70" t="str">
        <f>IF(AND($A1625&lt;&gt;"",$E1625&gt;0),isLaptopBag($C1625,$J1625)*$D1625,"")</f>
        <v/>
      </c>
      <c r="Z1625" s="70" t="str">
        <f t="shared" si="567"/>
        <v/>
      </c>
      <c r="AA1625" s="70" t="str">
        <f t="shared" si="568"/>
        <v/>
      </c>
      <c r="AB1625" s="70" t="str">
        <f t="shared" si="569"/>
        <v/>
      </c>
      <c r="AC1625" s="70" t="str">
        <f t="shared" si="570"/>
        <v/>
      </c>
      <c r="AD1625" s="70" t="str">
        <f t="shared" si="571"/>
        <v/>
      </c>
      <c r="AE1625" s="70" t="str">
        <f t="shared" si="572"/>
        <v/>
      </c>
      <c r="AF1625" s="16"/>
      <c r="AG1625" s="23"/>
      <c r="AH1625" s="22"/>
      <c r="AJ1625" s="83">
        <f t="shared" si="573"/>
        <v>0</v>
      </c>
      <c r="AO1625" s="22" t="str">
        <f t="shared" si="574"/>
        <v/>
      </c>
      <c r="AP1625" s="22" t="str">
        <f t="shared" si="575"/>
        <v/>
      </c>
    </row>
    <row r="1626" spans="1:42" x14ac:dyDescent="0.25">
      <c r="A1626" s="10"/>
      <c r="B1626" s="10"/>
      <c r="C1626" s="10"/>
      <c r="D1626" s="10"/>
      <c r="E1626" s="10"/>
      <c r="F1626" s="10"/>
      <c r="G1626" s="10"/>
      <c r="H1626" s="17"/>
      <c r="I1626" s="10"/>
      <c r="J1626" s="10"/>
      <c r="K1626" s="16" t="str">
        <f t="shared" si="554"/>
        <v/>
      </c>
      <c r="L1626" s="23" t="str">
        <f t="shared" si="555"/>
        <v/>
      </c>
      <c r="M1626" s="22" t="str">
        <f t="shared" si="556"/>
        <v/>
      </c>
      <c r="N1626" s="72"/>
      <c r="O1626" s="16" t="str">
        <f t="shared" si="557"/>
        <v/>
      </c>
      <c r="P1626" s="16" t="str">
        <f t="shared" si="558"/>
        <v/>
      </c>
      <c r="Q1626" s="16" t="str">
        <f t="shared" si="559"/>
        <v/>
      </c>
      <c r="R1626" s="23" t="str">
        <f t="shared" si="560"/>
        <v/>
      </c>
      <c r="S1626" s="23" t="str">
        <f t="shared" si="561"/>
        <v/>
      </c>
      <c r="T1626" s="23" t="str">
        <f t="shared" si="562"/>
        <v/>
      </c>
      <c r="U1626" s="23" t="str">
        <f t="shared" si="563"/>
        <v/>
      </c>
      <c r="V1626" s="23" t="str">
        <f t="shared" si="564"/>
        <v/>
      </c>
      <c r="W1626" s="70" t="str">
        <f t="shared" si="565"/>
        <v/>
      </c>
      <c r="X1626" s="70" t="str">
        <f t="shared" si="566"/>
        <v/>
      </c>
      <c r="Y1626" s="70" t="str">
        <f>IF(AND($A1626&lt;&gt;"",$E1626&gt;0),isLaptopBag($C1626,$J1626)*$D1626,"")</f>
        <v/>
      </c>
      <c r="Z1626" s="70" t="str">
        <f t="shared" si="567"/>
        <v/>
      </c>
      <c r="AA1626" s="70" t="str">
        <f t="shared" si="568"/>
        <v/>
      </c>
      <c r="AB1626" s="70" t="str">
        <f t="shared" si="569"/>
        <v/>
      </c>
      <c r="AC1626" s="70" t="str">
        <f t="shared" si="570"/>
        <v/>
      </c>
      <c r="AD1626" s="70" t="str">
        <f t="shared" si="571"/>
        <v/>
      </c>
      <c r="AE1626" s="70" t="str">
        <f t="shared" si="572"/>
        <v/>
      </c>
      <c r="AF1626" s="16"/>
      <c r="AG1626" s="23"/>
      <c r="AH1626" s="22"/>
      <c r="AJ1626" s="83">
        <f t="shared" si="573"/>
        <v>0</v>
      </c>
      <c r="AO1626" s="22" t="str">
        <f t="shared" si="574"/>
        <v/>
      </c>
      <c r="AP1626" s="22" t="str">
        <f t="shared" si="575"/>
        <v/>
      </c>
    </row>
    <row r="1627" spans="1:42" x14ac:dyDescent="0.25">
      <c r="A1627" s="10"/>
      <c r="B1627" s="10"/>
      <c r="C1627" s="10"/>
      <c r="D1627" s="10"/>
      <c r="E1627" s="10"/>
      <c r="F1627" s="10"/>
      <c r="G1627" s="10"/>
      <c r="H1627" s="17"/>
      <c r="I1627" s="10"/>
      <c r="J1627" s="10"/>
      <c r="K1627" s="16" t="str">
        <f t="shared" si="554"/>
        <v/>
      </c>
      <c r="L1627" s="23" t="str">
        <f t="shared" si="555"/>
        <v/>
      </c>
      <c r="M1627" s="22" t="str">
        <f t="shared" si="556"/>
        <v/>
      </c>
      <c r="N1627" s="72"/>
      <c r="O1627" s="16" t="str">
        <f t="shared" si="557"/>
        <v/>
      </c>
      <c r="P1627" s="16" t="str">
        <f t="shared" si="558"/>
        <v/>
      </c>
      <c r="Q1627" s="16" t="str">
        <f t="shared" si="559"/>
        <v/>
      </c>
      <c r="R1627" s="23" t="str">
        <f t="shared" si="560"/>
        <v/>
      </c>
      <c r="S1627" s="23" t="str">
        <f t="shared" si="561"/>
        <v/>
      </c>
      <c r="T1627" s="23" t="str">
        <f t="shared" si="562"/>
        <v/>
      </c>
      <c r="U1627" s="23" t="str">
        <f t="shared" si="563"/>
        <v/>
      </c>
      <c r="V1627" s="23" t="str">
        <f t="shared" si="564"/>
        <v/>
      </c>
      <c r="W1627" s="70" t="str">
        <f t="shared" si="565"/>
        <v/>
      </c>
      <c r="X1627" s="70" t="str">
        <f t="shared" si="566"/>
        <v/>
      </c>
      <c r="Y1627" s="70" t="str">
        <f>IF(AND($A1627&lt;&gt;"",$E1627&gt;0),isLaptopBag($C1627,$J1627)*$D1627,"")</f>
        <v/>
      </c>
      <c r="Z1627" s="70" t="str">
        <f t="shared" si="567"/>
        <v/>
      </c>
      <c r="AA1627" s="70" t="str">
        <f t="shared" si="568"/>
        <v/>
      </c>
      <c r="AB1627" s="70" t="str">
        <f t="shared" si="569"/>
        <v/>
      </c>
      <c r="AC1627" s="70" t="str">
        <f t="shared" si="570"/>
        <v/>
      </c>
      <c r="AD1627" s="70" t="str">
        <f t="shared" si="571"/>
        <v/>
      </c>
      <c r="AE1627" s="70" t="str">
        <f t="shared" si="572"/>
        <v/>
      </c>
      <c r="AF1627" s="16"/>
      <c r="AG1627" s="23"/>
      <c r="AH1627" s="22"/>
      <c r="AJ1627" s="83">
        <f t="shared" si="573"/>
        <v>0</v>
      </c>
      <c r="AO1627" s="22" t="str">
        <f t="shared" si="574"/>
        <v/>
      </c>
      <c r="AP1627" s="22" t="str">
        <f t="shared" si="575"/>
        <v/>
      </c>
    </row>
    <row r="1628" spans="1:42" x14ac:dyDescent="0.25">
      <c r="A1628" s="10"/>
      <c r="B1628" s="10"/>
      <c r="C1628" s="10"/>
      <c r="D1628" s="10"/>
      <c r="E1628" s="10"/>
      <c r="F1628" s="10"/>
      <c r="G1628" s="10"/>
      <c r="H1628" s="17"/>
      <c r="I1628" s="10"/>
      <c r="J1628" s="10"/>
      <c r="K1628" s="16" t="str">
        <f t="shared" si="554"/>
        <v/>
      </c>
      <c r="L1628" s="23" t="str">
        <f t="shared" si="555"/>
        <v/>
      </c>
      <c r="M1628" s="22" t="str">
        <f t="shared" si="556"/>
        <v/>
      </c>
      <c r="N1628" s="72"/>
      <c r="O1628" s="16" t="str">
        <f t="shared" si="557"/>
        <v/>
      </c>
      <c r="P1628" s="16" t="str">
        <f t="shared" si="558"/>
        <v/>
      </c>
      <c r="Q1628" s="16" t="str">
        <f t="shared" si="559"/>
        <v/>
      </c>
      <c r="R1628" s="23" t="str">
        <f t="shared" si="560"/>
        <v/>
      </c>
      <c r="S1628" s="23" t="str">
        <f t="shared" si="561"/>
        <v/>
      </c>
      <c r="T1628" s="23" t="str">
        <f t="shared" si="562"/>
        <v/>
      </c>
      <c r="U1628" s="23" t="str">
        <f t="shared" si="563"/>
        <v/>
      </c>
      <c r="V1628" s="23" t="str">
        <f t="shared" si="564"/>
        <v/>
      </c>
      <c r="W1628" s="70" t="str">
        <f t="shared" si="565"/>
        <v/>
      </c>
      <c r="X1628" s="70" t="str">
        <f t="shared" si="566"/>
        <v/>
      </c>
      <c r="Y1628" s="70" t="str">
        <f>IF(AND($A1628&lt;&gt;"",$E1628&gt;0),isLaptopBag($C1628,$J1628)*$D1628,"")</f>
        <v/>
      </c>
      <c r="Z1628" s="70" t="str">
        <f t="shared" si="567"/>
        <v/>
      </c>
      <c r="AA1628" s="70" t="str">
        <f t="shared" si="568"/>
        <v/>
      </c>
      <c r="AB1628" s="70" t="str">
        <f t="shared" si="569"/>
        <v/>
      </c>
      <c r="AC1628" s="70" t="str">
        <f t="shared" si="570"/>
        <v/>
      </c>
      <c r="AD1628" s="70" t="str">
        <f t="shared" si="571"/>
        <v/>
      </c>
      <c r="AE1628" s="70" t="str">
        <f t="shared" si="572"/>
        <v/>
      </c>
      <c r="AF1628" s="16"/>
      <c r="AG1628" s="23"/>
      <c r="AH1628" s="22"/>
      <c r="AJ1628" s="83">
        <f t="shared" si="573"/>
        <v>0</v>
      </c>
      <c r="AO1628" s="22" t="str">
        <f t="shared" si="574"/>
        <v/>
      </c>
      <c r="AP1628" s="22" t="str">
        <f t="shared" si="575"/>
        <v/>
      </c>
    </row>
    <row r="1629" spans="1:42" x14ac:dyDescent="0.25">
      <c r="A1629" s="10"/>
      <c r="B1629" s="10"/>
      <c r="C1629" s="10"/>
      <c r="D1629" s="10"/>
      <c r="E1629" s="10"/>
      <c r="F1629" s="10"/>
      <c r="G1629" s="10"/>
      <c r="H1629" s="17"/>
      <c r="I1629" s="10"/>
      <c r="J1629" s="10"/>
      <c r="K1629" s="16" t="str">
        <f t="shared" si="554"/>
        <v/>
      </c>
      <c r="L1629" s="23" t="str">
        <f t="shared" si="555"/>
        <v/>
      </c>
      <c r="M1629" s="22" t="str">
        <f t="shared" si="556"/>
        <v/>
      </c>
      <c r="N1629" s="72"/>
      <c r="O1629" s="16" t="str">
        <f t="shared" si="557"/>
        <v/>
      </c>
      <c r="P1629" s="16" t="str">
        <f t="shared" si="558"/>
        <v/>
      </c>
      <c r="Q1629" s="16" t="str">
        <f t="shared" si="559"/>
        <v/>
      </c>
      <c r="R1629" s="23" t="str">
        <f t="shared" si="560"/>
        <v/>
      </c>
      <c r="S1629" s="23" t="str">
        <f t="shared" si="561"/>
        <v/>
      </c>
      <c r="T1629" s="23" t="str">
        <f t="shared" si="562"/>
        <v/>
      </c>
      <c r="U1629" s="23" t="str">
        <f t="shared" si="563"/>
        <v/>
      </c>
      <c r="V1629" s="23" t="str">
        <f t="shared" si="564"/>
        <v/>
      </c>
      <c r="W1629" s="70" t="str">
        <f t="shared" si="565"/>
        <v/>
      </c>
      <c r="X1629" s="70" t="str">
        <f t="shared" si="566"/>
        <v/>
      </c>
      <c r="Y1629" s="70" t="str">
        <f>IF(AND($A1629&lt;&gt;"",$E1629&gt;0),isLaptopBag($C1629,$J1629)*$D1629,"")</f>
        <v/>
      </c>
      <c r="Z1629" s="70" t="str">
        <f t="shared" si="567"/>
        <v/>
      </c>
      <c r="AA1629" s="70" t="str">
        <f t="shared" si="568"/>
        <v/>
      </c>
      <c r="AB1629" s="70" t="str">
        <f t="shared" si="569"/>
        <v/>
      </c>
      <c r="AC1629" s="70" t="str">
        <f t="shared" si="570"/>
        <v/>
      </c>
      <c r="AD1629" s="70" t="str">
        <f t="shared" si="571"/>
        <v/>
      </c>
      <c r="AE1629" s="70" t="str">
        <f t="shared" si="572"/>
        <v/>
      </c>
      <c r="AF1629" s="16"/>
      <c r="AG1629" s="23"/>
      <c r="AH1629" s="22"/>
      <c r="AJ1629" s="83">
        <f t="shared" si="573"/>
        <v>0</v>
      </c>
      <c r="AO1629" s="22" t="str">
        <f t="shared" si="574"/>
        <v/>
      </c>
      <c r="AP1629" s="22" t="str">
        <f t="shared" si="575"/>
        <v/>
      </c>
    </row>
    <row r="1630" spans="1:42" x14ac:dyDescent="0.25">
      <c r="A1630" s="10"/>
      <c r="B1630" s="10"/>
      <c r="C1630" s="10"/>
      <c r="D1630" s="10"/>
      <c r="E1630" s="10"/>
      <c r="F1630" s="10"/>
      <c r="G1630" s="10"/>
      <c r="H1630" s="17"/>
      <c r="I1630" s="10"/>
      <c r="J1630" s="10"/>
      <c r="K1630" s="16" t="str">
        <f t="shared" si="554"/>
        <v/>
      </c>
      <c r="L1630" s="23" t="str">
        <f t="shared" si="555"/>
        <v/>
      </c>
      <c r="M1630" s="22" t="str">
        <f t="shared" si="556"/>
        <v/>
      </c>
      <c r="N1630" s="72"/>
      <c r="O1630" s="16" t="str">
        <f t="shared" si="557"/>
        <v/>
      </c>
      <c r="P1630" s="16" t="str">
        <f t="shared" si="558"/>
        <v/>
      </c>
      <c r="Q1630" s="16" t="str">
        <f t="shared" si="559"/>
        <v/>
      </c>
      <c r="R1630" s="23" t="str">
        <f t="shared" si="560"/>
        <v/>
      </c>
      <c r="S1630" s="23" t="str">
        <f t="shared" si="561"/>
        <v/>
      </c>
      <c r="T1630" s="23" t="str">
        <f t="shared" si="562"/>
        <v/>
      </c>
      <c r="U1630" s="23" t="str">
        <f t="shared" si="563"/>
        <v/>
      </c>
      <c r="V1630" s="23" t="str">
        <f t="shared" si="564"/>
        <v/>
      </c>
      <c r="W1630" s="70" t="str">
        <f t="shared" si="565"/>
        <v/>
      </c>
      <c r="X1630" s="70" t="str">
        <f t="shared" si="566"/>
        <v/>
      </c>
      <c r="Y1630" s="70" t="str">
        <f>IF(AND($A1630&lt;&gt;"",$E1630&gt;0),isLaptopBag($C1630,$J1630)*$D1630,"")</f>
        <v/>
      </c>
      <c r="Z1630" s="70" t="str">
        <f t="shared" si="567"/>
        <v/>
      </c>
      <c r="AA1630" s="70" t="str">
        <f t="shared" si="568"/>
        <v/>
      </c>
      <c r="AB1630" s="70" t="str">
        <f t="shared" si="569"/>
        <v/>
      </c>
      <c r="AC1630" s="70" t="str">
        <f t="shared" si="570"/>
        <v/>
      </c>
      <c r="AD1630" s="70" t="str">
        <f t="shared" si="571"/>
        <v/>
      </c>
      <c r="AE1630" s="70" t="str">
        <f t="shared" si="572"/>
        <v/>
      </c>
      <c r="AF1630" s="16"/>
      <c r="AG1630" s="23"/>
      <c r="AH1630" s="22"/>
      <c r="AJ1630" s="83">
        <f t="shared" si="573"/>
        <v>0</v>
      </c>
      <c r="AO1630" s="22" t="str">
        <f t="shared" si="574"/>
        <v/>
      </c>
      <c r="AP1630" s="22" t="str">
        <f t="shared" si="575"/>
        <v/>
      </c>
    </row>
    <row r="1631" spans="1:42" x14ac:dyDescent="0.25">
      <c r="A1631" s="10"/>
      <c r="B1631" s="10"/>
      <c r="C1631" s="10"/>
      <c r="D1631" s="10"/>
      <c r="E1631" s="10"/>
      <c r="F1631" s="10"/>
      <c r="G1631" s="10"/>
      <c r="H1631" s="17"/>
      <c r="I1631" s="10"/>
      <c r="J1631" s="10"/>
      <c r="K1631" s="16" t="str">
        <f t="shared" si="554"/>
        <v/>
      </c>
      <c r="L1631" s="23" t="str">
        <f t="shared" si="555"/>
        <v/>
      </c>
      <c r="M1631" s="22" t="str">
        <f t="shared" si="556"/>
        <v/>
      </c>
      <c r="N1631" s="72"/>
      <c r="O1631" s="16" t="str">
        <f t="shared" si="557"/>
        <v/>
      </c>
      <c r="P1631" s="16" t="str">
        <f t="shared" si="558"/>
        <v/>
      </c>
      <c r="Q1631" s="16" t="str">
        <f t="shared" si="559"/>
        <v/>
      </c>
      <c r="R1631" s="23" t="str">
        <f t="shared" si="560"/>
        <v/>
      </c>
      <c r="S1631" s="23" t="str">
        <f t="shared" si="561"/>
        <v/>
      </c>
      <c r="T1631" s="23" t="str">
        <f t="shared" si="562"/>
        <v/>
      </c>
      <c r="U1631" s="23" t="str">
        <f t="shared" si="563"/>
        <v/>
      </c>
      <c r="V1631" s="23" t="str">
        <f t="shared" si="564"/>
        <v/>
      </c>
      <c r="W1631" s="70" t="str">
        <f t="shared" si="565"/>
        <v/>
      </c>
      <c r="X1631" s="70" t="str">
        <f t="shared" si="566"/>
        <v/>
      </c>
      <c r="Y1631" s="70" t="str">
        <f>IF(AND($A1631&lt;&gt;"",$E1631&gt;0),isLaptopBag($C1631,$J1631)*$D1631,"")</f>
        <v/>
      </c>
      <c r="Z1631" s="70" t="str">
        <f t="shared" si="567"/>
        <v/>
      </c>
      <c r="AA1631" s="70" t="str">
        <f t="shared" si="568"/>
        <v/>
      </c>
      <c r="AB1631" s="70" t="str">
        <f t="shared" si="569"/>
        <v/>
      </c>
      <c r="AC1631" s="70" t="str">
        <f t="shared" si="570"/>
        <v/>
      </c>
      <c r="AD1631" s="70" t="str">
        <f t="shared" si="571"/>
        <v/>
      </c>
      <c r="AE1631" s="70" t="str">
        <f t="shared" si="572"/>
        <v/>
      </c>
      <c r="AF1631" s="16"/>
      <c r="AG1631" s="23"/>
      <c r="AH1631" s="22"/>
      <c r="AJ1631" s="83">
        <f t="shared" si="573"/>
        <v>0</v>
      </c>
      <c r="AO1631" s="22" t="str">
        <f t="shared" si="574"/>
        <v/>
      </c>
      <c r="AP1631" s="22" t="str">
        <f t="shared" si="575"/>
        <v/>
      </c>
    </row>
    <row r="1632" spans="1:42" x14ac:dyDescent="0.25">
      <c r="A1632" s="10"/>
      <c r="B1632" s="10"/>
      <c r="C1632" s="10"/>
      <c r="D1632" s="10"/>
      <c r="E1632" s="10"/>
      <c r="F1632" s="10"/>
      <c r="G1632" s="10"/>
      <c r="H1632" s="17"/>
      <c r="I1632" s="10"/>
      <c r="J1632" s="10"/>
      <c r="K1632" s="16" t="str">
        <f t="shared" si="554"/>
        <v/>
      </c>
      <c r="L1632" s="23" t="str">
        <f t="shared" si="555"/>
        <v/>
      </c>
      <c r="M1632" s="22" t="str">
        <f t="shared" si="556"/>
        <v/>
      </c>
      <c r="N1632" s="72"/>
      <c r="O1632" s="16" t="str">
        <f t="shared" si="557"/>
        <v/>
      </c>
      <c r="P1632" s="16" t="str">
        <f t="shared" si="558"/>
        <v/>
      </c>
      <c r="Q1632" s="16" t="str">
        <f t="shared" si="559"/>
        <v/>
      </c>
      <c r="R1632" s="23" t="str">
        <f t="shared" si="560"/>
        <v/>
      </c>
      <c r="S1632" s="23" t="str">
        <f t="shared" si="561"/>
        <v/>
      </c>
      <c r="T1632" s="23" t="str">
        <f t="shared" si="562"/>
        <v/>
      </c>
      <c r="U1632" s="23" t="str">
        <f t="shared" si="563"/>
        <v/>
      </c>
      <c r="V1632" s="23" t="str">
        <f t="shared" si="564"/>
        <v/>
      </c>
      <c r="W1632" s="70" t="str">
        <f t="shared" si="565"/>
        <v/>
      </c>
      <c r="X1632" s="70" t="str">
        <f t="shared" si="566"/>
        <v/>
      </c>
      <c r="Y1632" s="70" t="str">
        <f>IF(AND($A1632&lt;&gt;"",$E1632&gt;0),isLaptopBag($C1632,$J1632)*$D1632,"")</f>
        <v/>
      </c>
      <c r="Z1632" s="70" t="str">
        <f t="shared" si="567"/>
        <v/>
      </c>
      <c r="AA1632" s="70" t="str">
        <f t="shared" si="568"/>
        <v/>
      </c>
      <c r="AB1632" s="70" t="str">
        <f t="shared" si="569"/>
        <v/>
      </c>
      <c r="AC1632" s="70" t="str">
        <f t="shared" si="570"/>
        <v/>
      </c>
      <c r="AD1632" s="70" t="str">
        <f t="shared" si="571"/>
        <v/>
      </c>
      <c r="AE1632" s="70" t="str">
        <f t="shared" si="572"/>
        <v/>
      </c>
      <c r="AF1632" s="16"/>
      <c r="AG1632" s="23"/>
      <c r="AH1632" s="22"/>
      <c r="AJ1632" s="83">
        <f t="shared" si="573"/>
        <v>0</v>
      </c>
      <c r="AO1632" s="22" t="str">
        <f t="shared" si="574"/>
        <v/>
      </c>
      <c r="AP1632" s="22" t="str">
        <f t="shared" si="575"/>
        <v/>
      </c>
    </row>
    <row r="1633" spans="1:42" x14ac:dyDescent="0.25">
      <c r="A1633" s="10"/>
      <c r="B1633" s="10"/>
      <c r="C1633" s="10"/>
      <c r="D1633" s="10"/>
      <c r="E1633" s="10"/>
      <c r="F1633" s="10"/>
      <c r="G1633" s="10"/>
      <c r="H1633" s="17"/>
      <c r="I1633" s="10"/>
      <c r="J1633" s="10"/>
      <c r="K1633" s="16" t="str">
        <f t="shared" si="554"/>
        <v/>
      </c>
      <c r="L1633" s="23" t="str">
        <f t="shared" si="555"/>
        <v/>
      </c>
      <c r="M1633" s="22" t="str">
        <f t="shared" si="556"/>
        <v/>
      </c>
      <c r="N1633" s="72"/>
      <c r="O1633" s="16" t="str">
        <f t="shared" si="557"/>
        <v/>
      </c>
      <c r="P1633" s="16" t="str">
        <f t="shared" si="558"/>
        <v/>
      </c>
      <c r="Q1633" s="16" t="str">
        <f t="shared" si="559"/>
        <v/>
      </c>
      <c r="R1633" s="23" t="str">
        <f t="shared" si="560"/>
        <v/>
      </c>
      <c r="S1633" s="23" t="str">
        <f t="shared" si="561"/>
        <v/>
      </c>
      <c r="T1633" s="23" t="str">
        <f t="shared" si="562"/>
        <v/>
      </c>
      <c r="U1633" s="23" t="str">
        <f t="shared" si="563"/>
        <v/>
      </c>
      <c r="V1633" s="23" t="str">
        <f t="shared" si="564"/>
        <v/>
      </c>
      <c r="W1633" s="70" t="str">
        <f t="shared" si="565"/>
        <v/>
      </c>
      <c r="X1633" s="70" t="str">
        <f t="shared" si="566"/>
        <v/>
      </c>
      <c r="Y1633" s="70" t="str">
        <f>IF(AND($A1633&lt;&gt;"",$E1633&gt;0),isLaptopBag($C1633,$J1633)*$D1633,"")</f>
        <v/>
      </c>
      <c r="Z1633" s="70" t="str">
        <f t="shared" si="567"/>
        <v/>
      </c>
      <c r="AA1633" s="70" t="str">
        <f t="shared" si="568"/>
        <v/>
      </c>
      <c r="AB1633" s="70" t="str">
        <f t="shared" si="569"/>
        <v/>
      </c>
      <c r="AC1633" s="70" t="str">
        <f t="shared" si="570"/>
        <v/>
      </c>
      <c r="AD1633" s="70" t="str">
        <f t="shared" si="571"/>
        <v/>
      </c>
      <c r="AE1633" s="70" t="str">
        <f t="shared" si="572"/>
        <v/>
      </c>
      <c r="AF1633" s="16"/>
      <c r="AG1633" s="23"/>
      <c r="AH1633" s="22"/>
      <c r="AJ1633" s="83">
        <f t="shared" si="573"/>
        <v>0</v>
      </c>
      <c r="AO1633" s="22" t="str">
        <f t="shared" si="574"/>
        <v/>
      </c>
      <c r="AP1633" s="22" t="str">
        <f t="shared" si="575"/>
        <v/>
      </c>
    </row>
    <row r="1634" spans="1:42" x14ac:dyDescent="0.25">
      <c r="A1634" s="10"/>
      <c r="B1634" s="10"/>
      <c r="C1634" s="10"/>
      <c r="D1634" s="10"/>
      <c r="E1634" s="10"/>
      <c r="F1634" s="10"/>
      <c r="G1634" s="10"/>
      <c r="H1634" s="17"/>
      <c r="I1634" s="10"/>
      <c r="J1634" s="10"/>
      <c r="K1634" s="16" t="str">
        <f t="shared" si="554"/>
        <v/>
      </c>
      <c r="L1634" s="23" t="str">
        <f t="shared" si="555"/>
        <v/>
      </c>
      <c r="M1634" s="22" t="str">
        <f t="shared" si="556"/>
        <v/>
      </c>
      <c r="N1634" s="72"/>
      <c r="O1634" s="16" t="str">
        <f t="shared" si="557"/>
        <v/>
      </c>
      <c r="P1634" s="16" t="str">
        <f t="shared" si="558"/>
        <v/>
      </c>
      <c r="Q1634" s="16" t="str">
        <f t="shared" si="559"/>
        <v/>
      </c>
      <c r="R1634" s="23" t="str">
        <f t="shared" si="560"/>
        <v/>
      </c>
      <c r="S1634" s="23" t="str">
        <f t="shared" si="561"/>
        <v/>
      </c>
      <c r="T1634" s="23" t="str">
        <f t="shared" si="562"/>
        <v/>
      </c>
      <c r="U1634" s="23" t="str">
        <f t="shared" si="563"/>
        <v/>
      </c>
      <c r="V1634" s="23" t="str">
        <f t="shared" si="564"/>
        <v/>
      </c>
      <c r="W1634" s="70" t="str">
        <f t="shared" si="565"/>
        <v/>
      </c>
      <c r="X1634" s="70" t="str">
        <f t="shared" si="566"/>
        <v/>
      </c>
      <c r="Y1634" s="70" t="str">
        <f>IF(AND($A1634&lt;&gt;"",$E1634&gt;0),isLaptopBag($C1634,$J1634)*$D1634,"")</f>
        <v/>
      </c>
      <c r="Z1634" s="70" t="str">
        <f t="shared" si="567"/>
        <v/>
      </c>
      <c r="AA1634" s="70" t="str">
        <f t="shared" si="568"/>
        <v/>
      </c>
      <c r="AB1634" s="70" t="str">
        <f t="shared" si="569"/>
        <v/>
      </c>
      <c r="AC1634" s="70" t="str">
        <f t="shared" si="570"/>
        <v/>
      </c>
      <c r="AD1634" s="70" t="str">
        <f t="shared" si="571"/>
        <v/>
      </c>
      <c r="AE1634" s="70" t="str">
        <f t="shared" si="572"/>
        <v/>
      </c>
      <c r="AF1634" s="16"/>
      <c r="AG1634" s="23"/>
      <c r="AH1634" s="22"/>
      <c r="AJ1634" s="83">
        <f t="shared" si="573"/>
        <v>0</v>
      </c>
      <c r="AO1634" s="22" t="str">
        <f t="shared" si="574"/>
        <v/>
      </c>
      <c r="AP1634" s="22" t="str">
        <f t="shared" si="575"/>
        <v/>
      </c>
    </row>
    <row r="1635" spans="1:42" x14ac:dyDescent="0.25">
      <c r="A1635" s="10"/>
      <c r="B1635" s="10"/>
      <c r="C1635" s="10"/>
      <c r="D1635" s="10"/>
      <c r="E1635" s="10"/>
      <c r="F1635" s="10"/>
      <c r="G1635" s="10"/>
      <c r="H1635" s="17"/>
      <c r="I1635" s="10"/>
      <c r="J1635" s="10"/>
      <c r="K1635" s="16" t="str">
        <f t="shared" si="554"/>
        <v/>
      </c>
      <c r="L1635" s="23" t="str">
        <f t="shared" si="555"/>
        <v/>
      </c>
      <c r="M1635" s="22" t="str">
        <f t="shared" si="556"/>
        <v/>
      </c>
      <c r="N1635" s="72"/>
      <c r="O1635" s="16" t="str">
        <f t="shared" si="557"/>
        <v/>
      </c>
      <c r="P1635" s="16" t="str">
        <f t="shared" si="558"/>
        <v/>
      </c>
      <c r="Q1635" s="16" t="str">
        <f t="shared" si="559"/>
        <v/>
      </c>
      <c r="R1635" s="23" t="str">
        <f t="shared" si="560"/>
        <v/>
      </c>
      <c r="S1635" s="23" t="str">
        <f t="shared" si="561"/>
        <v/>
      </c>
      <c r="T1635" s="23" t="str">
        <f t="shared" si="562"/>
        <v/>
      </c>
      <c r="U1635" s="23" t="str">
        <f t="shared" si="563"/>
        <v/>
      </c>
      <c r="V1635" s="23" t="str">
        <f t="shared" si="564"/>
        <v/>
      </c>
      <c r="W1635" s="70" t="str">
        <f t="shared" si="565"/>
        <v/>
      </c>
      <c r="X1635" s="70" t="str">
        <f t="shared" si="566"/>
        <v/>
      </c>
      <c r="Y1635" s="70" t="str">
        <f>IF(AND($A1635&lt;&gt;"",$E1635&gt;0),isLaptopBag($C1635,$J1635)*$D1635,"")</f>
        <v/>
      </c>
      <c r="Z1635" s="70" t="str">
        <f t="shared" si="567"/>
        <v/>
      </c>
      <c r="AA1635" s="70" t="str">
        <f t="shared" si="568"/>
        <v/>
      </c>
      <c r="AB1635" s="70" t="str">
        <f t="shared" si="569"/>
        <v/>
      </c>
      <c r="AC1635" s="70" t="str">
        <f t="shared" si="570"/>
        <v/>
      </c>
      <c r="AD1635" s="70" t="str">
        <f t="shared" si="571"/>
        <v/>
      </c>
      <c r="AE1635" s="70" t="str">
        <f t="shared" si="572"/>
        <v/>
      </c>
      <c r="AF1635" s="16"/>
      <c r="AG1635" s="23"/>
      <c r="AH1635" s="22"/>
      <c r="AJ1635" s="83">
        <f t="shared" si="573"/>
        <v>0</v>
      </c>
      <c r="AO1635" s="22" t="str">
        <f t="shared" si="574"/>
        <v/>
      </c>
      <c r="AP1635" s="22" t="str">
        <f t="shared" si="575"/>
        <v/>
      </c>
    </row>
    <row r="1636" spans="1:42" x14ac:dyDescent="0.25">
      <c r="A1636" s="10"/>
      <c r="B1636" s="10"/>
      <c r="C1636" s="10"/>
      <c r="D1636" s="10"/>
      <c r="E1636" s="10"/>
      <c r="F1636" s="10"/>
      <c r="G1636" s="10"/>
      <c r="H1636" s="17"/>
      <c r="I1636" s="10"/>
      <c r="J1636" s="10"/>
      <c r="K1636" s="16" t="str">
        <f t="shared" si="554"/>
        <v/>
      </c>
      <c r="L1636" s="23" t="str">
        <f t="shared" si="555"/>
        <v/>
      </c>
      <c r="M1636" s="22" t="str">
        <f t="shared" si="556"/>
        <v/>
      </c>
      <c r="N1636" s="72"/>
      <c r="O1636" s="16" t="str">
        <f t="shared" si="557"/>
        <v/>
      </c>
      <c r="P1636" s="16" t="str">
        <f t="shared" si="558"/>
        <v/>
      </c>
      <c r="Q1636" s="16" t="str">
        <f t="shared" si="559"/>
        <v/>
      </c>
      <c r="R1636" s="23" t="str">
        <f t="shared" si="560"/>
        <v/>
      </c>
      <c r="S1636" s="23" t="str">
        <f t="shared" si="561"/>
        <v/>
      </c>
      <c r="T1636" s="23" t="str">
        <f t="shared" si="562"/>
        <v/>
      </c>
      <c r="U1636" s="23" t="str">
        <f t="shared" si="563"/>
        <v/>
      </c>
      <c r="V1636" s="23" t="str">
        <f t="shared" si="564"/>
        <v/>
      </c>
      <c r="W1636" s="70" t="str">
        <f t="shared" si="565"/>
        <v/>
      </c>
      <c r="X1636" s="70" t="str">
        <f t="shared" si="566"/>
        <v/>
      </c>
      <c r="Y1636" s="70" t="str">
        <f>IF(AND($A1636&lt;&gt;"",$E1636&gt;0),isLaptopBag($C1636,$J1636)*$D1636,"")</f>
        <v/>
      </c>
      <c r="Z1636" s="70" t="str">
        <f t="shared" si="567"/>
        <v/>
      </c>
      <c r="AA1636" s="70" t="str">
        <f t="shared" si="568"/>
        <v/>
      </c>
      <c r="AB1636" s="70" t="str">
        <f t="shared" si="569"/>
        <v/>
      </c>
      <c r="AC1636" s="70" t="str">
        <f t="shared" si="570"/>
        <v/>
      </c>
      <c r="AD1636" s="70" t="str">
        <f t="shared" si="571"/>
        <v/>
      </c>
      <c r="AE1636" s="70" t="str">
        <f t="shared" si="572"/>
        <v/>
      </c>
      <c r="AF1636" s="16"/>
      <c r="AG1636" s="23"/>
      <c r="AH1636" s="22"/>
      <c r="AJ1636" s="83">
        <f t="shared" si="573"/>
        <v>0</v>
      </c>
      <c r="AO1636" s="22" t="str">
        <f t="shared" si="574"/>
        <v/>
      </c>
      <c r="AP1636" s="22" t="str">
        <f t="shared" si="575"/>
        <v/>
      </c>
    </row>
    <row r="1637" spans="1:42" x14ac:dyDescent="0.25">
      <c r="A1637" s="10"/>
      <c r="B1637" s="10"/>
      <c r="C1637" s="10"/>
      <c r="D1637" s="10"/>
      <c r="E1637" s="10"/>
      <c r="F1637" s="10"/>
      <c r="G1637" s="10"/>
      <c r="H1637" s="17"/>
      <c r="I1637" s="10"/>
      <c r="J1637" s="10"/>
      <c r="K1637" s="16" t="str">
        <f t="shared" si="554"/>
        <v/>
      </c>
      <c r="L1637" s="23" t="str">
        <f t="shared" si="555"/>
        <v/>
      </c>
      <c r="M1637" s="22" t="str">
        <f t="shared" si="556"/>
        <v/>
      </c>
      <c r="N1637" s="72"/>
      <c r="O1637" s="16" t="str">
        <f t="shared" si="557"/>
        <v/>
      </c>
      <c r="P1637" s="16" t="str">
        <f t="shared" si="558"/>
        <v/>
      </c>
      <c r="Q1637" s="16" t="str">
        <f t="shared" si="559"/>
        <v/>
      </c>
      <c r="R1637" s="23" t="str">
        <f t="shared" si="560"/>
        <v/>
      </c>
      <c r="S1637" s="23" t="str">
        <f t="shared" si="561"/>
        <v/>
      </c>
      <c r="T1637" s="23" t="str">
        <f t="shared" si="562"/>
        <v/>
      </c>
      <c r="U1637" s="23" t="str">
        <f t="shared" si="563"/>
        <v/>
      </c>
      <c r="V1637" s="23" t="str">
        <f t="shared" si="564"/>
        <v/>
      </c>
      <c r="W1637" s="70" t="str">
        <f t="shared" si="565"/>
        <v/>
      </c>
      <c r="X1637" s="70" t="str">
        <f t="shared" si="566"/>
        <v/>
      </c>
      <c r="Y1637" s="70" t="str">
        <f>IF(AND($A1637&lt;&gt;"",$E1637&gt;0),isLaptopBag($C1637,$J1637)*$D1637,"")</f>
        <v/>
      </c>
      <c r="Z1637" s="70" t="str">
        <f t="shared" si="567"/>
        <v/>
      </c>
      <c r="AA1637" s="70" t="str">
        <f t="shared" si="568"/>
        <v/>
      </c>
      <c r="AB1637" s="70" t="str">
        <f t="shared" si="569"/>
        <v/>
      </c>
      <c r="AC1637" s="70" t="str">
        <f t="shared" si="570"/>
        <v/>
      </c>
      <c r="AD1637" s="70" t="str">
        <f t="shared" si="571"/>
        <v/>
      </c>
      <c r="AE1637" s="70" t="str">
        <f t="shared" si="572"/>
        <v/>
      </c>
      <c r="AF1637" s="16"/>
      <c r="AG1637" s="23"/>
      <c r="AH1637" s="22"/>
      <c r="AJ1637" s="83">
        <f t="shared" si="573"/>
        <v>0</v>
      </c>
      <c r="AO1637" s="22" t="str">
        <f t="shared" si="574"/>
        <v/>
      </c>
      <c r="AP1637" s="22" t="str">
        <f t="shared" si="575"/>
        <v/>
      </c>
    </row>
    <row r="1638" spans="1:42" x14ac:dyDescent="0.25">
      <c r="A1638" s="10"/>
      <c r="B1638" s="10"/>
      <c r="C1638" s="10"/>
      <c r="D1638" s="10"/>
      <c r="E1638" s="10"/>
      <c r="F1638" s="10"/>
      <c r="G1638" s="10"/>
      <c r="H1638" s="17"/>
      <c r="I1638" s="10"/>
      <c r="J1638" s="10"/>
      <c r="K1638" s="16" t="str">
        <f t="shared" si="554"/>
        <v/>
      </c>
      <c r="L1638" s="23" t="str">
        <f t="shared" si="555"/>
        <v/>
      </c>
      <c r="M1638" s="22" t="str">
        <f t="shared" si="556"/>
        <v/>
      </c>
      <c r="N1638" s="72"/>
      <c r="O1638" s="16" t="str">
        <f t="shared" si="557"/>
        <v/>
      </c>
      <c r="P1638" s="16" t="str">
        <f t="shared" si="558"/>
        <v/>
      </c>
      <c r="Q1638" s="16" t="str">
        <f t="shared" si="559"/>
        <v/>
      </c>
      <c r="R1638" s="23" t="str">
        <f t="shared" si="560"/>
        <v/>
      </c>
      <c r="S1638" s="23" t="str">
        <f t="shared" si="561"/>
        <v/>
      </c>
      <c r="T1638" s="23" t="str">
        <f t="shared" si="562"/>
        <v/>
      </c>
      <c r="U1638" s="23" t="str">
        <f t="shared" si="563"/>
        <v/>
      </c>
      <c r="V1638" s="23" t="str">
        <f t="shared" si="564"/>
        <v/>
      </c>
      <c r="W1638" s="70" t="str">
        <f t="shared" si="565"/>
        <v/>
      </c>
      <c r="X1638" s="70" t="str">
        <f t="shared" si="566"/>
        <v/>
      </c>
      <c r="Y1638" s="70" t="str">
        <f>IF(AND($A1638&lt;&gt;"",$E1638&gt;0),isLaptopBag($C1638,$J1638)*$D1638,"")</f>
        <v/>
      </c>
      <c r="Z1638" s="70" t="str">
        <f t="shared" si="567"/>
        <v/>
      </c>
      <c r="AA1638" s="70" t="str">
        <f t="shared" si="568"/>
        <v/>
      </c>
      <c r="AB1638" s="70" t="str">
        <f t="shared" si="569"/>
        <v/>
      </c>
      <c r="AC1638" s="70" t="str">
        <f t="shared" si="570"/>
        <v/>
      </c>
      <c r="AD1638" s="70" t="str">
        <f t="shared" si="571"/>
        <v/>
      </c>
      <c r="AE1638" s="70" t="str">
        <f t="shared" si="572"/>
        <v/>
      </c>
      <c r="AF1638" s="16"/>
      <c r="AG1638" s="23"/>
      <c r="AH1638" s="22"/>
      <c r="AJ1638" s="83">
        <f t="shared" si="573"/>
        <v>0</v>
      </c>
      <c r="AO1638" s="22" t="str">
        <f t="shared" si="574"/>
        <v/>
      </c>
      <c r="AP1638" s="22" t="str">
        <f t="shared" si="575"/>
        <v/>
      </c>
    </row>
    <row r="1639" spans="1:42" x14ac:dyDescent="0.25">
      <c r="A1639" s="10"/>
      <c r="B1639" s="10"/>
      <c r="C1639" s="10"/>
      <c r="D1639" s="10"/>
      <c r="E1639" s="10"/>
      <c r="F1639" s="10"/>
      <c r="G1639" s="10"/>
      <c r="H1639" s="17"/>
      <c r="I1639" s="10"/>
      <c r="J1639" s="10"/>
      <c r="K1639" s="16" t="str">
        <f t="shared" si="554"/>
        <v/>
      </c>
      <c r="L1639" s="23" t="str">
        <f t="shared" si="555"/>
        <v/>
      </c>
      <c r="M1639" s="22" t="str">
        <f t="shared" si="556"/>
        <v/>
      </c>
      <c r="N1639" s="72"/>
      <c r="O1639" s="16" t="str">
        <f t="shared" si="557"/>
        <v/>
      </c>
      <c r="P1639" s="16" t="str">
        <f t="shared" si="558"/>
        <v/>
      </c>
      <c r="Q1639" s="16" t="str">
        <f t="shared" si="559"/>
        <v/>
      </c>
      <c r="R1639" s="23" t="str">
        <f t="shared" si="560"/>
        <v/>
      </c>
      <c r="S1639" s="23" t="str">
        <f t="shared" si="561"/>
        <v/>
      </c>
      <c r="T1639" s="23" t="str">
        <f t="shared" si="562"/>
        <v/>
      </c>
      <c r="U1639" s="23" t="str">
        <f t="shared" si="563"/>
        <v/>
      </c>
      <c r="V1639" s="23" t="str">
        <f t="shared" si="564"/>
        <v/>
      </c>
      <c r="W1639" s="70" t="str">
        <f t="shared" si="565"/>
        <v/>
      </c>
      <c r="X1639" s="70" t="str">
        <f t="shared" si="566"/>
        <v/>
      </c>
      <c r="Y1639" s="70" t="str">
        <f>IF(AND($A1639&lt;&gt;"",$E1639&gt;0),isLaptopBag($C1639,$J1639)*$D1639,"")</f>
        <v/>
      </c>
      <c r="Z1639" s="70" t="str">
        <f t="shared" si="567"/>
        <v/>
      </c>
      <c r="AA1639" s="70" t="str">
        <f t="shared" si="568"/>
        <v/>
      </c>
      <c r="AB1639" s="70" t="str">
        <f t="shared" si="569"/>
        <v/>
      </c>
      <c r="AC1639" s="70" t="str">
        <f t="shared" si="570"/>
        <v/>
      </c>
      <c r="AD1639" s="70" t="str">
        <f t="shared" si="571"/>
        <v/>
      </c>
      <c r="AE1639" s="70" t="str">
        <f t="shared" si="572"/>
        <v/>
      </c>
      <c r="AF1639" s="16"/>
      <c r="AG1639" s="23"/>
      <c r="AH1639" s="22"/>
      <c r="AJ1639" s="83">
        <f t="shared" si="573"/>
        <v>0</v>
      </c>
      <c r="AO1639" s="22" t="str">
        <f t="shared" si="574"/>
        <v/>
      </c>
      <c r="AP1639" s="22" t="str">
        <f t="shared" si="575"/>
        <v/>
      </c>
    </row>
    <row r="1640" spans="1:42" x14ac:dyDescent="0.25">
      <c r="A1640" s="10"/>
      <c r="B1640" s="10"/>
      <c r="C1640" s="10"/>
      <c r="D1640" s="10"/>
      <c r="E1640" s="10"/>
      <c r="F1640" s="10"/>
      <c r="G1640" s="10"/>
      <c r="H1640" s="17"/>
      <c r="I1640" s="10"/>
      <c r="J1640" s="10"/>
      <c r="K1640" s="16" t="str">
        <f t="shared" si="554"/>
        <v/>
      </c>
      <c r="L1640" s="23" t="str">
        <f t="shared" si="555"/>
        <v/>
      </c>
      <c r="M1640" s="22" t="str">
        <f t="shared" si="556"/>
        <v/>
      </c>
      <c r="N1640" s="72"/>
      <c r="O1640" s="16" t="str">
        <f t="shared" si="557"/>
        <v/>
      </c>
      <c r="P1640" s="16" t="str">
        <f t="shared" si="558"/>
        <v/>
      </c>
      <c r="Q1640" s="16" t="str">
        <f t="shared" si="559"/>
        <v/>
      </c>
      <c r="R1640" s="23" t="str">
        <f t="shared" si="560"/>
        <v/>
      </c>
      <c r="S1640" s="23" t="str">
        <f t="shared" si="561"/>
        <v/>
      </c>
      <c r="T1640" s="23" t="str">
        <f t="shared" si="562"/>
        <v/>
      </c>
      <c r="U1640" s="23" t="str">
        <f t="shared" si="563"/>
        <v/>
      </c>
      <c r="V1640" s="23" t="str">
        <f t="shared" si="564"/>
        <v/>
      </c>
      <c r="W1640" s="70" t="str">
        <f t="shared" si="565"/>
        <v/>
      </c>
      <c r="X1640" s="70" t="str">
        <f t="shared" si="566"/>
        <v/>
      </c>
      <c r="Y1640" s="70" t="str">
        <f>IF(AND($A1640&lt;&gt;"",$E1640&gt;0),isLaptopBag($C1640,$J1640)*$D1640,"")</f>
        <v/>
      </c>
      <c r="Z1640" s="70" t="str">
        <f t="shared" si="567"/>
        <v/>
      </c>
      <c r="AA1640" s="70" t="str">
        <f t="shared" si="568"/>
        <v/>
      </c>
      <c r="AB1640" s="70" t="str">
        <f t="shared" si="569"/>
        <v/>
      </c>
      <c r="AC1640" s="70" t="str">
        <f t="shared" si="570"/>
        <v/>
      </c>
      <c r="AD1640" s="70" t="str">
        <f t="shared" si="571"/>
        <v/>
      </c>
      <c r="AE1640" s="70" t="str">
        <f t="shared" si="572"/>
        <v/>
      </c>
      <c r="AF1640" s="16"/>
      <c r="AG1640" s="23"/>
      <c r="AH1640" s="22"/>
      <c r="AJ1640" s="83">
        <f t="shared" si="573"/>
        <v>0</v>
      </c>
      <c r="AO1640" s="22" t="str">
        <f t="shared" si="574"/>
        <v/>
      </c>
      <c r="AP1640" s="22" t="str">
        <f t="shared" si="575"/>
        <v/>
      </c>
    </row>
    <row r="1641" spans="1:42" x14ac:dyDescent="0.25">
      <c r="A1641" s="10"/>
      <c r="B1641" s="10"/>
      <c r="C1641" s="10"/>
      <c r="D1641" s="10"/>
      <c r="E1641" s="10"/>
      <c r="F1641" s="10"/>
      <c r="G1641" s="10"/>
      <c r="H1641" s="17"/>
      <c r="I1641" s="10"/>
      <c r="J1641" s="10"/>
      <c r="K1641" s="16" t="str">
        <f t="shared" si="554"/>
        <v/>
      </c>
      <c r="L1641" s="23" t="str">
        <f t="shared" si="555"/>
        <v/>
      </c>
      <c r="M1641" s="22" t="str">
        <f t="shared" si="556"/>
        <v/>
      </c>
      <c r="N1641" s="72"/>
      <c r="O1641" s="16" t="str">
        <f t="shared" si="557"/>
        <v/>
      </c>
      <c r="P1641" s="16" t="str">
        <f t="shared" si="558"/>
        <v/>
      </c>
      <c r="Q1641" s="16" t="str">
        <f t="shared" si="559"/>
        <v/>
      </c>
      <c r="R1641" s="23" t="str">
        <f t="shared" si="560"/>
        <v/>
      </c>
      <c r="S1641" s="23" t="str">
        <f t="shared" si="561"/>
        <v/>
      </c>
      <c r="T1641" s="23" t="str">
        <f t="shared" si="562"/>
        <v/>
      </c>
      <c r="U1641" s="23" t="str">
        <f t="shared" si="563"/>
        <v/>
      </c>
      <c r="V1641" s="23" t="str">
        <f t="shared" si="564"/>
        <v/>
      </c>
      <c r="W1641" s="70" t="str">
        <f t="shared" si="565"/>
        <v/>
      </c>
      <c r="X1641" s="70" t="str">
        <f t="shared" si="566"/>
        <v/>
      </c>
      <c r="Y1641" s="70" t="str">
        <f>IF(AND($A1641&lt;&gt;"",$E1641&gt;0),isLaptopBag($C1641,$J1641)*$D1641,"")</f>
        <v/>
      </c>
      <c r="Z1641" s="70" t="str">
        <f t="shared" si="567"/>
        <v/>
      </c>
      <c r="AA1641" s="70" t="str">
        <f t="shared" si="568"/>
        <v/>
      </c>
      <c r="AB1641" s="70" t="str">
        <f t="shared" si="569"/>
        <v/>
      </c>
      <c r="AC1641" s="70" t="str">
        <f t="shared" si="570"/>
        <v/>
      </c>
      <c r="AD1641" s="70" t="str">
        <f t="shared" si="571"/>
        <v/>
      </c>
      <c r="AE1641" s="70" t="str">
        <f t="shared" si="572"/>
        <v/>
      </c>
      <c r="AF1641" s="16"/>
      <c r="AG1641" s="23"/>
      <c r="AH1641" s="22"/>
      <c r="AJ1641" s="83">
        <f t="shared" si="573"/>
        <v>0</v>
      </c>
      <c r="AO1641" s="22" t="str">
        <f t="shared" si="574"/>
        <v/>
      </c>
      <c r="AP1641" s="22" t="str">
        <f t="shared" si="575"/>
        <v/>
      </c>
    </row>
    <row r="1642" spans="1:42" x14ac:dyDescent="0.25">
      <c r="A1642" s="10"/>
      <c r="B1642" s="10"/>
      <c r="C1642" s="10"/>
      <c r="D1642" s="10"/>
      <c r="E1642" s="10"/>
      <c r="F1642" s="10"/>
      <c r="G1642" s="10"/>
      <c r="H1642" s="17"/>
      <c r="I1642" s="10"/>
      <c r="J1642" s="10"/>
      <c r="K1642" s="16" t="str">
        <f t="shared" si="554"/>
        <v/>
      </c>
      <c r="L1642" s="23" t="str">
        <f t="shared" si="555"/>
        <v/>
      </c>
      <c r="M1642" s="22" t="str">
        <f t="shared" si="556"/>
        <v/>
      </c>
      <c r="N1642" s="72"/>
      <c r="O1642" s="16" t="str">
        <f t="shared" si="557"/>
        <v/>
      </c>
      <c r="P1642" s="16" t="str">
        <f t="shared" si="558"/>
        <v/>
      </c>
      <c r="Q1642" s="16" t="str">
        <f t="shared" si="559"/>
        <v/>
      </c>
      <c r="R1642" s="23" t="str">
        <f t="shared" si="560"/>
        <v/>
      </c>
      <c r="S1642" s="23" t="str">
        <f t="shared" si="561"/>
        <v/>
      </c>
      <c r="T1642" s="23" t="str">
        <f t="shared" si="562"/>
        <v/>
      </c>
      <c r="U1642" s="23" t="str">
        <f t="shared" si="563"/>
        <v/>
      </c>
      <c r="V1642" s="23" t="str">
        <f t="shared" si="564"/>
        <v/>
      </c>
      <c r="W1642" s="70" t="str">
        <f t="shared" si="565"/>
        <v/>
      </c>
      <c r="X1642" s="70" t="str">
        <f t="shared" si="566"/>
        <v/>
      </c>
      <c r="Y1642" s="70" t="str">
        <f>IF(AND($A1642&lt;&gt;"",$E1642&gt;0),isLaptopBag($C1642,$J1642)*$D1642,"")</f>
        <v/>
      </c>
      <c r="Z1642" s="70" t="str">
        <f t="shared" si="567"/>
        <v/>
      </c>
      <c r="AA1642" s="70" t="str">
        <f t="shared" si="568"/>
        <v/>
      </c>
      <c r="AB1642" s="70" t="str">
        <f t="shared" si="569"/>
        <v/>
      </c>
      <c r="AC1642" s="70" t="str">
        <f t="shared" si="570"/>
        <v/>
      </c>
      <c r="AD1642" s="70" t="str">
        <f t="shared" si="571"/>
        <v/>
      </c>
      <c r="AE1642" s="70" t="str">
        <f t="shared" si="572"/>
        <v/>
      </c>
      <c r="AF1642" s="16"/>
      <c r="AG1642" s="23"/>
      <c r="AH1642" s="22"/>
      <c r="AJ1642" s="83">
        <f t="shared" si="573"/>
        <v>0</v>
      </c>
      <c r="AO1642" s="22" t="str">
        <f t="shared" si="574"/>
        <v/>
      </c>
      <c r="AP1642" s="22" t="str">
        <f t="shared" si="575"/>
        <v/>
      </c>
    </row>
    <row r="1643" spans="1:42" x14ac:dyDescent="0.25">
      <c r="A1643" s="10"/>
      <c r="B1643" s="10"/>
      <c r="C1643" s="10"/>
      <c r="D1643" s="10"/>
      <c r="E1643" s="10"/>
      <c r="F1643" s="10"/>
      <c r="G1643" s="10"/>
      <c r="H1643" s="17"/>
      <c r="I1643" s="10"/>
      <c r="J1643" s="10"/>
      <c r="K1643" s="16" t="str">
        <f t="shared" si="554"/>
        <v/>
      </c>
      <c r="L1643" s="23" t="str">
        <f t="shared" si="555"/>
        <v/>
      </c>
      <c r="M1643" s="22" t="str">
        <f t="shared" si="556"/>
        <v/>
      </c>
      <c r="N1643" s="72"/>
      <c r="O1643" s="16" t="str">
        <f t="shared" si="557"/>
        <v/>
      </c>
      <c r="P1643" s="16" t="str">
        <f t="shared" si="558"/>
        <v/>
      </c>
      <c r="Q1643" s="16" t="str">
        <f t="shared" si="559"/>
        <v/>
      </c>
      <c r="R1643" s="23" t="str">
        <f t="shared" si="560"/>
        <v/>
      </c>
      <c r="S1643" s="23" t="str">
        <f t="shared" si="561"/>
        <v/>
      </c>
      <c r="T1643" s="23" t="str">
        <f t="shared" si="562"/>
        <v/>
      </c>
      <c r="U1643" s="23" t="str">
        <f t="shared" si="563"/>
        <v/>
      </c>
      <c r="V1643" s="23" t="str">
        <f t="shared" si="564"/>
        <v/>
      </c>
      <c r="W1643" s="70" t="str">
        <f t="shared" si="565"/>
        <v/>
      </c>
      <c r="X1643" s="70" t="str">
        <f t="shared" si="566"/>
        <v/>
      </c>
      <c r="Y1643" s="70" t="str">
        <f>IF(AND($A1643&lt;&gt;"",$E1643&gt;0),isLaptopBag($C1643,$J1643)*$D1643,"")</f>
        <v/>
      </c>
      <c r="Z1643" s="70" t="str">
        <f t="shared" si="567"/>
        <v/>
      </c>
      <c r="AA1643" s="70" t="str">
        <f t="shared" si="568"/>
        <v/>
      </c>
      <c r="AB1643" s="70" t="str">
        <f t="shared" si="569"/>
        <v/>
      </c>
      <c r="AC1643" s="70" t="str">
        <f t="shared" si="570"/>
        <v/>
      </c>
      <c r="AD1643" s="70" t="str">
        <f t="shared" si="571"/>
        <v/>
      </c>
      <c r="AE1643" s="70" t="str">
        <f t="shared" si="572"/>
        <v/>
      </c>
      <c r="AF1643" s="16"/>
      <c r="AG1643" s="23"/>
      <c r="AH1643" s="22"/>
      <c r="AJ1643" s="83">
        <f t="shared" si="573"/>
        <v>0</v>
      </c>
      <c r="AO1643" s="22" t="str">
        <f t="shared" si="574"/>
        <v/>
      </c>
      <c r="AP1643" s="22" t="str">
        <f t="shared" si="575"/>
        <v/>
      </c>
    </row>
    <row r="1644" spans="1:42" x14ac:dyDescent="0.25">
      <c r="A1644" s="10"/>
      <c r="B1644" s="10"/>
      <c r="C1644" s="10"/>
      <c r="D1644" s="10"/>
      <c r="E1644" s="10"/>
      <c r="F1644" s="10"/>
      <c r="G1644" s="10"/>
      <c r="H1644" s="17"/>
      <c r="I1644" s="10"/>
      <c r="J1644" s="10"/>
      <c r="K1644" s="16" t="str">
        <f t="shared" si="554"/>
        <v/>
      </c>
      <c r="L1644" s="23" t="str">
        <f t="shared" si="555"/>
        <v/>
      </c>
      <c r="M1644" s="22" t="str">
        <f t="shared" si="556"/>
        <v/>
      </c>
      <c r="N1644" s="72"/>
      <c r="O1644" s="16" t="str">
        <f t="shared" si="557"/>
        <v/>
      </c>
      <c r="P1644" s="16" t="str">
        <f t="shared" si="558"/>
        <v/>
      </c>
      <c r="Q1644" s="16" t="str">
        <f t="shared" si="559"/>
        <v/>
      </c>
      <c r="R1644" s="23" t="str">
        <f t="shared" si="560"/>
        <v/>
      </c>
      <c r="S1644" s="23" t="str">
        <f t="shared" si="561"/>
        <v/>
      </c>
      <c r="T1644" s="23" t="str">
        <f t="shared" si="562"/>
        <v/>
      </c>
      <c r="U1644" s="23" t="str">
        <f t="shared" si="563"/>
        <v/>
      </c>
      <c r="V1644" s="23" t="str">
        <f t="shared" si="564"/>
        <v/>
      </c>
      <c r="W1644" s="70" t="str">
        <f t="shared" si="565"/>
        <v/>
      </c>
      <c r="X1644" s="70" t="str">
        <f t="shared" si="566"/>
        <v/>
      </c>
      <c r="Y1644" s="70" t="str">
        <f>IF(AND($A1644&lt;&gt;"",$E1644&gt;0),isLaptopBag($C1644,$J1644)*$D1644,"")</f>
        <v/>
      </c>
      <c r="Z1644" s="70" t="str">
        <f t="shared" si="567"/>
        <v/>
      </c>
      <c r="AA1644" s="70" t="str">
        <f t="shared" si="568"/>
        <v/>
      </c>
      <c r="AB1644" s="70" t="str">
        <f t="shared" si="569"/>
        <v/>
      </c>
      <c r="AC1644" s="70" t="str">
        <f t="shared" si="570"/>
        <v/>
      </c>
      <c r="AD1644" s="70" t="str">
        <f t="shared" si="571"/>
        <v/>
      </c>
      <c r="AE1644" s="70" t="str">
        <f t="shared" si="572"/>
        <v/>
      </c>
      <c r="AF1644" s="16"/>
      <c r="AG1644" s="23"/>
      <c r="AH1644" s="22"/>
      <c r="AJ1644" s="83">
        <f t="shared" si="573"/>
        <v>0</v>
      </c>
      <c r="AO1644" s="22" t="str">
        <f t="shared" si="574"/>
        <v/>
      </c>
      <c r="AP1644" s="22" t="str">
        <f t="shared" si="575"/>
        <v/>
      </c>
    </row>
    <row r="1645" spans="1:42" x14ac:dyDescent="0.25">
      <c r="A1645" s="10"/>
      <c r="B1645" s="10"/>
      <c r="C1645" s="10"/>
      <c r="D1645" s="10"/>
      <c r="E1645" s="10"/>
      <c r="F1645" s="10"/>
      <c r="G1645" s="10"/>
      <c r="H1645" s="17"/>
      <c r="I1645" s="10"/>
      <c r="J1645" s="10"/>
      <c r="K1645" s="16" t="str">
        <f t="shared" si="554"/>
        <v/>
      </c>
      <c r="L1645" s="23" t="str">
        <f t="shared" si="555"/>
        <v/>
      </c>
      <c r="M1645" s="22" t="str">
        <f t="shared" si="556"/>
        <v/>
      </c>
      <c r="N1645" s="72"/>
      <c r="O1645" s="16" t="str">
        <f t="shared" si="557"/>
        <v/>
      </c>
      <c r="P1645" s="16" t="str">
        <f t="shared" si="558"/>
        <v/>
      </c>
      <c r="Q1645" s="16" t="str">
        <f t="shared" si="559"/>
        <v/>
      </c>
      <c r="R1645" s="23" t="str">
        <f t="shared" si="560"/>
        <v/>
      </c>
      <c r="S1645" s="23" t="str">
        <f t="shared" si="561"/>
        <v/>
      </c>
      <c r="T1645" s="23" t="str">
        <f t="shared" si="562"/>
        <v/>
      </c>
      <c r="U1645" s="23" t="str">
        <f t="shared" si="563"/>
        <v/>
      </c>
      <c r="V1645" s="23" t="str">
        <f t="shared" si="564"/>
        <v/>
      </c>
      <c r="W1645" s="70" t="str">
        <f t="shared" si="565"/>
        <v/>
      </c>
      <c r="X1645" s="70" t="str">
        <f t="shared" si="566"/>
        <v/>
      </c>
      <c r="Y1645" s="70" t="str">
        <f>IF(AND($A1645&lt;&gt;"",$E1645&gt;0),isLaptopBag($C1645,$J1645)*$D1645,"")</f>
        <v/>
      </c>
      <c r="Z1645" s="70" t="str">
        <f t="shared" si="567"/>
        <v/>
      </c>
      <c r="AA1645" s="70" t="str">
        <f t="shared" si="568"/>
        <v/>
      </c>
      <c r="AB1645" s="70" t="str">
        <f t="shared" si="569"/>
        <v/>
      </c>
      <c r="AC1645" s="70" t="str">
        <f t="shared" si="570"/>
        <v/>
      </c>
      <c r="AD1645" s="70" t="str">
        <f t="shared" si="571"/>
        <v/>
      </c>
      <c r="AE1645" s="70" t="str">
        <f t="shared" si="572"/>
        <v/>
      </c>
      <c r="AF1645" s="16"/>
      <c r="AG1645" s="23"/>
      <c r="AH1645" s="22"/>
      <c r="AJ1645" s="83">
        <f t="shared" si="573"/>
        <v>0</v>
      </c>
      <c r="AO1645" s="22" t="str">
        <f t="shared" si="574"/>
        <v/>
      </c>
      <c r="AP1645" s="22" t="str">
        <f t="shared" si="575"/>
        <v/>
      </c>
    </row>
    <row r="1646" spans="1:42" x14ac:dyDescent="0.25">
      <c r="A1646" s="10"/>
      <c r="B1646" s="10"/>
      <c r="C1646" s="10"/>
      <c r="D1646" s="10"/>
      <c r="E1646" s="10"/>
      <c r="F1646" s="10"/>
      <c r="G1646" s="10"/>
      <c r="H1646" s="17"/>
      <c r="I1646" s="10"/>
      <c r="J1646" s="10"/>
      <c r="K1646" s="16" t="str">
        <f t="shared" si="554"/>
        <v/>
      </c>
      <c r="L1646" s="23" t="str">
        <f t="shared" si="555"/>
        <v/>
      </c>
      <c r="M1646" s="22" t="str">
        <f t="shared" si="556"/>
        <v/>
      </c>
      <c r="N1646" s="72"/>
      <c r="O1646" s="16" t="str">
        <f t="shared" si="557"/>
        <v/>
      </c>
      <c r="P1646" s="16" t="str">
        <f t="shared" si="558"/>
        <v/>
      </c>
      <c r="Q1646" s="16" t="str">
        <f t="shared" si="559"/>
        <v/>
      </c>
      <c r="R1646" s="23" t="str">
        <f t="shared" si="560"/>
        <v/>
      </c>
      <c r="S1646" s="23" t="str">
        <f t="shared" si="561"/>
        <v/>
      </c>
      <c r="T1646" s="23" t="str">
        <f t="shared" si="562"/>
        <v/>
      </c>
      <c r="U1646" s="23" t="str">
        <f t="shared" si="563"/>
        <v/>
      </c>
      <c r="V1646" s="23" t="str">
        <f t="shared" si="564"/>
        <v/>
      </c>
      <c r="W1646" s="70" t="str">
        <f t="shared" si="565"/>
        <v/>
      </c>
      <c r="X1646" s="70" t="str">
        <f t="shared" si="566"/>
        <v/>
      </c>
      <c r="Y1646" s="70" t="str">
        <f>IF(AND($A1646&lt;&gt;"",$E1646&gt;0),isLaptopBag($C1646,$J1646)*$D1646,"")</f>
        <v/>
      </c>
      <c r="Z1646" s="70" t="str">
        <f t="shared" si="567"/>
        <v/>
      </c>
      <c r="AA1646" s="70" t="str">
        <f t="shared" si="568"/>
        <v/>
      </c>
      <c r="AB1646" s="70" t="str">
        <f t="shared" si="569"/>
        <v/>
      </c>
      <c r="AC1646" s="70" t="str">
        <f t="shared" si="570"/>
        <v/>
      </c>
      <c r="AD1646" s="70" t="str">
        <f t="shared" si="571"/>
        <v/>
      </c>
      <c r="AE1646" s="70" t="str">
        <f t="shared" si="572"/>
        <v/>
      </c>
      <c r="AF1646" s="16"/>
      <c r="AG1646" s="23"/>
      <c r="AH1646" s="22"/>
      <c r="AJ1646" s="83">
        <f t="shared" si="573"/>
        <v>0</v>
      </c>
      <c r="AO1646" s="22" t="str">
        <f t="shared" si="574"/>
        <v/>
      </c>
      <c r="AP1646" s="22" t="str">
        <f t="shared" si="575"/>
        <v/>
      </c>
    </row>
    <row r="1647" spans="1:42" x14ac:dyDescent="0.25">
      <c r="A1647" s="10"/>
      <c r="B1647" s="10"/>
      <c r="C1647" s="10"/>
      <c r="D1647" s="10"/>
      <c r="E1647" s="10"/>
      <c r="F1647" s="10"/>
      <c r="G1647" s="10"/>
      <c r="H1647" s="17"/>
      <c r="I1647" s="10"/>
      <c r="J1647" s="10"/>
      <c r="K1647" s="16" t="str">
        <f t="shared" si="554"/>
        <v/>
      </c>
      <c r="L1647" s="23" t="str">
        <f t="shared" si="555"/>
        <v/>
      </c>
      <c r="M1647" s="22" t="str">
        <f t="shared" si="556"/>
        <v/>
      </c>
      <c r="N1647" s="72"/>
      <c r="O1647" s="16" t="str">
        <f t="shared" si="557"/>
        <v/>
      </c>
      <c r="P1647" s="16" t="str">
        <f t="shared" si="558"/>
        <v/>
      </c>
      <c r="Q1647" s="16" t="str">
        <f t="shared" si="559"/>
        <v/>
      </c>
      <c r="R1647" s="23" t="str">
        <f t="shared" si="560"/>
        <v/>
      </c>
      <c r="S1647" s="23" t="str">
        <f t="shared" si="561"/>
        <v/>
      </c>
      <c r="T1647" s="23" t="str">
        <f t="shared" si="562"/>
        <v/>
      </c>
      <c r="U1647" s="23" t="str">
        <f t="shared" si="563"/>
        <v/>
      </c>
      <c r="V1647" s="23" t="str">
        <f t="shared" si="564"/>
        <v/>
      </c>
      <c r="W1647" s="70" t="str">
        <f t="shared" si="565"/>
        <v/>
      </c>
      <c r="X1647" s="70" t="str">
        <f t="shared" si="566"/>
        <v/>
      </c>
      <c r="Y1647" s="70" t="str">
        <f>IF(AND($A1647&lt;&gt;"",$E1647&gt;0),isLaptopBag($C1647,$J1647)*$D1647,"")</f>
        <v/>
      </c>
      <c r="Z1647" s="70" t="str">
        <f t="shared" si="567"/>
        <v/>
      </c>
      <c r="AA1647" s="70" t="str">
        <f t="shared" si="568"/>
        <v/>
      </c>
      <c r="AB1647" s="70" t="str">
        <f t="shared" si="569"/>
        <v/>
      </c>
      <c r="AC1647" s="70" t="str">
        <f t="shared" si="570"/>
        <v/>
      </c>
      <c r="AD1647" s="70" t="str">
        <f t="shared" si="571"/>
        <v/>
      </c>
      <c r="AE1647" s="70" t="str">
        <f t="shared" si="572"/>
        <v/>
      </c>
      <c r="AF1647" s="16"/>
      <c r="AG1647" s="23"/>
      <c r="AH1647" s="22"/>
      <c r="AJ1647" s="83">
        <f t="shared" si="573"/>
        <v>0</v>
      </c>
      <c r="AO1647" s="22" t="str">
        <f t="shared" si="574"/>
        <v/>
      </c>
      <c r="AP1647" s="22" t="str">
        <f t="shared" si="575"/>
        <v/>
      </c>
    </row>
    <row r="1648" spans="1:42" x14ac:dyDescent="0.25">
      <c r="A1648" s="10"/>
      <c r="B1648" s="10"/>
      <c r="C1648" s="10"/>
      <c r="D1648" s="10"/>
      <c r="E1648" s="10"/>
      <c r="F1648" s="10"/>
      <c r="G1648" s="10"/>
      <c r="H1648" s="17"/>
      <c r="I1648" s="10"/>
      <c r="J1648" s="10"/>
      <c r="K1648" s="16" t="str">
        <f t="shared" si="554"/>
        <v/>
      </c>
      <c r="L1648" s="23" t="str">
        <f t="shared" si="555"/>
        <v/>
      </c>
      <c r="M1648" s="22" t="str">
        <f t="shared" si="556"/>
        <v/>
      </c>
      <c r="N1648" s="72"/>
      <c r="O1648" s="16" t="str">
        <f t="shared" si="557"/>
        <v/>
      </c>
      <c r="P1648" s="16" t="str">
        <f t="shared" si="558"/>
        <v/>
      </c>
      <c r="Q1648" s="16" t="str">
        <f t="shared" si="559"/>
        <v/>
      </c>
      <c r="R1648" s="23" t="str">
        <f t="shared" si="560"/>
        <v/>
      </c>
      <c r="S1648" s="23" t="str">
        <f t="shared" si="561"/>
        <v/>
      </c>
      <c r="T1648" s="23" t="str">
        <f t="shared" si="562"/>
        <v/>
      </c>
      <c r="U1648" s="23" t="str">
        <f t="shared" si="563"/>
        <v/>
      </c>
      <c r="V1648" s="23" t="str">
        <f t="shared" si="564"/>
        <v/>
      </c>
      <c r="W1648" s="70" t="str">
        <f t="shared" si="565"/>
        <v/>
      </c>
      <c r="X1648" s="70" t="str">
        <f t="shared" si="566"/>
        <v/>
      </c>
      <c r="Y1648" s="70" t="str">
        <f>IF(AND($A1648&lt;&gt;"",$E1648&gt;0),isLaptopBag($C1648,$J1648)*$D1648,"")</f>
        <v/>
      </c>
      <c r="Z1648" s="70" t="str">
        <f t="shared" si="567"/>
        <v/>
      </c>
      <c r="AA1648" s="70" t="str">
        <f t="shared" si="568"/>
        <v/>
      </c>
      <c r="AB1648" s="70" t="str">
        <f t="shared" si="569"/>
        <v/>
      </c>
      <c r="AC1648" s="70" t="str">
        <f t="shared" si="570"/>
        <v/>
      </c>
      <c r="AD1648" s="70" t="str">
        <f t="shared" si="571"/>
        <v/>
      </c>
      <c r="AE1648" s="70" t="str">
        <f t="shared" si="572"/>
        <v/>
      </c>
      <c r="AF1648" s="16"/>
      <c r="AG1648" s="23"/>
      <c r="AH1648" s="22"/>
      <c r="AJ1648" s="83">
        <f t="shared" si="573"/>
        <v>0</v>
      </c>
      <c r="AO1648" s="22" t="str">
        <f t="shared" si="574"/>
        <v/>
      </c>
      <c r="AP1648" s="22" t="str">
        <f t="shared" si="575"/>
        <v/>
      </c>
    </row>
    <row r="1649" spans="1:42" x14ac:dyDescent="0.25">
      <c r="A1649" s="10"/>
      <c r="B1649" s="10"/>
      <c r="C1649" s="10"/>
      <c r="D1649" s="10"/>
      <c r="E1649" s="10"/>
      <c r="F1649" s="10"/>
      <c r="G1649" s="10"/>
      <c r="H1649" s="17"/>
      <c r="I1649" s="10"/>
      <c r="J1649" s="10"/>
      <c r="K1649" s="16" t="str">
        <f t="shared" si="554"/>
        <v/>
      </c>
      <c r="L1649" s="23" t="str">
        <f t="shared" si="555"/>
        <v/>
      </c>
      <c r="M1649" s="22" t="str">
        <f t="shared" si="556"/>
        <v/>
      </c>
      <c r="N1649" s="72"/>
      <c r="O1649" s="16" t="str">
        <f t="shared" si="557"/>
        <v/>
      </c>
      <c r="P1649" s="16" t="str">
        <f t="shared" si="558"/>
        <v/>
      </c>
      <c r="Q1649" s="16" t="str">
        <f t="shared" si="559"/>
        <v/>
      </c>
      <c r="R1649" s="23" t="str">
        <f t="shared" si="560"/>
        <v/>
      </c>
      <c r="S1649" s="23" t="str">
        <f t="shared" si="561"/>
        <v/>
      </c>
      <c r="T1649" s="23" t="str">
        <f t="shared" si="562"/>
        <v/>
      </c>
      <c r="U1649" s="23" t="str">
        <f t="shared" si="563"/>
        <v/>
      </c>
      <c r="V1649" s="23" t="str">
        <f t="shared" si="564"/>
        <v/>
      </c>
      <c r="W1649" s="70" t="str">
        <f t="shared" si="565"/>
        <v/>
      </c>
      <c r="X1649" s="70" t="str">
        <f t="shared" si="566"/>
        <v/>
      </c>
      <c r="Y1649" s="70" t="str">
        <f>IF(AND($A1649&lt;&gt;"",$E1649&gt;0),isLaptopBag($C1649,$J1649)*$D1649,"")</f>
        <v/>
      </c>
      <c r="Z1649" s="70" t="str">
        <f t="shared" si="567"/>
        <v/>
      </c>
      <c r="AA1649" s="70" t="str">
        <f t="shared" si="568"/>
        <v/>
      </c>
      <c r="AB1649" s="70" t="str">
        <f t="shared" si="569"/>
        <v/>
      </c>
      <c r="AC1649" s="70" t="str">
        <f t="shared" si="570"/>
        <v/>
      </c>
      <c r="AD1649" s="70" t="str">
        <f t="shared" si="571"/>
        <v/>
      </c>
      <c r="AE1649" s="70" t="str">
        <f t="shared" si="572"/>
        <v/>
      </c>
      <c r="AF1649" s="16"/>
      <c r="AG1649" s="23"/>
      <c r="AH1649" s="22"/>
      <c r="AJ1649" s="83">
        <f t="shared" si="573"/>
        <v>0</v>
      </c>
      <c r="AO1649" s="22" t="str">
        <f t="shared" si="574"/>
        <v/>
      </c>
      <c r="AP1649" s="22" t="str">
        <f t="shared" si="575"/>
        <v/>
      </c>
    </row>
    <row r="1650" spans="1:42" x14ac:dyDescent="0.25">
      <c r="A1650" s="10"/>
      <c r="B1650" s="10"/>
      <c r="C1650" s="10"/>
      <c r="D1650" s="10"/>
      <c r="E1650" s="10"/>
      <c r="F1650" s="10"/>
      <c r="G1650" s="10"/>
      <c r="H1650" s="17"/>
      <c r="I1650" s="10"/>
      <c r="J1650" s="10"/>
      <c r="K1650" s="16" t="str">
        <f t="shared" si="554"/>
        <v/>
      </c>
      <c r="L1650" s="23" t="str">
        <f t="shared" si="555"/>
        <v/>
      </c>
      <c r="M1650" s="22" t="str">
        <f t="shared" si="556"/>
        <v/>
      </c>
      <c r="N1650" s="72"/>
      <c r="O1650" s="16" t="str">
        <f t="shared" si="557"/>
        <v/>
      </c>
      <c r="P1650" s="16" t="str">
        <f t="shared" si="558"/>
        <v/>
      </c>
      <c r="Q1650" s="16" t="str">
        <f t="shared" si="559"/>
        <v/>
      </c>
      <c r="R1650" s="23" t="str">
        <f t="shared" si="560"/>
        <v/>
      </c>
      <c r="S1650" s="23" t="str">
        <f t="shared" si="561"/>
        <v/>
      </c>
      <c r="T1650" s="23" t="str">
        <f t="shared" si="562"/>
        <v/>
      </c>
      <c r="U1650" s="23" t="str">
        <f t="shared" si="563"/>
        <v/>
      </c>
      <c r="V1650" s="23" t="str">
        <f t="shared" si="564"/>
        <v/>
      </c>
      <c r="W1650" s="70" t="str">
        <f t="shared" si="565"/>
        <v/>
      </c>
      <c r="X1650" s="70" t="str">
        <f t="shared" si="566"/>
        <v/>
      </c>
      <c r="Y1650" s="70" t="str">
        <f>IF(AND($A1650&lt;&gt;"",$E1650&gt;0),isLaptopBag($C1650,$J1650)*$D1650,"")</f>
        <v/>
      </c>
      <c r="Z1650" s="70" t="str">
        <f t="shared" si="567"/>
        <v/>
      </c>
      <c r="AA1650" s="70" t="str">
        <f t="shared" si="568"/>
        <v/>
      </c>
      <c r="AB1650" s="70" t="str">
        <f t="shared" si="569"/>
        <v/>
      </c>
      <c r="AC1650" s="70" t="str">
        <f t="shared" si="570"/>
        <v/>
      </c>
      <c r="AD1650" s="70" t="str">
        <f t="shared" si="571"/>
        <v/>
      </c>
      <c r="AE1650" s="70" t="str">
        <f t="shared" si="572"/>
        <v/>
      </c>
      <c r="AF1650" s="16"/>
      <c r="AG1650" s="23"/>
      <c r="AH1650" s="22"/>
      <c r="AJ1650" s="83">
        <f t="shared" si="573"/>
        <v>0</v>
      </c>
      <c r="AO1650" s="22" t="str">
        <f t="shared" si="574"/>
        <v/>
      </c>
      <c r="AP1650" s="22" t="str">
        <f t="shared" si="575"/>
        <v/>
      </c>
    </row>
    <row r="1651" spans="1:42" x14ac:dyDescent="0.25">
      <c r="A1651" s="10"/>
      <c r="B1651" s="10"/>
      <c r="C1651" s="10"/>
      <c r="D1651" s="10"/>
      <c r="E1651" s="10"/>
      <c r="F1651" s="10"/>
      <c r="G1651" s="10"/>
      <c r="H1651" s="17"/>
      <c r="I1651" s="10"/>
      <c r="J1651" s="10"/>
      <c r="K1651" s="16" t="str">
        <f t="shared" si="554"/>
        <v/>
      </c>
      <c r="L1651" s="23" t="str">
        <f t="shared" si="555"/>
        <v/>
      </c>
      <c r="M1651" s="22" t="str">
        <f t="shared" si="556"/>
        <v/>
      </c>
      <c r="N1651" s="72"/>
      <c r="O1651" s="16" t="str">
        <f t="shared" si="557"/>
        <v/>
      </c>
      <c r="P1651" s="16" t="str">
        <f t="shared" si="558"/>
        <v/>
      </c>
      <c r="Q1651" s="16" t="str">
        <f t="shared" si="559"/>
        <v/>
      </c>
      <c r="R1651" s="23" t="str">
        <f t="shared" si="560"/>
        <v/>
      </c>
      <c r="S1651" s="23" t="str">
        <f t="shared" si="561"/>
        <v/>
      </c>
      <c r="T1651" s="23" t="str">
        <f t="shared" si="562"/>
        <v/>
      </c>
      <c r="U1651" s="23" t="str">
        <f t="shared" si="563"/>
        <v/>
      </c>
      <c r="V1651" s="23" t="str">
        <f t="shared" si="564"/>
        <v/>
      </c>
      <c r="W1651" s="70" t="str">
        <f t="shared" si="565"/>
        <v/>
      </c>
      <c r="X1651" s="70" t="str">
        <f t="shared" si="566"/>
        <v/>
      </c>
      <c r="Y1651" s="70" t="str">
        <f>IF(AND($A1651&lt;&gt;"",$E1651&gt;0),isLaptopBag($C1651,$J1651)*$D1651,"")</f>
        <v/>
      </c>
      <c r="Z1651" s="70" t="str">
        <f t="shared" si="567"/>
        <v/>
      </c>
      <c r="AA1651" s="70" t="str">
        <f t="shared" si="568"/>
        <v/>
      </c>
      <c r="AB1651" s="70" t="str">
        <f t="shared" si="569"/>
        <v/>
      </c>
      <c r="AC1651" s="70" t="str">
        <f t="shared" si="570"/>
        <v/>
      </c>
      <c r="AD1651" s="70" t="str">
        <f t="shared" si="571"/>
        <v/>
      </c>
      <c r="AE1651" s="70" t="str">
        <f t="shared" si="572"/>
        <v/>
      </c>
      <c r="AF1651" s="16"/>
      <c r="AG1651" s="23"/>
      <c r="AH1651" s="22"/>
      <c r="AJ1651" s="83">
        <f t="shared" si="573"/>
        <v>0</v>
      </c>
      <c r="AO1651" s="22" t="str">
        <f t="shared" si="574"/>
        <v/>
      </c>
      <c r="AP1651" s="22" t="str">
        <f t="shared" si="575"/>
        <v/>
      </c>
    </row>
    <row r="1652" spans="1:42" x14ac:dyDescent="0.25">
      <c r="A1652" s="10"/>
      <c r="B1652" s="10"/>
      <c r="C1652" s="10"/>
      <c r="D1652" s="10"/>
      <c r="E1652" s="10"/>
      <c r="F1652" s="10"/>
      <c r="G1652" s="10"/>
      <c r="H1652" s="17"/>
      <c r="I1652" s="10"/>
      <c r="J1652" s="10"/>
      <c r="K1652" s="16" t="str">
        <f t="shared" si="554"/>
        <v/>
      </c>
      <c r="L1652" s="23" t="str">
        <f t="shared" si="555"/>
        <v/>
      </c>
      <c r="M1652" s="22" t="str">
        <f t="shared" si="556"/>
        <v/>
      </c>
      <c r="N1652" s="72"/>
      <c r="O1652" s="16" t="str">
        <f t="shared" si="557"/>
        <v/>
      </c>
      <c r="P1652" s="16" t="str">
        <f t="shared" si="558"/>
        <v/>
      </c>
      <c r="Q1652" s="16" t="str">
        <f t="shared" si="559"/>
        <v/>
      </c>
      <c r="R1652" s="23" t="str">
        <f t="shared" si="560"/>
        <v/>
      </c>
      <c r="S1652" s="23" t="str">
        <f t="shared" si="561"/>
        <v/>
      </c>
      <c r="T1652" s="23" t="str">
        <f t="shared" si="562"/>
        <v/>
      </c>
      <c r="U1652" s="23" t="str">
        <f t="shared" si="563"/>
        <v/>
      </c>
      <c r="V1652" s="23" t="str">
        <f t="shared" si="564"/>
        <v/>
      </c>
      <c r="W1652" s="70" t="str">
        <f t="shared" si="565"/>
        <v/>
      </c>
      <c r="X1652" s="70" t="str">
        <f t="shared" si="566"/>
        <v/>
      </c>
      <c r="Y1652" s="70" t="str">
        <f>IF(AND($A1652&lt;&gt;"",$E1652&gt;0),isLaptopBag($C1652,$J1652)*$D1652,"")</f>
        <v/>
      </c>
      <c r="Z1652" s="70" t="str">
        <f t="shared" si="567"/>
        <v/>
      </c>
      <c r="AA1652" s="70" t="str">
        <f t="shared" si="568"/>
        <v/>
      </c>
      <c r="AB1652" s="70" t="str">
        <f t="shared" si="569"/>
        <v/>
      </c>
      <c r="AC1652" s="70" t="str">
        <f t="shared" si="570"/>
        <v/>
      </c>
      <c r="AD1652" s="70" t="str">
        <f t="shared" si="571"/>
        <v/>
      </c>
      <c r="AE1652" s="70" t="str">
        <f t="shared" si="572"/>
        <v/>
      </c>
      <c r="AF1652" s="16"/>
      <c r="AG1652" s="23"/>
      <c r="AH1652" s="22"/>
      <c r="AJ1652" s="83">
        <f t="shared" si="573"/>
        <v>0</v>
      </c>
      <c r="AO1652" s="22" t="str">
        <f t="shared" si="574"/>
        <v/>
      </c>
      <c r="AP1652" s="22" t="str">
        <f t="shared" si="575"/>
        <v/>
      </c>
    </row>
    <row r="1653" spans="1:42" x14ac:dyDescent="0.25">
      <c r="A1653" s="10"/>
      <c r="B1653" s="10"/>
      <c r="C1653" s="10"/>
      <c r="D1653" s="10"/>
      <c r="E1653" s="10"/>
      <c r="F1653" s="10"/>
      <c r="G1653" s="10"/>
      <c r="H1653" s="17"/>
      <c r="I1653" s="10"/>
      <c r="J1653" s="10"/>
      <c r="K1653" s="16" t="str">
        <f t="shared" si="554"/>
        <v/>
      </c>
      <c r="L1653" s="23" t="str">
        <f t="shared" si="555"/>
        <v/>
      </c>
      <c r="M1653" s="22" t="str">
        <f t="shared" si="556"/>
        <v/>
      </c>
      <c r="N1653" s="72"/>
      <c r="O1653" s="16" t="str">
        <f t="shared" si="557"/>
        <v/>
      </c>
      <c r="P1653" s="16" t="str">
        <f t="shared" si="558"/>
        <v/>
      </c>
      <c r="Q1653" s="16" t="str">
        <f t="shared" si="559"/>
        <v/>
      </c>
      <c r="R1653" s="23" t="str">
        <f t="shared" si="560"/>
        <v/>
      </c>
      <c r="S1653" s="23" t="str">
        <f t="shared" si="561"/>
        <v/>
      </c>
      <c r="T1653" s="23" t="str">
        <f t="shared" si="562"/>
        <v/>
      </c>
      <c r="U1653" s="23" t="str">
        <f t="shared" si="563"/>
        <v/>
      </c>
      <c r="V1653" s="23" t="str">
        <f t="shared" si="564"/>
        <v/>
      </c>
      <c r="W1653" s="70" t="str">
        <f t="shared" si="565"/>
        <v/>
      </c>
      <c r="X1653" s="70" t="str">
        <f t="shared" si="566"/>
        <v/>
      </c>
      <c r="Y1653" s="70" t="str">
        <f>IF(AND($A1653&lt;&gt;"",$E1653&gt;0),isLaptopBag($C1653,$J1653)*$D1653,"")</f>
        <v/>
      </c>
      <c r="Z1653" s="70" t="str">
        <f t="shared" si="567"/>
        <v/>
      </c>
      <c r="AA1653" s="70" t="str">
        <f t="shared" si="568"/>
        <v/>
      </c>
      <c r="AB1653" s="70" t="str">
        <f t="shared" si="569"/>
        <v/>
      </c>
      <c r="AC1653" s="70" t="str">
        <f t="shared" si="570"/>
        <v/>
      </c>
      <c r="AD1653" s="70" t="str">
        <f t="shared" si="571"/>
        <v/>
      </c>
      <c r="AE1653" s="70" t="str">
        <f t="shared" si="572"/>
        <v/>
      </c>
      <c r="AF1653" s="16"/>
      <c r="AG1653" s="23"/>
      <c r="AH1653" s="22"/>
      <c r="AJ1653" s="83">
        <f t="shared" si="573"/>
        <v>0</v>
      </c>
      <c r="AO1653" s="22" t="str">
        <f t="shared" si="574"/>
        <v/>
      </c>
      <c r="AP1653" s="22" t="str">
        <f t="shared" si="575"/>
        <v/>
      </c>
    </row>
    <row r="1654" spans="1:42" x14ac:dyDescent="0.25">
      <c r="A1654" s="10"/>
      <c r="B1654" s="10"/>
      <c r="C1654" s="10"/>
      <c r="D1654" s="10"/>
      <c r="E1654" s="10"/>
      <c r="F1654" s="10"/>
      <c r="G1654" s="10"/>
      <c r="H1654" s="17"/>
      <c r="I1654" s="10"/>
      <c r="J1654" s="10"/>
      <c r="K1654" s="16" t="str">
        <f t="shared" si="554"/>
        <v/>
      </c>
      <c r="L1654" s="23" t="str">
        <f t="shared" si="555"/>
        <v/>
      </c>
      <c r="M1654" s="22" t="str">
        <f t="shared" si="556"/>
        <v/>
      </c>
      <c r="N1654" s="72"/>
      <c r="O1654" s="16" t="str">
        <f t="shared" si="557"/>
        <v/>
      </c>
      <c r="P1654" s="16" t="str">
        <f t="shared" si="558"/>
        <v/>
      </c>
      <c r="Q1654" s="16" t="str">
        <f t="shared" si="559"/>
        <v/>
      </c>
      <c r="R1654" s="23" t="str">
        <f t="shared" si="560"/>
        <v/>
      </c>
      <c r="S1654" s="23" t="str">
        <f t="shared" si="561"/>
        <v/>
      </c>
      <c r="T1654" s="23" t="str">
        <f t="shared" si="562"/>
        <v/>
      </c>
      <c r="U1654" s="23" t="str">
        <f t="shared" si="563"/>
        <v/>
      </c>
      <c r="V1654" s="23" t="str">
        <f t="shared" si="564"/>
        <v/>
      </c>
      <c r="W1654" s="70" t="str">
        <f t="shared" si="565"/>
        <v/>
      </c>
      <c r="X1654" s="70" t="str">
        <f t="shared" si="566"/>
        <v/>
      </c>
      <c r="Y1654" s="70" t="str">
        <f>IF(AND($A1654&lt;&gt;"",$E1654&gt;0),isLaptopBag($C1654,$J1654)*$D1654,"")</f>
        <v/>
      </c>
      <c r="Z1654" s="70" t="str">
        <f t="shared" si="567"/>
        <v/>
      </c>
      <c r="AA1654" s="70" t="str">
        <f t="shared" si="568"/>
        <v/>
      </c>
      <c r="AB1654" s="70" t="str">
        <f t="shared" si="569"/>
        <v/>
      </c>
      <c r="AC1654" s="70" t="str">
        <f t="shared" si="570"/>
        <v/>
      </c>
      <c r="AD1654" s="70" t="str">
        <f t="shared" si="571"/>
        <v/>
      </c>
      <c r="AE1654" s="70" t="str">
        <f t="shared" si="572"/>
        <v/>
      </c>
      <c r="AF1654" s="16"/>
      <c r="AG1654" s="23"/>
      <c r="AH1654" s="22"/>
      <c r="AJ1654" s="83">
        <f t="shared" si="573"/>
        <v>0</v>
      </c>
      <c r="AO1654" s="22" t="str">
        <f t="shared" si="574"/>
        <v/>
      </c>
      <c r="AP1654" s="22" t="str">
        <f t="shared" si="575"/>
        <v/>
      </c>
    </row>
    <row r="1655" spans="1:42" x14ac:dyDescent="0.25">
      <c r="A1655" s="10"/>
      <c r="B1655" s="10"/>
      <c r="C1655" s="10"/>
      <c r="D1655" s="10"/>
      <c r="E1655" s="10"/>
      <c r="F1655" s="10"/>
      <c r="G1655" s="10"/>
      <c r="H1655" s="17"/>
      <c r="I1655" s="10"/>
      <c r="J1655" s="10"/>
      <c r="K1655" s="16" t="str">
        <f t="shared" si="554"/>
        <v/>
      </c>
      <c r="L1655" s="23" t="str">
        <f t="shared" si="555"/>
        <v/>
      </c>
      <c r="M1655" s="22" t="str">
        <f t="shared" si="556"/>
        <v/>
      </c>
      <c r="N1655" s="72"/>
      <c r="O1655" s="16" t="str">
        <f t="shared" si="557"/>
        <v/>
      </c>
      <c r="P1655" s="16" t="str">
        <f t="shared" si="558"/>
        <v/>
      </c>
      <c r="Q1655" s="16" t="str">
        <f t="shared" si="559"/>
        <v/>
      </c>
      <c r="R1655" s="23" t="str">
        <f t="shared" si="560"/>
        <v/>
      </c>
      <c r="S1655" s="23" t="str">
        <f t="shared" si="561"/>
        <v/>
      </c>
      <c r="T1655" s="23" t="str">
        <f t="shared" si="562"/>
        <v/>
      </c>
      <c r="U1655" s="23" t="str">
        <f t="shared" si="563"/>
        <v/>
      </c>
      <c r="V1655" s="23" t="str">
        <f t="shared" si="564"/>
        <v/>
      </c>
      <c r="W1655" s="70" t="str">
        <f t="shared" si="565"/>
        <v/>
      </c>
      <c r="X1655" s="70" t="str">
        <f t="shared" si="566"/>
        <v/>
      </c>
      <c r="Y1655" s="70" t="str">
        <f>IF(AND($A1655&lt;&gt;"",$E1655&gt;0),isLaptopBag($C1655,$J1655)*$D1655,"")</f>
        <v/>
      </c>
      <c r="Z1655" s="70" t="str">
        <f t="shared" si="567"/>
        <v/>
      </c>
      <c r="AA1655" s="70" t="str">
        <f t="shared" si="568"/>
        <v/>
      </c>
      <c r="AB1655" s="70" t="str">
        <f t="shared" si="569"/>
        <v/>
      </c>
      <c r="AC1655" s="70" t="str">
        <f t="shared" si="570"/>
        <v/>
      </c>
      <c r="AD1655" s="70" t="str">
        <f t="shared" si="571"/>
        <v/>
      </c>
      <c r="AE1655" s="70" t="str">
        <f t="shared" si="572"/>
        <v/>
      </c>
      <c r="AF1655" s="16"/>
      <c r="AG1655" s="23"/>
      <c r="AH1655" s="22"/>
      <c r="AJ1655" s="83">
        <f t="shared" si="573"/>
        <v>0</v>
      </c>
      <c r="AO1655" s="22" t="str">
        <f t="shared" si="574"/>
        <v/>
      </c>
      <c r="AP1655" s="22" t="str">
        <f t="shared" si="575"/>
        <v/>
      </c>
    </row>
    <row r="1656" spans="1:42" x14ac:dyDescent="0.25">
      <c r="A1656" s="10"/>
      <c r="B1656" s="10"/>
      <c r="C1656" s="10"/>
      <c r="D1656" s="10"/>
      <c r="E1656" s="10"/>
      <c r="F1656" s="10"/>
      <c r="G1656" s="10"/>
      <c r="H1656" s="17"/>
      <c r="I1656" s="10"/>
      <c r="J1656" s="10"/>
      <c r="K1656" s="16" t="str">
        <f t="shared" si="554"/>
        <v/>
      </c>
      <c r="L1656" s="23" t="str">
        <f t="shared" si="555"/>
        <v/>
      </c>
      <c r="M1656" s="22" t="str">
        <f t="shared" si="556"/>
        <v/>
      </c>
      <c r="N1656" s="72"/>
      <c r="O1656" s="16" t="str">
        <f t="shared" si="557"/>
        <v/>
      </c>
      <c r="P1656" s="16" t="str">
        <f t="shared" si="558"/>
        <v/>
      </c>
      <c r="Q1656" s="16" t="str">
        <f t="shared" si="559"/>
        <v/>
      </c>
      <c r="R1656" s="23" t="str">
        <f t="shared" si="560"/>
        <v/>
      </c>
      <c r="S1656" s="23" t="str">
        <f t="shared" si="561"/>
        <v/>
      </c>
      <c r="T1656" s="23" t="str">
        <f t="shared" si="562"/>
        <v/>
      </c>
      <c r="U1656" s="23" t="str">
        <f t="shared" si="563"/>
        <v/>
      </c>
      <c r="V1656" s="23" t="str">
        <f t="shared" si="564"/>
        <v/>
      </c>
      <c r="W1656" s="70" t="str">
        <f t="shared" si="565"/>
        <v/>
      </c>
      <c r="X1656" s="70" t="str">
        <f t="shared" si="566"/>
        <v/>
      </c>
      <c r="Y1656" s="70" t="str">
        <f>IF(AND($A1656&lt;&gt;"",$E1656&gt;0),isLaptopBag($C1656,$J1656)*$D1656,"")</f>
        <v/>
      </c>
      <c r="Z1656" s="70" t="str">
        <f t="shared" si="567"/>
        <v/>
      </c>
      <c r="AA1656" s="70" t="str">
        <f t="shared" si="568"/>
        <v/>
      </c>
      <c r="AB1656" s="70" t="str">
        <f t="shared" si="569"/>
        <v/>
      </c>
      <c r="AC1656" s="70" t="str">
        <f t="shared" si="570"/>
        <v/>
      </c>
      <c r="AD1656" s="70" t="str">
        <f t="shared" si="571"/>
        <v/>
      </c>
      <c r="AE1656" s="70" t="str">
        <f t="shared" si="572"/>
        <v/>
      </c>
      <c r="AF1656" s="16"/>
      <c r="AG1656" s="23"/>
      <c r="AH1656" s="22"/>
      <c r="AJ1656" s="83">
        <f t="shared" si="573"/>
        <v>0</v>
      </c>
      <c r="AO1656" s="22" t="str">
        <f t="shared" si="574"/>
        <v/>
      </c>
      <c r="AP1656" s="22" t="str">
        <f t="shared" si="575"/>
        <v/>
      </c>
    </row>
    <row r="1657" spans="1:42" x14ac:dyDescent="0.25">
      <c r="A1657" s="10"/>
      <c r="B1657" s="10"/>
      <c r="C1657" s="10"/>
      <c r="D1657" s="10"/>
      <c r="E1657" s="10"/>
      <c r="F1657" s="10"/>
      <c r="G1657" s="10"/>
      <c r="H1657" s="17"/>
      <c r="I1657" s="10"/>
      <c r="J1657" s="10"/>
      <c r="K1657" s="16" t="str">
        <f t="shared" si="554"/>
        <v/>
      </c>
      <c r="L1657" s="23" t="str">
        <f t="shared" si="555"/>
        <v/>
      </c>
      <c r="M1657" s="22" t="str">
        <f t="shared" si="556"/>
        <v/>
      </c>
      <c r="N1657" s="72"/>
      <c r="O1657" s="16" t="str">
        <f t="shared" si="557"/>
        <v/>
      </c>
      <c r="P1657" s="16" t="str">
        <f t="shared" si="558"/>
        <v/>
      </c>
      <c r="Q1657" s="16" t="str">
        <f t="shared" si="559"/>
        <v/>
      </c>
      <c r="R1657" s="23" t="str">
        <f t="shared" si="560"/>
        <v/>
      </c>
      <c r="S1657" s="23" t="str">
        <f t="shared" si="561"/>
        <v/>
      </c>
      <c r="T1657" s="23" t="str">
        <f t="shared" si="562"/>
        <v/>
      </c>
      <c r="U1657" s="23" t="str">
        <f t="shared" si="563"/>
        <v/>
      </c>
      <c r="V1657" s="23" t="str">
        <f t="shared" si="564"/>
        <v/>
      </c>
      <c r="W1657" s="70" t="str">
        <f t="shared" si="565"/>
        <v/>
      </c>
      <c r="X1657" s="70" t="str">
        <f t="shared" si="566"/>
        <v/>
      </c>
      <c r="Y1657" s="70" t="str">
        <f>IF(AND($A1657&lt;&gt;"",$E1657&gt;0),isLaptopBag($C1657,$J1657)*$D1657,"")</f>
        <v/>
      </c>
      <c r="Z1657" s="70" t="str">
        <f t="shared" si="567"/>
        <v/>
      </c>
      <c r="AA1657" s="70" t="str">
        <f t="shared" si="568"/>
        <v/>
      </c>
      <c r="AB1657" s="70" t="str">
        <f t="shared" si="569"/>
        <v/>
      </c>
      <c r="AC1657" s="70" t="str">
        <f t="shared" si="570"/>
        <v/>
      </c>
      <c r="AD1657" s="70" t="str">
        <f t="shared" si="571"/>
        <v/>
      </c>
      <c r="AE1657" s="70" t="str">
        <f t="shared" si="572"/>
        <v/>
      </c>
      <c r="AF1657" s="16"/>
      <c r="AG1657" s="23"/>
      <c r="AH1657" s="22"/>
      <c r="AJ1657" s="83">
        <f t="shared" si="573"/>
        <v>0</v>
      </c>
      <c r="AO1657" s="22" t="str">
        <f t="shared" si="574"/>
        <v/>
      </c>
      <c r="AP1657" s="22" t="str">
        <f t="shared" si="575"/>
        <v/>
      </c>
    </row>
    <row r="1658" spans="1:42" x14ac:dyDescent="0.25">
      <c r="A1658" s="10"/>
      <c r="B1658" s="10"/>
      <c r="C1658" s="10"/>
      <c r="D1658" s="10"/>
      <c r="E1658" s="10"/>
      <c r="F1658" s="10"/>
      <c r="G1658" s="10"/>
      <c r="H1658" s="17"/>
      <c r="I1658" s="10"/>
      <c r="J1658" s="10"/>
      <c r="K1658" s="16" t="str">
        <f t="shared" si="554"/>
        <v/>
      </c>
      <c r="L1658" s="23" t="str">
        <f t="shared" si="555"/>
        <v/>
      </c>
      <c r="M1658" s="22" t="str">
        <f t="shared" si="556"/>
        <v/>
      </c>
      <c r="N1658" s="72"/>
      <c r="O1658" s="16" t="str">
        <f t="shared" si="557"/>
        <v/>
      </c>
      <c r="P1658" s="16" t="str">
        <f t="shared" si="558"/>
        <v/>
      </c>
      <c r="Q1658" s="16" t="str">
        <f t="shared" si="559"/>
        <v/>
      </c>
      <c r="R1658" s="23" t="str">
        <f t="shared" si="560"/>
        <v/>
      </c>
      <c r="S1658" s="23" t="str">
        <f t="shared" si="561"/>
        <v/>
      </c>
      <c r="T1658" s="23" t="str">
        <f t="shared" si="562"/>
        <v/>
      </c>
      <c r="U1658" s="23" t="str">
        <f t="shared" si="563"/>
        <v/>
      </c>
      <c r="V1658" s="23" t="str">
        <f t="shared" si="564"/>
        <v/>
      </c>
      <c r="W1658" s="70" t="str">
        <f t="shared" si="565"/>
        <v/>
      </c>
      <c r="X1658" s="70" t="str">
        <f t="shared" si="566"/>
        <v/>
      </c>
      <c r="Y1658" s="70" t="str">
        <f>IF(AND($A1658&lt;&gt;"",$E1658&gt;0),isLaptopBag($C1658,$J1658)*$D1658,"")</f>
        <v/>
      </c>
      <c r="Z1658" s="70" t="str">
        <f t="shared" si="567"/>
        <v/>
      </c>
      <c r="AA1658" s="70" t="str">
        <f t="shared" si="568"/>
        <v/>
      </c>
      <c r="AB1658" s="70" t="str">
        <f t="shared" si="569"/>
        <v/>
      </c>
      <c r="AC1658" s="70" t="str">
        <f t="shared" si="570"/>
        <v/>
      </c>
      <c r="AD1658" s="70" t="str">
        <f t="shared" si="571"/>
        <v/>
      </c>
      <c r="AE1658" s="70" t="str">
        <f t="shared" si="572"/>
        <v/>
      </c>
      <c r="AF1658" s="16"/>
      <c r="AG1658" s="23"/>
      <c r="AH1658" s="22"/>
      <c r="AJ1658" s="83">
        <f t="shared" si="573"/>
        <v>0</v>
      </c>
      <c r="AO1658" s="22" t="str">
        <f t="shared" si="574"/>
        <v/>
      </c>
      <c r="AP1658" s="22" t="str">
        <f t="shared" si="575"/>
        <v/>
      </c>
    </row>
    <row r="1659" spans="1:42" x14ac:dyDescent="0.25">
      <c r="A1659" s="10"/>
      <c r="B1659" s="10"/>
      <c r="C1659" s="10"/>
      <c r="D1659" s="10"/>
      <c r="E1659" s="10"/>
      <c r="F1659" s="10"/>
      <c r="G1659" s="10"/>
      <c r="H1659" s="17"/>
      <c r="I1659" s="10"/>
      <c r="J1659" s="10"/>
      <c r="K1659" s="16" t="str">
        <f t="shared" si="554"/>
        <v/>
      </c>
      <c r="L1659" s="23" t="str">
        <f t="shared" si="555"/>
        <v/>
      </c>
      <c r="M1659" s="22" t="str">
        <f t="shared" si="556"/>
        <v/>
      </c>
      <c r="N1659" s="72"/>
      <c r="O1659" s="16" t="str">
        <f t="shared" si="557"/>
        <v/>
      </c>
      <c r="P1659" s="16" t="str">
        <f t="shared" si="558"/>
        <v/>
      </c>
      <c r="Q1659" s="16" t="str">
        <f t="shared" si="559"/>
        <v/>
      </c>
      <c r="R1659" s="23" t="str">
        <f t="shared" si="560"/>
        <v/>
      </c>
      <c r="S1659" s="23" t="str">
        <f t="shared" si="561"/>
        <v/>
      </c>
      <c r="T1659" s="23" t="str">
        <f t="shared" si="562"/>
        <v/>
      </c>
      <c r="U1659" s="23" t="str">
        <f t="shared" si="563"/>
        <v/>
      </c>
      <c r="V1659" s="23" t="str">
        <f t="shared" si="564"/>
        <v/>
      </c>
      <c r="W1659" s="70" t="str">
        <f t="shared" si="565"/>
        <v/>
      </c>
      <c r="X1659" s="70" t="str">
        <f t="shared" si="566"/>
        <v/>
      </c>
      <c r="Y1659" s="70" t="str">
        <f>IF(AND($A1659&lt;&gt;"",$E1659&gt;0),isLaptopBag($C1659,$J1659)*$D1659,"")</f>
        <v/>
      </c>
      <c r="Z1659" s="70" t="str">
        <f t="shared" si="567"/>
        <v/>
      </c>
      <c r="AA1659" s="70" t="str">
        <f t="shared" si="568"/>
        <v/>
      </c>
      <c r="AB1659" s="70" t="str">
        <f t="shared" si="569"/>
        <v/>
      </c>
      <c r="AC1659" s="70" t="str">
        <f t="shared" si="570"/>
        <v/>
      </c>
      <c r="AD1659" s="70" t="str">
        <f t="shared" si="571"/>
        <v/>
      </c>
      <c r="AE1659" s="70" t="str">
        <f t="shared" si="572"/>
        <v/>
      </c>
      <c r="AF1659" s="16"/>
      <c r="AG1659" s="23"/>
      <c r="AH1659" s="22"/>
      <c r="AJ1659" s="83">
        <f t="shared" si="573"/>
        <v>0</v>
      </c>
      <c r="AO1659" s="22" t="str">
        <f t="shared" si="574"/>
        <v/>
      </c>
      <c r="AP1659" s="22" t="str">
        <f t="shared" si="575"/>
        <v/>
      </c>
    </row>
    <row r="1660" spans="1:42" x14ac:dyDescent="0.25">
      <c r="A1660" s="10"/>
      <c r="B1660" s="10"/>
      <c r="C1660" s="10"/>
      <c r="D1660" s="10"/>
      <c r="E1660" s="10"/>
      <c r="F1660" s="10"/>
      <c r="G1660" s="10"/>
      <c r="H1660" s="17"/>
      <c r="I1660" s="10"/>
      <c r="J1660" s="10"/>
      <c r="K1660" s="16" t="str">
        <f t="shared" si="554"/>
        <v/>
      </c>
      <c r="L1660" s="23" t="str">
        <f t="shared" si="555"/>
        <v/>
      </c>
      <c r="M1660" s="22" t="str">
        <f t="shared" si="556"/>
        <v/>
      </c>
      <c r="N1660" s="72"/>
      <c r="O1660" s="16" t="str">
        <f t="shared" si="557"/>
        <v/>
      </c>
      <c r="P1660" s="16" t="str">
        <f t="shared" si="558"/>
        <v/>
      </c>
      <c r="Q1660" s="16" t="str">
        <f t="shared" si="559"/>
        <v/>
      </c>
      <c r="R1660" s="23" t="str">
        <f t="shared" si="560"/>
        <v/>
      </c>
      <c r="S1660" s="23" t="str">
        <f t="shared" si="561"/>
        <v/>
      </c>
      <c r="T1660" s="23" t="str">
        <f t="shared" si="562"/>
        <v/>
      </c>
      <c r="U1660" s="23" t="str">
        <f t="shared" si="563"/>
        <v/>
      </c>
      <c r="V1660" s="23" t="str">
        <f t="shared" si="564"/>
        <v/>
      </c>
      <c r="W1660" s="70" t="str">
        <f t="shared" si="565"/>
        <v/>
      </c>
      <c r="X1660" s="70" t="str">
        <f t="shared" si="566"/>
        <v/>
      </c>
      <c r="Y1660" s="70" t="str">
        <f>IF(AND($A1660&lt;&gt;"",$E1660&gt;0),isLaptopBag($C1660,$J1660)*$D1660,"")</f>
        <v/>
      </c>
      <c r="Z1660" s="70" t="str">
        <f t="shared" si="567"/>
        <v/>
      </c>
      <c r="AA1660" s="70" t="str">
        <f t="shared" si="568"/>
        <v/>
      </c>
      <c r="AB1660" s="70" t="str">
        <f t="shared" si="569"/>
        <v/>
      </c>
      <c r="AC1660" s="70" t="str">
        <f t="shared" si="570"/>
        <v/>
      </c>
      <c r="AD1660" s="70" t="str">
        <f t="shared" si="571"/>
        <v/>
      </c>
      <c r="AE1660" s="70" t="str">
        <f t="shared" si="572"/>
        <v/>
      </c>
      <c r="AF1660" s="16"/>
      <c r="AG1660" s="23"/>
      <c r="AH1660" s="22"/>
      <c r="AJ1660" s="83">
        <f t="shared" si="573"/>
        <v>0</v>
      </c>
      <c r="AO1660" s="22" t="str">
        <f t="shared" si="574"/>
        <v/>
      </c>
      <c r="AP1660" s="22" t="str">
        <f t="shared" si="575"/>
        <v/>
      </c>
    </row>
    <row r="1661" spans="1:42" x14ac:dyDescent="0.25">
      <c r="A1661" s="10"/>
      <c r="B1661" s="10"/>
      <c r="C1661" s="10"/>
      <c r="D1661" s="10"/>
      <c r="E1661" s="10"/>
      <c r="F1661" s="10"/>
      <c r="G1661" s="10"/>
      <c r="H1661" s="17"/>
      <c r="I1661" s="10"/>
      <c r="J1661" s="10"/>
      <c r="K1661" s="16" t="str">
        <f t="shared" si="554"/>
        <v/>
      </c>
      <c r="L1661" s="23" t="str">
        <f t="shared" si="555"/>
        <v/>
      </c>
      <c r="M1661" s="22" t="str">
        <f t="shared" si="556"/>
        <v/>
      </c>
      <c r="N1661" s="72"/>
      <c r="O1661" s="16" t="str">
        <f t="shared" si="557"/>
        <v/>
      </c>
      <c r="P1661" s="16" t="str">
        <f t="shared" si="558"/>
        <v/>
      </c>
      <c r="Q1661" s="16" t="str">
        <f t="shared" si="559"/>
        <v/>
      </c>
      <c r="R1661" s="23" t="str">
        <f t="shared" si="560"/>
        <v/>
      </c>
      <c r="S1661" s="23" t="str">
        <f t="shared" si="561"/>
        <v/>
      </c>
      <c r="T1661" s="23" t="str">
        <f t="shared" si="562"/>
        <v/>
      </c>
      <c r="U1661" s="23" t="str">
        <f t="shared" si="563"/>
        <v/>
      </c>
      <c r="V1661" s="23" t="str">
        <f t="shared" si="564"/>
        <v/>
      </c>
      <c r="W1661" s="70" t="str">
        <f t="shared" si="565"/>
        <v/>
      </c>
      <c r="X1661" s="70" t="str">
        <f t="shared" si="566"/>
        <v/>
      </c>
      <c r="Y1661" s="70" t="str">
        <f>IF(AND($A1661&lt;&gt;"",$E1661&gt;0),isLaptopBag($C1661,$J1661)*$D1661,"")</f>
        <v/>
      </c>
      <c r="Z1661" s="70" t="str">
        <f t="shared" si="567"/>
        <v/>
      </c>
      <c r="AA1661" s="70" t="str">
        <f t="shared" si="568"/>
        <v/>
      </c>
      <c r="AB1661" s="70" t="str">
        <f t="shared" si="569"/>
        <v/>
      </c>
      <c r="AC1661" s="70" t="str">
        <f t="shared" si="570"/>
        <v/>
      </c>
      <c r="AD1661" s="70" t="str">
        <f t="shared" si="571"/>
        <v/>
      </c>
      <c r="AE1661" s="70" t="str">
        <f t="shared" si="572"/>
        <v/>
      </c>
      <c r="AF1661" s="16"/>
      <c r="AG1661" s="23"/>
      <c r="AH1661" s="22"/>
      <c r="AJ1661" s="83">
        <f t="shared" si="573"/>
        <v>0</v>
      </c>
      <c r="AO1661" s="22" t="str">
        <f t="shared" si="574"/>
        <v/>
      </c>
      <c r="AP1661" s="22" t="str">
        <f t="shared" si="575"/>
        <v/>
      </c>
    </row>
    <row r="1662" spans="1:42" x14ac:dyDescent="0.25">
      <c r="A1662" s="10"/>
      <c r="B1662" s="10"/>
      <c r="C1662" s="10"/>
      <c r="D1662" s="10"/>
      <c r="E1662" s="10"/>
      <c r="F1662" s="10"/>
      <c r="G1662" s="10"/>
      <c r="H1662" s="17"/>
      <c r="I1662" s="10"/>
      <c r="J1662" s="10"/>
      <c r="K1662" s="16" t="str">
        <f t="shared" si="554"/>
        <v/>
      </c>
      <c r="L1662" s="23" t="str">
        <f t="shared" si="555"/>
        <v/>
      </c>
      <c r="M1662" s="22" t="str">
        <f t="shared" si="556"/>
        <v/>
      </c>
      <c r="N1662" s="72"/>
      <c r="O1662" s="16" t="str">
        <f t="shared" si="557"/>
        <v/>
      </c>
      <c r="P1662" s="16" t="str">
        <f t="shared" si="558"/>
        <v/>
      </c>
      <c r="Q1662" s="16" t="str">
        <f t="shared" si="559"/>
        <v/>
      </c>
      <c r="R1662" s="23" t="str">
        <f t="shared" si="560"/>
        <v/>
      </c>
      <c r="S1662" s="23" t="str">
        <f t="shared" si="561"/>
        <v/>
      </c>
      <c r="T1662" s="23" t="str">
        <f t="shared" si="562"/>
        <v/>
      </c>
      <c r="U1662" s="23" t="str">
        <f t="shared" si="563"/>
        <v/>
      </c>
      <c r="V1662" s="23" t="str">
        <f t="shared" si="564"/>
        <v/>
      </c>
      <c r="W1662" s="70" t="str">
        <f t="shared" si="565"/>
        <v/>
      </c>
      <c r="X1662" s="70" t="str">
        <f t="shared" si="566"/>
        <v/>
      </c>
      <c r="Y1662" s="70" t="str">
        <f>IF(AND($A1662&lt;&gt;"",$E1662&gt;0),isLaptopBag($C1662,$J1662)*$D1662,"")</f>
        <v/>
      </c>
      <c r="Z1662" s="70" t="str">
        <f t="shared" si="567"/>
        <v/>
      </c>
      <c r="AA1662" s="70" t="str">
        <f t="shared" si="568"/>
        <v/>
      </c>
      <c r="AB1662" s="70" t="str">
        <f t="shared" si="569"/>
        <v/>
      </c>
      <c r="AC1662" s="70" t="str">
        <f t="shared" si="570"/>
        <v/>
      </c>
      <c r="AD1662" s="70" t="str">
        <f t="shared" si="571"/>
        <v/>
      </c>
      <c r="AE1662" s="70" t="str">
        <f t="shared" si="572"/>
        <v/>
      </c>
      <c r="AF1662" s="16"/>
      <c r="AG1662" s="23"/>
      <c r="AH1662" s="22"/>
      <c r="AJ1662" s="83">
        <f t="shared" si="573"/>
        <v>0</v>
      </c>
      <c r="AO1662" s="22" t="str">
        <f t="shared" si="574"/>
        <v/>
      </c>
      <c r="AP1662" s="22" t="str">
        <f t="shared" si="575"/>
        <v/>
      </c>
    </row>
    <row r="1663" spans="1:42" x14ac:dyDescent="0.25">
      <c r="A1663" s="10"/>
      <c r="B1663" s="10"/>
      <c r="C1663" s="10"/>
      <c r="D1663" s="10"/>
      <c r="E1663" s="10"/>
      <c r="F1663" s="10"/>
      <c r="G1663" s="10"/>
      <c r="H1663" s="17"/>
      <c r="I1663" s="10"/>
      <c r="J1663" s="10"/>
      <c r="K1663" s="16" t="str">
        <f t="shared" si="554"/>
        <v/>
      </c>
      <c r="L1663" s="23" t="str">
        <f t="shared" si="555"/>
        <v/>
      </c>
      <c r="M1663" s="22" t="str">
        <f t="shared" si="556"/>
        <v/>
      </c>
      <c r="N1663" s="72"/>
      <c r="O1663" s="16" t="str">
        <f t="shared" si="557"/>
        <v/>
      </c>
      <c r="P1663" s="16" t="str">
        <f t="shared" si="558"/>
        <v/>
      </c>
      <c r="Q1663" s="16" t="str">
        <f t="shared" si="559"/>
        <v/>
      </c>
      <c r="R1663" s="23" t="str">
        <f t="shared" si="560"/>
        <v/>
      </c>
      <c r="S1663" s="23" t="str">
        <f t="shared" si="561"/>
        <v/>
      </c>
      <c r="T1663" s="23" t="str">
        <f t="shared" si="562"/>
        <v/>
      </c>
      <c r="U1663" s="23" t="str">
        <f t="shared" si="563"/>
        <v/>
      </c>
      <c r="V1663" s="23" t="str">
        <f t="shared" si="564"/>
        <v/>
      </c>
      <c r="W1663" s="70" t="str">
        <f t="shared" si="565"/>
        <v/>
      </c>
      <c r="X1663" s="70" t="str">
        <f t="shared" si="566"/>
        <v/>
      </c>
      <c r="Y1663" s="70" t="str">
        <f>IF(AND($A1663&lt;&gt;"",$E1663&gt;0),isLaptopBag($C1663,$J1663)*$D1663,"")</f>
        <v/>
      </c>
      <c r="Z1663" s="70" t="str">
        <f t="shared" si="567"/>
        <v/>
      </c>
      <c r="AA1663" s="70" t="str">
        <f t="shared" si="568"/>
        <v/>
      </c>
      <c r="AB1663" s="70" t="str">
        <f t="shared" si="569"/>
        <v/>
      </c>
      <c r="AC1663" s="70" t="str">
        <f t="shared" si="570"/>
        <v/>
      </c>
      <c r="AD1663" s="70" t="str">
        <f t="shared" si="571"/>
        <v/>
      </c>
      <c r="AE1663" s="70" t="str">
        <f t="shared" si="572"/>
        <v/>
      </c>
      <c r="AF1663" s="16"/>
      <c r="AG1663" s="23"/>
      <c r="AH1663" s="22"/>
      <c r="AJ1663" s="83">
        <f t="shared" si="573"/>
        <v>0</v>
      </c>
      <c r="AO1663" s="22" t="str">
        <f t="shared" si="574"/>
        <v/>
      </c>
      <c r="AP1663" s="22" t="str">
        <f t="shared" si="575"/>
        <v/>
      </c>
    </row>
    <row r="1664" spans="1:42" x14ac:dyDescent="0.25">
      <c r="A1664" s="10"/>
      <c r="B1664" s="10"/>
      <c r="C1664" s="10"/>
      <c r="D1664" s="10"/>
      <c r="E1664" s="10"/>
      <c r="F1664" s="10"/>
      <c r="G1664" s="10"/>
      <c r="H1664" s="17"/>
      <c r="I1664" s="10"/>
      <c r="J1664" s="10"/>
      <c r="K1664" s="16" t="str">
        <f t="shared" si="554"/>
        <v/>
      </c>
      <c r="L1664" s="23" t="str">
        <f t="shared" si="555"/>
        <v/>
      </c>
      <c r="M1664" s="22" t="str">
        <f t="shared" si="556"/>
        <v/>
      </c>
      <c r="N1664" s="72"/>
      <c r="O1664" s="16" t="str">
        <f t="shared" si="557"/>
        <v/>
      </c>
      <c r="P1664" s="16" t="str">
        <f t="shared" si="558"/>
        <v/>
      </c>
      <c r="Q1664" s="16" t="str">
        <f t="shared" si="559"/>
        <v/>
      </c>
      <c r="R1664" s="23" t="str">
        <f t="shared" si="560"/>
        <v/>
      </c>
      <c r="S1664" s="23" t="str">
        <f t="shared" si="561"/>
        <v/>
      </c>
      <c r="T1664" s="23" t="str">
        <f t="shared" si="562"/>
        <v/>
      </c>
      <c r="U1664" s="23" t="str">
        <f t="shared" si="563"/>
        <v/>
      </c>
      <c r="V1664" s="23" t="str">
        <f t="shared" si="564"/>
        <v/>
      </c>
      <c r="W1664" s="70" t="str">
        <f t="shared" si="565"/>
        <v/>
      </c>
      <c r="X1664" s="70" t="str">
        <f t="shared" si="566"/>
        <v/>
      </c>
      <c r="Y1664" s="70" t="str">
        <f>IF(AND($A1664&lt;&gt;"",$E1664&gt;0),isLaptopBag($C1664,$J1664)*$D1664,"")</f>
        <v/>
      </c>
      <c r="Z1664" s="70" t="str">
        <f t="shared" si="567"/>
        <v/>
      </c>
      <c r="AA1664" s="70" t="str">
        <f t="shared" si="568"/>
        <v/>
      </c>
      <c r="AB1664" s="70" t="str">
        <f t="shared" si="569"/>
        <v/>
      </c>
      <c r="AC1664" s="70" t="str">
        <f t="shared" si="570"/>
        <v/>
      </c>
      <c r="AD1664" s="70" t="str">
        <f t="shared" si="571"/>
        <v/>
      </c>
      <c r="AE1664" s="70" t="str">
        <f t="shared" si="572"/>
        <v/>
      </c>
      <c r="AF1664" s="16"/>
      <c r="AG1664" s="23"/>
      <c r="AH1664" s="22"/>
      <c r="AJ1664" s="83">
        <f t="shared" si="573"/>
        <v>0</v>
      </c>
      <c r="AO1664" s="22" t="str">
        <f t="shared" si="574"/>
        <v/>
      </c>
      <c r="AP1664" s="22" t="str">
        <f t="shared" si="575"/>
        <v/>
      </c>
    </row>
    <row r="1665" spans="1:42" x14ac:dyDescent="0.25">
      <c r="A1665" s="10"/>
      <c r="B1665" s="10"/>
      <c r="C1665" s="10"/>
      <c r="D1665" s="10"/>
      <c r="E1665" s="10"/>
      <c r="F1665" s="10"/>
      <c r="G1665" s="10"/>
      <c r="H1665" s="17"/>
      <c r="I1665" s="10"/>
      <c r="J1665" s="10"/>
      <c r="K1665" s="16" t="str">
        <f t="shared" si="554"/>
        <v/>
      </c>
      <c r="L1665" s="23" t="str">
        <f t="shared" si="555"/>
        <v/>
      </c>
      <c r="M1665" s="22" t="str">
        <f t="shared" si="556"/>
        <v/>
      </c>
      <c r="N1665" s="72"/>
      <c r="O1665" s="16" t="str">
        <f t="shared" si="557"/>
        <v/>
      </c>
      <c r="P1665" s="16" t="str">
        <f t="shared" si="558"/>
        <v/>
      </c>
      <c r="Q1665" s="16" t="str">
        <f t="shared" si="559"/>
        <v/>
      </c>
      <c r="R1665" s="23" t="str">
        <f t="shared" si="560"/>
        <v/>
      </c>
      <c r="S1665" s="23" t="str">
        <f t="shared" si="561"/>
        <v/>
      </c>
      <c r="T1665" s="23" t="str">
        <f t="shared" si="562"/>
        <v/>
      </c>
      <c r="U1665" s="23" t="str">
        <f t="shared" si="563"/>
        <v/>
      </c>
      <c r="V1665" s="23" t="str">
        <f t="shared" si="564"/>
        <v/>
      </c>
      <c r="W1665" s="70" t="str">
        <f t="shared" si="565"/>
        <v/>
      </c>
      <c r="X1665" s="70" t="str">
        <f t="shared" si="566"/>
        <v/>
      </c>
      <c r="Y1665" s="70" t="str">
        <f>IF(AND($A1665&lt;&gt;"",$E1665&gt;0),isLaptopBag($C1665,$J1665)*$D1665,"")</f>
        <v/>
      </c>
      <c r="Z1665" s="70" t="str">
        <f t="shared" si="567"/>
        <v/>
      </c>
      <c r="AA1665" s="70" t="str">
        <f t="shared" si="568"/>
        <v/>
      </c>
      <c r="AB1665" s="70" t="str">
        <f t="shared" si="569"/>
        <v/>
      </c>
      <c r="AC1665" s="70" t="str">
        <f t="shared" si="570"/>
        <v/>
      </c>
      <c r="AD1665" s="70" t="str">
        <f t="shared" si="571"/>
        <v/>
      </c>
      <c r="AE1665" s="70" t="str">
        <f t="shared" si="572"/>
        <v/>
      </c>
      <c r="AF1665" s="16"/>
      <c r="AG1665" s="23"/>
      <c r="AH1665" s="22"/>
      <c r="AJ1665" s="83">
        <f t="shared" si="573"/>
        <v>0</v>
      </c>
      <c r="AO1665" s="22" t="str">
        <f t="shared" si="574"/>
        <v/>
      </c>
      <c r="AP1665" s="22" t="str">
        <f t="shared" si="575"/>
        <v/>
      </c>
    </row>
    <row r="1666" spans="1:42" x14ac:dyDescent="0.25">
      <c r="A1666" s="10"/>
      <c r="B1666" s="10"/>
      <c r="C1666" s="10"/>
      <c r="D1666" s="10"/>
      <c r="E1666" s="10"/>
      <c r="F1666" s="10"/>
      <c r="G1666" s="10"/>
      <c r="H1666" s="17"/>
      <c r="I1666" s="10"/>
      <c r="J1666" s="10"/>
      <c r="K1666" s="16" t="str">
        <f t="shared" si="554"/>
        <v/>
      </c>
      <c r="L1666" s="23" t="str">
        <f t="shared" si="555"/>
        <v/>
      </c>
      <c r="M1666" s="22" t="str">
        <f t="shared" si="556"/>
        <v/>
      </c>
      <c r="N1666" s="72"/>
      <c r="O1666" s="16" t="str">
        <f t="shared" si="557"/>
        <v/>
      </c>
      <c r="P1666" s="16" t="str">
        <f t="shared" si="558"/>
        <v/>
      </c>
      <c r="Q1666" s="16" t="str">
        <f t="shared" si="559"/>
        <v/>
      </c>
      <c r="R1666" s="23" t="str">
        <f t="shared" si="560"/>
        <v/>
      </c>
      <c r="S1666" s="23" t="str">
        <f t="shared" si="561"/>
        <v/>
      </c>
      <c r="T1666" s="23" t="str">
        <f t="shared" si="562"/>
        <v/>
      </c>
      <c r="U1666" s="23" t="str">
        <f t="shared" si="563"/>
        <v/>
      </c>
      <c r="V1666" s="23" t="str">
        <f t="shared" si="564"/>
        <v/>
      </c>
      <c r="W1666" s="70" t="str">
        <f t="shared" si="565"/>
        <v/>
      </c>
      <c r="X1666" s="70" t="str">
        <f t="shared" si="566"/>
        <v/>
      </c>
      <c r="Y1666" s="70" t="str">
        <f>IF(AND($A1666&lt;&gt;"",$E1666&gt;0),isLaptopBag($C1666,$J1666)*$D1666,"")</f>
        <v/>
      </c>
      <c r="Z1666" s="70" t="str">
        <f t="shared" si="567"/>
        <v/>
      </c>
      <c r="AA1666" s="70" t="str">
        <f t="shared" si="568"/>
        <v/>
      </c>
      <c r="AB1666" s="70" t="str">
        <f t="shared" si="569"/>
        <v/>
      </c>
      <c r="AC1666" s="70" t="str">
        <f t="shared" si="570"/>
        <v/>
      </c>
      <c r="AD1666" s="70" t="str">
        <f t="shared" si="571"/>
        <v/>
      </c>
      <c r="AE1666" s="70" t="str">
        <f t="shared" si="572"/>
        <v/>
      </c>
      <c r="AF1666" s="16"/>
      <c r="AG1666" s="23"/>
      <c r="AH1666" s="22"/>
      <c r="AJ1666" s="83">
        <f t="shared" si="573"/>
        <v>0</v>
      </c>
      <c r="AO1666" s="22" t="str">
        <f t="shared" si="574"/>
        <v/>
      </c>
      <c r="AP1666" s="22" t="str">
        <f t="shared" si="575"/>
        <v/>
      </c>
    </row>
    <row r="1667" spans="1:42" x14ac:dyDescent="0.25">
      <c r="A1667" s="10"/>
      <c r="B1667" s="10"/>
      <c r="C1667" s="10"/>
      <c r="D1667" s="10"/>
      <c r="E1667" s="10"/>
      <c r="F1667" s="10"/>
      <c r="G1667" s="10"/>
      <c r="H1667" s="17"/>
      <c r="I1667" s="10"/>
      <c r="J1667" s="10"/>
      <c r="K1667" s="16" t="str">
        <f t="shared" si="554"/>
        <v/>
      </c>
      <c r="L1667" s="23" t="str">
        <f t="shared" si="555"/>
        <v/>
      </c>
      <c r="M1667" s="22" t="str">
        <f t="shared" si="556"/>
        <v/>
      </c>
      <c r="N1667" s="72"/>
      <c r="O1667" s="16" t="str">
        <f t="shared" si="557"/>
        <v/>
      </c>
      <c r="P1667" s="16" t="str">
        <f t="shared" si="558"/>
        <v/>
      </c>
      <c r="Q1667" s="16" t="str">
        <f t="shared" si="559"/>
        <v/>
      </c>
      <c r="R1667" s="23" t="str">
        <f t="shared" si="560"/>
        <v/>
      </c>
      <c r="S1667" s="23" t="str">
        <f t="shared" si="561"/>
        <v/>
      </c>
      <c r="T1667" s="23" t="str">
        <f t="shared" si="562"/>
        <v/>
      </c>
      <c r="U1667" s="23" t="str">
        <f t="shared" si="563"/>
        <v/>
      </c>
      <c r="V1667" s="23" t="str">
        <f t="shared" si="564"/>
        <v/>
      </c>
      <c r="W1667" s="70" t="str">
        <f t="shared" si="565"/>
        <v/>
      </c>
      <c r="X1667" s="70" t="str">
        <f t="shared" si="566"/>
        <v/>
      </c>
      <c r="Y1667" s="70" t="str">
        <f>IF(AND($A1667&lt;&gt;"",$E1667&gt;0),isLaptopBag($C1667,$J1667)*$D1667,"")</f>
        <v/>
      </c>
      <c r="Z1667" s="70" t="str">
        <f t="shared" si="567"/>
        <v/>
      </c>
      <c r="AA1667" s="70" t="str">
        <f t="shared" si="568"/>
        <v/>
      </c>
      <c r="AB1667" s="70" t="str">
        <f t="shared" si="569"/>
        <v/>
      </c>
      <c r="AC1667" s="70" t="str">
        <f t="shared" si="570"/>
        <v/>
      </c>
      <c r="AD1667" s="70" t="str">
        <f t="shared" si="571"/>
        <v/>
      </c>
      <c r="AE1667" s="70" t="str">
        <f t="shared" si="572"/>
        <v/>
      </c>
      <c r="AF1667" s="16"/>
      <c r="AG1667" s="23"/>
      <c r="AH1667" s="22"/>
      <c r="AJ1667" s="83">
        <f t="shared" si="573"/>
        <v>0</v>
      </c>
      <c r="AO1667" s="22" t="str">
        <f t="shared" si="574"/>
        <v/>
      </c>
      <c r="AP1667" s="22" t="str">
        <f t="shared" si="575"/>
        <v/>
      </c>
    </row>
    <row r="1668" spans="1:42" x14ac:dyDescent="0.25">
      <c r="A1668" s="10"/>
      <c r="B1668" s="10"/>
      <c r="C1668" s="10"/>
      <c r="D1668" s="10"/>
      <c r="E1668" s="10"/>
      <c r="F1668" s="10"/>
      <c r="G1668" s="10"/>
      <c r="H1668" s="17"/>
      <c r="I1668" s="10"/>
      <c r="J1668" s="10"/>
      <c r="K1668" s="16" t="str">
        <f t="shared" si="554"/>
        <v/>
      </c>
      <c r="L1668" s="23" t="str">
        <f t="shared" si="555"/>
        <v/>
      </c>
      <c r="M1668" s="22" t="str">
        <f t="shared" si="556"/>
        <v/>
      </c>
      <c r="N1668" s="72"/>
      <c r="O1668" s="16" t="str">
        <f t="shared" si="557"/>
        <v/>
      </c>
      <c r="P1668" s="16" t="str">
        <f t="shared" si="558"/>
        <v/>
      </c>
      <c r="Q1668" s="16" t="str">
        <f t="shared" si="559"/>
        <v/>
      </c>
      <c r="R1668" s="23" t="str">
        <f t="shared" si="560"/>
        <v/>
      </c>
      <c r="S1668" s="23" t="str">
        <f t="shared" si="561"/>
        <v/>
      </c>
      <c r="T1668" s="23" t="str">
        <f t="shared" si="562"/>
        <v/>
      </c>
      <c r="U1668" s="23" t="str">
        <f t="shared" si="563"/>
        <v/>
      </c>
      <c r="V1668" s="23" t="str">
        <f t="shared" si="564"/>
        <v/>
      </c>
      <c r="W1668" s="70" t="str">
        <f t="shared" si="565"/>
        <v/>
      </c>
      <c r="X1668" s="70" t="str">
        <f t="shared" si="566"/>
        <v/>
      </c>
      <c r="Y1668" s="70" t="str">
        <f>IF(AND($A1668&lt;&gt;"",$E1668&gt;0),isLaptopBag($C1668,$J1668)*$D1668,"")</f>
        <v/>
      </c>
      <c r="Z1668" s="70" t="str">
        <f t="shared" si="567"/>
        <v/>
      </c>
      <c r="AA1668" s="70" t="str">
        <f t="shared" si="568"/>
        <v/>
      </c>
      <c r="AB1668" s="70" t="str">
        <f t="shared" si="569"/>
        <v/>
      </c>
      <c r="AC1668" s="70" t="str">
        <f t="shared" si="570"/>
        <v/>
      </c>
      <c r="AD1668" s="70" t="str">
        <f t="shared" si="571"/>
        <v/>
      </c>
      <c r="AE1668" s="70" t="str">
        <f t="shared" si="572"/>
        <v/>
      </c>
      <c r="AF1668" s="16"/>
      <c r="AG1668" s="23"/>
      <c r="AH1668" s="22"/>
      <c r="AJ1668" s="83">
        <f t="shared" si="573"/>
        <v>0</v>
      </c>
      <c r="AO1668" s="22" t="str">
        <f t="shared" si="574"/>
        <v/>
      </c>
      <c r="AP1668" s="22" t="str">
        <f t="shared" si="575"/>
        <v/>
      </c>
    </row>
    <row r="1669" spans="1:42" x14ac:dyDescent="0.25">
      <c r="A1669" s="10"/>
      <c r="B1669" s="10"/>
      <c r="C1669" s="10"/>
      <c r="D1669" s="10"/>
      <c r="E1669" s="10"/>
      <c r="F1669" s="10"/>
      <c r="G1669" s="10"/>
      <c r="H1669" s="17"/>
      <c r="I1669" s="10"/>
      <c r="J1669" s="10"/>
      <c r="K1669" s="16" t="str">
        <f t="shared" si="554"/>
        <v/>
      </c>
      <c r="L1669" s="23" t="str">
        <f t="shared" si="555"/>
        <v/>
      </c>
      <c r="M1669" s="22" t="str">
        <f t="shared" si="556"/>
        <v/>
      </c>
      <c r="N1669" s="72"/>
      <c r="O1669" s="16" t="str">
        <f t="shared" si="557"/>
        <v/>
      </c>
      <c r="P1669" s="16" t="str">
        <f t="shared" si="558"/>
        <v/>
      </c>
      <c r="Q1669" s="16" t="str">
        <f t="shared" si="559"/>
        <v/>
      </c>
      <c r="R1669" s="23" t="str">
        <f t="shared" si="560"/>
        <v/>
      </c>
      <c r="S1669" s="23" t="str">
        <f t="shared" si="561"/>
        <v/>
      </c>
      <c r="T1669" s="23" t="str">
        <f t="shared" si="562"/>
        <v/>
      </c>
      <c r="U1669" s="23" t="str">
        <f t="shared" si="563"/>
        <v/>
      </c>
      <c r="V1669" s="23" t="str">
        <f t="shared" si="564"/>
        <v/>
      </c>
      <c r="W1669" s="70" t="str">
        <f t="shared" si="565"/>
        <v/>
      </c>
      <c r="X1669" s="70" t="str">
        <f t="shared" si="566"/>
        <v/>
      </c>
      <c r="Y1669" s="70" t="str">
        <f>IF(AND($A1669&lt;&gt;"",$E1669&gt;0),isLaptopBag($C1669,$J1669)*$D1669,"")</f>
        <v/>
      </c>
      <c r="Z1669" s="70" t="str">
        <f t="shared" si="567"/>
        <v/>
      </c>
      <c r="AA1669" s="70" t="str">
        <f t="shared" si="568"/>
        <v/>
      </c>
      <c r="AB1669" s="70" t="str">
        <f t="shared" si="569"/>
        <v/>
      </c>
      <c r="AC1669" s="70" t="str">
        <f t="shared" si="570"/>
        <v/>
      </c>
      <c r="AD1669" s="70" t="str">
        <f t="shared" si="571"/>
        <v/>
      </c>
      <c r="AE1669" s="70" t="str">
        <f t="shared" si="572"/>
        <v/>
      </c>
      <c r="AF1669" s="16"/>
      <c r="AG1669" s="23"/>
      <c r="AH1669" s="22"/>
      <c r="AJ1669" s="83">
        <f t="shared" si="573"/>
        <v>0</v>
      </c>
      <c r="AO1669" s="22" t="str">
        <f t="shared" si="574"/>
        <v/>
      </c>
      <c r="AP1669" s="22" t="str">
        <f t="shared" si="575"/>
        <v/>
      </c>
    </row>
    <row r="1670" spans="1:42" x14ac:dyDescent="0.25">
      <c r="A1670" s="10"/>
      <c r="B1670" s="10"/>
      <c r="C1670" s="10"/>
      <c r="D1670" s="10"/>
      <c r="E1670" s="10"/>
      <c r="F1670" s="10"/>
      <c r="G1670" s="10"/>
      <c r="H1670" s="17"/>
      <c r="I1670" s="10"/>
      <c r="J1670" s="10"/>
      <c r="K1670" s="16" t="str">
        <f t="shared" si="554"/>
        <v/>
      </c>
      <c r="L1670" s="23" t="str">
        <f t="shared" si="555"/>
        <v/>
      </c>
      <c r="M1670" s="22" t="str">
        <f t="shared" si="556"/>
        <v/>
      </c>
      <c r="N1670" s="72"/>
      <c r="O1670" s="16" t="str">
        <f t="shared" si="557"/>
        <v/>
      </c>
      <c r="P1670" s="16" t="str">
        <f t="shared" si="558"/>
        <v/>
      </c>
      <c r="Q1670" s="16" t="str">
        <f t="shared" si="559"/>
        <v/>
      </c>
      <c r="R1670" s="23" t="str">
        <f t="shared" si="560"/>
        <v/>
      </c>
      <c r="S1670" s="23" t="str">
        <f t="shared" si="561"/>
        <v/>
      </c>
      <c r="T1670" s="23" t="str">
        <f t="shared" si="562"/>
        <v/>
      </c>
      <c r="U1670" s="23" t="str">
        <f t="shared" si="563"/>
        <v/>
      </c>
      <c r="V1670" s="23" t="str">
        <f t="shared" si="564"/>
        <v/>
      </c>
      <c r="W1670" s="70" t="str">
        <f t="shared" si="565"/>
        <v/>
      </c>
      <c r="X1670" s="70" t="str">
        <f t="shared" si="566"/>
        <v/>
      </c>
      <c r="Y1670" s="70" t="str">
        <f>IF(AND($A1670&lt;&gt;"",$E1670&gt;0),isLaptopBag($C1670,$J1670)*$D1670,"")</f>
        <v/>
      </c>
      <c r="Z1670" s="70" t="str">
        <f t="shared" si="567"/>
        <v/>
      </c>
      <c r="AA1670" s="70" t="str">
        <f t="shared" si="568"/>
        <v/>
      </c>
      <c r="AB1670" s="70" t="str">
        <f t="shared" si="569"/>
        <v/>
      </c>
      <c r="AC1670" s="70" t="str">
        <f t="shared" si="570"/>
        <v/>
      </c>
      <c r="AD1670" s="70" t="str">
        <f t="shared" si="571"/>
        <v/>
      </c>
      <c r="AE1670" s="70" t="str">
        <f t="shared" si="572"/>
        <v/>
      </c>
      <c r="AF1670" s="16"/>
      <c r="AG1670" s="23"/>
      <c r="AH1670" s="22"/>
      <c r="AJ1670" s="83">
        <f t="shared" si="573"/>
        <v>0</v>
      </c>
      <c r="AO1670" s="22" t="str">
        <f t="shared" si="574"/>
        <v/>
      </c>
      <c r="AP1670" s="22" t="str">
        <f t="shared" si="575"/>
        <v/>
      </c>
    </row>
    <row r="1671" spans="1:42" x14ac:dyDescent="0.25">
      <c r="A1671" s="10"/>
      <c r="B1671" s="10"/>
      <c r="C1671" s="10"/>
      <c r="D1671" s="10"/>
      <c r="E1671" s="10"/>
      <c r="F1671" s="10"/>
      <c r="G1671" s="10"/>
      <c r="H1671" s="17"/>
      <c r="I1671" s="10"/>
      <c r="J1671" s="10"/>
      <c r="K1671" s="16" t="str">
        <f t="shared" si="554"/>
        <v/>
      </c>
      <c r="L1671" s="23" t="str">
        <f t="shared" si="555"/>
        <v/>
      </c>
      <c r="M1671" s="22" t="str">
        <f t="shared" si="556"/>
        <v/>
      </c>
      <c r="N1671" s="72"/>
      <c r="O1671" s="16" t="str">
        <f t="shared" si="557"/>
        <v/>
      </c>
      <c r="P1671" s="16" t="str">
        <f t="shared" si="558"/>
        <v/>
      </c>
      <c r="Q1671" s="16" t="str">
        <f t="shared" si="559"/>
        <v/>
      </c>
      <c r="R1671" s="23" t="str">
        <f t="shared" si="560"/>
        <v/>
      </c>
      <c r="S1671" s="23" t="str">
        <f t="shared" si="561"/>
        <v/>
      </c>
      <c r="T1671" s="23" t="str">
        <f t="shared" si="562"/>
        <v/>
      </c>
      <c r="U1671" s="23" t="str">
        <f t="shared" si="563"/>
        <v/>
      </c>
      <c r="V1671" s="23" t="str">
        <f t="shared" si="564"/>
        <v/>
      </c>
      <c r="W1671" s="70" t="str">
        <f t="shared" si="565"/>
        <v/>
      </c>
      <c r="X1671" s="70" t="str">
        <f t="shared" si="566"/>
        <v/>
      </c>
      <c r="Y1671" s="70" t="str">
        <f>IF(AND($A1671&lt;&gt;"",$E1671&gt;0),isLaptopBag($C1671,$J1671)*$D1671,"")</f>
        <v/>
      </c>
      <c r="Z1671" s="70" t="str">
        <f t="shared" si="567"/>
        <v/>
      </c>
      <c r="AA1671" s="70" t="str">
        <f t="shared" si="568"/>
        <v/>
      </c>
      <c r="AB1671" s="70" t="str">
        <f t="shared" si="569"/>
        <v/>
      </c>
      <c r="AC1671" s="70" t="str">
        <f t="shared" si="570"/>
        <v/>
      </c>
      <c r="AD1671" s="70" t="str">
        <f t="shared" si="571"/>
        <v/>
      </c>
      <c r="AE1671" s="70" t="str">
        <f t="shared" si="572"/>
        <v/>
      </c>
      <c r="AF1671" s="16"/>
      <c r="AG1671" s="23"/>
      <c r="AH1671" s="22"/>
      <c r="AJ1671" s="83">
        <f t="shared" si="573"/>
        <v>0</v>
      </c>
      <c r="AO1671" s="22" t="str">
        <f t="shared" si="574"/>
        <v/>
      </c>
      <c r="AP1671" s="22" t="str">
        <f t="shared" si="575"/>
        <v/>
      </c>
    </row>
    <row r="1672" spans="1:42" x14ac:dyDescent="0.25">
      <c r="A1672" s="10"/>
      <c r="B1672" s="10"/>
      <c r="C1672" s="10"/>
      <c r="D1672" s="10"/>
      <c r="E1672" s="10"/>
      <c r="F1672" s="10"/>
      <c r="G1672" s="10"/>
      <c r="H1672" s="17"/>
      <c r="I1672" s="10"/>
      <c r="J1672" s="10"/>
      <c r="K1672" s="16" t="str">
        <f t="shared" si="554"/>
        <v/>
      </c>
      <c r="L1672" s="23" t="str">
        <f t="shared" si="555"/>
        <v/>
      </c>
      <c r="M1672" s="22" t="str">
        <f t="shared" si="556"/>
        <v/>
      </c>
      <c r="N1672" s="72"/>
      <c r="O1672" s="16" t="str">
        <f t="shared" si="557"/>
        <v/>
      </c>
      <c r="P1672" s="16" t="str">
        <f t="shared" si="558"/>
        <v/>
      </c>
      <c r="Q1672" s="16" t="str">
        <f t="shared" si="559"/>
        <v/>
      </c>
      <c r="R1672" s="23" t="str">
        <f t="shared" si="560"/>
        <v/>
      </c>
      <c r="S1672" s="23" t="str">
        <f t="shared" si="561"/>
        <v/>
      </c>
      <c r="T1672" s="23" t="str">
        <f t="shared" si="562"/>
        <v/>
      </c>
      <c r="U1672" s="23" t="str">
        <f t="shared" si="563"/>
        <v/>
      </c>
      <c r="V1672" s="23" t="str">
        <f t="shared" si="564"/>
        <v/>
      </c>
      <c r="W1672" s="70" t="str">
        <f t="shared" si="565"/>
        <v/>
      </c>
      <c r="X1672" s="70" t="str">
        <f t="shared" si="566"/>
        <v/>
      </c>
      <c r="Y1672" s="70" t="str">
        <f>IF(AND($A1672&lt;&gt;"",$E1672&gt;0),isLaptopBag($C1672,$J1672)*$D1672,"")</f>
        <v/>
      </c>
      <c r="Z1672" s="70" t="str">
        <f t="shared" si="567"/>
        <v/>
      </c>
      <c r="AA1672" s="70" t="str">
        <f t="shared" si="568"/>
        <v/>
      </c>
      <c r="AB1672" s="70" t="str">
        <f t="shared" si="569"/>
        <v/>
      </c>
      <c r="AC1672" s="70" t="str">
        <f t="shared" si="570"/>
        <v/>
      </c>
      <c r="AD1672" s="70" t="str">
        <f t="shared" si="571"/>
        <v/>
      </c>
      <c r="AE1672" s="70" t="str">
        <f t="shared" si="572"/>
        <v/>
      </c>
      <c r="AF1672" s="16"/>
      <c r="AG1672" s="23"/>
      <c r="AH1672" s="22"/>
      <c r="AJ1672" s="83">
        <f t="shared" si="573"/>
        <v>0</v>
      </c>
      <c r="AO1672" s="22" t="str">
        <f t="shared" si="574"/>
        <v/>
      </c>
      <c r="AP1672" s="22" t="str">
        <f t="shared" si="575"/>
        <v/>
      </c>
    </row>
    <row r="1673" spans="1:42" x14ac:dyDescent="0.25">
      <c r="A1673" s="10"/>
      <c r="B1673" s="10"/>
      <c r="C1673" s="10"/>
      <c r="D1673" s="10"/>
      <c r="E1673" s="10"/>
      <c r="F1673" s="10"/>
      <c r="G1673" s="10"/>
      <c r="H1673" s="17"/>
      <c r="I1673" s="10"/>
      <c r="J1673" s="10"/>
      <c r="K1673" s="16" t="str">
        <f t="shared" si="554"/>
        <v/>
      </c>
      <c r="L1673" s="23" t="str">
        <f t="shared" si="555"/>
        <v/>
      </c>
      <c r="M1673" s="22" t="str">
        <f t="shared" si="556"/>
        <v/>
      </c>
      <c r="N1673" s="72"/>
      <c r="O1673" s="16" t="str">
        <f t="shared" si="557"/>
        <v/>
      </c>
      <c r="P1673" s="16" t="str">
        <f t="shared" si="558"/>
        <v/>
      </c>
      <c r="Q1673" s="16" t="str">
        <f t="shared" si="559"/>
        <v/>
      </c>
      <c r="R1673" s="23" t="str">
        <f t="shared" si="560"/>
        <v/>
      </c>
      <c r="S1673" s="23" t="str">
        <f t="shared" si="561"/>
        <v/>
      </c>
      <c r="T1673" s="23" t="str">
        <f t="shared" si="562"/>
        <v/>
      </c>
      <c r="U1673" s="23" t="str">
        <f t="shared" si="563"/>
        <v/>
      </c>
      <c r="V1673" s="23" t="str">
        <f t="shared" si="564"/>
        <v/>
      </c>
      <c r="W1673" s="70" t="str">
        <f t="shared" si="565"/>
        <v/>
      </c>
      <c r="X1673" s="70" t="str">
        <f t="shared" si="566"/>
        <v/>
      </c>
      <c r="Y1673" s="70" t="str">
        <f>IF(AND($A1673&lt;&gt;"",$E1673&gt;0),isLaptopBag($C1673,$J1673)*$D1673,"")</f>
        <v/>
      </c>
      <c r="Z1673" s="70" t="str">
        <f t="shared" si="567"/>
        <v/>
      </c>
      <c r="AA1673" s="70" t="str">
        <f t="shared" si="568"/>
        <v/>
      </c>
      <c r="AB1673" s="70" t="str">
        <f t="shared" si="569"/>
        <v/>
      </c>
      <c r="AC1673" s="70" t="str">
        <f t="shared" si="570"/>
        <v/>
      </c>
      <c r="AD1673" s="70" t="str">
        <f t="shared" si="571"/>
        <v/>
      </c>
      <c r="AE1673" s="70" t="str">
        <f t="shared" si="572"/>
        <v/>
      </c>
      <c r="AF1673" s="16"/>
      <c r="AG1673" s="23"/>
      <c r="AH1673" s="22"/>
      <c r="AJ1673" s="83">
        <f t="shared" si="573"/>
        <v>0</v>
      </c>
      <c r="AO1673" s="22" t="str">
        <f t="shared" si="574"/>
        <v/>
      </c>
      <c r="AP1673" s="22" t="str">
        <f t="shared" si="575"/>
        <v/>
      </c>
    </row>
    <row r="1674" spans="1:42" x14ac:dyDescent="0.25">
      <c r="A1674" s="10"/>
      <c r="B1674" s="10"/>
      <c r="C1674" s="10"/>
      <c r="D1674" s="10"/>
      <c r="E1674" s="10"/>
      <c r="F1674" s="10"/>
      <c r="G1674" s="10"/>
      <c r="H1674" s="17"/>
      <c r="I1674" s="10"/>
      <c r="J1674" s="10"/>
      <c r="K1674" s="16" t="str">
        <f t="shared" si="554"/>
        <v/>
      </c>
      <c r="L1674" s="23" t="str">
        <f t="shared" si="555"/>
        <v/>
      </c>
      <c r="M1674" s="22" t="str">
        <f t="shared" si="556"/>
        <v/>
      </c>
      <c r="N1674" s="72"/>
      <c r="O1674" s="16" t="str">
        <f t="shared" si="557"/>
        <v/>
      </c>
      <c r="P1674" s="16" t="str">
        <f t="shared" si="558"/>
        <v/>
      </c>
      <c r="Q1674" s="16" t="str">
        <f t="shared" si="559"/>
        <v/>
      </c>
      <c r="R1674" s="23" t="str">
        <f t="shared" si="560"/>
        <v/>
      </c>
      <c r="S1674" s="23" t="str">
        <f t="shared" si="561"/>
        <v/>
      </c>
      <c r="T1674" s="23" t="str">
        <f t="shared" si="562"/>
        <v/>
      </c>
      <c r="U1674" s="23" t="str">
        <f t="shared" si="563"/>
        <v/>
      </c>
      <c r="V1674" s="23" t="str">
        <f t="shared" si="564"/>
        <v/>
      </c>
      <c r="W1674" s="70" t="str">
        <f t="shared" si="565"/>
        <v/>
      </c>
      <c r="X1674" s="70" t="str">
        <f t="shared" si="566"/>
        <v/>
      </c>
      <c r="Y1674" s="70" t="str">
        <f>IF(AND($A1674&lt;&gt;"",$E1674&gt;0),isLaptopBag($C1674,$J1674)*$D1674,"")</f>
        <v/>
      </c>
      <c r="Z1674" s="70" t="str">
        <f t="shared" si="567"/>
        <v/>
      </c>
      <c r="AA1674" s="70" t="str">
        <f t="shared" si="568"/>
        <v/>
      </c>
      <c r="AB1674" s="70" t="str">
        <f t="shared" si="569"/>
        <v/>
      </c>
      <c r="AC1674" s="70" t="str">
        <f t="shared" si="570"/>
        <v/>
      </c>
      <c r="AD1674" s="70" t="str">
        <f t="shared" si="571"/>
        <v/>
      </c>
      <c r="AE1674" s="70" t="str">
        <f t="shared" si="572"/>
        <v/>
      </c>
      <c r="AF1674" s="16"/>
      <c r="AG1674" s="23"/>
      <c r="AH1674" s="22"/>
      <c r="AJ1674" s="83">
        <f t="shared" si="573"/>
        <v>0</v>
      </c>
      <c r="AO1674" s="22" t="str">
        <f t="shared" si="574"/>
        <v/>
      </c>
      <c r="AP1674" s="22" t="str">
        <f t="shared" si="575"/>
        <v/>
      </c>
    </row>
    <row r="1675" spans="1:42" x14ac:dyDescent="0.25">
      <c r="A1675" s="10"/>
      <c r="B1675" s="10"/>
      <c r="C1675" s="10"/>
      <c r="D1675" s="10"/>
      <c r="E1675" s="10"/>
      <c r="F1675" s="10"/>
      <c r="G1675" s="10"/>
      <c r="H1675" s="17"/>
      <c r="I1675" s="10"/>
      <c r="J1675" s="10"/>
      <c r="K1675" s="16" t="str">
        <f t="shared" si="554"/>
        <v/>
      </c>
      <c r="L1675" s="23" t="str">
        <f t="shared" si="555"/>
        <v/>
      </c>
      <c r="M1675" s="22" t="str">
        <f t="shared" si="556"/>
        <v/>
      </c>
      <c r="N1675" s="72"/>
      <c r="O1675" s="16" t="str">
        <f t="shared" si="557"/>
        <v/>
      </c>
      <c r="P1675" s="16" t="str">
        <f t="shared" si="558"/>
        <v/>
      </c>
      <c r="Q1675" s="16" t="str">
        <f t="shared" si="559"/>
        <v/>
      </c>
      <c r="R1675" s="23" t="str">
        <f t="shared" si="560"/>
        <v/>
      </c>
      <c r="S1675" s="23" t="str">
        <f t="shared" si="561"/>
        <v/>
      </c>
      <c r="T1675" s="23" t="str">
        <f t="shared" si="562"/>
        <v/>
      </c>
      <c r="U1675" s="23" t="str">
        <f t="shared" si="563"/>
        <v/>
      </c>
      <c r="V1675" s="23" t="str">
        <f t="shared" si="564"/>
        <v/>
      </c>
      <c r="W1675" s="70" t="str">
        <f t="shared" si="565"/>
        <v/>
      </c>
      <c r="X1675" s="70" t="str">
        <f t="shared" si="566"/>
        <v/>
      </c>
      <c r="Y1675" s="70" t="str">
        <f>IF(AND($A1675&lt;&gt;"",$E1675&gt;0),isLaptopBag($C1675,$J1675)*$D1675,"")</f>
        <v/>
      </c>
      <c r="Z1675" s="70" t="str">
        <f t="shared" si="567"/>
        <v/>
      </c>
      <c r="AA1675" s="70" t="str">
        <f t="shared" si="568"/>
        <v/>
      </c>
      <c r="AB1675" s="70" t="str">
        <f t="shared" si="569"/>
        <v/>
      </c>
      <c r="AC1675" s="70" t="str">
        <f t="shared" si="570"/>
        <v/>
      </c>
      <c r="AD1675" s="70" t="str">
        <f t="shared" si="571"/>
        <v/>
      </c>
      <c r="AE1675" s="70" t="str">
        <f t="shared" si="572"/>
        <v/>
      </c>
      <c r="AF1675" s="16"/>
      <c r="AG1675" s="23"/>
      <c r="AH1675" s="22"/>
      <c r="AJ1675" s="83">
        <f t="shared" si="573"/>
        <v>0</v>
      </c>
      <c r="AO1675" s="22" t="str">
        <f t="shared" si="574"/>
        <v/>
      </c>
      <c r="AP1675" s="22" t="str">
        <f t="shared" si="575"/>
        <v/>
      </c>
    </row>
    <row r="1676" spans="1:42" x14ac:dyDescent="0.25">
      <c r="A1676" s="10"/>
      <c r="B1676" s="10"/>
      <c r="C1676" s="10"/>
      <c r="D1676" s="10"/>
      <c r="E1676" s="10"/>
      <c r="F1676" s="10"/>
      <c r="G1676" s="10"/>
      <c r="H1676" s="17"/>
      <c r="I1676" s="10"/>
      <c r="J1676" s="10"/>
      <c r="K1676" s="16" t="str">
        <f t="shared" si="554"/>
        <v/>
      </c>
      <c r="L1676" s="23" t="str">
        <f t="shared" si="555"/>
        <v/>
      </c>
      <c r="M1676" s="22" t="str">
        <f t="shared" si="556"/>
        <v/>
      </c>
      <c r="N1676" s="72"/>
      <c r="O1676" s="16" t="str">
        <f t="shared" si="557"/>
        <v/>
      </c>
      <c r="P1676" s="16" t="str">
        <f t="shared" si="558"/>
        <v/>
      </c>
      <c r="Q1676" s="16" t="str">
        <f t="shared" si="559"/>
        <v/>
      </c>
      <c r="R1676" s="23" t="str">
        <f t="shared" si="560"/>
        <v/>
      </c>
      <c r="S1676" s="23" t="str">
        <f t="shared" si="561"/>
        <v/>
      </c>
      <c r="T1676" s="23" t="str">
        <f t="shared" si="562"/>
        <v/>
      </c>
      <c r="U1676" s="23" t="str">
        <f t="shared" si="563"/>
        <v/>
      </c>
      <c r="V1676" s="23" t="str">
        <f t="shared" si="564"/>
        <v/>
      </c>
      <c r="W1676" s="70" t="str">
        <f t="shared" si="565"/>
        <v/>
      </c>
      <c r="X1676" s="70" t="str">
        <f t="shared" si="566"/>
        <v/>
      </c>
      <c r="Y1676" s="70" t="str">
        <f>IF(AND($A1676&lt;&gt;"",$E1676&gt;0),isLaptopBag($C1676,$J1676)*$D1676,"")</f>
        <v/>
      </c>
      <c r="Z1676" s="70" t="str">
        <f t="shared" si="567"/>
        <v/>
      </c>
      <c r="AA1676" s="70" t="str">
        <f t="shared" si="568"/>
        <v/>
      </c>
      <c r="AB1676" s="70" t="str">
        <f t="shared" si="569"/>
        <v/>
      </c>
      <c r="AC1676" s="70" t="str">
        <f t="shared" si="570"/>
        <v/>
      </c>
      <c r="AD1676" s="70" t="str">
        <f t="shared" si="571"/>
        <v/>
      </c>
      <c r="AE1676" s="70" t="str">
        <f t="shared" si="572"/>
        <v/>
      </c>
      <c r="AF1676" s="16"/>
      <c r="AG1676" s="23"/>
      <c r="AH1676" s="22"/>
      <c r="AJ1676" s="83">
        <f t="shared" si="573"/>
        <v>0</v>
      </c>
      <c r="AO1676" s="22" t="str">
        <f t="shared" si="574"/>
        <v/>
      </c>
      <c r="AP1676" s="22" t="str">
        <f t="shared" si="575"/>
        <v/>
      </c>
    </row>
    <row r="1677" spans="1:42" x14ac:dyDescent="0.25">
      <c r="A1677" s="10"/>
      <c r="B1677" s="10"/>
      <c r="C1677" s="10"/>
      <c r="D1677" s="10"/>
      <c r="E1677" s="10"/>
      <c r="F1677" s="10"/>
      <c r="G1677" s="10"/>
      <c r="H1677" s="17"/>
      <c r="I1677" s="10"/>
      <c r="J1677" s="10"/>
      <c r="K1677" s="16" t="str">
        <f t="shared" ref="K1677:K1740" si="576">IF($AF1677&lt;&gt;"",$AF1677,IF(AND($A1677&lt;&gt;"",$E1677&gt;0),SUM($O1677:$Q1677),""))</f>
        <v/>
      </c>
      <c r="L1677" s="23" t="str">
        <f t="shared" ref="L1677:L1740" si="577">IF($AG1677&lt;&gt;"",$AG1677,IF(AND($A1677&lt;&gt;"",$E1677&gt;0),SUM($R1677:$V1677),""))</f>
        <v/>
      </c>
      <c r="M1677" s="22" t="str">
        <f t="shared" ref="M1677:M1740" si="578">IF($AH1677&lt;&gt;"",$AH1677,IF(AND($A1677&lt;&gt;"",$E1677&gt;0),SUM($W1677:$AE1677)+$AO1677+$AP1677,""))</f>
        <v/>
      </c>
      <c r="N1677" s="72"/>
      <c r="O1677" s="16" t="str">
        <f t="shared" ref="O1677:O1740" si="579">IF(AND($A1677&lt;&gt;"",$E1677&gt;0),IF(AND($J1677="SONY",200000&lt;=$E1677,$E1677&lt;1000000),5000*$D1677,0),"")</f>
        <v/>
      </c>
      <c r="P1677" s="16" t="str">
        <f t="shared" ref="P1677:P1740" si="580">IF(AND($A1677&lt;&gt;"",$E1677&gt;0),IF(AND($J1677="SONY",1000000&lt;=$E1677,$E1677&lt;2000000),10000*$D1677,0),"")</f>
        <v/>
      </c>
      <c r="Q1677" s="16" t="str">
        <f t="shared" ref="Q1677:Q1740" si="581">IF(AND($A1677&lt;&gt;"",$E1677&gt;0),IF(AND($J1677="SONY",$E1677&gt;=2000000),20000*$D1677,0),"")</f>
        <v/>
      </c>
      <c r="R1677" s="23" t="str">
        <f t="shared" ref="R1677:R1740" si="582">IF(AND($A1677&lt;&gt;"",$E1677&gt;0),IF(AND($J1677&lt;&gt;"SONY",100000&lt;=$E1677,$E1677&lt;200000),5000*$D1677,0),"")</f>
        <v/>
      </c>
      <c r="S1677" s="23" t="str">
        <f t="shared" ref="S1677:S1740" si="583">IF(AND($A1677&lt;&gt;"",$E1677&gt;0),IF(AND($J1677&lt;&gt;"SONY",200000&lt;=$E1677,$E1677&lt;500000),10000*$D1677,0),"")</f>
        <v/>
      </c>
      <c r="T1677" s="23" t="str">
        <f t="shared" ref="T1677:T1740" si="584">IF(AND($A1677&lt;&gt;"",$E1677&gt;0),IF(AND($J1677&lt;&gt;"SONY",500000&lt;=$E1677,$E1677&lt;1000000),20000*$D1677,0),"")</f>
        <v/>
      </c>
      <c r="U1677" s="23" t="str">
        <f t="shared" ref="U1677:U1740" si="585">IF(AND($A1677&lt;&gt;"",$E1677&gt;0),IF(AND($J1677&lt;&gt;"SONY",1000000&lt;=$E1677,$E1677&lt;1500000),50000*$D1677,0),"")</f>
        <v/>
      </c>
      <c r="V1677" s="23" t="str">
        <f t="shared" ref="V1677:V1740" si="586">IF(AND($A1677&lt;&gt;"",$E1677&gt;0),IF(AND($J1677&lt;&gt;"SONY",1500000&lt;=$E1677),100000*$D1677,0),"")</f>
        <v/>
      </c>
      <c r="W1677" s="70" t="str">
        <f t="shared" ref="W1677:W1740" si="587">IF(AND($E1677&gt;0,$J1677="ELECOM",$E1677&gt;=500000,ISNUMBER(SEARCH("tai nghe",$C1677))),20000*$D1677,IF($A1677&lt;&gt;"",0,""))</f>
        <v/>
      </c>
      <c r="X1677" s="70" t="str">
        <f t="shared" ref="X1677:X1740" si="588">IF(AND($E1677&gt;0,$J1677="ELECOM",ISNUMBER(SEARCH("loa",$C1677))),20000*$D1677,IF($A1677&lt;&gt;"",0,""))</f>
        <v/>
      </c>
      <c r="Y1677" s="70" t="str">
        <f>IF(AND($A1677&lt;&gt;"",$E1677&gt;0),isLaptopBag($C1677,$J1677)*$D1677,"")</f>
        <v/>
      </c>
      <c r="Z1677" s="70" t="str">
        <f t="shared" ref="Z1677:Z1740" si="589">IF(AND($E1677&gt;0,$J1677="ELECOM",ISNUMBER(SEARCH("ốp",$C1677))),20000*$D1677,IF($A1677&lt;&gt;"",0,""))</f>
        <v/>
      </c>
      <c r="AA1677" s="70" t="str">
        <f t="shared" ref="AA1677:AA1740" si="590">IF(AND($E1677&gt;0,$J1677="ELECOM",ISNUMBER(SEARCH("Bút",$C1677))),20000*$D1677,IF($A1677&lt;&gt;"",0,""))</f>
        <v/>
      </c>
      <c r="AB1677" s="70" t="str">
        <f t="shared" ref="AB1677:AB1740" si="591">IF(AND($E1677&gt;0,$J1677="ELECOM",ISNUMBER(SEARCH("Chuột bi",$C1677))),20000*$D1677,IF($A1677&lt;&gt;"",0,""))</f>
        <v/>
      </c>
      <c r="AC1677" s="70" t="str">
        <f t="shared" ref="AC1677:AC1740" si="592">IF(AND($E1677&gt;0,$J1677="ELECOM",ISNUMBER(SEARCH("Chuột trackball",$C1677))),20000*$D1677,IF($A1677&lt;&gt;"",0,""))</f>
        <v/>
      </c>
      <c r="AD1677" s="70" t="str">
        <f t="shared" ref="AD1677:AD1740" si="593">IF(AND($E1677&gt;0,$J1677="ELECOM",ISNUMBER(SEARCH("Sạc không dây",$C1677))),20000*$D1677,IF($A1677&lt;&gt;"",0,""))</f>
        <v/>
      </c>
      <c r="AE1677" s="70" t="str">
        <f t="shared" ref="AE1677:AE1740" si="594">IF(AND($E1677&gt;0,$J1677="ELECOM",ISNUMBER(SEARCH("Sạc kd",$C1677))),20000*$D1677,IF($A1677&lt;&gt;"",0,""))</f>
        <v/>
      </c>
      <c r="AF1677" s="16"/>
      <c r="AG1677" s="23"/>
      <c r="AH1677" s="22"/>
      <c r="AJ1677" s="83">
        <f t="shared" ref="AJ1677:AJ1740" si="595">DAY(H1677)</f>
        <v>0</v>
      </c>
      <c r="AO1677" s="22" t="str">
        <f t="shared" ref="AO1677:AO1740" si="596">IF(AND($E1677&gt;0,ISNUMBER(SEARCH("Sạc dự phòng Energizer",$C1677))),10000*$D1677,IF($A1677&lt;&gt;"",0,""))</f>
        <v/>
      </c>
      <c r="AP1677" s="22" t="str">
        <f t="shared" ref="AP1677:AP1740" si="597">IF(AND($E1677&gt;0,ISNUMBER(SEARCH("SDP Energizer",$C1677))),10000*$D1677,IF($A1677&lt;&gt;"",0,""))</f>
        <v/>
      </c>
    </row>
    <row r="1678" spans="1:42" x14ac:dyDescent="0.25">
      <c r="A1678" s="10"/>
      <c r="B1678" s="10"/>
      <c r="C1678" s="10"/>
      <c r="D1678" s="10"/>
      <c r="E1678" s="10"/>
      <c r="F1678" s="10"/>
      <c r="G1678" s="10"/>
      <c r="H1678" s="17"/>
      <c r="I1678" s="10"/>
      <c r="J1678" s="10"/>
      <c r="K1678" s="16" t="str">
        <f t="shared" si="576"/>
        <v/>
      </c>
      <c r="L1678" s="23" t="str">
        <f t="shared" si="577"/>
        <v/>
      </c>
      <c r="M1678" s="22" t="str">
        <f t="shared" si="578"/>
        <v/>
      </c>
      <c r="N1678" s="72"/>
      <c r="O1678" s="16" t="str">
        <f t="shared" si="579"/>
        <v/>
      </c>
      <c r="P1678" s="16" t="str">
        <f t="shared" si="580"/>
        <v/>
      </c>
      <c r="Q1678" s="16" t="str">
        <f t="shared" si="581"/>
        <v/>
      </c>
      <c r="R1678" s="23" t="str">
        <f t="shared" si="582"/>
        <v/>
      </c>
      <c r="S1678" s="23" t="str">
        <f t="shared" si="583"/>
        <v/>
      </c>
      <c r="T1678" s="23" t="str">
        <f t="shared" si="584"/>
        <v/>
      </c>
      <c r="U1678" s="23" t="str">
        <f t="shared" si="585"/>
        <v/>
      </c>
      <c r="V1678" s="23" t="str">
        <f t="shared" si="586"/>
        <v/>
      </c>
      <c r="W1678" s="70" t="str">
        <f t="shared" si="587"/>
        <v/>
      </c>
      <c r="X1678" s="70" t="str">
        <f t="shared" si="588"/>
        <v/>
      </c>
      <c r="Y1678" s="70" t="str">
        <f>IF(AND($A1678&lt;&gt;"",$E1678&gt;0),isLaptopBag($C1678,$J1678)*$D1678,"")</f>
        <v/>
      </c>
      <c r="Z1678" s="70" t="str">
        <f t="shared" si="589"/>
        <v/>
      </c>
      <c r="AA1678" s="70" t="str">
        <f t="shared" si="590"/>
        <v/>
      </c>
      <c r="AB1678" s="70" t="str">
        <f t="shared" si="591"/>
        <v/>
      </c>
      <c r="AC1678" s="70" t="str">
        <f t="shared" si="592"/>
        <v/>
      </c>
      <c r="AD1678" s="70" t="str">
        <f t="shared" si="593"/>
        <v/>
      </c>
      <c r="AE1678" s="70" t="str">
        <f t="shared" si="594"/>
        <v/>
      </c>
      <c r="AF1678" s="16"/>
      <c r="AG1678" s="23"/>
      <c r="AH1678" s="22"/>
      <c r="AJ1678" s="83">
        <f t="shared" si="595"/>
        <v>0</v>
      </c>
      <c r="AO1678" s="22" t="str">
        <f t="shared" si="596"/>
        <v/>
      </c>
      <c r="AP1678" s="22" t="str">
        <f t="shared" si="597"/>
        <v/>
      </c>
    </row>
    <row r="1679" spans="1:42" x14ac:dyDescent="0.25">
      <c r="A1679" s="10"/>
      <c r="B1679" s="10"/>
      <c r="C1679" s="10"/>
      <c r="D1679" s="10"/>
      <c r="E1679" s="10"/>
      <c r="F1679" s="10"/>
      <c r="G1679" s="10"/>
      <c r="H1679" s="17"/>
      <c r="I1679" s="10"/>
      <c r="J1679" s="10"/>
      <c r="K1679" s="16" t="str">
        <f t="shared" si="576"/>
        <v/>
      </c>
      <c r="L1679" s="23" t="str">
        <f t="shared" si="577"/>
        <v/>
      </c>
      <c r="M1679" s="22" t="str">
        <f t="shared" si="578"/>
        <v/>
      </c>
      <c r="N1679" s="72"/>
      <c r="O1679" s="16" t="str">
        <f t="shared" si="579"/>
        <v/>
      </c>
      <c r="P1679" s="16" t="str">
        <f t="shared" si="580"/>
        <v/>
      </c>
      <c r="Q1679" s="16" t="str">
        <f t="shared" si="581"/>
        <v/>
      </c>
      <c r="R1679" s="23" t="str">
        <f t="shared" si="582"/>
        <v/>
      </c>
      <c r="S1679" s="23" t="str">
        <f t="shared" si="583"/>
        <v/>
      </c>
      <c r="T1679" s="23" t="str">
        <f t="shared" si="584"/>
        <v/>
      </c>
      <c r="U1679" s="23" t="str">
        <f t="shared" si="585"/>
        <v/>
      </c>
      <c r="V1679" s="23" t="str">
        <f t="shared" si="586"/>
        <v/>
      </c>
      <c r="W1679" s="70" t="str">
        <f t="shared" si="587"/>
        <v/>
      </c>
      <c r="X1679" s="70" t="str">
        <f t="shared" si="588"/>
        <v/>
      </c>
      <c r="Y1679" s="70" t="str">
        <f>IF(AND($A1679&lt;&gt;"",$E1679&gt;0),isLaptopBag($C1679,$J1679)*$D1679,"")</f>
        <v/>
      </c>
      <c r="Z1679" s="70" t="str">
        <f t="shared" si="589"/>
        <v/>
      </c>
      <c r="AA1679" s="70" t="str">
        <f t="shared" si="590"/>
        <v/>
      </c>
      <c r="AB1679" s="70" t="str">
        <f t="shared" si="591"/>
        <v/>
      </c>
      <c r="AC1679" s="70" t="str">
        <f t="shared" si="592"/>
        <v/>
      </c>
      <c r="AD1679" s="70" t="str">
        <f t="shared" si="593"/>
        <v/>
      </c>
      <c r="AE1679" s="70" t="str">
        <f t="shared" si="594"/>
        <v/>
      </c>
      <c r="AF1679" s="16"/>
      <c r="AG1679" s="23"/>
      <c r="AH1679" s="22"/>
      <c r="AJ1679" s="83">
        <f t="shared" si="595"/>
        <v>0</v>
      </c>
      <c r="AO1679" s="22" t="str">
        <f t="shared" si="596"/>
        <v/>
      </c>
      <c r="AP1679" s="22" t="str">
        <f t="shared" si="597"/>
        <v/>
      </c>
    </row>
    <row r="1680" spans="1:42" x14ac:dyDescent="0.25">
      <c r="A1680" s="10"/>
      <c r="B1680" s="10"/>
      <c r="C1680" s="10"/>
      <c r="D1680" s="10"/>
      <c r="E1680" s="10"/>
      <c r="F1680" s="10"/>
      <c r="G1680" s="10"/>
      <c r="H1680" s="17"/>
      <c r="I1680" s="10"/>
      <c r="J1680" s="10"/>
      <c r="K1680" s="16" t="str">
        <f t="shared" si="576"/>
        <v/>
      </c>
      <c r="L1680" s="23" t="str">
        <f t="shared" si="577"/>
        <v/>
      </c>
      <c r="M1680" s="22" t="str">
        <f t="shared" si="578"/>
        <v/>
      </c>
      <c r="N1680" s="72"/>
      <c r="O1680" s="16" t="str">
        <f t="shared" si="579"/>
        <v/>
      </c>
      <c r="P1680" s="16" t="str">
        <f t="shared" si="580"/>
        <v/>
      </c>
      <c r="Q1680" s="16" t="str">
        <f t="shared" si="581"/>
        <v/>
      </c>
      <c r="R1680" s="23" t="str">
        <f t="shared" si="582"/>
        <v/>
      </c>
      <c r="S1680" s="23" t="str">
        <f t="shared" si="583"/>
        <v/>
      </c>
      <c r="T1680" s="23" t="str">
        <f t="shared" si="584"/>
        <v/>
      </c>
      <c r="U1680" s="23" t="str">
        <f t="shared" si="585"/>
        <v/>
      </c>
      <c r="V1680" s="23" t="str">
        <f t="shared" si="586"/>
        <v/>
      </c>
      <c r="W1680" s="70" t="str">
        <f t="shared" si="587"/>
        <v/>
      </c>
      <c r="X1680" s="70" t="str">
        <f t="shared" si="588"/>
        <v/>
      </c>
      <c r="Y1680" s="70" t="str">
        <f>IF(AND($A1680&lt;&gt;"",$E1680&gt;0),isLaptopBag($C1680,$J1680)*$D1680,"")</f>
        <v/>
      </c>
      <c r="Z1680" s="70" t="str">
        <f t="shared" si="589"/>
        <v/>
      </c>
      <c r="AA1680" s="70" t="str">
        <f t="shared" si="590"/>
        <v/>
      </c>
      <c r="AB1680" s="70" t="str">
        <f t="shared" si="591"/>
        <v/>
      </c>
      <c r="AC1680" s="70" t="str">
        <f t="shared" si="592"/>
        <v/>
      </c>
      <c r="AD1680" s="70" t="str">
        <f t="shared" si="593"/>
        <v/>
      </c>
      <c r="AE1680" s="70" t="str">
        <f t="shared" si="594"/>
        <v/>
      </c>
      <c r="AF1680" s="16"/>
      <c r="AG1680" s="23"/>
      <c r="AH1680" s="22"/>
      <c r="AJ1680" s="83">
        <f t="shared" si="595"/>
        <v>0</v>
      </c>
      <c r="AO1680" s="22" t="str">
        <f t="shared" si="596"/>
        <v/>
      </c>
      <c r="AP1680" s="22" t="str">
        <f t="shared" si="597"/>
        <v/>
      </c>
    </row>
    <row r="1681" spans="1:42" x14ac:dyDescent="0.25">
      <c r="A1681" s="10"/>
      <c r="B1681" s="10"/>
      <c r="C1681" s="10"/>
      <c r="D1681" s="10"/>
      <c r="E1681" s="10"/>
      <c r="F1681" s="10"/>
      <c r="G1681" s="10"/>
      <c r="H1681" s="17"/>
      <c r="I1681" s="10"/>
      <c r="J1681" s="10"/>
      <c r="K1681" s="16" t="str">
        <f t="shared" si="576"/>
        <v/>
      </c>
      <c r="L1681" s="23" t="str">
        <f t="shared" si="577"/>
        <v/>
      </c>
      <c r="M1681" s="22" t="str">
        <f t="shared" si="578"/>
        <v/>
      </c>
      <c r="N1681" s="72"/>
      <c r="O1681" s="16" t="str">
        <f t="shared" si="579"/>
        <v/>
      </c>
      <c r="P1681" s="16" t="str">
        <f t="shared" si="580"/>
        <v/>
      </c>
      <c r="Q1681" s="16" t="str">
        <f t="shared" si="581"/>
        <v/>
      </c>
      <c r="R1681" s="23" t="str">
        <f t="shared" si="582"/>
        <v/>
      </c>
      <c r="S1681" s="23" t="str">
        <f t="shared" si="583"/>
        <v/>
      </c>
      <c r="T1681" s="23" t="str">
        <f t="shared" si="584"/>
        <v/>
      </c>
      <c r="U1681" s="23" t="str">
        <f t="shared" si="585"/>
        <v/>
      </c>
      <c r="V1681" s="23" t="str">
        <f t="shared" si="586"/>
        <v/>
      </c>
      <c r="W1681" s="70" t="str">
        <f t="shared" si="587"/>
        <v/>
      </c>
      <c r="X1681" s="70" t="str">
        <f t="shared" si="588"/>
        <v/>
      </c>
      <c r="Y1681" s="70" t="str">
        <f>IF(AND($A1681&lt;&gt;"",$E1681&gt;0),isLaptopBag($C1681,$J1681)*$D1681,"")</f>
        <v/>
      </c>
      <c r="Z1681" s="70" t="str">
        <f t="shared" si="589"/>
        <v/>
      </c>
      <c r="AA1681" s="70" t="str">
        <f t="shared" si="590"/>
        <v/>
      </c>
      <c r="AB1681" s="70" t="str">
        <f t="shared" si="591"/>
        <v/>
      </c>
      <c r="AC1681" s="70" t="str">
        <f t="shared" si="592"/>
        <v/>
      </c>
      <c r="AD1681" s="70" t="str">
        <f t="shared" si="593"/>
        <v/>
      </c>
      <c r="AE1681" s="70" t="str">
        <f t="shared" si="594"/>
        <v/>
      </c>
      <c r="AF1681" s="16"/>
      <c r="AG1681" s="23"/>
      <c r="AH1681" s="22"/>
      <c r="AJ1681" s="83">
        <f t="shared" si="595"/>
        <v>0</v>
      </c>
      <c r="AO1681" s="22" t="str">
        <f t="shared" si="596"/>
        <v/>
      </c>
      <c r="AP1681" s="22" t="str">
        <f t="shared" si="597"/>
        <v/>
      </c>
    </row>
    <row r="1682" spans="1:42" x14ac:dyDescent="0.25">
      <c r="A1682" s="10"/>
      <c r="B1682" s="10"/>
      <c r="C1682" s="10"/>
      <c r="D1682" s="10"/>
      <c r="E1682" s="10"/>
      <c r="F1682" s="10"/>
      <c r="G1682" s="10"/>
      <c r="H1682" s="17"/>
      <c r="I1682" s="10"/>
      <c r="J1682" s="10"/>
      <c r="K1682" s="16" t="str">
        <f t="shared" si="576"/>
        <v/>
      </c>
      <c r="L1682" s="23" t="str">
        <f t="shared" si="577"/>
        <v/>
      </c>
      <c r="M1682" s="22" t="str">
        <f t="shared" si="578"/>
        <v/>
      </c>
      <c r="N1682" s="72"/>
      <c r="O1682" s="16" t="str">
        <f t="shared" si="579"/>
        <v/>
      </c>
      <c r="P1682" s="16" t="str">
        <f t="shared" si="580"/>
        <v/>
      </c>
      <c r="Q1682" s="16" t="str">
        <f t="shared" si="581"/>
        <v/>
      </c>
      <c r="R1682" s="23" t="str">
        <f t="shared" si="582"/>
        <v/>
      </c>
      <c r="S1682" s="23" t="str">
        <f t="shared" si="583"/>
        <v/>
      </c>
      <c r="T1682" s="23" t="str">
        <f t="shared" si="584"/>
        <v/>
      </c>
      <c r="U1682" s="23" t="str">
        <f t="shared" si="585"/>
        <v/>
      </c>
      <c r="V1682" s="23" t="str">
        <f t="shared" si="586"/>
        <v/>
      </c>
      <c r="W1682" s="70" t="str">
        <f t="shared" si="587"/>
        <v/>
      </c>
      <c r="X1682" s="70" t="str">
        <f t="shared" si="588"/>
        <v/>
      </c>
      <c r="Y1682" s="70" t="str">
        <f>IF(AND($A1682&lt;&gt;"",$E1682&gt;0),isLaptopBag($C1682,$J1682)*$D1682,"")</f>
        <v/>
      </c>
      <c r="Z1682" s="70" t="str">
        <f t="shared" si="589"/>
        <v/>
      </c>
      <c r="AA1682" s="70" t="str">
        <f t="shared" si="590"/>
        <v/>
      </c>
      <c r="AB1682" s="70" t="str">
        <f t="shared" si="591"/>
        <v/>
      </c>
      <c r="AC1682" s="70" t="str">
        <f t="shared" si="592"/>
        <v/>
      </c>
      <c r="AD1682" s="70" t="str">
        <f t="shared" si="593"/>
        <v/>
      </c>
      <c r="AE1682" s="70" t="str">
        <f t="shared" si="594"/>
        <v/>
      </c>
      <c r="AF1682" s="16"/>
      <c r="AG1682" s="23"/>
      <c r="AH1682" s="22"/>
      <c r="AJ1682" s="83">
        <f t="shared" si="595"/>
        <v>0</v>
      </c>
      <c r="AO1682" s="22" t="str">
        <f t="shared" si="596"/>
        <v/>
      </c>
      <c r="AP1682" s="22" t="str">
        <f t="shared" si="597"/>
        <v/>
      </c>
    </row>
    <row r="1683" spans="1:42" x14ac:dyDescent="0.25">
      <c r="A1683" s="10"/>
      <c r="B1683" s="10"/>
      <c r="C1683" s="10"/>
      <c r="D1683" s="10"/>
      <c r="E1683" s="10"/>
      <c r="F1683" s="10"/>
      <c r="G1683" s="10"/>
      <c r="H1683" s="17"/>
      <c r="I1683" s="10"/>
      <c r="J1683" s="10"/>
      <c r="K1683" s="16" t="str">
        <f t="shared" si="576"/>
        <v/>
      </c>
      <c r="L1683" s="23" t="str">
        <f t="shared" si="577"/>
        <v/>
      </c>
      <c r="M1683" s="22" t="str">
        <f t="shared" si="578"/>
        <v/>
      </c>
      <c r="N1683" s="72"/>
      <c r="O1683" s="16" t="str">
        <f t="shared" si="579"/>
        <v/>
      </c>
      <c r="P1683" s="16" t="str">
        <f t="shared" si="580"/>
        <v/>
      </c>
      <c r="Q1683" s="16" t="str">
        <f t="shared" si="581"/>
        <v/>
      </c>
      <c r="R1683" s="23" t="str">
        <f t="shared" si="582"/>
        <v/>
      </c>
      <c r="S1683" s="23" t="str">
        <f t="shared" si="583"/>
        <v/>
      </c>
      <c r="T1683" s="23" t="str">
        <f t="shared" si="584"/>
        <v/>
      </c>
      <c r="U1683" s="23" t="str">
        <f t="shared" si="585"/>
        <v/>
      </c>
      <c r="V1683" s="23" t="str">
        <f t="shared" si="586"/>
        <v/>
      </c>
      <c r="W1683" s="70" t="str">
        <f t="shared" si="587"/>
        <v/>
      </c>
      <c r="X1683" s="70" t="str">
        <f t="shared" si="588"/>
        <v/>
      </c>
      <c r="Y1683" s="70" t="str">
        <f>IF(AND($A1683&lt;&gt;"",$E1683&gt;0),isLaptopBag($C1683,$J1683)*$D1683,"")</f>
        <v/>
      </c>
      <c r="Z1683" s="70" t="str">
        <f t="shared" si="589"/>
        <v/>
      </c>
      <c r="AA1683" s="70" t="str">
        <f t="shared" si="590"/>
        <v/>
      </c>
      <c r="AB1683" s="70" t="str">
        <f t="shared" si="591"/>
        <v/>
      </c>
      <c r="AC1683" s="70" t="str">
        <f t="shared" si="592"/>
        <v/>
      </c>
      <c r="AD1683" s="70" t="str">
        <f t="shared" si="593"/>
        <v/>
      </c>
      <c r="AE1683" s="70" t="str">
        <f t="shared" si="594"/>
        <v/>
      </c>
      <c r="AF1683" s="16"/>
      <c r="AG1683" s="23"/>
      <c r="AH1683" s="22"/>
      <c r="AJ1683" s="83">
        <f t="shared" si="595"/>
        <v>0</v>
      </c>
      <c r="AO1683" s="22" t="str">
        <f t="shared" si="596"/>
        <v/>
      </c>
      <c r="AP1683" s="22" t="str">
        <f t="shared" si="597"/>
        <v/>
      </c>
    </row>
    <row r="1684" spans="1:42" x14ac:dyDescent="0.25">
      <c r="A1684" s="10"/>
      <c r="B1684" s="10"/>
      <c r="C1684" s="10"/>
      <c r="D1684" s="10"/>
      <c r="E1684" s="10"/>
      <c r="F1684" s="10"/>
      <c r="G1684" s="10"/>
      <c r="H1684" s="17"/>
      <c r="I1684" s="10"/>
      <c r="J1684" s="10"/>
      <c r="K1684" s="16" t="str">
        <f t="shared" si="576"/>
        <v/>
      </c>
      <c r="L1684" s="23" t="str">
        <f t="shared" si="577"/>
        <v/>
      </c>
      <c r="M1684" s="22" t="str">
        <f t="shared" si="578"/>
        <v/>
      </c>
      <c r="N1684" s="72"/>
      <c r="O1684" s="16" t="str">
        <f t="shared" si="579"/>
        <v/>
      </c>
      <c r="P1684" s="16" t="str">
        <f t="shared" si="580"/>
        <v/>
      </c>
      <c r="Q1684" s="16" t="str">
        <f t="shared" si="581"/>
        <v/>
      </c>
      <c r="R1684" s="23" t="str">
        <f t="shared" si="582"/>
        <v/>
      </c>
      <c r="S1684" s="23" t="str">
        <f t="shared" si="583"/>
        <v/>
      </c>
      <c r="T1684" s="23" t="str">
        <f t="shared" si="584"/>
        <v/>
      </c>
      <c r="U1684" s="23" t="str">
        <f t="shared" si="585"/>
        <v/>
      </c>
      <c r="V1684" s="23" t="str">
        <f t="shared" si="586"/>
        <v/>
      </c>
      <c r="W1684" s="70" t="str">
        <f t="shared" si="587"/>
        <v/>
      </c>
      <c r="X1684" s="70" t="str">
        <f t="shared" si="588"/>
        <v/>
      </c>
      <c r="Y1684" s="70" t="str">
        <f>IF(AND($A1684&lt;&gt;"",$E1684&gt;0),isLaptopBag($C1684,$J1684)*$D1684,"")</f>
        <v/>
      </c>
      <c r="Z1684" s="70" t="str">
        <f t="shared" si="589"/>
        <v/>
      </c>
      <c r="AA1684" s="70" t="str">
        <f t="shared" si="590"/>
        <v/>
      </c>
      <c r="AB1684" s="70" t="str">
        <f t="shared" si="591"/>
        <v/>
      </c>
      <c r="AC1684" s="70" t="str">
        <f t="shared" si="592"/>
        <v/>
      </c>
      <c r="AD1684" s="70" t="str">
        <f t="shared" si="593"/>
        <v/>
      </c>
      <c r="AE1684" s="70" t="str">
        <f t="shared" si="594"/>
        <v/>
      </c>
      <c r="AF1684" s="16"/>
      <c r="AG1684" s="23"/>
      <c r="AH1684" s="22"/>
      <c r="AJ1684" s="83">
        <f t="shared" si="595"/>
        <v>0</v>
      </c>
      <c r="AO1684" s="22" t="str">
        <f t="shared" si="596"/>
        <v/>
      </c>
      <c r="AP1684" s="22" t="str">
        <f t="shared" si="597"/>
        <v/>
      </c>
    </row>
    <row r="1685" spans="1:42" x14ac:dyDescent="0.25">
      <c r="A1685" s="10"/>
      <c r="B1685" s="10"/>
      <c r="C1685" s="10"/>
      <c r="D1685" s="10"/>
      <c r="E1685" s="10"/>
      <c r="F1685" s="10"/>
      <c r="G1685" s="10"/>
      <c r="H1685" s="17"/>
      <c r="I1685" s="10"/>
      <c r="J1685" s="10"/>
      <c r="K1685" s="16" t="str">
        <f t="shared" si="576"/>
        <v/>
      </c>
      <c r="L1685" s="23" t="str">
        <f t="shared" si="577"/>
        <v/>
      </c>
      <c r="M1685" s="22" t="str">
        <f t="shared" si="578"/>
        <v/>
      </c>
      <c r="N1685" s="72"/>
      <c r="O1685" s="16" t="str">
        <f t="shared" si="579"/>
        <v/>
      </c>
      <c r="P1685" s="16" t="str">
        <f t="shared" si="580"/>
        <v/>
      </c>
      <c r="Q1685" s="16" t="str">
        <f t="shared" si="581"/>
        <v/>
      </c>
      <c r="R1685" s="23" t="str">
        <f t="shared" si="582"/>
        <v/>
      </c>
      <c r="S1685" s="23" t="str">
        <f t="shared" si="583"/>
        <v/>
      </c>
      <c r="T1685" s="23" t="str">
        <f t="shared" si="584"/>
        <v/>
      </c>
      <c r="U1685" s="23" t="str">
        <f t="shared" si="585"/>
        <v/>
      </c>
      <c r="V1685" s="23" t="str">
        <f t="shared" si="586"/>
        <v/>
      </c>
      <c r="W1685" s="70" t="str">
        <f t="shared" si="587"/>
        <v/>
      </c>
      <c r="X1685" s="70" t="str">
        <f t="shared" si="588"/>
        <v/>
      </c>
      <c r="Y1685" s="70" t="str">
        <f>IF(AND($A1685&lt;&gt;"",$E1685&gt;0),isLaptopBag($C1685,$J1685)*$D1685,"")</f>
        <v/>
      </c>
      <c r="Z1685" s="70" t="str">
        <f t="shared" si="589"/>
        <v/>
      </c>
      <c r="AA1685" s="70" t="str">
        <f t="shared" si="590"/>
        <v/>
      </c>
      <c r="AB1685" s="70" t="str">
        <f t="shared" si="591"/>
        <v/>
      </c>
      <c r="AC1685" s="70" t="str">
        <f t="shared" si="592"/>
        <v/>
      </c>
      <c r="AD1685" s="70" t="str">
        <f t="shared" si="593"/>
        <v/>
      </c>
      <c r="AE1685" s="70" t="str">
        <f t="shared" si="594"/>
        <v/>
      </c>
      <c r="AF1685" s="16"/>
      <c r="AG1685" s="23"/>
      <c r="AH1685" s="22"/>
      <c r="AJ1685" s="83">
        <f t="shared" si="595"/>
        <v>0</v>
      </c>
      <c r="AO1685" s="22" t="str">
        <f t="shared" si="596"/>
        <v/>
      </c>
      <c r="AP1685" s="22" t="str">
        <f t="shared" si="597"/>
        <v/>
      </c>
    </row>
    <row r="1686" spans="1:42" x14ac:dyDescent="0.25">
      <c r="A1686" s="10"/>
      <c r="B1686" s="10"/>
      <c r="C1686" s="10"/>
      <c r="D1686" s="10"/>
      <c r="E1686" s="10"/>
      <c r="F1686" s="10"/>
      <c r="G1686" s="10"/>
      <c r="H1686" s="17"/>
      <c r="I1686" s="10"/>
      <c r="J1686" s="10"/>
      <c r="K1686" s="16" t="str">
        <f t="shared" si="576"/>
        <v/>
      </c>
      <c r="L1686" s="23" t="str">
        <f t="shared" si="577"/>
        <v/>
      </c>
      <c r="M1686" s="22" t="str">
        <f t="shared" si="578"/>
        <v/>
      </c>
      <c r="N1686" s="72"/>
      <c r="O1686" s="16" t="str">
        <f t="shared" si="579"/>
        <v/>
      </c>
      <c r="P1686" s="16" t="str">
        <f t="shared" si="580"/>
        <v/>
      </c>
      <c r="Q1686" s="16" t="str">
        <f t="shared" si="581"/>
        <v/>
      </c>
      <c r="R1686" s="23" t="str">
        <f t="shared" si="582"/>
        <v/>
      </c>
      <c r="S1686" s="23" t="str">
        <f t="shared" si="583"/>
        <v/>
      </c>
      <c r="T1686" s="23" t="str">
        <f t="shared" si="584"/>
        <v/>
      </c>
      <c r="U1686" s="23" t="str">
        <f t="shared" si="585"/>
        <v/>
      </c>
      <c r="V1686" s="23" t="str">
        <f t="shared" si="586"/>
        <v/>
      </c>
      <c r="W1686" s="70" t="str">
        <f t="shared" si="587"/>
        <v/>
      </c>
      <c r="X1686" s="70" t="str">
        <f t="shared" si="588"/>
        <v/>
      </c>
      <c r="Y1686" s="70" t="str">
        <f>IF(AND($A1686&lt;&gt;"",$E1686&gt;0),isLaptopBag($C1686,$J1686)*$D1686,"")</f>
        <v/>
      </c>
      <c r="Z1686" s="70" t="str">
        <f t="shared" si="589"/>
        <v/>
      </c>
      <c r="AA1686" s="70" t="str">
        <f t="shared" si="590"/>
        <v/>
      </c>
      <c r="AB1686" s="70" t="str">
        <f t="shared" si="591"/>
        <v/>
      </c>
      <c r="AC1686" s="70" t="str">
        <f t="shared" si="592"/>
        <v/>
      </c>
      <c r="AD1686" s="70" t="str">
        <f t="shared" si="593"/>
        <v/>
      </c>
      <c r="AE1686" s="70" t="str">
        <f t="shared" si="594"/>
        <v/>
      </c>
      <c r="AF1686" s="16"/>
      <c r="AG1686" s="23"/>
      <c r="AH1686" s="22"/>
      <c r="AJ1686" s="83">
        <f t="shared" si="595"/>
        <v>0</v>
      </c>
      <c r="AO1686" s="22" t="str">
        <f t="shared" si="596"/>
        <v/>
      </c>
      <c r="AP1686" s="22" t="str">
        <f t="shared" si="597"/>
        <v/>
      </c>
    </row>
    <row r="1687" spans="1:42" x14ac:dyDescent="0.25">
      <c r="A1687" s="10"/>
      <c r="B1687" s="10"/>
      <c r="C1687" s="10"/>
      <c r="D1687" s="10"/>
      <c r="E1687" s="10"/>
      <c r="F1687" s="10"/>
      <c r="G1687" s="10"/>
      <c r="H1687" s="17"/>
      <c r="I1687" s="10"/>
      <c r="J1687" s="10"/>
      <c r="K1687" s="16" t="str">
        <f t="shared" si="576"/>
        <v/>
      </c>
      <c r="L1687" s="23" t="str">
        <f t="shared" si="577"/>
        <v/>
      </c>
      <c r="M1687" s="22" t="str">
        <f t="shared" si="578"/>
        <v/>
      </c>
      <c r="N1687" s="72"/>
      <c r="O1687" s="16" t="str">
        <f t="shared" si="579"/>
        <v/>
      </c>
      <c r="P1687" s="16" t="str">
        <f t="shared" si="580"/>
        <v/>
      </c>
      <c r="Q1687" s="16" t="str">
        <f t="shared" si="581"/>
        <v/>
      </c>
      <c r="R1687" s="23" t="str">
        <f t="shared" si="582"/>
        <v/>
      </c>
      <c r="S1687" s="23" t="str">
        <f t="shared" si="583"/>
        <v/>
      </c>
      <c r="T1687" s="23" t="str">
        <f t="shared" si="584"/>
        <v/>
      </c>
      <c r="U1687" s="23" t="str">
        <f t="shared" si="585"/>
        <v/>
      </c>
      <c r="V1687" s="23" t="str">
        <f t="shared" si="586"/>
        <v/>
      </c>
      <c r="W1687" s="70" t="str">
        <f t="shared" si="587"/>
        <v/>
      </c>
      <c r="X1687" s="70" t="str">
        <f t="shared" si="588"/>
        <v/>
      </c>
      <c r="Y1687" s="70" t="str">
        <f>IF(AND($A1687&lt;&gt;"",$E1687&gt;0),isLaptopBag($C1687,$J1687)*$D1687,"")</f>
        <v/>
      </c>
      <c r="Z1687" s="70" t="str">
        <f t="shared" si="589"/>
        <v/>
      </c>
      <c r="AA1687" s="70" t="str">
        <f t="shared" si="590"/>
        <v/>
      </c>
      <c r="AB1687" s="70" t="str">
        <f t="shared" si="591"/>
        <v/>
      </c>
      <c r="AC1687" s="70" t="str">
        <f t="shared" si="592"/>
        <v/>
      </c>
      <c r="AD1687" s="70" t="str">
        <f t="shared" si="593"/>
        <v/>
      </c>
      <c r="AE1687" s="70" t="str">
        <f t="shared" si="594"/>
        <v/>
      </c>
      <c r="AF1687" s="16"/>
      <c r="AG1687" s="23"/>
      <c r="AH1687" s="22"/>
      <c r="AJ1687" s="83">
        <f t="shared" si="595"/>
        <v>0</v>
      </c>
      <c r="AO1687" s="22" t="str">
        <f t="shared" si="596"/>
        <v/>
      </c>
      <c r="AP1687" s="22" t="str">
        <f t="shared" si="597"/>
        <v/>
      </c>
    </row>
    <row r="1688" spans="1:42" x14ac:dyDescent="0.25">
      <c r="A1688" s="10"/>
      <c r="B1688" s="10"/>
      <c r="C1688" s="10"/>
      <c r="D1688" s="10"/>
      <c r="E1688" s="10"/>
      <c r="F1688" s="10"/>
      <c r="G1688" s="10"/>
      <c r="H1688" s="17"/>
      <c r="I1688" s="10"/>
      <c r="J1688" s="10"/>
      <c r="K1688" s="16" t="str">
        <f t="shared" si="576"/>
        <v/>
      </c>
      <c r="L1688" s="23" t="str">
        <f t="shared" si="577"/>
        <v/>
      </c>
      <c r="M1688" s="22" t="str">
        <f t="shared" si="578"/>
        <v/>
      </c>
      <c r="N1688" s="72"/>
      <c r="O1688" s="16" t="str">
        <f t="shared" si="579"/>
        <v/>
      </c>
      <c r="P1688" s="16" t="str">
        <f t="shared" si="580"/>
        <v/>
      </c>
      <c r="Q1688" s="16" t="str">
        <f t="shared" si="581"/>
        <v/>
      </c>
      <c r="R1688" s="23" t="str">
        <f t="shared" si="582"/>
        <v/>
      </c>
      <c r="S1688" s="23" t="str">
        <f t="shared" si="583"/>
        <v/>
      </c>
      <c r="T1688" s="23" t="str">
        <f t="shared" si="584"/>
        <v/>
      </c>
      <c r="U1688" s="23" t="str">
        <f t="shared" si="585"/>
        <v/>
      </c>
      <c r="V1688" s="23" t="str">
        <f t="shared" si="586"/>
        <v/>
      </c>
      <c r="W1688" s="70" t="str">
        <f t="shared" si="587"/>
        <v/>
      </c>
      <c r="X1688" s="70" t="str">
        <f t="shared" si="588"/>
        <v/>
      </c>
      <c r="Y1688" s="70" t="str">
        <f>IF(AND($A1688&lt;&gt;"",$E1688&gt;0),isLaptopBag($C1688,$J1688)*$D1688,"")</f>
        <v/>
      </c>
      <c r="Z1688" s="70" t="str">
        <f t="shared" si="589"/>
        <v/>
      </c>
      <c r="AA1688" s="70" t="str">
        <f t="shared" si="590"/>
        <v/>
      </c>
      <c r="AB1688" s="70" t="str">
        <f t="shared" si="591"/>
        <v/>
      </c>
      <c r="AC1688" s="70" t="str">
        <f t="shared" si="592"/>
        <v/>
      </c>
      <c r="AD1688" s="70" t="str">
        <f t="shared" si="593"/>
        <v/>
      </c>
      <c r="AE1688" s="70" t="str">
        <f t="shared" si="594"/>
        <v/>
      </c>
      <c r="AF1688" s="16"/>
      <c r="AG1688" s="23"/>
      <c r="AH1688" s="22"/>
      <c r="AJ1688" s="83">
        <f t="shared" si="595"/>
        <v>0</v>
      </c>
      <c r="AO1688" s="22" t="str">
        <f t="shared" si="596"/>
        <v/>
      </c>
      <c r="AP1688" s="22" t="str">
        <f t="shared" si="597"/>
        <v/>
      </c>
    </row>
    <row r="1689" spans="1:42" x14ac:dyDescent="0.25">
      <c r="A1689" s="10"/>
      <c r="B1689" s="10"/>
      <c r="C1689" s="10"/>
      <c r="D1689" s="10"/>
      <c r="E1689" s="10"/>
      <c r="F1689" s="10"/>
      <c r="G1689" s="10"/>
      <c r="H1689" s="17"/>
      <c r="I1689" s="10"/>
      <c r="J1689" s="10"/>
      <c r="K1689" s="16" t="str">
        <f t="shared" si="576"/>
        <v/>
      </c>
      <c r="L1689" s="23" t="str">
        <f t="shared" si="577"/>
        <v/>
      </c>
      <c r="M1689" s="22" t="str">
        <f t="shared" si="578"/>
        <v/>
      </c>
      <c r="N1689" s="72"/>
      <c r="O1689" s="16" t="str">
        <f t="shared" si="579"/>
        <v/>
      </c>
      <c r="P1689" s="16" t="str">
        <f t="shared" si="580"/>
        <v/>
      </c>
      <c r="Q1689" s="16" t="str">
        <f t="shared" si="581"/>
        <v/>
      </c>
      <c r="R1689" s="23" t="str">
        <f t="shared" si="582"/>
        <v/>
      </c>
      <c r="S1689" s="23" t="str">
        <f t="shared" si="583"/>
        <v/>
      </c>
      <c r="T1689" s="23" t="str">
        <f t="shared" si="584"/>
        <v/>
      </c>
      <c r="U1689" s="23" t="str">
        <f t="shared" si="585"/>
        <v/>
      </c>
      <c r="V1689" s="23" t="str">
        <f t="shared" si="586"/>
        <v/>
      </c>
      <c r="W1689" s="70" t="str">
        <f t="shared" si="587"/>
        <v/>
      </c>
      <c r="X1689" s="70" t="str">
        <f t="shared" si="588"/>
        <v/>
      </c>
      <c r="Y1689" s="70" t="str">
        <f>IF(AND($A1689&lt;&gt;"",$E1689&gt;0),isLaptopBag($C1689,$J1689)*$D1689,"")</f>
        <v/>
      </c>
      <c r="Z1689" s="70" t="str">
        <f t="shared" si="589"/>
        <v/>
      </c>
      <c r="AA1689" s="70" t="str">
        <f t="shared" si="590"/>
        <v/>
      </c>
      <c r="AB1689" s="70" t="str">
        <f t="shared" si="591"/>
        <v/>
      </c>
      <c r="AC1689" s="70" t="str">
        <f t="shared" si="592"/>
        <v/>
      </c>
      <c r="AD1689" s="70" t="str">
        <f t="shared" si="593"/>
        <v/>
      </c>
      <c r="AE1689" s="70" t="str">
        <f t="shared" si="594"/>
        <v/>
      </c>
      <c r="AF1689" s="16"/>
      <c r="AG1689" s="23"/>
      <c r="AH1689" s="22"/>
      <c r="AJ1689" s="83">
        <f t="shared" si="595"/>
        <v>0</v>
      </c>
      <c r="AO1689" s="22" t="str">
        <f t="shared" si="596"/>
        <v/>
      </c>
      <c r="AP1689" s="22" t="str">
        <f t="shared" si="597"/>
        <v/>
      </c>
    </row>
    <row r="1690" spans="1:42" x14ac:dyDescent="0.25">
      <c r="A1690" s="10"/>
      <c r="B1690" s="10"/>
      <c r="C1690" s="10"/>
      <c r="D1690" s="10"/>
      <c r="E1690" s="10"/>
      <c r="F1690" s="10"/>
      <c r="G1690" s="10"/>
      <c r="H1690" s="17"/>
      <c r="I1690" s="10"/>
      <c r="J1690" s="10"/>
      <c r="K1690" s="16" t="str">
        <f t="shared" si="576"/>
        <v/>
      </c>
      <c r="L1690" s="23" t="str">
        <f t="shared" si="577"/>
        <v/>
      </c>
      <c r="M1690" s="22" t="str">
        <f t="shared" si="578"/>
        <v/>
      </c>
      <c r="N1690" s="72"/>
      <c r="O1690" s="16" t="str">
        <f t="shared" si="579"/>
        <v/>
      </c>
      <c r="P1690" s="16" t="str">
        <f t="shared" si="580"/>
        <v/>
      </c>
      <c r="Q1690" s="16" t="str">
        <f t="shared" si="581"/>
        <v/>
      </c>
      <c r="R1690" s="23" t="str">
        <f t="shared" si="582"/>
        <v/>
      </c>
      <c r="S1690" s="23" t="str">
        <f t="shared" si="583"/>
        <v/>
      </c>
      <c r="T1690" s="23" t="str">
        <f t="shared" si="584"/>
        <v/>
      </c>
      <c r="U1690" s="23" t="str">
        <f t="shared" si="585"/>
        <v/>
      </c>
      <c r="V1690" s="23" t="str">
        <f t="shared" si="586"/>
        <v/>
      </c>
      <c r="W1690" s="70" t="str">
        <f t="shared" si="587"/>
        <v/>
      </c>
      <c r="X1690" s="70" t="str">
        <f t="shared" si="588"/>
        <v/>
      </c>
      <c r="Y1690" s="70" t="str">
        <f>IF(AND($A1690&lt;&gt;"",$E1690&gt;0),isLaptopBag($C1690,$J1690)*$D1690,"")</f>
        <v/>
      </c>
      <c r="Z1690" s="70" t="str">
        <f t="shared" si="589"/>
        <v/>
      </c>
      <c r="AA1690" s="70" t="str">
        <f t="shared" si="590"/>
        <v/>
      </c>
      <c r="AB1690" s="70" t="str">
        <f t="shared" si="591"/>
        <v/>
      </c>
      <c r="AC1690" s="70" t="str">
        <f t="shared" si="592"/>
        <v/>
      </c>
      <c r="AD1690" s="70" t="str">
        <f t="shared" si="593"/>
        <v/>
      </c>
      <c r="AE1690" s="70" t="str">
        <f t="shared" si="594"/>
        <v/>
      </c>
      <c r="AF1690" s="16"/>
      <c r="AG1690" s="23"/>
      <c r="AH1690" s="22"/>
      <c r="AJ1690" s="83">
        <f t="shared" si="595"/>
        <v>0</v>
      </c>
      <c r="AO1690" s="22" t="str">
        <f t="shared" si="596"/>
        <v/>
      </c>
      <c r="AP1690" s="22" t="str">
        <f t="shared" si="597"/>
        <v/>
      </c>
    </row>
    <row r="1691" spans="1:42" x14ac:dyDescent="0.25">
      <c r="A1691" s="10"/>
      <c r="B1691" s="10"/>
      <c r="C1691" s="10"/>
      <c r="D1691" s="10"/>
      <c r="E1691" s="10"/>
      <c r="F1691" s="10"/>
      <c r="G1691" s="10"/>
      <c r="H1691" s="17"/>
      <c r="I1691" s="10"/>
      <c r="J1691" s="10"/>
      <c r="K1691" s="16" t="str">
        <f t="shared" si="576"/>
        <v/>
      </c>
      <c r="L1691" s="23" t="str">
        <f t="shared" si="577"/>
        <v/>
      </c>
      <c r="M1691" s="22" t="str">
        <f t="shared" si="578"/>
        <v/>
      </c>
      <c r="N1691" s="72"/>
      <c r="O1691" s="16" t="str">
        <f t="shared" si="579"/>
        <v/>
      </c>
      <c r="P1691" s="16" t="str">
        <f t="shared" si="580"/>
        <v/>
      </c>
      <c r="Q1691" s="16" t="str">
        <f t="shared" si="581"/>
        <v/>
      </c>
      <c r="R1691" s="23" t="str">
        <f t="shared" si="582"/>
        <v/>
      </c>
      <c r="S1691" s="23" t="str">
        <f t="shared" si="583"/>
        <v/>
      </c>
      <c r="T1691" s="23" t="str">
        <f t="shared" si="584"/>
        <v/>
      </c>
      <c r="U1691" s="23" t="str">
        <f t="shared" si="585"/>
        <v/>
      </c>
      <c r="V1691" s="23" t="str">
        <f t="shared" si="586"/>
        <v/>
      </c>
      <c r="W1691" s="70" t="str">
        <f t="shared" si="587"/>
        <v/>
      </c>
      <c r="X1691" s="70" t="str">
        <f t="shared" si="588"/>
        <v/>
      </c>
      <c r="Y1691" s="70" t="str">
        <f>IF(AND($A1691&lt;&gt;"",$E1691&gt;0),isLaptopBag($C1691,$J1691)*$D1691,"")</f>
        <v/>
      </c>
      <c r="Z1691" s="70" t="str">
        <f t="shared" si="589"/>
        <v/>
      </c>
      <c r="AA1691" s="70" t="str">
        <f t="shared" si="590"/>
        <v/>
      </c>
      <c r="AB1691" s="70" t="str">
        <f t="shared" si="591"/>
        <v/>
      </c>
      <c r="AC1691" s="70" t="str">
        <f t="shared" si="592"/>
        <v/>
      </c>
      <c r="AD1691" s="70" t="str">
        <f t="shared" si="593"/>
        <v/>
      </c>
      <c r="AE1691" s="70" t="str">
        <f t="shared" si="594"/>
        <v/>
      </c>
      <c r="AF1691" s="16"/>
      <c r="AG1691" s="23"/>
      <c r="AH1691" s="22"/>
      <c r="AJ1691" s="83">
        <f t="shared" si="595"/>
        <v>0</v>
      </c>
      <c r="AO1691" s="22" t="str">
        <f t="shared" si="596"/>
        <v/>
      </c>
      <c r="AP1691" s="22" t="str">
        <f t="shared" si="597"/>
        <v/>
      </c>
    </row>
    <row r="1692" spans="1:42" x14ac:dyDescent="0.25">
      <c r="A1692" s="10"/>
      <c r="B1692" s="10"/>
      <c r="C1692" s="10"/>
      <c r="D1692" s="10"/>
      <c r="E1692" s="10"/>
      <c r="F1692" s="10"/>
      <c r="G1692" s="10"/>
      <c r="H1692" s="17"/>
      <c r="I1692" s="10"/>
      <c r="J1692" s="10"/>
      <c r="K1692" s="16" t="str">
        <f t="shared" si="576"/>
        <v/>
      </c>
      <c r="L1692" s="23" t="str">
        <f t="shared" si="577"/>
        <v/>
      </c>
      <c r="M1692" s="22" t="str">
        <f t="shared" si="578"/>
        <v/>
      </c>
      <c r="N1692" s="72"/>
      <c r="O1692" s="16" t="str">
        <f t="shared" si="579"/>
        <v/>
      </c>
      <c r="P1692" s="16" t="str">
        <f t="shared" si="580"/>
        <v/>
      </c>
      <c r="Q1692" s="16" t="str">
        <f t="shared" si="581"/>
        <v/>
      </c>
      <c r="R1692" s="23" t="str">
        <f t="shared" si="582"/>
        <v/>
      </c>
      <c r="S1692" s="23" t="str">
        <f t="shared" si="583"/>
        <v/>
      </c>
      <c r="T1692" s="23" t="str">
        <f t="shared" si="584"/>
        <v/>
      </c>
      <c r="U1692" s="23" t="str">
        <f t="shared" si="585"/>
        <v/>
      </c>
      <c r="V1692" s="23" t="str">
        <f t="shared" si="586"/>
        <v/>
      </c>
      <c r="W1692" s="70" t="str">
        <f t="shared" si="587"/>
        <v/>
      </c>
      <c r="X1692" s="70" t="str">
        <f t="shared" si="588"/>
        <v/>
      </c>
      <c r="Y1692" s="70" t="str">
        <f>IF(AND($A1692&lt;&gt;"",$E1692&gt;0),isLaptopBag($C1692,$J1692)*$D1692,"")</f>
        <v/>
      </c>
      <c r="Z1692" s="70" t="str">
        <f t="shared" si="589"/>
        <v/>
      </c>
      <c r="AA1692" s="70" t="str">
        <f t="shared" si="590"/>
        <v/>
      </c>
      <c r="AB1692" s="70" t="str">
        <f t="shared" si="591"/>
        <v/>
      </c>
      <c r="AC1692" s="70" t="str">
        <f t="shared" si="592"/>
        <v/>
      </c>
      <c r="AD1692" s="70" t="str">
        <f t="shared" si="593"/>
        <v/>
      </c>
      <c r="AE1692" s="70" t="str">
        <f t="shared" si="594"/>
        <v/>
      </c>
      <c r="AF1692" s="16"/>
      <c r="AG1692" s="23"/>
      <c r="AH1692" s="22"/>
      <c r="AJ1692" s="83">
        <f t="shared" si="595"/>
        <v>0</v>
      </c>
      <c r="AO1692" s="22" t="str">
        <f t="shared" si="596"/>
        <v/>
      </c>
      <c r="AP1692" s="22" t="str">
        <f t="shared" si="597"/>
        <v/>
      </c>
    </row>
    <row r="1693" spans="1:42" x14ac:dyDescent="0.25">
      <c r="A1693" s="10"/>
      <c r="B1693" s="10"/>
      <c r="C1693" s="10"/>
      <c r="D1693" s="10"/>
      <c r="E1693" s="10"/>
      <c r="F1693" s="10"/>
      <c r="G1693" s="10"/>
      <c r="H1693" s="17"/>
      <c r="I1693" s="10"/>
      <c r="J1693" s="10"/>
      <c r="K1693" s="16" t="str">
        <f t="shared" si="576"/>
        <v/>
      </c>
      <c r="L1693" s="23" t="str">
        <f t="shared" si="577"/>
        <v/>
      </c>
      <c r="M1693" s="22" t="str">
        <f t="shared" si="578"/>
        <v/>
      </c>
      <c r="N1693" s="72"/>
      <c r="O1693" s="16" t="str">
        <f t="shared" si="579"/>
        <v/>
      </c>
      <c r="P1693" s="16" t="str">
        <f t="shared" si="580"/>
        <v/>
      </c>
      <c r="Q1693" s="16" t="str">
        <f t="shared" si="581"/>
        <v/>
      </c>
      <c r="R1693" s="23" t="str">
        <f t="shared" si="582"/>
        <v/>
      </c>
      <c r="S1693" s="23" t="str">
        <f t="shared" si="583"/>
        <v/>
      </c>
      <c r="T1693" s="23" t="str">
        <f t="shared" si="584"/>
        <v/>
      </c>
      <c r="U1693" s="23" t="str">
        <f t="shared" si="585"/>
        <v/>
      </c>
      <c r="V1693" s="23" t="str">
        <f t="shared" si="586"/>
        <v/>
      </c>
      <c r="W1693" s="70" t="str">
        <f t="shared" si="587"/>
        <v/>
      </c>
      <c r="X1693" s="70" t="str">
        <f t="shared" si="588"/>
        <v/>
      </c>
      <c r="Y1693" s="70" t="str">
        <f>IF(AND($A1693&lt;&gt;"",$E1693&gt;0),isLaptopBag($C1693,$J1693)*$D1693,"")</f>
        <v/>
      </c>
      <c r="Z1693" s="70" t="str">
        <f t="shared" si="589"/>
        <v/>
      </c>
      <c r="AA1693" s="70" t="str">
        <f t="shared" si="590"/>
        <v/>
      </c>
      <c r="AB1693" s="70" t="str">
        <f t="shared" si="591"/>
        <v/>
      </c>
      <c r="AC1693" s="70" t="str">
        <f t="shared" si="592"/>
        <v/>
      </c>
      <c r="AD1693" s="70" t="str">
        <f t="shared" si="593"/>
        <v/>
      </c>
      <c r="AE1693" s="70" t="str">
        <f t="shared" si="594"/>
        <v/>
      </c>
      <c r="AF1693" s="16"/>
      <c r="AG1693" s="23"/>
      <c r="AH1693" s="22"/>
      <c r="AJ1693" s="83">
        <f t="shared" si="595"/>
        <v>0</v>
      </c>
      <c r="AO1693" s="22" t="str">
        <f t="shared" si="596"/>
        <v/>
      </c>
      <c r="AP1693" s="22" t="str">
        <f t="shared" si="597"/>
        <v/>
      </c>
    </row>
    <row r="1694" spans="1:42" x14ac:dyDescent="0.25">
      <c r="A1694" s="10"/>
      <c r="B1694" s="10"/>
      <c r="C1694" s="10"/>
      <c r="D1694" s="10"/>
      <c r="E1694" s="10"/>
      <c r="F1694" s="10"/>
      <c r="G1694" s="10"/>
      <c r="H1694" s="17"/>
      <c r="I1694" s="10"/>
      <c r="J1694" s="10"/>
      <c r="K1694" s="16" t="str">
        <f t="shared" si="576"/>
        <v/>
      </c>
      <c r="L1694" s="23" t="str">
        <f t="shared" si="577"/>
        <v/>
      </c>
      <c r="M1694" s="22" t="str">
        <f t="shared" si="578"/>
        <v/>
      </c>
      <c r="N1694" s="72"/>
      <c r="O1694" s="16" t="str">
        <f t="shared" si="579"/>
        <v/>
      </c>
      <c r="P1694" s="16" t="str">
        <f t="shared" si="580"/>
        <v/>
      </c>
      <c r="Q1694" s="16" t="str">
        <f t="shared" si="581"/>
        <v/>
      </c>
      <c r="R1694" s="23" t="str">
        <f t="shared" si="582"/>
        <v/>
      </c>
      <c r="S1694" s="23" t="str">
        <f t="shared" si="583"/>
        <v/>
      </c>
      <c r="T1694" s="23" t="str">
        <f t="shared" si="584"/>
        <v/>
      </c>
      <c r="U1694" s="23" t="str">
        <f t="shared" si="585"/>
        <v/>
      </c>
      <c r="V1694" s="23" t="str">
        <f t="shared" si="586"/>
        <v/>
      </c>
      <c r="W1694" s="70" t="str">
        <f t="shared" si="587"/>
        <v/>
      </c>
      <c r="X1694" s="70" t="str">
        <f t="shared" si="588"/>
        <v/>
      </c>
      <c r="Y1694" s="70" t="str">
        <f>IF(AND($A1694&lt;&gt;"",$E1694&gt;0),isLaptopBag($C1694,$J1694)*$D1694,"")</f>
        <v/>
      </c>
      <c r="Z1694" s="70" t="str">
        <f t="shared" si="589"/>
        <v/>
      </c>
      <c r="AA1694" s="70" t="str">
        <f t="shared" si="590"/>
        <v/>
      </c>
      <c r="AB1694" s="70" t="str">
        <f t="shared" si="591"/>
        <v/>
      </c>
      <c r="AC1694" s="70" t="str">
        <f t="shared" si="592"/>
        <v/>
      </c>
      <c r="AD1694" s="70" t="str">
        <f t="shared" si="593"/>
        <v/>
      </c>
      <c r="AE1694" s="70" t="str">
        <f t="shared" si="594"/>
        <v/>
      </c>
      <c r="AF1694" s="16"/>
      <c r="AG1694" s="23"/>
      <c r="AH1694" s="22"/>
      <c r="AJ1694" s="83">
        <f t="shared" si="595"/>
        <v>0</v>
      </c>
      <c r="AO1694" s="22" t="str">
        <f t="shared" si="596"/>
        <v/>
      </c>
      <c r="AP1694" s="22" t="str">
        <f t="shared" si="597"/>
        <v/>
      </c>
    </row>
    <row r="1695" spans="1:42" x14ac:dyDescent="0.25">
      <c r="A1695" s="10"/>
      <c r="B1695" s="10"/>
      <c r="C1695" s="10"/>
      <c r="D1695" s="10"/>
      <c r="E1695" s="10"/>
      <c r="F1695" s="10"/>
      <c r="G1695" s="10"/>
      <c r="H1695" s="17"/>
      <c r="I1695" s="10"/>
      <c r="J1695" s="10"/>
      <c r="K1695" s="16" t="str">
        <f t="shared" si="576"/>
        <v/>
      </c>
      <c r="L1695" s="23" t="str">
        <f t="shared" si="577"/>
        <v/>
      </c>
      <c r="M1695" s="22" t="str">
        <f t="shared" si="578"/>
        <v/>
      </c>
      <c r="N1695" s="72"/>
      <c r="O1695" s="16" t="str">
        <f t="shared" si="579"/>
        <v/>
      </c>
      <c r="P1695" s="16" t="str">
        <f t="shared" si="580"/>
        <v/>
      </c>
      <c r="Q1695" s="16" t="str">
        <f t="shared" si="581"/>
        <v/>
      </c>
      <c r="R1695" s="23" t="str">
        <f t="shared" si="582"/>
        <v/>
      </c>
      <c r="S1695" s="23" t="str">
        <f t="shared" si="583"/>
        <v/>
      </c>
      <c r="T1695" s="23" t="str">
        <f t="shared" si="584"/>
        <v/>
      </c>
      <c r="U1695" s="23" t="str">
        <f t="shared" si="585"/>
        <v/>
      </c>
      <c r="V1695" s="23" t="str">
        <f t="shared" si="586"/>
        <v/>
      </c>
      <c r="W1695" s="70" t="str">
        <f t="shared" si="587"/>
        <v/>
      </c>
      <c r="X1695" s="70" t="str">
        <f t="shared" si="588"/>
        <v/>
      </c>
      <c r="Y1695" s="70" t="str">
        <f>IF(AND($A1695&lt;&gt;"",$E1695&gt;0),isLaptopBag($C1695,$J1695)*$D1695,"")</f>
        <v/>
      </c>
      <c r="Z1695" s="70" t="str">
        <f t="shared" si="589"/>
        <v/>
      </c>
      <c r="AA1695" s="70" t="str">
        <f t="shared" si="590"/>
        <v/>
      </c>
      <c r="AB1695" s="70" t="str">
        <f t="shared" si="591"/>
        <v/>
      </c>
      <c r="AC1695" s="70" t="str">
        <f t="shared" si="592"/>
        <v/>
      </c>
      <c r="AD1695" s="70" t="str">
        <f t="shared" si="593"/>
        <v/>
      </c>
      <c r="AE1695" s="70" t="str">
        <f t="shared" si="594"/>
        <v/>
      </c>
      <c r="AF1695" s="16"/>
      <c r="AG1695" s="23"/>
      <c r="AH1695" s="22"/>
      <c r="AJ1695" s="83">
        <f t="shared" si="595"/>
        <v>0</v>
      </c>
      <c r="AO1695" s="22" t="str">
        <f t="shared" si="596"/>
        <v/>
      </c>
      <c r="AP1695" s="22" t="str">
        <f t="shared" si="597"/>
        <v/>
      </c>
    </row>
    <row r="1696" spans="1:42" x14ac:dyDescent="0.25">
      <c r="A1696" s="10"/>
      <c r="B1696" s="10"/>
      <c r="C1696" s="10"/>
      <c r="D1696" s="10"/>
      <c r="E1696" s="10"/>
      <c r="F1696" s="10"/>
      <c r="G1696" s="10"/>
      <c r="H1696" s="17"/>
      <c r="I1696" s="10"/>
      <c r="J1696" s="10"/>
      <c r="K1696" s="16" t="str">
        <f t="shared" si="576"/>
        <v/>
      </c>
      <c r="L1696" s="23" t="str">
        <f t="shared" si="577"/>
        <v/>
      </c>
      <c r="M1696" s="22" t="str">
        <f t="shared" si="578"/>
        <v/>
      </c>
      <c r="N1696" s="72"/>
      <c r="O1696" s="16" t="str">
        <f t="shared" si="579"/>
        <v/>
      </c>
      <c r="P1696" s="16" t="str">
        <f t="shared" si="580"/>
        <v/>
      </c>
      <c r="Q1696" s="16" t="str">
        <f t="shared" si="581"/>
        <v/>
      </c>
      <c r="R1696" s="23" t="str">
        <f t="shared" si="582"/>
        <v/>
      </c>
      <c r="S1696" s="23" t="str">
        <f t="shared" si="583"/>
        <v/>
      </c>
      <c r="T1696" s="23" t="str">
        <f t="shared" si="584"/>
        <v/>
      </c>
      <c r="U1696" s="23" t="str">
        <f t="shared" si="585"/>
        <v/>
      </c>
      <c r="V1696" s="23" t="str">
        <f t="shared" si="586"/>
        <v/>
      </c>
      <c r="W1696" s="70" t="str">
        <f t="shared" si="587"/>
        <v/>
      </c>
      <c r="X1696" s="70" t="str">
        <f t="shared" si="588"/>
        <v/>
      </c>
      <c r="Y1696" s="70" t="str">
        <f>IF(AND($A1696&lt;&gt;"",$E1696&gt;0),isLaptopBag($C1696,$J1696)*$D1696,"")</f>
        <v/>
      </c>
      <c r="Z1696" s="70" t="str">
        <f t="shared" si="589"/>
        <v/>
      </c>
      <c r="AA1696" s="70" t="str">
        <f t="shared" si="590"/>
        <v/>
      </c>
      <c r="AB1696" s="70" t="str">
        <f t="shared" si="591"/>
        <v/>
      </c>
      <c r="AC1696" s="70" t="str">
        <f t="shared" si="592"/>
        <v/>
      </c>
      <c r="AD1696" s="70" t="str">
        <f t="shared" si="593"/>
        <v/>
      </c>
      <c r="AE1696" s="70" t="str">
        <f t="shared" si="594"/>
        <v/>
      </c>
      <c r="AF1696" s="16"/>
      <c r="AG1696" s="23"/>
      <c r="AH1696" s="22"/>
      <c r="AJ1696" s="83">
        <f t="shared" si="595"/>
        <v>0</v>
      </c>
      <c r="AO1696" s="22" t="str">
        <f t="shared" si="596"/>
        <v/>
      </c>
      <c r="AP1696" s="22" t="str">
        <f t="shared" si="597"/>
        <v/>
      </c>
    </row>
    <row r="1697" spans="1:42" x14ac:dyDescent="0.25">
      <c r="A1697" s="10"/>
      <c r="B1697" s="10"/>
      <c r="C1697" s="10"/>
      <c r="D1697" s="10"/>
      <c r="E1697" s="10"/>
      <c r="F1697" s="10"/>
      <c r="G1697" s="10"/>
      <c r="H1697" s="17"/>
      <c r="I1697" s="10"/>
      <c r="J1697" s="10"/>
      <c r="K1697" s="16" t="str">
        <f t="shared" si="576"/>
        <v/>
      </c>
      <c r="L1697" s="23" t="str">
        <f t="shared" si="577"/>
        <v/>
      </c>
      <c r="M1697" s="22" t="str">
        <f t="shared" si="578"/>
        <v/>
      </c>
      <c r="N1697" s="72"/>
      <c r="O1697" s="16" t="str">
        <f t="shared" si="579"/>
        <v/>
      </c>
      <c r="P1697" s="16" t="str">
        <f t="shared" si="580"/>
        <v/>
      </c>
      <c r="Q1697" s="16" t="str">
        <f t="shared" si="581"/>
        <v/>
      </c>
      <c r="R1697" s="23" t="str">
        <f t="shared" si="582"/>
        <v/>
      </c>
      <c r="S1697" s="23" t="str">
        <f t="shared" si="583"/>
        <v/>
      </c>
      <c r="T1697" s="23" t="str">
        <f t="shared" si="584"/>
        <v/>
      </c>
      <c r="U1697" s="23" t="str">
        <f t="shared" si="585"/>
        <v/>
      </c>
      <c r="V1697" s="23" t="str">
        <f t="shared" si="586"/>
        <v/>
      </c>
      <c r="W1697" s="70" t="str">
        <f t="shared" si="587"/>
        <v/>
      </c>
      <c r="X1697" s="70" t="str">
        <f t="shared" si="588"/>
        <v/>
      </c>
      <c r="Y1697" s="70" t="str">
        <f>IF(AND($A1697&lt;&gt;"",$E1697&gt;0),isLaptopBag($C1697,$J1697)*$D1697,"")</f>
        <v/>
      </c>
      <c r="Z1697" s="70" t="str">
        <f t="shared" si="589"/>
        <v/>
      </c>
      <c r="AA1697" s="70" t="str">
        <f t="shared" si="590"/>
        <v/>
      </c>
      <c r="AB1697" s="70" t="str">
        <f t="shared" si="591"/>
        <v/>
      </c>
      <c r="AC1697" s="70" t="str">
        <f t="shared" si="592"/>
        <v/>
      </c>
      <c r="AD1697" s="70" t="str">
        <f t="shared" si="593"/>
        <v/>
      </c>
      <c r="AE1697" s="70" t="str">
        <f t="shared" si="594"/>
        <v/>
      </c>
      <c r="AF1697" s="16"/>
      <c r="AG1697" s="23"/>
      <c r="AH1697" s="22"/>
      <c r="AJ1697" s="83">
        <f t="shared" si="595"/>
        <v>0</v>
      </c>
      <c r="AO1697" s="22" t="str">
        <f t="shared" si="596"/>
        <v/>
      </c>
      <c r="AP1697" s="22" t="str">
        <f t="shared" si="597"/>
        <v/>
      </c>
    </row>
    <row r="1698" spans="1:42" x14ac:dyDescent="0.25">
      <c r="A1698" s="10"/>
      <c r="B1698" s="10"/>
      <c r="C1698" s="10"/>
      <c r="D1698" s="10"/>
      <c r="E1698" s="10"/>
      <c r="F1698" s="10"/>
      <c r="G1698" s="10"/>
      <c r="H1698" s="17"/>
      <c r="I1698" s="10"/>
      <c r="J1698" s="10"/>
      <c r="K1698" s="16" t="str">
        <f t="shared" si="576"/>
        <v/>
      </c>
      <c r="L1698" s="23" t="str">
        <f t="shared" si="577"/>
        <v/>
      </c>
      <c r="M1698" s="22" t="str">
        <f t="shared" si="578"/>
        <v/>
      </c>
      <c r="N1698" s="72"/>
      <c r="O1698" s="16" t="str">
        <f t="shared" si="579"/>
        <v/>
      </c>
      <c r="P1698" s="16" t="str">
        <f t="shared" si="580"/>
        <v/>
      </c>
      <c r="Q1698" s="16" t="str">
        <f t="shared" si="581"/>
        <v/>
      </c>
      <c r="R1698" s="23" t="str">
        <f t="shared" si="582"/>
        <v/>
      </c>
      <c r="S1698" s="23" t="str">
        <f t="shared" si="583"/>
        <v/>
      </c>
      <c r="T1698" s="23" t="str">
        <f t="shared" si="584"/>
        <v/>
      </c>
      <c r="U1698" s="23" t="str">
        <f t="shared" si="585"/>
        <v/>
      </c>
      <c r="V1698" s="23" t="str">
        <f t="shared" si="586"/>
        <v/>
      </c>
      <c r="W1698" s="70" t="str">
        <f t="shared" si="587"/>
        <v/>
      </c>
      <c r="X1698" s="70" t="str">
        <f t="shared" si="588"/>
        <v/>
      </c>
      <c r="Y1698" s="70" t="str">
        <f>IF(AND($A1698&lt;&gt;"",$E1698&gt;0),isLaptopBag($C1698,$J1698)*$D1698,"")</f>
        <v/>
      </c>
      <c r="Z1698" s="70" t="str">
        <f t="shared" si="589"/>
        <v/>
      </c>
      <c r="AA1698" s="70" t="str">
        <f t="shared" si="590"/>
        <v/>
      </c>
      <c r="AB1698" s="70" t="str">
        <f t="shared" si="591"/>
        <v/>
      </c>
      <c r="AC1698" s="70" t="str">
        <f t="shared" si="592"/>
        <v/>
      </c>
      <c r="AD1698" s="70" t="str">
        <f t="shared" si="593"/>
        <v/>
      </c>
      <c r="AE1698" s="70" t="str">
        <f t="shared" si="594"/>
        <v/>
      </c>
      <c r="AF1698" s="16"/>
      <c r="AG1698" s="23"/>
      <c r="AH1698" s="22"/>
      <c r="AJ1698" s="83">
        <f t="shared" si="595"/>
        <v>0</v>
      </c>
      <c r="AO1698" s="22" t="str">
        <f t="shared" si="596"/>
        <v/>
      </c>
      <c r="AP1698" s="22" t="str">
        <f t="shared" si="597"/>
        <v/>
      </c>
    </row>
    <row r="1699" spans="1:42" x14ac:dyDescent="0.25">
      <c r="A1699" s="10"/>
      <c r="B1699" s="10"/>
      <c r="C1699" s="10"/>
      <c r="D1699" s="10"/>
      <c r="E1699" s="10"/>
      <c r="F1699" s="10"/>
      <c r="G1699" s="10"/>
      <c r="H1699" s="17"/>
      <c r="I1699" s="10"/>
      <c r="J1699" s="10"/>
      <c r="K1699" s="16" t="str">
        <f t="shared" si="576"/>
        <v/>
      </c>
      <c r="L1699" s="23" t="str">
        <f t="shared" si="577"/>
        <v/>
      </c>
      <c r="M1699" s="22" t="str">
        <f t="shared" si="578"/>
        <v/>
      </c>
      <c r="N1699" s="72"/>
      <c r="O1699" s="16" t="str">
        <f t="shared" si="579"/>
        <v/>
      </c>
      <c r="P1699" s="16" t="str">
        <f t="shared" si="580"/>
        <v/>
      </c>
      <c r="Q1699" s="16" t="str">
        <f t="shared" si="581"/>
        <v/>
      </c>
      <c r="R1699" s="23" t="str">
        <f t="shared" si="582"/>
        <v/>
      </c>
      <c r="S1699" s="23" t="str">
        <f t="shared" si="583"/>
        <v/>
      </c>
      <c r="T1699" s="23" t="str">
        <f t="shared" si="584"/>
        <v/>
      </c>
      <c r="U1699" s="23" t="str">
        <f t="shared" si="585"/>
        <v/>
      </c>
      <c r="V1699" s="23" t="str">
        <f t="shared" si="586"/>
        <v/>
      </c>
      <c r="W1699" s="70" t="str">
        <f t="shared" si="587"/>
        <v/>
      </c>
      <c r="X1699" s="70" t="str">
        <f t="shared" si="588"/>
        <v/>
      </c>
      <c r="Y1699" s="70" t="str">
        <f>IF(AND($A1699&lt;&gt;"",$E1699&gt;0),isLaptopBag($C1699,$J1699)*$D1699,"")</f>
        <v/>
      </c>
      <c r="Z1699" s="70" t="str">
        <f t="shared" si="589"/>
        <v/>
      </c>
      <c r="AA1699" s="70" t="str">
        <f t="shared" si="590"/>
        <v/>
      </c>
      <c r="AB1699" s="70" t="str">
        <f t="shared" si="591"/>
        <v/>
      </c>
      <c r="AC1699" s="70" t="str">
        <f t="shared" si="592"/>
        <v/>
      </c>
      <c r="AD1699" s="70" t="str">
        <f t="shared" si="593"/>
        <v/>
      </c>
      <c r="AE1699" s="70" t="str">
        <f t="shared" si="594"/>
        <v/>
      </c>
      <c r="AF1699" s="16"/>
      <c r="AG1699" s="23"/>
      <c r="AH1699" s="22"/>
      <c r="AJ1699" s="83">
        <f t="shared" si="595"/>
        <v>0</v>
      </c>
      <c r="AO1699" s="22" t="str">
        <f t="shared" si="596"/>
        <v/>
      </c>
      <c r="AP1699" s="22" t="str">
        <f t="shared" si="597"/>
        <v/>
      </c>
    </row>
    <row r="1700" spans="1:42" x14ac:dyDescent="0.25">
      <c r="A1700" s="10"/>
      <c r="B1700" s="10"/>
      <c r="C1700" s="10"/>
      <c r="D1700" s="10"/>
      <c r="E1700" s="10"/>
      <c r="F1700" s="10"/>
      <c r="G1700" s="10"/>
      <c r="H1700" s="17"/>
      <c r="I1700" s="10"/>
      <c r="J1700" s="10"/>
      <c r="K1700" s="16" t="str">
        <f t="shared" si="576"/>
        <v/>
      </c>
      <c r="L1700" s="23" t="str">
        <f t="shared" si="577"/>
        <v/>
      </c>
      <c r="M1700" s="22" t="str">
        <f t="shared" si="578"/>
        <v/>
      </c>
      <c r="N1700" s="72"/>
      <c r="O1700" s="16" t="str">
        <f t="shared" si="579"/>
        <v/>
      </c>
      <c r="P1700" s="16" t="str">
        <f t="shared" si="580"/>
        <v/>
      </c>
      <c r="Q1700" s="16" t="str">
        <f t="shared" si="581"/>
        <v/>
      </c>
      <c r="R1700" s="23" t="str">
        <f t="shared" si="582"/>
        <v/>
      </c>
      <c r="S1700" s="23" t="str">
        <f t="shared" si="583"/>
        <v/>
      </c>
      <c r="T1700" s="23" t="str">
        <f t="shared" si="584"/>
        <v/>
      </c>
      <c r="U1700" s="23" t="str">
        <f t="shared" si="585"/>
        <v/>
      </c>
      <c r="V1700" s="23" t="str">
        <f t="shared" si="586"/>
        <v/>
      </c>
      <c r="W1700" s="70" t="str">
        <f t="shared" si="587"/>
        <v/>
      </c>
      <c r="X1700" s="70" t="str">
        <f t="shared" si="588"/>
        <v/>
      </c>
      <c r="Y1700" s="70" t="str">
        <f>IF(AND($A1700&lt;&gt;"",$E1700&gt;0),isLaptopBag($C1700,$J1700)*$D1700,"")</f>
        <v/>
      </c>
      <c r="Z1700" s="70" t="str">
        <f t="shared" si="589"/>
        <v/>
      </c>
      <c r="AA1700" s="70" t="str">
        <f t="shared" si="590"/>
        <v/>
      </c>
      <c r="AB1700" s="70" t="str">
        <f t="shared" si="591"/>
        <v/>
      </c>
      <c r="AC1700" s="70" t="str">
        <f t="shared" si="592"/>
        <v/>
      </c>
      <c r="AD1700" s="70" t="str">
        <f t="shared" si="593"/>
        <v/>
      </c>
      <c r="AE1700" s="70" t="str">
        <f t="shared" si="594"/>
        <v/>
      </c>
      <c r="AF1700" s="16"/>
      <c r="AG1700" s="23"/>
      <c r="AH1700" s="22"/>
      <c r="AJ1700" s="83">
        <f t="shared" si="595"/>
        <v>0</v>
      </c>
      <c r="AO1700" s="22" t="str">
        <f t="shared" si="596"/>
        <v/>
      </c>
      <c r="AP1700" s="22" t="str">
        <f t="shared" si="597"/>
        <v/>
      </c>
    </row>
    <row r="1701" spans="1:42" x14ac:dyDescent="0.25">
      <c r="A1701" s="10"/>
      <c r="B1701" s="10"/>
      <c r="C1701" s="10"/>
      <c r="D1701" s="10"/>
      <c r="E1701" s="10"/>
      <c r="F1701" s="10"/>
      <c r="G1701" s="10"/>
      <c r="H1701" s="17"/>
      <c r="I1701" s="10"/>
      <c r="J1701" s="10"/>
      <c r="K1701" s="16" t="str">
        <f t="shared" si="576"/>
        <v/>
      </c>
      <c r="L1701" s="23" t="str">
        <f t="shared" si="577"/>
        <v/>
      </c>
      <c r="M1701" s="22" t="str">
        <f t="shared" si="578"/>
        <v/>
      </c>
      <c r="N1701" s="72"/>
      <c r="O1701" s="16" t="str">
        <f t="shared" si="579"/>
        <v/>
      </c>
      <c r="P1701" s="16" t="str">
        <f t="shared" si="580"/>
        <v/>
      </c>
      <c r="Q1701" s="16" t="str">
        <f t="shared" si="581"/>
        <v/>
      </c>
      <c r="R1701" s="23" t="str">
        <f t="shared" si="582"/>
        <v/>
      </c>
      <c r="S1701" s="23" t="str">
        <f t="shared" si="583"/>
        <v/>
      </c>
      <c r="T1701" s="23" t="str">
        <f t="shared" si="584"/>
        <v/>
      </c>
      <c r="U1701" s="23" t="str">
        <f t="shared" si="585"/>
        <v/>
      </c>
      <c r="V1701" s="23" t="str">
        <f t="shared" si="586"/>
        <v/>
      </c>
      <c r="W1701" s="70" t="str">
        <f t="shared" si="587"/>
        <v/>
      </c>
      <c r="X1701" s="70" t="str">
        <f t="shared" si="588"/>
        <v/>
      </c>
      <c r="Y1701" s="70" t="str">
        <f>IF(AND($A1701&lt;&gt;"",$E1701&gt;0),isLaptopBag($C1701,$J1701)*$D1701,"")</f>
        <v/>
      </c>
      <c r="Z1701" s="70" t="str">
        <f t="shared" si="589"/>
        <v/>
      </c>
      <c r="AA1701" s="70" t="str">
        <f t="shared" si="590"/>
        <v/>
      </c>
      <c r="AB1701" s="70" t="str">
        <f t="shared" si="591"/>
        <v/>
      </c>
      <c r="AC1701" s="70" t="str">
        <f t="shared" si="592"/>
        <v/>
      </c>
      <c r="AD1701" s="70" t="str">
        <f t="shared" si="593"/>
        <v/>
      </c>
      <c r="AE1701" s="70" t="str">
        <f t="shared" si="594"/>
        <v/>
      </c>
      <c r="AF1701" s="16"/>
      <c r="AG1701" s="23"/>
      <c r="AH1701" s="22"/>
      <c r="AJ1701" s="83">
        <f t="shared" si="595"/>
        <v>0</v>
      </c>
      <c r="AO1701" s="22" t="str">
        <f t="shared" si="596"/>
        <v/>
      </c>
      <c r="AP1701" s="22" t="str">
        <f t="shared" si="597"/>
        <v/>
      </c>
    </row>
    <row r="1702" spans="1:42" x14ac:dyDescent="0.25">
      <c r="A1702" s="10"/>
      <c r="B1702" s="10"/>
      <c r="C1702" s="10"/>
      <c r="D1702" s="10"/>
      <c r="E1702" s="10"/>
      <c r="F1702" s="10"/>
      <c r="G1702" s="10"/>
      <c r="H1702" s="17"/>
      <c r="I1702" s="10"/>
      <c r="J1702" s="10"/>
      <c r="K1702" s="16" t="str">
        <f t="shared" si="576"/>
        <v/>
      </c>
      <c r="L1702" s="23" t="str">
        <f t="shared" si="577"/>
        <v/>
      </c>
      <c r="M1702" s="22" t="str">
        <f t="shared" si="578"/>
        <v/>
      </c>
      <c r="N1702" s="72"/>
      <c r="O1702" s="16" t="str">
        <f t="shared" si="579"/>
        <v/>
      </c>
      <c r="P1702" s="16" t="str">
        <f t="shared" si="580"/>
        <v/>
      </c>
      <c r="Q1702" s="16" t="str">
        <f t="shared" si="581"/>
        <v/>
      </c>
      <c r="R1702" s="23" t="str">
        <f t="shared" si="582"/>
        <v/>
      </c>
      <c r="S1702" s="23" t="str">
        <f t="shared" si="583"/>
        <v/>
      </c>
      <c r="T1702" s="23" t="str">
        <f t="shared" si="584"/>
        <v/>
      </c>
      <c r="U1702" s="23" t="str">
        <f t="shared" si="585"/>
        <v/>
      </c>
      <c r="V1702" s="23" t="str">
        <f t="shared" si="586"/>
        <v/>
      </c>
      <c r="W1702" s="70" t="str">
        <f t="shared" si="587"/>
        <v/>
      </c>
      <c r="X1702" s="70" t="str">
        <f t="shared" si="588"/>
        <v/>
      </c>
      <c r="Y1702" s="70" t="str">
        <f>IF(AND($A1702&lt;&gt;"",$E1702&gt;0),isLaptopBag($C1702,$J1702)*$D1702,"")</f>
        <v/>
      </c>
      <c r="Z1702" s="70" t="str">
        <f t="shared" si="589"/>
        <v/>
      </c>
      <c r="AA1702" s="70" t="str">
        <f t="shared" si="590"/>
        <v/>
      </c>
      <c r="AB1702" s="70" t="str">
        <f t="shared" si="591"/>
        <v/>
      </c>
      <c r="AC1702" s="70" t="str">
        <f t="shared" si="592"/>
        <v/>
      </c>
      <c r="AD1702" s="70" t="str">
        <f t="shared" si="593"/>
        <v/>
      </c>
      <c r="AE1702" s="70" t="str">
        <f t="shared" si="594"/>
        <v/>
      </c>
      <c r="AF1702" s="16"/>
      <c r="AG1702" s="23"/>
      <c r="AH1702" s="22"/>
      <c r="AJ1702" s="83">
        <f t="shared" si="595"/>
        <v>0</v>
      </c>
      <c r="AO1702" s="22" t="str">
        <f t="shared" si="596"/>
        <v/>
      </c>
      <c r="AP1702" s="22" t="str">
        <f t="shared" si="597"/>
        <v/>
      </c>
    </row>
    <row r="1703" spans="1:42" x14ac:dyDescent="0.25">
      <c r="A1703" s="10"/>
      <c r="B1703" s="10"/>
      <c r="C1703" s="10"/>
      <c r="D1703" s="10"/>
      <c r="E1703" s="10"/>
      <c r="F1703" s="10"/>
      <c r="G1703" s="10"/>
      <c r="H1703" s="17"/>
      <c r="I1703" s="10"/>
      <c r="J1703" s="10"/>
      <c r="K1703" s="16" t="str">
        <f t="shared" si="576"/>
        <v/>
      </c>
      <c r="L1703" s="23" t="str">
        <f t="shared" si="577"/>
        <v/>
      </c>
      <c r="M1703" s="22" t="str">
        <f t="shared" si="578"/>
        <v/>
      </c>
      <c r="N1703" s="72"/>
      <c r="O1703" s="16" t="str">
        <f t="shared" si="579"/>
        <v/>
      </c>
      <c r="P1703" s="16" t="str">
        <f t="shared" si="580"/>
        <v/>
      </c>
      <c r="Q1703" s="16" t="str">
        <f t="shared" si="581"/>
        <v/>
      </c>
      <c r="R1703" s="23" t="str">
        <f t="shared" si="582"/>
        <v/>
      </c>
      <c r="S1703" s="23" t="str">
        <f t="shared" si="583"/>
        <v/>
      </c>
      <c r="T1703" s="23" t="str">
        <f t="shared" si="584"/>
        <v/>
      </c>
      <c r="U1703" s="23" t="str">
        <f t="shared" si="585"/>
        <v/>
      </c>
      <c r="V1703" s="23" t="str">
        <f t="shared" si="586"/>
        <v/>
      </c>
      <c r="W1703" s="70" t="str">
        <f t="shared" si="587"/>
        <v/>
      </c>
      <c r="X1703" s="70" t="str">
        <f t="shared" si="588"/>
        <v/>
      </c>
      <c r="Y1703" s="70" t="str">
        <f>IF(AND($A1703&lt;&gt;"",$E1703&gt;0),isLaptopBag($C1703,$J1703)*$D1703,"")</f>
        <v/>
      </c>
      <c r="Z1703" s="70" t="str">
        <f t="shared" si="589"/>
        <v/>
      </c>
      <c r="AA1703" s="70" t="str">
        <f t="shared" si="590"/>
        <v/>
      </c>
      <c r="AB1703" s="70" t="str">
        <f t="shared" si="591"/>
        <v/>
      </c>
      <c r="AC1703" s="70" t="str">
        <f t="shared" si="592"/>
        <v/>
      </c>
      <c r="AD1703" s="70" t="str">
        <f t="shared" si="593"/>
        <v/>
      </c>
      <c r="AE1703" s="70" t="str">
        <f t="shared" si="594"/>
        <v/>
      </c>
      <c r="AF1703" s="16"/>
      <c r="AG1703" s="23"/>
      <c r="AH1703" s="22"/>
      <c r="AJ1703" s="83">
        <f t="shared" si="595"/>
        <v>0</v>
      </c>
      <c r="AO1703" s="22" t="str">
        <f t="shared" si="596"/>
        <v/>
      </c>
      <c r="AP1703" s="22" t="str">
        <f t="shared" si="597"/>
        <v/>
      </c>
    </row>
    <row r="1704" spans="1:42" x14ac:dyDescent="0.25">
      <c r="A1704" s="10"/>
      <c r="B1704" s="10"/>
      <c r="C1704" s="10"/>
      <c r="D1704" s="10"/>
      <c r="E1704" s="10"/>
      <c r="F1704" s="10"/>
      <c r="G1704" s="10"/>
      <c r="H1704" s="17"/>
      <c r="I1704" s="10"/>
      <c r="J1704" s="10"/>
      <c r="K1704" s="16" t="str">
        <f t="shared" si="576"/>
        <v/>
      </c>
      <c r="L1704" s="23" t="str">
        <f t="shared" si="577"/>
        <v/>
      </c>
      <c r="M1704" s="22" t="str">
        <f t="shared" si="578"/>
        <v/>
      </c>
      <c r="N1704" s="72"/>
      <c r="O1704" s="16" t="str">
        <f t="shared" si="579"/>
        <v/>
      </c>
      <c r="P1704" s="16" t="str">
        <f t="shared" si="580"/>
        <v/>
      </c>
      <c r="Q1704" s="16" t="str">
        <f t="shared" si="581"/>
        <v/>
      </c>
      <c r="R1704" s="23" t="str">
        <f t="shared" si="582"/>
        <v/>
      </c>
      <c r="S1704" s="23" t="str">
        <f t="shared" si="583"/>
        <v/>
      </c>
      <c r="T1704" s="23" t="str">
        <f t="shared" si="584"/>
        <v/>
      </c>
      <c r="U1704" s="23" t="str">
        <f t="shared" si="585"/>
        <v/>
      </c>
      <c r="V1704" s="23" t="str">
        <f t="shared" si="586"/>
        <v/>
      </c>
      <c r="W1704" s="70" t="str">
        <f t="shared" si="587"/>
        <v/>
      </c>
      <c r="X1704" s="70" t="str">
        <f t="shared" si="588"/>
        <v/>
      </c>
      <c r="Y1704" s="70" t="str">
        <f>IF(AND($A1704&lt;&gt;"",$E1704&gt;0),isLaptopBag($C1704,$J1704)*$D1704,"")</f>
        <v/>
      </c>
      <c r="Z1704" s="70" t="str">
        <f t="shared" si="589"/>
        <v/>
      </c>
      <c r="AA1704" s="70" t="str">
        <f t="shared" si="590"/>
        <v/>
      </c>
      <c r="AB1704" s="70" t="str">
        <f t="shared" si="591"/>
        <v/>
      </c>
      <c r="AC1704" s="70" t="str">
        <f t="shared" si="592"/>
        <v/>
      </c>
      <c r="AD1704" s="70" t="str">
        <f t="shared" si="593"/>
        <v/>
      </c>
      <c r="AE1704" s="70" t="str">
        <f t="shared" si="594"/>
        <v/>
      </c>
      <c r="AF1704" s="16"/>
      <c r="AG1704" s="23"/>
      <c r="AH1704" s="22"/>
      <c r="AJ1704" s="83">
        <f t="shared" si="595"/>
        <v>0</v>
      </c>
      <c r="AO1704" s="22" t="str">
        <f t="shared" si="596"/>
        <v/>
      </c>
      <c r="AP1704" s="22" t="str">
        <f t="shared" si="597"/>
        <v/>
      </c>
    </row>
    <row r="1705" spans="1:42" x14ac:dyDescent="0.25">
      <c r="A1705" s="10"/>
      <c r="B1705" s="10"/>
      <c r="C1705" s="10"/>
      <c r="D1705" s="10"/>
      <c r="E1705" s="10"/>
      <c r="F1705" s="10"/>
      <c r="G1705" s="10"/>
      <c r="H1705" s="17"/>
      <c r="I1705" s="10"/>
      <c r="J1705" s="10"/>
      <c r="K1705" s="16" t="str">
        <f t="shared" si="576"/>
        <v/>
      </c>
      <c r="L1705" s="23" t="str">
        <f t="shared" si="577"/>
        <v/>
      </c>
      <c r="M1705" s="22" t="str">
        <f t="shared" si="578"/>
        <v/>
      </c>
      <c r="N1705" s="72"/>
      <c r="O1705" s="16" t="str">
        <f t="shared" si="579"/>
        <v/>
      </c>
      <c r="P1705" s="16" t="str">
        <f t="shared" si="580"/>
        <v/>
      </c>
      <c r="Q1705" s="16" t="str">
        <f t="shared" si="581"/>
        <v/>
      </c>
      <c r="R1705" s="23" t="str">
        <f t="shared" si="582"/>
        <v/>
      </c>
      <c r="S1705" s="23" t="str">
        <f t="shared" si="583"/>
        <v/>
      </c>
      <c r="T1705" s="23" t="str">
        <f t="shared" si="584"/>
        <v/>
      </c>
      <c r="U1705" s="23" t="str">
        <f t="shared" si="585"/>
        <v/>
      </c>
      <c r="V1705" s="23" t="str">
        <f t="shared" si="586"/>
        <v/>
      </c>
      <c r="W1705" s="70" t="str">
        <f t="shared" si="587"/>
        <v/>
      </c>
      <c r="X1705" s="70" t="str">
        <f t="shared" si="588"/>
        <v/>
      </c>
      <c r="Y1705" s="70" t="str">
        <f>IF(AND($A1705&lt;&gt;"",$E1705&gt;0),isLaptopBag($C1705,$J1705)*$D1705,"")</f>
        <v/>
      </c>
      <c r="Z1705" s="70" t="str">
        <f t="shared" si="589"/>
        <v/>
      </c>
      <c r="AA1705" s="70" t="str">
        <f t="shared" si="590"/>
        <v/>
      </c>
      <c r="AB1705" s="70" t="str">
        <f t="shared" si="591"/>
        <v/>
      </c>
      <c r="AC1705" s="70" t="str">
        <f t="shared" si="592"/>
        <v/>
      </c>
      <c r="AD1705" s="70" t="str">
        <f t="shared" si="593"/>
        <v/>
      </c>
      <c r="AE1705" s="70" t="str">
        <f t="shared" si="594"/>
        <v/>
      </c>
      <c r="AF1705" s="16"/>
      <c r="AG1705" s="23"/>
      <c r="AH1705" s="22"/>
      <c r="AJ1705" s="83">
        <f t="shared" si="595"/>
        <v>0</v>
      </c>
      <c r="AO1705" s="22" t="str">
        <f t="shared" si="596"/>
        <v/>
      </c>
      <c r="AP1705" s="22" t="str">
        <f t="shared" si="597"/>
        <v/>
      </c>
    </row>
    <row r="1706" spans="1:42" x14ac:dyDescent="0.25">
      <c r="A1706" s="10"/>
      <c r="B1706" s="10"/>
      <c r="C1706" s="10"/>
      <c r="D1706" s="10"/>
      <c r="E1706" s="10"/>
      <c r="F1706" s="10"/>
      <c r="G1706" s="10"/>
      <c r="H1706" s="17"/>
      <c r="I1706" s="10"/>
      <c r="J1706" s="10"/>
      <c r="K1706" s="16" t="str">
        <f t="shared" si="576"/>
        <v/>
      </c>
      <c r="L1706" s="23" t="str">
        <f t="shared" si="577"/>
        <v/>
      </c>
      <c r="M1706" s="22" t="str">
        <f t="shared" si="578"/>
        <v/>
      </c>
      <c r="N1706" s="72"/>
      <c r="O1706" s="16" t="str">
        <f t="shared" si="579"/>
        <v/>
      </c>
      <c r="P1706" s="16" t="str">
        <f t="shared" si="580"/>
        <v/>
      </c>
      <c r="Q1706" s="16" t="str">
        <f t="shared" si="581"/>
        <v/>
      </c>
      <c r="R1706" s="23" t="str">
        <f t="shared" si="582"/>
        <v/>
      </c>
      <c r="S1706" s="23" t="str">
        <f t="shared" si="583"/>
        <v/>
      </c>
      <c r="T1706" s="23" t="str">
        <f t="shared" si="584"/>
        <v/>
      </c>
      <c r="U1706" s="23" t="str">
        <f t="shared" si="585"/>
        <v/>
      </c>
      <c r="V1706" s="23" t="str">
        <f t="shared" si="586"/>
        <v/>
      </c>
      <c r="W1706" s="70" t="str">
        <f t="shared" si="587"/>
        <v/>
      </c>
      <c r="X1706" s="70" t="str">
        <f t="shared" si="588"/>
        <v/>
      </c>
      <c r="Y1706" s="70" t="str">
        <f>IF(AND($A1706&lt;&gt;"",$E1706&gt;0),isLaptopBag($C1706,$J1706)*$D1706,"")</f>
        <v/>
      </c>
      <c r="Z1706" s="70" t="str">
        <f t="shared" si="589"/>
        <v/>
      </c>
      <c r="AA1706" s="70" t="str">
        <f t="shared" si="590"/>
        <v/>
      </c>
      <c r="AB1706" s="70" t="str">
        <f t="shared" si="591"/>
        <v/>
      </c>
      <c r="AC1706" s="70" t="str">
        <f t="shared" si="592"/>
        <v/>
      </c>
      <c r="AD1706" s="70" t="str">
        <f t="shared" si="593"/>
        <v/>
      </c>
      <c r="AE1706" s="70" t="str">
        <f t="shared" si="594"/>
        <v/>
      </c>
      <c r="AF1706" s="16"/>
      <c r="AG1706" s="23"/>
      <c r="AH1706" s="22"/>
      <c r="AJ1706" s="83">
        <f t="shared" si="595"/>
        <v>0</v>
      </c>
      <c r="AO1706" s="22" t="str">
        <f t="shared" si="596"/>
        <v/>
      </c>
      <c r="AP1706" s="22" t="str">
        <f t="shared" si="597"/>
        <v/>
      </c>
    </row>
    <row r="1707" spans="1:42" x14ac:dyDescent="0.25">
      <c r="A1707" s="10"/>
      <c r="B1707" s="10"/>
      <c r="C1707" s="10"/>
      <c r="D1707" s="10"/>
      <c r="E1707" s="10"/>
      <c r="F1707" s="10"/>
      <c r="G1707" s="10"/>
      <c r="H1707" s="17"/>
      <c r="I1707" s="10"/>
      <c r="J1707" s="10"/>
      <c r="K1707" s="16" t="str">
        <f t="shared" si="576"/>
        <v/>
      </c>
      <c r="L1707" s="23" t="str">
        <f t="shared" si="577"/>
        <v/>
      </c>
      <c r="M1707" s="22" t="str">
        <f t="shared" si="578"/>
        <v/>
      </c>
      <c r="N1707" s="72"/>
      <c r="O1707" s="16" t="str">
        <f t="shared" si="579"/>
        <v/>
      </c>
      <c r="P1707" s="16" t="str">
        <f t="shared" si="580"/>
        <v/>
      </c>
      <c r="Q1707" s="16" t="str">
        <f t="shared" si="581"/>
        <v/>
      </c>
      <c r="R1707" s="23" t="str">
        <f t="shared" si="582"/>
        <v/>
      </c>
      <c r="S1707" s="23" t="str">
        <f t="shared" si="583"/>
        <v/>
      </c>
      <c r="T1707" s="23" t="str">
        <f t="shared" si="584"/>
        <v/>
      </c>
      <c r="U1707" s="23" t="str">
        <f t="shared" si="585"/>
        <v/>
      </c>
      <c r="V1707" s="23" t="str">
        <f t="shared" si="586"/>
        <v/>
      </c>
      <c r="W1707" s="70" t="str">
        <f t="shared" si="587"/>
        <v/>
      </c>
      <c r="X1707" s="70" t="str">
        <f t="shared" si="588"/>
        <v/>
      </c>
      <c r="Y1707" s="70" t="str">
        <f>IF(AND($A1707&lt;&gt;"",$E1707&gt;0),isLaptopBag($C1707,$J1707)*$D1707,"")</f>
        <v/>
      </c>
      <c r="Z1707" s="70" t="str">
        <f t="shared" si="589"/>
        <v/>
      </c>
      <c r="AA1707" s="70" t="str">
        <f t="shared" si="590"/>
        <v/>
      </c>
      <c r="AB1707" s="70" t="str">
        <f t="shared" si="591"/>
        <v/>
      </c>
      <c r="AC1707" s="70" t="str">
        <f t="shared" si="592"/>
        <v/>
      </c>
      <c r="AD1707" s="70" t="str">
        <f t="shared" si="593"/>
        <v/>
      </c>
      <c r="AE1707" s="70" t="str">
        <f t="shared" si="594"/>
        <v/>
      </c>
      <c r="AF1707" s="16"/>
      <c r="AG1707" s="23"/>
      <c r="AH1707" s="22"/>
      <c r="AJ1707" s="83">
        <f t="shared" si="595"/>
        <v>0</v>
      </c>
      <c r="AO1707" s="22" t="str">
        <f t="shared" si="596"/>
        <v/>
      </c>
      <c r="AP1707" s="22" t="str">
        <f t="shared" si="597"/>
        <v/>
      </c>
    </row>
    <row r="1708" spans="1:42" x14ac:dyDescent="0.25">
      <c r="A1708" s="10"/>
      <c r="B1708" s="10"/>
      <c r="C1708" s="10"/>
      <c r="D1708" s="10"/>
      <c r="E1708" s="10"/>
      <c r="F1708" s="10"/>
      <c r="G1708" s="10"/>
      <c r="H1708" s="17"/>
      <c r="I1708" s="10"/>
      <c r="J1708" s="10"/>
      <c r="K1708" s="16" t="str">
        <f t="shared" si="576"/>
        <v/>
      </c>
      <c r="L1708" s="23" t="str">
        <f t="shared" si="577"/>
        <v/>
      </c>
      <c r="M1708" s="22" t="str">
        <f t="shared" si="578"/>
        <v/>
      </c>
      <c r="N1708" s="72"/>
      <c r="O1708" s="16" t="str">
        <f t="shared" si="579"/>
        <v/>
      </c>
      <c r="P1708" s="16" t="str">
        <f t="shared" si="580"/>
        <v/>
      </c>
      <c r="Q1708" s="16" t="str">
        <f t="shared" si="581"/>
        <v/>
      </c>
      <c r="R1708" s="23" t="str">
        <f t="shared" si="582"/>
        <v/>
      </c>
      <c r="S1708" s="23" t="str">
        <f t="shared" si="583"/>
        <v/>
      </c>
      <c r="T1708" s="23" t="str">
        <f t="shared" si="584"/>
        <v/>
      </c>
      <c r="U1708" s="23" t="str">
        <f t="shared" si="585"/>
        <v/>
      </c>
      <c r="V1708" s="23" t="str">
        <f t="shared" si="586"/>
        <v/>
      </c>
      <c r="W1708" s="70" t="str">
        <f t="shared" si="587"/>
        <v/>
      </c>
      <c r="X1708" s="70" t="str">
        <f t="shared" si="588"/>
        <v/>
      </c>
      <c r="Y1708" s="70" t="str">
        <f>IF(AND($A1708&lt;&gt;"",$E1708&gt;0),isLaptopBag($C1708,$J1708)*$D1708,"")</f>
        <v/>
      </c>
      <c r="Z1708" s="70" t="str">
        <f t="shared" si="589"/>
        <v/>
      </c>
      <c r="AA1708" s="70" t="str">
        <f t="shared" si="590"/>
        <v/>
      </c>
      <c r="AB1708" s="70" t="str">
        <f t="shared" si="591"/>
        <v/>
      </c>
      <c r="AC1708" s="70" t="str">
        <f t="shared" si="592"/>
        <v/>
      </c>
      <c r="AD1708" s="70" t="str">
        <f t="shared" si="593"/>
        <v/>
      </c>
      <c r="AE1708" s="70" t="str">
        <f t="shared" si="594"/>
        <v/>
      </c>
      <c r="AF1708" s="16"/>
      <c r="AG1708" s="23"/>
      <c r="AH1708" s="22"/>
      <c r="AJ1708" s="83">
        <f t="shared" si="595"/>
        <v>0</v>
      </c>
      <c r="AO1708" s="22" t="str">
        <f t="shared" si="596"/>
        <v/>
      </c>
      <c r="AP1708" s="22" t="str">
        <f t="shared" si="597"/>
        <v/>
      </c>
    </row>
    <row r="1709" spans="1:42" x14ac:dyDescent="0.25">
      <c r="A1709" s="10"/>
      <c r="B1709" s="10"/>
      <c r="C1709" s="10"/>
      <c r="D1709" s="10"/>
      <c r="E1709" s="10"/>
      <c r="F1709" s="10"/>
      <c r="G1709" s="10"/>
      <c r="H1709" s="17"/>
      <c r="I1709" s="10"/>
      <c r="J1709" s="10"/>
      <c r="K1709" s="16" t="str">
        <f t="shared" si="576"/>
        <v/>
      </c>
      <c r="L1709" s="23" t="str">
        <f t="shared" si="577"/>
        <v/>
      </c>
      <c r="M1709" s="22" t="str">
        <f t="shared" si="578"/>
        <v/>
      </c>
      <c r="N1709" s="72"/>
      <c r="O1709" s="16" t="str">
        <f t="shared" si="579"/>
        <v/>
      </c>
      <c r="P1709" s="16" t="str">
        <f t="shared" si="580"/>
        <v/>
      </c>
      <c r="Q1709" s="16" t="str">
        <f t="shared" si="581"/>
        <v/>
      </c>
      <c r="R1709" s="23" t="str">
        <f t="shared" si="582"/>
        <v/>
      </c>
      <c r="S1709" s="23" t="str">
        <f t="shared" si="583"/>
        <v/>
      </c>
      <c r="T1709" s="23" t="str">
        <f t="shared" si="584"/>
        <v/>
      </c>
      <c r="U1709" s="23" t="str">
        <f t="shared" si="585"/>
        <v/>
      </c>
      <c r="V1709" s="23" t="str">
        <f t="shared" si="586"/>
        <v/>
      </c>
      <c r="W1709" s="70" t="str">
        <f t="shared" si="587"/>
        <v/>
      </c>
      <c r="X1709" s="70" t="str">
        <f t="shared" si="588"/>
        <v/>
      </c>
      <c r="Y1709" s="70" t="str">
        <f>IF(AND($A1709&lt;&gt;"",$E1709&gt;0),isLaptopBag($C1709,$J1709)*$D1709,"")</f>
        <v/>
      </c>
      <c r="Z1709" s="70" t="str">
        <f t="shared" si="589"/>
        <v/>
      </c>
      <c r="AA1709" s="70" t="str">
        <f t="shared" si="590"/>
        <v/>
      </c>
      <c r="AB1709" s="70" t="str">
        <f t="shared" si="591"/>
        <v/>
      </c>
      <c r="AC1709" s="70" t="str">
        <f t="shared" si="592"/>
        <v/>
      </c>
      <c r="AD1709" s="70" t="str">
        <f t="shared" si="593"/>
        <v/>
      </c>
      <c r="AE1709" s="70" t="str">
        <f t="shared" si="594"/>
        <v/>
      </c>
      <c r="AF1709" s="16"/>
      <c r="AG1709" s="23"/>
      <c r="AH1709" s="22"/>
      <c r="AJ1709" s="83">
        <f t="shared" si="595"/>
        <v>0</v>
      </c>
      <c r="AO1709" s="22" t="str">
        <f t="shared" si="596"/>
        <v/>
      </c>
      <c r="AP1709" s="22" t="str">
        <f t="shared" si="597"/>
        <v/>
      </c>
    </row>
    <row r="1710" spans="1:42" x14ac:dyDescent="0.25">
      <c r="A1710" s="10"/>
      <c r="B1710" s="10"/>
      <c r="C1710" s="10"/>
      <c r="D1710" s="10"/>
      <c r="E1710" s="10"/>
      <c r="F1710" s="10"/>
      <c r="G1710" s="10"/>
      <c r="H1710" s="17"/>
      <c r="I1710" s="10"/>
      <c r="J1710" s="10"/>
      <c r="K1710" s="16" t="str">
        <f t="shared" si="576"/>
        <v/>
      </c>
      <c r="L1710" s="23" t="str">
        <f t="shared" si="577"/>
        <v/>
      </c>
      <c r="M1710" s="22" t="str">
        <f t="shared" si="578"/>
        <v/>
      </c>
      <c r="N1710" s="72"/>
      <c r="O1710" s="16" t="str">
        <f t="shared" si="579"/>
        <v/>
      </c>
      <c r="P1710" s="16" t="str">
        <f t="shared" si="580"/>
        <v/>
      </c>
      <c r="Q1710" s="16" t="str">
        <f t="shared" si="581"/>
        <v/>
      </c>
      <c r="R1710" s="23" t="str">
        <f t="shared" si="582"/>
        <v/>
      </c>
      <c r="S1710" s="23" t="str">
        <f t="shared" si="583"/>
        <v/>
      </c>
      <c r="T1710" s="23" t="str">
        <f t="shared" si="584"/>
        <v/>
      </c>
      <c r="U1710" s="23" t="str">
        <f t="shared" si="585"/>
        <v/>
      </c>
      <c r="V1710" s="23" t="str">
        <f t="shared" si="586"/>
        <v/>
      </c>
      <c r="W1710" s="70" t="str">
        <f t="shared" si="587"/>
        <v/>
      </c>
      <c r="X1710" s="70" t="str">
        <f t="shared" si="588"/>
        <v/>
      </c>
      <c r="Y1710" s="70" t="str">
        <f>IF(AND($A1710&lt;&gt;"",$E1710&gt;0),isLaptopBag($C1710,$J1710)*$D1710,"")</f>
        <v/>
      </c>
      <c r="Z1710" s="70" t="str">
        <f t="shared" si="589"/>
        <v/>
      </c>
      <c r="AA1710" s="70" t="str">
        <f t="shared" si="590"/>
        <v/>
      </c>
      <c r="AB1710" s="70" t="str">
        <f t="shared" si="591"/>
        <v/>
      </c>
      <c r="AC1710" s="70" t="str">
        <f t="shared" si="592"/>
        <v/>
      </c>
      <c r="AD1710" s="70" t="str">
        <f t="shared" si="593"/>
        <v/>
      </c>
      <c r="AE1710" s="70" t="str">
        <f t="shared" si="594"/>
        <v/>
      </c>
      <c r="AF1710" s="16"/>
      <c r="AG1710" s="23"/>
      <c r="AH1710" s="22"/>
      <c r="AJ1710" s="83">
        <f t="shared" si="595"/>
        <v>0</v>
      </c>
      <c r="AO1710" s="22" t="str">
        <f t="shared" si="596"/>
        <v/>
      </c>
      <c r="AP1710" s="22" t="str">
        <f t="shared" si="597"/>
        <v/>
      </c>
    </row>
    <row r="1711" spans="1:42" x14ac:dyDescent="0.25">
      <c r="A1711" s="10"/>
      <c r="B1711" s="10"/>
      <c r="C1711" s="10"/>
      <c r="D1711" s="10"/>
      <c r="E1711" s="10"/>
      <c r="F1711" s="10"/>
      <c r="G1711" s="10"/>
      <c r="H1711" s="17"/>
      <c r="I1711" s="10"/>
      <c r="J1711" s="10"/>
      <c r="K1711" s="16" t="str">
        <f t="shared" si="576"/>
        <v/>
      </c>
      <c r="L1711" s="23" t="str">
        <f t="shared" si="577"/>
        <v/>
      </c>
      <c r="M1711" s="22" t="str">
        <f t="shared" si="578"/>
        <v/>
      </c>
      <c r="N1711" s="72"/>
      <c r="O1711" s="16" t="str">
        <f t="shared" si="579"/>
        <v/>
      </c>
      <c r="P1711" s="16" t="str">
        <f t="shared" si="580"/>
        <v/>
      </c>
      <c r="Q1711" s="16" t="str">
        <f t="shared" si="581"/>
        <v/>
      </c>
      <c r="R1711" s="23" t="str">
        <f t="shared" si="582"/>
        <v/>
      </c>
      <c r="S1711" s="23" t="str">
        <f t="shared" si="583"/>
        <v/>
      </c>
      <c r="T1711" s="23" t="str">
        <f t="shared" si="584"/>
        <v/>
      </c>
      <c r="U1711" s="23" t="str">
        <f t="shared" si="585"/>
        <v/>
      </c>
      <c r="V1711" s="23" t="str">
        <f t="shared" si="586"/>
        <v/>
      </c>
      <c r="W1711" s="70" t="str">
        <f t="shared" si="587"/>
        <v/>
      </c>
      <c r="X1711" s="70" t="str">
        <f t="shared" si="588"/>
        <v/>
      </c>
      <c r="Y1711" s="70" t="str">
        <f>IF(AND($A1711&lt;&gt;"",$E1711&gt;0),isLaptopBag($C1711,$J1711)*$D1711,"")</f>
        <v/>
      </c>
      <c r="Z1711" s="70" t="str">
        <f t="shared" si="589"/>
        <v/>
      </c>
      <c r="AA1711" s="70" t="str">
        <f t="shared" si="590"/>
        <v/>
      </c>
      <c r="AB1711" s="70" t="str">
        <f t="shared" si="591"/>
        <v/>
      </c>
      <c r="AC1711" s="70" t="str">
        <f t="shared" si="592"/>
        <v/>
      </c>
      <c r="AD1711" s="70" t="str">
        <f t="shared" si="593"/>
        <v/>
      </c>
      <c r="AE1711" s="70" t="str">
        <f t="shared" si="594"/>
        <v/>
      </c>
      <c r="AF1711" s="16"/>
      <c r="AG1711" s="23"/>
      <c r="AH1711" s="22"/>
      <c r="AJ1711" s="83">
        <f t="shared" si="595"/>
        <v>0</v>
      </c>
      <c r="AO1711" s="22" t="str">
        <f t="shared" si="596"/>
        <v/>
      </c>
      <c r="AP1711" s="22" t="str">
        <f t="shared" si="597"/>
        <v/>
      </c>
    </row>
    <row r="1712" spans="1:42" x14ac:dyDescent="0.25">
      <c r="A1712" s="10"/>
      <c r="B1712" s="10"/>
      <c r="C1712" s="10"/>
      <c r="D1712" s="10"/>
      <c r="E1712" s="10"/>
      <c r="F1712" s="10"/>
      <c r="G1712" s="10"/>
      <c r="H1712" s="17"/>
      <c r="I1712" s="10"/>
      <c r="J1712" s="10"/>
      <c r="K1712" s="16" t="str">
        <f t="shared" si="576"/>
        <v/>
      </c>
      <c r="L1712" s="23" t="str">
        <f t="shared" si="577"/>
        <v/>
      </c>
      <c r="M1712" s="22" t="str">
        <f t="shared" si="578"/>
        <v/>
      </c>
      <c r="N1712" s="72"/>
      <c r="O1712" s="16" t="str">
        <f t="shared" si="579"/>
        <v/>
      </c>
      <c r="P1712" s="16" t="str">
        <f t="shared" si="580"/>
        <v/>
      </c>
      <c r="Q1712" s="16" t="str">
        <f t="shared" si="581"/>
        <v/>
      </c>
      <c r="R1712" s="23" t="str">
        <f t="shared" si="582"/>
        <v/>
      </c>
      <c r="S1712" s="23" t="str">
        <f t="shared" si="583"/>
        <v/>
      </c>
      <c r="T1712" s="23" t="str">
        <f t="shared" si="584"/>
        <v/>
      </c>
      <c r="U1712" s="23" t="str">
        <f t="shared" si="585"/>
        <v/>
      </c>
      <c r="V1712" s="23" t="str">
        <f t="shared" si="586"/>
        <v/>
      </c>
      <c r="W1712" s="70" t="str">
        <f t="shared" si="587"/>
        <v/>
      </c>
      <c r="X1712" s="70" t="str">
        <f t="shared" si="588"/>
        <v/>
      </c>
      <c r="Y1712" s="70" t="str">
        <f>IF(AND($A1712&lt;&gt;"",$E1712&gt;0),isLaptopBag($C1712,$J1712)*$D1712,"")</f>
        <v/>
      </c>
      <c r="Z1712" s="70" t="str">
        <f t="shared" si="589"/>
        <v/>
      </c>
      <c r="AA1712" s="70" t="str">
        <f t="shared" si="590"/>
        <v/>
      </c>
      <c r="AB1712" s="70" t="str">
        <f t="shared" si="591"/>
        <v/>
      </c>
      <c r="AC1712" s="70" t="str">
        <f t="shared" si="592"/>
        <v/>
      </c>
      <c r="AD1712" s="70" t="str">
        <f t="shared" si="593"/>
        <v/>
      </c>
      <c r="AE1712" s="70" t="str">
        <f t="shared" si="594"/>
        <v/>
      </c>
      <c r="AF1712" s="16"/>
      <c r="AG1712" s="23"/>
      <c r="AH1712" s="22"/>
      <c r="AJ1712" s="83">
        <f t="shared" si="595"/>
        <v>0</v>
      </c>
      <c r="AO1712" s="22" t="str">
        <f t="shared" si="596"/>
        <v/>
      </c>
      <c r="AP1712" s="22" t="str">
        <f t="shared" si="597"/>
        <v/>
      </c>
    </row>
    <row r="1713" spans="1:42" x14ac:dyDescent="0.25">
      <c r="A1713" s="10"/>
      <c r="B1713" s="10"/>
      <c r="C1713" s="10"/>
      <c r="D1713" s="10"/>
      <c r="E1713" s="10"/>
      <c r="F1713" s="10"/>
      <c r="G1713" s="10"/>
      <c r="H1713" s="17"/>
      <c r="I1713" s="10"/>
      <c r="J1713" s="10"/>
      <c r="K1713" s="16" t="str">
        <f t="shared" si="576"/>
        <v/>
      </c>
      <c r="L1713" s="23" t="str">
        <f t="shared" si="577"/>
        <v/>
      </c>
      <c r="M1713" s="22" t="str">
        <f t="shared" si="578"/>
        <v/>
      </c>
      <c r="N1713" s="72"/>
      <c r="O1713" s="16" t="str">
        <f t="shared" si="579"/>
        <v/>
      </c>
      <c r="P1713" s="16" t="str">
        <f t="shared" si="580"/>
        <v/>
      </c>
      <c r="Q1713" s="16" t="str">
        <f t="shared" si="581"/>
        <v/>
      </c>
      <c r="R1713" s="23" t="str">
        <f t="shared" si="582"/>
        <v/>
      </c>
      <c r="S1713" s="23" t="str">
        <f t="shared" si="583"/>
        <v/>
      </c>
      <c r="T1713" s="23" t="str">
        <f t="shared" si="584"/>
        <v/>
      </c>
      <c r="U1713" s="23" t="str">
        <f t="shared" si="585"/>
        <v/>
      </c>
      <c r="V1713" s="23" t="str">
        <f t="shared" si="586"/>
        <v/>
      </c>
      <c r="W1713" s="70" t="str">
        <f t="shared" si="587"/>
        <v/>
      </c>
      <c r="X1713" s="70" t="str">
        <f t="shared" si="588"/>
        <v/>
      </c>
      <c r="Y1713" s="70" t="str">
        <f>IF(AND($A1713&lt;&gt;"",$E1713&gt;0),isLaptopBag($C1713,$J1713)*$D1713,"")</f>
        <v/>
      </c>
      <c r="Z1713" s="70" t="str">
        <f t="shared" si="589"/>
        <v/>
      </c>
      <c r="AA1713" s="70" t="str">
        <f t="shared" si="590"/>
        <v/>
      </c>
      <c r="AB1713" s="70" t="str">
        <f t="shared" si="591"/>
        <v/>
      </c>
      <c r="AC1713" s="70" t="str">
        <f t="shared" si="592"/>
        <v/>
      </c>
      <c r="AD1713" s="70" t="str">
        <f t="shared" si="593"/>
        <v/>
      </c>
      <c r="AE1713" s="70" t="str">
        <f t="shared" si="594"/>
        <v/>
      </c>
      <c r="AF1713" s="16"/>
      <c r="AG1713" s="23"/>
      <c r="AH1713" s="22"/>
      <c r="AJ1713" s="83">
        <f t="shared" si="595"/>
        <v>0</v>
      </c>
      <c r="AO1713" s="22" t="str">
        <f t="shared" si="596"/>
        <v/>
      </c>
      <c r="AP1713" s="22" t="str">
        <f t="shared" si="597"/>
        <v/>
      </c>
    </row>
    <row r="1714" spans="1:42" x14ac:dyDescent="0.25">
      <c r="A1714" s="10"/>
      <c r="B1714" s="10"/>
      <c r="C1714" s="10"/>
      <c r="D1714" s="10"/>
      <c r="E1714" s="10"/>
      <c r="F1714" s="10"/>
      <c r="G1714" s="10"/>
      <c r="H1714" s="17"/>
      <c r="I1714" s="10"/>
      <c r="J1714" s="10"/>
      <c r="K1714" s="16" t="str">
        <f t="shared" si="576"/>
        <v/>
      </c>
      <c r="L1714" s="23" t="str">
        <f t="shared" si="577"/>
        <v/>
      </c>
      <c r="M1714" s="22" t="str">
        <f t="shared" si="578"/>
        <v/>
      </c>
      <c r="N1714" s="72"/>
      <c r="O1714" s="16" t="str">
        <f t="shared" si="579"/>
        <v/>
      </c>
      <c r="P1714" s="16" t="str">
        <f t="shared" si="580"/>
        <v/>
      </c>
      <c r="Q1714" s="16" t="str">
        <f t="shared" si="581"/>
        <v/>
      </c>
      <c r="R1714" s="23" t="str">
        <f t="shared" si="582"/>
        <v/>
      </c>
      <c r="S1714" s="23" t="str">
        <f t="shared" si="583"/>
        <v/>
      </c>
      <c r="T1714" s="23" t="str">
        <f t="shared" si="584"/>
        <v/>
      </c>
      <c r="U1714" s="23" t="str">
        <f t="shared" si="585"/>
        <v/>
      </c>
      <c r="V1714" s="23" t="str">
        <f t="shared" si="586"/>
        <v/>
      </c>
      <c r="W1714" s="70" t="str">
        <f t="shared" si="587"/>
        <v/>
      </c>
      <c r="X1714" s="70" t="str">
        <f t="shared" si="588"/>
        <v/>
      </c>
      <c r="Y1714" s="70" t="str">
        <f>IF(AND($A1714&lt;&gt;"",$E1714&gt;0),isLaptopBag($C1714,$J1714)*$D1714,"")</f>
        <v/>
      </c>
      <c r="Z1714" s="70" t="str">
        <f t="shared" si="589"/>
        <v/>
      </c>
      <c r="AA1714" s="70" t="str">
        <f t="shared" si="590"/>
        <v/>
      </c>
      <c r="AB1714" s="70" t="str">
        <f t="shared" si="591"/>
        <v/>
      </c>
      <c r="AC1714" s="70" t="str">
        <f t="shared" si="592"/>
        <v/>
      </c>
      <c r="AD1714" s="70" t="str">
        <f t="shared" si="593"/>
        <v/>
      </c>
      <c r="AE1714" s="70" t="str">
        <f t="shared" si="594"/>
        <v/>
      </c>
      <c r="AF1714" s="16"/>
      <c r="AG1714" s="23"/>
      <c r="AH1714" s="22"/>
      <c r="AJ1714" s="83">
        <f t="shared" si="595"/>
        <v>0</v>
      </c>
      <c r="AO1714" s="22" t="str">
        <f t="shared" si="596"/>
        <v/>
      </c>
      <c r="AP1714" s="22" t="str">
        <f t="shared" si="597"/>
        <v/>
      </c>
    </row>
    <row r="1715" spans="1:42" x14ac:dyDescent="0.25">
      <c r="A1715" s="10"/>
      <c r="B1715" s="10"/>
      <c r="C1715" s="10"/>
      <c r="D1715" s="10"/>
      <c r="E1715" s="10"/>
      <c r="F1715" s="10"/>
      <c r="G1715" s="10"/>
      <c r="H1715" s="17"/>
      <c r="I1715" s="10"/>
      <c r="J1715" s="10"/>
      <c r="K1715" s="16" t="str">
        <f t="shared" si="576"/>
        <v/>
      </c>
      <c r="L1715" s="23" t="str">
        <f t="shared" si="577"/>
        <v/>
      </c>
      <c r="M1715" s="22" t="str">
        <f t="shared" si="578"/>
        <v/>
      </c>
      <c r="N1715" s="72"/>
      <c r="O1715" s="16" t="str">
        <f t="shared" si="579"/>
        <v/>
      </c>
      <c r="P1715" s="16" t="str">
        <f t="shared" si="580"/>
        <v/>
      </c>
      <c r="Q1715" s="16" t="str">
        <f t="shared" si="581"/>
        <v/>
      </c>
      <c r="R1715" s="23" t="str">
        <f t="shared" si="582"/>
        <v/>
      </c>
      <c r="S1715" s="23" t="str">
        <f t="shared" si="583"/>
        <v/>
      </c>
      <c r="T1715" s="23" t="str">
        <f t="shared" si="584"/>
        <v/>
      </c>
      <c r="U1715" s="23" t="str">
        <f t="shared" si="585"/>
        <v/>
      </c>
      <c r="V1715" s="23" t="str">
        <f t="shared" si="586"/>
        <v/>
      </c>
      <c r="W1715" s="70" t="str">
        <f t="shared" si="587"/>
        <v/>
      </c>
      <c r="X1715" s="70" t="str">
        <f t="shared" si="588"/>
        <v/>
      </c>
      <c r="Y1715" s="70" t="str">
        <f>IF(AND($A1715&lt;&gt;"",$E1715&gt;0),isLaptopBag($C1715,$J1715)*$D1715,"")</f>
        <v/>
      </c>
      <c r="Z1715" s="70" t="str">
        <f t="shared" si="589"/>
        <v/>
      </c>
      <c r="AA1715" s="70" t="str">
        <f t="shared" si="590"/>
        <v/>
      </c>
      <c r="AB1715" s="70" t="str">
        <f t="shared" si="591"/>
        <v/>
      </c>
      <c r="AC1715" s="70" t="str">
        <f t="shared" si="592"/>
        <v/>
      </c>
      <c r="AD1715" s="70" t="str">
        <f t="shared" si="593"/>
        <v/>
      </c>
      <c r="AE1715" s="70" t="str">
        <f t="shared" si="594"/>
        <v/>
      </c>
      <c r="AF1715" s="16"/>
      <c r="AG1715" s="23"/>
      <c r="AH1715" s="22"/>
      <c r="AJ1715" s="83">
        <f t="shared" si="595"/>
        <v>0</v>
      </c>
      <c r="AO1715" s="22" t="str">
        <f t="shared" si="596"/>
        <v/>
      </c>
      <c r="AP1715" s="22" t="str">
        <f t="shared" si="597"/>
        <v/>
      </c>
    </row>
    <row r="1716" spans="1:42" x14ac:dyDescent="0.25">
      <c r="A1716" s="10"/>
      <c r="B1716" s="10"/>
      <c r="C1716" s="10"/>
      <c r="D1716" s="10"/>
      <c r="E1716" s="10"/>
      <c r="F1716" s="10"/>
      <c r="G1716" s="10"/>
      <c r="H1716" s="17"/>
      <c r="I1716" s="10"/>
      <c r="J1716" s="10"/>
      <c r="K1716" s="16" t="str">
        <f t="shared" si="576"/>
        <v/>
      </c>
      <c r="L1716" s="23" t="str">
        <f t="shared" si="577"/>
        <v/>
      </c>
      <c r="M1716" s="22" t="str">
        <f t="shared" si="578"/>
        <v/>
      </c>
      <c r="N1716" s="72"/>
      <c r="O1716" s="16" t="str">
        <f t="shared" si="579"/>
        <v/>
      </c>
      <c r="P1716" s="16" t="str">
        <f t="shared" si="580"/>
        <v/>
      </c>
      <c r="Q1716" s="16" t="str">
        <f t="shared" si="581"/>
        <v/>
      </c>
      <c r="R1716" s="23" t="str">
        <f t="shared" si="582"/>
        <v/>
      </c>
      <c r="S1716" s="23" t="str">
        <f t="shared" si="583"/>
        <v/>
      </c>
      <c r="T1716" s="23" t="str">
        <f t="shared" si="584"/>
        <v/>
      </c>
      <c r="U1716" s="23" t="str">
        <f t="shared" si="585"/>
        <v/>
      </c>
      <c r="V1716" s="23" t="str">
        <f t="shared" si="586"/>
        <v/>
      </c>
      <c r="W1716" s="70" t="str">
        <f t="shared" si="587"/>
        <v/>
      </c>
      <c r="X1716" s="70" t="str">
        <f t="shared" si="588"/>
        <v/>
      </c>
      <c r="Y1716" s="70" t="str">
        <f>IF(AND($A1716&lt;&gt;"",$E1716&gt;0),isLaptopBag($C1716,$J1716)*$D1716,"")</f>
        <v/>
      </c>
      <c r="Z1716" s="70" t="str">
        <f t="shared" si="589"/>
        <v/>
      </c>
      <c r="AA1716" s="70" t="str">
        <f t="shared" si="590"/>
        <v/>
      </c>
      <c r="AB1716" s="70" t="str">
        <f t="shared" si="591"/>
        <v/>
      </c>
      <c r="AC1716" s="70" t="str">
        <f t="shared" si="592"/>
        <v/>
      </c>
      <c r="AD1716" s="70" t="str">
        <f t="shared" si="593"/>
        <v/>
      </c>
      <c r="AE1716" s="70" t="str">
        <f t="shared" si="594"/>
        <v/>
      </c>
      <c r="AF1716" s="16"/>
      <c r="AG1716" s="23"/>
      <c r="AH1716" s="22"/>
      <c r="AJ1716" s="83">
        <f t="shared" si="595"/>
        <v>0</v>
      </c>
      <c r="AO1716" s="22" t="str">
        <f t="shared" si="596"/>
        <v/>
      </c>
      <c r="AP1716" s="22" t="str">
        <f t="shared" si="597"/>
        <v/>
      </c>
    </row>
    <row r="1717" spans="1:42" x14ac:dyDescent="0.25">
      <c r="A1717" s="10"/>
      <c r="B1717" s="10"/>
      <c r="C1717" s="10"/>
      <c r="D1717" s="10"/>
      <c r="E1717" s="10"/>
      <c r="F1717" s="10"/>
      <c r="G1717" s="10"/>
      <c r="H1717" s="17"/>
      <c r="I1717" s="10"/>
      <c r="J1717" s="10"/>
      <c r="K1717" s="16" t="str">
        <f t="shared" si="576"/>
        <v/>
      </c>
      <c r="L1717" s="23" t="str">
        <f t="shared" si="577"/>
        <v/>
      </c>
      <c r="M1717" s="22" t="str">
        <f t="shared" si="578"/>
        <v/>
      </c>
      <c r="N1717" s="72"/>
      <c r="O1717" s="16" t="str">
        <f t="shared" si="579"/>
        <v/>
      </c>
      <c r="P1717" s="16" t="str">
        <f t="shared" si="580"/>
        <v/>
      </c>
      <c r="Q1717" s="16" t="str">
        <f t="shared" si="581"/>
        <v/>
      </c>
      <c r="R1717" s="23" t="str">
        <f t="shared" si="582"/>
        <v/>
      </c>
      <c r="S1717" s="23" t="str">
        <f t="shared" si="583"/>
        <v/>
      </c>
      <c r="T1717" s="23" t="str">
        <f t="shared" si="584"/>
        <v/>
      </c>
      <c r="U1717" s="23" t="str">
        <f t="shared" si="585"/>
        <v/>
      </c>
      <c r="V1717" s="23" t="str">
        <f t="shared" si="586"/>
        <v/>
      </c>
      <c r="W1717" s="70" t="str">
        <f t="shared" si="587"/>
        <v/>
      </c>
      <c r="X1717" s="70" t="str">
        <f t="shared" si="588"/>
        <v/>
      </c>
      <c r="Y1717" s="70" t="str">
        <f>IF(AND($A1717&lt;&gt;"",$E1717&gt;0),isLaptopBag($C1717,$J1717)*$D1717,"")</f>
        <v/>
      </c>
      <c r="Z1717" s="70" t="str">
        <f t="shared" si="589"/>
        <v/>
      </c>
      <c r="AA1717" s="70" t="str">
        <f t="shared" si="590"/>
        <v/>
      </c>
      <c r="AB1717" s="70" t="str">
        <f t="shared" si="591"/>
        <v/>
      </c>
      <c r="AC1717" s="70" t="str">
        <f t="shared" si="592"/>
        <v/>
      </c>
      <c r="AD1717" s="70" t="str">
        <f t="shared" si="593"/>
        <v/>
      </c>
      <c r="AE1717" s="70" t="str">
        <f t="shared" si="594"/>
        <v/>
      </c>
      <c r="AF1717" s="16"/>
      <c r="AG1717" s="23"/>
      <c r="AH1717" s="22"/>
      <c r="AJ1717" s="83">
        <f t="shared" si="595"/>
        <v>0</v>
      </c>
      <c r="AO1717" s="22" t="str">
        <f t="shared" si="596"/>
        <v/>
      </c>
      <c r="AP1717" s="22" t="str">
        <f t="shared" si="597"/>
        <v/>
      </c>
    </row>
    <row r="1718" spans="1:42" x14ac:dyDescent="0.25">
      <c r="A1718" s="10"/>
      <c r="B1718" s="10"/>
      <c r="C1718" s="10"/>
      <c r="D1718" s="10"/>
      <c r="E1718" s="10"/>
      <c r="F1718" s="10"/>
      <c r="G1718" s="10"/>
      <c r="H1718" s="17"/>
      <c r="I1718" s="10"/>
      <c r="J1718" s="10"/>
      <c r="K1718" s="16" t="str">
        <f t="shared" si="576"/>
        <v/>
      </c>
      <c r="L1718" s="23" t="str">
        <f t="shared" si="577"/>
        <v/>
      </c>
      <c r="M1718" s="22" t="str">
        <f t="shared" si="578"/>
        <v/>
      </c>
      <c r="N1718" s="72"/>
      <c r="O1718" s="16" t="str">
        <f t="shared" si="579"/>
        <v/>
      </c>
      <c r="P1718" s="16" t="str">
        <f t="shared" si="580"/>
        <v/>
      </c>
      <c r="Q1718" s="16" t="str">
        <f t="shared" si="581"/>
        <v/>
      </c>
      <c r="R1718" s="23" t="str">
        <f t="shared" si="582"/>
        <v/>
      </c>
      <c r="S1718" s="23" t="str">
        <f t="shared" si="583"/>
        <v/>
      </c>
      <c r="T1718" s="23" t="str">
        <f t="shared" si="584"/>
        <v/>
      </c>
      <c r="U1718" s="23" t="str">
        <f t="shared" si="585"/>
        <v/>
      </c>
      <c r="V1718" s="23" t="str">
        <f t="shared" si="586"/>
        <v/>
      </c>
      <c r="W1718" s="70" t="str">
        <f t="shared" si="587"/>
        <v/>
      </c>
      <c r="X1718" s="70" t="str">
        <f t="shared" si="588"/>
        <v/>
      </c>
      <c r="Y1718" s="70" t="str">
        <f>IF(AND($A1718&lt;&gt;"",$E1718&gt;0),isLaptopBag($C1718,$J1718)*$D1718,"")</f>
        <v/>
      </c>
      <c r="Z1718" s="70" t="str">
        <f t="shared" si="589"/>
        <v/>
      </c>
      <c r="AA1718" s="70" t="str">
        <f t="shared" si="590"/>
        <v/>
      </c>
      <c r="AB1718" s="70" t="str">
        <f t="shared" si="591"/>
        <v/>
      </c>
      <c r="AC1718" s="70" t="str">
        <f t="shared" si="592"/>
        <v/>
      </c>
      <c r="AD1718" s="70" t="str">
        <f t="shared" si="593"/>
        <v/>
      </c>
      <c r="AE1718" s="70" t="str">
        <f t="shared" si="594"/>
        <v/>
      </c>
      <c r="AF1718" s="16"/>
      <c r="AG1718" s="23"/>
      <c r="AH1718" s="22"/>
      <c r="AJ1718" s="83">
        <f t="shared" si="595"/>
        <v>0</v>
      </c>
      <c r="AO1718" s="22" t="str">
        <f t="shared" si="596"/>
        <v/>
      </c>
      <c r="AP1718" s="22" t="str">
        <f t="shared" si="597"/>
        <v/>
      </c>
    </row>
    <row r="1719" spans="1:42" x14ac:dyDescent="0.25">
      <c r="A1719" s="10"/>
      <c r="B1719" s="10"/>
      <c r="C1719" s="10"/>
      <c r="D1719" s="10"/>
      <c r="E1719" s="10"/>
      <c r="F1719" s="10"/>
      <c r="G1719" s="10"/>
      <c r="H1719" s="17"/>
      <c r="I1719" s="10"/>
      <c r="J1719" s="10"/>
      <c r="K1719" s="16" t="str">
        <f t="shared" si="576"/>
        <v/>
      </c>
      <c r="L1719" s="23" t="str">
        <f t="shared" si="577"/>
        <v/>
      </c>
      <c r="M1719" s="22" t="str">
        <f t="shared" si="578"/>
        <v/>
      </c>
      <c r="N1719" s="72"/>
      <c r="O1719" s="16" t="str">
        <f t="shared" si="579"/>
        <v/>
      </c>
      <c r="P1719" s="16" t="str">
        <f t="shared" si="580"/>
        <v/>
      </c>
      <c r="Q1719" s="16" t="str">
        <f t="shared" si="581"/>
        <v/>
      </c>
      <c r="R1719" s="23" t="str">
        <f t="shared" si="582"/>
        <v/>
      </c>
      <c r="S1719" s="23" t="str">
        <f t="shared" si="583"/>
        <v/>
      </c>
      <c r="T1719" s="23" t="str">
        <f t="shared" si="584"/>
        <v/>
      </c>
      <c r="U1719" s="23" t="str">
        <f t="shared" si="585"/>
        <v/>
      </c>
      <c r="V1719" s="23" t="str">
        <f t="shared" si="586"/>
        <v/>
      </c>
      <c r="W1719" s="70" t="str">
        <f t="shared" si="587"/>
        <v/>
      </c>
      <c r="X1719" s="70" t="str">
        <f t="shared" si="588"/>
        <v/>
      </c>
      <c r="Y1719" s="70" t="str">
        <f>IF(AND($A1719&lt;&gt;"",$E1719&gt;0),isLaptopBag($C1719,$J1719)*$D1719,"")</f>
        <v/>
      </c>
      <c r="Z1719" s="70" t="str">
        <f t="shared" si="589"/>
        <v/>
      </c>
      <c r="AA1719" s="70" t="str">
        <f t="shared" si="590"/>
        <v/>
      </c>
      <c r="AB1719" s="70" t="str">
        <f t="shared" si="591"/>
        <v/>
      </c>
      <c r="AC1719" s="70" t="str">
        <f t="shared" si="592"/>
        <v/>
      </c>
      <c r="AD1719" s="70" t="str">
        <f t="shared" si="593"/>
        <v/>
      </c>
      <c r="AE1719" s="70" t="str">
        <f t="shared" si="594"/>
        <v/>
      </c>
      <c r="AF1719" s="16"/>
      <c r="AG1719" s="23"/>
      <c r="AH1719" s="22"/>
      <c r="AJ1719" s="83">
        <f t="shared" si="595"/>
        <v>0</v>
      </c>
      <c r="AO1719" s="22" t="str">
        <f t="shared" si="596"/>
        <v/>
      </c>
      <c r="AP1719" s="22" t="str">
        <f t="shared" si="597"/>
        <v/>
      </c>
    </row>
    <row r="1720" spans="1:42" x14ac:dyDescent="0.25">
      <c r="A1720" s="10"/>
      <c r="B1720" s="10"/>
      <c r="C1720" s="10"/>
      <c r="D1720" s="10"/>
      <c r="E1720" s="10"/>
      <c r="F1720" s="10"/>
      <c r="G1720" s="10"/>
      <c r="H1720" s="17"/>
      <c r="I1720" s="10"/>
      <c r="J1720" s="10"/>
      <c r="K1720" s="16" t="str">
        <f t="shared" si="576"/>
        <v/>
      </c>
      <c r="L1720" s="23" t="str">
        <f t="shared" si="577"/>
        <v/>
      </c>
      <c r="M1720" s="22" t="str">
        <f t="shared" si="578"/>
        <v/>
      </c>
      <c r="N1720" s="72"/>
      <c r="O1720" s="16" t="str">
        <f t="shared" si="579"/>
        <v/>
      </c>
      <c r="P1720" s="16" t="str">
        <f t="shared" si="580"/>
        <v/>
      </c>
      <c r="Q1720" s="16" t="str">
        <f t="shared" si="581"/>
        <v/>
      </c>
      <c r="R1720" s="23" t="str">
        <f t="shared" si="582"/>
        <v/>
      </c>
      <c r="S1720" s="23" t="str">
        <f t="shared" si="583"/>
        <v/>
      </c>
      <c r="T1720" s="23" t="str">
        <f t="shared" si="584"/>
        <v/>
      </c>
      <c r="U1720" s="23" t="str">
        <f t="shared" si="585"/>
        <v/>
      </c>
      <c r="V1720" s="23" t="str">
        <f t="shared" si="586"/>
        <v/>
      </c>
      <c r="W1720" s="70" t="str">
        <f t="shared" si="587"/>
        <v/>
      </c>
      <c r="X1720" s="70" t="str">
        <f t="shared" si="588"/>
        <v/>
      </c>
      <c r="Y1720" s="70" t="str">
        <f>IF(AND($A1720&lt;&gt;"",$E1720&gt;0),isLaptopBag($C1720,$J1720)*$D1720,"")</f>
        <v/>
      </c>
      <c r="Z1720" s="70" t="str">
        <f t="shared" si="589"/>
        <v/>
      </c>
      <c r="AA1720" s="70" t="str">
        <f t="shared" si="590"/>
        <v/>
      </c>
      <c r="AB1720" s="70" t="str">
        <f t="shared" si="591"/>
        <v/>
      </c>
      <c r="AC1720" s="70" t="str">
        <f t="shared" si="592"/>
        <v/>
      </c>
      <c r="AD1720" s="70" t="str">
        <f t="shared" si="593"/>
        <v/>
      </c>
      <c r="AE1720" s="70" t="str">
        <f t="shared" si="594"/>
        <v/>
      </c>
      <c r="AF1720" s="16"/>
      <c r="AG1720" s="23"/>
      <c r="AH1720" s="22"/>
      <c r="AJ1720" s="83">
        <f t="shared" si="595"/>
        <v>0</v>
      </c>
      <c r="AO1720" s="22" t="str">
        <f t="shared" si="596"/>
        <v/>
      </c>
      <c r="AP1720" s="22" t="str">
        <f t="shared" si="597"/>
        <v/>
      </c>
    </row>
    <row r="1721" spans="1:42" x14ac:dyDescent="0.25">
      <c r="A1721" s="10"/>
      <c r="B1721" s="10"/>
      <c r="C1721" s="10"/>
      <c r="D1721" s="10"/>
      <c r="E1721" s="10"/>
      <c r="F1721" s="10"/>
      <c r="G1721" s="10"/>
      <c r="H1721" s="17"/>
      <c r="I1721" s="10"/>
      <c r="J1721" s="10"/>
      <c r="K1721" s="16" t="str">
        <f t="shared" si="576"/>
        <v/>
      </c>
      <c r="L1721" s="23" t="str">
        <f t="shared" si="577"/>
        <v/>
      </c>
      <c r="M1721" s="22" t="str">
        <f t="shared" si="578"/>
        <v/>
      </c>
      <c r="N1721" s="72"/>
      <c r="O1721" s="16" t="str">
        <f t="shared" si="579"/>
        <v/>
      </c>
      <c r="P1721" s="16" t="str">
        <f t="shared" si="580"/>
        <v/>
      </c>
      <c r="Q1721" s="16" t="str">
        <f t="shared" si="581"/>
        <v/>
      </c>
      <c r="R1721" s="23" t="str">
        <f t="shared" si="582"/>
        <v/>
      </c>
      <c r="S1721" s="23" t="str">
        <f t="shared" si="583"/>
        <v/>
      </c>
      <c r="T1721" s="23" t="str">
        <f t="shared" si="584"/>
        <v/>
      </c>
      <c r="U1721" s="23" t="str">
        <f t="shared" si="585"/>
        <v/>
      </c>
      <c r="V1721" s="23" t="str">
        <f t="shared" si="586"/>
        <v/>
      </c>
      <c r="W1721" s="70" t="str">
        <f t="shared" si="587"/>
        <v/>
      </c>
      <c r="X1721" s="70" t="str">
        <f t="shared" si="588"/>
        <v/>
      </c>
      <c r="Y1721" s="70" t="str">
        <f>IF(AND($A1721&lt;&gt;"",$E1721&gt;0),isLaptopBag($C1721,$J1721)*$D1721,"")</f>
        <v/>
      </c>
      <c r="Z1721" s="70" t="str">
        <f t="shared" si="589"/>
        <v/>
      </c>
      <c r="AA1721" s="70" t="str">
        <f t="shared" si="590"/>
        <v/>
      </c>
      <c r="AB1721" s="70" t="str">
        <f t="shared" si="591"/>
        <v/>
      </c>
      <c r="AC1721" s="70" t="str">
        <f t="shared" si="592"/>
        <v/>
      </c>
      <c r="AD1721" s="70" t="str">
        <f t="shared" si="593"/>
        <v/>
      </c>
      <c r="AE1721" s="70" t="str">
        <f t="shared" si="594"/>
        <v/>
      </c>
      <c r="AF1721" s="16"/>
      <c r="AG1721" s="23"/>
      <c r="AH1721" s="22"/>
      <c r="AJ1721" s="83">
        <f t="shared" si="595"/>
        <v>0</v>
      </c>
      <c r="AO1721" s="22" t="str">
        <f t="shared" si="596"/>
        <v/>
      </c>
      <c r="AP1721" s="22" t="str">
        <f t="shared" si="597"/>
        <v/>
      </c>
    </row>
    <row r="1722" spans="1:42" x14ac:dyDescent="0.25">
      <c r="A1722" s="10"/>
      <c r="B1722" s="10"/>
      <c r="C1722" s="10"/>
      <c r="D1722" s="10"/>
      <c r="E1722" s="10"/>
      <c r="F1722" s="10"/>
      <c r="G1722" s="10"/>
      <c r="H1722" s="17"/>
      <c r="I1722" s="10"/>
      <c r="J1722" s="10"/>
      <c r="K1722" s="16" t="str">
        <f t="shared" si="576"/>
        <v/>
      </c>
      <c r="L1722" s="23" t="str">
        <f t="shared" si="577"/>
        <v/>
      </c>
      <c r="M1722" s="22" t="str">
        <f t="shared" si="578"/>
        <v/>
      </c>
      <c r="N1722" s="72"/>
      <c r="O1722" s="16" t="str">
        <f t="shared" si="579"/>
        <v/>
      </c>
      <c r="P1722" s="16" t="str">
        <f t="shared" si="580"/>
        <v/>
      </c>
      <c r="Q1722" s="16" t="str">
        <f t="shared" si="581"/>
        <v/>
      </c>
      <c r="R1722" s="23" t="str">
        <f t="shared" si="582"/>
        <v/>
      </c>
      <c r="S1722" s="23" t="str">
        <f t="shared" si="583"/>
        <v/>
      </c>
      <c r="T1722" s="23" t="str">
        <f t="shared" si="584"/>
        <v/>
      </c>
      <c r="U1722" s="23" t="str">
        <f t="shared" si="585"/>
        <v/>
      </c>
      <c r="V1722" s="23" t="str">
        <f t="shared" si="586"/>
        <v/>
      </c>
      <c r="W1722" s="70" t="str">
        <f t="shared" si="587"/>
        <v/>
      </c>
      <c r="X1722" s="70" t="str">
        <f t="shared" si="588"/>
        <v/>
      </c>
      <c r="Y1722" s="70" t="str">
        <f>IF(AND($A1722&lt;&gt;"",$E1722&gt;0),isLaptopBag($C1722,$J1722)*$D1722,"")</f>
        <v/>
      </c>
      <c r="Z1722" s="70" t="str">
        <f t="shared" si="589"/>
        <v/>
      </c>
      <c r="AA1722" s="70" t="str">
        <f t="shared" si="590"/>
        <v/>
      </c>
      <c r="AB1722" s="70" t="str">
        <f t="shared" si="591"/>
        <v/>
      </c>
      <c r="AC1722" s="70" t="str">
        <f t="shared" si="592"/>
        <v/>
      </c>
      <c r="AD1722" s="70" t="str">
        <f t="shared" si="593"/>
        <v/>
      </c>
      <c r="AE1722" s="70" t="str">
        <f t="shared" si="594"/>
        <v/>
      </c>
      <c r="AF1722" s="16"/>
      <c r="AG1722" s="23"/>
      <c r="AH1722" s="22"/>
      <c r="AJ1722" s="83">
        <f t="shared" si="595"/>
        <v>0</v>
      </c>
      <c r="AO1722" s="22" t="str">
        <f t="shared" si="596"/>
        <v/>
      </c>
      <c r="AP1722" s="22" t="str">
        <f t="shared" si="597"/>
        <v/>
      </c>
    </row>
    <row r="1723" spans="1:42" x14ac:dyDescent="0.25">
      <c r="A1723" s="10"/>
      <c r="B1723" s="10"/>
      <c r="C1723" s="10"/>
      <c r="D1723" s="10"/>
      <c r="E1723" s="10"/>
      <c r="F1723" s="10"/>
      <c r="G1723" s="10"/>
      <c r="H1723" s="17"/>
      <c r="I1723" s="10"/>
      <c r="J1723" s="10"/>
      <c r="K1723" s="16" t="str">
        <f t="shared" si="576"/>
        <v/>
      </c>
      <c r="L1723" s="23" t="str">
        <f t="shared" si="577"/>
        <v/>
      </c>
      <c r="M1723" s="22" t="str">
        <f t="shared" si="578"/>
        <v/>
      </c>
      <c r="N1723" s="72"/>
      <c r="O1723" s="16" t="str">
        <f t="shared" si="579"/>
        <v/>
      </c>
      <c r="P1723" s="16" t="str">
        <f t="shared" si="580"/>
        <v/>
      </c>
      <c r="Q1723" s="16" t="str">
        <f t="shared" si="581"/>
        <v/>
      </c>
      <c r="R1723" s="23" t="str">
        <f t="shared" si="582"/>
        <v/>
      </c>
      <c r="S1723" s="23" t="str">
        <f t="shared" si="583"/>
        <v/>
      </c>
      <c r="T1723" s="23" t="str">
        <f t="shared" si="584"/>
        <v/>
      </c>
      <c r="U1723" s="23" t="str">
        <f t="shared" si="585"/>
        <v/>
      </c>
      <c r="V1723" s="23" t="str">
        <f t="shared" si="586"/>
        <v/>
      </c>
      <c r="W1723" s="70" t="str">
        <f t="shared" si="587"/>
        <v/>
      </c>
      <c r="X1723" s="70" t="str">
        <f t="shared" si="588"/>
        <v/>
      </c>
      <c r="Y1723" s="70" t="str">
        <f>IF(AND($A1723&lt;&gt;"",$E1723&gt;0),isLaptopBag($C1723,$J1723)*$D1723,"")</f>
        <v/>
      </c>
      <c r="Z1723" s="70" t="str">
        <f t="shared" si="589"/>
        <v/>
      </c>
      <c r="AA1723" s="70" t="str">
        <f t="shared" si="590"/>
        <v/>
      </c>
      <c r="AB1723" s="70" t="str">
        <f t="shared" si="591"/>
        <v/>
      </c>
      <c r="AC1723" s="70" t="str">
        <f t="shared" si="592"/>
        <v/>
      </c>
      <c r="AD1723" s="70" t="str">
        <f t="shared" si="593"/>
        <v/>
      </c>
      <c r="AE1723" s="70" t="str">
        <f t="shared" si="594"/>
        <v/>
      </c>
      <c r="AF1723" s="16"/>
      <c r="AG1723" s="23"/>
      <c r="AH1723" s="22"/>
      <c r="AJ1723" s="83">
        <f t="shared" si="595"/>
        <v>0</v>
      </c>
      <c r="AO1723" s="22" t="str">
        <f t="shared" si="596"/>
        <v/>
      </c>
      <c r="AP1723" s="22" t="str">
        <f t="shared" si="597"/>
        <v/>
      </c>
    </row>
    <row r="1724" spans="1:42" x14ac:dyDescent="0.25">
      <c r="A1724" s="10"/>
      <c r="B1724" s="10"/>
      <c r="C1724" s="10"/>
      <c r="D1724" s="10"/>
      <c r="E1724" s="10"/>
      <c r="F1724" s="10"/>
      <c r="G1724" s="10"/>
      <c r="H1724" s="17"/>
      <c r="I1724" s="10"/>
      <c r="J1724" s="10"/>
      <c r="K1724" s="16" t="str">
        <f t="shared" si="576"/>
        <v/>
      </c>
      <c r="L1724" s="23" t="str">
        <f t="shared" si="577"/>
        <v/>
      </c>
      <c r="M1724" s="22" t="str">
        <f t="shared" si="578"/>
        <v/>
      </c>
      <c r="N1724" s="72"/>
      <c r="O1724" s="16" t="str">
        <f t="shared" si="579"/>
        <v/>
      </c>
      <c r="P1724" s="16" t="str">
        <f t="shared" si="580"/>
        <v/>
      </c>
      <c r="Q1724" s="16" t="str">
        <f t="shared" si="581"/>
        <v/>
      </c>
      <c r="R1724" s="23" t="str">
        <f t="shared" si="582"/>
        <v/>
      </c>
      <c r="S1724" s="23" t="str">
        <f t="shared" si="583"/>
        <v/>
      </c>
      <c r="T1724" s="23" t="str">
        <f t="shared" si="584"/>
        <v/>
      </c>
      <c r="U1724" s="23" t="str">
        <f t="shared" si="585"/>
        <v/>
      </c>
      <c r="V1724" s="23" t="str">
        <f t="shared" si="586"/>
        <v/>
      </c>
      <c r="W1724" s="70" t="str">
        <f t="shared" si="587"/>
        <v/>
      </c>
      <c r="X1724" s="70" t="str">
        <f t="shared" si="588"/>
        <v/>
      </c>
      <c r="Y1724" s="70" t="str">
        <f>IF(AND($A1724&lt;&gt;"",$E1724&gt;0),isLaptopBag($C1724,$J1724)*$D1724,"")</f>
        <v/>
      </c>
      <c r="Z1724" s="70" t="str">
        <f t="shared" si="589"/>
        <v/>
      </c>
      <c r="AA1724" s="70" t="str">
        <f t="shared" si="590"/>
        <v/>
      </c>
      <c r="AB1724" s="70" t="str">
        <f t="shared" si="591"/>
        <v/>
      </c>
      <c r="AC1724" s="70" t="str">
        <f t="shared" si="592"/>
        <v/>
      </c>
      <c r="AD1724" s="70" t="str">
        <f t="shared" si="593"/>
        <v/>
      </c>
      <c r="AE1724" s="70" t="str">
        <f t="shared" si="594"/>
        <v/>
      </c>
      <c r="AF1724" s="16"/>
      <c r="AG1724" s="23"/>
      <c r="AH1724" s="22"/>
      <c r="AJ1724" s="83">
        <f t="shared" si="595"/>
        <v>0</v>
      </c>
      <c r="AO1724" s="22" t="str">
        <f t="shared" si="596"/>
        <v/>
      </c>
      <c r="AP1724" s="22" t="str">
        <f t="shared" si="597"/>
        <v/>
      </c>
    </row>
    <row r="1725" spans="1:42" x14ac:dyDescent="0.25">
      <c r="A1725" s="10"/>
      <c r="B1725" s="10"/>
      <c r="C1725" s="10"/>
      <c r="D1725" s="10"/>
      <c r="E1725" s="10"/>
      <c r="F1725" s="10"/>
      <c r="G1725" s="10"/>
      <c r="H1725" s="17"/>
      <c r="I1725" s="10"/>
      <c r="J1725" s="10"/>
      <c r="K1725" s="16" t="str">
        <f t="shared" si="576"/>
        <v/>
      </c>
      <c r="L1725" s="23" t="str">
        <f t="shared" si="577"/>
        <v/>
      </c>
      <c r="M1725" s="22" t="str">
        <f t="shared" si="578"/>
        <v/>
      </c>
      <c r="N1725" s="72"/>
      <c r="O1725" s="16" t="str">
        <f t="shared" si="579"/>
        <v/>
      </c>
      <c r="P1725" s="16" t="str">
        <f t="shared" si="580"/>
        <v/>
      </c>
      <c r="Q1725" s="16" t="str">
        <f t="shared" si="581"/>
        <v/>
      </c>
      <c r="R1725" s="23" t="str">
        <f t="shared" si="582"/>
        <v/>
      </c>
      <c r="S1725" s="23" t="str">
        <f t="shared" si="583"/>
        <v/>
      </c>
      <c r="T1725" s="23" t="str">
        <f t="shared" si="584"/>
        <v/>
      </c>
      <c r="U1725" s="23" t="str">
        <f t="shared" si="585"/>
        <v/>
      </c>
      <c r="V1725" s="23" t="str">
        <f t="shared" si="586"/>
        <v/>
      </c>
      <c r="W1725" s="70" t="str">
        <f t="shared" si="587"/>
        <v/>
      </c>
      <c r="X1725" s="70" t="str">
        <f t="shared" si="588"/>
        <v/>
      </c>
      <c r="Y1725" s="70" t="str">
        <f>IF(AND($A1725&lt;&gt;"",$E1725&gt;0),isLaptopBag($C1725,$J1725)*$D1725,"")</f>
        <v/>
      </c>
      <c r="Z1725" s="70" t="str">
        <f t="shared" si="589"/>
        <v/>
      </c>
      <c r="AA1725" s="70" t="str">
        <f t="shared" si="590"/>
        <v/>
      </c>
      <c r="AB1725" s="70" t="str">
        <f t="shared" si="591"/>
        <v/>
      </c>
      <c r="AC1725" s="70" t="str">
        <f t="shared" si="592"/>
        <v/>
      </c>
      <c r="AD1725" s="70" t="str">
        <f t="shared" si="593"/>
        <v/>
      </c>
      <c r="AE1725" s="70" t="str">
        <f t="shared" si="594"/>
        <v/>
      </c>
      <c r="AF1725" s="16"/>
      <c r="AG1725" s="23"/>
      <c r="AH1725" s="22"/>
      <c r="AJ1725" s="83">
        <f t="shared" si="595"/>
        <v>0</v>
      </c>
      <c r="AO1725" s="22" t="str">
        <f t="shared" si="596"/>
        <v/>
      </c>
      <c r="AP1725" s="22" t="str">
        <f t="shared" si="597"/>
        <v/>
      </c>
    </row>
    <row r="1726" spans="1:42" x14ac:dyDescent="0.25">
      <c r="A1726" s="10"/>
      <c r="B1726" s="10"/>
      <c r="C1726" s="10"/>
      <c r="D1726" s="10"/>
      <c r="E1726" s="10"/>
      <c r="F1726" s="10"/>
      <c r="G1726" s="10"/>
      <c r="H1726" s="17"/>
      <c r="I1726" s="10"/>
      <c r="J1726" s="10"/>
      <c r="K1726" s="16" t="str">
        <f t="shared" si="576"/>
        <v/>
      </c>
      <c r="L1726" s="23" t="str">
        <f t="shared" si="577"/>
        <v/>
      </c>
      <c r="M1726" s="22" t="str">
        <f t="shared" si="578"/>
        <v/>
      </c>
      <c r="N1726" s="72"/>
      <c r="O1726" s="16" t="str">
        <f t="shared" si="579"/>
        <v/>
      </c>
      <c r="P1726" s="16" t="str">
        <f t="shared" si="580"/>
        <v/>
      </c>
      <c r="Q1726" s="16" t="str">
        <f t="shared" si="581"/>
        <v/>
      </c>
      <c r="R1726" s="23" t="str">
        <f t="shared" si="582"/>
        <v/>
      </c>
      <c r="S1726" s="23" t="str">
        <f t="shared" si="583"/>
        <v/>
      </c>
      <c r="T1726" s="23" t="str">
        <f t="shared" si="584"/>
        <v/>
      </c>
      <c r="U1726" s="23" t="str">
        <f t="shared" si="585"/>
        <v/>
      </c>
      <c r="V1726" s="23" t="str">
        <f t="shared" si="586"/>
        <v/>
      </c>
      <c r="W1726" s="70" t="str">
        <f t="shared" si="587"/>
        <v/>
      </c>
      <c r="X1726" s="70" t="str">
        <f t="shared" si="588"/>
        <v/>
      </c>
      <c r="Y1726" s="70" t="str">
        <f>IF(AND($A1726&lt;&gt;"",$E1726&gt;0),isLaptopBag($C1726,$J1726)*$D1726,"")</f>
        <v/>
      </c>
      <c r="Z1726" s="70" t="str">
        <f t="shared" si="589"/>
        <v/>
      </c>
      <c r="AA1726" s="70" t="str">
        <f t="shared" si="590"/>
        <v/>
      </c>
      <c r="AB1726" s="70" t="str">
        <f t="shared" si="591"/>
        <v/>
      </c>
      <c r="AC1726" s="70" t="str">
        <f t="shared" si="592"/>
        <v/>
      </c>
      <c r="AD1726" s="70" t="str">
        <f t="shared" si="593"/>
        <v/>
      </c>
      <c r="AE1726" s="70" t="str">
        <f t="shared" si="594"/>
        <v/>
      </c>
      <c r="AF1726" s="16"/>
      <c r="AG1726" s="23"/>
      <c r="AH1726" s="22"/>
      <c r="AJ1726" s="83">
        <f t="shared" si="595"/>
        <v>0</v>
      </c>
      <c r="AO1726" s="22" t="str">
        <f t="shared" si="596"/>
        <v/>
      </c>
      <c r="AP1726" s="22" t="str">
        <f t="shared" si="597"/>
        <v/>
      </c>
    </row>
    <row r="1727" spans="1:42" x14ac:dyDescent="0.25">
      <c r="A1727" s="10"/>
      <c r="B1727" s="10"/>
      <c r="C1727" s="10"/>
      <c r="D1727" s="10"/>
      <c r="E1727" s="10"/>
      <c r="F1727" s="10"/>
      <c r="G1727" s="10"/>
      <c r="H1727" s="17"/>
      <c r="I1727" s="10"/>
      <c r="J1727" s="10"/>
      <c r="K1727" s="16" t="str">
        <f t="shared" si="576"/>
        <v/>
      </c>
      <c r="L1727" s="23" t="str">
        <f t="shared" si="577"/>
        <v/>
      </c>
      <c r="M1727" s="22" t="str">
        <f t="shared" si="578"/>
        <v/>
      </c>
      <c r="N1727" s="72"/>
      <c r="O1727" s="16" t="str">
        <f t="shared" si="579"/>
        <v/>
      </c>
      <c r="P1727" s="16" t="str">
        <f t="shared" si="580"/>
        <v/>
      </c>
      <c r="Q1727" s="16" t="str">
        <f t="shared" si="581"/>
        <v/>
      </c>
      <c r="R1727" s="23" t="str">
        <f t="shared" si="582"/>
        <v/>
      </c>
      <c r="S1727" s="23" t="str">
        <f t="shared" si="583"/>
        <v/>
      </c>
      <c r="T1727" s="23" t="str">
        <f t="shared" si="584"/>
        <v/>
      </c>
      <c r="U1727" s="23" t="str">
        <f t="shared" si="585"/>
        <v/>
      </c>
      <c r="V1727" s="23" t="str">
        <f t="shared" si="586"/>
        <v/>
      </c>
      <c r="W1727" s="70" t="str">
        <f t="shared" si="587"/>
        <v/>
      </c>
      <c r="X1727" s="70" t="str">
        <f t="shared" si="588"/>
        <v/>
      </c>
      <c r="Y1727" s="70" t="str">
        <f>IF(AND($A1727&lt;&gt;"",$E1727&gt;0),isLaptopBag($C1727,$J1727)*$D1727,"")</f>
        <v/>
      </c>
      <c r="Z1727" s="70" t="str">
        <f t="shared" si="589"/>
        <v/>
      </c>
      <c r="AA1727" s="70" t="str">
        <f t="shared" si="590"/>
        <v/>
      </c>
      <c r="AB1727" s="70" t="str">
        <f t="shared" si="591"/>
        <v/>
      </c>
      <c r="AC1727" s="70" t="str">
        <f t="shared" si="592"/>
        <v/>
      </c>
      <c r="AD1727" s="70" t="str">
        <f t="shared" si="593"/>
        <v/>
      </c>
      <c r="AE1727" s="70" t="str">
        <f t="shared" si="594"/>
        <v/>
      </c>
      <c r="AF1727" s="16"/>
      <c r="AG1727" s="23"/>
      <c r="AH1727" s="22"/>
      <c r="AJ1727" s="83">
        <f t="shared" si="595"/>
        <v>0</v>
      </c>
      <c r="AO1727" s="22" t="str">
        <f t="shared" si="596"/>
        <v/>
      </c>
      <c r="AP1727" s="22" t="str">
        <f t="shared" si="597"/>
        <v/>
      </c>
    </row>
    <row r="1728" spans="1:42" x14ac:dyDescent="0.25">
      <c r="A1728" s="10"/>
      <c r="B1728" s="10"/>
      <c r="C1728" s="10"/>
      <c r="D1728" s="10"/>
      <c r="E1728" s="10"/>
      <c r="F1728" s="10"/>
      <c r="G1728" s="10"/>
      <c r="H1728" s="17"/>
      <c r="I1728" s="10"/>
      <c r="J1728" s="10"/>
      <c r="K1728" s="16" t="str">
        <f t="shared" si="576"/>
        <v/>
      </c>
      <c r="L1728" s="23" t="str">
        <f t="shared" si="577"/>
        <v/>
      </c>
      <c r="M1728" s="22" t="str">
        <f t="shared" si="578"/>
        <v/>
      </c>
      <c r="N1728" s="72"/>
      <c r="O1728" s="16" t="str">
        <f t="shared" si="579"/>
        <v/>
      </c>
      <c r="P1728" s="16" t="str">
        <f t="shared" si="580"/>
        <v/>
      </c>
      <c r="Q1728" s="16" t="str">
        <f t="shared" si="581"/>
        <v/>
      </c>
      <c r="R1728" s="23" t="str">
        <f t="shared" si="582"/>
        <v/>
      </c>
      <c r="S1728" s="23" t="str">
        <f t="shared" si="583"/>
        <v/>
      </c>
      <c r="T1728" s="23" t="str">
        <f t="shared" si="584"/>
        <v/>
      </c>
      <c r="U1728" s="23" t="str">
        <f t="shared" si="585"/>
        <v/>
      </c>
      <c r="V1728" s="23" t="str">
        <f t="shared" si="586"/>
        <v/>
      </c>
      <c r="W1728" s="70" t="str">
        <f t="shared" si="587"/>
        <v/>
      </c>
      <c r="X1728" s="70" t="str">
        <f t="shared" si="588"/>
        <v/>
      </c>
      <c r="Y1728" s="70" t="str">
        <f>IF(AND($A1728&lt;&gt;"",$E1728&gt;0),isLaptopBag($C1728,$J1728)*$D1728,"")</f>
        <v/>
      </c>
      <c r="Z1728" s="70" t="str">
        <f t="shared" si="589"/>
        <v/>
      </c>
      <c r="AA1728" s="70" t="str">
        <f t="shared" si="590"/>
        <v/>
      </c>
      <c r="AB1728" s="70" t="str">
        <f t="shared" si="591"/>
        <v/>
      </c>
      <c r="AC1728" s="70" t="str">
        <f t="shared" si="592"/>
        <v/>
      </c>
      <c r="AD1728" s="70" t="str">
        <f t="shared" si="593"/>
        <v/>
      </c>
      <c r="AE1728" s="70" t="str">
        <f t="shared" si="594"/>
        <v/>
      </c>
      <c r="AF1728" s="16"/>
      <c r="AG1728" s="23"/>
      <c r="AH1728" s="22"/>
      <c r="AJ1728" s="83">
        <f t="shared" si="595"/>
        <v>0</v>
      </c>
      <c r="AO1728" s="22" t="str">
        <f t="shared" si="596"/>
        <v/>
      </c>
      <c r="AP1728" s="22" t="str">
        <f t="shared" si="597"/>
        <v/>
      </c>
    </row>
    <row r="1729" spans="1:42" x14ac:dyDescent="0.25">
      <c r="A1729" s="10"/>
      <c r="B1729" s="10"/>
      <c r="C1729" s="10"/>
      <c r="D1729" s="10"/>
      <c r="E1729" s="10"/>
      <c r="F1729" s="10"/>
      <c r="G1729" s="10"/>
      <c r="H1729" s="17"/>
      <c r="I1729" s="10"/>
      <c r="J1729" s="10"/>
      <c r="K1729" s="16" t="str">
        <f t="shared" si="576"/>
        <v/>
      </c>
      <c r="L1729" s="23" t="str">
        <f t="shared" si="577"/>
        <v/>
      </c>
      <c r="M1729" s="22" t="str">
        <f t="shared" si="578"/>
        <v/>
      </c>
      <c r="N1729" s="72"/>
      <c r="O1729" s="16" t="str">
        <f t="shared" si="579"/>
        <v/>
      </c>
      <c r="P1729" s="16" t="str">
        <f t="shared" si="580"/>
        <v/>
      </c>
      <c r="Q1729" s="16" t="str">
        <f t="shared" si="581"/>
        <v/>
      </c>
      <c r="R1729" s="23" t="str">
        <f t="shared" si="582"/>
        <v/>
      </c>
      <c r="S1729" s="23" t="str">
        <f t="shared" si="583"/>
        <v/>
      </c>
      <c r="T1729" s="23" t="str">
        <f t="shared" si="584"/>
        <v/>
      </c>
      <c r="U1729" s="23" t="str">
        <f t="shared" si="585"/>
        <v/>
      </c>
      <c r="V1729" s="23" t="str">
        <f t="shared" si="586"/>
        <v/>
      </c>
      <c r="W1729" s="70" t="str">
        <f t="shared" si="587"/>
        <v/>
      </c>
      <c r="X1729" s="70" t="str">
        <f t="shared" si="588"/>
        <v/>
      </c>
      <c r="Y1729" s="70" t="str">
        <f>IF(AND($A1729&lt;&gt;"",$E1729&gt;0),isLaptopBag($C1729,$J1729)*$D1729,"")</f>
        <v/>
      </c>
      <c r="Z1729" s="70" t="str">
        <f t="shared" si="589"/>
        <v/>
      </c>
      <c r="AA1729" s="70" t="str">
        <f t="shared" si="590"/>
        <v/>
      </c>
      <c r="AB1729" s="70" t="str">
        <f t="shared" si="591"/>
        <v/>
      </c>
      <c r="AC1729" s="70" t="str">
        <f t="shared" si="592"/>
        <v/>
      </c>
      <c r="AD1729" s="70" t="str">
        <f t="shared" si="593"/>
        <v/>
      </c>
      <c r="AE1729" s="70" t="str">
        <f t="shared" si="594"/>
        <v/>
      </c>
      <c r="AF1729" s="16"/>
      <c r="AG1729" s="23"/>
      <c r="AH1729" s="22"/>
      <c r="AJ1729" s="83">
        <f t="shared" si="595"/>
        <v>0</v>
      </c>
      <c r="AO1729" s="22" t="str">
        <f t="shared" si="596"/>
        <v/>
      </c>
      <c r="AP1729" s="22" t="str">
        <f t="shared" si="597"/>
        <v/>
      </c>
    </row>
    <row r="1730" spans="1:42" x14ac:dyDescent="0.25">
      <c r="A1730" s="10"/>
      <c r="B1730" s="10"/>
      <c r="C1730" s="10"/>
      <c r="D1730" s="10"/>
      <c r="E1730" s="10"/>
      <c r="F1730" s="10"/>
      <c r="G1730" s="10"/>
      <c r="H1730" s="17"/>
      <c r="I1730" s="10"/>
      <c r="J1730" s="10"/>
      <c r="K1730" s="16" t="str">
        <f t="shared" si="576"/>
        <v/>
      </c>
      <c r="L1730" s="23" t="str">
        <f t="shared" si="577"/>
        <v/>
      </c>
      <c r="M1730" s="22" t="str">
        <f t="shared" si="578"/>
        <v/>
      </c>
      <c r="N1730" s="72"/>
      <c r="O1730" s="16" t="str">
        <f t="shared" si="579"/>
        <v/>
      </c>
      <c r="P1730" s="16" t="str">
        <f t="shared" si="580"/>
        <v/>
      </c>
      <c r="Q1730" s="16" t="str">
        <f t="shared" si="581"/>
        <v/>
      </c>
      <c r="R1730" s="23" t="str">
        <f t="shared" si="582"/>
        <v/>
      </c>
      <c r="S1730" s="23" t="str">
        <f t="shared" si="583"/>
        <v/>
      </c>
      <c r="T1730" s="23" t="str">
        <f t="shared" si="584"/>
        <v/>
      </c>
      <c r="U1730" s="23" t="str">
        <f t="shared" si="585"/>
        <v/>
      </c>
      <c r="V1730" s="23" t="str">
        <f t="shared" si="586"/>
        <v/>
      </c>
      <c r="W1730" s="70" t="str">
        <f t="shared" si="587"/>
        <v/>
      </c>
      <c r="X1730" s="70" t="str">
        <f t="shared" si="588"/>
        <v/>
      </c>
      <c r="Y1730" s="70" t="str">
        <f>IF(AND($A1730&lt;&gt;"",$E1730&gt;0),isLaptopBag($C1730,$J1730)*$D1730,"")</f>
        <v/>
      </c>
      <c r="Z1730" s="70" t="str">
        <f t="shared" si="589"/>
        <v/>
      </c>
      <c r="AA1730" s="70" t="str">
        <f t="shared" si="590"/>
        <v/>
      </c>
      <c r="AB1730" s="70" t="str">
        <f t="shared" si="591"/>
        <v/>
      </c>
      <c r="AC1730" s="70" t="str">
        <f t="shared" si="592"/>
        <v/>
      </c>
      <c r="AD1730" s="70" t="str">
        <f t="shared" si="593"/>
        <v/>
      </c>
      <c r="AE1730" s="70" t="str">
        <f t="shared" si="594"/>
        <v/>
      </c>
      <c r="AF1730" s="16"/>
      <c r="AG1730" s="23"/>
      <c r="AH1730" s="22"/>
      <c r="AJ1730" s="83">
        <f t="shared" si="595"/>
        <v>0</v>
      </c>
      <c r="AO1730" s="22" t="str">
        <f t="shared" si="596"/>
        <v/>
      </c>
      <c r="AP1730" s="22" t="str">
        <f t="shared" si="597"/>
        <v/>
      </c>
    </row>
    <row r="1731" spans="1:42" x14ac:dyDescent="0.25">
      <c r="A1731" s="10"/>
      <c r="B1731" s="10"/>
      <c r="C1731" s="10"/>
      <c r="D1731" s="10"/>
      <c r="E1731" s="10"/>
      <c r="F1731" s="10"/>
      <c r="G1731" s="10"/>
      <c r="H1731" s="17"/>
      <c r="I1731" s="10"/>
      <c r="J1731" s="10"/>
      <c r="K1731" s="16" t="str">
        <f t="shared" si="576"/>
        <v/>
      </c>
      <c r="L1731" s="23" t="str">
        <f t="shared" si="577"/>
        <v/>
      </c>
      <c r="M1731" s="22" t="str">
        <f t="shared" si="578"/>
        <v/>
      </c>
      <c r="N1731" s="72"/>
      <c r="O1731" s="16" t="str">
        <f t="shared" si="579"/>
        <v/>
      </c>
      <c r="P1731" s="16" t="str">
        <f t="shared" si="580"/>
        <v/>
      </c>
      <c r="Q1731" s="16" t="str">
        <f t="shared" si="581"/>
        <v/>
      </c>
      <c r="R1731" s="23" t="str">
        <f t="shared" si="582"/>
        <v/>
      </c>
      <c r="S1731" s="23" t="str">
        <f t="shared" si="583"/>
        <v/>
      </c>
      <c r="T1731" s="23" t="str">
        <f t="shared" si="584"/>
        <v/>
      </c>
      <c r="U1731" s="23" t="str">
        <f t="shared" si="585"/>
        <v/>
      </c>
      <c r="V1731" s="23" t="str">
        <f t="shared" si="586"/>
        <v/>
      </c>
      <c r="W1731" s="70" t="str">
        <f t="shared" si="587"/>
        <v/>
      </c>
      <c r="X1731" s="70" t="str">
        <f t="shared" si="588"/>
        <v/>
      </c>
      <c r="Y1731" s="70" t="str">
        <f>IF(AND($A1731&lt;&gt;"",$E1731&gt;0),isLaptopBag($C1731,$J1731)*$D1731,"")</f>
        <v/>
      </c>
      <c r="Z1731" s="70" t="str">
        <f t="shared" si="589"/>
        <v/>
      </c>
      <c r="AA1731" s="70" t="str">
        <f t="shared" si="590"/>
        <v/>
      </c>
      <c r="AB1731" s="70" t="str">
        <f t="shared" si="591"/>
        <v/>
      </c>
      <c r="AC1731" s="70" t="str">
        <f t="shared" si="592"/>
        <v/>
      </c>
      <c r="AD1731" s="70" t="str">
        <f t="shared" si="593"/>
        <v/>
      </c>
      <c r="AE1731" s="70" t="str">
        <f t="shared" si="594"/>
        <v/>
      </c>
      <c r="AF1731" s="16"/>
      <c r="AG1731" s="23"/>
      <c r="AH1731" s="22"/>
      <c r="AJ1731" s="83">
        <f t="shared" si="595"/>
        <v>0</v>
      </c>
      <c r="AO1731" s="22" t="str">
        <f t="shared" si="596"/>
        <v/>
      </c>
      <c r="AP1731" s="22" t="str">
        <f t="shared" si="597"/>
        <v/>
      </c>
    </row>
    <row r="1732" spans="1:42" x14ac:dyDescent="0.25">
      <c r="A1732" s="10"/>
      <c r="B1732" s="10"/>
      <c r="C1732" s="10"/>
      <c r="D1732" s="10"/>
      <c r="E1732" s="10"/>
      <c r="F1732" s="10"/>
      <c r="G1732" s="10"/>
      <c r="H1732" s="17"/>
      <c r="I1732" s="10"/>
      <c r="J1732" s="10"/>
      <c r="K1732" s="16" t="str">
        <f t="shared" si="576"/>
        <v/>
      </c>
      <c r="L1732" s="23" t="str">
        <f t="shared" si="577"/>
        <v/>
      </c>
      <c r="M1732" s="22" t="str">
        <f t="shared" si="578"/>
        <v/>
      </c>
      <c r="N1732" s="72"/>
      <c r="O1732" s="16" t="str">
        <f t="shared" si="579"/>
        <v/>
      </c>
      <c r="P1732" s="16" t="str">
        <f t="shared" si="580"/>
        <v/>
      </c>
      <c r="Q1732" s="16" t="str">
        <f t="shared" si="581"/>
        <v/>
      </c>
      <c r="R1732" s="23" t="str">
        <f t="shared" si="582"/>
        <v/>
      </c>
      <c r="S1732" s="23" t="str">
        <f t="shared" si="583"/>
        <v/>
      </c>
      <c r="T1732" s="23" t="str">
        <f t="shared" si="584"/>
        <v/>
      </c>
      <c r="U1732" s="23" t="str">
        <f t="shared" si="585"/>
        <v/>
      </c>
      <c r="V1732" s="23" t="str">
        <f t="shared" si="586"/>
        <v/>
      </c>
      <c r="W1732" s="70" t="str">
        <f t="shared" si="587"/>
        <v/>
      </c>
      <c r="X1732" s="70" t="str">
        <f t="shared" si="588"/>
        <v/>
      </c>
      <c r="Y1732" s="70" t="str">
        <f>IF(AND($A1732&lt;&gt;"",$E1732&gt;0),isLaptopBag($C1732,$J1732)*$D1732,"")</f>
        <v/>
      </c>
      <c r="Z1732" s="70" t="str">
        <f t="shared" si="589"/>
        <v/>
      </c>
      <c r="AA1732" s="70" t="str">
        <f t="shared" si="590"/>
        <v/>
      </c>
      <c r="AB1732" s="70" t="str">
        <f t="shared" si="591"/>
        <v/>
      </c>
      <c r="AC1732" s="70" t="str">
        <f t="shared" si="592"/>
        <v/>
      </c>
      <c r="AD1732" s="70" t="str">
        <f t="shared" si="593"/>
        <v/>
      </c>
      <c r="AE1732" s="70" t="str">
        <f t="shared" si="594"/>
        <v/>
      </c>
      <c r="AF1732" s="16"/>
      <c r="AG1732" s="23"/>
      <c r="AH1732" s="22"/>
      <c r="AJ1732" s="83">
        <f t="shared" si="595"/>
        <v>0</v>
      </c>
      <c r="AO1732" s="22" t="str">
        <f t="shared" si="596"/>
        <v/>
      </c>
      <c r="AP1732" s="22" t="str">
        <f t="shared" si="597"/>
        <v/>
      </c>
    </row>
    <row r="1733" spans="1:42" x14ac:dyDescent="0.25">
      <c r="A1733" s="10"/>
      <c r="B1733" s="10"/>
      <c r="C1733" s="10"/>
      <c r="D1733" s="10"/>
      <c r="E1733" s="10"/>
      <c r="F1733" s="10"/>
      <c r="G1733" s="10"/>
      <c r="H1733" s="17"/>
      <c r="I1733" s="10"/>
      <c r="J1733" s="10"/>
      <c r="K1733" s="16" t="str">
        <f t="shared" si="576"/>
        <v/>
      </c>
      <c r="L1733" s="23" t="str">
        <f t="shared" si="577"/>
        <v/>
      </c>
      <c r="M1733" s="22" t="str">
        <f t="shared" si="578"/>
        <v/>
      </c>
      <c r="N1733" s="72"/>
      <c r="O1733" s="16" t="str">
        <f t="shared" si="579"/>
        <v/>
      </c>
      <c r="P1733" s="16" t="str">
        <f t="shared" si="580"/>
        <v/>
      </c>
      <c r="Q1733" s="16" t="str">
        <f t="shared" si="581"/>
        <v/>
      </c>
      <c r="R1733" s="23" t="str">
        <f t="shared" si="582"/>
        <v/>
      </c>
      <c r="S1733" s="23" t="str">
        <f t="shared" si="583"/>
        <v/>
      </c>
      <c r="T1733" s="23" t="str">
        <f t="shared" si="584"/>
        <v/>
      </c>
      <c r="U1733" s="23" t="str">
        <f t="shared" si="585"/>
        <v/>
      </c>
      <c r="V1733" s="23" t="str">
        <f t="shared" si="586"/>
        <v/>
      </c>
      <c r="W1733" s="70" t="str">
        <f t="shared" si="587"/>
        <v/>
      </c>
      <c r="X1733" s="70" t="str">
        <f t="shared" si="588"/>
        <v/>
      </c>
      <c r="Y1733" s="70" t="str">
        <f>IF(AND($A1733&lt;&gt;"",$E1733&gt;0),isLaptopBag($C1733,$J1733)*$D1733,"")</f>
        <v/>
      </c>
      <c r="Z1733" s="70" t="str">
        <f t="shared" si="589"/>
        <v/>
      </c>
      <c r="AA1733" s="70" t="str">
        <f t="shared" si="590"/>
        <v/>
      </c>
      <c r="AB1733" s="70" t="str">
        <f t="shared" si="591"/>
        <v/>
      </c>
      <c r="AC1733" s="70" t="str">
        <f t="shared" si="592"/>
        <v/>
      </c>
      <c r="AD1733" s="70" t="str">
        <f t="shared" si="593"/>
        <v/>
      </c>
      <c r="AE1733" s="70" t="str">
        <f t="shared" si="594"/>
        <v/>
      </c>
      <c r="AF1733" s="16"/>
      <c r="AG1733" s="23"/>
      <c r="AH1733" s="22"/>
      <c r="AJ1733" s="83">
        <f t="shared" si="595"/>
        <v>0</v>
      </c>
      <c r="AO1733" s="22" t="str">
        <f t="shared" si="596"/>
        <v/>
      </c>
      <c r="AP1733" s="22" t="str">
        <f t="shared" si="597"/>
        <v/>
      </c>
    </row>
    <row r="1734" spans="1:42" x14ac:dyDescent="0.25">
      <c r="A1734" s="10"/>
      <c r="B1734" s="10"/>
      <c r="C1734" s="10"/>
      <c r="D1734" s="10"/>
      <c r="E1734" s="10"/>
      <c r="F1734" s="10"/>
      <c r="G1734" s="10"/>
      <c r="H1734" s="17"/>
      <c r="I1734" s="10"/>
      <c r="J1734" s="10"/>
      <c r="K1734" s="16" t="str">
        <f t="shared" si="576"/>
        <v/>
      </c>
      <c r="L1734" s="23" t="str">
        <f t="shared" si="577"/>
        <v/>
      </c>
      <c r="M1734" s="22" t="str">
        <f t="shared" si="578"/>
        <v/>
      </c>
      <c r="N1734" s="72"/>
      <c r="O1734" s="16" t="str">
        <f t="shared" si="579"/>
        <v/>
      </c>
      <c r="P1734" s="16" t="str">
        <f t="shared" si="580"/>
        <v/>
      </c>
      <c r="Q1734" s="16" t="str">
        <f t="shared" si="581"/>
        <v/>
      </c>
      <c r="R1734" s="23" t="str">
        <f t="shared" si="582"/>
        <v/>
      </c>
      <c r="S1734" s="23" t="str">
        <f t="shared" si="583"/>
        <v/>
      </c>
      <c r="T1734" s="23" t="str">
        <f t="shared" si="584"/>
        <v/>
      </c>
      <c r="U1734" s="23" t="str">
        <f t="shared" si="585"/>
        <v/>
      </c>
      <c r="V1734" s="23" t="str">
        <f t="shared" si="586"/>
        <v/>
      </c>
      <c r="W1734" s="70" t="str">
        <f t="shared" si="587"/>
        <v/>
      </c>
      <c r="X1734" s="70" t="str">
        <f t="shared" si="588"/>
        <v/>
      </c>
      <c r="Y1734" s="70" t="str">
        <f>IF(AND($A1734&lt;&gt;"",$E1734&gt;0),isLaptopBag($C1734,$J1734)*$D1734,"")</f>
        <v/>
      </c>
      <c r="Z1734" s="70" t="str">
        <f t="shared" si="589"/>
        <v/>
      </c>
      <c r="AA1734" s="70" t="str">
        <f t="shared" si="590"/>
        <v/>
      </c>
      <c r="AB1734" s="70" t="str">
        <f t="shared" si="591"/>
        <v/>
      </c>
      <c r="AC1734" s="70" t="str">
        <f t="shared" si="592"/>
        <v/>
      </c>
      <c r="AD1734" s="70" t="str">
        <f t="shared" si="593"/>
        <v/>
      </c>
      <c r="AE1734" s="70" t="str">
        <f t="shared" si="594"/>
        <v/>
      </c>
      <c r="AF1734" s="16"/>
      <c r="AG1734" s="23"/>
      <c r="AH1734" s="22"/>
      <c r="AJ1734" s="83">
        <f t="shared" si="595"/>
        <v>0</v>
      </c>
      <c r="AO1734" s="22" t="str">
        <f t="shared" si="596"/>
        <v/>
      </c>
      <c r="AP1734" s="22" t="str">
        <f t="shared" si="597"/>
        <v/>
      </c>
    </row>
    <row r="1735" spans="1:42" x14ac:dyDescent="0.25">
      <c r="A1735" s="10"/>
      <c r="B1735" s="10"/>
      <c r="C1735" s="10"/>
      <c r="D1735" s="10"/>
      <c r="E1735" s="10"/>
      <c r="F1735" s="10"/>
      <c r="G1735" s="10"/>
      <c r="H1735" s="17"/>
      <c r="I1735" s="10"/>
      <c r="J1735" s="10"/>
      <c r="K1735" s="16" t="str">
        <f t="shared" si="576"/>
        <v/>
      </c>
      <c r="L1735" s="23" t="str">
        <f t="shared" si="577"/>
        <v/>
      </c>
      <c r="M1735" s="22" t="str">
        <f t="shared" si="578"/>
        <v/>
      </c>
      <c r="N1735" s="72"/>
      <c r="O1735" s="16" t="str">
        <f t="shared" si="579"/>
        <v/>
      </c>
      <c r="P1735" s="16" t="str">
        <f t="shared" si="580"/>
        <v/>
      </c>
      <c r="Q1735" s="16" t="str">
        <f t="shared" si="581"/>
        <v/>
      </c>
      <c r="R1735" s="23" t="str">
        <f t="shared" si="582"/>
        <v/>
      </c>
      <c r="S1735" s="23" t="str">
        <f t="shared" si="583"/>
        <v/>
      </c>
      <c r="T1735" s="23" t="str">
        <f t="shared" si="584"/>
        <v/>
      </c>
      <c r="U1735" s="23" t="str">
        <f t="shared" si="585"/>
        <v/>
      </c>
      <c r="V1735" s="23" t="str">
        <f t="shared" si="586"/>
        <v/>
      </c>
      <c r="W1735" s="70" t="str">
        <f t="shared" si="587"/>
        <v/>
      </c>
      <c r="X1735" s="70" t="str">
        <f t="shared" si="588"/>
        <v/>
      </c>
      <c r="Y1735" s="70" t="str">
        <f>IF(AND($A1735&lt;&gt;"",$E1735&gt;0),isLaptopBag($C1735,$J1735)*$D1735,"")</f>
        <v/>
      </c>
      <c r="Z1735" s="70" t="str">
        <f t="shared" si="589"/>
        <v/>
      </c>
      <c r="AA1735" s="70" t="str">
        <f t="shared" si="590"/>
        <v/>
      </c>
      <c r="AB1735" s="70" t="str">
        <f t="shared" si="591"/>
        <v/>
      </c>
      <c r="AC1735" s="70" t="str">
        <f t="shared" si="592"/>
        <v/>
      </c>
      <c r="AD1735" s="70" t="str">
        <f t="shared" si="593"/>
        <v/>
      </c>
      <c r="AE1735" s="70" t="str">
        <f t="shared" si="594"/>
        <v/>
      </c>
      <c r="AF1735" s="16"/>
      <c r="AG1735" s="23"/>
      <c r="AH1735" s="22"/>
      <c r="AJ1735" s="83">
        <f t="shared" si="595"/>
        <v>0</v>
      </c>
      <c r="AO1735" s="22" t="str">
        <f t="shared" si="596"/>
        <v/>
      </c>
      <c r="AP1735" s="22" t="str">
        <f t="shared" si="597"/>
        <v/>
      </c>
    </row>
    <row r="1736" spans="1:42" x14ac:dyDescent="0.25">
      <c r="A1736" s="10"/>
      <c r="B1736" s="10"/>
      <c r="C1736" s="10"/>
      <c r="D1736" s="10"/>
      <c r="E1736" s="10"/>
      <c r="F1736" s="10"/>
      <c r="G1736" s="10"/>
      <c r="H1736" s="17"/>
      <c r="I1736" s="10"/>
      <c r="J1736" s="10"/>
      <c r="K1736" s="16" t="str">
        <f t="shared" si="576"/>
        <v/>
      </c>
      <c r="L1736" s="23" t="str">
        <f t="shared" si="577"/>
        <v/>
      </c>
      <c r="M1736" s="22" t="str">
        <f t="shared" si="578"/>
        <v/>
      </c>
      <c r="N1736" s="72"/>
      <c r="O1736" s="16" t="str">
        <f t="shared" si="579"/>
        <v/>
      </c>
      <c r="P1736" s="16" t="str">
        <f t="shared" si="580"/>
        <v/>
      </c>
      <c r="Q1736" s="16" t="str">
        <f t="shared" si="581"/>
        <v/>
      </c>
      <c r="R1736" s="23" t="str">
        <f t="shared" si="582"/>
        <v/>
      </c>
      <c r="S1736" s="23" t="str">
        <f t="shared" si="583"/>
        <v/>
      </c>
      <c r="T1736" s="23" t="str">
        <f t="shared" si="584"/>
        <v/>
      </c>
      <c r="U1736" s="23" t="str">
        <f t="shared" si="585"/>
        <v/>
      </c>
      <c r="V1736" s="23" t="str">
        <f t="shared" si="586"/>
        <v/>
      </c>
      <c r="W1736" s="70" t="str">
        <f t="shared" si="587"/>
        <v/>
      </c>
      <c r="X1736" s="70" t="str">
        <f t="shared" si="588"/>
        <v/>
      </c>
      <c r="Y1736" s="70" t="str">
        <f>IF(AND($A1736&lt;&gt;"",$E1736&gt;0),isLaptopBag($C1736,$J1736)*$D1736,"")</f>
        <v/>
      </c>
      <c r="Z1736" s="70" t="str">
        <f t="shared" si="589"/>
        <v/>
      </c>
      <c r="AA1736" s="70" t="str">
        <f t="shared" si="590"/>
        <v/>
      </c>
      <c r="AB1736" s="70" t="str">
        <f t="shared" si="591"/>
        <v/>
      </c>
      <c r="AC1736" s="70" t="str">
        <f t="shared" si="592"/>
        <v/>
      </c>
      <c r="AD1736" s="70" t="str">
        <f t="shared" si="593"/>
        <v/>
      </c>
      <c r="AE1736" s="70" t="str">
        <f t="shared" si="594"/>
        <v/>
      </c>
      <c r="AF1736" s="16"/>
      <c r="AG1736" s="23"/>
      <c r="AH1736" s="22"/>
      <c r="AJ1736" s="83">
        <f t="shared" si="595"/>
        <v>0</v>
      </c>
      <c r="AO1736" s="22" t="str">
        <f t="shared" si="596"/>
        <v/>
      </c>
      <c r="AP1736" s="22" t="str">
        <f t="shared" si="597"/>
        <v/>
      </c>
    </row>
    <row r="1737" spans="1:42" x14ac:dyDescent="0.25">
      <c r="A1737" s="10"/>
      <c r="B1737" s="10"/>
      <c r="C1737" s="10"/>
      <c r="D1737" s="10"/>
      <c r="E1737" s="10"/>
      <c r="F1737" s="10"/>
      <c r="G1737" s="10"/>
      <c r="H1737" s="17"/>
      <c r="I1737" s="10"/>
      <c r="J1737" s="10"/>
      <c r="K1737" s="16" t="str">
        <f t="shared" si="576"/>
        <v/>
      </c>
      <c r="L1737" s="23" t="str">
        <f t="shared" si="577"/>
        <v/>
      </c>
      <c r="M1737" s="22" t="str">
        <f t="shared" si="578"/>
        <v/>
      </c>
      <c r="N1737" s="72"/>
      <c r="O1737" s="16" t="str">
        <f t="shared" si="579"/>
        <v/>
      </c>
      <c r="P1737" s="16" t="str">
        <f t="shared" si="580"/>
        <v/>
      </c>
      <c r="Q1737" s="16" t="str">
        <f t="shared" si="581"/>
        <v/>
      </c>
      <c r="R1737" s="23" t="str">
        <f t="shared" si="582"/>
        <v/>
      </c>
      <c r="S1737" s="23" t="str">
        <f t="shared" si="583"/>
        <v/>
      </c>
      <c r="T1737" s="23" t="str">
        <f t="shared" si="584"/>
        <v/>
      </c>
      <c r="U1737" s="23" t="str">
        <f t="shared" si="585"/>
        <v/>
      </c>
      <c r="V1737" s="23" t="str">
        <f t="shared" si="586"/>
        <v/>
      </c>
      <c r="W1737" s="70" t="str">
        <f t="shared" si="587"/>
        <v/>
      </c>
      <c r="X1737" s="70" t="str">
        <f t="shared" si="588"/>
        <v/>
      </c>
      <c r="Y1737" s="70" t="str">
        <f>IF(AND($A1737&lt;&gt;"",$E1737&gt;0),isLaptopBag($C1737,$J1737)*$D1737,"")</f>
        <v/>
      </c>
      <c r="Z1737" s="70" t="str">
        <f t="shared" si="589"/>
        <v/>
      </c>
      <c r="AA1737" s="70" t="str">
        <f t="shared" si="590"/>
        <v/>
      </c>
      <c r="AB1737" s="70" t="str">
        <f t="shared" si="591"/>
        <v/>
      </c>
      <c r="AC1737" s="70" t="str">
        <f t="shared" si="592"/>
        <v/>
      </c>
      <c r="AD1737" s="70" t="str">
        <f t="shared" si="593"/>
        <v/>
      </c>
      <c r="AE1737" s="70" t="str">
        <f t="shared" si="594"/>
        <v/>
      </c>
      <c r="AF1737" s="16"/>
      <c r="AG1737" s="23"/>
      <c r="AH1737" s="22"/>
      <c r="AJ1737" s="83">
        <f t="shared" si="595"/>
        <v>0</v>
      </c>
      <c r="AO1737" s="22" t="str">
        <f t="shared" si="596"/>
        <v/>
      </c>
      <c r="AP1737" s="22" t="str">
        <f t="shared" si="597"/>
        <v/>
      </c>
    </row>
    <row r="1738" spans="1:42" x14ac:dyDescent="0.25">
      <c r="A1738" s="10"/>
      <c r="B1738" s="10"/>
      <c r="C1738" s="10"/>
      <c r="D1738" s="10"/>
      <c r="E1738" s="10"/>
      <c r="F1738" s="10"/>
      <c r="G1738" s="10"/>
      <c r="H1738" s="17"/>
      <c r="I1738" s="10"/>
      <c r="J1738" s="10"/>
      <c r="K1738" s="16" t="str">
        <f t="shared" si="576"/>
        <v/>
      </c>
      <c r="L1738" s="23" t="str">
        <f t="shared" si="577"/>
        <v/>
      </c>
      <c r="M1738" s="22" t="str">
        <f t="shared" si="578"/>
        <v/>
      </c>
      <c r="N1738" s="72"/>
      <c r="O1738" s="16" t="str">
        <f t="shared" si="579"/>
        <v/>
      </c>
      <c r="P1738" s="16" t="str">
        <f t="shared" si="580"/>
        <v/>
      </c>
      <c r="Q1738" s="16" t="str">
        <f t="shared" si="581"/>
        <v/>
      </c>
      <c r="R1738" s="23" t="str">
        <f t="shared" si="582"/>
        <v/>
      </c>
      <c r="S1738" s="23" t="str">
        <f t="shared" si="583"/>
        <v/>
      </c>
      <c r="T1738" s="23" t="str">
        <f t="shared" si="584"/>
        <v/>
      </c>
      <c r="U1738" s="23" t="str">
        <f t="shared" si="585"/>
        <v/>
      </c>
      <c r="V1738" s="23" t="str">
        <f t="shared" si="586"/>
        <v/>
      </c>
      <c r="W1738" s="70" t="str">
        <f t="shared" si="587"/>
        <v/>
      </c>
      <c r="X1738" s="70" t="str">
        <f t="shared" si="588"/>
        <v/>
      </c>
      <c r="Y1738" s="70" t="str">
        <f>IF(AND($A1738&lt;&gt;"",$E1738&gt;0),isLaptopBag($C1738,$J1738)*$D1738,"")</f>
        <v/>
      </c>
      <c r="Z1738" s="70" t="str">
        <f t="shared" si="589"/>
        <v/>
      </c>
      <c r="AA1738" s="70" t="str">
        <f t="shared" si="590"/>
        <v/>
      </c>
      <c r="AB1738" s="70" t="str">
        <f t="shared" si="591"/>
        <v/>
      </c>
      <c r="AC1738" s="70" t="str">
        <f t="shared" si="592"/>
        <v/>
      </c>
      <c r="AD1738" s="70" t="str">
        <f t="shared" si="593"/>
        <v/>
      </c>
      <c r="AE1738" s="70" t="str">
        <f t="shared" si="594"/>
        <v/>
      </c>
      <c r="AF1738" s="16"/>
      <c r="AG1738" s="23"/>
      <c r="AH1738" s="22"/>
      <c r="AJ1738" s="83">
        <f t="shared" si="595"/>
        <v>0</v>
      </c>
      <c r="AO1738" s="22" t="str">
        <f t="shared" si="596"/>
        <v/>
      </c>
      <c r="AP1738" s="22" t="str">
        <f t="shared" si="597"/>
        <v/>
      </c>
    </row>
    <row r="1739" spans="1:42" x14ac:dyDescent="0.25">
      <c r="A1739" s="10"/>
      <c r="B1739" s="10"/>
      <c r="C1739" s="10"/>
      <c r="D1739" s="10"/>
      <c r="E1739" s="10"/>
      <c r="F1739" s="10"/>
      <c r="G1739" s="10"/>
      <c r="H1739" s="17"/>
      <c r="I1739" s="10"/>
      <c r="J1739" s="10"/>
      <c r="K1739" s="16" t="str">
        <f t="shared" si="576"/>
        <v/>
      </c>
      <c r="L1739" s="23" t="str">
        <f t="shared" si="577"/>
        <v/>
      </c>
      <c r="M1739" s="22" t="str">
        <f t="shared" si="578"/>
        <v/>
      </c>
      <c r="N1739" s="72"/>
      <c r="O1739" s="16" t="str">
        <f t="shared" si="579"/>
        <v/>
      </c>
      <c r="P1739" s="16" t="str">
        <f t="shared" si="580"/>
        <v/>
      </c>
      <c r="Q1739" s="16" t="str">
        <f t="shared" si="581"/>
        <v/>
      </c>
      <c r="R1739" s="23" t="str">
        <f t="shared" si="582"/>
        <v/>
      </c>
      <c r="S1739" s="23" t="str">
        <f t="shared" si="583"/>
        <v/>
      </c>
      <c r="T1739" s="23" t="str">
        <f t="shared" si="584"/>
        <v/>
      </c>
      <c r="U1739" s="23" t="str">
        <f t="shared" si="585"/>
        <v/>
      </c>
      <c r="V1739" s="23" t="str">
        <f t="shared" si="586"/>
        <v/>
      </c>
      <c r="W1739" s="70" t="str">
        <f t="shared" si="587"/>
        <v/>
      </c>
      <c r="X1739" s="70" t="str">
        <f t="shared" si="588"/>
        <v/>
      </c>
      <c r="Y1739" s="70" t="str">
        <f>IF(AND($A1739&lt;&gt;"",$E1739&gt;0),isLaptopBag($C1739,$J1739)*$D1739,"")</f>
        <v/>
      </c>
      <c r="Z1739" s="70" t="str">
        <f t="shared" si="589"/>
        <v/>
      </c>
      <c r="AA1739" s="70" t="str">
        <f t="shared" si="590"/>
        <v/>
      </c>
      <c r="AB1739" s="70" t="str">
        <f t="shared" si="591"/>
        <v/>
      </c>
      <c r="AC1739" s="70" t="str">
        <f t="shared" si="592"/>
        <v/>
      </c>
      <c r="AD1739" s="70" t="str">
        <f t="shared" si="593"/>
        <v/>
      </c>
      <c r="AE1739" s="70" t="str">
        <f t="shared" si="594"/>
        <v/>
      </c>
      <c r="AF1739" s="16"/>
      <c r="AG1739" s="23"/>
      <c r="AH1739" s="22"/>
      <c r="AJ1739" s="83">
        <f t="shared" si="595"/>
        <v>0</v>
      </c>
      <c r="AO1739" s="22" t="str">
        <f t="shared" si="596"/>
        <v/>
      </c>
      <c r="AP1739" s="22" t="str">
        <f t="shared" si="597"/>
        <v/>
      </c>
    </row>
    <row r="1740" spans="1:42" x14ac:dyDescent="0.25">
      <c r="A1740" s="10"/>
      <c r="B1740" s="10"/>
      <c r="C1740" s="10"/>
      <c r="D1740" s="10"/>
      <c r="E1740" s="10"/>
      <c r="F1740" s="10"/>
      <c r="G1740" s="10"/>
      <c r="H1740" s="17"/>
      <c r="I1740" s="10"/>
      <c r="J1740" s="10"/>
      <c r="K1740" s="16" t="str">
        <f t="shared" si="576"/>
        <v/>
      </c>
      <c r="L1740" s="23" t="str">
        <f t="shared" si="577"/>
        <v/>
      </c>
      <c r="M1740" s="22" t="str">
        <f t="shared" si="578"/>
        <v/>
      </c>
      <c r="N1740" s="72"/>
      <c r="O1740" s="16" t="str">
        <f t="shared" si="579"/>
        <v/>
      </c>
      <c r="P1740" s="16" t="str">
        <f t="shared" si="580"/>
        <v/>
      </c>
      <c r="Q1740" s="16" t="str">
        <f t="shared" si="581"/>
        <v/>
      </c>
      <c r="R1740" s="23" t="str">
        <f t="shared" si="582"/>
        <v/>
      </c>
      <c r="S1740" s="23" t="str">
        <f t="shared" si="583"/>
        <v/>
      </c>
      <c r="T1740" s="23" t="str">
        <f t="shared" si="584"/>
        <v/>
      </c>
      <c r="U1740" s="23" t="str">
        <f t="shared" si="585"/>
        <v/>
      </c>
      <c r="V1740" s="23" t="str">
        <f t="shared" si="586"/>
        <v/>
      </c>
      <c r="W1740" s="70" t="str">
        <f t="shared" si="587"/>
        <v/>
      </c>
      <c r="X1740" s="70" t="str">
        <f t="shared" si="588"/>
        <v/>
      </c>
      <c r="Y1740" s="70" t="str">
        <f>IF(AND($A1740&lt;&gt;"",$E1740&gt;0),isLaptopBag($C1740,$J1740)*$D1740,"")</f>
        <v/>
      </c>
      <c r="Z1740" s="70" t="str">
        <f t="shared" si="589"/>
        <v/>
      </c>
      <c r="AA1740" s="70" t="str">
        <f t="shared" si="590"/>
        <v/>
      </c>
      <c r="AB1740" s="70" t="str">
        <f t="shared" si="591"/>
        <v/>
      </c>
      <c r="AC1740" s="70" t="str">
        <f t="shared" si="592"/>
        <v/>
      </c>
      <c r="AD1740" s="70" t="str">
        <f t="shared" si="593"/>
        <v/>
      </c>
      <c r="AE1740" s="70" t="str">
        <f t="shared" si="594"/>
        <v/>
      </c>
      <c r="AF1740" s="16"/>
      <c r="AG1740" s="23"/>
      <c r="AH1740" s="22"/>
      <c r="AJ1740" s="83">
        <f t="shared" si="595"/>
        <v>0</v>
      </c>
      <c r="AO1740" s="22" t="str">
        <f t="shared" si="596"/>
        <v/>
      </c>
      <c r="AP1740" s="22" t="str">
        <f t="shared" si="597"/>
        <v/>
      </c>
    </row>
    <row r="1741" spans="1:42" x14ac:dyDescent="0.25">
      <c r="A1741" s="10"/>
      <c r="B1741" s="10"/>
      <c r="C1741" s="10"/>
      <c r="D1741" s="10"/>
      <c r="E1741" s="10"/>
      <c r="F1741" s="10"/>
      <c r="G1741" s="10"/>
      <c r="H1741" s="17"/>
      <c r="I1741" s="10"/>
      <c r="J1741" s="10"/>
      <c r="K1741" s="16" t="str">
        <f t="shared" ref="K1741:K1804" si="598">IF($AF1741&lt;&gt;"",$AF1741,IF(AND($A1741&lt;&gt;"",$E1741&gt;0),SUM($O1741:$Q1741),""))</f>
        <v/>
      </c>
      <c r="L1741" s="23" t="str">
        <f t="shared" ref="L1741:L1804" si="599">IF($AG1741&lt;&gt;"",$AG1741,IF(AND($A1741&lt;&gt;"",$E1741&gt;0),SUM($R1741:$V1741),""))</f>
        <v/>
      </c>
      <c r="M1741" s="22" t="str">
        <f t="shared" ref="M1741:M1804" si="600">IF($AH1741&lt;&gt;"",$AH1741,IF(AND($A1741&lt;&gt;"",$E1741&gt;0),SUM($W1741:$AE1741)+$AO1741+$AP1741,""))</f>
        <v/>
      </c>
      <c r="N1741" s="72"/>
      <c r="O1741" s="16" t="str">
        <f t="shared" ref="O1741:O1804" si="601">IF(AND($A1741&lt;&gt;"",$E1741&gt;0),IF(AND($J1741="SONY",200000&lt;=$E1741,$E1741&lt;1000000),5000*$D1741,0),"")</f>
        <v/>
      </c>
      <c r="P1741" s="16" t="str">
        <f t="shared" ref="P1741:P1804" si="602">IF(AND($A1741&lt;&gt;"",$E1741&gt;0),IF(AND($J1741="SONY",1000000&lt;=$E1741,$E1741&lt;2000000),10000*$D1741,0),"")</f>
        <v/>
      </c>
      <c r="Q1741" s="16" t="str">
        <f t="shared" ref="Q1741:Q1804" si="603">IF(AND($A1741&lt;&gt;"",$E1741&gt;0),IF(AND($J1741="SONY",$E1741&gt;=2000000),20000*$D1741,0),"")</f>
        <v/>
      </c>
      <c r="R1741" s="23" t="str">
        <f t="shared" ref="R1741:R1804" si="604">IF(AND($A1741&lt;&gt;"",$E1741&gt;0),IF(AND($J1741&lt;&gt;"SONY",100000&lt;=$E1741,$E1741&lt;200000),5000*$D1741,0),"")</f>
        <v/>
      </c>
      <c r="S1741" s="23" t="str">
        <f t="shared" ref="S1741:S1804" si="605">IF(AND($A1741&lt;&gt;"",$E1741&gt;0),IF(AND($J1741&lt;&gt;"SONY",200000&lt;=$E1741,$E1741&lt;500000),10000*$D1741,0),"")</f>
        <v/>
      </c>
      <c r="T1741" s="23" t="str">
        <f t="shared" ref="T1741:T1804" si="606">IF(AND($A1741&lt;&gt;"",$E1741&gt;0),IF(AND($J1741&lt;&gt;"SONY",500000&lt;=$E1741,$E1741&lt;1000000),20000*$D1741,0),"")</f>
        <v/>
      </c>
      <c r="U1741" s="23" t="str">
        <f t="shared" ref="U1741:U1804" si="607">IF(AND($A1741&lt;&gt;"",$E1741&gt;0),IF(AND($J1741&lt;&gt;"SONY",1000000&lt;=$E1741,$E1741&lt;1500000),50000*$D1741,0),"")</f>
        <v/>
      </c>
      <c r="V1741" s="23" t="str">
        <f t="shared" ref="V1741:V1804" si="608">IF(AND($A1741&lt;&gt;"",$E1741&gt;0),IF(AND($J1741&lt;&gt;"SONY",1500000&lt;=$E1741),100000*$D1741,0),"")</f>
        <v/>
      </c>
      <c r="W1741" s="70" t="str">
        <f t="shared" ref="W1741:W1804" si="609">IF(AND($E1741&gt;0,$J1741="ELECOM",$E1741&gt;=500000,ISNUMBER(SEARCH("tai nghe",$C1741))),20000*$D1741,IF($A1741&lt;&gt;"",0,""))</f>
        <v/>
      </c>
      <c r="X1741" s="70" t="str">
        <f t="shared" ref="X1741:X1804" si="610">IF(AND($E1741&gt;0,$J1741="ELECOM",ISNUMBER(SEARCH("loa",$C1741))),20000*$D1741,IF($A1741&lt;&gt;"",0,""))</f>
        <v/>
      </c>
      <c r="Y1741" s="70" t="str">
        <f>IF(AND($A1741&lt;&gt;"",$E1741&gt;0),isLaptopBag($C1741,$J1741)*$D1741,"")</f>
        <v/>
      </c>
      <c r="Z1741" s="70" t="str">
        <f t="shared" ref="Z1741:Z1804" si="611">IF(AND($E1741&gt;0,$J1741="ELECOM",ISNUMBER(SEARCH("ốp",$C1741))),20000*$D1741,IF($A1741&lt;&gt;"",0,""))</f>
        <v/>
      </c>
      <c r="AA1741" s="70" t="str">
        <f t="shared" ref="AA1741:AA1804" si="612">IF(AND($E1741&gt;0,$J1741="ELECOM",ISNUMBER(SEARCH("Bút",$C1741))),20000*$D1741,IF($A1741&lt;&gt;"",0,""))</f>
        <v/>
      </c>
      <c r="AB1741" s="70" t="str">
        <f t="shared" ref="AB1741:AB1804" si="613">IF(AND($E1741&gt;0,$J1741="ELECOM",ISNUMBER(SEARCH("Chuột bi",$C1741))),20000*$D1741,IF($A1741&lt;&gt;"",0,""))</f>
        <v/>
      </c>
      <c r="AC1741" s="70" t="str">
        <f t="shared" ref="AC1741:AC1804" si="614">IF(AND($E1741&gt;0,$J1741="ELECOM",ISNUMBER(SEARCH("Chuột trackball",$C1741))),20000*$D1741,IF($A1741&lt;&gt;"",0,""))</f>
        <v/>
      </c>
      <c r="AD1741" s="70" t="str">
        <f t="shared" ref="AD1741:AD1804" si="615">IF(AND($E1741&gt;0,$J1741="ELECOM",ISNUMBER(SEARCH("Sạc không dây",$C1741))),20000*$D1741,IF($A1741&lt;&gt;"",0,""))</f>
        <v/>
      </c>
      <c r="AE1741" s="70" t="str">
        <f t="shared" ref="AE1741:AE1804" si="616">IF(AND($E1741&gt;0,$J1741="ELECOM",ISNUMBER(SEARCH("Sạc kd",$C1741))),20000*$D1741,IF($A1741&lt;&gt;"",0,""))</f>
        <v/>
      </c>
      <c r="AF1741" s="16"/>
      <c r="AG1741" s="23"/>
      <c r="AH1741" s="22"/>
      <c r="AJ1741" s="83">
        <f t="shared" ref="AJ1741:AJ1804" si="617">DAY(H1741)</f>
        <v>0</v>
      </c>
      <c r="AO1741" s="22" t="str">
        <f t="shared" ref="AO1741:AO1804" si="618">IF(AND($E1741&gt;0,ISNUMBER(SEARCH("Sạc dự phòng Energizer",$C1741))),10000*$D1741,IF($A1741&lt;&gt;"",0,""))</f>
        <v/>
      </c>
      <c r="AP1741" s="22" t="str">
        <f t="shared" ref="AP1741:AP1804" si="619">IF(AND($E1741&gt;0,ISNUMBER(SEARCH("SDP Energizer",$C1741))),10000*$D1741,IF($A1741&lt;&gt;"",0,""))</f>
        <v/>
      </c>
    </row>
    <row r="1742" spans="1:42" x14ac:dyDescent="0.25">
      <c r="A1742" s="10"/>
      <c r="B1742" s="10"/>
      <c r="C1742" s="10"/>
      <c r="D1742" s="10"/>
      <c r="E1742" s="10"/>
      <c r="F1742" s="10"/>
      <c r="G1742" s="10"/>
      <c r="H1742" s="17"/>
      <c r="I1742" s="10"/>
      <c r="J1742" s="10"/>
      <c r="K1742" s="16" t="str">
        <f t="shared" si="598"/>
        <v/>
      </c>
      <c r="L1742" s="23" t="str">
        <f t="shared" si="599"/>
        <v/>
      </c>
      <c r="M1742" s="22" t="str">
        <f t="shared" si="600"/>
        <v/>
      </c>
      <c r="N1742" s="72"/>
      <c r="O1742" s="16" t="str">
        <f t="shared" si="601"/>
        <v/>
      </c>
      <c r="P1742" s="16" t="str">
        <f t="shared" si="602"/>
        <v/>
      </c>
      <c r="Q1742" s="16" t="str">
        <f t="shared" si="603"/>
        <v/>
      </c>
      <c r="R1742" s="23" t="str">
        <f t="shared" si="604"/>
        <v/>
      </c>
      <c r="S1742" s="23" t="str">
        <f t="shared" si="605"/>
        <v/>
      </c>
      <c r="T1742" s="23" t="str">
        <f t="shared" si="606"/>
        <v/>
      </c>
      <c r="U1742" s="23" t="str">
        <f t="shared" si="607"/>
        <v/>
      </c>
      <c r="V1742" s="23" t="str">
        <f t="shared" si="608"/>
        <v/>
      </c>
      <c r="W1742" s="70" t="str">
        <f t="shared" si="609"/>
        <v/>
      </c>
      <c r="X1742" s="70" t="str">
        <f t="shared" si="610"/>
        <v/>
      </c>
      <c r="Y1742" s="70" t="str">
        <f>IF(AND($A1742&lt;&gt;"",$E1742&gt;0),isLaptopBag($C1742,$J1742)*$D1742,"")</f>
        <v/>
      </c>
      <c r="Z1742" s="70" t="str">
        <f t="shared" si="611"/>
        <v/>
      </c>
      <c r="AA1742" s="70" t="str">
        <f t="shared" si="612"/>
        <v/>
      </c>
      <c r="AB1742" s="70" t="str">
        <f t="shared" si="613"/>
        <v/>
      </c>
      <c r="AC1742" s="70" t="str">
        <f t="shared" si="614"/>
        <v/>
      </c>
      <c r="AD1742" s="70" t="str">
        <f t="shared" si="615"/>
        <v/>
      </c>
      <c r="AE1742" s="70" t="str">
        <f t="shared" si="616"/>
        <v/>
      </c>
      <c r="AF1742" s="16"/>
      <c r="AG1742" s="23"/>
      <c r="AH1742" s="22"/>
      <c r="AJ1742" s="83">
        <f t="shared" si="617"/>
        <v>0</v>
      </c>
      <c r="AO1742" s="22" t="str">
        <f t="shared" si="618"/>
        <v/>
      </c>
      <c r="AP1742" s="22" t="str">
        <f t="shared" si="619"/>
        <v/>
      </c>
    </row>
    <row r="1743" spans="1:42" x14ac:dyDescent="0.25">
      <c r="A1743" s="10"/>
      <c r="B1743" s="10"/>
      <c r="C1743" s="10"/>
      <c r="D1743" s="10"/>
      <c r="E1743" s="10"/>
      <c r="F1743" s="10"/>
      <c r="G1743" s="10"/>
      <c r="H1743" s="17"/>
      <c r="I1743" s="10"/>
      <c r="J1743" s="10"/>
      <c r="K1743" s="16" t="str">
        <f t="shared" si="598"/>
        <v/>
      </c>
      <c r="L1743" s="23" t="str">
        <f t="shared" si="599"/>
        <v/>
      </c>
      <c r="M1743" s="22" t="str">
        <f t="shared" si="600"/>
        <v/>
      </c>
      <c r="N1743" s="72"/>
      <c r="O1743" s="16" t="str">
        <f t="shared" si="601"/>
        <v/>
      </c>
      <c r="P1743" s="16" t="str">
        <f t="shared" si="602"/>
        <v/>
      </c>
      <c r="Q1743" s="16" t="str">
        <f t="shared" si="603"/>
        <v/>
      </c>
      <c r="R1743" s="23" t="str">
        <f t="shared" si="604"/>
        <v/>
      </c>
      <c r="S1743" s="23" t="str">
        <f t="shared" si="605"/>
        <v/>
      </c>
      <c r="T1743" s="23" t="str">
        <f t="shared" si="606"/>
        <v/>
      </c>
      <c r="U1743" s="23" t="str">
        <f t="shared" si="607"/>
        <v/>
      </c>
      <c r="V1743" s="23" t="str">
        <f t="shared" si="608"/>
        <v/>
      </c>
      <c r="W1743" s="70" t="str">
        <f t="shared" si="609"/>
        <v/>
      </c>
      <c r="X1743" s="70" t="str">
        <f t="shared" si="610"/>
        <v/>
      </c>
      <c r="Y1743" s="70" t="str">
        <f>IF(AND($A1743&lt;&gt;"",$E1743&gt;0),isLaptopBag($C1743,$J1743)*$D1743,"")</f>
        <v/>
      </c>
      <c r="Z1743" s="70" t="str">
        <f t="shared" si="611"/>
        <v/>
      </c>
      <c r="AA1743" s="70" t="str">
        <f t="shared" si="612"/>
        <v/>
      </c>
      <c r="AB1743" s="70" t="str">
        <f t="shared" si="613"/>
        <v/>
      </c>
      <c r="AC1743" s="70" t="str">
        <f t="shared" si="614"/>
        <v/>
      </c>
      <c r="AD1743" s="70" t="str">
        <f t="shared" si="615"/>
        <v/>
      </c>
      <c r="AE1743" s="70" t="str">
        <f t="shared" si="616"/>
        <v/>
      </c>
      <c r="AF1743" s="16"/>
      <c r="AG1743" s="23"/>
      <c r="AH1743" s="22"/>
      <c r="AJ1743" s="83">
        <f t="shared" si="617"/>
        <v>0</v>
      </c>
      <c r="AO1743" s="22" t="str">
        <f t="shared" si="618"/>
        <v/>
      </c>
      <c r="AP1743" s="22" t="str">
        <f t="shared" si="619"/>
        <v/>
      </c>
    </row>
    <row r="1744" spans="1:42" x14ac:dyDescent="0.25">
      <c r="A1744" s="10"/>
      <c r="B1744" s="10"/>
      <c r="C1744" s="10"/>
      <c r="D1744" s="10"/>
      <c r="E1744" s="10"/>
      <c r="F1744" s="10"/>
      <c r="G1744" s="10"/>
      <c r="H1744" s="17"/>
      <c r="I1744" s="10"/>
      <c r="J1744" s="10"/>
      <c r="K1744" s="16" t="str">
        <f t="shared" si="598"/>
        <v/>
      </c>
      <c r="L1744" s="23" t="str">
        <f t="shared" si="599"/>
        <v/>
      </c>
      <c r="M1744" s="22" t="str">
        <f t="shared" si="600"/>
        <v/>
      </c>
      <c r="N1744" s="72"/>
      <c r="O1744" s="16" t="str">
        <f t="shared" si="601"/>
        <v/>
      </c>
      <c r="P1744" s="16" t="str">
        <f t="shared" si="602"/>
        <v/>
      </c>
      <c r="Q1744" s="16" t="str">
        <f t="shared" si="603"/>
        <v/>
      </c>
      <c r="R1744" s="23" t="str">
        <f t="shared" si="604"/>
        <v/>
      </c>
      <c r="S1744" s="23" t="str">
        <f t="shared" si="605"/>
        <v/>
      </c>
      <c r="T1744" s="23" t="str">
        <f t="shared" si="606"/>
        <v/>
      </c>
      <c r="U1744" s="23" t="str">
        <f t="shared" si="607"/>
        <v/>
      </c>
      <c r="V1744" s="23" t="str">
        <f t="shared" si="608"/>
        <v/>
      </c>
      <c r="W1744" s="70" t="str">
        <f t="shared" si="609"/>
        <v/>
      </c>
      <c r="X1744" s="70" t="str">
        <f t="shared" si="610"/>
        <v/>
      </c>
      <c r="Y1744" s="70" t="str">
        <f>IF(AND($A1744&lt;&gt;"",$E1744&gt;0),isLaptopBag($C1744,$J1744)*$D1744,"")</f>
        <v/>
      </c>
      <c r="Z1744" s="70" t="str">
        <f t="shared" si="611"/>
        <v/>
      </c>
      <c r="AA1744" s="70" t="str">
        <f t="shared" si="612"/>
        <v/>
      </c>
      <c r="AB1744" s="70" t="str">
        <f t="shared" si="613"/>
        <v/>
      </c>
      <c r="AC1744" s="70" t="str">
        <f t="shared" si="614"/>
        <v/>
      </c>
      <c r="AD1744" s="70" t="str">
        <f t="shared" si="615"/>
        <v/>
      </c>
      <c r="AE1744" s="70" t="str">
        <f t="shared" si="616"/>
        <v/>
      </c>
      <c r="AF1744" s="16"/>
      <c r="AG1744" s="23"/>
      <c r="AH1744" s="22"/>
      <c r="AJ1744" s="83">
        <f t="shared" si="617"/>
        <v>0</v>
      </c>
      <c r="AO1744" s="22" t="str">
        <f t="shared" si="618"/>
        <v/>
      </c>
      <c r="AP1744" s="22" t="str">
        <f t="shared" si="619"/>
        <v/>
      </c>
    </row>
    <row r="1745" spans="1:42" x14ac:dyDescent="0.25">
      <c r="A1745" s="10"/>
      <c r="B1745" s="10"/>
      <c r="C1745" s="10"/>
      <c r="D1745" s="10"/>
      <c r="E1745" s="10"/>
      <c r="F1745" s="10"/>
      <c r="G1745" s="10"/>
      <c r="H1745" s="17"/>
      <c r="I1745" s="10"/>
      <c r="J1745" s="10"/>
      <c r="K1745" s="16" t="str">
        <f t="shared" si="598"/>
        <v/>
      </c>
      <c r="L1745" s="23" t="str">
        <f t="shared" si="599"/>
        <v/>
      </c>
      <c r="M1745" s="22" t="str">
        <f t="shared" si="600"/>
        <v/>
      </c>
      <c r="N1745" s="72"/>
      <c r="O1745" s="16" t="str">
        <f t="shared" si="601"/>
        <v/>
      </c>
      <c r="P1745" s="16" t="str">
        <f t="shared" si="602"/>
        <v/>
      </c>
      <c r="Q1745" s="16" t="str">
        <f t="shared" si="603"/>
        <v/>
      </c>
      <c r="R1745" s="23" t="str">
        <f t="shared" si="604"/>
        <v/>
      </c>
      <c r="S1745" s="23" t="str">
        <f t="shared" si="605"/>
        <v/>
      </c>
      <c r="T1745" s="23" t="str">
        <f t="shared" si="606"/>
        <v/>
      </c>
      <c r="U1745" s="23" t="str">
        <f t="shared" si="607"/>
        <v/>
      </c>
      <c r="V1745" s="23" t="str">
        <f t="shared" si="608"/>
        <v/>
      </c>
      <c r="W1745" s="70" t="str">
        <f t="shared" si="609"/>
        <v/>
      </c>
      <c r="X1745" s="70" t="str">
        <f t="shared" si="610"/>
        <v/>
      </c>
      <c r="Y1745" s="70" t="str">
        <f>IF(AND($A1745&lt;&gt;"",$E1745&gt;0),isLaptopBag($C1745,$J1745)*$D1745,"")</f>
        <v/>
      </c>
      <c r="Z1745" s="70" t="str">
        <f t="shared" si="611"/>
        <v/>
      </c>
      <c r="AA1745" s="70" t="str">
        <f t="shared" si="612"/>
        <v/>
      </c>
      <c r="AB1745" s="70" t="str">
        <f t="shared" si="613"/>
        <v/>
      </c>
      <c r="AC1745" s="70" t="str">
        <f t="shared" si="614"/>
        <v/>
      </c>
      <c r="AD1745" s="70" t="str">
        <f t="shared" si="615"/>
        <v/>
      </c>
      <c r="AE1745" s="70" t="str">
        <f t="shared" si="616"/>
        <v/>
      </c>
      <c r="AF1745" s="16"/>
      <c r="AG1745" s="23"/>
      <c r="AH1745" s="22"/>
      <c r="AJ1745" s="83">
        <f t="shared" si="617"/>
        <v>0</v>
      </c>
      <c r="AO1745" s="22" t="str">
        <f t="shared" si="618"/>
        <v/>
      </c>
      <c r="AP1745" s="22" t="str">
        <f t="shared" si="619"/>
        <v/>
      </c>
    </row>
    <row r="1746" spans="1:42" x14ac:dyDescent="0.25">
      <c r="A1746" s="10"/>
      <c r="B1746" s="10"/>
      <c r="C1746" s="10"/>
      <c r="D1746" s="10"/>
      <c r="E1746" s="10"/>
      <c r="F1746" s="10"/>
      <c r="G1746" s="10"/>
      <c r="H1746" s="17"/>
      <c r="I1746" s="10"/>
      <c r="J1746" s="10"/>
      <c r="K1746" s="16" t="str">
        <f t="shared" si="598"/>
        <v/>
      </c>
      <c r="L1746" s="23" t="str">
        <f t="shared" si="599"/>
        <v/>
      </c>
      <c r="M1746" s="22" t="str">
        <f t="shared" si="600"/>
        <v/>
      </c>
      <c r="N1746" s="72"/>
      <c r="O1746" s="16" t="str">
        <f t="shared" si="601"/>
        <v/>
      </c>
      <c r="P1746" s="16" t="str">
        <f t="shared" si="602"/>
        <v/>
      </c>
      <c r="Q1746" s="16" t="str">
        <f t="shared" si="603"/>
        <v/>
      </c>
      <c r="R1746" s="23" t="str">
        <f t="shared" si="604"/>
        <v/>
      </c>
      <c r="S1746" s="23" t="str">
        <f t="shared" si="605"/>
        <v/>
      </c>
      <c r="T1746" s="23" t="str">
        <f t="shared" si="606"/>
        <v/>
      </c>
      <c r="U1746" s="23" t="str">
        <f t="shared" si="607"/>
        <v/>
      </c>
      <c r="V1746" s="23" t="str">
        <f t="shared" si="608"/>
        <v/>
      </c>
      <c r="W1746" s="70" t="str">
        <f t="shared" si="609"/>
        <v/>
      </c>
      <c r="X1746" s="70" t="str">
        <f t="shared" si="610"/>
        <v/>
      </c>
      <c r="Y1746" s="70" t="str">
        <f>IF(AND($A1746&lt;&gt;"",$E1746&gt;0),isLaptopBag($C1746,$J1746)*$D1746,"")</f>
        <v/>
      </c>
      <c r="Z1746" s="70" t="str">
        <f t="shared" si="611"/>
        <v/>
      </c>
      <c r="AA1746" s="70" t="str">
        <f t="shared" si="612"/>
        <v/>
      </c>
      <c r="AB1746" s="70" t="str">
        <f t="shared" si="613"/>
        <v/>
      </c>
      <c r="AC1746" s="70" t="str">
        <f t="shared" si="614"/>
        <v/>
      </c>
      <c r="AD1746" s="70" t="str">
        <f t="shared" si="615"/>
        <v/>
      </c>
      <c r="AE1746" s="70" t="str">
        <f t="shared" si="616"/>
        <v/>
      </c>
      <c r="AF1746" s="16"/>
      <c r="AG1746" s="23"/>
      <c r="AH1746" s="22"/>
      <c r="AJ1746" s="83">
        <f t="shared" si="617"/>
        <v>0</v>
      </c>
      <c r="AO1746" s="22" t="str">
        <f t="shared" si="618"/>
        <v/>
      </c>
      <c r="AP1746" s="22" t="str">
        <f t="shared" si="619"/>
        <v/>
      </c>
    </row>
    <row r="1747" spans="1:42" x14ac:dyDescent="0.25">
      <c r="A1747" s="10"/>
      <c r="B1747" s="10"/>
      <c r="C1747" s="10"/>
      <c r="D1747" s="10"/>
      <c r="E1747" s="10"/>
      <c r="F1747" s="10"/>
      <c r="G1747" s="10"/>
      <c r="H1747" s="17"/>
      <c r="I1747" s="10"/>
      <c r="J1747" s="10"/>
      <c r="K1747" s="16" t="str">
        <f t="shared" si="598"/>
        <v/>
      </c>
      <c r="L1747" s="23" t="str">
        <f t="shared" si="599"/>
        <v/>
      </c>
      <c r="M1747" s="22" t="str">
        <f t="shared" si="600"/>
        <v/>
      </c>
      <c r="N1747" s="72"/>
      <c r="O1747" s="16" t="str">
        <f t="shared" si="601"/>
        <v/>
      </c>
      <c r="P1747" s="16" t="str">
        <f t="shared" si="602"/>
        <v/>
      </c>
      <c r="Q1747" s="16" t="str">
        <f t="shared" si="603"/>
        <v/>
      </c>
      <c r="R1747" s="23" t="str">
        <f t="shared" si="604"/>
        <v/>
      </c>
      <c r="S1747" s="23" t="str">
        <f t="shared" si="605"/>
        <v/>
      </c>
      <c r="T1747" s="23" t="str">
        <f t="shared" si="606"/>
        <v/>
      </c>
      <c r="U1747" s="23" t="str">
        <f t="shared" si="607"/>
        <v/>
      </c>
      <c r="V1747" s="23" t="str">
        <f t="shared" si="608"/>
        <v/>
      </c>
      <c r="W1747" s="70" t="str">
        <f t="shared" si="609"/>
        <v/>
      </c>
      <c r="X1747" s="70" t="str">
        <f t="shared" si="610"/>
        <v/>
      </c>
      <c r="Y1747" s="70" t="str">
        <f>IF(AND($A1747&lt;&gt;"",$E1747&gt;0),isLaptopBag($C1747,$J1747)*$D1747,"")</f>
        <v/>
      </c>
      <c r="Z1747" s="70" t="str">
        <f t="shared" si="611"/>
        <v/>
      </c>
      <c r="AA1747" s="70" t="str">
        <f t="shared" si="612"/>
        <v/>
      </c>
      <c r="AB1747" s="70" t="str">
        <f t="shared" si="613"/>
        <v/>
      </c>
      <c r="AC1747" s="70" t="str">
        <f t="shared" si="614"/>
        <v/>
      </c>
      <c r="AD1747" s="70" t="str">
        <f t="shared" si="615"/>
        <v/>
      </c>
      <c r="AE1747" s="70" t="str">
        <f t="shared" si="616"/>
        <v/>
      </c>
      <c r="AF1747" s="16"/>
      <c r="AG1747" s="23"/>
      <c r="AH1747" s="22"/>
      <c r="AJ1747" s="83">
        <f t="shared" si="617"/>
        <v>0</v>
      </c>
      <c r="AO1747" s="22" t="str">
        <f t="shared" si="618"/>
        <v/>
      </c>
      <c r="AP1747" s="22" t="str">
        <f t="shared" si="619"/>
        <v/>
      </c>
    </row>
    <row r="1748" spans="1:42" x14ac:dyDescent="0.25">
      <c r="A1748" s="10"/>
      <c r="B1748" s="10"/>
      <c r="C1748" s="10"/>
      <c r="D1748" s="10"/>
      <c r="E1748" s="10"/>
      <c r="F1748" s="10"/>
      <c r="G1748" s="10"/>
      <c r="H1748" s="17"/>
      <c r="I1748" s="10"/>
      <c r="J1748" s="10"/>
      <c r="K1748" s="16" t="str">
        <f t="shared" si="598"/>
        <v/>
      </c>
      <c r="L1748" s="23" t="str">
        <f t="shared" si="599"/>
        <v/>
      </c>
      <c r="M1748" s="22" t="str">
        <f t="shared" si="600"/>
        <v/>
      </c>
      <c r="N1748" s="72"/>
      <c r="O1748" s="16" t="str">
        <f t="shared" si="601"/>
        <v/>
      </c>
      <c r="P1748" s="16" t="str">
        <f t="shared" si="602"/>
        <v/>
      </c>
      <c r="Q1748" s="16" t="str">
        <f t="shared" si="603"/>
        <v/>
      </c>
      <c r="R1748" s="23" t="str">
        <f t="shared" si="604"/>
        <v/>
      </c>
      <c r="S1748" s="23" t="str">
        <f t="shared" si="605"/>
        <v/>
      </c>
      <c r="T1748" s="23" t="str">
        <f t="shared" si="606"/>
        <v/>
      </c>
      <c r="U1748" s="23" t="str">
        <f t="shared" si="607"/>
        <v/>
      </c>
      <c r="V1748" s="23" t="str">
        <f t="shared" si="608"/>
        <v/>
      </c>
      <c r="W1748" s="70" t="str">
        <f t="shared" si="609"/>
        <v/>
      </c>
      <c r="X1748" s="70" t="str">
        <f t="shared" si="610"/>
        <v/>
      </c>
      <c r="Y1748" s="70" t="str">
        <f>IF(AND($A1748&lt;&gt;"",$E1748&gt;0),isLaptopBag($C1748,$J1748)*$D1748,"")</f>
        <v/>
      </c>
      <c r="Z1748" s="70" t="str">
        <f t="shared" si="611"/>
        <v/>
      </c>
      <c r="AA1748" s="70" t="str">
        <f t="shared" si="612"/>
        <v/>
      </c>
      <c r="AB1748" s="70" t="str">
        <f t="shared" si="613"/>
        <v/>
      </c>
      <c r="AC1748" s="70" t="str">
        <f t="shared" si="614"/>
        <v/>
      </c>
      <c r="AD1748" s="70" t="str">
        <f t="shared" si="615"/>
        <v/>
      </c>
      <c r="AE1748" s="70" t="str">
        <f t="shared" si="616"/>
        <v/>
      </c>
      <c r="AF1748" s="16"/>
      <c r="AG1748" s="23"/>
      <c r="AH1748" s="22"/>
      <c r="AJ1748" s="83">
        <f t="shared" si="617"/>
        <v>0</v>
      </c>
      <c r="AO1748" s="22" t="str">
        <f t="shared" si="618"/>
        <v/>
      </c>
      <c r="AP1748" s="22" t="str">
        <f t="shared" si="619"/>
        <v/>
      </c>
    </row>
    <row r="1749" spans="1:42" x14ac:dyDescent="0.25">
      <c r="A1749" s="10"/>
      <c r="B1749" s="10"/>
      <c r="C1749" s="10"/>
      <c r="D1749" s="10"/>
      <c r="E1749" s="10"/>
      <c r="F1749" s="10"/>
      <c r="G1749" s="10"/>
      <c r="H1749" s="17"/>
      <c r="I1749" s="10"/>
      <c r="J1749" s="10"/>
      <c r="K1749" s="16" t="str">
        <f t="shared" si="598"/>
        <v/>
      </c>
      <c r="L1749" s="23" t="str">
        <f t="shared" si="599"/>
        <v/>
      </c>
      <c r="M1749" s="22" t="str">
        <f t="shared" si="600"/>
        <v/>
      </c>
      <c r="N1749" s="72"/>
      <c r="O1749" s="16" t="str">
        <f t="shared" si="601"/>
        <v/>
      </c>
      <c r="P1749" s="16" t="str">
        <f t="shared" si="602"/>
        <v/>
      </c>
      <c r="Q1749" s="16" t="str">
        <f t="shared" si="603"/>
        <v/>
      </c>
      <c r="R1749" s="23" t="str">
        <f t="shared" si="604"/>
        <v/>
      </c>
      <c r="S1749" s="23" t="str">
        <f t="shared" si="605"/>
        <v/>
      </c>
      <c r="T1749" s="23" t="str">
        <f t="shared" si="606"/>
        <v/>
      </c>
      <c r="U1749" s="23" t="str">
        <f t="shared" si="607"/>
        <v/>
      </c>
      <c r="V1749" s="23" t="str">
        <f t="shared" si="608"/>
        <v/>
      </c>
      <c r="W1749" s="70" t="str">
        <f t="shared" si="609"/>
        <v/>
      </c>
      <c r="X1749" s="70" t="str">
        <f t="shared" si="610"/>
        <v/>
      </c>
      <c r="Y1749" s="70" t="str">
        <f>IF(AND($A1749&lt;&gt;"",$E1749&gt;0),isLaptopBag($C1749,$J1749)*$D1749,"")</f>
        <v/>
      </c>
      <c r="Z1749" s="70" t="str">
        <f t="shared" si="611"/>
        <v/>
      </c>
      <c r="AA1749" s="70" t="str">
        <f t="shared" si="612"/>
        <v/>
      </c>
      <c r="AB1749" s="70" t="str">
        <f t="shared" si="613"/>
        <v/>
      </c>
      <c r="AC1749" s="70" t="str">
        <f t="shared" si="614"/>
        <v/>
      </c>
      <c r="AD1749" s="70" t="str">
        <f t="shared" si="615"/>
        <v/>
      </c>
      <c r="AE1749" s="70" t="str">
        <f t="shared" si="616"/>
        <v/>
      </c>
      <c r="AF1749" s="16"/>
      <c r="AG1749" s="23"/>
      <c r="AH1749" s="22"/>
      <c r="AJ1749" s="83">
        <f t="shared" si="617"/>
        <v>0</v>
      </c>
      <c r="AO1749" s="22" t="str">
        <f t="shared" si="618"/>
        <v/>
      </c>
      <c r="AP1749" s="22" t="str">
        <f t="shared" si="619"/>
        <v/>
      </c>
    </row>
    <row r="1750" spans="1:42" x14ac:dyDescent="0.25">
      <c r="A1750" s="10"/>
      <c r="B1750" s="10"/>
      <c r="C1750" s="10"/>
      <c r="D1750" s="10"/>
      <c r="E1750" s="10"/>
      <c r="F1750" s="10"/>
      <c r="G1750" s="10"/>
      <c r="H1750" s="17"/>
      <c r="I1750" s="10"/>
      <c r="J1750" s="10"/>
      <c r="K1750" s="16" t="str">
        <f t="shared" si="598"/>
        <v/>
      </c>
      <c r="L1750" s="23" t="str">
        <f t="shared" si="599"/>
        <v/>
      </c>
      <c r="M1750" s="22" t="str">
        <f t="shared" si="600"/>
        <v/>
      </c>
      <c r="N1750" s="72"/>
      <c r="O1750" s="16" t="str">
        <f t="shared" si="601"/>
        <v/>
      </c>
      <c r="P1750" s="16" t="str">
        <f t="shared" si="602"/>
        <v/>
      </c>
      <c r="Q1750" s="16" t="str">
        <f t="shared" si="603"/>
        <v/>
      </c>
      <c r="R1750" s="23" t="str">
        <f t="shared" si="604"/>
        <v/>
      </c>
      <c r="S1750" s="23" t="str">
        <f t="shared" si="605"/>
        <v/>
      </c>
      <c r="T1750" s="23" t="str">
        <f t="shared" si="606"/>
        <v/>
      </c>
      <c r="U1750" s="23" t="str">
        <f t="shared" si="607"/>
        <v/>
      </c>
      <c r="V1750" s="23" t="str">
        <f t="shared" si="608"/>
        <v/>
      </c>
      <c r="W1750" s="70" t="str">
        <f t="shared" si="609"/>
        <v/>
      </c>
      <c r="X1750" s="70" t="str">
        <f t="shared" si="610"/>
        <v/>
      </c>
      <c r="Y1750" s="70" t="str">
        <f>IF(AND($A1750&lt;&gt;"",$E1750&gt;0),isLaptopBag($C1750,$J1750)*$D1750,"")</f>
        <v/>
      </c>
      <c r="Z1750" s="70" t="str">
        <f t="shared" si="611"/>
        <v/>
      </c>
      <c r="AA1750" s="70" t="str">
        <f t="shared" si="612"/>
        <v/>
      </c>
      <c r="AB1750" s="70" t="str">
        <f t="shared" si="613"/>
        <v/>
      </c>
      <c r="AC1750" s="70" t="str">
        <f t="shared" si="614"/>
        <v/>
      </c>
      <c r="AD1750" s="70" t="str">
        <f t="shared" si="615"/>
        <v/>
      </c>
      <c r="AE1750" s="70" t="str">
        <f t="shared" si="616"/>
        <v/>
      </c>
      <c r="AF1750" s="16"/>
      <c r="AG1750" s="23"/>
      <c r="AH1750" s="22"/>
      <c r="AJ1750" s="83">
        <f t="shared" si="617"/>
        <v>0</v>
      </c>
      <c r="AO1750" s="22" t="str">
        <f t="shared" si="618"/>
        <v/>
      </c>
      <c r="AP1750" s="22" t="str">
        <f t="shared" si="619"/>
        <v/>
      </c>
    </row>
    <row r="1751" spans="1:42" x14ac:dyDescent="0.25">
      <c r="A1751" s="10"/>
      <c r="B1751" s="10"/>
      <c r="C1751" s="10"/>
      <c r="D1751" s="10"/>
      <c r="E1751" s="10"/>
      <c r="F1751" s="10"/>
      <c r="G1751" s="10"/>
      <c r="H1751" s="17"/>
      <c r="I1751" s="10"/>
      <c r="J1751" s="10"/>
      <c r="K1751" s="16" t="str">
        <f t="shared" si="598"/>
        <v/>
      </c>
      <c r="L1751" s="23" t="str">
        <f t="shared" si="599"/>
        <v/>
      </c>
      <c r="M1751" s="22" t="str">
        <f t="shared" si="600"/>
        <v/>
      </c>
      <c r="N1751" s="72"/>
      <c r="O1751" s="16" t="str">
        <f t="shared" si="601"/>
        <v/>
      </c>
      <c r="P1751" s="16" t="str">
        <f t="shared" si="602"/>
        <v/>
      </c>
      <c r="Q1751" s="16" t="str">
        <f t="shared" si="603"/>
        <v/>
      </c>
      <c r="R1751" s="23" t="str">
        <f t="shared" si="604"/>
        <v/>
      </c>
      <c r="S1751" s="23" t="str">
        <f t="shared" si="605"/>
        <v/>
      </c>
      <c r="T1751" s="23" t="str">
        <f t="shared" si="606"/>
        <v/>
      </c>
      <c r="U1751" s="23" t="str">
        <f t="shared" si="607"/>
        <v/>
      </c>
      <c r="V1751" s="23" t="str">
        <f t="shared" si="608"/>
        <v/>
      </c>
      <c r="W1751" s="70" t="str">
        <f t="shared" si="609"/>
        <v/>
      </c>
      <c r="X1751" s="70" t="str">
        <f t="shared" si="610"/>
        <v/>
      </c>
      <c r="Y1751" s="70" t="str">
        <f>IF(AND($A1751&lt;&gt;"",$E1751&gt;0),isLaptopBag($C1751,$J1751)*$D1751,"")</f>
        <v/>
      </c>
      <c r="Z1751" s="70" t="str">
        <f t="shared" si="611"/>
        <v/>
      </c>
      <c r="AA1751" s="70" t="str">
        <f t="shared" si="612"/>
        <v/>
      </c>
      <c r="AB1751" s="70" t="str">
        <f t="shared" si="613"/>
        <v/>
      </c>
      <c r="AC1751" s="70" t="str">
        <f t="shared" si="614"/>
        <v/>
      </c>
      <c r="AD1751" s="70" t="str">
        <f t="shared" si="615"/>
        <v/>
      </c>
      <c r="AE1751" s="70" t="str">
        <f t="shared" si="616"/>
        <v/>
      </c>
      <c r="AF1751" s="16"/>
      <c r="AG1751" s="23"/>
      <c r="AH1751" s="22"/>
      <c r="AJ1751" s="83">
        <f t="shared" si="617"/>
        <v>0</v>
      </c>
      <c r="AO1751" s="22" t="str">
        <f t="shared" si="618"/>
        <v/>
      </c>
      <c r="AP1751" s="22" t="str">
        <f t="shared" si="619"/>
        <v/>
      </c>
    </row>
    <row r="1752" spans="1:42" x14ac:dyDescent="0.25">
      <c r="A1752" s="10"/>
      <c r="B1752" s="10"/>
      <c r="C1752" s="10"/>
      <c r="D1752" s="10"/>
      <c r="E1752" s="10"/>
      <c r="F1752" s="10"/>
      <c r="G1752" s="10"/>
      <c r="H1752" s="17"/>
      <c r="I1752" s="10"/>
      <c r="J1752" s="10"/>
      <c r="K1752" s="16" t="str">
        <f t="shared" si="598"/>
        <v/>
      </c>
      <c r="L1752" s="23" t="str">
        <f t="shared" si="599"/>
        <v/>
      </c>
      <c r="M1752" s="22" t="str">
        <f t="shared" si="600"/>
        <v/>
      </c>
      <c r="N1752" s="72"/>
      <c r="O1752" s="16" t="str">
        <f t="shared" si="601"/>
        <v/>
      </c>
      <c r="P1752" s="16" t="str">
        <f t="shared" si="602"/>
        <v/>
      </c>
      <c r="Q1752" s="16" t="str">
        <f t="shared" si="603"/>
        <v/>
      </c>
      <c r="R1752" s="23" t="str">
        <f t="shared" si="604"/>
        <v/>
      </c>
      <c r="S1752" s="23" t="str">
        <f t="shared" si="605"/>
        <v/>
      </c>
      <c r="T1752" s="23" t="str">
        <f t="shared" si="606"/>
        <v/>
      </c>
      <c r="U1752" s="23" t="str">
        <f t="shared" si="607"/>
        <v/>
      </c>
      <c r="V1752" s="23" t="str">
        <f t="shared" si="608"/>
        <v/>
      </c>
      <c r="W1752" s="70" t="str">
        <f t="shared" si="609"/>
        <v/>
      </c>
      <c r="X1752" s="70" t="str">
        <f t="shared" si="610"/>
        <v/>
      </c>
      <c r="Y1752" s="70" t="str">
        <f>IF(AND($A1752&lt;&gt;"",$E1752&gt;0),isLaptopBag($C1752,$J1752)*$D1752,"")</f>
        <v/>
      </c>
      <c r="Z1752" s="70" t="str">
        <f t="shared" si="611"/>
        <v/>
      </c>
      <c r="AA1752" s="70" t="str">
        <f t="shared" si="612"/>
        <v/>
      </c>
      <c r="AB1752" s="70" t="str">
        <f t="shared" si="613"/>
        <v/>
      </c>
      <c r="AC1752" s="70" t="str">
        <f t="shared" si="614"/>
        <v/>
      </c>
      <c r="AD1752" s="70" t="str">
        <f t="shared" si="615"/>
        <v/>
      </c>
      <c r="AE1752" s="70" t="str">
        <f t="shared" si="616"/>
        <v/>
      </c>
      <c r="AF1752" s="16"/>
      <c r="AG1752" s="23"/>
      <c r="AH1752" s="22"/>
      <c r="AJ1752" s="83">
        <f t="shared" si="617"/>
        <v>0</v>
      </c>
      <c r="AO1752" s="22" t="str">
        <f t="shared" si="618"/>
        <v/>
      </c>
      <c r="AP1752" s="22" t="str">
        <f t="shared" si="619"/>
        <v/>
      </c>
    </row>
    <row r="1753" spans="1:42" x14ac:dyDescent="0.25">
      <c r="A1753" s="10"/>
      <c r="B1753" s="10"/>
      <c r="C1753" s="10"/>
      <c r="D1753" s="10"/>
      <c r="E1753" s="10"/>
      <c r="F1753" s="10"/>
      <c r="G1753" s="10"/>
      <c r="H1753" s="17"/>
      <c r="I1753" s="10"/>
      <c r="J1753" s="10"/>
      <c r="K1753" s="16" t="str">
        <f t="shared" si="598"/>
        <v/>
      </c>
      <c r="L1753" s="23" t="str">
        <f t="shared" si="599"/>
        <v/>
      </c>
      <c r="M1753" s="22" t="str">
        <f t="shared" si="600"/>
        <v/>
      </c>
      <c r="N1753" s="72"/>
      <c r="O1753" s="16" t="str">
        <f t="shared" si="601"/>
        <v/>
      </c>
      <c r="P1753" s="16" t="str">
        <f t="shared" si="602"/>
        <v/>
      </c>
      <c r="Q1753" s="16" t="str">
        <f t="shared" si="603"/>
        <v/>
      </c>
      <c r="R1753" s="23" t="str">
        <f t="shared" si="604"/>
        <v/>
      </c>
      <c r="S1753" s="23" t="str">
        <f t="shared" si="605"/>
        <v/>
      </c>
      <c r="T1753" s="23" t="str">
        <f t="shared" si="606"/>
        <v/>
      </c>
      <c r="U1753" s="23" t="str">
        <f t="shared" si="607"/>
        <v/>
      </c>
      <c r="V1753" s="23" t="str">
        <f t="shared" si="608"/>
        <v/>
      </c>
      <c r="W1753" s="70" t="str">
        <f t="shared" si="609"/>
        <v/>
      </c>
      <c r="X1753" s="70" t="str">
        <f t="shared" si="610"/>
        <v/>
      </c>
      <c r="Y1753" s="70" t="str">
        <f>IF(AND($A1753&lt;&gt;"",$E1753&gt;0),isLaptopBag($C1753,$J1753)*$D1753,"")</f>
        <v/>
      </c>
      <c r="Z1753" s="70" t="str">
        <f t="shared" si="611"/>
        <v/>
      </c>
      <c r="AA1753" s="70" t="str">
        <f t="shared" si="612"/>
        <v/>
      </c>
      <c r="AB1753" s="70" t="str">
        <f t="shared" si="613"/>
        <v/>
      </c>
      <c r="AC1753" s="70" t="str">
        <f t="shared" si="614"/>
        <v/>
      </c>
      <c r="AD1753" s="70" t="str">
        <f t="shared" si="615"/>
        <v/>
      </c>
      <c r="AE1753" s="70" t="str">
        <f t="shared" si="616"/>
        <v/>
      </c>
      <c r="AF1753" s="16"/>
      <c r="AG1753" s="23"/>
      <c r="AH1753" s="22"/>
      <c r="AJ1753" s="83">
        <f t="shared" si="617"/>
        <v>0</v>
      </c>
      <c r="AO1753" s="22" t="str">
        <f t="shared" si="618"/>
        <v/>
      </c>
      <c r="AP1753" s="22" t="str">
        <f t="shared" si="619"/>
        <v/>
      </c>
    </row>
    <row r="1754" spans="1:42" x14ac:dyDescent="0.25">
      <c r="A1754" s="10"/>
      <c r="B1754" s="10"/>
      <c r="C1754" s="10"/>
      <c r="D1754" s="10"/>
      <c r="E1754" s="10"/>
      <c r="F1754" s="10"/>
      <c r="G1754" s="10"/>
      <c r="H1754" s="17"/>
      <c r="I1754" s="10"/>
      <c r="J1754" s="10"/>
      <c r="K1754" s="16" t="str">
        <f t="shared" si="598"/>
        <v/>
      </c>
      <c r="L1754" s="23" t="str">
        <f t="shared" si="599"/>
        <v/>
      </c>
      <c r="M1754" s="22" t="str">
        <f t="shared" si="600"/>
        <v/>
      </c>
      <c r="N1754" s="72"/>
      <c r="O1754" s="16" t="str">
        <f t="shared" si="601"/>
        <v/>
      </c>
      <c r="P1754" s="16" t="str">
        <f t="shared" si="602"/>
        <v/>
      </c>
      <c r="Q1754" s="16" t="str">
        <f t="shared" si="603"/>
        <v/>
      </c>
      <c r="R1754" s="23" t="str">
        <f t="shared" si="604"/>
        <v/>
      </c>
      <c r="S1754" s="23" t="str">
        <f t="shared" si="605"/>
        <v/>
      </c>
      <c r="T1754" s="23" t="str">
        <f t="shared" si="606"/>
        <v/>
      </c>
      <c r="U1754" s="23" t="str">
        <f t="shared" si="607"/>
        <v/>
      </c>
      <c r="V1754" s="23" t="str">
        <f t="shared" si="608"/>
        <v/>
      </c>
      <c r="W1754" s="70" t="str">
        <f t="shared" si="609"/>
        <v/>
      </c>
      <c r="X1754" s="70" t="str">
        <f t="shared" si="610"/>
        <v/>
      </c>
      <c r="Y1754" s="70" t="str">
        <f>IF(AND($A1754&lt;&gt;"",$E1754&gt;0),isLaptopBag($C1754,$J1754)*$D1754,"")</f>
        <v/>
      </c>
      <c r="Z1754" s="70" t="str">
        <f t="shared" si="611"/>
        <v/>
      </c>
      <c r="AA1754" s="70" t="str">
        <f t="shared" si="612"/>
        <v/>
      </c>
      <c r="AB1754" s="70" t="str">
        <f t="shared" si="613"/>
        <v/>
      </c>
      <c r="AC1754" s="70" t="str">
        <f t="shared" si="614"/>
        <v/>
      </c>
      <c r="AD1754" s="70" t="str">
        <f t="shared" si="615"/>
        <v/>
      </c>
      <c r="AE1754" s="70" t="str">
        <f t="shared" si="616"/>
        <v/>
      </c>
      <c r="AF1754" s="16"/>
      <c r="AG1754" s="23"/>
      <c r="AH1754" s="22"/>
      <c r="AJ1754" s="83">
        <f t="shared" si="617"/>
        <v>0</v>
      </c>
      <c r="AO1754" s="22" t="str">
        <f t="shared" si="618"/>
        <v/>
      </c>
      <c r="AP1754" s="22" t="str">
        <f t="shared" si="619"/>
        <v/>
      </c>
    </row>
    <row r="1755" spans="1:42" x14ac:dyDescent="0.25">
      <c r="A1755" s="10"/>
      <c r="B1755" s="10"/>
      <c r="C1755" s="10"/>
      <c r="D1755" s="10"/>
      <c r="E1755" s="10"/>
      <c r="F1755" s="10"/>
      <c r="G1755" s="10"/>
      <c r="H1755" s="17"/>
      <c r="I1755" s="10"/>
      <c r="J1755" s="10"/>
      <c r="K1755" s="16" t="str">
        <f t="shared" si="598"/>
        <v/>
      </c>
      <c r="L1755" s="23" t="str">
        <f t="shared" si="599"/>
        <v/>
      </c>
      <c r="M1755" s="22" t="str">
        <f t="shared" si="600"/>
        <v/>
      </c>
      <c r="N1755" s="72"/>
      <c r="O1755" s="16" t="str">
        <f t="shared" si="601"/>
        <v/>
      </c>
      <c r="P1755" s="16" t="str">
        <f t="shared" si="602"/>
        <v/>
      </c>
      <c r="Q1755" s="16" t="str">
        <f t="shared" si="603"/>
        <v/>
      </c>
      <c r="R1755" s="23" t="str">
        <f t="shared" si="604"/>
        <v/>
      </c>
      <c r="S1755" s="23" t="str">
        <f t="shared" si="605"/>
        <v/>
      </c>
      <c r="T1755" s="23" t="str">
        <f t="shared" si="606"/>
        <v/>
      </c>
      <c r="U1755" s="23" t="str">
        <f t="shared" si="607"/>
        <v/>
      </c>
      <c r="V1755" s="23" t="str">
        <f t="shared" si="608"/>
        <v/>
      </c>
      <c r="W1755" s="70" t="str">
        <f t="shared" si="609"/>
        <v/>
      </c>
      <c r="X1755" s="70" t="str">
        <f t="shared" si="610"/>
        <v/>
      </c>
      <c r="Y1755" s="70" t="str">
        <f>IF(AND($A1755&lt;&gt;"",$E1755&gt;0),isLaptopBag($C1755,$J1755)*$D1755,"")</f>
        <v/>
      </c>
      <c r="Z1755" s="70" t="str">
        <f t="shared" si="611"/>
        <v/>
      </c>
      <c r="AA1755" s="70" t="str">
        <f t="shared" si="612"/>
        <v/>
      </c>
      <c r="AB1755" s="70" t="str">
        <f t="shared" si="613"/>
        <v/>
      </c>
      <c r="AC1755" s="70" t="str">
        <f t="shared" si="614"/>
        <v/>
      </c>
      <c r="AD1755" s="70" t="str">
        <f t="shared" si="615"/>
        <v/>
      </c>
      <c r="AE1755" s="70" t="str">
        <f t="shared" si="616"/>
        <v/>
      </c>
      <c r="AF1755" s="16"/>
      <c r="AG1755" s="23"/>
      <c r="AH1755" s="22"/>
      <c r="AJ1755" s="83">
        <f t="shared" si="617"/>
        <v>0</v>
      </c>
      <c r="AO1755" s="22" t="str">
        <f t="shared" si="618"/>
        <v/>
      </c>
      <c r="AP1755" s="22" t="str">
        <f t="shared" si="619"/>
        <v/>
      </c>
    </row>
    <row r="1756" spans="1:42" x14ac:dyDescent="0.25">
      <c r="A1756" s="10"/>
      <c r="B1756" s="10"/>
      <c r="C1756" s="10"/>
      <c r="D1756" s="10"/>
      <c r="E1756" s="10"/>
      <c r="F1756" s="10"/>
      <c r="G1756" s="10"/>
      <c r="H1756" s="17"/>
      <c r="I1756" s="10"/>
      <c r="J1756" s="10"/>
      <c r="K1756" s="16" t="str">
        <f t="shared" si="598"/>
        <v/>
      </c>
      <c r="L1756" s="23" t="str">
        <f t="shared" si="599"/>
        <v/>
      </c>
      <c r="M1756" s="22" t="str">
        <f t="shared" si="600"/>
        <v/>
      </c>
      <c r="N1756" s="72"/>
      <c r="O1756" s="16" t="str">
        <f t="shared" si="601"/>
        <v/>
      </c>
      <c r="P1756" s="16" t="str">
        <f t="shared" si="602"/>
        <v/>
      </c>
      <c r="Q1756" s="16" t="str">
        <f t="shared" si="603"/>
        <v/>
      </c>
      <c r="R1756" s="23" t="str">
        <f t="shared" si="604"/>
        <v/>
      </c>
      <c r="S1756" s="23" t="str">
        <f t="shared" si="605"/>
        <v/>
      </c>
      <c r="T1756" s="23" t="str">
        <f t="shared" si="606"/>
        <v/>
      </c>
      <c r="U1756" s="23" t="str">
        <f t="shared" si="607"/>
        <v/>
      </c>
      <c r="V1756" s="23" t="str">
        <f t="shared" si="608"/>
        <v/>
      </c>
      <c r="W1756" s="70" t="str">
        <f t="shared" si="609"/>
        <v/>
      </c>
      <c r="X1756" s="70" t="str">
        <f t="shared" si="610"/>
        <v/>
      </c>
      <c r="Y1756" s="70" t="str">
        <f>IF(AND($A1756&lt;&gt;"",$E1756&gt;0),isLaptopBag($C1756,$J1756)*$D1756,"")</f>
        <v/>
      </c>
      <c r="Z1756" s="70" t="str">
        <f t="shared" si="611"/>
        <v/>
      </c>
      <c r="AA1756" s="70" t="str">
        <f t="shared" si="612"/>
        <v/>
      </c>
      <c r="AB1756" s="70" t="str">
        <f t="shared" si="613"/>
        <v/>
      </c>
      <c r="AC1756" s="70" t="str">
        <f t="shared" si="614"/>
        <v/>
      </c>
      <c r="AD1756" s="70" t="str">
        <f t="shared" si="615"/>
        <v/>
      </c>
      <c r="AE1756" s="70" t="str">
        <f t="shared" si="616"/>
        <v/>
      </c>
      <c r="AF1756" s="16"/>
      <c r="AG1756" s="23"/>
      <c r="AH1756" s="22"/>
      <c r="AJ1756" s="83">
        <f t="shared" si="617"/>
        <v>0</v>
      </c>
      <c r="AO1756" s="22" t="str">
        <f t="shared" si="618"/>
        <v/>
      </c>
      <c r="AP1756" s="22" t="str">
        <f t="shared" si="619"/>
        <v/>
      </c>
    </row>
    <row r="1757" spans="1:42" x14ac:dyDescent="0.25">
      <c r="A1757" s="10"/>
      <c r="B1757" s="10"/>
      <c r="C1757" s="10"/>
      <c r="D1757" s="10"/>
      <c r="E1757" s="10"/>
      <c r="F1757" s="10"/>
      <c r="G1757" s="10"/>
      <c r="H1757" s="17"/>
      <c r="I1757" s="10"/>
      <c r="J1757" s="10"/>
      <c r="K1757" s="16" t="str">
        <f t="shared" si="598"/>
        <v/>
      </c>
      <c r="L1757" s="23" t="str">
        <f t="shared" si="599"/>
        <v/>
      </c>
      <c r="M1757" s="22" t="str">
        <f t="shared" si="600"/>
        <v/>
      </c>
      <c r="N1757" s="72"/>
      <c r="O1757" s="16" t="str">
        <f t="shared" si="601"/>
        <v/>
      </c>
      <c r="P1757" s="16" t="str">
        <f t="shared" si="602"/>
        <v/>
      </c>
      <c r="Q1757" s="16" t="str">
        <f t="shared" si="603"/>
        <v/>
      </c>
      <c r="R1757" s="23" t="str">
        <f t="shared" si="604"/>
        <v/>
      </c>
      <c r="S1757" s="23" t="str">
        <f t="shared" si="605"/>
        <v/>
      </c>
      <c r="T1757" s="23" t="str">
        <f t="shared" si="606"/>
        <v/>
      </c>
      <c r="U1757" s="23" t="str">
        <f t="shared" si="607"/>
        <v/>
      </c>
      <c r="V1757" s="23" t="str">
        <f t="shared" si="608"/>
        <v/>
      </c>
      <c r="W1757" s="70" t="str">
        <f t="shared" si="609"/>
        <v/>
      </c>
      <c r="X1757" s="70" t="str">
        <f t="shared" si="610"/>
        <v/>
      </c>
      <c r="Y1757" s="70" t="str">
        <f>IF(AND($A1757&lt;&gt;"",$E1757&gt;0),isLaptopBag($C1757,$J1757)*$D1757,"")</f>
        <v/>
      </c>
      <c r="Z1757" s="70" t="str">
        <f t="shared" si="611"/>
        <v/>
      </c>
      <c r="AA1757" s="70" t="str">
        <f t="shared" si="612"/>
        <v/>
      </c>
      <c r="AB1757" s="70" t="str">
        <f t="shared" si="613"/>
        <v/>
      </c>
      <c r="AC1757" s="70" t="str">
        <f t="shared" si="614"/>
        <v/>
      </c>
      <c r="AD1757" s="70" t="str">
        <f t="shared" si="615"/>
        <v/>
      </c>
      <c r="AE1757" s="70" t="str">
        <f t="shared" si="616"/>
        <v/>
      </c>
      <c r="AF1757" s="16"/>
      <c r="AG1757" s="23"/>
      <c r="AH1757" s="22"/>
      <c r="AJ1757" s="83">
        <f t="shared" si="617"/>
        <v>0</v>
      </c>
      <c r="AO1757" s="22" t="str">
        <f t="shared" si="618"/>
        <v/>
      </c>
      <c r="AP1757" s="22" t="str">
        <f t="shared" si="619"/>
        <v/>
      </c>
    </row>
    <row r="1758" spans="1:42" x14ac:dyDescent="0.25">
      <c r="A1758" s="10"/>
      <c r="B1758" s="10"/>
      <c r="C1758" s="10"/>
      <c r="D1758" s="10"/>
      <c r="E1758" s="10"/>
      <c r="F1758" s="10"/>
      <c r="G1758" s="10"/>
      <c r="H1758" s="17"/>
      <c r="I1758" s="10"/>
      <c r="J1758" s="10"/>
      <c r="K1758" s="16" t="str">
        <f t="shared" si="598"/>
        <v/>
      </c>
      <c r="L1758" s="23" t="str">
        <f t="shared" si="599"/>
        <v/>
      </c>
      <c r="M1758" s="22" t="str">
        <f t="shared" si="600"/>
        <v/>
      </c>
      <c r="N1758" s="72"/>
      <c r="O1758" s="16" t="str">
        <f t="shared" si="601"/>
        <v/>
      </c>
      <c r="P1758" s="16" t="str">
        <f t="shared" si="602"/>
        <v/>
      </c>
      <c r="Q1758" s="16" t="str">
        <f t="shared" si="603"/>
        <v/>
      </c>
      <c r="R1758" s="23" t="str">
        <f t="shared" si="604"/>
        <v/>
      </c>
      <c r="S1758" s="23" t="str">
        <f t="shared" si="605"/>
        <v/>
      </c>
      <c r="T1758" s="23" t="str">
        <f t="shared" si="606"/>
        <v/>
      </c>
      <c r="U1758" s="23" t="str">
        <f t="shared" si="607"/>
        <v/>
      </c>
      <c r="V1758" s="23" t="str">
        <f t="shared" si="608"/>
        <v/>
      </c>
      <c r="W1758" s="70" t="str">
        <f t="shared" si="609"/>
        <v/>
      </c>
      <c r="X1758" s="70" t="str">
        <f t="shared" si="610"/>
        <v/>
      </c>
      <c r="Y1758" s="70" t="str">
        <f>IF(AND($A1758&lt;&gt;"",$E1758&gt;0),isLaptopBag($C1758,$J1758)*$D1758,"")</f>
        <v/>
      </c>
      <c r="Z1758" s="70" t="str">
        <f t="shared" si="611"/>
        <v/>
      </c>
      <c r="AA1758" s="70" t="str">
        <f t="shared" si="612"/>
        <v/>
      </c>
      <c r="AB1758" s="70" t="str">
        <f t="shared" si="613"/>
        <v/>
      </c>
      <c r="AC1758" s="70" t="str">
        <f t="shared" si="614"/>
        <v/>
      </c>
      <c r="AD1758" s="70" t="str">
        <f t="shared" si="615"/>
        <v/>
      </c>
      <c r="AE1758" s="70" t="str">
        <f t="shared" si="616"/>
        <v/>
      </c>
      <c r="AF1758" s="16"/>
      <c r="AG1758" s="23"/>
      <c r="AH1758" s="22"/>
      <c r="AJ1758" s="83">
        <f t="shared" si="617"/>
        <v>0</v>
      </c>
      <c r="AO1758" s="22" t="str">
        <f t="shared" si="618"/>
        <v/>
      </c>
      <c r="AP1758" s="22" t="str">
        <f t="shared" si="619"/>
        <v/>
      </c>
    </row>
    <row r="1759" spans="1:42" x14ac:dyDescent="0.25">
      <c r="A1759" s="10"/>
      <c r="B1759" s="10"/>
      <c r="C1759" s="10"/>
      <c r="D1759" s="10"/>
      <c r="E1759" s="10"/>
      <c r="F1759" s="10"/>
      <c r="G1759" s="10"/>
      <c r="H1759" s="17"/>
      <c r="I1759" s="10"/>
      <c r="J1759" s="10"/>
      <c r="K1759" s="16" t="str">
        <f t="shared" si="598"/>
        <v/>
      </c>
      <c r="L1759" s="23" t="str">
        <f t="shared" si="599"/>
        <v/>
      </c>
      <c r="M1759" s="22" t="str">
        <f t="shared" si="600"/>
        <v/>
      </c>
      <c r="N1759" s="72"/>
      <c r="O1759" s="16" t="str">
        <f t="shared" si="601"/>
        <v/>
      </c>
      <c r="P1759" s="16" t="str">
        <f t="shared" si="602"/>
        <v/>
      </c>
      <c r="Q1759" s="16" t="str">
        <f t="shared" si="603"/>
        <v/>
      </c>
      <c r="R1759" s="23" t="str">
        <f t="shared" si="604"/>
        <v/>
      </c>
      <c r="S1759" s="23" t="str">
        <f t="shared" si="605"/>
        <v/>
      </c>
      <c r="T1759" s="23" t="str">
        <f t="shared" si="606"/>
        <v/>
      </c>
      <c r="U1759" s="23" t="str">
        <f t="shared" si="607"/>
        <v/>
      </c>
      <c r="V1759" s="23" t="str">
        <f t="shared" si="608"/>
        <v/>
      </c>
      <c r="W1759" s="70" t="str">
        <f t="shared" si="609"/>
        <v/>
      </c>
      <c r="X1759" s="70" t="str">
        <f t="shared" si="610"/>
        <v/>
      </c>
      <c r="Y1759" s="70" t="str">
        <f>IF(AND($A1759&lt;&gt;"",$E1759&gt;0),isLaptopBag($C1759,$J1759)*$D1759,"")</f>
        <v/>
      </c>
      <c r="Z1759" s="70" t="str">
        <f t="shared" si="611"/>
        <v/>
      </c>
      <c r="AA1759" s="70" t="str">
        <f t="shared" si="612"/>
        <v/>
      </c>
      <c r="AB1759" s="70" t="str">
        <f t="shared" si="613"/>
        <v/>
      </c>
      <c r="AC1759" s="70" t="str">
        <f t="shared" si="614"/>
        <v/>
      </c>
      <c r="AD1759" s="70" t="str">
        <f t="shared" si="615"/>
        <v/>
      </c>
      <c r="AE1759" s="70" t="str">
        <f t="shared" si="616"/>
        <v/>
      </c>
      <c r="AF1759" s="16"/>
      <c r="AG1759" s="23"/>
      <c r="AH1759" s="22"/>
      <c r="AJ1759" s="83">
        <f t="shared" si="617"/>
        <v>0</v>
      </c>
      <c r="AO1759" s="22" t="str">
        <f t="shared" si="618"/>
        <v/>
      </c>
      <c r="AP1759" s="22" t="str">
        <f t="shared" si="619"/>
        <v/>
      </c>
    </row>
    <row r="1760" spans="1:42" x14ac:dyDescent="0.25">
      <c r="A1760" s="10"/>
      <c r="B1760" s="10"/>
      <c r="C1760" s="10"/>
      <c r="D1760" s="10"/>
      <c r="E1760" s="10"/>
      <c r="F1760" s="10"/>
      <c r="G1760" s="10"/>
      <c r="H1760" s="17"/>
      <c r="I1760" s="10"/>
      <c r="J1760" s="10"/>
      <c r="K1760" s="16" t="str">
        <f t="shared" si="598"/>
        <v/>
      </c>
      <c r="L1760" s="23" t="str">
        <f t="shared" si="599"/>
        <v/>
      </c>
      <c r="M1760" s="22" t="str">
        <f t="shared" si="600"/>
        <v/>
      </c>
      <c r="N1760" s="72"/>
      <c r="O1760" s="16" t="str">
        <f t="shared" si="601"/>
        <v/>
      </c>
      <c r="P1760" s="16" t="str">
        <f t="shared" si="602"/>
        <v/>
      </c>
      <c r="Q1760" s="16" t="str">
        <f t="shared" si="603"/>
        <v/>
      </c>
      <c r="R1760" s="23" t="str">
        <f t="shared" si="604"/>
        <v/>
      </c>
      <c r="S1760" s="23" t="str">
        <f t="shared" si="605"/>
        <v/>
      </c>
      <c r="T1760" s="23" t="str">
        <f t="shared" si="606"/>
        <v/>
      </c>
      <c r="U1760" s="23" t="str">
        <f t="shared" si="607"/>
        <v/>
      </c>
      <c r="V1760" s="23" t="str">
        <f t="shared" si="608"/>
        <v/>
      </c>
      <c r="W1760" s="70" t="str">
        <f t="shared" si="609"/>
        <v/>
      </c>
      <c r="X1760" s="70" t="str">
        <f t="shared" si="610"/>
        <v/>
      </c>
      <c r="Y1760" s="70" t="str">
        <f>IF(AND($A1760&lt;&gt;"",$E1760&gt;0),isLaptopBag($C1760,$J1760)*$D1760,"")</f>
        <v/>
      </c>
      <c r="Z1760" s="70" t="str">
        <f t="shared" si="611"/>
        <v/>
      </c>
      <c r="AA1760" s="70" t="str">
        <f t="shared" si="612"/>
        <v/>
      </c>
      <c r="AB1760" s="70" t="str">
        <f t="shared" si="613"/>
        <v/>
      </c>
      <c r="AC1760" s="70" t="str">
        <f t="shared" si="614"/>
        <v/>
      </c>
      <c r="AD1760" s="70" t="str">
        <f t="shared" si="615"/>
        <v/>
      </c>
      <c r="AE1760" s="70" t="str">
        <f t="shared" si="616"/>
        <v/>
      </c>
      <c r="AF1760" s="16"/>
      <c r="AG1760" s="23"/>
      <c r="AH1760" s="22"/>
      <c r="AJ1760" s="83">
        <f t="shared" si="617"/>
        <v>0</v>
      </c>
      <c r="AO1760" s="22" t="str">
        <f t="shared" si="618"/>
        <v/>
      </c>
      <c r="AP1760" s="22" t="str">
        <f t="shared" si="619"/>
        <v/>
      </c>
    </row>
    <row r="1761" spans="1:42" x14ac:dyDescent="0.25">
      <c r="A1761" s="10"/>
      <c r="B1761" s="10"/>
      <c r="C1761" s="10"/>
      <c r="D1761" s="10"/>
      <c r="E1761" s="10"/>
      <c r="F1761" s="10"/>
      <c r="G1761" s="10"/>
      <c r="H1761" s="17"/>
      <c r="I1761" s="10"/>
      <c r="J1761" s="10"/>
      <c r="K1761" s="16" t="str">
        <f t="shared" si="598"/>
        <v/>
      </c>
      <c r="L1761" s="23" t="str">
        <f t="shared" si="599"/>
        <v/>
      </c>
      <c r="M1761" s="22" t="str">
        <f t="shared" si="600"/>
        <v/>
      </c>
      <c r="N1761" s="72"/>
      <c r="O1761" s="16" t="str">
        <f t="shared" si="601"/>
        <v/>
      </c>
      <c r="P1761" s="16" t="str">
        <f t="shared" si="602"/>
        <v/>
      </c>
      <c r="Q1761" s="16" t="str">
        <f t="shared" si="603"/>
        <v/>
      </c>
      <c r="R1761" s="23" t="str">
        <f t="shared" si="604"/>
        <v/>
      </c>
      <c r="S1761" s="23" t="str">
        <f t="shared" si="605"/>
        <v/>
      </c>
      <c r="T1761" s="23" t="str">
        <f t="shared" si="606"/>
        <v/>
      </c>
      <c r="U1761" s="23" t="str">
        <f t="shared" si="607"/>
        <v/>
      </c>
      <c r="V1761" s="23" t="str">
        <f t="shared" si="608"/>
        <v/>
      </c>
      <c r="W1761" s="70" t="str">
        <f t="shared" si="609"/>
        <v/>
      </c>
      <c r="X1761" s="70" t="str">
        <f t="shared" si="610"/>
        <v/>
      </c>
      <c r="Y1761" s="70" t="str">
        <f>IF(AND($A1761&lt;&gt;"",$E1761&gt;0),isLaptopBag($C1761,$J1761)*$D1761,"")</f>
        <v/>
      </c>
      <c r="Z1761" s="70" t="str">
        <f t="shared" si="611"/>
        <v/>
      </c>
      <c r="AA1761" s="70" t="str">
        <f t="shared" si="612"/>
        <v/>
      </c>
      <c r="AB1761" s="70" t="str">
        <f t="shared" si="613"/>
        <v/>
      </c>
      <c r="AC1761" s="70" t="str">
        <f t="shared" si="614"/>
        <v/>
      </c>
      <c r="AD1761" s="70" t="str">
        <f t="shared" si="615"/>
        <v/>
      </c>
      <c r="AE1761" s="70" t="str">
        <f t="shared" si="616"/>
        <v/>
      </c>
      <c r="AF1761" s="16"/>
      <c r="AG1761" s="23"/>
      <c r="AH1761" s="22"/>
      <c r="AJ1761" s="83">
        <f t="shared" si="617"/>
        <v>0</v>
      </c>
      <c r="AO1761" s="22" t="str">
        <f t="shared" si="618"/>
        <v/>
      </c>
      <c r="AP1761" s="22" t="str">
        <f t="shared" si="619"/>
        <v/>
      </c>
    </row>
    <row r="1762" spans="1:42" x14ac:dyDescent="0.25">
      <c r="A1762" s="10"/>
      <c r="B1762" s="10"/>
      <c r="C1762" s="10"/>
      <c r="D1762" s="10"/>
      <c r="E1762" s="10"/>
      <c r="F1762" s="10"/>
      <c r="G1762" s="10"/>
      <c r="H1762" s="17"/>
      <c r="I1762" s="10"/>
      <c r="J1762" s="10"/>
      <c r="K1762" s="16" t="str">
        <f t="shared" si="598"/>
        <v/>
      </c>
      <c r="L1762" s="23" t="str">
        <f t="shared" si="599"/>
        <v/>
      </c>
      <c r="M1762" s="22" t="str">
        <f t="shared" si="600"/>
        <v/>
      </c>
      <c r="N1762" s="72"/>
      <c r="O1762" s="16" t="str">
        <f t="shared" si="601"/>
        <v/>
      </c>
      <c r="P1762" s="16" t="str">
        <f t="shared" si="602"/>
        <v/>
      </c>
      <c r="Q1762" s="16" t="str">
        <f t="shared" si="603"/>
        <v/>
      </c>
      <c r="R1762" s="23" t="str">
        <f t="shared" si="604"/>
        <v/>
      </c>
      <c r="S1762" s="23" t="str">
        <f t="shared" si="605"/>
        <v/>
      </c>
      <c r="T1762" s="23" t="str">
        <f t="shared" si="606"/>
        <v/>
      </c>
      <c r="U1762" s="23" t="str">
        <f t="shared" si="607"/>
        <v/>
      </c>
      <c r="V1762" s="23" t="str">
        <f t="shared" si="608"/>
        <v/>
      </c>
      <c r="W1762" s="70" t="str">
        <f t="shared" si="609"/>
        <v/>
      </c>
      <c r="X1762" s="70" t="str">
        <f t="shared" si="610"/>
        <v/>
      </c>
      <c r="Y1762" s="70" t="str">
        <f>IF(AND($A1762&lt;&gt;"",$E1762&gt;0),isLaptopBag($C1762,$J1762)*$D1762,"")</f>
        <v/>
      </c>
      <c r="Z1762" s="70" t="str">
        <f t="shared" si="611"/>
        <v/>
      </c>
      <c r="AA1762" s="70" t="str">
        <f t="shared" si="612"/>
        <v/>
      </c>
      <c r="AB1762" s="70" t="str">
        <f t="shared" si="613"/>
        <v/>
      </c>
      <c r="AC1762" s="70" t="str">
        <f t="shared" si="614"/>
        <v/>
      </c>
      <c r="AD1762" s="70" t="str">
        <f t="shared" si="615"/>
        <v/>
      </c>
      <c r="AE1762" s="70" t="str">
        <f t="shared" si="616"/>
        <v/>
      </c>
      <c r="AF1762" s="16"/>
      <c r="AG1762" s="23"/>
      <c r="AH1762" s="22"/>
      <c r="AJ1762" s="83">
        <f t="shared" si="617"/>
        <v>0</v>
      </c>
      <c r="AO1762" s="22" t="str">
        <f t="shared" si="618"/>
        <v/>
      </c>
      <c r="AP1762" s="22" t="str">
        <f t="shared" si="619"/>
        <v/>
      </c>
    </row>
    <row r="1763" spans="1:42" x14ac:dyDescent="0.25">
      <c r="A1763" s="10"/>
      <c r="B1763" s="10"/>
      <c r="C1763" s="10"/>
      <c r="D1763" s="10"/>
      <c r="E1763" s="10"/>
      <c r="F1763" s="10"/>
      <c r="G1763" s="10"/>
      <c r="H1763" s="17"/>
      <c r="I1763" s="10"/>
      <c r="J1763" s="10"/>
      <c r="K1763" s="16" t="str">
        <f t="shared" si="598"/>
        <v/>
      </c>
      <c r="L1763" s="23" t="str">
        <f t="shared" si="599"/>
        <v/>
      </c>
      <c r="M1763" s="22" t="str">
        <f t="shared" si="600"/>
        <v/>
      </c>
      <c r="N1763" s="72"/>
      <c r="O1763" s="16" t="str">
        <f t="shared" si="601"/>
        <v/>
      </c>
      <c r="P1763" s="16" t="str">
        <f t="shared" si="602"/>
        <v/>
      </c>
      <c r="Q1763" s="16" t="str">
        <f t="shared" si="603"/>
        <v/>
      </c>
      <c r="R1763" s="23" t="str">
        <f t="shared" si="604"/>
        <v/>
      </c>
      <c r="S1763" s="23" t="str">
        <f t="shared" si="605"/>
        <v/>
      </c>
      <c r="T1763" s="23" t="str">
        <f t="shared" si="606"/>
        <v/>
      </c>
      <c r="U1763" s="23" t="str">
        <f t="shared" si="607"/>
        <v/>
      </c>
      <c r="V1763" s="23" t="str">
        <f t="shared" si="608"/>
        <v/>
      </c>
      <c r="W1763" s="70" t="str">
        <f t="shared" si="609"/>
        <v/>
      </c>
      <c r="X1763" s="70" t="str">
        <f t="shared" si="610"/>
        <v/>
      </c>
      <c r="Y1763" s="70" t="str">
        <f>IF(AND($A1763&lt;&gt;"",$E1763&gt;0),isLaptopBag($C1763,$J1763)*$D1763,"")</f>
        <v/>
      </c>
      <c r="Z1763" s="70" t="str">
        <f t="shared" si="611"/>
        <v/>
      </c>
      <c r="AA1763" s="70" t="str">
        <f t="shared" si="612"/>
        <v/>
      </c>
      <c r="AB1763" s="70" t="str">
        <f t="shared" si="613"/>
        <v/>
      </c>
      <c r="AC1763" s="70" t="str">
        <f t="shared" si="614"/>
        <v/>
      </c>
      <c r="AD1763" s="70" t="str">
        <f t="shared" si="615"/>
        <v/>
      </c>
      <c r="AE1763" s="70" t="str">
        <f t="shared" si="616"/>
        <v/>
      </c>
      <c r="AF1763" s="16"/>
      <c r="AG1763" s="23"/>
      <c r="AH1763" s="22"/>
      <c r="AJ1763" s="83">
        <f t="shared" si="617"/>
        <v>0</v>
      </c>
      <c r="AO1763" s="22" t="str">
        <f t="shared" si="618"/>
        <v/>
      </c>
      <c r="AP1763" s="22" t="str">
        <f t="shared" si="619"/>
        <v/>
      </c>
    </row>
    <row r="1764" spans="1:42" x14ac:dyDescent="0.25">
      <c r="A1764" s="10"/>
      <c r="B1764" s="10"/>
      <c r="C1764" s="10"/>
      <c r="D1764" s="10"/>
      <c r="E1764" s="10"/>
      <c r="F1764" s="10"/>
      <c r="G1764" s="10"/>
      <c r="H1764" s="17"/>
      <c r="I1764" s="10"/>
      <c r="J1764" s="10"/>
      <c r="K1764" s="16" t="str">
        <f t="shared" si="598"/>
        <v/>
      </c>
      <c r="L1764" s="23" t="str">
        <f t="shared" si="599"/>
        <v/>
      </c>
      <c r="M1764" s="22" t="str">
        <f t="shared" si="600"/>
        <v/>
      </c>
      <c r="N1764" s="72"/>
      <c r="O1764" s="16" t="str">
        <f t="shared" si="601"/>
        <v/>
      </c>
      <c r="P1764" s="16" t="str">
        <f t="shared" si="602"/>
        <v/>
      </c>
      <c r="Q1764" s="16" t="str">
        <f t="shared" si="603"/>
        <v/>
      </c>
      <c r="R1764" s="23" t="str">
        <f t="shared" si="604"/>
        <v/>
      </c>
      <c r="S1764" s="23" t="str">
        <f t="shared" si="605"/>
        <v/>
      </c>
      <c r="T1764" s="23" t="str">
        <f t="shared" si="606"/>
        <v/>
      </c>
      <c r="U1764" s="23" t="str">
        <f t="shared" si="607"/>
        <v/>
      </c>
      <c r="V1764" s="23" t="str">
        <f t="shared" si="608"/>
        <v/>
      </c>
      <c r="W1764" s="70" t="str">
        <f t="shared" si="609"/>
        <v/>
      </c>
      <c r="X1764" s="70" t="str">
        <f t="shared" si="610"/>
        <v/>
      </c>
      <c r="Y1764" s="70" t="str">
        <f>IF(AND($A1764&lt;&gt;"",$E1764&gt;0),isLaptopBag($C1764,$J1764)*$D1764,"")</f>
        <v/>
      </c>
      <c r="Z1764" s="70" t="str">
        <f t="shared" si="611"/>
        <v/>
      </c>
      <c r="AA1764" s="70" t="str">
        <f t="shared" si="612"/>
        <v/>
      </c>
      <c r="AB1764" s="70" t="str">
        <f t="shared" si="613"/>
        <v/>
      </c>
      <c r="AC1764" s="70" t="str">
        <f t="shared" si="614"/>
        <v/>
      </c>
      <c r="AD1764" s="70" t="str">
        <f t="shared" si="615"/>
        <v/>
      </c>
      <c r="AE1764" s="70" t="str">
        <f t="shared" si="616"/>
        <v/>
      </c>
      <c r="AF1764" s="16"/>
      <c r="AG1764" s="23"/>
      <c r="AH1764" s="22"/>
      <c r="AJ1764" s="83">
        <f t="shared" si="617"/>
        <v>0</v>
      </c>
      <c r="AO1764" s="22" t="str">
        <f t="shared" si="618"/>
        <v/>
      </c>
      <c r="AP1764" s="22" t="str">
        <f t="shared" si="619"/>
        <v/>
      </c>
    </row>
    <row r="1765" spans="1:42" x14ac:dyDescent="0.25">
      <c r="A1765" s="10"/>
      <c r="B1765" s="10"/>
      <c r="C1765" s="10"/>
      <c r="D1765" s="10"/>
      <c r="E1765" s="10"/>
      <c r="F1765" s="10"/>
      <c r="G1765" s="10"/>
      <c r="H1765" s="17"/>
      <c r="I1765" s="10"/>
      <c r="J1765" s="10"/>
      <c r="K1765" s="16" t="str">
        <f t="shared" si="598"/>
        <v/>
      </c>
      <c r="L1765" s="23" t="str">
        <f t="shared" si="599"/>
        <v/>
      </c>
      <c r="M1765" s="22" t="str">
        <f t="shared" si="600"/>
        <v/>
      </c>
      <c r="N1765" s="72"/>
      <c r="O1765" s="16" t="str">
        <f t="shared" si="601"/>
        <v/>
      </c>
      <c r="P1765" s="16" t="str">
        <f t="shared" si="602"/>
        <v/>
      </c>
      <c r="Q1765" s="16" t="str">
        <f t="shared" si="603"/>
        <v/>
      </c>
      <c r="R1765" s="23" t="str">
        <f t="shared" si="604"/>
        <v/>
      </c>
      <c r="S1765" s="23" t="str">
        <f t="shared" si="605"/>
        <v/>
      </c>
      <c r="T1765" s="23" t="str">
        <f t="shared" si="606"/>
        <v/>
      </c>
      <c r="U1765" s="23" t="str">
        <f t="shared" si="607"/>
        <v/>
      </c>
      <c r="V1765" s="23" t="str">
        <f t="shared" si="608"/>
        <v/>
      </c>
      <c r="W1765" s="70" t="str">
        <f t="shared" si="609"/>
        <v/>
      </c>
      <c r="X1765" s="70" t="str">
        <f t="shared" si="610"/>
        <v/>
      </c>
      <c r="Y1765" s="70" t="str">
        <f>IF(AND($A1765&lt;&gt;"",$E1765&gt;0),isLaptopBag($C1765,$J1765)*$D1765,"")</f>
        <v/>
      </c>
      <c r="Z1765" s="70" t="str">
        <f t="shared" si="611"/>
        <v/>
      </c>
      <c r="AA1765" s="70" t="str">
        <f t="shared" si="612"/>
        <v/>
      </c>
      <c r="AB1765" s="70" t="str">
        <f t="shared" si="613"/>
        <v/>
      </c>
      <c r="AC1765" s="70" t="str">
        <f t="shared" si="614"/>
        <v/>
      </c>
      <c r="AD1765" s="70" t="str">
        <f t="shared" si="615"/>
        <v/>
      </c>
      <c r="AE1765" s="70" t="str">
        <f t="shared" si="616"/>
        <v/>
      </c>
      <c r="AF1765" s="16"/>
      <c r="AG1765" s="23"/>
      <c r="AH1765" s="22"/>
      <c r="AJ1765" s="83">
        <f t="shared" si="617"/>
        <v>0</v>
      </c>
      <c r="AO1765" s="22" t="str">
        <f t="shared" si="618"/>
        <v/>
      </c>
      <c r="AP1765" s="22" t="str">
        <f t="shared" si="619"/>
        <v/>
      </c>
    </row>
    <row r="1766" spans="1:42" x14ac:dyDescent="0.25">
      <c r="A1766" s="10"/>
      <c r="B1766" s="10"/>
      <c r="C1766" s="10"/>
      <c r="D1766" s="10"/>
      <c r="E1766" s="10"/>
      <c r="F1766" s="10"/>
      <c r="G1766" s="10"/>
      <c r="H1766" s="17"/>
      <c r="I1766" s="10"/>
      <c r="J1766" s="10"/>
      <c r="K1766" s="16" t="str">
        <f t="shared" si="598"/>
        <v/>
      </c>
      <c r="L1766" s="23" t="str">
        <f t="shared" si="599"/>
        <v/>
      </c>
      <c r="M1766" s="22" t="str">
        <f t="shared" si="600"/>
        <v/>
      </c>
      <c r="N1766" s="72"/>
      <c r="O1766" s="16" t="str">
        <f t="shared" si="601"/>
        <v/>
      </c>
      <c r="P1766" s="16" t="str">
        <f t="shared" si="602"/>
        <v/>
      </c>
      <c r="Q1766" s="16" t="str">
        <f t="shared" si="603"/>
        <v/>
      </c>
      <c r="R1766" s="23" t="str">
        <f t="shared" si="604"/>
        <v/>
      </c>
      <c r="S1766" s="23" t="str">
        <f t="shared" si="605"/>
        <v/>
      </c>
      <c r="T1766" s="23" t="str">
        <f t="shared" si="606"/>
        <v/>
      </c>
      <c r="U1766" s="23" t="str">
        <f t="shared" si="607"/>
        <v/>
      </c>
      <c r="V1766" s="23" t="str">
        <f t="shared" si="608"/>
        <v/>
      </c>
      <c r="W1766" s="70" t="str">
        <f t="shared" si="609"/>
        <v/>
      </c>
      <c r="X1766" s="70" t="str">
        <f t="shared" si="610"/>
        <v/>
      </c>
      <c r="Y1766" s="70" t="str">
        <f>IF(AND($A1766&lt;&gt;"",$E1766&gt;0),isLaptopBag($C1766,$J1766)*$D1766,"")</f>
        <v/>
      </c>
      <c r="Z1766" s="70" t="str">
        <f t="shared" si="611"/>
        <v/>
      </c>
      <c r="AA1766" s="70" t="str">
        <f t="shared" si="612"/>
        <v/>
      </c>
      <c r="AB1766" s="70" t="str">
        <f t="shared" si="613"/>
        <v/>
      </c>
      <c r="AC1766" s="70" t="str">
        <f t="shared" si="614"/>
        <v/>
      </c>
      <c r="AD1766" s="70" t="str">
        <f t="shared" si="615"/>
        <v/>
      </c>
      <c r="AE1766" s="70" t="str">
        <f t="shared" si="616"/>
        <v/>
      </c>
      <c r="AF1766" s="16"/>
      <c r="AG1766" s="23"/>
      <c r="AH1766" s="22"/>
      <c r="AJ1766" s="83">
        <f t="shared" si="617"/>
        <v>0</v>
      </c>
      <c r="AO1766" s="22" t="str">
        <f t="shared" si="618"/>
        <v/>
      </c>
      <c r="AP1766" s="22" t="str">
        <f t="shared" si="619"/>
        <v/>
      </c>
    </row>
    <row r="1767" spans="1:42" x14ac:dyDescent="0.25">
      <c r="A1767" s="10"/>
      <c r="B1767" s="10"/>
      <c r="C1767" s="10"/>
      <c r="D1767" s="10"/>
      <c r="E1767" s="10"/>
      <c r="F1767" s="10"/>
      <c r="G1767" s="10"/>
      <c r="H1767" s="17"/>
      <c r="I1767" s="10"/>
      <c r="J1767" s="10"/>
      <c r="K1767" s="16" t="str">
        <f t="shared" si="598"/>
        <v/>
      </c>
      <c r="L1767" s="23" t="str">
        <f t="shared" si="599"/>
        <v/>
      </c>
      <c r="M1767" s="22" t="str">
        <f t="shared" si="600"/>
        <v/>
      </c>
      <c r="N1767" s="72"/>
      <c r="O1767" s="16" t="str">
        <f t="shared" si="601"/>
        <v/>
      </c>
      <c r="P1767" s="16" t="str">
        <f t="shared" si="602"/>
        <v/>
      </c>
      <c r="Q1767" s="16" t="str">
        <f t="shared" si="603"/>
        <v/>
      </c>
      <c r="R1767" s="23" t="str">
        <f t="shared" si="604"/>
        <v/>
      </c>
      <c r="S1767" s="23" t="str">
        <f t="shared" si="605"/>
        <v/>
      </c>
      <c r="T1767" s="23" t="str">
        <f t="shared" si="606"/>
        <v/>
      </c>
      <c r="U1767" s="23" t="str">
        <f t="shared" si="607"/>
        <v/>
      </c>
      <c r="V1767" s="23" t="str">
        <f t="shared" si="608"/>
        <v/>
      </c>
      <c r="W1767" s="70" t="str">
        <f t="shared" si="609"/>
        <v/>
      </c>
      <c r="X1767" s="70" t="str">
        <f t="shared" si="610"/>
        <v/>
      </c>
      <c r="Y1767" s="70" t="str">
        <f>IF(AND($A1767&lt;&gt;"",$E1767&gt;0),isLaptopBag($C1767,$J1767)*$D1767,"")</f>
        <v/>
      </c>
      <c r="Z1767" s="70" t="str">
        <f t="shared" si="611"/>
        <v/>
      </c>
      <c r="AA1767" s="70" t="str">
        <f t="shared" si="612"/>
        <v/>
      </c>
      <c r="AB1767" s="70" t="str">
        <f t="shared" si="613"/>
        <v/>
      </c>
      <c r="AC1767" s="70" t="str">
        <f t="shared" si="614"/>
        <v/>
      </c>
      <c r="AD1767" s="70" t="str">
        <f t="shared" si="615"/>
        <v/>
      </c>
      <c r="AE1767" s="70" t="str">
        <f t="shared" si="616"/>
        <v/>
      </c>
      <c r="AF1767" s="16"/>
      <c r="AG1767" s="23"/>
      <c r="AH1767" s="22"/>
      <c r="AJ1767" s="83">
        <f t="shared" si="617"/>
        <v>0</v>
      </c>
      <c r="AO1767" s="22" t="str">
        <f t="shared" si="618"/>
        <v/>
      </c>
      <c r="AP1767" s="22" t="str">
        <f t="shared" si="619"/>
        <v/>
      </c>
    </row>
    <row r="1768" spans="1:42" x14ac:dyDescent="0.25">
      <c r="A1768" s="10"/>
      <c r="B1768" s="10"/>
      <c r="C1768" s="10"/>
      <c r="D1768" s="10"/>
      <c r="E1768" s="10"/>
      <c r="F1768" s="10"/>
      <c r="G1768" s="10"/>
      <c r="H1768" s="17"/>
      <c r="I1768" s="10"/>
      <c r="J1768" s="10"/>
      <c r="K1768" s="16" t="str">
        <f t="shared" si="598"/>
        <v/>
      </c>
      <c r="L1768" s="23" t="str">
        <f t="shared" si="599"/>
        <v/>
      </c>
      <c r="M1768" s="22" t="str">
        <f t="shared" si="600"/>
        <v/>
      </c>
      <c r="N1768" s="72"/>
      <c r="O1768" s="16" t="str">
        <f t="shared" si="601"/>
        <v/>
      </c>
      <c r="P1768" s="16" t="str">
        <f t="shared" si="602"/>
        <v/>
      </c>
      <c r="Q1768" s="16" t="str">
        <f t="shared" si="603"/>
        <v/>
      </c>
      <c r="R1768" s="23" t="str">
        <f t="shared" si="604"/>
        <v/>
      </c>
      <c r="S1768" s="23" t="str">
        <f t="shared" si="605"/>
        <v/>
      </c>
      <c r="T1768" s="23" t="str">
        <f t="shared" si="606"/>
        <v/>
      </c>
      <c r="U1768" s="23" t="str">
        <f t="shared" si="607"/>
        <v/>
      </c>
      <c r="V1768" s="23" t="str">
        <f t="shared" si="608"/>
        <v/>
      </c>
      <c r="W1768" s="70" t="str">
        <f t="shared" si="609"/>
        <v/>
      </c>
      <c r="X1768" s="70" t="str">
        <f t="shared" si="610"/>
        <v/>
      </c>
      <c r="Y1768" s="70" t="str">
        <f>IF(AND($A1768&lt;&gt;"",$E1768&gt;0),isLaptopBag($C1768,$J1768)*$D1768,"")</f>
        <v/>
      </c>
      <c r="Z1768" s="70" t="str">
        <f t="shared" si="611"/>
        <v/>
      </c>
      <c r="AA1768" s="70" t="str">
        <f t="shared" si="612"/>
        <v/>
      </c>
      <c r="AB1768" s="70" t="str">
        <f t="shared" si="613"/>
        <v/>
      </c>
      <c r="AC1768" s="70" t="str">
        <f t="shared" si="614"/>
        <v/>
      </c>
      <c r="AD1768" s="70" t="str">
        <f t="shared" si="615"/>
        <v/>
      </c>
      <c r="AE1768" s="70" t="str">
        <f t="shared" si="616"/>
        <v/>
      </c>
      <c r="AF1768" s="16"/>
      <c r="AG1768" s="23"/>
      <c r="AH1768" s="22"/>
      <c r="AJ1768" s="83">
        <f t="shared" si="617"/>
        <v>0</v>
      </c>
      <c r="AO1768" s="22" t="str">
        <f t="shared" si="618"/>
        <v/>
      </c>
      <c r="AP1768" s="22" t="str">
        <f t="shared" si="619"/>
        <v/>
      </c>
    </row>
    <row r="1769" spans="1:42" x14ac:dyDescent="0.25">
      <c r="A1769" s="10"/>
      <c r="B1769" s="10"/>
      <c r="C1769" s="10"/>
      <c r="D1769" s="10"/>
      <c r="E1769" s="10"/>
      <c r="F1769" s="10"/>
      <c r="G1769" s="10"/>
      <c r="H1769" s="17"/>
      <c r="I1769" s="10"/>
      <c r="J1769" s="10"/>
      <c r="K1769" s="16" t="str">
        <f t="shared" si="598"/>
        <v/>
      </c>
      <c r="L1769" s="23" t="str">
        <f t="shared" si="599"/>
        <v/>
      </c>
      <c r="M1769" s="22" t="str">
        <f t="shared" si="600"/>
        <v/>
      </c>
      <c r="N1769" s="72"/>
      <c r="O1769" s="16" t="str">
        <f t="shared" si="601"/>
        <v/>
      </c>
      <c r="P1769" s="16" t="str">
        <f t="shared" si="602"/>
        <v/>
      </c>
      <c r="Q1769" s="16" t="str">
        <f t="shared" si="603"/>
        <v/>
      </c>
      <c r="R1769" s="23" t="str">
        <f t="shared" si="604"/>
        <v/>
      </c>
      <c r="S1769" s="23" t="str">
        <f t="shared" si="605"/>
        <v/>
      </c>
      <c r="T1769" s="23" t="str">
        <f t="shared" si="606"/>
        <v/>
      </c>
      <c r="U1769" s="23" t="str">
        <f t="shared" si="607"/>
        <v/>
      </c>
      <c r="V1769" s="23" t="str">
        <f t="shared" si="608"/>
        <v/>
      </c>
      <c r="W1769" s="70" t="str">
        <f t="shared" si="609"/>
        <v/>
      </c>
      <c r="X1769" s="70" t="str">
        <f t="shared" si="610"/>
        <v/>
      </c>
      <c r="Y1769" s="70" t="str">
        <f>IF(AND($A1769&lt;&gt;"",$E1769&gt;0),isLaptopBag($C1769,$J1769)*$D1769,"")</f>
        <v/>
      </c>
      <c r="Z1769" s="70" t="str">
        <f t="shared" si="611"/>
        <v/>
      </c>
      <c r="AA1769" s="70" t="str">
        <f t="shared" si="612"/>
        <v/>
      </c>
      <c r="AB1769" s="70" t="str">
        <f t="shared" si="613"/>
        <v/>
      </c>
      <c r="AC1769" s="70" t="str">
        <f t="shared" si="614"/>
        <v/>
      </c>
      <c r="AD1769" s="70" t="str">
        <f t="shared" si="615"/>
        <v/>
      </c>
      <c r="AE1769" s="70" t="str">
        <f t="shared" si="616"/>
        <v/>
      </c>
      <c r="AF1769" s="16"/>
      <c r="AG1769" s="23"/>
      <c r="AH1769" s="22"/>
      <c r="AJ1769" s="83">
        <f t="shared" si="617"/>
        <v>0</v>
      </c>
      <c r="AO1769" s="22" t="str">
        <f t="shared" si="618"/>
        <v/>
      </c>
      <c r="AP1769" s="22" t="str">
        <f t="shared" si="619"/>
        <v/>
      </c>
    </row>
    <row r="1770" spans="1:42" x14ac:dyDescent="0.25">
      <c r="A1770" s="10"/>
      <c r="B1770" s="10"/>
      <c r="C1770" s="10"/>
      <c r="D1770" s="10"/>
      <c r="E1770" s="10"/>
      <c r="F1770" s="10"/>
      <c r="G1770" s="10"/>
      <c r="H1770" s="17"/>
      <c r="I1770" s="10"/>
      <c r="J1770" s="10"/>
      <c r="K1770" s="16" t="str">
        <f t="shared" si="598"/>
        <v/>
      </c>
      <c r="L1770" s="23" t="str">
        <f t="shared" si="599"/>
        <v/>
      </c>
      <c r="M1770" s="22" t="str">
        <f t="shared" si="600"/>
        <v/>
      </c>
      <c r="N1770" s="72"/>
      <c r="O1770" s="16" t="str">
        <f t="shared" si="601"/>
        <v/>
      </c>
      <c r="P1770" s="16" t="str">
        <f t="shared" si="602"/>
        <v/>
      </c>
      <c r="Q1770" s="16" t="str">
        <f t="shared" si="603"/>
        <v/>
      </c>
      <c r="R1770" s="23" t="str">
        <f t="shared" si="604"/>
        <v/>
      </c>
      <c r="S1770" s="23" t="str">
        <f t="shared" si="605"/>
        <v/>
      </c>
      <c r="T1770" s="23" t="str">
        <f t="shared" si="606"/>
        <v/>
      </c>
      <c r="U1770" s="23" t="str">
        <f t="shared" si="607"/>
        <v/>
      </c>
      <c r="V1770" s="23" t="str">
        <f t="shared" si="608"/>
        <v/>
      </c>
      <c r="W1770" s="70" t="str">
        <f t="shared" si="609"/>
        <v/>
      </c>
      <c r="X1770" s="70" t="str">
        <f t="shared" si="610"/>
        <v/>
      </c>
      <c r="Y1770" s="70" t="str">
        <f>IF(AND($A1770&lt;&gt;"",$E1770&gt;0),isLaptopBag($C1770,$J1770)*$D1770,"")</f>
        <v/>
      </c>
      <c r="Z1770" s="70" t="str">
        <f t="shared" si="611"/>
        <v/>
      </c>
      <c r="AA1770" s="70" t="str">
        <f t="shared" si="612"/>
        <v/>
      </c>
      <c r="AB1770" s="70" t="str">
        <f t="shared" si="613"/>
        <v/>
      </c>
      <c r="AC1770" s="70" t="str">
        <f t="shared" si="614"/>
        <v/>
      </c>
      <c r="AD1770" s="70" t="str">
        <f t="shared" si="615"/>
        <v/>
      </c>
      <c r="AE1770" s="70" t="str">
        <f t="shared" si="616"/>
        <v/>
      </c>
      <c r="AF1770" s="16"/>
      <c r="AG1770" s="23"/>
      <c r="AH1770" s="22"/>
      <c r="AJ1770" s="83">
        <f t="shared" si="617"/>
        <v>0</v>
      </c>
      <c r="AO1770" s="22" t="str">
        <f t="shared" si="618"/>
        <v/>
      </c>
      <c r="AP1770" s="22" t="str">
        <f t="shared" si="619"/>
        <v/>
      </c>
    </row>
    <row r="1771" spans="1:42" x14ac:dyDescent="0.25">
      <c r="A1771" s="10"/>
      <c r="B1771" s="10"/>
      <c r="C1771" s="10"/>
      <c r="D1771" s="10"/>
      <c r="E1771" s="10"/>
      <c r="F1771" s="10"/>
      <c r="G1771" s="10"/>
      <c r="H1771" s="17"/>
      <c r="I1771" s="10"/>
      <c r="J1771" s="10"/>
      <c r="K1771" s="16" t="str">
        <f t="shared" si="598"/>
        <v/>
      </c>
      <c r="L1771" s="23" t="str">
        <f t="shared" si="599"/>
        <v/>
      </c>
      <c r="M1771" s="22" t="str">
        <f t="shared" si="600"/>
        <v/>
      </c>
      <c r="N1771" s="72"/>
      <c r="O1771" s="16" t="str">
        <f t="shared" si="601"/>
        <v/>
      </c>
      <c r="P1771" s="16" t="str">
        <f t="shared" si="602"/>
        <v/>
      </c>
      <c r="Q1771" s="16" t="str">
        <f t="shared" si="603"/>
        <v/>
      </c>
      <c r="R1771" s="23" t="str">
        <f t="shared" si="604"/>
        <v/>
      </c>
      <c r="S1771" s="23" t="str">
        <f t="shared" si="605"/>
        <v/>
      </c>
      <c r="T1771" s="23" t="str">
        <f t="shared" si="606"/>
        <v/>
      </c>
      <c r="U1771" s="23" t="str">
        <f t="shared" si="607"/>
        <v/>
      </c>
      <c r="V1771" s="23" t="str">
        <f t="shared" si="608"/>
        <v/>
      </c>
      <c r="W1771" s="70" t="str">
        <f t="shared" si="609"/>
        <v/>
      </c>
      <c r="X1771" s="70" t="str">
        <f t="shared" si="610"/>
        <v/>
      </c>
      <c r="Y1771" s="70" t="str">
        <f>IF(AND($A1771&lt;&gt;"",$E1771&gt;0),isLaptopBag($C1771,$J1771)*$D1771,"")</f>
        <v/>
      </c>
      <c r="Z1771" s="70" t="str">
        <f t="shared" si="611"/>
        <v/>
      </c>
      <c r="AA1771" s="70" t="str">
        <f t="shared" si="612"/>
        <v/>
      </c>
      <c r="AB1771" s="70" t="str">
        <f t="shared" si="613"/>
        <v/>
      </c>
      <c r="AC1771" s="70" t="str">
        <f t="shared" si="614"/>
        <v/>
      </c>
      <c r="AD1771" s="70" t="str">
        <f t="shared" si="615"/>
        <v/>
      </c>
      <c r="AE1771" s="70" t="str">
        <f t="shared" si="616"/>
        <v/>
      </c>
      <c r="AF1771" s="16"/>
      <c r="AG1771" s="23"/>
      <c r="AH1771" s="22"/>
      <c r="AJ1771" s="83">
        <f t="shared" si="617"/>
        <v>0</v>
      </c>
      <c r="AO1771" s="22" t="str">
        <f t="shared" si="618"/>
        <v/>
      </c>
      <c r="AP1771" s="22" t="str">
        <f t="shared" si="619"/>
        <v/>
      </c>
    </row>
    <row r="1772" spans="1:42" x14ac:dyDescent="0.25">
      <c r="A1772" s="10"/>
      <c r="B1772" s="10"/>
      <c r="C1772" s="10"/>
      <c r="D1772" s="10"/>
      <c r="E1772" s="10"/>
      <c r="F1772" s="10"/>
      <c r="G1772" s="10"/>
      <c r="H1772" s="17"/>
      <c r="I1772" s="10"/>
      <c r="J1772" s="10"/>
      <c r="K1772" s="16" t="str">
        <f t="shared" si="598"/>
        <v/>
      </c>
      <c r="L1772" s="23" t="str">
        <f t="shared" si="599"/>
        <v/>
      </c>
      <c r="M1772" s="22" t="str">
        <f t="shared" si="600"/>
        <v/>
      </c>
      <c r="N1772" s="72"/>
      <c r="O1772" s="16" t="str">
        <f t="shared" si="601"/>
        <v/>
      </c>
      <c r="P1772" s="16" t="str">
        <f t="shared" si="602"/>
        <v/>
      </c>
      <c r="Q1772" s="16" t="str">
        <f t="shared" si="603"/>
        <v/>
      </c>
      <c r="R1772" s="23" t="str">
        <f t="shared" si="604"/>
        <v/>
      </c>
      <c r="S1772" s="23" t="str">
        <f t="shared" si="605"/>
        <v/>
      </c>
      <c r="T1772" s="23" t="str">
        <f t="shared" si="606"/>
        <v/>
      </c>
      <c r="U1772" s="23" t="str">
        <f t="shared" si="607"/>
        <v/>
      </c>
      <c r="V1772" s="23" t="str">
        <f t="shared" si="608"/>
        <v/>
      </c>
      <c r="W1772" s="70" t="str">
        <f t="shared" si="609"/>
        <v/>
      </c>
      <c r="X1772" s="70" t="str">
        <f t="shared" si="610"/>
        <v/>
      </c>
      <c r="Y1772" s="70" t="str">
        <f>IF(AND($A1772&lt;&gt;"",$E1772&gt;0),isLaptopBag($C1772,$J1772)*$D1772,"")</f>
        <v/>
      </c>
      <c r="Z1772" s="70" t="str">
        <f t="shared" si="611"/>
        <v/>
      </c>
      <c r="AA1772" s="70" t="str">
        <f t="shared" si="612"/>
        <v/>
      </c>
      <c r="AB1772" s="70" t="str">
        <f t="shared" si="613"/>
        <v/>
      </c>
      <c r="AC1772" s="70" t="str">
        <f t="shared" si="614"/>
        <v/>
      </c>
      <c r="AD1772" s="70" t="str">
        <f t="shared" si="615"/>
        <v/>
      </c>
      <c r="AE1772" s="70" t="str">
        <f t="shared" si="616"/>
        <v/>
      </c>
      <c r="AF1772" s="16"/>
      <c r="AG1772" s="23"/>
      <c r="AH1772" s="22"/>
      <c r="AJ1772" s="83">
        <f t="shared" si="617"/>
        <v>0</v>
      </c>
      <c r="AO1772" s="22" t="str">
        <f t="shared" si="618"/>
        <v/>
      </c>
      <c r="AP1772" s="22" t="str">
        <f t="shared" si="619"/>
        <v/>
      </c>
    </row>
    <row r="1773" spans="1:42" x14ac:dyDescent="0.25">
      <c r="A1773" s="10"/>
      <c r="B1773" s="10"/>
      <c r="C1773" s="10"/>
      <c r="D1773" s="10"/>
      <c r="E1773" s="10"/>
      <c r="F1773" s="10"/>
      <c r="G1773" s="10"/>
      <c r="H1773" s="17"/>
      <c r="I1773" s="10"/>
      <c r="J1773" s="10"/>
      <c r="K1773" s="16" t="str">
        <f t="shared" si="598"/>
        <v/>
      </c>
      <c r="L1773" s="23" t="str">
        <f t="shared" si="599"/>
        <v/>
      </c>
      <c r="M1773" s="22" t="str">
        <f t="shared" si="600"/>
        <v/>
      </c>
      <c r="N1773" s="72"/>
      <c r="O1773" s="16" t="str">
        <f t="shared" si="601"/>
        <v/>
      </c>
      <c r="P1773" s="16" t="str">
        <f t="shared" si="602"/>
        <v/>
      </c>
      <c r="Q1773" s="16" t="str">
        <f t="shared" si="603"/>
        <v/>
      </c>
      <c r="R1773" s="23" t="str">
        <f t="shared" si="604"/>
        <v/>
      </c>
      <c r="S1773" s="23" t="str">
        <f t="shared" si="605"/>
        <v/>
      </c>
      <c r="T1773" s="23" t="str">
        <f t="shared" si="606"/>
        <v/>
      </c>
      <c r="U1773" s="23" t="str">
        <f t="shared" si="607"/>
        <v/>
      </c>
      <c r="V1773" s="23" t="str">
        <f t="shared" si="608"/>
        <v/>
      </c>
      <c r="W1773" s="70" t="str">
        <f t="shared" si="609"/>
        <v/>
      </c>
      <c r="X1773" s="70" t="str">
        <f t="shared" si="610"/>
        <v/>
      </c>
      <c r="Y1773" s="70" t="str">
        <f>IF(AND($A1773&lt;&gt;"",$E1773&gt;0),isLaptopBag($C1773,$J1773)*$D1773,"")</f>
        <v/>
      </c>
      <c r="Z1773" s="70" t="str">
        <f t="shared" si="611"/>
        <v/>
      </c>
      <c r="AA1773" s="70" t="str">
        <f t="shared" si="612"/>
        <v/>
      </c>
      <c r="AB1773" s="70" t="str">
        <f t="shared" si="613"/>
        <v/>
      </c>
      <c r="AC1773" s="70" t="str">
        <f t="shared" si="614"/>
        <v/>
      </c>
      <c r="AD1773" s="70" t="str">
        <f t="shared" si="615"/>
        <v/>
      </c>
      <c r="AE1773" s="70" t="str">
        <f t="shared" si="616"/>
        <v/>
      </c>
      <c r="AF1773" s="16"/>
      <c r="AG1773" s="23"/>
      <c r="AH1773" s="22"/>
      <c r="AJ1773" s="83">
        <f t="shared" si="617"/>
        <v>0</v>
      </c>
      <c r="AO1773" s="22" t="str">
        <f t="shared" si="618"/>
        <v/>
      </c>
      <c r="AP1773" s="22" t="str">
        <f t="shared" si="619"/>
        <v/>
      </c>
    </row>
    <row r="1774" spans="1:42" x14ac:dyDescent="0.25">
      <c r="A1774" s="10"/>
      <c r="B1774" s="10"/>
      <c r="C1774" s="10"/>
      <c r="D1774" s="10"/>
      <c r="E1774" s="10"/>
      <c r="F1774" s="10"/>
      <c r="G1774" s="10"/>
      <c r="H1774" s="17"/>
      <c r="I1774" s="10"/>
      <c r="J1774" s="10"/>
      <c r="K1774" s="16" t="str">
        <f t="shared" si="598"/>
        <v/>
      </c>
      <c r="L1774" s="23" t="str">
        <f t="shared" si="599"/>
        <v/>
      </c>
      <c r="M1774" s="22" t="str">
        <f t="shared" si="600"/>
        <v/>
      </c>
      <c r="N1774" s="72"/>
      <c r="O1774" s="16" t="str">
        <f t="shared" si="601"/>
        <v/>
      </c>
      <c r="P1774" s="16" t="str">
        <f t="shared" si="602"/>
        <v/>
      </c>
      <c r="Q1774" s="16" t="str">
        <f t="shared" si="603"/>
        <v/>
      </c>
      <c r="R1774" s="23" t="str">
        <f t="shared" si="604"/>
        <v/>
      </c>
      <c r="S1774" s="23" t="str">
        <f t="shared" si="605"/>
        <v/>
      </c>
      <c r="T1774" s="23" t="str">
        <f t="shared" si="606"/>
        <v/>
      </c>
      <c r="U1774" s="23" t="str">
        <f t="shared" si="607"/>
        <v/>
      </c>
      <c r="V1774" s="23" t="str">
        <f t="shared" si="608"/>
        <v/>
      </c>
      <c r="W1774" s="70" t="str">
        <f t="shared" si="609"/>
        <v/>
      </c>
      <c r="X1774" s="70" t="str">
        <f t="shared" si="610"/>
        <v/>
      </c>
      <c r="Y1774" s="70" t="str">
        <f>IF(AND($A1774&lt;&gt;"",$E1774&gt;0),isLaptopBag($C1774,$J1774)*$D1774,"")</f>
        <v/>
      </c>
      <c r="Z1774" s="70" t="str">
        <f t="shared" si="611"/>
        <v/>
      </c>
      <c r="AA1774" s="70" t="str">
        <f t="shared" si="612"/>
        <v/>
      </c>
      <c r="AB1774" s="70" t="str">
        <f t="shared" si="613"/>
        <v/>
      </c>
      <c r="AC1774" s="70" t="str">
        <f t="shared" si="614"/>
        <v/>
      </c>
      <c r="AD1774" s="70" t="str">
        <f t="shared" si="615"/>
        <v/>
      </c>
      <c r="AE1774" s="70" t="str">
        <f t="shared" si="616"/>
        <v/>
      </c>
      <c r="AF1774" s="16"/>
      <c r="AG1774" s="23"/>
      <c r="AH1774" s="22"/>
      <c r="AJ1774" s="83">
        <f t="shared" si="617"/>
        <v>0</v>
      </c>
      <c r="AO1774" s="22" t="str">
        <f t="shared" si="618"/>
        <v/>
      </c>
      <c r="AP1774" s="22" t="str">
        <f t="shared" si="619"/>
        <v/>
      </c>
    </row>
    <row r="1775" spans="1:42" x14ac:dyDescent="0.25">
      <c r="A1775" s="10"/>
      <c r="B1775" s="10"/>
      <c r="C1775" s="10"/>
      <c r="D1775" s="10"/>
      <c r="E1775" s="10"/>
      <c r="F1775" s="10"/>
      <c r="G1775" s="10"/>
      <c r="H1775" s="17"/>
      <c r="I1775" s="10"/>
      <c r="J1775" s="10"/>
      <c r="K1775" s="16" t="str">
        <f t="shared" si="598"/>
        <v/>
      </c>
      <c r="L1775" s="23" t="str">
        <f t="shared" si="599"/>
        <v/>
      </c>
      <c r="M1775" s="22" t="str">
        <f t="shared" si="600"/>
        <v/>
      </c>
      <c r="N1775" s="72"/>
      <c r="O1775" s="16" t="str">
        <f t="shared" si="601"/>
        <v/>
      </c>
      <c r="P1775" s="16" t="str">
        <f t="shared" si="602"/>
        <v/>
      </c>
      <c r="Q1775" s="16" t="str">
        <f t="shared" si="603"/>
        <v/>
      </c>
      <c r="R1775" s="23" t="str">
        <f t="shared" si="604"/>
        <v/>
      </c>
      <c r="S1775" s="23" t="str">
        <f t="shared" si="605"/>
        <v/>
      </c>
      <c r="T1775" s="23" t="str">
        <f t="shared" si="606"/>
        <v/>
      </c>
      <c r="U1775" s="23" t="str">
        <f t="shared" si="607"/>
        <v/>
      </c>
      <c r="V1775" s="23" t="str">
        <f t="shared" si="608"/>
        <v/>
      </c>
      <c r="W1775" s="70" t="str">
        <f t="shared" si="609"/>
        <v/>
      </c>
      <c r="X1775" s="70" t="str">
        <f t="shared" si="610"/>
        <v/>
      </c>
      <c r="Y1775" s="70" t="str">
        <f>IF(AND($A1775&lt;&gt;"",$E1775&gt;0),isLaptopBag($C1775,$J1775)*$D1775,"")</f>
        <v/>
      </c>
      <c r="Z1775" s="70" t="str">
        <f t="shared" si="611"/>
        <v/>
      </c>
      <c r="AA1775" s="70" t="str">
        <f t="shared" si="612"/>
        <v/>
      </c>
      <c r="AB1775" s="70" t="str">
        <f t="shared" si="613"/>
        <v/>
      </c>
      <c r="AC1775" s="70" t="str">
        <f t="shared" si="614"/>
        <v/>
      </c>
      <c r="AD1775" s="70" t="str">
        <f t="shared" si="615"/>
        <v/>
      </c>
      <c r="AE1775" s="70" t="str">
        <f t="shared" si="616"/>
        <v/>
      </c>
      <c r="AF1775" s="16"/>
      <c r="AG1775" s="23"/>
      <c r="AH1775" s="22"/>
      <c r="AJ1775" s="83">
        <f t="shared" si="617"/>
        <v>0</v>
      </c>
      <c r="AO1775" s="22" t="str">
        <f t="shared" si="618"/>
        <v/>
      </c>
      <c r="AP1775" s="22" t="str">
        <f t="shared" si="619"/>
        <v/>
      </c>
    </row>
    <row r="1776" spans="1:42" x14ac:dyDescent="0.25">
      <c r="A1776" s="10"/>
      <c r="B1776" s="10"/>
      <c r="C1776" s="10"/>
      <c r="D1776" s="10"/>
      <c r="E1776" s="10"/>
      <c r="F1776" s="10"/>
      <c r="G1776" s="10"/>
      <c r="H1776" s="17"/>
      <c r="I1776" s="10"/>
      <c r="J1776" s="10"/>
      <c r="K1776" s="16" t="str">
        <f t="shared" si="598"/>
        <v/>
      </c>
      <c r="L1776" s="23" t="str">
        <f t="shared" si="599"/>
        <v/>
      </c>
      <c r="M1776" s="22" t="str">
        <f t="shared" si="600"/>
        <v/>
      </c>
      <c r="N1776" s="72"/>
      <c r="O1776" s="16" t="str">
        <f t="shared" si="601"/>
        <v/>
      </c>
      <c r="P1776" s="16" t="str">
        <f t="shared" si="602"/>
        <v/>
      </c>
      <c r="Q1776" s="16" t="str">
        <f t="shared" si="603"/>
        <v/>
      </c>
      <c r="R1776" s="23" t="str">
        <f t="shared" si="604"/>
        <v/>
      </c>
      <c r="S1776" s="23" t="str">
        <f t="shared" si="605"/>
        <v/>
      </c>
      <c r="T1776" s="23" t="str">
        <f t="shared" si="606"/>
        <v/>
      </c>
      <c r="U1776" s="23" t="str">
        <f t="shared" si="607"/>
        <v/>
      </c>
      <c r="V1776" s="23" t="str">
        <f t="shared" si="608"/>
        <v/>
      </c>
      <c r="W1776" s="70" t="str">
        <f t="shared" si="609"/>
        <v/>
      </c>
      <c r="X1776" s="70" t="str">
        <f t="shared" si="610"/>
        <v/>
      </c>
      <c r="Y1776" s="70" t="str">
        <f>IF(AND($A1776&lt;&gt;"",$E1776&gt;0),isLaptopBag($C1776,$J1776)*$D1776,"")</f>
        <v/>
      </c>
      <c r="Z1776" s="70" t="str">
        <f t="shared" si="611"/>
        <v/>
      </c>
      <c r="AA1776" s="70" t="str">
        <f t="shared" si="612"/>
        <v/>
      </c>
      <c r="AB1776" s="70" t="str">
        <f t="shared" si="613"/>
        <v/>
      </c>
      <c r="AC1776" s="70" t="str">
        <f t="shared" si="614"/>
        <v/>
      </c>
      <c r="AD1776" s="70" t="str">
        <f t="shared" si="615"/>
        <v/>
      </c>
      <c r="AE1776" s="70" t="str">
        <f t="shared" si="616"/>
        <v/>
      </c>
      <c r="AF1776" s="16"/>
      <c r="AG1776" s="23"/>
      <c r="AH1776" s="22"/>
      <c r="AJ1776" s="83">
        <f t="shared" si="617"/>
        <v>0</v>
      </c>
      <c r="AO1776" s="22" t="str">
        <f t="shared" si="618"/>
        <v/>
      </c>
      <c r="AP1776" s="22" t="str">
        <f t="shared" si="619"/>
        <v/>
      </c>
    </row>
    <row r="1777" spans="1:42" x14ac:dyDescent="0.25">
      <c r="A1777" s="10"/>
      <c r="B1777" s="10"/>
      <c r="C1777" s="10"/>
      <c r="D1777" s="10"/>
      <c r="E1777" s="10"/>
      <c r="F1777" s="10"/>
      <c r="G1777" s="10"/>
      <c r="H1777" s="17"/>
      <c r="I1777" s="10"/>
      <c r="J1777" s="10"/>
      <c r="K1777" s="16" t="str">
        <f t="shared" si="598"/>
        <v/>
      </c>
      <c r="L1777" s="23" t="str">
        <f t="shared" si="599"/>
        <v/>
      </c>
      <c r="M1777" s="22" t="str">
        <f t="shared" si="600"/>
        <v/>
      </c>
      <c r="N1777" s="72"/>
      <c r="O1777" s="16" t="str">
        <f t="shared" si="601"/>
        <v/>
      </c>
      <c r="P1777" s="16" t="str">
        <f t="shared" si="602"/>
        <v/>
      </c>
      <c r="Q1777" s="16" t="str">
        <f t="shared" si="603"/>
        <v/>
      </c>
      <c r="R1777" s="23" t="str">
        <f t="shared" si="604"/>
        <v/>
      </c>
      <c r="S1777" s="23" t="str">
        <f t="shared" si="605"/>
        <v/>
      </c>
      <c r="T1777" s="23" t="str">
        <f t="shared" si="606"/>
        <v/>
      </c>
      <c r="U1777" s="23" t="str">
        <f t="shared" si="607"/>
        <v/>
      </c>
      <c r="V1777" s="23" t="str">
        <f t="shared" si="608"/>
        <v/>
      </c>
      <c r="W1777" s="70" t="str">
        <f t="shared" si="609"/>
        <v/>
      </c>
      <c r="X1777" s="70" t="str">
        <f t="shared" si="610"/>
        <v/>
      </c>
      <c r="Y1777" s="70" t="str">
        <f>IF(AND($A1777&lt;&gt;"",$E1777&gt;0),isLaptopBag($C1777,$J1777)*$D1777,"")</f>
        <v/>
      </c>
      <c r="Z1777" s="70" t="str">
        <f t="shared" si="611"/>
        <v/>
      </c>
      <c r="AA1777" s="70" t="str">
        <f t="shared" si="612"/>
        <v/>
      </c>
      <c r="AB1777" s="70" t="str">
        <f t="shared" si="613"/>
        <v/>
      </c>
      <c r="AC1777" s="70" t="str">
        <f t="shared" si="614"/>
        <v/>
      </c>
      <c r="AD1777" s="70" t="str">
        <f t="shared" si="615"/>
        <v/>
      </c>
      <c r="AE1777" s="70" t="str">
        <f t="shared" si="616"/>
        <v/>
      </c>
      <c r="AF1777" s="16"/>
      <c r="AG1777" s="23"/>
      <c r="AH1777" s="22"/>
      <c r="AJ1777" s="83">
        <f t="shared" si="617"/>
        <v>0</v>
      </c>
      <c r="AO1777" s="22" t="str">
        <f t="shared" si="618"/>
        <v/>
      </c>
      <c r="AP1777" s="22" t="str">
        <f t="shared" si="619"/>
        <v/>
      </c>
    </row>
    <row r="1778" spans="1:42" x14ac:dyDescent="0.25">
      <c r="A1778" s="10"/>
      <c r="B1778" s="10"/>
      <c r="C1778" s="10"/>
      <c r="D1778" s="10"/>
      <c r="E1778" s="10"/>
      <c r="F1778" s="10"/>
      <c r="G1778" s="10"/>
      <c r="H1778" s="17"/>
      <c r="I1778" s="10"/>
      <c r="J1778" s="10"/>
      <c r="K1778" s="16" t="str">
        <f t="shared" si="598"/>
        <v/>
      </c>
      <c r="L1778" s="23" t="str">
        <f t="shared" si="599"/>
        <v/>
      </c>
      <c r="M1778" s="22" t="str">
        <f t="shared" si="600"/>
        <v/>
      </c>
      <c r="N1778" s="72"/>
      <c r="O1778" s="16" t="str">
        <f t="shared" si="601"/>
        <v/>
      </c>
      <c r="P1778" s="16" t="str">
        <f t="shared" si="602"/>
        <v/>
      </c>
      <c r="Q1778" s="16" t="str">
        <f t="shared" si="603"/>
        <v/>
      </c>
      <c r="R1778" s="23" t="str">
        <f t="shared" si="604"/>
        <v/>
      </c>
      <c r="S1778" s="23" t="str">
        <f t="shared" si="605"/>
        <v/>
      </c>
      <c r="T1778" s="23" t="str">
        <f t="shared" si="606"/>
        <v/>
      </c>
      <c r="U1778" s="23" t="str">
        <f t="shared" si="607"/>
        <v/>
      </c>
      <c r="V1778" s="23" t="str">
        <f t="shared" si="608"/>
        <v/>
      </c>
      <c r="W1778" s="70" t="str">
        <f t="shared" si="609"/>
        <v/>
      </c>
      <c r="X1778" s="70" t="str">
        <f t="shared" si="610"/>
        <v/>
      </c>
      <c r="Y1778" s="70" t="str">
        <f>IF(AND($A1778&lt;&gt;"",$E1778&gt;0),isLaptopBag($C1778,$J1778)*$D1778,"")</f>
        <v/>
      </c>
      <c r="Z1778" s="70" t="str">
        <f t="shared" si="611"/>
        <v/>
      </c>
      <c r="AA1778" s="70" t="str">
        <f t="shared" si="612"/>
        <v/>
      </c>
      <c r="AB1778" s="70" t="str">
        <f t="shared" si="613"/>
        <v/>
      </c>
      <c r="AC1778" s="70" t="str">
        <f t="shared" si="614"/>
        <v/>
      </c>
      <c r="AD1778" s="70" t="str">
        <f t="shared" si="615"/>
        <v/>
      </c>
      <c r="AE1778" s="70" t="str">
        <f t="shared" si="616"/>
        <v/>
      </c>
      <c r="AF1778" s="16"/>
      <c r="AG1778" s="23"/>
      <c r="AH1778" s="22"/>
      <c r="AJ1778" s="83">
        <f t="shared" si="617"/>
        <v>0</v>
      </c>
      <c r="AO1778" s="22" t="str">
        <f t="shared" si="618"/>
        <v/>
      </c>
      <c r="AP1778" s="22" t="str">
        <f t="shared" si="619"/>
        <v/>
      </c>
    </row>
    <row r="1779" spans="1:42" x14ac:dyDescent="0.25">
      <c r="A1779" s="10"/>
      <c r="B1779" s="10"/>
      <c r="C1779" s="10"/>
      <c r="D1779" s="10"/>
      <c r="E1779" s="10"/>
      <c r="F1779" s="10"/>
      <c r="G1779" s="10"/>
      <c r="H1779" s="17"/>
      <c r="I1779" s="10"/>
      <c r="J1779" s="10"/>
      <c r="K1779" s="16" t="str">
        <f t="shared" si="598"/>
        <v/>
      </c>
      <c r="L1779" s="23" t="str">
        <f t="shared" si="599"/>
        <v/>
      </c>
      <c r="M1779" s="22" t="str">
        <f t="shared" si="600"/>
        <v/>
      </c>
      <c r="N1779" s="72"/>
      <c r="O1779" s="16" t="str">
        <f t="shared" si="601"/>
        <v/>
      </c>
      <c r="P1779" s="16" t="str">
        <f t="shared" si="602"/>
        <v/>
      </c>
      <c r="Q1779" s="16" t="str">
        <f t="shared" si="603"/>
        <v/>
      </c>
      <c r="R1779" s="23" t="str">
        <f t="shared" si="604"/>
        <v/>
      </c>
      <c r="S1779" s="23" t="str">
        <f t="shared" si="605"/>
        <v/>
      </c>
      <c r="T1779" s="23" t="str">
        <f t="shared" si="606"/>
        <v/>
      </c>
      <c r="U1779" s="23" t="str">
        <f t="shared" si="607"/>
        <v/>
      </c>
      <c r="V1779" s="23" t="str">
        <f t="shared" si="608"/>
        <v/>
      </c>
      <c r="W1779" s="70" t="str">
        <f t="shared" si="609"/>
        <v/>
      </c>
      <c r="X1779" s="70" t="str">
        <f t="shared" si="610"/>
        <v/>
      </c>
      <c r="Y1779" s="70" t="str">
        <f>IF(AND($A1779&lt;&gt;"",$E1779&gt;0),isLaptopBag($C1779,$J1779)*$D1779,"")</f>
        <v/>
      </c>
      <c r="Z1779" s="70" t="str">
        <f t="shared" si="611"/>
        <v/>
      </c>
      <c r="AA1779" s="70" t="str">
        <f t="shared" si="612"/>
        <v/>
      </c>
      <c r="AB1779" s="70" t="str">
        <f t="shared" si="613"/>
        <v/>
      </c>
      <c r="AC1779" s="70" t="str">
        <f t="shared" si="614"/>
        <v/>
      </c>
      <c r="AD1779" s="70" t="str">
        <f t="shared" si="615"/>
        <v/>
      </c>
      <c r="AE1779" s="70" t="str">
        <f t="shared" si="616"/>
        <v/>
      </c>
      <c r="AF1779" s="16"/>
      <c r="AG1779" s="23"/>
      <c r="AH1779" s="22"/>
      <c r="AJ1779" s="83">
        <f t="shared" si="617"/>
        <v>0</v>
      </c>
      <c r="AO1779" s="22" t="str">
        <f t="shared" si="618"/>
        <v/>
      </c>
      <c r="AP1779" s="22" t="str">
        <f t="shared" si="619"/>
        <v/>
      </c>
    </row>
    <row r="1780" spans="1:42" x14ac:dyDescent="0.25">
      <c r="A1780" s="10"/>
      <c r="B1780" s="10"/>
      <c r="C1780" s="10"/>
      <c r="D1780" s="10"/>
      <c r="E1780" s="10"/>
      <c r="F1780" s="10"/>
      <c r="G1780" s="10"/>
      <c r="H1780" s="17"/>
      <c r="I1780" s="10"/>
      <c r="J1780" s="10"/>
      <c r="K1780" s="16" t="str">
        <f t="shared" si="598"/>
        <v/>
      </c>
      <c r="L1780" s="23" t="str">
        <f t="shared" si="599"/>
        <v/>
      </c>
      <c r="M1780" s="22" t="str">
        <f t="shared" si="600"/>
        <v/>
      </c>
      <c r="N1780" s="72"/>
      <c r="O1780" s="16" t="str">
        <f t="shared" si="601"/>
        <v/>
      </c>
      <c r="P1780" s="16" t="str">
        <f t="shared" si="602"/>
        <v/>
      </c>
      <c r="Q1780" s="16" t="str">
        <f t="shared" si="603"/>
        <v/>
      </c>
      <c r="R1780" s="23" t="str">
        <f t="shared" si="604"/>
        <v/>
      </c>
      <c r="S1780" s="23" t="str">
        <f t="shared" si="605"/>
        <v/>
      </c>
      <c r="T1780" s="23" t="str">
        <f t="shared" si="606"/>
        <v/>
      </c>
      <c r="U1780" s="23" t="str">
        <f t="shared" si="607"/>
        <v/>
      </c>
      <c r="V1780" s="23" t="str">
        <f t="shared" si="608"/>
        <v/>
      </c>
      <c r="W1780" s="70" t="str">
        <f t="shared" si="609"/>
        <v/>
      </c>
      <c r="X1780" s="70" t="str">
        <f t="shared" si="610"/>
        <v/>
      </c>
      <c r="Y1780" s="70" t="str">
        <f>IF(AND($A1780&lt;&gt;"",$E1780&gt;0),isLaptopBag($C1780,$J1780)*$D1780,"")</f>
        <v/>
      </c>
      <c r="Z1780" s="70" t="str">
        <f t="shared" si="611"/>
        <v/>
      </c>
      <c r="AA1780" s="70" t="str">
        <f t="shared" si="612"/>
        <v/>
      </c>
      <c r="AB1780" s="70" t="str">
        <f t="shared" si="613"/>
        <v/>
      </c>
      <c r="AC1780" s="70" t="str">
        <f t="shared" si="614"/>
        <v/>
      </c>
      <c r="AD1780" s="70" t="str">
        <f t="shared" si="615"/>
        <v/>
      </c>
      <c r="AE1780" s="70" t="str">
        <f t="shared" si="616"/>
        <v/>
      </c>
      <c r="AF1780" s="16"/>
      <c r="AG1780" s="23"/>
      <c r="AH1780" s="22"/>
      <c r="AJ1780" s="83">
        <f t="shared" si="617"/>
        <v>0</v>
      </c>
      <c r="AO1780" s="22" t="str">
        <f t="shared" si="618"/>
        <v/>
      </c>
      <c r="AP1780" s="22" t="str">
        <f t="shared" si="619"/>
        <v/>
      </c>
    </row>
    <row r="1781" spans="1:42" x14ac:dyDescent="0.25">
      <c r="A1781" s="10"/>
      <c r="B1781" s="10"/>
      <c r="C1781" s="10"/>
      <c r="D1781" s="10"/>
      <c r="E1781" s="10"/>
      <c r="F1781" s="10"/>
      <c r="G1781" s="10"/>
      <c r="H1781" s="17"/>
      <c r="I1781" s="10"/>
      <c r="J1781" s="10"/>
      <c r="K1781" s="16" t="str">
        <f t="shared" si="598"/>
        <v/>
      </c>
      <c r="L1781" s="23" t="str">
        <f t="shared" si="599"/>
        <v/>
      </c>
      <c r="M1781" s="22" t="str">
        <f t="shared" si="600"/>
        <v/>
      </c>
      <c r="N1781" s="72"/>
      <c r="O1781" s="16" t="str">
        <f t="shared" si="601"/>
        <v/>
      </c>
      <c r="P1781" s="16" t="str">
        <f t="shared" si="602"/>
        <v/>
      </c>
      <c r="Q1781" s="16" t="str">
        <f t="shared" si="603"/>
        <v/>
      </c>
      <c r="R1781" s="23" t="str">
        <f t="shared" si="604"/>
        <v/>
      </c>
      <c r="S1781" s="23" t="str">
        <f t="shared" si="605"/>
        <v/>
      </c>
      <c r="T1781" s="23" t="str">
        <f t="shared" si="606"/>
        <v/>
      </c>
      <c r="U1781" s="23" t="str">
        <f t="shared" si="607"/>
        <v/>
      </c>
      <c r="V1781" s="23" t="str">
        <f t="shared" si="608"/>
        <v/>
      </c>
      <c r="W1781" s="70" t="str">
        <f t="shared" si="609"/>
        <v/>
      </c>
      <c r="X1781" s="70" t="str">
        <f t="shared" si="610"/>
        <v/>
      </c>
      <c r="Y1781" s="70" t="str">
        <f>IF(AND($A1781&lt;&gt;"",$E1781&gt;0),isLaptopBag($C1781,$J1781)*$D1781,"")</f>
        <v/>
      </c>
      <c r="Z1781" s="70" t="str">
        <f t="shared" si="611"/>
        <v/>
      </c>
      <c r="AA1781" s="70" t="str">
        <f t="shared" si="612"/>
        <v/>
      </c>
      <c r="AB1781" s="70" t="str">
        <f t="shared" si="613"/>
        <v/>
      </c>
      <c r="AC1781" s="70" t="str">
        <f t="shared" si="614"/>
        <v/>
      </c>
      <c r="AD1781" s="70" t="str">
        <f t="shared" si="615"/>
        <v/>
      </c>
      <c r="AE1781" s="70" t="str">
        <f t="shared" si="616"/>
        <v/>
      </c>
      <c r="AF1781" s="16"/>
      <c r="AG1781" s="23"/>
      <c r="AH1781" s="22"/>
      <c r="AJ1781" s="83">
        <f t="shared" si="617"/>
        <v>0</v>
      </c>
      <c r="AO1781" s="22" t="str">
        <f t="shared" si="618"/>
        <v/>
      </c>
      <c r="AP1781" s="22" t="str">
        <f t="shared" si="619"/>
        <v/>
      </c>
    </row>
    <row r="1782" spans="1:42" x14ac:dyDescent="0.25">
      <c r="A1782" s="10"/>
      <c r="B1782" s="10"/>
      <c r="C1782" s="10"/>
      <c r="D1782" s="10"/>
      <c r="E1782" s="10"/>
      <c r="F1782" s="10"/>
      <c r="G1782" s="10"/>
      <c r="H1782" s="17"/>
      <c r="I1782" s="10"/>
      <c r="J1782" s="10"/>
      <c r="K1782" s="16" t="str">
        <f t="shared" si="598"/>
        <v/>
      </c>
      <c r="L1782" s="23" t="str">
        <f t="shared" si="599"/>
        <v/>
      </c>
      <c r="M1782" s="22" t="str">
        <f t="shared" si="600"/>
        <v/>
      </c>
      <c r="N1782" s="72"/>
      <c r="O1782" s="16" t="str">
        <f t="shared" si="601"/>
        <v/>
      </c>
      <c r="P1782" s="16" t="str">
        <f t="shared" si="602"/>
        <v/>
      </c>
      <c r="Q1782" s="16" t="str">
        <f t="shared" si="603"/>
        <v/>
      </c>
      <c r="R1782" s="23" t="str">
        <f t="shared" si="604"/>
        <v/>
      </c>
      <c r="S1782" s="23" t="str">
        <f t="shared" si="605"/>
        <v/>
      </c>
      <c r="T1782" s="23" t="str">
        <f t="shared" si="606"/>
        <v/>
      </c>
      <c r="U1782" s="23" t="str">
        <f t="shared" si="607"/>
        <v/>
      </c>
      <c r="V1782" s="23" t="str">
        <f t="shared" si="608"/>
        <v/>
      </c>
      <c r="W1782" s="70" t="str">
        <f t="shared" si="609"/>
        <v/>
      </c>
      <c r="X1782" s="70" t="str">
        <f t="shared" si="610"/>
        <v/>
      </c>
      <c r="Y1782" s="70" t="str">
        <f>IF(AND($A1782&lt;&gt;"",$E1782&gt;0),isLaptopBag($C1782,$J1782)*$D1782,"")</f>
        <v/>
      </c>
      <c r="Z1782" s="70" t="str">
        <f t="shared" si="611"/>
        <v/>
      </c>
      <c r="AA1782" s="70" t="str">
        <f t="shared" si="612"/>
        <v/>
      </c>
      <c r="AB1782" s="70" t="str">
        <f t="shared" si="613"/>
        <v/>
      </c>
      <c r="AC1782" s="70" t="str">
        <f t="shared" si="614"/>
        <v/>
      </c>
      <c r="AD1782" s="70" t="str">
        <f t="shared" si="615"/>
        <v/>
      </c>
      <c r="AE1782" s="70" t="str">
        <f t="shared" si="616"/>
        <v/>
      </c>
      <c r="AF1782" s="16"/>
      <c r="AG1782" s="23"/>
      <c r="AH1782" s="22"/>
      <c r="AJ1782" s="83">
        <f t="shared" si="617"/>
        <v>0</v>
      </c>
      <c r="AO1782" s="22" t="str">
        <f t="shared" si="618"/>
        <v/>
      </c>
      <c r="AP1782" s="22" t="str">
        <f t="shared" si="619"/>
        <v/>
      </c>
    </row>
    <row r="1783" spans="1:42" x14ac:dyDescent="0.25">
      <c r="A1783" s="10"/>
      <c r="B1783" s="10"/>
      <c r="C1783" s="10"/>
      <c r="D1783" s="10"/>
      <c r="E1783" s="10"/>
      <c r="F1783" s="10"/>
      <c r="G1783" s="10"/>
      <c r="H1783" s="17"/>
      <c r="I1783" s="10"/>
      <c r="J1783" s="10"/>
      <c r="K1783" s="16" t="str">
        <f t="shared" si="598"/>
        <v/>
      </c>
      <c r="L1783" s="23" t="str">
        <f t="shared" si="599"/>
        <v/>
      </c>
      <c r="M1783" s="22" t="str">
        <f t="shared" si="600"/>
        <v/>
      </c>
      <c r="N1783" s="72"/>
      <c r="O1783" s="16" t="str">
        <f t="shared" si="601"/>
        <v/>
      </c>
      <c r="P1783" s="16" t="str">
        <f t="shared" si="602"/>
        <v/>
      </c>
      <c r="Q1783" s="16" t="str">
        <f t="shared" si="603"/>
        <v/>
      </c>
      <c r="R1783" s="23" t="str">
        <f t="shared" si="604"/>
        <v/>
      </c>
      <c r="S1783" s="23" t="str">
        <f t="shared" si="605"/>
        <v/>
      </c>
      <c r="T1783" s="23" t="str">
        <f t="shared" si="606"/>
        <v/>
      </c>
      <c r="U1783" s="23" t="str">
        <f t="shared" si="607"/>
        <v/>
      </c>
      <c r="V1783" s="23" t="str">
        <f t="shared" si="608"/>
        <v/>
      </c>
      <c r="W1783" s="70" t="str">
        <f t="shared" si="609"/>
        <v/>
      </c>
      <c r="X1783" s="70" t="str">
        <f t="shared" si="610"/>
        <v/>
      </c>
      <c r="Y1783" s="70" t="str">
        <f>IF(AND($A1783&lt;&gt;"",$E1783&gt;0),isLaptopBag($C1783,$J1783)*$D1783,"")</f>
        <v/>
      </c>
      <c r="Z1783" s="70" t="str">
        <f t="shared" si="611"/>
        <v/>
      </c>
      <c r="AA1783" s="70" t="str">
        <f t="shared" si="612"/>
        <v/>
      </c>
      <c r="AB1783" s="70" t="str">
        <f t="shared" si="613"/>
        <v/>
      </c>
      <c r="AC1783" s="70" t="str">
        <f t="shared" si="614"/>
        <v/>
      </c>
      <c r="AD1783" s="70" t="str">
        <f t="shared" si="615"/>
        <v/>
      </c>
      <c r="AE1783" s="70" t="str">
        <f t="shared" si="616"/>
        <v/>
      </c>
      <c r="AF1783" s="16"/>
      <c r="AG1783" s="23"/>
      <c r="AH1783" s="22"/>
      <c r="AJ1783" s="83">
        <f t="shared" si="617"/>
        <v>0</v>
      </c>
      <c r="AO1783" s="22" t="str">
        <f t="shared" si="618"/>
        <v/>
      </c>
      <c r="AP1783" s="22" t="str">
        <f t="shared" si="619"/>
        <v/>
      </c>
    </row>
    <row r="1784" spans="1:42" x14ac:dyDescent="0.25">
      <c r="A1784" s="10"/>
      <c r="B1784" s="10"/>
      <c r="C1784" s="10"/>
      <c r="D1784" s="10"/>
      <c r="E1784" s="10"/>
      <c r="F1784" s="10"/>
      <c r="G1784" s="10"/>
      <c r="H1784" s="17"/>
      <c r="I1784" s="10"/>
      <c r="J1784" s="10"/>
      <c r="K1784" s="16" t="str">
        <f t="shared" si="598"/>
        <v/>
      </c>
      <c r="L1784" s="23" t="str">
        <f t="shared" si="599"/>
        <v/>
      </c>
      <c r="M1784" s="22" t="str">
        <f t="shared" si="600"/>
        <v/>
      </c>
      <c r="N1784" s="72"/>
      <c r="O1784" s="16" t="str">
        <f t="shared" si="601"/>
        <v/>
      </c>
      <c r="P1784" s="16" t="str">
        <f t="shared" si="602"/>
        <v/>
      </c>
      <c r="Q1784" s="16" t="str">
        <f t="shared" si="603"/>
        <v/>
      </c>
      <c r="R1784" s="23" t="str">
        <f t="shared" si="604"/>
        <v/>
      </c>
      <c r="S1784" s="23" t="str">
        <f t="shared" si="605"/>
        <v/>
      </c>
      <c r="T1784" s="23" t="str">
        <f t="shared" si="606"/>
        <v/>
      </c>
      <c r="U1784" s="23" t="str">
        <f t="shared" si="607"/>
        <v/>
      </c>
      <c r="V1784" s="23" t="str">
        <f t="shared" si="608"/>
        <v/>
      </c>
      <c r="W1784" s="70" t="str">
        <f t="shared" si="609"/>
        <v/>
      </c>
      <c r="X1784" s="70" t="str">
        <f t="shared" si="610"/>
        <v/>
      </c>
      <c r="Y1784" s="70" t="str">
        <f>IF(AND($A1784&lt;&gt;"",$E1784&gt;0),isLaptopBag($C1784,$J1784)*$D1784,"")</f>
        <v/>
      </c>
      <c r="Z1784" s="70" t="str">
        <f t="shared" si="611"/>
        <v/>
      </c>
      <c r="AA1784" s="70" t="str">
        <f t="shared" si="612"/>
        <v/>
      </c>
      <c r="AB1784" s="70" t="str">
        <f t="shared" si="613"/>
        <v/>
      </c>
      <c r="AC1784" s="70" t="str">
        <f t="shared" si="614"/>
        <v/>
      </c>
      <c r="AD1784" s="70" t="str">
        <f t="shared" si="615"/>
        <v/>
      </c>
      <c r="AE1784" s="70" t="str">
        <f t="shared" si="616"/>
        <v/>
      </c>
      <c r="AF1784" s="16"/>
      <c r="AG1784" s="23"/>
      <c r="AH1784" s="22"/>
      <c r="AJ1784" s="83">
        <f t="shared" si="617"/>
        <v>0</v>
      </c>
      <c r="AO1784" s="22" t="str">
        <f t="shared" si="618"/>
        <v/>
      </c>
      <c r="AP1784" s="22" t="str">
        <f t="shared" si="619"/>
        <v/>
      </c>
    </row>
    <row r="1785" spans="1:42" x14ac:dyDescent="0.25">
      <c r="A1785" s="10"/>
      <c r="B1785" s="10"/>
      <c r="C1785" s="10"/>
      <c r="D1785" s="10"/>
      <c r="E1785" s="10"/>
      <c r="F1785" s="10"/>
      <c r="G1785" s="10"/>
      <c r="H1785" s="17"/>
      <c r="I1785" s="10"/>
      <c r="J1785" s="10"/>
      <c r="K1785" s="16" t="str">
        <f t="shared" si="598"/>
        <v/>
      </c>
      <c r="L1785" s="23" t="str">
        <f t="shared" si="599"/>
        <v/>
      </c>
      <c r="M1785" s="22" t="str">
        <f t="shared" si="600"/>
        <v/>
      </c>
      <c r="N1785" s="72"/>
      <c r="O1785" s="16" t="str">
        <f t="shared" si="601"/>
        <v/>
      </c>
      <c r="P1785" s="16" t="str">
        <f t="shared" si="602"/>
        <v/>
      </c>
      <c r="Q1785" s="16" t="str">
        <f t="shared" si="603"/>
        <v/>
      </c>
      <c r="R1785" s="23" t="str">
        <f t="shared" si="604"/>
        <v/>
      </c>
      <c r="S1785" s="23" t="str">
        <f t="shared" si="605"/>
        <v/>
      </c>
      <c r="T1785" s="23" t="str">
        <f t="shared" si="606"/>
        <v/>
      </c>
      <c r="U1785" s="23" t="str">
        <f t="shared" si="607"/>
        <v/>
      </c>
      <c r="V1785" s="23" t="str">
        <f t="shared" si="608"/>
        <v/>
      </c>
      <c r="W1785" s="70" t="str">
        <f t="shared" si="609"/>
        <v/>
      </c>
      <c r="X1785" s="70" t="str">
        <f t="shared" si="610"/>
        <v/>
      </c>
      <c r="Y1785" s="70" t="str">
        <f>IF(AND($A1785&lt;&gt;"",$E1785&gt;0),isLaptopBag($C1785,$J1785)*$D1785,"")</f>
        <v/>
      </c>
      <c r="Z1785" s="70" t="str">
        <f t="shared" si="611"/>
        <v/>
      </c>
      <c r="AA1785" s="70" t="str">
        <f t="shared" si="612"/>
        <v/>
      </c>
      <c r="AB1785" s="70" t="str">
        <f t="shared" si="613"/>
        <v/>
      </c>
      <c r="AC1785" s="70" t="str">
        <f t="shared" si="614"/>
        <v/>
      </c>
      <c r="AD1785" s="70" t="str">
        <f t="shared" si="615"/>
        <v/>
      </c>
      <c r="AE1785" s="70" t="str">
        <f t="shared" si="616"/>
        <v/>
      </c>
      <c r="AF1785" s="16"/>
      <c r="AG1785" s="23"/>
      <c r="AH1785" s="22"/>
      <c r="AJ1785" s="83">
        <f t="shared" si="617"/>
        <v>0</v>
      </c>
      <c r="AO1785" s="22" t="str">
        <f t="shared" si="618"/>
        <v/>
      </c>
      <c r="AP1785" s="22" t="str">
        <f t="shared" si="619"/>
        <v/>
      </c>
    </row>
    <row r="1786" spans="1:42" x14ac:dyDescent="0.25">
      <c r="A1786" s="10"/>
      <c r="B1786" s="10"/>
      <c r="C1786" s="10"/>
      <c r="D1786" s="10"/>
      <c r="E1786" s="10"/>
      <c r="F1786" s="10"/>
      <c r="G1786" s="10"/>
      <c r="H1786" s="17"/>
      <c r="I1786" s="10"/>
      <c r="J1786" s="10"/>
      <c r="K1786" s="16" t="str">
        <f t="shared" si="598"/>
        <v/>
      </c>
      <c r="L1786" s="23" t="str">
        <f t="shared" si="599"/>
        <v/>
      </c>
      <c r="M1786" s="22" t="str">
        <f t="shared" si="600"/>
        <v/>
      </c>
      <c r="N1786" s="72"/>
      <c r="O1786" s="16" t="str">
        <f t="shared" si="601"/>
        <v/>
      </c>
      <c r="P1786" s="16" t="str">
        <f t="shared" si="602"/>
        <v/>
      </c>
      <c r="Q1786" s="16" t="str">
        <f t="shared" si="603"/>
        <v/>
      </c>
      <c r="R1786" s="23" t="str">
        <f t="shared" si="604"/>
        <v/>
      </c>
      <c r="S1786" s="23" t="str">
        <f t="shared" si="605"/>
        <v/>
      </c>
      <c r="T1786" s="23" t="str">
        <f t="shared" si="606"/>
        <v/>
      </c>
      <c r="U1786" s="23" t="str">
        <f t="shared" si="607"/>
        <v/>
      </c>
      <c r="V1786" s="23" t="str">
        <f t="shared" si="608"/>
        <v/>
      </c>
      <c r="W1786" s="70" t="str">
        <f t="shared" si="609"/>
        <v/>
      </c>
      <c r="X1786" s="70" t="str">
        <f t="shared" si="610"/>
        <v/>
      </c>
      <c r="Y1786" s="70" t="str">
        <f>IF(AND($A1786&lt;&gt;"",$E1786&gt;0),isLaptopBag($C1786,$J1786)*$D1786,"")</f>
        <v/>
      </c>
      <c r="Z1786" s="70" t="str">
        <f t="shared" si="611"/>
        <v/>
      </c>
      <c r="AA1786" s="70" t="str">
        <f t="shared" si="612"/>
        <v/>
      </c>
      <c r="AB1786" s="70" t="str">
        <f t="shared" si="613"/>
        <v/>
      </c>
      <c r="AC1786" s="70" t="str">
        <f t="shared" si="614"/>
        <v/>
      </c>
      <c r="AD1786" s="70" t="str">
        <f t="shared" si="615"/>
        <v/>
      </c>
      <c r="AE1786" s="70" t="str">
        <f t="shared" si="616"/>
        <v/>
      </c>
      <c r="AF1786" s="16"/>
      <c r="AG1786" s="23"/>
      <c r="AH1786" s="22"/>
      <c r="AJ1786" s="83">
        <f t="shared" si="617"/>
        <v>0</v>
      </c>
      <c r="AO1786" s="22" t="str">
        <f t="shared" si="618"/>
        <v/>
      </c>
      <c r="AP1786" s="22" t="str">
        <f t="shared" si="619"/>
        <v/>
      </c>
    </row>
    <row r="1787" spans="1:42" x14ac:dyDescent="0.25">
      <c r="A1787" s="10"/>
      <c r="B1787" s="10"/>
      <c r="C1787" s="10"/>
      <c r="D1787" s="10"/>
      <c r="E1787" s="10"/>
      <c r="F1787" s="10"/>
      <c r="G1787" s="10"/>
      <c r="H1787" s="17"/>
      <c r="I1787" s="10"/>
      <c r="J1787" s="10"/>
      <c r="K1787" s="16" t="str">
        <f t="shared" si="598"/>
        <v/>
      </c>
      <c r="L1787" s="23" t="str">
        <f t="shared" si="599"/>
        <v/>
      </c>
      <c r="M1787" s="22" t="str">
        <f t="shared" si="600"/>
        <v/>
      </c>
      <c r="N1787" s="72"/>
      <c r="O1787" s="16" t="str">
        <f t="shared" si="601"/>
        <v/>
      </c>
      <c r="P1787" s="16" t="str">
        <f t="shared" si="602"/>
        <v/>
      </c>
      <c r="Q1787" s="16" t="str">
        <f t="shared" si="603"/>
        <v/>
      </c>
      <c r="R1787" s="23" t="str">
        <f t="shared" si="604"/>
        <v/>
      </c>
      <c r="S1787" s="23" t="str">
        <f t="shared" si="605"/>
        <v/>
      </c>
      <c r="T1787" s="23" t="str">
        <f t="shared" si="606"/>
        <v/>
      </c>
      <c r="U1787" s="23" t="str">
        <f t="shared" si="607"/>
        <v/>
      </c>
      <c r="V1787" s="23" t="str">
        <f t="shared" si="608"/>
        <v/>
      </c>
      <c r="W1787" s="70" t="str">
        <f t="shared" si="609"/>
        <v/>
      </c>
      <c r="X1787" s="70" t="str">
        <f t="shared" si="610"/>
        <v/>
      </c>
      <c r="Y1787" s="70" t="str">
        <f>IF(AND($A1787&lt;&gt;"",$E1787&gt;0),isLaptopBag($C1787,$J1787)*$D1787,"")</f>
        <v/>
      </c>
      <c r="Z1787" s="70" t="str">
        <f t="shared" si="611"/>
        <v/>
      </c>
      <c r="AA1787" s="70" t="str">
        <f t="shared" si="612"/>
        <v/>
      </c>
      <c r="AB1787" s="70" t="str">
        <f t="shared" si="613"/>
        <v/>
      </c>
      <c r="AC1787" s="70" t="str">
        <f t="shared" si="614"/>
        <v/>
      </c>
      <c r="AD1787" s="70" t="str">
        <f t="shared" si="615"/>
        <v/>
      </c>
      <c r="AE1787" s="70" t="str">
        <f t="shared" si="616"/>
        <v/>
      </c>
      <c r="AF1787" s="16"/>
      <c r="AG1787" s="23"/>
      <c r="AH1787" s="22"/>
      <c r="AJ1787" s="83">
        <f t="shared" si="617"/>
        <v>0</v>
      </c>
      <c r="AO1787" s="22" t="str">
        <f t="shared" si="618"/>
        <v/>
      </c>
      <c r="AP1787" s="22" t="str">
        <f t="shared" si="619"/>
        <v/>
      </c>
    </row>
    <row r="1788" spans="1:42" x14ac:dyDescent="0.25">
      <c r="A1788" s="10"/>
      <c r="B1788" s="10"/>
      <c r="C1788" s="10"/>
      <c r="D1788" s="10"/>
      <c r="E1788" s="10"/>
      <c r="F1788" s="10"/>
      <c r="G1788" s="10"/>
      <c r="H1788" s="17"/>
      <c r="I1788" s="10"/>
      <c r="J1788" s="10"/>
      <c r="K1788" s="16" t="str">
        <f t="shared" si="598"/>
        <v/>
      </c>
      <c r="L1788" s="23" t="str">
        <f t="shared" si="599"/>
        <v/>
      </c>
      <c r="M1788" s="22" t="str">
        <f t="shared" si="600"/>
        <v/>
      </c>
      <c r="N1788" s="72"/>
      <c r="O1788" s="16" t="str">
        <f t="shared" si="601"/>
        <v/>
      </c>
      <c r="P1788" s="16" t="str">
        <f t="shared" si="602"/>
        <v/>
      </c>
      <c r="Q1788" s="16" t="str">
        <f t="shared" si="603"/>
        <v/>
      </c>
      <c r="R1788" s="23" t="str">
        <f t="shared" si="604"/>
        <v/>
      </c>
      <c r="S1788" s="23" t="str">
        <f t="shared" si="605"/>
        <v/>
      </c>
      <c r="T1788" s="23" t="str">
        <f t="shared" si="606"/>
        <v/>
      </c>
      <c r="U1788" s="23" t="str">
        <f t="shared" si="607"/>
        <v/>
      </c>
      <c r="V1788" s="23" t="str">
        <f t="shared" si="608"/>
        <v/>
      </c>
      <c r="W1788" s="70" t="str">
        <f t="shared" si="609"/>
        <v/>
      </c>
      <c r="X1788" s="70" t="str">
        <f t="shared" si="610"/>
        <v/>
      </c>
      <c r="Y1788" s="70" t="str">
        <f>IF(AND($A1788&lt;&gt;"",$E1788&gt;0),isLaptopBag($C1788,$J1788)*$D1788,"")</f>
        <v/>
      </c>
      <c r="Z1788" s="70" t="str">
        <f t="shared" si="611"/>
        <v/>
      </c>
      <c r="AA1788" s="70" t="str">
        <f t="shared" si="612"/>
        <v/>
      </c>
      <c r="AB1788" s="70" t="str">
        <f t="shared" si="613"/>
        <v/>
      </c>
      <c r="AC1788" s="70" t="str">
        <f t="shared" si="614"/>
        <v/>
      </c>
      <c r="AD1788" s="70" t="str">
        <f t="shared" si="615"/>
        <v/>
      </c>
      <c r="AE1788" s="70" t="str">
        <f t="shared" si="616"/>
        <v/>
      </c>
      <c r="AF1788" s="16"/>
      <c r="AG1788" s="23"/>
      <c r="AH1788" s="22"/>
      <c r="AJ1788" s="83">
        <f t="shared" si="617"/>
        <v>0</v>
      </c>
      <c r="AO1788" s="22" t="str">
        <f t="shared" si="618"/>
        <v/>
      </c>
      <c r="AP1788" s="22" t="str">
        <f t="shared" si="619"/>
        <v/>
      </c>
    </row>
    <row r="1789" spans="1:42" x14ac:dyDescent="0.25">
      <c r="A1789" s="10"/>
      <c r="B1789" s="10"/>
      <c r="C1789" s="10"/>
      <c r="D1789" s="10"/>
      <c r="E1789" s="10"/>
      <c r="F1789" s="10"/>
      <c r="G1789" s="10"/>
      <c r="H1789" s="17"/>
      <c r="I1789" s="10"/>
      <c r="J1789" s="10"/>
      <c r="K1789" s="16" t="str">
        <f t="shared" si="598"/>
        <v/>
      </c>
      <c r="L1789" s="23" t="str">
        <f t="shared" si="599"/>
        <v/>
      </c>
      <c r="M1789" s="22" t="str">
        <f t="shared" si="600"/>
        <v/>
      </c>
      <c r="N1789" s="72"/>
      <c r="O1789" s="16" t="str">
        <f t="shared" si="601"/>
        <v/>
      </c>
      <c r="P1789" s="16" t="str">
        <f t="shared" si="602"/>
        <v/>
      </c>
      <c r="Q1789" s="16" t="str">
        <f t="shared" si="603"/>
        <v/>
      </c>
      <c r="R1789" s="23" t="str">
        <f t="shared" si="604"/>
        <v/>
      </c>
      <c r="S1789" s="23" t="str">
        <f t="shared" si="605"/>
        <v/>
      </c>
      <c r="T1789" s="23" t="str">
        <f t="shared" si="606"/>
        <v/>
      </c>
      <c r="U1789" s="23" t="str">
        <f t="shared" si="607"/>
        <v/>
      </c>
      <c r="V1789" s="23" t="str">
        <f t="shared" si="608"/>
        <v/>
      </c>
      <c r="W1789" s="70" t="str">
        <f t="shared" si="609"/>
        <v/>
      </c>
      <c r="X1789" s="70" t="str">
        <f t="shared" si="610"/>
        <v/>
      </c>
      <c r="Y1789" s="70" t="str">
        <f>IF(AND($A1789&lt;&gt;"",$E1789&gt;0),isLaptopBag($C1789,$J1789)*$D1789,"")</f>
        <v/>
      </c>
      <c r="Z1789" s="70" t="str">
        <f t="shared" si="611"/>
        <v/>
      </c>
      <c r="AA1789" s="70" t="str">
        <f t="shared" si="612"/>
        <v/>
      </c>
      <c r="AB1789" s="70" t="str">
        <f t="shared" si="613"/>
        <v/>
      </c>
      <c r="AC1789" s="70" t="str">
        <f t="shared" si="614"/>
        <v/>
      </c>
      <c r="AD1789" s="70" t="str">
        <f t="shared" si="615"/>
        <v/>
      </c>
      <c r="AE1789" s="70" t="str">
        <f t="shared" si="616"/>
        <v/>
      </c>
      <c r="AF1789" s="16"/>
      <c r="AG1789" s="23"/>
      <c r="AH1789" s="22"/>
      <c r="AJ1789" s="83">
        <f t="shared" si="617"/>
        <v>0</v>
      </c>
      <c r="AO1789" s="22" t="str">
        <f t="shared" si="618"/>
        <v/>
      </c>
      <c r="AP1789" s="22" t="str">
        <f t="shared" si="619"/>
        <v/>
      </c>
    </row>
    <row r="1790" spans="1:42" x14ac:dyDescent="0.25">
      <c r="A1790" s="10"/>
      <c r="B1790" s="10"/>
      <c r="C1790" s="10"/>
      <c r="D1790" s="10"/>
      <c r="E1790" s="10"/>
      <c r="F1790" s="10"/>
      <c r="G1790" s="10"/>
      <c r="H1790" s="17"/>
      <c r="I1790" s="10"/>
      <c r="J1790" s="10"/>
      <c r="K1790" s="16" t="str">
        <f t="shared" si="598"/>
        <v/>
      </c>
      <c r="L1790" s="23" t="str">
        <f t="shared" si="599"/>
        <v/>
      </c>
      <c r="M1790" s="22" t="str">
        <f t="shared" si="600"/>
        <v/>
      </c>
      <c r="N1790" s="72"/>
      <c r="O1790" s="16" t="str">
        <f t="shared" si="601"/>
        <v/>
      </c>
      <c r="P1790" s="16" t="str">
        <f t="shared" si="602"/>
        <v/>
      </c>
      <c r="Q1790" s="16" t="str">
        <f t="shared" si="603"/>
        <v/>
      </c>
      <c r="R1790" s="23" t="str">
        <f t="shared" si="604"/>
        <v/>
      </c>
      <c r="S1790" s="23" t="str">
        <f t="shared" si="605"/>
        <v/>
      </c>
      <c r="T1790" s="23" t="str">
        <f t="shared" si="606"/>
        <v/>
      </c>
      <c r="U1790" s="23" t="str">
        <f t="shared" si="607"/>
        <v/>
      </c>
      <c r="V1790" s="23" t="str">
        <f t="shared" si="608"/>
        <v/>
      </c>
      <c r="W1790" s="70" t="str">
        <f t="shared" si="609"/>
        <v/>
      </c>
      <c r="X1790" s="70" t="str">
        <f t="shared" si="610"/>
        <v/>
      </c>
      <c r="Y1790" s="70" t="str">
        <f>IF(AND($A1790&lt;&gt;"",$E1790&gt;0),isLaptopBag($C1790,$J1790)*$D1790,"")</f>
        <v/>
      </c>
      <c r="Z1790" s="70" t="str">
        <f t="shared" si="611"/>
        <v/>
      </c>
      <c r="AA1790" s="70" t="str">
        <f t="shared" si="612"/>
        <v/>
      </c>
      <c r="AB1790" s="70" t="str">
        <f t="shared" si="613"/>
        <v/>
      </c>
      <c r="AC1790" s="70" t="str">
        <f t="shared" si="614"/>
        <v/>
      </c>
      <c r="AD1790" s="70" t="str">
        <f t="shared" si="615"/>
        <v/>
      </c>
      <c r="AE1790" s="70" t="str">
        <f t="shared" si="616"/>
        <v/>
      </c>
      <c r="AF1790" s="16"/>
      <c r="AG1790" s="23"/>
      <c r="AH1790" s="22"/>
      <c r="AJ1790" s="83">
        <f t="shared" si="617"/>
        <v>0</v>
      </c>
      <c r="AO1790" s="22" t="str">
        <f t="shared" si="618"/>
        <v/>
      </c>
      <c r="AP1790" s="22" t="str">
        <f t="shared" si="619"/>
        <v/>
      </c>
    </row>
    <row r="1791" spans="1:42" x14ac:dyDescent="0.25">
      <c r="A1791" s="10"/>
      <c r="B1791" s="10"/>
      <c r="C1791" s="10"/>
      <c r="D1791" s="10"/>
      <c r="E1791" s="10"/>
      <c r="F1791" s="10"/>
      <c r="G1791" s="10"/>
      <c r="H1791" s="17"/>
      <c r="I1791" s="10"/>
      <c r="J1791" s="10"/>
      <c r="K1791" s="16" t="str">
        <f t="shared" si="598"/>
        <v/>
      </c>
      <c r="L1791" s="23" t="str">
        <f t="shared" si="599"/>
        <v/>
      </c>
      <c r="M1791" s="22" t="str">
        <f t="shared" si="600"/>
        <v/>
      </c>
      <c r="N1791" s="72"/>
      <c r="O1791" s="16" t="str">
        <f t="shared" si="601"/>
        <v/>
      </c>
      <c r="P1791" s="16" t="str">
        <f t="shared" si="602"/>
        <v/>
      </c>
      <c r="Q1791" s="16" t="str">
        <f t="shared" si="603"/>
        <v/>
      </c>
      <c r="R1791" s="23" t="str">
        <f t="shared" si="604"/>
        <v/>
      </c>
      <c r="S1791" s="23" t="str">
        <f t="shared" si="605"/>
        <v/>
      </c>
      <c r="T1791" s="23" t="str">
        <f t="shared" si="606"/>
        <v/>
      </c>
      <c r="U1791" s="23" t="str">
        <f t="shared" si="607"/>
        <v/>
      </c>
      <c r="V1791" s="23" t="str">
        <f t="shared" si="608"/>
        <v/>
      </c>
      <c r="W1791" s="70" t="str">
        <f t="shared" si="609"/>
        <v/>
      </c>
      <c r="X1791" s="70" t="str">
        <f t="shared" si="610"/>
        <v/>
      </c>
      <c r="Y1791" s="70" t="str">
        <f>IF(AND($A1791&lt;&gt;"",$E1791&gt;0),isLaptopBag($C1791,$J1791)*$D1791,"")</f>
        <v/>
      </c>
      <c r="Z1791" s="70" t="str">
        <f t="shared" si="611"/>
        <v/>
      </c>
      <c r="AA1791" s="70" t="str">
        <f t="shared" si="612"/>
        <v/>
      </c>
      <c r="AB1791" s="70" t="str">
        <f t="shared" si="613"/>
        <v/>
      </c>
      <c r="AC1791" s="70" t="str">
        <f t="shared" si="614"/>
        <v/>
      </c>
      <c r="AD1791" s="70" t="str">
        <f t="shared" si="615"/>
        <v/>
      </c>
      <c r="AE1791" s="70" t="str">
        <f t="shared" si="616"/>
        <v/>
      </c>
      <c r="AF1791" s="16"/>
      <c r="AG1791" s="23"/>
      <c r="AH1791" s="22"/>
      <c r="AJ1791" s="83">
        <f t="shared" si="617"/>
        <v>0</v>
      </c>
      <c r="AO1791" s="22" t="str">
        <f t="shared" si="618"/>
        <v/>
      </c>
      <c r="AP1791" s="22" t="str">
        <f t="shared" si="619"/>
        <v/>
      </c>
    </row>
    <row r="1792" spans="1:42" x14ac:dyDescent="0.25">
      <c r="A1792" s="10"/>
      <c r="B1792" s="10"/>
      <c r="C1792" s="10"/>
      <c r="D1792" s="10"/>
      <c r="E1792" s="10"/>
      <c r="F1792" s="10"/>
      <c r="G1792" s="10"/>
      <c r="H1792" s="17"/>
      <c r="I1792" s="10"/>
      <c r="J1792" s="10"/>
      <c r="K1792" s="16" t="str">
        <f t="shared" si="598"/>
        <v/>
      </c>
      <c r="L1792" s="23" t="str">
        <f t="shared" si="599"/>
        <v/>
      </c>
      <c r="M1792" s="22" t="str">
        <f t="shared" si="600"/>
        <v/>
      </c>
      <c r="N1792" s="72"/>
      <c r="O1792" s="16" t="str">
        <f t="shared" si="601"/>
        <v/>
      </c>
      <c r="P1792" s="16" t="str">
        <f t="shared" si="602"/>
        <v/>
      </c>
      <c r="Q1792" s="16" t="str">
        <f t="shared" si="603"/>
        <v/>
      </c>
      <c r="R1792" s="23" t="str">
        <f t="shared" si="604"/>
        <v/>
      </c>
      <c r="S1792" s="23" t="str">
        <f t="shared" si="605"/>
        <v/>
      </c>
      <c r="T1792" s="23" t="str">
        <f t="shared" si="606"/>
        <v/>
      </c>
      <c r="U1792" s="23" t="str">
        <f t="shared" si="607"/>
        <v/>
      </c>
      <c r="V1792" s="23" t="str">
        <f t="shared" si="608"/>
        <v/>
      </c>
      <c r="W1792" s="70" t="str">
        <f t="shared" si="609"/>
        <v/>
      </c>
      <c r="X1792" s="70" t="str">
        <f t="shared" si="610"/>
        <v/>
      </c>
      <c r="Y1792" s="70" t="str">
        <f>IF(AND($A1792&lt;&gt;"",$E1792&gt;0),isLaptopBag($C1792,$J1792)*$D1792,"")</f>
        <v/>
      </c>
      <c r="Z1792" s="70" t="str">
        <f t="shared" si="611"/>
        <v/>
      </c>
      <c r="AA1792" s="70" t="str">
        <f t="shared" si="612"/>
        <v/>
      </c>
      <c r="AB1792" s="70" t="str">
        <f t="shared" si="613"/>
        <v/>
      </c>
      <c r="AC1792" s="70" t="str">
        <f t="shared" si="614"/>
        <v/>
      </c>
      <c r="AD1792" s="70" t="str">
        <f t="shared" si="615"/>
        <v/>
      </c>
      <c r="AE1792" s="70" t="str">
        <f t="shared" si="616"/>
        <v/>
      </c>
      <c r="AF1792" s="16"/>
      <c r="AG1792" s="23"/>
      <c r="AH1792" s="22"/>
      <c r="AJ1792" s="83">
        <f t="shared" si="617"/>
        <v>0</v>
      </c>
      <c r="AO1792" s="22" t="str">
        <f t="shared" si="618"/>
        <v/>
      </c>
      <c r="AP1792" s="22" t="str">
        <f t="shared" si="619"/>
        <v/>
      </c>
    </row>
    <row r="1793" spans="1:42" x14ac:dyDescent="0.25">
      <c r="A1793" s="10"/>
      <c r="B1793" s="10"/>
      <c r="C1793" s="10"/>
      <c r="D1793" s="10"/>
      <c r="E1793" s="10"/>
      <c r="F1793" s="10"/>
      <c r="G1793" s="10"/>
      <c r="H1793" s="17"/>
      <c r="I1793" s="10"/>
      <c r="J1793" s="10"/>
      <c r="K1793" s="16" t="str">
        <f t="shared" si="598"/>
        <v/>
      </c>
      <c r="L1793" s="23" t="str">
        <f t="shared" si="599"/>
        <v/>
      </c>
      <c r="M1793" s="22" t="str">
        <f t="shared" si="600"/>
        <v/>
      </c>
      <c r="N1793" s="72"/>
      <c r="O1793" s="16" t="str">
        <f t="shared" si="601"/>
        <v/>
      </c>
      <c r="P1793" s="16" t="str">
        <f t="shared" si="602"/>
        <v/>
      </c>
      <c r="Q1793" s="16" t="str">
        <f t="shared" si="603"/>
        <v/>
      </c>
      <c r="R1793" s="23" t="str">
        <f t="shared" si="604"/>
        <v/>
      </c>
      <c r="S1793" s="23" t="str">
        <f t="shared" si="605"/>
        <v/>
      </c>
      <c r="T1793" s="23" t="str">
        <f t="shared" si="606"/>
        <v/>
      </c>
      <c r="U1793" s="23" t="str">
        <f t="shared" si="607"/>
        <v/>
      </c>
      <c r="V1793" s="23" t="str">
        <f t="shared" si="608"/>
        <v/>
      </c>
      <c r="W1793" s="70" t="str">
        <f t="shared" si="609"/>
        <v/>
      </c>
      <c r="X1793" s="70" t="str">
        <f t="shared" si="610"/>
        <v/>
      </c>
      <c r="Y1793" s="70" t="str">
        <f>IF(AND($A1793&lt;&gt;"",$E1793&gt;0),isLaptopBag($C1793,$J1793)*$D1793,"")</f>
        <v/>
      </c>
      <c r="Z1793" s="70" t="str">
        <f t="shared" si="611"/>
        <v/>
      </c>
      <c r="AA1793" s="70" t="str">
        <f t="shared" si="612"/>
        <v/>
      </c>
      <c r="AB1793" s="70" t="str">
        <f t="shared" si="613"/>
        <v/>
      </c>
      <c r="AC1793" s="70" t="str">
        <f t="shared" si="614"/>
        <v/>
      </c>
      <c r="AD1793" s="70" t="str">
        <f t="shared" si="615"/>
        <v/>
      </c>
      <c r="AE1793" s="70" t="str">
        <f t="shared" si="616"/>
        <v/>
      </c>
      <c r="AF1793" s="16"/>
      <c r="AG1793" s="23"/>
      <c r="AH1793" s="22"/>
      <c r="AJ1793" s="83">
        <f t="shared" si="617"/>
        <v>0</v>
      </c>
      <c r="AO1793" s="22" t="str">
        <f t="shared" si="618"/>
        <v/>
      </c>
      <c r="AP1793" s="22" t="str">
        <f t="shared" si="619"/>
        <v/>
      </c>
    </row>
    <row r="1794" spans="1:42" x14ac:dyDescent="0.25">
      <c r="A1794" s="10"/>
      <c r="B1794" s="10"/>
      <c r="C1794" s="10"/>
      <c r="D1794" s="10"/>
      <c r="E1794" s="10"/>
      <c r="F1794" s="10"/>
      <c r="G1794" s="10"/>
      <c r="H1794" s="17"/>
      <c r="I1794" s="10"/>
      <c r="J1794" s="10"/>
      <c r="K1794" s="16" t="str">
        <f t="shared" si="598"/>
        <v/>
      </c>
      <c r="L1794" s="23" t="str">
        <f t="shared" si="599"/>
        <v/>
      </c>
      <c r="M1794" s="22" t="str">
        <f t="shared" si="600"/>
        <v/>
      </c>
      <c r="N1794" s="72"/>
      <c r="O1794" s="16" t="str">
        <f t="shared" si="601"/>
        <v/>
      </c>
      <c r="P1794" s="16" t="str">
        <f t="shared" si="602"/>
        <v/>
      </c>
      <c r="Q1794" s="16" t="str">
        <f t="shared" si="603"/>
        <v/>
      </c>
      <c r="R1794" s="23" t="str">
        <f t="shared" si="604"/>
        <v/>
      </c>
      <c r="S1794" s="23" t="str">
        <f t="shared" si="605"/>
        <v/>
      </c>
      <c r="T1794" s="23" t="str">
        <f t="shared" si="606"/>
        <v/>
      </c>
      <c r="U1794" s="23" t="str">
        <f t="shared" si="607"/>
        <v/>
      </c>
      <c r="V1794" s="23" t="str">
        <f t="shared" si="608"/>
        <v/>
      </c>
      <c r="W1794" s="70" t="str">
        <f t="shared" si="609"/>
        <v/>
      </c>
      <c r="X1794" s="70" t="str">
        <f t="shared" si="610"/>
        <v/>
      </c>
      <c r="Y1794" s="70" t="str">
        <f>IF(AND($A1794&lt;&gt;"",$E1794&gt;0),isLaptopBag($C1794,$J1794)*$D1794,"")</f>
        <v/>
      </c>
      <c r="Z1794" s="70" t="str">
        <f t="shared" si="611"/>
        <v/>
      </c>
      <c r="AA1794" s="70" t="str">
        <f t="shared" si="612"/>
        <v/>
      </c>
      <c r="AB1794" s="70" t="str">
        <f t="shared" si="613"/>
        <v/>
      </c>
      <c r="AC1794" s="70" t="str">
        <f t="shared" si="614"/>
        <v/>
      </c>
      <c r="AD1794" s="70" t="str">
        <f t="shared" si="615"/>
        <v/>
      </c>
      <c r="AE1794" s="70" t="str">
        <f t="shared" si="616"/>
        <v/>
      </c>
      <c r="AF1794" s="16"/>
      <c r="AG1794" s="23"/>
      <c r="AH1794" s="22"/>
      <c r="AJ1794" s="83">
        <f t="shared" si="617"/>
        <v>0</v>
      </c>
      <c r="AO1794" s="22" t="str">
        <f t="shared" si="618"/>
        <v/>
      </c>
      <c r="AP1794" s="22" t="str">
        <f t="shared" si="619"/>
        <v/>
      </c>
    </row>
    <row r="1795" spans="1:42" x14ac:dyDescent="0.25">
      <c r="A1795" s="10"/>
      <c r="B1795" s="10"/>
      <c r="C1795" s="10"/>
      <c r="D1795" s="10"/>
      <c r="E1795" s="10"/>
      <c r="F1795" s="10"/>
      <c r="G1795" s="10"/>
      <c r="H1795" s="17"/>
      <c r="I1795" s="10"/>
      <c r="J1795" s="10"/>
      <c r="K1795" s="16" t="str">
        <f t="shared" si="598"/>
        <v/>
      </c>
      <c r="L1795" s="23" t="str">
        <f t="shared" si="599"/>
        <v/>
      </c>
      <c r="M1795" s="22" t="str">
        <f t="shared" si="600"/>
        <v/>
      </c>
      <c r="N1795" s="72"/>
      <c r="O1795" s="16" t="str">
        <f t="shared" si="601"/>
        <v/>
      </c>
      <c r="P1795" s="16" t="str">
        <f t="shared" si="602"/>
        <v/>
      </c>
      <c r="Q1795" s="16" t="str">
        <f t="shared" si="603"/>
        <v/>
      </c>
      <c r="R1795" s="23" t="str">
        <f t="shared" si="604"/>
        <v/>
      </c>
      <c r="S1795" s="23" t="str">
        <f t="shared" si="605"/>
        <v/>
      </c>
      <c r="T1795" s="23" t="str">
        <f t="shared" si="606"/>
        <v/>
      </c>
      <c r="U1795" s="23" t="str">
        <f t="shared" si="607"/>
        <v/>
      </c>
      <c r="V1795" s="23" t="str">
        <f t="shared" si="608"/>
        <v/>
      </c>
      <c r="W1795" s="70" t="str">
        <f t="shared" si="609"/>
        <v/>
      </c>
      <c r="X1795" s="70" t="str">
        <f t="shared" si="610"/>
        <v/>
      </c>
      <c r="Y1795" s="70" t="str">
        <f>IF(AND($A1795&lt;&gt;"",$E1795&gt;0),isLaptopBag($C1795,$J1795)*$D1795,"")</f>
        <v/>
      </c>
      <c r="Z1795" s="70" t="str">
        <f t="shared" si="611"/>
        <v/>
      </c>
      <c r="AA1795" s="70" t="str">
        <f t="shared" si="612"/>
        <v/>
      </c>
      <c r="AB1795" s="70" t="str">
        <f t="shared" si="613"/>
        <v/>
      </c>
      <c r="AC1795" s="70" t="str">
        <f t="shared" si="614"/>
        <v/>
      </c>
      <c r="AD1795" s="70" t="str">
        <f t="shared" si="615"/>
        <v/>
      </c>
      <c r="AE1795" s="70" t="str">
        <f t="shared" si="616"/>
        <v/>
      </c>
      <c r="AF1795" s="16"/>
      <c r="AG1795" s="23"/>
      <c r="AH1795" s="22"/>
      <c r="AJ1795" s="83">
        <f t="shared" si="617"/>
        <v>0</v>
      </c>
      <c r="AO1795" s="22" t="str">
        <f t="shared" si="618"/>
        <v/>
      </c>
      <c r="AP1795" s="22" t="str">
        <f t="shared" si="619"/>
        <v/>
      </c>
    </row>
    <row r="1796" spans="1:42" x14ac:dyDescent="0.25">
      <c r="A1796" s="10"/>
      <c r="B1796" s="10"/>
      <c r="C1796" s="10"/>
      <c r="D1796" s="10"/>
      <c r="E1796" s="10"/>
      <c r="F1796" s="10"/>
      <c r="G1796" s="10"/>
      <c r="H1796" s="17"/>
      <c r="I1796" s="10"/>
      <c r="J1796" s="10"/>
      <c r="K1796" s="16" t="str">
        <f t="shared" si="598"/>
        <v/>
      </c>
      <c r="L1796" s="23" t="str">
        <f t="shared" si="599"/>
        <v/>
      </c>
      <c r="M1796" s="22" t="str">
        <f t="shared" si="600"/>
        <v/>
      </c>
      <c r="N1796" s="72"/>
      <c r="O1796" s="16" t="str">
        <f t="shared" si="601"/>
        <v/>
      </c>
      <c r="P1796" s="16" t="str">
        <f t="shared" si="602"/>
        <v/>
      </c>
      <c r="Q1796" s="16" t="str">
        <f t="shared" si="603"/>
        <v/>
      </c>
      <c r="R1796" s="23" t="str">
        <f t="shared" si="604"/>
        <v/>
      </c>
      <c r="S1796" s="23" t="str">
        <f t="shared" si="605"/>
        <v/>
      </c>
      <c r="T1796" s="23" t="str">
        <f t="shared" si="606"/>
        <v/>
      </c>
      <c r="U1796" s="23" t="str">
        <f t="shared" si="607"/>
        <v/>
      </c>
      <c r="V1796" s="23" t="str">
        <f t="shared" si="608"/>
        <v/>
      </c>
      <c r="W1796" s="70" t="str">
        <f t="shared" si="609"/>
        <v/>
      </c>
      <c r="X1796" s="70" t="str">
        <f t="shared" si="610"/>
        <v/>
      </c>
      <c r="Y1796" s="70" t="str">
        <f>IF(AND($A1796&lt;&gt;"",$E1796&gt;0),isLaptopBag($C1796,$J1796)*$D1796,"")</f>
        <v/>
      </c>
      <c r="Z1796" s="70" t="str">
        <f t="shared" si="611"/>
        <v/>
      </c>
      <c r="AA1796" s="70" t="str">
        <f t="shared" si="612"/>
        <v/>
      </c>
      <c r="AB1796" s="70" t="str">
        <f t="shared" si="613"/>
        <v/>
      </c>
      <c r="AC1796" s="70" t="str">
        <f t="shared" si="614"/>
        <v/>
      </c>
      <c r="AD1796" s="70" t="str">
        <f t="shared" si="615"/>
        <v/>
      </c>
      <c r="AE1796" s="70" t="str">
        <f t="shared" si="616"/>
        <v/>
      </c>
      <c r="AF1796" s="16"/>
      <c r="AG1796" s="23"/>
      <c r="AH1796" s="22"/>
      <c r="AJ1796" s="83">
        <f t="shared" si="617"/>
        <v>0</v>
      </c>
      <c r="AO1796" s="22" t="str">
        <f t="shared" si="618"/>
        <v/>
      </c>
      <c r="AP1796" s="22" t="str">
        <f t="shared" si="619"/>
        <v/>
      </c>
    </row>
    <row r="1797" spans="1:42" x14ac:dyDescent="0.25">
      <c r="A1797" s="10"/>
      <c r="B1797" s="10"/>
      <c r="C1797" s="10"/>
      <c r="D1797" s="10"/>
      <c r="E1797" s="10"/>
      <c r="F1797" s="10"/>
      <c r="G1797" s="10"/>
      <c r="H1797" s="17"/>
      <c r="I1797" s="10"/>
      <c r="J1797" s="10"/>
      <c r="K1797" s="16" t="str">
        <f t="shared" si="598"/>
        <v/>
      </c>
      <c r="L1797" s="23" t="str">
        <f t="shared" si="599"/>
        <v/>
      </c>
      <c r="M1797" s="22" t="str">
        <f t="shared" si="600"/>
        <v/>
      </c>
      <c r="N1797" s="72"/>
      <c r="O1797" s="16" t="str">
        <f t="shared" si="601"/>
        <v/>
      </c>
      <c r="P1797" s="16" t="str">
        <f t="shared" si="602"/>
        <v/>
      </c>
      <c r="Q1797" s="16" t="str">
        <f t="shared" si="603"/>
        <v/>
      </c>
      <c r="R1797" s="23" t="str">
        <f t="shared" si="604"/>
        <v/>
      </c>
      <c r="S1797" s="23" t="str">
        <f t="shared" si="605"/>
        <v/>
      </c>
      <c r="T1797" s="23" t="str">
        <f t="shared" si="606"/>
        <v/>
      </c>
      <c r="U1797" s="23" t="str">
        <f t="shared" si="607"/>
        <v/>
      </c>
      <c r="V1797" s="23" t="str">
        <f t="shared" si="608"/>
        <v/>
      </c>
      <c r="W1797" s="70" t="str">
        <f t="shared" si="609"/>
        <v/>
      </c>
      <c r="X1797" s="70" t="str">
        <f t="shared" si="610"/>
        <v/>
      </c>
      <c r="Y1797" s="70" t="str">
        <f>IF(AND($A1797&lt;&gt;"",$E1797&gt;0),isLaptopBag($C1797,$J1797)*$D1797,"")</f>
        <v/>
      </c>
      <c r="Z1797" s="70" t="str">
        <f t="shared" si="611"/>
        <v/>
      </c>
      <c r="AA1797" s="70" t="str">
        <f t="shared" si="612"/>
        <v/>
      </c>
      <c r="AB1797" s="70" t="str">
        <f t="shared" si="613"/>
        <v/>
      </c>
      <c r="AC1797" s="70" t="str">
        <f t="shared" si="614"/>
        <v/>
      </c>
      <c r="AD1797" s="70" t="str">
        <f t="shared" si="615"/>
        <v/>
      </c>
      <c r="AE1797" s="70" t="str">
        <f t="shared" si="616"/>
        <v/>
      </c>
      <c r="AF1797" s="16"/>
      <c r="AG1797" s="23"/>
      <c r="AH1797" s="22"/>
      <c r="AJ1797" s="83">
        <f t="shared" si="617"/>
        <v>0</v>
      </c>
      <c r="AO1797" s="22" t="str">
        <f t="shared" si="618"/>
        <v/>
      </c>
      <c r="AP1797" s="22" t="str">
        <f t="shared" si="619"/>
        <v/>
      </c>
    </row>
    <row r="1798" spans="1:42" x14ac:dyDescent="0.25">
      <c r="A1798" s="10"/>
      <c r="B1798" s="10"/>
      <c r="C1798" s="10"/>
      <c r="D1798" s="10"/>
      <c r="E1798" s="10"/>
      <c r="F1798" s="10"/>
      <c r="G1798" s="10"/>
      <c r="H1798" s="17"/>
      <c r="I1798" s="10"/>
      <c r="J1798" s="10"/>
      <c r="K1798" s="16" t="str">
        <f t="shared" si="598"/>
        <v/>
      </c>
      <c r="L1798" s="23" t="str">
        <f t="shared" si="599"/>
        <v/>
      </c>
      <c r="M1798" s="22" t="str">
        <f t="shared" si="600"/>
        <v/>
      </c>
      <c r="N1798" s="72"/>
      <c r="O1798" s="16" t="str">
        <f t="shared" si="601"/>
        <v/>
      </c>
      <c r="P1798" s="16" t="str">
        <f t="shared" si="602"/>
        <v/>
      </c>
      <c r="Q1798" s="16" t="str">
        <f t="shared" si="603"/>
        <v/>
      </c>
      <c r="R1798" s="23" t="str">
        <f t="shared" si="604"/>
        <v/>
      </c>
      <c r="S1798" s="23" t="str">
        <f t="shared" si="605"/>
        <v/>
      </c>
      <c r="T1798" s="23" t="str">
        <f t="shared" si="606"/>
        <v/>
      </c>
      <c r="U1798" s="23" t="str">
        <f t="shared" si="607"/>
        <v/>
      </c>
      <c r="V1798" s="23" t="str">
        <f t="shared" si="608"/>
        <v/>
      </c>
      <c r="W1798" s="70" t="str">
        <f t="shared" si="609"/>
        <v/>
      </c>
      <c r="X1798" s="70" t="str">
        <f t="shared" si="610"/>
        <v/>
      </c>
      <c r="Y1798" s="70" t="str">
        <f>IF(AND($A1798&lt;&gt;"",$E1798&gt;0),isLaptopBag($C1798,$J1798)*$D1798,"")</f>
        <v/>
      </c>
      <c r="Z1798" s="70" t="str">
        <f t="shared" si="611"/>
        <v/>
      </c>
      <c r="AA1798" s="70" t="str">
        <f t="shared" si="612"/>
        <v/>
      </c>
      <c r="AB1798" s="70" t="str">
        <f t="shared" si="613"/>
        <v/>
      </c>
      <c r="AC1798" s="70" t="str">
        <f t="shared" si="614"/>
        <v/>
      </c>
      <c r="AD1798" s="70" t="str">
        <f t="shared" si="615"/>
        <v/>
      </c>
      <c r="AE1798" s="70" t="str">
        <f t="shared" si="616"/>
        <v/>
      </c>
      <c r="AF1798" s="16"/>
      <c r="AG1798" s="23"/>
      <c r="AH1798" s="22"/>
      <c r="AJ1798" s="83">
        <f t="shared" si="617"/>
        <v>0</v>
      </c>
      <c r="AO1798" s="22" t="str">
        <f t="shared" si="618"/>
        <v/>
      </c>
      <c r="AP1798" s="22" t="str">
        <f t="shared" si="619"/>
        <v/>
      </c>
    </row>
    <row r="1799" spans="1:42" x14ac:dyDescent="0.25">
      <c r="A1799" s="10"/>
      <c r="B1799" s="10"/>
      <c r="C1799" s="10"/>
      <c r="D1799" s="10"/>
      <c r="E1799" s="10"/>
      <c r="F1799" s="10"/>
      <c r="G1799" s="10"/>
      <c r="H1799" s="17"/>
      <c r="I1799" s="10"/>
      <c r="J1799" s="10"/>
      <c r="K1799" s="16" t="str">
        <f t="shared" si="598"/>
        <v/>
      </c>
      <c r="L1799" s="23" t="str">
        <f t="shared" si="599"/>
        <v/>
      </c>
      <c r="M1799" s="22" t="str">
        <f t="shared" si="600"/>
        <v/>
      </c>
      <c r="N1799" s="72"/>
      <c r="O1799" s="16" t="str">
        <f t="shared" si="601"/>
        <v/>
      </c>
      <c r="P1799" s="16" t="str">
        <f t="shared" si="602"/>
        <v/>
      </c>
      <c r="Q1799" s="16" t="str">
        <f t="shared" si="603"/>
        <v/>
      </c>
      <c r="R1799" s="23" t="str">
        <f t="shared" si="604"/>
        <v/>
      </c>
      <c r="S1799" s="23" t="str">
        <f t="shared" si="605"/>
        <v/>
      </c>
      <c r="T1799" s="23" t="str">
        <f t="shared" si="606"/>
        <v/>
      </c>
      <c r="U1799" s="23" t="str">
        <f t="shared" si="607"/>
        <v/>
      </c>
      <c r="V1799" s="23" t="str">
        <f t="shared" si="608"/>
        <v/>
      </c>
      <c r="W1799" s="70" t="str">
        <f t="shared" si="609"/>
        <v/>
      </c>
      <c r="X1799" s="70" t="str">
        <f t="shared" si="610"/>
        <v/>
      </c>
      <c r="Y1799" s="70" t="str">
        <f>IF(AND($A1799&lt;&gt;"",$E1799&gt;0),isLaptopBag($C1799,$J1799)*$D1799,"")</f>
        <v/>
      </c>
      <c r="Z1799" s="70" t="str">
        <f t="shared" si="611"/>
        <v/>
      </c>
      <c r="AA1799" s="70" t="str">
        <f t="shared" si="612"/>
        <v/>
      </c>
      <c r="AB1799" s="70" t="str">
        <f t="shared" si="613"/>
        <v/>
      </c>
      <c r="AC1799" s="70" t="str">
        <f t="shared" si="614"/>
        <v/>
      </c>
      <c r="AD1799" s="70" t="str">
        <f t="shared" si="615"/>
        <v/>
      </c>
      <c r="AE1799" s="70" t="str">
        <f t="shared" si="616"/>
        <v/>
      </c>
      <c r="AF1799" s="16"/>
      <c r="AG1799" s="23"/>
      <c r="AH1799" s="22"/>
      <c r="AJ1799" s="83">
        <f t="shared" si="617"/>
        <v>0</v>
      </c>
      <c r="AO1799" s="22" t="str">
        <f t="shared" si="618"/>
        <v/>
      </c>
      <c r="AP1799" s="22" t="str">
        <f t="shared" si="619"/>
        <v/>
      </c>
    </row>
    <row r="1800" spans="1:42" x14ac:dyDescent="0.25">
      <c r="A1800" s="10"/>
      <c r="B1800" s="10"/>
      <c r="C1800" s="10"/>
      <c r="D1800" s="10"/>
      <c r="E1800" s="10"/>
      <c r="F1800" s="10"/>
      <c r="G1800" s="10"/>
      <c r="H1800" s="17"/>
      <c r="I1800" s="10"/>
      <c r="J1800" s="10"/>
      <c r="K1800" s="16" t="str">
        <f t="shared" si="598"/>
        <v/>
      </c>
      <c r="L1800" s="23" t="str">
        <f t="shared" si="599"/>
        <v/>
      </c>
      <c r="M1800" s="22" t="str">
        <f t="shared" si="600"/>
        <v/>
      </c>
      <c r="N1800" s="72"/>
      <c r="O1800" s="16" t="str">
        <f t="shared" si="601"/>
        <v/>
      </c>
      <c r="P1800" s="16" t="str">
        <f t="shared" si="602"/>
        <v/>
      </c>
      <c r="Q1800" s="16" t="str">
        <f t="shared" si="603"/>
        <v/>
      </c>
      <c r="R1800" s="23" t="str">
        <f t="shared" si="604"/>
        <v/>
      </c>
      <c r="S1800" s="23" t="str">
        <f t="shared" si="605"/>
        <v/>
      </c>
      <c r="T1800" s="23" t="str">
        <f t="shared" si="606"/>
        <v/>
      </c>
      <c r="U1800" s="23" t="str">
        <f t="shared" si="607"/>
        <v/>
      </c>
      <c r="V1800" s="23" t="str">
        <f t="shared" si="608"/>
        <v/>
      </c>
      <c r="W1800" s="70" t="str">
        <f t="shared" si="609"/>
        <v/>
      </c>
      <c r="X1800" s="70" t="str">
        <f t="shared" si="610"/>
        <v/>
      </c>
      <c r="Y1800" s="70" t="str">
        <f>IF(AND($A1800&lt;&gt;"",$E1800&gt;0),isLaptopBag($C1800,$J1800)*$D1800,"")</f>
        <v/>
      </c>
      <c r="Z1800" s="70" t="str">
        <f t="shared" si="611"/>
        <v/>
      </c>
      <c r="AA1800" s="70" t="str">
        <f t="shared" si="612"/>
        <v/>
      </c>
      <c r="AB1800" s="70" t="str">
        <f t="shared" si="613"/>
        <v/>
      </c>
      <c r="AC1800" s="70" t="str">
        <f t="shared" si="614"/>
        <v/>
      </c>
      <c r="AD1800" s="70" t="str">
        <f t="shared" si="615"/>
        <v/>
      </c>
      <c r="AE1800" s="70" t="str">
        <f t="shared" si="616"/>
        <v/>
      </c>
      <c r="AF1800" s="16"/>
      <c r="AG1800" s="23"/>
      <c r="AH1800" s="22"/>
      <c r="AJ1800" s="83">
        <f t="shared" si="617"/>
        <v>0</v>
      </c>
      <c r="AO1800" s="22" t="str">
        <f t="shared" si="618"/>
        <v/>
      </c>
      <c r="AP1800" s="22" t="str">
        <f t="shared" si="619"/>
        <v/>
      </c>
    </row>
    <row r="1801" spans="1:42" x14ac:dyDescent="0.25">
      <c r="A1801" s="10"/>
      <c r="B1801" s="10"/>
      <c r="C1801" s="10"/>
      <c r="D1801" s="10"/>
      <c r="E1801" s="10"/>
      <c r="F1801" s="10"/>
      <c r="G1801" s="10"/>
      <c r="H1801" s="17"/>
      <c r="I1801" s="10"/>
      <c r="J1801" s="10"/>
      <c r="K1801" s="16" t="str">
        <f t="shared" si="598"/>
        <v/>
      </c>
      <c r="L1801" s="23" t="str">
        <f t="shared" si="599"/>
        <v/>
      </c>
      <c r="M1801" s="22" t="str">
        <f t="shared" si="600"/>
        <v/>
      </c>
      <c r="N1801" s="72"/>
      <c r="O1801" s="16" t="str">
        <f t="shared" si="601"/>
        <v/>
      </c>
      <c r="P1801" s="16" t="str">
        <f t="shared" si="602"/>
        <v/>
      </c>
      <c r="Q1801" s="16" t="str">
        <f t="shared" si="603"/>
        <v/>
      </c>
      <c r="R1801" s="23" t="str">
        <f t="shared" si="604"/>
        <v/>
      </c>
      <c r="S1801" s="23" t="str">
        <f t="shared" si="605"/>
        <v/>
      </c>
      <c r="T1801" s="23" t="str">
        <f t="shared" si="606"/>
        <v/>
      </c>
      <c r="U1801" s="23" t="str">
        <f t="shared" si="607"/>
        <v/>
      </c>
      <c r="V1801" s="23" t="str">
        <f t="shared" si="608"/>
        <v/>
      </c>
      <c r="W1801" s="70" t="str">
        <f t="shared" si="609"/>
        <v/>
      </c>
      <c r="X1801" s="70" t="str">
        <f t="shared" si="610"/>
        <v/>
      </c>
      <c r="Y1801" s="70" t="str">
        <f>IF(AND($A1801&lt;&gt;"",$E1801&gt;0),isLaptopBag($C1801,$J1801)*$D1801,"")</f>
        <v/>
      </c>
      <c r="Z1801" s="70" t="str">
        <f t="shared" si="611"/>
        <v/>
      </c>
      <c r="AA1801" s="70" t="str">
        <f t="shared" si="612"/>
        <v/>
      </c>
      <c r="AB1801" s="70" t="str">
        <f t="shared" si="613"/>
        <v/>
      </c>
      <c r="AC1801" s="70" t="str">
        <f t="shared" si="614"/>
        <v/>
      </c>
      <c r="AD1801" s="70" t="str">
        <f t="shared" si="615"/>
        <v/>
      </c>
      <c r="AE1801" s="70" t="str">
        <f t="shared" si="616"/>
        <v/>
      </c>
      <c r="AF1801" s="16"/>
      <c r="AG1801" s="23"/>
      <c r="AH1801" s="22"/>
      <c r="AJ1801" s="83">
        <f t="shared" si="617"/>
        <v>0</v>
      </c>
      <c r="AO1801" s="22" t="str">
        <f t="shared" si="618"/>
        <v/>
      </c>
      <c r="AP1801" s="22" t="str">
        <f t="shared" si="619"/>
        <v/>
      </c>
    </row>
    <row r="1802" spans="1:42" x14ac:dyDescent="0.25">
      <c r="A1802" s="10"/>
      <c r="B1802" s="10"/>
      <c r="C1802" s="10"/>
      <c r="D1802" s="10"/>
      <c r="E1802" s="10"/>
      <c r="F1802" s="10"/>
      <c r="G1802" s="10"/>
      <c r="H1802" s="17"/>
      <c r="I1802" s="10"/>
      <c r="J1802" s="10"/>
      <c r="K1802" s="16" t="str">
        <f t="shared" si="598"/>
        <v/>
      </c>
      <c r="L1802" s="23" t="str">
        <f t="shared" si="599"/>
        <v/>
      </c>
      <c r="M1802" s="22" t="str">
        <f t="shared" si="600"/>
        <v/>
      </c>
      <c r="N1802" s="72"/>
      <c r="O1802" s="16" t="str">
        <f t="shared" si="601"/>
        <v/>
      </c>
      <c r="P1802" s="16" t="str">
        <f t="shared" si="602"/>
        <v/>
      </c>
      <c r="Q1802" s="16" t="str">
        <f t="shared" si="603"/>
        <v/>
      </c>
      <c r="R1802" s="23" t="str">
        <f t="shared" si="604"/>
        <v/>
      </c>
      <c r="S1802" s="23" t="str">
        <f t="shared" si="605"/>
        <v/>
      </c>
      <c r="T1802" s="23" t="str">
        <f t="shared" si="606"/>
        <v/>
      </c>
      <c r="U1802" s="23" t="str">
        <f t="shared" si="607"/>
        <v/>
      </c>
      <c r="V1802" s="23" t="str">
        <f t="shared" si="608"/>
        <v/>
      </c>
      <c r="W1802" s="70" t="str">
        <f t="shared" si="609"/>
        <v/>
      </c>
      <c r="X1802" s="70" t="str">
        <f t="shared" si="610"/>
        <v/>
      </c>
      <c r="Y1802" s="70" t="str">
        <f>IF(AND($A1802&lt;&gt;"",$E1802&gt;0),isLaptopBag($C1802,$J1802)*$D1802,"")</f>
        <v/>
      </c>
      <c r="Z1802" s="70" t="str">
        <f t="shared" si="611"/>
        <v/>
      </c>
      <c r="AA1802" s="70" t="str">
        <f t="shared" si="612"/>
        <v/>
      </c>
      <c r="AB1802" s="70" t="str">
        <f t="shared" si="613"/>
        <v/>
      </c>
      <c r="AC1802" s="70" t="str">
        <f t="shared" si="614"/>
        <v/>
      </c>
      <c r="AD1802" s="70" t="str">
        <f t="shared" si="615"/>
        <v/>
      </c>
      <c r="AE1802" s="70" t="str">
        <f t="shared" si="616"/>
        <v/>
      </c>
      <c r="AF1802" s="16"/>
      <c r="AG1802" s="23"/>
      <c r="AH1802" s="22"/>
      <c r="AJ1802" s="83">
        <f t="shared" si="617"/>
        <v>0</v>
      </c>
      <c r="AO1802" s="22" t="str">
        <f t="shared" si="618"/>
        <v/>
      </c>
      <c r="AP1802" s="22" t="str">
        <f t="shared" si="619"/>
        <v/>
      </c>
    </row>
    <row r="1803" spans="1:42" x14ac:dyDescent="0.25">
      <c r="A1803" s="10"/>
      <c r="B1803" s="10"/>
      <c r="C1803" s="10"/>
      <c r="D1803" s="10"/>
      <c r="E1803" s="10"/>
      <c r="F1803" s="10"/>
      <c r="G1803" s="10"/>
      <c r="H1803" s="17"/>
      <c r="I1803" s="10"/>
      <c r="J1803" s="10"/>
      <c r="K1803" s="16" t="str">
        <f t="shared" si="598"/>
        <v/>
      </c>
      <c r="L1803" s="23" t="str">
        <f t="shared" si="599"/>
        <v/>
      </c>
      <c r="M1803" s="22" t="str">
        <f t="shared" si="600"/>
        <v/>
      </c>
      <c r="N1803" s="72"/>
      <c r="O1803" s="16" t="str">
        <f t="shared" si="601"/>
        <v/>
      </c>
      <c r="P1803" s="16" t="str">
        <f t="shared" si="602"/>
        <v/>
      </c>
      <c r="Q1803" s="16" t="str">
        <f t="shared" si="603"/>
        <v/>
      </c>
      <c r="R1803" s="23" t="str">
        <f t="shared" si="604"/>
        <v/>
      </c>
      <c r="S1803" s="23" t="str">
        <f t="shared" si="605"/>
        <v/>
      </c>
      <c r="T1803" s="23" t="str">
        <f t="shared" si="606"/>
        <v/>
      </c>
      <c r="U1803" s="23" t="str">
        <f t="shared" si="607"/>
        <v/>
      </c>
      <c r="V1803" s="23" t="str">
        <f t="shared" si="608"/>
        <v/>
      </c>
      <c r="W1803" s="70" t="str">
        <f t="shared" si="609"/>
        <v/>
      </c>
      <c r="X1803" s="70" t="str">
        <f t="shared" si="610"/>
        <v/>
      </c>
      <c r="Y1803" s="70" t="str">
        <f>IF(AND($A1803&lt;&gt;"",$E1803&gt;0),isLaptopBag($C1803,$J1803)*$D1803,"")</f>
        <v/>
      </c>
      <c r="Z1803" s="70" t="str">
        <f t="shared" si="611"/>
        <v/>
      </c>
      <c r="AA1803" s="70" t="str">
        <f t="shared" si="612"/>
        <v/>
      </c>
      <c r="AB1803" s="70" t="str">
        <f t="shared" si="613"/>
        <v/>
      </c>
      <c r="AC1803" s="70" t="str">
        <f t="shared" si="614"/>
        <v/>
      </c>
      <c r="AD1803" s="70" t="str">
        <f t="shared" si="615"/>
        <v/>
      </c>
      <c r="AE1803" s="70" t="str">
        <f t="shared" si="616"/>
        <v/>
      </c>
      <c r="AF1803" s="16"/>
      <c r="AG1803" s="23"/>
      <c r="AH1803" s="22"/>
      <c r="AJ1803" s="83">
        <f t="shared" si="617"/>
        <v>0</v>
      </c>
      <c r="AO1803" s="22" t="str">
        <f t="shared" si="618"/>
        <v/>
      </c>
      <c r="AP1803" s="22" t="str">
        <f t="shared" si="619"/>
        <v/>
      </c>
    </row>
    <row r="1804" spans="1:42" x14ac:dyDescent="0.25">
      <c r="A1804" s="10"/>
      <c r="B1804" s="10"/>
      <c r="C1804" s="10"/>
      <c r="D1804" s="10"/>
      <c r="E1804" s="10"/>
      <c r="F1804" s="10"/>
      <c r="G1804" s="10"/>
      <c r="H1804" s="17"/>
      <c r="I1804" s="10"/>
      <c r="J1804" s="10"/>
      <c r="K1804" s="16" t="str">
        <f t="shared" si="598"/>
        <v/>
      </c>
      <c r="L1804" s="23" t="str">
        <f t="shared" si="599"/>
        <v/>
      </c>
      <c r="M1804" s="22" t="str">
        <f t="shared" si="600"/>
        <v/>
      </c>
      <c r="N1804" s="72"/>
      <c r="O1804" s="16" t="str">
        <f t="shared" si="601"/>
        <v/>
      </c>
      <c r="P1804" s="16" t="str">
        <f t="shared" si="602"/>
        <v/>
      </c>
      <c r="Q1804" s="16" t="str">
        <f t="shared" si="603"/>
        <v/>
      </c>
      <c r="R1804" s="23" t="str">
        <f t="shared" si="604"/>
        <v/>
      </c>
      <c r="S1804" s="23" t="str">
        <f t="shared" si="605"/>
        <v/>
      </c>
      <c r="T1804" s="23" t="str">
        <f t="shared" si="606"/>
        <v/>
      </c>
      <c r="U1804" s="23" t="str">
        <f t="shared" si="607"/>
        <v/>
      </c>
      <c r="V1804" s="23" t="str">
        <f t="shared" si="608"/>
        <v/>
      </c>
      <c r="W1804" s="70" t="str">
        <f t="shared" si="609"/>
        <v/>
      </c>
      <c r="X1804" s="70" t="str">
        <f t="shared" si="610"/>
        <v/>
      </c>
      <c r="Y1804" s="70" t="str">
        <f>IF(AND($A1804&lt;&gt;"",$E1804&gt;0),isLaptopBag($C1804,$J1804)*$D1804,"")</f>
        <v/>
      </c>
      <c r="Z1804" s="70" t="str">
        <f t="shared" si="611"/>
        <v/>
      </c>
      <c r="AA1804" s="70" t="str">
        <f t="shared" si="612"/>
        <v/>
      </c>
      <c r="AB1804" s="70" t="str">
        <f t="shared" si="613"/>
        <v/>
      </c>
      <c r="AC1804" s="70" t="str">
        <f t="shared" si="614"/>
        <v/>
      </c>
      <c r="AD1804" s="70" t="str">
        <f t="shared" si="615"/>
        <v/>
      </c>
      <c r="AE1804" s="70" t="str">
        <f t="shared" si="616"/>
        <v/>
      </c>
      <c r="AF1804" s="16"/>
      <c r="AG1804" s="23"/>
      <c r="AH1804" s="22"/>
      <c r="AJ1804" s="83">
        <f t="shared" si="617"/>
        <v>0</v>
      </c>
      <c r="AO1804" s="22" t="str">
        <f t="shared" si="618"/>
        <v/>
      </c>
      <c r="AP1804" s="22" t="str">
        <f t="shared" si="619"/>
        <v/>
      </c>
    </row>
    <row r="1805" spans="1:42" x14ac:dyDescent="0.25">
      <c r="A1805" s="10"/>
      <c r="B1805" s="10"/>
      <c r="C1805" s="10"/>
      <c r="D1805" s="10"/>
      <c r="E1805" s="10"/>
      <c r="F1805" s="10"/>
      <c r="G1805" s="10"/>
      <c r="H1805" s="17"/>
      <c r="I1805" s="10"/>
      <c r="J1805" s="10"/>
      <c r="K1805" s="16" t="str">
        <f t="shared" ref="K1805:K1868" si="620">IF($AF1805&lt;&gt;"",$AF1805,IF(AND($A1805&lt;&gt;"",$E1805&gt;0),SUM($O1805:$Q1805),""))</f>
        <v/>
      </c>
      <c r="L1805" s="23" t="str">
        <f t="shared" ref="L1805:L1868" si="621">IF($AG1805&lt;&gt;"",$AG1805,IF(AND($A1805&lt;&gt;"",$E1805&gt;0),SUM($R1805:$V1805),""))</f>
        <v/>
      </c>
      <c r="M1805" s="22" t="str">
        <f t="shared" ref="M1805:M1868" si="622">IF($AH1805&lt;&gt;"",$AH1805,IF(AND($A1805&lt;&gt;"",$E1805&gt;0),SUM($W1805:$AE1805)+$AO1805+$AP1805,""))</f>
        <v/>
      </c>
      <c r="N1805" s="72"/>
      <c r="O1805" s="16" t="str">
        <f t="shared" ref="O1805:O1868" si="623">IF(AND($A1805&lt;&gt;"",$E1805&gt;0),IF(AND($J1805="SONY",200000&lt;=$E1805,$E1805&lt;1000000),5000*$D1805,0),"")</f>
        <v/>
      </c>
      <c r="P1805" s="16" t="str">
        <f t="shared" ref="P1805:P1868" si="624">IF(AND($A1805&lt;&gt;"",$E1805&gt;0),IF(AND($J1805="SONY",1000000&lt;=$E1805,$E1805&lt;2000000),10000*$D1805,0),"")</f>
        <v/>
      </c>
      <c r="Q1805" s="16" t="str">
        <f t="shared" ref="Q1805:Q1868" si="625">IF(AND($A1805&lt;&gt;"",$E1805&gt;0),IF(AND($J1805="SONY",$E1805&gt;=2000000),20000*$D1805,0),"")</f>
        <v/>
      </c>
      <c r="R1805" s="23" t="str">
        <f t="shared" ref="R1805:R1868" si="626">IF(AND($A1805&lt;&gt;"",$E1805&gt;0),IF(AND($J1805&lt;&gt;"SONY",100000&lt;=$E1805,$E1805&lt;200000),5000*$D1805,0),"")</f>
        <v/>
      </c>
      <c r="S1805" s="23" t="str">
        <f t="shared" ref="S1805:S1868" si="627">IF(AND($A1805&lt;&gt;"",$E1805&gt;0),IF(AND($J1805&lt;&gt;"SONY",200000&lt;=$E1805,$E1805&lt;500000),10000*$D1805,0),"")</f>
        <v/>
      </c>
      <c r="T1805" s="23" t="str">
        <f t="shared" ref="T1805:T1868" si="628">IF(AND($A1805&lt;&gt;"",$E1805&gt;0),IF(AND($J1805&lt;&gt;"SONY",500000&lt;=$E1805,$E1805&lt;1000000),20000*$D1805,0),"")</f>
        <v/>
      </c>
      <c r="U1805" s="23" t="str">
        <f t="shared" ref="U1805:U1868" si="629">IF(AND($A1805&lt;&gt;"",$E1805&gt;0),IF(AND($J1805&lt;&gt;"SONY",1000000&lt;=$E1805,$E1805&lt;1500000),50000*$D1805,0),"")</f>
        <v/>
      </c>
      <c r="V1805" s="23" t="str">
        <f t="shared" ref="V1805:V1868" si="630">IF(AND($A1805&lt;&gt;"",$E1805&gt;0),IF(AND($J1805&lt;&gt;"SONY",1500000&lt;=$E1805),100000*$D1805,0),"")</f>
        <v/>
      </c>
      <c r="W1805" s="70" t="str">
        <f t="shared" ref="W1805:W1868" si="631">IF(AND($E1805&gt;0,$J1805="ELECOM",$E1805&gt;=500000,ISNUMBER(SEARCH("tai nghe",$C1805))),20000*$D1805,IF($A1805&lt;&gt;"",0,""))</f>
        <v/>
      </c>
      <c r="X1805" s="70" t="str">
        <f t="shared" ref="X1805:X1868" si="632">IF(AND($E1805&gt;0,$J1805="ELECOM",ISNUMBER(SEARCH("loa",$C1805))),20000*$D1805,IF($A1805&lt;&gt;"",0,""))</f>
        <v/>
      </c>
      <c r="Y1805" s="70" t="str">
        <f>IF(AND($A1805&lt;&gt;"",$E1805&gt;0),isLaptopBag($C1805,$J1805)*$D1805,"")</f>
        <v/>
      </c>
      <c r="Z1805" s="70" t="str">
        <f t="shared" ref="Z1805:Z1868" si="633">IF(AND($E1805&gt;0,$J1805="ELECOM",ISNUMBER(SEARCH("ốp",$C1805))),20000*$D1805,IF($A1805&lt;&gt;"",0,""))</f>
        <v/>
      </c>
      <c r="AA1805" s="70" t="str">
        <f t="shared" ref="AA1805:AA1868" si="634">IF(AND($E1805&gt;0,$J1805="ELECOM",ISNUMBER(SEARCH("Bút",$C1805))),20000*$D1805,IF($A1805&lt;&gt;"",0,""))</f>
        <v/>
      </c>
      <c r="AB1805" s="70" t="str">
        <f t="shared" ref="AB1805:AB1868" si="635">IF(AND($E1805&gt;0,$J1805="ELECOM",ISNUMBER(SEARCH("Chuột bi",$C1805))),20000*$D1805,IF($A1805&lt;&gt;"",0,""))</f>
        <v/>
      </c>
      <c r="AC1805" s="70" t="str">
        <f t="shared" ref="AC1805:AC1868" si="636">IF(AND($E1805&gt;0,$J1805="ELECOM",ISNUMBER(SEARCH("Chuột trackball",$C1805))),20000*$D1805,IF($A1805&lt;&gt;"",0,""))</f>
        <v/>
      </c>
      <c r="AD1805" s="70" t="str">
        <f t="shared" ref="AD1805:AD1868" si="637">IF(AND($E1805&gt;0,$J1805="ELECOM",ISNUMBER(SEARCH("Sạc không dây",$C1805))),20000*$D1805,IF($A1805&lt;&gt;"",0,""))</f>
        <v/>
      </c>
      <c r="AE1805" s="70" t="str">
        <f t="shared" ref="AE1805:AE1868" si="638">IF(AND($E1805&gt;0,$J1805="ELECOM",ISNUMBER(SEARCH("Sạc kd",$C1805))),20000*$D1805,IF($A1805&lt;&gt;"",0,""))</f>
        <v/>
      </c>
      <c r="AF1805" s="16"/>
      <c r="AG1805" s="23"/>
      <c r="AH1805" s="22"/>
      <c r="AJ1805" s="83">
        <f t="shared" ref="AJ1805:AJ1868" si="639">DAY(H1805)</f>
        <v>0</v>
      </c>
      <c r="AO1805" s="22" t="str">
        <f t="shared" ref="AO1805:AO1868" si="640">IF(AND($E1805&gt;0,ISNUMBER(SEARCH("Sạc dự phòng Energizer",$C1805))),10000*$D1805,IF($A1805&lt;&gt;"",0,""))</f>
        <v/>
      </c>
      <c r="AP1805" s="22" t="str">
        <f t="shared" ref="AP1805:AP1868" si="641">IF(AND($E1805&gt;0,ISNUMBER(SEARCH("SDP Energizer",$C1805))),10000*$D1805,IF($A1805&lt;&gt;"",0,""))</f>
        <v/>
      </c>
    </row>
    <row r="1806" spans="1:42" x14ac:dyDescent="0.25">
      <c r="A1806" s="10"/>
      <c r="B1806" s="10"/>
      <c r="C1806" s="10"/>
      <c r="D1806" s="10"/>
      <c r="E1806" s="10"/>
      <c r="F1806" s="10"/>
      <c r="G1806" s="10"/>
      <c r="H1806" s="17"/>
      <c r="I1806" s="10"/>
      <c r="J1806" s="10"/>
      <c r="K1806" s="16" t="str">
        <f t="shared" si="620"/>
        <v/>
      </c>
      <c r="L1806" s="23" t="str">
        <f t="shared" si="621"/>
        <v/>
      </c>
      <c r="M1806" s="22" t="str">
        <f t="shared" si="622"/>
        <v/>
      </c>
      <c r="N1806" s="72"/>
      <c r="O1806" s="16" t="str">
        <f t="shared" si="623"/>
        <v/>
      </c>
      <c r="P1806" s="16" t="str">
        <f t="shared" si="624"/>
        <v/>
      </c>
      <c r="Q1806" s="16" t="str">
        <f t="shared" si="625"/>
        <v/>
      </c>
      <c r="R1806" s="23" t="str">
        <f t="shared" si="626"/>
        <v/>
      </c>
      <c r="S1806" s="23" t="str">
        <f t="shared" si="627"/>
        <v/>
      </c>
      <c r="T1806" s="23" t="str">
        <f t="shared" si="628"/>
        <v/>
      </c>
      <c r="U1806" s="23" t="str">
        <f t="shared" si="629"/>
        <v/>
      </c>
      <c r="V1806" s="23" t="str">
        <f t="shared" si="630"/>
        <v/>
      </c>
      <c r="W1806" s="70" t="str">
        <f t="shared" si="631"/>
        <v/>
      </c>
      <c r="X1806" s="70" t="str">
        <f t="shared" si="632"/>
        <v/>
      </c>
      <c r="Y1806" s="70" t="str">
        <f>IF(AND($A1806&lt;&gt;"",$E1806&gt;0),isLaptopBag($C1806,$J1806)*$D1806,"")</f>
        <v/>
      </c>
      <c r="Z1806" s="70" t="str">
        <f t="shared" si="633"/>
        <v/>
      </c>
      <c r="AA1806" s="70" t="str">
        <f t="shared" si="634"/>
        <v/>
      </c>
      <c r="AB1806" s="70" t="str">
        <f t="shared" si="635"/>
        <v/>
      </c>
      <c r="AC1806" s="70" t="str">
        <f t="shared" si="636"/>
        <v/>
      </c>
      <c r="AD1806" s="70" t="str">
        <f t="shared" si="637"/>
        <v/>
      </c>
      <c r="AE1806" s="70" t="str">
        <f t="shared" si="638"/>
        <v/>
      </c>
      <c r="AF1806" s="16"/>
      <c r="AG1806" s="23"/>
      <c r="AH1806" s="22"/>
      <c r="AJ1806" s="83">
        <f t="shared" si="639"/>
        <v>0</v>
      </c>
      <c r="AO1806" s="22" t="str">
        <f t="shared" si="640"/>
        <v/>
      </c>
      <c r="AP1806" s="22" t="str">
        <f t="shared" si="641"/>
        <v/>
      </c>
    </row>
    <row r="1807" spans="1:42" x14ac:dyDescent="0.25">
      <c r="A1807" s="10"/>
      <c r="B1807" s="10"/>
      <c r="C1807" s="10"/>
      <c r="D1807" s="10"/>
      <c r="E1807" s="10"/>
      <c r="F1807" s="10"/>
      <c r="G1807" s="10"/>
      <c r="H1807" s="17"/>
      <c r="I1807" s="10"/>
      <c r="J1807" s="10"/>
      <c r="K1807" s="16" t="str">
        <f t="shared" si="620"/>
        <v/>
      </c>
      <c r="L1807" s="23" t="str">
        <f t="shared" si="621"/>
        <v/>
      </c>
      <c r="M1807" s="22" t="str">
        <f t="shared" si="622"/>
        <v/>
      </c>
      <c r="N1807" s="72"/>
      <c r="O1807" s="16" t="str">
        <f t="shared" si="623"/>
        <v/>
      </c>
      <c r="P1807" s="16" t="str">
        <f t="shared" si="624"/>
        <v/>
      </c>
      <c r="Q1807" s="16" t="str">
        <f t="shared" si="625"/>
        <v/>
      </c>
      <c r="R1807" s="23" t="str">
        <f t="shared" si="626"/>
        <v/>
      </c>
      <c r="S1807" s="23" t="str">
        <f t="shared" si="627"/>
        <v/>
      </c>
      <c r="T1807" s="23" t="str">
        <f t="shared" si="628"/>
        <v/>
      </c>
      <c r="U1807" s="23" t="str">
        <f t="shared" si="629"/>
        <v/>
      </c>
      <c r="V1807" s="23" t="str">
        <f t="shared" si="630"/>
        <v/>
      </c>
      <c r="W1807" s="70" t="str">
        <f t="shared" si="631"/>
        <v/>
      </c>
      <c r="X1807" s="70" t="str">
        <f t="shared" si="632"/>
        <v/>
      </c>
      <c r="Y1807" s="70" t="str">
        <f>IF(AND($A1807&lt;&gt;"",$E1807&gt;0),isLaptopBag($C1807,$J1807)*$D1807,"")</f>
        <v/>
      </c>
      <c r="Z1807" s="70" t="str">
        <f t="shared" si="633"/>
        <v/>
      </c>
      <c r="AA1807" s="70" t="str">
        <f t="shared" si="634"/>
        <v/>
      </c>
      <c r="AB1807" s="70" t="str">
        <f t="shared" si="635"/>
        <v/>
      </c>
      <c r="AC1807" s="70" t="str">
        <f t="shared" si="636"/>
        <v/>
      </c>
      <c r="AD1807" s="70" t="str">
        <f t="shared" si="637"/>
        <v/>
      </c>
      <c r="AE1807" s="70" t="str">
        <f t="shared" si="638"/>
        <v/>
      </c>
      <c r="AF1807" s="16"/>
      <c r="AG1807" s="23"/>
      <c r="AH1807" s="22"/>
      <c r="AJ1807" s="83">
        <f t="shared" si="639"/>
        <v>0</v>
      </c>
      <c r="AO1807" s="22" t="str">
        <f t="shared" si="640"/>
        <v/>
      </c>
      <c r="AP1807" s="22" t="str">
        <f t="shared" si="641"/>
        <v/>
      </c>
    </row>
    <row r="1808" spans="1:42" x14ac:dyDescent="0.25">
      <c r="A1808" s="10"/>
      <c r="B1808" s="10"/>
      <c r="C1808" s="10"/>
      <c r="D1808" s="10"/>
      <c r="E1808" s="10"/>
      <c r="F1808" s="10"/>
      <c r="G1808" s="10"/>
      <c r="H1808" s="17"/>
      <c r="I1808" s="10"/>
      <c r="J1808" s="10"/>
      <c r="K1808" s="16" t="str">
        <f t="shared" si="620"/>
        <v/>
      </c>
      <c r="L1808" s="23" t="str">
        <f t="shared" si="621"/>
        <v/>
      </c>
      <c r="M1808" s="22" t="str">
        <f t="shared" si="622"/>
        <v/>
      </c>
      <c r="N1808" s="72"/>
      <c r="O1808" s="16" t="str">
        <f t="shared" si="623"/>
        <v/>
      </c>
      <c r="P1808" s="16" t="str">
        <f t="shared" si="624"/>
        <v/>
      </c>
      <c r="Q1808" s="16" t="str">
        <f t="shared" si="625"/>
        <v/>
      </c>
      <c r="R1808" s="23" t="str">
        <f t="shared" si="626"/>
        <v/>
      </c>
      <c r="S1808" s="23" t="str">
        <f t="shared" si="627"/>
        <v/>
      </c>
      <c r="T1808" s="23" t="str">
        <f t="shared" si="628"/>
        <v/>
      </c>
      <c r="U1808" s="23" t="str">
        <f t="shared" si="629"/>
        <v/>
      </c>
      <c r="V1808" s="23" t="str">
        <f t="shared" si="630"/>
        <v/>
      </c>
      <c r="W1808" s="70" t="str">
        <f t="shared" si="631"/>
        <v/>
      </c>
      <c r="X1808" s="70" t="str">
        <f t="shared" si="632"/>
        <v/>
      </c>
      <c r="Y1808" s="70" t="str">
        <f>IF(AND($A1808&lt;&gt;"",$E1808&gt;0),isLaptopBag($C1808,$J1808)*$D1808,"")</f>
        <v/>
      </c>
      <c r="Z1808" s="70" t="str">
        <f t="shared" si="633"/>
        <v/>
      </c>
      <c r="AA1808" s="70" t="str">
        <f t="shared" si="634"/>
        <v/>
      </c>
      <c r="AB1808" s="70" t="str">
        <f t="shared" si="635"/>
        <v/>
      </c>
      <c r="AC1808" s="70" t="str">
        <f t="shared" si="636"/>
        <v/>
      </c>
      <c r="AD1808" s="70" t="str">
        <f t="shared" si="637"/>
        <v/>
      </c>
      <c r="AE1808" s="70" t="str">
        <f t="shared" si="638"/>
        <v/>
      </c>
      <c r="AF1808" s="16"/>
      <c r="AG1808" s="23"/>
      <c r="AH1808" s="22"/>
      <c r="AJ1808" s="83">
        <f t="shared" si="639"/>
        <v>0</v>
      </c>
      <c r="AO1808" s="22" t="str">
        <f t="shared" si="640"/>
        <v/>
      </c>
      <c r="AP1808" s="22" t="str">
        <f t="shared" si="641"/>
        <v/>
      </c>
    </row>
    <row r="1809" spans="1:42" x14ac:dyDescent="0.25">
      <c r="A1809" s="10"/>
      <c r="B1809" s="10"/>
      <c r="C1809" s="10"/>
      <c r="D1809" s="10"/>
      <c r="E1809" s="10"/>
      <c r="F1809" s="10"/>
      <c r="G1809" s="10"/>
      <c r="H1809" s="17"/>
      <c r="I1809" s="10"/>
      <c r="J1809" s="10"/>
      <c r="K1809" s="16" t="str">
        <f t="shared" si="620"/>
        <v/>
      </c>
      <c r="L1809" s="23" t="str">
        <f t="shared" si="621"/>
        <v/>
      </c>
      <c r="M1809" s="22" t="str">
        <f t="shared" si="622"/>
        <v/>
      </c>
      <c r="N1809" s="72"/>
      <c r="O1809" s="16" t="str">
        <f t="shared" si="623"/>
        <v/>
      </c>
      <c r="P1809" s="16" t="str">
        <f t="shared" si="624"/>
        <v/>
      </c>
      <c r="Q1809" s="16" t="str">
        <f t="shared" si="625"/>
        <v/>
      </c>
      <c r="R1809" s="23" t="str">
        <f t="shared" si="626"/>
        <v/>
      </c>
      <c r="S1809" s="23" t="str">
        <f t="shared" si="627"/>
        <v/>
      </c>
      <c r="T1809" s="23" t="str">
        <f t="shared" si="628"/>
        <v/>
      </c>
      <c r="U1809" s="23" t="str">
        <f t="shared" si="629"/>
        <v/>
      </c>
      <c r="V1809" s="23" t="str">
        <f t="shared" si="630"/>
        <v/>
      </c>
      <c r="W1809" s="70" t="str">
        <f t="shared" si="631"/>
        <v/>
      </c>
      <c r="X1809" s="70" t="str">
        <f t="shared" si="632"/>
        <v/>
      </c>
      <c r="Y1809" s="70" t="str">
        <f>IF(AND($A1809&lt;&gt;"",$E1809&gt;0),isLaptopBag($C1809,$J1809)*$D1809,"")</f>
        <v/>
      </c>
      <c r="Z1809" s="70" t="str">
        <f t="shared" si="633"/>
        <v/>
      </c>
      <c r="AA1809" s="70" t="str">
        <f t="shared" si="634"/>
        <v/>
      </c>
      <c r="AB1809" s="70" t="str">
        <f t="shared" si="635"/>
        <v/>
      </c>
      <c r="AC1809" s="70" t="str">
        <f t="shared" si="636"/>
        <v/>
      </c>
      <c r="AD1809" s="70" t="str">
        <f t="shared" si="637"/>
        <v/>
      </c>
      <c r="AE1809" s="70" t="str">
        <f t="shared" si="638"/>
        <v/>
      </c>
      <c r="AF1809" s="16"/>
      <c r="AG1809" s="23"/>
      <c r="AH1809" s="22"/>
      <c r="AJ1809" s="83">
        <f t="shared" si="639"/>
        <v>0</v>
      </c>
      <c r="AO1809" s="22" t="str">
        <f t="shared" si="640"/>
        <v/>
      </c>
      <c r="AP1809" s="22" t="str">
        <f t="shared" si="641"/>
        <v/>
      </c>
    </row>
    <row r="1810" spans="1:42" x14ac:dyDescent="0.25">
      <c r="A1810" s="10"/>
      <c r="B1810" s="10"/>
      <c r="C1810" s="10"/>
      <c r="D1810" s="10"/>
      <c r="E1810" s="10"/>
      <c r="F1810" s="10"/>
      <c r="G1810" s="10"/>
      <c r="H1810" s="17"/>
      <c r="I1810" s="10"/>
      <c r="J1810" s="10"/>
      <c r="K1810" s="16" t="str">
        <f t="shared" si="620"/>
        <v/>
      </c>
      <c r="L1810" s="23" t="str">
        <f t="shared" si="621"/>
        <v/>
      </c>
      <c r="M1810" s="22" t="str">
        <f t="shared" si="622"/>
        <v/>
      </c>
      <c r="N1810" s="72"/>
      <c r="O1810" s="16" t="str">
        <f t="shared" si="623"/>
        <v/>
      </c>
      <c r="P1810" s="16" t="str">
        <f t="shared" si="624"/>
        <v/>
      </c>
      <c r="Q1810" s="16" t="str">
        <f t="shared" si="625"/>
        <v/>
      </c>
      <c r="R1810" s="23" t="str">
        <f t="shared" si="626"/>
        <v/>
      </c>
      <c r="S1810" s="23" t="str">
        <f t="shared" si="627"/>
        <v/>
      </c>
      <c r="T1810" s="23" t="str">
        <f t="shared" si="628"/>
        <v/>
      </c>
      <c r="U1810" s="23" t="str">
        <f t="shared" si="629"/>
        <v/>
      </c>
      <c r="V1810" s="23" t="str">
        <f t="shared" si="630"/>
        <v/>
      </c>
      <c r="W1810" s="70" t="str">
        <f t="shared" si="631"/>
        <v/>
      </c>
      <c r="X1810" s="70" t="str">
        <f t="shared" si="632"/>
        <v/>
      </c>
      <c r="Y1810" s="70" t="str">
        <f>IF(AND($A1810&lt;&gt;"",$E1810&gt;0),isLaptopBag($C1810,$J1810)*$D1810,"")</f>
        <v/>
      </c>
      <c r="Z1810" s="70" t="str">
        <f t="shared" si="633"/>
        <v/>
      </c>
      <c r="AA1810" s="70" t="str">
        <f t="shared" si="634"/>
        <v/>
      </c>
      <c r="AB1810" s="70" t="str">
        <f t="shared" si="635"/>
        <v/>
      </c>
      <c r="AC1810" s="70" t="str">
        <f t="shared" si="636"/>
        <v/>
      </c>
      <c r="AD1810" s="70" t="str">
        <f t="shared" si="637"/>
        <v/>
      </c>
      <c r="AE1810" s="70" t="str">
        <f t="shared" si="638"/>
        <v/>
      </c>
      <c r="AF1810" s="16"/>
      <c r="AG1810" s="23"/>
      <c r="AH1810" s="22"/>
      <c r="AJ1810" s="83">
        <f t="shared" si="639"/>
        <v>0</v>
      </c>
      <c r="AO1810" s="22" t="str">
        <f t="shared" si="640"/>
        <v/>
      </c>
      <c r="AP1810" s="22" t="str">
        <f t="shared" si="641"/>
        <v/>
      </c>
    </row>
    <row r="1811" spans="1:42" x14ac:dyDescent="0.25">
      <c r="A1811" s="10"/>
      <c r="B1811" s="10"/>
      <c r="C1811" s="10"/>
      <c r="D1811" s="10"/>
      <c r="E1811" s="10"/>
      <c r="F1811" s="10"/>
      <c r="G1811" s="10"/>
      <c r="H1811" s="17"/>
      <c r="I1811" s="10"/>
      <c r="J1811" s="10"/>
      <c r="K1811" s="16" t="str">
        <f t="shared" si="620"/>
        <v/>
      </c>
      <c r="L1811" s="23" t="str">
        <f t="shared" si="621"/>
        <v/>
      </c>
      <c r="M1811" s="22" t="str">
        <f t="shared" si="622"/>
        <v/>
      </c>
      <c r="N1811" s="72"/>
      <c r="O1811" s="16" t="str">
        <f t="shared" si="623"/>
        <v/>
      </c>
      <c r="P1811" s="16" t="str">
        <f t="shared" si="624"/>
        <v/>
      </c>
      <c r="Q1811" s="16" t="str">
        <f t="shared" si="625"/>
        <v/>
      </c>
      <c r="R1811" s="23" t="str">
        <f t="shared" si="626"/>
        <v/>
      </c>
      <c r="S1811" s="23" t="str">
        <f t="shared" si="627"/>
        <v/>
      </c>
      <c r="T1811" s="23" t="str">
        <f t="shared" si="628"/>
        <v/>
      </c>
      <c r="U1811" s="23" t="str">
        <f t="shared" si="629"/>
        <v/>
      </c>
      <c r="V1811" s="23" t="str">
        <f t="shared" si="630"/>
        <v/>
      </c>
      <c r="W1811" s="70" t="str">
        <f t="shared" si="631"/>
        <v/>
      </c>
      <c r="X1811" s="70" t="str">
        <f t="shared" si="632"/>
        <v/>
      </c>
      <c r="Y1811" s="70" t="str">
        <f>IF(AND($A1811&lt;&gt;"",$E1811&gt;0),isLaptopBag($C1811,$J1811)*$D1811,"")</f>
        <v/>
      </c>
      <c r="Z1811" s="70" t="str">
        <f t="shared" si="633"/>
        <v/>
      </c>
      <c r="AA1811" s="70" t="str">
        <f t="shared" si="634"/>
        <v/>
      </c>
      <c r="AB1811" s="70" t="str">
        <f t="shared" si="635"/>
        <v/>
      </c>
      <c r="AC1811" s="70" t="str">
        <f t="shared" si="636"/>
        <v/>
      </c>
      <c r="AD1811" s="70" t="str">
        <f t="shared" si="637"/>
        <v/>
      </c>
      <c r="AE1811" s="70" t="str">
        <f t="shared" si="638"/>
        <v/>
      </c>
      <c r="AF1811" s="16"/>
      <c r="AG1811" s="23"/>
      <c r="AH1811" s="22"/>
      <c r="AJ1811" s="83">
        <f t="shared" si="639"/>
        <v>0</v>
      </c>
      <c r="AO1811" s="22" t="str">
        <f t="shared" si="640"/>
        <v/>
      </c>
      <c r="AP1811" s="22" t="str">
        <f t="shared" si="641"/>
        <v/>
      </c>
    </row>
    <row r="1812" spans="1:42" x14ac:dyDescent="0.25">
      <c r="A1812" s="10"/>
      <c r="B1812" s="10"/>
      <c r="C1812" s="10"/>
      <c r="D1812" s="10"/>
      <c r="E1812" s="10"/>
      <c r="F1812" s="10"/>
      <c r="G1812" s="10"/>
      <c r="H1812" s="17"/>
      <c r="I1812" s="10"/>
      <c r="J1812" s="10"/>
      <c r="K1812" s="16" t="str">
        <f t="shared" si="620"/>
        <v/>
      </c>
      <c r="L1812" s="23" t="str">
        <f t="shared" si="621"/>
        <v/>
      </c>
      <c r="M1812" s="22" t="str">
        <f t="shared" si="622"/>
        <v/>
      </c>
      <c r="N1812" s="72"/>
      <c r="O1812" s="16" t="str">
        <f t="shared" si="623"/>
        <v/>
      </c>
      <c r="P1812" s="16" t="str">
        <f t="shared" si="624"/>
        <v/>
      </c>
      <c r="Q1812" s="16" t="str">
        <f t="shared" si="625"/>
        <v/>
      </c>
      <c r="R1812" s="23" t="str">
        <f t="shared" si="626"/>
        <v/>
      </c>
      <c r="S1812" s="23" t="str">
        <f t="shared" si="627"/>
        <v/>
      </c>
      <c r="T1812" s="23" t="str">
        <f t="shared" si="628"/>
        <v/>
      </c>
      <c r="U1812" s="23" t="str">
        <f t="shared" si="629"/>
        <v/>
      </c>
      <c r="V1812" s="23" t="str">
        <f t="shared" si="630"/>
        <v/>
      </c>
      <c r="W1812" s="70" t="str">
        <f t="shared" si="631"/>
        <v/>
      </c>
      <c r="X1812" s="70" t="str">
        <f t="shared" si="632"/>
        <v/>
      </c>
      <c r="Y1812" s="70" t="str">
        <f>IF(AND($A1812&lt;&gt;"",$E1812&gt;0),isLaptopBag($C1812,$J1812)*$D1812,"")</f>
        <v/>
      </c>
      <c r="Z1812" s="70" t="str">
        <f t="shared" si="633"/>
        <v/>
      </c>
      <c r="AA1812" s="70" t="str">
        <f t="shared" si="634"/>
        <v/>
      </c>
      <c r="AB1812" s="70" t="str">
        <f t="shared" si="635"/>
        <v/>
      </c>
      <c r="AC1812" s="70" t="str">
        <f t="shared" si="636"/>
        <v/>
      </c>
      <c r="AD1812" s="70" t="str">
        <f t="shared" si="637"/>
        <v/>
      </c>
      <c r="AE1812" s="70" t="str">
        <f t="shared" si="638"/>
        <v/>
      </c>
      <c r="AF1812" s="16"/>
      <c r="AG1812" s="23"/>
      <c r="AH1812" s="22"/>
      <c r="AJ1812" s="83">
        <f t="shared" si="639"/>
        <v>0</v>
      </c>
      <c r="AO1812" s="22" t="str">
        <f t="shared" si="640"/>
        <v/>
      </c>
      <c r="AP1812" s="22" t="str">
        <f t="shared" si="641"/>
        <v/>
      </c>
    </row>
    <row r="1813" spans="1:42" x14ac:dyDescent="0.25">
      <c r="A1813" s="10"/>
      <c r="B1813" s="10"/>
      <c r="C1813" s="10"/>
      <c r="D1813" s="10"/>
      <c r="E1813" s="10"/>
      <c r="F1813" s="10"/>
      <c r="G1813" s="10"/>
      <c r="H1813" s="17"/>
      <c r="I1813" s="10"/>
      <c r="J1813" s="10"/>
      <c r="K1813" s="16" t="str">
        <f t="shared" si="620"/>
        <v/>
      </c>
      <c r="L1813" s="23" t="str">
        <f t="shared" si="621"/>
        <v/>
      </c>
      <c r="M1813" s="22" t="str">
        <f t="shared" si="622"/>
        <v/>
      </c>
      <c r="N1813" s="72"/>
      <c r="O1813" s="16" t="str">
        <f t="shared" si="623"/>
        <v/>
      </c>
      <c r="P1813" s="16" t="str">
        <f t="shared" si="624"/>
        <v/>
      </c>
      <c r="Q1813" s="16" t="str">
        <f t="shared" si="625"/>
        <v/>
      </c>
      <c r="R1813" s="23" t="str">
        <f t="shared" si="626"/>
        <v/>
      </c>
      <c r="S1813" s="23" t="str">
        <f t="shared" si="627"/>
        <v/>
      </c>
      <c r="T1813" s="23" t="str">
        <f t="shared" si="628"/>
        <v/>
      </c>
      <c r="U1813" s="23" t="str">
        <f t="shared" si="629"/>
        <v/>
      </c>
      <c r="V1813" s="23" t="str">
        <f t="shared" si="630"/>
        <v/>
      </c>
      <c r="W1813" s="70" t="str">
        <f t="shared" si="631"/>
        <v/>
      </c>
      <c r="X1813" s="70" t="str">
        <f t="shared" si="632"/>
        <v/>
      </c>
      <c r="Y1813" s="70" t="str">
        <f>IF(AND($A1813&lt;&gt;"",$E1813&gt;0),isLaptopBag($C1813,$J1813)*$D1813,"")</f>
        <v/>
      </c>
      <c r="Z1813" s="70" t="str">
        <f t="shared" si="633"/>
        <v/>
      </c>
      <c r="AA1813" s="70" t="str">
        <f t="shared" si="634"/>
        <v/>
      </c>
      <c r="AB1813" s="70" t="str">
        <f t="shared" si="635"/>
        <v/>
      </c>
      <c r="AC1813" s="70" t="str">
        <f t="shared" si="636"/>
        <v/>
      </c>
      <c r="AD1813" s="70" t="str">
        <f t="shared" si="637"/>
        <v/>
      </c>
      <c r="AE1813" s="70" t="str">
        <f t="shared" si="638"/>
        <v/>
      </c>
      <c r="AF1813" s="16"/>
      <c r="AG1813" s="23"/>
      <c r="AH1813" s="22"/>
      <c r="AJ1813" s="83">
        <f t="shared" si="639"/>
        <v>0</v>
      </c>
      <c r="AO1813" s="22" t="str">
        <f t="shared" si="640"/>
        <v/>
      </c>
      <c r="AP1813" s="22" t="str">
        <f t="shared" si="641"/>
        <v/>
      </c>
    </row>
    <row r="1814" spans="1:42" x14ac:dyDescent="0.25">
      <c r="A1814" s="10"/>
      <c r="B1814" s="10"/>
      <c r="C1814" s="10"/>
      <c r="D1814" s="10"/>
      <c r="E1814" s="10"/>
      <c r="F1814" s="10"/>
      <c r="G1814" s="10"/>
      <c r="H1814" s="17"/>
      <c r="I1814" s="10"/>
      <c r="J1814" s="10"/>
      <c r="K1814" s="16" t="str">
        <f t="shared" si="620"/>
        <v/>
      </c>
      <c r="L1814" s="23" t="str">
        <f t="shared" si="621"/>
        <v/>
      </c>
      <c r="M1814" s="22" t="str">
        <f t="shared" si="622"/>
        <v/>
      </c>
      <c r="N1814" s="72"/>
      <c r="O1814" s="16" t="str">
        <f t="shared" si="623"/>
        <v/>
      </c>
      <c r="P1814" s="16" t="str">
        <f t="shared" si="624"/>
        <v/>
      </c>
      <c r="Q1814" s="16" t="str">
        <f t="shared" si="625"/>
        <v/>
      </c>
      <c r="R1814" s="23" t="str">
        <f t="shared" si="626"/>
        <v/>
      </c>
      <c r="S1814" s="23" t="str">
        <f t="shared" si="627"/>
        <v/>
      </c>
      <c r="T1814" s="23" t="str">
        <f t="shared" si="628"/>
        <v/>
      </c>
      <c r="U1814" s="23" t="str">
        <f t="shared" si="629"/>
        <v/>
      </c>
      <c r="V1814" s="23" t="str">
        <f t="shared" si="630"/>
        <v/>
      </c>
      <c r="W1814" s="70" t="str">
        <f t="shared" si="631"/>
        <v/>
      </c>
      <c r="X1814" s="70" t="str">
        <f t="shared" si="632"/>
        <v/>
      </c>
      <c r="Y1814" s="70" t="str">
        <f>IF(AND($A1814&lt;&gt;"",$E1814&gt;0),isLaptopBag($C1814,$J1814)*$D1814,"")</f>
        <v/>
      </c>
      <c r="Z1814" s="70" t="str">
        <f t="shared" si="633"/>
        <v/>
      </c>
      <c r="AA1814" s="70" t="str">
        <f t="shared" si="634"/>
        <v/>
      </c>
      <c r="AB1814" s="70" t="str">
        <f t="shared" si="635"/>
        <v/>
      </c>
      <c r="AC1814" s="70" t="str">
        <f t="shared" si="636"/>
        <v/>
      </c>
      <c r="AD1814" s="70" t="str">
        <f t="shared" si="637"/>
        <v/>
      </c>
      <c r="AE1814" s="70" t="str">
        <f t="shared" si="638"/>
        <v/>
      </c>
      <c r="AF1814" s="16"/>
      <c r="AG1814" s="23"/>
      <c r="AH1814" s="22"/>
      <c r="AJ1814" s="83">
        <f t="shared" si="639"/>
        <v>0</v>
      </c>
      <c r="AO1814" s="22" t="str">
        <f t="shared" si="640"/>
        <v/>
      </c>
      <c r="AP1814" s="22" t="str">
        <f t="shared" si="641"/>
        <v/>
      </c>
    </row>
    <row r="1815" spans="1:42" x14ac:dyDescent="0.25">
      <c r="A1815" s="10"/>
      <c r="B1815" s="10"/>
      <c r="C1815" s="10"/>
      <c r="D1815" s="10"/>
      <c r="E1815" s="10"/>
      <c r="F1815" s="10"/>
      <c r="G1815" s="10"/>
      <c r="H1815" s="17"/>
      <c r="I1815" s="10"/>
      <c r="J1815" s="10"/>
      <c r="K1815" s="16" t="str">
        <f t="shared" si="620"/>
        <v/>
      </c>
      <c r="L1815" s="23" t="str">
        <f t="shared" si="621"/>
        <v/>
      </c>
      <c r="M1815" s="22" t="str">
        <f t="shared" si="622"/>
        <v/>
      </c>
      <c r="N1815" s="72"/>
      <c r="O1815" s="16" t="str">
        <f t="shared" si="623"/>
        <v/>
      </c>
      <c r="P1815" s="16" t="str">
        <f t="shared" si="624"/>
        <v/>
      </c>
      <c r="Q1815" s="16" t="str">
        <f t="shared" si="625"/>
        <v/>
      </c>
      <c r="R1815" s="23" t="str">
        <f t="shared" si="626"/>
        <v/>
      </c>
      <c r="S1815" s="23" t="str">
        <f t="shared" si="627"/>
        <v/>
      </c>
      <c r="T1815" s="23" t="str">
        <f t="shared" si="628"/>
        <v/>
      </c>
      <c r="U1815" s="23" t="str">
        <f t="shared" si="629"/>
        <v/>
      </c>
      <c r="V1815" s="23" t="str">
        <f t="shared" si="630"/>
        <v/>
      </c>
      <c r="W1815" s="70" t="str">
        <f t="shared" si="631"/>
        <v/>
      </c>
      <c r="X1815" s="70" t="str">
        <f t="shared" si="632"/>
        <v/>
      </c>
      <c r="Y1815" s="70" t="str">
        <f>IF(AND($A1815&lt;&gt;"",$E1815&gt;0),isLaptopBag($C1815,$J1815)*$D1815,"")</f>
        <v/>
      </c>
      <c r="Z1815" s="70" t="str">
        <f t="shared" si="633"/>
        <v/>
      </c>
      <c r="AA1815" s="70" t="str">
        <f t="shared" si="634"/>
        <v/>
      </c>
      <c r="AB1815" s="70" t="str">
        <f t="shared" si="635"/>
        <v/>
      </c>
      <c r="AC1815" s="70" t="str">
        <f t="shared" si="636"/>
        <v/>
      </c>
      <c r="AD1815" s="70" t="str">
        <f t="shared" si="637"/>
        <v/>
      </c>
      <c r="AE1815" s="70" t="str">
        <f t="shared" si="638"/>
        <v/>
      </c>
      <c r="AF1815" s="16"/>
      <c r="AG1815" s="23"/>
      <c r="AH1815" s="22"/>
      <c r="AJ1815" s="83">
        <f t="shared" si="639"/>
        <v>0</v>
      </c>
      <c r="AO1815" s="22" t="str">
        <f t="shared" si="640"/>
        <v/>
      </c>
      <c r="AP1815" s="22" t="str">
        <f t="shared" si="641"/>
        <v/>
      </c>
    </row>
    <row r="1816" spans="1:42" x14ac:dyDescent="0.25">
      <c r="A1816" s="10"/>
      <c r="B1816" s="10"/>
      <c r="C1816" s="10"/>
      <c r="D1816" s="10"/>
      <c r="E1816" s="10"/>
      <c r="F1816" s="10"/>
      <c r="G1816" s="10"/>
      <c r="H1816" s="17"/>
      <c r="I1816" s="10"/>
      <c r="J1816" s="10"/>
      <c r="K1816" s="16" t="str">
        <f t="shared" si="620"/>
        <v/>
      </c>
      <c r="L1816" s="23" t="str">
        <f t="shared" si="621"/>
        <v/>
      </c>
      <c r="M1816" s="22" t="str">
        <f t="shared" si="622"/>
        <v/>
      </c>
      <c r="N1816" s="72"/>
      <c r="O1816" s="16" t="str">
        <f t="shared" si="623"/>
        <v/>
      </c>
      <c r="P1816" s="16" t="str">
        <f t="shared" si="624"/>
        <v/>
      </c>
      <c r="Q1816" s="16" t="str">
        <f t="shared" si="625"/>
        <v/>
      </c>
      <c r="R1816" s="23" t="str">
        <f t="shared" si="626"/>
        <v/>
      </c>
      <c r="S1816" s="23" t="str">
        <f t="shared" si="627"/>
        <v/>
      </c>
      <c r="T1816" s="23" t="str">
        <f t="shared" si="628"/>
        <v/>
      </c>
      <c r="U1816" s="23" t="str">
        <f t="shared" si="629"/>
        <v/>
      </c>
      <c r="V1816" s="23" t="str">
        <f t="shared" si="630"/>
        <v/>
      </c>
      <c r="W1816" s="70" t="str">
        <f t="shared" si="631"/>
        <v/>
      </c>
      <c r="X1816" s="70" t="str">
        <f t="shared" si="632"/>
        <v/>
      </c>
      <c r="Y1816" s="70" t="str">
        <f>IF(AND($A1816&lt;&gt;"",$E1816&gt;0),isLaptopBag($C1816,$J1816)*$D1816,"")</f>
        <v/>
      </c>
      <c r="Z1816" s="70" t="str">
        <f t="shared" si="633"/>
        <v/>
      </c>
      <c r="AA1816" s="70" t="str">
        <f t="shared" si="634"/>
        <v/>
      </c>
      <c r="AB1816" s="70" t="str">
        <f t="shared" si="635"/>
        <v/>
      </c>
      <c r="AC1816" s="70" t="str">
        <f t="shared" si="636"/>
        <v/>
      </c>
      <c r="AD1816" s="70" t="str">
        <f t="shared" si="637"/>
        <v/>
      </c>
      <c r="AE1816" s="70" t="str">
        <f t="shared" si="638"/>
        <v/>
      </c>
      <c r="AF1816" s="16"/>
      <c r="AG1816" s="23"/>
      <c r="AH1816" s="22"/>
      <c r="AJ1816" s="83">
        <f t="shared" si="639"/>
        <v>0</v>
      </c>
      <c r="AO1816" s="22" t="str">
        <f t="shared" si="640"/>
        <v/>
      </c>
      <c r="AP1816" s="22" t="str">
        <f t="shared" si="641"/>
        <v/>
      </c>
    </row>
    <row r="1817" spans="1:42" x14ac:dyDescent="0.25">
      <c r="A1817" s="10"/>
      <c r="B1817" s="10"/>
      <c r="C1817" s="10"/>
      <c r="D1817" s="10"/>
      <c r="E1817" s="10"/>
      <c r="F1817" s="10"/>
      <c r="G1817" s="10"/>
      <c r="H1817" s="17"/>
      <c r="I1817" s="10"/>
      <c r="J1817" s="10"/>
      <c r="K1817" s="16" t="str">
        <f t="shared" si="620"/>
        <v/>
      </c>
      <c r="L1817" s="23" t="str">
        <f t="shared" si="621"/>
        <v/>
      </c>
      <c r="M1817" s="22" t="str">
        <f t="shared" si="622"/>
        <v/>
      </c>
      <c r="N1817" s="72"/>
      <c r="O1817" s="16" t="str">
        <f t="shared" si="623"/>
        <v/>
      </c>
      <c r="P1817" s="16" t="str">
        <f t="shared" si="624"/>
        <v/>
      </c>
      <c r="Q1817" s="16" t="str">
        <f t="shared" si="625"/>
        <v/>
      </c>
      <c r="R1817" s="23" t="str">
        <f t="shared" si="626"/>
        <v/>
      </c>
      <c r="S1817" s="23" t="str">
        <f t="shared" si="627"/>
        <v/>
      </c>
      <c r="T1817" s="23" t="str">
        <f t="shared" si="628"/>
        <v/>
      </c>
      <c r="U1817" s="23" t="str">
        <f t="shared" si="629"/>
        <v/>
      </c>
      <c r="V1817" s="23" t="str">
        <f t="shared" si="630"/>
        <v/>
      </c>
      <c r="W1817" s="70" t="str">
        <f t="shared" si="631"/>
        <v/>
      </c>
      <c r="X1817" s="70" t="str">
        <f t="shared" si="632"/>
        <v/>
      </c>
      <c r="Y1817" s="70" t="str">
        <f>IF(AND($A1817&lt;&gt;"",$E1817&gt;0),isLaptopBag($C1817,$J1817)*$D1817,"")</f>
        <v/>
      </c>
      <c r="Z1817" s="70" t="str">
        <f t="shared" si="633"/>
        <v/>
      </c>
      <c r="AA1817" s="70" t="str">
        <f t="shared" si="634"/>
        <v/>
      </c>
      <c r="AB1817" s="70" t="str">
        <f t="shared" si="635"/>
        <v/>
      </c>
      <c r="AC1817" s="70" t="str">
        <f t="shared" si="636"/>
        <v/>
      </c>
      <c r="AD1817" s="70" t="str">
        <f t="shared" si="637"/>
        <v/>
      </c>
      <c r="AE1817" s="70" t="str">
        <f t="shared" si="638"/>
        <v/>
      </c>
      <c r="AF1817" s="16"/>
      <c r="AG1817" s="23"/>
      <c r="AH1817" s="22"/>
      <c r="AJ1817" s="83">
        <f t="shared" si="639"/>
        <v>0</v>
      </c>
      <c r="AO1817" s="22" t="str">
        <f t="shared" si="640"/>
        <v/>
      </c>
      <c r="AP1817" s="22" t="str">
        <f t="shared" si="641"/>
        <v/>
      </c>
    </row>
    <row r="1818" spans="1:42" x14ac:dyDescent="0.25">
      <c r="A1818" s="10"/>
      <c r="B1818" s="10"/>
      <c r="C1818" s="10"/>
      <c r="D1818" s="10"/>
      <c r="E1818" s="10"/>
      <c r="F1818" s="10"/>
      <c r="G1818" s="10"/>
      <c r="H1818" s="17"/>
      <c r="I1818" s="10"/>
      <c r="J1818" s="10"/>
      <c r="K1818" s="16" t="str">
        <f t="shared" si="620"/>
        <v/>
      </c>
      <c r="L1818" s="23" t="str">
        <f t="shared" si="621"/>
        <v/>
      </c>
      <c r="M1818" s="22" t="str">
        <f t="shared" si="622"/>
        <v/>
      </c>
      <c r="N1818" s="72"/>
      <c r="O1818" s="16" t="str">
        <f t="shared" si="623"/>
        <v/>
      </c>
      <c r="P1818" s="16" t="str">
        <f t="shared" si="624"/>
        <v/>
      </c>
      <c r="Q1818" s="16" t="str">
        <f t="shared" si="625"/>
        <v/>
      </c>
      <c r="R1818" s="23" t="str">
        <f t="shared" si="626"/>
        <v/>
      </c>
      <c r="S1818" s="23" t="str">
        <f t="shared" si="627"/>
        <v/>
      </c>
      <c r="T1818" s="23" t="str">
        <f t="shared" si="628"/>
        <v/>
      </c>
      <c r="U1818" s="23" t="str">
        <f t="shared" si="629"/>
        <v/>
      </c>
      <c r="V1818" s="23" t="str">
        <f t="shared" si="630"/>
        <v/>
      </c>
      <c r="W1818" s="70" t="str">
        <f t="shared" si="631"/>
        <v/>
      </c>
      <c r="X1818" s="70" t="str">
        <f t="shared" si="632"/>
        <v/>
      </c>
      <c r="Y1818" s="70" t="str">
        <f>IF(AND($A1818&lt;&gt;"",$E1818&gt;0),isLaptopBag($C1818,$J1818)*$D1818,"")</f>
        <v/>
      </c>
      <c r="Z1818" s="70" t="str">
        <f t="shared" si="633"/>
        <v/>
      </c>
      <c r="AA1818" s="70" t="str">
        <f t="shared" si="634"/>
        <v/>
      </c>
      <c r="AB1818" s="70" t="str">
        <f t="shared" si="635"/>
        <v/>
      </c>
      <c r="AC1818" s="70" t="str">
        <f t="shared" si="636"/>
        <v/>
      </c>
      <c r="AD1818" s="70" t="str">
        <f t="shared" si="637"/>
        <v/>
      </c>
      <c r="AE1818" s="70" t="str">
        <f t="shared" si="638"/>
        <v/>
      </c>
      <c r="AF1818" s="16"/>
      <c r="AG1818" s="23"/>
      <c r="AH1818" s="22"/>
      <c r="AJ1818" s="83">
        <f t="shared" si="639"/>
        <v>0</v>
      </c>
      <c r="AO1818" s="22" t="str">
        <f t="shared" si="640"/>
        <v/>
      </c>
      <c r="AP1818" s="22" t="str">
        <f t="shared" si="641"/>
        <v/>
      </c>
    </row>
    <row r="1819" spans="1:42" x14ac:dyDescent="0.25">
      <c r="A1819" s="10"/>
      <c r="B1819" s="10"/>
      <c r="C1819" s="10"/>
      <c r="D1819" s="10"/>
      <c r="E1819" s="10"/>
      <c r="F1819" s="10"/>
      <c r="G1819" s="10"/>
      <c r="H1819" s="17"/>
      <c r="I1819" s="10"/>
      <c r="J1819" s="10"/>
      <c r="K1819" s="16" t="str">
        <f t="shared" si="620"/>
        <v/>
      </c>
      <c r="L1819" s="23" t="str">
        <f t="shared" si="621"/>
        <v/>
      </c>
      <c r="M1819" s="22" t="str">
        <f t="shared" si="622"/>
        <v/>
      </c>
      <c r="N1819" s="72"/>
      <c r="O1819" s="16" t="str">
        <f t="shared" si="623"/>
        <v/>
      </c>
      <c r="P1819" s="16" t="str">
        <f t="shared" si="624"/>
        <v/>
      </c>
      <c r="Q1819" s="16" t="str">
        <f t="shared" si="625"/>
        <v/>
      </c>
      <c r="R1819" s="23" t="str">
        <f t="shared" si="626"/>
        <v/>
      </c>
      <c r="S1819" s="23" t="str">
        <f t="shared" si="627"/>
        <v/>
      </c>
      <c r="T1819" s="23" t="str">
        <f t="shared" si="628"/>
        <v/>
      </c>
      <c r="U1819" s="23" t="str">
        <f t="shared" si="629"/>
        <v/>
      </c>
      <c r="V1819" s="23" t="str">
        <f t="shared" si="630"/>
        <v/>
      </c>
      <c r="W1819" s="70" t="str">
        <f t="shared" si="631"/>
        <v/>
      </c>
      <c r="X1819" s="70" t="str">
        <f t="shared" si="632"/>
        <v/>
      </c>
      <c r="Y1819" s="70" t="str">
        <f>IF(AND($A1819&lt;&gt;"",$E1819&gt;0),isLaptopBag($C1819,$J1819)*$D1819,"")</f>
        <v/>
      </c>
      <c r="Z1819" s="70" t="str">
        <f t="shared" si="633"/>
        <v/>
      </c>
      <c r="AA1819" s="70" t="str">
        <f t="shared" si="634"/>
        <v/>
      </c>
      <c r="AB1819" s="70" t="str">
        <f t="shared" si="635"/>
        <v/>
      </c>
      <c r="AC1819" s="70" t="str">
        <f t="shared" si="636"/>
        <v/>
      </c>
      <c r="AD1819" s="70" t="str">
        <f t="shared" si="637"/>
        <v/>
      </c>
      <c r="AE1819" s="70" t="str">
        <f t="shared" si="638"/>
        <v/>
      </c>
      <c r="AF1819" s="16"/>
      <c r="AG1819" s="23"/>
      <c r="AH1819" s="22"/>
      <c r="AJ1819" s="83">
        <f t="shared" si="639"/>
        <v>0</v>
      </c>
      <c r="AO1819" s="22" t="str">
        <f t="shared" si="640"/>
        <v/>
      </c>
      <c r="AP1819" s="22" t="str">
        <f t="shared" si="641"/>
        <v/>
      </c>
    </row>
    <row r="1820" spans="1:42" x14ac:dyDescent="0.25">
      <c r="A1820" s="10"/>
      <c r="B1820" s="10"/>
      <c r="C1820" s="10"/>
      <c r="D1820" s="10"/>
      <c r="E1820" s="10"/>
      <c r="F1820" s="10"/>
      <c r="G1820" s="10"/>
      <c r="H1820" s="17"/>
      <c r="I1820" s="10"/>
      <c r="J1820" s="10"/>
      <c r="K1820" s="16" t="str">
        <f t="shared" si="620"/>
        <v/>
      </c>
      <c r="L1820" s="23" t="str">
        <f t="shared" si="621"/>
        <v/>
      </c>
      <c r="M1820" s="22" t="str">
        <f t="shared" si="622"/>
        <v/>
      </c>
      <c r="N1820" s="72"/>
      <c r="O1820" s="16" t="str">
        <f t="shared" si="623"/>
        <v/>
      </c>
      <c r="P1820" s="16" t="str">
        <f t="shared" si="624"/>
        <v/>
      </c>
      <c r="Q1820" s="16" t="str">
        <f t="shared" si="625"/>
        <v/>
      </c>
      <c r="R1820" s="23" t="str">
        <f t="shared" si="626"/>
        <v/>
      </c>
      <c r="S1820" s="23" t="str">
        <f t="shared" si="627"/>
        <v/>
      </c>
      <c r="T1820" s="23" t="str">
        <f t="shared" si="628"/>
        <v/>
      </c>
      <c r="U1820" s="23" t="str">
        <f t="shared" si="629"/>
        <v/>
      </c>
      <c r="V1820" s="23" t="str">
        <f t="shared" si="630"/>
        <v/>
      </c>
      <c r="W1820" s="70" t="str">
        <f t="shared" si="631"/>
        <v/>
      </c>
      <c r="X1820" s="70" t="str">
        <f t="shared" si="632"/>
        <v/>
      </c>
      <c r="Y1820" s="70" t="str">
        <f>IF(AND($A1820&lt;&gt;"",$E1820&gt;0),isLaptopBag($C1820,$J1820)*$D1820,"")</f>
        <v/>
      </c>
      <c r="Z1820" s="70" t="str">
        <f t="shared" si="633"/>
        <v/>
      </c>
      <c r="AA1820" s="70" t="str">
        <f t="shared" si="634"/>
        <v/>
      </c>
      <c r="AB1820" s="70" t="str">
        <f t="shared" si="635"/>
        <v/>
      </c>
      <c r="AC1820" s="70" t="str">
        <f t="shared" si="636"/>
        <v/>
      </c>
      <c r="AD1820" s="70" t="str">
        <f t="shared" si="637"/>
        <v/>
      </c>
      <c r="AE1820" s="70" t="str">
        <f t="shared" si="638"/>
        <v/>
      </c>
      <c r="AF1820" s="16"/>
      <c r="AG1820" s="23"/>
      <c r="AH1820" s="22"/>
      <c r="AJ1820" s="83">
        <f t="shared" si="639"/>
        <v>0</v>
      </c>
      <c r="AO1820" s="22" t="str">
        <f t="shared" si="640"/>
        <v/>
      </c>
      <c r="AP1820" s="22" t="str">
        <f t="shared" si="641"/>
        <v/>
      </c>
    </row>
    <row r="1821" spans="1:42" x14ac:dyDescent="0.25">
      <c r="A1821" s="10"/>
      <c r="B1821" s="10"/>
      <c r="C1821" s="10"/>
      <c r="D1821" s="10"/>
      <c r="E1821" s="10"/>
      <c r="F1821" s="10"/>
      <c r="G1821" s="10"/>
      <c r="H1821" s="17"/>
      <c r="I1821" s="10"/>
      <c r="J1821" s="10"/>
      <c r="K1821" s="16" t="str">
        <f t="shared" si="620"/>
        <v/>
      </c>
      <c r="L1821" s="23" t="str">
        <f t="shared" si="621"/>
        <v/>
      </c>
      <c r="M1821" s="22" t="str">
        <f t="shared" si="622"/>
        <v/>
      </c>
      <c r="N1821" s="72"/>
      <c r="O1821" s="16" t="str">
        <f t="shared" si="623"/>
        <v/>
      </c>
      <c r="P1821" s="16" t="str">
        <f t="shared" si="624"/>
        <v/>
      </c>
      <c r="Q1821" s="16" t="str">
        <f t="shared" si="625"/>
        <v/>
      </c>
      <c r="R1821" s="23" t="str">
        <f t="shared" si="626"/>
        <v/>
      </c>
      <c r="S1821" s="23" t="str">
        <f t="shared" si="627"/>
        <v/>
      </c>
      <c r="T1821" s="23" t="str">
        <f t="shared" si="628"/>
        <v/>
      </c>
      <c r="U1821" s="23" t="str">
        <f t="shared" si="629"/>
        <v/>
      </c>
      <c r="V1821" s="23" t="str">
        <f t="shared" si="630"/>
        <v/>
      </c>
      <c r="W1821" s="70" t="str">
        <f t="shared" si="631"/>
        <v/>
      </c>
      <c r="X1821" s="70" t="str">
        <f t="shared" si="632"/>
        <v/>
      </c>
      <c r="Y1821" s="70" t="str">
        <f>IF(AND($A1821&lt;&gt;"",$E1821&gt;0),isLaptopBag($C1821,$J1821)*$D1821,"")</f>
        <v/>
      </c>
      <c r="Z1821" s="70" t="str">
        <f t="shared" si="633"/>
        <v/>
      </c>
      <c r="AA1821" s="70" t="str">
        <f t="shared" si="634"/>
        <v/>
      </c>
      <c r="AB1821" s="70" t="str">
        <f t="shared" si="635"/>
        <v/>
      </c>
      <c r="AC1821" s="70" t="str">
        <f t="shared" si="636"/>
        <v/>
      </c>
      <c r="AD1821" s="70" t="str">
        <f t="shared" si="637"/>
        <v/>
      </c>
      <c r="AE1821" s="70" t="str">
        <f t="shared" si="638"/>
        <v/>
      </c>
      <c r="AF1821" s="16"/>
      <c r="AG1821" s="23"/>
      <c r="AH1821" s="22"/>
      <c r="AJ1821" s="83">
        <f t="shared" si="639"/>
        <v>0</v>
      </c>
      <c r="AO1821" s="22" t="str">
        <f t="shared" si="640"/>
        <v/>
      </c>
      <c r="AP1821" s="22" t="str">
        <f t="shared" si="641"/>
        <v/>
      </c>
    </row>
    <row r="1822" spans="1:42" x14ac:dyDescent="0.25">
      <c r="A1822" s="10"/>
      <c r="B1822" s="10"/>
      <c r="C1822" s="10"/>
      <c r="D1822" s="10"/>
      <c r="E1822" s="10"/>
      <c r="F1822" s="10"/>
      <c r="G1822" s="10"/>
      <c r="H1822" s="17"/>
      <c r="I1822" s="10"/>
      <c r="J1822" s="10"/>
      <c r="K1822" s="16" t="str">
        <f t="shared" si="620"/>
        <v/>
      </c>
      <c r="L1822" s="23" t="str">
        <f t="shared" si="621"/>
        <v/>
      </c>
      <c r="M1822" s="22" t="str">
        <f t="shared" si="622"/>
        <v/>
      </c>
      <c r="N1822" s="72"/>
      <c r="O1822" s="16" t="str">
        <f t="shared" si="623"/>
        <v/>
      </c>
      <c r="P1822" s="16" t="str">
        <f t="shared" si="624"/>
        <v/>
      </c>
      <c r="Q1822" s="16" t="str">
        <f t="shared" si="625"/>
        <v/>
      </c>
      <c r="R1822" s="23" t="str">
        <f t="shared" si="626"/>
        <v/>
      </c>
      <c r="S1822" s="23" t="str">
        <f t="shared" si="627"/>
        <v/>
      </c>
      <c r="T1822" s="23" t="str">
        <f t="shared" si="628"/>
        <v/>
      </c>
      <c r="U1822" s="23" t="str">
        <f t="shared" si="629"/>
        <v/>
      </c>
      <c r="V1822" s="23" t="str">
        <f t="shared" si="630"/>
        <v/>
      </c>
      <c r="W1822" s="70" t="str">
        <f t="shared" si="631"/>
        <v/>
      </c>
      <c r="X1822" s="70" t="str">
        <f t="shared" si="632"/>
        <v/>
      </c>
      <c r="Y1822" s="70" t="str">
        <f>IF(AND($A1822&lt;&gt;"",$E1822&gt;0),isLaptopBag($C1822,$J1822)*$D1822,"")</f>
        <v/>
      </c>
      <c r="Z1822" s="70" t="str">
        <f t="shared" si="633"/>
        <v/>
      </c>
      <c r="AA1822" s="70" t="str">
        <f t="shared" si="634"/>
        <v/>
      </c>
      <c r="AB1822" s="70" t="str">
        <f t="shared" si="635"/>
        <v/>
      </c>
      <c r="AC1822" s="70" t="str">
        <f t="shared" si="636"/>
        <v/>
      </c>
      <c r="AD1822" s="70" t="str">
        <f t="shared" si="637"/>
        <v/>
      </c>
      <c r="AE1822" s="70" t="str">
        <f t="shared" si="638"/>
        <v/>
      </c>
      <c r="AF1822" s="16"/>
      <c r="AG1822" s="23"/>
      <c r="AH1822" s="22"/>
      <c r="AJ1822" s="83">
        <f t="shared" si="639"/>
        <v>0</v>
      </c>
      <c r="AO1822" s="22" t="str">
        <f t="shared" si="640"/>
        <v/>
      </c>
      <c r="AP1822" s="22" t="str">
        <f t="shared" si="641"/>
        <v/>
      </c>
    </row>
    <row r="1823" spans="1:42" x14ac:dyDescent="0.25">
      <c r="A1823" s="10"/>
      <c r="B1823" s="10"/>
      <c r="C1823" s="10"/>
      <c r="D1823" s="10"/>
      <c r="E1823" s="10"/>
      <c r="F1823" s="10"/>
      <c r="G1823" s="10"/>
      <c r="H1823" s="17"/>
      <c r="I1823" s="10"/>
      <c r="J1823" s="10"/>
      <c r="K1823" s="16" t="str">
        <f t="shared" si="620"/>
        <v/>
      </c>
      <c r="L1823" s="23" t="str">
        <f t="shared" si="621"/>
        <v/>
      </c>
      <c r="M1823" s="22" t="str">
        <f t="shared" si="622"/>
        <v/>
      </c>
      <c r="N1823" s="72"/>
      <c r="O1823" s="16" t="str">
        <f t="shared" si="623"/>
        <v/>
      </c>
      <c r="P1823" s="16" t="str">
        <f t="shared" si="624"/>
        <v/>
      </c>
      <c r="Q1823" s="16" t="str">
        <f t="shared" si="625"/>
        <v/>
      </c>
      <c r="R1823" s="23" t="str">
        <f t="shared" si="626"/>
        <v/>
      </c>
      <c r="S1823" s="23" t="str">
        <f t="shared" si="627"/>
        <v/>
      </c>
      <c r="T1823" s="23" t="str">
        <f t="shared" si="628"/>
        <v/>
      </c>
      <c r="U1823" s="23" t="str">
        <f t="shared" si="629"/>
        <v/>
      </c>
      <c r="V1823" s="23" t="str">
        <f t="shared" si="630"/>
        <v/>
      </c>
      <c r="W1823" s="70" t="str">
        <f t="shared" si="631"/>
        <v/>
      </c>
      <c r="X1823" s="70" t="str">
        <f t="shared" si="632"/>
        <v/>
      </c>
      <c r="Y1823" s="70" t="str">
        <f>IF(AND($A1823&lt;&gt;"",$E1823&gt;0),isLaptopBag($C1823,$J1823)*$D1823,"")</f>
        <v/>
      </c>
      <c r="Z1823" s="70" t="str">
        <f t="shared" si="633"/>
        <v/>
      </c>
      <c r="AA1823" s="70" t="str">
        <f t="shared" si="634"/>
        <v/>
      </c>
      <c r="AB1823" s="70" t="str">
        <f t="shared" si="635"/>
        <v/>
      </c>
      <c r="AC1823" s="70" t="str">
        <f t="shared" si="636"/>
        <v/>
      </c>
      <c r="AD1823" s="70" t="str">
        <f t="shared" si="637"/>
        <v/>
      </c>
      <c r="AE1823" s="70" t="str">
        <f t="shared" si="638"/>
        <v/>
      </c>
      <c r="AF1823" s="16"/>
      <c r="AG1823" s="23"/>
      <c r="AH1823" s="22"/>
      <c r="AJ1823" s="83">
        <f t="shared" si="639"/>
        <v>0</v>
      </c>
      <c r="AO1823" s="22" t="str">
        <f t="shared" si="640"/>
        <v/>
      </c>
      <c r="AP1823" s="22" t="str">
        <f t="shared" si="641"/>
        <v/>
      </c>
    </row>
    <row r="1824" spans="1:42" x14ac:dyDescent="0.25">
      <c r="A1824" s="10"/>
      <c r="B1824" s="10"/>
      <c r="C1824" s="10"/>
      <c r="D1824" s="10"/>
      <c r="E1824" s="10"/>
      <c r="F1824" s="10"/>
      <c r="G1824" s="10"/>
      <c r="H1824" s="17"/>
      <c r="I1824" s="10"/>
      <c r="J1824" s="10"/>
      <c r="K1824" s="16" t="str">
        <f t="shared" si="620"/>
        <v/>
      </c>
      <c r="L1824" s="23" t="str">
        <f t="shared" si="621"/>
        <v/>
      </c>
      <c r="M1824" s="22" t="str">
        <f t="shared" si="622"/>
        <v/>
      </c>
      <c r="N1824" s="72"/>
      <c r="O1824" s="16" t="str">
        <f t="shared" si="623"/>
        <v/>
      </c>
      <c r="P1824" s="16" t="str">
        <f t="shared" si="624"/>
        <v/>
      </c>
      <c r="Q1824" s="16" t="str">
        <f t="shared" si="625"/>
        <v/>
      </c>
      <c r="R1824" s="23" t="str">
        <f t="shared" si="626"/>
        <v/>
      </c>
      <c r="S1824" s="23" t="str">
        <f t="shared" si="627"/>
        <v/>
      </c>
      <c r="T1824" s="23" t="str">
        <f t="shared" si="628"/>
        <v/>
      </c>
      <c r="U1824" s="23" t="str">
        <f t="shared" si="629"/>
        <v/>
      </c>
      <c r="V1824" s="23" t="str">
        <f t="shared" si="630"/>
        <v/>
      </c>
      <c r="W1824" s="70" t="str">
        <f t="shared" si="631"/>
        <v/>
      </c>
      <c r="X1824" s="70" t="str">
        <f t="shared" si="632"/>
        <v/>
      </c>
      <c r="Y1824" s="70" t="str">
        <f>IF(AND($A1824&lt;&gt;"",$E1824&gt;0),isLaptopBag($C1824,$J1824)*$D1824,"")</f>
        <v/>
      </c>
      <c r="Z1824" s="70" t="str">
        <f t="shared" si="633"/>
        <v/>
      </c>
      <c r="AA1824" s="70" t="str">
        <f t="shared" si="634"/>
        <v/>
      </c>
      <c r="AB1824" s="70" t="str">
        <f t="shared" si="635"/>
        <v/>
      </c>
      <c r="AC1824" s="70" t="str">
        <f t="shared" si="636"/>
        <v/>
      </c>
      <c r="AD1824" s="70" t="str">
        <f t="shared" si="637"/>
        <v/>
      </c>
      <c r="AE1824" s="70" t="str">
        <f t="shared" si="638"/>
        <v/>
      </c>
      <c r="AF1824" s="16"/>
      <c r="AG1824" s="23"/>
      <c r="AH1824" s="22"/>
      <c r="AJ1824" s="83">
        <f t="shared" si="639"/>
        <v>0</v>
      </c>
      <c r="AO1824" s="22" t="str">
        <f t="shared" si="640"/>
        <v/>
      </c>
      <c r="AP1824" s="22" t="str">
        <f t="shared" si="641"/>
        <v/>
      </c>
    </row>
    <row r="1825" spans="1:42" x14ac:dyDescent="0.25">
      <c r="A1825" s="10"/>
      <c r="B1825" s="10"/>
      <c r="C1825" s="10"/>
      <c r="D1825" s="10"/>
      <c r="E1825" s="10"/>
      <c r="F1825" s="10"/>
      <c r="G1825" s="10"/>
      <c r="H1825" s="17"/>
      <c r="I1825" s="10"/>
      <c r="J1825" s="10"/>
      <c r="K1825" s="16" t="str">
        <f t="shared" si="620"/>
        <v/>
      </c>
      <c r="L1825" s="23" t="str">
        <f t="shared" si="621"/>
        <v/>
      </c>
      <c r="M1825" s="22" t="str">
        <f t="shared" si="622"/>
        <v/>
      </c>
      <c r="N1825" s="72"/>
      <c r="O1825" s="16" t="str">
        <f t="shared" si="623"/>
        <v/>
      </c>
      <c r="P1825" s="16" t="str">
        <f t="shared" si="624"/>
        <v/>
      </c>
      <c r="Q1825" s="16" t="str">
        <f t="shared" si="625"/>
        <v/>
      </c>
      <c r="R1825" s="23" t="str">
        <f t="shared" si="626"/>
        <v/>
      </c>
      <c r="S1825" s="23" t="str">
        <f t="shared" si="627"/>
        <v/>
      </c>
      <c r="T1825" s="23" t="str">
        <f t="shared" si="628"/>
        <v/>
      </c>
      <c r="U1825" s="23" t="str">
        <f t="shared" si="629"/>
        <v/>
      </c>
      <c r="V1825" s="23" t="str">
        <f t="shared" si="630"/>
        <v/>
      </c>
      <c r="W1825" s="70" t="str">
        <f t="shared" si="631"/>
        <v/>
      </c>
      <c r="X1825" s="70" t="str">
        <f t="shared" si="632"/>
        <v/>
      </c>
      <c r="Y1825" s="70" t="str">
        <f>IF(AND($A1825&lt;&gt;"",$E1825&gt;0),isLaptopBag($C1825,$J1825)*$D1825,"")</f>
        <v/>
      </c>
      <c r="Z1825" s="70" t="str">
        <f t="shared" si="633"/>
        <v/>
      </c>
      <c r="AA1825" s="70" t="str">
        <f t="shared" si="634"/>
        <v/>
      </c>
      <c r="AB1825" s="70" t="str">
        <f t="shared" si="635"/>
        <v/>
      </c>
      <c r="AC1825" s="70" t="str">
        <f t="shared" si="636"/>
        <v/>
      </c>
      <c r="AD1825" s="70" t="str">
        <f t="shared" si="637"/>
        <v/>
      </c>
      <c r="AE1825" s="70" t="str">
        <f t="shared" si="638"/>
        <v/>
      </c>
      <c r="AF1825" s="16"/>
      <c r="AG1825" s="23"/>
      <c r="AH1825" s="22"/>
      <c r="AJ1825" s="83">
        <f t="shared" si="639"/>
        <v>0</v>
      </c>
      <c r="AO1825" s="22" t="str">
        <f t="shared" si="640"/>
        <v/>
      </c>
      <c r="AP1825" s="22" t="str">
        <f t="shared" si="641"/>
        <v/>
      </c>
    </row>
    <row r="1826" spans="1:42" x14ac:dyDescent="0.25">
      <c r="A1826" s="10"/>
      <c r="B1826" s="10"/>
      <c r="C1826" s="10"/>
      <c r="D1826" s="10"/>
      <c r="E1826" s="10"/>
      <c r="F1826" s="10"/>
      <c r="G1826" s="10"/>
      <c r="H1826" s="17"/>
      <c r="I1826" s="10"/>
      <c r="J1826" s="10"/>
      <c r="K1826" s="16" t="str">
        <f t="shared" si="620"/>
        <v/>
      </c>
      <c r="L1826" s="23" t="str">
        <f t="shared" si="621"/>
        <v/>
      </c>
      <c r="M1826" s="22" t="str">
        <f t="shared" si="622"/>
        <v/>
      </c>
      <c r="N1826" s="72"/>
      <c r="O1826" s="16" t="str">
        <f t="shared" si="623"/>
        <v/>
      </c>
      <c r="P1826" s="16" t="str">
        <f t="shared" si="624"/>
        <v/>
      </c>
      <c r="Q1826" s="16" t="str">
        <f t="shared" si="625"/>
        <v/>
      </c>
      <c r="R1826" s="23" t="str">
        <f t="shared" si="626"/>
        <v/>
      </c>
      <c r="S1826" s="23" t="str">
        <f t="shared" si="627"/>
        <v/>
      </c>
      <c r="T1826" s="23" t="str">
        <f t="shared" si="628"/>
        <v/>
      </c>
      <c r="U1826" s="23" t="str">
        <f t="shared" si="629"/>
        <v/>
      </c>
      <c r="V1826" s="23" t="str">
        <f t="shared" si="630"/>
        <v/>
      </c>
      <c r="W1826" s="70" t="str">
        <f t="shared" si="631"/>
        <v/>
      </c>
      <c r="X1826" s="70" t="str">
        <f t="shared" si="632"/>
        <v/>
      </c>
      <c r="Y1826" s="70" t="str">
        <f>IF(AND($A1826&lt;&gt;"",$E1826&gt;0),isLaptopBag($C1826,$J1826)*$D1826,"")</f>
        <v/>
      </c>
      <c r="Z1826" s="70" t="str">
        <f t="shared" si="633"/>
        <v/>
      </c>
      <c r="AA1826" s="70" t="str">
        <f t="shared" si="634"/>
        <v/>
      </c>
      <c r="AB1826" s="70" t="str">
        <f t="shared" si="635"/>
        <v/>
      </c>
      <c r="AC1826" s="70" t="str">
        <f t="shared" si="636"/>
        <v/>
      </c>
      <c r="AD1826" s="70" t="str">
        <f t="shared" si="637"/>
        <v/>
      </c>
      <c r="AE1826" s="70" t="str">
        <f t="shared" si="638"/>
        <v/>
      </c>
      <c r="AF1826" s="16"/>
      <c r="AG1826" s="23"/>
      <c r="AH1826" s="22"/>
      <c r="AJ1826" s="83">
        <f t="shared" si="639"/>
        <v>0</v>
      </c>
      <c r="AO1826" s="22" t="str">
        <f t="shared" si="640"/>
        <v/>
      </c>
      <c r="AP1826" s="22" t="str">
        <f t="shared" si="641"/>
        <v/>
      </c>
    </row>
    <row r="1827" spans="1:42" x14ac:dyDescent="0.25">
      <c r="A1827" s="10"/>
      <c r="B1827" s="10"/>
      <c r="C1827" s="10"/>
      <c r="D1827" s="10"/>
      <c r="E1827" s="10"/>
      <c r="F1827" s="10"/>
      <c r="G1827" s="10"/>
      <c r="H1827" s="17"/>
      <c r="I1827" s="10"/>
      <c r="J1827" s="10"/>
      <c r="K1827" s="16" t="str">
        <f t="shared" si="620"/>
        <v/>
      </c>
      <c r="L1827" s="23" t="str">
        <f t="shared" si="621"/>
        <v/>
      </c>
      <c r="M1827" s="22" t="str">
        <f t="shared" si="622"/>
        <v/>
      </c>
      <c r="N1827" s="72"/>
      <c r="O1827" s="16" t="str">
        <f t="shared" si="623"/>
        <v/>
      </c>
      <c r="P1827" s="16" t="str">
        <f t="shared" si="624"/>
        <v/>
      </c>
      <c r="Q1827" s="16" t="str">
        <f t="shared" si="625"/>
        <v/>
      </c>
      <c r="R1827" s="23" t="str">
        <f t="shared" si="626"/>
        <v/>
      </c>
      <c r="S1827" s="23" t="str">
        <f t="shared" si="627"/>
        <v/>
      </c>
      <c r="T1827" s="23" t="str">
        <f t="shared" si="628"/>
        <v/>
      </c>
      <c r="U1827" s="23" t="str">
        <f t="shared" si="629"/>
        <v/>
      </c>
      <c r="V1827" s="23" t="str">
        <f t="shared" si="630"/>
        <v/>
      </c>
      <c r="W1827" s="70" t="str">
        <f t="shared" si="631"/>
        <v/>
      </c>
      <c r="X1827" s="70" t="str">
        <f t="shared" si="632"/>
        <v/>
      </c>
      <c r="Y1827" s="70" t="str">
        <f>IF(AND($A1827&lt;&gt;"",$E1827&gt;0),isLaptopBag($C1827,$J1827)*$D1827,"")</f>
        <v/>
      </c>
      <c r="Z1827" s="70" t="str">
        <f t="shared" si="633"/>
        <v/>
      </c>
      <c r="AA1827" s="70" t="str">
        <f t="shared" si="634"/>
        <v/>
      </c>
      <c r="AB1827" s="70" t="str">
        <f t="shared" si="635"/>
        <v/>
      </c>
      <c r="AC1827" s="70" t="str">
        <f t="shared" si="636"/>
        <v/>
      </c>
      <c r="AD1827" s="70" t="str">
        <f t="shared" si="637"/>
        <v/>
      </c>
      <c r="AE1827" s="70" t="str">
        <f t="shared" si="638"/>
        <v/>
      </c>
      <c r="AF1827" s="16"/>
      <c r="AG1827" s="23"/>
      <c r="AH1827" s="22"/>
      <c r="AJ1827" s="83">
        <f t="shared" si="639"/>
        <v>0</v>
      </c>
      <c r="AO1827" s="22" t="str">
        <f t="shared" si="640"/>
        <v/>
      </c>
      <c r="AP1827" s="22" t="str">
        <f t="shared" si="641"/>
        <v/>
      </c>
    </row>
    <row r="1828" spans="1:42" x14ac:dyDescent="0.25">
      <c r="A1828" s="10"/>
      <c r="B1828" s="10"/>
      <c r="C1828" s="10"/>
      <c r="D1828" s="10"/>
      <c r="E1828" s="10"/>
      <c r="F1828" s="10"/>
      <c r="G1828" s="10"/>
      <c r="H1828" s="17"/>
      <c r="I1828" s="10"/>
      <c r="J1828" s="10"/>
      <c r="K1828" s="16" t="str">
        <f t="shared" si="620"/>
        <v/>
      </c>
      <c r="L1828" s="23" t="str">
        <f t="shared" si="621"/>
        <v/>
      </c>
      <c r="M1828" s="22" t="str">
        <f t="shared" si="622"/>
        <v/>
      </c>
      <c r="N1828" s="72"/>
      <c r="O1828" s="16" t="str">
        <f t="shared" si="623"/>
        <v/>
      </c>
      <c r="P1828" s="16" t="str">
        <f t="shared" si="624"/>
        <v/>
      </c>
      <c r="Q1828" s="16" t="str">
        <f t="shared" si="625"/>
        <v/>
      </c>
      <c r="R1828" s="23" t="str">
        <f t="shared" si="626"/>
        <v/>
      </c>
      <c r="S1828" s="23" t="str">
        <f t="shared" si="627"/>
        <v/>
      </c>
      <c r="T1828" s="23" t="str">
        <f t="shared" si="628"/>
        <v/>
      </c>
      <c r="U1828" s="23" t="str">
        <f t="shared" si="629"/>
        <v/>
      </c>
      <c r="V1828" s="23" t="str">
        <f t="shared" si="630"/>
        <v/>
      </c>
      <c r="W1828" s="70" t="str">
        <f t="shared" si="631"/>
        <v/>
      </c>
      <c r="X1828" s="70" t="str">
        <f t="shared" si="632"/>
        <v/>
      </c>
      <c r="Y1828" s="70" t="str">
        <f>IF(AND($A1828&lt;&gt;"",$E1828&gt;0),isLaptopBag($C1828,$J1828)*$D1828,"")</f>
        <v/>
      </c>
      <c r="Z1828" s="70" t="str">
        <f t="shared" si="633"/>
        <v/>
      </c>
      <c r="AA1828" s="70" t="str">
        <f t="shared" si="634"/>
        <v/>
      </c>
      <c r="AB1828" s="70" t="str">
        <f t="shared" si="635"/>
        <v/>
      </c>
      <c r="AC1828" s="70" t="str">
        <f t="shared" si="636"/>
        <v/>
      </c>
      <c r="AD1828" s="70" t="str">
        <f t="shared" si="637"/>
        <v/>
      </c>
      <c r="AE1828" s="70" t="str">
        <f t="shared" si="638"/>
        <v/>
      </c>
      <c r="AF1828" s="16"/>
      <c r="AG1828" s="23"/>
      <c r="AH1828" s="22"/>
      <c r="AJ1828" s="83">
        <f t="shared" si="639"/>
        <v>0</v>
      </c>
      <c r="AO1828" s="22" t="str">
        <f t="shared" si="640"/>
        <v/>
      </c>
      <c r="AP1828" s="22" t="str">
        <f t="shared" si="641"/>
        <v/>
      </c>
    </row>
    <row r="1829" spans="1:42" x14ac:dyDescent="0.25">
      <c r="A1829" s="10"/>
      <c r="B1829" s="10"/>
      <c r="C1829" s="10"/>
      <c r="D1829" s="10"/>
      <c r="E1829" s="10"/>
      <c r="F1829" s="10"/>
      <c r="G1829" s="10"/>
      <c r="H1829" s="17"/>
      <c r="I1829" s="10"/>
      <c r="J1829" s="10"/>
      <c r="K1829" s="16" t="str">
        <f t="shared" si="620"/>
        <v/>
      </c>
      <c r="L1829" s="23" t="str">
        <f t="shared" si="621"/>
        <v/>
      </c>
      <c r="M1829" s="22" t="str">
        <f t="shared" si="622"/>
        <v/>
      </c>
      <c r="N1829" s="72"/>
      <c r="O1829" s="16" t="str">
        <f t="shared" si="623"/>
        <v/>
      </c>
      <c r="P1829" s="16" t="str">
        <f t="shared" si="624"/>
        <v/>
      </c>
      <c r="Q1829" s="16" t="str">
        <f t="shared" si="625"/>
        <v/>
      </c>
      <c r="R1829" s="23" t="str">
        <f t="shared" si="626"/>
        <v/>
      </c>
      <c r="S1829" s="23" t="str">
        <f t="shared" si="627"/>
        <v/>
      </c>
      <c r="T1829" s="23" t="str">
        <f t="shared" si="628"/>
        <v/>
      </c>
      <c r="U1829" s="23" t="str">
        <f t="shared" si="629"/>
        <v/>
      </c>
      <c r="V1829" s="23" t="str">
        <f t="shared" si="630"/>
        <v/>
      </c>
      <c r="W1829" s="70" t="str">
        <f t="shared" si="631"/>
        <v/>
      </c>
      <c r="X1829" s="70" t="str">
        <f t="shared" si="632"/>
        <v/>
      </c>
      <c r="Y1829" s="70" t="str">
        <f>IF(AND($A1829&lt;&gt;"",$E1829&gt;0),isLaptopBag($C1829,$J1829)*$D1829,"")</f>
        <v/>
      </c>
      <c r="Z1829" s="70" t="str">
        <f t="shared" si="633"/>
        <v/>
      </c>
      <c r="AA1829" s="70" t="str">
        <f t="shared" si="634"/>
        <v/>
      </c>
      <c r="AB1829" s="70" t="str">
        <f t="shared" si="635"/>
        <v/>
      </c>
      <c r="AC1829" s="70" t="str">
        <f t="shared" si="636"/>
        <v/>
      </c>
      <c r="AD1829" s="70" t="str">
        <f t="shared" si="637"/>
        <v/>
      </c>
      <c r="AE1829" s="70" t="str">
        <f t="shared" si="638"/>
        <v/>
      </c>
      <c r="AF1829" s="16"/>
      <c r="AG1829" s="23"/>
      <c r="AH1829" s="22"/>
      <c r="AJ1829" s="83">
        <f t="shared" si="639"/>
        <v>0</v>
      </c>
      <c r="AO1829" s="22" t="str">
        <f t="shared" si="640"/>
        <v/>
      </c>
      <c r="AP1829" s="22" t="str">
        <f t="shared" si="641"/>
        <v/>
      </c>
    </row>
    <row r="1830" spans="1:42" x14ac:dyDescent="0.25">
      <c r="A1830" s="10"/>
      <c r="B1830" s="10"/>
      <c r="C1830" s="10"/>
      <c r="D1830" s="10"/>
      <c r="E1830" s="10"/>
      <c r="F1830" s="10"/>
      <c r="G1830" s="10"/>
      <c r="H1830" s="17"/>
      <c r="I1830" s="10"/>
      <c r="J1830" s="10"/>
      <c r="K1830" s="16" t="str">
        <f t="shared" si="620"/>
        <v/>
      </c>
      <c r="L1830" s="23" t="str">
        <f t="shared" si="621"/>
        <v/>
      </c>
      <c r="M1830" s="22" t="str">
        <f t="shared" si="622"/>
        <v/>
      </c>
      <c r="N1830" s="72"/>
      <c r="O1830" s="16" t="str">
        <f t="shared" si="623"/>
        <v/>
      </c>
      <c r="P1830" s="16" t="str">
        <f t="shared" si="624"/>
        <v/>
      </c>
      <c r="Q1830" s="16" t="str">
        <f t="shared" si="625"/>
        <v/>
      </c>
      <c r="R1830" s="23" t="str">
        <f t="shared" si="626"/>
        <v/>
      </c>
      <c r="S1830" s="23" t="str">
        <f t="shared" si="627"/>
        <v/>
      </c>
      <c r="T1830" s="23" t="str">
        <f t="shared" si="628"/>
        <v/>
      </c>
      <c r="U1830" s="23" t="str">
        <f t="shared" si="629"/>
        <v/>
      </c>
      <c r="V1830" s="23" t="str">
        <f t="shared" si="630"/>
        <v/>
      </c>
      <c r="W1830" s="70" t="str">
        <f t="shared" si="631"/>
        <v/>
      </c>
      <c r="X1830" s="70" t="str">
        <f t="shared" si="632"/>
        <v/>
      </c>
      <c r="Y1830" s="70" t="str">
        <f>IF(AND($A1830&lt;&gt;"",$E1830&gt;0),isLaptopBag($C1830,$J1830)*$D1830,"")</f>
        <v/>
      </c>
      <c r="Z1830" s="70" t="str">
        <f t="shared" si="633"/>
        <v/>
      </c>
      <c r="AA1830" s="70" t="str">
        <f t="shared" si="634"/>
        <v/>
      </c>
      <c r="AB1830" s="70" t="str">
        <f t="shared" si="635"/>
        <v/>
      </c>
      <c r="AC1830" s="70" t="str">
        <f t="shared" si="636"/>
        <v/>
      </c>
      <c r="AD1830" s="70" t="str">
        <f t="shared" si="637"/>
        <v/>
      </c>
      <c r="AE1830" s="70" t="str">
        <f t="shared" si="638"/>
        <v/>
      </c>
      <c r="AF1830" s="16"/>
      <c r="AG1830" s="23"/>
      <c r="AH1830" s="22"/>
      <c r="AJ1830" s="83">
        <f t="shared" si="639"/>
        <v>0</v>
      </c>
      <c r="AO1830" s="22" t="str">
        <f t="shared" si="640"/>
        <v/>
      </c>
      <c r="AP1830" s="22" t="str">
        <f t="shared" si="641"/>
        <v/>
      </c>
    </row>
    <row r="1831" spans="1:42" x14ac:dyDescent="0.25">
      <c r="A1831" s="10"/>
      <c r="B1831" s="10"/>
      <c r="C1831" s="10"/>
      <c r="D1831" s="10"/>
      <c r="E1831" s="10"/>
      <c r="F1831" s="10"/>
      <c r="G1831" s="10"/>
      <c r="H1831" s="17"/>
      <c r="I1831" s="10"/>
      <c r="J1831" s="10"/>
      <c r="K1831" s="16" t="str">
        <f t="shared" si="620"/>
        <v/>
      </c>
      <c r="L1831" s="23" t="str">
        <f t="shared" si="621"/>
        <v/>
      </c>
      <c r="M1831" s="22" t="str">
        <f t="shared" si="622"/>
        <v/>
      </c>
      <c r="N1831" s="72"/>
      <c r="O1831" s="16" t="str">
        <f t="shared" si="623"/>
        <v/>
      </c>
      <c r="P1831" s="16" t="str">
        <f t="shared" si="624"/>
        <v/>
      </c>
      <c r="Q1831" s="16" t="str">
        <f t="shared" si="625"/>
        <v/>
      </c>
      <c r="R1831" s="23" t="str">
        <f t="shared" si="626"/>
        <v/>
      </c>
      <c r="S1831" s="23" t="str">
        <f t="shared" si="627"/>
        <v/>
      </c>
      <c r="T1831" s="23" t="str">
        <f t="shared" si="628"/>
        <v/>
      </c>
      <c r="U1831" s="23" t="str">
        <f t="shared" si="629"/>
        <v/>
      </c>
      <c r="V1831" s="23" t="str">
        <f t="shared" si="630"/>
        <v/>
      </c>
      <c r="W1831" s="70" t="str">
        <f t="shared" si="631"/>
        <v/>
      </c>
      <c r="X1831" s="70" t="str">
        <f t="shared" si="632"/>
        <v/>
      </c>
      <c r="Y1831" s="70" t="str">
        <f>IF(AND($A1831&lt;&gt;"",$E1831&gt;0),isLaptopBag($C1831,$J1831)*$D1831,"")</f>
        <v/>
      </c>
      <c r="Z1831" s="70" t="str">
        <f t="shared" si="633"/>
        <v/>
      </c>
      <c r="AA1831" s="70" t="str">
        <f t="shared" si="634"/>
        <v/>
      </c>
      <c r="AB1831" s="70" t="str">
        <f t="shared" si="635"/>
        <v/>
      </c>
      <c r="AC1831" s="70" t="str">
        <f t="shared" si="636"/>
        <v/>
      </c>
      <c r="AD1831" s="70" t="str">
        <f t="shared" si="637"/>
        <v/>
      </c>
      <c r="AE1831" s="70" t="str">
        <f t="shared" si="638"/>
        <v/>
      </c>
      <c r="AF1831" s="16"/>
      <c r="AG1831" s="23"/>
      <c r="AH1831" s="22"/>
      <c r="AJ1831" s="83">
        <f t="shared" si="639"/>
        <v>0</v>
      </c>
      <c r="AO1831" s="22" t="str">
        <f t="shared" si="640"/>
        <v/>
      </c>
      <c r="AP1831" s="22" t="str">
        <f t="shared" si="641"/>
        <v/>
      </c>
    </row>
    <row r="1832" spans="1:42" x14ac:dyDescent="0.25">
      <c r="A1832" s="10"/>
      <c r="B1832" s="10"/>
      <c r="C1832" s="10"/>
      <c r="D1832" s="10"/>
      <c r="E1832" s="10"/>
      <c r="F1832" s="10"/>
      <c r="G1832" s="10"/>
      <c r="H1832" s="17"/>
      <c r="I1832" s="10"/>
      <c r="J1832" s="10"/>
      <c r="K1832" s="16" t="str">
        <f t="shared" si="620"/>
        <v/>
      </c>
      <c r="L1832" s="23" t="str">
        <f t="shared" si="621"/>
        <v/>
      </c>
      <c r="M1832" s="22" t="str">
        <f t="shared" si="622"/>
        <v/>
      </c>
      <c r="N1832" s="72"/>
      <c r="O1832" s="16" t="str">
        <f t="shared" si="623"/>
        <v/>
      </c>
      <c r="P1832" s="16" t="str">
        <f t="shared" si="624"/>
        <v/>
      </c>
      <c r="Q1832" s="16" t="str">
        <f t="shared" si="625"/>
        <v/>
      </c>
      <c r="R1832" s="23" t="str">
        <f t="shared" si="626"/>
        <v/>
      </c>
      <c r="S1832" s="23" t="str">
        <f t="shared" si="627"/>
        <v/>
      </c>
      <c r="T1832" s="23" t="str">
        <f t="shared" si="628"/>
        <v/>
      </c>
      <c r="U1832" s="23" t="str">
        <f t="shared" si="629"/>
        <v/>
      </c>
      <c r="V1832" s="23" t="str">
        <f t="shared" si="630"/>
        <v/>
      </c>
      <c r="W1832" s="70" t="str">
        <f t="shared" si="631"/>
        <v/>
      </c>
      <c r="X1832" s="70" t="str">
        <f t="shared" si="632"/>
        <v/>
      </c>
      <c r="Y1832" s="70" t="str">
        <f>IF(AND($A1832&lt;&gt;"",$E1832&gt;0),isLaptopBag($C1832,$J1832)*$D1832,"")</f>
        <v/>
      </c>
      <c r="Z1832" s="70" t="str">
        <f t="shared" si="633"/>
        <v/>
      </c>
      <c r="AA1832" s="70" t="str">
        <f t="shared" si="634"/>
        <v/>
      </c>
      <c r="AB1832" s="70" t="str">
        <f t="shared" si="635"/>
        <v/>
      </c>
      <c r="AC1832" s="70" t="str">
        <f t="shared" si="636"/>
        <v/>
      </c>
      <c r="AD1832" s="70" t="str">
        <f t="shared" si="637"/>
        <v/>
      </c>
      <c r="AE1832" s="70" t="str">
        <f t="shared" si="638"/>
        <v/>
      </c>
      <c r="AF1832" s="16"/>
      <c r="AG1832" s="23"/>
      <c r="AH1832" s="22"/>
      <c r="AJ1832" s="83">
        <f t="shared" si="639"/>
        <v>0</v>
      </c>
      <c r="AO1832" s="22" t="str">
        <f t="shared" si="640"/>
        <v/>
      </c>
      <c r="AP1832" s="22" t="str">
        <f t="shared" si="641"/>
        <v/>
      </c>
    </row>
    <row r="1833" spans="1:42" x14ac:dyDescent="0.25">
      <c r="A1833" s="10"/>
      <c r="B1833" s="10"/>
      <c r="C1833" s="10"/>
      <c r="D1833" s="10"/>
      <c r="E1833" s="10"/>
      <c r="F1833" s="10"/>
      <c r="G1833" s="10"/>
      <c r="H1833" s="17"/>
      <c r="I1833" s="10"/>
      <c r="J1833" s="10"/>
      <c r="K1833" s="16" t="str">
        <f t="shared" si="620"/>
        <v/>
      </c>
      <c r="L1833" s="23" t="str">
        <f t="shared" si="621"/>
        <v/>
      </c>
      <c r="M1833" s="22" t="str">
        <f t="shared" si="622"/>
        <v/>
      </c>
      <c r="N1833" s="72"/>
      <c r="O1833" s="16" t="str">
        <f t="shared" si="623"/>
        <v/>
      </c>
      <c r="P1833" s="16" t="str">
        <f t="shared" si="624"/>
        <v/>
      </c>
      <c r="Q1833" s="16" t="str">
        <f t="shared" si="625"/>
        <v/>
      </c>
      <c r="R1833" s="23" t="str">
        <f t="shared" si="626"/>
        <v/>
      </c>
      <c r="S1833" s="23" t="str">
        <f t="shared" si="627"/>
        <v/>
      </c>
      <c r="T1833" s="23" t="str">
        <f t="shared" si="628"/>
        <v/>
      </c>
      <c r="U1833" s="23" t="str">
        <f t="shared" si="629"/>
        <v/>
      </c>
      <c r="V1833" s="23" t="str">
        <f t="shared" si="630"/>
        <v/>
      </c>
      <c r="W1833" s="70" t="str">
        <f t="shared" si="631"/>
        <v/>
      </c>
      <c r="X1833" s="70" t="str">
        <f t="shared" si="632"/>
        <v/>
      </c>
      <c r="Y1833" s="70" t="str">
        <f>IF(AND($A1833&lt;&gt;"",$E1833&gt;0),isLaptopBag($C1833,$J1833)*$D1833,"")</f>
        <v/>
      </c>
      <c r="Z1833" s="70" t="str">
        <f t="shared" si="633"/>
        <v/>
      </c>
      <c r="AA1833" s="70" t="str">
        <f t="shared" si="634"/>
        <v/>
      </c>
      <c r="AB1833" s="70" t="str">
        <f t="shared" si="635"/>
        <v/>
      </c>
      <c r="AC1833" s="70" t="str">
        <f t="shared" si="636"/>
        <v/>
      </c>
      <c r="AD1833" s="70" t="str">
        <f t="shared" si="637"/>
        <v/>
      </c>
      <c r="AE1833" s="70" t="str">
        <f t="shared" si="638"/>
        <v/>
      </c>
      <c r="AF1833" s="16"/>
      <c r="AG1833" s="23"/>
      <c r="AH1833" s="22"/>
      <c r="AJ1833" s="83">
        <f t="shared" si="639"/>
        <v>0</v>
      </c>
      <c r="AO1833" s="22" t="str">
        <f t="shared" si="640"/>
        <v/>
      </c>
      <c r="AP1833" s="22" t="str">
        <f t="shared" si="641"/>
        <v/>
      </c>
    </row>
    <row r="1834" spans="1:42" x14ac:dyDescent="0.25">
      <c r="A1834" s="10"/>
      <c r="B1834" s="10"/>
      <c r="C1834" s="10"/>
      <c r="D1834" s="10"/>
      <c r="E1834" s="10"/>
      <c r="F1834" s="10"/>
      <c r="G1834" s="10"/>
      <c r="H1834" s="17"/>
      <c r="I1834" s="10"/>
      <c r="J1834" s="10"/>
      <c r="K1834" s="16" t="str">
        <f t="shared" si="620"/>
        <v/>
      </c>
      <c r="L1834" s="23" t="str">
        <f t="shared" si="621"/>
        <v/>
      </c>
      <c r="M1834" s="22" t="str">
        <f t="shared" si="622"/>
        <v/>
      </c>
      <c r="N1834" s="72"/>
      <c r="O1834" s="16" t="str">
        <f t="shared" si="623"/>
        <v/>
      </c>
      <c r="P1834" s="16" t="str">
        <f t="shared" si="624"/>
        <v/>
      </c>
      <c r="Q1834" s="16" t="str">
        <f t="shared" si="625"/>
        <v/>
      </c>
      <c r="R1834" s="23" t="str">
        <f t="shared" si="626"/>
        <v/>
      </c>
      <c r="S1834" s="23" t="str">
        <f t="shared" si="627"/>
        <v/>
      </c>
      <c r="T1834" s="23" t="str">
        <f t="shared" si="628"/>
        <v/>
      </c>
      <c r="U1834" s="23" t="str">
        <f t="shared" si="629"/>
        <v/>
      </c>
      <c r="V1834" s="23" t="str">
        <f t="shared" si="630"/>
        <v/>
      </c>
      <c r="W1834" s="70" t="str">
        <f t="shared" si="631"/>
        <v/>
      </c>
      <c r="X1834" s="70" t="str">
        <f t="shared" si="632"/>
        <v/>
      </c>
      <c r="Y1834" s="70" t="str">
        <f>IF(AND($A1834&lt;&gt;"",$E1834&gt;0),isLaptopBag($C1834,$J1834)*$D1834,"")</f>
        <v/>
      </c>
      <c r="Z1834" s="70" t="str">
        <f t="shared" si="633"/>
        <v/>
      </c>
      <c r="AA1834" s="70" t="str">
        <f t="shared" si="634"/>
        <v/>
      </c>
      <c r="AB1834" s="70" t="str">
        <f t="shared" si="635"/>
        <v/>
      </c>
      <c r="AC1834" s="70" t="str">
        <f t="shared" si="636"/>
        <v/>
      </c>
      <c r="AD1834" s="70" t="str">
        <f t="shared" si="637"/>
        <v/>
      </c>
      <c r="AE1834" s="70" t="str">
        <f t="shared" si="638"/>
        <v/>
      </c>
      <c r="AF1834" s="16"/>
      <c r="AG1834" s="23"/>
      <c r="AH1834" s="22"/>
      <c r="AJ1834" s="83">
        <f t="shared" si="639"/>
        <v>0</v>
      </c>
      <c r="AO1834" s="22" t="str">
        <f t="shared" si="640"/>
        <v/>
      </c>
      <c r="AP1834" s="22" t="str">
        <f t="shared" si="641"/>
        <v/>
      </c>
    </row>
    <row r="1835" spans="1:42" x14ac:dyDescent="0.25">
      <c r="A1835" s="10"/>
      <c r="B1835" s="10"/>
      <c r="C1835" s="10"/>
      <c r="D1835" s="10"/>
      <c r="E1835" s="10"/>
      <c r="F1835" s="10"/>
      <c r="G1835" s="10"/>
      <c r="H1835" s="17"/>
      <c r="I1835" s="10"/>
      <c r="J1835" s="10"/>
      <c r="K1835" s="16" t="str">
        <f t="shared" si="620"/>
        <v/>
      </c>
      <c r="L1835" s="23" t="str">
        <f t="shared" si="621"/>
        <v/>
      </c>
      <c r="M1835" s="22" t="str">
        <f t="shared" si="622"/>
        <v/>
      </c>
      <c r="N1835" s="72"/>
      <c r="O1835" s="16" t="str">
        <f t="shared" si="623"/>
        <v/>
      </c>
      <c r="P1835" s="16" t="str">
        <f t="shared" si="624"/>
        <v/>
      </c>
      <c r="Q1835" s="16" t="str">
        <f t="shared" si="625"/>
        <v/>
      </c>
      <c r="R1835" s="23" t="str">
        <f t="shared" si="626"/>
        <v/>
      </c>
      <c r="S1835" s="23" t="str">
        <f t="shared" si="627"/>
        <v/>
      </c>
      <c r="T1835" s="23" t="str">
        <f t="shared" si="628"/>
        <v/>
      </c>
      <c r="U1835" s="23" t="str">
        <f t="shared" si="629"/>
        <v/>
      </c>
      <c r="V1835" s="23" t="str">
        <f t="shared" si="630"/>
        <v/>
      </c>
      <c r="W1835" s="70" t="str">
        <f t="shared" si="631"/>
        <v/>
      </c>
      <c r="X1835" s="70" t="str">
        <f t="shared" si="632"/>
        <v/>
      </c>
      <c r="Y1835" s="70" t="str">
        <f>IF(AND($A1835&lt;&gt;"",$E1835&gt;0),isLaptopBag($C1835,$J1835)*$D1835,"")</f>
        <v/>
      </c>
      <c r="Z1835" s="70" t="str">
        <f t="shared" si="633"/>
        <v/>
      </c>
      <c r="AA1835" s="70" t="str">
        <f t="shared" si="634"/>
        <v/>
      </c>
      <c r="AB1835" s="70" t="str">
        <f t="shared" si="635"/>
        <v/>
      </c>
      <c r="AC1835" s="70" t="str">
        <f t="shared" si="636"/>
        <v/>
      </c>
      <c r="AD1835" s="70" t="str">
        <f t="shared" si="637"/>
        <v/>
      </c>
      <c r="AE1835" s="70" t="str">
        <f t="shared" si="638"/>
        <v/>
      </c>
      <c r="AF1835" s="16"/>
      <c r="AG1835" s="23"/>
      <c r="AH1835" s="22"/>
      <c r="AJ1835" s="83">
        <f t="shared" si="639"/>
        <v>0</v>
      </c>
      <c r="AO1835" s="22" t="str">
        <f t="shared" si="640"/>
        <v/>
      </c>
      <c r="AP1835" s="22" t="str">
        <f t="shared" si="641"/>
        <v/>
      </c>
    </row>
    <row r="1836" spans="1:42" x14ac:dyDescent="0.25">
      <c r="A1836" s="10"/>
      <c r="B1836" s="10"/>
      <c r="C1836" s="10"/>
      <c r="D1836" s="10"/>
      <c r="E1836" s="10"/>
      <c r="F1836" s="10"/>
      <c r="G1836" s="10"/>
      <c r="H1836" s="17"/>
      <c r="I1836" s="10"/>
      <c r="J1836" s="10"/>
      <c r="K1836" s="16" t="str">
        <f t="shared" si="620"/>
        <v/>
      </c>
      <c r="L1836" s="23" t="str">
        <f t="shared" si="621"/>
        <v/>
      </c>
      <c r="M1836" s="22" t="str">
        <f t="shared" si="622"/>
        <v/>
      </c>
      <c r="N1836" s="72"/>
      <c r="O1836" s="16" t="str">
        <f t="shared" si="623"/>
        <v/>
      </c>
      <c r="P1836" s="16" t="str">
        <f t="shared" si="624"/>
        <v/>
      </c>
      <c r="Q1836" s="16" t="str">
        <f t="shared" si="625"/>
        <v/>
      </c>
      <c r="R1836" s="23" t="str">
        <f t="shared" si="626"/>
        <v/>
      </c>
      <c r="S1836" s="23" t="str">
        <f t="shared" si="627"/>
        <v/>
      </c>
      <c r="T1836" s="23" t="str">
        <f t="shared" si="628"/>
        <v/>
      </c>
      <c r="U1836" s="23" t="str">
        <f t="shared" si="629"/>
        <v/>
      </c>
      <c r="V1836" s="23" t="str">
        <f t="shared" si="630"/>
        <v/>
      </c>
      <c r="W1836" s="70" t="str">
        <f t="shared" si="631"/>
        <v/>
      </c>
      <c r="X1836" s="70" t="str">
        <f t="shared" si="632"/>
        <v/>
      </c>
      <c r="Y1836" s="70" t="str">
        <f>IF(AND($A1836&lt;&gt;"",$E1836&gt;0),isLaptopBag($C1836,$J1836)*$D1836,"")</f>
        <v/>
      </c>
      <c r="Z1836" s="70" t="str">
        <f t="shared" si="633"/>
        <v/>
      </c>
      <c r="AA1836" s="70" t="str">
        <f t="shared" si="634"/>
        <v/>
      </c>
      <c r="AB1836" s="70" t="str">
        <f t="shared" si="635"/>
        <v/>
      </c>
      <c r="AC1836" s="70" t="str">
        <f t="shared" si="636"/>
        <v/>
      </c>
      <c r="AD1836" s="70" t="str">
        <f t="shared" si="637"/>
        <v/>
      </c>
      <c r="AE1836" s="70" t="str">
        <f t="shared" si="638"/>
        <v/>
      </c>
      <c r="AF1836" s="16"/>
      <c r="AG1836" s="23"/>
      <c r="AH1836" s="22"/>
      <c r="AJ1836" s="83">
        <f t="shared" si="639"/>
        <v>0</v>
      </c>
      <c r="AO1836" s="22" t="str">
        <f t="shared" si="640"/>
        <v/>
      </c>
      <c r="AP1836" s="22" t="str">
        <f t="shared" si="641"/>
        <v/>
      </c>
    </row>
    <row r="1837" spans="1:42" x14ac:dyDescent="0.25">
      <c r="A1837" s="10"/>
      <c r="B1837" s="10"/>
      <c r="C1837" s="10"/>
      <c r="D1837" s="10"/>
      <c r="E1837" s="10"/>
      <c r="F1837" s="10"/>
      <c r="G1837" s="10"/>
      <c r="H1837" s="17"/>
      <c r="I1837" s="10"/>
      <c r="J1837" s="10"/>
      <c r="K1837" s="16" t="str">
        <f t="shared" si="620"/>
        <v/>
      </c>
      <c r="L1837" s="23" t="str">
        <f t="shared" si="621"/>
        <v/>
      </c>
      <c r="M1837" s="22" t="str">
        <f t="shared" si="622"/>
        <v/>
      </c>
      <c r="N1837" s="72"/>
      <c r="O1837" s="16" t="str">
        <f t="shared" si="623"/>
        <v/>
      </c>
      <c r="P1837" s="16" t="str">
        <f t="shared" si="624"/>
        <v/>
      </c>
      <c r="Q1837" s="16" t="str">
        <f t="shared" si="625"/>
        <v/>
      </c>
      <c r="R1837" s="23" t="str">
        <f t="shared" si="626"/>
        <v/>
      </c>
      <c r="S1837" s="23" t="str">
        <f t="shared" si="627"/>
        <v/>
      </c>
      <c r="T1837" s="23" t="str">
        <f t="shared" si="628"/>
        <v/>
      </c>
      <c r="U1837" s="23" t="str">
        <f t="shared" si="629"/>
        <v/>
      </c>
      <c r="V1837" s="23" t="str">
        <f t="shared" si="630"/>
        <v/>
      </c>
      <c r="W1837" s="70" t="str">
        <f t="shared" si="631"/>
        <v/>
      </c>
      <c r="X1837" s="70" t="str">
        <f t="shared" si="632"/>
        <v/>
      </c>
      <c r="Y1837" s="70" t="str">
        <f>IF(AND($A1837&lt;&gt;"",$E1837&gt;0),isLaptopBag($C1837,$J1837)*$D1837,"")</f>
        <v/>
      </c>
      <c r="Z1837" s="70" t="str">
        <f t="shared" si="633"/>
        <v/>
      </c>
      <c r="AA1837" s="70" t="str">
        <f t="shared" si="634"/>
        <v/>
      </c>
      <c r="AB1837" s="70" t="str">
        <f t="shared" si="635"/>
        <v/>
      </c>
      <c r="AC1837" s="70" t="str">
        <f t="shared" si="636"/>
        <v/>
      </c>
      <c r="AD1837" s="70" t="str">
        <f t="shared" si="637"/>
        <v/>
      </c>
      <c r="AE1837" s="70" t="str">
        <f t="shared" si="638"/>
        <v/>
      </c>
      <c r="AF1837" s="16"/>
      <c r="AG1837" s="23"/>
      <c r="AH1837" s="22"/>
      <c r="AJ1837" s="83">
        <f t="shared" si="639"/>
        <v>0</v>
      </c>
      <c r="AO1837" s="22" t="str">
        <f t="shared" si="640"/>
        <v/>
      </c>
      <c r="AP1837" s="22" t="str">
        <f t="shared" si="641"/>
        <v/>
      </c>
    </row>
    <row r="1838" spans="1:42" x14ac:dyDescent="0.25">
      <c r="A1838" s="10"/>
      <c r="B1838" s="10"/>
      <c r="C1838" s="10"/>
      <c r="D1838" s="10"/>
      <c r="E1838" s="10"/>
      <c r="F1838" s="10"/>
      <c r="G1838" s="10"/>
      <c r="H1838" s="17"/>
      <c r="I1838" s="10"/>
      <c r="J1838" s="10"/>
      <c r="K1838" s="16" t="str">
        <f t="shared" si="620"/>
        <v/>
      </c>
      <c r="L1838" s="23" t="str">
        <f t="shared" si="621"/>
        <v/>
      </c>
      <c r="M1838" s="22" t="str">
        <f t="shared" si="622"/>
        <v/>
      </c>
      <c r="N1838" s="72"/>
      <c r="O1838" s="16" t="str">
        <f t="shared" si="623"/>
        <v/>
      </c>
      <c r="P1838" s="16" t="str">
        <f t="shared" si="624"/>
        <v/>
      </c>
      <c r="Q1838" s="16" t="str">
        <f t="shared" si="625"/>
        <v/>
      </c>
      <c r="R1838" s="23" t="str">
        <f t="shared" si="626"/>
        <v/>
      </c>
      <c r="S1838" s="23" t="str">
        <f t="shared" si="627"/>
        <v/>
      </c>
      <c r="T1838" s="23" t="str">
        <f t="shared" si="628"/>
        <v/>
      </c>
      <c r="U1838" s="23" t="str">
        <f t="shared" si="629"/>
        <v/>
      </c>
      <c r="V1838" s="23" t="str">
        <f t="shared" si="630"/>
        <v/>
      </c>
      <c r="W1838" s="70" t="str">
        <f t="shared" si="631"/>
        <v/>
      </c>
      <c r="X1838" s="70" t="str">
        <f t="shared" si="632"/>
        <v/>
      </c>
      <c r="Y1838" s="70" t="str">
        <f>IF(AND($A1838&lt;&gt;"",$E1838&gt;0),isLaptopBag($C1838,$J1838)*$D1838,"")</f>
        <v/>
      </c>
      <c r="Z1838" s="70" t="str">
        <f t="shared" si="633"/>
        <v/>
      </c>
      <c r="AA1838" s="70" t="str">
        <f t="shared" si="634"/>
        <v/>
      </c>
      <c r="AB1838" s="70" t="str">
        <f t="shared" si="635"/>
        <v/>
      </c>
      <c r="AC1838" s="70" t="str">
        <f t="shared" si="636"/>
        <v/>
      </c>
      <c r="AD1838" s="70" t="str">
        <f t="shared" si="637"/>
        <v/>
      </c>
      <c r="AE1838" s="70" t="str">
        <f t="shared" si="638"/>
        <v/>
      </c>
      <c r="AF1838" s="16"/>
      <c r="AG1838" s="23"/>
      <c r="AH1838" s="22"/>
      <c r="AJ1838" s="83">
        <f t="shared" si="639"/>
        <v>0</v>
      </c>
      <c r="AO1838" s="22" t="str">
        <f t="shared" si="640"/>
        <v/>
      </c>
      <c r="AP1838" s="22" t="str">
        <f t="shared" si="641"/>
        <v/>
      </c>
    </row>
    <row r="1839" spans="1:42" x14ac:dyDescent="0.25">
      <c r="A1839" s="10"/>
      <c r="B1839" s="10"/>
      <c r="C1839" s="10"/>
      <c r="D1839" s="10"/>
      <c r="E1839" s="10"/>
      <c r="F1839" s="10"/>
      <c r="G1839" s="10"/>
      <c r="H1839" s="17"/>
      <c r="I1839" s="10"/>
      <c r="J1839" s="10"/>
      <c r="K1839" s="16" t="str">
        <f t="shared" si="620"/>
        <v/>
      </c>
      <c r="L1839" s="23" t="str">
        <f t="shared" si="621"/>
        <v/>
      </c>
      <c r="M1839" s="22" t="str">
        <f t="shared" si="622"/>
        <v/>
      </c>
      <c r="N1839" s="72"/>
      <c r="O1839" s="16" t="str">
        <f t="shared" si="623"/>
        <v/>
      </c>
      <c r="P1839" s="16" t="str">
        <f t="shared" si="624"/>
        <v/>
      </c>
      <c r="Q1839" s="16" t="str">
        <f t="shared" si="625"/>
        <v/>
      </c>
      <c r="R1839" s="23" t="str">
        <f t="shared" si="626"/>
        <v/>
      </c>
      <c r="S1839" s="23" t="str">
        <f t="shared" si="627"/>
        <v/>
      </c>
      <c r="T1839" s="23" t="str">
        <f t="shared" si="628"/>
        <v/>
      </c>
      <c r="U1839" s="23" t="str">
        <f t="shared" si="629"/>
        <v/>
      </c>
      <c r="V1839" s="23" t="str">
        <f t="shared" si="630"/>
        <v/>
      </c>
      <c r="W1839" s="70" t="str">
        <f t="shared" si="631"/>
        <v/>
      </c>
      <c r="X1839" s="70" t="str">
        <f t="shared" si="632"/>
        <v/>
      </c>
      <c r="Y1839" s="70" t="str">
        <f>IF(AND($A1839&lt;&gt;"",$E1839&gt;0),isLaptopBag($C1839,$J1839)*$D1839,"")</f>
        <v/>
      </c>
      <c r="Z1839" s="70" t="str">
        <f t="shared" si="633"/>
        <v/>
      </c>
      <c r="AA1839" s="70" t="str">
        <f t="shared" si="634"/>
        <v/>
      </c>
      <c r="AB1839" s="70" t="str">
        <f t="shared" si="635"/>
        <v/>
      </c>
      <c r="AC1839" s="70" t="str">
        <f t="shared" si="636"/>
        <v/>
      </c>
      <c r="AD1839" s="70" t="str">
        <f t="shared" si="637"/>
        <v/>
      </c>
      <c r="AE1839" s="70" t="str">
        <f t="shared" si="638"/>
        <v/>
      </c>
      <c r="AF1839" s="16"/>
      <c r="AG1839" s="23"/>
      <c r="AH1839" s="22"/>
      <c r="AJ1839" s="83">
        <f t="shared" si="639"/>
        <v>0</v>
      </c>
      <c r="AO1839" s="22" t="str">
        <f t="shared" si="640"/>
        <v/>
      </c>
      <c r="AP1839" s="22" t="str">
        <f t="shared" si="641"/>
        <v/>
      </c>
    </row>
    <row r="1840" spans="1:42" x14ac:dyDescent="0.25">
      <c r="A1840" s="10"/>
      <c r="B1840" s="10"/>
      <c r="C1840" s="10"/>
      <c r="D1840" s="10"/>
      <c r="E1840" s="10"/>
      <c r="F1840" s="10"/>
      <c r="G1840" s="10"/>
      <c r="H1840" s="17"/>
      <c r="I1840" s="10"/>
      <c r="J1840" s="10"/>
      <c r="K1840" s="16" t="str">
        <f t="shared" si="620"/>
        <v/>
      </c>
      <c r="L1840" s="23" t="str">
        <f t="shared" si="621"/>
        <v/>
      </c>
      <c r="M1840" s="22" t="str">
        <f t="shared" si="622"/>
        <v/>
      </c>
      <c r="N1840" s="72"/>
      <c r="O1840" s="16" t="str">
        <f t="shared" si="623"/>
        <v/>
      </c>
      <c r="P1840" s="16" t="str">
        <f t="shared" si="624"/>
        <v/>
      </c>
      <c r="Q1840" s="16" t="str">
        <f t="shared" si="625"/>
        <v/>
      </c>
      <c r="R1840" s="23" t="str">
        <f t="shared" si="626"/>
        <v/>
      </c>
      <c r="S1840" s="23" t="str">
        <f t="shared" si="627"/>
        <v/>
      </c>
      <c r="T1840" s="23" t="str">
        <f t="shared" si="628"/>
        <v/>
      </c>
      <c r="U1840" s="23" t="str">
        <f t="shared" si="629"/>
        <v/>
      </c>
      <c r="V1840" s="23" t="str">
        <f t="shared" si="630"/>
        <v/>
      </c>
      <c r="W1840" s="70" t="str">
        <f t="shared" si="631"/>
        <v/>
      </c>
      <c r="X1840" s="70" t="str">
        <f t="shared" si="632"/>
        <v/>
      </c>
      <c r="Y1840" s="70" t="str">
        <f>IF(AND($A1840&lt;&gt;"",$E1840&gt;0),isLaptopBag($C1840,$J1840)*$D1840,"")</f>
        <v/>
      </c>
      <c r="Z1840" s="70" t="str">
        <f t="shared" si="633"/>
        <v/>
      </c>
      <c r="AA1840" s="70" t="str">
        <f t="shared" si="634"/>
        <v/>
      </c>
      <c r="AB1840" s="70" t="str">
        <f t="shared" si="635"/>
        <v/>
      </c>
      <c r="AC1840" s="70" t="str">
        <f t="shared" si="636"/>
        <v/>
      </c>
      <c r="AD1840" s="70" t="str">
        <f t="shared" si="637"/>
        <v/>
      </c>
      <c r="AE1840" s="70" t="str">
        <f t="shared" si="638"/>
        <v/>
      </c>
      <c r="AF1840" s="16"/>
      <c r="AG1840" s="23"/>
      <c r="AH1840" s="22"/>
      <c r="AJ1840" s="83">
        <f t="shared" si="639"/>
        <v>0</v>
      </c>
      <c r="AO1840" s="22" t="str">
        <f t="shared" si="640"/>
        <v/>
      </c>
      <c r="AP1840" s="22" t="str">
        <f t="shared" si="641"/>
        <v/>
      </c>
    </row>
    <row r="1841" spans="1:42" x14ac:dyDescent="0.25">
      <c r="A1841" s="10"/>
      <c r="B1841" s="10"/>
      <c r="C1841" s="10"/>
      <c r="D1841" s="10"/>
      <c r="E1841" s="10"/>
      <c r="F1841" s="10"/>
      <c r="G1841" s="10"/>
      <c r="H1841" s="17"/>
      <c r="I1841" s="10"/>
      <c r="J1841" s="10"/>
      <c r="K1841" s="16" t="str">
        <f t="shared" si="620"/>
        <v/>
      </c>
      <c r="L1841" s="23" t="str">
        <f t="shared" si="621"/>
        <v/>
      </c>
      <c r="M1841" s="22" t="str">
        <f t="shared" si="622"/>
        <v/>
      </c>
      <c r="N1841" s="72"/>
      <c r="O1841" s="16" t="str">
        <f t="shared" si="623"/>
        <v/>
      </c>
      <c r="P1841" s="16" t="str">
        <f t="shared" si="624"/>
        <v/>
      </c>
      <c r="Q1841" s="16" t="str">
        <f t="shared" si="625"/>
        <v/>
      </c>
      <c r="R1841" s="23" t="str">
        <f t="shared" si="626"/>
        <v/>
      </c>
      <c r="S1841" s="23" t="str">
        <f t="shared" si="627"/>
        <v/>
      </c>
      <c r="T1841" s="23" t="str">
        <f t="shared" si="628"/>
        <v/>
      </c>
      <c r="U1841" s="23" t="str">
        <f t="shared" si="629"/>
        <v/>
      </c>
      <c r="V1841" s="23" t="str">
        <f t="shared" si="630"/>
        <v/>
      </c>
      <c r="W1841" s="70" t="str">
        <f t="shared" si="631"/>
        <v/>
      </c>
      <c r="X1841" s="70" t="str">
        <f t="shared" si="632"/>
        <v/>
      </c>
      <c r="Y1841" s="70" t="str">
        <f>IF(AND($A1841&lt;&gt;"",$E1841&gt;0),isLaptopBag($C1841,$J1841)*$D1841,"")</f>
        <v/>
      </c>
      <c r="Z1841" s="70" t="str">
        <f t="shared" si="633"/>
        <v/>
      </c>
      <c r="AA1841" s="70" t="str">
        <f t="shared" si="634"/>
        <v/>
      </c>
      <c r="AB1841" s="70" t="str">
        <f t="shared" si="635"/>
        <v/>
      </c>
      <c r="AC1841" s="70" t="str">
        <f t="shared" si="636"/>
        <v/>
      </c>
      <c r="AD1841" s="70" t="str">
        <f t="shared" si="637"/>
        <v/>
      </c>
      <c r="AE1841" s="70" t="str">
        <f t="shared" si="638"/>
        <v/>
      </c>
      <c r="AF1841" s="16"/>
      <c r="AG1841" s="23"/>
      <c r="AH1841" s="22"/>
      <c r="AJ1841" s="83">
        <f t="shared" si="639"/>
        <v>0</v>
      </c>
      <c r="AO1841" s="22" t="str">
        <f t="shared" si="640"/>
        <v/>
      </c>
      <c r="AP1841" s="22" t="str">
        <f t="shared" si="641"/>
        <v/>
      </c>
    </row>
    <row r="1842" spans="1:42" x14ac:dyDescent="0.25">
      <c r="A1842" s="10"/>
      <c r="B1842" s="10"/>
      <c r="C1842" s="10"/>
      <c r="D1842" s="10"/>
      <c r="E1842" s="10"/>
      <c r="F1842" s="10"/>
      <c r="G1842" s="10"/>
      <c r="H1842" s="17"/>
      <c r="I1842" s="10"/>
      <c r="J1842" s="10"/>
      <c r="K1842" s="16" t="str">
        <f t="shared" si="620"/>
        <v/>
      </c>
      <c r="L1842" s="23" t="str">
        <f t="shared" si="621"/>
        <v/>
      </c>
      <c r="M1842" s="22" t="str">
        <f t="shared" si="622"/>
        <v/>
      </c>
      <c r="N1842" s="72"/>
      <c r="O1842" s="16" t="str">
        <f t="shared" si="623"/>
        <v/>
      </c>
      <c r="P1842" s="16" t="str">
        <f t="shared" si="624"/>
        <v/>
      </c>
      <c r="Q1842" s="16" t="str">
        <f t="shared" si="625"/>
        <v/>
      </c>
      <c r="R1842" s="23" t="str">
        <f t="shared" si="626"/>
        <v/>
      </c>
      <c r="S1842" s="23" t="str">
        <f t="shared" si="627"/>
        <v/>
      </c>
      <c r="T1842" s="23" t="str">
        <f t="shared" si="628"/>
        <v/>
      </c>
      <c r="U1842" s="23" t="str">
        <f t="shared" si="629"/>
        <v/>
      </c>
      <c r="V1842" s="23" t="str">
        <f t="shared" si="630"/>
        <v/>
      </c>
      <c r="W1842" s="70" t="str">
        <f t="shared" si="631"/>
        <v/>
      </c>
      <c r="X1842" s="70" t="str">
        <f t="shared" si="632"/>
        <v/>
      </c>
      <c r="Y1842" s="70" t="str">
        <f>IF(AND($A1842&lt;&gt;"",$E1842&gt;0),isLaptopBag($C1842,$J1842)*$D1842,"")</f>
        <v/>
      </c>
      <c r="Z1842" s="70" t="str">
        <f t="shared" si="633"/>
        <v/>
      </c>
      <c r="AA1842" s="70" t="str">
        <f t="shared" si="634"/>
        <v/>
      </c>
      <c r="AB1842" s="70" t="str">
        <f t="shared" si="635"/>
        <v/>
      </c>
      <c r="AC1842" s="70" t="str">
        <f t="shared" si="636"/>
        <v/>
      </c>
      <c r="AD1842" s="70" t="str">
        <f t="shared" si="637"/>
        <v/>
      </c>
      <c r="AE1842" s="70" t="str">
        <f t="shared" si="638"/>
        <v/>
      </c>
      <c r="AF1842" s="16"/>
      <c r="AG1842" s="23"/>
      <c r="AH1842" s="22"/>
      <c r="AJ1842" s="83">
        <f t="shared" si="639"/>
        <v>0</v>
      </c>
      <c r="AO1842" s="22" t="str">
        <f t="shared" si="640"/>
        <v/>
      </c>
      <c r="AP1842" s="22" t="str">
        <f t="shared" si="641"/>
        <v/>
      </c>
    </row>
    <row r="1843" spans="1:42" x14ac:dyDescent="0.25">
      <c r="A1843" s="10"/>
      <c r="B1843" s="10"/>
      <c r="C1843" s="10"/>
      <c r="D1843" s="10"/>
      <c r="E1843" s="10"/>
      <c r="F1843" s="10"/>
      <c r="G1843" s="10"/>
      <c r="H1843" s="17"/>
      <c r="I1843" s="10"/>
      <c r="J1843" s="10"/>
      <c r="K1843" s="16" t="str">
        <f t="shared" si="620"/>
        <v/>
      </c>
      <c r="L1843" s="23" t="str">
        <f t="shared" si="621"/>
        <v/>
      </c>
      <c r="M1843" s="22" t="str">
        <f t="shared" si="622"/>
        <v/>
      </c>
      <c r="N1843" s="72"/>
      <c r="O1843" s="16" t="str">
        <f t="shared" si="623"/>
        <v/>
      </c>
      <c r="P1843" s="16" t="str">
        <f t="shared" si="624"/>
        <v/>
      </c>
      <c r="Q1843" s="16" t="str">
        <f t="shared" si="625"/>
        <v/>
      </c>
      <c r="R1843" s="23" t="str">
        <f t="shared" si="626"/>
        <v/>
      </c>
      <c r="S1843" s="23" t="str">
        <f t="shared" si="627"/>
        <v/>
      </c>
      <c r="T1843" s="23" t="str">
        <f t="shared" si="628"/>
        <v/>
      </c>
      <c r="U1843" s="23" t="str">
        <f t="shared" si="629"/>
        <v/>
      </c>
      <c r="V1843" s="23" t="str">
        <f t="shared" si="630"/>
        <v/>
      </c>
      <c r="W1843" s="70" t="str">
        <f t="shared" si="631"/>
        <v/>
      </c>
      <c r="X1843" s="70" t="str">
        <f t="shared" si="632"/>
        <v/>
      </c>
      <c r="Y1843" s="70" t="str">
        <f>IF(AND($A1843&lt;&gt;"",$E1843&gt;0),isLaptopBag($C1843,$J1843)*$D1843,"")</f>
        <v/>
      </c>
      <c r="Z1843" s="70" t="str">
        <f t="shared" si="633"/>
        <v/>
      </c>
      <c r="AA1843" s="70" t="str">
        <f t="shared" si="634"/>
        <v/>
      </c>
      <c r="AB1843" s="70" t="str">
        <f t="shared" si="635"/>
        <v/>
      </c>
      <c r="AC1843" s="70" t="str">
        <f t="shared" si="636"/>
        <v/>
      </c>
      <c r="AD1843" s="70" t="str">
        <f t="shared" si="637"/>
        <v/>
      </c>
      <c r="AE1843" s="70" t="str">
        <f t="shared" si="638"/>
        <v/>
      </c>
      <c r="AF1843" s="16"/>
      <c r="AG1843" s="23"/>
      <c r="AH1843" s="22"/>
      <c r="AJ1843" s="83">
        <f t="shared" si="639"/>
        <v>0</v>
      </c>
      <c r="AO1843" s="22" t="str">
        <f t="shared" si="640"/>
        <v/>
      </c>
      <c r="AP1843" s="22" t="str">
        <f t="shared" si="641"/>
        <v/>
      </c>
    </row>
    <row r="1844" spans="1:42" x14ac:dyDescent="0.25">
      <c r="A1844" s="10"/>
      <c r="B1844" s="10"/>
      <c r="C1844" s="10"/>
      <c r="D1844" s="10"/>
      <c r="E1844" s="10"/>
      <c r="F1844" s="10"/>
      <c r="G1844" s="10"/>
      <c r="H1844" s="17"/>
      <c r="I1844" s="10"/>
      <c r="J1844" s="10"/>
      <c r="K1844" s="16" t="str">
        <f t="shared" si="620"/>
        <v/>
      </c>
      <c r="L1844" s="23" t="str">
        <f t="shared" si="621"/>
        <v/>
      </c>
      <c r="M1844" s="22" t="str">
        <f t="shared" si="622"/>
        <v/>
      </c>
      <c r="N1844" s="72"/>
      <c r="O1844" s="16" t="str">
        <f t="shared" si="623"/>
        <v/>
      </c>
      <c r="P1844" s="16" t="str">
        <f t="shared" si="624"/>
        <v/>
      </c>
      <c r="Q1844" s="16" t="str">
        <f t="shared" si="625"/>
        <v/>
      </c>
      <c r="R1844" s="23" t="str">
        <f t="shared" si="626"/>
        <v/>
      </c>
      <c r="S1844" s="23" t="str">
        <f t="shared" si="627"/>
        <v/>
      </c>
      <c r="T1844" s="23" t="str">
        <f t="shared" si="628"/>
        <v/>
      </c>
      <c r="U1844" s="23" t="str">
        <f t="shared" si="629"/>
        <v/>
      </c>
      <c r="V1844" s="23" t="str">
        <f t="shared" si="630"/>
        <v/>
      </c>
      <c r="W1844" s="70" t="str">
        <f t="shared" si="631"/>
        <v/>
      </c>
      <c r="X1844" s="70" t="str">
        <f t="shared" si="632"/>
        <v/>
      </c>
      <c r="Y1844" s="70" t="str">
        <f>IF(AND($A1844&lt;&gt;"",$E1844&gt;0),isLaptopBag($C1844,$J1844)*$D1844,"")</f>
        <v/>
      </c>
      <c r="Z1844" s="70" t="str">
        <f t="shared" si="633"/>
        <v/>
      </c>
      <c r="AA1844" s="70" t="str">
        <f t="shared" si="634"/>
        <v/>
      </c>
      <c r="AB1844" s="70" t="str">
        <f t="shared" si="635"/>
        <v/>
      </c>
      <c r="AC1844" s="70" t="str">
        <f t="shared" si="636"/>
        <v/>
      </c>
      <c r="AD1844" s="70" t="str">
        <f t="shared" si="637"/>
        <v/>
      </c>
      <c r="AE1844" s="70" t="str">
        <f t="shared" si="638"/>
        <v/>
      </c>
      <c r="AF1844" s="16"/>
      <c r="AG1844" s="23"/>
      <c r="AH1844" s="22"/>
      <c r="AJ1844" s="83">
        <f t="shared" si="639"/>
        <v>0</v>
      </c>
      <c r="AO1844" s="22" t="str">
        <f t="shared" si="640"/>
        <v/>
      </c>
      <c r="AP1844" s="22" t="str">
        <f t="shared" si="641"/>
        <v/>
      </c>
    </row>
    <row r="1845" spans="1:42" x14ac:dyDescent="0.25">
      <c r="A1845" s="10"/>
      <c r="B1845" s="10"/>
      <c r="C1845" s="10"/>
      <c r="D1845" s="10"/>
      <c r="E1845" s="10"/>
      <c r="F1845" s="10"/>
      <c r="G1845" s="10"/>
      <c r="H1845" s="17"/>
      <c r="I1845" s="10"/>
      <c r="J1845" s="10"/>
      <c r="K1845" s="16" t="str">
        <f t="shared" si="620"/>
        <v/>
      </c>
      <c r="L1845" s="23" t="str">
        <f t="shared" si="621"/>
        <v/>
      </c>
      <c r="M1845" s="22" t="str">
        <f t="shared" si="622"/>
        <v/>
      </c>
      <c r="N1845" s="72"/>
      <c r="O1845" s="16" t="str">
        <f t="shared" si="623"/>
        <v/>
      </c>
      <c r="P1845" s="16" t="str">
        <f t="shared" si="624"/>
        <v/>
      </c>
      <c r="Q1845" s="16" t="str">
        <f t="shared" si="625"/>
        <v/>
      </c>
      <c r="R1845" s="23" t="str">
        <f t="shared" si="626"/>
        <v/>
      </c>
      <c r="S1845" s="23" t="str">
        <f t="shared" si="627"/>
        <v/>
      </c>
      <c r="T1845" s="23" t="str">
        <f t="shared" si="628"/>
        <v/>
      </c>
      <c r="U1845" s="23" t="str">
        <f t="shared" si="629"/>
        <v/>
      </c>
      <c r="V1845" s="23" t="str">
        <f t="shared" si="630"/>
        <v/>
      </c>
      <c r="W1845" s="70" t="str">
        <f t="shared" si="631"/>
        <v/>
      </c>
      <c r="X1845" s="70" t="str">
        <f t="shared" si="632"/>
        <v/>
      </c>
      <c r="Y1845" s="70" t="str">
        <f>IF(AND($A1845&lt;&gt;"",$E1845&gt;0),isLaptopBag($C1845,$J1845)*$D1845,"")</f>
        <v/>
      </c>
      <c r="Z1845" s="70" t="str">
        <f t="shared" si="633"/>
        <v/>
      </c>
      <c r="AA1845" s="70" t="str">
        <f t="shared" si="634"/>
        <v/>
      </c>
      <c r="AB1845" s="70" t="str">
        <f t="shared" si="635"/>
        <v/>
      </c>
      <c r="AC1845" s="70" t="str">
        <f t="shared" si="636"/>
        <v/>
      </c>
      <c r="AD1845" s="70" t="str">
        <f t="shared" si="637"/>
        <v/>
      </c>
      <c r="AE1845" s="70" t="str">
        <f t="shared" si="638"/>
        <v/>
      </c>
      <c r="AF1845" s="16"/>
      <c r="AG1845" s="23"/>
      <c r="AH1845" s="22"/>
      <c r="AJ1845" s="83">
        <f t="shared" si="639"/>
        <v>0</v>
      </c>
      <c r="AO1845" s="22" t="str">
        <f t="shared" si="640"/>
        <v/>
      </c>
      <c r="AP1845" s="22" t="str">
        <f t="shared" si="641"/>
        <v/>
      </c>
    </row>
    <row r="1846" spans="1:42" x14ac:dyDescent="0.25">
      <c r="A1846" s="10"/>
      <c r="B1846" s="10"/>
      <c r="C1846" s="10"/>
      <c r="D1846" s="10"/>
      <c r="E1846" s="10"/>
      <c r="F1846" s="10"/>
      <c r="G1846" s="10"/>
      <c r="H1846" s="17"/>
      <c r="I1846" s="10"/>
      <c r="J1846" s="10"/>
      <c r="K1846" s="16" t="str">
        <f t="shared" si="620"/>
        <v/>
      </c>
      <c r="L1846" s="23" t="str">
        <f t="shared" si="621"/>
        <v/>
      </c>
      <c r="M1846" s="22" t="str">
        <f t="shared" si="622"/>
        <v/>
      </c>
      <c r="N1846" s="72"/>
      <c r="O1846" s="16" t="str">
        <f t="shared" si="623"/>
        <v/>
      </c>
      <c r="P1846" s="16" t="str">
        <f t="shared" si="624"/>
        <v/>
      </c>
      <c r="Q1846" s="16" t="str">
        <f t="shared" si="625"/>
        <v/>
      </c>
      <c r="R1846" s="23" t="str">
        <f t="shared" si="626"/>
        <v/>
      </c>
      <c r="S1846" s="23" t="str">
        <f t="shared" si="627"/>
        <v/>
      </c>
      <c r="T1846" s="23" t="str">
        <f t="shared" si="628"/>
        <v/>
      </c>
      <c r="U1846" s="23" t="str">
        <f t="shared" si="629"/>
        <v/>
      </c>
      <c r="V1846" s="23" t="str">
        <f t="shared" si="630"/>
        <v/>
      </c>
      <c r="W1846" s="70" t="str">
        <f t="shared" si="631"/>
        <v/>
      </c>
      <c r="X1846" s="70" t="str">
        <f t="shared" si="632"/>
        <v/>
      </c>
      <c r="Y1846" s="70" t="str">
        <f>IF(AND($A1846&lt;&gt;"",$E1846&gt;0),isLaptopBag($C1846,$J1846)*$D1846,"")</f>
        <v/>
      </c>
      <c r="Z1846" s="70" t="str">
        <f t="shared" si="633"/>
        <v/>
      </c>
      <c r="AA1846" s="70" t="str">
        <f t="shared" si="634"/>
        <v/>
      </c>
      <c r="AB1846" s="70" t="str">
        <f t="shared" si="635"/>
        <v/>
      </c>
      <c r="AC1846" s="70" t="str">
        <f t="shared" si="636"/>
        <v/>
      </c>
      <c r="AD1846" s="70" t="str">
        <f t="shared" si="637"/>
        <v/>
      </c>
      <c r="AE1846" s="70" t="str">
        <f t="shared" si="638"/>
        <v/>
      </c>
      <c r="AF1846" s="16"/>
      <c r="AG1846" s="23"/>
      <c r="AH1846" s="22"/>
      <c r="AJ1846" s="83">
        <f t="shared" si="639"/>
        <v>0</v>
      </c>
      <c r="AO1846" s="22" t="str">
        <f t="shared" si="640"/>
        <v/>
      </c>
      <c r="AP1846" s="22" t="str">
        <f t="shared" si="641"/>
        <v/>
      </c>
    </row>
    <row r="1847" spans="1:42" x14ac:dyDescent="0.25">
      <c r="A1847" s="10"/>
      <c r="B1847" s="10"/>
      <c r="C1847" s="10"/>
      <c r="D1847" s="10"/>
      <c r="E1847" s="10"/>
      <c r="F1847" s="10"/>
      <c r="G1847" s="10"/>
      <c r="H1847" s="17"/>
      <c r="I1847" s="10"/>
      <c r="J1847" s="10"/>
      <c r="K1847" s="16" t="str">
        <f t="shared" si="620"/>
        <v/>
      </c>
      <c r="L1847" s="23" t="str">
        <f t="shared" si="621"/>
        <v/>
      </c>
      <c r="M1847" s="22" t="str">
        <f t="shared" si="622"/>
        <v/>
      </c>
      <c r="N1847" s="72"/>
      <c r="O1847" s="16" t="str">
        <f t="shared" si="623"/>
        <v/>
      </c>
      <c r="P1847" s="16" t="str">
        <f t="shared" si="624"/>
        <v/>
      </c>
      <c r="Q1847" s="16" t="str">
        <f t="shared" si="625"/>
        <v/>
      </c>
      <c r="R1847" s="23" t="str">
        <f t="shared" si="626"/>
        <v/>
      </c>
      <c r="S1847" s="23" t="str">
        <f t="shared" si="627"/>
        <v/>
      </c>
      <c r="T1847" s="23" t="str">
        <f t="shared" si="628"/>
        <v/>
      </c>
      <c r="U1847" s="23" t="str">
        <f t="shared" si="629"/>
        <v/>
      </c>
      <c r="V1847" s="23" t="str">
        <f t="shared" si="630"/>
        <v/>
      </c>
      <c r="W1847" s="70" t="str">
        <f t="shared" si="631"/>
        <v/>
      </c>
      <c r="X1847" s="70" t="str">
        <f t="shared" si="632"/>
        <v/>
      </c>
      <c r="Y1847" s="70" t="str">
        <f>IF(AND($A1847&lt;&gt;"",$E1847&gt;0),isLaptopBag($C1847,$J1847)*$D1847,"")</f>
        <v/>
      </c>
      <c r="Z1847" s="70" t="str">
        <f t="shared" si="633"/>
        <v/>
      </c>
      <c r="AA1847" s="70" t="str">
        <f t="shared" si="634"/>
        <v/>
      </c>
      <c r="AB1847" s="70" t="str">
        <f t="shared" si="635"/>
        <v/>
      </c>
      <c r="AC1847" s="70" t="str">
        <f t="shared" si="636"/>
        <v/>
      </c>
      <c r="AD1847" s="70" t="str">
        <f t="shared" si="637"/>
        <v/>
      </c>
      <c r="AE1847" s="70" t="str">
        <f t="shared" si="638"/>
        <v/>
      </c>
      <c r="AF1847" s="16"/>
      <c r="AG1847" s="23"/>
      <c r="AH1847" s="22"/>
      <c r="AJ1847" s="83">
        <f t="shared" si="639"/>
        <v>0</v>
      </c>
      <c r="AO1847" s="22" t="str">
        <f t="shared" si="640"/>
        <v/>
      </c>
      <c r="AP1847" s="22" t="str">
        <f t="shared" si="641"/>
        <v/>
      </c>
    </row>
    <row r="1848" spans="1:42" x14ac:dyDescent="0.25">
      <c r="A1848" s="10"/>
      <c r="B1848" s="10"/>
      <c r="C1848" s="10"/>
      <c r="D1848" s="10"/>
      <c r="E1848" s="10"/>
      <c r="F1848" s="10"/>
      <c r="G1848" s="10"/>
      <c r="H1848" s="17"/>
      <c r="I1848" s="10"/>
      <c r="J1848" s="10"/>
      <c r="K1848" s="16" t="str">
        <f t="shared" si="620"/>
        <v/>
      </c>
      <c r="L1848" s="23" t="str">
        <f t="shared" si="621"/>
        <v/>
      </c>
      <c r="M1848" s="22" t="str">
        <f t="shared" si="622"/>
        <v/>
      </c>
      <c r="N1848" s="72"/>
      <c r="O1848" s="16" t="str">
        <f t="shared" si="623"/>
        <v/>
      </c>
      <c r="P1848" s="16" t="str">
        <f t="shared" si="624"/>
        <v/>
      </c>
      <c r="Q1848" s="16" t="str">
        <f t="shared" si="625"/>
        <v/>
      </c>
      <c r="R1848" s="23" t="str">
        <f t="shared" si="626"/>
        <v/>
      </c>
      <c r="S1848" s="23" t="str">
        <f t="shared" si="627"/>
        <v/>
      </c>
      <c r="T1848" s="23" t="str">
        <f t="shared" si="628"/>
        <v/>
      </c>
      <c r="U1848" s="23" t="str">
        <f t="shared" si="629"/>
        <v/>
      </c>
      <c r="V1848" s="23" t="str">
        <f t="shared" si="630"/>
        <v/>
      </c>
      <c r="W1848" s="70" t="str">
        <f t="shared" si="631"/>
        <v/>
      </c>
      <c r="X1848" s="70" t="str">
        <f t="shared" si="632"/>
        <v/>
      </c>
      <c r="Y1848" s="70" t="str">
        <f>IF(AND($A1848&lt;&gt;"",$E1848&gt;0),isLaptopBag($C1848,$J1848)*$D1848,"")</f>
        <v/>
      </c>
      <c r="Z1848" s="70" t="str">
        <f t="shared" si="633"/>
        <v/>
      </c>
      <c r="AA1848" s="70" t="str">
        <f t="shared" si="634"/>
        <v/>
      </c>
      <c r="AB1848" s="70" t="str">
        <f t="shared" si="635"/>
        <v/>
      </c>
      <c r="AC1848" s="70" t="str">
        <f t="shared" si="636"/>
        <v/>
      </c>
      <c r="AD1848" s="70" t="str">
        <f t="shared" si="637"/>
        <v/>
      </c>
      <c r="AE1848" s="70" t="str">
        <f t="shared" si="638"/>
        <v/>
      </c>
      <c r="AF1848" s="16"/>
      <c r="AG1848" s="23"/>
      <c r="AH1848" s="22"/>
      <c r="AJ1848" s="83">
        <f t="shared" si="639"/>
        <v>0</v>
      </c>
      <c r="AO1848" s="22" t="str">
        <f t="shared" si="640"/>
        <v/>
      </c>
      <c r="AP1848" s="22" t="str">
        <f t="shared" si="641"/>
        <v/>
      </c>
    </row>
    <row r="1849" spans="1:42" x14ac:dyDescent="0.25">
      <c r="A1849" s="10"/>
      <c r="B1849" s="10"/>
      <c r="C1849" s="10"/>
      <c r="D1849" s="10"/>
      <c r="E1849" s="10"/>
      <c r="F1849" s="10"/>
      <c r="G1849" s="10"/>
      <c r="H1849" s="17"/>
      <c r="I1849" s="10"/>
      <c r="J1849" s="10"/>
      <c r="K1849" s="16" t="str">
        <f t="shared" si="620"/>
        <v/>
      </c>
      <c r="L1849" s="23" t="str">
        <f t="shared" si="621"/>
        <v/>
      </c>
      <c r="M1849" s="22" t="str">
        <f t="shared" si="622"/>
        <v/>
      </c>
      <c r="N1849" s="72"/>
      <c r="O1849" s="16" t="str">
        <f t="shared" si="623"/>
        <v/>
      </c>
      <c r="P1849" s="16" t="str">
        <f t="shared" si="624"/>
        <v/>
      </c>
      <c r="Q1849" s="16" t="str">
        <f t="shared" si="625"/>
        <v/>
      </c>
      <c r="R1849" s="23" t="str">
        <f t="shared" si="626"/>
        <v/>
      </c>
      <c r="S1849" s="23" t="str">
        <f t="shared" si="627"/>
        <v/>
      </c>
      <c r="T1849" s="23" t="str">
        <f t="shared" si="628"/>
        <v/>
      </c>
      <c r="U1849" s="23" t="str">
        <f t="shared" si="629"/>
        <v/>
      </c>
      <c r="V1849" s="23" t="str">
        <f t="shared" si="630"/>
        <v/>
      </c>
      <c r="W1849" s="70" t="str">
        <f t="shared" si="631"/>
        <v/>
      </c>
      <c r="X1849" s="70" t="str">
        <f t="shared" si="632"/>
        <v/>
      </c>
      <c r="Y1849" s="70" t="str">
        <f>IF(AND($A1849&lt;&gt;"",$E1849&gt;0),isLaptopBag($C1849,$J1849)*$D1849,"")</f>
        <v/>
      </c>
      <c r="Z1849" s="70" t="str">
        <f t="shared" si="633"/>
        <v/>
      </c>
      <c r="AA1849" s="70" t="str">
        <f t="shared" si="634"/>
        <v/>
      </c>
      <c r="AB1849" s="70" t="str">
        <f t="shared" si="635"/>
        <v/>
      </c>
      <c r="AC1849" s="70" t="str">
        <f t="shared" si="636"/>
        <v/>
      </c>
      <c r="AD1849" s="70" t="str">
        <f t="shared" si="637"/>
        <v/>
      </c>
      <c r="AE1849" s="70" t="str">
        <f t="shared" si="638"/>
        <v/>
      </c>
      <c r="AF1849" s="16"/>
      <c r="AG1849" s="23"/>
      <c r="AH1849" s="22"/>
      <c r="AJ1849" s="83">
        <f t="shared" si="639"/>
        <v>0</v>
      </c>
      <c r="AO1849" s="22" t="str">
        <f t="shared" si="640"/>
        <v/>
      </c>
      <c r="AP1849" s="22" t="str">
        <f t="shared" si="641"/>
        <v/>
      </c>
    </row>
    <row r="1850" spans="1:42" x14ac:dyDescent="0.25">
      <c r="A1850" s="10"/>
      <c r="B1850" s="10"/>
      <c r="C1850" s="10"/>
      <c r="D1850" s="10"/>
      <c r="E1850" s="10"/>
      <c r="F1850" s="10"/>
      <c r="G1850" s="10"/>
      <c r="H1850" s="17"/>
      <c r="I1850" s="10"/>
      <c r="J1850" s="10"/>
      <c r="K1850" s="16" t="str">
        <f t="shared" si="620"/>
        <v/>
      </c>
      <c r="L1850" s="23" t="str">
        <f t="shared" si="621"/>
        <v/>
      </c>
      <c r="M1850" s="22" t="str">
        <f t="shared" si="622"/>
        <v/>
      </c>
      <c r="N1850" s="72"/>
      <c r="O1850" s="16" t="str">
        <f t="shared" si="623"/>
        <v/>
      </c>
      <c r="P1850" s="16" t="str">
        <f t="shared" si="624"/>
        <v/>
      </c>
      <c r="Q1850" s="16" t="str">
        <f t="shared" si="625"/>
        <v/>
      </c>
      <c r="R1850" s="23" t="str">
        <f t="shared" si="626"/>
        <v/>
      </c>
      <c r="S1850" s="23" t="str">
        <f t="shared" si="627"/>
        <v/>
      </c>
      <c r="T1850" s="23" t="str">
        <f t="shared" si="628"/>
        <v/>
      </c>
      <c r="U1850" s="23" t="str">
        <f t="shared" si="629"/>
        <v/>
      </c>
      <c r="V1850" s="23" t="str">
        <f t="shared" si="630"/>
        <v/>
      </c>
      <c r="W1850" s="70" t="str">
        <f t="shared" si="631"/>
        <v/>
      </c>
      <c r="X1850" s="70" t="str">
        <f t="shared" si="632"/>
        <v/>
      </c>
      <c r="Y1850" s="70" t="str">
        <f>IF(AND($A1850&lt;&gt;"",$E1850&gt;0),isLaptopBag($C1850,$J1850)*$D1850,"")</f>
        <v/>
      </c>
      <c r="Z1850" s="70" t="str">
        <f t="shared" si="633"/>
        <v/>
      </c>
      <c r="AA1850" s="70" t="str">
        <f t="shared" si="634"/>
        <v/>
      </c>
      <c r="AB1850" s="70" t="str">
        <f t="shared" si="635"/>
        <v/>
      </c>
      <c r="AC1850" s="70" t="str">
        <f t="shared" si="636"/>
        <v/>
      </c>
      <c r="AD1850" s="70" t="str">
        <f t="shared" si="637"/>
        <v/>
      </c>
      <c r="AE1850" s="70" t="str">
        <f t="shared" si="638"/>
        <v/>
      </c>
      <c r="AF1850" s="16"/>
      <c r="AG1850" s="23"/>
      <c r="AH1850" s="22"/>
      <c r="AJ1850" s="83">
        <f t="shared" si="639"/>
        <v>0</v>
      </c>
      <c r="AO1850" s="22" t="str">
        <f t="shared" si="640"/>
        <v/>
      </c>
      <c r="AP1850" s="22" t="str">
        <f t="shared" si="641"/>
        <v/>
      </c>
    </row>
    <row r="1851" spans="1:42" x14ac:dyDescent="0.25">
      <c r="A1851" s="10"/>
      <c r="B1851" s="10"/>
      <c r="C1851" s="10"/>
      <c r="D1851" s="10"/>
      <c r="E1851" s="10"/>
      <c r="F1851" s="10"/>
      <c r="G1851" s="10"/>
      <c r="H1851" s="17"/>
      <c r="I1851" s="10"/>
      <c r="J1851" s="10"/>
      <c r="K1851" s="16" t="str">
        <f t="shared" si="620"/>
        <v/>
      </c>
      <c r="L1851" s="23" t="str">
        <f t="shared" si="621"/>
        <v/>
      </c>
      <c r="M1851" s="22" t="str">
        <f t="shared" si="622"/>
        <v/>
      </c>
      <c r="N1851" s="72"/>
      <c r="O1851" s="16" t="str">
        <f t="shared" si="623"/>
        <v/>
      </c>
      <c r="P1851" s="16" t="str">
        <f t="shared" si="624"/>
        <v/>
      </c>
      <c r="Q1851" s="16" t="str">
        <f t="shared" si="625"/>
        <v/>
      </c>
      <c r="R1851" s="23" t="str">
        <f t="shared" si="626"/>
        <v/>
      </c>
      <c r="S1851" s="23" t="str">
        <f t="shared" si="627"/>
        <v/>
      </c>
      <c r="T1851" s="23" t="str">
        <f t="shared" si="628"/>
        <v/>
      </c>
      <c r="U1851" s="23" t="str">
        <f t="shared" si="629"/>
        <v/>
      </c>
      <c r="V1851" s="23" t="str">
        <f t="shared" si="630"/>
        <v/>
      </c>
      <c r="W1851" s="70" t="str">
        <f t="shared" si="631"/>
        <v/>
      </c>
      <c r="X1851" s="70" t="str">
        <f t="shared" si="632"/>
        <v/>
      </c>
      <c r="Y1851" s="70" t="str">
        <f>IF(AND($A1851&lt;&gt;"",$E1851&gt;0),isLaptopBag($C1851,$J1851)*$D1851,"")</f>
        <v/>
      </c>
      <c r="Z1851" s="70" t="str">
        <f t="shared" si="633"/>
        <v/>
      </c>
      <c r="AA1851" s="70" t="str">
        <f t="shared" si="634"/>
        <v/>
      </c>
      <c r="AB1851" s="70" t="str">
        <f t="shared" si="635"/>
        <v/>
      </c>
      <c r="AC1851" s="70" t="str">
        <f t="shared" si="636"/>
        <v/>
      </c>
      <c r="AD1851" s="70" t="str">
        <f t="shared" si="637"/>
        <v/>
      </c>
      <c r="AE1851" s="70" t="str">
        <f t="shared" si="638"/>
        <v/>
      </c>
      <c r="AF1851" s="16"/>
      <c r="AG1851" s="23"/>
      <c r="AH1851" s="22"/>
      <c r="AJ1851" s="83">
        <f t="shared" si="639"/>
        <v>0</v>
      </c>
      <c r="AO1851" s="22" t="str">
        <f t="shared" si="640"/>
        <v/>
      </c>
      <c r="AP1851" s="22" t="str">
        <f t="shared" si="641"/>
        <v/>
      </c>
    </row>
    <row r="1852" spans="1:42" x14ac:dyDescent="0.25">
      <c r="A1852" s="10"/>
      <c r="B1852" s="10"/>
      <c r="C1852" s="10"/>
      <c r="D1852" s="10"/>
      <c r="E1852" s="10"/>
      <c r="F1852" s="10"/>
      <c r="G1852" s="10"/>
      <c r="H1852" s="17"/>
      <c r="I1852" s="10"/>
      <c r="J1852" s="10"/>
      <c r="K1852" s="16" t="str">
        <f t="shared" si="620"/>
        <v/>
      </c>
      <c r="L1852" s="23" t="str">
        <f t="shared" si="621"/>
        <v/>
      </c>
      <c r="M1852" s="22" t="str">
        <f t="shared" si="622"/>
        <v/>
      </c>
      <c r="N1852" s="72"/>
      <c r="O1852" s="16" t="str">
        <f t="shared" si="623"/>
        <v/>
      </c>
      <c r="P1852" s="16" t="str">
        <f t="shared" si="624"/>
        <v/>
      </c>
      <c r="Q1852" s="16" t="str">
        <f t="shared" si="625"/>
        <v/>
      </c>
      <c r="R1852" s="23" t="str">
        <f t="shared" si="626"/>
        <v/>
      </c>
      <c r="S1852" s="23" t="str">
        <f t="shared" si="627"/>
        <v/>
      </c>
      <c r="T1852" s="23" t="str">
        <f t="shared" si="628"/>
        <v/>
      </c>
      <c r="U1852" s="23" t="str">
        <f t="shared" si="629"/>
        <v/>
      </c>
      <c r="V1852" s="23" t="str">
        <f t="shared" si="630"/>
        <v/>
      </c>
      <c r="W1852" s="70" t="str">
        <f t="shared" si="631"/>
        <v/>
      </c>
      <c r="X1852" s="70" t="str">
        <f t="shared" si="632"/>
        <v/>
      </c>
      <c r="Y1852" s="70" t="str">
        <f>IF(AND($A1852&lt;&gt;"",$E1852&gt;0),isLaptopBag($C1852,$J1852)*$D1852,"")</f>
        <v/>
      </c>
      <c r="Z1852" s="70" t="str">
        <f t="shared" si="633"/>
        <v/>
      </c>
      <c r="AA1852" s="70" t="str">
        <f t="shared" si="634"/>
        <v/>
      </c>
      <c r="AB1852" s="70" t="str">
        <f t="shared" si="635"/>
        <v/>
      </c>
      <c r="AC1852" s="70" t="str">
        <f t="shared" si="636"/>
        <v/>
      </c>
      <c r="AD1852" s="70" t="str">
        <f t="shared" si="637"/>
        <v/>
      </c>
      <c r="AE1852" s="70" t="str">
        <f t="shared" si="638"/>
        <v/>
      </c>
      <c r="AF1852" s="16"/>
      <c r="AG1852" s="23"/>
      <c r="AH1852" s="22"/>
      <c r="AJ1852" s="83">
        <f t="shared" si="639"/>
        <v>0</v>
      </c>
      <c r="AO1852" s="22" t="str">
        <f t="shared" si="640"/>
        <v/>
      </c>
      <c r="AP1852" s="22" t="str">
        <f t="shared" si="641"/>
        <v/>
      </c>
    </row>
    <row r="1853" spans="1:42" x14ac:dyDescent="0.25">
      <c r="A1853" s="10"/>
      <c r="B1853" s="10"/>
      <c r="C1853" s="10"/>
      <c r="D1853" s="10"/>
      <c r="E1853" s="10"/>
      <c r="F1853" s="10"/>
      <c r="G1853" s="10"/>
      <c r="H1853" s="17"/>
      <c r="I1853" s="10"/>
      <c r="J1853" s="10"/>
      <c r="K1853" s="16" t="str">
        <f t="shared" si="620"/>
        <v/>
      </c>
      <c r="L1853" s="23" t="str">
        <f t="shared" si="621"/>
        <v/>
      </c>
      <c r="M1853" s="22" t="str">
        <f t="shared" si="622"/>
        <v/>
      </c>
      <c r="N1853" s="72"/>
      <c r="O1853" s="16" t="str">
        <f t="shared" si="623"/>
        <v/>
      </c>
      <c r="P1853" s="16" t="str">
        <f t="shared" si="624"/>
        <v/>
      </c>
      <c r="Q1853" s="16" t="str">
        <f t="shared" si="625"/>
        <v/>
      </c>
      <c r="R1853" s="23" t="str">
        <f t="shared" si="626"/>
        <v/>
      </c>
      <c r="S1853" s="23" t="str">
        <f t="shared" si="627"/>
        <v/>
      </c>
      <c r="T1853" s="23" t="str">
        <f t="shared" si="628"/>
        <v/>
      </c>
      <c r="U1853" s="23" t="str">
        <f t="shared" si="629"/>
        <v/>
      </c>
      <c r="V1853" s="23" t="str">
        <f t="shared" si="630"/>
        <v/>
      </c>
      <c r="W1853" s="70" t="str">
        <f t="shared" si="631"/>
        <v/>
      </c>
      <c r="X1853" s="70" t="str">
        <f t="shared" si="632"/>
        <v/>
      </c>
      <c r="Y1853" s="70" t="str">
        <f>IF(AND($A1853&lt;&gt;"",$E1853&gt;0),isLaptopBag($C1853,$J1853)*$D1853,"")</f>
        <v/>
      </c>
      <c r="Z1853" s="70" t="str">
        <f t="shared" si="633"/>
        <v/>
      </c>
      <c r="AA1853" s="70" t="str">
        <f t="shared" si="634"/>
        <v/>
      </c>
      <c r="AB1853" s="70" t="str">
        <f t="shared" si="635"/>
        <v/>
      </c>
      <c r="AC1853" s="70" t="str">
        <f t="shared" si="636"/>
        <v/>
      </c>
      <c r="AD1853" s="70" t="str">
        <f t="shared" si="637"/>
        <v/>
      </c>
      <c r="AE1853" s="70" t="str">
        <f t="shared" si="638"/>
        <v/>
      </c>
      <c r="AF1853" s="16"/>
      <c r="AG1853" s="23"/>
      <c r="AH1853" s="22"/>
      <c r="AJ1853" s="83">
        <f t="shared" si="639"/>
        <v>0</v>
      </c>
      <c r="AO1853" s="22" t="str">
        <f t="shared" si="640"/>
        <v/>
      </c>
      <c r="AP1853" s="22" t="str">
        <f t="shared" si="641"/>
        <v/>
      </c>
    </row>
    <row r="1854" spans="1:42" x14ac:dyDescent="0.25">
      <c r="A1854" s="10"/>
      <c r="B1854" s="10"/>
      <c r="C1854" s="10"/>
      <c r="D1854" s="10"/>
      <c r="E1854" s="10"/>
      <c r="F1854" s="10"/>
      <c r="G1854" s="10"/>
      <c r="H1854" s="17"/>
      <c r="I1854" s="10"/>
      <c r="J1854" s="10"/>
      <c r="K1854" s="16" t="str">
        <f t="shared" si="620"/>
        <v/>
      </c>
      <c r="L1854" s="23" t="str">
        <f t="shared" si="621"/>
        <v/>
      </c>
      <c r="M1854" s="22" t="str">
        <f t="shared" si="622"/>
        <v/>
      </c>
      <c r="N1854" s="72"/>
      <c r="O1854" s="16" t="str">
        <f t="shared" si="623"/>
        <v/>
      </c>
      <c r="P1854" s="16" t="str">
        <f t="shared" si="624"/>
        <v/>
      </c>
      <c r="Q1854" s="16" t="str">
        <f t="shared" si="625"/>
        <v/>
      </c>
      <c r="R1854" s="23" t="str">
        <f t="shared" si="626"/>
        <v/>
      </c>
      <c r="S1854" s="23" t="str">
        <f t="shared" si="627"/>
        <v/>
      </c>
      <c r="T1854" s="23" t="str">
        <f t="shared" si="628"/>
        <v/>
      </c>
      <c r="U1854" s="23" t="str">
        <f t="shared" si="629"/>
        <v/>
      </c>
      <c r="V1854" s="23" t="str">
        <f t="shared" si="630"/>
        <v/>
      </c>
      <c r="W1854" s="70" t="str">
        <f t="shared" si="631"/>
        <v/>
      </c>
      <c r="X1854" s="70" t="str">
        <f t="shared" si="632"/>
        <v/>
      </c>
      <c r="Y1854" s="70" t="str">
        <f>IF(AND($A1854&lt;&gt;"",$E1854&gt;0),isLaptopBag($C1854,$J1854)*$D1854,"")</f>
        <v/>
      </c>
      <c r="Z1854" s="70" t="str">
        <f t="shared" si="633"/>
        <v/>
      </c>
      <c r="AA1854" s="70" t="str">
        <f t="shared" si="634"/>
        <v/>
      </c>
      <c r="AB1854" s="70" t="str">
        <f t="shared" si="635"/>
        <v/>
      </c>
      <c r="AC1854" s="70" t="str">
        <f t="shared" si="636"/>
        <v/>
      </c>
      <c r="AD1854" s="70" t="str">
        <f t="shared" si="637"/>
        <v/>
      </c>
      <c r="AE1854" s="70" t="str">
        <f t="shared" si="638"/>
        <v/>
      </c>
      <c r="AF1854" s="16"/>
      <c r="AG1854" s="23"/>
      <c r="AH1854" s="22"/>
      <c r="AJ1854" s="83">
        <f t="shared" si="639"/>
        <v>0</v>
      </c>
      <c r="AO1854" s="22" t="str">
        <f t="shared" si="640"/>
        <v/>
      </c>
      <c r="AP1854" s="22" t="str">
        <f t="shared" si="641"/>
        <v/>
      </c>
    </row>
    <row r="1855" spans="1:42" x14ac:dyDescent="0.25">
      <c r="A1855" s="10"/>
      <c r="B1855" s="10"/>
      <c r="C1855" s="10"/>
      <c r="D1855" s="10"/>
      <c r="E1855" s="10"/>
      <c r="F1855" s="10"/>
      <c r="G1855" s="10"/>
      <c r="H1855" s="17"/>
      <c r="I1855" s="10"/>
      <c r="J1855" s="10"/>
      <c r="K1855" s="16" t="str">
        <f t="shared" si="620"/>
        <v/>
      </c>
      <c r="L1855" s="23" t="str">
        <f t="shared" si="621"/>
        <v/>
      </c>
      <c r="M1855" s="22" t="str">
        <f t="shared" si="622"/>
        <v/>
      </c>
      <c r="N1855" s="72"/>
      <c r="O1855" s="16" t="str">
        <f t="shared" si="623"/>
        <v/>
      </c>
      <c r="P1855" s="16" t="str">
        <f t="shared" si="624"/>
        <v/>
      </c>
      <c r="Q1855" s="16" t="str">
        <f t="shared" si="625"/>
        <v/>
      </c>
      <c r="R1855" s="23" t="str">
        <f t="shared" si="626"/>
        <v/>
      </c>
      <c r="S1855" s="23" t="str">
        <f t="shared" si="627"/>
        <v/>
      </c>
      <c r="T1855" s="23" t="str">
        <f t="shared" si="628"/>
        <v/>
      </c>
      <c r="U1855" s="23" t="str">
        <f t="shared" si="629"/>
        <v/>
      </c>
      <c r="V1855" s="23" t="str">
        <f t="shared" si="630"/>
        <v/>
      </c>
      <c r="W1855" s="70" t="str">
        <f t="shared" si="631"/>
        <v/>
      </c>
      <c r="X1855" s="70" t="str">
        <f t="shared" si="632"/>
        <v/>
      </c>
      <c r="Y1855" s="70" t="str">
        <f>IF(AND($A1855&lt;&gt;"",$E1855&gt;0),isLaptopBag($C1855,$J1855)*$D1855,"")</f>
        <v/>
      </c>
      <c r="Z1855" s="70" t="str">
        <f t="shared" si="633"/>
        <v/>
      </c>
      <c r="AA1855" s="70" t="str">
        <f t="shared" si="634"/>
        <v/>
      </c>
      <c r="AB1855" s="70" t="str">
        <f t="shared" si="635"/>
        <v/>
      </c>
      <c r="AC1855" s="70" t="str">
        <f t="shared" si="636"/>
        <v/>
      </c>
      <c r="AD1855" s="70" t="str">
        <f t="shared" si="637"/>
        <v/>
      </c>
      <c r="AE1855" s="70" t="str">
        <f t="shared" si="638"/>
        <v/>
      </c>
      <c r="AF1855" s="16"/>
      <c r="AG1855" s="23"/>
      <c r="AH1855" s="22"/>
      <c r="AJ1855" s="83">
        <f t="shared" si="639"/>
        <v>0</v>
      </c>
      <c r="AO1855" s="22" t="str">
        <f t="shared" si="640"/>
        <v/>
      </c>
      <c r="AP1855" s="22" t="str">
        <f t="shared" si="641"/>
        <v/>
      </c>
    </row>
    <row r="1856" spans="1:42" x14ac:dyDescent="0.25">
      <c r="A1856" s="10"/>
      <c r="B1856" s="10"/>
      <c r="C1856" s="10"/>
      <c r="D1856" s="10"/>
      <c r="E1856" s="10"/>
      <c r="F1856" s="10"/>
      <c r="G1856" s="10"/>
      <c r="H1856" s="17"/>
      <c r="I1856" s="10"/>
      <c r="J1856" s="10"/>
      <c r="K1856" s="16" t="str">
        <f t="shared" si="620"/>
        <v/>
      </c>
      <c r="L1856" s="23" t="str">
        <f t="shared" si="621"/>
        <v/>
      </c>
      <c r="M1856" s="22" t="str">
        <f t="shared" si="622"/>
        <v/>
      </c>
      <c r="N1856" s="72"/>
      <c r="O1856" s="16" t="str">
        <f t="shared" si="623"/>
        <v/>
      </c>
      <c r="P1856" s="16" t="str">
        <f t="shared" si="624"/>
        <v/>
      </c>
      <c r="Q1856" s="16" t="str">
        <f t="shared" si="625"/>
        <v/>
      </c>
      <c r="R1856" s="23" t="str">
        <f t="shared" si="626"/>
        <v/>
      </c>
      <c r="S1856" s="23" t="str">
        <f t="shared" si="627"/>
        <v/>
      </c>
      <c r="T1856" s="23" t="str">
        <f t="shared" si="628"/>
        <v/>
      </c>
      <c r="U1856" s="23" t="str">
        <f t="shared" si="629"/>
        <v/>
      </c>
      <c r="V1856" s="23" t="str">
        <f t="shared" si="630"/>
        <v/>
      </c>
      <c r="W1856" s="70" t="str">
        <f t="shared" si="631"/>
        <v/>
      </c>
      <c r="X1856" s="70" t="str">
        <f t="shared" si="632"/>
        <v/>
      </c>
      <c r="Y1856" s="70" t="str">
        <f>IF(AND($A1856&lt;&gt;"",$E1856&gt;0),isLaptopBag($C1856,$J1856)*$D1856,"")</f>
        <v/>
      </c>
      <c r="Z1856" s="70" t="str">
        <f t="shared" si="633"/>
        <v/>
      </c>
      <c r="AA1856" s="70" t="str">
        <f t="shared" si="634"/>
        <v/>
      </c>
      <c r="AB1856" s="70" t="str">
        <f t="shared" si="635"/>
        <v/>
      </c>
      <c r="AC1856" s="70" t="str">
        <f t="shared" si="636"/>
        <v/>
      </c>
      <c r="AD1856" s="70" t="str">
        <f t="shared" si="637"/>
        <v/>
      </c>
      <c r="AE1856" s="70" t="str">
        <f t="shared" si="638"/>
        <v/>
      </c>
      <c r="AF1856" s="16"/>
      <c r="AG1856" s="23"/>
      <c r="AH1856" s="22"/>
      <c r="AJ1856" s="83">
        <f t="shared" si="639"/>
        <v>0</v>
      </c>
      <c r="AO1856" s="22" t="str">
        <f t="shared" si="640"/>
        <v/>
      </c>
      <c r="AP1856" s="22" t="str">
        <f t="shared" si="641"/>
        <v/>
      </c>
    </row>
    <row r="1857" spans="1:42" x14ac:dyDescent="0.25">
      <c r="A1857" s="10"/>
      <c r="B1857" s="10"/>
      <c r="C1857" s="10"/>
      <c r="D1857" s="10"/>
      <c r="E1857" s="10"/>
      <c r="F1857" s="10"/>
      <c r="G1857" s="10"/>
      <c r="H1857" s="17"/>
      <c r="I1857" s="10"/>
      <c r="J1857" s="10"/>
      <c r="K1857" s="16" t="str">
        <f t="shared" si="620"/>
        <v/>
      </c>
      <c r="L1857" s="23" t="str">
        <f t="shared" si="621"/>
        <v/>
      </c>
      <c r="M1857" s="22" t="str">
        <f t="shared" si="622"/>
        <v/>
      </c>
      <c r="N1857" s="72"/>
      <c r="O1857" s="16" t="str">
        <f t="shared" si="623"/>
        <v/>
      </c>
      <c r="P1857" s="16" t="str">
        <f t="shared" si="624"/>
        <v/>
      </c>
      <c r="Q1857" s="16" t="str">
        <f t="shared" si="625"/>
        <v/>
      </c>
      <c r="R1857" s="23" t="str">
        <f t="shared" si="626"/>
        <v/>
      </c>
      <c r="S1857" s="23" t="str">
        <f t="shared" si="627"/>
        <v/>
      </c>
      <c r="T1857" s="23" t="str">
        <f t="shared" si="628"/>
        <v/>
      </c>
      <c r="U1857" s="23" t="str">
        <f t="shared" si="629"/>
        <v/>
      </c>
      <c r="V1857" s="23" t="str">
        <f t="shared" si="630"/>
        <v/>
      </c>
      <c r="W1857" s="70" t="str">
        <f t="shared" si="631"/>
        <v/>
      </c>
      <c r="X1857" s="70" t="str">
        <f t="shared" si="632"/>
        <v/>
      </c>
      <c r="Y1857" s="70" t="str">
        <f>IF(AND($A1857&lt;&gt;"",$E1857&gt;0),isLaptopBag($C1857,$J1857)*$D1857,"")</f>
        <v/>
      </c>
      <c r="Z1857" s="70" t="str">
        <f t="shared" si="633"/>
        <v/>
      </c>
      <c r="AA1857" s="70" t="str">
        <f t="shared" si="634"/>
        <v/>
      </c>
      <c r="AB1857" s="70" t="str">
        <f t="shared" si="635"/>
        <v/>
      </c>
      <c r="AC1857" s="70" t="str">
        <f t="shared" si="636"/>
        <v/>
      </c>
      <c r="AD1857" s="70" t="str">
        <f t="shared" si="637"/>
        <v/>
      </c>
      <c r="AE1857" s="70" t="str">
        <f t="shared" si="638"/>
        <v/>
      </c>
      <c r="AF1857" s="16"/>
      <c r="AG1857" s="23"/>
      <c r="AH1857" s="22"/>
      <c r="AJ1857" s="83">
        <f t="shared" si="639"/>
        <v>0</v>
      </c>
      <c r="AO1857" s="22" t="str">
        <f t="shared" si="640"/>
        <v/>
      </c>
      <c r="AP1857" s="22" t="str">
        <f t="shared" si="641"/>
        <v/>
      </c>
    </row>
    <row r="1858" spans="1:42" x14ac:dyDescent="0.25">
      <c r="A1858" s="10"/>
      <c r="B1858" s="10"/>
      <c r="C1858" s="10"/>
      <c r="D1858" s="10"/>
      <c r="E1858" s="10"/>
      <c r="F1858" s="10"/>
      <c r="G1858" s="10"/>
      <c r="H1858" s="17"/>
      <c r="I1858" s="10"/>
      <c r="J1858" s="10"/>
      <c r="K1858" s="16" t="str">
        <f t="shared" si="620"/>
        <v/>
      </c>
      <c r="L1858" s="23" t="str">
        <f t="shared" si="621"/>
        <v/>
      </c>
      <c r="M1858" s="22" t="str">
        <f t="shared" si="622"/>
        <v/>
      </c>
      <c r="N1858" s="72"/>
      <c r="O1858" s="16" t="str">
        <f t="shared" si="623"/>
        <v/>
      </c>
      <c r="P1858" s="16" t="str">
        <f t="shared" si="624"/>
        <v/>
      </c>
      <c r="Q1858" s="16" t="str">
        <f t="shared" si="625"/>
        <v/>
      </c>
      <c r="R1858" s="23" t="str">
        <f t="shared" si="626"/>
        <v/>
      </c>
      <c r="S1858" s="23" t="str">
        <f t="shared" si="627"/>
        <v/>
      </c>
      <c r="T1858" s="23" t="str">
        <f t="shared" si="628"/>
        <v/>
      </c>
      <c r="U1858" s="23" t="str">
        <f t="shared" si="629"/>
        <v/>
      </c>
      <c r="V1858" s="23" t="str">
        <f t="shared" si="630"/>
        <v/>
      </c>
      <c r="W1858" s="70" t="str">
        <f t="shared" si="631"/>
        <v/>
      </c>
      <c r="X1858" s="70" t="str">
        <f t="shared" si="632"/>
        <v/>
      </c>
      <c r="Y1858" s="70" t="str">
        <f>IF(AND($A1858&lt;&gt;"",$E1858&gt;0),isLaptopBag($C1858,$J1858)*$D1858,"")</f>
        <v/>
      </c>
      <c r="Z1858" s="70" t="str">
        <f t="shared" si="633"/>
        <v/>
      </c>
      <c r="AA1858" s="70" t="str">
        <f t="shared" si="634"/>
        <v/>
      </c>
      <c r="AB1858" s="70" t="str">
        <f t="shared" si="635"/>
        <v/>
      </c>
      <c r="AC1858" s="70" t="str">
        <f t="shared" si="636"/>
        <v/>
      </c>
      <c r="AD1858" s="70" t="str">
        <f t="shared" si="637"/>
        <v/>
      </c>
      <c r="AE1858" s="70" t="str">
        <f t="shared" si="638"/>
        <v/>
      </c>
      <c r="AF1858" s="16"/>
      <c r="AG1858" s="23"/>
      <c r="AH1858" s="22"/>
      <c r="AJ1858" s="83">
        <f t="shared" si="639"/>
        <v>0</v>
      </c>
      <c r="AO1858" s="22" t="str">
        <f t="shared" si="640"/>
        <v/>
      </c>
      <c r="AP1858" s="22" t="str">
        <f t="shared" si="641"/>
        <v/>
      </c>
    </row>
    <row r="1859" spans="1:42" x14ac:dyDescent="0.25">
      <c r="A1859" s="10"/>
      <c r="B1859" s="10"/>
      <c r="C1859" s="10"/>
      <c r="D1859" s="10"/>
      <c r="E1859" s="10"/>
      <c r="F1859" s="10"/>
      <c r="G1859" s="10"/>
      <c r="H1859" s="17"/>
      <c r="I1859" s="10"/>
      <c r="J1859" s="10"/>
      <c r="K1859" s="16" t="str">
        <f t="shared" si="620"/>
        <v/>
      </c>
      <c r="L1859" s="23" t="str">
        <f t="shared" si="621"/>
        <v/>
      </c>
      <c r="M1859" s="22" t="str">
        <f t="shared" si="622"/>
        <v/>
      </c>
      <c r="N1859" s="72"/>
      <c r="O1859" s="16" t="str">
        <f t="shared" si="623"/>
        <v/>
      </c>
      <c r="P1859" s="16" t="str">
        <f t="shared" si="624"/>
        <v/>
      </c>
      <c r="Q1859" s="16" t="str">
        <f t="shared" si="625"/>
        <v/>
      </c>
      <c r="R1859" s="23" t="str">
        <f t="shared" si="626"/>
        <v/>
      </c>
      <c r="S1859" s="23" t="str">
        <f t="shared" si="627"/>
        <v/>
      </c>
      <c r="T1859" s="23" t="str">
        <f t="shared" si="628"/>
        <v/>
      </c>
      <c r="U1859" s="23" t="str">
        <f t="shared" si="629"/>
        <v/>
      </c>
      <c r="V1859" s="23" t="str">
        <f t="shared" si="630"/>
        <v/>
      </c>
      <c r="W1859" s="70" t="str">
        <f t="shared" si="631"/>
        <v/>
      </c>
      <c r="X1859" s="70" t="str">
        <f t="shared" si="632"/>
        <v/>
      </c>
      <c r="Y1859" s="70" t="str">
        <f>IF(AND($A1859&lt;&gt;"",$E1859&gt;0),isLaptopBag($C1859,$J1859)*$D1859,"")</f>
        <v/>
      </c>
      <c r="Z1859" s="70" t="str">
        <f t="shared" si="633"/>
        <v/>
      </c>
      <c r="AA1859" s="70" t="str">
        <f t="shared" si="634"/>
        <v/>
      </c>
      <c r="AB1859" s="70" t="str">
        <f t="shared" si="635"/>
        <v/>
      </c>
      <c r="AC1859" s="70" t="str">
        <f t="shared" si="636"/>
        <v/>
      </c>
      <c r="AD1859" s="70" t="str">
        <f t="shared" si="637"/>
        <v/>
      </c>
      <c r="AE1859" s="70" t="str">
        <f t="shared" si="638"/>
        <v/>
      </c>
      <c r="AF1859" s="16"/>
      <c r="AG1859" s="23"/>
      <c r="AH1859" s="22"/>
      <c r="AJ1859" s="83">
        <f t="shared" si="639"/>
        <v>0</v>
      </c>
      <c r="AO1859" s="22" t="str">
        <f t="shared" si="640"/>
        <v/>
      </c>
      <c r="AP1859" s="22" t="str">
        <f t="shared" si="641"/>
        <v/>
      </c>
    </row>
    <row r="1860" spans="1:42" x14ac:dyDescent="0.25">
      <c r="A1860" s="10"/>
      <c r="B1860" s="10"/>
      <c r="C1860" s="10"/>
      <c r="D1860" s="10"/>
      <c r="E1860" s="10"/>
      <c r="F1860" s="10"/>
      <c r="G1860" s="10"/>
      <c r="H1860" s="17"/>
      <c r="I1860" s="10"/>
      <c r="J1860" s="10"/>
      <c r="K1860" s="16" t="str">
        <f t="shared" si="620"/>
        <v/>
      </c>
      <c r="L1860" s="23" t="str">
        <f t="shared" si="621"/>
        <v/>
      </c>
      <c r="M1860" s="22" t="str">
        <f t="shared" si="622"/>
        <v/>
      </c>
      <c r="N1860" s="72"/>
      <c r="O1860" s="16" t="str">
        <f t="shared" si="623"/>
        <v/>
      </c>
      <c r="P1860" s="16" t="str">
        <f t="shared" si="624"/>
        <v/>
      </c>
      <c r="Q1860" s="16" t="str">
        <f t="shared" si="625"/>
        <v/>
      </c>
      <c r="R1860" s="23" t="str">
        <f t="shared" si="626"/>
        <v/>
      </c>
      <c r="S1860" s="23" t="str">
        <f t="shared" si="627"/>
        <v/>
      </c>
      <c r="T1860" s="23" t="str">
        <f t="shared" si="628"/>
        <v/>
      </c>
      <c r="U1860" s="23" t="str">
        <f t="shared" si="629"/>
        <v/>
      </c>
      <c r="V1860" s="23" t="str">
        <f t="shared" si="630"/>
        <v/>
      </c>
      <c r="W1860" s="70" t="str">
        <f t="shared" si="631"/>
        <v/>
      </c>
      <c r="X1860" s="70" t="str">
        <f t="shared" si="632"/>
        <v/>
      </c>
      <c r="Y1860" s="70" t="str">
        <f>IF(AND($A1860&lt;&gt;"",$E1860&gt;0),isLaptopBag($C1860,$J1860)*$D1860,"")</f>
        <v/>
      </c>
      <c r="Z1860" s="70" t="str">
        <f t="shared" si="633"/>
        <v/>
      </c>
      <c r="AA1860" s="70" t="str">
        <f t="shared" si="634"/>
        <v/>
      </c>
      <c r="AB1860" s="70" t="str">
        <f t="shared" si="635"/>
        <v/>
      </c>
      <c r="AC1860" s="70" t="str">
        <f t="shared" si="636"/>
        <v/>
      </c>
      <c r="AD1860" s="70" t="str">
        <f t="shared" si="637"/>
        <v/>
      </c>
      <c r="AE1860" s="70" t="str">
        <f t="shared" si="638"/>
        <v/>
      </c>
      <c r="AF1860" s="16"/>
      <c r="AG1860" s="23"/>
      <c r="AH1860" s="22"/>
      <c r="AJ1860" s="83">
        <f t="shared" si="639"/>
        <v>0</v>
      </c>
      <c r="AO1860" s="22" t="str">
        <f t="shared" si="640"/>
        <v/>
      </c>
      <c r="AP1860" s="22" t="str">
        <f t="shared" si="641"/>
        <v/>
      </c>
    </row>
    <row r="1861" spans="1:42" x14ac:dyDescent="0.25">
      <c r="A1861" s="10"/>
      <c r="B1861" s="10"/>
      <c r="C1861" s="10"/>
      <c r="D1861" s="10"/>
      <c r="E1861" s="10"/>
      <c r="F1861" s="10"/>
      <c r="G1861" s="10"/>
      <c r="H1861" s="17"/>
      <c r="I1861" s="10"/>
      <c r="J1861" s="10"/>
      <c r="K1861" s="16" t="str">
        <f t="shared" si="620"/>
        <v/>
      </c>
      <c r="L1861" s="23" t="str">
        <f t="shared" si="621"/>
        <v/>
      </c>
      <c r="M1861" s="22" t="str">
        <f t="shared" si="622"/>
        <v/>
      </c>
      <c r="N1861" s="72"/>
      <c r="O1861" s="16" t="str">
        <f t="shared" si="623"/>
        <v/>
      </c>
      <c r="P1861" s="16" t="str">
        <f t="shared" si="624"/>
        <v/>
      </c>
      <c r="Q1861" s="16" t="str">
        <f t="shared" si="625"/>
        <v/>
      </c>
      <c r="R1861" s="23" t="str">
        <f t="shared" si="626"/>
        <v/>
      </c>
      <c r="S1861" s="23" t="str">
        <f t="shared" si="627"/>
        <v/>
      </c>
      <c r="T1861" s="23" t="str">
        <f t="shared" si="628"/>
        <v/>
      </c>
      <c r="U1861" s="23" t="str">
        <f t="shared" si="629"/>
        <v/>
      </c>
      <c r="V1861" s="23" t="str">
        <f t="shared" si="630"/>
        <v/>
      </c>
      <c r="W1861" s="70" t="str">
        <f t="shared" si="631"/>
        <v/>
      </c>
      <c r="X1861" s="70" t="str">
        <f t="shared" si="632"/>
        <v/>
      </c>
      <c r="Y1861" s="70" t="str">
        <f>IF(AND($A1861&lt;&gt;"",$E1861&gt;0),isLaptopBag($C1861,$J1861)*$D1861,"")</f>
        <v/>
      </c>
      <c r="Z1861" s="70" t="str">
        <f t="shared" si="633"/>
        <v/>
      </c>
      <c r="AA1861" s="70" t="str">
        <f t="shared" si="634"/>
        <v/>
      </c>
      <c r="AB1861" s="70" t="str">
        <f t="shared" si="635"/>
        <v/>
      </c>
      <c r="AC1861" s="70" t="str">
        <f t="shared" si="636"/>
        <v/>
      </c>
      <c r="AD1861" s="70" t="str">
        <f t="shared" si="637"/>
        <v/>
      </c>
      <c r="AE1861" s="70" t="str">
        <f t="shared" si="638"/>
        <v/>
      </c>
      <c r="AF1861" s="16"/>
      <c r="AG1861" s="23"/>
      <c r="AH1861" s="22"/>
      <c r="AJ1861" s="83">
        <f t="shared" si="639"/>
        <v>0</v>
      </c>
      <c r="AO1861" s="22" t="str">
        <f t="shared" si="640"/>
        <v/>
      </c>
      <c r="AP1861" s="22" t="str">
        <f t="shared" si="641"/>
        <v/>
      </c>
    </row>
    <row r="1862" spans="1:42" x14ac:dyDescent="0.25">
      <c r="A1862" s="10"/>
      <c r="B1862" s="10"/>
      <c r="C1862" s="10"/>
      <c r="D1862" s="10"/>
      <c r="E1862" s="10"/>
      <c r="F1862" s="10"/>
      <c r="G1862" s="10"/>
      <c r="H1862" s="17"/>
      <c r="I1862" s="10"/>
      <c r="J1862" s="10"/>
      <c r="K1862" s="16" t="str">
        <f t="shared" si="620"/>
        <v/>
      </c>
      <c r="L1862" s="23" t="str">
        <f t="shared" si="621"/>
        <v/>
      </c>
      <c r="M1862" s="22" t="str">
        <f t="shared" si="622"/>
        <v/>
      </c>
      <c r="N1862" s="72"/>
      <c r="O1862" s="16" t="str">
        <f t="shared" si="623"/>
        <v/>
      </c>
      <c r="P1862" s="16" t="str">
        <f t="shared" si="624"/>
        <v/>
      </c>
      <c r="Q1862" s="16" t="str">
        <f t="shared" si="625"/>
        <v/>
      </c>
      <c r="R1862" s="23" t="str">
        <f t="shared" si="626"/>
        <v/>
      </c>
      <c r="S1862" s="23" t="str">
        <f t="shared" si="627"/>
        <v/>
      </c>
      <c r="T1862" s="23" t="str">
        <f t="shared" si="628"/>
        <v/>
      </c>
      <c r="U1862" s="23" t="str">
        <f t="shared" si="629"/>
        <v/>
      </c>
      <c r="V1862" s="23" t="str">
        <f t="shared" si="630"/>
        <v/>
      </c>
      <c r="W1862" s="70" t="str">
        <f t="shared" si="631"/>
        <v/>
      </c>
      <c r="X1862" s="70" t="str">
        <f t="shared" si="632"/>
        <v/>
      </c>
      <c r="Y1862" s="70" t="str">
        <f>IF(AND($A1862&lt;&gt;"",$E1862&gt;0),isLaptopBag($C1862,$J1862)*$D1862,"")</f>
        <v/>
      </c>
      <c r="Z1862" s="70" t="str">
        <f t="shared" si="633"/>
        <v/>
      </c>
      <c r="AA1862" s="70" t="str">
        <f t="shared" si="634"/>
        <v/>
      </c>
      <c r="AB1862" s="70" t="str">
        <f t="shared" si="635"/>
        <v/>
      </c>
      <c r="AC1862" s="70" t="str">
        <f t="shared" si="636"/>
        <v/>
      </c>
      <c r="AD1862" s="70" t="str">
        <f t="shared" si="637"/>
        <v/>
      </c>
      <c r="AE1862" s="70" t="str">
        <f t="shared" si="638"/>
        <v/>
      </c>
      <c r="AF1862" s="16"/>
      <c r="AG1862" s="23"/>
      <c r="AH1862" s="22"/>
      <c r="AJ1862" s="83">
        <f t="shared" si="639"/>
        <v>0</v>
      </c>
      <c r="AO1862" s="22" t="str">
        <f t="shared" si="640"/>
        <v/>
      </c>
      <c r="AP1862" s="22" t="str">
        <f t="shared" si="641"/>
        <v/>
      </c>
    </row>
    <row r="1863" spans="1:42" x14ac:dyDescent="0.25">
      <c r="A1863" s="10"/>
      <c r="B1863" s="10"/>
      <c r="C1863" s="10"/>
      <c r="D1863" s="10"/>
      <c r="E1863" s="10"/>
      <c r="F1863" s="10"/>
      <c r="G1863" s="10"/>
      <c r="H1863" s="17"/>
      <c r="I1863" s="10"/>
      <c r="J1863" s="10"/>
      <c r="K1863" s="16" t="str">
        <f t="shared" si="620"/>
        <v/>
      </c>
      <c r="L1863" s="23" t="str">
        <f t="shared" si="621"/>
        <v/>
      </c>
      <c r="M1863" s="22" t="str">
        <f t="shared" si="622"/>
        <v/>
      </c>
      <c r="N1863" s="72"/>
      <c r="O1863" s="16" t="str">
        <f t="shared" si="623"/>
        <v/>
      </c>
      <c r="P1863" s="16" t="str">
        <f t="shared" si="624"/>
        <v/>
      </c>
      <c r="Q1863" s="16" t="str">
        <f t="shared" si="625"/>
        <v/>
      </c>
      <c r="R1863" s="23" t="str">
        <f t="shared" si="626"/>
        <v/>
      </c>
      <c r="S1863" s="23" t="str">
        <f t="shared" si="627"/>
        <v/>
      </c>
      <c r="T1863" s="23" t="str">
        <f t="shared" si="628"/>
        <v/>
      </c>
      <c r="U1863" s="23" t="str">
        <f t="shared" si="629"/>
        <v/>
      </c>
      <c r="V1863" s="23" t="str">
        <f t="shared" si="630"/>
        <v/>
      </c>
      <c r="W1863" s="70" t="str">
        <f t="shared" si="631"/>
        <v/>
      </c>
      <c r="X1863" s="70" t="str">
        <f t="shared" si="632"/>
        <v/>
      </c>
      <c r="Y1863" s="70" t="str">
        <f>IF(AND($A1863&lt;&gt;"",$E1863&gt;0),isLaptopBag($C1863,$J1863)*$D1863,"")</f>
        <v/>
      </c>
      <c r="Z1863" s="70" t="str">
        <f t="shared" si="633"/>
        <v/>
      </c>
      <c r="AA1863" s="70" t="str">
        <f t="shared" si="634"/>
        <v/>
      </c>
      <c r="AB1863" s="70" t="str">
        <f t="shared" si="635"/>
        <v/>
      </c>
      <c r="AC1863" s="70" t="str">
        <f t="shared" si="636"/>
        <v/>
      </c>
      <c r="AD1863" s="70" t="str">
        <f t="shared" si="637"/>
        <v/>
      </c>
      <c r="AE1863" s="70" t="str">
        <f t="shared" si="638"/>
        <v/>
      </c>
      <c r="AF1863" s="16"/>
      <c r="AG1863" s="23"/>
      <c r="AH1863" s="22"/>
      <c r="AJ1863" s="83">
        <f t="shared" si="639"/>
        <v>0</v>
      </c>
      <c r="AO1863" s="22" t="str">
        <f t="shared" si="640"/>
        <v/>
      </c>
      <c r="AP1863" s="22" t="str">
        <f t="shared" si="641"/>
        <v/>
      </c>
    </row>
    <row r="1864" spans="1:42" x14ac:dyDescent="0.25">
      <c r="A1864" s="10"/>
      <c r="B1864" s="10"/>
      <c r="C1864" s="10"/>
      <c r="D1864" s="10"/>
      <c r="E1864" s="10"/>
      <c r="F1864" s="10"/>
      <c r="G1864" s="10"/>
      <c r="H1864" s="17"/>
      <c r="I1864" s="10"/>
      <c r="J1864" s="10"/>
      <c r="K1864" s="16" t="str">
        <f t="shared" si="620"/>
        <v/>
      </c>
      <c r="L1864" s="23" t="str">
        <f t="shared" si="621"/>
        <v/>
      </c>
      <c r="M1864" s="22" t="str">
        <f t="shared" si="622"/>
        <v/>
      </c>
      <c r="N1864" s="72"/>
      <c r="O1864" s="16" t="str">
        <f t="shared" si="623"/>
        <v/>
      </c>
      <c r="P1864" s="16" t="str">
        <f t="shared" si="624"/>
        <v/>
      </c>
      <c r="Q1864" s="16" t="str">
        <f t="shared" si="625"/>
        <v/>
      </c>
      <c r="R1864" s="23" t="str">
        <f t="shared" si="626"/>
        <v/>
      </c>
      <c r="S1864" s="23" t="str">
        <f t="shared" si="627"/>
        <v/>
      </c>
      <c r="T1864" s="23" t="str">
        <f t="shared" si="628"/>
        <v/>
      </c>
      <c r="U1864" s="23" t="str">
        <f t="shared" si="629"/>
        <v/>
      </c>
      <c r="V1864" s="23" t="str">
        <f t="shared" si="630"/>
        <v/>
      </c>
      <c r="W1864" s="70" t="str">
        <f t="shared" si="631"/>
        <v/>
      </c>
      <c r="X1864" s="70" t="str">
        <f t="shared" si="632"/>
        <v/>
      </c>
      <c r="Y1864" s="70" t="str">
        <f>IF(AND($A1864&lt;&gt;"",$E1864&gt;0),isLaptopBag($C1864,$J1864)*$D1864,"")</f>
        <v/>
      </c>
      <c r="Z1864" s="70" t="str">
        <f t="shared" si="633"/>
        <v/>
      </c>
      <c r="AA1864" s="70" t="str">
        <f t="shared" si="634"/>
        <v/>
      </c>
      <c r="AB1864" s="70" t="str">
        <f t="shared" si="635"/>
        <v/>
      </c>
      <c r="AC1864" s="70" t="str">
        <f t="shared" si="636"/>
        <v/>
      </c>
      <c r="AD1864" s="70" t="str">
        <f t="shared" si="637"/>
        <v/>
      </c>
      <c r="AE1864" s="70" t="str">
        <f t="shared" si="638"/>
        <v/>
      </c>
      <c r="AF1864" s="16"/>
      <c r="AG1864" s="23"/>
      <c r="AH1864" s="22"/>
      <c r="AJ1864" s="83">
        <f t="shared" si="639"/>
        <v>0</v>
      </c>
      <c r="AO1864" s="22" t="str">
        <f t="shared" si="640"/>
        <v/>
      </c>
      <c r="AP1864" s="22" t="str">
        <f t="shared" si="641"/>
        <v/>
      </c>
    </row>
    <row r="1865" spans="1:42" x14ac:dyDescent="0.25">
      <c r="A1865" s="10"/>
      <c r="B1865" s="10"/>
      <c r="C1865" s="10"/>
      <c r="D1865" s="10"/>
      <c r="E1865" s="10"/>
      <c r="F1865" s="10"/>
      <c r="G1865" s="10"/>
      <c r="H1865" s="17"/>
      <c r="I1865" s="10"/>
      <c r="J1865" s="10"/>
      <c r="K1865" s="16" t="str">
        <f t="shared" si="620"/>
        <v/>
      </c>
      <c r="L1865" s="23" t="str">
        <f t="shared" si="621"/>
        <v/>
      </c>
      <c r="M1865" s="22" t="str">
        <f t="shared" si="622"/>
        <v/>
      </c>
      <c r="N1865" s="72"/>
      <c r="O1865" s="16" t="str">
        <f t="shared" si="623"/>
        <v/>
      </c>
      <c r="P1865" s="16" t="str">
        <f t="shared" si="624"/>
        <v/>
      </c>
      <c r="Q1865" s="16" t="str">
        <f t="shared" si="625"/>
        <v/>
      </c>
      <c r="R1865" s="23" t="str">
        <f t="shared" si="626"/>
        <v/>
      </c>
      <c r="S1865" s="23" t="str">
        <f t="shared" si="627"/>
        <v/>
      </c>
      <c r="T1865" s="23" t="str">
        <f t="shared" si="628"/>
        <v/>
      </c>
      <c r="U1865" s="23" t="str">
        <f t="shared" si="629"/>
        <v/>
      </c>
      <c r="V1865" s="23" t="str">
        <f t="shared" si="630"/>
        <v/>
      </c>
      <c r="W1865" s="70" t="str">
        <f t="shared" si="631"/>
        <v/>
      </c>
      <c r="X1865" s="70" t="str">
        <f t="shared" si="632"/>
        <v/>
      </c>
      <c r="Y1865" s="70" t="str">
        <f>IF(AND($A1865&lt;&gt;"",$E1865&gt;0),isLaptopBag($C1865,$J1865)*$D1865,"")</f>
        <v/>
      </c>
      <c r="Z1865" s="70" t="str">
        <f t="shared" si="633"/>
        <v/>
      </c>
      <c r="AA1865" s="70" t="str">
        <f t="shared" si="634"/>
        <v/>
      </c>
      <c r="AB1865" s="70" t="str">
        <f t="shared" si="635"/>
        <v/>
      </c>
      <c r="AC1865" s="70" t="str">
        <f t="shared" si="636"/>
        <v/>
      </c>
      <c r="AD1865" s="70" t="str">
        <f t="shared" si="637"/>
        <v/>
      </c>
      <c r="AE1865" s="70" t="str">
        <f t="shared" si="638"/>
        <v/>
      </c>
      <c r="AF1865" s="16"/>
      <c r="AG1865" s="23"/>
      <c r="AH1865" s="22"/>
      <c r="AJ1865" s="83">
        <f t="shared" si="639"/>
        <v>0</v>
      </c>
      <c r="AO1865" s="22" t="str">
        <f t="shared" si="640"/>
        <v/>
      </c>
      <c r="AP1865" s="22" t="str">
        <f t="shared" si="641"/>
        <v/>
      </c>
    </row>
    <row r="1866" spans="1:42" x14ac:dyDescent="0.25">
      <c r="A1866" s="10"/>
      <c r="B1866" s="10"/>
      <c r="C1866" s="10"/>
      <c r="D1866" s="10"/>
      <c r="E1866" s="10"/>
      <c r="F1866" s="10"/>
      <c r="G1866" s="10"/>
      <c r="H1866" s="17"/>
      <c r="I1866" s="10"/>
      <c r="J1866" s="10"/>
      <c r="K1866" s="16" t="str">
        <f t="shared" si="620"/>
        <v/>
      </c>
      <c r="L1866" s="23" t="str">
        <f t="shared" si="621"/>
        <v/>
      </c>
      <c r="M1866" s="22" t="str">
        <f t="shared" si="622"/>
        <v/>
      </c>
      <c r="N1866" s="72"/>
      <c r="O1866" s="16" t="str">
        <f t="shared" si="623"/>
        <v/>
      </c>
      <c r="P1866" s="16" t="str">
        <f t="shared" si="624"/>
        <v/>
      </c>
      <c r="Q1866" s="16" t="str">
        <f t="shared" si="625"/>
        <v/>
      </c>
      <c r="R1866" s="23" t="str">
        <f t="shared" si="626"/>
        <v/>
      </c>
      <c r="S1866" s="23" t="str">
        <f t="shared" si="627"/>
        <v/>
      </c>
      <c r="T1866" s="23" t="str">
        <f t="shared" si="628"/>
        <v/>
      </c>
      <c r="U1866" s="23" t="str">
        <f t="shared" si="629"/>
        <v/>
      </c>
      <c r="V1866" s="23" t="str">
        <f t="shared" si="630"/>
        <v/>
      </c>
      <c r="W1866" s="70" t="str">
        <f t="shared" si="631"/>
        <v/>
      </c>
      <c r="X1866" s="70" t="str">
        <f t="shared" si="632"/>
        <v/>
      </c>
      <c r="Y1866" s="70" t="str">
        <f>IF(AND($A1866&lt;&gt;"",$E1866&gt;0),isLaptopBag($C1866,$J1866)*$D1866,"")</f>
        <v/>
      </c>
      <c r="Z1866" s="70" t="str">
        <f t="shared" si="633"/>
        <v/>
      </c>
      <c r="AA1866" s="70" t="str">
        <f t="shared" si="634"/>
        <v/>
      </c>
      <c r="AB1866" s="70" t="str">
        <f t="shared" si="635"/>
        <v/>
      </c>
      <c r="AC1866" s="70" t="str">
        <f t="shared" si="636"/>
        <v/>
      </c>
      <c r="AD1866" s="70" t="str">
        <f t="shared" si="637"/>
        <v/>
      </c>
      <c r="AE1866" s="70" t="str">
        <f t="shared" si="638"/>
        <v/>
      </c>
      <c r="AF1866" s="16"/>
      <c r="AG1866" s="23"/>
      <c r="AH1866" s="22"/>
      <c r="AJ1866" s="83">
        <f t="shared" si="639"/>
        <v>0</v>
      </c>
      <c r="AO1866" s="22" t="str">
        <f t="shared" si="640"/>
        <v/>
      </c>
      <c r="AP1866" s="22" t="str">
        <f t="shared" si="641"/>
        <v/>
      </c>
    </row>
    <row r="1867" spans="1:42" x14ac:dyDescent="0.25">
      <c r="A1867" s="10"/>
      <c r="B1867" s="10"/>
      <c r="C1867" s="10"/>
      <c r="D1867" s="10"/>
      <c r="E1867" s="10"/>
      <c r="F1867" s="10"/>
      <c r="G1867" s="10"/>
      <c r="H1867" s="17"/>
      <c r="I1867" s="10"/>
      <c r="J1867" s="10"/>
      <c r="K1867" s="16" t="str">
        <f t="shared" si="620"/>
        <v/>
      </c>
      <c r="L1867" s="23" t="str">
        <f t="shared" si="621"/>
        <v/>
      </c>
      <c r="M1867" s="22" t="str">
        <f t="shared" si="622"/>
        <v/>
      </c>
      <c r="N1867" s="72"/>
      <c r="O1867" s="16" t="str">
        <f t="shared" si="623"/>
        <v/>
      </c>
      <c r="P1867" s="16" t="str">
        <f t="shared" si="624"/>
        <v/>
      </c>
      <c r="Q1867" s="16" t="str">
        <f t="shared" si="625"/>
        <v/>
      </c>
      <c r="R1867" s="23" t="str">
        <f t="shared" si="626"/>
        <v/>
      </c>
      <c r="S1867" s="23" t="str">
        <f t="shared" si="627"/>
        <v/>
      </c>
      <c r="T1867" s="23" t="str">
        <f t="shared" si="628"/>
        <v/>
      </c>
      <c r="U1867" s="23" t="str">
        <f t="shared" si="629"/>
        <v/>
      </c>
      <c r="V1867" s="23" t="str">
        <f t="shared" si="630"/>
        <v/>
      </c>
      <c r="W1867" s="70" t="str">
        <f t="shared" si="631"/>
        <v/>
      </c>
      <c r="X1867" s="70" t="str">
        <f t="shared" si="632"/>
        <v/>
      </c>
      <c r="Y1867" s="70" t="str">
        <f>IF(AND($A1867&lt;&gt;"",$E1867&gt;0),isLaptopBag($C1867,$J1867)*$D1867,"")</f>
        <v/>
      </c>
      <c r="Z1867" s="70" t="str">
        <f t="shared" si="633"/>
        <v/>
      </c>
      <c r="AA1867" s="70" t="str">
        <f t="shared" si="634"/>
        <v/>
      </c>
      <c r="AB1867" s="70" t="str">
        <f t="shared" si="635"/>
        <v/>
      </c>
      <c r="AC1867" s="70" t="str">
        <f t="shared" si="636"/>
        <v/>
      </c>
      <c r="AD1867" s="70" t="str">
        <f t="shared" si="637"/>
        <v/>
      </c>
      <c r="AE1867" s="70" t="str">
        <f t="shared" si="638"/>
        <v/>
      </c>
      <c r="AF1867" s="16"/>
      <c r="AG1867" s="23"/>
      <c r="AH1867" s="22"/>
      <c r="AJ1867" s="83">
        <f t="shared" si="639"/>
        <v>0</v>
      </c>
      <c r="AO1867" s="22" t="str">
        <f t="shared" si="640"/>
        <v/>
      </c>
      <c r="AP1867" s="22" t="str">
        <f t="shared" si="641"/>
        <v/>
      </c>
    </row>
    <row r="1868" spans="1:42" x14ac:dyDescent="0.25">
      <c r="A1868" s="10"/>
      <c r="B1868" s="10"/>
      <c r="C1868" s="10"/>
      <c r="D1868" s="10"/>
      <c r="E1868" s="10"/>
      <c r="F1868" s="10"/>
      <c r="G1868" s="10"/>
      <c r="H1868" s="17"/>
      <c r="I1868" s="10"/>
      <c r="J1868" s="10"/>
      <c r="K1868" s="16" t="str">
        <f t="shared" si="620"/>
        <v/>
      </c>
      <c r="L1868" s="23" t="str">
        <f t="shared" si="621"/>
        <v/>
      </c>
      <c r="M1868" s="22" t="str">
        <f t="shared" si="622"/>
        <v/>
      </c>
      <c r="N1868" s="72"/>
      <c r="O1868" s="16" t="str">
        <f t="shared" si="623"/>
        <v/>
      </c>
      <c r="P1868" s="16" t="str">
        <f t="shared" si="624"/>
        <v/>
      </c>
      <c r="Q1868" s="16" t="str">
        <f t="shared" si="625"/>
        <v/>
      </c>
      <c r="R1868" s="23" t="str">
        <f t="shared" si="626"/>
        <v/>
      </c>
      <c r="S1868" s="23" t="str">
        <f t="shared" si="627"/>
        <v/>
      </c>
      <c r="T1868" s="23" t="str">
        <f t="shared" si="628"/>
        <v/>
      </c>
      <c r="U1868" s="23" t="str">
        <f t="shared" si="629"/>
        <v/>
      </c>
      <c r="V1868" s="23" t="str">
        <f t="shared" si="630"/>
        <v/>
      </c>
      <c r="W1868" s="70" t="str">
        <f t="shared" si="631"/>
        <v/>
      </c>
      <c r="X1868" s="70" t="str">
        <f t="shared" si="632"/>
        <v/>
      </c>
      <c r="Y1868" s="70" t="str">
        <f>IF(AND($A1868&lt;&gt;"",$E1868&gt;0),isLaptopBag($C1868,$J1868)*$D1868,"")</f>
        <v/>
      </c>
      <c r="Z1868" s="70" t="str">
        <f t="shared" si="633"/>
        <v/>
      </c>
      <c r="AA1868" s="70" t="str">
        <f t="shared" si="634"/>
        <v/>
      </c>
      <c r="AB1868" s="70" t="str">
        <f t="shared" si="635"/>
        <v/>
      </c>
      <c r="AC1868" s="70" t="str">
        <f t="shared" si="636"/>
        <v/>
      </c>
      <c r="AD1868" s="70" t="str">
        <f t="shared" si="637"/>
        <v/>
      </c>
      <c r="AE1868" s="70" t="str">
        <f t="shared" si="638"/>
        <v/>
      </c>
      <c r="AF1868" s="16"/>
      <c r="AG1868" s="23"/>
      <c r="AH1868" s="22"/>
      <c r="AJ1868" s="83">
        <f t="shared" si="639"/>
        <v>0</v>
      </c>
      <c r="AO1868" s="22" t="str">
        <f t="shared" si="640"/>
        <v/>
      </c>
      <c r="AP1868" s="22" t="str">
        <f t="shared" si="641"/>
        <v/>
      </c>
    </row>
    <row r="1869" spans="1:42" x14ac:dyDescent="0.25">
      <c r="A1869" s="10"/>
      <c r="B1869" s="10"/>
      <c r="C1869" s="10"/>
      <c r="D1869" s="10"/>
      <c r="E1869" s="10"/>
      <c r="F1869" s="10"/>
      <c r="G1869" s="10"/>
      <c r="H1869" s="17"/>
      <c r="I1869" s="10"/>
      <c r="J1869" s="10"/>
      <c r="K1869" s="16" t="str">
        <f t="shared" ref="K1869:K1932" si="642">IF($AF1869&lt;&gt;"",$AF1869,IF(AND($A1869&lt;&gt;"",$E1869&gt;0),SUM($O1869:$Q1869),""))</f>
        <v/>
      </c>
      <c r="L1869" s="23" t="str">
        <f t="shared" ref="L1869:L1932" si="643">IF($AG1869&lt;&gt;"",$AG1869,IF(AND($A1869&lt;&gt;"",$E1869&gt;0),SUM($R1869:$V1869),""))</f>
        <v/>
      </c>
      <c r="M1869" s="22" t="str">
        <f t="shared" ref="M1869:M1932" si="644">IF($AH1869&lt;&gt;"",$AH1869,IF(AND($A1869&lt;&gt;"",$E1869&gt;0),SUM($W1869:$AE1869)+$AO1869+$AP1869,""))</f>
        <v/>
      </c>
      <c r="N1869" s="72"/>
      <c r="O1869" s="16" t="str">
        <f t="shared" ref="O1869:O1932" si="645">IF(AND($A1869&lt;&gt;"",$E1869&gt;0),IF(AND($J1869="SONY",200000&lt;=$E1869,$E1869&lt;1000000),5000*$D1869,0),"")</f>
        <v/>
      </c>
      <c r="P1869" s="16" t="str">
        <f t="shared" ref="P1869:P1932" si="646">IF(AND($A1869&lt;&gt;"",$E1869&gt;0),IF(AND($J1869="SONY",1000000&lt;=$E1869,$E1869&lt;2000000),10000*$D1869,0),"")</f>
        <v/>
      </c>
      <c r="Q1869" s="16" t="str">
        <f t="shared" ref="Q1869:Q1932" si="647">IF(AND($A1869&lt;&gt;"",$E1869&gt;0),IF(AND($J1869="SONY",$E1869&gt;=2000000),20000*$D1869,0),"")</f>
        <v/>
      </c>
      <c r="R1869" s="23" t="str">
        <f t="shared" ref="R1869:R1932" si="648">IF(AND($A1869&lt;&gt;"",$E1869&gt;0),IF(AND($J1869&lt;&gt;"SONY",100000&lt;=$E1869,$E1869&lt;200000),5000*$D1869,0),"")</f>
        <v/>
      </c>
      <c r="S1869" s="23" t="str">
        <f t="shared" ref="S1869:S1932" si="649">IF(AND($A1869&lt;&gt;"",$E1869&gt;0),IF(AND($J1869&lt;&gt;"SONY",200000&lt;=$E1869,$E1869&lt;500000),10000*$D1869,0),"")</f>
        <v/>
      </c>
      <c r="T1869" s="23" t="str">
        <f t="shared" ref="T1869:T1932" si="650">IF(AND($A1869&lt;&gt;"",$E1869&gt;0),IF(AND($J1869&lt;&gt;"SONY",500000&lt;=$E1869,$E1869&lt;1000000),20000*$D1869,0),"")</f>
        <v/>
      </c>
      <c r="U1869" s="23" t="str">
        <f t="shared" ref="U1869:U1932" si="651">IF(AND($A1869&lt;&gt;"",$E1869&gt;0),IF(AND($J1869&lt;&gt;"SONY",1000000&lt;=$E1869,$E1869&lt;1500000),50000*$D1869,0),"")</f>
        <v/>
      </c>
      <c r="V1869" s="23" t="str">
        <f t="shared" ref="V1869:V1932" si="652">IF(AND($A1869&lt;&gt;"",$E1869&gt;0),IF(AND($J1869&lt;&gt;"SONY",1500000&lt;=$E1869),100000*$D1869,0),"")</f>
        <v/>
      </c>
      <c r="W1869" s="70" t="str">
        <f t="shared" ref="W1869:W1932" si="653">IF(AND($E1869&gt;0,$J1869="ELECOM",$E1869&gt;=500000,ISNUMBER(SEARCH("tai nghe",$C1869))),20000*$D1869,IF($A1869&lt;&gt;"",0,""))</f>
        <v/>
      </c>
      <c r="X1869" s="70" t="str">
        <f t="shared" ref="X1869:X1932" si="654">IF(AND($E1869&gt;0,$J1869="ELECOM",ISNUMBER(SEARCH("loa",$C1869))),20000*$D1869,IF($A1869&lt;&gt;"",0,""))</f>
        <v/>
      </c>
      <c r="Y1869" s="70" t="str">
        <f>IF(AND($A1869&lt;&gt;"",$E1869&gt;0),isLaptopBag($C1869,$J1869)*$D1869,"")</f>
        <v/>
      </c>
      <c r="Z1869" s="70" t="str">
        <f t="shared" ref="Z1869:Z1932" si="655">IF(AND($E1869&gt;0,$J1869="ELECOM",ISNUMBER(SEARCH("ốp",$C1869))),20000*$D1869,IF($A1869&lt;&gt;"",0,""))</f>
        <v/>
      </c>
      <c r="AA1869" s="70" t="str">
        <f t="shared" ref="AA1869:AA1932" si="656">IF(AND($E1869&gt;0,$J1869="ELECOM",ISNUMBER(SEARCH("Bút",$C1869))),20000*$D1869,IF($A1869&lt;&gt;"",0,""))</f>
        <v/>
      </c>
      <c r="AB1869" s="70" t="str">
        <f t="shared" ref="AB1869:AB1932" si="657">IF(AND($E1869&gt;0,$J1869="ELECOM",ISNUMBER(SEARCH("Chuột bi",$C1869))),20000*$D1869,IF($A1869&lt;&gt;"",0,""))</f>
        <v/>
      </c>
      <c r="AC1869" s="70" t="str">
        <f t="shared" ref="AC1869:AC1932" si="658">IF(AND($E1869&gt;0,$J1869="ELECOM",ISNUMBER(SEARCH("Chuột trackball",$C1869))),20000*$D1869,IF($A1869&lt;&gt;"",0,""))</f>
        <v/>
      </c>
      <c r="AD1869" s="70" t="str">
        <f t="shared" ref="AD1869:AD1932" si="659">IF(AND($E1869&gt;0,$J1869="ELECOM",ISNUMBER(SEARCH("Sạc không dây",$C1869))),20000*$D1869,IF($A1869&lt;&gt;"",0,""))</f>
        <v/>
      </c>
      <c r="AE1869" s="70" t="str">
        <f t="shared" ref="AE1869:AE1932" si="660">IF(AND($E1869&gt;0,$J1869="ELECOM",ISNUMBER(SEARCH("Sạc kd",$C1869))),20000*$D1869,IF($A1869&lt;&gt;"",0,""))</f>
        <v/>
      </c>
      <c r="AF1869" s="16"/>
      <c r="AG1869" s="23"/>
      <c r="AH1869" s="22"/>
      <c r="AJ1869" s="83">
        <f t="shared" ref="AJ1869:AJ1932" si="661">DAY(H1869)</f>
        <v>0</v>
      </c>
      <c r="AO1869" s="22" t="str">
        <f t="shared" ref="AO1869:AO1932" si="662">IF(AND($E1869&gt;0,ISNUMBER(SEARCH("Sạc dự phòng Energizer",$C1869))),10000*$D1869,IF($A1869&lt;&gt;"",0,""))</f>
        <v/>
      </c>
      <c r="AP1869" s="22" t="str">
        <f t="shared" ref="AP1869:AP1932" si="663">IF(AND($E1869&gt;0,ISNUMBER(SEARCH("SDP Energizer",$C1869))),10000*$D1869,IF($A1869&lt;&gt;"",0,""))</f>
        <v/>
      </c>
    </row>
    <row r="1870" spans="1:42" x14ac:dyDescent="0.25">
      <c r="A1870" s="10"/>
      <c r="B1870" s="10"/>
      <c r="C1870" s="10"/>
      <c r="D1870" s="10"/>
      <c r="E1870" s="10"/>
      <c r="F1870" s="10"/>
      <c r="G1870" s="10"/>
      <c r="H1870" s="17"/>
      <c r="I1870" s="10"/>
      <c r="J1870" s="10"/>
      <c r="K1870" s="16" t="str">
        <f t="shared" si="642"/>
        <v/>
      </c>
      <c r="L1870" s="23" t="str">
        <f t="shared" si="643"/>
        <v/>
      </c>
      <c r="M1870" s="22" t="str">
        <f t="shared" si="644"/>
        <v/>
      </c>
      <c r="N1870" s="72"/>
      <c r="O1870" s="16" t="str">
        <f t="shared" si="645"/>
        <v/>
      </c>
      <c r="P1870" s="16" t="str">
        <f t="shared" si="646"/>
        <v/>
      </c>
      <c r="Q1870" s="16" t="str">
        <f t="shared" si="647"/>
        <v/>
      </c>
      <c r="R1870" s="23" t="str">
        <f t="shared" si="648"/>
        <v/>
      </c>
      <c r="S1870" s="23" t="str">
        <f t="shared" si="649"/>
        <v/>
      </c>
      <c r="T1870" s="23" t="str">
        <f t="shared" si="650"/>
        <v/>
      </c>
      <c r="U1870" s="23" t="str">
        <f t="shared" si="651"/>
        <v/>
      </c>
      <c r="V1870" s="23" t="str">
        <f t="shared" si="652"/>
        <v/>
      </c>
      <c r="W1870" s="70" t="str">
        <f t="shared" si="653"/>
        <v/>
      </c>
      <c r="X1870" s="70" t="str">
        <f t="shared" si="654"/>
        <v/>
      </c>
      <c r="Y1870" s="70" t="str">
        <f>IF(AND($A1870&lt;&gt;"",$E1870&gt;0),isLaptopBag($C1870,$J1870)*$D1870,"")</f>
        <v/>
      </c>
      <c r="Z1870" s="70" t="str">
        <f t="shared" si="655"/>
        <v/>
      </c>
      <c r="AA1870" s="70" t="str">
        <f t="shared" si="656"/>
        <v/>
      </c>
      <c r="AB1870" s="70" t="str">
        <f t="shared" si="657"/>
        <v/>
      </c>
      <c r="AC1870" s="70" t="str">
        <f t="shared" si="658"/>
        <v/>
      </c>
      <c r="AD1870" s="70" t="str">
        <f t="shared" si="659"/>
        <v/>
      </c>
      <c r="AE1870" s="70" t="str">
        <f t="shared" si="660"/>
        <v/>
      </c>
      <c r="AF1870" s="16"/>
      <c r="AG1870" s="23"/>
      <c r="AH1870" s="22"/>
      <c r="AJ1870" s="83">
        <f t="shared" si="661"/>
        <v>0</v>
      </c>
      <c r="AO1870" s="22" t="str">
        <f t="shared" si="662"/>
        <v/>
      </c>
      <c r="AP1870" s="22" t="str">
        <f t="shared" si="663"/>
        <v/>
      </c>
    </row>
    <row r="1871" spans="1:42" x14ac:dyDescent="0.25">
      <c r="A1871" s="10"/>
      <c r="B1871" s="10"/>
      <c r="C1871" s="10"/>
      <c r="D1871" s="10"/>
      <c r="E1871" s="10"/>
      <c r="F1871" s="10"/>
      <c r="G1871" s="10"/>
      <c r="H1871" s="17"/>
      <c r="I1871" s="10"/>
      <c r="J1871" s="10"/>
      <c r="K1871" s="16" t="str">
        <f t="shared" si="642"/>
        <v/>
      </c>
      <c r="L1871" s="23" t="str">
        <f t="shared" si="643"/>
        <v/>
      </c>
      <c r="M1871" s="22" t="str">
        <f t="shared" si="644"/>
        <v/>
      </c>
      <c r="N1871" s="72"/>
      <c r="O1871" s="16" t="str">
        <f t="shared" si="645"/>
        <v/>
      </c>
      <c r="P1871" s="16" t="str">
        <f t="shared" si="646"/>
        <v/>
      </c>
      <c r="Q1871" s="16" t="str">
        <f t="shared" si="647"/>
        <v/>
      </c>
      <c r="R1871" s="23" t="str">
        <f t="shared" si="648"/>
        <v/>
      </c>
      <c r="S1871" s="23" t="str">
        <f t="shared" si="649"/>
        <v/>
      </c>
      <c r="T1871" s="23" t="str">
        <f t="shared" si="650"/>
        <v/>
      </c>
      <c r="U1871" s="23" t="str">
        <f t="shared" si="651"/>
        <v/>
      </c>
      <c r="V1871" s="23" t="str">
        <f t="shared" si="652"/>
        <v/>
      </c>
      <c r="W1871" s="70" t="str">
        <f t="shared" si="653"/>
        <v/>
      </c>
      <c r="X1871" s="70" t="str">
        <f t="shared" si="654"/>
        <v/>
      </c>
      <c r="Y1871" s="70" t="str">
        <f>IF(AND($A1871&lt;&gt;"",$E1871&gt;0),isLaptopBag($C1871,$J1871)*$D1871,"")</f>
        <v/>
      </c>
      <c r="Z1871" s="70" t="str">
        <f t="shared" si="655"/>
        <v/>
      </c>
      <c r="AA1871" s="70" t="str">
        <f t="shared" si="656"/>
        <v/>
      </c>
      <c r="AB1871" s="70" t="str">
        <f t="shared" si="657"/>
        <v/>
      </c>
      <c r="AC1871" s="70" t="str">
        <f t="shared" si="658"/>
        <v/>
      </c>
      <c r="AD1871" s="70" t="str">
        <f t="shared" si="659"/>
        <v/>
      </c>
      <c r="AE1871" s="70" t="str">
        <f t="shared" si="660"/>
        <v/>
      </c>
      <c r="AF1871" s="16"/>
      <c r="AG1871" s="23"/>
      <c r="AH1871" s="22"/>
      <c r="AJ1871" s="83">
        <f t="shared" si="661"/>
        <v>0</v>
      </c>
      <c r="AO1871" s="22" t="str">
        <f t="shared" si="662"/>
        <v/>
      </c>
      <c r="AP1871" s="22" t="str">
        <f t="shared" si="663"/>
        <v/>
      </c>
    </row>
    <row r="1872" spans="1:42" x14ac:dyDescent="0.25">
      <c r="A1872" s="10"/>
      <c r="B1872" s="10"/>
      <c r="C1872" s="10"/>
      <c r="D1872" s="10"/>
      <c r="E1872" s="10"/>
      <c r="F1872" s="10"/>
      <c r="G1872" s="10"/>
      <c r="H1872" s="17"/>
      <c r="I1872" s="10"/>
      <c r="J1872" s="10"/>
      <c r="K1872" s="16" t="str">
        <f t="shared" si="642"/>
        <v/>
      </c>
      <c r="L1872" s="23" t="str">
        <f t="shared" si="643"/>
        <v/>
      </c>
      <c r="M1872" s="22" t="str">
        <f t="shared" si="644"/>
        <v/>
      </c>
      <c r="N1872" s="72"/>
      <c r="O1872" s="16" t="str">
        <f t="shared" si="645"/>
        <v/>
      </c>
      <c r="P1872" s="16" t="str">
        <f t="shared" si="646"/>
        <v/>
      </c>
      <c r="Q1872" s="16" t="str">
        <f t="shared" si="647"/>
        <v/>
      </c>
      <c r="R1872" s="23" t="str">
        <f t="shared" si="648"/>
        <v/>
      </c>
      <c r="S1872" s="23" t="str">
        <f t="shared" si="649"/>
        <v/>
      </c>
      <c r="T1872" s="23" t="str">
        <f t="shared" si="650"/>
        <v/>
      </c>
      <c r="U1872" s="23" t="str">
        <f t="shared" si="651"/>
        <v/>
      </c>
      <c r="V1872" s="23" t="str">
        <f t="shared" si="652"/>
        <v/>
      </c>
      <c r="W1872" s="70" t="str">
        <f t="shared" si="653"/>
        <v/>
      </c>
      <c r="X1872" s="70" t="str">
        <f t="shared" si="654"/>
        <v/>
      </c>
      <c r="Y1872" s="70" t="str">
        <f>IF(AND($A1872&lt;&gt;"",$E1872&gt;0),isLaptopBag($C1872,$J1872)*$D1872,"")</f>
        <v/>
      </c>
      <c r="Z1872" s="70" t="str">
        <f t="shared" si="655"/>
        <v/>
      </c>
      <c r="AA1872" s="70" t="str">
        <f t="shared" si="656"/>
        <v/>
      </c>
      <c r="AB1872" s="70" t="str">
        <f t="shared" si="657"/>
        <v/>
      </c>
      <c r="AC1872" s="70" t="str">
        <f t="shared" si="658"/>
        <v/>
      </c>
      <c r="AD1872" s="70" t="str">
        <f t="shared" si="659"/>
        <v/>
      </c>
      <c r="AE1872" s="70" t="str">
        <f t="shared" si="660"/>
        <v/>
      </c>
      <c r="AF1872" s="16"/>
      <c r="AG1872" s="23"/>
      <c r="AH1872" s="22"/>
      <c r="AJ1872" s="83">
        <f t="shared" si="661"/>
        <v>0</v>
      </c>
      <c r="AO1872" s="22" t="str">
        <f t="shared" si="662"/>
        <v/>
      </c>
      <c r="AP1872" s="22" t="str">
        <f t="shared" si="663"/>
        <v/>
      </c>
    </row>
    <row r="1873" spans="1:42" x14ac:dyDescent="0.25">
      <c r="A1873" s="10"/>
      <c r="B1873" s="10"/>
      <c r="C1873" s="10"/>
      <c r="D1873" s="10"/>
      <c r="E1873" s="10"/>
      <c r="F1873" s="10"/>
      <c r="G1873" s="10"/>
      <c r="H1873" s="17"/>
      <c r="I1873" s="10"/>
      <c r="J1873" s="10"/>
      <c r="K1873" s="16" t="str">
        <f t="shared" si="642"/>
        <v/>
      </c>
      <c r="L1873" s="23" t="str">
        <f t="shared" si="643"/>
        <v/>
      </c>
      <c r="M1873" s="22" t="str">
        <f t="shared" si="644"/>
        <v/>
      </c>
      <c r="N1873" s="72"/>
      <c r="O1873" s="16" t="str">
        <f t="shared" si="645"/>
        <v/>
      </c>
      <c r="P1873" s="16" t="str">
        <f t="shared" si="646"/>
        <v/>
      </c>
      <c r="Q1873" s="16" t="str">
        <f t="shared" si="647"/>
        <v/>
      </c>
      <c r="R1873" s="23" t="str">
        <f t="shared" si="648"/>
        <v/>
      </c>
      <c r="S1873" s="23" t="str">
        <f t="shared" si="649"/>
        <v/>
      </c>
      <c r="T1873" s="23" t="str">
        <f t="shared" si="650"/>
        <v/>
      </c>
      <c r="U1873" s="23" t="str">
        <f t="shared" si="651"/>
        <v/>
      </c>
      <c r="V1873" s="23" t="str">
        <f t="shared" si="652"/>
        <v/>
      </c>
      <c r="W1873" s="70" t="str">
        <f t="shared" si="653"/>
        <v/>
      </c>
      <c r="X1873" s="70" t="str">
        <f t="shared" si="654"/>
        <v/>
      </c>
      <c r="Y1873" s="70" t="str">
        <f>IF(AND($A1873&lt;&gt;"",$E1873&gt;0),isLaptopBag($C1873,$J1873)*$D1873,"")</f>
        <v/>
      </c>
      <c r="Z1873" s="70" t="str">
        <f t="shared" si="655"/>
        <v/>
      </c>
      <c r="AA1873" s="70" t="str">
        <f t="shared" si="656"/>
        <v/>
      </c>
      <c r="AB1873" s="70" t="str">
        <f t="shared" si="657"/>
        <v/>
      </c>
      <c r="AC1873" s="70" t="str">
        <f t="shared" si="658"/>
        <v/>
      </c>
      <c r="AD1873" s="70" t="str">
        <f t="shared" si="659"/>
        <v/>
      </c>
      <c r="AE1873" s="70" t="str">
        <f t="shared" si="660"/>
        <v/>
      </c>
      <c r="AF1873" s="16"/>
      <c r="AG1873" s="23"/>
      <c r="AH1873" s="22"/>
      <c r="AJ1873" s="83">
        <f t="shared" si="661"/>
        <v>0</v>
      </c>
      <c r="AO1873" s="22" t="str">
        <f t="shared" si="662"/>
        <v/>
      </c>
      <c r="AP1873" s="22" t="str">
        <f t="shared" si="663"/>
        <v/>
      </c>
    </row>
    <row r="1874" spans="1:42" x14ac:dyDescent="0.25">
      <c r="A1874" s="10"/>
      <c r="B1874" s="10"/>
      <c r="C1874" s="10"/>
      <c r="D1874" s="10"/>
      <c r="E1874" s="10"/>
      <c r="F1874" s="10"/>
      <c r="G1874" s="10"/>
      <c r="H1874" s="17"/>
      <c r="I1874" s="10"/>
      <c r="J1874" s="10"/>
      <c r="K1874" s="16" t="str">
        <f t="shared" si="642"/>
        <v/>
      </c>
      <c r="L1874" s="23" t="str">
        <f t="shared" si="643"/>
        <v/>
      </c>
      <c r="M1874" s="22" t="str">
        <f t="shared" si="644"/>
        <v/>
      </c>
      <c r="N1874" s="72"/>
      <c r="O1874" s="16" t="str">
        <f t="shared" si="645"/>
        <v/>
      </c>
      <c r="P1874" s="16" t="str">
        <f t="shared" si="646"/>
        <v/>
      </c>
      <c r="Q1874" s="16" t="str">
        <f t="shared" si="647"/>
        <v/>
      </c>
      <c r="R1874" s="23" t="str">
        <f t="shared" si="648"/>
        <v/>
      </c>
      <c r="S1874" s="23" t="str">
        <f t="shared" si="649"/>
        <v/>
      </c>
      <c r="T1874" s="23" t="str">
        <f t="shared" si="650"/>
        <v/>
      </c>
      <c r="U1874" s="23" t="str">
        <f t="shared" si="651"/>
        <v/>
      </c>
      <c r="V1874" s="23" t="str">
        <f t="shared" si="652"/>
        <v/>
      </c>
      <c r="W1874" s="70" t="str">
        <f t="shared" si="653"/>
        <v/>
      </c>
      <c r="X1874" s="70" t="str">
        <f t="shared" si="654"/>
        <v/>
      </c>
      <c r="Y1874" s="70" t="str">
        <f>IF(AND($A1874&lt;&gt;"",$E1874&gt;0),isLaptopBag($C1874,$J1874)*$D1874,"")</f>
        <v/>
      </c>
      <c r="Z1874" s="70" t="str">
        <f t="shared" si="655"/>
        <v/>
      </c>
      <c r="AA1874" s="70" t="str">
        <f t="shared" si="656"/>
        <v/>
      </c>
      <c r="AB1874" s="70" t="str">
        <f t="shared" si="657"/>
        <v/>
      </c>
      <c r="AC1874" s="70" t="str">
        <f t="shared" si="658"/>
        <v/>
      </c>
      <c r="AD1874" s="70" t="str">
        <f t="shared" si="659"/>
        <v/>
      </c>
      <c r="AE1874" s="70" t="str">
        <f t="shared" si="660"/>
        <v/>
      </c>
      <c r="AF1874" s="16"/>
      <c r="AG1874" s="23"/>
      <c r="AH1874" s="22"/>
      <c r="AJ1874" s="83">
        <f t="shared" si="661"/>
        <v>0</v>
      </c>
      <c r="AO1874" s="22" t="str">
        <f t="shared" si="662"/>
        <v/>
      </c>
      <c r="AP1874" s="22" t="str">
        <f t="shared" si="663"/>
        <v/>
      </c>
    </row>
    <row r="1875" spans="1:42" x14ac:dyDescent="0.25">
      <c r="A1875" s="10"/>
      <c r="B1875" s="10"/>
      <c r="C1875" s="10"/>
      <c r="D1875" s="10"/>
      <c r="E1875" s="10"/>
      <c r="F1875" s="10"/>
      <c r="G1875" s="10"/>
      <c r="H1875" s="17"/>
      <c r="I1875" s="10"/>
      <c r="J1875" s="10"/>
      <c r="K1875" s="16" t="str">
        <f t="shared" si="642"/>
        <v/>
      </c>
      <c r="L1875" s="23" t="str">
        <f t="shared" si="643"/>
        <v/>
      </c>
      <c r="M1875" s="22" t="str">
        <f t="shared" si="644"/>
        <v/>
      </c>
      <c r="N1875" s="72"/>
      <c r="O1875" s="16" t="str">
        <f t="shared" si="645"/>
        <v/>
      </c>
      <c r="P1875" s="16" t="str">
        <f t="shared" si="646"/>
        <v/>
      </c>
      <c r="Q1875" s="16" t="str">
        <f t="shared" si="647"/>
        <v/>
      </c>
      <c r="R1875" s="23" t="str">
        <f t="shared" si="648"/>
        <v/>
      </c>
      <c r="S1875" s="23" t="str">
        <f t="shared" si="649"/>
        <v/>
      </c>
      <c r="T1875" s="23" t="str">
        <f t="shared" si="650"/>
        <v/>
      </c>
      <c r="U1875" s="23" t="str">
        <f t="shared" si="651"/>
        <v/>
      </c>
      <c r="V1875" s="23" t="str">
        <f t="shared" si="652"/>
        <v/>
      </c>
      <c r="W1875" s="70" t="str">
        <f t="shared" si="653"/>
        <v/>
      </c>
      <c r="X1875" s="70" t="str">
        <f t="shared" si="654"/>
        <v/>
      </c>
      <c r="Y1875" s="70" t="str">
        <f>IF(AND($A1875&lt;&gt;"",$E1875&gt;0),isLaptopBag($C1875,$J1875)*$D1875,"")</f>
        <v/>
      </c>
      <c r="Z1875" s="70" t="str">
        <f t="shared" si="655"/>
        <v/>
      </c>
      <c r="AA1875" s="70" t="str">
        <f t="shared" si="656"/>
        <v/>
      </c>
      <c r="AB1875" s="70" t="str">
        <f t="shared" si="657"/>
        <v/>
      </c>
      <c r="AC1875" s="70" t="str">
        <f t="shared" si="658"/>
        <v/>
      </c>
      <c r="AD1875" s="70" t="str">
        <f t="shared" si="659"/>
        <v/>
      </c>
      <c r="AE1875" s="70" t="str">
        <f t="shared" si="660"/>
        <v/>
      </c>
      <c r="AF1875" s="16"/>
      <c r="AG1875" s="23"/>
      <c r="AH1875" s="22"/>
      <c r="AJ1875" s="83">
        <f t="shared" si="661"/>
        <v>0</v>
      </c>
      <c r="AO1875" s="22" t="str">
        <f t="shared" si="662"/>
        <v/>
      </c>
      <c r="AP1875" s="22" t="str">
        <f t="shared" si="663"/>
        <v/>
      </c>
    </row>
    <row r="1876" spans="1:42" x14ac:dyDescent="0.25">
      <c r="A1876" s="10"/>
      <c r="B1876" s="10"/>
      <c r="C1876" s="10"/>
      <c r="D1876" s="10"/>
      <c r="E1876" s="10"/>
      <c r="F1876" s="10"/>
      <c r="G1876" s="10"/>
      <c r="H1876" s="17"/>
      <c r="I1876" s="10"/>
      <c r="J1876" s="10"/>
      <c r="K1876" s="16" t="str">
        <f t="shared" si="642"/>
        <v/>
      </c>
      <c r="L1876" s="23" t="str">
        <f t="shared" si="643"/>
        <v/>
      </c>
      <c r="M1876" s="22" t="str">
        <f t="shared" si="644"/>
        <v/>
      </c>
      <c r="N1876" s="72"/>
      <c r="O1876" s="16" t="str">
        <f t="shared" si="645"/>
        <v/>
      </c>
      <c r="P1876" s="16" t="str">
        <f t="shared" si="646"/>
        <v/>
      </c>
      <c r="Q1876" s="16" t="str">
        <f t="shared" si="647"/>
        <v/>
      </c>
      <c r="R1876" s="23" t="str">
        <f t="shared" si="648"/>
        <v/>
      </c>
      <c r="S1876" s="23" t="str">
        <f t="shared" si="649"/>
        <v/>
      </c>
      <c r="T1876" s="23" t="str">
        <f t="shared" si="650"/>
        <v/>
      </c>
      <c r="U1876" s="23" t="str">
        <f t="shared" si="651"/>
        <v/>
      </c>
      <c r="V1876" s="23" t="str">
        <f t="shared" si="652"/>
        <v/>
      </c>
      <c r="W1876" s="70" t="str">
        <f t="shared" si="653"/>
        <v/>
      </c>
      <c r="X1876" s="70" t="str">
        <f t="shared" si="654"/>
        <v/>
      </c>
      <c r="Y1876" s="70" t="str">
        <f>IF(AND($A1876&lt;&gt;"",$E1876&gt;0),isLaptopBag($C1876,$J1876)*$D1876,"")</f>
        <v/>
      </c>
      <c r="Z1876" s="70" t="str">
        <f t="shared" si="655"/>
        <v/>
      </c>
      <c r="AA1876" s="70" t="str">
        <f t="shared" si="656"/>
        <v/>
      </c>
      <c r="AB1876" s="70" t="str">
        <f t="shared" si="657"/>
        <v/>
      </c>
      <c r="AC1876" s="70" t="str">
        <f t="shared" si="658"/>
        <v/>
      </c>
      <c r="AD1876" s="70" t="str">
        <f t="shared" si="659"/>
        <v/>
      </c>
      <c r="AE1876" s="70" t="str">
        <f t="shared" si="660"/>
        <v/>
      </c>
      <c r="AF1876" s="16"/>
      <c r="AG1876" s="23"/>
      <c r="AH1876" s="22"/>
      <c r="AJ1876" s="83">
        <f t="shared" si="661"/>
        <v>0</v>
      </c>
      <c r="AO1876" s="22" t="str">
        <f t="shared" si="662"/>
        <v/>
      </c>
      <c r="AP1876" s="22" t="str">
        <f t="shared" si="663"/>
        <v/>
      </c>
    </row>
    <row r="1877" spans="1:42" x14ac:dyDescent="0.25">
      <c r="A1877" s="10"/>
      <c r="B1877" s="10"/>
      <c r="C1877" s="10"/>
      <c r="D1877" s="10"/>
      <c r="E1877" s="10"/>
      <c r="F1877" s="10"/>
      <c r="G1877" s="10"/>
      <c r="H1877" s="17"/>
      <c r="I1877" s="10"/>
      <c r="J1877" s="10"/>
      <c r="K1877" s="16" t="str">
        <f t="shared" si="642"/>
        <v/>
      </c>
      <c r="L1877" s="23" t="str">
        <f t="shared" si="643"/>
        <v/>
      </c>
      <c r="M1877" s="22" t="str">
        <f t="shared" si="644"/>
        <v/>
      </c>
      <c r="N1877" s="72"/>
      <c r="O1877" s="16" t="str">
        <f t="shared" si="645"/>
        <v/>
      </c>
      <c r="P1877" s="16" t="str">
        <f t="shared" si="646"/>
        <v/>
      </c>
      <c r="Q1877" s="16" t="str">
        <f t="shared" si="647"/>
        <v/>
      </c>
      <c r="R1877" s="23" t="str">
        <f t="shared" si="648"/>
        <v/>
      </c>
      <c r="S1877" s="23" t="str">
        <f t="shared" si="649"/>
        <v/>
      </c>
      <c r="T1877" s="23" t="str">
        <f t="shared" si="650"/>
        <v/>
      </c>
      <c r="U1877" s="23" t="str">
        <f t="shared" si="651"/>
        <v/>
      </c>
      <c r="V1877" s="23" t="str">
        <f t="shared" si="652"/>
        <v/>
      </c>
      <c r="W1877" s="70" t="str">
        <f t="shared" si="653"/>
        <v/>
      </c>
      <c r="X1877" s="70" t="str">
        <f t="shared" si="654"/>
        <v/>
      </c>
      <c r="Y1877" s="70" t="str">
        <f>IF(AND($A1877&lt;&gt;"",$E1877&gt;0),isLaptopBag($C1877,$J1877)*$D1877,"")</f>
        <v/>
      </c>
      <c r="Z1877" s="70" t="str">
        <f t="shared" si="655"/>
        <v/>
      </c>
      <c r="AA1877" s="70" t="str">
        <f t="shared" si="656"/>
        <v/>
      </c>
      <c r="AB1877" s="70" t="str">
        <f t="shared" si="657"/>
        <v/>
      </c>
      <c r="AC1877" s="70" t="str">
        <f t="shared" si="658"/>
        <v/>
      </c>
      <c r="AD1877" s="70" t="str">
        <f t="shared" si="659"/>
        <v/>
      </c>
      <c r="AE1877" s="70" t="str">
        <f t="shared" si="660"/>
        <v/>
      </c>
      <c r="AF1877" s="16"/>
      <c r="AG1877" s="23"/>
      <c r="AH1877" s="22"/>
      <c r="AJ1877" s="83">
        <f t="shared" si="661"/>
        <v>0</v>
      </c>
      <c r="AO1877" s="22" t="str">
        <f t="shared" si="662"/>
        <v/>
      </c>
      <c r="AP1877" s="22" t="str">
        <f t="shared" si="663"/>
        <v/>
      </c>
    </row>
    <row r="1878" spans="1:42" x14ac:dyDescent="0.25">
      <c r="A1878" s="10"/>
      <c r="B1878" s="10"/>
      <c r="C1878" s="10"/>
      <c r="D1878" s="10"/>
      <c r="E1878" s="10"/>
      <c r="F1878" s="10"/>
      <c r="G1878" s="10"/>
      <c r="H1878" s="17"/>
      <c r="I1878" s="10"/>
      <c r="J1878" s="10"/>
      <c r="K1878" s="16" t="str">
        <f t="shared" si="642"/>
        <v/>
      </c>
      <c r="L1878" s="23" t="str">
        <f t="shared" si="643"/>
        <v/>
      </c>
      <c r="M1878" s="22" t="str">
        <f t="shared" si="644"/>
        <v/>
      </c>
      <c r="N1878" s="72"/>
      <c r="O1878" s="16" t="str">
        <f t="shared" si="645"/>
        <v/>
      </c>
      <c r="P1878" s="16" t="str">
        <f t="shared" si="646"/>
        <v/>
      </c>
      <c r="Q1878" s="16" t="str">
        <f t="shared" si="647"/>
        <v/>
      </c>
      <c r="R1878" s="23" t="str">
        <f t="shared" si="648"/>
        <v/>
      </c>
      <c r="S1878" s="23" t="str">
        <f t="shared" si="649"/>
        <v/>
      </c>
      <c r="T1878" s="23" t="str">
        <f t="shared" si="650"/>
        <v/>
      </c>
      <c r="U1878" s="23" t="str">
        <f t="shared" si="651"/>
        <v/>
      </c>
      <c r="V1878" s="23" t="str">
        <f t="shared" si="652"/>
        <v/>
      </c>
      <c r="W1878" s="70" t="str">
        <f t="shared" si="653"/>
        <v/>
      </c>
      <c r="X1878" s="70" t="str">
        <f t="shared" si="654"/>
        <v/>
      </c>
      <c r="Y1878" s="70" t="str">
        <f>IF(AND($A1878&lt;&gt;"",$E1878&gt;0),isLaptopBag($C1878,$J1878)*$D1878,"")</f>
        <v/>
      </c>
      <c r="Z1878" s="70" t="str">
        <f t="shared" si="655"/>
        <v/>
      </c>
      <c r="AA1878" s="70" t="str">
        <f t="shared" si="656"/>
        <v/>
      </c>
      <c r="AB1878" s="70" t="str">
        <f t="shared" si="657"/>
        <v/>
      </c>
      <c r="AC1878" s="70" t="str">
        <f t="shared" si="658"/>
        <v/>
      </c>
      <c r="AD1878" s="70" t="str">
        <f t="shared" si="659"/>
        <v/>
      </c>
      <c r="AE1878" s="70" t="str">
        <f t="shared" si="660"/>
        <v/>
      </c>
      <c r="AF1878" s="16"/>
      <c r="AG1878" s="23"/>
      <c r="AH1878" s="22"/>
      <c r="AJ1878" s="83">
        <f t="shared" si="661"/>
        <v>0</v>
      </c>
      <c r="AO1878" s="22" t="str">
        <f t="shared" si="662"/>
        <v/>
      </c>
      <c r="AP1878" s="22" t="str">
        <f t="shared" si="663"/>
        <v/>
      </c>
    </row>
    <row r="1879" spans="1:42" x14ac:dyDescent="0.25">
      <c r="A1879" s="10"/>
      <c r="B1879" s="10"/>
      <c r="C1879" s="10"/>
      <c r="D1879" s="10"/>
      <c r="E1879" s="10"/>
      <c r="F1879" s="10"/>
      <c r="G1879" s="10"/>
      <c r="H1879" s="17"/>
      <c r="I1879" s="10"/>
      <c r="J1879" s="10"/>
      <c r="K1879" s="16" t="str">
        <f t="shared" si="642"/>
        <v/>
      </c>
      <c r="L1879" s="23" t="str">
        <f t="shared" si="643"/>
        <v/>
      </c>
      <c r="M1879" s="22" t="str">
        <f t="shared" si="644"/>
        <v/>
      </c>
      <c r="N1879" s="72"/>
      <c r="O1879" s="16" t="str">
        <f t="shared" si="645"/>
        <v/>
      </c>
      <c r="P1879" s="16" t="str">
        <f t="shared" si="646"/>
        <v/>
      </c>
      <c r="Q1879" s="16" t="str">
        <f t="shared" si="647"/>
        <v/>
      </c>
      <c r="R1879" s="23" t="str">
        <f t="shared" si="648"/>
        <v/>
      </c>
      <c r="S1879" s="23" t="str">
        <f t="shared" si="649"/>
        <v/>
      </c>
      <c r="T1879" s="23" t="str">
        <f t="shared" si="650"/>
        <v/>
      </c>
      <c r="U1879" s="23" t="str">
        <f t="shared" si="651"/>
        <v/>
      </c>
      <c r="V1879" s="23" t="str">
        <f t="shared" si="652"/>
        <v/>
      </c>
      <c r="W1879" s="70" t="str">
        <f t="shared" si="653"/>
        <v/>
      </c>
      <c r="X1879" s="70" t="str">
        <f t="shared" si="654"/>
        <v/>
      </c>
      <c r="Y1879" s="70" t="str">
        <f>IF(AND($A1879&lt;&gt;"",$E1879&gt;0),isLaptopBag($C1879,$J1879)*$D1879,"")</f>
        <v/>
      </c>
      <c r="Z1879" s="70" t="str">
        <f t="shared" si="655"/>
        <v/>
      </c>
      <c r="AA1879" s="70" t="str">
        <f t="shared" si="656"/>
        <v/>
      </c>
      <c r="AB1879" s="70" t="str">
        <f t="shared" si="657"/>
        <v/>
      </c>
      <c r="AC1879" s="70" t="str">
        <f t="shared" si="658"/>
        <v/>
      </c>
      <c r="AD1879" s="70" t="str">
        <f t="shared" si="659"/>
        <v/>
      </c>
      <c r="AE1879" s="70" t="str">
        <f t="shared" si="660"/>
        <v/>
      </c>
      <c r="AF1879" s="16"/>
      <c r="AG1879" s="23"/>
      <c r="AH1879" s="22"/>
      <c r="AJ1879" s="83">
        <f t="shared" si="661"/>
        <v>0</v>
      </c>
      <c r="AO1879" s="22" t="str">
        <f t="shared" si="662"/>
        <v/>
      </c>
      <c r="AP1879" s="22" t="str">
        <f t="shared" si="663"/>
        <v/>
      </c>
    </row>
    <row r="1880" spans="1:42" x14ac:dyDescent="0.25">
      <c r="A1880" s="10"/>
      <c r="B1880" s="10"/>
      <c r="C1880" s="10"/>
      <c r="D1880" s="10"/>
      <c r="E1880" s="10"/>
      <c r="F1880" s="10"/>
      <c r="G1880" s="10"/>
      <c r="H1880" s="17"/>
      <c r="I1880" s="10"/>
      <c r="J1880" s="10"/>
      <c r="K1880" s="16" t="str">
        <f t="shared" si="642"/>
        <v/>
      </c>
      <c r="L1880" s="23" t="str">
        <f t="shared" si="643"/>
        <v/>
      </c>
      <c r="M1880" s="22" t="str">
        <f t="shared" si="644"/>
        <v/>
      </c>
      <c r="N1880" s="72"/>
      <c r="O1880" s="16" t="str">
        <f t="shared" si="645"/>
        <v/>
      </c>
      <c r="P1880" s="16" t="str">
        <f t="shared" si="646"/>
        <v/>
      </c>
      <c r="Q1880" s="16" t="str">
        <f t="shared" si="647"/>
        <v/>
      </c>
      <c r="R1880" s="23" t="str">
        <f t="shared" si="648"/>
        <v/>
      </c>
      <c r="S1880" s="23" t="str">
        <f t="shared" si="649"/>
        <v/>
      </c>
      <c r="T1880" s="23" t="str">
        <f t="shared" si="650"/>
        <v/>
      </c>
      <c r="U1880" s="23" t="str">
        <f t="shared" si="651"/>
        <v/>
      </c>
      <c r="V1880" s="23" t="str">
        <f t="shared" si="652"/>
        <v/>
      </c>
      <c r="W1880" s="70" t="str">
        <f t="shared" si="653"/>
        <v/>
      </c>
      <c r="X1880" s="70" t="str">
        <f t="shared" si="654"/>
        <v/>
      </c>
      <c r="Y1880" s="70" t="str">
        <f>IF(AND($A1880&lt;&gt;"",$E1880&gt;0),isLaptopBag($C1880,$J1880)*$D1880,"")</f>
        <v/>
      </c>
      <c r="Z1880" s="70" t="str">
        <f t="shared" si="655"/>
        <v/>
      </c>
      <c r="AA1880" s="70" t="str">
        <f t="shared" si="656"/>
        <v/>
      </c>
      <c r="AB1880" s="70" t="str">
        <f t="shared" si="657"/>
        <v/>
      </c>
      <c r="AC1880" s="70" t="str">
        <f t="shared" si="658"/>
        <v/>
      </c>
      <c r="AD1880" s="70" t="str">
        <f t="shared" si="659"/>
        <v/>
      </c>
      <c r="AE1880" s="70" t="str">
        <f t="shared" si="660"/>
        <v/>
      </c>
      <c r="AF1880" s="16"/>
      <c r="AG1880" s="23"/>
      <c r="AH1880" s="22"/>
      <c r="AJ1880" s="83">
        <f t="shared" si="661"/>
        <v>0</v>
      </c>
      <c r="AO1880" s="22" t="str">
        <f t="shared" si="662"/>
        <v/>
      </c>
      <c r="AP1880" s="22" t="str">
        <f t="shared" si="663"/>
        <v/>
      </c>
    </row>
    <row r="1881" spans="1:42" x14ac:dyDescent="0.25">
      <c r="A1881" s="10"/>
      <c r="B1881" s="10"/>
      <c r="C1881" s="10"/>
      <c r="D1881" s="10"/>
      <c r="E1881" s="10"/>
      <c r="F1881" s="10"/>
      <c r="G1881" s="10"/>
      <c r="H1881" s="17"/>
      <c r="I1881" s="10"/>
      <c r="J1881" s="10"/>
      <c r="K1881" s="16" t="str">
        <f t="shared" si="642"/>
        <v/>
      </c>
      <c r="L1881" s="23" t="str">
        <f t="shared" si="643"/>
        <v/>
      </c>
      <c r="M1881" s="22" t="str">
        <f t="shared" si="644"/>
        <v/>
      </c>
      <c r="N1881" s="72"/>
      <c r="O1881" s="16" t="str">
        <f t="shared" si="645"/>
        <v/>
      </c>
      <c r="P1881" s="16" t="str">
        <f t="shared" si="646"/>
        <v/>
      </c>
      <c r="Q1881" s="16" t="str">
        <f t="shared" si="647"/>
        <v/>
      </c>
      <c r="R1881" s="23" t="str">
        <f t="shared" si="648"/>
        <v/>
      </c>
      <c r="S1881" s="23" t="str">
        <f t="shared" si="649"/>
        <v/>
      </c>
      <c r="T1881" s="23" t="str">
        <f t="shared" si="650"/>
        <v/>
      </c>
      <c r="U1881" s="23" t="str">
        <f t="shared" si="651"/>
        <v/>
      </c>
      <c r="V1881" s="23" t="str">
        <f t="shared" si="652"/>
        <v/>
      </c>
      <c r="W1881" s="70" t="str">
        <f t="shared" si="653"/>
        <v/>
      </c>
      <c r="X1881" s="70" t="str">
        <f t="shared" si="654"/>
        <v/>
      </c>
      <c r="Y1881" s="70" t="str">
        <f>IF(AND($A1881&lt;&gt;"",$E1881&gt;0),isLaptopBag($C1881,$J1881)*$D1881,"")</f>
        <v/>
      </c>
      <c r="Z1881" s="70" t="str">
        <f t="shared" si="655"/>
        <v/>
      </c>
      <c r="AA1881" s="70" t="str">
        <f t="shared" si="656"/>
        <v/>
      </c>
      <c r="AB1881" s="70" t="str">
        <f t="shared" si="657"/>
        <v/>
      </c>
      <c r="AC1881" s="70" t="str">
        <f t="shared" si="658"/>
        <v/>
      </c>
      <c r="AD1881" s="70" t="str">
        <f t="shared" si="659"/>
        <v/>
      </c>
      <c r="AE1881" s="70" t="str">
        <f t="shared" si="660"/>
        <v/>
      </c>
      <c r="AF1881" s="16"/>
      <c r="AG1881" s="23"/>
      <c r="AH1881" s="22"/>
      <c r="AJ1881" s="83">
        <f t="shared" si="661"/>
        <v>0</v>
      </c>
      <c r="AO1881" s="22" t="str">
        <f t="shared" si="662"/>
        <v/>
      </c>
      <c r="AP1881" s="22" t="str">
        <f t="shared" si="663"/>
        <v/>
      </c>
    </row>
    <row r="1882" spans="1:42" x14ac:dyDescent="0.25">
      <c r="A1882" s="10"/>
      <c r="B1882" s="10"/>
      <c r="C1882" s="10"/>
      <c r="D1882" s="10"/>
      <c r="E1882" s="10"/>
      <c r="F1882" s="10"/>
      <c r="G1882" s="10"/>
      <c r="H1882" s="17"/>
      <c r="I1882" s="10"/>
      <c r="J1882" s="10"/>
      <c r="K1882" s="16" t="str">
        <f t="shared" si="642"/>
        <v/>
      </c>
      <c r="L1882" s="23" t="str">
        <f t="shared" si="643"/>
        <v/>
      </c>
      <c r="M1882" s="22" t="str">
        <f t="shared" si="644"/>
        <v/>
      </c>
      <c r="N1882" s="72"/>
      <c r="O1882" s="16" t="str">
        <f t="shared" si="645"/>
        <v/>
      </c>
      <c r="P1882" s="16" t="str">
        <f t="shared" si="646"/>
        <v/>
      </c>
      <c r="Q1882" s="16" t="str">
        <f t="shared" si="647"/>
        <v/>
      </c>
      <c r="R1882" s="23" t="str">
        <f t="shared" si="648"/>
        <v/>
      </c>
      <c r="S1882" s="23" t="str">
        <f t="shared" si="649"/>
        <v/>
      </c>
      <c r="T1882" s="23" t="str">
        <f t="shared" si="650"/>
        <v/>
      </c>
      <c r="U1882" s="23" t="str">
        <f t="shared" si="651"/>
        <v/>
      </c>
      <c r="V1882" s="23" t="str">
        <f t="shared" si="652"/>
        <v/>
      </c>
      <c r="W1882" s="70" t="str">
        <f t="shared" si="653"/>
        <v/>
      </c>
      <c r="X1882" s="70" t="str">
        <f t="shared" si="654"/>
        <v/>
      </c>
      <c r="Y1882" s="70" t="str">
        <f>IF(AND($A1882&lt;&gt;"",$E1882&gt;0),isLaptopBag($C1882,$J1882)*$D1882,"")</f>
        <v/>
      </c>
      <c r="Z1882" s="70" t="str">
        <f t="shared" si="655"/>
        <v/>
      </c>
      <c r="AA1882" s="70" t="str">
        <f t="shared" si="656"/>
        <v/>
      </c>
      <c r="AB1882" s="70" t="str">
        <f t="shared" si="657"/>
        <v/>
      </c>
      <c r="AC1882" s="70" t="str">
        <f t="shared" si="658"/>
        <v/>
      </c>
      <c r="AD1882" s="70" t="str">
        <f t="shared" si="659"/>
        <v/>
      </c>
      <c r="AE1882" s="70" t="str">
        <f t="shared" si="660"/>
        <v/>
      </c>
      <c r="AF1882" s="16"/>
      <c r="AG1882" s="23"/>
      <c r="AH1882" s="22"/>
      <c r="AJ1882" s="83">
        <f t="shared" si="661"/>
        <v>0</v>
      </c>
      <c r="AO1882" s="22" t="str">
        <f t="shared" si="662"/>
        <v/>
      </c>
      <c r="AP1882" s="22" t="str">
        <f t="shared" si="663"/>
        <v/>
      </c>
    </row>
    <row r="1883" spans="1:42" x14ac:dyDescent="0.25">
      <c r="A1883" s="10"/>
      <c r="B1883" s="10"/>
      <c r="C1883" s="10"/>
      <c r="D1883" s="10"/>
      <c r="E1883" s="10"/>
      <c r="F1883" s="10"/>
      <c r="G1883" s="10"/>
      <c r="H1883" s="17"/>
      <c r="I1883" s="10"/>
      <c r="J1883" s="10"/>
      <c r="K1883" s="16" t="str">
        <f t="shared" si="642"/>
        <v/>
      </c>
      <c r="L1883" s="23" t="str">
        <f t="shared" si="643"/>
        <v/>
      </c>
      <c r="M1883" s="22" t="str">
        <f t="shared" si="644"/>
        <v/>
      </c>
      <c r="N1883" s="72"/>
      <c r="O1883" s="16" t="str">
        <f t="shared" si="645"/>
        <v/>
      </c>
      <c r="P1883" s="16" t="str">
        <f t="shared" si="646"/>
        <v/>
      </c>
      <c r="Q1883" s="16" t="str">
        <f t="shared" si="647"/>
        <v/>
      </c>
      <c r="R1883" s="23" t="str">
        <f t="shared" si="648"/>
        <v/>
      </c>
      <c r="S1883" s="23" t="str">
        <f t="shared" si="649"/>
        <v/>
      </c>
      <c r="T1883" s="23" t="str">
        <f t="shared" si="650"/>
        <v/>
      </c>
      <c r="U1883" s="23" t="str">
        <f t="shared" si="651"/>
        <v/>
      </c>
      <c r="V1883" s="23" t="str">
        <f t="shared" si="652"/>
        <v/>
      </c>
      <c r="W1883" s="70" t="str">
        <f t="shared" si="653"/>
        <v/>
      </c>
      <c r="X1883" s="70" t="str">
        <f t="shared" si="654"/>
        <v/>
      </c>
      <c r="Y1883" s="70" t="str">
        <f>IF(AND($A1883&lt;&gt;"",$E1883&gt;0),isLaptopBag($C1883,$J1883)*$D1883,"")</f>
        <v/>
      </c>
      <c r="Z1883" s="70" t="str">
        <f t="shared" si="655"/>
        <v/>
      </c>
      <c r="AA1883" s="70" t="str">
        <f t="shared" si="656"/>
        <v/>
      </c>
      <c r="AB1883" s="70" t="str">
        <f t="shared" si="657"/>
        <v/>
      </c>
      <c r="AC1883" s="70" t="str">
        <f t="shared" si="658"/>
        <v/>
      </c>
      <c r="AD1883" s="70" t="str">
        <f t="shared" si="659"/>
        <v/>
      </c>
      <c r="AE1883" s="70" t="str">
        <f t="shared" si="660"/>
        <v/>
      </c>
      <c r="AF1883" s="16"/>
      <c r="AG1883" s="23"/>
      <c r="AH1883" s="22"/>
      <c r="AJ1883" s="83">
        <f t="shared" si="661"/>
        <v>0</v>
      </c>
      <c r="AO1883" s="22" t="str">
        <f t="shared" si="662"/>
        <v/>
      </c>
      <c r="AP1883" s="22" t="str">
        <f t="shared" si="663"/>
        <v/>
      </c>
    </row>
    <row r="1884" spans="1:42" x14ac:dyDescent="0.25">
      <c r="A1884" s="10"/>
      <c r="B1884" s="10"/>
      <c r="C1884" s="10"/>
      <c r="D1884" s="10"/>
      <c r="E1884" s="10"/>
      <c r="F1884" s="10"/>
      <c r="G1884" s="10"/>
      <c r="H1884" s="17"/>
      <c r="I1884" s="10"/>
      <c r="J1884" s="10"/>
      <c r="K1884" s="16" t="str">
        <f t="shared" si="642"/>
        <v/>
      </c>
      <c r="L1884" s="23" t="str">
        <f t="shared" si="643"/>
        <v/>
      </c>
      <c r="M1884" s="22" t="str">
        <f t="shared" si="644"/>
        <v/>
      </c>
      <c r="N1884" s="72"/>
      <c r="O1884" s="16" t="str">
        <f t="shared" si="645"/>
        <v/>
      </c>
      <c r="P1884" s="16" t="str">
        <f t="shared" si="646"/>
        <v/>
      </c>
      <c r="Q1884" s="16" t="str">
        <f t="shared" si="647"/>
        <v/>
      </c>
      <c r="R1884" s="23" t="str">
        <f t="shared" si="648"/>
        <v/>
      </c>
      <c r="S1884" s="23" t="str">
        <f t="shared" si="649"/>
        <v/>
      </c>
      <c r="T1884" s="23" t="str">
        <f t="shared" si="650"/>
        <v/>
      </c>
      <c r="U1884" s="23" t="str">
        <f t="shared" si="651"/>
        <v/>
      </c>
      <c r="V1884" s="23" t="str">
        <f t="shared" si="652"/>
        <v/>
      </c>
      <c r="W1884" s="70" t="str">
        <f t="shared" si="653"/>
        <v/>
      </c>
      <c r="X1884" s="70" t="str">
        <f t="shared" si="654"/>
        <v/>
      </c>
      <c r="Y1884" s="70" t="str">
        <f>IF(AND($A1884&lt;&gt;"",$E1884&gt;0),isLaptopBag($C1884,$J1884)*$D1884,"")</f>
        <v/>
      </c>
      <c r="Z1884" s="70" t="str">
        <f t="shared" si="655"/>
        <v/>
      </c>
      <c r="AA1884" s="70" t="str">
        <f t="shared" si="656"/>
        <v/>
      </c>
      <c r="AB1884" s="70" t="str">
        <f t="shared" si="657"/>
        <v/>
      </c>
      <c r="AC1884" s="70" t="str">
        <f t="shared" si="658"/>
        <v/>
      </c>
      <c r="AD1884" s="70" t="str">
        <f t="shared" si="659"/>
        <v/>
      </c>
      <c r="AE1884" s="70" t="str">
        <f t="shared" si="660"/>
        <v/>
      </c>
      <c r="AF1884" s="16"/>
      <c r="AG1884" s="23"/>
      <c r="AH1884" s="22"/>
      <c r="AJ1884" s="83">
        <f t="shared" si="661"/>
        <v>0</v>
      </c>
      <c r="AO1884" s="22" t="str">
        <f t="shared" si="662"/>
        <v/>
      </c>
      <c r="AP1884" s="22" t="str">
        <f t="shared" si="663"/>
        <v/>
      </c>
    </row>
    <row r="1885" spans="1:42" x14ac:dyDescent="0.25">
      <c r="A1885" s="10"/>
      <c r="B1885" s="10"/>
      <c r="C1885" s="10"/>
      <c r="D1885" s="10"/>
      <c r="E1885" s="10"/>
      <c r="F1885" s="10"/>
      <c r="G1885" s="10"/>
      <c r="H1885" s="17"/>
      <c r="I1885" s="10"/>
      <c r="J1885" s="10"/>
      <c r="K1885" s="16" t="str">
        <f t="shared" si="642"/>
        <v/>
      </c>
      <c r="L1885" s="23" t="str">
        <f t="shared" si="643"/>
        <v/>
      </c>
      <c r="M1885" s="22" t="str">
        <f t="shared" si="644"/>
        <v/>
      </c>
      <c r="N1885" s="72"/>
      <c r="O1885" s="16" t="str">
        <f t="shared" si="645"/>
        <v/>
      </c>
      <c r="P1885" s="16" t="str">
        <f t="shared" si="646"/>
        <v/>
      </c>
      <c r="Q1885" s="16" t="str">
        <f t="shared" si="647"/>
        <v/>
      </c>
      <c r="R1885" s="23" t="str">
        <f t="shared" si="648"/>
        <v/>
      </c>
      <c r="S1885" s="23" t="str">
        <f t="shared" si="649"/>
        <v/>
      </c>
      <c r="T1885" s="23" t="str">
        <f t="shared" si="650"/>
        <v/>
      </c>
      <c r="U1885" s="23" t="str">
        <f t="shared" si="651"/>
        <v/>
      </c>
      <c r="V1885" s="23" t="str">
        <f t="shared" si="652"/>
        <v/>
      </c>
      <c r="W1885" s="70" t="str">
        <f t="shared" si="653"/>
        <v/>
      </c>
      <c r="X1885" s="70" t="str">
        <f t="shared" si="654"/>
        <v/>
      </c>
      <c r="Y1885" s="70" t="str">
        <f>IF(AND($A1885&lt;&gt;"",$E1885&gt;0),isLaptopBag($C1885,$J1885)*$D1885,"")</f>
        <v/>
      </c>
      <c r="Z1885" s="70" t="str">
        <f t="shared" si="655"/>
        <v/>
      </c>
      <c r="AA1885" s="70" t="str">
        <f t="shared" si="656"/>
        <v/>
      </c>
      <c r="AB1885" s="70" t="str">
        <f t="shared" si="657"/>
        <v/>
      </c>
      <c r="AC1885" s="70" t="str">
        <f t="shared" si="658"/>
        <v/>
      </c>
      <c r="AD1885" s="70" t="str">
        <f t="shared" si="659"/>
        <v/>
      </c>
      <c r="AE1885" s="70" t="str">
        <f t="shared" si="660"/>
        <v/>
      </c>
      <c r="AF1885" s="16"/>
      <c r="AG1885" s="23"/>
      <c r="AH1885" s="22"/>
      <c r="AJ1885" s="83">
        <f t="shared" si="661"/>
        <v>0</v>
      </c>
      <c r="AO1885" s="22" t="str">
        <f t="shared" si="662"/>
        <v/>
      </c>
      <c r="AP1885" s="22" t="str">
        <f t="shared" si="663"/>
        <v/>
      </c>
    </row>
    <row r="1886" spans="1:42" x14ac:dyDescent="0.25">
      <c r="A1886" s="10"/>
      <c r="B1886" s="10"/>
      <c r="C1886" s="10"/>
      <c r="D1886" s="10"/>
      <c r="E1886" s="10"/>
      <c r="F1886" s="10"/>
      <c r="G1886" s="10"/>
      <c r="H1886" s="17"/>
      <c r="I1886" s="10"/>
      <c r="J1886" s="10"/>
      <c r="K1886" s="16" t="str">
        <f t="shared" si="642"/>
        <v/>
      </c>
      <c r="L1886" s="23" t="str">
        <f t="shared" si="643"/>
        <v/>
      </c>
      <c r="M1886" s="22" t="str">
        <f t="shared" si="644"/>
        <v/>
      </c>
      <c r="N1886" s="72"/>
      <c r="O1886" s="16" t="str">
        <f t="shared" si="645"/>
        <v/>
      </c>
      <c r="P1886" s="16" t="str">
        <f t="shared" si="646"/>
        <v/>
      </c>
      <c r="Q1886" s="16" t="str">
        <f t="shared" si="647"/>
        <v/>
      </c>
      <c r="R1886" s="23" t="str">
        <f t="shared" si="648"/>
        <v/>
      </c>
      <c r="S1886" s="23" t="str">
        <f t="shared" si="649"/>
        <v/>
      </c>
      <c r="T1886" s="23" t="str">
        <f t="shared" si="650"/>
        <v/>
      </c>
      <c r="U1886" s="23" t="str">
        <f t="shared" si="651"/>
        <v/>
      </c>
      <c r="V1886" s="23" t="str">
        <f t="shared" si="652"/>
        <v/>
      </c>
      <c r="W1886" s="70" t="str">
        <f t="shared" si="653"/>
        <v/>
      </c>
      <c r="X1886" s="70" t="str">
        <f t="shared" si="654"/>
        <v/>
      </c>
      <c r="Y1886" s="70" t="str">
        <f>IF(AND($A1886&lt;&gt;"",$E1886&gt;0),isLaptopBag($C1886,$J1886)*$D1886,"")</f>
        <v/>
      </c>
      <c r="Z1886" s="70" t="str">
        <f t="shared" si="655"/>
        <v/>
      </c>
      <c r="AA1886" s="70" t="str">
        <f t="shared" si="656"/>
        <v/>
      </c>
      <c r="AB1886" s="70" t="str">
        <f t="shared" si="657"/>
        <v/>
      </c>
      <c r="AC1886" s="70" t="str">
        <f t="shared" si="658"/>
        <v/>
      </c>
      <c r="AD1886" s="70" t="str">
        <f t="shared" si="659"/>
        <v/>
      </c>
      <c r="AE1886" s="70" t="str">
        <f t="shared" si="660"/>
        <v/>
      </c>
      <c r="AF1886" s="16"/>
      <c r="AG1886" s="23"/>
      <c r="AH1886" s="22"/>
      <c r="AJ1886" s="83">
        <f t="shared" si="661"/>
        <v>0</v>
      </c>
      <c r="AO1886" s="22" t="str">
        <f t="shared" si="662"/>
        <v/>
      </c>
      <c r="AP1886" s="22" t="str">
        <f t="shared" si="663"/>
        <v/>
      </c>
    </row>
    <row r="1887" spans="1:42" x14ac:dyDescent="0.25">
      <c r="A1887" s="10"/>
      <c r="B1887" s="10"/>
      <c r="C1887" s="10"/>
      <c r="D1887" s="10"/>
      <c r="E1887" s="10"/>
      <c r="F1887" s="10"/>
      <c r="G1887" s="10"/>
      <c r="H1887" s="17"/>
      <c r="I1887" s="10"/>
      <c r="J1887" s="10"/>
      <c r="K1887" s="16" t="str">
        <f t="shared" si="642"/>
        <v/>
      </c>
      <c r="L1887" s="23" t="str">
        <f t="shared" si="643"/>
        <v/>
      </c>
      <c r="M1887" s="22" t="str">
        <f t="shared" si="644"/>
        <v/>
      </c>
      <c r="N1887" s="72"/>
      <c r="O1887" s="16" t="str">
        <f t="shared" si="645"/>
        <v/>
      </c>
      <c r="P1887" s="16" t="str">
        <f t="shared" si="646"/>
        <v/>
      </c>
      <c r="Q1887" s="16" t="str">
        <f t="shared" si="647"/>
        <v/>
      </c>
      <c r="R1887" s="23" t="str">
        <f t="shared" si="648"/>
        <v/>
      </c>
      <c r="S1887" s="23" t="str">
        <f t="shared" si="649"/>
        <v/>
      </c>
      <c r="T1887" s="23" t="str">
        <f t="shared" si="650"/>
        <v/>
      </c>
      <c r="U1887" s="23" t="str">
        <f t="shared" si="651"/>
        <v/>
      </c>
      <c r="V1887" s="23" t="str">
        <f t="shared" si="652"/>
        <v/>
      </c>
      <c r="W1887" s="70" t="str">
        <f t="shared" si="653"/>
        <v/>
      </c>
      <c r="X1887" s="70" t="str">
        <f t="shared" si="654"/>
        <v/>
      </c>
      <c r="Y1887" s="70" t="str">
        <f>IF(AND($A1887&lt;&gt;"",$E1887&gt;0),isLaptopBag($C1887,$J1887)*$D1887,"")</f>
        <v/>
      </c>
      <c r="Z1887" s="70" t="str">
        <f t="shared" si="655"/>
        <v/>
      </c>
      <c r="AA1887" s="70" t="str">
        <f t="shared" si="656"/>
        <v/>
      </c>
      <c r="AB1887" s="70" t="str">
        <f t="shared" si="657"/>
        <v/>
      </c>
      <c r="AC1887" s="70" t="str">
        <f t="shared" si="658"/>
        <v/>
      </c>
      <c r="AD1887" s="70" t="str">
        <f t="shared" si="659"/>
        <v/>
      </c>
      <c r="AE1887" s="70" t="str">
        <f t="shared" si="660"/>
        <v/>
      </c>
      <c r="AF1887" s="16"/>
      <c r="AG1887" s="23"/>
      <c r="AH1887" s="22"/>
      <c r="AJ1887" s="83">
        <f t="shared" si="661"/>
        <v>0</v>
      </c>
      <c r="AO1887" s="22" t="str">
        <f t="shared" si="662"/>
        <v/>
      </c>
      <c r="AP1887" s="22" t="str">
        <f t="shared" si="663"/>
        <v/>
      </c>
    </row>
    <row r="1888" spans="1:42" x14ac:dyDescent="0.25">
      <c r="A1888" s="10"/>
      <c r="B1888" s="10"/>
      <c r="C1888" s="10"/>
      <c r="D1888" s="10"/>
      <c r="E1888" s="10"/>
      <c r="F1888" s="10"/>
      <c r="G1888" s="10"/>
      <c r="H1888" s="17"/>
      <c r="I1888" s="10"/>
      <c r="J1888" s="10"/>
      <c r="K1888" s="16" t="str">
        <f t="shared" si="642"/>
        <v/>
      </c>
      <c r="L1888" s="23" t="str">
        <f t="shared" si="643"/>
        <v/>
      </c>
      <c r="M1888" s="22" t="str">
        <f t="shared" si="644"/>
        <v/>
      </c>
      <c r="N1888" s="72"/>
      <c r="O1888" s="16" t="str">
        <f t="shared" si="645"/>
        <v/>
      </c>
      <c r="P1888" s="16" t="str">
        <f t="shared" si="646"/>
        <v/>
      </c>
      <c r="Q1888" s="16" t="str">
        <f t="shared" si="647"/>
        <v/>
      </c>
      <c r="R1888" s="23" t="str">
        <f t="shared" si="648"/>
        <v/>
      </c>
      <c r="S1888" s="23" t="str">
        <f t="shared" si="649"/>
        <v/>
      </c>
      <c r="T1888" s="23" t="str">
        <f t="shared" si="650"/>
        <v/>
      </c>
      <c r="U1888" s="23" t="str">
        <f t="shared" si="651"/>
        <v/>
      </c>
      <c r="V1888" s="23" t="str">
        <f t="shared" si="652"/>
        <v/>
      </c>
      <c r="W1888" s="70" t="str">
        <f t="shared" si="653"/>
        <v/>
      </c>
      <c r="X1888" s="70" t="str">
        <f t="shared" si="654"/>
        <v/>
      </c>
      <c r="Y1888" s="70" t="str">
        <f>IF(AND($A1888&lt;&gt;"",$E1888&gt;0),isLaptopBag($C1888,$J1888)*$D1888,"")</f>
        <v/>
      </c>
      <c r="Z1888" s="70" t="str">
        <f t="shared" si="655"/>
        <v/>
      </c>
      <c r="AA1888" s="70" t="str">
        <f t="shared" si="656"/>
        <v/>
      </c>
      <c r="AB1888" s="70" t="str">
        <f t="shared" si="657"/>
        <v/>
      </c>
      <c r="AC1888" s="70" t="str">
        <f t="shared" si="658"/>
        <v/>
      </c>
      <c r="AD1888" s="70" t="str">
        <f t="shared" si="659"/>
        <v/>
      </c>
      <c r="AE1888" s="70" t="str">
        <f t="shared" si="660"/>
        <v/>
      </c>
      <c r="AF1888" s="16"/>
      <c r="AG1888" s="23"/>
      <c r="AH1888" s="22"/>
      <c r="AJ1888" s="83">
        <f t="shared" si="661"/>
        <v>0</v>
      </c>
      <c r="AO1888" s="22" t="str">
        <f t="shared" si="662"/>
        <v/>
      </c>
      <c r="AP1888" s="22" t="str">
        <f t="shared" si="663"/>
        <v/>
      </c>
    </row>
    <row r="1889" spans="1:42" x14ac:dyDescent="0.25">
      <c r="A1889" s="10"/>
      <c r="B1889" s="10"/>
      <c r="C1889" s="10"/>
      <c r="D1889" s="10"/>
      <c r="E1889" s="10"/>
      <c r="F1889" s="10"/>
      <c r="G1889" s="10"/>
      <c r="H1889" s="17"/>
      <c r="I1889" s="10"/>
      <c r="J1889" s="10"/>
      <c r="K1889" s="16" t="str">
        <f t="shared" si="642"/>
        <v/>
      </c>
      <c r="L1889" s="23" t="str">
        <f t="shared" si="643"/>
        <v/>
      </c>
      <c r="M1889" s="22" t="str">
        <f t="shared" si="644"/>
        <v/>
      </c>
      <c r="N1889" s="72"/>
      <c r="O1889" s="16" t="str">
        <f t="shared" si="645"/>
        <v/>
      </c>
      <c r="P1889" s="16" t="str">
        <f t="shared" si="646"/>
        <v/>
      </c>
      <c r="Q1889" s="16" t="str">
        <f t="shared" si="647"/>
        <v/>
      </c>
      <c r="R1889" s="23" t="str">
        <f t="shared" si="648"/>
        <v/>
      </c>
      <c r="S1889" s="23" t="str">
        <f t="shared" si="649"/>
        <v/>
      </c>
      <c r="T1889" s="23" t="str">
        <f t="shared" si="650"/>
        <v/>
      </c>
      <c r="U1889" s="23" t="str">
        <f t="shared" si="651"/>
        <v/>
      </c>
      <c r="V1889" s="23" t="str">
        <f t="shared" si="652"/>
        <v/>
      </c>
      <c r="W1889" s="70" t="str">
        <f t="shared" si="653"/>
        <v/>
      </c>
      <c r="X1889" s="70" t="str">
        <f t="shared" si="654"/>
        <v/>
      </c>
      <c r="Y1889" s="70" t="str">
        <f>IF(AND($A1889&lt;&gt;"",$E1889&gt;0),isLaptopBag($C1889,$J1889)*$D1889,"")</f>
        <v/>
      </c>
      <c r="Z1889" s="70" t="str">
        <f t="shared" si="655"/>
        <v/>
      </c>
      <c r="AA1889" s="70" t="str">
        <f t="shared" si="656"/>
        <v/>
      </c>
      <c r="AB1889" s="70" t="str">
        <f t="shared" si="657"/>
        <v/>
      </c>
      <c r="AC1889" s="70" t="str">
        <f t="shared" si="658"/>
        <v/>
      </c>
      <c r="AD1889" s="70" t="str">
        <f t="shared" si="659"/>
        <v/>
      </c>
      <c r="AE1889" s="70" t="str">
        <f t="shared" si="660"/>
        <v/>
      </c>
      <c r="AF1889" s="16"/>
      <c r="AG1889" s="23"/>
      <c r="AH1889" s="22"/>
      <c r="AJ1889" s="83">
        <f t="shared" si="661"/>
        <v>0</v>
      </c>
      <c r="AO1889" s="22" t="str">
        <f t="shared" si="662"/>
        <v/>
      </c>
      <c r="AP1889" s="22" t="str">
        <f t="shared" si="663"/>
        <v/>
      </c>
    </row>
    <row r="1890" spans="1:42" x14ac:dyDescent="0.25">
      <c r="A1890" s="10"/>
      <c r="B1890" s="10"/>
      <c r="C1890" s="10"/>
      <c r="D1890" s="10"/>
      <c r="E1890" s="10"/>
      <c r="F1890" s="10"/>
      <c r="G1890" s="10"/>
      <c r="H1890" s="17"/>
      <c r="I1890" s="10"/>
      <c r="J1890" s="10"/>
      <c r="K1890" s="16" t="str">
        <f t="shared" si="642"/>
        <v/>
      </c>
      <c r="L1890" s="23" t="str">
        <f t="shared" si="643"/>
        <v/>
      </c>
      <c r="M1890" s="22" t="str">
        <f t="shared" si="644"/>
        <v/>
      </c>
      <c r="N1890" s="72"/>
      <c r="O1890" s="16" t="str">
        <f t="shared" si="645"/>
        <v/>
      </c>
      <c r="P1890" s="16" t="str">
        <f t="shared" si="646"/>
        <v/>
      </c>
      <c r="Q1890" s="16" t="str">
        <f t="shared" si="647"/>
        <v/>
      </c>
      <c r="R1890" s="23" t="str">
        <f t="shared" si="648"/>
        <v/>
      </c>
      <c r="S1890" s="23" t="str">
        <f t="shared" si="649"/>
        <v/>
      </c>
      <c r="T1890" s="23" t="str">
        <f t="shared" si="650"/>
        <v/>
      </c>
      <c r="U1890" s="23" t="str">
        <f t="shared" si="651"/>
        <v/>
      </c>
      <c r="V1890" s="23" t="str">
        <f t="shared" si="652"/>
        <v/>
      </c>
      <c r="W1890" s="70" t="str">
        <f t="shared" si="653"/>
        <v/>
      </c>
      <c r="X1890" s="70" t="str">
        <f t="shared" si="654"/>
        <v/>
      </c>
      <c r="Y1890" s="70" t="str">
        <f>IF(AND($A1890&lt;&gt;"",$E1890&gt;0),isLaptopBag($C1890,$J1890)*$D1890,"")</f>
        <v/>
      </c>
      <c r="Z1890" s="70" t="str">
        <f t="shared" si="655"/>
        <v/>
      </c>
      <c r="AA1890" s="70" t="str">
        <f t="shared" si="656"/>
        <v/>
      </c>
      <c r="AB1890" s="70" t="str">
        <f t="shared" si="657"/>
        <v/>
      </c>
      <c r="AC1890" s="70" t="str">
        <f t="shared" si="658"/>
        <v/>
      </c>
      <c r="AD1890" s="70" t="str">
        <f t="shared" si="659"/>
        <v/>
      </c>
      <c r="AE1890" s="70" t="str">
        <f t="shared" si="660"/>
        <v/>
      </c>
      <c r="AF1890" s="16"/>
      <c r="AG1890" s="23"/>
      <c r="AH1890" s="22"/>
      <c r="AJ1890" s="83">
        <f t="shared" si="661"/>
        <v>0</v>
      </c>
      <c r="AO1890" s="22" t="str">
        <f t="shared" si="662"/>
        <v/>
      </c>
      <c r="AP1890" s="22" t="str">
        <f t="shared" si="663"/>
        <v/>
      </c>
    </row>
    <row r="1891" spans="1:42" x14ac:dyDescent="0.25">
      <c r="A1891" s="10"/>
      <c r="B1891" s="10"/>
      <c r="C1891" s="10"/>
      <c r="D1891" s="10"/>
      <c r="E1891" s="10"/>
      <c r="F1891" s="10"/>
      <c r="G1891" s="10"/>
      <c r="H1891" s="17"/>
      <c r="I1891" s="10"/>
      <c r="J1891" s="10"/>
      <c r="K1891" s="16" t="str">
        <f t="shared" si="642"/>
        <v/>
      </c>
      <c r="L1891" s="23" t="str">
        <f t="shared" si="643"/>
        <v/>
      </c>
      <c r="M1891" s="22" t="str">
        <f t="shared" si="644"/>
        <v/>
      </c>
      <c r="N1891" s="72"/>
      <c r="O1891" s="16" t="str">
        <f t="shared" si="645"/>
        <v/>
      </c>
      <c r="P1891" s="16" t="str">
        <f t="shared" si="646"/>
        <v/>
      </c>
      <c r="Q1891" s="16" t="str">
        <f t="shared" si="647"/>
        <v/>
      </c>
      <c r="R1891" s="23" t="str">
        <f t="shared" si="648"/>
        <v/>
      </c>
      <c r="S1891" s="23" t="str">
        <f t="shared" si="649"/>
        <v/>
      </c>
      <c r="T1891" s="23" t="str">
        <f t="shared" si="650"/>
        <v/>
      </c>
      <c r="U1891" s="23" t="str">
        <f t="shared" si="651"/>
        <v/>
      </c>
      <c r="V1891" s="23" t="str">
        <f t="shared" si="652"/>
        <v/>
      </c>
      <c r="W1891" s="70" t="str">
        <f t="shared" si="653"/>
        <v/>
      </c>
      <c r="X1891" s="70" t="str">
        <f t="shared" si="654"/>
        <v/>
      </c>
      <c r="Y1891" s="70" t="str">
        <f>IF(AND($A1891&lt;&gt;"",$E1891&gt;0),isLaptopBag($C1891,$J1891)*$D1891,"")</f>
        <v/>
      </c>
      <c r="Z1891" s="70" t="str">
        <f t="shared" si="655"/>
        <v/>
      </c>
      <c r="AA1891" s="70" t="str">
        <f t="shared" si="656"/>
        <v/>
      </c>
      <c r="AB1891" s="70" t="str">
        <f t="shared" si="657"/>
        <v/>
      </c>
      <c r="AC1891" s="70" t="str">
        <f t="shared" si="658"/>
        <v/>
      </c>
      <c r="AD1891" s="70" t="str">
        <f t="shared" si="659"/>
        <v/>
      </c>
      <c r="AE1891" s="70" t="str">
        <f t="shared" si="660"/>
        <v/>
      </c>
      <c r="AF1891" s="16"/>
      <c r="AG1891" s="23"/>
      <c r="AH1891" s="22"/>
      <c r="AJ1891" s="83">
        <f t="shared" si="661"/>
        <v>0</v>
      </c>
      <c r="AO1891" s="22" t="str">
        <f t="shared" si="662"/>
        <v/>
      </c>
      <c r="AP1891" s="22" t="str">
        <f t="shared" si="663"/>
        <v/>
      </c>
    </row>
    <row r="1892" spans="1:42" x14ac:dyDescent="0.25">
      <c r="A1892" s="10"/>
      <c r="B1892" s="10"/>
      <c r="C1892" s="10"/>
      <c r="D1892" s="10"/>
      <c r="E1892" s="10"/>
      <c r="F1892" s="10"/>
      <c r="G1892" s="10"/>
      <c r="H1892" s="17"/>
      <c r="I1892" s="10"/>
      <c r="J1892" s="10"/>
      <c r="K1892" s="16" t="str">
        <f t="shared" si="642"/>
        <v/>
      </c>
      <c r="L1892" s="23" t="str">
        <f t="shared" si="643"/>
        <v/>
      </c>
      <c r="M1892" s="22" t="str">
        <f t="shared" si="644"/>
        <v/>
      </c>
      <c r="N1892" s="72"/>
      <c r="O1892" s="16" t="str">
        <f t="shared" si="645"/>
        <v/>
      </c>
      <c r="P1892" s="16" t="str">
        <f t="shared" si="646"/>
        <v/>
      </c>
      <c r="Q1892" s="16" t="str">
        <f t="shared" si="647"/>
        <v/>
      </c>
      <c r="R1892" s="23" t="str">
        <f t="shared" si="648"/>
        <v/>
      </c>
      <c r="S1892" s="23" t="str">
        <f t="shared" si="649"/>
        <v/>
      </c>
      <c r="T1892" s="23" t="str">
        <f t="shared" si="650"/>
        <v/>
      </c>
      <c r="U1892" s="23" t="str">
        <f t="shared" si="651"/>
        <v/>
      </c>
      <c r="V1892" s="23" t="str">
        <f t="shared" si="652"/>
        <v/>
      </c>
      <c r="W1892" s="70" t="str">
        <f t="shared" si="653"/>
        <v/>
      </c>
      <c r="X1892" s="70" t="str">
        <f t="shared" si="654"/>
        <v/>
      </c>
      <c r="Y1892" s="70" t="str">
        <f>IF(AND($A1892&lt;&gt;"",$E1892&gt;0),isLaptopBag($C1892,$J1892)*$D1892,"")</f>
        <v/>
      </c>
      <c r="Z1892" s="70" t="str">
        <f t="shared" si="655"/>
        <v/>
      </c>
      <c r="AA1892" s="70" t="str">
        <f t="shared" si="656"/>
        <v/>
      </c>
      <c r="AB1892" s="70" t="str">
        <f t="shared" si="657"/>
        <v/>
      </c>
      <c r="AC1892" s="70" t="str">
        <f t="shared" si="658"/>
        <v/>
      </c>
      <c r="AD1892" s="70" t="str">
        <f t="shared" si="659"/>
        <v/>
      </c>
      <c r="AE1892" s="70" t="str">
        <f t="shared" si="660"/>
        <v/>
      </c>
      <c r="AF1892" s="16"/>
      <c r="AG1892" s="23"/>
      <c r="AH1892" s="22"/>
      <c r="AJ1892" s="83">
        <f t="shared" si="661"/>
        <v>0</v>
      </c>
      <c r="AO1892" s="22" t="str">
        <f t="shared" si="662"/>
        <v/>
      </c>
      <c r="AP1892" s="22" t="str">
        <f t="shared" si="663"/>
        <v/>
      </c>
    </row>
    <row r="1893" spans="1:42" x14ac:dyDescent="0.25">
      <c r="A1893" s="10"/>
      <c r="B1893" s="10"/>
      <c r="C1893" s="10"/>
      <c r="D1893" s="10"/>
      <c r="E1893" s="10"/>
      <c r="F1893" s="10"/>
      <c r="G1893" s="10"/>
      <c r="H1893" s="17"/>
      <c r="I1893" s="10"/>
      <c r="J1893" s="10"/>
      <c r="K1893" s="16" t="str">
        <f t="shared" si="642"/>
        <v/>
      </c>
      <c r="L1893" s="23" t="str">
        <f t="shared" si="643"/>
        <v/>
      </c>
      <c r="M1893" s="22" t="str">
        <f t="shared" si="644"/>
        <v/>
      </c>
      <c r="N1893" s="72"/>
      <c r="O1893" s="16" t="str">
        <f t="shared" si="645"/>
        <v/>
      </c>
      <c r="P1893" s="16" t="str">
        <f t="shared" si="646"/>
        <v/>
      </c>
      <c r="Q1893" s="16" t="str">
        <f t="shared" si="647"/>
        <v/>
      </c>
      <c r="R1893" s="23" t="str">
        <f t="shared" si="648"/>
        <v/>
      </c>
      <c r="S1893" s="23" t="str">
        <f t="shared" si="649"/>
        <v/>
      </c>
      <c r="T1893" s="23" t="str">
        <f t="shared" si="650"/>
        <v/>
      </c>
      <c r="U1893" s="23" t="str">
        <f t="shared" si="651"/>
        <v/>
      </c>
      <c r="V1893" s="23" t="str">
        <f t="shared" si="652"/>
        <v/>
      </c>
      <c r="W1893" s="70" t="str">
        <f t="shared" si="653"/>
        <v/>
      </c>
      <c r="X1893" s="70" t="str">
        <f t="shared" si="654"/>
        <v/>
      </c>
      <c r="Y1893" s="70" t="str">
        <f>IF(AND($A1893&lt;&gt;"",$E1893&gt;0),isLaptopBag($C1893,$J1893)*$D1893,"")</f>
        <v/>
      </c>
      <c r="Z1893" s="70" t="str">
        <f t="shared" si="655"/>
        <v/>
      </c>
      <c r="AA1893" s="70" t="str">
        <f t="shared" si="656"/>
        <v/>
      </c>
      <c r="AB1893" s="70" t="str">
        <f t="shared" si="657"/>
        <v/>
      </c>
      <c r="AC1893" s="70" t="str">
        <f t="shared" si="658"/>
        <v/>
      </c>
      <c r="AD1893" s="70" t="str">
        <f t="shared" si="659"/>
        <v/>
      </c>
      <c r="AE1893" s="70" t="str">
        <f t="shared" si="660"/>
        <v/>
      </c>
      <c r="AF1893" s="16"/>
      <c r="AG1893" s="23"/>
      <c r="AH1893" s="22"/>
      <c r="AJ1893" s="83">
        <f t="shared" si="661"/>
        <v>0</v>
      </c>
      <c r="AO1893" s="22" t="str">
        <f t="shared" si="662"/>
        <v/>
      </c>
      <c r="AP1893" s="22" t="str">
        <f t="shared" si="663"/>
        <v/>
      </c>
    </row>
    <row r="1894" spans="1:42" x14ac:dyDescent="0.25">
      <c r="A1894" s="10"/>
      <c r="B1894" s="10"/>
      <c r="C1894" s="10"/>
      <c r="D1894" s="10"/>
      <c r="E1894" s="10"/>
      <c r="F1894" s="10"/>
      <c r="G1894" s="10"/>
      <c r="H1894" s="17"/>
      <c r="I1894" s="10"/>
      <c r="J1894" s="10"/>
      <c r="K1894" s="16" t="str">
        <f t="shared" si="642"/>
        <v/>
      </c>
      <c r="L1894" s="23" t="str">
        <f t="shared" si="643"/>
        <v/>
      </c>
      <c r="M1894" s="22" t="str">
        <f t="shared" si="644"/>
        <v/>
      </c>
      <c r="N1894" s="72"/>
      <c r="O1894" s="16" t="str">
        <f t="shared" si="645"/>
        <v/>
      </c>
      <c r="P1894" s="16" t="str">
        <f t="shared" si="646"/>
        <v/>
      </c>
      <c r="Q1894" s="16" t="str">
        <f t="shared" si="647"/>
        <v/>
      </c>
      <c r="R1894" s="23" t="str">
        <f t="shared" si="648"/>
        <v/>
      </c>
      <c r="S1894" s="23" t="str">
        <f t="shared" si="649"/>
        <v/>
      </c>
      <c r="T1894" s="23" t="str">
        <f t="shared" si="650"/>
        <v/>
      </c>
      <c r="U1894" s="23" t="str">
        <f t="shared" si="651"/>
        <v/>
      </c>
      <c r="V1894" s="23" t="str">
        <f t="shared" si="652"/>
        <v/>
      </c>
      <c r="W1894" s="70" t="str">
        <f t="shared" si="653"/>
        <v/>
      </c>
      <c r="X1894" s="70" t="str">
        <f t="shared" si="654"/>
        <v/>
      </c>
      <c r="Y1894" s="70" t="str">
        <f>IF(AND($A1894&lt;&gt;"",$E1894&gt;0),isLaptopBag($C1894,$J1894)*$D1894,"")</f>
        <v/>
      </c>
      <c r="Z1894" s="70" t="str">
        <f t="shared" si="655"/>
        <v/>
      </c>
      <c r="AA1894" s="70" t="str">
        <f t="shared" si="656"/>
        <v/>
      </c>
      <c r="AB1894" s="70" t="str">
        <f t="shared" si="657"/>
        <v/>
      </c>
      <c r="AC1894" s="70" t="str">
        <f t="shared" si="658"/>
        <v/>
      </c>
      <c r="AD1894" s="70" t="str">
        <f t="shared" si="659"/>
        <v/>
      </c>
      <c r="AE1894" s="70" t="str">
        <f t="shared" si="660"/>
        <v/>
      </c>
      <c r="AF1894" s="16"/>
      <c r="AG1894" s="23"/>
      <c r="AH1894" s="22"/>
      <c r="AJ1894" s="83">
        <f t="shared" si="661"/>
        <v>0</v>
      </c>
      <c r="AO1894" s="22" t="str">
        <f t="shared" si="662"/>
        <v/>
      </c>
      <c r="AP1894" s="22" t="str">
        <f t="shared" si="663"/>
        <v/>
      </c>
    </row>
    <row r="1895" spans="1:42" x14ac:dyDescent="0.25">
      <c r="A1895" s="10"/>
      <c r="B1895" s="10"/>
      <c r="C1895" s="10"/>
      <c r="D1895" s="10"/>
      <c r="E1895" s="10"/>
      <c r="F1895" s="10"/>
      <c r="G1895" s="10"/>
      <c r="H1895" s="17"/>
      <c r="I1895" s="10"/>
      <c r="J1895" s="10"/>
      <c r="K1895" s="16" t="str">
        <f t="shared" si="642"/>
        <v/>
      </c>
      <c r="L1895" s="23" t="str">
        <f t="shared" si="643"/>
        <v/>
      </c>
      <c r="M1895" s="22" t="str">
        <f t="shared" si="644"/>
        <v/>
      </c>
      <c r="N1895" s="72"/>
      <c r="O1895" s="16" t="str">
        <f t="shared" si="645"/>
        <v/>
      </c>
      <c r="P1895" s="16" t="str">
        <f t="shared" si="646"/>
        <v/>
      </c>
      <c r="Q1895" s="16" t="str">
        <f t="shared" si="647"/>
        <v/>
      </c>
      <c r="R1895" s="23" t="str">
        <f t="shared" si="648"/>
        <v/>
      </c>
      <c r="S1895" s="23" t="str">
        <f t="shared" si="649"/>
        <v/>
      </c>
      <c r="T1895" s="23" t="str">
        <f t="shared" si="650"/>
        <v/>
      </c>
      <c r="U1895" s="23" t="str">
        <f t="shared" si="651"/>
        <v/>
      </c>
      <c r="V1895" s="23" t="str">
        <f t="shared" si="652"/>
        <v/>
      </c>
      <c r="W1895" s="70" t="str">
        <f t="shared" si="653"/>
        <v/>
      </c>
      <c r="X1895" s="70" t="str">
        <f t="shared" si="654"/>
        <v/>
      </c>
      <c r="Y1895" s="70" t="str">
        <f>IF(AND($A1895&lt;&gt;"",$E1895&gt;0),isLaptopBag($C1895,$J1895)*$D1895,"")</f>
        <v/>
      </c>
      <c r="Z1895" s="70" t="str">
        <f t="shared" si="655"/>
        <v/>
      </c>
      <c r="AA1895" s="70" t="str">
        <f t="shared" si="656"/>
        <v/>
      </c>
      <c r="AB1895" s="70" t="str">
        <f t="shared" si="657"/>
        <v/>
      </c>
      <c r="AC1895" s="70" t="str">
        <f t="shared" si="658"/>
        <v/>
      </c>
      <c r="AD1895" s="70" t="str">
        <f t="shared" si="659"/>
        <v/>
      </c>
      <c r="AE1895" s="70" t="str">
        <f t="shared" si="660"/>
        <v/>
      </c>
      <c r="AF1895" s="16"/>
      <c r="AG1895" s="23"/>
      <c r="AH1895" s="22"/>
      <c r="AJ1895" s="83">
        <f t="shared" si="661"/>
        <v>0</v>
      </c>
      <c r="AO1895" s="22" t="str">
        <f t="shared" si="662"/>
        <v/>
      </c>
      <c r="AP1895" s="22" t="str">
        <f t="shared" si="663"/>
        <v/>
      </c>
    </row>
    <row r="1896" spans="1:42" x14ac:dyDescent="0.25">
      <c r="A1896" s="10"/>
      <c r="B1896" s="10"/>
      <c r="C1896" s="10"/>
      <c r="D1896" s="10"/>
      <c r="E1896" s="10"/>
      <c r="F1896" s="10"/>
      <c r="G1896" s="10"/>
      <c r="H1896" s="17"/>
      <c r="I1896" s="10"/>
      <c r="J1896" s="10"/>
      <c r="K1896" s="16" t="str">
        <f t="shared" si="642"/>
        <v/>
      </c>
      <c r="L1896" s="23" t="str">
        <f t="shared" si="643"/>
        <v/>
      </c>
      <c r="M1896" s="22" t="str">
        <f t="shared" si="644"/>
        <v/>
      </c>
      <c r="N1896" s="72"/>
      <c r="O1896" s="16" t="str">
        <f t="shared" si="645"/>
        <v/>
      </c>
      <c r="P1896" s="16" t="str">
        <f t="shared" si="646"/>
        <v/>
      </c>
      <c r="Q1896" s="16" t="str">
        <f t="shared" si="647"/>
        <v/>
      </c>
      <c r="R1896" s="23" t="str">
        <f t="shared" si="648"/>
        <v/>
      </c>
      <c r="S1896" s="23" t="str">
        <f t="shared" si="649"/>
        <v/>
      </c>
      <c r="T1896" s="23" t="str">
        <f t="shared" si="650"/>
        <v/>
      </c>
      <c r="U1896" s="23" t="str">
        <f t="shared" si="651"/>
        <v/>
      </c>
      <c r="V1896" s="23" t="str">
        <f t="shared" si="652"/>
        <v/>
      </c>
      <c r="W1896" s="70" t="str">
        <f t="shared" si="653"/>
        <v/>
      </c>
      <c r="X1896" s="70" t="str">
        <f t="shared" si="654"/>
        <v/>
      </c>
      <c r="Y1896" s="70" t="str">
        <f>IF(AND($A1896&lt;&gt;"",$E1896&gt;0),isLaptopBag($C1896,$J1896)*$D1896,"")</f>
        <v/>
      </c>
      <c r="Z1896" s="70" t="str">
        <f t="shared" si="655"/>
        <v/>
      </c>
      <c r="AA1896" s="70" t="str">
        <f t="shared" si="656"/>
        <v/>
      </c>
      <c r="AB1896" s="70" t="str">
        <f t="shared" si="657"/>
        <v/>
      </c>
      <c r="AC1896" s="70" t="str">
        <f t="shared" si="658"/>
        <v/>
      </c>
      <c r="AD1896" s="70" t="str">
        <f t="shared" si="659"/>
        <v/>
      </c>
      <c r="AE1896" s="70" t="str">
        <f t="shared" si="660"/>
        <v/>
      </c>
      <c r="AF1896" s="16"/>
      <c r="AG1896" s="23"/>
      <c r="AH1896" s="22"/>
      <c r="AJ1896" s="83">
        <f t="shared" si="661"/>
        <v>0</v>
      </c>
      <c r="AO1896" s="22" t="str">
        <f t="shared" si="662"/>
        <v/>
      </c>
      <c r="AP1896" s="22" t="str">
        <f t="shared" si="663"/>
        <v/>
      </c>
    </row>
    <row r="1897" spans="1:42" x14ac:dyDescent="0.25">
      <c r="A1897" s="10"/>
      <c r="B1897" s="10"/>
      <c r="C1897" s="10"/>
      <c r="D1897" s="10"/>
      <c r="E1897" s="10"/>
      <c r="F1897" s="10"/>
      <c r="G1897" s="10"/>
      <c r="H1897" s="17"/>
      <c r="I1897" s="10"/>
      <c r="J1897" s="10"/>
      <c r="K1897" s="16" t="str">
        <f t="shared" si="642"/>
        <v/>
      </c>
      <c r="L1897" s="23" t="str">
        <f t="shared" si="643"/>
        <v/>
      </c>
      <c r="M1897" s="22" t="str">
        <f t="shared" si="644"/>
        <v/>
      </c>
      <c r="N1897" s="72"/>
      <c r="O1897" s="16" t="str">
        <f t="shared" si="645"/>
        <v/>
      </c>
      <c r="P1897" s="16" t="str">
        <f t="shared" si="646"/>
        <v/>
      </c>
      <c r="Q1897" s="16" t="str">
        <f t="shared" si="647"/>
        <v/>
      </c>
      <c r="R1897" s="23" t="str">
        <f t="shared" si="648"/>
        <v/>
      </c>
      <c r="S1897" s="23" t="str">
        <f t="shared" si="649"/>
        <v/>
      </c>
      <c r="T1897" s="23" t="str">
        <f t="shared" si="650"/>
        <v/>
      </c>
      <c r="U1897" s="23" t="str">
        <f t="shared" si="651"/>
        <v/>
      </c>
      <c r="V1897" s="23" t="str">
        <f t="shared" si="652"/>
        <v/>
      </c>
      <c r="W1897" s="70" t="str">
        <f t="shared" si="653"/>
        <v/>
      </c>
      <c r="X1897" s="70" t="str">
        <f t="shared" si="654"/>
        <v/>
      </c>
      <c r="Y1897" s="70" t="str">
        <f>IF(AND($A1897&lt;&gt;"",$E1897&gt;0),isLaptopBag($C1897,$J1897)*$D1897,"")</f>
        <v/>
      </c>
      <c r="Z1897" s="70" t="str">
        <f t="shared" si="655"/>
        <v/>
      </c>
      <c r="AA1897" s="70" t="str">
        <f t="shared" si="656"/>
        <v/>
      </c>
      <c r="AB1897" s="70" t="str">
        <f t="shared" si="657"/>
        <v/>
      </c>
      <c r="AC1897" s="70" t="str">
        <f t="shared" si="658"/>
        <v/>
      </c>
      <c r="AD1897" s="70" t="str">
        <f t="shared" si="659"/>
        <v/>
      </c>
      <c r="AE1897" s="70" t="str">
        <f t="shared" si="660"/>
        <v/>
      </c>
      <c r="AF1897" s="16"/>
      <c r="AG1897" s="23"/>
      <c r="AH1897" s="22"/>
      <c r="AJ1897" s="83">
        <f t="shared" si="661"/>
        <v>0</v>
      </c>
      <c r="AO1897" s="22" t="str">
        <f t="shared" si="662"/>
        <v/>
      </c>
      <c r="AP1897" s="22" t="str">
        <f t="shared" si="663"/>
        <v/>
      </c>
    </row>
    <row r="1898" spans="1:42" x14ac:dyDescent="0.25">
      <c r="A1898" s="10"/>
      <c r="B1898" s="10"/>
      <c r="C1898" s="10"/>
      <c r="D1898" s="10"/>
      <c r="E1898" s="10"/>
      <c r="F1898" s="10"/>
      <c r="G1898" s="10"/>
      <c r="H1898" s="17"/>
      <c r="I1898" s="10"/>
      <c r="J1898" s="10"/>
      <c r="K1898" s="16" t="str">
        <f t="shared" si="642"/>
        <v/>
      </c>
      <c r="L1898" s="23" t="str">
        <f t="shared" si="643"/>
        <v/>
      </c>
      <c r="M1898" s="22" t="str">
        <f t="shared" si="644"/>
        <v/>
      </c>
      <c r="N1898" s="72"/>
      <c r="O1898" s="16" t="str">
        <f t="shared" si="645"/>
        <v/>
      </c>
      <c r="P1898" s="16" t="str">
        <f t="shared" si="646"/>
        <v/>
      </c>
      <c r="Q1898" s="16" t="str">
        <f t="shared" si="647"/>
        <v/>
      </c>
      <c r="R1898" s="23" t="str">
        <f t="shared" si="648"/>
        <v/>
      </c>
      <c r="S1898" s="23" t="str">
        <f t="shared" si="649"/>
        <v/>
      </c>
      <c r="T1898" s="23" t="str">
        <f t="shared" si="650"/>
        <v/>
      </c>
      <c r="U1898" s="23" t="str">
        <f t="shared" si="651"/>
        <v/>
      </c>
      <c r="V1898" s="23" t="str">
        <f t="shared" si="652"/>
        <v/>
      </c>
      <c r="W1898" s="70" t="str">
        <f t="shared" si="653"/>
        <v/>
      </c>
      <c r="X1898" s="70" t="str">
        <f t="shared" si="654"/>
        <v/>
      </c>
      <c r="Y1898" s="70" t="str">
        <f>IF(AND($A1898&lt;&gt;"",$E1898&gt;0),isLaptopBag($C1898,$J1898)*$D1898,"")</f>
        <v/>
      </c>
      <c r="Z1898" s="70" t="str">
        <f t="shared" si="655"/>
        <v/>
      </c>
      <c r="AA1898" s="70" t="str">
        <f t="shared" si="656"/>
        <v/>
      </c>
      <c r="AB1898" s="70" t="str">
        <f t="shared" si="657"/>
        <v/>
      </c>
      <c r="AC1898" s="70" t="str">
        <f t="shared" si="658"/>
        <v/>
      </c>
      <c r="AD1898" s="70" t="str">
        <f t="shared" si="659"/>
        <v/>
      </c>
      <c r="AE1898" s="70" t="str">
        <f t="shared" si="660"/>
        <v/>
      </c>
      <c r="AF1898" s="16"/>
      <c r="AG1898" s="23"/>
      <c r="AH1898" s="22"/>
      <c r="AJ1898" s="83">
        <f t="shared" si="661"/>
        <v>0</v>
      </c>
      <c r="AO1898" s="22" t="str">
        <f t="shared" si="662"/>
        <v/>
      </c>
      <c r="AP1898" s="22" t="str">
        <f t="shared" si="663"/>
        <v/>
      </c>
    </row>
    <row r="1899" spans="1:42" x14ac:dyDescent="0.25">
      <c r="A1899" s="10"/>
      <c r="B1899" s="10"/>
      <c r="C1899" s="10"/>
      <c r="D1899" s="10"/>
      <c r="E1899" s="10"/>
      <c r="F1899" s="10"/>
      <c r="G1899" s="10"/>
      <c r="H1899" s="17"/>
      <c r="I1899" s="10"/>
      <c r="J1899" s="10"/>
      <c r="K1899" s="16" t="str">
        <f t="shared" si="642"/>
        <v/>
      </c>
      <c r="L1899" s="23" t="str">
        <f t="shared" si="643"/>
        <v/>
      </c>
      <c r="M1899" s="22" t="str">
        <f t="shared" si="644"/>
        <v/>
      </c>
      <c r="N1899" s="72"/>
      <c r="O1899" s="16" t="str">
        <f t="shared" si="645"/>
        <v/>
      </c>
      <c r="P1899" s="16" t="str">
        <f t="shared" si="646"/>
        <v/>
      </c>
      <c r="Q1899" s="16" t="str">
        <f t="shared" si="647"/>
        <v/>
      </c>
      <c r="R1899" s="23" t="str">
        <f t="shared" si="648"/>
        <v/>
      </c>
      <c r="S1899" s="23" t="str">
        <f t="shared" si="649"/>
        <v/>
      </c>
      <c r="T1899" s="23" t="str">
        <f t="shared" si="650"/>
        <v/>
      </c>
      <c r="U1899" s="23" t="str">
        <f t="shared" si="651"/>
        <v/>
      </c>
      <c r="V1899" s="23" t="str">
        <f t="shared" si="652"/>
        <v/>
      </c>
      <c r="W1899" s="70" t="str">
        <f t="shared" si="653"/>
        <v/>
      </c>
      <c r="X1899" s="70" t="str">
        <f t="shared" si="654"/>
        <v/>
      </c>
      <c r="Y1899" s="70" t="str">
        <f>IF(AND($A1899&lt;&gt;"",$E1899&gt;0),isLaptopBag($C1899,$J1899)*$D1899,"")</f>
        <v/>
      </c>
      <c r="Z1899" s="70" t="str">
        <f t="shared" si="655"/>
        <v/>
      </c>
      <c r="AA1899" s="70" t="str">
        <f t="shared" si="656"/>
        <v/>
      </c>
      <c r="AB1899" s="70" t="str">
        <f t="shared" si="657"/>
        <v/>
      </c>
      <c r="AC1899" s="70" t="str">
        <f t="shared" si="658"/>
        <v/>
      </c>
      <c r="AD1899" s="70" t="str">
        <f t="shared" si="659"/>
        <v/>
      </c>
      <c r="AE1899" s="70" t="str">
        <f t="shared" si="660"/>
        <v/>
      </c>
      <c r="AF1899" s="16"/>
      <c r="AG1899" s="23"/>
      <c r="AH1899" s="22"/>
      <c r="AJ1899" s="83">
        <f t="shared" si="661"/>
        <v>0</v>
      </c>
      <c r="AO1899" s="22" t="str">
        <f t="shared" si="662"/>
        <v/>
      </c>
      <c r="AP1899" s="22" t="str">
        <f t="shared" si="663"/>
        <v/>
      </c>
    </row>
    <row r="1900" spans="1:42" x14ac:dyDescent="0.25">
      <c r="A1900" s="10"/>
      <c r="B1900" s="10"/>
      <c r="C1900" s="10"/>
      <c r="D1900" s="10"/>
      <c r="E1900" s="10"/>
      <c r="F1900" s="10"/>
      <c r="G1900" s="10"/>
      <c r="H1900" s="17"/>
      <c r="I1900" s="10"/>
      <c r="J1900" s="10"/>
      <c r="K1900" s="16" t="str">
        <f t="shared" si="642"/>
        <v/>
      </c>
      <c r="L1900" s="23" t="str">
        <f t="shared" si="643"/>
        <v/>
      </c>
      <c r="M1900" s="22" t="str">
        <f t="shared" si="644"/>
        <v/>
      </c>
      <c r="N1900" s="72"/>
      <c r="O1900" s="16" t="str">
        <f t="shared" si="645"/>
        <v/>
      </c>
      <c r="P1900" s="16" t="str">
        <f t="shared" si="646"/>
        <v/>
      </c>
      <c r="Q1900" s="16" t="str">
        <f t="shared" si="647"/>
        <v/>
      </c>
      <c r="R1900" s="23" t="str">
        <f t="shared" si="648"/>
        <v/>
      </c>
      <c r="S1900" s="23" t="str">
        <f t="shared" si="649"/>
        <v/>
      </c>
      <c r="T1900" s="23" t="str">
        <f t="shared" si="650"/>
        <v/>
      </c>
      <c r="U1900" s="23" t="str">
        <f t="shared" si="651"/>
        <v/>
      </c>
      <c r="V1900" s="23" t="str">
        <f t="shared" si="652"/>
        <v/>
      </c>
      <c r="W1900" s="70" t="str">
        <f t="shared" si="653"/>
        <v/>
      </c>
      <c r="X1900" s="70" t="str">
        <f t="shared" si="654"/>
        <v/>
      </c>
      <c r="Y1900" s="70" t="str">
        <f>IF(AND($A1900&lt;&gt;"",$E1900&gt;0),isLaptopBag($C1900,$J1900)*$D1900,"")</f>
        <v/>
      </c>
      <c r="Z1900" s="70" t="str">
        <f t="shared" si="655"/>
        <v/>
      </c>
      <c r="AA1900" s="70" t="str">
        <f t="shared" si="656"/>
        <v/>
      </c>
      <c r="AB1900" s="70" t="str">
        <f t="shared" si="657"/>
        <v/>
      </c>
      <c r="AC1900" s="70" t="str">
        <f t="shared" si="658"/>
        <v/>
      </c>
      <c r="AD1900" s="70" t="str">
        <f t="shared" si="659"/>
        <v/>
      </c>
      <c r="AE1900" s="70" t="str">
        <f t="shared" si="660"/>
        <v/>
      </c>
      <c r="AF1900" s="16"/>
      <c r="AG1900" s="23"/>
      <c r="AH1900" s="22"/>
      <c r="AJ1900" s="83">
        <f t="shared" si="661"/>
        <v>0</v>
      </c>
      <c r="AO1900" s="22" t="str">
        <f t="shared" si="662"/>
        <v/>
      </c>
      <c r="AP1900" s="22" t="str">
        <f t="shared" si="663"/>
        <v/>
      </c>
    </row>
    <row r="1901" spans="1:42" x14ac:dyDescent="0.25">
      <c r="A1901" s="10"/>
      <c r="B1901" s="10"/>
      <c r="C1901" s="10"/>
      <c r="D1901" s="10"/>
      <c r="E1901" s="10"/>
      <c r="F1901" s="10"/>
      <c r="G1901" s="10"/>
      <c r="H1901" s="17"/>
      <c r="I1901" s="10"/>
      <c r="J1901" s="10"/>
      <c r="K1901" s="16" t="str">
        <f t="shared" si="642"/>
        <v/>
      </c>
      <c r="L1901" s="23" t="str">
        <f t="shared" si="643"/>
        <v/>
      </c>
      <c r="M1901" s="22" t="str">
        <f t="shared" si="644"/>
        <v/>
      </c>
      <c r="N1901" s="72"/>
      <c r="O1901" s="16" t="str">
        <f t="shared" si="645"/>
        <v/>
      </c>
      <c r="P1901" s="16" t="str">
        <f t="shared" si="646"/>
        <v/>
      </c>
      <c r="Q1901" s="16" t="str">
        <f t="shared" si="647"/>
        <v/>
      </c>
      <c r="R1901" s="23" t="str">
        <f t="shared" si="648"/>
        <v/>
      </c>
      <c r="S1901" s="23" t="str">
        <f t="shared" si="649"/>
        <v/>
      </c>
      <c r="T1901" s="23" t="str">
        <f t="shared" si="650"/>
        <v/>
      </c>
      <c r="U1901" s="23" t="str">
        <f t="shared" si="651"/>
        <v/>
      </c>
      <c r="V1901" s="23" t="str">
        <f t="shared" si="652"/>
        <v/>
      </c>
      <c r="W1901" s="70" t="str">
        <f t="shared" si="653"/>
        <v/>
      </c>
      <c r="X1901" s="70" t="str">
        <f t="shared" si="654"/>
        <v/>
      </c>
      <c r="Y1901" s="70" t="str">
        <f>IF(AND($A1901&lt;&gt;"",$E1901&gt;0),isLaptopBag($C1901,$J1901)*$D1901,"")</f>
        <v/>
      </c>
      <c r="Z1901" s="70" t="str">
        <f t="shared" si="655"/>
        <v/>
      </c>
      <c r="AA1901" s="70" t="str">
        <f t="shared" si="656"/>
        <v/>
      </c>
      <c r="AB1901" s="70" t="str">
        <f t="shared" si="657"/>
        <v/>
      </c>
      <c r="AC1901" s="70" t="str">
        <f t="shared" si="658"/>
        <v/>
      </c>
      <c r="AD1901" s="70" t="str">
        <f t="shared" si="659"/>
        <v/>
      </c>
      <c r="AE1901" s="70" t="str">
        <f t="shared" si="660"/>
        <v/>
      </c>
      <c r="AF1901" s="16"/>
      <c r="AG1901" s="23"/>
      <c r="AH1901" s="22"/>
      <c r="AJ1901" s="83">
        <f t="shared" si="661"/>
        <v>0</v>
      </c>
      <c r="AO1901" s="22" t="str">
        <f t="shared" si="662"/>
        <v/>
      </c>
      <c r="AP1901" s="22" t="str">
        <f t="shared" si="663"/>
        <v/>
      </c>
    </row>
    <row r="1902" spans="1:42" x14ac:dyDescent="0.25">
      <c r="A1902" s="10"/>
      <c r="B1902" s="10"/>
      <c r="C1902" s="10"/>
      <c r="D1902" s="10"/>
      <c r="E1902" s="10"/>
      <c r="F1902" s="10"/>
      <c r="G1902" s="10"/>
      <c r="H1902" s="17"/>
      <c r="I1902" s="10"/>
      <c r="J1902" s="10"/>
      <c r="K1902" s="16" t="str">
        <f t="shared" si="642"/>
        <v/>
      </c>
      <c r="L1902" s="23" t="str">
        <f t="shared" si="643"/>
        <v/>
      </c>
      <c r="M1902" s="22" t="str">
        <f t="shared" si="644"/>
        <v/>
      </c>
      <c r="N1902" s="72"/>
      <c r="O1902" s="16" t="str">
        <f t="shared" si="645"/>
        <v/>
      </c>
      <c r="P1902" s="16" t="str">
        <f t="shared" si="646"/>
        <v/>
      </c>
      <c r="Q1902" s="16" t="str">
        <f t="shared" si="647"/>
        <v/>
      </c>
      <c r="R1902" s="23" t="str">
        <f t="shared" si="648"/>
        <v/>
      </c>
      <c r="S1902" s="23" t="str">
        <f t="shared" si="649"/>
        <v/>
      </c>
      <c r="T1902" s="23" t="str">
        <f t="shared" si="650"/>
        <v/>
      </c>
      <c r="U1902" s="23" t="str">
        <f t="shared" si="651"/>
        <v/>
      </c>
      <c r="V1902" s="23" t="str">
        <f t="shared" si="652"/>
        <v/>
      </c>
      <c r="W1902" s="70" t="str">
        <f t="shared" si="653"/>
        <v/>
      </c>
      <c r="X1902" s="70" t="str">
        <f t="shared" si="654"/>
        <v/>
      </c>
      <c r="Y1902" s="70" t="str">
        <f>IF(AND($A1902&lt;&gt;"",$E1902&gt;0),isLaptopBag($C1902,$J1902)*$D1902,"")</f>
        <v/>
      </c>
      <c r="Z1902" s="70" t="str">
        <f t="shared" si="655"/>
        <v/>
      </c>
      <c r="AA1902" s="70" t="str">
        <f t="shared" si="656"/>
        <v/>
      </c>
      <c r="AB1902" s="70" t="str">
        <f t="shared" si="657"/>
        <v/>
      </c>
      <c r="AC1902" s="70" t="str">
        <f t="shared" si="658"/>
        <v/>
      </c>
      <c r="AD1902" s="70" t="str">
        <f t="shared" si="659"/>
        <v/>
      </c>
      <c r="AE1902" s="70" t="str">
        <f t="shared" si="660"/>
        <v/>
      </c>
      <c r="AF1902" s="16"/>
      <c r="AG1902" s="23"/>
      <c r="AH1902" s="22"/>
      <c r="AJ1902" s="83">
        <f t="shared" si="661"/>
        <v>0</v>
      </c>
      <c r="AO1902" s="22" t="str">
        <f t="shared" si="662"/>
        <v/>
      </c>
      <c r="AP1902" s="22" t="str">
        <f t="shared" si="663"/>
        <v/>
      </c>
    </row>
    <row r="1903" spans="1:42" x14ac:dyDescent="0.25">
      <c r="A1903" s="10"/>
      <c r="B1903" s="10"/>
      <c r="C1903" s="10"/>
      <c r="D1903" s="10"/>
      <c r="E1903" s="10"/>
      <c r="F1903" s="10"/>
      <c r="G1903" s="10"/>
      <c r="H1903" s="17"/>
      <c r="I1903" s="10"/>
      <c r="J1903" s="10"/>
      <c r="K1903" s="16" t="str">
        <f t="shared" si="642"/>
        <v/>
      </c>
      <c r="L1903" s="23" t="str">
        <f t="shared" si="643"/>
        <v/>
      </c>
      <c r="M1903" s="22" t="str">
        <f t="shared" si="644"/>
        <v/>
      </c>
      <c r="N1903" s="72"/>
      <c r="O1903" s="16" t="str">
        <f t="shared" si="645"/>
        <v/>
      </c>
      <c r="P1903" s="16" t="str">
        <f t="shared" si="646"/>
        <v/>
      </c>
      <c r="Q1903" s="16" t="str">
        <f t="shared" si="647"/>
        <v/>
      </c>
      <c r="R1903" s="23" t="str">
        <f t="shared" si="648"/>
        <v/>
      </c>
      <c r="S1903" s="23" t="str">
        <f t="shared" si="649"/>
        <v/>
      </c>
      <c r="T1903" s="23" t="str">
        <f t="shared" si="650"/>
        <v/>
      </c>
      <c r="U1903" s="23" t="str">
        <f t="shared" si="651"/>
        <v/>
      </c>
      <c r="V1903" s="23" t="str">
        <f t="shared" si="652"/>
        <v/>
      </c>
      <c r="W1903" s="70" t="str">
        <f t="shared" si="653"/>
        <v/>
      </c>
      <c r="X1903" s="70" t="str">
        <f t="shared" si="654"/>
        <v/>
      </c>
      <c r="Y1903" s="70" t="str">
        <f>IF(AND($A1903&lt;&gt;"",$E1903&gt;0),isLaptopBag($C1903,$J1903)*$D1903,"")</f>
        <v/>
      </c>
      <c r="Z1903" s="70" t="str">
        <f t="shared" si="655"/>
        <v/>
      </c>
      <c r="AA1903" s="70" t="str">
        <f t="shared" si="656"/>
        <v/>
      </c>
      <c r="AB1903" s="70" t="str">
        <f t="shared" si="657"/>
        <v/>
      </c>
      <c r="AC1903" s="70" t="str">
        <f t="shared" si="658"/>
        <v/>
      </c>
      <c r="AD1903" s="70" t="str">
        <f t="shared" si="659"/>
        <v/>
      </c>
      <c r="AE1903" s="70" t="str">
        <f t="shared" si="660"/>
        <v/>
      </c>
      <c r="AF1903" s="16"/>
      <c r="AG1903" s="23"/>
      <c r="AH1903" s="22"/>
      <c r="AJ1903" s="83">
        <f t="shared" si="661"/>
        <v>0</v>
      </c>
      <c r="AO1903" s="22" t="str">
        <f t="shared" si="662"/>
        <v/>
      </c>
      <c r="AP1903" s="22" t="str">
        <f t="shared" si="663"/>
        <v/>
      </c>
    </row>
    <row r="1904" spans="1:42" x14ac:dyDescent="0.25">
      <c r="A1904" s="10"/>
      <c r="B1904" s="10"/>
      <c r="C1904" s="10"/>
      <c r="D1904" s="10"/>
      <c r="E1904" s="10"/>
      <c r="F1904" s="10"/>
      <c r="G1904" s="10"/>
      <c r="H1904" s="17"/>
      <c r="I1904" s="10"/>
      <c r="J1904" s="10"/>
      <c r="K1904" s="16" t="str">
        <f t="shared" si="642"/>
        <v/>
      </c>
      <c r="L1904" s="23" t="str">
        <f t="shared" si="643"/>
        <v/>
      </c>
      <c r="M1904" s="22" t="str">
        <f t="shared" si="644"/>
        <v/>
      </c>
      <c r="N1904" s="72"/>
      <c r="O1904" s="16" t="str">
        <f t="shared" si="645"/>
        <v/>
      </c>
      <c r="P1904" s="16" t="str">
        <f t="shared" si="646"/>
        <v/>
      </c>
      <c r="Q1904" s="16" t="str">
        <f t="shared" si="647"/>
        <v/>
      </c>
      <c r="R1904" s="23" t="str">
        <f t="shared" si="648"/>
        <v/>
      </c>
      <c r="S1904" s="23" t="str">
        <f t="shared" si="649"/>
        <v/>
      </c>
      <c r="T1904" s="23" t="str">
        <f t="shared" si="650"/>
        <v/>
      </c>
      <c r="U1904" s="23" t="str">
        <f t="shared" si="651"/>
        <v/>
      </c>
      <c r="V1904" s="23" t="str">
        <f t="shared" si="652"/>
        <v/>
      </c>
      <c r="W1904" s="70" t="str">
        <f t="shared" si="653"/>
        <v/>
      </c>
      <c r="X1904" s="70" t="str">
        <f t="shared" si="654"/>
        <v/>
      </c>
      <c r="Y1904" s="70" t="str">
        <f>IF(AND($A1904&lt;&gt;"",$E1904&gt;0),isLaptopBag($C1904,$J1904)*$D1904,"")</f>
        <v/>
      </c>
      <c r="Z1904" s="70" t="str">
        <f t="shared" si="655"/>
        <v/>
      </c>
      <c r="AA1904" s="70" t="str">
        <f t="shared" si="656"/>
        <v/>
      </c>
      <c r="AB1904" s="70" t="str">
        <f t="shared" si="657"/>
        <v/>
      </c>
      <c r="AC1904" s="70" t="str">
        <f t="shared" si="658"/>
        <v/>
      </c>
      <c r="AD1904" s="70" t="str">
        <f t="shared" si="659"/>
        <v/>
      </c>
      <c r="AE1904" s="70" t="str">
        <f t="shared" si="660"/>
        <v/>
      </c>
      <c r="AF1904" s="16"/>
      <c r="AG1904" s="23"/>
      <c r="AH1904" s="22"/>
      <c r="AJ1904" s="83">
        <f t="shared" si="661"/>
        <v>0</v>
      </c>
      <c r="AO1904" s="22" t="str">
        <f t="shared" si="662"/>
        <v/>
      </c>
      <c r="AP1904" s="22" t="str">
        <f t="shared" si="663"/>
        <v/>
      </c>
    </row>
    <row r="1905" spans="1:42" x14ac:dyDescent="0.25">
      <c r="A1905" s="10"/>
      <c r="B1905" s="10"/>
      <c r="C1905" s="10"/>
      <c r="D1905" s="10"/>
      <c r="E1905" s="10"/>
      <c r="F1905" s="10"/>
      <c r="G1905" s="10"/>
      <c r="H1905" s="17"/>
      <c r="I1905" s="10"/>
      <c r="J1905" s="10"/>
      <c r="K1905" s="16" t="str">
        <f t="shared" si="642"/>
        <v/>
      </c>
      <c r="L1905" s="23" t="str">
        <f t="shared" si="643"/>
        <v/>
      </c>
      <c r="M1905" s="22" t="str">
        <f t="shared" si="644"/>
        <v/>
      </c>
      <c r="N1905" s="72"/>
      <c r="O1905" s="16" t="str">
        <f t="shared" si="645"/>
        <v/>
      </c>
      <c r="P1905" s="16" t="str">
        <f t="shared" si="646"/>
        <v/>
      </c>
      <c r="Q1905" s="16" t="str">
        <f t="shared" si="647"/>
        <v/>
      </c>
      <c r="R1905" s="23" t="str">
        <f t="shared" si="648"/>
        <v/>
      </c>
      <c r="S1905" s="23" t="str">
        <f t="shared" si="649"/>
        <v/>
      </c>
      <c r="T1905" s="23" t="str">
        <f t="shared" si="650"/>
        <v/>
      </c>
      <c r="U1905" s="23" t="str">
        <f t="shared" si="651"/>
        <v/>
      </c>
      <c r="V1905" s="23" t="str">
        <f t="shared" si="652"/>
        <v/>
      </c>
      <c r="W1905" s="70" t="str">
        <f t="shared" si="653"/>
        <v/>
      </c>
      <c r="X1905" s="70" t="str">
        <f t="shared" si="654"/>
        <v/>
      </c>
      <c r="Y1905" s="70" t="str">
        <f>IF(AND($A1905&lt;&gt;"",$E1905&gt;0),isLaptopBag($C1905,$J1905)*$D1905,"")</f>
        <v/>
      </c>
      <c r="Z1905" s="70" t="str">
        <f t="shared" si="655"/>
        <v/>
      </c>
      <c r="AA1905" s="70" t="str">
        <f t="shared" si="656"/>
        <v/>
      </c>
      <c r="AB1905" s="70" t="str">
        <f t="shared" si="657"/>
        <v/>
      </c>
      <c r="AC1905" s="70" t="str">
        <f t="shared" si="658"/>
        <v/>
      </c>
      <c r="AD1905" s="70" t="str">
        <f t="shared" si="659"/>
        <v/>
      </c>
      <c r="AE1905" s="70" t="str">
        <f t="shared" si="660"/>
        <v/>
      </c>
      <c r="AF1905" s="16"/>
      <c r="AG1905" s="23"/>
      <c r="AH1905" s="22"/>
      <c r="AJ1905" s="83">
        <f t="shared" si="661"/>
        <v>0</v>
      </c>
      <c r="AO1905" s="22" t="str">
        <f t="shared" si="662"/>
        <v/>
      </c>
      <c r="AP1905" s="22" t="str">
        <f t="shared" si="663"/>
        <v/>
      </c>
    </row>
    <row r="1906" spans="1:42" x14ac:dyDescent="0.25">
      <c r="A1906" s="10"/>
      <c r="B1906" s="10"/>
      <c r="C1906" s="10"/>
      <c r="D1906" s="10"/>
      <c r="E1906" s="10"/>
      <c r="F1906" s="10"/>
      <c r="G1906" s="10"/>
      <c r="H1906" s="17"/>
      <c r="I1906" s="10"/>
      <c r="J1906" s="10"/>
      <c r="K1906" s="16" t="str">
        <f t="shared" si="642"/>
        <v/>
      </c>
      <c r="L1906" s="23" t="str">
        <f t="shared" si="643"/>
        <v/>
      </c>
      <c r="M1906" s="22" t="str">
        <f t="shared" si="644"/>
        <v/>
      </c>
      <c r="N1906" s="72"/>
      <c r="O1906" s="16" t="str">
        <f t="shared" si="645"/>
        <v/>
      </c>
      <c r="P1906" s="16" t="str">
        <f t="shared" si="646"/>
        <v/>
      </c>
      <c r="Q1906" s="16" t="str">
        <f t="shared" si="647"/>
        <v/>
      </c>
      <c r="R1906" s="23" t="str">
        <f t="shared" si="648"/>
        <v/>
      </c>
      <c r="S1906" s="23" t="str">
        <f t="shared" si="649"/>
        <v/>
      </c>
      <c r="T1906" s="23" t="str">
        <f t="shared" si="650"/>
        <v/>
      </c>
      <c r="U1906" s="23" t="str">
        <f t="shared" si="651"/>
        <v/>
      </c>
      <c r="V1906" s="23" t="str">
        <f t="shared" si="652"/>
        <v/>
      </c>
      <c r="W1906" s="70" t="str">
        <f t="shared" si="653"/>
        <v/>
      </c>
      <c r="X1906" s="70" t="str">
        <f t="shared" si="654"/>
        <v/>
      </c>
      <c r="Y1906" s="70" t="str">
        <f>IF(AND($A1906&lt;&gt;"",$E1906&gt;0),isLaptopBag($C1906,$J1906)*$D1906,"")</f>
        <v/>
      </c>
      <c r="Z1906" s="70" t="str">
        <f t="shared" si="655"/>
        <v/>
      </c>
      <c r="AA1906" s="70" t="str">
        <f t="shared" si="656"/>
        <v/>
      </c>
      <c r="AB1906" s="70" t="str">
        <f t="shared" si="657"/>
        <v/>
      </c>
      <c r="AC1906" s="70" t="str">
        <f t="shared" si="658"/>
        <v/>
      </c>
      <c r="AD1906" s="70" t="str">
        <f t="shared" si="659"/>
        <v/>
      </c>
      <c r="AE1906" s="70" t="str">
        <f t="shared" si="660"/>
        <v/>
      </c>
      <c r="AF1906" s="16"/>
      <c r="AG1906" s="23"/>
      <c r="AH1906" s="22"/>
      <c r="AJ1906" s="83">
        <f t="shared" si="661"/>
        <v>0</v>
      </c>
      <c r="AO1906" s="22" t="str">
        <f t="shared" si="662"/>
        <v/>
      </c>
      <c r="AP1906" s="22" t="str">
        <f t="shared" si="663"/>
        <v/>
      </c>
    </row>
    <row r="1907" spans="1:42" x14ac:dyDescent="0.25">
      <c r="A1907" s="10"/>
      <c r="B1907" s="10"/>
      <c r="C1907" s="10"/>
      <c r="D1907" s="10"/>
      <c r="E1907" s="10"/>
      <c r="F1907" s="10"/>
      <c r="G1907" s="10"/>
      <c r="H1907" s="17"/>
      <c r="I1907" s="10"/>
      <c r="J1907" s="10"/>
      <c r="K1907" s="16" t="str">
        <f t="shared" si="642"/>
        <v/>
      </c>
      <c r="L1907" s="23" t="str">
        <f t="shared" si="643"/>
        <v/>
      </c>
      <c r="M1907" s="22" t="str">
        <f t="shared" si="644"/>
        <v/>
      </c>
      <c r="N1907" s="72"/>
      <c r="O1907" s="16" t="str">
        <f t="shared" si="645"/>
        <v/>
      </c>
      <c r="P1907" s="16" t="str">
        <f t="shared" si="646"/>
        <v/>
      </c>
      <c r="Q1907" s="16" t="str">
        <f t="shared" si="647"/>
        <v/>
      </c>
      <c r="R1907" s="23" t="str">
        <f t="shared" si="648"/>
        <v/>
      </c>
      <c r="S1907" s="23" t="str">
        <f t="shared" si="649"/>
        <v/>
      </c>
      <c r="T1907" s="23" t="str">
        <f t="shared" si="650"/>
        <v/>
      </c>
      <c r="U1907" s="23" t="str">
        <f t="shared" si="651"/>
        <v/>
      </c>
      <c r="V1907" s="23" t="str">
        <f t="shared" si="652"/>
        <v/>
      </c>
      <c r="W1907" s="70" t="str">
        <f t="shared" si="653"/>
        <v/>
      </c>
      <c r="X1907" s="70" t="str">
        <f t="shared" si="654"/>
        <v/>
      </c>
      <c r="Y1907" s="70" t="str">
        <f>IF(AND($A1907&lt;&gt;"",$E1907&gt;0),isLaptopBag($C1907,$J1907)*$D1907,"")</f>
        <v/>
      </c>
      <c r="Z1907" s="70" t="str">
        <f t="shared" si="655"/>
        <v/>
      </c>
      <c r="AA1907" s="70" t="str">
        <f t="shared" si="656"/>
        <v/>
      </c>
      <c r="AB1907" s="70" t="str">
        <f t="shared" si="657"/>
        <v/>
      </c>
      <c r="AC1907" s="70" t="str">
        <f t="shared" si="658"/>
        <v/>
      </c>
      <c r="AD1907" s="70" t="str">
        <f t="shared" si="659"/>
        <v/>
      </c>
      <c r="AE1907" s="70" t="str">
        <f t="shared" si="660"/>
        <v/>
      </c>
      <c r="AF1907" s="16"/>
      <c r="AG1907" s="23"/>
      <c r="AH1907" s="22"/>
      <c r="AJ1907" s="83">
        <f t="shared" si="661"/>
        <v>0</v>
      </c>
      <c r="AO1907" s="22" t="str">
        <f t="shared" si="662"/>
        <v/>
      </c>
      <c r="AP1907" s="22" t="str">
        <f t="shared" si="663"/>
        <v/>
      </c>
    </row>
    <row r="1908" spans="1:42" x14ac:dyDescent="0.25">
      <c r="A1908" s="10"/>
      <c r="B1908" s="10"/>
      <c r="C1908" s="10"/>
      <c r="D1908" s="10"/>
      <c r="E1908" s="10"/>
      <c r="F1908" s="10"/>
      <c r="G1908" s="10"/>
      <c r="H1908" s="17"/>
      <c r="I1908" s="10"/>
      <c r="J1908" s="10"/>
      <c r="K1908" s="16" t="str">
        <f t="shared" si="642"/>
        <v/>
      </c>
      <c r="L1908" s="23" t="str">
        <f t="shared" si="643"/>
        <v/>
      </c>
      <c r="M1908" s="22" t="str">
        <f t="shared" si="644"/>
        <v/>
      </c>
      <c r="N1908" s="72"/>
      <c r="O1908" s="16" t="str">
        <f t="shared" si="645"/>
        <v/>
      </c>
      <c r="P1908" s="16" t="str">
        <f t="shared" si="646"/>
        <v/>
      </c>
      <c r="Q1908" s="16" t="str">
        <f t="shared" si="647"/>
        <v/>
      </c>
      <c r="R1908" s="23" t="str">
        <f t="shared" si="648"/>
        <v/>
      </c>
      <c r="S1908" s="23" t="str">
        <f t="shared" si="649"/>
        <v/>
      </c>
      <c r="T1908" s="23" t="str">
        <f t="shared" si="650"/>
        <v/>
      </c>
      <c r="U1908" s="23" t="str">
        <f t="shared" si="651"/>
        <v/>
      </c>
      <c r="V1908" s="23" t="str">
        <f t="shared" si="652"/>
        <v/>
      </c>
      <c r="W1908" s="70" t="str">
        <f t="shared" si="653"/>
        <v/>
      </c>
      <c r="X1908" s="70" t="str">
        <f t="shared" si="654"/>
        <v/>
      </c>
      <c r="Y1908" s="70" t="str">
        <f>IF(AND($A1908&lt;&gt;"",$E1908&gt;0),isLaptopBag($C1908,$J1908)*$D1908,"")</f>
        <v/>
      </c>
      <c r="Z1908" s="70" t="str">
        <f t="shared" si="655"/>
        <v/>
      </c>
      <c r="AA1908" s="70" t="str">
        <f t="shared" si="656"/>
        <v/>
      </c>
      <c r="AB1908" s="70" t="str">
        <f t="shared" si="657"/>
        <v/>
      </c>
      <c r="AC1908" s="70" t="str">
        <f t="shared" si="658"/>
        <v/>
      </c>
      <c r="AD1908" s="70" t="str">
        <f t="shared" si="659"/>
        <v/>
      </c>
      <c r="AE1908" s="70" t="str">
        <f t="shared" si="660"/>
        <v/>
      </c>
      <c r="AF1908" s="16"/>
      <c r="AG1908" s="23"/>
      <c r="AH1908" s="22"/>
      <c r="AJ1908" s="83">
        <f t="shared" si="661"/>
        <v>0</v>
      </c>
      <c r="AO1908" s="22" t="str">
        <f t="shared" si="662"/>
        <v/>
      </c>
      <c r="AP1908" s="22" t="str">
        <f t="shared" si="663"/>
        <v/>
      </c>
    </row>
    <row r="1909" spans="1:42" x14ac:dyDescent="0.25">
      <c r="A1909" s="10"/>
      <c r="B1909" s="10"/>
      <c r="C1909" s="10"/>
      <c r="D1909" s="10"/>
      <c r="E1909" s="10"/>
      <c r="F1909" s="10"/>
      <c r="G1909" s="10"/>
      <c r="H1909" s="17"/>
      <c r="I1909" s="10"/>
      <c r="J1909" s="10"/>
      <c r="K1909" s="16" t="str">
        <f t="shared" si="642"/>
        <v/>
      </c>
      <c r="L1909" s="23" t="str">
        <f t="shared" si="643"/>
        <v/>
      </c>
      <c r="M1909" s="22" t="str">
        <f t="shared" si="644"/>
        <v/>
      </c>
      <c r="N1909" s="72"/>
      <c r="O1909" s="16" t="str">
        <f t="shared" si="645"/>
        <v/>
      </c>
      <c r="P1909" s="16" t="str">
        <f t="shared" si="646"/>
        <v/>
      </c>
      <c r="Q1909" s="16" t="str">
        <f t="shared" si="647"/>
        <v/>
      </c>
      <c r="R1909" s="23" t="str">
        <f t="shared" si="648"/>
        <v/>
      </c>
      <c r="S1909" s="23" t="str">
        <f t="shared" si="649"/>
        <v/>
      </c>
      <c r="T1909" s="23" t="str">
        <f t="shared" si="650"/>
        <v/>
      </c>
      <c r="U1909" s="23" t="str">
        <f t="shared" si="651"/>
        <v/>
      </c>
      <c r="V1909" s="23" t="str">
        <f t="shared" si="652"/>
        <v/>
      </c>
      <c r="W1909" s="70" t="str">
        <f t="shared" si="653"/>
        <v/>
      </c>
      <c r="X1909" s="70" t="str">
        <f t="shared" si="654"/>
        <v/>
      </c>
      <c r="Y1909" s="70" t="str">
        <f>IF(AND($A1909&lt;&gt;"",$E1909&gt;0),isLaptopBag($C1909,$J1909)*$D1909,"")</f>
        <v/>
      </c>
      <c r="Z1909" s="70" t="str">
        <f t="shared" si="655"/>
        <v/>
      </c>
      <c r="AA1909" s="70" t="str">
        <f t="shared" si="656"/>
        <v/>
      </c>
      <c r="AB1909" s="70" t="str">
        <f t="shared" si="657"/>
        <v/>
      </c>
      <c r="AC1909" s="70" t="str">
        <f t="shared" si="658"/>
        <v/>
      </c>
      <c r="AD1909" s="70" t="str">
        <f t="shared" si="659"/>
        <v/>
      </c>
      <c r="AE1909" s="70" t="str">
        <f t="shared" si="660"/>
        <v/>
      </c>
      <c r="AF1909" s="16"/>
      <c r="AG1909" s="23"/>
      <c r="AH1909" s="22"/>
      <c r="AJ1909" s="83">
        <f t="shared" si="661"/>
        <v>0</v>
      </c>
      <c r="AO1909" s="22" t="str">
        <f t="shared" si="662"/>
        <v/>
      </c>
      <c r="AP1909" s="22" t="str">
        <f t="shared" si="663"/>
        <v/>
      </c>
    </row>
    <row r="1910" spans="1:42" x14ac:dyDescent="0.25">
      <c r="A1910" s="10"/>
      <c r="B1910" s="10"/>
      <c r="C1910" s="10"/>
      <c r="D1910" s="10"/>
      <c r="E1910" s="10"/>
      <c r="F1910" s="10"/>
      <c r="G1910" s="10"/>
      <c r="H1910" s="17"/>
      <c r="I1910" s="10"/>
      <c r="J1910" s="10"/>
      <c r="K1910" s="16" t="str">
        <f t="shared" si="642"/>
        <v/>
      </c>
      <c r="L1910" s="23" t="str">
        <f t="shared" si="643"/>
        <v/>
      </c>
      <c r="M1910" s="22" t="str">
        <f t="shared" si="644"/>
        <v/>
      </c>
      <c r="N1910" s="72"/>
      <c r="O1910" s="16" t="str">
        <f t="shared" si="645"/>
        <v/>
      </c>
      <c r="P1910" s="16" t="str">
        <f t="shared" si="646"/>
        <v/>
      </c>
      <c r="Q1910" s="16" t="str">
        <f t="shared" si="647"/>
        <v/>
      </c>
      <c r="R1910" s="23" t="str">
        <f t="shared" si="648"/>
        <v/>
      </c>
      <c r="S1910" s="23" t="str">
        <f t="shared" si="649"/>
        <v/>
      </c>
      <c r="T1910" s="23" t="str">
        <f t="shared" si="650"/>
        <v/>
      </c>
      <c r="U1910" s="23" t="str">
        <f t="shared" si="651"/>
        <v/>
      </c>
      <c r="V1910" s="23" t="str">
        <f t="shared" si="652"/>
        <v/>
      </c>
      <c r="W1910" s="70" t="str">
        <f t="shared" si="653"/>
        <v/>
      </c>
      <c r="X1910" s="70" t="str">
        <f t="shared" si="654"/>
        <v/>
      </c>
      <c r="Y1910" s="70" t="str">
        <f>IF(AND($A1910&lt;&gt;"",$E1910&gt;0),isLaptopBag($C1910,$J1910)*$D1910,"")</f>
        <v/>
      </c>
      <c r="Z1910" s="70" t="str">
        <f t="shared" si="655"/>
        <v/>
      </c>
      <c r="AA1910" s="70" t="str">
        <f t="shared" si="656"/>
        <v/>
      </c>
      <c r="AB1910" s="70" t="str">
        <f t="shared" si="657"/>
        <v/>
      </c>
      <c r="AC1910" s="70" t="str">
        <f t="shared" si="658"/>
        <v/>
      </c>
      <c r="AD1910" s="70" t="str">
        <f t="shared" si="659"/>
        <v/>
      </c>
      <c r="AE1910" s="70" t="str">
        <f t="shared" si="660"/>
        <v/>
      </c>
      <c r="AF1910" s="16"/>
      <c r="AG1910" s="23"/>
      <c r="AH1910" s="22"/>
      <c r="AJ1910" s="83">
        <f t="shared" si="661"/>
        <v>0</v>
      </c>
      <c r="AO1910" s="22" t="str">
        <f t="shared" si="662"/>
        <v/>
      </c>
      <c r="AP1910" s="22" t="str">
        <f t="shared" si="663"/>
        <v/>
      </c>
    </row>
    <row r="1911" spans="1:42" x14ac:dyDescent="0.25">
      <c r="A1911" s="10"/>
      <c r="B1911" s="10"/>
      <c r="C1911" s="10"/>
      <c r="D1911" s="10"/>
      <c r="E1911" s="10"/>
      <c r="F1911" s="10"/>
      <c r="G1911" s="10"/>
      <c r="H1911" s="17"/>
      <c r="I1911" s="10"/>
      <c r="J1911" s="10"/>
      <c r="K1911" s="16" t="str">
        <f t="shared" si="642"/>
        <v/>
      </c>
      <c r="L1911" s="23" t="str">
        <f t="shared" si="643"/>
        <v/>
      </c>
      <c r="M1911" s="22" t="str">
        <f t="shared" si="644"/>
        <v/>
      </c>
      <c r="N1911" s="72"/>
      <c r="O1911" s="16" t="str">
        <f t="shared" si="645"/>
        <v/>
      </c>
      <c r="P1911" s="16" t="str">
        <f t="shared" si="646"/>
        <v/>
      </c>
      <c r="Q1911" s="16" t="str">
        <f t="shared" si="647"/>
        <v/>
      </c>
      <c r="R1911" s="23" t="str">
        <f t="shared" si="648"/>
        <v/>
      </c>
      <c r="S1911" s="23" t="str">
        <f t="shared" si="649"/>
        <v/>
      </c>
      <c r="T1911" s="23" t="str">
        <f t="shared" si="650"/>
        <v/>
      </c>
      <c r="U1911" s="23" t="str">
        <f t="shared" si="651"/>
        <v/>
      </c>
      <c r="V1911" s="23" t="str">
        <f t="shared" si="652"/>
        <v/>
      </c>
      <c r="W1911" s="70" t="str">
        <f t="shared" si="653"/>
        <v/>
      </c>
      <c r="X1911" s="70" t="str">
        <f t="shared" si="654"/>
        <v/>
      </c>
      <c r="Y1911" s="70" t="str">
        <f>IF(AND($A1911&lt;&gt;"",$E1911&gt;0),isLaptopBag($C1911,$J1911)*$D1911,"")</f>
        <v/>
      </c>
      <c r="Z1911" s="70" t="str">
        <f t="shared" si="655"/>
        <v/>
      </c>
      <c r="AA1911" s="70" t="str">
        <f t="shared" si="656"/>
        <v/>
      </c>
      <c r="AB1911" s="70" t="str">
        <f t="shared" si="657"/>
        <v/>
      </c>
      <c r="AC1911" s="70" t="str">
        <f t="shared" si="658"/>
        <v/>
      </c>
      <c r="AD1911" s="70" t="str">
        <f t="shared" si="659"/>
        <v/>
      </c>
      <c r="AE1911" s="70" t="str">
        <f t="shared" si="660"/>
        <v/>
      </c>
      <c r="AF1911" s="16"/>
      <c r="AG1911" s="23"/>
      <c r="AH1911" s="22"/>
      <c r="AJ1911" s="83">
        <f t="shared" si="661"/>
        <v>0</v>
      </c>
      <c r="AO1911" s="22" t="str">
        <f t="shared" si="662"/>
        <v/>
      </c>
      <c r="AP1911" s="22" t="str">
        <f t="shared" si="663"/>
        <v/>
      </c>
    </row>
    <row r="1912" spans="1:42" x14ac:dyDescent="0.25">
      <c r="A1912" s="10"/>
      <c r="B1912" s="10"/>
      <c r="C1912" s="10"/>
      <c r="D1912" s="10"/>
      <c r="E1912" s="10"/>
      <c r="F1912" s="10"/>
      <c r="G1912" s="10"/>
      <c r="H1912" s="17"/>
      <c r="I1912" s="10"/>
      <c r="J1912" s="10"/>
      <c r="K1912" s="16" t="str">
        <f t="shared" si="642"/>
        <v/>
      </c>
      <c r="L1912" s="23" t="str">
        <f t="shared" si="643"/>
        <v/>
      </c>
      <c r="M1912" s="22" t="str">
        <f t="shared" si="644"/>
        <v/>
      </c>
      <c r="N1912" s="72"/>
      <c r="O1912" s="16" t="str">
        <f t="shared" si="645"/>
        <v/>
      </c>
      <c r="P1912" s="16" t="str">
        <f t="shared" si="646"/>
        <v/>
      </c>
      <c r="Q1912" s="16" t="str">
        <f t="shared" si="647"/>
        <v/>
      </c>
      <c r="R1912" s="23" t="str">
        <f t="shared" si="648"/>
        <v/>
      </c>
      <c r="S1912" s="23" t="str">
        <f t="shared" si="649"/>
        <v/>
      </c>
      <c r="T1912" s="23" t="str">
        <f t="shared" si="650"/>
        <v/>
      </c>
      <c r="U1912" s="23" t="str">
        <f t="shared" si="651"/>
        <v/>
      </c>
      <c r="V1912" s="23" t="str">
        <f t="shared" si="652"/>
        <v/>
      </c>
      <c r="W1912" s="70" t="str">
        <f t="shared" si="653"/>
        <v/>
      </c>
      <c r="X1912" s="70" t="str">
        <f t="shared" si="654"/>
        <v/>
      </c>
      <c r="Y1912" s="70" t="str">
        <f>IF(AND($A1912&lt;&gt;"",$E1912&gt;0),isLaptopBag($C1912,$J1912)*$D1912,"")</f>
        <v/>
      </c>
      <c r="Z1912" s="70" t="str">
        <f t="shared" si="655"/>
        <v/>
      </c>
      <c r="AA1912" s="70" t="str">
        <f t="shared" si="656"/>
        <v/>
      </c>
      <c r="AB1912" s="70" t="str">
        <f t="shared" si="657"/>
        <v/>
      </c>
      <c r="AC1912" s="70" t="str">
        <f t="shared" si="658"/>
        <v/>
      </c>
      <c r="AD1912" s="70" t="str">
        <f t="shared" si="659"/>
        <v/>
      </c>
      <c r="AE1912" s="70" t="str">
        <f t="shared" si="660"/>
        <v/>
      </c>
      <c r="AF1912" s="16"/>
      <c r="AG1912" s="23"/>
      <c r="AH1912" s="22"/>
      <c r="AJ1912" s="83">
        <f t="shared" si="661"/>
        <v>0</v>
      </c>
      <c r="AO1912" s="22" t="str">
        <f t="shared" si="662"/>
        <v/>
      </c>
      <c r="AP1912" s="22" t="str">
        <f t="shared" si="663"/>
        <v/>
      </c>
    </row>
    <row r="1913" spans="1:42" x14ac:dyDescent="0.25">
      <c r="A1913" s="10"/>
      <c r="B1913" s="10"/>
      <c r="C1913" s="10"/>
      <c r="D1913" s="10"/>
      <c r="E1913" s="10"/>
      <c r="F1913" s="10"/>
      <c r="G1913" s="10"/>
      <c r="H1913" s="17"/>
      <c r="I1913" s="10"/>
      <c r="J1913" s="10"/>
      <c r="K1913" s="16" t="str">
        <f t="shared" si="642"/>
        <v/>
      </c>
      <c r="L1913" s="23" t="str">
        <f t="shared" si="643"/>
        <v/>
      </c>
      <c r="M1913" s="22" t="str">
        <f t="shared" si="644"/>
        <v/>
      </c>
      <c r="N1913" s="72"/>
      <c r="O1913" s="16" t="str">
        <f t="shared" si="645"/>
        <v/>
      </c>
      <c r="P1913" s="16" t="str">
        <f t="shared" si="646"/>
        <v/>
      </c>
      <c r="Q1913" s="16" t="str">
        <f t="shared" si="647"/>
        <v/>
      </c>
      <c r="R1913" s="23" t="str">
        <f t="shared" si="648"/>
        <v/>
      </c>
      <c r="S1913" s="23" t="str">
        <f t="shared" si="649"/>
        <v/>
      </c>
      <c r="T1913" s="23" t="str">
        <f t="shared" si="650"/>
        <v/>
      </c>
      <c r="U1913" s="23" t="str">
        <f t="shared" si="651"/>
        <v/>
      </c>
      <c r="V1913" s="23" t="str">
        <f t="shared" si="652"/>
        <v/>
      </c>
      <c r="W1913" s="70" t="str">
        <f t="shared" si="653"/>
        <v/>
      </c>
      <c r="X1913" s="70" t="str">
        <f t="shared" si="654"/>
        <v/>
      </c>
      <c r="Y1913" s="70" t="str">
        <f>IF(AND($A1913&lt;&gt;"",$E1913&gt;0),isLaptopBag($C1913,$J1913)*$D1913,"")</f>
        <v/>
      </c>
      <c r="Z1913" s="70" t="str">
        <f t="shared" si="655"/>
        <v/>
      </c>
      <c r="AA1913" s="70" t="str">
        <f t="shared" si="656"/>
        <v/>
      </c>
      <c r="AB1913" s="70" t="str">
        <f t="shared" si="657"/>
        <v/>
      </c>
      <c r="AC1913" s="70" t="str">
        <f t="shared" si="658"/>
        <v/>
      </c>
      <c r="AD1913" s="70" t="str">
        <f t="shared" si="659"/>
        <v/>
      </c>
      <c r="AE1913" s="70" t="str">
        <f t="shared" si="660"/>
        <v/>
      </c>
      <c r="AF1913" s="16"/>
      <c r="AG1913" s="23"/>
      <c r="AH1913" s="22"/>
      <c r="AJ1913" s="83">
        <f t="shared" si="661"/>
        <v>0</v>
      </c>
      <c r="AO1913" s="22" t="str">
        <f t="shared" si="662"/>
        <v/>
      </c>
      <c r="AP1913" s="22" t="str">
        <f t="shared" si="663"/>
        <v/>
      </c>
    </row>
    <row r="1914" spans="1:42" x14ac:dyDescent="0.25">
      <c r="A1914" s="10"/>
      <c r="B1914" s="10"/>
      <c r="C1914" s="10"/>
      <c r="D1914" s="10"/>
      <c r="E1914" s="10"/>
      <c r="F1914" s="10"/>
      <c r="G1914" s="10"/>
      <c r="H1914" s="17"/>
      <c r="I1914" s="10"/>
      <c r="J1914" s="10"/>
      <c r="K1914" s="16" t="str">
        <f t="shared" si="642"/>
        <v/>
      </c>
      <c r="L1914" s="23" t="str">
        <f t="shared" si="643"/>
        <v/>
      </c>
      <c r="M1914" s="22" t="str">
        <f t="shared" si="644"/>
        <v/>
      </c>
      <c r="N1914" s="72"/>
      <c r="O1914" s="16" t="str">
        <f t="shared" si="645"/>
        <v/>
      </c>
      <c r="P1914" s="16" t="str">
        <f t="shared" si="646"/>
        <v/>
      </c>
      <c r="Q1914" s="16" t="str">
        <f t="shared" si="647"/>
        <v/>
      </c>
      <c r="R1914" s="23" t="str">
        <f t="shared" si="648"/>
        <v/>
      </c>
      <c r="S1914" s="23" t="str">
        <f t="shared" si="649"/>
        <v/>
      </c>
      <c r="T1914" s="23" t="str">
        <f t="shared" si="650"/>
        <v/>
      </c>
      <c r="U1914" s="23" t="str">
        <f t="shared" si="651"/>
        <v/>
      </c>
      <c r="V1914" s="23" t="str">
        <f t="shared" si="652"/>
        <v/>
      </c>
      <c r="W1914" s="70" t="str">
        <f t="shared" si="653"/>
        <v/>
      </c>
      <c r="X1914" s="70" t="str">
        <f t="shared" si="654"/>
        <v/>
      </c>
      <c r="Y1914" s="70" t="str">
        <f>IF(AND($A1914&lt;&gt;"",$E1914&gt;0),isLaptopBag($C1914,$J1914)*$D1914,"")</f>
        <v/>
      </c>
      <c r="Z1914" s="70" t="str">
        <f t="shared" si="655"/>
        <v/>
      </c>
      <c r="AA1914" s="70" t="str">
        <f t="shared" si="656"/>
        <v/>
      </c>
      <c r="AB1914" s="70" t="str">
        <f t="shared" si="657"/>
        <v/>
      </c>
      <c r="AC1914" s="70" t="str">
        <f t="shared" si="658"/>
        <v/>
      </c>
      <c r="AD1914" s="70" t="str">
        <f t="shared" si="659"/>
        <v/>
      </c>
      <c r="AE1914" s="70" t="str">
        <f t="shared" si="660"/>
        <v/>
      </c>
      <c r="AF1914" s="16"/>
      <c r="AG1914" s="23"/>
      <c r="AH1914" s="22"/>
      <c r="AJ1914" s="83">
        <f t="shared" si="661"/>
        <v>0</v>
      </c>
      <c r="AO1914" s="22" t="str">
        <f t="shared" si="662"/>
        <v/>
      </c>
      <c r="AP1914" s="22" t="str">
        <f t="shared" si="663"/>
        <v/>
      </c>
    </row>
    <row r="1915" spans="1:42" x14ac:dyDescent="0.25">
      <c r="A1915" s="10"/>
      <c r="B1915" s="10"/>
      <c r="C1915" s="10"/>
      <c r="D1915" s="10"/>
      <c r="E1915" s="10"/>
      <c r="F1915" s="10"/>
      <c r="G1915" s="10"/>
      <c r="H1915" s="17"/>
      <c r="I1915" s="10"/>
      <c r="J1915" s="10"/>
      <c r="K1915" s="16" t="str">
        <f t="shared" si="642"/>
        <v/>
      </c>
      <c r="L1915" s="23" t="str">
        <f t="shared" si="643"/>
        <v/>
      </c>
      <c r="M1915" s="22" t="str">
        <f t="shared" si="644"/>
        <v/>
      </c>
      <c r="N1915" s="72"/>
      <c r="O1915" s="16" t="str">
        <f t="shared" si="645"/>
        <v/>
      </c>
      <c r="P1915" s="16" t="str">
        <f t="shared" si="646"/>
        <v/>
      </c>
      <c r="Q1915" s="16" t="str">
        <f t="shared" si="647"/>
        <v/>
      </c>
      <c r="R1915" s="23" t="str">
        <f t="shared" si="648"/>
        <v/>
      </c>
      <c r="S1915" s="23" t="str">
        <f t="shared" si="649"/>
        <v/>
      </c>
      <c r="T1915" s="23" t="str">
        <f t="shared" si="650"/>
        <v/>
      </c>
      <c r="U1915" s="23" t="str">
        <f t="shared" si="651"/>
        <v/>
      </c>
      <c r="V1915" s="23" t="str">
        <f t="shared" si="652"/>
        <v/>
      </c>
      <c r="W1915" s="70" t="str">
        <f t="shared" si="653"/>
        <v/>
      </c>
      <c r="X1915" s="70" t="str">
        <f t="shared" si="654"/>
        <v/>
      </c>
      <c r="Y1915" s="70" t="str">
        <f>IF(AND($A1915&lt;&gt;"",$E1915&gt;0),isLaptopBag($C1915,$J1915)*$D1915,"")</f>
        <v/>
      </c>
      <c r="Z1915" s="70" t="str">
        <f t="shared" si="655"/>
        <v/>
      </c>
      <c r="AA1915" s="70" t="str">
        <f t="shared" si="656"/>
        <v/>
      </c>
      <c r="AB1915" s="70" t="str">
        <f t="shared" si="657"/>
        <v/>
      </c>
      <c r="AC1915" s="70" t="str">
        <f t="shared" si="658"/>
        <v/>
      </c>
      <c r="AD1915" s="70" t="str">
        <f t="shared" si="659"/>
        <v/>
      </c>
      <c r="AE1915" s="70" t="str">
        <f t="shared" si="660"/>
        <v/>
      </c>
      <c r="AF1915" s="16"/>
      <c r="AG1915" s="23"/>
      <c r="AH1915" s="22"/>
      <c r="AJ1915" s="83">
        <f t="shared" si="661"/>
        <v>0</v>
      </c>
      <c r="AO1915" s="22" t="str">
        <f t="shared" si="662"/>
        <v/>
      </c>
      <c r="AP1915" s="22" t="str">
        <f t="shared" si="663"/>
        <v/>
      </c>
    </row>
    <row r="1916" spans="1:42" x14ac:dyDescent="0.25">
      <c r="A1916" s="10"/>
      <c r="B1916" s="10"/>
      <c r="C1916" s="10"/>
      <c r="D1916" s="10"/>
      <c r="E1916" s="10"/>
      <c r="F1916" s="10"/>
      <c r="G1916" s="10"/>
      <c r="H1916" s="17"/>
      <c r="I1916" s="10"/>
      <c r="J1916" s="10"/>
      <c r="K1916" s="16" t="str">
        <f t="shared" si="642"/>
        <v/>
      </c>
      <c r="L1916" s="23" t="str">
        <f t="shared" si="643"/>
        <v/>
      </c>
      <c r="M1916" s="22" t="str">
        <f t="shared" si="644"/>
        <v/>
      </c>
      <c r="N1916" s="72"/>
      <c r="O1916" s="16" t="str">
        <f t="shared" si="645"/>
        <v/>
      </c>
      <c r="P1916" s="16" t="str">
        <f t="shared" si="646"/>
        <v/>
      </c>
      <c r="Q1916" s="16" t="str">
        <f t="shared" si="647"/>
        <v/>
      </c>
      <c r="R1916" s="23" t="str">
        <f t="shared" si="648"/>
        <v/>
      </c>
      <c r="S1916" s="23" t="str">
        <f t="shared" si="649"/>
        <v/>
      </c>
      <c r="T1916" s="23" t="str">
        <f t="shared" si="650"/>
        <v/>
      </c>
      <c r="U1916" s="23" t="str">
        <f t="shared" si="651"/>
        <v/>
      </c>
      <c r="V1916" s="23" t="str">
        <f t="shared" si="652"/>
        <v/>
      </c>
      <c r="W1916" s="70" t="str">
        <f t="shared" si="653"/>
        <v/>
      </c>
      <c r="X1916" s="70" t="str">
        <f t="shared" si="654"/>
        <v/>
      </c>
      <c r="Y1916" s="70" t="str">
        <f>IF(AND($A1916&lt;&gt;"",$E1916&gt;0),isLaptopBag($C1916,$J1916)*$D1916,"")</f>
        <v/>
      </c>
      <c r="Z1916" s="70" t="str">
        <f t="shared" si="655"/>
        <v/>
      </c>
      <c r="AA1916" s="70" t="str">
        <f t="shared" si="656"/>
        <v/>
      </c>
      <c r="AB1916" s="70" t="str">
        <f t="shared" si="657"/>
        <v/>
      </c>
      <c r="AC1916" s="70" t="str">
        <f t="shared" si="658"/>
        <v/>
      </c>
      <c r="AD1916" s="70" t="str">
        <f t="shared" si="659"/>
        <v/>
      </c>
      <c r="AE1916" s="70" t="str">
        <f t="shared" si="660"/>
        <v/>
      </c>
      <c r="AF1916" s="16"/>
      <c r="AG1916" s="23"/>
      <c r="AH1916" s="22"/>
      <c r="AJ1916" s="83">
        <f t="shared" si="661"/>
        <v>0</v>
      </c>
      <c r="AO1916" s="22" t="str">
        <f t="shared" si="662"/>
        <v/>
      </c>
      <c r="AP1916" s="22" t="str">
        <f t="shared" si="663"/>
        <v/>
      </c>
    </row>
    <row r="1917" spans="1:42" x14ac:dyDescent="0.25">
      <c r="A1917" s="10"/>
      <c r="B1917" s="10"/>
      <c r="C1917" s="10"/>
      <c r="D1917" s="10"/>
      <c r="E1917" s="10"/>
      <c r="F1917" s="10"/>
      <c r="G1917" s="10"/>
      <c r="H1917" s="17"/>
      <c r="I1917" s="10"/>
      <c r="J1917" s="10"/>
      <c r="K1917" s="16" t="str">
        <f t="shared" si="642"/>
        <v/>
      </c>
      <c r="L1917" s="23" t="str">
        <f t="shared" si="643"/>
        <v/>
      </c>
      <c r="M1917" s="22" t="str">
        <f t="shared" si="644"/>
        <v/>
      </c>
      <c r="N1917" s="72"/>
      <c r="O1917" s="16" t="str">
        <f t="shared" si="645"/>
        <v/>
      </c>
      <c r="P1917" s="16" t="str">
        <f t="shared" si="646"/>
        <v/>
      </c>
      <c r="Q1917" s="16" t="str">
        <f t="shared" si="647"/>
        <v/>
      </c>
      <c r="R1917" s="23" t="str">
        <f t="shared" si="648"/>
        <v/>
      </c>
      <c r="S1917" s="23" t="str">
        <f t="shared" si="649"/>
        <v/>
      </c>
      <c r="T1917" s="23" t="str">
        <f t="shared" si="650"/>
        <v/>
      </c>
      <c r="U1917" s="23" t="str">
        <f t="shared" si="651"/>
        <v/>
      </c>
      <c r="V1917" s="23" t="str">
        <f t="shared" si="652"/>
        <v/>
      </c>
      <c r="W1917" s="70" t="str">
        <f t="shared" si="653"/>
        <v/>
      </c>
      <c r="X1917" s="70" t="str">
        <f t="shared" si="654"/>
        <v/>
      </c>
      <c r="Y1917" s="70" t="str">
        <f>IF(AND($A1917&lt;&gt;"",$E1917&gt;0),isLaptopBag($C1917,$J1917)*$D1917,"")</f>
        <v/>
      </c>
      <c r="Z1917" s="70" t="str">
        <f t="shared" si="655"/>
        <v/>
      </c>
      <c r="AA1917" s="70" t="str">
        <f t="shared" si="656"/>
        <v/>
      </c>
      <c r="AB1917" s="70" t="str">
        <f t="shared" si="657"/>
        <v/>
      </c>
      <c r="AC1917" s="70" t="str">
        <f t="shared" si="658"/>
        <v/>
      </c>
      <c r="AD1917" s="70" t="str">
        <f t="shared" si="659"/>
        <v/>
      </c>
      <c r="AE1917" s="70" t="str">
        <f t="shared" si="660"/>
        <v/>
      </c>
      <c r="AF1917" s="16"/>
      <c r="AG1917" s="23"/>
      <c r="AH1917" s="22"/>
      <c r="AJ1917" s="83">
        <f t="shared" si="661"/>
        <v>0</v>
      </c>
      <c r="AO1917" s="22" t="str">
        <f t="shared" si="662"/>
        <v/>
      </c>
      <c r="AP1917" s="22" t="str">
        <f t="shared" si="663"/>
        <v/>
      </c>
    </row>
    <row r="1918" spans="1:42" x14ac:dyDescent="0.25">
      <c r="A1918" s="10"/>
      <c r="B1918" s="10"/>
      <c r="C1918" s="10"/>
      <c r="D1918" s="10"/>
      <c r="E1918" s="10"/>
      <c r="F1918" s="10"/>
      <c r="G1918" s="10"/>
      <c r="H1918" s="17"/>
      <c r="I1918" s="10"/>
      <c r="J1918" s="10"/>
      <c r="K1918" s="16" t="str">
        <f t="shared" si="642"/>
        <v/>
      </c>
      <c r="L1918" s="23" t="str">
        <f t="shared" si="643"/>
        <v/>
      </c>
      <c r="M1918" s="22" t="str">
        <f t="shared" si="644"/>
        <v/>
      </c>
      <c r="N1918" s="72"/>
      <c r="O1918" s="16" t="str">
        <f t="shared" si="645"/>
        <v/>
      </c>
      <c r="P1918" s="16" t="str">
        <f t="shared" si="646"/>
        <v/>
      </c>
      <c r="Q1918" s="16" t="str">
        <f t="shared" si="647"/>
        <v/>
      </c>
      <c r="R1918" s="23" t="str">
        <f t="shared" si="648"/>
        <v/>
      </c>
      <c r="S1918" s="23" t="str">
        <f t="shared" si="649"/>
        <v/>
      </c>
      <c r="T1918" s="23" t="str">
        <f t="shared" si="650"/>
        <v/>
      </c>
      <c r="U1918" s="23" t="str">
        <f t="shared" si="651"/>
        <v/>
      </c>
      <c r="V1918" s="23" t="str">
        <f t="shared" si="652"/>
        <v/>
      </c>
      <c r="W1918" s="70" t="str">
        <f t="shared" si="653"/>
        <v/>
      </c>
      <c r="X1918" s="70" t="str">
        <f t="shared" si="654"/>
        <v/>
      </c>
      <c r="Y1918" s="70" t="str">
        <f>IF(AND($A1918&lt;&gt;"",$E1918&gt;0),isLaptopBag($C1918,$J1918)*$D1918,"")</f>
        <v/>
      </c>
      <c r="Z1918" s="70" t="str">
        <f t="shared" si="655"/>
        <v/>
      </c>
      <c r="AA1918" s="70" t="str">
        <f t="shared" si="656"/>
        <v/>
      </c>
      <c r="AB1918" s="70" t="str">
        <f t="shared" si="657"/>
        <v/>
      </c>
      <c r="AC1918" s="70" t="str">
        <f t="shared" si="658"/>
        <v/>
      </c>
      <c r="AD1918" s="70" t="str">
        <f t="shared" si="659"/>
        <v/>
      </c>
      <c r="AE1918" s="70" t="str">
        <f t="shared" si="660"/>
        <v/>
      </c>
      <c r="AF1918" s="16"/>
      <c r="AG1918" s="23"/>
      <c r="AH1918" s="22"/>
      <c r="AJ1918" s="83">
        <f t="shared" si="661"/>
        <v>0</v>
      </c>
      <c r="AO1918" s="22" t="str">
        <f t="shared" si="662"/>
        <v/>
      </c>
      <c r="AP1918" s="22" t="str">
        <f t="shared" si="663"/>
        <v/>
      </c>
    </row>
    <row r="1919" spans="1:42" x14ac:dyDescent="0.25">
      <c r="A1919" s="10"/>
      <c r="B1919" s="10"/>
      <c r="C1919" s="10"/>
      <c r="D1919" s="10"/>
      <c r="E1919" s="10"/>
      <c r="F1919" s="10"/>
      <c r="G1919" s="10"/>
      <c r="H1919" s="17"/>
      <c r="I1919" s="10"/>
      <c r="J1919" s="10"/>
      <c r="K1919" s="16" t="str">
        <f t="shared" si="642"/>
        <v/>
      </c>
      <c r="L1919" s="23" t="str">
        <f t="shared" si="643"/>
        <v/>
      </c>
      <c r="M1919" s="22" t="str">
        <f t="shared" si="644"/>
        <v/>
      </c>
      <c r="N1919" s="72"/>
      <c r="O1919" s="16" t="str">
        <f t="shared" si="645"/>
        <v/>
      </c>
      <c r="P1919" s="16" t="str">
        <f t="shared" si="646"/>
        <v/>
      </c>
      <c r="Q1919" s="16" t="str">
        <f t="shared" si="647"/>
        <v/>
      </c>
      <c r="R1919" s="23" t="str">
        <f t="shared" si="648"/>
        <v/>
      </c>
      <c r="S1919" s="23" t="str">
        <f t="shared" si="649"/>
        <v/>
      </c>
      <c r="T1919" s="23" t="str">
        <f t="shared" si="650"/>
        <v/>
      </c>
      <c r="U1919" s="23" t="str">
        <f t="shared" si="651"/>
        <v/>
      </c>
      <c r="V1919" s="23" t="str">
        <f t="shared" si="652"/>
        <v/>
      </c>
      <c r="W1919" s="70" t="str">
        <f t="shared" si="653"/>
        <v/>
      </c>
      <c r="X1919" s="70" t="str">
        <f t="shared" si="654"/>
        <v/>
      </c>
      <c r="Y1919" s="70" t="str">
        <f>IF(AND($A1919&lt;&gt;"",$E1919&gt;0),isLaptopBag($C1919,$J1919)*$D1919,"")</f>
        <v/>
      </c>
      <c r="Z1919" s="70" t="str">
        <f t="shared" si="655"/>
        <v/>
      </c>
      <c r="AA1919" s="70" t="str">
        <f t="shared" si="656"/>
        <v/>
      </c>
      <c r="AB1919" s="70" t="str">
        <f t="shared" si="657"/>
        <v/>
      </c>
      <c r="AC1919" s="70" t="str">
        <f t="shared" si="658"/>
        <v/>
      </c>
      <c r="AD1919" s="70" t="str">
        <f t="shared" si="659"/>
        <v/>
      </c>
      <c r="AE1919" s="70" t="str">
        <f t="shared" si="660"/>
        <v/>
      </c>
      <c r="AF1919" s="16"/>
      <c r="AG1919" s="23"/>
      <c r="AH1919" s="22"/>
      <c r="AJ1919" s="83">
        <f t="shared" si="661"/>
        <v>0</v>
      </c>
      <c r="AO1919" s="22" t="str">
        <f t="shared" si="662"/>
        <v/>
      </c>
      <c r="AP1919" s="22" t="str">
        <f t="shared" si="663"/>
        <v/>
      </c>
    </row>
    <row r="1920" spans="1:42" x14ac:dyDescent="0.25">
      <c r="A1920" s="10"/>
      <c r="B1920" s="10"/>
      <c r="C1920" s="10"/>
      <c r="D1920" s="10"/>
      <c r="E1920" s="10"/>
      <c r="F1920" s="10"/>
      <c r="G1920" s="10"/>
      <c r="H1920" s="17"/>
      <c r="I1920" s="10"/>
      <c r="J1920" s="10"/>
      <c r="K1920" s="16" t="str">
        <f t="shared" si="642"/>
        <v/>
      </c>
      <c r="L1920" s="23" t="str">
        <f t="shared" si="643"/>
        <v/>
      </c>
      <c r="M1920" s="22" t="str">
        <f t="shared" si="644"/>
        <v/>
      </c>
      <c r="N1920" s="72"/>
      <c r="O1920" s="16" t="str">
        <f t="shared" si="645"/>
        <v/>
      </c>
      <c r="P1920" s="16" t="str">
        <f t="shared" si="646"/>
        <v/>
      </c>
      <c r="Q1920" s="16" t="str">
        <f t="shared" si="647"/>
        <v/>
      </c>
      <c r="R1920" s="23" t="str">
        <f t="shared" si="648"/>
        <v/>
      </c>
      <c r="S1920" s="23" t="str">
        <f t="shared" si="649"/>
        <v/>
      </c>
      <c r="T1920" s="23" t="str">
        <f t="shared" si="650"/>
        <v/>
      </c>
      <c r="U1920" s="23" t="str">
        <f t="shared" si="651"/>
        <v/>
      </c>
      <c r="V1920" s="23" t="str">
        <f t="shared" si="652"/>
        <v/>
      </c>
      <c r="W1920" s="70" t="str">
        <f t="shared" si="653"/>
        <v/>
      </c>
      <c r="X1920" s="70" t="str">
        <f t="shared" si="654"/>
        <v/>
      </c>
      <c r="Y1920" s="70" t="str">
        <f>IF(AND($A1920&lt;&gt;"",$E1920&gt;0),isLaptopBag($C1920,$J1920)*$D1920,"")</f>
        <v/>
      </c>
      <c r="Z1920" s="70" t="str">
        <f t="shared" si="655"/>
        <v/>
      </c>
      <c r="AA1920" s="70" t="str">
        <f t="shared" si="656"/>
        <v/>
      </c>
      <c r="AB1920" s="70" t="str">
        <f t="shared" si="657"/>
        <v/>
      </c>
      <c r="AC1920" s="70" t="str">
        <f t="shared" si="658"/>
        <v/>
      </c>
      <c r="AD1920" s="70" t="str">
        <f t="shared" si="659"/>
        <v/>
      </c>
      <c r="AE1920" s="70" t="str">
        <f t="shared" si="660"/>
        <v/>
      </c>
      <c r="AF1920" s="16"/>
      <c r="AG1920" s="23"/>
      <c r="AH1920" s="22"/>
      <c r="AJ1920" s="83">
        <f t="shared" si="661"/>
        <v>0</v>
      </c>
      <c r="AO1920" s="22" t="str">
        <f t="shared" si="662"/>
        <v/>
      </c>
      <c r="AP1920" s="22" t="str">
        <f t="shared" si="663"/>
        <v/>
      </c>
    </row>
    <row r="1921" spans="1:42" x14ac:dyDescent="0.25">
      <c r="A1921" s="10"/>
      <c r="B1921" s="10"/>
      <c r="C1921" s="10"/>
      <c r="D1921" s="10"/>
      <c r="E1921" s="10"/>
      <c r="F1921" s="10"/>
      <c r="G1921" s="10"/>
      <c r="H1921" s="17"/>
      <c r="I1921" s="10"/>
      <c r="J1921" s="10"/>
      <c r="K1921" s="16" t="str">
        <f t="shared" si="642"/>
        <v/>
      </c>
      <c r="L1921" s="23" t="str">
        <f t="shared" si="643"/>
        <v/>
      </c>
      <c r="M1921" s="22" t="str">
        <f t="shared" si="644"/>
        <v/>
      </c>
      <c r="N1921" s="72"/>
      <c r="O1921" s="16" t="str">
        <f t="shared" si="645"/>
        <v/>
      </c>
      <c r="P1921" s="16" t="str">
        <f t="shared" si="646"/>
        <v/>
      </c>
      <c r="Q1921" s="16" t="str">
        <f t="shared" si="647"/>
        <v/>
      </c>
      <c r="R1921" s="23" t="str">
        <f t="shared" si="648"/>
        <v/>
      </c>
      <c r="S1921" s="23" t="str">
        <f t="shared" si="649"/>
        <v/>
      </c>
      <c r="T1921" s="23" t="str">
        <f t="shared" si="650"/>
        <v/>
      </c>
      <c r="U1921" s="23" t="str">
        <f t="shared" si="651"/>
        <v/>
      </c>
      <c r="V1921" s="23" t="str">
        <f t="shared" si="652"/>
        <v/>
      </c>
      <c r="W1921" s="70" t="str">
        <f t="shared" si="653"/>
        <v/>
      </c>
      <c r="X1921" s="70" t="str">
        <f t="shared" si="654"/>
        <v/>
      </c>
      <c r="Y1921" s="70" t="str">
        <f>IF(AND($A1921&lt;&gt;"",$E1921&gt;0),isLaptopBag($C1921,$J1921)*$D1921,"")</f>
        <v/>
      </c>
      <c r="Z1921" s="70" t="str">
        <f t="shared" si="655"/>
        <v/>
      </c>
      <c r="AA1921" s="70" t="str">
        <f t="shared" si="656"/>
        <v/>
      </c>
      <c r="AB1921" s="70" t="str">
        <f t="shared" si="657"/>
        <v/>
      </c>
      <c r="AC1921" s="70" t="str">
        <f t="shared" si="658"/>
        <v/>
      </c>
      <c r="AD1921" s="70" t="str">
        <f t="shared" si="659"/>
        <v/>
      </c>
      <c r="AE1921" s="70" t="str">
        <f t="shared" si="660"/>
        <v/>
      </c>
      <c r="AF1921" s="16"/>
      <c r="AG1921" s="23"/>
      <c r="AH1921" s="22"/>
      <c r="AJ1921" s="83">
        <f t="shared" si="661"/>
        <v>0</v>
      </c>
      <c r="AO1921" s="22" t="str">
        <f t="shared" si="662"/>
        <v/>
      </c>
      <c r="AP1921" s="22" t="str">
        <f t="shared" si="663"/>
        <v/>
      </c>
    </row>
    <row r="1922" spans="1:42" x14ac:dyDescent="0.25">
      <c r="A1922" s="10"/>
      <c r="B1922" s="10"/>
      <c r="C1922" s="10"/>
      <c r="D1922" s="10"/>
      <c r="E1922" s="10"/>
      <c r="F1922" s="10"/>
      <c r="G1922" s="10"/>
      <c r="H1922" s="17"/>
      <c r="I1922" s="10"/>
      <c r="J1922" s="10"/>
      <c r="K1922" s="16" t="str">
        <f t="shared" si="642"/>
        <v/>
      </c>
      <c r="L1922" s="23" t="str">
        <f t="shared" si="643"/>
        <v/>
      </c>
      <c r="M1922" s="22" t="str">
        <f t="shared" si="644"/>
        <v/>
      </c>
      <c r="N1922" s="72"/>
      <c r="O1922" s="16" t="str">
        <f t="shared" si="645"/>
        <v/>
      </c>
      <c r="P1922" s="16" t="str">
        <f t="shared" si="646"/>
        <v/>
      </c>
      <c r="Q1922" s="16" t="str">
        <f t="shared" si="647"/>
        <v/>
      </c>
      <c r="R1922" s="23" t="str">
        <f t="shared" si="648"/>
        <v/>
      </c>
      <c r="S1922" s="23" t="str">
        <f t="shared" si="649"/>
        <v/>
      </c>
      <c r="T1922" s="23" t="str">
        <f t="shared" si="650"/>
        <v/>
      </c>
      <c r="U1922" s="23" t="str">
        <f t="shared" si="651"/>
        <v/>
      </c>
      <c r="V1922" s="23" t="str">
        <f t="shared" si="652"/>
        <v/>
      </c>
      <c r="W1922" s="70" t="str">
        <f t="shared" si="653"/>
        <v/>
      </c>
      <c r="X1922" s="70" t="str">
        <f t="shared" si="654"/>
        <v/>
      </c>
      <c r="Y1922" s="70" t="str">
        <f>IF(AND($A1922&lt;&gt;"",$E1922&gt;0),isLaptopBag($C1922,$J1922)*$D1922,"")</f>
        <v/>
      </c>
      <c r="Z1922" s="70" t="str">
        <f t="shared" si="655"/>
        <v/>
      </c>
      <c r="AA1922" s="70" t="str">
        <f t="shared" si="656"/>
        <v/>
      </c>
      <c r="AB1922" s="70" t="str">
        <f t="shared" si="657"/>
        <v/>
      </c>
      <c r="AC1922" s="70" t="str">
        <f t="shared" si="658"/>
        <v/>
      </c>
      <c r="AD1922" s="70" t="str">
        <f t="shared" si="659"/>
        <v/>
      </c>
      <c r="AE1922" s="70" t="str">
        <f t="shared" si="660"/>
        <v/>
      </c>
      <c r="AF1922" s="16"/>
      <c r="AG1922" s="23"/>
      <c r="AH1922" s="22"/>
      <c r="AJ1922" s="83">
        <f t="shared" si="661"/>
        <v>0</v>
      </c>
      <c r="AO1922" s="22" t="str">
        <f t="shared" si="662"/>
        <v/>
      </c>
      <c r="AP1922" s="22" t="str">
        <f t="shared" si="663"/>
        <v/>
      </c>
    </row>
    <row r="1923" spans="1:42" x14ac:dyDescent="0.25">
      <c r="A1923" s="10"/>
      <c r="B1923" s="10"/>
      <c r="C1923" s="10"/>
      <c r="D1923" s="10"/>
      <c r="E1923" s="10"/>
      <c r="F1923" s="10"/>
      <c r="G1923" s="10"/>
      <c r="H1923" s="17"/>
      <c r="I1923" s="10"/>
      <c r="J1923" s="10"/>
      <c r="K1923" s="16" t="str">
        <f t="shared" si="642"/>
        <v/>
      </c>
      <c r="L1923" s="23" t="str">
        <f t="shared" si="643"/>
        <v/>
      </c>
      <c r="M1923" s="22" t="str">
        <f t="shared" si="644"/>
        <v/>
      </c>
      <c r="N1923" s="72"/>
      <c r="O1923" s="16" t="str">
        <f t="shared" si="645"/>
        <v/>
      </c>
      <c r="P1923" s="16" t="str">
        <f t="shared" si="646"/>
        <v/>
      </c>
      <c r="Q1923" s="16" t="str">
        <f t="shared" si="647"/>
        <v/>
      </c>
      <c r="R1923" s="23" t="str">
        <f t="shared" si="648"/>
        <v/>
      </c>
      <c r="S1923" s="23" t="str">
        <f t="shared" si="649"/>
        <v/>
      </c>
      <c r="T1923" s="23" t="str">
        <f t="shared" si="650"/>
        <v/>
      </c>
      <c r="U1923" s="23" t="str">
        <f t="shared" si="651"/>
        <v/>
      </c>
      <c r="V1923" s="23" t="str">
        <f t="shared" si="652"/>
        <v/>
      </c>
      <c r="W1923" s="70" t="str">
        <f t="shared" si="653"/>
        <v/>
      </c>
      <c r="X1923" s="70" t="str">
        <f t="shared" si="654"/>
        <v/>
      </c>
      <c r="Y1923" s="70" t="str">
        <f>IF(AND($A1923&lt;&gt;"",$E1923&gt;0),isLaptopBag($C1923,$J1923)*$D1923,"")</f>
        <v/>
      </c>
      <c r="Z1923" s="70" t="str">
        <f t="shared" si="655"/>
        <v/>
      </c>
      <c r="AA1923" s="70" t="str">
        <f t="shared" si="656"/>
        <v/>
      </c>
      <c r="AB1923" s="70" t="str">
        <f t="shared" si="657"/>
        <v/>
      </c>
      <c r="AC1923" s="70" t="str">
        <f t="shared" si="658"/>
        <v/>
      </c>
      <c r="AD1923" s="70" t="str">
        <f t="shared" si="659"/>
        <v/>
      </c>
      <c r="AE1923" s="70" t="str">
        <f t="shared" si="660"/>
        <v/>
      </c>
      <c r="AF1923" s="16"/>
      <c r="AG1923" s="23"/>
      <c r="AH1923" s="22"/>
      <c r="AJ1923" s="83">
        <f t="shared" si="661"/>
        <v>0</v>
      </c>
      <c r="AO1923" s="22" t="str">
        <f t="shared" si="662"/>
        <v/>
      </c>
      <c r="AP1923" s="22" t="str">
        <f t="shared" si="663"/>
        <v/>
      </c>
    </row>
    <row r="1924" spans="1:42" x14ac:dyDescent="0.25">
      <c r="A1924" s="10"/>
      <c r="B1924" s="10"/>
      <c r="C1924" s="10"/>
      <c r="D1924" s="10"/>
      <c r="E1924" s="10"/>
      <c r="F1924" s="10"/>
      <c r="G1924" s="10"/>
      <c r="H1924" s="17"/>
      <c r="I1924" s="10"/>
      <c r="J1924" s="10"/>
      <c r="K1924" s="16" t="str">
        <f t="shared" si="642"/>
        <v/>
      </c>
      <c r="L1924" s="23" t="str">
        <f t="shared" si="643"/>
        <v/>
      </c>
      <c r="M1924" s="22" t="str">
        <f t="shared" si="644"/>
        <v/>
      </c>
      <c r="N1924" s="72"/>
      <c r="O1924" s="16" t="str">
        <f t="shared" si="645"/>
        <v/>
      </c>
      <c r="P1924" s="16" t="str">
        <f t="shared" si="646"/>
        <v/>
      </c>
      <c r="Q1924" s="16" t="str">
        <f t="shared" si="647"/>
        <v/>
      </c>
      <c r="R1924" s="23" t="str">
        <f t="shared" si="648"/>
        <v/>
      </c>
      <c r="S1924" s="23" t="str">
        <f t="shared" si="649"/>
        <v/>
      </c>
      <c r="T1924" s="23" t="str">
        <f t="shared" si="650"/>
        <v/>
      </c>
      <c r="U1924" s="23" t="str">
        <f t="shared" si="651"/>
        <v/>
      </c>
      <c r="V1924" s="23" t="str">
        <f t="shared" si="652"/>
        <v/>
      </c>
      <c r="W1924" s="70" t="str">
        <f t="shared" si="653"/>
        <v/>
      </c>
      <c r="X1924" s="70" t="str">
        <f t="shared" si="654"/>
        <v/>
      </c>
      <c r="Y1924" s="70" t="str">
        <f>IF(AND($A1924&lt;&gt;"",$E1924&gt;0),isLaptopBag($C1924,$J1924)*$D1924,"")</f>
        <v/>
      </c>
      <c r="Z1924" s="70" t="str">
        <f t="shared" si="655"/>
        <v/>
      </c>
      <c r="AA1924" s="70" t="str">
        <f t="shared" si="656"/>
        <v/>
      </c>
      <c r="AB1924" s="70" t="str">
        <f t="shared" si="657"/>
        <v/>
      </c>
      <c r="AC1924" s="70" t="str">
        <f t="shared" si="658"/>
        <v/>
      </c>
      <c r="AD1924" s="70" t="str">
        <f t="shared" si="659"/>
        <v/>
      </c>
      <c r="AE1924" s="70" t="str">
        <f t="shared" si="660"/>
        <v/>
      </c>
      <c r="AF1924" s="16"/>
      <c r="AG1924" s="23"/>
      <c r="AH1924" s="22"/>
      <c r="AJ1924" s="83">
        <f t="shared" si="661"/>
        <v>0</v>
      </c>
      <c r="AO1924" s="22" t="str">
        <f t="shared" si="662"/>
        <v/>
      </c>
      <c r="AP1924" s="22" t="str">
        <f t="shared" si="663"/>
        <v/>
      </c>
    </row>
    <row r="1925" spans="1:42" x14ac:dyDescent="0.25">
      <c r="A1925" s="10"/>
      <c r="B1925" s="10"/>
      <c r="C1925" s="10"/>
      <c r="D1925" s="10"/>
      <c r="E1925" s="10"/>
      <c r="F1925" s="10"/>
      <c r="G1925" s="10"/>
      <c r="H1925" s="17"/>
      <c r="I1925" s="10"/>
      <c r="J1925" s="10"/>
      <c r="K1925" s="16" t="str">
        <f t="shared" si="642"/>
        <v/>
      </c>
      <c r="L1925" s="23" t="str">
        <f t="shared" si="643"/>
        <v/>
      </c>
      <c r="M1925" s="22" t="str">
        <f t="shared" si="644"/>
        <v/>
      </c>
      <c r="N1925" s="72"/>
      <c r="O1925" s="16" t="str">
        <f t="shared" si="645"/>
        <v/>
      </c>
      <c r="P1925" s="16" t="str">
        <f t="shared" si="646"/>
        <v/>
      </c>
      <c r="Q1925" s="16" t="str">
        <f t="shared" si="647"/>
        <v/>
      </c>
      <c r="R1925" s="23" t="str">
        <f t="shared" si="648"/>
        <v/>
      </c>
      <c r="S1925" s="23" t="str">
        <f t="shared" si="649"/>
        <v/>
      </c>
      <c r="T1925" s="23" t="str">
        <f t="shared" si="650"/>
        <v/>
      </c>
      <c r="U1925" s="23" t="str">
        <f t="shared" si="651"/>
        <v/>
      </c>
      <c r="V1925" s="23" t="str">
        <f t="shared" si="652"/>
        <v/>
      </c>
      <c r="W1925" s="70" t="str">
        <f t="shared" si="653"/>
        <v/>
      </c>
      <c r="X1925" s="70" t="str">
        <f t="shared" si="654"/>
        <v/>
      </c>
      <c r="Y1925" s="70" t="str">
        <f>IF(AND($A1925&lt;&gt;"",$E1925&gt;0),isLaptopBag($C1925,$J1925)*$D1925,"")</f>
        <v/>
      </c>
      <c r="Z1925" s="70" t="str">
        <f t="shared" si="655"/>
        <v/>
      </c>
      <c r="AA1925" s="70" t="str">
        <f t="shared" si="656"/>
        <v/>
      </c>
      <c r="AB1925" s="70" t="str">
        <f t="shared" si="657"/>
        <v/>
      </c>
      <c r="AC1925" s="70" t="str">
        <f t="shared" si="658"/>
        <v/>
      </c>
      <c r="AD1925" s="70" t="str">
        <f t="shared" si="659"/>
        <v/>
      </c>
      <c r="AE1925" s="70" t="str">
        <f t="shared" si="660"/>
        <v/>
      </c>
      <c r="AF1925" s="16"/>
      <c r="AG1925" s="23"/>
      <c r="AH1925" s="22"/>
      <c r="AJ1925" s="83">
        <f t="shared" si="661"/>
        <v>0</v>
      </c>
      <c r="AO1925" s="22" t="str">
        <f t="shared" si="662"/>
        <v/>
      </c>
      <c r="AP1925" s="22" t="str">
        <f t="shared" si="663"/>
        <v/>
      </c>
    </row>
    <row r="1926" spans="1:42" x14ac:dyDescent="0.25">
      <c r="A1926" s="10"/>
      <c r="B1926" s="10"/>
      <c r="C1926" s="10"/>
      <c r="D1926" s="10"/>
      <c r="E1926" s="10"/>
      <c r="F1926" s="10"/>
      <c r="G1926" s="10"/>
      <c r="H1926" s="17"/>
      <c r="I1926" s="10"/>
      <c r="J1926" s="10"/>
      <c r="K1926" s="16" t="str">
        <f t="shared" si="642"/>
        <v/>
      </c>
      <c r="L1926" s="23" t="str">
        <f t="shared" si="643"/>
        <v/>
      </c>
      <c r="M1926" s="22" t="str">
        <f t="shared" si="644"/>
        <v/>
      </c>
      <c r="N1926" s="72"/>
      <c r="O1926" s="16" t="str">
        <f t="shared" si="645"/>
        <v/>
      </c>
      <c r="P1926" s="16" t="str">
        <f t="shared" si="646"/>
        <v/>
      </c>
      <c r="Q1926" s="16" t="str">
        <f t="shared" si="647"/>
        <v/>
      </c>
      <c r="R1926" s="23" t="str">
        <f t="shared" si="648"/>
        <v/>
      </c>
      <c r="S1926" s="23" t="str">
        <f t="shared" si="649"/>
        <v/>
      </c>
      <c r="T1926" s="23" t="str">
        <f t="shared" si="650"/>
        <v/>
      </c>
      <c r="U1926" s="23" t="str">
        <f t="shared" si="651"/>
        <v/>
      </c>
      <c r="V1926" s="23" t="str">
        <f t="shared" si="652"/>
        <v/>
      </c>
      <c r="W1926" s="70" t="str">
        <f t="shared" si="653"/>
        <v/>
      </c>
      <c r="X1926" s="70" t="str">
        <f t="shared" si="654"/>
        <v/>
      </c>
      <c r="Y1926" s="70" t="str">
        <f>IF(AND($A1926&lt;&gt;"",$E1926&gt;0),isLaptopBag($C1926,$J1926)*$D1926,"")</f>
        <v/>
      </c>
      <c r="Z1926" s="70" t="str">
        <f t="shared" si="655"/>
        <v/>
      </c>
      <c r="AA1926" s="70" t="str">
        <f t="shared" si="656"/>
        <v/>
      </c>
      <c r="AB1926" s="70" t="str">
        <f t="shared" si="657"/>
        <v/>
      </c>
      <c r="AC1926" s="70" t="str">
        <f t="shared" si="658"/>
        <v/>
      </c>
      <c r="AD1926" s="70" t="str">
        <f t="shared" si="659"/>
        <v/>
      </c>
      <c r="AE1926" s="70" t="str">
        <f t="shared" si="660"/>
        <v/>
      </c>
      <c r="AF1926" s="16"/>
      <c r="AG1926" s="23"/>
      <c r="AH1926" s="22"/>
      <c r="AJ1926" s="83">
        <f t="shared" si="661"/>
        <v>0</v>
      </c>
      <c r="AO1926" s="22" t="str">
        <f t="shared" si="662"/>
        <v/>
      </c>
      <c r="AP1926" s="22" t="str">
        <f t="shared" si="663"/>
        <v/>
      </c>
    </row>
    <row r="1927" spans="1:42" x14ac:dyDescent="0.25">
      <c r="A1927" s="10"/>
      <c r="B1927" s="10"/>
      <c r="C1927" s="10"/>
      <c r="D1927" s="10"/>
      <c r="E1927" s="10"/>
      <c r="F1927" s="10"/>
      <c r="G1927" s="10"/>
      <c r="H1927" s="17"/>
      <c r="I1927" s="10"/>
      <c r="J1927" s="10"/>
      <c r="K1927" s="16" t="str">
        <f t="shared" si="642"/>
        <v/>
      </c>
      <c r="L1927" s="23" t="str">
        <f t="shared" si="643"/>
        <v/>
      </c>
      <c r="M1927" s="22" t="str">
        <f t="shared" si="644"/>
        <v/>
      </c>
      <c r="N1927" s="72"/>
      <c r="O1927" s="16" t="str">
        <f t="shared" si="645"/>
        <v/>
      </c>
      <c r="P1927" s="16" t="str">
        <f t="shared" si="646"/>
        <v/>
      </c>
      <c r="Q1927" s="16" t="str">
        <f t="shared" si="647"/>
        <v/>
      </c>
      <c r="R1927" s="23" t="str">
        <f t="shared" si="648"/>
        <v/>
      </c>
      <c r="S1927" s="23" t="str">
        <f t="shared" si="649"/>
        <v/>
      </c>
      <c r="T1927" s="23" t="str">
        <f t="shared" si="650"/>
        <v/>
      </c>
      <c r="U1927" s="23" t="str">
        <f t="shared" si="651"/>
        <v/>
      </c>
      <c r="V1927" s="23" t="str">
        <f t="shared" si="652"/>
        <v/>
      </c>
      <c r="W1927" s="70" t="str">
        <f t="shared" si="653"/>
        <v/>
      </c>
      <c r="X1927" s="70" t="str">
        <f t="shared" si="654"/>
        <v/>
      </c>
      <c r="Y1927" s="70" t="str">
        <f>IF(AND($A1927&lt;&gt;"",$E1927&gt;0),isLaptopBag($C1927,$J1927)*$D1927,"")</f>
        <v/>
      </c>
      <c r="Z1927" s="70" t="str">
        <f t="shared" si="655"/>
        <v/>
      </c>
      <c r="AA1927" s="70" t="str">
        <f t="shared" si="656"/>
        <v/>
      </c>
      <c r="AB1927" s="70" t="str">
        <f t="shared" si="657"/>
        <v/>
      </c>
      <c r="AC1927" s="70" t="str">
        <f t="shared" si="658"/>
        <v/>
      </c>
      <c r="AD1927" s="70" t="str">
        <f t="shared" si="659"/>
        <v/>
      </c>
      <c r="AE1927" s="70" t="str">
        <f t="shared" si="660"/>
        <v/>
      </c>
      <c r="AF1927" s="16"/>
      <c r="AG1927" s="23"/>
      <c r="AH1927" s="22"/>
      <c r="AJ1927" s="83">
        <f t="shared" si="661"/>
        <v>0</v>
      </c>
      <c r="AO1927" s="22" t="str">
        <f t="shared" si="662"/>
        <v/>
      </c>
      <c r="AP1927" s="22" t="str">
        <f t="shared" si="663"/>
        <v/>
      </c>
    </row>
    <row r="1928" spans="1:42" x14ac:dyDescent="0.25">
      <c r="A1928" s="10"/>
      <c r="B1928" s="10"/>
      <c r="C1928" s="10"/>
      <c r="D1928" s="10"/>
      <c r="E1928" s="10"/>
      <c r="F1928" s="10"/>
      <c r="G1928" s="10"/>
      <c r="H1928" s="17"/>
      <c r="I1928" s="10"/>
      <c r="J1928" s="10"/>
      <c r="K1928" s="16" t="str">
        <f t="shared" si="642"/>
        <v/>
      </c>
      <c r="L1928" s="23" t="str">
        <f t="shared" si="643"/>
        <v/>
      </c>
      <c r="M1928" s="22" t="str">
        <f t="shared" si="644"/>
        <v/>
      </c>
      <c r="N1928" s="72"/>
      <c r="O1928" s="16" t="str">
        <f t="shared" si="645"/>
        <v/>
      </c>
      <c r="P1928" s="16" t="str">
        <f t="shared" si="646"/>
        <v/>
      </c>
      <c r="Q1928" s="16" t="str">
        <f t="shared" si="647"/>
        <v/>
      </c>
      <c r="R1928" s="23" t="str">
        <f t="shared" si="648"/>
        <v/>
      </c>
      <c r="S1928" s="23" t="str">
        <f t="shared" si="649"/>
        <v/>
      </c>
      <c r="T1928" s="23" t="str">
        <f t="shared" si="650"/>
        <v/>
      </c>
      <c r="U1928" s="23" t="str">
        <f t="shared" si="651"/>
        <v/>
      </c>
      <c r="V1928" s="23" t="str">
        <f t="shared" si="652"/>
        <v/>
      </c>
      <c r="W1928" s="70" t="str">
        <f t="shared" si="653"/>
        <v/>
      </c>
      <c r="X1928" s="70" t="str">
        <f t="shared" si="654"/>
        <v/>
      </c>
      <c r="Y1928" s="70" t="str">
        <f>IF(AND($A1928&lt;&gt;"",$E1928&gt;0),isLaptopBag($C1928,$J1928)*$D1928,"")</f>
        <v/>
      </c>
      <c r="Z1928" s="70" t="str">
        <f t="shared" si="655"/>
        <v/>
      </c>
      <c r="AA1928" s="70" t="str">
        <f t="shared" si="656"/>
        <v/>
      </c>
      <c r="AB1928" s="70" t="str">
        <f t="shared" si="657"/>
        <v/>
      </c>
      <c r="AC1928" s="70" t="str">
        <f t="shared" si="658"/>
        <v/>
      </c>
      <c r="AD1928" s="70" t="str">
        <f t="shared" si="659"/>
        <v/>
      </c>
      <c r="AE1928" s="70" t="str">
        <f t="shared" si="660"/>
        <v/>
      </c>
      <c r="AF1928" s="16"/>
      <c r="AG1928" s="23"/>
      <c r="AH1928" s="22"/>
      <c r="AJ1928" s="83">
        <f t="shared" si="661"/>
        <v>0</v>
      </c>
      <c r="AO1928" s="22" t="str">
        <f t="shared" si="662"/>
        <v/>
      </c>
      <c r="AP1928" s="22" t="str">
        <f t="shared" si="663"/>
        <v/>
      </c>
    </row>
    <row r="1929" spans="1:42" x14ac:dyDescent="0.25">
      <c r="A1929" s="10"/>
      <c r="B1929" s="10"/>
      <c r="C1929" s="10"/>
      <c r="D1929" s="10"/>
      <c r="E1929" s="10"/>
      <c r="F1929" s="10"/>
      <c r="G1929" s="10"/>
      <c r="H1929" s="17"/>
      <c r="I1929" s="10"/>
      <c r="J1929" s="10"/>
      <c r="K1929" s="16" t="str">
        <f t="shared" si="642"/>
        <v/>
      </c>
      <c r="L1929" s="23" t="str">
        <f t="shared" si="643"/>
        <v/>
      </c>
      <c r="M1929" s="22" t="str">
        <f t="shared" si="644"/>
        <v/>
      </c>
      <c r="N1929" s="72"/>
      <c r="O1929" s="16" t="str">
        <f t="shared" si="645"/>
        <v/>
      </c>
      <c r="P1929" s="16" t="str">
        <f t="shared" si="646"/>
        <v/>
      </c>
      <c r="Q1929" s="16" t="str">
        <f t="shared" si="647"/>
        <v/>
      </c>
      <c r="R1929" s="23" t="str">
        <f t="shared" si="648"/>
        <v/>
      </c>
      <c r="S1929" s="23" t="str">
        <f t="shared" si="649"/>
        <v/>
      </c>
      <c r="T1929" s="23" t="str">
        <f t="shared" si="650"/>
        <v/>
      </c>
      <c r="U1929" s="23" t="str">
        <f t="shared" si="651"/>
        <v/>
      </c>
      <c r="V1929" s="23" t="str">
        <f t="shared" si="652"/>
        <v/>
      </c>
      <c r="W1929" s="70" t="str">
        <f t="shared" si="653"/>
        <v/>
      </c>
      <c r="X1929" s="70" t="str">
        <f t="shared" si="654"/>
        <v/>
      </c>
      <c r="Y1929" s="70" t="str">
        <f>IF(AND($A1929&lt;&gt;"",$E1929&gt;0),isLaptopBag($C1929,$J1929)*$D1929,"")</f>
        <v/>
      </c>
      <c r="Z1929" s="70" t="str">
        <f t="shared" si="655"/>
        <v/>
      </c>
      <c r="AA1929" s="70" t="str">
        <f t="shared" si="656"/>
        <v/>
      </c>
      <c r="AB1929" s="70" t="str">
        <f t="shared" si="657"/>
        <v/>
      </c>
      <c r="AC1929" s="70" t="str">
        <f t="shared" si="658"/>
        <v/>
      </c>
      <c r="AD1929" s="70" t="str">
        <f t="shared" si="659"/>
        <v/>
      </c>
      <c r="AE1929" s="70" t="str">
        <f t="shared" si="660"/>
        <v/>
      </c>
      <c r="AF1929" s="16"/>
      <c r="AG1929" s="23"/>
      <c r="AH1929" s="22"/>
      <c r="AJ1929" s="83">
        <f t="shared" si="661"/>
        <v>0</v>
      </c>
      <c r="AO1929" s="22" t="str">
        <f t="shared" si="662"/>
        <v/>
      </c>
      <c r="AP1929" s="22" t="str">
        <f t="shared" si="663"/>
        <v/>
      </c>
    </row>
    <row r="1930" spans="1:42" x14ac:dyDescent="0.25">
      <c r="A1930" s="10"/>
      <c r="B1930" s="10"/>
      <c r="C1930" s="10"/>
      <c r="D1930" s="10"/>
      <c r="E1930" s="10"/>
      <c r="F1930" s="10"/>
      <c r="G1930" s="10"/>
      <c r="H1930" s="17"/>
      <c r="I1930" s="10"/>
      <c r="J1930" s="10"/>
      <c r="K1930" s="16" t="str">
        <f t="shared" si="642"/>
        <v/>
      </c>
      <c r="L1930" s="23" t="str">
        <f t="shared" si="643"/>
        <v/>
      </c>
      <c r="M1930" s="22" t="str">
        <f t="shared" si="644"/>
        <v/>
      </c>
      <c r="N1930" s="72"/>
      <c r="O1930" s="16" t="str">
        <f t="shared" si="645"/>
        <v/>
      </c>
      <c r="P1930" s="16" t="str">
        <f t="shared" si="646"/>
        <v/>
      </c>
      <c r="Q1930" s="16" t="str">
        <f t="shared" si="647"/>
        <v/>
      </c>
      <c r="R1930" s="23" t="str">
        <f t="shared" si="648"/>
        <v/>
      </c>
      <c r="S1930" s="23" t="str">
        <f t="shared" si="649"/>
        <v/>
      </c>
      <c r="T1930" s="23" t="str">
        <f t="shared" si="650"/>
        <v/>
      </c>
      <c r="U1930" s="23" t="str">
        <f t="shared" si="651"/>
        <v/>
      </c>
      <c r="V1930" s="23" t="str">
        <f t="shared" si="652"/>
        <v/>
      </c>
      <c r="W1930" s="70" t="str">
        <f t="shared" si="653"/>
        <v/>
      </c>
      <c r="X1930" s="70" t="str">
        <f t="shared" si="654"/>
        <v/>
      </c>
      <c r="Y1930" s="70" t="str">
        <f>IF(AND($A1930&lt;&gt;"",$E1930&gt;0),isLaptopBag($C1930,$J1930)*$D1930,"")</f>
        <v/>
      </c>
      <c r="Z1930" s="70" t="str">
        <f t="shared" si="655"/>
        <v/>
      </c>
      <c r="AA1930" s="70" t="str">
        <f t="shared" si="656"/>
        <v/>
      </c>
      <c r="AB1930" s="70" t="str">
        <f t="shared" si="657"/>
        <v/>
      </c>
      <c r="AC1930" s="70" t="str">
        <f t="shared" si="658"/>
        <v/>
      </c>
      <c r="AD1930" s="70" t="str">
        <f t="shared" si="659"/>
        <v/>
      </c>
      <c r="AE1930" s="70" t="str">
        <f t="shared" si="660"/>
        <v/>
      </c>
      <c r="AF1930" s="16"/>
      <c r="AG1930" s="23"/>
      <c r="AH1930" s="22"/>
      <c r="AJ1930" s="83">
        <f t="shared" si="661"/>
        <v>0</v>
      </c>
      <c r="AO1930" s="22" t="str">
        <f t="shared" si="662"/>
        <v/>
      </c>
      <c r="AP1930" s="22" t="str">
        <f t="shared" si="663"/>
        <v/>
      </c>
    </row>
    <row r="1931" spans="1:42" x14ac:dyDescent="0.25">
      <c r="A1931" s="10"/>
      <c r="B1931" s="10"/>
      <c r="C1931" s="10"/>
      <c r="D1931" s="10"/>
      <c r="E1931" s="10"/>
      <c r="F1931" s="10"/>
      <c r="G1931" s="10"/>
      <c r="H1931" s="17"/>
      <c r="I1931" s="10"/>
      <c r="J1931" s="10"/>
      <c r="K1931" s="16" t="str">
        <f t="shared" si="642"/>
        <v/>
      </c>
      <c r="L1931" s="23" t="str">
        <f t="shared" si="643"/>
        <v/>
      </c>
      <c r="M1931" s="22" t="str">
        <f t="shared" si="644"/>
        <v/>
      </c>
      <c r="N1931" s="72"/>
      <c r="O1931" s="16" t="str">
        <f t="shared" si="645"/>
        <v/>
      </c>
      <c r="P1931" s="16" t="str">
        <f t="shared" si="646"/>
        <v/>
      </c>
      <c r="Q1931" s="16" t="str">
        <f t="shared" si="647"/>
        <v/>
      </c>
      <c r="R1931" s="23" t="str">
        <f t="shared" si="648"/>
        <v/>
      </c>
      <c r="S1931" s="23" t="str">
        <f t="shared" si="649"/>
        <v/>
      </c>
      <c r="T1931" s="23" t="str">
        <f t="shared" si="650"/>
        <v/>
      </c>
      <c r="U1931" s="23" t="str">
        <f t="shared" si="651"/>
        <v/>
      </c>
      <c r="V1931" s="23" t="str">
        <f t="shared" si="652"/>
        <v/>
      </c>
      <c r="W1931" s="70" t="str">
        <f t="shared" si="653"/>
        <v/>
      </c>
      <c r="X1931" s="70" t="str">
        <f t="shared" si="654"/>
        <v/>
      </c>
      <c r="Y1931" s="70" t="str">
        <f>IF(AND($A1931&lt;&gt;"",$E1931&gt;0),isLaptopBag($C1931,$J1931)*$D1931,"")</f>
        <v/>
      </c>
      <c r="Z1931" s="70" t="str">
        <f t="shared" si="655"/>
        <v/>
      </c>
      <c r="AA1931" s="70" t="str">
        <f t="shared" si="656"/>
        <v/>
      </c>
      <c r="AB1931" s="70" t="str">
        <f t="shared" si="657"/>
        <v/>
      </c>
      <c r="AC1931" s="70" t="str">
        <f t="shared" si="658"/>
        <v/>
      </c>
      <c r="AD1931" s="70" t="str">
        <f t="shared" si="659"/>
        <v/>
      </c>
      <c r="AE1931" s="70" t="str">
        <f t="shared" si="660"/>
        <v/>
      </c>
      <c r="AF1931" s="16"/>
      <c r="AG1931" s="23"/>
      <c r="AH1931" s="22"/>
      <c r="AJ1931" s="83">
        <f t="shared" si="661"/>
        <v>0</v>
      </c>
      <c r="AO1931" s="22" t="str">
        <f t="shared" si="662"/>
        <v/>
      </c>
      <c r="AP1931" s="22" t="str">
        <f t="shared" si="663"/>
        <v/>
      </c>
    </row>
    <row r="1932" spans="1:42" x14ac:dyDescent="0.25">
      <c r="A1932" s="10"/>
      <c r="B1932" s="10"/>
      <c r="C1932" s="10"/>
      <c r="D1932" s="10"/>
      <c r="E1932" s="10"/>
      <c r="F1932" s="10"/>
      <c r="G1932" s="10"/>
      <c r="H1932" s="17"/>
      <c r="I1932" s="10"/>
      <c r="J1932" s="10"/>
      <c r="K1932" s="16" t="str">
        <f t="shared" si="642"/>
        <v/>
      </c>
      <c r="L1932" s="23" t="str">
        <f t="shared" si="643"/>
        <v/>
      </c>
      <c r="M1932" s="22" t="str">
        <f t="shared" si="644"/>
        <v/>
      </c>
      <c r="N1932" s="72"/>
      <c r="O1932" s="16" t="str">
        <f t="shared" si="645"/>
        <v/>
      </c>
      <c r="P1932" s="16" t="str">
        <f t="shared" si="646"/>
        <v/>
      </c>
      <c r="Q1932" s="16" t="str">
        <f t="shared" si="647"/>
        <v/>
      </c>
      <c r="R1932" s="23" t="str">
        <f t="shared" si="648"/>
        <v/>
      </c>
      <c r="S1932" s="23" t="str">
        <f t="shared" si="649"/>
        <v/>
      </c>
      <c r="T1932" s="23" t="str">
        <f t="shared" si="650"/>
        <v/>
      </c>
      <c r="U1932" s="23" t="str">
        <f t="shared" si="651"/>
        <v/>
      </c>
      <c r="V1932" s="23" t="str">
        <f t="shared" si="652"/>
        <v/>
      </c>
      <c r="W1932" s="70" t="str">
        <f t="shared" si="653"/>
        <v/>
      </c>
      <c r="X1932" s="70" t="str">
        <f t="shared" si="654"/>
        <v/>
      </c>
      <c r="Y1932" s="70" t="str">
        <f>IF(AND($A1932&lt;&gt;"",$E1932&gt;0),isLaptopBag($C1932,$J1932)*$D1932,"")</f>
        <v/>
      </c>
      <c r="Z1932" s="70" t="str">
        <f t="shared" si="655"/>
        <v/>
      </c>
      <c r="AA1932" s="70" t="str">
        <f t="shared" si="656"/>
        <v/>
      </c>
      <c r="AB1932" s="70" t="str">
        <f t="shared" si="657"/>
        <v/>
      </c>
      <c r="AC1932" s="70" t="str">
        <f t="shared" si="658"/>
        <v/>
      </c>
      <c r="AD1932" s="70" t="str">
        <f t="shared" si="659"/>
        <v/>
      </c>
      <c r="AE1932" s="70" t="str">
        <f t="shared" si="660"/>
        <v/>
      </c>
      <c r="AF1932" s="16"/>
      <c r="AG1932" s="23"/>
      <c r="AH1932" s="22"/>
      <c r="AJ1932" s="83">
        <f t="shared" si="661"/>
        <v>0</v>
      </c>
      <c r="AO1932" s="22" t="str">
        <f t="shared" si="662"/>
        <v/>
      </c>
      <c r="AP1932" s="22" t="str">
        <f t="shared" si="663"/>
        <v/>
      </c>
    </row>
    <row r="1933" spans="1:42" x14ac:dyDescent="0.25">
      <c r="A1933" s="10"/>
      <c r="B1933" s="10"/>
      <c r="C1933" s="10"/>
      <c r="D1933" s="10"/>
      <c r="E1933" s="10"/>
      <c r="F1933" s="10"/>
      <c r="G1933" s="10"/>
      <c r="H1933" s="17"/>
      <c r="I1933" s="10"/>
      <c r="J1933" s="10"/>
      <c r="K1933" s="16" t="str">
        <f t="shared" ref="K1933:K1996" si="664">IF($AF1933&lt;&gt;"",$AF1933,IF(AND($A1933&lt;&gt;"",$E1933&gt;0),SUM($O1933:$Q1933),""))</f>
        <v/>
      </c>
      <c r="L1933" s="23" t="str">
        <f t="shared" ref="L1933:L1996" si="665">IF($AG1933&lt;&gt;"",$AG1933,IF(AND($A1933&lt;&gt;"",$E1933&gt;0),SUM($R1933:$V1933),""))</f>
        <v/>
      </c>
      <c r="M1933" s="22" t="str">
        <f t="shared" ref="M1933:M1996" si="666">IF($AH1933&lt;&gt;"",$AH1933,IF(AND($A1933&lt;&gt;"",$E1933&gt;0),SUM($W1933:$AE1933)+$AO1933+$AP1933,""))</f>
        <v/>
      </c>
      <c r="N1933" s="72"/>
      <c r="O1933" s="16" t="str">
        <f t="shared" ref="O1933:O1996" si="667">IF(AND($A1933&lt;&gt;"",$E1933&gt;0),IF(AND($J1933="SONY",200000&lt;=$E1933,$E1933&lt;1000000),5000*$D1933,0),"")</f>
        <v/>
      </c>
      <c r="P1933" s="16" t="str">
        <f t="shared" ref="P1933:P1996" si="668">IF(AND($A1933&lt;&gt;"",$E1933&gt;0),IF(AND($J1933="SONY",1000000&lt;=$E1933,$E1933&lt;2000000),10000*$D1933,0),"")</f>
        <v/>
      </c>
      <c r="Q1933" s="16" t="str">
        <f t="shared" ref="Q1933:Q1996" si="669">IF(AND($A1933&lt;&gt;"",$E1933&gt;0),IF(AND($J1933="SONY",$E1933&gt;=2000000),20000*$D1933,0),"")</f>
        <v/>
      </c>
      <c r="R1933" s="23" t="str">
        <f t="shared" ref="R1933:R1996" si="670">IF(AND($A1933&lt;&gt;"",$E1933&gt;0),IF(AND($J1933&lt;&gt;"SONY",100000&lt;=$E1933,$E1933&lt;200000),5000*$D1933,0),"")</f>
        <v/>
      </c>
      <c r="S1933" s="23" t="str">
        <f t="shared" ref="S1933:S1996" si="671">IF(AND($A1933&lt;&gt;"",$E1933&gt;0),IF(AND($J1933&lt;&gt;"SONY",200000&lt;=$E1933,$E1933&lt;500000),10000*$D1933,0),"")</f>
        <v/>
      </c>
      <c r="T1933" s="23" t="str">
        <f t="shared" ref="T1933:T1996" si="672">IF(AND($A1933&lt;&gt;"",$E1933&gt;0),IF(AND($J1933&lt;&gt;"SONY",500000&lt;=$E1933,$E1933&lt;1000000),20000*$D1933,0),"")</f>
        <v/>
      </c>
      <c r="U1933" s="23" t="str">
        <f t="shared" ref="U1933:U1996" si="673">IF(AND($A1933&lt;&gt;"",$E1933&gt;0),IF(AND($J1933&lt;&gt;"SONY",1000000&lt;=$E1933,$E1933&lt;1500000),50000*$D1933,0),"")</f>
        <v/>
      </c>
      <c r="V1933" s="23" t="str">
        <f t="shared" ref="V1933:V1996" si="674">IF(AND($A1933&lt;&gt;"",$E1933&gt;0),IF(AND($J1933&lt;&gt;"SONY",1500000&lt;=$E1933),100000*$D1933,0),"")</f>
        <v/>
      </c>
      <c r="W1933" s="70" t="str">
        <f t="shared" ref="W1933:W1996" si="675">IF(AND($E1933&gt;0,$J1933="ELECOM",$E1933&gt;=500000,ISNUMBER(SEARCH("tai nghe",$C1933))),20000*$D1933,IF($A1933&lt;&gt;"",0,""))</f>
        <v/>
      </c>
      <c r="X1933" s="70" t="str">
        <f t="shared" ref="X1933:X1996" si="676">IF(AND($E1933&gt;0,$J1933="ELECOM",ISNUMBER(SEARCH("loa",$C1933))),20000*$D1933,IF($A1933&lt;&gt;"",0,""))</f>
        <v/>
      </c>
      <c r="Y1933" s="70" t="str">
        <f>IF(AND($A1933&lt;&gt;"",$E1933&gt;0),isLaptopBag($C1933,$J1933)*$D1933,"")</f>
        <v/>
      </c>
      <c r="Z1933" s="70" t="str">
        <f t="shared" ref="Z1933:Z1996" si="677">IF(AND($E1933&gt;0,$J1933="ELECOM",ISNUMBER(SEARCH("ốp",$C1933))),20000*$D1933,IF($A1933&lt;&gt;"",0,""))</f>
        <v/>
      </c>
      <c r="AA1933" s="70" t="str">
        <f t="shared" ref="AA1933:AA1996" si="678">IF(AND($E1933&gt;0,$J1933="ELECOM",ISNUMBER(SEARCH("Bút",$C1933))),20000*$D1933,IF($A1933&lt;&gt;"",0,""))</f>
        <v/>
      </c>
      <c r="AB1933" s="70" t="str">
        <f t="shared" ref="AB1933:AB1996" si="679">IF(AND($E1933&gt;0,$J1933="ELECOM",ISNUMBER(SEARCH("Chuột bi",$C1933))),20000*$D1933,IF($A1933&lt;&gt;"",0,""))</f>
        <v/>
      </c>
      <c r="AC1933" s="70" t="str">
        <f t="shared" ref="AC1933:AC1996" si="680">IF(AND($E1933&gt;0,$J1933="ELECOM",ISNUMBER(SEARCH("Chuột trackball",$C1933))),20000*$D1933,IF($A1933&lt;&gt;"",0,""))</f>
        <v/>
      </c>
      <c r="AD1933" s="70" t="str">
        <f t="shared" ref="AD1933:AD1996" si="681">IF(AND($E1933&gt;0,$J1933="ELECOM",ISNUMBER(SEARCH("Sạc không dây",$C1933))),20000*$D1933,IF($A1933&lt;&gt;"",0,""))</f>
        <v/>
      </c>
      <c r="AE1933" s="70" t="str">
        <f t="shared" ref="AE1933:AE1996" si="682">IF(AND($E1933&gt;0,$J1933="ELECOM",ISNUMBER(SEARCH("Sạc kd",$C1933))),20000*$D1933,IF($A1933&lt;&gt;"",0,""))</f>
        <v/>
      </c>
      <c r="AF1933" s="16"/>
      <c r="AG1933" s="23"/>
      <c r="AH1933" s="22"/>
      <c r="AJ1933" s="83">
        <f t="shared" ref="AJ1933:AJ1996" si="683">DAY(H1933)</f>
        <v>0</v>
      </c>
      <c r="AO1933" s="22" t="str">
        <f t="shared" ref="AO1933:AO1996" si="684">IF(AND($E1933&gt;0,ISNUMBER(SEARCH("Sạc dự phòng Energizer",$C1933))),10000*$D1933,IF($A1933&lt;&gt;"",0,""))</f>
        <v/>
      </c>
      <c r="AP1933" s="22" t="str">
        <f t="shared" ref="AP1933:AP1996" si="685">IF(AND($E1933&gt;0,ISNUMBER(SEARCH("SDP Energizer",$C1933))),10000*$D1933,IF($A1933&lt;&gt;"",0,""))</f>
        <v/>
      </c>
    </row>
    <row r="1934" spans="1:42" x14ac:dyDescent="0.25">
      <c r="A1934" s="10"/>
      <c r="B1934" s="10"/>
      <c r="C1934" s="10"/>
      <c r="D1934" s="10"/>
      <c r="E1934" s="10"/>
      <c r="F1934" s="10"/>
      <c r="G1934" s="10"/>
      <c r="H1934" s="17"/>
      <c r="I1934" s="10"/>
      <c r="J1934" s="10"/>
      <c r="K1934" s="16" t="str">
        <f t="shared" si="664"/>
        <v/>
      </c>
      <c r="L1934" s="23" t="str">
        <f t="shared" si="665"/>
        <v/>
      </c>
      <c r="M1934" s="22" t="str">
        <f t="shared" si="666"/>
        <v/>
      </c>
      <c r="N1934" s="72"/>
      <c r="O1934" s="16" t="str">
        <f t="shared" si="667"/>
        <v/>
      </c>
      <c r="P1934" s="16" t="str">
        <f t="shared" si="668"/>
        <v/>
      </c>
      <c r="Q1934" s="16" t="str">
        <f t="shared" si="669"/>
        <v/>
      </c>
      <c r="R1934" s="23" t="str">
        <f t="shared" si="670"/>
        <v/>
      </c>
      <c r="S1934" s="23" t="str">
        <f t="shared" si="671"/>
        <v/>
      </c>
      <c r="T1934" s="23" t="str">
        <f t="shared" si="672"/>
        <v/>
      </c>
      <c r="U1934" s="23" t="str">
        <f t="shared" si="673"/>
        <v/>
      </c>
      <c r="V1934" s="23" t="str">
        <f t="shared" si="674"/>
        <v/>
      </c>
      <c r="W1934" s="70" t="str">
        <f t="shared" si="675"/>
        <v/>
      </c>
      <c r="X1934" s="70" t="str">
        <f t="shared" si="676"/>
        <v/>
      </c>
      <c r="Y1934" s="70" t="str">
        <f>IF(AND($A1934&lt;&gt;"",$E1934&gt;0),isLaptopBag($C1934,$J1934)*$D1934,"")</f>
        <v/>
      </c>
      <c r="Z1934" s="70" t="str">
        <f t="shared" si="677"/>
        <v/>
      </c>
      <c r="AA1934" s="70" t="str">
        <f t="shared" si="678"/>
        <v/>
      </c>
      <c r="AB1934" s="70" t="str">
        <f t="shared" si="679"/>
        <v/>
      </c>
      <c r="AC1934" s="70" t="str">
        <f t="shared" si="680"/>
        <v/>
      </c>
      <c r="AD1934" s="70" t="str">
        <f t="shared" si="681"/>
        <v/>
      </c>
      <c r="AE1934" s="70" t="str">
        <f t="shared" si="682"/>
        <v/>
      </c>
      <c r="AF1934" s="16"/>
      <c r="AG1934" s="23"/>
      <c r="AH1934" s="22"/>
      <c r="AJ1934" s="83">
        <f t="shared" si="683"/>
        <v>0</v>
      </c>
      <c r="AO1934" s="22" t="str">
        <f t="shared" si="684"/>
        <v/>
      </c>
      <c r="AP1934" s="22" t="str">
        <f t="shared" si="685"/>
        <v/>
      </c>
    </row>
    <row r="1935" spans="1:42" x14ac:dyDescent="0.25">
      <c r="A1935" s="10"/>
      <c r="B1935" s="10"/>
      <c r="C1935" s="10"/>
      <c r="D1935" s="10"/>
      <c r="E1935" s="10"/>
      <c r="F1935" s="10"/>
      <c r="G1935" s="10"/>
      <c r="H1935" s="17"/>
      <c r="I1935" s="10"/>
      <c r="J1935" s="10"/>
      <c r="K1935" s="16" t="str">
        <f t="shared" si="664"/>
        <v/>
      </c>
      <c r="L1935" s="23" t="str">
        <f t="shared" si="665"/>
        <v/>
      </c>
      <c r="M1935" s="22" t="str">
        <f t="shared" si="666"/>
        <v/>
      </c>
      <c r="N1935" s="72"/>
      <c r="O1935" s="16" t="str">
        <f t="shared" si="667"/>
        <v/>
      </c>
      <c r="P1935" s="16" t="str">
        <f t="shared" si="668"/>
        <v/>
      </c>
      <c r="Q1935" s="16" t="str">
        <f t="shared" si="669"/>
        <v/>
      </c>
      <c r="R1935" s="23" t="str">
        <f t="shared" si="670"/>
        <v/>
      </c>
      <c r="S1935" s="23" t="str">
        <f t="shared" si="671"/>
        <v/>
      </c>
      <c r="T1935" s="23" t="str">
        <f t="shared" si="672"/>
        <v/>
      </c>
      <c r="U1935" s="23" t="str">
        <f t="shared" si="673"/>
        <v/>
      </c>
      <c r="V1935" s="23" t="str">
        <f t="shared" si="674"/>
        <v/>
      </c>
      <c r="W1935" s="70" t="str">
        <f t="shared" si="675"/>
        <v/>
      </c>
      <c r="X1935" s="70" t="str">
        <f t="shared" si="676"/>
        <v/>
      </c>
      <c r="Y1935" s="70" t="str">
        <f>IF(AND($A1935&lt;&gt;"",$E1935&gt;0),isLaptopBag($C1935,$J1935)*$D1935,"")</f>
        <v/>
      </c>
      <c r="Z1935" s="70" t="str">
        <f t="shared" si="677"/>
        <v/>
      </c>
      <c r="AA1935" s="70" t="str">
        <f t="shared" si="678"/>
        <v/>
      </c>
      <c r="AB1935" s="70" t="str">
        <f t="shared" si="679"/>
        <v/>
      </c>
      <c r="AC1935" s="70" t="str">
        <f t="shared" si="680"/>
        <v/>
      </c>
      <c r="AD1935" s="70" t="str">
        <f t="shared" si="681"/>
        <v/>
      </c>
      <c r="AE1935" s="70" t="str">
        <f t="shared" si="682"/>
        <v/>
      </c>
      <c r="AF1935" s="16"/>
      <c r="AG1935" s="23"/>
      <c r="AH1935" s="22"/>
      <c r="AJ1935" s="83">
        <f t="shared" si="683"/>
        <v>0</v>
      </c>
      <c r="AO1935" s="22" t="str">
        <f t="shared" si="684"/>
        <v/>
      </c>
      <c r="AP1935" s="22" t="str">
        <f t="shared" si="685"/>
        <v/>
      </c>
    </row>
    <row r="1936" spans="1:42" x14ac:dyDescent="0.25">
      <c r="A1936" s="10"/>
      <c r="B1936" s="10"/>
      <c r="C1936" s="10"/>
      <c r="D1936" s="10"/>
      <c r="E1936" s="10"/>
      <c r="F1936" s="10"/>
      <c r="G1936" s="10"/>
      <c r="H1936" s="17"/>
      <c r="I1936" s="10"/>
      <c r="J1936" s="10"/>
      <c r="K1936" s="16" t="str">
        <f t="shared" si="664"/>
        <v/>
      </c>
      <c r="L1936" s="23" t="str">
        <f t="shared" si="665"/>
        <v/>
      </c>
      <c r="M1936" s="22" t="str">
        <f t="shared" si="666"/>
        <v/>
      </c>
      <c r="N1936" s="72"/>
      <c r="O1936" s="16" t="str">
        <f t="shared" si="667"/>
        <v/>
      </c>
      <c r="P1936" s="16" t="str">
        <f t="shared" si="668"/>
        <v/>
      </c>
      <c r="Q1936" s="16" t="str">
        <f t="shared" si="669"/>
        <v/>
      </c>
      <c r="R1936" s="23" t="str">
        <f t="shared" si="670"/>
        <v/>
      </c>
      <c r="S1936" s="23" t="str">
        <f t="shared" si="671"/>
        <v/>
      </c>
      <c r="T1936" s="23" t="str">
        <f t="shared" si="672"/>
        <v/>
      </c>
      <c r="U1936" s="23" t="str">
        <f t="shared" si="673"/>
        <v/>
      </c>
      <c r="V1936" s="23" t="str">
        <f t="shared" si="674"/>
        <v/>
      </c>
      <c r="W1936" s="70" t="str">
        <f t="shared" si="675"/>
        <v/>
      </c>
      <c r="X1936" s="70" t="str">
        <f t="shared" si="676"/>
        <v/>
      </c>
      <c r="Y1936" s="70" t="str">
        <f>IF(AND($A1936&lt;&gt;"",$E1936&gt;0),isLaptopBag($C1936,$J1936)*$D1936,"")</f>
        <v/>
      </c>
      <c r="Z1936" s="70" t="str">
        <f t="shared" si="677"/>
        <v/>
      </c>
      <c r="AA1936" s="70" t="str">
        <f t="shared" si="678"/>
        <v/>
      </c>
      <c r="AB1936" s="70" t="str">
        <f t="shared" si="679"/>
        <v/>
      </c>
      <c r="AC1936" s="70" t="str">
        <f t="shared" si="680"/>
        <v/>
      </c>
      <c r="AD1936" s="70" t="str">
        <f t="shared" si="681"/>
        <v/>
      </c>
      <c r="AE1936" s="70" t="str">
        <f t="shared" si="682"/>
        <v/>
      </c>
      <c r="AF1936" s="16"/>
      <c r="AG1936" s="23"/>
      <c r="AH1936" s="22"/>
      <c r="AJ1936" s="83">
        <f t="shared" si="683"/>
        <v>0</v>
      </c>
      <c r="AO1936" s="22" t="str">
        <f t="shared" si="684"/>
        <v/>
      </c>
      <c r="AP1936" s="22" t="str">
        <f t="shared" si="685"/>
        <v/>
      </c>
    </row>
    <row r="1937" spans="1:42" x14ac:dyDescent="0.25">
      <c r="A1937" s="10"/>
      <c r="B1937" s="10"/>
      <c r="C1937" s="10"/>
      <c r="D1937" s="10"/>
      <c r="E1937" s="10"/>
      <c r="F1937" s="10"/>
      <c r="G1937" s="10"/>
      <c r="H1937" s="17"/>
      <c r="I1937" s="10"/>
      <c r="J1937" s="10"/>
      <c r="K1937" s="16" t="str">
        <f t="shared" si="664"/>
        <v/>
      </c>
      <c r="L1937" s="23" t="str">
        <f t="shared" si="665"/>
        <v/>
      </c>
      <c r="M1937" s="22" t="str">
        <f t="shared" si="666"/>
        <v/>
      </c>
      <c r="N1937" s="72"/>
      <c r="O1937" s="16" t="str">
        <f t="shared" si="667"/>
        <v/>
      </c>
      <c r="P1937" s="16" t="str">
        <f t="shared" si="668"/>
        <v/>
      </c>
      <c r="Q1937" s="16" t="str">
        <f t="shared" si="669"/>
        <v/>
      </c>
      <c r="R1937" s="23" t="str">
        <f t="shared" si="670"/>
        <v/>
      </c>
      <c r="S1937" s="23" t="str">
        <f t="shared" si="671"/>
        <v/>
      </c>
      <c r="T1937" s="23" t="str">
        <f t="shared" si="672"/>
        <v/>
      </c>
      <c r="U1937" s="23" t="str">
        <f t="shared" si="673"/>
        <v/>
      </c>
      <c r="V1937" s="23" t="str">
        <f t="shared" si="674"/>
        <v/>
      </c>
      <c r="W1937" s="70" t="str">
        <f t="shared" si="675"/>
        <v/>
      </c>
      <c r="X1937" s="70" t="str">
        <f t="shared" si="676"/>
        <v/>
      </c>
      <c r="Y1937" s="70" t="str">
        <f>IF(AND($A1937&lt;&gt;"",$E1937&gt;0),isLaptopBag($C1937,$J1937)*$D1937,"")</f>
        <v/>
      </c>
      <c r="Z1937" s="70" t="str">
        <f t="shared" si="677"/>
        <v/>
      </c>
      <c r="AA1937" s="70" t="str">
        <f t="shared" si="678"/>
        <v/>
      </c>
      <c r="AB1937" s="70" t="str">
        <f t="shared" si="679"/>
        <v/>
      </c>
      <c r="AC1937" s="70" t="str">
        <f t="shared" si="680"/>
        <v/>
      </c>
      <c r="AD1937" s="70" t="str">
        <f t="shared" si="681"/>
        <v/>
      </c>
      <c r="AE1937" s="70" t="str">
        <f t="shared" si="682"/>
        <v/>
      </c>
      <c r="AF1937" s="16"/>
      <c r="AG1937" s="23"/>
      <c r="AH1937" s="22"/>
      <c r="AJ1937" s="83">
        <f t="shared" si="683"/>
        <v>0</v>
      </c>
      <c r="AO1937" s="22" t="str">
        <f t="shared" si="684"/>
        <v/>
      </c>
      <c r="AP1937" s="22" t="str">
        <f t="shared" si="685"/>
        <v/>
      </c>
    </row>
    <row r="1938" spans="1:42" x14ac:dyDescent="0.25">
      <c r="A1938" s="10"/>
      <c r="B1938" s="10"/>
      <c r="C1938" s="10"/>
      <c r="D1938" s="10"/>
      <c r="E1938" s="10"/>
      <c r="F1938" s="10"/>
      <c r="G1938" s="10"/>
      <c r="H1938" s="17"/>
      <c r="I1938" s="10"/>
      <c r="J1938" s="10"/>
      <c r="K1938" s="16" t="str">
        <f t="shared" si="664"/>
        <v/>
      </c>
      <c r="L1938" s="23" t="str">
        <f t="shared" si="665"/>
        <v/>
      </c>
      <c r="M1938" s="22" t="str">
        <f t="shared" si="666"/>
        <v/>
      </c>
      <c r="N1938" s="72"/>
      <c r="O1938" s="16" t="str">
        <f t="shared" si="667"/>
        <v/>
      </c>
      <c r="P1938" s="16" t="str">
        <f t="shared" si="668"/>
        <v/>
      </c>
      <c r="Q1938" s="16" t="str">
        <f t="shared" si="669"/>
        <v/>
      </c>
      <c r="R1938" s="23" t="str">
        <f t="shared" si="670"/>
        <v/>
      </c>
      <c r="S1938" s="23" t="str">
        <f t="shared" si="671"/>
        <v/>
      </c>
      <c r="T1938" s="23" t="str">
        <f t="shared" si="672"/>
        <v/>
      </c>
      <c r="U1938" s="23" t="str">
        <f t="shared" si="673"/>
        <v/>
      </c>
      <c r="V1938" s="23" t="str">
        <f t="shared" si="674"/>
        <v/>
      </c>
      <c r="W1938" s="70" t="str">
        <f t="shared" si="675"/>
        <v/>
      </c>
      <c r="X1938" s="70" t="str">
        <f t="shared" si="676"/>
        <v/>
      </c>
      <c r="Y1938" s="70" t="str">
        <f>IF(AND($A1938&lt;&gt;"",$E1938&gt;0),isLaptopBag($C1938,$J1938)*$D1938,"")</f>
        <v/>
      </c>
      <c r="Z1938" s="70" t="str">
        <f t="shared" si="677"/>
        <v/>
      </c>
      <c r="AA1938" s="70" t="str">
        <f t="shared" si="678"/>
        <v/>
      </c>
      <c r="AB1938" s="70" t="str">
        <f t="shared" si="679"/>
        <v/>
      </c>
      <c r="AC1938" s="70" t="str">
        <f t="shared" si="680"/>
        <v/>
      </c>
      <c r="AD1938" s="70" t="str">
        <f t="shared" si="681"/>
        <v/>
      </c>
      <c r="AE1938" s="70" t="str">
        <f t="shared" si="682"/>
        <v/>
      </c>
      <c r="AF1938" s="16"/>
      <c r="AG1938" s="23"/>
      <c r="AH1938" s="22"/>
      <c r="AJ1938" s="83">
        <f t="shared" si="683"/>
        <v>0</v>
      </c>
      <c r="AO1938" s="22" t="str">
        <f t="shared" si="684"/>
        <v/>
      </c>
      <c r="AP1938" s="22" t="str">
        <f t="shared" si="685"/>
        <v/>
      </c>
    </row>
    <row r="1939" spans="1:42" x14ac:dyDescent="0.25">
      <c r="A1939" s="10"/>
      <c r="B1939" s="10"/>
      <c r="C1939" s="10"/>
      <c r="D1939" s="10"/>
      <c r="E1939" s="10"/>
      <c r="F1939" s="10"/>
      <c r="G1939" s="10"/>
      <c r="H1939" s="17"/>
      <c r="I1939" s="10"/>
      <c r="J1939" s="10"/>
      <c r="K1939" s="16" t="str">
        <f t="shared" si="664"/>
        <v/>
      </c>
      <c r="L1939" s="23" t="str">
        <f t="shared" si="665"/>
        <v/>
      </c>
      <c r="M1939" s="22" t="str">
        <f t="shared" si="666"/>
        <v/>
      </c>
      <c r="N1939" s="72"/>
      <c r="O1939" s="16" t="str">
        <f t="shared" si="667"/>
        <v/>
      </c>
      <c r="P1939" s="16" t="str">
        <f t="shared" si="668"/>
        <v/>
      </c>
      <c r="Q1939" s="16" t="str">
        <f t="shared" si="669"/>
        <v/>
      </c>
      <c r="R1939" s="23" t="str">
        <f t="shared" si="670"/>
        <v/>
      </c>
      <c r="S1939" s="23" t="str">
        <f t="shared" si="671"/>
        <v/>
      </c>
      <c r="T1939" s="23" t="str">
        <f t="shared" si="672"/>
        <v/>
      </c>
      <c r="U1939" s="23" t="str">
        <f t="shared" si="673"/>
        <v/>
      </c>
      <c r="V1939" s="23" t="str">
        <f t="shared" si="674"/>
        <v/>
      </c>
      <c r="W1939" s="70" t="str">
        <f t="shared" si="675"/>
        <v/>
      </c>
      <c r="X1939" s="70" t="str">
        <f t="shared" si="676"/>
        <v/>
      </c>
      <c r="Y1939" s="70" t="str">
        <f>IF(AND($A1939&lt;&gt;"",$E1939&gt;0),isLaptopBag($C1939,$J1939)*$D1939,"")</f>
        <v/>
      </c>
      <c r="Z1939" s="70" t="str">
        <f t="shared" si="677"/>
        <v/>
      </c>
      <c r="AA1939" s="70" t="str">
        <f t="shared" si="678"/>
        <v/>
      </c>
      <c r="AB1939" s="70" t="str">
        <f t="shared" si="679"/>
        <v/>
      </c>
      <c r="AC1939" s="70" t="str">
        <f t="shared" si="680"/>
        <v/>
      </c>
      <c r="AD1939" s="70" t="str">
        <f t="shared" si="681"/>
        <v/>
      </c>
      <c r="AE1939" s="70" t="str">
        <f t="shared" si="682"/>
        <v/>
      </c>
      <c r="AF1939" s="16"/>
      <c r="AG1939" s="23"/>
      <c r="AH1939" s="22"/>
      <c r="AJ1939" s="83">
        <f t="shared" si="683"/>
        <v>0</v>
      </c>
      <c r="AO1939" s="22" t="str">
        <f t="shared" si="684"/>
        <v/>
      </c>
      <c r="AP1939" s="22" t="str">
        <f t="shared" si="685"/>
        <v/>
      </c>
    </row>
    <row r="1940" spans="1:42" x14ac:dyDescent="0.25">
      <c r="A1940" s="10"/>
      <c r="B1940" s="10"/>
      <c r="C1940" s="10"/>
      <c r="D1940" s="10"/>
      <c r="E1940" s="10"/>
      <c r="F1940" s="10"/>
      <c r="G1940" s="10"/>
      <c r="H1940" s="17"/>
      <c r="I1940" s="10"/>
      <c r="J1940" s="10"/>
      <c r="K1940" s="16" t="str">
        <f t="shared" si="664"/>
        <v/>
      </c>
      <c r="L1940" s="23" t="str">
        <f t="shared" si="665"/>
        <v/>
      </c>
      <c r="M1940" s="22" t="str">
        <f t="shared" si="666"/>
        <v/>
      </c>
      <c r="N1940" s="72"/>
      <c r="O1940" s="16" t="str">
        <f t="shared" si="667"/>
        <v/>
      </c>
      <c r="P1940" s="16" t="str">
        <f t="shared" si="668"/>
        <v/>
      </c>
      <c r="Q1940" s="16" t="str">
        <f t="shared" si="669"/>
        <v/>
      </c>
      <c r="R1940" s="23" t="str">
        <f t="shared" si="670"/>
        <v/>
      </c>
      <c r="S1940" s="23" t="str">
        <f t="shared" si="671"/>
        <v/>
      </c>
      <c r="T1940" s="23" t="str">
        <f t="shared" si="672"/>
        <v/>
      </c>
      <c r="U1940" s="23" t="str">
        <f t="shared" si="673"/>
        <v/>
      </c>
      <c r="V1940" s="23" t="str">
        <f t="shared" si="674"/>
        <v/>
      </c>
      <c r="W1940" s="70" t="str">
        <f t="shared" si="675"/>
        <v/>
      </c>
      <c r="X1940" s="70" t="str">
        <f t="shared" si="676"/>
        <v/>
      </c>
      <c r="Y1940" s="70" t="str">
        <f>IF(AND($A1940&lt;&gt;"",$E1940&gt;0),isLaptopBag($C1940,$J1940)*$D1940,"")</f>
        <v/>
      </c>
      <c r="Z1940" s="70" t="str">
        <f t="shared" si="677"/>
        <v/>
      </c>
      <c r="AA1940" s="70" t="str">
        <f t="shared" si="678"/>
        <v/>
      </c>
      <c r="AB1940" s="70" t="str">
        <f t="shared" si="679"/>
        <v/>
      </c>
      <c r="AC1940" s="70" t="str">
        <f t="shared" si="680"/>
        <v/>
      </c>
      <c r="AD1940" s="70" t="str">
        <f t="shared" si="681"/>
        <v/>
      </c>
      <c r="AE1940" s="70" t="str">
        <f t="shared" si="682"/>
        <v/>
      </c>
      <c r="AF1940" s="16"/>
      <c r="AG1940" s="23"/>
      <c r="AH1940" s="22"/>
      <c r="AJ1940" s="83">
        <f t="shared" si="683"/>
        <v>0</v>
      </c>
      <c r="AO1940" s="22" t="str">
        <f t="shared" si="684"/>
        <v/>
      </c>
      <c r="AP1940" s="22" t="str">
        <f t="shared" si="685"/>
        <v/>
      </c>
    </row>
    <row r="1941" spans="1:42" x14ac:dyDescent="0.25">
      <c r="A1941" s="10"/>
      <c r="B1941" s="10"/>
      <c r="C1941" s="10"/>
      <c r="D1941" s="10"/>
      <c r="E1941" s="10"/>
      <c r="F1941" s="10"/>
      <c r="G1941" s="10"/>
      <c r="H1941" s="17"/>
      <c r="I1941" s="10"/>
      <c r="J1941" s="10"/>
      <c r="K1941" s="16" t="str">
        <f t="shared" si="664"/>
        <v/>
      </c>
      <c r="L1941" s="23" t="str">
        <f t="shared" si="665"/>
        <v/>
      </c>
      <c r="M1941" s="22" t="str">
        <f t="shared" si="666"/>
        <v/>
      </c>
      <c r="N1941" s="72"/>
      <c r="O1941" s="16" t="str">
        <f t="shared" si="667"/>
        <v/>
      </c>
      <c r="P1941" s="16" t="str">
        <f t="shared" si="668"/>
        <v/>
      </c>
      <c r="Q1941" s="16" t="str">
        <f t="shared" si="669"/>
        <v/>
      </c>
      <c r="R1941" s="23" t="str">
        <f t="shared" si="670"/>
        <v/>
      </c>
      <c r="S1941" s="23" t="str">
        <f t="shared" si="671"/>
        <v/>
      </c>
      <c r="T1941" s="23" t="str">
        <f t="shared" si="672"/>
        <v/>
      </c>
      <c r="U1941" s="23" t="str">
        <f t="shared" si="673"/>
        <v/>
      </c>
      <c r="V1941" s="23" t="str">
        <f t="shared" si="674"/>
        <v/>
      </c>
      <c r="W1941" s="70" t="str">
        <f t="shared" si="675"/>
        <v/>
      </c>
      <c r="X1941" s="70" t="str">
        <f t="shared" si="676"/>
        <v/>
      </c>
      <c r="Y1941" s="70" t="str">
        <f>IF(AND($A1941&lt;&gt;"",$E1941&gt;0),isLaptopBag($C1941,$J1941)*$D1941,"")</f>
        <v/>
      </c>
      <c r="Z1941" s="70" t="str">
        <f t="shared" si="677"/>
        <v/>
      </c>
      <c r="AA1941" s="70" t="str">
        <f t="shared" si="678"/>
        <v/>
      </c>
      <c r="AB1941" s="70" t="str">
        <f t="shared" si="679"/>
        <v/>
      </c>
      <c r="AC1941" s="70" t="str">
        <f t="shared" si="680"/>
        <v/>
      </c>
      <c r="AD1941" s="70" t="str">
        <f t="shared" si="681"/>
        <v/>
      </c>
      <c r="AE1941" s="70" t="str">
        <f t="shared" si="682"/>
        <v/>
      </c>
      <c r="AF1941" s="16"/>
      <c r="AG1941" s="23"/>
      <c r="AH1941" s="22"/>
      <c r="AJ1941" s="83">
        <f t="shared" si="683"/>
        <v>0</v>
      </c>
      <c r="AO1941" s="22" t="str">
        <f t="shared" si="684"/>
        <v/>
      </c>
      <c r="AP1941" s="22" t="str">
        <f t="shared" si="685"/>
        <v/>
      </c>
    </row>
    <row r="1942" spans="1:42" x14ac:dyDescent="0.25">
      <c r="A1942" s="10"/>
      <c r="B1942" s="10"/>
      <c r="C1942" s="10"/>
      <c r="D1942" s="10"/>
      <c r="E1942" s="10"/>
      <c r="F1942" s="10"/>
      <c r="G1942" s="10"/>
      <c r="H1942" s="17"/>
      <c r="I1942" s="10"/>
      <c r="J1942" s="10"/>
      <c r="K1942" s="16" t="str">
        <f t="shared" si="664"/>
        <v/>
      </c>
      <c r="L1942" s="23" t="str">
        <f t="shared" si="665"/>
        <v/>
      </c>
      <c r="M1942" s="22" t="str">
        <f t="shared" si="666"/>
        <v/>
      </c>
      <c r="N1942" s="72"/>
      <c r="O1942" s="16" t="str">
        <f t="shared" si="667"/>
        <v/>
      </c>
      <c r="P1942" s="16" t="str">
        <f t="shared" si="668"/>
        <v/>
      </c>
      <c r="Q1942" s="16" t="str">
        <f t="shared" si="669"/>
        <v/>
      </c>
      <c r="R1942" s="23" t="str">
        <f t="shared" si="670"/>
        <v/>
      </c>
      <c r="S1942" s="23" t="str">
        <f t="shared" si="671"/>
        <v/>
      </c>
      <c r="T1942" s="23" t="str">
        <f t="shared" si="672"/>
        <v/>
      </c>
      <c r="U1942" s="23" t="str">
        <f t="shared" si="673"/>
        <v/>
      </c>
      <c r="V1942" s="23" t="str">
        <f t="shared" si="674"/>
        <v/>
      </c>
      <c r="W1942" s="70" t="str">
        <f t="shared" si="675"/>
        <v/>
      </c>
      <c r="X1942" s="70" t="str">
        <f t="shared" si="676"/>
        <v/>
      </c>
      <c r="Y1942" s="70" t="str">
        <f>IF(AND($A1942&lt;&gt;"",$E1942&gt;0),isLaptopBag($C1942,$J1942)*$D1942,"")</f>
        <v/>
      </c>
      <c r="Z1942" s="70" t="str">
        <f t="shared" si="677"/>
        <v/>
      </c>
      <c r="AA1942" s="70" t="str">
        <f t="shared" si="678"/>
        <v/>
      </c>
      <c r="AB1942" s="70" t="str">
        <f t="shared" si="679"/>
        <v/>
      </c>
      <c r="AC1942" s="70" t="str">
        <f t="shared" si="680"/>
        <v/>
      </c>
      <c r="AD1942" s="70" t="str">
        <f t="shared" si="681"/>
        <v/>
      </c>
      <c r="AE1942" s="70" t="str">
        <f t="shared" si="682"/>
        <v/>
      </c>
      <c r="AF1942" s="16"/>
      <c r="AG1942" s="23"/>
      <c r="AH1942" s="22"/>
      <c r="AJ1942" s="83">
        <f t="shared" si="683"/>
        <v>0</v>
      </c>
      <c r="AO1942" s="22" t="str">
        <f t="shared" si="684"/>
        <v/>
      </c>
      <c r="AP1942" s="22" t="str">
        <f t="shared" si="685"/>
        <v/>
      </c>
    </row>
    <row r="1943" spans="1:42" x14ac:dyDescent="0.25">
      <c r="A1943" s="10"/>
      <c r="B1943" s="10"/>
      <c r="C1943" s="10"/>
      <c r="D1943" s="10"/>
      <c r="E1943" s="10"/>
      <c r="F1943" s="10"/>
      <c r="G1943" s="10"/>
      <c r="H1943" s="17"/>
      <c r="I1943" s="10"/>
      <c r="J1943" s="10"/>
      <c r="K1943" s="16" t="str">
        <f t="shared" si="664"/>
        <v/>
      </c>
      <c r="L1943" s="23" t="str">
        <f t="shared" si="665"/>
        <v/>
      </c>
      <c r="M1943" s="22" t="str">
        <f t="shared" si="666"/>
        <v/>
      </c>
      <c r="N1943" s="72"/>
      <c r="O1943" s="16" t="str">
        <f t="shared" si="667"/>
        <v/>
      </c>
      <c r="P1943" s="16" t="str">
        <f t="shared" si="668"/>
        <v/>
      </c>
      <c r="Q1943" s="16" t="str">
        <f t="shared" si="669"/>
        <v/>
      </c>
      <c r="R1943" s="23" t="str">
        <f t="shared" si="670"/>
        <v/>
      </c>
      <c r="S1943" s="23" t="str">
        <f t="shared" si="671"/>
        <v/>
      </c>
      <c r="T1943" s="23" t="str">
        <f t="shared" si="672"/>
        <v/>
      </c>
      <c r="U1943" s="23" t="str">
        <f t="shared" si="673"/>
        <v/>
      </c>
      <c r="V1943" s="23" t="str">
        <f t="shared" si="674"/>
        <v/>
      </c>
      <c r="W1943" s="70" t="str">
        <f t="shared" si="675"/>
        <v/>
      </c>
      <c r="X1943" s="70" t="str">
        <f t="shared" si="676"/>
        <v/>
      </c>
      <c r="Y1943" s="70" t="str">
        <f>IF(AND($A1943&lt;&gt;"",$E1943&gt;0),isLaptopBag($C1943,$J1943)*$D1943,"")</f>
        <v/>
      </c>
      <c r="Z1943" s="70" t="str">
        <f t="shared" si="677"/>
        <v/>
      </c>
      <c r="AA1943" s="70" t="str">
        <f t="shared" si="678"/>
        <v/>
      </c>
      <c r="AB1943" s="70" t="str">
        <f t="shared" si="679"/>
        <v/>
      </c>
      <c r="AC1943" s="70" t="str">
        <f t="shared" si="680"/>
        <v/>
      </c>
      <c r="AD1943" s="70" t="str">
        <f t="shared" si="681"/>
        <v/>
      </c>
      <c r="AE1943" s="70" t="str">
        <f t="shared" si="682"/>
        <v/>
      </c>
      <c r="AF1943" s="16"/>
      <c r="AG1943" s="23"/>
      <c r="AH1943" s="22"/>
      <c r="AJ1943" s="83">
        <f t="shared" si="683"/>
        <v>0</v>
      </c>
      <c r="AO1943" s="22" t="str">
        <f t="shared" si="684"/>
        <v/>
      </c>
      <c r="AP1943" s="22" t="str">
        <f t="shared" si="685"/>
        <v/>
      </c>
    </row>
    <row r="1944" spans="1:42" x14ac:dyDescent="0.25">
      <c r="A1944" s="10"/>
      <c r="B1944" s="10"/>
      <c r="C1944" s="10"/>
      <c r="D1944" s="10"/>
      <c r="E1944" s="10"/>
      <c r="F1944" s="10"/>
      <c r="G1944" s="10"/>
      <c r="H1944" s="17"/>
      <c r="I1944" s="10"/>
      <c r="J1944" s="10"/>
      <c r="K1944" s="16" t="str">
        <f t="shared" si="664"/>
        <v/>
      </c>
      <c r="L1944" s="23" t="str">
        <f t="shared" si="665"/>
        <v/>
      </c>
      <c r="M1944" s="22" t="str">
        <f t="shared" si="666"/>
        <v/>
      </c>
      <c r="N1944" s="72"/>
      <c r="O1944" s="16" t="str">
        <f t="shared" si="667"/>
        <v/>
      </c>
      <c r="P1944" s="16" t="str">
        <f t="shared" si="668"/>
        <v/>
      </c>
      <c r="Q1944" s="16" t="str">
        <f t="shared" si="669"/>
        <v/>
      </c>
      <c r="R1944" s="23" t="str">
        <f t="shared" si="670"/>
        <v/>
      </c>
      <c r="S1944" s="23" t="str">
        <f t="shared" si="671"/>
        <v/>
      </c>
      <c r="T1944" s="23" t="str">
        <f t="shared" si="672"/>
        <v/>
      </c>
      <c r="U1944" s="23" t="str">
        <f t="shared" si="673"/>
        <v/>
      </c>
      <c r="V1944" s="23" t="str">
        <f t="shared" si="674"/>
        <v/>
      </c>
      <c r="W1944" s="70" t="str">
        <f t="shared" si="675"/>
        <v/>
      </c>
      <c r="X1944" s="70" t="str">
        <f t="shared" si="676"/>
        <v/>
      </c>
      <c r="Y1944" s="70" t="str">
        <f>IF(AND($A1944&lt;&gt;"",$E1944&gt;0),isLaptopBag($C1944,$J1944)*$D1944,"")</f>
        <v/>
      </c>
      <c r="Z1944" s="70" t="str">
        <f t="shared" si="677"/>
        <v/>
      </c>
      <c r="AA1944" s="70" t="str">
        <f t="shared" si="678"/>
        <v/>
      </c>
      <c r="AB1944" s="70" t="str">
        <f t="shared" si="679"/>
        <v/>
      </c>
      <c r="AC1944" s="70" t="str">
        <f t="shared" si="680"/>
        <v/>
      </c>
      <c r="AD1944" s="70" t="str">
        <f t="shared" si="681"/>
        <v/>
      </c>
      <c r="AE1944" s="70" t="str">
        <f t="shared" si="682"/>
        <v/>
      </c>
      <c r="AF1944" s="16"/>
      <c r="AG1944" s="23"/>
      <c r="AH1944" s="22"/>
      <c r="AJ1944" s="83">
        <f t="shared" si="683"/>
        <v>0</v>
      </c>
      <c r="AO1944" s="22" t="str">
        <f t="shared" si="684"/>
        <v/>
      </c>
      <c r="AP1944" s="22" t="str">
        <f t="shared" si="685"/>
        <v/>
      </c>
    </row>
    <row r="1945" spans="1:42" x14ac:dyDescent="0.25">
      <c r="A1945" s="10"/>
      <c r="B1945" s="10"/>
      <c r="C1945" s="10"/>
      <c r="D1945" s="10"/>
      <c r="E1945" s="10"/>
      <c r="F1945" s="10"/>
      <c r="G1945" s="10"/>
      <c r="H1945" s="17"/>
      <c r="I1945" s="10"/>
      <c r="J1945" s="10"/>
      <c r="K1945" s="16" t="str">
        <f t="shared" si="664"/>
        <v/>
      </c>
      <c r="L1945" s="23" t="str">
        <f t="shared" si="665"/>
        <v/>
      </c>
      <c r="M1945" s="22" t="str">
        <f t="shared" si="666"/>
        <v/>
      </c>
      <c r="N1945" s="72"/>
      <c r="O1945" s="16" t="str">
        <f t="shared" si="667"/>
        <v/>
      </c>
      <c r="P1945" s="16" t="str">
        <f t="shared" si="668"/>
        <v/>
      </c>
      <c r="Q1945" s="16" t="str">
        <f t="shared" si="669"/>
        <v/>
      </c>
      <c r="R1945" s="23" t="str">
        <f t="shared" si="670"/>
        <v/>
      </c>
      <c r="S1945" s="23" t="str">
        <f t="shared" si="671"/>
        <v/>
      </c>
      <c r="T1945" s="23" t="str">
        <f t="shared" si="672"/>
        <v/>
      </c>
      <c r="U1945" s="23" t="str">
        <f t="shared" si="673"/>
        <v/>
      </c>
      <c r="V1945" s="23" t="str">
        <f t="shared" si="674"/>
        <v/>
      </c>
      <c r="W1945" s="70" t="str">
        <f t="shared" si="675"/>
        <v/>
      </c>
      <c r="X1945" s="70" t="str">
        <f t="shared" si="676"/>
        <v/>
      </c>
      <c r="Y1945" s="70" t="str">
        <f>IF(AND($A1945&lt;&gt;"",$E1945&gt;0),isLaptopBag($C1945,$J1945)*$D1945,"")</f>
        <v/>
      </c>
      <c r="Z1945" s="70" t="str">
        <f t="shared" si="677"/>
        <v/>
      </c>
      <c r="AA1945" s="70" t="str">
        <f t="shared" si="678"/>
        <v/>
      </c>
      <c r="AB1945" s="70" t="str">
        <f t="shared" si="679"/>
        <v/>
      </c>
      <c r="AC1945" s="70" t="str">
        <f t="shared" si="680"/>
        <v/>
      </c>
      <c r="AD1945" s="70" t="str">
        <f t="shared" si="681"/>
        <v/>
      </c>
      <c r="AE1945" s="70" t="str">
        <f t="shared" si="682"/>
        <v/>
      </c>
      <c r="AF1945" s="16"/>
      <c r="AG1945" s="23"/>
      <c r="AH1945" s="22"/>
      <c r="AJ1945" s="83">
        <f t="shared" si="683"/>
        <v>0</v>
      </c>
      <c r="AO1945" s="22" t="str">
        <f t="shared" si="684"/>
        <v/>
      </c>
      <c r="AP1945" s="22" t="str">
        <f t="shared" si="685"/>
        <v/>
      </c>
    </row>
    <row r="1946" spans="1:42" x14ac:dyDescent="0.25">
      <c r="A1946" s="10"/>
      <c r="B1946" s="10"/>
      <c r="C1946" s="10"/>
      <c r="D1946" s="10"/>
      <c r="E1946" s="10"/>
      <c r="F1946" s="10"/>
      <c r="G1946" s="10"/>
      <c r="H1946" s="17"/>
      <c r="I1946" s="10"/>
      <c r="J1946" s="10"/>
      <c r="K1946" s="16" t="str">
        <f t="shared" si="664"/>
        <v/>
      </c>
      <c r="L1946" s="23" t="str">
        <f t="shared" si="665"/>
        <v/>
      </c>
      <c r="M1946" s="22" t="str">
        <f t="shared" si="666"/>
        <v/>
      </c>
      <c r="N1946" s="72"/>
      <c r="O1946" s="16" t="str">
        <f t="shared" si="667"/>
        <v/>
      </c>
      <c r="P1946" s="16" t="str">
        <f t="shared" si="668"/>
        <v/>
      </c>
      <c r="Q1946" s="16" t="str">
        <f t="shared" si="669"/>
        <v/>
      </c>
      <c r="R1946" s="23" t="str">
        <f t="shared" si="670"/>
        <v/>
      </c>
      <c r="S1946" s="23" t="str">
        <f t="shared" si="671"/>
        <v/>
      </c>
      <c r="T1946" s="23" t="str">
        <f t="shared" si="672"/>
        <v/>
      </c>
      <c r="U1946" s="23" t="str">
        <f t="shared" si="673"/>
        <v/>
      </c>
      <c r="V1946" s="23" t="str">
        <f t="shared" si="674"/>
        <v/>
      </c>
      <c r="W1946" s="70" t="str">
        <f t="shared" si="675"/>
        <v/>
      </c>
      <c r="X1946" s="70" t="str">
        <f t="shared" si="676"/>
        <v/>
      </c>
      <c r="Y1946" s="70" t="str">
        <f>IF(AND($A1946&lt;&gt;"",$E1946&gt;0),isLaptopBag($C1946,$J1946)*$D1946,"")</f>
        <v/>
      </c>
      <c r="Z1946" s="70" t="str">
        <f t="shared" si="677"/>
        <v/>
      </c>
      <c r="AA1946" s="70" t="str">
        <f t="shared" si="678"/>
        <v/>
      </c>
      <c r="AB1946" s="70" t="str">
        <f t="shared" si="679"/>
        <v/>
      </c>
      <c r="AC1946" s="70" t="str">
        <f t="shared" si="680"/>
        <v/>
      </c>
      <c r="AD1946" s="70" t="str">
        <f t="shared" si="681"/>
        <v/>
      </c>
      <c r="AE1946" s="70" t="str">
        <f t="shared" si="682"/>
        <v/>
      </c>
      <c r="AF1946" s="16"/>
      <c r="AG1946" s="23"/>
      <c r="AH1946" s="22"/>
      <c r="AJ1946" s="83">
        <f t="shared" si="683"/>
        <v>0</v>
      </c>
      <c r="AO1946" s="22" t="str">
        <f t="shared" si="684"/>
        <v/>
      </c>
      <c r="AP1946" s="22" t="str">
        <f t="shared" si="685"/>
        <v/>
      </c>
    </row>
    <row r="1947" spans="1:42" x14ac:dyDescent="0.25">
      <c r="A1947" s="10"/>
      <c r="B1947" s="10"/>
      <c r="C1947" s="10"/>
      <c r="D1947" s="10"/>
      <c r="E1947" s="10"/>
      <c r="F1947" s="10"/>
      <c r="G1947" s="10"/>
      <c r="H1947" s="17"/>
      <c r="I1947" s="10"/>
      <c r="J1947" s="10"/>
      <c r="K1947" s="16" t="str">
        <f t="shared" si="664"/>
        <v/>
      </c>
      <c r="L1947" s="23" t="str">
        <f t="shared" si="665"/>
        <v/>
      </c>
      <c r="M1947" s="22" t="str">
        <f t="shared" si="666"/>
        <v/>
      </c>
      <c r="N1947" s="72"/>
      <c r="O1947" s="16" t="str">
        <f t="shared" si="667"/>
        <v/>
      </c>
      <c r="P1947" s="16" t="str">
        <f t="shared" si="668"/>
        <v/>
      </c>
      <c r="Q1947" s="16" t="str">
        <f t="shared" si="669"/>
        <v/>
      </c>
      <c r="R1947" s="23" t="str">
        <f t="shared" si="670"/>
        <v/>
      </c>
      <c r="S1947" s="23" t="str">
        <f t="shared" si="671"/>
        <v/>
      </c>
      <c r="T1947" s="23" t="str">
        <f t="shared" si="672"/>
        <v/>
      </c>
      <c r="U1947" s="23" t="str">
        <f t="shared" si="673"/>
        <v/>
      </c>
      <c r="V1947" s="23" t="str">
        <f t="shared" si="674"/>
        <v/>
      </c>
      <c r="W1947" s="70" t="str">
        <f t="shared" si="675"/>
        <v/>
      </c>
      <c r="X1947" s="70" t="str">
        <f t="shared" si="676"/>
        <v/>
      </c>
      <c r="Y1947" s="70" t="str">
        <f>IF(AND($A1947&lt;&gt;"",$E1947&gt;0),isLaptopBag($C1947,$J1947)*$D1947,"")</f>
        <v/>
      </c>
      <c r="Z1947" s="70" t="str">
        <f t="shared" si="677"/>
        <v/>
      </c>
      <c r="AA1947" s="70" t="str">
        <f t="shared" si="678"/>
        <v/>
      </c>
      <c r="AB1947" s="70" t="str">
        <f t="shared" si="679"/>
        <v/>
      </c>
      <c r="AC1947" s="70" t="str">
        <f t="shared" si="680"/>
        <v/>
      </c>
      <c r="AD1947" s="70" t="str">
        <f t="shared" si="681"/>
        <v/>
      </c>
      <c r="AE1947" s="70" t="str">
        <f t="shared" si="682"/>
        <v/>
      </c>
      <c r="AF1947" s="16"/>
      <c r="AG1947" s="23"/>
      <c r="AH1947" s="22"/>
      <c r="AJ1947" s="83">
        <f t="shared" si="683"/>
        <v>0</v>
      </c>
      <c r="AO1947" s="22" t="str">
        <f t="shared" si="684"/>
        <v/>
      </c>
      <c r="AP1947" s="22" t="str">
        <f t="shared" si="685"/>
        <v/>
      </c>
    </row>
    <row r="1948" spans="1:42" x14ac:dyDescent="0.25">
      <c r="A1948" s="10"/>
      <c r="B1948" s="10"/>
      <c r="C1948" s="10"/>
      <c r="D1948" s="10"/>
      <c r="E1948" s="10"/>
      <c r="F1948" s="10"/>
      <c r="G1948" s="10"/>
      <c r="H1948" s="17"/>
      <c r="I1948" s="10"/>
      <c r="J1948" s="10"/>
      <c r="K1948" s="16" t="str">
        <f t="shared" si="664"/>
        <v/>
      </c>
      <c r="L1948" s="23" t="str">
        <f t="shared" si="665"/>
        <v/>
      </c>
      <c r="M1948" s="22" t="str">
        <f t="shared" si="666"/>
        <v/>
      </c>
      <c r="N1948" s="72"/>
      <c r="O1948" s="16" t="str">
        <f t="shared" si="667"/>
        <v/>
      </c>
      <c r="P1948" s="16" t="str">
        <f t="shared" si="668"/>
        <v/>
      </c>
      <c r="Q1948" s="16" t="str">
        <f t="shared" si="669"/>
        <v/>
      </c>
      <c r="R1948" s="23" t="str">
        <f t="shared" si="670"/>
        <v/>
      </c>
      <c r="S1948" s="23" t="str">
        <f t="shared" si="671"/>
        <v/>
      </c>
      <c r="T1948" s="23" t="str">
        <f t="shared" si="672"/>
        <v/>
      </c>
      <c r="U1948" s="23" t="str">
        <f t="shared" si="673"/>
        <v/>
      </c>
      <c r="V1948" s="23" t="str">
        <f t="shared" si="674"/>
        <v/>
      </c>
      <c r="W1948" s="70" t="str">
        <f t="shared" si="675"/>
        <v/>
      </c>
      <c r="X1948" s="70" t="str">
        <f t="shared" si="676"/>
        <v/>
      </c>
      <c r="Y1948" s="70" t="str">
        <f>IF(AND($A1948&lt;&gt;"",$E1948&gt;0),isLaptopBag($C1948,$J1948)*$D1948,"")</f>
        <v/>
      </c>
      <c r="Z1948" s="70" t="str">
        <f t="shared" si="677"/>
        <v/>
      </c>
      <c r="AA1948" s="70" t="str">
        <f t="shared" si="678"/>
        <v/>
      </c>
      <c r="AB1948" s="70" t="str">
        <f t="shared" si="679"/>
        <v/>
      </c>
      <c r="AC1948" s="70" t="str">
        <f t="shared" si="680"/>
        <v/>
      </c>
      <c r="AD1948" s="70" t="str">
        <f t="shared" si="681"/>
        <v/>
      </c>
      <c r="AE1948" s="70" t="str">
        <f t="shared" si="682"/>
        <v/>
      </c>
      <c r="AF1948" s="16"/>
      <c r="AG1948" s="23"/>
      <c r="AH1948" s="22"/>
      <c r="AJ1948" s="83">
        <f t="shared" si="683"/>
        <v>0</v>
      </c>
      <c r="AO1948" s="22" t="str">
        <f t="shared" si="684"/>
        <v/>
      </c>
      <c r="AP1948" s="22" t="str">
        <f t="shared" si="685"/>
        <v/>
      </c>
    </row>
    <row r="1949" spans="1:42" x14ac:dyDescent="0.25">
      <c r="A1949" s="10"/>
      <c r="B1949" s="10"/>
      <c r="C1949" s="10"/>
      <c r="D1949" s="10"/>
      <c r="E1949" s="10"/>
      <c r="F1949" s="10"/>
      <c r="G1949" s="10"/>
      <c r="H1949" s="17"/>
      <c r="I1949" s="10"/>
      <c r="J1949" s="10"/>
      <c r="K1949" s="16" t="str">
        <f t="shared" si="664"/>
        <v/>
      </c>
      <c r="L1949" s="23" t="str">
        <f t="shared" si="665"/>
        <v/>
      </c>
      <c r="M1949" s="22" t="str">
        <f t="shared" si="666"/>
        <v/>
      </c>
      <c r="N1949" s="72"/>
      <c r="O1949" s="16" t="str">
        <f t="shared" si="667"/>
        <v/>
      </c>
      <c r="P1949" s="16" t="str">
        <f t="shared" si="668"/>
        <v/>
      </c>
      <c r="Q1949" s="16" t="str">
        <f t="shared" si="669"/>
        <v/>
      </c>
      <c r="R1949" s="23" t="str">
        <f t="shared" si="670"/>
        <v/>
      </c>
      <c r="S1949" s="23" t="str">
        <f t="shared" si="671"/>
        <v/>
      </c>
      <c r="T1949" s="23" t="str">
        <f t="shared" si="672"/>
        <v/>
      </c>
      <c r="U1949" s="23" t="str">
        <f t="shared" si="673"/>
        <v/>
      </c>
      <c r="V1949" s="23" t="str">
        <f t="shared" si="674"/>
        <v/>
      </c>
      <c r="W1949" s="70" t="str">
        <f t="shared" si="675"/>
        <v/>
      </c>
      <c r="X1949" s="70" t="str">
        <f t="shared" si="676"/>
        <v/>
      </c>
      <c r="Y1949" s="70" t="str">
        <f>IF(AND($A1949&lt;&gt;"",$E1949&gt;0),isLaptopBag($C1949,$J1949)*$D1949,"")</f>
        <v/>
      </c>
      <c r="Z1949" s="70" t="str">
        <f t="shared" si="677"/>
        <v/>
      </c>
      <c r="AA1949" s="70" t="str">
        <f t="shared" si="678"/>
        <v/>
      </c>
      <c r="AB1949" s="70" t="str">
        <f t="shared" si="679"/>
        <v/>
      </c>
      <c r="AC1949" s="70" t="str">
        <f t="shared" si="680"/>
        <v/>
      </c>
      <c r="AD1949" s="70" t="str">
        <f t="shared" si="681"/>
        <v/>
      </c>
      <c r="AE1949" s="70" t="str">
        <f t="shared" si="682"/>
        <v/>
      </c>
      <c r="AF1949" s="16"/>
      <c r="AG1949" s="23"/>
      <c r="AH1949" s="22"/>
      <c r="AJ1949" s="83">
        <f t="shared" si="683"/>
        <v>0</v>
      </c>
      <c r="AO1949" s="22" t="str">
        <f t="shared" si="684"/>
        <v/>
      </c>
      <c r="AP1949" s="22" t="str">
        <f t="shared" si="685"/>
        <v/>
      </c>
    </row>
    <row r="1950" spans="1:42" x14ac:dyDescent="0.25">
      <c r="A1950" s="10"/>
      <c r="B1950" s="10"/>
      <c r="C1950" s="10"/>
      <c r="D1950" s="10"/>
      <c r="E1950" s="10"/>
      <c r="F1950" s="10"/>
      <c r="G1950" s="10"/>
      <c r="H1950" s="17"/>
      <c r="I1950" s="10"/>
      <c r="J1950" s="10"/>
      <c r="K1950" s="16" t="str">
        <f t="shared" si="664"/>
        <v/>
      </c>
      <c r="L1950" s="23" t="str">
        <f t="shared" si="665"/>
        <v/>
      </c>
      <c r="M1950" s="22" t="str">
        <f t="shared" si="666"/>
        <v/>
      </c>
      <c r="N1950" s="72"/>
      <c r="O1950" s="16" t="str">
        <f t="shared" si="667"/>
        <v/>
      </c>
      <c r="P1950" s="16" t="str">
        <f t="shared" si="668"/>
        <v/>
      </c>
      <c r="Q1950" s="16" t="str">
        <f t="shared" si="669"/>
        <v/>
      </c>
      <c r="R1950" s="23" t="str">
        <f t="shared" si="670"/>
        <v/>
      </c>
      <c r="S1950" s="23" t="str">
        <f t="shared" si="671"/>
        <v/>
      </c>
      <c r="T1950" s="23" t="str">
        <f t="shared" si="672"/>
        <v/>
      </c>
      <c r="U1950" s="23" t="str">
        <f t="shared" si="673"/>
        <v/>
      </c>
      <c r="V1950" s="23" t="str">
        <f t="shared" si="674"/>
        <v/>
      </c>
      <c r="W1950" s="70" t="str">
        <f t="shared" si="675"/>
        <v/>
      </c>
      <c r="X1950" s="70" t="str">
        <f t="shared" si="676"/>
        <v/>
      </c>
      <c r="Y1950" s="70" t="str">
        <f>IF(AND($A1950&lt;&gt;"",$E1950&gt;0),isLaptopBag($C1950,$J1950)*$D1950,"")</f>
        <v/>
      </c>
      <c r="Z1950" s="70" t="str">
        <f t="shared" si="677"/>
        <v/>
      </c>
      <c r="AA1950" s="70" t="str">
        <f t="shared" si="678"/>
        <v/>
      </c>
      <c r="AB1950" s="70" t="str">
        <f t="shared" si="679"/>
        <v/>
      </c>
      <c r="AC1950" s="70" t="str">
        <f t="shared" si="680"/>
        <v/>
      </c>
      <c r="AD1950" s="70" t="str">
        <f t="shared" si="681"/>
        <v/>
      </c>
      <c r="AE1950" s="70" t="str">
        <f t="shared" si="682"/>
        <v/>
      </c>
      <c r="AF1950" s="16"/>
      <c r="AG1950" s="23"/>
      <c r="AH1950" s="22"/>
      <c r="AJ1950" s="83">
        <f t="shared" si="683"/>
        <v>0</v>
      </c>
      <c r="AO1950" s="22" t="str">
        <f t="shared" si="684"/>
        <v/>
      </c>
      <c r="AP1950" s="22" t="str">
        <f t="shared" si="685"/>
        <v/>
      </c>
    </row>
    <row r="1951" spans="1:42" x14ac:dyDescent="0.25">
      <c r="A1951" s="10"/>
      <c r="B1951" s="10"/>
      <c r="C1951" s="10"/>
      <c r="D1951" s="10"/>
      <c r="E1951" s="10"/>
      <c r="F1951" s="10"/>
      <c r="G1951" s="10"/>
      <c r="H1951" s="17"/>
      <c r="I1951" s="10"/>
      <c r="J1951" s="10"/>
      <c r="K1951" s="16" t="str">
        <f t="shared" si="664"/>
        <v/>
      </c>
      <c r="L1951" s="23" t="str">
        <f t="shared" si="665"/>
        <v/>
      </c>
      <c r="M1951" s="22" t="str">
        <f t="shared" si="666"/>
        <v/>
      </c>
      <c r="N1951" s="72"/>
      <c r="O1951" s="16" t="str">
        <f t="shared" si="667"/>
        <v/>
      </c>
      <c r="P1951" s="16" t="str">
        <f t="shared" si="668"/>
        <v/>
      </c>
      <c r="Q1951" s="16" t="str">
        <f t="shared" si="669"/>
        <v/>
      </c>
      <c r="R1951" s="23" t="str">
        <f t="shared" si="670"/>
        <v/>
      </c>
      <c r="S1951" s="23" t="str">
        <f t="shared" si="671"/>
        <v/>
      </c>
      <c r="T1951" s="23" t="str">
        <f t="shared" si="672"/>
        <v/>
      </c>
      <c r="U1951" s="23" t="str">
        <f t="shared" si="673"/>
        <v/>
      </c>
      <c r="V1951" s="23" t="str">
        <f t="shared" si="674"/>
        <v/>
      </c>
      <c r="W1951" s="70" t="str">
        <f t="shared" si="675"/>
        <v/>
      </c>
      <c r="X1951" s="70" t="str">
        <f t="shared" si="676"/>
        <v/>
      </c>
      <c r="Y1951" s="70" t="str">
        <f>IF(AND($A1951&lt;&gt;"",$E1951&gt;0),isLaptopBag($C1951,$J1951)*$D1951,"")</f>
        <v/>
      </c>
      <c r="Z1951" s="70" t="str">
        <f t="shared" si="677"/>
        <v/>
      </c>
      <c r="AA1951" s="70" t="str">
        <f t="shared" si="678"/>
        <v/>
      </c>
      <c r="AB1951" s="70" t="str">
        <f t="shared" si="679"/>
        <v/>
      </c>
      <c r="AC1951" s="70" t="str">
        <f t="shared" si="680"/>
        <v/>
      </c>
      <c r="AD1951" s="70" t="str">
        <f t="shared" si="681"/>
        <v/>
      </c>
      <c r="AE1951" s="70" t="str">
        <f t="shared" si="682"/>
        <v/>
      </c>
      <c r="AF1951" s="16"/>
      <c r="AG1951" s="23"/>
      <c r="AH1951" s="22"/>
      <c r="AJ1951" s="83">
        <f t="shared" si="683"/>
        <v>0</v>
      </c>
      <c r="AO1951" s="22" t="str">
        <f t="shared" si="684"/>
        <v/>
      </c>
      <c r="AP1951" s="22" t="str">
        <f t="shared" si="685"/>
        <v/>
      </c>
    </row>
    <row r="1952" spans="1:42" x14ac:dyDescent="0.25">
      <c r="A1952" s="10"/>
      <c r="B1952" s="10"/>
      <c r="C1952" s="10"/>
      <c r="D1952" s="10"/>
      <c r="E1952" s="10"/>
      <c r="F1952" s="10"/>
      <c r="G1952" s="10"/>
      <c r="H1952" s="17"/>
      <c r="I1952" s="10"/>
      <c r="J1952" s="10"/>
      <c r="K1952" s="16" t="str">
        <f t="shared" si="664"/>
        <v/>
      </c>
      <c r="L1952" s="23" t="str">
        <f t="shared" si="665"/>
        <v/>
      </c>
      <c r="M1952" s="22" t="str">
        <f t="shared" si="666"/>
        <v/>
      </c>
      <c r="N1952" s="72"/>
      <c r="O1952" s="16" t="str">
        <f t="shared" si="667"/>
        <v/>
      </c>
      <c r="P1952" s="16" t="str">
        <f t="shared" si="668"/>
        <v/>
      </c>
      <c r="Q1952" s="16" t="str">
        <f t="shared" si="669"/>
        <v/>
      </c>
      <c r="R1952" s="23" t="str">
        <f t="shared" si="670"/>
        <v/>
      </c>
      <c r="S1952" s="23" t="str">
        <f t="shared" si="671"/>
        <v/>
      </c>
      <c r="T1952" s="23" t="str">
        <f t="shared" si="672"/>
        <v/>
      </c>
      <c r="U1952" s="23" t="str">
        <f t="shared" si="673"/>
        <v/>
      </c>
      <c r="V1952" s="23" t="str">
        <f t="shared" si="674"/>
        <v/>
      </c>
      <c r="W1952" s="70" t="str">
        <f t="shared" si="675"/>
        <v/>
      </c>
      <c r="X1952" s="70" t="str">
        <f t="shared" si="676"/>
        <v/>
      </c>
      <c r="Y1952" s="70" t="str">
        <f>IF(AND($A1952&lt;&gt;"",$E1952&gt;0),isLaptopBag($C1952,$J1952)*$D1952,"")</f>
        <v/>
      </c>
      <c r="Z1952" s="70" t="str">
        <f t="shared" si="677"/>
        <v/>
      </c>
      <c r="AA1952" s="70" t="str">
        <f t="shared" si="678"/>
        <v/>
      </c>
      <c r="AB1952" s="70" t="str">
        <f t="shared" si="679"/>
        <v/>
      </c>
      <c r="AC1952" s="70" t="str">
        <f t="shared" si="680"/>
        <v/>
      </c>
      <c r="AD1952" s="70" t="str">
        <f t="shared" si="681"/>
        <v/>
      </c>
      <c r="AE1952" s="70" t="str">
        <f t="shared" si="682"/>
        <v/>
      </c>
      <c r="AF1952" s="16"/>
      <c r="AG1952" s="23"/>
      <c r="AH1952" s="22"/>
      <c r="AJ1952" s="83">
        <f t="shared" si="683"/>
        <v>0</v>
      </c>
      <c r="AO1952" s="22" t="str">
        <f t="shared" si="684"/>
        <v/>
      </c>
      <c r="AP1952" s="22" t="str">
        <f t="shared" si="685"/>
        <v/>
      </c>
    </row>
    <row r="1953" spans="1:42" x14ac:dyDescent="0.25">
      <c r="A1953" s="10"/>
      <c r="B1953" s="10"/>
      <c r="C1953" s="10"/>
      <c r="D1953" s="10"/>
      <c r="E1953" s="10"/>
      <c r="F1953" s="10"/>
      <c r="G1953" s="10"/>
      <c r="H1953" s="17"/>
      <c r="I1953" s="10"/>
      <c r="J1953" s="10"/>
      <c r="K1953" s="16" t="str">
        <f t="shared" si="664"/>
        <v/>
      </c>
      <c r="L1953" s="23" t="str">
        <f t="shared" si="665"/>
        <v/>
      </c>
      <c r="M1953" s="22" t="str">
        <f t="shared" si="666"/>
        <v/>
      </c>
      <c r="N1953" s="72"/>
      <c r="O1953" s="16" t="str">
        <f t="shared" si="667"/>
        <v/>
      </c>
      <c r="P1953" s="16" t="str">
        <f t="shared" si="668"/>
        <v/>
      </c>
      <c r="Q1953" s="16" t="str">
        <f t="shared" si="669"/>
        <v/>
      </c>
      <c r="R1953" s="23" t="str">
        <f t="shared" si="670"/>
        <v/>
      </c>
      <c r="S1953" s="23" t="str">
        <f t="shared" si="671"/>
        <v/>
      </c>
      <c r="T1953" s="23" t="str">
        <f t="shared" si="672"/>
        <v/>
      </c>
      <c r="U1953" s="23" t="str">
        <f t="shared" si="673"/>
        <v/>
      </c>
      <c r="V1953" s="23" t="str">
        <f t="shared" si="674"/>
        <v/>
      </c>
      <c r="W1953" s="70" t="str">
        <f t="shared" si="675"/>
        <v/>
      </c>
      <c r="X1953" s="70" t="str">
        <f t="shared" si="676"/>
        <v/>
      </c>
      <c r="Y1953" s="70" t="str">
        <f>IF(AND($A1953&lt;&gt;"",$E1953&gt;0),isLaptopBag($C1953,$J1953)*$D1953,"")</f>
        <v/>
      </c>
      <c r="Z1953" s="70" t="str">
        <f t="shared" si="677"/>
        <v/>
      </c>
      <c r="AA1953" s="70" t="str">
        <f t="shared" si="678"/>
        <v/>
      </c>
      <c r="AB1953" s="70" t="str">
        <f t="shared" si="679"/>
        <v/>
      </c>
      <c r="AC1953" s="70" t="str">
        <f t="shared" si="680"/>
        <v/>
      </c>
      <c r="AD1953" s="70" t="str">
        <f t="shared" si="681"/>
        <v/>
      </c>
      <c r="AE1953" s="70" t="str">
        <f t="shared" si="682"/>
        <v/>
      </c>
      <c r="AF1953" s="16"/>
      <c r="AG1953" s="23"/>
      <c r="AH1953" s="22"/>
      <c r="AJ1953" s="83">
        <f t="shared" si="683"/>
        <v>0</v>
      </c>
      <c r="AO1953" s="22" t="str">
        <f t="shared" si="684"/>
        <v/>
      </c>
      <c r="AP1953" s="22" t="str">
        <f t="shared" si="685"/>
        <v/>
      </c>
    </row>
    <row r="1954" spans="1:42" x14ac:dyDescent="0.25">
      <c r="A1954" s="10"/>
      <c r="B1954" s="10"/>
      <c r="C1954" s="10"/>
      <c r="D1954" s="10"/>
      <c r="E1954" s="10"/>
      <c r="F1954" s="10"/>
      <c r="G1954" s="10"/>
      <c r="H1954" s="17"/>
      <c r="I1954" s="10"/>
      <c r="J1954" s="10"/>
      <c r="K1954" s="16" t="str">
        <f t="shared" si="664"/>
        <v/>
      </c>
      <c r="L1954" s="23" t="str">
        <f t="shared" si="665"/>
        <v/>
      </c>
      <c r="M1954" s="22" t="str">
        <f t="shared" si="666"/>
        <v/>
      </c>
      <c r="N1954" s="72"/>
      <c r="O1954" s="16" t="str">
        <f t="shared" si="667"/>
        <v/>
      </c>
      <c r="P1954" s="16" t="str">
        <f t="shared" si="668"/>
        <v/>
      </c>
      <c r="Q1954" s="16" t="str">
        <f t="shared" si="669"/>
        <v/>
      </c>
      <c r="R1954" s="23" t="str">
        <f t="shared" si="670"/>
        <v/>
      </c>
      <c r="S1954" s="23" t="str">
        <f t="shared" si="671"/>
        <v/>
      </c>
      <c r="T1954" s="23" t="str">
        <f t="shared" si="672"/>
        <v/>
      </c>
      <c r="U1954" s="23" t="str">
        <f t="shared" si="673"/>
        <v/>
      </c>
      <c r="V1954" s="23" t="str">
        <f t="shared" si="674"/>
        <v/>
      </c>
      <c r="W1954" s="70" t="str">
        <f t="shared" si="675"/>
        <v/>
      </c>
      <c r="X1954" s="70" t="str">
        <f t="shared" si="676"/>
        <v/>
      </c>
      <c r="Y1954" s="70" t="str">
        <f>IF(AND($A1954&lt;&gt;"",$E1954&gt;0),isLaptopBag($C1954,$J1954)*$D1954,"")</f>
        <v/>
      </c>
      <c r="Z1954" s="70" t="str">
        <f t="shared" si="677"/>
        <v/>
      </c>
      <c r="AA1954" s="70" t="str">
        <f t="shared" si="678"/>
        <v/>
      </c>
      <c r="AB1954" s="70" t="str">
        <f t="shared" si="679"/>
        <v/>
      </c>
      <c r="AC1954" s="70" t="str">
        <f t="shared" si="680"/>
        <v/>
      </c>
      <c r="AD1954" s="70" t="str">
        <f t="shared" si="681"/>
        <v/>
      </c>
      <c r="AE1954" s="70" t="str">
        <f t="shared" si="682"/>
        <v/>
      </c>
      <c r="AF1954" s="16"/>
      <c r="AG1954" s="23"/>
      <c r="AH1954" s="22"/>
      <c r="AJ1954" s="83">
        <f t="shared" si="683"/>
        <v>0</v>
      </c>
      <c r="AO1954" s="22" t="str">
        <f t="shared" si="684"/>
        <v/>
      </c>
      <c r="AP1954" s="22" t="str">
        <f t="shared" si="685"/>
        <v/>
      </c>
    </row>
    <row r="1955" spans="1:42" x14ac:dyDescent="0.25">
      <c r="A1955" s="10"/>
      <c r="B1955" s="10"/>
      <c r="C1955" s="10"/>
      <c r="D1955" s="10"/>
      <c r="E1955" s="10"/>
      <c r="F1955" s="10"/>
      <c r="G1955" s="10"/>
      <c r="H1955" s="17"/>
      <c r="I1955" s="10"/>
      <c r="J1955" s="10"/>
      <c r="K1955" s="16" t="str">
        <f t="shared" si="664"/>
        <v/>
      </c>
      <c r="L1955" s="23" t="str">
        <f t="shared" si="665"/>
        <v/>
      </c>
      <c r="M1955" s="22" t="str">
        <f t="shared" si="666"/>
        <v/>
      </c>
      <c r="N1955" s="72"/>
      <c r="O1955" s="16" t="str">
        <f t="shared" si="667"/>
        <v/>
      </c>
      <c r="P1955" s="16" t="str">
        <f t="shared" si="668"/>
        <v/>
      </c>
      <c r="Q1955" s="16" t="str">
        <f t="shared" si="669"/>
        <v/>
      </c>
      <c r="R1955" s="23" t="str">
        <f t="shared" si="670"/>
        <v/>
      </c>
      <c r="S1955" s="23" t="str">
        <f t="shared" si="671"/>
        <v/>
      </c>
      <c r="T1955" s="23" t="str">
        <f t="shared" si="672"/>
        <v/>
      </c>
      <c r="U1955" s="23" t="str">
        <f t="shared" si="673"/>
        <v/>
      </c>
      <c r="V1955" s="23" t="str">
        <f t="shared" si="674"/>
        <v/>
      </c>
      <c r="W1955" s="70" t="str">
        <f t="shared" si="675"/>
        <v/>
      </c>
      <c r="X1955" s="70" t="str">
        <f t="shared" si="676"/>
        <v/>
      </c>
      <c r="Y1955" s="70" t="str">
        <f>IF(AND($A1955&lt;&gt;"",$E1955&gt;0),isLaptopBag($C1955,$J1955)*$D1955,"")</f>
        <v/>
      </c>
      <c r="Z1955" s="70" t="str">
        <f t="shared" si="677"/>
        <v/>
      </c>
      <c r="AA1955" s="70" t="str">
        <f t="shared" si="678"/>
        <v/>
      </c>
      <c r="AB1955" s="70" t="str">
        <f t="shared" si="679"/>
        <v/>
      </c>
      <c r="AC1955" s="70" t="str">
        <f t="shared" si="680"/>
        <v/>
      </c>
      <c r="AD1955" s="70" t="str">
        <f t="shared" si="681"/>
        <v/>
      </c>
      <c r="AE1955" s="70" t="str">
        <f t="shared" si="682"/>
        <v/>
      </c>
      <c r="AF1955" s="16"/>
      <c r="AG1955" s="23"/>
      <c r="AH1955" s="22"/>
      <c r="AJ1955" s="83">
        <f t="shared" si="683"/>
        <v>0</v>
      </c>
      <c r="AO1955" s="22" t="str">
        <f t="shared" si="684"/>
        <v/>
      </c>
      <c r="AP1955" s="22" t="str">
        <f t="shared" si="685"/>
        <v/>
      </c>
    </row>
    <row r="1956" spans="1:42" x14ac:dyDescent="0.25">
      <c r="A1956" s="10"/>
      <c r="B1956" s="10"/>
      <c r="C1956" s="10"/>
      <c r="D1956" s="10"/>
      <c r="E1956" s="10"/>
      <c r="F1956" s="10"/>
      <c r="G1956" s="10"/>
      <c r="H1956" s="17"/>
      <c r="I1956" s="10"/>
      <c r="J1956" s="10"/>
      <c r="K1956" s="16" t="str">
        <f t="shared" si="664"/>
        <v/>
      </c>
      <c r="L1956" s="23" t="str">
        <f t="shared" si="665"/>
        <v/>
      </c>
      <c r="M1956" s="22" t="str">
        <f t="shared" si="666"/>
        <v/>
      </c>
      <c r="N1956" s="72"/>
      <c r="O1956" s="16" t="str">
        <f t="shared" si="667"/>
        <v/>
      </c>
      <c r="P1956" s="16" t="str">
        <f t="shared" si="668"/>
        <v/>
      </c>
      <c r="Q1956" s="16" t="str">
        <f t="shared" si="669"/>
        <v/>
      </c>
      <c r="R1956" s="23" t="str">
        <f t="shared" si="670"/>
        <v/>
      </c>
      <c r="S1956" s="23" t="str">
        <f t="shared" si="671"/>
        <v/>
      </c>
      <c r="T1956" s="23" t="str">
        <f t="shared" si="672"/>
        <v/>
      </c>
      <c r="U1956" s="23" t="str">
        <f t="shared" si="673"/>
        <v/>
      </c>
      <c r="V1956" s="23" t="str">
        <f t="shared" si="674"/>
        <v/>
      </c>
      <c r="W1956" s="70" t="str">
        <f t="shared" si="675"/>
        <v/>
      </c>
      <c r="X1956" s="70" t="str">
        <f t="shared" si="676"/>
        <v/>
      </c>
      <c r="Y1956" s="70" t="str">
        <f>IF(AND($A1956&lt;&gt;"",$E1956&gt;0),isLaptopBag($C1956,$J1956)*$D1956,"")</f>
        <v/>
      </c>
      <c r="Z1956" s="70" t="str">
        <f t="shared" si="677"/>
        <v/>
      </c>
      <c r="AA1956" s="70" t="str">
        <f t="shared" si="678"/>
        <v/>
      </c>
      <c r="AB1956" s="70" t="str">
        <f t="shared" si="679"/>
        <v/>
      </c>
      <c r="AC1956" s="70" t="str">
        <f t="shared" si="680"/>
        <v/>
      </c>
      <c r="AD1956" s="70" t="str">
        <f t="shared" si="681"/>
        <v/>
      </c>
      <c r="AE1956" s="70" t="str">
        <f t="shared" si="682"/>
        <v/>
      </c>
      <c r="AF1956" s="16"/>
      <c r="AG1956" s="23"/>
      <c r="AH1956" s="22"/>
      <c r="AJ1956" s="83">
        <f t="shared" si="683"/>
        <v>0</v>
      </c>
      <c r="AO1956" s="22" t="str">
        <f t="shared" si="684"/>
        <v/>
      </c>
      <c r="AP1956" s="22" t="str">
        <f t="shared" si="685"/>
        <v/>
      </c>
    </row>
    <row r="1957" spans="1:42" x14ac:dyDescent="0.25">
      <c r="A1957" s="10"/>
      <c r="B1957" s="10"/>
      <c r="C1957" s="10"/>
      <c r="D1957" s="10"/>
      <c r="E1957" s="10"/>
      <c r="F1957" s="10"/>
      <c r="G1957" s="10"/>
      <c r="H1957" s="17"/>
      <c r="I1957" s="10"/>
      <c r="J1957" s="10"/>
      <c r="K1957" s="16" t="str">
        <f t="shared" si="664"/>
        <v/>
      </c>
      <c r="L1957" s="23" t="str">
        <f t="shared" si="665"/>
        <v/>
      </c>
      <c r="M1957" s="22" t="str">
        <f t="shared" si="666"/>
        <v/>
      </c>
      <c r="N1957" s="72"/>
      <c r="O1957" s="16" t="str">
        <f t="shared" si="667"/>
        <v/>
      </c>
      <c r="P1957" s="16" t="str">
        <f t="shared" si="668"/>
        <v/>
      </c>
      <c r="Q1957" s="16" t="str">
        <f t="shared" si="669"/>
        <v/>
      </c>
      <c r="R1957" s="23" t="str">
        <f t="shared" si="670"/>
        <v/>
      </c>
      <c r="S1957" s="23" t="str">
        <f t="shared" si="671"/>
        <v/>
      </c>
      <c r="T1957" s="23" t="str">
        <f t="shared" si="672"/>
        <v/>
      </c>
      <c r="U1957" s="23" t="str">
        <f t="shared" si="673"/>
        <v/>
      </c>
      <c r="V1957" s="23" t="str">
        <f t="shared" si="674"/>
        <v/>
      </c>
      <c r="W1957" s="70" t="str">
        <f t="shared" si="675"/>
        <v/>
      </c>
      <c r="X1957" s="70" t="str">
        <f t="shared" si="676"/>
        <v/>
      </c>
      <c r="Y1957" s="70" t="str">
        <f>IF(AND($A1957&lt;&gt;"",$E1957&gt;0),isLaptopBag($C1957,$J1957)*$D1957,"")</f>
        <v/>
      </c>
      <c r="Z1957" s="70" t="str">
        <f t="shared" si="677"/>
        <v/>
      </c>
      <c r="AA1957" s="70" t="str">
        <f t="shared" si="678"/>
        <v/>
      </c>
      <c r="AB1957" s="70" t="str">
        <f t="shared" si="679"/>
        <v/>
      </c>
      <c r="AC1957" s="70" t="str">
        <f t="shared" si="680"/>
        <v/>
      </c>
      <c r="AD1957" s="70" t="str">
        <f t="shared" si="681"/>
        <v/>
      </c>
      <c r="AE1957" s="70" t="str">
        <f t="shared" si="682"/>
        <v/>
      </c>
      <c r="AF1957" s="16"/>
      <c r="AG1957" s="23"/>
      <c r="AH1957" s="22"/>
      <c r="AJ1957" s="83">
        <f t="shared" si="683"/>
        <v>0</v>
      </c>
      <c r="AO1957" s="22" t="str">
        <f t="shared" si="684"/>
        <v/>
      </c>
      <c r="AP1957" s="22" t="str">
        <f t="shared" si="685"/>
        <v/>
      </c>
    </row>
    <row r="1958" spans="1:42" x14ac:dyDescent="0.25">
      <c r="A1958" s="10"/>
      <c r="B1958" s="10"/>
      <c r="C1958" s="10"/>
      <c r="D1958" s="10"/>
      <c r="E1958" s="10"/>
      <c r="F1958" s="10"/>
      <c r="G1958" s="10"/>
      <c r="H1958" s="17"/>
      <c r="I1958" s="10"/>
      <c r="J1958" s="10"/>
      <c r="K1958" s="16" t="str">
        <f t="shared" si="664"/>
        <v/>
      </c>
      <c r="L1958" s="23" t="str">
        <f t="shared" si="665"/>
        <v/>
      </c>
      <c r="M1958" s="22" t="str">
        <f t="shared" si="666"/>
        <v/>
      </c>
      <c r="N1958" s="72"/>
      <c r="O1958" s="16" t="str">
        <f t="shared" si="667"/>
        <v/>
      </c>
      <c r="P1958" s="16" t="str">
        <f t="shared" si="668"/>
        <v/>
      </c>
      <c r="Q1958" s="16" t="str">
        <f t="shared" si="669"/>
        <v/>
      </c>
      <c r="R1958" s="23" t="str">
        <f t="shared" si="670"/>
        <v/>
      </c>
      <c r="S1958" s="23" t="str">
        <f t="shared" si="671"/>
        <v/>
      </c>
      <c r="T1958" s="23" t="str">
        <f t="shared" si="672"/>
        <v/>
      </c>
      <c r="U1958" s="23" t="str">
        <f t="shared" si="673"/>
        <v/>
      </c>
      <c r="V1958" s="23" t="str">
        <f t="shared" si="674"/>
        <v/>
      </c>
      <c r="W1958" s="70" t="str">
        <f t="shared" si="675"/>
        <v/>
      </c>
      <c r="X1958" s="70" t="str">
        <f t="shared" si="676"/>
        <v/>
      </c>
      <c r="Y1958" s="70" t="str">
        <f>IF(AND($A1958&lt;&gt;"",$E1958&gt;0),isLaptopBag($C1958,$J1958)*$D1958,"")</f>
        <v/>
      </c>
      <c r="Z1958" s="70" t="str">
        <f t="shared" si="677"/>
        <v/>
      </c>
      <c r="AA1958" s="70" t="str">
        <f t="shared" si="678"/>
        <v/>
      </c>
      <c r="AB1958" s="70" t="str">
        <f t="shared" si="679"/>
        <v/>
      </c>
      <c r="AC1958" s="70" t="str">
        <f t="shared" si="680"/>
        <v/>
      </c>
      <c r="AD1958" s="70" t="str">
        <f t="shared" si="681"/>
        <v/>
      </c>
      <c r="AE1958" s="70" t="str">
        <f t="shared" si="682"/>
        <v/>
      </c>
      <c r="AF1958" s="16"/>
      <c r="AG1958" s="23"/>
      <c r="AH1958" s="22"/>
      <c r="AJ1958" s="83">
        <f t="shared" si="683"/>
        <v>0</v>
      </c>
      <c r="AO1958" s="22" t="str">
        <f t="shared" si="684"/>
        <v/>
      </c>
      <c r="AP1958" s="22" t="str">
        <f t="shared" si="685"/>
        <v/>
      </c>
    </row>
    <row r="1959" spans="1:42" x14ac:dyDescent="0.25">
      <c r="A1959" s="10"/>
      <c r="B1959" s="10"/>
      <c r="C1959" s="10"/>
      <c r="D1959" s="10"/>
      <c r="E1959" s="10"/>
      <c r="F1959" s="10"/>
      <c r="G1959" s="10"/>
      <c r="H1959" s="17"/>
      <c r="I1959" s="10"/>
      <c r="J1959" s="10"/>
      <c r="K1959" s="16" t="str">
        <f t="shared" si="664"/>
        <v/>
      </c>
      <c r="L1959" s="23" t="str">
        <f t="shared" si="665"/>
        <v/>
      </c>
      <c r="M1959" s="22" t="str">
        <f t="shared" si="666"/>
        <v/>
      </c>
      <c r="N1959" s="72"/>
      <c r="O1959" s="16" t="str">
        <f t="shared" si="667"/>
        <v/>
      </c>
      <c r="P1959" s="16" t="str">
        <f t="shared" si="668"/>
        <v/>
      </c>
      <c r="Q1959" s="16" t="str">
        <f t="shared" si="669"/>
        <v/>
      </c>
      <c r="R1959" s="23" t="str">
        <f t="shared" si="670"/>
        <v/>
      </c>
      <c r="S1959" s="23" t="str">
        <f t="shared" si="671"/>
        <v/>
      </c>
      <c r="T1959" s="23" t="str">
        <f t="shared" si="672"/>
        <v/>
      </c>
      <c r="U1959" s="23" t="str">
        <f t="shared" si="673"/>
        <v/>
      </c>
      <c r="V1959" s="23" t="str">
        <f t="shared" si="674"/>
        <v/>
      </c>
      <c r="W1959" s="70" t="str">
        <f t="shared" si="675"/>
        <v/>
      </c>
      <c r="X1959" s="70" t="str">
        <f t="shared" si="676"/>
        <v/>
      </c>
      <c r="Y1959" s="70" t="str">
        <f>IF(AND($A1959&lt;&gt;"",$E1959&gt;0),isLaptopBag($C1959,$J1959)*$D1959,"")</f>
        <v/>
      </c>
      <c r="Z1959" s="70" t="str">
        <f t="shared" si="677"/>
        <v/>
      </c>
      <c r="AA1959" s="70" t="str">
        <f t="shared" si="678"/>
        <v/>
      </c>
      <c r="AB1959" s="70" t="str">
        <f t="shared" si="679"/>
        <v/>
      </c>
      <c r="AC1959" s="70" t="str">
        <f t="shared" si="680"/>
        <v/>
      </c>
      <c r="AD1959" s="70" t="str">
        <f t="shared" si="681"/>
        <v/>
      </c>
      <c r="AE1959" s="70" t="str">
        <f t="shared" si="682"/>
        <v/>
      </c>
      <c r="AF1959" s="16"/>
      <c r="AG1959" s="23"/>
      <c r="AH1959" s="22"/>
      <c r="AJ1959" s="83">
        <f t="shared" si="683"/>
        <v>0</v>
      </c>
      <c r="AO1959" s="22" t="str">
        <f t="shared" si="684"/>
        <v/>
      </c>
      <c r="AP1959" s="22" t="str">
        <f t="shared" si="685"/>
        <v/>
      </c>
    </row>
    <row r="1960" spans="1:42" x14ac:dyDescent="0.25">
      <c r="A1960" s="10"/>
      <c r="B1960" s="10"/>
      <c r="C1960" s="10"/>
      <c r="D1960" s="10"/>
      <c r="E1960" s="10"/>
      <c r="F1960" s="10"/>
      <c r="G1960" s="10"/>
      <c r="H1960" s="17"/>
      <c r="I1960" s="10"/>
      <c r="J1960" s="10"/>
      <c r="K1960" s="16" t="str">
        <f t="shared" si="664"/>
        <v/>
      </c>
      <c r="L1960" s="23" t="str">
        <f t="shared" si="665"/>
        <v/>
      </c>
      <c r="M1960" s="22" t="str">
        <f t="shared" si="666"/>
        <v/>
      </c>
      <c r="N1960" s="72"/>
      <c r="O1960" s="16" t="str">
        <f t="shared" si="667"/>
        <v/>
      </c>
      <c r="P1960" s="16" t="str">
        <f t="shared" si="668"/>
        <v/>
      </c>
      <c r="Q1960" s="16" t="str">
        <f t="shared" si="669"/>
        <v/>
      </c>
      <c r="R1960" s="23" t="str">
        <f t="shared" si="670"/>
        <v/>
      </c>
      <c r="S1960" s="23" t="str">
        <f t="shared" si="671"/>
        <v/>
      </c>
      <c r="T1960" s="23" t="str">
        <f t="shared" si="672"/>
        <v/>
      </c>
      <c r="U1960" s="23" t="str">
        <f t="shared" si="673"/>
        <v/>
      </c>
      <c r="V1960" s="23" t="str">
        <f t="shared" si="674"/>
        <v/>
      </c>
      <c r="W1960" s="70" t="str">
        <f t="shared" si="675"/>
        <v/>
      </c>
      <c r="X1960" s="70" t="str">
        <f t="shared" si="676"/>
        <v/>
      </c>
      <c r="Y1960" s="70" t="str">
        <f>IF(AND($A1960&lt;&gt;"",$E1960&gt;0),isLaptopBag($C1960,$J1960)*$D1960,"")</f>
        <v/>
      </c>
      <c r="Z1960" s="70" t="str">
        <f t="shared" si="677"/>
        <v/>
      </c>
      <c r="AA1960" s="70" t="str">
        <f t="shared" si="678"/>
        <v/>
      </c>
      <c r="AB1960" s="70" t="str">
        <f t="shared" si="679"/>
        <v/>
      </c>
      <c r="AC1960" s="70" t="str">
        <f t="shared" si="680"/>
        <v/>
      </c>
      <c r="AD1960" s="70" t="str">
        <f t="shared" si="681"/>
        <v/>
      </c>
      <c r="AE1960" s="70" t="str">
        <f t="shared" si="682"/>
        <v/>
      </c>
      <c r="AF1960" s="16"/>
      <c r="AG1960" s="23"/>
      <c r="AH1960" s="22"/>
      <c r="AJ1960" s="83">
        <f t="shared" si="683"/>
        <v>0</v>
      </c>
      <c r="AO1960" s="22" t="str">
        <f t="shared" si="684"/>
        <v/>
      </c>
      <c r="AP1960" s="22" t="str">
        <f t="shared" si="685"/>
        <v/>
      </c>
    </row>
    <row r="1961" spans="1:42" x14ac:dyDescent="0.25">
      <c r="A1961" s="10"/>
      <c r="B1961" s="10"/>
      <c r="C1961" s="10"/>
      <c r="D1961" s="10"/>
      <c r="E1961" s="10"/>
      <c r="F1961" s="10"/>
      <c r="G1961" s="10"/>
      <c r="H1961" s="17"/>
      <c r="I1961" s="10"/>
      <c r="J1961" s="10"/>
      <c r="K1961" s="16" t="str">
        <f t="shared" si="664"/>
        <v/>
      </c>
      <c r="L1961" s="23" t="str">
        <f t="shared" si="665"/>
        <v/>
      </c>
      <c r="M1961" s="22" t="str">
        <f t="shared" si="666"/>
        <v/>
      </c>
      <c r="N1961" s="72"/>
      <c r="O1961" s="16" t="str">
        <f t="shared" si="667"/>
        <v/>
      </c>
      <c r="P1961" s="16" t="str">
        <f t="shared" si="668"/>
        <v/>
      </c>
      <c r="Q1961" s="16" t="str">
        <f t="shared" si="669"/>
        <v/>
      </c>
      <c r="R1961" s="23" t="str">
        <f t="shared" si="670"/>
        <v/>
      </c>
      <c r="S1961" s="23" t="str">
        <f t="shared" si="671"/>
        <v/>
      </c>
      <c r="T1961" s="23" t="str">
        <f t="shared" si="672"/>
        <v/>
      </c>
      <c r="U1961" s="23" t="str">
        <f t="shared" si="673"/>
        <v/>
      </c>
      <c r="V1961" s="23" t="str">
        <f t="shared" si="674"/>
        <v/>
      </c>
      <c r="W1961" s="70" t="str">
        <f t="shared" si="675"/>
        <v/>
      </c>
      <c r="X1961" s="70" t="str">
        <f t="shared" si="676"/>
        <v/>
      </c>
      <c r="Y1961" s="70" t="str">
        <f>IF(AND($A1961&lt;&gt;"",$E1961&gt;0),isLaptopBag($C1961,$J1961)*$D1961,"")</f>
        <v/>
      </c>
      <c r="Z1961" s="70" t="str">
        <f t="shared" si="677"/>
        <v/>
      </c>
      <c r="AA1961" s="70" t="str">
        <f t="shared" si="678"/>
        <v/>
      </c>
      <c r="AB1961" s="70" t="str">
        <f t="shared" si="679"/>
        <v/>
      </c>
      <c r="AC1961" s="70" t="str">
        <f t="shared" si="680"/>
        <v/>
      </c>
      <c r="AD1961" s="70" t="str">
        <f t="shared" si="681"/>
        <v/>
      </c>
      <c r="AE1961" s="70" t="str">
        <f t="shared" si="682"/>
        <v/>
      </c>
      <c r="AF1961" s="16"/>
      <c r="AG1961" s="23"/>
      <c r="AH1961" s="22"/>
      <c r="AJ1961" s="83">
        <f t="shared" si="683"/>
        <v>0</v>
      </c>
      <c r="AO1961" s="22" t="str">
        <f t="shared" si="684"/>
        <v/>
      </c>
      <c r="AP1961" s="22" t="str">
        <f t="shared" si="685"/>
        <v/>
      </c>
    </row>
    <row r="1962" spans="1:42" x14ac:dyDescent="0.25">
      <c r="A1962" s="10"/>
      <c r="B1962" s="10"/>
      <c r="C1962" s="10"/>
      <c r="D1962" s="10"/>
      <c r="E1962" s="10"/>
      <c r="F1962" s="10"/>
      <c r="G1962" s="10"/>
      <c r="H1962" s="17"/>
      <c r="I1962" s="10"/>
      <c r="J1962" s="10"/>
      <c r="K1962" s="16" t="str">
        <f t="shared" si="664"/>
        <v/>
      </c>
      <c r="L1962" s="23" t="str">
        <f t="shared" si="665"/>
        <v/>
      </c>
      <c r="M1962" s="22" t="str">
        <f t="shared" si="666"/>
        <v/>
      </c>
      <c r="N1962" s="72"/>
      <c r="O1962" s="16" t="str">
        <f t="shared" si="667"/>
        <v/>
      </c>
      <c r="P1962" s="16" t="str">
        <f t="shared" si="668"/>
        <v/>
      </c>
      <c r="Q1962" s="16" t="str">
        <f t="shared" si="669"/>
        <v/>
      </c>
      <c r="R1962" s="23" t="str">
        <f t="shared" si="670"/>
        <v/>
      </c>
      <c r="S1962" s="23" t="str">
        <f t="shared" si="671"/>
        <v/>
      </c>
      <c r="T1962" s="23" t="str">
        <f t="shared" si="672"/>
        <v/>
      </c>
      <c r="U1962" s="23" t="str">
        <f t="shared" si="673"/>
        <v/>
      </c>
      <c r="V1962" s="23" t="str">
        <f t="shared" si="674"/>
        <v/>
      </c>
      <c r="W1962" s="70" t="str">
        <f t="shared" si="675"/>
        <v/>
      </c>
      <c r="X1962" s="70" t="str">
        <f t="shared" si="676"/>
        <v/>
      </c>
      <c r="Y1962" s="70" t="str">
        <f>IF(AND($A1962&lt;&gt;"",$E1962&gt;0),isLaptopBag($C1962,$J1962)*$D1962,"")</f>
        <v/>
      </c>
      <c r="Z1962" s="70" t="str">
        <f t="shared" si="677"/>
        <v/>
      </c>
      <c r="AA1962" s="70" t="str">
        <f t="shared" si="678"/>
        <v/>
      </c>
      <c r="AB1962" s="70" t="str">
        <f t="shared" si="679"/>
        <v/>
      </c>
      <c r="AC1962" s="70" t="str">
        <f t="shared" si="680"/>
        <v/>
      </c>
      <c r="AD1962" s="70" t="str">
        <f t="shared" si="681"/>
        <v/>
      </c>
      <c r="AE1962" s="70" t="str">
        <f t="shared" si="682"/>
        <v/>
      </c>
      <c r="AF1962" s="16"/>
      <c r="AG1962" s="23"/>
      <c r="AH1962" s="22"/>
      <c r="AJ1962" s="83">
        <f t="shared" si="683"/>
        <v>0</v>
      </c>
      <c r="AO1962" s="22" t="str">
        <f t="shared" si="684"/>
        <v/>
      </c>
      <c r="AP1962" s="22" t="str">
        <f t="shared" si="685"/>
        <v/>
      </c>
    </row>
    <row r="1963" spans="1:42" x14ac:dyDescent="0.25">
      <c r="A1963" s="10"/>
      <c r="B1963" s="10"/>
      <c r="C1963" s="10"/>
      <c r="D1963" s="10"/>
      <c r="E1963" s="10"/>
      <c r="F1963" s="10"/>
      <c r="G1963" s="10"/>
      <c r="H1963" s="17"/>
      <c r="I1963" s="10"/>
      <c r="J1963" s="10"/>
      <c r="K1963" s="16" t="str">
        <f t="shared" si="664"/>
        <v/>
      </c>
      <c r="L1963" s="23" t="str">
        <f t="shared" si="665"/>
        <v/>
      </c>
      <c r="M1963" s="22" t="str">
        <f t="shared" si="666"/>
        <v/>
      </c>
      <c r="N1963" s="72"/>
      <c r="O1963" s="16" t="str">
        <f t="shared" si="667"/>
        <v/>
      </c>
      <c r="P1963" s="16" t="str">
        <f t="shared" si="668"/>
        <v/>
      </c>
      <c r="Q1963" s="16" t="str">
        <f t="shared" si="669"/>
        <v/>
      </c>
      <c r="R1963" s="23" t="str">
        <f t="shared" si="670"/>
        <v/>
      </c>
      <c r="S1963" s="23" t="str">
        <f t="shared" si="671"/>
        <v/>
      </c>
      <c r="T1963" s="23" t="str">
        <f t="shared" si="672"/>
        <v/>
      </c>
      <c r="U1963" s="23" t="str">
        <f t="shared" si="673"/>
        <v/>
      </c>
      <c r="V1963" s="23" t="str">
        <f t="shared" si="674"/>
        <v/>
      </c>
      <c r="W1963" s="70" t="str">
        <f t="shared" si="675"/>
        <v/>
      </c>
      <c r="X1963" s="70" t="str">
        <f t="shared" si="676"/>
        <v/>
      </c>
      <c r="Y1963" s="70" t="str">
        <f>IF(AND($A1963&lt;&gt;"",$E1963&gt;0),isLaptopBag($C1963,$J1963)*$D1963,"")</f>
        <v/>
      </c>
      <c r="Z1963" s="70" t="str">
        <f t="shared" si="677"/>
        <v/>
      </c>
      <c r="AA1963" s="70" t="str">
        <f t="shared" si="678"/>
        <v/>
      </c>
      <c r="AB1963" s="70" t="str">
        <f t="shared" si="679"/>
        <v/>
      </c>
      <c r="AC1963" s="70" t="str">
        <f t="shared" si="680"/>
        <v/>
      </c>
      <c r="AD1963" s="70" t="str">
        <f t="shared" si="681"/>
        <v/>
      </c>
      <c r="AE1963" s="70" t="str">
        <f t="shared" si="682"/>
        <v/>
      </c>
      <c r="AF1963" s="16"/>
      <c r="AG1963" s="23"/>
      <c r="AH1963" s="22"/>
      <c r="AJ1963" s="83">
        <f t="shared" si="683"/>
        <v>0</v>
      </c>
      <c r="AO1963" s="22" t="str">
        <f t="shared" si="684"/>
        <v/>
      </c>
      <c r="AP1963" s="22" t="str">
        <f t="shared" si="685"/>
        <v/>
      </c>
    </row>
    <row r="1964" spans="1:42" x14ac:dyDescent="0.25">
      <c r="A1964" s="10"/>
      <c r="B1964" s="10"/>
      <c r="C1964" s="10"/>
      <c r="D1964" s="10"/>
      <c r="E1964" s="10"/>
      <c r="F1964" s="10"/>
      <c r="G1964" s="10"/>
      <c r="H1964" s="17"/>
      <c r="I1964" s="10"/>
      <c r="J1964" s="10"/>
      <c r="K1964" s="16" t="str">
        <f t="shared" si="664"/>
        <v/>
      </c>
      <c r="L1964" s="23" t="str">
        <f t="shared" si="665"/>
        <v/>
      </c>
      <c r="M1964" s="22" t="str">
        <f t="shared" si="666"/>
        <v/>
      </c>
      <c r="N1964" s="72"/>
      <c r="O1964" s="16" t="str">
        <f t="shared" si="667"/>
        <v/>
      </c>
      <c r="P1964" s="16" t="str">
        <f t="shared" si="668"/>
        <v/>
      </c>
      <c r="Q1964" s="16" t="str">
        <f t="shared" si="669"/>
        <v/>
      </c>
      <c r="R1964" s="23" t="str">
        <f t="shared" si="670"/>
        <v/>
      </c>
      <c r="S1964" s="23" t="str">
        <f t="shared" si="671"/>
        <v/>
      </c>
      <c r="T1964" s="23" t="str">
        <f t="shared" si="672"/>
        <v/>
      </c>
      <c r="U1964" s="23" t="str">
        <f t="shared" si="673"/>
        <v/>
      </c>
      <c r="V1964" s="23" t="str">
        <f t="shared" si="674"/>
        <v/>
      </c>
      <c r="W1964" s="70" t="str">
        <f t="shared" si="675"/>
        <v/>
      </c>
      <c r="X1964" s="70" t="str">
        <f t="shared" si="676"/>
        <v/>
      </c>
      <c r="Y1964" s="70" t="str">
        <f>IF(AND($A1964&lt;&gt;"",$E1964&gt;0),isLaptopBag($C1964,$J1964)*$D1964,"")</f>
        <v/>
      </c>
      <c r="Z1964" s="70" t="str">
        <f t="shared" si="677"/>
        <v/>
      </c>
      <c r="AA1964" s="70" t="str">
        <f t="shared" si="678"/>
        <v/>
      </c>
      <c r="AB1964" s="70" t="str">
        <f t="shared" si="679"/>
        <v/>
      </c>
      <c r="AC1964" s="70" t="str">
        <f t="shared" si="680"/>
        <v/>
      </c>
      <c r="AD1964" s="70" t="str">
        <f t="shared" si="681"/>
        <v/>
      </c>
      <c r="AE1964" s="70" t="str">
        <f t="shared" si="682"/>
        <v/>
      </c>
      <c r="AF1964" s="16"/>
      <c r="AG1964" s="23"/>
      <c r="AH1964" s="22"/>
      <c r="AJ1964" s="83">
        <f t="shared" si="683"/>
        <v>0</v>
      </c>
      <c r="AO1964" s="22" t="str">
        <f t="shared" si="684"/>
        <v/>
      </c>
      <c r="AP1964" s="22" t="str">
        <f t="shared" si="685"/>
        <v/>
      </c>
    </row>
    <row r="1965" spans="1:42" x14ac:dyDescent="0.25">
      <c r="A1965" s="10"/>
      <c r="B1965" s="10"/>
      <c r="C1965" s="10"/>
      <c r="D1965" s="10"/>
      <c r="E1965" s="10"/>
      <c r="F1965" s="10"/>
      <c r="G1965" s="10"/>
      <c r="H1965" s="17"/>
      <c r="I1965" s="10"/>
      <c r="J1965" s="10"/>
      <c r="K1965" s="16" t="str">
        <f t="shared" si="664"/>
        <v/>
      </c>
      <c r="L1965" s="23" t="str">
        <f t="shared" si="665"/>
        <v/>
      </c>
      <c r="M1965" s="22" t="str">
        <f t="shared" si="666"/>
        <v/>
      </c>
      <c r="N1965" s="72"/>
      <c r="O1965" s="16" t="str">
        <f t="shared" si="667"/>
        <v/>
      </c>
      <c r="P1965" s="16" t="str">
        <f t="shared" si="668"/>
        <v/>
      </c>
      <c r="Q1965" s="16" t="str">
        <f t="shared" si="669"/>
        <v/>
      </c>
      <c r="R1965" s="23" t="str">
        <f t="shared" si="670"/>
        <v/>
      </c>
      <c r="S1965" s="23" t="str">
        <f t="shared" si="671"/>
        <v/>
      </c>
      <c r="T1965" s="23" t="str">
        <f t="shared" si="672"/>
        <v/>
      </c>
      <c r="U1965" s="23" t="str">
        <f t="shared" si="673"/>
        <v/>
      </c>
      <c r="V1965" s="23" t="str">
        <f t="shared" si="674"/>
        <v/>
      </c>
      <c r="W1965" s="70" t="str">
        <f t="shared" si="675"/>
        <v/>
      </c>
      <c r="X1965" s="70" t="str">
        <f t="shared" si="676"/>
        <v/>
      </c>
      <c r="Y1965" s="70" t="str">
        <f>IF(AND($A1965&lt;&gt;"",$E1965&gt;0),isLaptopBag($C1965,$J1965)*$D1965,"")</f>
        <v/>
      </c>
      <c r="Z1965" s="70" t="str">
        <f t="shared" si="677"/>
        <v/>
      </c>
      <c r="AA1965" s="70" t="str">
        <f t="shared" si="678"/>
        <v/>
      </c>
      <c r="AB1965" s="70" t="str">
        <f t="shared" si="679"/>
        <v/>
      </c>
      <c r="AC1965" s="70" t="str">
        <f t="shared" si="680"/>
        <v/>
      </c>
      <c r="AD1965" s="70" t="str">
        <f t="shared" si="681"/>
        <v/>
      </c>
      <c r="AE1965" s="70" t="str">
        <f t="shared" si="682"/>
        <v/>
      </c>
      <c r="AF1965" s="16"/>
      <c r="AG1965" s="23"/>
      <c r="AH1965" s="22"/>
      <c r="AJ1965" s="83">
        <f t="shared" si="683"/>
        <v>0</v>
      </c>
      <c r="AO1965" s="22" t="str">
        <f t="shared" si="684"/>
        <v/>
      </c>
      <c r="AP1965" s="22" t="str">
        <f t="shared" si="685"/>
        <v/>
      </c>
    </row>
    <row r="1966" spans="1:42" x14ac:dyDescent="0.25">
      <c r="A1966" s="10"/>
      <c r="B1966" s="10"/>
      <c r="C1966" s="10"/>
      <c r="D1966" s="10"/>
      <c r="E1966" s="10"/>
      <c r="F1966" s="10"/>
      <c r="G1966" s="10"/>
      <c r="H1966" s="17"/>
      <c r="I1966" s="10"/>
      <c r="J1966" s="10"/>
      <c r="K1966" s="16" t="str">
        <f t="shared" si="664"/>
        <v/>
      </c>
      <c r="L1966" s="23" t="str">
        <f t="shared" si="665"/>
        <v/>
      </c>
      <c r="M1966" s="22" t="str">
        <f t="shared" si="666"/>
        <v/>
      </c>
      <c r="N1966" s="72"/>
      <c r="O1966" s="16" t="str">
        <f t="shared" si="667"/>
        <v/>
      </c>
      <c r="P1966" s="16" t="str">
        <f t="shared" si="668"/>
        <v/>
      </c>
      <c r="Q1966" s="16" t="str">
        <f t="shared" si="669"/>
        <v/>
      </c>
      <c r="R1966" s="23" t="str">
        <f t="shared" si="670"/>
        <v/>
      </c>
      <c r="S1966" s="23" t="str">
        <f t="shared" si="671"/>
        <v/>
      </c>
      <c r="T1966" s="23" t="str">
        <f t="shared" si="672"/>
        <v/>
      </c>
      <c r="U1966" s="23" t="str">
        <f t="shared" si="673"/>
        <v/>
      </c>
      <c r="V1966" s="23" t="str">
        <f t="shared" si="674"/>
        <v/>
      </c>
      <c r="W1966" s="70" t="str">
        <f t="shared" si="675"/>
        <v/>
      </c>
      <c r="X1966" s="70" t="str">
        <f t="shared" si="676"/>
        <v/>
      </c>
      <c r="Y1966" s="70" t="str">
        <f>IF(AND($A1966&lt;&gt;"",$E1966&gt;0),isLaptopBag($C1966,$J1966)*$D1966,"")</f>
        <v/>
      </c>
      <c r="Z1966" s="70" t="str">
        <f t="shared" si="677"/>
        <v/>
      </c>
      <c r="AA1966" s="70" t="str">
        <f t="shared" si="678"/>
        <v/>
      </c>
      <c r="AB1966" s="70" t="str">
        <f t="shared" si="679"/>
        <v/>
      </c>
      <c r="AC1966" s="70" t="str">
        <f t="shared" si="680"/>
        <v/>
      </c>
      <c r="AD1966" s="70" t="str">
        <f t="shared" si="681"/>
        <v/>
      </c>
      <c r="AE1966" s="70" t="str">
        <f t="shared" si="682"/>
        <v/>
      </c>
      <c r="AF1966" s="16"/>
      <c r="AG1966" s="23"/>
      <c r="AH1966" s="22"/>
      <c r="AJ1966" s="83">
        <f t="shared" si="683"/>
        <v>0</v>
      </c>
      <c r="AO1966" s="22" t="str">
        <f t="shared" si="684"/>
        <v/>
      </c>
      <c r="AP1966" s="22" t="str">
        <f t="shared" si="685"/>
        <v/>
      </c>
    </row>
    <row r="1967" spans="1:42" x14ac:dyDescent="0.25">
      <c r="A1967" s="10"/>
      <c r="B1967" s="10"/>
      <c r="C1967" s="10"/>
      <c r="D1967" s="10"/>
      <c r="E1967" s="10"/>
      <c r="F1967" s="10"/>
      <c r="G1967" s="10"/>
      <c r="H1967" s="17"/>
      <c r="I1967" s="10"/>
      <c r="J1967" s="10"/>
      <c r="K1967" s="16" t="str">
        <f t="shared" si="664"/>
        <v/>
      </c>
      <c r="L1967" s="23" t="str">
        <f t="shared" si="665"/>
        <v/>
      </c>
      <c r="M1967" s="22" t="str">
        <f t="shared" si="666"/>
        <v/>
      </c>
      <c r="N1967" s="72"/>
      <c r="O1967" s="16" t="str">
        <f t="shared" si="667"/>
        <v/>
      </c>
      <c r="P1967" s="16" t="str">
        <f t="shared" si="668"/>
        <v/>
      </c>
      <c r="Q1967" s="16" t="str">
        <f t="shared" si="669"/>
        <v/>
      </c>
      <c r="R1967" s="23" t="str">
        <f t="shared" si="670"/>
        <v/>
      </c>
      <c r="S1967" s="23" t="str">
        <f t="shared" si="671"/>
        <v/>
      </c>
      <c r="T1967" s="23" t="str">
        <f t="shared" si="672"/>
        <v/>
      </c>
      <c r="U1967" s="23" t="str">
        <f t="shared" si="673"/>
        <v/>
      </c>
      <c r="V1967" s="23" t="str">
        <f t="shared" si="674"/>
        <v/>
      </c>
      <c r="W1967" s="70" t="str">
        <f t="shared" si="675"/>
        <v/>
      </c>
      <c r="X1967" s="70" t="str">
        <f t="shared" si="676"/>
        <v/>
      </c>
      <c r="Y1967" s="70" t="str">
        <f>IF(AND($A1967&lt;&gt;"",$E1967&gt;0),isLaptopBag($C1967,$J1967)*$D1967,"")</f>
        <v/>
      </c>
      <c r="Z1967" s="70" t="str">
        <f t="shared" si="677"/>
        <v/>
      </c>
      <c r="AA1967" s="70" t="str">
        <f t="shared" si="678"/>
        <v/>
      </c>
      <c r="AB1967" s="70" t="str">
        <f t="shared" si="679"/>
        <v/>
      </c>
      <c r="AC1967" s="70" t="str">
        <f t="shared" si="680"/>
        <v/>
      </c>
      <c r="AD1967" s="70" t="str">
        <f t="shared" si="681"/>
        <v/>
      </c>
      <c r="AE1967" s="70" t="str">
        <f t="shared" si="682"/>
        <v/>
      </c>
      <c r="AF1967" s="16"/>
      <c r="AG1967" s="23"/>
      <c r="AH1967" s="22"/>
      <c r="AJ1967" s="83">
        <f t="shared" si="683"/>
        <v>0</v>
      </c>
      <c r="AO1967" s="22" t="str">
        <f t="shared" si="684"/>
        <v/>
      </c>
      <c r="AP1967" s="22" t="str">
        <f t="shared" si="685"/>
        <v/>
      </c>
    </row>
    <row r="1968" spans="1:42" x14ac:dyDescent="0.25">
      <c r="A1968" s="10"/>
      <c r="B1968" s="10"/>
      <c r="C1968" s="10"/>
      <c r="D1968" s="10"/>
      <c r="E1968" s="10"/>
      <c r="F1968" s="10"/>
      <c r="G1968" s="10"/>
      <c r="H1968" s="17"/>
      <c r="I1968" s="10"/>
      <c r="J1968" s="10"/>
      <c r="K1968" s="16" t="str">
        <f t="shared" si="664"/>
        <v/>
      </c>
      <c r="L1968" s="23" t="str">
        <f t="shared" si="665"/>
        <v/>
      </c>
      <c r="M1968" s="22" t="str">
        <f t="shared" si="666"/>
        <v/>
      </c>
      <c r="N1968" s="72"/>
      <c r="O1968" s="16" t="str">
        <f t="shared" si="667"/>
        <v/>
      </c>
      <c r="P1968" s="16" t="str">
        <f t="shared" si="668"/>
        <v/>
      </c>
      <c r="Q1968" s="16" t="str">
        <f t="shared" si="669"/>
        <v/>
      </c>
      <c r="R1968" s="23" t="str">
        <f t="shared" si="670"/>
        <v/>
      </c>
      <c r="S1968" s="23" t="str">
        <f t="shared" si="671"/>
        <v/>
      </c>
      <c r="T1968" s="23" t="str">
        <f t="shared" si="672"/>
        <v/>
      </c>
      <c r="U1968" s="23" t="str">
        <f t="shared" si="673"/>
        <v/>
      </c>
      <c r="V1968" s="23" t="str">
        <f t="shared" si="674"/>
        <v/>
      </c>
      <c r="W1968" s="70" t="str">
        <f t="shared" si="675"/>
        <v/>
      </c>
      <c r="X1968" s="70" t="str">
        <f t="shared" si="676"/>
        <v/>
      </c>
      <c r="Y1968" s="70" t="str">
        <f>IF(AND($A1968&lt;&gt;"",$E1968&gt;0),isLaptopBag($C1968,$J1968)*$D1968,"")</f>
        <v/>
      </c>
      <c r="Z1968" s="70" t="str">
        <f t="shared" si="677"/>
        <v/>
      </c>
      <c r="AA1968" s="70" t="str">
        <f t="shared" si="678"/>
        <v/>
      </c>
      <c r="AB1968" s="70" t="str">
        <f t="shared" si="679"/>
        <v/>
      </c>
      <c r="AC1968" s="70" t="str">
        <f t="shared" si="680"/>
        <v/>
      </c>
      <c r="AD1968" s="70" t="str">
        <f t="shared" si="681"/>
        <v/>
      </c>
      <c r="AE1968" s="70" t="str">
        <f t="shared" si="682"/>
        <v/>
      </c>
      <c r="AF1968" s="16"/>
      <c r="AG1968" s="23"/>
      <c r="AH1968" s="22"/>
      <c r="AJ1968" s="83">
        <f t="shared" si="683"/>
        <v>0</v>
      </c>
      <c r="AO1968" s="22" t="str">
        <f t="shared" si="684"/>
        <v/>
      </c>
      <c r="AP1968" s="22" t="str">
        <f t="shared" si="685"/>
        <v/>
      </c>
    </row>
    <row r="1969" spans="1:42" x14ac:dyDescent="0.25">
      <c r="A1969" s="10"/>
      <c r="B1969" s="10"/>
      <c r="C1969" s="10"/>
      <c r="D1969" s="10"/>
      <c r="E1969" s="10"/>
      <c r="F1969" s="10"/>
      <c r="G1969" s="10"/>
      <c r="H1969" s="17"/>
      <c r="I1969" s="10"/>
      <c r="J1969" s="10"/>
      <c r="K1969" s="16" t="str">
        <f t="shared" si="664"/>
        <v/>
      </c>
      <c r="L1969" s="23" t="str">
        <f t="shared" si="665"/>
        <v/>
      </c>
      <c r="M1969" s="22" t="str">
        <f t="shared" si="666"/>
        <v/>
      </c>
      <c r="N1969" s="72"/>
      <c r="O1969" s="16" t="str">
        <f t="shared" si="667"/>
        <v/>
      </c>
      <c r="P1969" s="16" t="str">
        <f t="shared" si="668"/>
        <v/>
      </c>
      <c r="Q1969" s="16" t="str">
        <f t="shared" si="669"/>
        <v/>
      </c>
      <c r="R1969" s="23" t="str">
        <f t="shared" si="670"/>
        <v/>
      </c>
      <c r="S1969" s="23" t="str">
        <f t="shared" si="671"/>
        <v/>
      </c>
      <c r="T1969" s="23" t="str">
        <f t="shared" si="672"/>
        <v/>
      </c>
      <c r="U1969" s="23" t="str">
        <f t="shared" si="673"/>
        <v/>
      </c>
      <c r="V1969" s="23" t="str">
        <f t="shared" si="674"/>
        <v/>
      </c>
      <c r="W1969" s="70" t="str">
        <f t="shared" si="675"/>
        <v/>
      </c>
      <c r="X1969" s="70" t="str">
        <f t="shared" si="676"/>
        <v/>
      </c>
      <c r="Y1969" s="70" t="str">
        <f>IF(AND($A1969&lt;&gt;"",$E1969&gt;0),isLaptopBag($C1969,$J1969)*$D1969,"")</f>
        <v/>
      </c>
      <c r="Z1969" s="70" t="str">
        <f t="shared" si="677"/>
        <v/>
      </c>
      <c r="AA1969" s="70" t="str">
        <f t="shared" si="678"/>
        <v/>
      </c>
      <c r="AB1969" s="70" t="str">
        <f t="shared" si="679"/>
        <v/>
      </c>
      <c r="AC1969" s="70" t="str">
        <f t="shared" si="680"/>
        <v/>
      </c>
      <c r="AD1969" s="70" t="str">
        <f t="shared" si="681"/>
        <v/>
      </c>
      <c r="AE1969" s="70" t="str">
        <f t="shared" si="682"/>
        <v/>
      </c>
      <c r="AF1969" s="16"/>
      <c r="AG1969" s="23"/>
      <c r="AH1969" s="22"/>
      <c r="AJ1969" s="83">
        <f t="shared" si="683"/>
        <v>0</v>
      </c>
      <c r="AO1969" s="22" t="str">
        <f t="shared" si="684"/>
        <v/>
      </c>
      <c r="AP1969" s="22" t="str">
        <f t="shared" si="685"/>
        <v/>
      </c>
    </row>
    <row r="1970" spans="1:42" x14ac:dyDescent="0.25">
      <c r="A1970" s="10"/>
      <c r="B1970" s="10"/>
      <c r="C1970" s="10"/>
      <c r="D1970" s="10"/>
      <c r="E1970" s="10"/>
      <c r="F1970" s="10"/>
      <c r="G1970" s="10"/>
      <c r="H1970" s="17"/>
      <c r="I1970" s="10"/>
      <c r="J1970" s="10"/>
      <c r="K1970" s="16" t="str">
        <f t="shared" si="664"/>
        <v/>
      </c>
      <c r="L1970" s="23" t="str">
        <f t="shared" si="665"/>
        <v/>
      </c>
      <c r="M1970" s="22" t="str">
        <f t="shared" si="666"/>
        <v/>
      </c>
      <c r="N1970" s="72"/>
      <c r="O1970" s="16" t="str">
        <f t="shared" si="667"/>
        <v/>
      </c>
      <c r="P1970" s="16" t="str">
        <f t="shared" si="668"/>
        <v/>
      </c>
      <c r="Q1970" s="16" t="str">
        <f t="shared" si="669"/>
        <v/>
      </c>
      <c r="R1970" s="23" t="str">
        <f t="shared" si="670"/>
        <v/>
      </c>
      <c r="S1970" s="23" t="str">
        <f t="shared" si="671"/>
        <v/>
      </c>
      <c r="T1970" s="23" t="str">
        <f t="shared" si="672"/>
        <v/>
      </c>
      <c r="U1970" s="23" t="str">
        <f t="shared" si="673"/>
        <v/>
      </c>
      <c r="V1970" s="23" t="str">
        <f t="shared" si="674"/>
        <v/>
      </c>
      <c r="W1970" s="70" t="str">
        <f t="shared" si="675"/>
        <v/>
      </c>
      <c r="X1970" s="70" t="str">
        <f t="shared" si="676"/>
        <v/>
      </c>
      <c r="Y1970" s="70" t="str">
        <f>IF(AND($A1970&lt;&gt;"",$E1970&gt;0),isLaptopBag($C1970,$J1970)*$D1970,"")</f>
        <v/>
      </c>
      <c r="Z1970" s="70" t="str">
        <f t="shared" si="677"/>
        <v/>
      </c>
      <c r="AA1970" s="70" t="str">
        <f t="shared" si="678"/>
        <v/>
      </c>
      <c r="AB1970" s="70" t="str">
        <f t="shared" si="679"/>
        <v/>
      </c>
      <c r="AC1970" s="70" t="str">
        <f t="shared" si="680"/>
        <v/>
      </c>
      <c r="AD1970" s="70" t="str">
        <f t="shared" si="681"/>
        <v/>
      </c>
      <c r="AE1970" s="70" t="str">
        <f t="shared" si="682"/>
        <v/>
      </c>
      <c r="AF1970" s="16"/>
      <c r="AG1970" s="23"/>
      <c r="AH1970" s="22"/>
      <c r="AJ1970" s="83">
        <f t="shared" si="683"/>
        <v>0</v>
      </c>
      <c r="AO1970" s="22" t="str">
        <f t="shared" si="684"/>
        <v/>
      </c>
      <c r="AP1970" s="22" t="str">
        <f t="shared" si="685"/>
        <v/>
      </c>
    </row>
    <row r="1971" spans="1:42" x14ac:dyDescent="0.25">
      <c r="A1971" s="10"/>
      <c r="B1971" s="10"/>
      <c r="C1971" s="10"/>
      <c r="D1971" s="10"/>
      <c r="E1971" s="10"/>
      <c r="F1971" s="10"/>
      <c r="G1971" s="10"/>
      <c r="H1971" s="17"/>
      <c r="I1971" s="10"/>
      <c r="J1971" s="10"/>
      <c r="K1971" s="16" t="str">
        <f t="shared" si="664"/>
        <v/>
      </c>
      <c r="L1971" s="23" t="str">
        <f t="shared" si="665"/>
        <v/>
      </c>
      <c r="M1971" s="22" t="str">
        <f t="shared" si="666"/>
        <v/>
      </c>
      <c r="N1971" s="72"/>
      <c r="O1971" s="16" t="str">
        <f t="shared" si="667"/>
        <v/>
      </c>
      <c r="P1971" s="16" t="str">
        <f t="shared" si="668"/>
        <v/>
      </c>
      <c r="Q1971" s="16" t="str">
        <f t="shared" si="669"/>
        <v/>
      </c>
      <c r="R1971" s="23" t="str">
        <f t="shared" si="670"/>
        <v/>
      </c>
      <c r="S1971" s="23" t="str">
        <f t="shared" si="671"/>
        <v/>
      </c>
      <c r="T1971" s="23" t="str">
        <f t="shared" si="672"/>
        <v/>
      </c>
      <c r="U1971" s="23" t="str">
        <f t="shared" si="673"/>
        <v/>
      </c>
      <c r="V1971" s="23" t="str">
        <f t="shared" si="674"/>
        <v/>
      </c>
      <c r="W1971" s="70" t="str">
        <f t="shared" si="675"/>
        <v/>
      </c>
      <c r="X1971" s="70" t="str">
        <f t="shared" si="676"/>
        <v/>
      </c>
      <c r="Y1971" s="70" t="str">
        <f>IF(AND($A1971&lt;&gt;"",$E1971&gt;0),isLaptopBag($C1971,$J1971)*$D1971,"")</f>
        <v/>
      </c>
      <c r="Z1971" s="70" t="str">
        <f t="shared" si="677"/>
        <v/>
      </c>
      <c r="AA1971" s="70" t="str">
        <f t="shared" si="678"/>
        <v/>
      </c>
      <c r="AB1971" s="70" t="str">
        <f t="shared" si="679"/>
        <v/>
      </c>
      <c r="AC1971" s="70" t="str">
        <f t="shared" si="680"/>
        <v/>
      </c>
      <c r="AD1971" s="70" t="str">
        <f t="shared" si="681"/>
        <v/>
      </c>
      <c r="AE1971" s="70" t="str">
        <f t="shared" si="682"/>
        <v/>
      </c>
      <c r="AF1971" s="16"/>
      <c r="AG1971" s="23"/>
      <c r="AH1971" s="22"/>
      <c r="AJ1971" s="83">
        <f t="shared" si="683"/>
        <v>0</v>
      </c>
      <c r="AO1971" s="22" t="str">
        <f t="shared" si="684"/>
        <v/>
      </c>
      <c r="AP1971" s="22" t="str">
        <f t="shared" si="685"/>
        <v/>
      </c>
    </row>
    <row r="1972" spans="1:42" x14ac:dyDescent="0.25">
      <c r="A1972" s="10"/>
      <c r="B1972" s="10"/>
      <c r="C1972" s="10"/>
      <c r="D1972" s="10"/>
      <c r="E1972" s="10"/>
      <c r="F1972" s="10"/>
      <c r="G1972" s="10"/>
      <c r="H1972" s="17"/>
      <c r="I1972" s="10"/>
      <c r="J1972" s="10"/>
      <c r="K1972" s="16" t="str">
        <f t="shared" si="664"/>
        <v/>
      </c>
      <c r="L1972" s="23" t="str">
        <f t="shared" si="665"/>
        <v/>
      </c>
      <c r="M1972" s="22" t="str">
        <f t="shared" si="666"/>
        <v/>
      </c>
      <c r="N1972" s="72"/>
      <c r="O1972" s="16" t="str">
        <f t="shared" si="667"/>
        <v/>
      </c>
      <c r="P1972" s="16" t="str">
        <f t="shared" si="668"/>
        <v/>
      </c>
      <c r="Q1972" s="16" t="str">
        <f t="shared" si="669"/>
        <v/>
      </c>
      <c r="R1972" s="23" t="str">
        <f t="shared" si="670"/>
        <v/>
      </c>
      <c r="S1972" s="23" t="str">
        <f t="shared" si="671"/>
        <v/>
      </c>
      <c r="T1972" s="23" t="str">
        <f t="shared" si="672"/>
        <v/>
      </c>
      <c r="U1972" s="23" t="str">
        <f t="shared" si="673"/>
        <v/>
      </c>
      <c r="V1972" s="23" t="str">
        <f t="shared" si="674"/>
        <v/>
      </c>
      <c r="W1972" s="70" t="str">
        <f t="shared" si="675"/>
        <v/>
      </c>
      <c r="X1972" s="70" t="str">
        <f t="shared" si="676"/>
        <v/>
      </c>
      <c r="Y1972" s="70" t="str">
        <f>IF(AND($A1972&lt;&gt;"",$E1972&gt;0),isLaptopBag($C1972,$J1972)*$D1972,"")</f>
        <v/>
      </c>
      <c r="Z1972" s="70" t="str">
        <f t="shared" si="677"/>
        <v/>
      </c>
      <c r="AA1972" s="70" t="str">
        <f t="shared" si="678"/>
        <v/>
      </c>
      <c r="AB1972" s="70" t="str">
        <f t="shared" si="679"/>
        <v/>
      </c>
      <c r="AC1972" s="70" t="str">
        <f t="shared" si="680"/>
        <v/>
      </c>
      <c r="AD1972" s="70" t="str">
        <f t="shared" si="681"/>
        <v/>
      </c>
      <c r="AE1972" s="70" t="str">
        <f t="shared" si="682"/>
        <v/>
      </c>
      <c r="AF1972" s="16"/>
      <c r="AG1972" s="23"/>
      <c r="AH1972" s="22"/>
      <c r="AJ1972" s="83">
        <f t="shared" si="683"/>
        <v>0</v>
      </c>
      <c r="AO1972" s="22" t="str">
        <f t="shared" si="684"/>
        <v/>
      </c>
      <c r="AP1972" s="22" t="str">
        <f t="shared" si="685"/>
        <v/>
      </c>
    </row>
    <row r="1973" spans="1:42" x14ac:dyDescent="0.25">
      <c r="A1973" s="10"/>
      <c r="B1973" s="10"/>
      <c r="C1973" s="10"/>
      <c r="D1973" s="10"/>
      <c r="E1973" s="10"/>
      <c r="F1973" s="10"/>
      <c r="G1973" s="10"/>
      <c r="H1973" s="17"/>
      <c r="I1973" s="10"/>
      <c r="J1973" s="10"/>
      <c r="K1973" s="16" t="str">
        <f t="shared" si="664"/>
        <v/>
      </c>
      <c r="L1973" s="23" t="str">
        <f t="shared" si="665"/>
        <v/>
      </c>
      <c r="M1973" s="22" t="str">
        <f t="shared" si="666"/>
        <v/>
      </c>
      <c r="N1973" s="72"/>
      <c r="O1973" s="16" t="str">
        <f t="shared" si="667"/>
        <v/>
      </c>
      <c r="P1973" s="16" t="str">
        <f t="shared" si="668"/>
        <v/>
      </c>
      <c r="Q1973" s="16" t="str">
        <f t="shared" si="669"/>
        <v/>
      </c>
      <c r="R1973" s="23" t="str">
        <f t="shared" si="670"/>
        <v/>
      </c>
      <c r="S1973" s="23" t="str">
        <f t="shared" si="671"/>
        <v/>
      </c>
      <c r="T1973" s="23" t="str">
        <f t="shared" si="672"/>
        <v/>
      </c>
      <c r="U1973" s="23" t="str">
        <f t="shared" si="673"/>
        <v/>
      </c>
      <c r="V1973" s="23" t="str">
        <f t="shared" si="674"/>
        <v/>
      </c>
      <c r="W1973" s="70" t="str">
        <f t="shared" si="675"/>
        <v/>
      </c>
      <c r="X1973" s="70" t="str">
        <f t="shared" si="676"/>
        <v/>
      </c>
      <c r="Y1973" s="70" t="str">
        <f>IF(AND($A1973&lt;&gt;"",$E1973&gt;0),isLaptopBag($C1973,$J1973)*$D1973,"")</f>
        <v/>
      </c>
      <c r="Z1973" s="70" t="str">
        <f t="shared" si="677"/>
        <v/>
      </c>
      <c r="AA1973" s="70" t="str">
        <f t="shared" si="678"/>
        <v/>
      </c>
      <c r="AB1973" s="70" t="str">
        <f t="shared" si="679"/>
        <v/>
      </c>
      <c r="AC1973" s="70" t="str">
        <f t="shared" si="680"/>
        <v/>
      </c>
      <c r="AD1973" s="70" t="str">
        <f t="shared" si="681"/>
        <v/>
      </c>
      <c r="AE1973" s="70" t="str">
        <f t="shared" si="682"/>
        <v/>
      </c>
      <c r="AF1973" s="16"/>
      <c r="AG1973" s="23"/>
      <c r="AH1973" s="22"/>
      <c r="AJ1973" s="83">
        <f t="shared" si="683"/>
        <v>0</v>
      </c>
      <c r="AO1973" s="22" t="str">
        <f t="shared" si="684"/>
        <v/>
      </c>
      <c r="AP1973" s="22" t="str">
        <f t="shared" si="685"/>
        <v/>
      </c>
    </row>
    <row r="1974" spans="1:42" x14ac:dyDescent="0.25">
      <c r="A1974" s="10"/>
      <c r="B1974" s="10"/>
      <c r="C1974" s="10"/>
      <c r="D1974" s="10"/>
      <c r="E1974" s="10"/>
      <c r="F1974" s="10"/>
      <c r="G1974" s="10"/>
      <c r="H1974" s="17"/>
      <c r="I1974" s="10"/>
      <c r="J1974" s="10"/>
      <c r="K1974" s="16" t="str">
        <f t="shared" si="664"/>
        <v/>
      </c>
      <c r="L1974" s="23" t="str">
        <f t="shared" si="665"/>
        <v/>
      </c>
      <c r="M1974" s="22" t="str">
        <f t="shared" si="666"/>
        <v/>
      </c>
      <c r="N1974" s="72"/>
      <c r="O1974" s="16" t="str">
        <f t="shared" si="667"/>
        <v/>
      </c>
      <c r="P1974" s="16" t="str">
        <f t="shared" si="668"/>
        <v/>
      </c>
      <c r="Q1974" s="16" t="str">
        <f t="shared" si="669"/>
        <v/>
      </c>
      <c r="R1974" s="23" t="str">
        <f t="shared" si="670"/>
        <v/>
      </c>
      <c r="S1974" s="23" t="str">
        <f t="shared" si="671"/>
        <v/>
      </c>
      <c r="T1974" s="23" t="str">
        <f t="shared" si="672"/>
        <v/>
      </c>
      <c r="U1974" s="23" t="str">
        <f t="shared" si="673"/>
        <v/>
      </c>
      <c r="V1974" s="23" t="str">
        <f t="shared" si="674"/>
        <v/>
      </c>
      <c r="W1974" s="70" t="str">
        <f t="shared" si="675"/>
        <v/>
      </c>
      <c r="X1974" s="70" t="str">
        <f t="shared" si="676"/>
        <v/>
      </c>
      <c r="Y1974" s="70" t="str">
        <f>IF(AND($A1974&lt;&gt;"",$E1974&gt;0),isLaptopBag($C1974,$J1974)*$D1974,"")</f>
        <v/>
      </c>
      <c r="Z1974" s="70" t="str">
        <f t="shared" si="677"/>
        <v/>
      </c>
      <c r="AA1974" s="70" t="str">
        <f t="shared" si="678"/>
        <v/>
      </c>
      <c r="AB1974" s="70" t="str">
        <f t="shared" si="679"/>
        <v/>
      </c>
      <c r="AC1974" s="70" t="str">
        <f t="shared" si="680"/>
        <v/>
      </c>
      <c r="AD1974" s="70" t="str">
        <f t="shared" si="681"/>
        <v/>
      </c>
      <c r="AE1974" s="70" t="str">
        <f t="shared" si="682"/>
        <v/>
      </c>
      <c r="AF1974" s="16"/>
      <c r="AG1974" s="23"/>
      <c r="AH1974" s="22"/>
      <c r="AJ1974" s="83">
        <f t="shared" si="683"/>
        <v>0</v>
      </c>
      <c r="AO1974" s="22" t="str">
        <f t="shared" si="684"/>
        <v/>
      </c>
      <c r="AP1974" s="22" t="str">
        <f t="shared" si="685"/>
        <v/>
      </c>
    </row>
    <row r="1975" spans="1:42" x14ac:dyDescent="0.25">
      <c r="A1975" s="10"/>
      <c r="B1975" s="10"/>
      <c r="C1975" s="10"/>
      <c r="D1975" s="10"/>
      <c r="E1975" s="10"/>
      <c r="F1975" s="10"/>
      <c r="G1975" s="10"/>
      <c r="H1975" s="17"/>
      <c r="I1975" s="10"/>
      <c r="J1975" s="10"/>
      <c r="K1975" s="16" t="str">
        <f t="shared" si="664"/>
        <v/>
      </c>
      <c r="L1975" s="23" t="str">
        <f t="shared" si="665"/>
        <v/>
      </c>
      <c r="M1975" s="22" t="str">
        <f t="shared" si="666"/>
        <v/>
      </c>
      <c r="N1975" s="72"/>
      <c r="O1975" s="16" t="str">
        <f t="shared" si="667"/>
        <v/>
      </c>
      <c r="P1975" s="16" t="str">
        <f t="shared" si="668"/>
        <v/>
      </c>
      <c r="Q1975" s="16" t="str">
        <f t="shared" si="669"/>
        <v/>
      </c>
      <c r="R1975" s="23" t="str">
        <f t="shared" si="670"/>
        <v/>
      </c>
      <c r="S1975" s="23" t="str">
        <f t="shared" si="671"/>
        <v/>
      </c>
      <c r="T1975" s="23" t="str">
        <f t="shared" si="672"/>
        <v/>
      </c>
      <c r="U1975" s="23" t="str">
        <f t="shared" si="673"/>
        <v/>
      </c>
      <c r="V1975" s="23" t="str">
        <f t="shared" si="674"/>
        <v/>
      </c>
      <c r="W1975" s="70" t="str">
        <f t="shared" si="675"/>
        <v/>
      </c>
      <c r="X1975" s="70" t="str">
        <f t="shared" si="676"/>
        <v/>
      </c>
      <c r="Y1975" s="70" t="str">
        <f>IF(AND($A1975&lt;&gt;"",$E1975&gt;0),isLaptopBag($C1975,$J1975)*$D1975,"")</f>
        <v/>
      </c>
      <c r="Z1975" s="70" t="str">
        <f t="shared" si="677"/>
        <v/>
      </c>
      <c r="AA1975" s="70" t="str">
        <f t="shared" si="678"/>
        <v/>
      </c>
      <c r="AB1975" s="70" t="str">
        <f t="shared" si="679"/>
        <v/>
      </c>
      <c r="AC1975" s="70" t="str">
        <f t="shared" si="680"/>
        <v/>
      </c>
      <c r="AD1975" s="70" t="str">
        <f t="shared" si="681"/>
        <v/>
      </c>
      <c r="AE1975" s="70" t="str">
        <f t="shared" si="682"/>
        <v/>
      </c>
      <c r="AF1975" s="16"/>
      <c r="AG1975" s="23"/>
      <c r="AH1975" s="22"/>
      <c r="AJ1975" s="83">
        <f t="shared" si="683"/>
        <v>0</v>
      </c>
      <c r="AO1975" s="22" t="str">
        <f t="shared" si="684"/>
        <v/>
      </c>
      <c r="AP1975" s="22" t="str">
        <f t="shared" si="685"/>
        <v/>
      </c>
    </row>
    <row r="1976" spans="1:42" x14ac:dyDescent="0.25">
      <c r="A1976" s="10"/>
      <c r="B1976" s="10"/>
      <c r="C1976" s="10"/>
      <c r="D1976" s="10"/>
      <c r="E1976" s="10"/>
      <c r="F1976" s="10"/>
      <c r="G1976" s="10"/>
      <c r="H1976" s="17"/>
      <c r="I1976" s="10"/>
      <c r="J1976" s="10"/>
      <c r="K1976" s="16" t="str">
        <f t="shared" si="664"/>
        <v/>
      </c>
      <c r="L1976" s="23" t="str">
        <f t="shared" si="665"/>
        <v/>
      </c>
      <c r="M1976" s="22" t="str">
        <f t="shared" si="666"/>
        <v/>
      </c>
      <c r="N1976" s="72"/>
      <c r="O1976" s="16" t="str">
        <f t="shared" si="667"/>
        <v/>
      </c>
      <c r="P1976" s="16" t="str">
        <f t="shared" si="668"/>
        <v/>
      </c>
      <c r="Q1976" s="16" t="str">
        <f t="shared" si="669"/>
        <v/>
      </c>
      <c r="R1976" s="23" t="str">
        <f t="shared" si="670"/>
        <v/>
      </c>
      <c r="S1976" s="23" t="str">
        <f t="shared" si="671"/>
        <v/>
      </c>
      <c r="T1976" s="23" t="str">
        <f t="shared" si="672"/>
        <v/>
      </c>
      <c r="U1976" s="23" t="str">
        <f t="shared" si="673"/>
        <v/>
      </c>
      <c r="V1976" s="23" t="str">
        <f t="shared" si="674"/>
        <v/>
      </c>
      <c r="W1976" s="70" t="str">
        <f t="shared" si="675"/>
        <v/>
      </c>
      <c r="X1976" s="70" t="str">
        <f t="shared" si="676"/>
        <v/>
      </c>
      <c r="Y1976" s="70" t="str">
        <f>IF(AND($A1976&lt;&gt;"",$E1976&gt;0),isLaptopBag($C1976,$J1976)*$D1976,"")</f>
        <v/>
      </c>
      <c r="Z1976" s="70" t="str">
        <f t="shared" si="677"/>
        <v/>
      </c>
      <c r="AA1976" s="70" t="str">
        <f t="shared" si="678"/>
        <v/>
      </c>
      <c r="AB1976" s="70" t="str">
        <f t="shared" si="679"/>
        <v/>
      </c>
      <c r="AC1976" s="70" t="str">
        <f t="shared" si="680"/>
        <v/>
      </c>
      <c r="AD1976" s="70" t="str">
        <f t="shared" si="681"/>
        <v/>
      </c>
      <c r="AE1976" s="70" t="str">
        <f t="shared" si="682"/>
        <v/>
      </c>
      <c r="AF1976" s="16"/>
      <c r="AG1976" s="23"/>
      <c r="AH1976" s="22"/>
      <c r="AJ1976" s="83">
        <f t="shared" si="683"/>
        <v>0</v>
      </c>
      <c r="AO1976" s="22" t="str">
        <f t="shared" si="684"/>
        <v/>
      </c>
      <c r="AP1976" s="22" t="str">
        <f t="shared" si="685"/>
        <v/>
      </c>
    </row>
    <row r="1977" spans="1:42" x14ac:dyDescent="0.25">
      <c r="A1977" s="10"/>
      <c r="B1977" s="10"/>
      <c r="C1977" s="10"/>
      <c r="D1977" s="10"/>
      <c r="E1977" s="10"/>
      <c r="F1977" s="10"/>
      <c r="G1977" s="10"/>
      <c r="H1977" s="17"/>
      <c r="I1977" s="10"/>
      <c r="J1977" s="10"/>
      <c r="K1977" s="16" t="str">
        <f t="shared" si="664"/>
        <v/>
      </c>
      <c r="L1977" s="23" t="str">
        <f t="shared" si="665"/>
        <v/>
      </c>
      <c r="M1977" s="22" t="str">
        <f t="shared" si="666"/>
        <v/>
      </c>
      <c r="N1977" s="72"/>
      <c r="O1977" s="16" t="str">
        <f t="shared" si="667"/>
        <v/>
      </c>
      <c r="P1977" s="16" t="str">
        <f t="shared" si="668"/>
        <v/>
      </c>
      <c r="Q1977" s="16" t="str">
        <f t="shared" si="669"/>
        <v/>
      </c>
      <c r="R1977" s="23" t="str">
        <f t="shared" si="670"/>
        <v/>
      </c>
      <c r="S1977" s="23" t="str">
        <f t="shared" si="671"/>
        <v/>
      </c>
      <c r="T1977" s="23" t="str">
        <f t="shared" si="672"/>
        <v/>
      </c>
      <c r="U1977" s="23" t="str">
        <f t="shared" si="673"/>
        <v/>
      </c>
      <c r="V1977" s="23" t="str">
        <f t="shared" si="674"/>
        <v/>
      </c>
      <c r="W1977" s="70" t="str">
        <f t="shared" si="675"/>
        <v/>
      </c>
      <c r="X1977" s="70" t="str">
        <f t="shared" si="676"/>
        <v/>
      </c>
      <c r="Y1977" s="70" t="str">
        <f>IF(AND($A1977&lt;&gt;"",$E1977&gt;0),isLaptopBag($C1977,$J1977)*$D1977,"")</f>
        <v/>
      </c>
      <c r="Z1977" s="70" t="str">
        <f t="shared" si="677"/>
        <v/>
      </c>
      <c r="AA1977" s="70" t="str">
        <f t="shared" si="678"/>
        <v/>
      </c>
      <c r="AB1977" s="70" t="str">
        <f t="shared" si="679"/>
        <v/>
      </c>
      <c r="AC1977" s="70" t="str">
        <f t="shared" si="680"/>
        <v/>
      </c>
      <c r="AD1977" s="70" t="str">
        <f t="shared" si="681"/>
        <v/>
      </c>
      <c r="AE1977" s="70" t="str">
        <f t="shared" si="682"/>
        <v/>
      </c>
      <c r="AF1977" s="16"/>
      <c r="AG1977" s="23"/>
      <c r="AH1977" s="22"/>
      <c r="AJ1977" s="83">
        <f t="shared" si="683"/>
        <v>0</v>
      </c>
      <c r="AO1977" s="22" t="str">
        <f t="shared" si="684"/>
        <v/>
      </c>
      <c r="AP1977" s="22" t="str">
        <f t="shared" si="685"/>
        <v/>
      </c>
    </row>
    <row r="1978" spans="1:42" x14ac:dyDescent="0.25">
      <c r="A1978" s="10"/>
      <c r="B1978" s="10"/>
      <c r="C1978" s="10"/>
      <c r="D1978" s="10"/>
      <c r="E1978" s="10"/>
      <c r="F1978" s="10"/>
      <c r="G1978" s="10"/>
      <c r="H1978" s="17"/>
      <c r="I1978" s="10"/>
      <c r="J1978" s="10"/>
      <c r="K1978" s="16" t="str">
        <f t="shared" si="664"/>
        <v/>
      </c>
      <c r="L1978" s="23" t="str">
        <f t="shared" si="665"/>
        <v/>
      </c>
      <c r="M1978" s="22" t="str">
        <f t="shared" si="666"/>
        <v/>
      </c>
      <c r="N1978" s="72"/>
      <c r="O1978" s="16" t="str">
        <f t="shared" si="667"/>
        <v/>
      </c>
      <c r="P1978" s="16" t="str">
        <f t="shared" si="668"/>
        <v/>
      </c>
      <c r="Q1978" s="16" t="str">
        <f t="shared" si="669"/>
        <v/>
      </c>
      <c r="R1978" s="23" t="str">
        <f t="shared" si="670"/>
        <v/>
      </c>
      <c r="S1978" s="23" t="str">
        <f t="shared" si="671"/>
        <v/>
      </c>
      <c r="T1978" s="23" t="str">
        <f t="shared" si="672"/>
        <v/>
      </c>
      <c r="U1978" s="23" t="str">
        <f t="shared" si="673"/>
        <v/>
      </c>
      <c r="V1978" s="23" t="str">
        <f t="shared" si="674"/>
        <v/>
      </c>
      <c r="W1978" s="70" t="str">
        <f t="shared" si="675"/>
        <v/>
      </c>
      <c r="X1978" s="70" t="str">
        <f t="shared" si="676"/>
        <v/>
      </c>
      <c r="Y1978" s="70" t="str">
        <f>IF(AND($A1978&lt;&gt;"",$E1978&gt;0),isLaptopBag($C1978,$J1978)*$D1978,"")</f>
        <v/>
      </c>
      <c r="Z1978" s="70" t="str">
        <f t="shared" si="677"/>
        <v/>
      </c>
      <c r="AA1978" s="70" t="str">
        <f t="shared" si="678"/>
        <v/>
      </c>
      <c r="AB1978" s="70" t="str">
        <f t="shared" si="679"/>
        <v/>
      </c>
      <c r="AC1978" s="70" t="str">
        <f t="shared" si="680"/>
        <v/>
      </c>
      <c r="AD1978" s="70" t="str">
        <f t="shared" si="681"/>
        <v/>
      </c>
      <c r="AE1978" s="70" t="str">
        <f t="shared" si="682"/>
        <v/>
      </c>
      <c r="AF1978" s="16"/>
      <c r="AG1978" s="23"/>
      <c r="AH1978" s="22"/>
      <c r="AJ1978" s="83">
        <f t="shared" si="683"/>
        <v>0</v>
      </c>
      <c r="AO1978" s="22" t="str">
        <f t="shared" si="684"/>
        <v/>
      </c>
      <c r="AP1978" s="22" t="str">
        <f t="shared" si="685"/>
        <v/>
      </c>
    </row>
    <row r="1979" spans="1:42" x14ac:dyDescent="0.25">
      <c r="A1979" s="10"/>
      <c r="B1979" s="10"/>
      <c r="C1979" s="10"/>
      <c r="D1979" s="10"/>
      <c r="E1979" s="10"/>
      <c r="F1979" s="10"/>
      <c r="G1979" s="10"/>
      <c r="H1979" s="17"/>
      <c r="I1979" s="10"/>
      <c r="J1979" s="10"/>
      <c r="K1979" s="16" t="str">
        <f t="shared" si="664"/>
        <v/>
      </c>
      <c r="L1979" s="23" t="str">
        <f t="shared" si="665"/>
        <v/>
      </c>
      <c r="M1979" s="22" t="str">
        <f t="shared" si="666"/>
        <v/>
      </c>
      <c r="N1979" s="72"/>
      <c r="O1979" s="16" t="str">
        <f t="shared" si="667"/>
        <v/>
      </c>
      <c r="P1979" s="16" t="str">
        <f t="shared" si="668"/>
        <v/>
      </c>
      <c r="Q1979" s="16" t="str">
        <f t="shared" si="669"/>
        <v/>
      </c>
      <c r="R1979" s="23" t="str">
        <f t="shared" si="670"/>
        <v/>
      </c>
      <c r="S1979" s="23" t="str">
        <f t="shared" si="671"/>
        <v/>
      </c>
      <c r="T1979" s="23" t="str">
        <f t="shared" si="672"/>
        <v/>
      </c>
      <c r="U1979" s="23" t="str">
        <f t="shared" si="673"/>
        <v/>
      </c>
      <c r="V1979" s="23" t="str">
        <f t="shared" si="674"/>
        <v/>
      </c>
      <c r="W1979" s="70" t="str">
        <f t="shared" si="675"/>
        <v/>
      </c>
      <c r="X1979" s="70" t="str">
        <f t="shared" si="676"/>
        <v/>
      </c>
      <c r="Y1979" s="70" t="str">
        <f>IF(AND($A1979&lt;&gt;"",$E1979&gt;0),isLaptopBag($C1979,$J1979)*$D1979,"")</f>
        <v/>
      </c>
      <c r="Z1979" s="70" t="str">
        <f t="shared" si="677"/>
        <v/>
      </c>
      <c r="AA1979" s="70" t="str">
        <f t="shared" si="678"/>
        <v/>
      </c>
      <c r="AB1979" s="70" t="str">
        <f t="shared" si="679"/>
        <v/>
      </c>
      <c r="AC1979" s="70" t="str">
        <f t="shared" si="680"/>
        <v/>
      </c>
      <c r="AD1979" s="70" t="str">
        <f t="shared" si="681"/>
        <v/>
      </c>
      <c r="AE1979" s="70" t="str">
        <f t="shared" si="682"/>
        <v/>
      </c>
      <c r="AF1979" s="16"/>
      <c r="AG1979" s="23"/>
      <c r="AH1979" s="22"/>
      <c r="AJ1979" s="83">
        <f t="shared" si="683"/>
        <v>0</v>
      </c>
      <c r="AO1979" s="22" t="str">
        <f t="shared" si="684"/>
        <v/>
      </c>
      <c r="AP1979" s="22" t="str">
        <f t="shared" si="685"/>
        <v/>
      </c>
    </row>
    <row r="1980" spans="1:42" x14ac:dyDescent="0.25">
      <c r="A1980" s="10"/>
      <c r="B1980" s="10"/>
      <c r="C1980" s="10"/>
      <c r="D1980" s="10"/>
      <c r="E1980" s="10"/>
      <c r="F1980" s="10"/>
      <c r="G1980" s="10"/>
      <c r="H1980" s="17"/>
      <c r="I1980" s="10"/>
      <c r="J1980" s="10"/>
      <c r="K1980" s="16" t="str">
        <f t="shared" si="664"/>
        <v/>
      </c>
      <c r="L1980" s="23" t="str">
        <f t="shared" si="665"/>
        <v/>
      </c>
      <c r="M1980" s="22" t="str">
        <f t="shared" si="666"/>
        <v/>
      </c>
      <c r="N1980" s="72"/>
      <c r="O1980" s="16" t="str">
        <f t="shared" si="667"/>
        <v/>
      </c>
      <c r="P1980" s="16" t="str">
        <f t="shared" si="668"/>
        <v/>
      </c>
      <c r="Q1980" s="16" t="str">
        <f t="shared" si="669"/>
        <v/>
      </c>
      <c r="R1980" s="23" t="str">
        <f t="shared" si="670"/>
        <v/>
      </c>
      <c r="S1980" s="23" t="str">
        <f t="shared" si="671"/>
        <v/>
      </c>
      <c r="T1980" s="23" t="str">
        <f t="shared" si="672"/>
        <v/>
      </c>
      <c r="U1980" s="23" t="str">
        <f t="shared" si="673"/>
        <v/>
      </c>
      <c r="V1980" s="23" t="str">
        <f t="shared" si="674"/>
        <v/>
      </c>
      <c r="W1980" s="70" t="str">
        <f t="shared" si="675"/>
        <v/>
      </c>
      <c r="X1980" s="70" t="str">
        <f t="shared" si="676"/>
        <v/>
      </c>
      <c r="Y1980" s="70" t="str">
        <f>IF(AND($A1980&lt;&gt;"",$E1980&gt;0),isLaptopBag($C1980,$J1980)*$D1980,"")</f>
        <v/>
      </c>
      <c r="Z1980" s="70" t="str">
        <f t="shared" si="677"/>
        <v/>
      </c>
      <c r="AA1980" s="70" t="str">
        <f t="shared" si="678"/>
        <v/>
      </c>
      <c r="AB1980" s="70" t="str">
        <f t="shared" si="679"/>
        <v/>
      </c>
      <c r="AC1980" s="70" t="str">
        <f t="shared" si="680"/>
        <v/>
      </c>
      <c r="AD1980" s="70" t="str">
        <f t="shared" si="681"/>
        <v/>
      </c>
      <c r="AE1980" s="70" t="str">
        <f t="shared" si="682"/>
        <v/>
      </c>
      <c r="AF1980" s="16"/>
      <c r="AG1980" s="23"/>
      <c r="AH1980" s="22"/>
      <c r="AJ1980" s="83">
        <f t="shared" si="683"/>
        <v>0</v>
      </c>
      <c r="AO1980" s="22" t="str">
        <f t="shared" si="684"/>
        <v/>
      </c>
      <c r="AP1980" s="22" t="str">
        <f t="shared" si="685"/>
        <v/>
      </c>
    </row>
    <row r="1981" spans="1:42" x14ac:dyDescent="0.25">
      <c r="A1981" s="10"/>
      <c r="B1981" s="10"/>
      <c r="C1981" s="10"/>
      <c r="D1981" s="10"/>
      <c r="E1981" s="10"/>
      <c r="F1981" s="10"/>
      <c r="G1981" s="10"/>
      <c r="H1981" s="17"/>
      <c r="I1981" s="10"/>
      <c r="J1981" s="10"/>
      <c r="K1981" s="16" t="str">
        <f t="shared" si="664"/>
        <v/>
      </c>
      <c r="L1981" s="23" t="str">
        <f t="shared" si="665"/>
        <v/>
      </c>
      <c r="M1981" s="22" t="str">
        <f t="shared" si="666"/>
        <v/>
      </c>
      <c r="N1981" s="72"/>
      <c r="O1981" s="16" t="str">
        <f t="shared" si="667"/>
        <v/>
      </c>
      <c r="P1981" s="16" t="str">
        <f t="shared" si="668"/>
        <v/>
      </c>
      <c r="Q1981" s="16" t="str">
        <f t="shared" si="669"/>
        <v/>
      </c>
      <c r="R1981" s="23" t="str">
        <f t="shared" si="670"/>
        <v/>
      </c>
      <c r="S1981" s="23" t="str">
        <f t="shared" si="671"/>
        <v/>
      </c>
      <c r="T1981" s="23" t="str">
        <f t="shared" si="672"/>
        <v/>
      </c>
      <c r="U1981" s="23" t="str">
        <f t="shared" si="673"/>
        <v/>
      </c>
      <c r="V1981" s="23" t="str">
        <f t="shared" si="674"/>
        <v/>
      </c>
      <c r="W1981" s="70" t="str">
        <f t="shared" si="675"/>
        <v/>
      </c>
      <c r="X1981" s="70" t="str">
        <f t="shared" si="676"/>
        <v/>
      </c>
      <c r="Y1981" s="70" t="str">
        <f>IF(AND($A1981&lt;&gt;"",$E1981&gt;0),isLaptopBag($C1981,$J1981)*$D1981,"")</f>
        <v/>
      </c>
      <c r="Z1981" s="70" t="str">
        <f t="shared" si="677"/>
        <v/>
      </c>
      <c r="AA1981" s="70" t="str">
        <f t="shared" si="678"/>
        <v/>
      </c>
      <c r="AB1981" s="70" t="str">
        <f t="shared" si="679"/>
        <v/>
      </c>
      <c r="AC1981" s="70" t="str">
        <f t="shared" si="680"/>
        <v/>
      </c>
      <c r="AD1981" s="70" t="str">
        <f t="shared" si="681"/>
        <v/>
      </c>
      <c r="AE1981" s="70" t="str">
        <f t="shared" si="682"/>
        <v/>
      </c>
      <c r="AF1981" s="16"/>
      <c r="AG1981" s="23"/>
      <c r="AH1981" s="22"/>
      <c r="AJ1981" s="83">
        <f t="shared" si="683"/>
        <v>0</v>
      </c>
      <c r="AO1981" s="22" t="str">
        <f t="shared" si="684"/>
        <v/>
      </c>
      <c r="AP1981" s="22" t="str">
        <f t="shared" si="685"/>
        <v/>
      </c>
    </row>
    <row r="1982" spans="1:42" x14ac:dyDescent="0.25">
      <c r="A1982" s="10"/>
      <c r="B1982" s="10"/>
      <c r="C1982" s="10"/>
      <c r="D1982" s="10"/>
      <c r="E1982" s="10"/>
      <c r="F1982" s="10"/>
      <c r="G1982" s="10"/>
      <c r="H1982" s="17"/>
      <c r="I1982" s="10"/>
      <c r="J1982" s="10"/>
      <c r="K1982" s="16" t="str">
        <f t="shared" si="664"/>
        <v/>
      </c>
      <c r="L1982" s="23" t="str">
        <f t="shared" si="665"/>
        <v/>
      </c>
      <c r="M1982" s="22" t="str">
        <f t="shared" si="666"/>
        <v/>
      </c>
      <c r="N1982" s="72"/>
      <c r="O1982" s="16" t="str">
        <f t="shared" si="667"/>
        <v/>
      </c>
      <c r="P1982" s="16" t="str">
        <f t="shared" si="668"/>
        <v/>
      </c>
      <c r="Q1982" s="16" t="str">
        <f t="shared" si="669"/>
        <v/>
      </c>
      <c r="R1982" s="23" t="str">
        <f t="shared" si="670"/>
        <v/>
      </c>
      <c r="S1982" s="23" t="str">
        <f t="shared" si="671"/>
        <v/>
      </c>
      <c r="T1982" s="23" t="str">
        <f t="shared" si="672"/>
        <v/>
      </c>
      <c r="U1982" s="23" t="str">
        <f t="shared" si="673"/>
        <v/>
      </c>
      <c r="V1982" s="23" t="str">
        <f t="shared" si="674"/>
        <v/>
      </c>
      <c r="W1982" s="70" t="str">
        <f t="shared" si="675"/>
        <v/>
      </c>
      <c r="X1982" s="70" t="str">
        <f t="shared" si="676"/>
        <v/>
      </c>
      <c r="Y1982" s="70" t="str">
        <f>IF(AND($A1982&lt;&gt;"",$E1982&gt;0),isLaptopBag($C1982,$J1982)*$D1982,"")</f>
        <v/>
      </c>
      <c r="Z1982" s="70" t="str">
        <f t="shared" si="677"/>
        <v/>
      </c>
      <c r="AA1982" s="70" t="str">
        <f t="shared" si="678"/>
        <v/>
      </c>
      <c r="AB1982" s="70" t="str">
        <f t="shared" si="679"/>
        <v/>
      </c>
      <c r="AC1982" s="70" t="str">
        <f t="shared" si="680"/>
        <v/>
      </c>
      <c r="AD1982" s="70" t="str">
        <f t="shared" si="681"/>
        <v/>
      </c>
      <c r="AE1982" s="70" t="str">
        <f t="shared" si="682"/>
        <v/>
      </c>
      <c r="AF1982" s="16"/>
      <c r="AG1982" s="23"/>
      <c r="AH1982" s="22"/>
      <c r="AJ1982" s="83">
        <f t="shared" si="683"/>
        <v>0</v>
      </c>
      <c r="AO1982" s="22" t="str">
        <f t="shared" si="684"/>
        <v/>
      </c>
      <c r="AP1982" s="22" t="str">
        <f t="shared" si="685"/>
        <v/>
      </c>
    </row>
    <row r="1983" spans="1:42" x14ac:dyDescent="0.25">
      <c r="A1983" s="10"/>
      <c r="B1983" s="10"/>
      <c r="C1983" s="10"/>
      <c r="D1983" s="10"/>
      <c r="E1983" s="10"/>
      <c r="F1983" s="10"/>
      <c r="G1983" s="10"/>
      <c r="H1983" s="17"/>
      <c r="I1983" s="10"/>
      <c r="J1983" s="10"/>
      <c r="K1983" s="16" t="str">
        <f t="shared" si="664"/>
        <v/>
      </c>
      <c r="L1983" s="23" t="str">
        <f t="shared" si="665"/>
        <v/>
      </c>
      <c r="M1983" s="22" t="str">
        <f t="shared" si="666"/>
        <v/>
      </c>
      <c r="N1983" s="72"/>
      <c r="O1983" s="16" t="str">
        <f t="shared" si="667"/>
        <v/>
      </c>
      <c r="P1983" s="16" t="str">
        <f t="shared" si="668"/>
        <v/>
      </c>
      <c r="Q1983" s="16" t="str">
        <f t="shared" si="669"/>
        <v/>
      </c>
      <c r="R1983" s="23" t="str">
        <f t="shared" si="670"/>
        <v/>
      </c>
      <c r="S1983" s="23" t="str">
        <f t="shared" si="671"/>
        <v/>
      </c>
      <c r="T1983" s="23" t="str">
        <f t="shared" si="672"/>
        <v/>
      </c>
      <c r="U1983" s="23" t="str">
        <f t="shared" si="673"/>
        <v/>
      </c>
      <c r="V1983" s="23" t="str">
        <f t="shared" si="674"/>
        <v/>
      </c>
      <c r="W1983" s="70" t="str">
        <f t="shared" si="675"/>
        <v/>
      </c>
      <c r="X1983" s="70" t="str">
        <f t="shared" si="676"/>
        <v/>
      </c>
      <c r="Y1983" s="70" t="str">
        <f>IF(AND($A1983&lt;&gt;"",$E1983&gt;0),isLaptopBag($C1983,$J1983)*$D1983,"")</f>
        <v/>
      </c>
      <c r="Z1983" s="70" t="str">
        <f t="shared" si="677"/>
        <v/>
      </c>
      <c r="AA1983" s="70" t="str">
        <f t="shared" si="678"/>
        <v/>
      </c>
      <c r="AB1983" s="70" t="str">
        <f t="shared" si="679"/>
        <v/>
      </c>
      <c r="AC1983" s="70" t="str">
        <f t="shared" si="680"/>
        <v/>
      </c>
      <c r="AD1983" s="70" t="str">
        <f t="shared" si="681"/>
        <v/>
      </c>
      <c r="AE1983" s="70" t="str">
        <f t="shared" si="682"/>
        <v/>
      </c>
      <c r="AF1983" s="16"/>
      <c r="AG1983" s="23"/>
      <c r="AH1983" s="22"/>
      <c r="AJ1983" s="83">
        <f t="shared" si="683"/>
        <v>0</v>
      </c>
      <c r="AO1983" s="22" t="str">
        <f t="shared" si="684"/>
        <v/>
      </c>
      <c r="AP1983" s="22" t="str">
        <f t="shared" si="685"/>
        <v/>
      </c>
    </row>
    <row r="1984" spans="1:42" x14ac:dyDescent="0.25">
      <c r="A1984" s="10"/>
      <c r="B1984" s="10"/>
      <c r="C1984" s="10"/>
      <c r="D1984" s="10"/>
      <c r="E1984" s="10"/>
      <c r="F1984" s="10"/>
      <c r="G1984" s="10"/>
      <c r="H1984" s="17"/>
      <c r="I1984" s="10"/>
      <c r="J1984" s="10"/>
      <c r="K1984" s="16" t="str">
        <f t="shared" si="664"/>
        <v/>
      </c>
      <c r="L1984" s="23" t="str">
        <f t="shared" si="665"/>
        <v/>
      </c>
      <c r="M1984" s="22" t="str">
        <f t="shared" si="666"/>
        <v/>
      </c>
      <c r="N1984" s="72"/>
      <c r="O1984" s="16" t="str">
        <f t="shared" si="667"/>
        <v/>
      </c>
      <c r="P1984" s="16" t="str">
        <f t="shared" si="668"/>
        <v/>
      </c>
      <c r="Q1984" s="16" t="str">
        <f t="shared" si="669"/>
        <v/>
      </c>
      <c r="R1984" s="23" t="str">
        <f t="shared" si="670"/>
        <v/>
      </c>
      <c r="S1984" s="23" t="str">
        <f t="shared" si="671"/>
        <v/>
      </c>
      <c r="T1984" s="23" t="str">
        <f t="shared" si="672"/>
        <v/>
      </c>
      <c r="U1984" s="23" t="str">
        <f t="shared" si="673"/>
        <v/>
      </c>
      <c r="V1984" s="23" t="str">
        <f t="shared" si="674"/>
        <v/>
      </c>
      <c r="W1984" s="70" t="str">
        <f t="shared" si="675"/>
        <v/>
      </c>
      <c r="X1984" s="70" t="str">
        <f t="shared" si="676"/>
        <v/>
      </c>
      <c r="Y1984" s="70" t="str">
        <f>IF(AND($A1984&lt;&gt;"",$E1984&gt;0),isLaptopBag($C1984,$J1984)*$D1984,"")</f>
        <v/>
      </c>
      <c r="Z1984" s="70" t="str">
        <f t="shared" si="677"/>
        <v/>
      </c>
      <c r="AA1984" s="70" t="str">
        <f t="shared" si="678"/>
        <v/>
      </c>
      <c r="AB1984" s="70" t="str">
        <f t="shared" si="679"/>
        <v/>
      </c>
      <c r="AC1984" s="70" t="str">
        <f t="shared" si="680"/>
        <v/>
      </c>
      <c r="AD1984" s="70" t="str">
        <f t="shared" si="681"/>
        <v/>
      </c>
      <c r="AE1984" s="70" t="str">
        <f t="shared" si="682"/>
        <v/>
      </c>
      <c r="AF1984" s="16"/>
      <c r="AG1984" s="23"/>
      <c r="AH1984" s="22"/>
      <c r="AJ1984" s="83">
        <f t="shared" si="683"/>
        <v>0</v>
      </c>
      <c r="AO1984" s="22" t="str">
        <f t="shared" si="684"/>
        <v/>
      </c>
      <c r="AP1984" s="22" t="str">
        <f t="shared" si="685"/>
        <v/>
      </c>
    </row>
    <row r="1985" spans="1:42" x14ac:dyDescent="0.25">
      <c r="A1985" s="10"/>
      <c r="B1985" s="10"/>
      <c r="C1985" s="10"/>
      <c r="D1985" s="10"/>
      <c r="E1985" s="10"/>
      <c r="F1985" s="10"/>
      <c r="G1985" s="10"/>
      <c r="H1985" s="17"/>
      <c r="I1985" s="10"/>
      <c r="J1985" s="10"/>
      <c r="K1985" s="16" t="str">
        <f t="shared" si="664"/>
        <v/>
      </c>
      <c r="L1985" s="23" t="str">
        <f t="shared" si="665"/>
        <v/>
      </c>
      <c r="M1985" s="22" t="str">
        <f t="shared" si="666"/>
        <v/>
      </c>
      <c r="N1985" s="72"/>
      <c r="O1985" s="16" t="str">
        <f t="shared" si="667"/>
        <v/>
      </c>
      <c r="P1985" s="16" t="str">
        <f t="shared" si="668"/>
        <v/>
      </c>
      <c r="Q1985" s="16" t="str">
        <f t="shared" si="669"/>
        <v/>
      </c>
      <c r="R1985" s="23" t="str">
        <f t="shared" si="670"/>
        <v/>
      </c>
      <c r="S1985" s="23" t="str">
        <f t="shared" si="671"/>
        <v/>
      </c>
      <c r="T1985" s="23" t="str">
        <f t="shared" si="672"/>
        <v/>
      </c>
      <c r="U1985" s="23" t="str">
        <f t="shared" si="673"/>
        <v/>
      </c>
      <c r="V1985" s="23" t="str">
        <f t="shared" si="674"/>
        <v/>
      </c>
      <c r="W1985" s="70" t="str">
        <f t="shared" si="675"/>
        <v/>
      </c>
      <c r="X1985" s="70" t="str">
        <f t="shared" si="676"/>
        <v/>
      </c>
      <c r="Y1985" s="70" t="str">
        <f>IF(AND($A1985&lt;&gt;"",$E1985&gt;0),isLaptopBag($C1985,$J1985)*$D1985,"")</f>
        <v/>
      </c>
      <c r="Z1985" s="70" t="str">
        <f t="shared" si="677"/>
        <v/>
      </c>
      <c r="AA1985" s="70" t="str">
        <f t="shared" si="678"/>
        <v/>
      </c>
      <c r="AB1985" s="70" t="str">
        <f t="shared" si="679"/>
        <v/>
      </c>
      <c r="AC1985" s="70" t="str">
        <f t="shared" si="680"/>
        <v/>
      </c>
      <c r="AD1985" s="70" t="str">
        <f t="shared" si="681"/>
        <v/>
      </c>
      <c r="AE1985" s="70" t="str">
        <f t="shared" si="682"/>
        <v/>
      </c>
      <c r="AF1985" s="16"/>
      <c r="AG1985" s="23"/>
      <c r="AH1985" s="22"/>
      <c r="AJ1985" s="83">
        <f t="shared" si="683"/>
        <v>0</v>
      </c>
      <c r="AO1985" s="22" t="str">
        <f t="shared" si="684"/>
        <v/>
      </c>
      <c r="AP1985" s="22" t="str">
        <f t="shared" si="685"/>
        <v/>
      </c>
    </row>
    <row r="1986" spans="1:42" x14ac:dyDescent="0.25">
      <c r="A1986" s="10"/>
      <c r="B1986" s="10"/>
      <c r="C1986" s="10"/>
      <c r="D1986" s="10"/>
      <c r="E1986" s="10"/>
      <c r="F1986" s="10"/>
      <c r="G1986" s="10"/>
      <c r="H1986" s="17"/>
      <c r="I1986" s="10"/>
      <c r="J1986" s="10"/>
      <c r="K1986" s="16" t="str">
        <f t="shared" si="664"/>
        <v/>
      </c>
      <c r="L1986" s="23" t="str">
        <f t="shared" si="665"/>
        <v/>
      </c>
      <c r="M1986" s="22" t="str">
        <f t="shared" si="666"/>
        <v/>
      </c>
      <c r="N1986" s="72"/>
      <c r="O1986" s="16" t="str">
        <f t="shared" si="667"/>
        <v/>
      </c>
      <c r="P1986" s="16" t="str">
        <f t="shared" si="668"/>
        <v/>
      </c>
      <c r="Q1986" s="16" t="str">
        <f t="shared" si="669"/>
        <v/>
      </c>
      <c r="R1986" s="23" t="str">
        <f t="shared" si="670"/>
        <v/>
      </c>
      <c r="S1986" s="23" t="str">
        <f t="shared" si="671"/>
        <v/>
      </c>
      <c r="T1986" s="23" t="str">
        <f t="shared" si="672"/>
        <v/>
      </c>
      <c r="U1986" s="23" t="str">
        <f t="shared" si="673"/>
        <v/>
      </c>
      <c r="V1986" s="23" t="str">
        <f t="shared" si="674"/>
        <v/>
      </c>
      <c r="W1986" s="70" t="str">
        <f t="shared" si="675"/>
        <v/>
      </c>
      <c r="X1986" s="70" t="str">
        <f t="shared" si="676"/>
        <v/>
      </c>
      <c r="Y1986" s="70" t="str">
        <f>IF(AND($A1986&lt;&gt;"",$E1986&gt;0),isLaptopBag($C1986,$J1986)*$D1986,"")</f>
        <v/>
      </c>
      <c r="Z1986" s="70" t="str">
        <f t="shared" si="677"/>
        <v/>
      </c>
      <c r="AA1986" s="70" t="str">
        <f t="shared" si="678"/>
        <v/>
      </c>
      <c r="AB1986" s="70" t="str">
        <f t="shared" si="679"/>
        <v/>
      </c>
      <c r="AC1986" s="70" t="str">
        <f t="shared" si="680"/>
        <v/>
      </c>
      <c r="AD1986" s="70" t="str">
        <f t="shared" si="681"/>
        <v/>
      </c>
      <c r="AE1986" s="70" t="str">
        <f t="shared" si="682"/>
        <v/>
      </c>
      <c r="AF1986" s="16"/>
      <c r="AG1986" s="23"/>
      <c r="AH1986" s="22"/>
      <c r="AJ1986" s="83">
        <f t="shared" si="683"/>
        <v>0</v>
      </c>
      <c r="AO1986" s="22" t="str">
        <f t="shared" si="684"/>
        <v/>
      </c>
      <c r="AP1986" s="22" t="str">
        <f t="shared" si="685"/>
        <v/>
      </c>
    </row>
    <row r="1987" spans="1:42" x14ac:dyDescent="0.25">
      <c r="A1987" s="10"/>
      <c r="B1987" s="10"/>
      <c r="C1987" s="10"/>
      <c r="D1987" s="10"/>
      <c r="E1987" s="10"/>
      <c r="F1987" s="10"/>
      <c r="G1987" s="10"/>
      <c r="H1987" s="17"/>
      <c r="I1987" s="10"/>
      <c r="J1987" s="10"/>
      <c r="K1987" s="16" t="str">
        <f t="shared" si="664"/>
        <v/>
      </c>
      <c r="L1987" s="23" t="str">
        <f t="shared" si="665"/>
        <v/>
      </c>
      <c r="M1987" s="22" t="str">
        <f t="shared" si="666"/>
        <v/>
      </c>
      <c r="N1987" s="72"/>
      <c r="O1987" s="16" t="str">
        <f t="shared" si="667"/>
        <v/>
      </c>
      <c r="P1987" s="16" t="str">
        <f t="shared" si="668"/>
        <v/>
      </c>
      <c r="Q1987" s="16" t="str">
        <f t="shared" si="669"/>
        <v/>
      </c>
      <c r="R1987" s="23" t="str">
        <f t="shared" si="670"/>
        <v/>
      </c>
      <c r="S1987" s="23" t="str">
        <f t="shared" si="671"/>
        <v/>
      </c>
      <c r="T1987" s="23" t="str">
        <f t="shared" si="672"/>
        <v/>
      </c>
      <c r="U1987" s="23" t="str">
        <f t="shared" si="673"/>
        <v/>
      </c>
      <c r="V1987" s="23" t="str">
        <f t="shared" si="674"/>
        <v/>
      </c>
      <c r="W1987" s="70" t="str">
        <f t="shared" si="675"/>
        <v/>
      </c>
      <c r="X1987" s="70" t="str">
        <f t="shared" si="676"/>
        <v/>
      </c>
      <c r="Y1987" s="70" t="str">
        <f>IF(AND($A1987&lt;&gt;"",$E1987&gt;0),isLaptopBag($C1987,$J1987)*$D1987,"")</f>
        <v/>
      </c>
      <c r="Z1987" s="70" t="str">
        <f t="shared" si="677"/>
        <v/>
      </c>
      <c r="AA1987" s="70" t="str">
        <f t="shared" si="678"/>
        <v/>
      </c>
      <c r="AB1987" s="70" t="str">
        <f t="shared" si="679"/>
        <v/>
      </c>
      <c r="AC1987" s="70" t="str">
        <f t="shared" si="680"/>
        <v/>
      </c>
      <c r="AD1987" s="70" t="str">
        <f t="shared" si="681"/>
        <v/>
      </c>
      <c r="AE1987" s="70" t="str">
        <f t="shared" si="682"/>
        <v/>
      </c>
      <c r="AF1987" s="16"/>
      <c r="AG1987" s="23"/>
      <c r="AH1987" s="22"/>
      <c r="AJ1987" s="83">
        <f t="shared" si="683"/>
        <v>0</v>
      </c>
      <c r="AO1987" s="22" t="str">
        <f t="shared" si="684"/>
        <v/>
      </c>
      <c r="AP1987" s="22" t="str">
        <f t="shared" si="685"/>
        <v/>
      </c>
    </row>
    <row r="1988" spans="1:42" x14ac:dyDescent="0.25">
      <c r="A1988" s="10"/>
      <c r="B1988" s="10"/>
      <c r="C1988" s="10"/>
      <c r="D1988" s="10"/>
      <c r="E1988" s="10"/>
      <c r="F1988" s="10"/>
      <c r="G1988" s="10"/>
      <c r="H1988" s="17"/>
      <c r="I1988" s="10"/>
      <c r="J1988" s="10"/>
      <c r="K1988" s="16" t="str">
        <f t="shared" si="664"/>
        <v/>
      </c>
      <c r="L1988" s="23" t="str">
        <f t="shared" si="665"/>
        <v/>
      </c>
      <c r="M1988" s="22" t="str">
        <f t="shared" si="666"/>
        <v/>
      </c>
      <c r="N1988" s="72"/>
      <c r="O1988" s="16" t="str">
        <f t="shared" si="667"/>
        <v/>
      </c>
      <c r="P1988" s="16" t="str">
        <f t="shared" si="668"/>
        <v/>
      </c>
      <c r="Q1988" s="16" t="str">
        <f t="shared" si="669"/>
        <v/>
      </c>
      <c r="R1988" s="23" t="str">
        <f t="shared" si="670"/>
        <v/>
      </c>
      <c r="S1988" s="23" t="str">
        <f t="shared" si="671"/>
        <v/>
      </c>
      <c r="T1988" s="23" t="str">
        <f t="shared" si="672"/>
        <v/>
      </c>
      <c r="U1988" s="23" t="str">
        <f t="shared" si="673"/>
        <v/>
      </c>
      <c r="V1988" s="23" t="str">
        <f t="shared" si="674"/>
        <v/>
      </c>
      <c r="W1988" s="70" t="str">
        <f t="shared" si="675"/>
        <v/>
      </c>
      <c r="X1988" s="70" t="str">
        <f t="shared" si="676"/>
        <v/>
      </c>
      <c r="Y1988" s="70" t="str">
        <f>IF(AND($A1988&lt;&gt;"",$E1988&gt;0),isLaptopBag($C1988,$J1988)*$D1988,"")</f>
        <v/>
      </c>
      <c r="Z1988" s="70" t="str">
        <f t="shared" si="677"/>
        <v/>
      </c>
      <c r="AA1988" s="70" t="str">
        <f t="shared" si="678"/>
        <v/>
      </c>
      <c r="AB1988" s="70" t="str">
        <f t="shared" si="679"/>
        <v/>
      </c>
      <c r="AC1988" s="70" t="str">
        <f t="shared" si="680"/>
        <v/>
      </c>
      <c r="AD1988" s="70" t="str">
        <f t="shared" si="681"/>
        <v/>
      </c>
      <c r="AE1988" s="70" t="str">
        <f t="shared" si="682"/>
        <v/>
      </c>
      <c r="AF1988" s="16"/>
      <c r="AG1988" s="23"/>
      <c r="AH1988" s="22"/>
      <c r="AJ1988" s="83">
        <f t="shared" si="683"/>
        <v>0</v>
      </c>
      <c r="AO1988" s="22" t="str">
        <f t="shared" si="684"/>
        <v/>
      </c>
      <c r="AP1988" s="22" t="str">
        <f t="shared" si="685"/>
        <v/>
      </c>
    </row>
    <row r="1989" spans="1:42" x14ac:dyDescent="0.25">
      <c r="A1989" s="10"/>
      <c r="B1989" s="10"/>
      <c r="C1989" s="10"/>
      <c r="D1989" s="10"/>
      <c r="E1989" s="10"/>
      <c r="F1989" s="10"/>
      <c r="G1989" s="10"/>
      <c r="H1989" s="17"/>
      <c r="I1989" s="10"/>
      <c r="J1989" s="10"/>
      <c r="K1989" s="16" t="str">
        <f t="shared" si="664"/>
        <v/>
      </c>
      <c r="L1989" s="23" t="str">
        <f t="shared" si="665"/>
        <v/>
      </c>
      <c r="M1989" s="22" t="str">
        <f t="shared" si="666"/>
        <v/>
      </c>
      <c r="N1989" s="72"/>
      <c r="O1989" s="16" t="str">
        <f t="shared" si="667"/>
        <v/>
      </c>
      <c r="P1989" s="16" t="str">
        <f t="shared" si="668"/>
        <v/>
      </c>
      <c r="Q1989" s="16" t="str">
        <f t="shared" si="669"/>
        <v/>
      </c>
      <c r="R1989" s="23" t="str">
        <f t="shared" si="670"/>
        <v/>
      </c>
      <c r="S1989" s="23" t="str">
        <f t="shared" si="671"/>
        <v/>
      </c>
      <c r="T1989" s="23" t="str">
        <f t="shared" si="672"/>
        <v/>
      </c>
      <c r="U1989" s="23" t="str">
        <f t="shared" si="673"/>
        <v/>
      </c>
      <c r="V1989" s="23" t="str">
        <f t="shared" si="674"/>
        <v/>
      </c>
      <c r="W1989" s="70" t="str">
        <f t="shared" si="675"/>
        <v/>
      </c>
      <c r="X1989" s="70" t="str">
        <f t="shared" si="676"/>
        <v/>
      </c>
      <c r="Y1989" s="70" t="str">
        <f>IF(AND($A1989&lt;&gt;"",$E1989&gt;0),isLaptopBag($C1989,$J1989)*$D1989,"")</f>
        <v/>
      </c>
      <c r="Z1989" s="70" t="str">
        <f t="shared" si="677"/>
        <v/>
      </c>
      <c r="AA1989" s="70" t="str">
        <f t="shared" si="678"/>
        <v/>
      </c>
      <c r="AB1989" s="70" t="str">
        <f t="shared" si="679"/>
        <v/>
      </c>
      <c r="AC1989" s="70" t="str">
        <f t="shared" si="680"/>
        <v/>
      </c>
      <c r="AD1989" s="70" t="str">
        <f t="shared" si="681"/>
        <v/>
      </c>
      <c r="AE1989" s="70" t="str">
        <f t="shared" si="682"/>
        <v/>
      </c>
      <c r="AF1989" s="16"/>
      <c r="AG1989" s="23"/>
      <c r="AH1989" s="22"/>
      <c r="AJ1989" s="83">
        <f t="shared" si="683"/>
        <v>0</v>
      </c>
      <c r="AO1989" s="22" t="str">
        <f t="shared" si="684"/>
        <v/>
      </c>
      <c r="AP1989" s="22" t="str">
        <f t="shared" si="685"/>
        <v/>
      </c>
    </row>
    <row r="1990" spans="1:42" x14ac:dyDescent="0.25">
      <c r="A1990" s="10"/>
      <c r="B1990" s="10"/>
      <c r="C1990" s="10"/>
      <c r="D1990" s="10"/>
      <c r="E1990" s="10"/>
      <c r="F1990" s="10"/>
      <c r="G1990" s="10"/>
      <c r="H1990" s="17"/>
      <c r="I1990" s="10"/>
      <c r="J1990" s="10"/>
      <c r="K1990" s="16" t="str">
        <f t="shared" si="664"/>
        <v/>
      </c>
      <c r="L1990" s="23" t="str">
        <f t="shared" si="665"/>
        <v/>
      </c>
      <c r="M1990" s="22" t="str">
        <f t="shared" si="666"/>
        <v/>
      </c>
      <c r="N1990" s="72"/>
      <c r="O1990" s="16" t="str">
        <f t="shared" si="667"/>
        <v/>
      </c>
      <c r="P1990" s="16" t="str">
        <f t="shared" si="668"/>
        <v/>
      </c>
      <c r="Q1990" s="16" t="str">
        <f t="shared" si="669"/>
        <v/>
      </c>
      <c r="R1990" s="23" t="str">
        <f t="shared" si="670"/>
        <v/>
      </c>
      <c r="S1990" s="23" t="str">
        <f t="shared" si="671"/>
        <v/>
      </c>
      <c r="T1990" s="23" t="str">
        <f t="shared" si="672"/>
        <v/>
      </c>
      <c r="U1990" s="23" t="str">
        <f t="shared" si="673"/>
        <v/>
      </c>
      <c r="V1990" s="23" t="str">
        <f t="shared" si="674"/>
        <v/>
      </c>
      <c r="W1990" s="70" t="str">
        <f t="shared" si="675"/>
        <v/>
      </c>
      <c r="X1990" s="70" t="str">
        <f t="shared" si="676"/>
        <v/>
      </c>
      <c r="Y1990" s="70" t="str">
        <f>IF(AND($A1990&lt;&gt;"",$E1990&gt;0),isLaptopBag($C1990,$J1990)*$D1990,"")</f>
        <v/>
      </c>
      <c r="Z1990" s="70" t="str">
        <f t="shared" si="677"/>
        <v/>
      </c>
      <c r="AA1990" s="70" t="str">
        <f t="shared" si="678"/>
        <v/>
      </c>
      <c r="AB1990" s="70" t="str">
        <f t="shared" si="679"/>
        <v/>
      </c>
      <c r="AC1990" s="70" t="str">
        <f t="shared" si="680"/>
        <v/>
      </c>
      <c r="AD1990" s="70" t="str">
        <f t="shared" si="681"/>
        <v/>
      </c>
      <c r="AE1990" s="70" t="str">
        <f t="shared" si="682"/>
        <v/>
      </c>
      <c r="AF1990" s="16"/>
      <c r="AG1990" s="23"/>
      <c r="AH1990" s="22"/>
      <c r="AJ1990" s="83">
        <f t="shared" si="683"/>
        <v>0</v>
      </c>
      <c r="AO1990" s="22" t="str">
        <f t="shared" si="684"/>
        <v/>
      </c>
      <c r="AP1990" s="22" t="str">
        <f t="shared" si="685"/>
        <v/>
      </c>
    </row>
    <row r="1991" spans="1:42" x14ac:dyDescent="0.25">
      <c r="A1991" s="10"/>
      <c r="B1991" s="10"/>
      <c r="C1991" s="10"/>
      <c r="D1991" s="10"/>
      <c r="E1991" s="10"/>
      <c r="F1991" s="10"/>
      <c r="G1991" s="10"/>
      <c r="H1991" s="17"/>
      <c r="I1991" s="10"/>
      <c r="J1991" s="10"/>
      <c r="K1991" s="16" t="str">
        <f t="shared" si="664"/>
        <v/>
      </c>
      <c r="L1991" s="23" t="str">
        <f t="shared" si="665"/>
        <v/>
      </c>
      <c r="M1991" s="22" t="str">
        <f t="shared" si="666"/>
        <v/>
      </c>
      <c r="N1991" s="72"/>
      <c r="O1991" s="16" t="str">
        <f t="shared" si="667"/>
        <v/>
      </c>
      <c r="P1991" s="16" t="str">
        <f t="shared" si="668"/>
        <v/>
      </c>
      <c r="Q1991" s="16" t="str">
        <f t="shared" si="669"/>
        <v/>
      </c>
      <c r="R1991" s="23" t="str">
        <f t="shared" si="670"/>
        <v/>
      </c>
      <c r="S1991" s="23" t="str">
        <f t="shared" si="671"/>
        <v/>
      </c>
      <c r="T1991" s="23" t="str">
        <f t="shared" si="672"/>
        <v/>
      </c>
      <c r="U1991" s="23" t="str">
        <f t="shared" si="673"/>
        <v/>
      </c>
      <c r="V1991" s="23" t="str">
        <f t="shared" si="674"/>
        <v/>
      </c>
      <c r="W1991" s="70" t="str">
        <f t="shared" si="675"/>
        <v/>
      </c>
      <c r="X1991" s="70" t="str">
        <f t="shared" si="676"/>
        <v/>
      </c>
      <c r="Y1991" s="70" t="str">
        <f>IF(AND($A1991&lt;&gt;"",$E1991&gt;0),isLaptopBag($C1991,$J1991)*$D1991,"")</f>
        <v/>
      </c>
      <c r="Z1991" s="70" t="str">
        <f t="shared" si="677"/>
        <v/>
      </c>
      <c r="AA1991" s="70" t="str">
        <f t="shared" si="678"/>
        <v/>
      </c>
      <c r="AB1991" s="70" t="str">
        <f t="shared" si="679"/>
        <v/>
      </c>
      <c r="AC1991" s="70" t="str">
        <f t="shared" si="680"/>
        <v/>
      </c>
      <c r="AD1991" s="70" t="str">
        <f t="shared" si="681"/>
        <v/>
      </c>
      <c r="AE1991" s="70" t="str">
        <f t="shared" si="682"/>
        <v/>
      </c>
      <c r="AF1991" s="16"/>
      <c r="AG1991" s="23"/>
      <c r="AH1991" s="22"/>
      <c r="AJ1991" s="83">
        <f t="shared" si="683"/>
        <v>0</v>
      </c>
      <c r="AO1991" s="22" t="str">
        <f t="shared" si="684"/>
        <v/>
      </c>
      <c r="AP1991" s="22" t="str">
        <f t="shared" si="685"/>
        <v/>
      </c>
    </row>
    <row r="1992" spans="1:42" x14ac:dyDescent="0.25">
      <c r="A1992" s="10"/>
      <c r="B1992" s="10"/>
      <c r="C1992" s="10"/>
      <c r="D1992" s="10"/>
      <c r="E1992" s="10"/>
      <c r="F1992" s="10"/>
      <c r="G1992" s="10"/>
      <c r="H1992" s="17"/>
      <c r="I1992" s="10"/>
      <c r="J1992" s="10"/>
      <c r="K1992" s="16" t="str">
        <f t="shared" si="664"/>
        <v/>
      </c>
      <c r="L1992" s="23" t="str">
        <f t="shared" si="665"/>
        <v/>
      </c>
      <c r="M1992" s="22" t="str">
        <f t="shared" si="666"/>
        <v/>
      </c>
      <c r="N1992" s="72"/>
      <c r="O1992" s="16" t="str">
        <f t="shared" si="667"/>
        <v/>
      </c>
      <c r="P1992" s="16" t="str">
        <f t="shared" si="668"/>
        <v/>
      </c>
      <c r="Q1992" s="16" t="str">
        <f t="shared" si="669"/>
        <v/>
      </c>
      <c r="R1992" s="23" t="str">
        <f t="shared" si="670"/>
        <v/>
      </c>
      <c r="S1992" s="23" t="str">
        <f t="shared" si="671"/>
        <v/>
      </c>
      <c r="T1992" s="23" t="str">
        <f t="shared" si="672"/>
        <v/>
      </c>
      <c r="U1992" s="23" t="str">
        <f t="shared" si="673"/>
        <v/>
      </c>
      <c r="V1992" s="23" t="str">
        <f t="shared" si="674"/>
        <v/>
      </c>
      <c r="W1992" s="70" t="str">
        <f t="shared" si="675"/>
        <v/>
      </c>
      <c r="X1992" s="70" t="str">
        <f t="shared" si="676"/>
        <v/>
      </c>
      <c r="Y1992" s="70" t="str">
        <f>IF(AND($A1992&lt;&gt;"",$E1992&gt;0),isLaptopBag($C1992,$J1992)*$D1992,"")</f>
        <v/>
      </c>
      <c r="Z1992" s="70" t="str">
        <f t="shared" si="677"/>
        <v/>
      </c>
      <c r="AA1992" s="70" t="str">
        <f t="shared" si="678"/>
        <v/>
      </c>
      <c r="AB1992" s="70" t="str">
        <f t="shared" si="679"/>
        <v/>
      </c>
      <c r="AC1992" s="70" t="str">
        <f t="shared" si="680"/>
        <v/>
      </c>
      <c r="AD1992" s="70" t="str">
        <f t="shared" si="681"/>
        <v/>
      </c>
      <c r="AE1992" s="70" t="str">
        <f t="shared" si="682"/>
        <v/>
      </c>
      <c r="AF1992" s="16"/>
      <c r="AG1992" s="23"/>
      <c r="AH1992" s="22"/>
      <c r="AJ1992" s="83">
        <f t="shared" si="683"/>
        <v>0</v>
      </c>
      <c r="AO1992" s="22" t="str">
        <f t="shared" si="684"/>
        <v/>
      </c>
      <c r="AP1992" s="22" t="str">
        <f t="shared" si="685"/>
        <v/>
      </c>
    </row>
    <row r="1993" spans="1:42" x14ac:dyDescent="0.25">
      <c r="A1993" s="10"/>
      <c r="B1993" s="10"/>
      <c r="C1993" s="10"/>
      <c r="D1993" s="10"/>
      <c r="E1993" s="10"/>
      <c r="F1993" s="10"/>
      <c r="G1993" s="10"/>
      <c r="H1993" s="17"/>
      <c r="I1993" s="10"/>
      <c r="J1993" s="10"/>
      <c r="K1993" s="16" t="str">
        <f t="shared" si="664"/>
        <v/>
      </c>
      <c r="L1993" s="23" t="str">
        <f t="shared" si="665"/>
        <v/>
      </c>
      <c r="M1993" s="22" t="str">
        <f t="shared" si="666"/>
        <v/>
      </c>
      <c r="N1993" s="72"/>
      <c r="O1993" s="16" t="str">
        <f t="shared" si="667"/>
        <v/>
      </c>
      <c r="P1993" s="16" t="str">
        <f t="shared" si="668"/>
        <v/>
      </c>
      <c r="Q1993" s="16" t="str">
        <f t="shared" si="669"/>
        <v/>
      </c>
      <c r="R1993" s="23" t="str">
        <f t="shared" si="670"/>
        <v/>
      </c>
      <c r="S1993" s="23" t="str">
        <f t="shared" si="671"/>
        <v/>
      </c>
      <c r="T1993" s="23" t="str">
        <f t="shared" si="672"/>
        <v/>
      </c>
      <c r="U1993" s="23" t="str">
        <f t="shared" si="673"/>
        <v/>
      </c>
      <c r="V1993" s="23" t="str">
        <f t="shared" si="674"/>
        <v/>
      </c>
      <c r="W1993" s="70" t="str">
        <f t="shared" si="675"/>
        <v/>
      </c>
      <c r="X1993" s="70" t="str">
        <f t="shared" si="676"/>
        <v/>
      </c>
      <c r="Y1993" s="70" t="str">
        <f>IF(AND($A1993&lt;&gt;"",$E1993&gt;0),isLaptopBag($C1993,$J1993)*$D1993,"")</f>
        <v/>
      </c>
      <c r="Z1993" s="70" t="str">
        <f t="shared" si="677"/>
        <v/>
      </c>
      <c r="AA1993" s="70" t="str">
        <f t="shared" si="678"/>
        <v/>
      </c>
      <c r="AB1993" s="70" t="str">
        <f t="shared" si="679"/>
        <v/>
      </c>
      <c r="AC1993" s="70" t="str">
        <f t="shared" si="680"/>
        <v/>
      </c>
      <c r="AD1993" s="70" t="str">
        <f t="shared" si="681"/>
        <v/>
      </c>
      <c r="AE1993" s="70" t="str">
        <f t="shared" si="682"/>
        <v/>
      </c>
      <c r="AF1993" s="16"/>
      <c r="AG1993" s="23"/>
      <c r="AH1993" s="22"/>
      <c r="AJ1993" s="83">
        <f t="shared" si="683"/>
        <v>0</v>
      </c>
      <c r="AO1993" s="22" t="str">
        <f t="shared" si="684"/>
        <v/>
      </c>
      <c r="AP1993" s="22" t="str">
        <f t="shared" si="685"/>
        <v/>
      </c>
    </row>
    <row r="1994" spans="1:42" x14ac:dyDescent="0.25">
      <c r="A1994" s="10"/>
      <c r="B1994" s="10"/>
      <c r="C1994" s="10"/>
      <c r="D1994" s="10"/>
      <c r="E1994" s="10"/>
      <c r="F1994" s="10"/>
      <c r="G1994" s="10"/>
      <c r="H1994" s="17"/>
      <c r="I1994" s="10"/>
      <c r="J1994" s="10"/>
      <c r="K1994" s="16" t="str">
        <f t="shared" si="664"/>
        <v/>
      </c>
      <c r="L1994" s="23" t="str">
        <f t="shared" si="665"/>
        <v/>
      </c>
      <c r="M1994" s="22" t="str">
        <f t="shared" si="666"/>
        <v/>
      </c>
      <c r="N1994" s="72"/>
      <c r="O1994" s="16" t="str">
        <f t="shared" si="667"/>
        <v/>
      </c>
      <c r="P1994" s="16" t="str">
        <f t="shared" si="668"/>
        <v/>
      </c>
      <c r="Q1994" s="16" t="str">
        <f t="shared" si="669"/>
        <v/>
      </c>
      <c r="R1994" s="23" t="str">
        <f t="shared" si="670"/>
        <v/>
      </c>
      <c r="S1994" s="23" t="str">
        <f t="shared" si="671"/>
        <v/>
      </c>
      <c r="T1994" s="23" t="str">
        <f t="shared" si="672"/>
        <v/>
      </c>
      <c r="U1994" s="23" t="str">
        <f t="shared" si="673"/>
        <v/>
      </c>
      <c r="V1994" s="23" t="str">
        <f t="shared" si="674"/>
        <v/>
      </c>
      <c r="W1994" s="70" t="str">
        <f t="shared" si="675"/>
        <v/>
      </c>
      <c r="X1994" s="70" t="str">
        <f t="shared" si="676"/>
        <v/>
      </c>
      <c r="Y1994" s="70" t="str">
        <f>IF(AND($A1994&lt;&gt;"",$E1994&gt;0),isLaptopBag($C1994,$J1994)*$D1994,"")</f>
        <v/>
      </c>
      <c r="Z1994" s="70" t="str">
        <f t="shared" si="677"/>
        <v/>
      </c>
      <c r="AA1994" s="70" t="str">
        <f t="shared" si="678"/>
        <v/>
      </c>
      <c r="AB1994" s="70" t="str">
        <f t="shared" si="679"/>
        <v/>
      </c>
      <c r="AC1994" s="70" t="str">
        <f t="shared" si="680"/>
        <v/>
      </c>
      <c r="AD1994" s="70" t="str">
        <f t="shared" si="681"/>
        <v/>
      </c>
      <c r="AE1994" s="70" t="str">
        <f t="shared" si="682"/>
        <v/>
      </c>
      <c r="AF1994" s="16"/>
      <c r="AG1994" s="23"/>
      <c r="AH1994" s="22"/>
      <c r="AJ1994" s="83">
        <f t="shared" si="683"/>
        <v>0</v>
      </c>
      <c r="AO1994" s="22" t="str">
        <f t="shared" si="684"/>
        <v/>
      </c>
      <c r="AP1994" s="22" t="str">
        <f t="shared" si="685"/>
        <v/>
      </c>
    </row>
    <row r="1995" spans="1:42" x14ac:dyDescent="0.25">
      <c r="A1995" s="10"/>
      <c r="B1995" s="10"/>
      <c r="C1995" s="10"/>
      <c r="D1995" s="10"/>
      <c r="E1995" s="10"/>
      <c r="F1995" s="10"/>
      <c r="G1995" s="10"/>
      <c r="H1995" s="17"/>
      <c r="I1995" s="10"/>
      <c r="J1995" s="10"/>
      <c r="K1995" s="16" t="str">
        <f t="shared" si="664"/>
        <v/>
      </c>
      <c r="L1995" s="23" t="str">
        <f t="shared" si="665"/>
        <v/>
      </c>
      <c r="M1995" s="22" t="str">
        <f t="shared" si="666"/>
        <v/>
      </c>
      <c r="N1995" s="72"/>
      <c r="O1995" s="16" t="str">
        <f t="shared" si="667"/>
        <v/>
      </c>
      <c r="P1995" s="16" t="str">
        <f t="shared" si="668"/>
        <v/>
      </c>
      <c r="Q1995" s="16" t="str">
        <f t="shared" si="669"/>
        <v/>
      </c>
      <c r="R1995" s="23" t="str">
        <f t="shared" si="670"/>
        <v/>
      </c>
      <c r="S1995" s="23" t="str">
        <f t="shared" si="671"/>
        <v/>
      </c>
      <c r="T1995" s="23" t="str">
        <f t="shared" si="672"/>
        <v/>
      </c>
      <c r="U1995" s="23" t="str">
        <f t="shared" si="673"/>
        <v/>
      </c>
      <c r="V1995" s="23" t="str">
        <f t="shared" si="674"/>
        <v/>
      </c>
      <c r="W1995" s="70" t="str">
        <f t="shared" si="675"/>
        <v/>
      </c>
      <c r="X1995" s="70" t="str">
        <f t="shared" si="676"/>
        <v/>
      </c>
      <c r="Y1995" s="70" t="str">
        <f>IF(AND($A1995&lt;&gt;"",$E1995&gt;0),isLaptopBag($C1995,$J1995)*$D1995,"")</f>
        <v/>
      </c>
      <c r="Z1995" s="70" t="str">
        <f t="shared" si="677"/>
        <v/>
      </c>
      <c r="AA1995" s="70" t="str">
        <f t="shared" si="678"/>
        <v/>
      </c>
      <c r="AB1995" s="70" t="str">
        <f t="shared" si="679"/>
        <v/>
      </c>
      <c r="AC1995" s="70" t="str">
        <f t="shared" si="680"/>
        <v/>
      </c>
      <c r="AD1995" s="70" t="str">
        <f t="shared" si="681"/>
        <v/>
      </c>
      <c r="AE1995" s="70" t="str">
        <f t="shared" si="682"/>
        <v/>
      </c>
      <c r="AF1995" s="16"/>
      <c r="AG1995" s="23"/>
      <c r="AH1995" s="22"/>
      <c r="AJ1995" s="83">
        <f t="shared" si="683"/>
        <v>0</v>
      </c>
      <c r="AO1995" s="22" t="str">
        <f t="shared" si="684"/>
        <v/>
      </c>
      <c r="AP1995" s="22" t="str">
        <f t="shared" si="685"/>
        <v/>
      </c>
    </row>
    <row r="1996" spans="1:42" x14ac:dyDescent="0.25">
      <c r="A1996" s="10"/>
      <c r="B1996" s="10"/>
      <c r="C1996" s="10"/>
      <c r="D1996" s="10"/>
      <c r="E1996" s="10"/>
      <c r="F1996" s="10"/>
      <c r="G1996" s="10"/>
      <c r="H1996" s="17"/>
      <c r="I1996" s="10"/>
      <c r="J1996" s="10"/>
      <c r="K1996" s="16" t="str">
        <f t="shared" si="664"/>
        <v/>
      </c>
      <c r="L1996" s="23" t="str">
        <f t="shared" si="665"/>
        <v/>
      </c>
      <c r="M1996" s="22" t="str">
        <f t="shared" si="666"/>
        <v/>
      </c>
      <c r="N1996" s="72"/>
      <c r="O1996" s="16" t="str">
        <f t="shared" si="667"/>
        <v/>
      </c>
      <c r="P1996" s="16" t="str">
        <f t="shared" si="668"/>
        <v/>
      </c>
      <c r="Q1996" s="16" t="str">
        <f t="shared" si="669"/>
        <v/>
      </c>
      <c r="R1996" s="23" t="str">
        <f t="shared" si="670"/>
        <v/>
      </c>
      <c r="S1996" s="23" t="str">
        <f t="shared" si="671"/>
        <v/>
      </c>
      <c r="T1996" s="23" t="str">
        <f t="shared" si="672"/>
        <v/>
      </c>
      <c r="U1996" s="23" t="str">
        <f t="shared" si="673"/>
        <v/>
      </c>
      <c r="V1996" s="23" t="str">
        <f t="shared" si="674"/>
        <v/>
      </c>
      <c r="W1996" s="70" t="str">
        <f t="shared" si="675"/>
        <v/>
      </c>
      <c r="X1996" s="70" t="str">
        <f t="shared" si="676"/>
        <v/>
      </c>
      <c r="Y1996" s="70" t="str">
        <f>IF(AND($A1996&lt;&gt;"",$E1996&gt;0),isLaptopBag($C1996,$J1996)*$D1996,"")</f>
        <v/>
      </c>
      <c r="Z1996" s="70" t="str">
        <f t="shared" si="677"/>
        <v/>
      </c>
      <c r="AA1996" s="70" t="str">
        <f t="shared" si="678"/>
        <v/>
      </c>
      <c r="AB1996" s="70" t="str">
        <f t="shared" si="679"/>
        <v/>
      </c>
      <c r="AC1996" s="70" t="str">
        <f t="shared" si="680"/>
        <v/>
      </c>
      <c r="AD1996" s="70" t="str">
        <f t="shared" si="681"/>
        <v/>
      </c>
      <c r="AE1996" s="70" t="str">
        <f t="shared" si="682"/>
        <v/>
      </c>
      <c r="AF1996" s="16"/>
      <c r="AG1996" s="23"/>
      <c r="AH1996" s="22"/>
      <c r="AJ1996" s="83">
        <f t="shared" si="683"/>
        <v>0</v>
      </c>
      <c r="AO1996" s="22" t="str">
        <f t="shared" si="684"/>
        <v/>
      </c>
      <c r="AP1996" s="22" t="str">
        <f t="shared" si="685"/>
        <v/>
      </c>
    </row>
    <row r="1997" spans="1:42" x14ac:dyDescent="0.25">
      <c r="A1997" s="10"/>
      <c r="B1997" s="10"/>
      <c r="C1997" s="10"/>
      <c r="D1997" s="10"/>
      <c r="E1997" s="10"/>
      <c r="F1997" s="10"/>
      <c r="G1997" s="10"/>
      <c r="H1997" s="17"/>
      <c r="I1997" s="10"/>
      <c r="J1997" s="10"/>
      <c r="K1997" s="16" t="str">
        <f t="shared" ref="K1997:K2060" si="686">IF($AF1997&lt;&gt;"",$AF1997,IF(AND($A1997&lt;&gt;"",$E1997&gt;0),SUM($O1997:$Q1997),""))</f>
        <v/>
      </c>
      <c r="L1997" s="23" t="str">
        <f t="shared" ref="L1997:L2060" si="687">IF($AG1997&lt;&gt;"",$AG1997,IF(AND($A1997&lt;&gt;"",$E1997&gt;0),SUM($R1997:$V1997),""))</f>
        <v/>
      </c>
      <c r="M1997" s="22" t="str">
        <f t="shared" ref="M1997:M2060" si="688">IF($AH1997&lt;&gt;"",$AH1997,IF(AND($A1997&lt;&gt;"",$E1997&gt;0),SUM($W1997:$AE1997)+$AO1997+$AP1997,""))</f>
        <v/>
      </c>
      <c r="N1997" s="72"/>
      <c r="O1997" s="16" t="str">
        <f t="shared" ref="O1997:O2060" si="689">IF(AND($A1997&lt;&gt;"",$E1997&gt;0),IF(AND($J1997="SONY",200000&lt;=$E1997,$E1997&lt;1000000),5000*$D1997,0),"")</f>
        <v/>
      </c>
      <c r="P1997" s="16" t="str">
        <f t="shared" ref="P1997:P2060" si="690">IF(AND($A1997&lt;&gt;"",$E1997&gt;0),IF(AND($J1997="SONY",1000000&lt;=$E1997,$E1997&lt;2000000),10000*$D1997,0),"")</f>
        <v/>
      </c>
      <c r="Q1997" s="16" t="str">
        <f t="shared" ref="Q1997:Q2060" si="691">IF(AND($A1997&lt;&gt;"",$E1997&gt;0),IF(AND($J1997="SONY",$E1997&gt;=2000000),20000*$D1997,0),"")</f>
        <v/>
      </c>
      <c r="R1997" s="23" t="str">
        <f t="shared" ref="R1997:R2060" si="692">IF(AND($A1997&lt;&gt;"",$E1997&gt;0),IF(AND($J1997&lt;&gt;"SONY",100000&lt;=$E1997,$E1997&lt;200000),5000*$D1997,0),"")</f>
        <v/>
      </c>
      <c r="S1997" s="23" t="str">
        <f t="shared" ref="S1997:S2060" si="693">IF(AND($A1997&lt;&gt;"",$E1997&gt;0),IF(AND($J1997&lt;&gt;"SONY",200000&lt;=$E1997,$E1997&lt;500000),10000*$D1997,0),"")</f>
        <v/>
      </c>
      <c r="T1997" s="23" t="str">
        <f t="shared" ref="T1997:T2060" si="694">IF(AND($A1997&lt;&gt;"",$E1997&gt;0),IF(AND($J1997&lt;&gt;"SONY",500000&lt;=$E1997,$E1997&lt;1000000),20000*$D1997,0),"")</f>
        <v/>
      </c>
      <c r="U1997" s="23" t="str">
        <f t="shared" ref="U1997:U2060" si="695">IF(AND($A1997&lt;&gt;"",$E1997&gt;0),IF(AND($J1997&lt;&gt;"SONY",1000000&lt;=$E1997,$E1997&lt;1500000),50000*$D1997,0),"")</f>
        <v/>
      </c>
      <c r="V1997" s="23" t="str">
        <f t="shared" ref="V1997:V2060" si="696">IF(AND($A1997&lt;&gt;"",$E1997&gt;0),IF(AND($J1997&lt;&gt;"SONY",1500000&lt;=$E1997),100000*$D1997,0),"")</f>
        <v/>
      </c>
      <c r="W1997" s="70" t="str">
        <f t="shared" ref="W1997:W2060" si="697">IF(AND($E1997&gt;0,$J1997="ELECOM",$E1997&gt;=500000,ISNUMBER(SEARCH("tai nghe",$C1997))),20000*$D1997,IF($A1997&lt;&gt;"",0,""))</f>
        <v/>
      </c>
      <c r="X1997" s="70" t="str">
        <f t="shared" ref="X1997:X2060" si="698">IF(AND($E1997&gt;0,$J1997="ELECOM",ISNUMBER(SEARCH("loa",$C1997))),20000*$D1997,IF($A1997&lt;&gt;"",0,""))</f>
        <v/>
      </c>
      <c r="Y1997" s="70" t="str">
        <f>IF(AND($A1997&lt;&gt;"",$E1997&gt;0),isLaptopBag($C1997,$J1997)*$D1997,"")</f>
        <v/>
      </c>
      <c r="Z1997" s="70" t="str">
        <f t="shared" ref="Z1997:Z2060" si="699">IF(AND($E1997&gt;0,$J1997="ELECOM",ISNUMBER(SEARCH("ốp",$C1997))),20000*$D1997,IF($A1997&lt;&gt;"",0,""))</f>
        <v/>
      </c>
      <c r="AA1997" s="70" t="str">
        <f t="shared" ref="AA1997:AA2060" si="700">IF(AND($E1997&gt;0,$J1997="ELECOM",ISNUMBER(SEARCH("Bút",$C1997))),20000*$D1997,IF($A1997&lt;&gt;"",0,""))</f>
        <v/>
      </c>
      <c r="AB1997" s="70" t="str">
        <f t="shared" ref="AB1997:AB2060" si="701">IF(AND($E1997&gt;0,$J1997="ELECOM",ISNUMBER(SEARCH("Chuột bi",$C1997))),20000*$D1997,IF($A1997&lt;&gt;"",0,""))</f>
        <v/>
      </c>
      <c r="AC1997" s="70" t="str">
        <f t="shared" ref="AC1997:AC2060" si="702">IF(AND($E1997&gt;0,$J1997="ELECOM",ISNUMBER(SEARCH("Chuột trackball",$C1997))),20000*$D1997,IF($A1997&lt;&gt;"",0,""))</f>
        <v/>
      </c>
      <c r="AD1997" s="70" t="str">
        <f t="shared" ref="AD1997:AD2060" si="703">IF(AND($E1997&gt;0,$J1997="ELECOM",ISNUMBER(SEARCH("Sạc không dây",$C1997))),20000*$D1997,IF($A1997&lt;&gt;"",0,""))</f>
        <v/>
      </c>
      <c r="AE1997" s="70" t="str">
        <f t="shared" ref="AE1997:AE2060" si="704">IF(AND($E1997&gt;0,$J1997="ELECOM",ISNUMBER(SEARCH("Sạc kd",$C1997))),20000*$D1997,IF($A1997&lt;&gt;"",0,""))</f>
        <v/>
      </c>
      <c r="AF1997" s="16"/>
      <c r="AG1997" s="23"/>
      <c r="AH1997" s="22"/>
      <c r="AJ1997" s="83">
        <f t="shared" ref="AJ1997:AJ2060" si="705">DAY(H1997)</f>
        <v>0</v>
      </c>
      <c r="AO1997" s="22" t="str">
        <f t="shared" ref="AO1997:AO2060" si="706">IF(AND($E1997&gt;0,ISNUMBER(SEARCH("Sạc dự phòng Energizer",$C1997))),10000*$D1997,IF($A1997&lt;&gt;"",0,""))</f>
        <v/>
      </c>
      <c r="AP1997" s="22" t="str">
        <f t="shared" ref="AP1997:AP2060" si="707">IF(AND($E1997&gt;0,ISNUMBER(SEARCH("SDP Energizer",$C1997))),10000*$D1997,IF($A1997&lt;&gt;"",0,""))</f>
        <v/>
      </c>
    </row>
    <row r="1998" spans="1:42" x14ac:dyDescent="0.25">
      <c r="A1998" s="10"/>
      <c r="B1998" s="10"/>
      <c r="C1998" s="10"/>
      <c r="D1998" s="10"/>
      <c r="E1998" s="10"/>
      <c r="F1998" s="10"/>
      <c r="G1998" s="10"/>
      <c r="H1998" s="17"/>
      <c r="I1998" s="10"/>
      <c r="J1998" s="10"/>
      <c r="K1998" s="16" t="str">
        <f t="shared" si="686"/>
        <v/>
      </c>
      <c r="L1998" s="23" t="str">
        <f t="shared" si="687"/>
        <v/>
      </c>
      <c r="M1998" s="22" t="str">
        <f t="shared" si="688"/>
        <v/>
      </c>
      <c r="N1998" s="72"/>
      <c r="O1998" s="16" t="str">
        <f t="shared" si="689"/>
        <v/>
      </c>
      <c r="P1998" s="16" t="str">
        <f t="shared" si="690"/>
        <v/>
      </c>
      <c r="Q1998" s="16" t="str">
        <f t="shared" si="691"/>
        <v/>
      </c>
      <c r="R1998" s="23" t="str">
        <f t="shared" si="692"/>
        <v/>
      </c>
      <c r="S1998" s="23" t="str">
        <f t="shared" si="693"/>
        <v/>
      </c>
      <c r="T1998" s="23" t="str">
        <f t="shared" si="694"/>
        <v/>
      </c>
      <c r="U1998" s="23" t="str">
        <f t="shared" si="695"/>
        <v/>
      </c>
      <c r="V1998" s="23" t="str">
        <f t="shared" si="696"/>
        <v/>
      </c>
      <c r="W1998" s="70" t="str">
        <f t="shared" si="697"/>
        <v/>
      </c>
      <c r="X1998" s="70" t="str">
        <f t="shared" si="698"/>
        <v/>
      </c>
      <c r="Y1998" s="70" t="str">
        <f>IF(AND($A1998&lt;&gt;"",$E1998&gt;0),isLaptopBag($C1998,$J1998)*$D1998,"")</f>
        <v/>
      </c>
      <c r="Z1998" s="70" t="str">
        <f t="shared" si="699"/>
        <v/>
      </c>
      <c r="AA1998" s="70" t="str">
        <f t="shared" si="700"/>
        <v/>
      </c>
      <c r="AB1998" s="70" t="str">
        <f t="shared" si="701"/>
        <v/>
      </c>
      <c r="AC1998" s="70" t="str">
        <f t="shared" si="702"/>
        <v/>
      </c>
      <c r="AD1998" s="70" t="str">
        <f t="shared" si="703"/>
        <v/>
      </c>
      <c r="AE1998" s="70" t="str">
        <f t="shared" si="704"/>
        <v/>
      </c>
      <c r="AF1998" s="16"/>
      <c r="AG1998" s="23"/>
      <c r="AH1998" s="22"/>
      <c r="AJ1998" s="83">
        <f t="shared" si="705"/>
        <v>0</v>
      </c>
      <c r="AO1998" s="22" t="str">
        <f t="shared" si="706"/>
        <v/>
      </c>
      <c r="AP1998" s="22" t="str">
        <f t="shared" si="707"/>
        <v/>
      </c>
    </row>
    <row r="1999" spans="1:42" x14ac:dyDescent="0.25">
      <c r="A1999" s="10"/>
      <c r="B1999" s="10"/>
      <c r="C1999" s="10"/>
      <c r="D1999" s="10"/>
      <c r="E1999" s="10"/>
      <c r="F1999" s="10"/>
      <c r="G1999" s="10"/>
      <c r="H1999" s="17"/>
      <c r="I1999" s="10"/>
      <c r="J1999" s="10"/>
      <c r="K1999" s="16" t="str">
        <f t="shared" si="686"/>
        <v/>
      </c>
      <c r="L1999" s="23" t="str">
        <f t="shared" si="687"/>
        <v/>
      </c>
      <c r="M1999" s="22" t="str">
        <f t="shared" si="688"/>
        <v/>
      </c>
      <c r="N1999" s="72"/>
      <c r="O1999" s="16" t="str">
        <f t="shared" si="689"/>
        <v/>
      </c>
      <c r="P1999" s="16" t="str">
        <f t="shared" si="690"/>
        <v/>
      </c>
      <c r="Q1999" s="16" t="str">
        <f t="shared" si="691"/>
        <v/>
      </c>
      <c r="R1999" s="23" t="str">
        <f t="shared" si="692"/>
        <v/>
      </c>
      <c r="S1999" s="23" t="str">
        <f t="shared" si="693"/>
        <v/>
      </c>
      <c r="T1999" s="23" t="str">
        <f t="shared" si="694"/>
        <v/>
      </c>
      <c r="U1999" s="23" t="str">
        <f t="shared" si="695"/>
        <v/>
      </c>
      <c r="V1999" s="23" t="str">
        <f t="shared" si="696"/>
        <v/>
      </c>
      <c r="W1999" s="70" t="str">
        <f t="shared" si="697"/>
        <v/>
      </c>
      <c r="X1999" s="70" t="str">
        <f t="shared" si="698"/>
        <v/>
      </c>
      <c r="Y1999" s="70" t="str">
        <f>IF(AND($A1999&lt;&gt;"",$E1999&gt;0),isLaptopBag($C1999,$J1999)*$D1999,"")</f>
        <v/>
      </c>
      <c r="Z1999" s="70" t="str">
        <f t="shared" si="699"/>
        <v/>
      </c>
      <c r="AA1999" s="70" t="str">
        <f t="shared" si="700"/>
        <v/>
      </c>
      <c r="AB1999" s="70" t="str">
        <f t="shared" si="701"/>
        <v/>
      </c>
      <c r="AC1999" s="70" t="str">
        <f t="shared" si="702"/>
        <v/>
      </c>
      <c r="AD1999" s="70" t="str">
        <f t="shared" si="703"/>
        <v/>
      </c>
      <c r="AE1999" s="70" t="str">
        <f t="shared" si="704"/>
        <v/>
      </c>
      <c r="AF1999" s="16"/>
      <c r="AG1999" s="23"/>
      <c r="AH1999" s="22"/>
      <c r="AJ1999" s="83">
        <f t="shared" si="705"/>
        <v>0</v>
      </c>
      <c r="AO1999" s="22" t="str">
        <f t="shared" si="706"/>
        <v/>
      </c>
      <c r="AP1999" s="22" t="str">
        <f t="shared" si="707"/>
        <v/>
      </c>
    </row>
    <row r="2000" spans="1:42" x14ac:dyDescent="0.25">
      <c r="A2000" s="10"/>
      <c r="B2000" s="10"/>
      <c r="C2000" s="10"/>
      <c r="D2000" s="10"/>
      <c r="E2000" s="10"/>
      <c r="F2000" s="10"/>
      <c r="G2000" s="10"/>
      <c r="H2000" s="17"/>
      <c r="I2000" s="10"/>
      <c r="J2000" s="10"/>
      <c r="K2000" s="16" t="str">
        <f t="shared" si="686"/>
        <v/>
      </c>
      <c r="L2000" s="23" t="str">
        <f t="shared" si="687"/>
        <v/>
      </c>
      <c r="M2000" s="22" t="str">
        <f t="shared" si="688"/>
        <v/>
      </c>
      <c r="N2000" s="72"/>
      <c r="O2000" s="16" t="str">
        <f t="shared" si="689"/>
        <v/>
      </c>
      <c r="P2000" s="16" t="str">
        <f t="shared" si="690"/>
        <v/>
      </c>
      <c r="Q2000" s="16" t="str">
        <f t="shared" si="691"/>
        <v/>
      </c>
      <c r="R2000" s="23" t="str">
        <f t="shared" si="692"/>
        <v/>
      </c>
      <c r="S2000" s="23" t="str">
        <f t="shared" si="693"/>
        <v/>
      </c>
      <c r="T2000" s="23" t="str">
        <f t="shared" si="694"/>
        <v/>
      </c>
      <c r="U2000" s="23" t="str">
        <f t="shared" si="695"/>
        <v/>
      </c>
      <c r="V2000" s="23" t="str">
        <f t="shared" si="696"/>
        <v/>
      </c>
      <c r="W2000" s="70" t="str">
        <f t="shared" si="697"/>
        <v/>
      </c>
      <c r="X2000" s="70" t="str">
        <f t="shared" si="698"/>
        <v/>
      </c>
      <c r="Y2000" s="70" t="str">
        <f>IF(AND($A2000&lt;&gt;"",$E2000&gt;0),isLaptopBag($C2000,$J2000)*$D2000,"")</f>
        <v/>
      </c>
      <c r="Z2000" s="70" t="str">
        <f t="shared" si="699"/>
        <v/>
      </c>
      <c r="AA2000" s="70" t="str">
        <f t="shared" si="700"/>
        <v/>
      </c>
      <c r="AB2000" s="70" t="str">
        <f t="shared" si="701"/>
        <v/>
      </c>
      <c r="AC2000" s="70" t="str">
        <f t="shared" si="702"/>
        <v/>
      </c>
      <c r="AD2000" s="70" t="str">
        <f t="shared" si="703"/>
        <v/>
      </c>
      <c r="AE2000" s="70" t="str">
        <f t="shared" si="704"/>
        <v/>
      </c>
      <c r="AF2000" s="16"/>
      <c r="AG2000" s="23"/>
      <c r="AH2000" s="22"/>
      <c r="AJ2000" s="83">
        <f t="shared" si="705"/>
        <v>0</v>
      </c>
      <c r="AO2000" s="22" t="str">
        <f t="shared" si="706"/>
        <v/>
      </c>
      <c r="AP2000" s="22" t="str">
        <f t="shared" si="707"/>
        <v/>
      </c>
    </row>
    <row r="2001" spans="1:42" x14ac:dyDescent="0.25">
      <c r="A2001" s="10"/>
      <c r="B2001" s="10"/>
      <c r="C2001" s="10"/>
      <c r="D2001" s="10"/>
      <c r="E2001" s="10"/>
      <c r="F2001" s="10"/>
      <c r="G2001" s="10"/>
      <c r="H2001" s="17"/>
      <c r="I2001" s="10"/>
      <c r="J2001" s="10"/>
      <c r="K2001" s="16" t="str">
        <f t="shared" si="686"/>
        <v/>
      </c>
      <c r="L2001" s="23" t="str">
        <f t="shared" si="687"/>
        <v/>
      </c>
      <c r="M2001" s="22" t="str">
        <f t="shared" si="688"/>
        <v/>
      </c>
      <c r="N2001" s="72"/>
      <c r="O2001" s="16" t="str">
        <f t="shared" si="689"/>
        <v/>
      </c>
      <c r="P2001" s="16" t="str">
        <f t="shared" si="690"/>
        <v/>
      </c>
      <c r="Q2001" s="16" t="str">
        <f t="shared" si="691"/>
        <v/>
      </c>
      <c r="R2001" s="23" t="str">
        <f t="shared" si="692"/>
        <v/>
      </c>
      <c r="S2001" s="23" t="str">
        <f t="shared" si="693"/>
        <v/>
      </c>
      <c r="T2001" s="23" t="str">
        <f t="shared" si="694"/>
        <v/>
      </c>
      <c r="U2001" s="23" t="str">
        <f t="shared" si="695"/>
        <v/>
      </c>
      <c r="V2001" s="23" t="str">
        <f t="shared" si="696"/>
        <v/>
      </c>
      <c r="W2001" s="70" t="str">
        <f t="shared" si="697"/>
        <v/>
      </c>
      <c r="X2001" s="70" t="str">
        <f t="shared" si="698"/>
        <v/>
      </c>
      <c r="Y2001" s="70" t="str">
        <f>IF(AND($A2001&lt;&gt;"",$E2001&gt;0),isLaptopBag($C2001,$J2001)*$D2001,"")</f>
        <v/>
      </c>
      <c r="Z2001" s="70" t="str">
        <f t="shared" si="699"/>
        <v/>
      </c>
      <c r="AA2001" s="70" t="str">
        <f t="shared" si="700"/>
        <v/>
      </c>
      <c r="AB2001" s="70" t="str">
        <f t="shared" si="701"/>
        <v/>
      </c>
      <c r="AC2001" s="70" t="str">
        <f t="shared" si="702"/>
        <v/>
      </c>
      <c r="AD2001" s="70" t="str">
        <f t="shared" si="703"/>
        <v/>
      </c>
      <c r="AE2001" s="70" t="str">
        <f t="shared" si="704"/>
        <v/>
      </c>
      <c r="AF2001" s="16"/>
      <c r="AG2001" s="23"/>
      <c r="AH2001" s="22"/>
      <c r="AJ2001" s="83">
        <f t="shared" si="705"/>
        <v>0</v>
      </c>
      <c r="AO2001" s="22" t="str">
        <f t="shared" si="706"/>
        <v/>
      </c>
      <c r="AP2001" s="22" t="str">
        <f t="shared" si="707"/>
        <v/>
      </c>
    </row>
    <row r="2002" spans="1:42" x14ac:dyDescent="0.25">
      <c r="A2002" s="10"/>
      <c r="B2002" s="10"/>
      <c r="C2002" s="10"/>
      <c r="D2002" s="10"/>
      <c r="E2002" s="10"/>
      <c r="F2002" s="10"/>
      <c r="G2002" s="10"/>
      <c r="H2002" s="17"/>
      <c r="I2002" s="10"/>
      <c r="J2002" s="10"/>
      <c r="K2002" s="16" t="str">
        <f t="shared" si="686"/>
        <v/>
      </c>
      <c r="L2002" s="23" t="str">
        <f t="shared" si="687"/>
        <v/>
      </c>
      <c r="M2002" s="22" t="str">
        <f t="shared" si="688"/>
        <v/>
      </c>
      <c r="N2002" s="72"/>
      <c r="O2002" s="16" t="str">
        <f t="shared" si="689"/>
        <v/>
      </c>
      <c r="P2002" s="16" t="str">
        <f t="shared" si="690"/>
        <v/>
      </c>
      <c r="Q2002" s="16" t="str">
        <f t="shared" si="691"/>
        <v/>
      </c>
      <c r="R2002" s="23" t="str">
        <f t="shared" si="692"/>
        <v/>
      </c>
      <c r="S2002" s="23" t="str">
        <f t="shared" si="693"/>
        <v/>
      </c>
      <c r="T2002" s="23" t="str">
        <f t="shared" si="694"/>
        <v/>
      </c>
      <c r="U2002" s="23" t="str">
        <f t="shared" si="695"/>
        <v/>
      </c>
      <c r="V2002" s="23" t="str">
        <f t="shared" si="696"/>
        <v/>
      </c>
      <c r="W2002" s="70" t="str">
        <f t="shared" si="697"/>
        <v/>
      </c>
      <c r="X2002" s="70" t="str">
        <f t="shared" si="698"/>
        <v/>
      </c>
      <c r="Y2002" s="70" t="str">
        <f>IF(AND($A2002&lt;&gt;"",$E2002&gt;0),isLaptopBag($C2002,$J2002)*$D2002,"")</f>
        <v/>
      </c>
      <c r="Z2002" s="70" t="str">
        <f t="shared" si="699"/>
        <v/>
      </c>
      <c r="AA2002" s="70" t="str">
        <f t="shared" si="700"/>
        <v/>
      </c>
      <c r="AB2002" s="70" t="str">
        <f t="shared" si="701"/>
        <v/>
      </c>
      <c r="AC2002" s="70" t="str">
        <f t="shared" si="702"/>
        <v/>
      </c>
      <c r="AD2002" s="70" t="str">
        <f t="shared" si="703"/>
        <v/>
      </c>
      <c r="AE2002" s="70" t="str">
        <f t="shared" si="704"/>
        <v/>
      </c>
      <c r="AF2002" s="16"/>
      <c r="AG2002" s="23"/>
      <c r="AH2002" s="22"/>
      <c r="AJ2002" s="83">
        <f t="shared" si="705"/>
        <v>0</v>
      </c>
      <c r="AO2002" s="22" t="str">
        <f t="shared" si="706"/>
        <v/>
      </c>
      <c r="AP2002" s="22" t="str">
        <f t="shared" si="707"/>
        <v/>
      </c>
    </row>
    <row r="2003" spans="1:42" x14ac:dyDescent="0.25">
      <c r="A2003" s="10"/>
      <c r="B2003" s="10"/>
      <c r="C2003" s="10"/>
      <c r="D2003" s="10"/>
      <c r="E2003" s="10"/>
      <c r="F2003" s="10"/>
      <c r="G2003" s="10"/>
      <c r="H2003" s="17"/>
      <c r="I2003" s="10"/>
      <c r="J2003" s="10"/>
      <c r="K2003" s="16" t="str">
        <f t="shared" si="686"/>
        <v/>
      </c>
      <c r="L2003" s="23" t="str">
        <f t="shared" si="687"/>
        <v/>
      </c>
      <c r="M2003" s="22" t="str">
        <f t="shared" si="688"/>
        <v/>
      </c>
      <c r="N2003" s="72"/>
      <c r="O2003" s="16" t="str">
        <f t="shared" si="689"/>
        <v/>
      </c>
      <c r="P2003" s="16" t="str">
        <f t="shared" si="690"/>
        <v/>
      </c>
      <c r="Q2003" s="16" t="str">
        <f t="shared" si="691"/>
        <v/>
      </c>
      <c r="R2003" s="23" t="str">
        <f t="shared" si="692"/>
        <v/>
      </c>
      <c r="S2003" s="23" t="str">
        <f t="shared" si="693"/>
        <v/>
      </c>
      <c r="T2003" s="23" t="str">
        <f t="shared" si="694"/>
        <v/>
      </c>
      <c r="U2003" s="23" t="str">
        <f t="shared" si="695"/>
        <v/>
      </c>
      <c r="V2003" s="23" t="str">
        <f t="shared" si="696"/>
        <v/>
      </c>
      <c r="W2003" s="70" t="str">
        <f t="shared" si="697"/>
        <v/>
      </c>
      <c r="X2003" s="70" t="str">
        <f t="shared" si="698"/>
        <v/>
      </c>
      <c r="Y2003" s="70" t="str">
        <f>IF(AND($A2003&lt;&gt;"",$E2003&gt;0),isLaptopBag($C2003,$J2003)*$D2003,"")</f>
        <v/>
      </c>
      <c r="Z2003" s="70" t="str">
        <f t="shared" si="699"/>
        <v/>
      </c>
      <c r="AA2003" s="70" t="str">
        <f t="shared" si="700"/>
        <v/>
      </c>
      <c r="AB2003" s="70" t="str">
        <f t="shared" si="701"/>
        <v/>
      </c>
      <c r="AC2003" s="70" t="str">
        <f t="shared" si="702"/>
        <v/>
      </c>
      <c r="AD2003" s="70" t="str">
        <f t="shared" si="703"/>
        <v/>
      </c>
      <c r="AE2003" s="70" t="str">
        <f t="shared" si="704"/>
        <v/>
      </c>
      <c r="AF2003" s="16"/>
      <c r="AG2003" s="23"/>
      <c r="AH2003" s="22"/>
      <c r="AJ2003" s="83">
        <f t="shared" si="705"/>
        <v>0</v>
      </c>
      <c r="AO2003" s="22" t="str">
        <f t="shared" si="706"/>
        <v/>
      </c>
      <c r="AP2003" s="22" t="str">
        <f t="shared" si="707"/>
        <v/>
      </c>
    </row>
    <row r="2004" spans="1:42" x14ac:dyDescent="0.25">
      <c r="A2004" s="10"/>
      <c r="B2004" s="10"/>
      <c r="C2004" s="10"/>
      <c r="D2004" s="10"/>
      <c r="E2004" s="10"/>
      <c r="F2004" s="10"/>
      <c r="G2004" s="10"/>
      <c r="H2004" s="17"/>
      <c r="I2004" s="10"/>
      <c r="J2004" s="10"/>
      <c r="K2004" s="16" t="str">
        <f t="shared" si="686"/>
        <v/>
      </c>
      <c r="L2004" s="23" t="str">
        <f t="shared" si="687"/>
        <v/>
      </c>
      <c r="M2004" s="22" t="str">
        <f t="shared" si="688"/>
        <v/>
      </c>
      <c r="N2004" s="72"/>
      <c r="O2004" s="16" t="str">
        <f t="shared" si="689"/>
        <v/>
      </c>
      <c r="P2004" s="16" t="str">
        <f t="shared" si="690"/>
        <v/>
      </c>
      <c r="Q2004" s="16" t="str">
        <f t="shared" si="691"/>
        <v/>
      </c>
      <c r="R2004" s="23" t="str">
        <f t="shared" si="692"/>
        <v/>
      </c>
      <c r="S2004" s="23" t="str">
        <f t="shared" si="693"/>
        <v/>
      </c>
      <c r="T2004" s="23" t="str">
        <f t="shared" si="694"/>
        <v/>
      </c>
      <c r="U2004" s="23" t="str">
        <f t="shared" si="695"/>
        <v/>
      </c>
      <c r="V2004" s="23" t="str">
        <f t="shared" si="696"/>
        <v/>
      </c>
      <c r="W2004" s="70" t="str">
        <f t="shared" si="697"/>
        <v/>
      </c>
      <c r="X2004" s="70" t="str">
        <f t="shared" si="698"/>
        <v/>
      </c>
      <c r="Y2004" s="70" t="str">
        <f>IF(AND($A2004&lt;&gt;"",$E2004&gt;0),isLaptopBag($C2004,$J2004)*$D2004,"")</f>
        <v/>
      </c>
      <c r="Z2004" s="70" t="str">
        <f t="shared" si="699"/>
        <v/>
      </c>
      <c r="AA2004" s="70" t="str">
        <f t="shared" si="700"/>
        <v/>
      </c>
      <c r="AB2004" s="70" t="str">
        <f t="shared" si="701"/>
        <v/>
      </c>
      <c r="AC2004" s="70" t="str">
        <f t="shared" si="702"/>
        <v/>
      </c>
      <c r="AD2004" s="70" t="str">
        <f t="shared" si="703"/>
        <v/>
      </c>
      <c r="AE2004" s="70" t="str">
        <f t="shared" si="704"/>
        <v/>
      </c>
      <c r="AF2004" s="16"/>
      <c r="AG2004" s="23"/>
      <c r="AH2004" s="22"/>
      <c r="AJ2004" s="83">
        <f t="shared" si="705"/>
        <v>0</v>
      </c>
      <c r="AO2004" s="22" t="str">
        <f t="shared" si="706"/>
        <v/>
      </c>
      <c r="AP2004" s="22" t="str">
        <f t="shared" si="707"/>
        <v/>
      </c>
    </row>
    <row r="2005" spans="1:42" x14ac:dyDescent="0.25">
      <c r="A2005" s="10"/>
      <c r="B2005" s="10"/>
      <c r="C2005" s="10"/>
      <c r="D2005" s="10"/>
      <c r="E2005" s="10"/>
      <c r="F2005" s="10"/>
      <c r="G2005" s="10"/>
      <c r="H2005" s="17"/>
      <c r="I2005" s="10"/>
      <c r="J2005" s="10"/>
      <c r="K2005" s="16" t="str">
        <f t="shared" si="686"/>
        <v/>
      </c>
      <c r="L2005" s="23" t="str">
        <f t="shared" si="687"/>
        <v/>
      </c>
      <c r="M2005" s="22" t="str">
        <f t="shared" si="688"/>
        <v/>
      </c>
      <c r="N2005" s="72"/>
      <c r="O2005" s="16" t="str">
        <f t="shared" si="689"/>
        <v/>
      </c>
      <c r="P2005" s="16" t="str">
        <f t="shared" si="690"/>
        <v/>
      </c>
      <c r="Q2005" s="16" t="str">
        <f t="shared" si="691"/>
        <v/>
      </c>
      <c r="R2005" s="23" t="str">
        <f t="shared" si="692"/>
        <v/>
      </c>
      <c r="S2005" s="23" t="str">
        <f t="shared" si="693"/>
        <v/>
      </c>
      <c r="T2005" s="23" t="str">
        <f t="shared" si="694"/>
        <v/>
      </c>
      <c r="U2005" s="23" t="str">
        <f t="shared" si="695"/>
        <v/>
      </c>
      <c r="V2005" s="23" t="str">
        <f t="shared" si="696"/>
        <v/>
      </c>
      <c r="W2005" s="70" t="str">
        <f t="shared" si="697"/>
        <v/>
      </c>
      <c r="X2005" s="70" t="str">
        <f t="shared" si="698"/>
        <v/>
      </c>
      <c r="Y2005" s="70" t="str">
        <f>IF(AND($A2005&lt;&gt;"",$E2005&gt;0),isLaptopBag($C2005,$J2005)*$D2005,"")</f>
        <v/>
      </c>
      <c r="Z2005" s="70" t="str">
        <f t="shared" si="699"/>
        <v/>
      </c>
      <c r="AA2005" s="70" t="str">
        <f t="shared" si="700"/>
        <v/>
      </c>
      <c r="AB2005" s="70" t="str">
        <f t="shared" si="701"/>
        <v/>
      </c>
      <c r="AC2005" s="70" t="str">
        <f t="shared" si="702"/>
        <v/>
      </c>
      <c r="AD2005" s="70" t="str">
        <f t="shared" si="703"/>
        <v/>
      </c>
      <c r="AE2005" s="70" t="str">
        <f t="shared" si="704"/>
        <v/>
      </c>
      <c r="AF2005" s="16"/>
      <c r="AG2005" s="23"/>
      <c r="AH2005" s="22"/>
      <c r="AJ2005" s="83">
        <f t="shared" si="705"/>
        <v>0</v>
      </c>
      <c r="AO2005" s="22" t="str">
        <f t="shared" si="706"/>
        <v/>
      </c>
      <c r="AP2005" s="22" t="str">
        <f t="shared" si="707"/>
        <v/>
      </c>
    </row>
    <row r="2006" spans="1:42" x14ac:dyDescent="0.25">
      <c r="A2006" s="10"/>
      <c r="B2006" s="10"/>
      <c r="C2006" s="10"/>
      <c r="D2006" s="10"/>
      <c r="E2006" s="10"/>
      <c r="F2006" s="10"/>
      <c r="G2006" s="10"/>
      <c r="H2006" s="17"/>
      <c r="I2006" s="10"/>
      <c r="J2006" s="10"/>
      <c r="K2006" s="16" t="str">
        <f t="shared" si="686"/>
        <v/>
      </c>
      <c r="L2006" s="23" t="str">
        <f t="shared" si="687"/>
        <v/>
      </c>
      <c r="M2006" s="22" t="str">
        <f t="shared" si="688"/>
        <v/>
      </c>
      <c r="N2006" s="72"/>
      <c r="O2006" s="16" t="str">
        <f t="shared" si="689"/>
        <v/>
      </c>
      <c r="P2006" s="16" t="str">
        <f t="shared" si="690"/>
        <v/>
      </c>
      <c r="Q2006" s="16" t="str">
        <f t="shared" si="691"/>
        <v/>
      </c>
      <c r="R2006" s="23" t="str">
        <f t="shared" si="692"/>
        <v/>
      </c>
      <c r="S2006" s="23" t="str">
        <f t="shared" si="693"/>
        <v/>
      </c>
      <c r="T2006" s="23" t="str">
        <f t="shared" si="694"/>
        <v/>
      </c>
      <c r="U2006" s="23" t="str">
        <f t="shared" si="695"/>
        <v/>
      </c>
      <c r="V2006" s="23" t="str">
        <f t="shared" si="696"/>
        <v/>
      </c>
      <c r="W2006" s="70" t="str">
        <f t="shared" si="697"/>
        <v/>
      </c>
      <c r="X2006" s="70" t="str">
        <f t="shared" si="698"/>
        <v/>
      </c>
      <c r="Y2006" s="70" t="str">
        <f>IF(AND($A2006&lt;&gt;"",$E2006&gt;0),isLaptopBag($C2006,$J2006)*$D2006,"")</f>
        <v/>
      </c>
      <c r="Z2006" s="70" t="str">
        <f t="shared" si="699"/>
        <v/>
      </c>
      <c r="AA2006" s="70" t="str">
        <f t="shared" si="700"/>
        <v/>
      </c>
      <c r="AB2006" s="70" t="str">
        <f t="shared" si="701"/>
        <v/>
      </c>
      <c r="AC2006" s="70" t="str">
        <f t="shared" si="702"/>
        <v/>
      </c>
      <c r="AD2006" s="70" t="str">
        <f t="shared" si="703"/>
        <v/>
      </c>
      <c r="AE2006" s="70" t="str">
        <f t="shared" si="704"/>
        <v/>
      </c>
      <c r="AF2006" s="16"/>
      <c r="AG2006" s="23"/>
      <c r="AH2006" s="22"/>
      <c r="AJ2006" s="83">
        <f t="shared" si="705"/>
        <v>0</v>
      </c>
      <c r="AO2006" s="22" t="str">
        <f t="shared" si="706"/>
        <v/>
      </c>
      <c r="AP2006" s="22" t="str">
        <f t="shared" si="707"/>
        <v/>
      </c>
    </row>
    <row r="2007" spans="1:42" x14ac:dyDescent="0.25">
      <c r="A2007" s="10"/>
      <c r="B2007" s="10"/>
      <c r="C2007" s="10"/>
      <c r="D2007" s="10"/>
      <c r="E2007" s="10"/>
      <c r="F2007" s="10"/>
      <c r="G2007" s="10"/>
      <c r="H2007" s="17"/>
      <c r="I2007" s="10"/>
      <c r="J2007" s="10"/>
      <c r="K2007" s="16" t="str">
        <f t="shared" si="686"/>
        <v/>
      </c>
      <c r="L2007" s="23" t="str">
        <f t="shared" si="687"/>
        <v/>
      </c>
      <c r="M2007" s="22" t="str">
        <f t="shared" si="688"/>
        <v/>
      </c>
      <c r="N2007" s="72"/>
      <c r="O2007" s="16" t="str">
        <f t="shared" si="689"/>
        <v/>
      </c>
      <c r="P2007" s="16" t="str">
        <f t="shared" si="690"/>
        <v/>
      </c>
      <c r="Q2007" s="16" t="str">
        <f t="shared" si="691"/>
        <v/>
      </c>
      <c r="R2007" s="23" t="str">
        <f t="shared" si="692"/>
        <v/>
      </c>
      <c r="S2007" s="23" t="str">
        <f t="shared" si="693"/>
        <v/>
      </c>
      <c r="T2007" s="23" t="str">
        <f t="shared" si="694"/>
        <v/>
      </c>
      <c r="U2007" s="23" t="str">
        <f t="shared" si="695"/>
        <v/>
      </c>
      <c r="V2007" s="23" t="str">
        <f t="shared" si="696"/>
        <v/>
      </c>
      <c r="W2007" s="70" t="str">
        <f t="shared" si="697"/>
        <v/>
      </c>
      <c r="X2007" s="70" t="str">
        <f t="shared" si="698"/>
        <v/>
      </c>
      <c r="Y2007" s="70" t="str">
        <f>IF(AND($A2007&lt;&gt;"",$E2007&gt;0),isLaptopBag($C2007,$J2007)*$D2007,"")</f>
        <v/>
      </c>
      <c r="Z2007" s="70" t="str">
        <f t="shared" si="699"/>
        <v/>
      </c>
      <c r="AA2007" s="70" t="str">
        <f t="shared" si="700"/>
        <v/>
      </c>
      <c r="AB2007" s="70" t="str">
        <f t="shared" si="701"/>
        <v/>
      </c>
      <c r="AC2007" s="70" t="str">
        <f t="shared" si="702"/>
        <v/>
      </c>
      <c r="AD2007" s="70" t="str">
        <f t="shared" si="703"/>
        <v/>
      </c>
      <c r="AE2007" s="70" t="str">
        <f t="shared" si="704"/>
        <v/>
      </c>
      <c r="AF2007" s="16"/>
      <c r="AG2007" s="23"/>
      <c r="AH2007" s="22"/>
      <c r="AJ2007" s="83">
        <f t="shared" si="705"/>
        <v>0</v>
      </c>
      <c r="AO2007" s="22" t="str">
        <f t="shared" si="706"/>
        <v/>
      </c>
      <c r="AP2007" s="22" t="str">
        <f t="shared" si="707"/>
        <v/>
      </c>
    </row>
    <row r="2008" spans="1:42" x14ac:dyDescent="0.25">
      <c r="A2008" s="10"/>
      <c r="B2008" s="10"/>
      <c r="C2008" s="10"/>
      <c r="D2008" s="10"/>
      <c r="E2008" s="10"/>
      <c r="F2008" s="10"/>
      <c r="G2008" s="10"/>
      <c r="H2008" s="17"/>
      <c r="I2008" s="10"/>
      <c r="J2008" s="10"/>
      <c r="K2008" s="16" t="str">
        <f t="shared" si="686"/>
        <v/>
      </c>
      <c r="L2008" s="23" t="str">
        <f t="shared" si="687"/>
        <v/>
      </c>
      <c r="M2008" s="22" t="str">
        <f t="shared" si="688"/>
        <v/>
      </c>
      <c r="N2008" s="72"/>
      <c r="O2008" s="16" t="str">
        <f t="shared" si="689"/>
        <v/>
      </c>
      <c r="P2008" s="16" t="str">
        <f t="shared" si="690"/>
        <v/>
      </c>
      <c r="Q2008" s="16" t="str">
        <f t="shared" si="691"/>
        <v/>
      </c>
      <c r="R2008" s="23" t="str">
        <f t="shared" si="692"/>
        <v/>
      </c>
      <c r="S2008" s="23" t="str">
        <f t="shared" si="693"/>
        <v/>
      </c>
      <c r="T2008" s="23" t="str">
        <f t="shared" si="694"/>
        <v/>
      </c>
      <c r="U2008" s="23" t="str">
        <f t="shared" si="695"/>
        <v/>
      </c>
      <c r="V2008" s="23" t="str">
        <f t="shared" si="696"/>
        <v/>
      </c>
      <c r="W2008" s="70" t="str">
        <f t="shared" si="697"/>
        <v/>
      </c>
      <c r="X2008" s="70" t="str">
        <f t="shared" si="698"/>
        <v/>
      </c>
      <c r="Y2008" s="70" t="str">
        <f>IF(AND($A2008&lt;&gt;"",$E2008&gt;0),isLaptopBag($C2008,$J2008)*$D2008,"")</f>
        <v/>
      </c>
      <c r="Z2008" s="70" t="str">
        <f t="shared" si="699"/>
        <v/>
      </c>
      <c r="AA2008" s="70" t="str">
        <f t="shared" si="700"/>
        <v/>
      </c>
      <c r="AB2008" s="70" t="str">
        <f t="shared" si="701"/>
        <v/>
      </c>
      <c r="AC2008" s="70" t="str">
        <f t="shared" si="702"/>
        <v/>
      </c>
      <c r="AD2008" s="70" t="str">
        <f t="shared" si="703"/>
        <v/>
      </c>
      <c r="AE2008" s="70" t="str">
        <f t="shared" si="704"/>
        <v/>
      </c>
      <c r="AF2008" s="16"/>
      <c r="AG2008" s="23"/>
      <c r="AH2008" s="22"/>
      <c r="AJ2008" s="83">
        <f t="shared" si="705"/>
        <v>0</v>
      </c>
      <c r="AO2008" s="22" t="str">
        <f t="shared" si="706"/>
        <v/>
      </c>
      <c r="AP2008" s="22" t="str">
        <f t="shared" si="707"/>
        <v/>
      </c>
    </row>
    <row r="2009" spans="1:42" x14ac:dyDescent="0.25">
      <c r="A2009" s="10"/>
      <c r="B2009" s="10"/>
      <c r="C2009" s="10"/>
      <c r="D2009" s="10"/>
      <c r="E2009" s="10"/>
      <c r="F2009" s="10"/>
      <c r="G2009" s="10"/>
      <c r="H2009" s="17"/>
      <c r="I2009" s="10"/>
      <c r="J2009" s="10"/>
      <c r="K2009" s="16" t="str">
        <f t="shared" si="686"/>
        <v/>
      </c>
      <c r="L2009" s="23" t="str">
        <f t="shared" si="687"/>
        <v/>
      </c>
      <c r="M2009" s="22" t="str">
        <f t="shared" si="688"/>
        <v/>
      </c>
      <c r="N2009" s="72"/>
      <c r="O2009" s="16" t="str">
        <f t="shared" si="689"/>
        <v/>
      </c>
      <c r="P2009" s="16" t="str">
        <f t="shared" si="690"/>
        <v/>
      </c>
      <c r="Q2009" s="16" t="str">
        <f t="shared" si="691"/>
        <v/>
      </c>
      <c r="R2009" s="23" t="str">
        <f t="shared" si="692"/>
        <v/>
      </c>
      <c r="S2009" s="23" t="str">
        <f t="shared" si="693"/>
        <v/>
      </c>
      <c r="T2009" s="23" t="str">
        <f t="shared" si="694"/>
        <v/>
      </c>
      <c r="U2009" s="23" t="str">
        <f t="shared" si="695"/>
        <v/>
      </c>
      <c r="V2009" s="23" t="str">
        <f t="shared" si="696"/>
        <v/>
      </c>
      <c r="W2009" s="70" t="str">
        <f t="shared" si="697"/>
        <v/>
      </c>
      <c r="X2009" s="70" t="str">
        <f t="shared" si="698"/>
        <v/>
      </c>
      <c r="Y2009" s="70" t="str">
        <f>IF(AND($A2009&lt;&gt;"",$E2009&gt;0),isLaptopBag($C2009,$J2009)*$D2009,"")</f>
        <v/>
      </c>
      <c r="Z2009" s="70" t="str">
        <f t="shared" si="699"/>
        <v/>
      </c>
      <c r="AA2009" s="70" t="str">
        <f t="shared" si="700"/>
        <v/>
      </c>
      <c r="AB2009" s="70" t="str">
        <f t="shared" si="701"/>
        <v/>
      </c>
      <c r="AC2009" s="70" t="str">
        <f t="shared" si="702"/>
        <v/>
      </c>
      <c r="AD2009" s="70" t="str">
        <f t="shared" si="703"/>
        <v/>
      </c>
      <c r="AE2009" s="70" t="str">
        <f t="shared" si="704"/>
        <v/>
      </c>
      <c r="AF2009" s="16"/>
      <c r="AG2009" s="23"/>
      <c r="AH2009" s="22"/>
      <c r="AJ2009" s="83">
        <f t="shared" si="705"/>
        <v>0</v>
      </c>
      <c r="AO2009" s="22" t="str">
        <f t="shared" si="706"/>
        <v/>
      </c>
      <c r="AP2009" s="22" t="str">
        <f t="shared" si="707"/>
        <v/>
      </c>
    </row>
    <row r="2010" spans="1:42" x14ac:dyDescent="0.25">
      <c r="A2010" s="10"/>
      <c r="B2010" s="10"/>
      <c r="C2010" s="10"/>
      <c r="D2010" s="10"/>
      <c r="E2010" s="10"/>
      <c r="F2010" s="10"/>
      <c r="G2010" s="10"/>
      <c r="H2010" s="17"/>
      <c r="I2010" s="10"/>
      <c r="J2010" s="10"/>
      <c r="K2010" s="16" t="str">
        <f t="shared" si="686"/>
        <v/>
      </c>
      <c r="L2010" s="23" t="str">
        <f t="shared" si="687"/>
        <v/>
      </c>
      <c r="M2010" s="22" t="str">
        <f t="shared" si="688"/>
        <v/>
      </c>
      <c r="N2010" s="72"/>
      <c r="O2010" s="16" t="str">
        <f t="shared" si="689"/>
        <v/>
      </c>
      <c r="P2010" s="16" t="str">
        <f t="shared" si="690"/>
        <v/>
      </c>
      <c r="Q2010" s="16" t="str">
        <f t="shared" si="691"/>
        <v/>
      </c>
      <c r="R2010" s="23" t="str">
        <f t="shared" si="692"/>
        <v/>
      </c>
      <c r="S2010" s="23" t="str">
        <f t="shared" si="693"/>
        <v/>
      </c>
      <c r="T2010" s="23" t="str">
        <f t="shared" si="694"/>
        <v/>
      </c>
      <c r="U2010" s="23" t="str">
        <f t="shared" si="695"/>
        <v/>
      </c>
      <c r="V2010" s="23" t="str">
        <f t="shared" si="696"/>
        <v/>
      </c>
      <c r="W2010" s="70" t="str">
        <f t="shared" si="697"/>
        <v/>
      </c>
      <c r="X2010" s="70" t="str">
        <f t="shared" si="698"/>
        <v/>
      </c>
      <c r="Y2010" s="70" t="str">
        <f>IF(AND($A2010&lt;&gt;"",$E2010&gt;0),isLaptopBag($C2010,$J2010)*$D2010,"")</f>
        <v/>
      </c>
      <c r="Z2010" s="70" t="str">
        <f t="shared" si="699"/>
        <v/>
      </c>
      <c r="AA2010" s="70" t="str">
        <f t="shared" si="700"/>
        <v/>
      </c>
      <c r="AB2010" s="70" t="str">
        <f t="shared" si="701"/>
        <v/>
      </c>
      <c r="AC2010" s="70" t="str">
        <f t="shared" si="702"/>
        <v/>
      </c>
      <c r="AD2010" s="70" t="str">
        <f t="shared" si="703"/>
        <v/>
      </c>
      <c r="AE2010" s="70" t="str">
        <f t="shared" si="704"/>
        <v/>
      </c>
      <c r="AF2010" s="16"/>
      <c r="AG2010" s="23"/>
      <c r="AH2010" s="22"/>
      <c r="AJ2010" s="83">
        <f t="shared" si="705"/>
        <v>0</v>
      </c>
      <c r="AO2010" s="22" t="str">
        <f t="shared" si="706"/>
        <v/>
      </c>
      <c r="AP2010" s="22" t="str">
        <f t="shared" si="707"/>
        <v/>
      </c>
    </row>
    <row r="2011" spans="1:42" x14ac:dyDescent="0.25">
      <c r="A2011" s="10"/>
      <c r="B2011" s="10"/>
      <c r="C2011" s="10"/>
      <c r="D2011" s="10"/>
      <c r="E2011" s="10"/>
      <c r="F2011" s="10"/>
      <c r="G2011" s="10"/>
      <c r="H2011" s="17"/>
      <c r="I2011" s="10"/>
      <c r="J2011" s="10"/>
      <c r="K2011" s="16" t="str">
        <f t="shared" si="686"/>
        <v/>
      </c>
      <c r="L2011" s="23" t="str">
        <f t="shared" si="687"/>
        <v/>
      </c>
      <c r="M2011" s="22" t="str">
        <f t="shared" si="688"/>
        <v/>
      </c>
      <c r="N2011" s="72"/>
      <c r="O2011" s="16" t="str">
        <f t="shared" si="689"/>
        <v/>
      </c>
      <c r="P2011" s="16" t="str">
        <f t="shared" si="690"/>
        <v/>
      </c>
      <c r="Q2011" s="16" t="str">
        <f t="shared" si="691"/>
        <v/>
      </c>
      <c r="R2011" s="23" t="str">
        <f t="shared" si="692"/>
        <v/>
      </c>
      <c r="S2011" s="23" t="str">
        <f t="shared" si="693"/>
        <v/>
      </c>
      <c r="T2011" s="23" t="str">
        <f t="shared" si="694"/>
        <v/>
      </c>
      <c r="U2011" s="23" t="str">
        <f t="shared" si="695"/>
        <v/>
      </c>
      <c r="V2011" s="23" t="str">
        <f t="shared" si="696"/>
        <v/>
      </c>
      <c r="W2011" s="70" t="str">
        <f t="shared" si="697"/>
        <v/>
      </c>
      <c r="X2011" s="70" t="str">
        <f t="shared" si="698"/>
        <v/>
      </c>
      <c r="Y2011" s="70" t="str">
        <f>IF(AND($A2011&lt;&gt;"",$E2011&gt;0),isLaptopBag($C2011,$J2011)*$D2011,"")</f>
        <v/>
      </c>
      <c r="Z2011" s="70" t="str">
        <f t="shared" si="699"/>
        <v/>
      </c>
      <c r="AA2011" s="70" t="str">
        <f t="shared" si="700"/>
        <v/>
      </c>
      <c r="AB2011" s="70" t="str">
        <f t="shared" si="701"/>
        <v/>
      </c>
      <c r="AC2011" s="70" t="str">
        <f t="shared" si="702"/>
        <v/>
      </c>
      <c r="AD2011" s="70" t="str">
        <f t="shared" si="703"/>
        <v/>
      </c>
      <c r="AE2011" s="70" t="str">
        <f t="shared" si="704"/>
        <v/>
      </c>
      <c r="AF2011" s="16"/>
      <c r="AG2011" s="23"/>
      <c r="AH2011" s="22"/>
      <c r="AJ2011" s="83">
        <f t="shared" si="705"/>
        <v>0</v>
      </c>
      <c r="AO2011" s="22" t="str">
        <f t="shared" si="706"/>
        <v/>
      </c>
      <c r="AP2011" s="22" t="str">
        <f t="shared" si="707"/>
        <v/>
      </c>
    </row>
    <row r="2012" spans="1:42" x14ac:dyDescent="0.25">
      <c r="A2012" s="10"/>
      <c r="B2012" s="10"/>
      <c r="C2012" s="10"/>
      <c r="D2012" s="10"/>
      <c r="E2012" s="10"/>
      <c r="F2012" s="10"/>
      <c r="G2012" s="10"/>
      <c r="H2012" s="17"/>
      <c r="I2012" s="10"/>
      <c r="J2012" s="10"/>
      <c r="K2012" s="16" t="str">
        <f t="shared" si="686"/>
        <v/>
      </c>
      <c r="L2012" s="23" t="str">
        <f t="shared" si="687"/>
        <v/>
      </c>
      <c r="M2012" s="22" t="str">
        <f t="shared" si="688"/>
        <v/>
      </c>
      <c r="N2012" s="72"/>
      <c r="O2012" s="16" t="str">
        <f t="shared" si="689"/>
        <v/>
      </c>
      <c r="P2012" s="16" t="str">
        <f t="shared" si="690"/>
        <v/>
      </c>
      <c r="Q2012" s="16" t="str">
        <f t="shared" si="691"/>
        <v/>
      </c>
      <c r="R2012" s="23" t="str">
        <f t="shared" si="692"/>
        <v/>
      </c>
      <c r="S2012" s="23" t="str">
        <f t="shared" si="693"/>
        <v/>
      </c>
      <c r="T2012" s="23" t="str">
        <f t="shared" si="694"/>
        <v/>
      </c>
      <c r="U2012" s="23" t="str">
        <f t="shared" si="695"/>
        <v/>
      </c>
      <c r="V2012" s="23" t="str">
        <f t="shared" si="696"/>
        <v/>
      </c>
      <c r="W2012" s="70" t="str">
        <f t="shared" si="697"/>
        <v/>
      </c>
      <c r="X2012" s="70" t="str">
        <f t="shared" si="698"/>
        <v/>
      </c>
      <c r="Y2012" s="70" t="str">
        <f>IF(AND($A2012&lt;&gt;"",$E2012&gt;0),isLaptopBag($C2012,$J2012)*$D2012,"")</f>
        <v/>
      </c>
      <c r="Z2012" s="70" t="str">
        <f t="shared" si="699"/>
        <v/>
      </c>
      <c r="AA2012" s="70" t="str">
        <f t="shared" si="700"/>
        <v/>
      </c>
      <c r="AB2012" s="70" t="str">
        <f t="shared" si="701"/>
        <v/>
      </c>
      <c r="AC2012" s="70" t="str">
        <f t="shared" si="702"/>
        <v/>
      </c>
      <c r="AD2012" s="70" t="str">
        <f t="shared" si="703"/>
        <v/>
      </c>
      <c r="AE2012" s="70" t="str">
        <f t="shared" si="704"/>
        <v/>
      </c>
      <c r="AF2012" s="16"/>
      <c r="AG2012" s="23"/>
      <c r="AH2012" s="22"/>
      <c r="AJ2012" s="83">
        <f t="shared" si="705"/>
        <v>0</v>
      </c>
      <c r="AO2012" s="22" t="str">
        <f t="shared" si="706"/>
        <v/>
      </c>
      <c r="AP2012" s="22" t="str">
        <f t="shared" si="707"/>
        <v/>
      </c>
    </row>
    <row r="2013" spans="1:42" x14ac:dyDescent="0.25">
      <c r="A2013" s="10"/>
      <c r="B2013" s="10"/>
      <c r="C2013" s="10"/>
      <c r="D2013" s="10"/>
      <c r="E2013" s="10"/>
      <c r="F2013" s="10"/>
      <c r="G2013" s="10"/>
      <c r="H2013" s="17"/>
      <c r="I2013" s="10"/>
      <c r="J2013" s="10"/>
      <c r="K2013" s="16" t="str">
        <f t="shared" si="686"/>
        <v/>
      </c>
      <c r="L2013" s="23" t="str">
        <f t="shared" si="687"/>
        <v/>
      </c>
      <c r="M2013" s="22" t="str">
        <f t="shared" si="688"/>
        <v/>
      </c>
      <c r="N2013" s="72"/>
      <c r="O2013" s="16" t="str">
        <f t="shared" si="689"/>
        <v/>
      </c>
      <c r="P2013" s="16" t="str">
        <f t="shared" si="690"/>
        <v/>
      </c>
      <c r="Q2013" s="16" t="str">
        <f t="shared" si="691"/>
        <v/>
      </c>
      <c r="R2013" s="23" t="str">
        <f t="shared" si="692"/>
        <v/>
      </c>
      <c r="S2013" s="23" t="str">
        <f t="shared" si="693"/>
        <v/>
      </c>
      <c r="T2013" s="23" t="str">
        <f t="shared" si="694"/>
        <v/>
      </c>
      <c r="U2013" s="23" t="str">
        <f t="shared" si="695"/>
        <v/>
      </c>
      <c r="V2013" s="23" t="str">
        <f t="shared" si="696"/>
        <v/>
      </c>
      <c r="W2013" s="70" t="str">
        <f t="shared" si="697"/>
        <v/>
      </c>
      <c r="X2013" s="70" t="str">
        <f t="shared" si="698"/>
        <v/>
      </c>
      <c r="Y2013" s="70" t="str">
        <f>IF(AND($A2013&lt;&gt;"",$E2013&gt;0),isLaptopBag($C2013,$J2013)*$D2013,"")</f>
        <v/>
      </c>
      <c r="Z2013" s="70" t="str">
        <f t="shared" si="699"/>
        <v/>
      </c>
      <c r="AA2013" s="70" t="str">
        <f t="shared" si="700"/>
        <v/>
      </c>
      <c r="AB2013" s="70" t="str">
        <f t="shared" si="701"/>
        <v/>
      </c>
      <c r="AC2013" s="70" t="str">
        <f t="shared" si="702"/>
        <v/>
      </c>
      <c r="AD2013" s="70" t="str">
        <f t="shared" si="703"/>
        <v/>
      </c>
      <c r="AE2013" s="70" t="str">
        <f t="shared" si="704"/>
        <v/>
      </c>
      <c r="AF2013" s="16"/>
      <c r="AG2013" s="23"/>
      <c r="AH2013" s="22"/>
      <c r="AJ2013" s="83">
        <f t="shared" si="705"/>
        <v>0</v>
      </c>
      <c r="AO2013" s="22" t="str">
        <f t="shared" si="706"/>
        <v/>
      </c>
      <c r="AP2013" s="22" t="str">
        <f t="shared" si="707"/>
        <v/>
      </c>
    </row>
    <row r="2014" spans="1:42" x14ac:dyDescent="0.25">
      <c r="A2014" s="10"/>
      <c r="B2014" s="10"/>
      <c r="C2014" s="10"/>
      <c r="D2014" s="10"/>
      <c r="E2014" s="10"/>
      <c r="F2014" s="10"/>
      <c r="G2014" s="10"/>
      <c r="H2014" s="17"/>
      <c r="I2014" s="10"/>
      <c r="J2014" s="10"/>
      <c r="K2014" s="16" t="str">
        <f t="shared" si="686"/>
        <v/>
      </c>
      <c r="L2014" s="23" t="str">
        <f t="shared" si="687"/>
        <v/>
      </c>
      <c r="M2014" s="22" t="str">
        <f t="shared" si="688"/>
        <v/>
      </c>
      <c r="N2014" s="72"/>
      <c r="O2014" s="16" t="str">
        <f t="shared" si="689"/>
        <v/>
      </c>
      <c r="P2014" s="16" t="str">
        <f t="shared" si="690"/>
        <v/>
      </c>
      <c r="Q2014" s="16" t="str">
        <f t="shared" si="691"/>
        <v/>
      </c>
      <c r="R2014" s="23" t="str">
        <f t="shared" si="692"/>
        <v/>
      </c>
      <c r="S2014" s="23" t="str">
        <f t="shared" si="693"/>
        <v/>
      </c>
      <c r="T2014" s="23" t="str">
        <f t="shared" si="694"/>
        <v/>
      </c>
      <c r="U2014" s="23" t="str">
        <f t="shared" si="695"/>
        <v/>
      </c>
      <c r="V2014" s="23" t="str">
        <f t="shared" si="696"/>
        <v/>
      </c>
      <c r="W2014" s="70" t="str">
        <f t="shared" si="697"/>
        <v/>
      </c>
      <c r="X2014" s="70" t="str">
        <f t="shared" si="698"/>
        <v/>
      </c>
      <c r="Y2014" s="70" t="str">
        <f>IF(AND($A2014&lt;&gt;"",$E2014&gt;0),isLaptopBag($C2014,$J2014)*$D2014,"")</f>
        <v/>
      </c>
      <c r="Z2014" s="70" t="str">
        <f t="shared" si="699"/>
        <v/>
      </c>
      <c r="AA2014" s="70" t="str">
        <f t="shared" si="700"/>
        <v/>
      </c>
      <c r="AB2014" s="70" t="str">
        <f t="shared" si="701"/>
        <v/>
      </c>
      <c r="AC2014" s="70" t="str">
        <f t="shared" si="702"/>
        <v/>
      </c>
      <c r="AD2014" s="70" t="str">
        <f t="shared" si="703"/>
        <v/>
      </c>
      <c r="AE2014" s="70" t="str">
        <f t="shared" si="704"/>
        <v/>
      </c>
      <c r="AF2014" s="16"/>
      <c r="AG2014" s="23"/>
      <c r="AH2014" s="22"/>
      <c r="AJ2014" s="83">
        <f t="shared" si="705"/>
        <v>0</v>
      </c>
      <c r="AO2014" s="22" t="str">
        <f t="shared" si="706"/>
        <v/>
      </c>
      <c r="AP2014" s="22" t="str">
        <f t="shared" si="707"/>
        <v/>
      </c>
    </row>
    <row r="2015" spans="1:42" x14ac:dyDescent="0.25">
      <c r="A2015" s="10"/>
      <c r="B2015" s="10"/>
      <c r="C2015" s="10"/>
      <c r="D2015" s="10"/>
      <c r="E2015" s="10"/>
      <c r="F2015" s="10"/>
      <c r="G2015" s="10"/>
      <c r="H2015" s="17"/>
      <c r="I2015" s="10"/>
      <c r="J2015" s="10"/>
      <c r="K2015" s="16" t="str">
        <f t="shared" si="686"/>
        <v/>
      </c>
      <c r="L2015" s="23" t="str">
        <f t="shared" si="687"/>
        <v/>
      </c>
      <c r="M2015" s="22" t="str">
        <f t="shared" si="688"/>
        <v/>
      </c>
      <c r="N2015" s="72"/>
      <c r="O2015" s="16" t="str">
        <f t="shared" si="689"/>
        <v/>
      </c>
      <c r="P2015" s="16" t="str">
        <f t="shared" si="690"/>
        <v/>
      </c>
      <c r="Q2015" s="16" t="str">
        <f t="shared" si="691"/>
        <v/>
      </c>
      <c r="R2015" s="23" t="str">
        <f t="shared" si="692"/>
        <v/>
      </c>
      <c r="S2015" s="23" t="str">
        <f t="shared" si="693"/>
        <v/>
      </c>
      <c r="T2015" s="23" t="str">
        <f t="shared" si="694"/>
        <v/>
      </c>
      <c r="U2015" s="23" t="str">
        <f t="shared" si="695"/>
        <v/>
      </c>
      <c r="V2015" s="23" t="str">
        <f t="shared" si="696"/>
        <v/>
      </c>
      <c r="W2015" s="70" t="str">
        <f t="shared" si="697"/>
        <v/>
      </c>
      <c r="X2015" s="70" t="str">
        <f t="shared" si="698"/>
        <v/>
      </c>
      <c r="Y2015" s="70" t="str">
        <f>IF(AND($A2015&lt;&gt;"",$E2015&gt;0),isLaptopBag($C2015,$J2015)*$D2015,"")</f>
        <v/>
      </c>
      <c r="Z2015" s="70" t="str">
        <f t="shared" si="699"/>
        <v/>
      </c>
      <c r="AA2015" s="70" t="str">
        <f t="shared" si="700"/>
        <v/>
      </c>
      <c r="AB2015" s="70" t="str">
        <f t="shared" si="701"/>
        <v/>
      </c>
      <c r="AC2015" s="70" t="str">
        <f t="shared" si="702"/>
        <v/>
      </c>
      <c r="AD2015" s="70" t="str">
        <f t="shared" si="703"/>
        <v/>
      </c>
      <c r="AE2015" s="70" t="str">
        <f t="shared" si="704"/>
        <v/>
      </c>
      <c r="AF2015" s="16"/>
      <c r="AG2015" s="23"/>
      <c r="AH2015" s="22"/>
      <c r="AJ2015" s="83">
        <f t="shared" si="705"/>
        <v>0</v>
      </c>
      <c r="AO2015" s="22" t="str">
        <f t="shared" si="706"/>
        <v/>
      </c>
      <c r="AP2015" s="22" t="str">
        <f t="shared" si="707"/>
        <v/>
      </c>
    </row>
    <row r="2016" spans="1:42" x14ac:dyDescent="0.25">
      <c r="A2016" s="10"/>
      <c r="B2016" s="10"/>
      <c r="C2016" s="10"/>
      <c r="D2016" s="10"/>
      <c r="E2016" s="10"/>
      <c r="F2016" s="10"/>
      <c r="G2016" s="10"/>
      <c r="H2016" s="17"/>
      <c r="I2016" s="10"/>
      <c r="J2016" s="10"/>
      <c r="K2016" s="16" t="str">
        <f t="shared" si="686"/>
        <v/>
      </c>
      <c r="L2016" s="23" t="str">
        <f t="shared" si="687"/>
        <v/>
      </c>
      <c r="M2016" s="22" t="str">
        <f t="shared" si="688"/>
        <v/>
      </c>
      <c r="N2016" s="72"/>
      <c r="O2016" s="16" t="str">
        <f t="shared" si="689"/>
        <v/>
      </c>
      <c r="P2016" s="16" t="str">
        <f t="shared" si="690"/>
        <v/>
      </c>
      <c r="Q2016" s="16" t="str">
        <f t="shared" si="691"/>
        <v/>
      </c>
      <c r="R2016" s="23" t="str">
        <f t="shared" si="692"/>
        <v/>
      </c>
      <c r="S2016" s="23" t="str">
        <f t="shared" si="693"/>
        <v/>
      </c>
      <c r="T2016" s="23" t="str">
        <f t="shared" si="694"/>
        <v/>
      </c>
      <c r="U2016" s="23" t="str">
        <f t="shared" si="695"/>
        <v/>
      </c>
      <c r="V2016" s="23" t="str">
        <f t="shared" si="696"/>
        <v/>
      </c>
      <c r="W2016" s="70" t="str">
        <f t="shared" si="697"/>
        <v/>
      </c>
      <c r="X2016" s="70" t="str">
        <f t="shared" si="698"/>
        <v/>
      </c>
      <c r="Y2016" s="70" t="str">
        <f>IF(AND($A2016&lt;&gt;"",$E2016&gt;0),isLaptopBag($C2016,$J2016)*$D2016,"")</f>
        <v/>
      </c>
      <c r="Z2016" s="70" t="str">
        <f t="shared" si="699"/>
        <v/>
      </c>
      <c r="AA2016" s="70" t="str">
        <f t="shared" si="700"/>
        <v/>
      </c>
      <c r="AB2016" s="70" t="str">
        <f t="shared" si="701"/>
        <v/>
      </c>
      <c r="AC2016" s="70" t="str">
        <f t="shared" si="702"/>
        <v/>
      </c>
      <c r="AD2016" s="70" t="str">
        <f t="shared" si="703"/>
        <v/>
      </c>
      <c r="AE2016" s="70" t="str">
        <f t="shared" si="704"/>
        <v/>
      </c>
      <c r="AF2016" s="16"/>
      <c r="AG2016" s="23"/>
      <c r="AH2016" s="22"/>
      <c r="AJ2016" s="83">
        <f t="shared" si="705"/>
        <v>0</v>
      </c>
      <c r="AO2016" s="22" t="str">
        <f t="shared" si="706"/>
        <v/>
      </c>
      <c r="AP2016" s="22" t="str">
        <f t="shared" si="707"/>
        <v/>
      </c>
    </row>
    <row r="2017" spans="1:42" x14ac:dyDescent="0.25">
      <c r="A2017" s="10"/>
      <c r="B2017" s="10"/>
      <c r="C2017" s="10"/>
      <c r="D2017" s="10"/>
      <c r="E2017" s="10"/>
      <c r="F2017" s="10"/>
      <c r="G2017" s="10"/>
      <c r="H2017" s="17"/>
      <c r="I2017" s="10"/>
      <c r="J2017" s="10"/>
      <c r="K2017" s="16" t="str">
        <f t="shared" si="686"/>
        <v/>
      </c>
      <c r="L2017" s="23" t="str">
        <f t="shared" si="687"/>
        <v/>
      </c>
      <c r="M2017" s="22" t="str">
        <f t="shared" si="688"/>
        <v/>
      </c>
      <c r="N2017" s="72"/>
      <c r="O2017" s="16" t="str">
        <f t="shared" si="689"/>
        <v/>
      </c>
      <c r="P2017" s="16" t="str">
        <f t="shared" si="690"/>
        <v/>
      </c>
      <c r="Q2017" s="16" t="str">
        <f t="shared" si="691"/>
        <v/>
      </c>
      <c r="R2017" s="23" t="str">
        <f t="shared" si="692"/>
        <v/>
      </c>
      <c r="S2017" s="23" t="str">
        <f t="shared" si="693"/>
        <v/>
      </c>
      <c r="T2017" s="23" t="str">
        <f t="shared" si="694"/>
        <v/>
      </c>
      <c r="U2017" s="23" t="str">
        <f t="shared" si="695"/>
        <v/>
      </c>
      <c r="V2017" s="23" t="str">
        <f t="shared" si="696"/>
        <v/>
      </c>
      <c r="W2017" s="70" t="str">
        <f t="shared" si="697"/>
        <v/>
      </c>
      <c r="X2017" s="70" t="str">
        <f t="shared" si="698"/>
        <v/>
      </c>
      <c r="Y2017" s="70" t="str">
        <f>IF(AND($A2017&lt;&gt;"",$E2017&gt;0),isLaptopBag($C2017,$J2017)*$D2017,"")</f>
        <v/>
      </c>
      <c r="Z2017" s="70" t="str">
        <f t="shared" si="699"/>
        <v/>
      </c>
      <c r="AA2017" s="70" t="str">
        <f t="shared" si="700"/>
        <v/>
      </c>
      <c r="AB2017" s="70" t="str">
        <f t="shared" si="701"/>
        <v/>
      </c>
      <c r="AC2017" s="70" t="str">
        <f t="shared" si="702"/>
        <v/>
      </c>
      <c r="AD2017" s="70" t="str">
        <f t="shared" si="703"/>
        <v/>
      </c>
      <c r="AE2017" s="70" t="str">
        <f t="shared" si="704"/>
        <v/>
      </c>
      <c r="AF2017" s="16"/>
      <c r="AG2017" s="23"/>
      <c r="AH2017" s="22"/>
      <c r="AJ2017" s="83">
        <f t="shared" si="705"/>
        <v>0</v>
      </c>
      <c r="AO2017" s="22" t="str">
        <f t="shared" si="706"/>
        <v/>
      </c>
      <c r="AP2017" s="22" t="str">
        <f t="shared" si="707"/>
        <v/>
      </c>
    </row>
    <row r="2018" spans="1:42" x14ac:dyDescent="0.25">
      <c r="A2018" s="10"/>
      <c r="B2018" s="10"/>
      <c r="C2018" s="10"/>
      <c r="D2018" s="10"/>
      <c r="E2018" s="10"/>
      <c r="F2018" s="10"/>
      <c r="G2018" s="10"/>
      <c r="H2018" s="17"/>
      <c r="I2018" s="10"/>
      <c r="J2018" s="10"/>
      <c r="K2018" s="16" t="str">
        <f t="shared" si="686"/>
        <v/>
      </c>
      <c r="L2018" s="23" t="str">
        <f t="shared" si="687"/>
        <v/>
      </c>
      <c r="M2018" s="22" t="str">
        <f t="shared" si="688"/>
        <v/>
      </c>
      <c r="N2018" s="72"/>
      <c r="O2018" s="16" t="str">
        <f t="shared" si="689"/>
        <v/>
      </c>
      <c r="P2018" s="16" t="str">
        <f t="shared" si="690"/>
        <v/>
      </c>
      <c r="Q2018" s="16" t="str">
        <f t="shared" si="691"/>
        <v/>
      </c>
      <c r="R2018" s="23" t="str">
        <f t="shared" si="692"/>
        <v/>
      </c>
      <c r="S2018" s="23" t="str">
        <f t="shared" si="693"/>
        <v/>
      </c>
      <c r="T2018" s="23" t="str">
        <f t="shared" si="694"/>
        <v/>
      </c>
      <c r="U2018" s="23" t="str">
        <f t="shared" si="695"/>
        <v/>
      </c>
      <c r="V2018" s="23" t="str">
        <f t="shared" si="696"/>
        <v/>
      </c>
      <c r="W2018" s="70" t="str">
        <f t="shared" si="697"/>
        <v/>
      </c>
      <c r="X2018" s="70" t="str">
        <f t="shared" si="698"/>
        <v/>
      </c>
      <c r="Y2018" s="70" t="str">
        <f>IF(AND($A2018&lt;&gt;"",$E2018&gt;0),isLaptopBag($C2018,$J2018)*$D2018,"")</f>
        <v/>
      </c>
      <c r="Z2018" s="70" t="str">
        <f t="shared" si="699"/>
        <v/>
      </c>
      <c r="AA2018" s="70" t="str">
        <f t="shared" si="700"/>
        <v/>
      </c>
      <c r="AB2018" s="70" t="str">
        <f t="shared" si="701"/>
        <v/>
      </c>
      <c r="AC2018" s="70" t="str">
        <f t="shared" si="702"/>
        <v/>
      </c>
      <c r="AD2018" s="70" t="str">
        <f t="shared" si="703"/>
        <v/>
      </c>
      <c r="AE2018" s="70" t="str">
        <f t="shared" si="704"/>
        <v/>
      </c>
      <c r="AF2018" s="16"/>
      <c r="AG2018" s="23"/>
      <c r="AH2018" s="22"/>
      <c r="AJ2018" s="83">
        <f t="shared" si="705"/>
        <v>0</v>
      </c>
      <c r="AO2018" s="22" t="str">
        <f t="shared" si="706"/>
        <v/>
      </c>
      <c r="AP2018" s="22" t="str">
        <f t="shared" si="707"/>
        <v/>
      </c>
    </row>
    <row r="2019" spans="1:42" x14ac:dyDescent="0.25">
      <c r="A2019" s="10"/>
      <c r="B2019" s="10"/>
      <c r="C2019" s="10"/>
      <c r="D2019" s="10"/>
      <c r="E2019" s="10"/>
      <c r="F2019" s="10"/>
      <c r="G2019" s="10"/>
      <c r="H2019" s="17"/>
      <c r="I2019" s="10"/>
      <c r="J2019" s="10"/>
      <c r="K2019" s="16" t="str">
        <f t="shared" si="686"/>
        <v/>
      </c>
      <c r="L2019" s="23" t="str">
        <f t="shared" si="687"/>
        <v/>
      </c>
      <c r="M2019" s="22" t="str">
        <f t="shared" si="688"/>
        <v/>
      </c>
      <c r="N2019" s="72"/>
      <c r="O2019" s="16" t="str">
        <f t="shared" si="689"/>
        <v/>
      </c>
      <c r="P2019" s="16" t="str">
        <f t="shared" si="690"/>
        <v/>
      </c>
      <c r="Q2019" s="16" t="str">
        <f t="shared" si="691"/>
        <v/>
      </c>
      <c r="R2019" s="23" t="str">
        <f t="shared" si="692"/>
        <v/>
      </c>
      <c r="S2019" s="23" t="str">
        <f t="shared" si="693"/>
        <v/>
      </c>
      <c r="T2019" s="23" t="str">
        <f t="shared" si="694"/>
        <v/>
      </c>
      <c r="U2019" s="23" t="str">
        <f t="shared" si="695"/>
        <v/>
      </c>
      <c r="V2019" s="23" t="str">
        <f t="shared" si="696"/>
        <v/>
      </c>
      <c r="W2019" s="70" t="str">
        <f t="shared" si="697"/>
        <v/>
      </c>
      <c r="X2019" s="70" t="str">
        <f t="shared" si="698"/>
        <v/>
      </c>
      <c r="Y2019" s="70" t="str">
        <f>IF(AND($A2019&lt;&gt;"",$E2019&gt;0),isLaptopBag($C2019,$J2019)*$D2019,"")</f>
        <v/>
      </c>
      <c r="Z2019" s="70" t="str">
        <f t="shared" si="699"/>
        <v/>
      </c>
      <c r="AA2019" s="70" t="str">
        <f t="shared" si="700"/>
        <v/>
      </c>
      <c r="AB2019" s="70" t="str">
        <f t="shared" si="701"/>
        <v/>
      </c>
      <c r="AC2019" s="70" t="str">
        <f t="shared" si="702"/>
        <v/>
      </c>
      <c r="AD2019" s="70" t="str">
        <f t="shared" si="703"/>
        <v/>
      </c>
      <c r="AE2019" s="70" t="str">
        <f t="shared" si="704"/>
        <v/>
      </c>
      <c r="AF2019" s="16"/>
      <c r="AG2019" s="23"/>
      <c r="AH2019" s="22"/>
      <c r="AJ2019" s="83">
        <f t="shared" si="705"/>
        <v>0</v>
      </c>
      <c r="AO2019" s="22" t="str">
        <f t="shared" si="706"/>
        <v/>
      </c>
      <c r="AP2019" s="22" t="str">
        <f t="shared" si="707"/>
        <v/>
      </c>
    </row>
    <row r="2020" spans="1:42" x14ac:dyDescent="0.25">
      <c r="A2020" s="10"/>
      <c r="B2020" s="10"/>
      <c r="C2020" s="10"/>
      <c r="D2020" s="10"/>
      <c r="E2020" s="10"/>
      <c r="F2020" s="10"/>
      <c r="G2020" s="10"/>
      <c r="H2020" s="17"/>
      <c r="I2020" s="10"/>
      <c r="J2020" s="10"/>
      <c r="K2020" s="16" t="str">
        <f t="shared" si="686"/>
        <v/>
      </c>
      <c r="L2020" s="23" t="str">
        <f t="shared" si="687"/>
        <v/>
      </c>
      <c r="M2020" s="22" t="str">
        <f t="shared" si="688"/>
        <v/>
      </c>
      <c r="N2020" s="72"/>
      <c r="O2020" s="16" t="str">
        <f t="shared" si="689"/>
        <v/>
      </c>
      <c r="P2020" s="16" t="str">
        <f t="shared" si="690"/>
        <v/>
      </c>
      <c r="Q2020" s="16" t="str">
        <f t="shared" si="691"/>
        <v/>
      </c>
      <c r="R2020" s="23" t="str">
        <f t="shared" si="692"/>
        <v/>
      </c>
      <c r="S2020" s="23" t="str">
        <f t="shared" si="693"/>
        <v/>
      </c>
      <c r="T2020" s="23" t="str">
        <f t="shared" si="694"/>
        <v/>
      </c>
      <c r="U2020" s="23" t="str">
        <f t="shared" si="695"/>
        <v/>
      </c>
      <c r="V2020" s="23" t="str">
        <f t="shared" si="696"/>
        <v/>
      </c>
      <c r="W2020" s="70" t="str">
        <f t="shared" si="697"/>
        <v/>
      </c>
      <c r="X2020" s="70" t="str">
        <f t="shared" si="698"/>
        <v/>
      </c>
      <c r="Y2020" s="70" t="str">
        <f>IF(AND($A2020&lt;&gt;"",$E2020&gt;0),isLaptopBag($C2020,$J2020)*$D2020,"")</f>
        <v/>
      </c>
      <c r="Z2020" s="70" t="str">
        <f t="shared" si="699"/>
        <v/>
      </c>
      <c r="AA2020" s="70" t="str">
        <f t="shared" si="700"/>
        <v/>
      </c>
      <c r="AB2020" s="70" t="str">
        <f t="shared" si="701"/>
        <v/>
      </c>
      <c r="AC2020" s="70" t="str">
        <f t="shared" si="702"/>
        <v/>
      </c>
      <c r="AD2020" s="70" t="str">
        <f t="shared" si="703"/>
        <v/>
      </c>
      <c r="AE2020" s="70" t="str">
        <f t="shared" si="704"/>
        <v/>
      </c>
      <c r="AF2020" s="16"/>
      <c r="AG2020" s="23"/>
      <c r="AH2020" s="22"/>
      <c r="AJ2020" s="83">
        <f t="shared" si="705"/>
        <v>0</v>
      </c>
      <c r="AO2020" s="22" t="str">
        <f t="shared" si="706"/>
        <v/>
      </c>
      <c r="AP2020" s="22" t="str">
        <f t="shared" si="707"/>
        <v/>
      </c>
    </row>
    <row r="2021" spans="1:42" x14ac:dyDescent="0.25">
      <c r="A2021" s="10"/>
      <c r="B2021" s="10"/>
      <c r="C2021" s="10"/>
      <c r="D2021" s="10"/>
      <c r="E2021" s="10"/>
      <c r="F2021" s="10"/>
      <c r="G2021" s="10"/>
      <c r="H2021" s="17"/>
      <c r="I2021" s="10"/>
      <c r="J2021" s="10"/>
      <c r="K2021" s="16" t="str">
        <f t="shared" si="686"/>
        <v/>
      </c>
      <c r="L2021" s="23" t="str">
        <f t="shared" si="687"/>
        <v/>
      </c>
      <c r="M2021" s="22" t="str">
        <f t="shared" si="688"/>
        <v/>
      </c>
      <c r="N2021" s="72"/>
      <c r="O2021" s="16" t="str">
        <f t="shared" si="689"/>
        <v/>
      </c>
      <c r="P2021" s="16" t="str">
        <f t="shared" si="690"/>
        <v/>
      </c>
      <c r="Q2021" s="16" t="str">
        <f t="shared" si="691"/>
        <v/>
      </c>
      <c r="R2021" s="23" t="str">
        <f t="shared" si="692"/>
        <v/>
      </c>
      <c r="S2021" s="23" t="str">
        <f t="shared" si="693"/>
        <v/>
      </c>
      <c r="T2021" s="23" t="str">
        <f t="shared" si="694"/>
        <v/>
      </c>
      <c r="U2021" s="23" t="str">
        <f t="shared" si="695"/>
        <v/>
      </c>
      <c r="V2021" s="23" t="str">
        <f t="shared" si="696"/>
        <v/>
      </c>
      <c r="W2021" s="70" t="str">
        <f t="shared" si="697"/>
        <v/>
      </c>
      <c r="X2021" s="70" t="str">
        <f t="shared" si="698"/>
        <v/>
      </c>
      <c r="Y2021" s="70" t="str">
        <f>IF(AND($A2021&lt;&gt;"",$E2021&gt;0),isLaptopBag($C2021,$J2021)*$D2021,"")</f>
        <v/>
      </c>
      <c r="Z2021" s="70" t="str">
        <f t="shared" si="699"/>
        <v/>
      </c>
      <c r="AA2021" s="70" t="str">
        <f t="shared" si="700"/>
        <v/>
      </c>
      <c r="AB2021" s="70" t="str">
        <f t="shared" si="701"/>
        <v/>
      </c>
      <c r="AC2021" s="70" t="str">
        <f t="shared" si="702"/>
        <v/>
      </c>
      <c r="AD2021" s="70" t="str">
        <f t="shared" si="703"/>
        <v/>
      </c>
      <c r="AE2021" s="70" t="str">
        <f t="shared" si="704"/>
        <v/>
      </c>
      <c r="AF2021" s="16"/>
      <c r="AG2021" s="23"/>
      <c r="AH2021" s="22"/>
      <c r="AJ2021" s="83">
        <f t="shared" si="705"/>
        <v>0</v>
      </c>
      <c r="AO2021" s="22" t="str">
        <f t="shared" si="706"/>
        <v/>
      </c>
      <c r="AP2021" s="22" t="str">
        <f t="shared" si="707"/>
        <v/>
      </c>
    </row>
    <row r="2022" spans="1:42" x14ac:dyDescent="0.25">
      <c r="A2022" s="10"/>
      <c r="B2022" s="10"/>
      <c r="C2022" s="10"/>
      <c r="D2022" s="10"/>
      <c r="E2022" s="10"/>
      <c r="F2022" s="10"/>
      <c r="G2022" s="10"/>
      <c r="H2022" s="17"/>
      <c r="I2022" s="10"/>
      <c r="J2022" s="10"/>
      <c r="K2022" s="16" t="str">
        <f t="shared" si="686"/>
        <v/>
      </c>
      <c r="L2022" s="23" t="str">
        <f t="shared" si="687"/>
        <v/>
      </c>
      <c r="M2022" s="22" t="str">
        <f t="shared" si="688"/>
        <v/>
      </c>
      <c r="N2022" s="72"/>
      <c r="O2022" s="16" t="str">
        <f t="shared" si="689"/>
        <v/>
      </c>
      <c r="P2022" s="16" t="str">
        <f t="shared" si="690"/>
        <v/>
      </c>
      <c r="Q2022" s="16" t="str">
        <f t="shared" si="691"/>
        <v/>
      </c>
      <c r="R2022" s="23" t="str">
        <f t="shared" si="692"/>
        <v/>
      </c>
      <c r="S2022" s="23" t="str">
        <f t="shared" si="693"/>
        <v/>
      </c>
      <c r="T2022" s="23" t="str">
        <f t="shared" si="694"/>
        <v/>
      </c>
      <c r="U2022" s="23" t="str">
        <f t="shared" si="695"/>
        <v/>
      </c>
      <c r="V2022" s="23" t="str">
        <f t="shared" si="696"/>
        <v/>
      </c>
      <c r="W2022" s="70" t="str">
        <f t="shared" si="697"/>
        <v/>
      </c>
      <c r="X2022" s="70" t="str">
        <f t="shared" si="698"/>
        <v/>
      </c>
      <c r="Y2022" s="70" t="str">
        <f>IF(AND($A2022&lt;&gt;"",$E2022&gt;0),isLaptopBag($C2022,$J2022)*$D2022,"")</f>
        <v/>
      </c>
      <c r="Z2022" s="70" t="str">
        <f t="shared" si="699"/>
        <v/>
      </c>
      <c r="AA2022" s="70" t="str">
        <f t="shared" si="700"/>
        <v/>
      </c>
      <c r="AB2022" s="70" t="str">
        <f t="shared" si="701"/>
        <v/>
      </c>
      <c r="AC2022" s="70" t="str">
        <f t="shared" si="702"/>
        <v/>
      </c>
      <c r="AD2022" s="70" t="str">
        <f t="shared" si="703"/>
        <v/>
      </c>
      <c r="AE2022" s="70" t="str">
        <f t="shared" si="704"/>
        <v/>
      </c>
      <c r="AF2022" s="16"/>
      <c r="AG2022" s="23"/>
      <c r="AH2022" s="22"/>
      <c r="AJ2022" s="83">
        <f t="shared" si="705"/>
        <v>0</v>
      </c>
      <c r="AO2022" s="22" t="str">
        <f t="shared" si="706"/>
        <v/>
      </c>
      <c r="AP2022" s="22" t="str">
        <f t="shared" si="707"/>
        <v/>
      </c>
    </row>
    <row r="2023" spans="1:42" x14ac:dyDescent="0.25">
      <c r="A2023" s="10"/>
      <c r="B2023" s="10"/>
      <c r="C2023" s="10"/>
      <c r="D2023" s="10"/>
      <c r="E2023" s="10"/>
      <c r="F2023" s="10"/>
      <c r="G2023" s="10"/>
      <c r="H2023" s="17"/>
      <c r="I2023" s="10"/>
      <c r="J2023" s="10"/>
      <c r="K2023" s="16" t="str">
        <f t="shared" si="686"/>
        <v/>
      </c>
      <c r="L2023" s="23" t="str">
        <f t="shared" si="687"/>
        <v/>
      </c>
      <c r="M2023" s="22" t="str">
        <f t="shared" si="688"/>
        <v/>
      </c>
      <c r="N2023" s="72"/>
      <c r="O2023" s="16" t="str">
        <f t="shared" si="689"/>
        <v/>
      </c>
      <c r="P2023" s="16" t="str">
        <f t="shared" si="690"/>
        <v/>
      </c>
      <c r="Q2023" s="16" t="str">
        <f t="shared" si="691"/>
        <v/>
      </c>
      <c r="R2023" s="23" t="str">
        <f t="shared" si="692"/>
        <v/>
      </c>
      <c r="S2023" s="23" t="str">
        <f t="shared" si="693"/>
        <v/>
      </c>
      <c r="T2023" s="23" t="str">
        <f t="shared" si="694"/>
        <v/>
      </c>
      <c r="U2023" s="23" t="str">
        <f t="shared" si="695"/>
        <v/>
      </c>
      <c r="V2023" s="23" t="str">
        <f t="shared" si="696"/>
        <v/>
      </c>
      <c r="W2023" s="70" t="str">
        <f t="shared" si="697"/>
        <v/>
      </c>
      <c r="X2023" s="70" t="str">
        <f t="shared" si="698"/>
        <v/>
      </c>
      <c r="Y2023" s="70" t="str">
        <f>IF(AND($A2023&lt;&gt;"",$E2023&gt;0),isLaptopBag($C2023,$J2023)*$D2023,"")</f>
        <v/>
      </c>
      <c r="Z2023" s="70" t="str">
        <f t="shared" si="699"/>
        <v/>
      </c>
      <c r="AA2023" s="70" t="str">
        <f t="shared" si="700"/>
        <v/>
      </c>
      <c r="AB2023" s="70" t="str">
        <f t="shared" si="701"/>
        <v/>
      </c>
      <c r="AC2023" s="70" t="str">
        <f t="shared" si="702"/>
        <v/>
      </c>
      <c r="AD2023" s="70" t="str">
        <f t="shared" si="703"/>
        <v/>
      </c>
      <c r="AE2023" s="70" t="str">
        <f t="shared" si="704"/>
        <v/>
      </c>
      <c r="AF2023" s="16"/>
      <c r="AG2023" s="23"/>
      <c r="AH2023" s="22"/>
      <c r="AJ2023" s="83">
        <f t="shared" si="705"/>
        <v>0</v>
      </c>
      <c r="AO2023" s="22" t="str">
        <f t="shared" si="706"/>
        <v/>
      </c>
      <c r="AP2023" s="22" t="str">
        <f t="shared" si="707"/>
        <v/>
      </c>
    </row>
    <row r="2024" spans="1:42" x14ac:dyDescent="0.25">
      <c r="A2024" s="10"/>
      <c r="B2024" s="10"/>
      <c r="C2024" s="10"/>
      <c r="D2024" s="10"/>
      <c r="E2024" s="10"/>
      <c r="F2024" s="10"/>
      <c r="G2024" s="10"/>
      <c r="H2024" s="17"/>
      <c r="I2024" s="10"/>
      <c r="J2024" s="10"/>
      <c r="K2024" s="16" t="str">
        <f t="shared" si="686"/>
        <v/>
      </c>
      <c r="L2024" s="23" t="str">
        <f t="shared" si="687"/>
        <v/>
      </c>
      <c r="M2024" s="22" t="str">
        <f t="shared" si="688"/>
        <v/>
      </c>
      <c r="N2024" s="72"/>
      <c r="O2024" s="16" t="str">
        <f t="shared" si="689"/>
        <v/>
      </c>
      <c r="P2024" s="16" t="str">
        <f t="shared" si="690"/>
        <v/>
      </c>
      <c r="Q2024" s="16" t="str">
        <f t="shared" si="691"/>
        <v/>
      </c>
      <c r="R2024" s="23" t="str">
        <f t="shared" si="692"/>
        <v/>
      </c>
      <c r="S2024" s="23" t="str">
        <f t="shared" si="693"/>
        <v/>
      </c>
      <c r="T2024" s="23" t="str">
        <f t="shared" si="694"/>
        <v/>
      </c>
      <c r="U2024" s="23" t="str">
        <f t="shared" si="695"/>
        <v/>
      </c>
      <c r="V2024" s="23" t="str">
        <f t="shared" si="696"/>
        <v/>
      </c>
      <c r="W2024" s="70" t="str">
        <f t="shared" si="697"/>
        <v/>
      </c>
      <c r="X2024" s="70" t="str">
        <f t="shared" si="698"/>
        <v/>
      </c>
      <c r="Y2024" s="70" t="str">
        <f>IF(AND($A2024&lt;&gt;"",$E2024&gt;0),isLaptopBag($C2024,$J2024)*$D2024,"")</f>
        <v/>
      </c>
      <c r="Z2024" s="70" t="str">
        <f t="shared" si="699"/>
        <v/>
      </c>
      <c r="AA2024" s="70" t="str">
        <f t="shared" si="700"/>
        <v/>
      </c>
      <c r="AB2024" s="70" t="str">
        <f t="shared" si="701"/>
        <v/>
      </c>
      <c r="AC2024" s="70" t="str">
        <f t="shared" si="702"/>
        <v/>
      </c>
      <c r="AD2024" s="70" t="str">
        <f t="shared" si="703"/>
        <v/>
      </c>
      <c r="AE2024" s="70" t="str">
        <f t="shared" si="704"/>
        <v/>
      </c>
      <c r="AF2024" s="16"/>
      <c r="AG2024" s="23"/>
      <c r="AH2024" s="22"/>
      <c r="AJ2024" s="83">
        <f t="shared" si="705"/>
        <v>0</v>
      </c>
      <c r="AO2024" s="22" t="str">
        <f t="shared" si="706"/>
        <v/>
      </c>
      <c r="AP2024" s="22" t="str">
        <f t="shared" si="707"/>
        <v/>
      </c>
    </row>
    <row r="2025" spans="1:42" x14ac:dyDescent="0.25">
      <c r="A2025" s="10"/>
      <c r="B2025" s="10"/>
      <c r="C2025" s="10"/>
      <c r="D2025" s="10"/>
      <c r="E2025" s="10"/>
      <c r="F2025" s="10"/>
      <c r="G2025" s="10"/>
      <c r="H2025" s="17"/>
      <c r="I2025" s="10"/>
      <c r="J2025" s="10"/>
      <c r="K2025" s="16" t="str">
        <f t="shared" si="686"/>
        <v/>
      </c>
      <c r="L2025" s="23" t="str">
        <f t="shared" si="687"/>
        <v/>
      </c>
      <c r="M2025" s="22" t="str">
        <f t="shared" si="688"/>
        <v/>
      </c>
      <c r="N2025" s="72"/>
      <c r="O2025" s="16" t="str">
        <f t="shared" si="689"/>
        <v/>
      </c>
      <c r="P2025" s="16" t="str">
        <f t="shared" si="690"/>
        <v/>
      </c>
      <c r="Q2025" s="16" t="str">
        <f t="shared" si="691"/>
        <v/>
      </c>
      <c r="R2025" s="23" t="str">
        <f t="shared" si="692"/>
        <v/>
      </c>
      <c r="S2025" s="23" t="str">
        <f t="shared" si="693"/>
        <v/>
      </c>
      <c r="T2025" s="23" t="str">
        <f t="shared" si="694"/>
        <v/>
      </c>
      <c r="U2025" s="23" t="str">
        <f t="shared" si="695"/>
        <v/>
      </c>
      <c r="V2025" s="23" t="str">
        <f t="shared" si="696"/>
        <v/>
      </c>
      <c r="W2025" s="70" t="str">
        <f t="shared" si="697"/>
        <v/>
      </c>
      <c r="X2025" s="70" t="str">
        <f t="shared" si="698"/>
        <v/>
      </c>
      <c r="Y2025" s="70" t="str">
        <f>IF(AND($A2025&lt;&gt;"",$E2025&gt;0),isLaptopBag($C2025,$J2025)*$D2025,"")</f>
        <v/>
      </c>
      <c r="Z2025" s="70" t="str">
        <f t="shared" si="699"/>
        <v/>
      </c>
      <c r="AA2025" s="70" t="str">
        <f t="shared" si="700"/>
        <v/>
      </c>
      <c r="AB2025" s="70" t="str">
        <f t="shared" si="701"/>
        <v/>
      </c>
      <c r="AC2025" s="70" t="str">
        <f t="shared" si="702"/>
        <v/>
      </c>
      <c r="AD2025" s="70" t="str">
        <f t="shared" si="703"/>
        <v/>
      </c>
      <c r="AE2025" s="70" t="str">
        <f t="shared" si="704"/>
        <v/>
      </c>
      <c r="AF2025" s="16"/>
      <c r="AG2025" s="23"/>
      <c r="AH2025" s="22"/>
      <c r="AJ2025" s="83">
        <f t="shared" si="705"/>
        <v>0</v>
      </c>
      <c r="AO2025" s="22" t="str">
        <f t="shared" si="706"/>
        <v/>
      </c>
      <c r="AP2025" s="22" t="str">
        <f t="shared" si="707"/>
        <v/>
      </c>
    </row>
    <row r="2026" spans="1:42" x14ac:dyDescent="0.25">
      <c r="A2026" s="10"/>
      <c r="B2026" s="10"/>
      <c r="C2026" s="10"/>
      <c r="D2026" s="10"/>
      <c r="E2026" s="10"/>
      <c r="F2026" s="10"/>
      <c r="G2026" s="10"/>
      <c r="H2026" s="17"/>
      <c r="I2026" s="10"/>
      <c r="J2026" s="10"/>
      <c r="K2026" s="16" t="str">
        <f t="shared" si="686"/>
        <v/>
      </c>
      <c r="L2026" s="23" t="str">
        <f t="shared" si="687"/>
        <v/>
      </c>
      <c r="M2026" s="22" t="str">
        <f t="shared" si="688"/>
        <v/>
      </c>
      <c r="N2026" s="72"/>
      <c r="O2026" s="16" t="str">
        <f t="shared" si="689"/>
        <v/>
      </c>
      <c r="P2026" s="16" t="str">
        <f t="shared" si="690"/>
        <v/>
      </c>
      <c r="Q2026" s="16" t="str">
        <f t="shared" si="691"/>
        <v/>
      </c>
      <c r="R2026" s="23" t="str">
        <f t="shared" si="692"/>
        <v/>
      </c>
      <c r="S2026" s="23" t="str">
        <f t="shared" si="693"/>
        <v/>
      </c>
      <c r="T2026" s="23" t="str">
        <f t="shared" si="694"/>
        <v/>
      </c>
      <c r="U2026" s="23" t="str">
        <f t="shared" si="695"/>
        <v/>
      </c>
      <c r="V2026" s="23" t="str">
        <f t="shared" si="696"/>
        <v/>
      </c>
      <c r="W2026" s="70" t="str">
        <f t="shared" si="697"/>
        <v/>
      </c>
      <c r="X2026" s="70" t="str">
        <f t="shared" si="698"/>
        <v/>
      </c>
      <c r="Y2026" s="70" t="str">
        <f>IF(AND($A2026&lt;&gt;"",$E2026&gt;0),isLaptopBag($C2026,$J2026)*$D2026,"")</f>
        <v/>
      </c>
      <c r="Z2026" s="70" t="str">
        <f t="shared" si="699"/>
        <v/>
      </c>
      <c r="AA2026" s="70" t="str">
        <f t="shared" si="700"/>
        <v/>
      </c>
      <c r="AB2026" s="70" t="str">
        <f t="shared" si="701"/>
        <v/>
      </c>
      <c r="AC2026" s="70" t="str">
        <f t="shared" si="702"/>
        <v/>
      </c>
      <c r="AD2026" s="70" t="str">
        <f t="shared" si="703"/>
        <v/>
      </c>
      <c r="AE2026" s="70" t="str">
        <f t="shared" si="704"/>
        <v/>
      </c>
      <c r="AF2026" s="16"/>
      <c r="AG2026" s="23"/>
      <c r="AH2026" s="22"/>
      <c r="AJ2026" s="83">
        <f t="shared" si="705"/>
        <v>0</v>
      </c>
      <c r="AO2026" s="22" t="str">
        <f t="shared" si="706"/>
        <v/>
      </c>
      <c r="AP2026" s="22" t="str">
        <f t="shared" si="707"/>
        <v/>
      </c>
    </row>
    <row r="2027" spans="1:42" x14ac:dyDescent="0.25">
      <c r="A2027" s="10"/>
      <c r="B2027" s="10"/>
      <c r="C2027" s="10"/>
      <c r="D2027" s="10"/>
      <c r="E2027" s="10"/>
      <c r="F2027" s="10"/>
      <c r="G2027" s="10"/>
      <c r="H2027" s="17"/>
      <c r="I2027" s="10"/>
      <c r="J2027" s="10"/>
      <c r="K2027" s="16" t="str">
        <f t="shared" si="686"/>
        <v/>
      </c>
      <c r="L2027" s="23" t="str">
        <f t="shared" si="687"/>
        <v/>
      </c>
      <c r="M2027" s="22" t="str">
        <f t="shared" si="688"/>
        <v/>
      </c>
      <c r="N2027" s="72"/>
      <c r="O2027" s="16" t="str">
        <f t="shared" si="689"/>
        <v/>
      </c>
      <c r="P2027" s="16" t="str">
        <f t="shared" si="690"/>
        <v/>
      </c>
      <c r="Q2027" s="16" t="str">
        <f t="shared" si="691"/>
        <v/>
      </c>
      <c r="R2027" s="23" t="str">
        <f t="shared" si="692"/>
        <v/>
      </c>
      <c r="S2027" s="23" t="str">
        <f t="shared" si="693"/>
        <v/>
      </c>
      <c r="T2027" s="23" t="str">
        <f t="shared" si="694"/>
        <v/>
      </c>
      <c r="U2027" s="23" t="str">
        <f t="shared" si="695"/>
        <v/>
      </c>
      <c r="V2027" s="23" t="str">
        <f t="shared" si="696"/>
        <v/>
      </c>
      <c r="W2027" s="70" t="str">
        <f t="shared" si="697"/>
        <v/>
      </c>
      <c r="X2027" s="70" t="str">
        <f t="shared" si="698"/>
        <v/>
      </c>
      <c r="Y2027" s="70" t="str">
        <f>IF(AND($A2027&lt;&gt;"",$E2027&gt;0),isLaptopBag($C2027,$J2027)*$D2027,"")</f>
        <v/>
      </c>
      <c r="Z2027" s="70" t="str">
        <f t="shared" si="699"/>
        <v/>
      </c>
      <c r="AA2027" s="70" t="str">
        <f t="shared" si="700"/>
        <v/>
      </c>
      <c r="AB2027" s="70" t="str">
        <f t="shared" si="701"/>
        <v/>
      </c>
      <c r="AC2027" s="70" t="str">
        <f t="shared" si="702"/>
        <v/>
      </c>
      <c r="AD2027" s="70" t="str">
        <f t="shared" si="703"/>
        <v/>
      </c>
      <c r="AE2027" s="70" t="str">
        <f t="shared" si="704"/>
        <v/>
      </c>
      <c r="AF2027" s="16"/>
      <c r="AG2027" s="23"/>
      <c r="AH2027" s="22"/>
      <c r="AJ2027" s="83">
        <f t="shared" si="705"/>
        <v>0</v>
      </c>
      <c r="AO2027" s="22" t="str">
        <f t="shared" si="706"/>
        <v/>
      </c>
      <c r="AP2027" s="22" t="str">
        <f t="shared" si="707"/>
        <v/>
      </c>
    </row>
    <row r="2028" spans="1:42" x14ac:dyDescent="0.25">
      <c r="A2028" s="10"/>
      <c r="B2028" s="10"/>
      <c r="C2028" s="10"/>
      <c r="D2028" s="10"/>
      <c r="E2028" s="10"/>
      <c r="F2028" s="10"/>
      <c r="G2028" s="10"/>
      <c r="H2028" s="17"/>
      <c r="I2028" s="10"/>
      <c r="J2028" s="10"/>
      <c r="K2028" s="16" t="str">
        <f t="shared" si="686"/>
        <v/>
      </c>
      <c r="L2028" s="23" t="str">
        <f t="shared" si="687"/>
        <v/>
      </c>
      <c r="M2028" s="22" t="str">
        <f t="shared" si="688"/>
        <v/>
      </c>
      <c r="N2028" s="72"/>
      <c r="O2028" s="16" t="str">
        <f t="shared" si="689"/>
        <v/>
      </c>
      <c r="P2028" s="16" t="str">
        <f t="shared" si="690"/>
        <v/>
      </c>
      <c r="Q2028" s="16" t="str">
        <f t="shared" si="691"/>
        <v/>
      </c>
      <c r="R2028" s="23" t="str">
        <f t="shared" si="692"/>
        <v/>
      </c>
      <c r="S2028" s="23" t="str">
        <f t="shared" si="693"/>
        <v/>
      </c>
      <c r="T2028" s="23" t="str">
        <f t="shared" si="694"/>
        <v/>
      </c>
      <c r="U2028" s="23" t="str">
        <f t="shared" si="695"/>
        <v/>
      </c>
      <c r="V2028" s="23" t="str">
        <f t="shared" si="696"/>
        <v/>
      </c>
      <c r="W2028" s="70" t="str">
        <f t="shared" si="697"/>
        <v/>
      </c>
      <c r="X2028" s="70" t="str">
        <f t="shared" si="698"/>
        <v/>
      </c>
      <c r="Y2028" s="70" t="str">
        <f>IF(AND($A2028&lt;&gt;"",$E2028&gt;0),isLaptopBag($C2028,$J2028)*$D2028,"")</f>
        <v/>
      </c>
      <c r="Z2028" s="70" t="str">
        <f t="shared" si="699"/>
        <v/>
      </c>
      <c r="AA2028" s="70" t="str">
        <f t="shared" si="700"/>
        <v/>
      </c>
      <c r="AB2028" s="70" t="str">
        <f t="shared" si="701"/>
        <v/>
      </c>
      <c r="AC2028" s="70" t="str">
        <f t="shared" si="702"/>
        <v/>
      </c>
      <c r="AD2028" s="70" t="str">
        <f t="shared" si="703"/>
        <v/>
      </c>
      <c r="AE2028" s="70" t="str">
        <f t="shared" si="704"/>
        <v/>
      </c>
      <c r="AF2028" s="16"/>
      <c r="AG2028" s="23"/>
      <c r="AH2028" s="22"/>
      <c r="AJ2028" s="83">
        <f t="shared" si="705"/>
        <v>0</v>
      </c>
      <c r="AO2028" s="22" t="str">
        <f t="shared" si="706"/>
        <v/>
      </c>
      <c r="AP2028" s="22" t="str">
        <f t="shared" si="707"/>
        <v/>
      </c>
    </row>
    <row r="2029" spans="1:42" x14ac:dyDescent="0.25">
      <c r="A2029" s="10"/>
      <c r="B2029" s="10"/>
      <c r="C2029" s="10"/>
      <c r="D2029" s="10"/>
      <c r="E2029" s="10"/>
      <c r="F2029" s="10"/>
      <c r="G2029" s="10"/>
      <c r="H2029" s="17"/>
      <c r="I2029" s="10"/>
      <c r="J2029" s="10"/>
      <c r="K2029" s="16" t="str">
        <f t="shared" si="686"/>
        <v/>
      </c>
      <c r="L2029" s="23" t="str">
        <f t="shared" si="687"/>
        <v/>
      </c>
      <c r="M2029" s="22" t="str">
        <f t="shared" si="688"/>
        <v/>
      </c>
      <c r="N2029" s="72"/>
      <c r="O2029" s="16" t="str">
        <f t="shared" si="689"/>
        <v/>
      </c>
      <c r="P2029" s="16" t="str">
        <f t="shared" si="690"/>
        <v/>
      </c>
      <c r="Q2029" s="16" t="str">
        <f t="shared" si="691"/>
        <v/>
      </c>
      <c r="R2029" s="23" t="str">
        <f t="shared" si="692"/>
        <v/>
      </c>
      <c r="S2029" s="23" t="str">
        <f t="shared" si="693"/>
        <v/>
      </c>
      <c r="T2029" s="23" t="str">
        <f t="shared" si="694"/>
        <v/>
      </c>
      <c r="U2029" s="23" t="str">
        <f t="shared" si="695"/>
        <v/>
      </c>
      <c r="V2029" s="23" t="str">
        <f t="shared" si="696"/>
        <v/>
      </c>
      <c r="W2029" s="70" t="str">
        <f t="shared" si="697"/>
        <v/>
      </c>
      <c r="X2029" s="70" t="str">
        <f t="shared" si="698"/>
        <v/>
      </c>
      <c r="Y2029" s="70" t="str">
        <f>IF(AND($A2029&lt;&gt;"",$E2029&gt;0),isLaptopBag($C2029,$J2029)*$D2029,"")</f>
        <v/>
      </c>
      <c r="Z2029" s="70" t="str">
        <f t="shared" si="699"/>
        <v/>
      </c>
      <c r="AA2029" s="70" t="str">
        <f t="shared" si="700"/>
        <v/>
      </c>
      <c r="AB2029" s="70" t="str">
        <f t="shared" si="701"/>
        <v/>
      </c>
      <c r="AC2029" s="70" t="str">
        <f t="shared" si="702"/>
        <v/>
      </c>
      <c r="AD2029" s="70" t="str">
        <f t="shared" si="703"/>
        <v/>
      </c>
      <c r="AE2029" s="70" t="str">
        <f t="shared" si="704"/>
        <v/>
      </c>
      <c r="AF2029" s="16"/>
      <c r="AG2029" s="23"/>
      <c r="AH2029" s="22"/>
      <c r="AJ2029" s="83">
        <f t="shared" si="705"/>
        <v>0</v>
      </c>
      <c r="AO2029" s="22" t="str">
        <f t="shared" si="706"/>
        <v/>
      </c>
      <c r="AP2029" s="22" t="str">
        <f t="shared" si="707"/>
        <v/>
      </c>
    </row>
    <row r="2030" spans="1:42" x14ac:dyDescent="0.25">
      <c r="A2030" s="10"/>
      <c r="B2030" s="10"/>
      <c r="C2030" s="10"/>
      <c r="D2030" s="10"/>
      <c r="E2030" s="10"/>
      <c r="F2030" s="10"/>
      <c r="G2030" s="10"/>
      <c r="H2030" s="17"/>
      <c r="I2030" s="10"/>
      <c r="J2030" s="10"/>
      <c r="K2030" s="16" t="str">
        <f t="shared" si="686"/>
        <v/>
      </c>
      <c r="L2030" s="23" t="str">
        <f t="shared" si="687"/>
        <v/>
      </c>
      <c r="M2030" s="22" t="str">
        <f t="shared" si="688"/>
        <v/>
      </c>
      <c r="N2030" s="72"/>
      <c r="O2030" s="16" t="str">
        <f t="shared" si="689"/>
        <v/>
      </c>
      <c r="P2030" s="16" t="str">
        <f t="shared" si="690"/>
        <v/>
      </c>
      <c r="Q2030" s="16" t="str">
        <f t="shared" si="691"/>
        <v/>
      </c>
      <c r="R2030" s="23" t="str">
        <f t="shared" si="692"/>
        <v/>
      </c>
      <c r="S2030" s="23" t="str">
        <f t="shared" si="693"/>
        <v/>
      </c>
      <c r="T2030" s="23" t="str">
        <f t="shared" si="694"/>
        <v/>
      </c>
      <c r="U2030" s="23" t="str">
        <f t="shared" si="695"/>
        <v/>
      </c>
      <c r="V2030" s="23" t="str">
        <f t="shared" si="696"/>
        <v/>
      </c>
      <c r="W2030" s="70" t="str">
        <f t="shared" si="697"/>
        <v/>
      </c>
      <c r="X2030" s="70" t="str">
        <f t="shared" si="698"/>
        <v/>
      </c>
      <c r="Y2030" s="70" t="str">
        <f>IF(AND($A2030&lt;&gt;"",$E2030&gt;0),isLaptopBag($C2030,$J2030)*$D2030,"")</f>
        <v/>
      </c>
      <c r="Z2030" s="70" t="str">
        <f t="shared" si="699"/>
        <v/>
      </c>
      <c r="AA2030" s="70" t="str">
        <f t="shared" si="700"/>
        <v/>
      </c>
      <c r="AB2030" s="70" t="str">
        <f t="shared" si="701"/>
        <v/>
      </c>
      <c r="AC2030" s="70" t="str">
        <f t="shared" si="702"/>
        <v/>
      </c>
      <c r="AD2030" s="70" t="str">
        <f t="shared" si="703"/>
        <v/>
      </c>
      <c r="AE2030" s="70" t="str">
        <f t="shared" si="704"/>
        <v/>
      </c>
      <c r="AF2030" s="16"/>
      <c r="AG2030" s="23"/>
      <c r="AH2030" s="22"/>
      <c r="AJ2030" s="83">
        <f t="shared" si="705"/>
        <v>0</v>
      </c>
      <c r="AO2030" s="22" t="str">
        <f t="shared" si="706"/>
        <v/>
      </c>
      <c r="AP2030" s="22" t="str">
        <f t="shared" si="707"/>
        <v/>
      </c>
    </row>
    <row r="2031" spans="1:42" x14ac:dyDescent="0.25">
      <c r="A2031" s="10"/>
      <c r="B2031" s="10"/>
      <c r="C2031" s="10"/>
      <c r="D2031" s="10"/>
      <c r="E2031" s="10"/>
      <c r="F2031" s="10"/>
      <c r="G2031" s="10"/>
      <c r="H2031" s="17"/>
      <c r="I2031" s="10"/>
      <c r="J2031" s="10"/>
      <c r="K2031" s="16" t="str">
        <f t="shared" si="686"/>
        <v/>
      </c>
      <c r="L2031" s="23" t="str">
        <f t="shared" si="687"/>
        <v/>
      </c>
      <c r="M2031" s="22" t="str">
        <f t="shared" si="688"/>
        <v/>
      </c>
      <c r="N2031" s="72"/>
      <c r="O2031" s="16" t="str">
        <f t="shared" si="689"/>
        <v/>
      </c>
      <c r="P2031" s="16" t="str">
        <f t="shared" si="690"/>
        <v/>
      </c>
      <c r="Q2031" s="16" t="str">
        <f t="shared" si="691"/>
        <v/>
      </c>
      <c r="R2031" s="23" t="str">
        <f t="shared" si="692"/>
        <v/>
      </c>
      <c r="S2031" s="23" t="str">
        <f t="shared" si="693"/>
        <v/>
      </c>
      <c r="T2031" s="23" t="str">
        <f t="shared" si="694"/>
        <v/>
      </c>
      <c r="U2031" s="23" t="str">
        <f t="shared" si="695"/>
        <v/>
      </c>
      <c r="V2031" s="23" t="str">
        <f t="shared" si="696"/>
        <v/>
      </c>
      <c r="W2031" s="70" t="str">
        <f t="shared" si="697"/>
        <v/>
      </c>
      <c r="X2031" s="70" t="str">
        <f t="shared" si="698"/>
        <v/>
      </c>
      <c r="Y2031" s="70" t="str">
        <f>IF(AND($A2031&lt;&gt;"",$E2031&gt;0),isLaptopBag($C2031,$J2031)*$D2031,"")</f>
        <v/>
      </c>
      <c r="Z2031" s="70" t="str">
        <f t="shared" si="699"/>
        <v/>
      </c>
      <c r="AA2031" s="70" t="str">
        <f t="shared" si="700"/>
        <v/>
      </c>
      <c r="AB2031" s="70" t="str">
        <f t="shared" si="701"/>
        <v/>
      </c>
      <c r="AC2031" s="70" t="str">
        <f t="shared" si="702"/>
        <v/>
      </c>
      <c r="AD2031" s="70" t="str">
        <f t="shared" si="703"/>
        <v/>
      </c>
      <c r="AE2031" s="70" t="str">
        <f t="shared" si="704"/>
        <v/>
      </c>
      <c r="AF2031" s="16"/>
      <c r="AG2031" s="23"/>
      <c r="AH2031" s="22"/>
      <c r="AJ2031" s="83">
        <f t="shared" si="705"/>
        <v>0</v>
      </c>
      <c r="AO2031" s="22" t="str">
        <f t="shared" si="706"/>
        <v/>
      </c>
      <c r="AP2031" s="22" t="str">
        <f t="shared" si="707"/>
        <v/>
      </c>
    </row>
    <row r="2032" spans="1:42" x14ac:dyDescent="0.25">
      <c r="A2032" s="10"/>
      <c r="B2032" s="10"/>
      <c r="C2032" s="10"/>
      <c r="D2032" s="10"/>
      <c r="E2032" s="10"/>
      <c r="F2032" s="10"/>
      <c r="G2032" s="10"/>
      <c r="H2032" s="17"/>
      <c r="I2032" s="10"/>
      <c r="J2032" s="10"/>
      <c r="K2032" s="16" t="str">
        <f t="shared" si="686"/>
        <v/>
      </c>
      <c r="L2032" s="23" t="str">
        <f t="shared" si="687"/>
        <v/>
      </c>
      <c r="M2032" s="22" t="str">
        <f t="shared" si="688"/>
        <v/>
      </c>
      <c r="N2032" s="72"/>
      <c r="O2032" s="16" t="str">
        <f t="shared" si="689"/>
        <v/>
      </c>
      <c r="P2032" s="16" t="str">
        <f t="shared" si="690"/>
        <v/>
      </c>
      <c r="Q2032" s="16" t="str">
        <f t="shared" si="691"/>
        <v/>
      </c>
      <c r="R2032" s="23" t="str">
        <f t="shared" si="692"/>
        <v/>
      </c>
      <c r="S2032" s="23" t="str">
        <f t="shared" si="693"/>
        <v/>
      </c>
      <c r="T2032" s="23" t="str">
        <f t="shared" si="694"/>
        <v/>
      </c>
      <c r="U2032" s="23" t="str">
        <f t="shared" si="695"/>
        <v/>
      </c>
      <c r="V2032" s="23" t="str">
        <f t="shared" si="696"/>
        <v/>
      </c>
      <c r="W2032" s="70" t="str">
        <f t="shared" si="697"/>
        <v/>
      </c>
      <c r="X2032" s="70" t="str">
        <f t="shared" si="698"/>
        <v/>
      </c>
      <c r="Y2032" s="70" t="str">
        <f>IF(AND($A2032&lt;&gt;"",$E2032&gt;0),isLaptopBag($C2032,$J2032)*$D2032,"")</f>
        <v/>
      </c>
      <c r="Z2032" s="70" t="str">
        <f t="shared" si="699"/>
        <v/>
      </c>
      <c r="AA2032" s="70" t="str">
        <f t="shared" si="700"/>
        <v/>
      </c>
      <c r="AB2032" s="70" t="str">
        <f t="shared" si="701"/>
        <v/>
      </c>
      <c r="AC2032" s="70" t="str">
        <f t="shared" si="702"/>
        <v/>
      </c>
      <c r="AD2032" s="70" t="str">
        <f t="shared" si="703"/>
        <v/>
      </c>
      <c r="AE2032" s="70" t="str">
        <f t="shared" si="704"/>
        <v/>
      </c>
      <c r="AF2032" s="16"/>
      <c r="AG2032" s="23"/>
      <c r="AH2032" s="22"/>
      <c r="AJ2032" s="83">
        <f t="shared" si="705"/>
        <v>0</v>
      </c>
      <c r="AO2032" s="22" t="str">
        <f t="shared" si="706"/>
        <v/>
      </c>
      <c r="AP2032" s="22" t="str">
        <f t="shared" si="707"/>
        <v/>
      </c>
    </row>
    <row r="2033" spans="1:42" x14ac:dyDescent="0.25">
      <c r="A2033" s="10"/>
      <c r="B2033" s="10"/>
      <c r="C2033" s="10"/>
      <c r="D2033" s="10"/>
      <c r="E2033" s="10"/>
      <c r="F2033" s="10"/>
      <c r="G2033" s="10"/>
      <c r="H2033" s="17"/>
      <c r="I2033" s="10"/>
      <c r="J2033" s="10"/>
      <c r="K2033" s="16" t="str">
        <f t="shared" si="686"/>
        <v/>
      </c>
      <c r="L2033" s="23" t="str">
        <f t="shared" si="687"/>
        <v/>
      </c>
      <c r="M2033" s="22" t="str">
        <f t="shared" si="688"/>
        <v/>
      </c>
      <c r="N2033" s="72"/>
      <c r="O2033" s="16" t="str">
        <f t="shared" si="689"/>
        <v/>
      </c>
      <c r="P2033" s="16" t="str">
        <f t="shared" si="690"/>
        <v/>
      </c>
      <c r="Q2033" s="16" t="str">
        <f t="shared" si="691"/>
        <v/>
      </c>
      <c r="R2033" s="23" t="str">
        <f t="shared" si="692"/>
        <v/>
      </c>
      <c r="S2033" s="23" t="str">
        <f t="shared" si="693"/>
        <v/>
      </c>
      <c r="T2033" s="23" t="str">
        <f t="shared" si="694"/>
        <v/>
      </c>
      <c r="U2033" s="23" t="str">
        <f t="shared" si="695"/>
        <v/>
      </c>
      <c r="V2033" s="23" t="str">
        <f t="shared" si="696"/>
        <v/>
      </c>
      <c r="W2033" s="70" t="str">
        <f t="shared" si="697"/>
        <v/>
      </c>
      <c r="X2033" s="70" t="str">
        <f t="shared" si="698"/>
        <v/>
      </c>
      <c r="Y2033" s="70" t="str">
        <f>IF(AND($A2033&lt;&gt;"",$E2033&gt;0),isLaptopBag($C2033,$J2033)*$D2033,"")</f>
        <v/>
      </c>
      <c r="Z2033" s="70" t="str">
        <f t="shared" si="699"/>
        <v/>
      </c>
      <c r="AA2033" s="70" t="str">
        <f t="shared" si="700"/>
        <v/>
      </c>
      <c r="AB2033" s="70" t="str">
        <f t="shared" si="701"/>
        <v/>
      </c>
      <c r="AC2033" s="70" t="str">
        <f t="shared" si="702"/>
        <v/>
      </c>
      <c r="AD2033" s="70" t="str">
        <f t="shared" si="703"/>
        <v/>
      </c>
      <c r="AE2033" s="70" t="str">
        <f t="shared" si="704"/>
        <v/>
      </c>
      <c r="AF2033" s="16"/>
      <c r="AG2033" s="23"/>
      <c r="AH2033" s="22"/>
      <c r="AJ2033" s="83">
        <f t="shared" si="705"/>
        <v>0</v>
      </c>
      <c r="AO2033" s="22" t="str">
        <f t="shared" si="706"/>
        <v/>
      </c>
      <c r="AP2033" s="22" t="str">
        <f t="shared" si="707"/>
        <v/>
      </c>
    </row>
    <row r="2034" spans="1:42" x14ac:dyDescent="0.25">
      <c r="A2034" s="10"/>
      <c r="B2034" s="10"/>
      <c r="C2034" s="10"/>
      <c r="D2034" s="10"/>
      <c r="E2034" s="10"/>
      <c r="F2034" s="10"/>
      <c r="G2034" s="10"/>
      <c r="H2034" s="17"/>
      <c r="I2034" s="10"/>
      <c r="J2034" s="10"/>
      <c r="K2034" s="16" t="str">
        <f t="shared" si="686"/>
        <v/>
      </c>
      <c r="L2034" s="23" t="str">
        <f t="shared" si="687"/>
        <v/>
      </c>
      <c r="M2034" s="22" t="str">
        <f t="shared" si="688"/>
        <v/>
      </c>
      <c r="N2034" s="72"/>
      <c r="O2034" s="16" t="str">
        <f t="shared" si="689"/>
        <v/>
      </c>
      <c r="P2034" s="16" t="str">
        <f t="shared" si="690"/>
        <v/>
      </c>
      <c r="Q2034" s="16" t="str">
        <f t="shared" si="691"/>
        <v/>
      </c>
      <c r="R2034" s="23" t="str">
        <f t="shared" si="692"/>
        <v/>
      </c>
      <c r="S2034" s="23" t="str">
        <f t="shared" si="693"/>
        <v/>
      </c>
      <c r="T2034" s="23" t="str">
        <f t="shared" si="694"/>
        <v/>
      </c>
      <c r="U2034" s="23" t="str">
        <f t="shared" si="695"/>
        <v/>
      </c>
      <c r="V2034" s="23" t="str">
        <f t="shared" si="696"/>
        <v/>
      </c>
      <c r="W2034" s="70" t="str">
        <f t="shared" si="697"/>
        <v/>
      </c>
      <c r="X2034" s="70" t="str">
        <f t="shared" si="698"/>
        <v/>
      </c>
      <c r="Y2034" s="70" t="str">
        <f>IF(AND($A2034&lt;&gt;"",$E2034&gt;0),isLaptopBag($C2034,$J2034)*$D2034,"")</f>
        <v/>
      </c>
      <c r="Z2034" s="70" t="str">
        <f t="shared" si="699"/>
        <v/>
      </c>
      <c r="AA2034" s="70" t="str">
        <f t="shared" si="700"/>
        <v/>
      </c>
      <c r="AB2034" s="70" t="str">
        <f t="shared" si="701"/>
        <v/>
      </c>
      <c r="AC2034" s="70" t="str">
        <f t="shared" si="702"/>
        <v/>
      </c>
      <c r="AD2034" s="70" t="str">
        <f t="shared" si="703"/>
        <v/>
      </c>
      <c r="AE2034" s="70" t="str">
        <f t="shared" si="704"/>
        <v/>
      </c>
      <c r="AF2034" s="16"/>
      <c r="AG2034" s="23"/>
      <c r="AH2034" s="22"/>
      <c r="AJ2034" s="83">
        <f t="shared" si="705"/>
        <v>0</v>
      </c>
      <c r="AO2034" s="22" t="str">
        <f t="shared" si="706"/>
        <v/>
      </c>
      <c r="AP2034" s="22" t="str">
        <f t="shared" si="707"/>
        <v/>
      </c>
    </row>
    <row r="2035" spans="1:42" x14ac:dyDescent="0.25">
      <c r="A2035" s="10"/>
      <c r="B2035" s="10"/>
      <c r="C2035" s="10"/>
      <c r="D2035" s="10"/>
      <c r="E2035" s="10"/>
      <c r="F2035" s="10"/>
      <c r="G2035" s="10"/>
      <c r="H2035" s="17"/>
      <c r="I2035" s="10"/>
      <c r="J2035" s="10"/>
      <c r="K2035" s="16" t="str">
        <f t="shared" si="686"/>
        <v/>
      </c>
      <c r="L2035" s="23" t="str">
        <f t="shared" si="687"/>
        <v/>
      </c>
      <c r="M2035" s="22" t="str">
        <f t="shared" si="688"/>
        <v/>
      </c>
      <c r="N2035" s="72"/>
      <c r="O2035" s="16" t="str">
        <f t="shared" si="689"/>
        <v/>
      </c>
      <c r="P2035" s="16" t="str">
        <f t="shared" si="690"/>
        <v/>
      </c>
      <c r="Q2035" s="16" t="str">
        <f t="shared" si="691"/>
        <v/>
      </c>
      <c r="R2035" s="23" t="str">
        <f t="shared" si="692"/>
        <v/>
      </c>
      <c r="S2035" s="23" t="str">
        <f t="shared" si="693"/>
        <v/>
      </c>
      <c r="T2035" s="23" t="str">
        <f t="shared" si="694"/>
        <v/>
      </c>
      <c r="U2035" s="23" t="str">
        <f t="shared" si="695"/>
        <v/>
      </c>
      <c r="V2035" s="23" t="str">
        <f t="shared" si="696"/>
        <v/>
      </c>
      <c r="W2035" s="70" t="str">
        <f t="shared" si="697"/>
        <v/>
      </c>
      <c r="X2035" s="70" t="str">
        <f t="shared" si="698"/>
        <v/>
      </c>
      <c r="Y2035" s="70" t="str">
        <f>IF(AND($A2035&lt;&gt;"",$E2035&gt;0),isLaptopBag($C2035,$J2035)*$D2035,"")</f>
        <v/>
      </c>
      <c r="Z2035" s="70" t="str">
        <f t="shared" si="699"/>
        <v/>
      </c>
      <c r="AA2035" s="70" t="str">
        <f t="shared" si="700"/>
        <v/>
      </c>
      <c r="AB2035" s="70" t="str">
        <f t="shared" si="701"/>
        <v/>
      </c>
      <c r="AC2035" s="70" t="str">
        <f t="shared" si="702"/>
        <v/>
      </c>
      <c r="AD2035" s="70" t="str">
        <f t="shared" si="703"/>
        <v/>
      </c>
      <c r="AE2035" s="70" t="str">
        <f t="shared" si="704"/>
        <v/>
      </c>
      <c r="AF2035" s="16"/>
      <c r="AG2035" s="23"/>
      <c r="AH2035" s="22"/>
      <c r="AJ2035" s="83">
        <f t="shared" si="705"/>
        <v>0</v>
      </c>
      <c r="AO2035" s="22" t="str">
        <f t="shared" si="706"/>
        <v/>
      </c>
      <c r="AP2035" s="22" t="str">
        <f t="shared" si="707"/>
        <v/>
      </c>
    </row>
    <row r="2036" spans="1:42" x14ac:dyDescent="0.25">
      <c r="A2036" s="10"/>
      <c r="B2036" s="10"/>
      <c r="C2036" s="10"/>
      <c r="D2036" s="10"/>
      <c r="E2036" s="10"/>
      <c r="F2036" s="10"/>
      <c r="G2036" s="10"/>
      <c r="H2036" s="17"/>
      <c r="I2036" s="10"/>
      <c r="J2036" s="10"/>
      <c r="K2036" s="16" t="str">
        <f t="shared" si="686"/>
        <v/>
      </c>
      <c r="L2036" s="23" t="str">
        <f t="shared" si="687"/>
        <v/>
      </c>
      <c r="M2036" s="22" t="str">
        <f t="shared" si="688"/>
        <v/>
      </c>
      <c r="N2036" s="72"/>
      <c r="O2036" s="16" t="str">
        <f t="shared" si="689"/>
        <v/>
      </c>
      <c r="P2036" s="16" t="str">
        <f t="shared" si="690"/>
        <v/>
      </c>
      <c r="Q2036" s="16" t="str">
        <f t="shared" si="691"/>
        <v/>
      </c>
      <c r="R2036" s="23" t="str">
        <f t="shared" si="692"/>
        <v/>
      </c>
      <c r="S2036" s="23" t="str">
        <f t="shared" si="693"/>
        <v/>
      </c>
      <c r="T2036" s="23" t="str">
        <f t="shared" si="694"/>
        <v/>
      </c>
      <c r="U2036" s="23" t="str">
        <f t="shared" si="695"/>
        <v/>
      </c>
      <c r="V2036" s="23" t="str">
        <f t="shared" si="696"/>
        <v/>
      </c>
      <c r="W2036" s="70" t="str">
        <f t="shared" si="697"/>
        <v/>
      </c>
      <c r="X2036" s="70" t="str">
        <f t="shared" si="698"/>
        <v/>
      </c>
      <c r="Y2036" s="70" t="str">
        <f>IF(AND($A2036&lt;&gt;"",$E2036&gt;0),isLaptopBag($C2036,$J2036)*$D2036,"")</f>
        <v/>
      </c>
      <c r="Z2036" s="70" t="str">
        <f t="shared" si="699"/>
        <v/>
      </c>
      <c r="AA2036" s="70" t="str">
        <f t="shared" si="700"/>
        <v/>
      </c>
      <c r="AB2036" s="70" t="str">
        <f t="shared" si="701"/>
        <v/>
      </c>
      <c r="AC2036" s="70" t="str">
        <f t="shared" si="702"/>
        <v/>
      </c>
      <c r="AD2036" s="70" t="str">
        <f t="shared" si="703"/>
        <v/>
      </c>
      <c r="AE2036" s="70" t="str">
        <f t="shared" si="704"/>
        <v/>
      </c>
      <c r="AF2036" s="16"/>
      <c r="AG2036" s="23"/>
      <c r="AH2036" s="22"/>
      <c r="AJ2036" s="83">
        <f t="shared" si="705"/>
        <v>0</v>
      </c>
      <c r="AO2036" s="22" t="str">
        <f t="shared" si="706"/>
        <v/>
      </c>
      <c r="AP2036" s="22" t="str">
        <f t="shared" si="707"/>
        <v/>
      </c>
    </row>
    <row r="2037" spans="1:42" x14ac:dyDescent="0.25">
      <c r="A2037" s="10"/>
      <c r="B2037" s="10"/>
      <c r="C2037" s="10"/>
      <c r="D2037" s="10"/>
      <c r="E2037" s="10"/>
      <c r="F2037" s="10"/>
      <c r="G2037" s="10"/>
      <c r="H2037" s="17"/>
      <c r="I2037" s="10"/>
      <c r="J2037" s="10"/>
      <c r="K2037" s="16" t="str">
        <f t="shared" si="686"/>
        <v/>
      </c>
      <c r="L2037" s="23" t="str">
        <f t="shared" si="687"/>
        <v/>
      </c>
      <c r="M2037" s="22" t="str">
        <f t="shared" si="688"/>
        <v/>
      </c>
      <c r="N2037" s="72"/>
      <c r="O2037" s="16" t="str">
        <f t="shared" si="689"/>
        <v/>
      </c>
      <c r="P2037" s="16" t="str">
        <f t="shared" si="690"/>
        <v/>
      </c>
      <c r="Q2037" s="16" t="str">
        <f t="shared" si="691"/>
        <v/>
      </c>
      <c r="R2037" s="23" t="str">
        <f t="shared" si="692"/>
        <v/>
      </c>
      <c r="S2037" s="23" t="str">
        <f t="shared" si="693"/>
        <v/>
      </c>
      <c r="T2037" s="23" t="str">
        <f t="shared" si="694"/>
        <v/>
      </c>
      <c r="U2037" s="23" t="str">
        <f t="shared" si="695"/>
        <v/>
      </c>
      <c r="V2037" s="23" t="str">
        <f t="shared" si="696"/>
        <v/>
      </c>
      <c r="W2037" s="70" t="str">
        <f t="shared" si="697"/>
        <v/>
      </c>
      <c r="X2037" s="70" t="str">
        <f t="shared" si="698"/>
        <v/>
      </c>
      <c r="Y2037" s="70" t="str">
        <f>IF(AND($A2037&lt;&gt;"",$E2037&gt;0),isLaptopBag($C2037,$J2037)*$D2037,"")</f>
        <v/>
      </c>
      <c r="Z2037" s="70" t="str">
        <f t="shared" si="699"/>
        <v/>
      </c>
      <c r="AA2037" s="70" t="str">
        <f t="shared" si="700"/>
        <v/>
      </c>
      <c r="AB2037" s="70" t="str">
        <f t="shared" si="701"/>
        <v/>
      </c>
      <c r="AC2037" s="70" t="str">
        <f t="shared" si="702"/>
        <v/>
      </c>
      <c r="AD2037" s="70" t="str">
        <f t="shared" si="703"/>
        <v/>
      </c>
      <c r="AE2037" s="70" t="str">
        <f t="shared" si="704"/>
        <v/>
      </c>
      <c r="AF2037" s="16"/>
      <c r="AG2037" s="23"/>
      <c r="AH2037" s="22"/>
      <c r="AJ2037" s="83">
        <f t="shared" si="705"/>
        <v>0</v>
      </c>
      <c r="AO2037" s="22" t="str">
        <f t="shared" si="706"/>
        <v/>
      </c>
      <c r="AP2037" s="22" t="str">
        <f t="shared" si="707"/>
        <v/>
      </c>
    </row>
    <row r="2038" spans="1:42" x14ac:dyDescent="0.25">
      <c r="A2038" s="10"/>
      <c r="B2038" s="10"/>
      <c r="C2038" s="10"/>
      <c r="D2038" s="10"/>
      <c r="E2038" s="10"/>
      <c r="F2038" s="10"/>
      <c r="G2038" s="10"/>
      <c r="H2038" s="17"/>
      <c r="I2038" s="10"/>
      <c r="J2038" s="10"/>
      <c r="K2038" s="16" t="str">
        <f t="shared" si="686"/>
        <v/>
      </c>
      <c r="L2038" s="23" t="str">
        <f t="shared" si="687"/>
        <v/>
      </c>
      <c r="M2038" s="22" t="str">
        <f t="shared" si="688"/>
        <v/>
      </c>
      <c r="N2038" s="72"/>
      <c r="O2038" s="16" t="str">
        <f t="shared" si="689"/>
        <v/>
      </c>
      <c r="P2038" s="16" t="str">
        <f t="shared" si="690"/>
        <v/>
      </c>
      <c r="Q2038" s="16" t="str">
        <f t="shared" si="691"/>
        <v/>
      </c>
      <c r="R2038" s="23" t="str">
        <f t="shared" si="692"/>
        <v/>
      </c>
      <c r="S2038" s="23" t="str">
        <f t="shared" si="693"/>
        <v/>
      </c>
      <c r="T2038" s="23" t="str">
        <f t="shared" si="694"/>
        <v/>
      </c>
      <c r="U2038" s="23" t="str">
        <f t="shared" si="695"/>
        <v/>
      </c>
      <c r="V2038" s="23" t="str">
        <f t="shared" si="696"/>
        <v/>
      </c>
      <c r="W2038" s="70" t="str">
        <f t="shared" si="697"/>
        <v/>
      </c>
      <c r="X2038" s="70" t="str">
        <f t="shared" si="698"/>
        <v/>
      </c>
      <c r="Y2038" s="70" t="str">
        <f>IF(AND($A2038&lt;&gt;"",$E2038&gt;0),isLaptopBag($C2038,$J2038)*$D2038,"")</f>
        <v/>
      </c>
      <c r="Z2038" s="70" t="str">
        <f t="shared" si="699"/>
        <v/>
      </c>
      <c r="AA2038" s="70" t="str">
        <f t="shared" si="700"/>
        <v/>
      </c>
      <c r="AB2038" s="70" t="str">
        <f t="shared" si="701"/>
        <v/>
      </c>
      <c r="AC2038" s="70" t="str">
        <f t="shared" si="702"/>
        <v/>
      </c>
      <c r="AD2038" s="70" t="str">
        <f t="shared" si="703"/>
        <v/>
      </c>
      <c r="AE2038" s="70" t="str">
        <f t="shared" si="704"/>
        <v/>
      </c>
      <c r="AF2038" s="16"/>
      <c r="AG2038" s="23"/>
      <c r="AH2038" s="22"/>
      <c r="AJ2038" s="83">
        <f t="shared" si="705"/>
        <v>0</v>
      </c>
      <c r="AO2038" s="22" t="str">
        <f t="shared" si="706"/>
        <v/>
      </c>
      <c r="AP2038" s="22" t="str">
        <f t="shared" si="707"/>
        <v/>
      </c>
    </row>
    <row r="2039" spans="1:42" x14ac:dyDescent="0.25">
      <c r="A2039" s="10"/>
      <c r="B2039" s="10"/>
      <c r="C2039" s="10"/>
      <c r="D2039" s="10"/>
      <c r="E2039" s="10"/>
      <c r="F2039" s="10"/>
      <c r="G2039" s="10"/>
      <c r="H2039" s="17"/>
      <c r="I2039" s="10"/>
      <c r="J2039" s="10"/>
      <c r="K2039" s="16" t="str">
        <f t="shared" si="686"/>
        <v/>
      </c>
      <c r="L2039" s="23" t="str">
        <f t="shared" si="687"/>
        <v/>
      </c>
      <c r="M2039" s="22" t="str">
        <f t="shared" si="688"/>
        <v/>
      </c>
      <c r="N2039" s="72"/>
      <c r="O2039" s="16" t="str">
        <f t="shared" si="689"/>
        <v/>
      </c>
      <c r="P2039" s="16" t="str">
        <f t="shared" si="690"/>
        <v/>
      </c>
      <c r="Q2039" s="16" t="str">
        <f t="shared" si="691"/>
        <v/>
      </c>
      <c r="R2039" s="23" t="str">
        <f t="shared" si="692"/>
        <v/>
      </c>
      <c r="S2039" s="23" t="str">
        <f t="shared" si="693"/>
        <v/>
      </c>
      <c r="T2039" s="23" t="str">
        <f t="shared" si="694"/>
        <v/>
      </c>
      <c r="U2039" s="23" t="str">
        <f t="shared" si="695"/>
        <v/>
      </c>
      <c r="V2039" s="23" t="str">
        <f t="shared" si="696"/>
        <v/>
      </c>
      <c r="W2039" s="70" t="str">
        <f t="shared" si="697"/>
        <v/>
      </c>
      <c r="X2039" s="70" t="str">
        <f t="shared" si="698"/>
        <v/>
      </c>
      <c r="Y2039" s="70" t="str">
        <f>IF(AND($A2039&lt;&gt;"",$E2039&gt;0),isLaptopBag($C2039,$J2039)*$D2039,"")</f>
        <v/>
      </c>
      <c r="Z2039" s="70" t="str">
        <f t="shared" si="699"/>
        <v/>
      </c>
      <c r="AA2039" s="70" t="str">
        <f t="shared" si="700"/>
        <v/>
      </c>
      <c r="AB2039" s="70" t="str">
        <f t="shared" si="701"/>
        <v/>
      </c>
      <c r="AC2039" s="70" t="str">
        <f t="shared" si="702"/>
        <v/>
      </c>
      <c r="AD2039" s="70" t="str">
        <f t="shared" si="703"/>
        <v/>
      </c>
      <c r="AE2039" s="70" t="str">
        <f t="shared" si="704"/>
        <v/>
      </c>
      <c r="AF2039" s="16"/>
      <c r="AG2039" s="23"/>
      <c r="AH2039" s="22"/>
      <c r="AJ2039" s="83">
        <f t="shared" si="705"/>
        <v>0</v>
      </c>
      <c r="AO2039" s="22" t="str">
        <f t="shared" si="706"/>
        <v/>
      </c>
      <c r="AP2039" s="22" t="str">
        <f t="shared" si="707"/>
        <v/>
      </c>
    </row>
    <row r="2040" spans="1:42" x14ac:dyDescent="0.25">
      <c r="A2040" s="10"/>
      <c r="B2040" s="10"/>
      <c r="C2040" s="10"/>
      <c r="D2040" s="10"/>
      <c r="E2040" s="10"/>
      <c r="F2040" s="10"/>
      <c r="G2040" s="10"/>
      <c r="H2040" s="17"/>
      <c r="I2040" s="10"/>
      <c r="J2040" s="10"/>
      <c r="K2040" s="16" t="str">
        <f t="shared" si="686"/>
        <v/>
      </c>
      <c r="L2040" s="23" t="str">
        <f t="shared" si="687"/>
        <v/>
      </c>
      <c r="M2040" s="22" t="str">
        <f t="shared" si="688"/>
        <v/>
      </c>
      <c r="N2040" s="72"/>
      <c r="O2040" s="16" t="str">
        <f t="shared" si="689"/>
        <v/>
      </c>
      <c r="P2040" s="16" t="str">
        <f t="shared" si="690"/>
        <v/>
      </c>
      <c r="Q2040" s="16" t="str">
        <f t="shared" si="691"/>
        <v/>
      </c>
      <c r="R2040" s="23" t="str">
        <f t="shared" si="692"/>
        <v/>
      </c>
      <c r="S2040" s="23" t="str">
        <f t="shared" si="693"/>
        <v/>
      </c>
      <c r="T2040" s="23" t="str">
        <f t="shared" si="694"/>
        <v/>
      </c>
      <c r="U2040" s="23" t="str">
        <f t="shared" si="695"/>
        <v/>
      </c>
      <c r="V2040" s="23" t="str">
        <f t="shared" si="696"/>
        <v/>
      </c>
      <c r="W2040" s="70" t="str">
        <f t="shared" si="697"/>
        <v/>
      </c>
      <c r="X2040" s="70" t="str">
        <f t="shared" si="698"/>
        <v/>
      </c>
      <c r="Y2040" s="70" t="str">
        <f>IF(AND($A2040&lt;&gt;"",$E2040&gt;0),isLaptopBag($C2040,$J2040)*$D2040,"")</f>
        <v/>
      </c>
      <c r="Z2040" s="70" t="str">
        <f t="shared" si="699"/>
        <v/>
      </c>
      <c r="AA2040" s="70" t="str">
        <f t="shared" si="700"/>
        <v/>
      </c>
      <c r="AB2040" s="70" t="str">
        <f t="shared" si="701"/>
        <v/>
      </c>
      <c r="AC2040" s="70" t="str">
        <f t="shared" si="702"/>
        <v/>
      </c>
      <c r="AD2040" s="70" t="str">
        <f t="shared" si="703"/>
        <v/>
      </c>
      <c r="AE2040" s="70" t="str">
        <f t="shared" si="704"/>
        <v/>
      </c>
      <c r="AF2040" s="16"/>
      <c r="AG2040" s="23"/>
      <c r="AH2040" s="22"/>
      <c r="AJ2040" s="83">
        <f t="shared" si="705"/>
        <v>0</v>
      </c>
      <c r="AO2040" s="22" t="str">
        <f t="shared" si="706"/>
        <v/>
      </c>
      <c r="AP2040" s="22" t="str">
        <f t="shared" si="707"/>
        <v/>
      </c>
    </row>
    <row r="2041" spans="1:42" x14ac:dyDescent="0.25">
      <c r="A2041" s="10"/>
      <c r="B2041" s="10"/>
      <c r="C2041" s="10"/>
      <c r="D2041" s="10"/>
      <c r="E2041" s="10"/>
      <c r="F2041" s="10"/>
      <c r="G2041" s="10"/>
      <c r="H2041" s="17"/>
      <c r="I2041" s="10"/>
      <c r="J2041" s="10"/>
      <c r="K2041" s="16" t="str">
        <f t="shared" si="686"/>
        <v/>
      </c>
      <c r="L2041" s="23" t="str">
        <f t="shared" si="687"/>
        <v/>
      </c>
      <c r="M2041" s="22" t="str">
        <f t="shared" si="688"/>
        <v/>
      </c>
      <c r="N2041" s="72"/>
      <c r="O2041" s="16" t="str">
        <f t="shared" si="689"/>
        <v/>
      </c>
      <c r="P2041" s="16" t="str">
        <f t="shared" si="690"/>
        <v/>
      </c>
      <c r="Q2041" s="16" t="str">
        <f t="shared" si="691"/>
        <v/>
      </c>
      <c r="R2041" s="23" t="str">
        <f t="shared" si="692"/>
        <v/>
      </c>
      <c r="S2041" s="23" t="str">
        <f t="shared" si="693"/>
        <v/>
      </c>
      <c r="T2041" s="23" t="str">
        <f t="shared" si="694"/>
        <v/>
      </c>
      <c r="U2041" s="23" t="str">
        <f t="shared" si="695"/>
        <v/>
      </c>
      <c r="V2041" s="23" t="str">
        <f t="shared" si="696"/>
        <v/>
      </c>
      <c r="W2041" s="70" t="str">
        <f t="shared" si="697"/>
        <v/>
      </c>
      <c r="X2041" s="70" t="str">
        <f t="shared" si="698"/>
        <v/>
      </c>
      <c r="Y2041" s="70" t="str">
        <f>IF(AND($A2041&lt;&gt;"",$E2041&gt;0),isLaptopBag($C2041,$J2041)*$D2041,"")</f>
        <v/>
      </c>
      <c r="Z2041" s="70" t="str">
        <f t="shared" si="699"/>
        <v/>
      </c>
      <c r="AA2041" s="70" t="str">
        <f t="shared" si="700"/>
        <v/>
      </c>
      <c r="AB2041" s="70" t="str">
        <f t="shared" si="701"/>
        <v/>
      </c>
      <c r="AC2041" s="70" t="str">
        <f t="shared" si="702"/>
        <v/>
      </c>
      <c r="AD2041" s="70" t="str">
        <f t="shared" si="703"/>
        <v/>
      </c>
      <c r="AE2041" s="70" t="str">
        <f t="shared" si="704"/>
        <v/>
      </c>
      <c r="AF2041" s="16"/>
      <c r="AG2041" s="23"/>
      <c r="AH2041" s="22"/>
      <c r="AJ2041" s="83">
        <f t="shared" si="705"/>
        <v>0</v>
      </c>
      <c r="AO2041" s="22" t="str">
        <f t="shared" si="706"/>
        <v/>
      </c>
      <c r="AP2041" s="22" t="str">
        <f t="shared" si="707"/>
        <v/>
      </c>
    </row>
    <row r="2042" spans="1:42" x14ac:dyDescent="0.25">
      <c r="A2042" s="10"/>
      <c r="B2042" s="10"/>
      <c r="C2042" s="10"/>
      <c r="D2042" s="10"/>
      <c r="E2042" s="10"/>
      <c r="F2042" s="10"/>
      <c r="G2042" s="10"/>
      <c r="H2042" s="17"/>
      <c r="I2042" s="10"/>
      <c r="J2042" s="10"/>
      <c r="K2042" s="16" t="str">
        <f t="shared" si="686"/>
        <v/>
      </c>
      <c r="L2042" s="23" t="str">
        <f t="shared" si="687"/>
        <v/>
      </c>
      <c r="M2042" s="22" t="str">
        <f t="shared" si="688"/>
        <v/>
      </c>
      <c r="N2042" s="72"/>
      <c r="O2042" s="16" t="str">
        <f t="shared" si="689"/>
        <v/>
      </c>
      <c r="P2042" s="16" t="str">
        <f t="shared" si="690"/>
        <v/>
      </c>
      <c r="Q2042" s="16" t="str">
        <f t="shared" si="691"/>
        <v/>
      </c>
      <c r="R2042" s="23" t="str">
        <f t="shared" si="692"/>
        <v/>
      </c>
      <c r="S2042" s="23" t="str">
        <f t="shared" si="693"/>
        <v/>
      </c>
      <c r="T2042" s="23" t="str">
        <f t="shared" si="694"/>
        <v/>
      </c>
      <c r="U2042" s="23" t="str">
        <f t="shared" si="695"/>
        <v/>
      </c>
      <c r="V2042" s="23" t="str">
        <f t="shared" si="696"/>
        <v/>
      </c>
      <c r="W2042" s="70" t="str">
        <f t="shared" si="697"/>
        <v/>
      </c>
      <c r="X2042" s="70" t="str">
        <f t="shared" si="698"/>
        <v/>
      </c>
      <c r="Y2042" s="70" t="str">
        <f>IF(AND($A2042&lt;&gt;"",$E2042&gt;0),isLaptopBag($C2042,$J2042)*$D2042,"")</f>
        <v/>
      </c>
      <c r="Z2042" s="70" t="str">
        <f t="shared" si="699"/>
        <v/>
      </c>
      <c r="AA2042" s="70" t="str">
        <f t="shared" si="700"/>
        <v/>
      </c>
      <c r="AB2042" s="70" t="str">
        <f t="shared" si="701"/>
        <v/>
      </c>
      <c r="AC2042" s="70" t="str">
        <f t="shared" si="702"/>
        <v/>
      </c>
      <c r="AD2042" s="70" t="str">
        <f t="shared" si="703"/>
        <v/>
      </c>
      <c r="AE2042" s="70" t="str">
        <f t="shared" si="704"/>
        <v/>
      </c>
      <c r="AF2042" s="16"/>
      <c r="AG2042" s="23"/>
      <c r="AH2042" s="22"/>
      <c r="AJ2042" s="83">
        <f t="shared" si="705"/>
        <v>0</v>
      </c>
      <c r="AO2042" s="22" t="str">
        <f t="shared" si="706"/>
        <v/>
      </c>
      <c r="AP2042" s="22" t="str">
        <f t="shared" si="707"/>
        <v/>
      </c>
    </row>
    <row r="2043" spans="1:42" x14ac:dyDescent="0.25">
      <c r="A2043" s="10"/>
      <c r="B2043" s="10"/>
      <c r="C2043" s="10"/>
      <c r="D2043" s="10"/>
      <c r="E2043" s="10"/>
      <c r="F2043" s="10"/>
      <c r="G2043" s="10"/>
      <c r="H2043" s="17"/>
      <c r="I2043" s="10"/>
      <c r="J2043" s="10"/>
      <c r="K2043" s="16" t="str">
        <f t="shared" si="686"/>
        <v/>
      </c>
      <c r="L2043" s="23" t="str">
        <f t="shared" si="687"/>
        <v/>
      </c>
      <c r="M2043" s="22" t="str">
        <f t="shared" si="688"/>
        <v/>
      </c>
      <c r="N2043" s="72"/>
      <c r="O2043" s="16" t="str">
        <f t="shared" si="689"/>
        <v/>
      </c>
      <c r="P2043" s="16" t="str">
        <f t="shared" si="690"/>
        <v/>
      </c>
      <c r="Q2043" s="16" t="str">
        <f t="shared" si="691"/>
        <v/>
      </c>
      <c r="R2043" s="23" t="str">
        <f t="shared" si="692"/>
        <v/>
      </c>
      <c r="S2043" s="23" t="str">
        <f t="shared" si="693"/>
        <v/>
      </c>
      <c r="T2043" s="23" t="str">
        <f t="shared" si="694"/>
        <v/>
      </c>
      <c r="U2043" s="23" t="str">
        <f t="shared" si="695"/>
        <v/>
      </c>
      <c r="V2043" s="23" t="str">
        <f t="shared" si="696"/>
        <v/>
      </c>
      <c r="W2043" s="70" t="str">
        <f t="shared" si="697"/>
        <v/>
      </c>
      <c r="X2043" s="70" t="str">
        <f t="shared" si="698"/>
        <v/>
      </c>
      <c r="Y2043" s="70" t="str">
        <f>IF(AND($A2043&lt;&gt;"",$E2043&gt;0),isLaptopBag($C2043,$J2043)*$D2043,"")</f>
        <v/>
      </c>
      <c r="Z2043" s="70" t="str">
        <f t="shared" si="699"/>
        <v/>
      </c>
      <c r="AA2043" s="70" t="str">
        <f t="shared" si="700"/>
        <v/>
      </c>
      <c r="AB2043" s="70" t="str">
        <f t="shared" si="701"/>
        <v/>
      </c>
      <c r="AC2043" s="70" t="str">
        <f t="shared" si="702"/>
        <v/>
      </c>
      <c r="AD2043" s="70" t="str">
        <f t="shared" si="703"/>
        <v/>
      </c>
      <c r="AE2043" s="70" t="str">
        <f t="shared" si="704"/>
        <v/>
      </c>
      <c r="AF2043" s="16"/>
      <c r="AG2043" s="23"/>
      <c r="AH2043" s="22"/>
      <c r="AJ2043" s="83">
        <f t="shared" si="705"/>
        <v>0</v>
      </c>
      <c r="AO2043" s="22" t="str">
        <f t="shared" si="706"/>
        <v/>
      </c>
      <c r="AP2043" s="22" t="str">
        <f t="shared" si="707"/>
        <v/>
      </c>
    </row>
    <row r="2044" spans="1:42" x14ac:dyDescent="0.25">
      <c r="A2044" s="10"/>
      <c r="B2044" s="10"/>
      <c r="C2044" s="10"/>
      <c r="D2044" s="10"/>
      <c r="E2044" s="10"/>
      <c r="F2044" s="10"/>
      <c r="G2044" s="10"/>
      <c r="H2044" s="17"/>
      <c r="I2044" s="10"/>
      <c r="J2044" s="10"/>
      <c r="K2044" s="16" t="str">
        <f t="shared" si="686"/>
        <v/>
      </c>
      <c r="L2044" s="23" t="str">
        <f t="shared" si="687"/>
        <v/>
      </c>
      <c r="M2044" s="22" t="str">
        <f t="shared" si="688"/>
        <v/>
      </c>
      <c r="N2044" s="72"/>
      <c r="O2044" s="16" t="str">
        <f t="shared" si="689"/>
        <v/>
      </c>
      <c r="P2044" s="16" t="str">
        <f t="shared" si="690"/>
        <v/>
      </c>
      <c r="Q2044" s="16" t="str">
        <f t="shared" si="691"/>
        <v/>
      </c>
      <c r="R2044" s="23" t="str">
        <f t="shared" si="692"/>
        <v/>
      </c>
      <c r="S2044" s="23" t="str">
        <f t="shared" si="693"/>
        <v/>
      </c>
      <c r="T2044" s="23" t="str">
        <f t="shared" si="694"/>
        <v/>
      </c>
      <c r="U2044" s="23" t="str">
        <f t="shared" si="695"/>
        <v/>
      </c>
      <c r="V2044" s="23" t="str">
        <f t="shared" si="696"/>
        <v/>
      </c>
      <c r="W2044" s="70" t="str">
        <f t="shared" si="697"/>
        <v/>
      </c>
      <c r="X2044" s="70" t="str">
        <f t="shared" si="698"/>
        <v/>
      </c>
      <c r="Y2044" s="70" t="str">
        <f>IF(AND($A2044&lt;&gt;"",$E2044&gt;0),isLaptopBag($C2044,$J2044)*$D2044,"")</f>
        <v/>
      </c>
      <c r="Z2044" s="70" t="str">
        <f t="shared" si="699"/>
        <v/>
      </c>
      <c r="AA2044" s="70" t="str">
        <f t="shared" si="700"/>
        <v/>
      </c>
      <c r="AB2044" s="70" t="str">
        <f t="shared" si="701"/>
        <v/>
      </c>
      <c r="AC2044" s="70" t="str">
        <f t="shared" si="702"/>
        <v/>
      </c>
      <c r="AD2044" s="70" t="str">
        <f t="shared" si="703"/>
        <v/>
      </c>
      <c r="AE2044" s="70" t="str">
        <f t="shared" si="704"/>
        <v/>
      </c>
      <c r="AF2044" s="16"/>
      <c r="AG2044" s="23"/>
      <c r="AH2044" s="22"/>
      <c r="AJ2044" s="83">
        <f t="shared" si="705"/>
        <v>0</v>
      </c>
      <c r="AO2044" s="22" t="str">
        <f t="shared" si="706"/>
        <v/>
      </c>
      <c r="AP2044" s="22" t="str">
        <f t="shared" si="707"/>
        <v/>
      </c>
    </row>
    <row r="2045" spans="1:42" x14ac:dyDescent="0.25">
      <c r="A2045" s="10"/>
      <c r="B2045" s="10"/>
      <c r="C2045" s="10"/>
      <c r="D2045" s="10"/>
      <c r="E2045" s="10"/>
      <c r="F2045" s="10"/>
      <c r="G2045" s="10"/>
      <c r="H2045" s="17"/>
      <c r="I2045" s="10"/>
      <c r="J2045" s="10"/>
      <c r="K2045" s="16" t="str">
        <f t="shared" si="686"/>
        <v/>
      </c>
      <c r="L2045" s="23" t="str">
        <f t="shared" si="687"/>
        <v/>
      </c>
      <c r="M2045" s="22" t="str">
        <f t="shared" si="688"/>
        <v/>
      </c>
      <c r="N2045" s="72"/>
      <c r="O2045" s="16" t="str">
        <f t="shared" si="689"/>
        <v/>
      </c>
      <c r="P2045" s="16" t="str">
        <f t="shared" si="690"/>
        <v/>
      </c>
      <c r="Q2045" s="16" t="str">
        <f t="shared" si="691"/>
        <v/>
      </c>
      <c r="R2045" s="23" t="str">
        <f t="shared" si="692"/>
        <v/>
      </c>
      <c r="S2045" s="23" t="str">
        <f t="shared" si="693"/>
        <v/>
      </c>
      <c r="T2045" s="23" t="str">
        <f t="shared" si="694"/>
        <v/>
      </c>
      <c r="U2045" s="23" t="str">
        <f t="shared" si="695"/>
        <v/>
      </c>
      <c r="V2045" s="23" t="str">
        <f t="shared" si="696"/>
        <v/>
      </c>
      <c r="W2045" s="70" t="str">
        <f t="shared" si="697"/>
        <v/>
      </c>
      <c r="X2045" s="70" t="str">
        <f t="shared" si="698"/>
        <v/>
      </c>
      <c r="Y2045" s="70" t="str">
        <f>IF(AND($A2045&lt;&gt;"",$E2045&gt;0),isLaptopBag($C2045,$J2045)*$D2045,"")</f>
        <v/>
      </c>
      <c r="Z2045" s="70" t="str">
        <f t="shared" si="699"/>
        <v/>
      </c>
      <c r="AA2045" s="70" t="str">
        <f t="shared" si="700"/>
        <v/>
      </c>
      <c r="AB2045" s="70" t="str">
        <f t="shared" si="701"/>
        <v/>
      </c>
      <c r="AC2045" s="70" t="str">
        <f t="shared" si="702"/>
        <v/>
      </c>
      <c r="AD2045" s="70" t="str">
        <f t="shared" si="703"/>
        <v/>
      </c>
      <c r="AE2045" s="70" t="str">
        <f t="shared" si="704"/>
        <v/>
      </c>
      <c r="AF2045" s="16"/>
      <c r="AG2045" s="23"/>
      <c r="AH2045" s="22"/>
      <c r="AJ2045" s="83">
        <f t="shared" si="705"/>
        <v>0</v>
      </c>
      <c r="AO2045" s="22" t="str">
        <f t="shared" si="706"/>
        <v/>
      </c>
      <c r="AP2045" s="22" t="str">
        <f t="shared" si="707"/>
        <v/>
      </c>
    </row>
    <row r="2046" spans="1:42" x14ac:dyDescent="0.25">
      <c r="A2046" s="10"/>
      <c r="B2046" s="10"/>
      <c r="C2046" s="10"/>
      <c r="D2046" s="10"/>
      <c r="E2046" s="10"/>
      <c r="F2046" s="10"/>
      <c r="G2046" s="10"/>
      <c r="H2046" s="17"/>
      <c r="I2046" s="10"/>
      <c r="J2046" s="10"/>
      <c r="K2046" s="16" t="str">
        <f t="shared" si="686"/>
        <v/>
      </c>
      <c r="L2046" s="23" t="str">
        <f t="shared" si="687"/>
        <v/>
      </c>
      <c r="M2046" s="22" t="str">
        <f t="shared" si="688"/>
        <v/>
      </c>
      <c r="N2046" s="72"/>
      <c r="O2046" s="16" t="str">
        <f t="shared" si="689"/>
        <v/>
      </c>
      <c r="P2046" s="16" t="str">
        <f t="shared" si="690"/>
        <v/>
      </c>
      <c r="Q2046" s="16" t="str">
        <f t="shared" si="691"/>
        <v/>
      </c>
      <c r="R2046" s="23" t="str">
        <f t="shared" si="692"/>
        <v/>
      </c>
      <c r="S2046" s="23" t="str">
        <f t="shared" si="693"/>
        <v/>
      </c>
      <c r="T2046" s="23" t="str">
        <f t="shared" si="694"/>
        <v/>
      </c>
      <c r="U2046" s="23" t="str">
        <f t="shared" si="695"/>
        <v/>
      </c>
      <c r="V2046" s="23" t="str">
        <f t="shared" si="696"/>
        <v/>
      </c>
      <c r="W2046" s="70" t="str">
        <f t="shared" si="697"/>
        <v/>
      </c>
      <c r="X2046" s="70" t="str">
        <f t="shared" si="698"/>
        <v/>
      </c>
      <c r="Y2046" s="70" t="str">
        <f>IF(AND($A2046&lt;&gt;"",$E2046&gt;0),isLaptopBag($C2046,$J2046)*$D2046,"")</f>
        <v/>
      </c>
      <c r="Z2046" s="70" t="str">
        <f t="shared" si="699"/>
        <v/>
      </c>
      <c r="AA2046" s="70" t="str">
        <f t="shared" si="700"/>
        <v/>
      </c>
      <c r="AB2046" s="70" t="str">
        <f t="shared" si="701"/>
        <v/>
      </c>
      <c r="AC2046" s="70" t="str">
        <f t="shared" si="702"/>
        <v/>
      </c>
      <c r="AD2046" s="70" t="str">
        <f t="shared" si="703"/>
        <v/>
      </c>
      <c r="AE2046" s="70" t="str">
        <f t="shared" si="704"/>
        <v/>
      </c>
      <c r="AF2046" s="16"/>
      <c r="AG2046" s="23"/>
      <c r="AH2046" s="22"/>
      <c r="AJ2046" s="83">
        <f t="shared" si="705"/>
        <v>0</v>
      </c>
      <c r="AO2046" s="22" t="str">
        <f t="shared" si="706"/>
        <v/>
      </c>
      <c r="AP2046" s="22" t="str">
        <f t="shared" si="707"/>
        <v/>
      </c>
    </row>
    <row r="2047" spans="1:42" x14ac:dyDescent="0.25">
      <c r="A2047" s="10"/>
      <c r="B2047" s="10"/>
      <c r="C2047" s="10"/>
      <c r="D2047" s="10"/>
      <c r="E2047" s="10"/>
      <c r="F2047" s="10"/>
      <c r="G2047" s="10"/>
      <c r="H2047" s="17"/>
      <c r="I2047" s="10"/>
      <c r="J2047" s="10"/>
      <c r="K2047" s="16" t="str">
        <f t="shared" si="686"/>
        <v/>
      </c>
      <c r="L2047" s="23" t="str">
        <f t="shared" si="687"/>
        <v/>
      </c>
      <c r="M2047" s="22" t="str">
        <f t="shared" si="688"/>
        <v/>
      </c>
      <c r="N2047" s="72"/>
      <c r="O2047" s="16" t="str">
        <f t="shared" si="689"/>
        <v/>
      </c>
      <c r="P2047" s="16" t="str">
        <f t="shared" si="690"/>
        <v/>
      </c>
      <c r="Q2047" s="16" t="str">
        <f t="shared" si="691"/>
        <v/>
      </c>
      <c r="R2047" s="23" t="str">
        <f t="shared" si="692"/>
        <v/>
      </c>
      <c r="S2047" s="23" t="str">
        <f t="shared" si="693"/>
        <v/>
      </c>
      <c r="T2047" s="23" t="str">
        <f t="shared" si="694"/>
        <v/>
      </c>
      <c r="U2047" s="23" t="str">
        <f t="shared" si="695"/>
        <v/>
      </c>
      <c r="V2047" s="23" t="str">
        <f t="shared" si="696"/>
        <v/>
      </c>
      <c r="W2047" s="70" t="str">
        <f t="shared" si="697"/>
        <v/>
      </c>
      <c r="X2047" s="70" t="str">
        <f t="shared" si="698"/>
        <v/>
      </c>
      <c r="Y2047" s="70" t="str">
        <f>IF(AND($A2047&lt;&gt;"",$E2047&gt;0),isLaptopBag($C2047,$J2047)*$D2047,"")</f>
        <v/>
      </c>
      <c r="Z2047" s="70" t="str">
        <f t="shared" si="699"/>
        <v/>
      </c>
      <c r="AA2047" s="70" t="str">
        <f t="shared" si="700"/>
        <v/>
      </c>
      <c r="AB2047" s="70" t="str">
        <f t="shared" si="701"/>
        <v/>
      </c>
      <c r="AC2047" s="70" t="str">
        <f t="shared" si="702"/>
        <v/>
      </c>
      <c r="AD2047" s="70" t="str">
        <f t="shared" si="703"/>
        <v/>
      </c>
      <c r="AE2047" s="70" t="str">
        <f t="shared" si="704"/>
        <v/>
      </c>
      <c r="AF2047" s="16"/>
      <c r="AG2047" s="23"/>
      <c r="AH2047" s="22"/>
      <c r="AJ2047" s="83">
        <f t="shared" si="705"/>
        <v>0</v>
      </c>
      <c r="AO2047" s="22" t="str">
        <f t="shared" si="706"/>
        <v/>
      </c>
      <c r="AP2047" s="22" t="str">
        <f t="shared" si="707"/>
        <v/>
      </c>
    </row>
    <row r="2048" spans="1:42" x14ac:dyDescent="0.25">
      <c r="A2048" s="10"/>
      <c r="B2048" s="10"/>
      <c r="C2048" s="10"/>
      <c r="D2048" s="10"/>
      <c r="E2048" s="10"/>
      <c r="F2048" s="10"/>
      <c r="G2048" s="10"/>
      <c r="H2048" s="17"/>
      <c r="I2048" s="10"/>
      <c r="J2048" s="10"/>
      <c r="K2048" s="16" t="str">
        <f t="shared" si="686"/>
        <v/>
      </c>
      <c r="L2048" s="23" t="str">
        <f t="shared" si="687"/>
        <v/>
      </c>
      <c r="M2048" s="22" t="str">
        <f t="shared" si="688"/>
        <v/>
      </c>
      <c r="N2048" s="72"/>
      <c r="O2048" s="16" t="str">
        <f t="shared" si="689"/>
        <v/>
      </c>
      <c r="P2048" s="16" t="str">
        <f t="shared" si="690"/>
        <v/>
      </c>
      <c r="Q2048" s="16" t="str">
        <f t="shared" si="691"/>
        <v/>
      </c>
      <c r="R2048" s="23" t="str">
        <f t="shared" si="692"/>
        <v/>
      </c>
      <c r="S2048" s="23" t="str">
        <f t="shared" si="693"/>
        <v/>
      </c>
      <c r="T2048" s="23" t="str">
        <f t="shared" si="694"/>
        <v/>
      </c>
      <c r="U2048" s="23" t="str">
        <f t="shared" si="695"/>
        <v/>
      </c>
      <c r="V2048" s="23" t="str">
        <f t="shared" si="696"/>
        <v/>
      </c>
      <c r="W2048" s="70" t="str">
        <f t="shared" si="697"/>
        <v/>
      </c>
      <c r="X2048" s="70" t="str">
        <f t="shared" si="698"/>
        <v/>
      </c>
      <c r="Y2048" s="70" t="str">
        <f>IF(AND($A2048&lt;&gt;"",$E2048&gt;0),isLaptopBag($C2048,$J2048)*$D2048,"")</f>
        <v/>
      </c>
      <c r="Z2048" s="70" t="str">
        <f t="shared" si="699"/>
        <v/>
      </c>
      <c r="AA2048" s="70" t="str">
        <f t="shared" si="700"/>
        <v/>
      </c>
      <c r="AB2048" s="70" t="str">
        <f t="shared" si="701"/>
        <v/>
      </c>
      <c r="AC2048" s="70" t="str">
        <f t="shared" si="702"/>
        <v/>
      </c>
      <c r="AD2048" s="70" t="str">
        <f t="shared" si="703"/>
        <v/>
      </c>
      <c r="AE2048" s="70" t="str">
        <f t="shared" si="704"/>
        <v/>
      </c>
      <c r="AF2048" s="16"/>
      <c r="AG2048" s="23"/>
      <c r="AH2048" s="22"/>
      <c r="AJ2048" s="83">
        <f t="shared" si="705"/>
        <v>0</v>
      </c>
      <c r="AO2048" s="22" t="str">
        <f t="shared" si="706"/>
        <v/>
      </c>
      <c r="AP2048" s="22" t="str">
        <f t="shared" si="707"/>
        <v/>
      </c>
    </row>
    <row r="2049" spans="1:42" x14ac:dyDescent="0.25">
      <c r="A2049" s="10"/>
      <c r="B2049" s="10"/>
      <c r="C2049" s="10"/>
      <c r="D2049" s="10"/>
      <c r="E2049" s="10"/>
      <c r="F2049" s="10"/>
      <c r="G2049" s="10"/>
      <c r="H2049" s="17"/>
      <c r="I2049" s="10"/>
      <c r="J2049" s="10"/>
      <c r="K2049" s="16" t="str">
        <f t="shared" si="686"/>
        <v/>
      </c>
      <c r="L2049" s="23" t="str">
        <f t="shared" si="687"/>
        <v/>
      </c>
      <c r="M2049" s="22" t="str">
        <f t="shared" si="688"/>
        <v/>
      </c>
      <c r="N2049" s="72"/>
      <c r="O2049" s="16" t="str">
        <f t="shared" si="689"/>
        <v/>
      </c>
      <c r="P2049" s="16" t="str">
        <f t="shared" si="690"/>
        <v/>
      </c>
      <c r="Q2049" s="16" t="str">
        <f t="shared" si="691"/>
        <v/>
      </c>
      <c r="R2049" s="23" t="str">
        <f t="shared" si="692"/>
        <v/>
      </c>
      <c r="S2049" s="23" t="str">
        <f t="shared" si="693"/>
        <v/>
      </c>
      <c r="T2049" s="23" t="str">
        <f t="shared" si="694"/>
        <v/>
      </c>
      <c r="U2049" s="23" t="str">
        <f t="shared" si="695"/>
        <v/>
      </c>
      <c r="V2049" s="23" t="str">
        <f t="shared" si="696"/>
        <v/>
      </c>
      <c r="W2049" s="70" t="str">
        <f t="shared" si="697"/>
        <v/>
      </c>
      <c r="X2049" s="70" t="str">
        <f t="shared" si="698"/>
        <v/>
      </c>
      <c r="Y2049" s="70" t="str">
        <f>IF(AND($A2049&lt;&gt;"",$E2049&gt;0),isLaptopBag($C2049,$J2049)*$D2049,"")</f>
        <v/>
      </c>
      <c r="Z2049" s="70" t="str">
        <f t="shared" si="699"/>
        <v/>
      </c>
      <c r="AA2049" s="70" t="str">
        <f t="shared" si="700"/>
        <v/>
      </c>
      <c r="AB2049" s="70" t="str">
        <f t="shared" si="701"/>
        <v/>
      </c>
      <c r="AC2049" s="70" t="str">
        <f t="shared" si="702"/>
        <v/>
      </c>
      <c r="AD2049" s="70" t="str">
        <f t="shared" si="703"/>
        <v/>
      </c>
      <c r="AE2049" s="70" t="str">
        <f t="shared" si="704"/>
        <v/>
      </c>
      <c r="AF2049" s="16"/>
      <c r="AG2049" s="23"/>
      <c r="AH2049" s="22"/>
      <c r="AJ2049" s="83">
        <f t="shared" si="705"/>
        <v>0</v>
      </c>
      <c r="AO2049" s="22" t="str">
        <f t="shared" si="706"/>
        <v/>
      </c>
      <c r="AP2049" s="22" t="str">
        <f t="shared" si="707"/>
        <v/>
      </c>
    </row>
    <row r="2050" spans="1:42" x14ac:dyDescent="0.25">
      <c r="A2050" s="10"/>
      <c r="B2050" s="10"/>
      <c r="C2050" s="10"/>
      <c r="D2050" s="10"/>
      <c r="E2050" s="10"/>
      <c r="F2050" s="10"/>
      <c r="G2050" s="10"/>
      <c r="H2050" s="17"/>
      <c r="I2050" s="10"/>
      <c r="J2050" s="10"/>
      <c r="K2050" s="16" t="str">
        <f t="shared" si="686"/>
        <v/>
      </c>
      <c r="L2050" s="23" t="str">
        <f t="shared" si="687"/>
        <v/>
      </c>
      <c r="M2050" s="22" t="str">
        <f t="shared" si="688"/>
        <v/>
      </c>
      <c r="N2050" s="72"/>
      <c r="O2050" s="16" t="str">
        <f t="shared" si="689"/>
        <v/>
      </c>
      <c r="P2050" s="16" t="str">
        <f t="shared" si="690"/>
        <v/>
      </c>
      <c r="Q2050" s="16" t="str">
        <f t="shared" si="691"/>
        <v/>
      </c>
      <c r="R2050" s="23" t="str">
        <f t="shared" si="692"/>
        <v/>
      </c>
      <c r="S2050" s="23" t="str">
        <f t="shared" si="693"/>
        <v/>
      </c>
      <c r="T2050" s="23" t="str">
        <f t="shared" si="694"/>
        <v/>
      </c>
      <c r="U2050" s="23" t="str">
        <f t="shared" si="695"/>
        <v/>
      </c>
      <c r="V2050" s="23" t="str">
        <f t="shared" si="696"/>
        <v/>
      </c>
      <c r="W2050" s="70" t="str">
        <f t="shared" si="697"/>
        <v/>
      </c>
      <c r="X2050" s="70" t="str">
        <f t="shared" si="698"/>
        <v/>
      </c>
      <c r="Y2050" s="70" t="str">
        <f>IF(AND($A2050&lt;&gt;"",$E2050&gt;0),isLaptopBag($C2050,$J2050)*$D2050,"")</f>
        <v/>
      </c>
      <c r="Z2050" s="70" t="str">
        <f t="shared" si="699"/>
        <v/>
      </c>
      <c r="AA2050" s="70" t="str">
        <f t="shared" si="700"/>
        <v/>
      </c>
      <c r="AB2050" s="70" t="str">
        <f t="shared" si="701"/>
        <v/>
      </c>
      <c r="AC2050" s="70" t="str">
        <f t="shared" si="702"/>
        <v/>
      </c>
      <c r="AD2050" s="70" t="str">
        <f t="shared" si="703"/>
        <v/>
      </c>
      <c r="AE2050" s="70" t="str">
        <f t="shared" si="704"/>
        <v/>
      </c>
      <c r="AF2050" s="16"/>
      <c r="AG2050" s="23"/>
      <c r="AH2050" s="22"/>
      <c r="AJ2050" s="83">
        <f t="shared" si="705"/>
        <v>0</v>
      </c>
      <c r="AO2050" s="22" t="str">
        <f t="shared" si="706"/>
        <v/>
      </c>
      <c r="AP2050" s="22" t="str">
        <f t="shared" si="707"/>
        <v/>
      </c>
    </row>
    <row r="2051" spans="1:42" x14ac:dyDescent="0.25">
      <c r="A2051" s="10"/>
      <c r="B2051" s="10"/>
      <c r="C2051" s="10"/>
      <c r="D2051" s="10"/>
      <c r="E2051" s="10"/>
      <c r="F2051" s="10"/>
      <c r="G2051" s="10"/>
      <c r="H2051" s="17"/>
      <c r="I2051" s="10"/>
      <c r="J2051" s="10"/>
      <c r="K2051" s="16" t="str">
        <f t="shared" si="686"/>
        <v/>
      </c>
      <c r="L2051" s="23" t="str">
        <f t="shared" si="687"/>
        <v/>
      </c>
      <c r="M2051" s="22" t="str">
        <f t="shared" si="688"/>
        <v/>
      </c>
      <c r="N2051" s="72"/>
      <c r="O2051" s="16" t="str">
        <f t="shared" si="689"/>
        <v/>
      </c>
      <c r="P2051" s="16" t="str">
        <f t="shared" si="690"/>
        <v/>
      </c>
      <c r="Q2051" s="16" t="str">
        <f t="shared" si="691"/>
        <v/>
      </c>
      <c r="R2051" s="23" t="str">
        <f t="shared" si="692"/>
        <v/>
      </c>
      <c r="S2051" s="23" t="str">
        <f t="shared" si="693"/>
        <v/>
      </c>
      <c r="T2051" s="23" t="str">
        <f t="shared" si="694"/>
        <v/>
      </c>
      <c r="U2051" s="23" t="str">
        <f t="shared" si="695"/>
        <v/>
      </c>
      <c r="V2051" s="23" t="str">
        <f t="shared" si="696"/>
        <v/>
      </c>
      <c r="W2051" s="70" t="str">
        <f t="shared" si="697"/>
        <v/>
      </c>
      <c r="X2051" s="70" t="str">
        <f t="shared" si="698"/>
        <v/>
      </c>
      <c r="Y2051" s="70" t="str">
        <f>IF(AND($A2051&lt;&gt;"",$E2051&gt;0),isLaptopBag($C2051,$J2051)*$D2051,"")</f>
        <v/>
      </c>
      <c r="Z2051" s="70" t="str">
        <f t="shared" si="699"/>
        <v/>
      </c>
      <c r="AA2051" s="70" t="str">
        <f t="shared" si="700"/>
        <v/>
      </c>
      <c r="AB2051" s="70" t="str">
        <f t="shared" si="701"/>
        <v/>
      </c>
      <c r="AC2051" s="70" t="str">
        <f t="shared" si="702"/>
        <v/>
      </c>
      <c r="AD2051" s="70" t="str">
        <f t="shared" si="703"/>
        <v/>
      </c>
      <c r="AE2051" s="70" t="str">
        <f t="shared" si="704"/>
        <v/>
      </c>
      <c r="AF2051" s="16"/>
      <c r="AG2051" s="23"/>
      <c r="AH2051" s="22"/>
      <c r="AJ2051" s="83">
        <f t="shared" si="705"/>
        <v>0</v>
      </c>
      <c r="AO2051" s="22" t="str">
        <f t="shared" si="706"/>
        <v/>
      </c>
      <c r="AP2051" s="22" t="str">
        <f t="shared" si="707"/>
        <v/>
      </c>
    </row>
    <row r="2052" spans="1:42" x14ac:dyDescent="0.25">
      <c r="A2052" s="10"/>
      <c r="B2052" s="10"/>
      <c r="C2052" s="10"/>
      <c r="D2052" s="10"/>
      <c r="E2052" s="10"/>
      <c r="F2052" s="10"/>
      <c r="G2052" s="10"/>
      <c r="H2052" s="17"/>
      <c r="I2052" s="10"/>
      <c r="J2052" s="10"/>
      <c r="K2052" s="16" t="str">
        <f t="shared" si="686"/>
        <v/>
      </c>
      <c r="L2052" s="23" t="str">
        <f t="shared" si="687"/>
        <v/>
      </c>
      <c r="M2052" s="22" t="str">
        <f t="shared" si="688"/>
        <v/>
      </c>
      <c r="N2052" s="72"/>
      <c r="O2052" s="16" t="str">
        <f t="shared" si="689"/>
        <v/>
      </c>
      <c r="P2052" s="16" t="str">
        <f t="shared" si="690"/>
        <v/>
      </c>
      <c r="Q2052" s="16" t="str">
        <f t="shared" si="691"/>
        <v/>
      </c>
      <c r="R2052" s="23" t="str">
        <f t="shared" si="692"/>
        <v/>
      </c>
      <c r="S2052" s="23" t="str">
        <f t="shared" si="693"/>
        <v/>
      </c>
      <c r="T2052" s="23" t="str">
        <f t="shared" si="694"/>
        <v/>
      </c>
      <c r="U2052" s="23" t="str">
        <f t="shared" si="695"/>
        <v/>
      </c>
      <c r="V2052" s="23" t="str">
        <f t="shared" si="696"/>
        <v/>
      </c>
      <c r="W2052" s="70" t="str">
        <f t="shared" si="697"/>
        <v/>
      </c>
      <c r="X2052" s="70" t="str">
        <f t="shared" si="698"/>
        <v/>
      </c>
      <c r="Y2052" s="70" t="str">
        <f>IF(AND($A2052&lt;&gt;"",$E2052&gt;0),isLaptopBag($C2052,$J2052)*$D2052,"")</f>
        <v/>
      </c>
      <c r="Z2052" s="70" t="str">
        <f t="shared" si="699"/>
        <v/>
      </c>
      <c r="AA2052" s="70" t="str">
        <f t="shared" si="700"/>
        <v/>
      </c>
      <c r="AB2052" s="70" t="str">
        <f t="shared" si="701"/>
        <v/>
      </c>
      <c r="AC2052" s="70" t="str">
        <f t="shared" si="702"/>
        <v/>
      </c>
      <c r="AD2052" s="70" t="str">
        <f t="shared" si="703"/>
        <v/>
      </c>
      <c r="AE2052" s="70" t="str">
        <f t="shared" si="704"/>
        <v/>
      </c>
      <c r="AF2052" s="16"/>
      <c r="AG2052" s="23"/>
      <c r="AH2052" s="22"/>
      <c r="AJ2052" s="83">
        <f t="shared" si="705"/>
        <v>0</v>
      </c>
      <c r="AO2052" s="22" t="str">
        <f t="shared" si="706"/>
        <v/>
      </c>
      <c r="AP2052" s="22" t="str">
        <f t="shared" si="707"/>
        <v/>
      </c>
    </row>
    <row r="2053" spans="1:42" x14ac:dyDescent="0.25">
      <c r="A2053" s="10"/>
      <c r="B2053" s="10"/>
      <c r="C2053" s="10"/>
      <c r="D2053" s="10"/>
      <c r="E2053" s="10"/>
      <c r="F2053" s="10"/>
      <c r="G2053" s="10"/>
      <c r="H2053" s="17"/>
      <c r="I2053" s="10"/>
      <c r="J2053" s="10"/>
      <c r="K2053" s="16" t="str">
        <f t="shared" si="686"/>
        <v/>
      </c>
      <c r="L2053" s="23" t="str">
        <f t="shared" si="687"/>
        <v/>
      </c>
      <c r="M2053" s="22" t="str">
        <f t="shared" si="688"/>
        <v/>
      </c>
      <c r="N2053" s="72"/>
      <c r="O2053" s="16" t="str">
        <f t="shared" si="689"/>
        <v/>
      </c>
      <c r="P2053" s="16" t="str">
        <f t="shared" si="690"/>
        <v/>
      </c>
      <c r="Q2053" s="16" t="str">
        <f t="shared" si="691"/>
        <v/>
      </c>
      <c r="R2053" s="23" t="str">
        <f t="shared" si="692"/>
        <v/>
      </c>
      <c r="S2053" s="23" t="str">
        <f t="shared" si="693"/>
        <v/>
      </c>
      <c r="T2053" s="23" t="str">
        <f t="shared" si="694"/>
        <v/>
      </c>
      <c r="U2053" s="23" t="str">
        <f t="shared" si="695"/>
        <v/>
      </c>
      <c r="V2053" s="23" t="str">
        <f t="shared" si="696"/>
        <v/>
      </c>
      <c r="W2053" s="70" t="str">
        <f t="shared" si="697"/>
        <v/>
      </c>
      <c r="X2053" s="70" t="str">
        <f t="shared" si="698"/>
        <v/>
      </c>
      <c r="Y2053" s="70" t="str">
        <f>IF(AND($A2053&lt;&gt;"",$E2053&gt;0),isLaptopBag($C2053,$J2053)*$D2053,"")</f>
        <v/>
      </c>
      <c r="Z2053" s="70" t="str">
        <f t="shared" si="699"/>
        <v/>
      </c>
      <c r="AA2053" s="70" t="str">
        <f t="shared" si="700"/>
        <v/>
      </c>
      <c r="AB2053" s="70" t="str">
        <f t="shared" si="701"/>
        <v/>
      </c>
      <c r="AC2053" s="70" t="str">
        <f t="shared" si="702"/>
        <v/>
      </c>
      <c r="AD2053" s="70" t="str">
        <f t="shared" si="703"/>
        <v/>
      </c>
      <c r="AE2053" s="70" t="str">
        <f t="shared" si="704"/>
        <v/>
      </c>
      <c r="AF2053" s="16"/>
      <c r="AG2053" s="23"/>
      <c r="AH2053" s="22"/>
      <c r="AJ2053" s="83">
        <f t="shared" si="705"/>
        <v>0</v>
      </c>
      <c r="AO2053" s="22" t="str">
        <f t="shared" si="706"/>
        <v/>
      </c>
      <c r="AP2053" s="22" t="str">
        <f t="shared" si="707"/>
        <v/>
      </c>
    </row>
    <row r="2054" spans="1:42" x14ac:dyDescent="0.25">
      <c r="A2054" s="10"/>
      <c r="B2054" s="10"/>
      <c r="C2054" s="10"/>
      <c r="D2054" s="10"/>
      <c r="E2054" s="10"/>
      <c r="F2054" s="10"/>
      <c r="G2054" s="10"/>
      <c r="H2054" s="17"/>
      <c r="I2054" s="10"/>
      <c r="J2054" s="10"/>
      <c r="K2054" s="16" t="str">
        <f t="shared" si="686"/>
        <v/>
      </c>
      <c r="L2054" s="23" t="str">
        <f t="shared" si="687"/>
        <v/>
      </c>
      <c r="M2054" s="22" t="str">
        <f t="shared" si="688"/>
        <v/>
      </c>
      <c r="N2054" s="72"/>
      <c r="O2054" s="16" t="str">
        <f t="shared" si="689"/>
        <v/>
      </c>
      <c r="P2054" s="16" t="str">
        <f t="shared" si="690"/>
        <v/>
      </c>
      <c r="Q2054" s="16" t="str">
        <f t="shared" si="691"/>
        <v/>
      </c>
      <c r="R2054" s="23" t="str">
        <f t="shared" si="692"/>
        <v/>
      </c>
      <c r="S2054" s="23" t="str">
        <f t="shared" si="693"/>
        <v/>
      </c>
      <c r="T2054" s="23" t="str">
        <f t="shared" si="694"/>
        <v/>
      </c>
      <c r="U2054" s="23" t="str">
        <f t="shared" si="695"/>
        <v/>
      </c>
      <c r="V2054" s="23" t="str">
        <f t="shared" si="696"/>
        <v/>
      </c>
      <c r="W2054" s="70" t="str">
        <f t="shared" si="697"/>
        <v/>
      </c>
      <c r="X2054" s="70" t="str">
        <f t="shared" si="698"/>
        <v/>
      </c>
      <c r="Y2054" s="70" t="str">
        <f>IF(AND($A2054&lt;&gt;"",$E2054&gt;0),isLaptopBag($C2054,$J2054)*$D2054,"")</f>
        <v/>
      </c>
      <c r="Z2054" s="70" t="str">
        <f t="shared" si="699"/>
        <v/>
      </c>
      <c r="AA2054" s="70" t="str">
        <f t="shared" si="700"/>
        <v/>
      </c>
      <c r="AB2054" s="70" t="str">
        <f t="shared" si="701"/>
        <v/>
      </c>
      <c r="AC2054" s="70" t="str">
        <f t="shared" si="702"/>
        <v/>
      </c>
      <c r="AD2054" s="70" t="str">
        <f t="shared" si="703"/>
        <v/>
      </c>
      <c r="AE2054" s="70" t="str">
        <f t="shared" si="704"/>
        <v/>
      </c>
      <c r="AF2054" s="16"/>
      <c r="AG2054" s="23"/>
      <c r="AH2054" s="22"/>
      <c r="AJ2054" s="83">
        <f t="shared" si="705"/>
        <v>0</v>
      </c>
      <c r="AO2054" s="22" t="str">
        <f t="shared" si="706"/>
        <v/>
      </c>
      <c r="AP2054" s="22" t="str">
        <f t="shared" si="707"/>
        <v/>
      </c>
    </row>
    <row r="2055" spans="1:42" x14ac:dyDescent="0.25">
      <c r="A2055" s="10"/>
      <c r="B2055" s="10"/>
      <c r="C2055" s="10"/>
      <c r="D2055" s="10"/>
      <c r="E2055" s="10"/>
      <c r="F2055" s="10"/>
      <c r="G2055" s="10"/>
      <c r="H2055" s="17"/>
      <c r="I2055" s="10"/>
      <c r="J2055" s="10"/>
      <c r="K2055" s="16" t="str">
        <f t="shared" si="686"/>
        <v/>
      </c>
      <c r="L2055" s="23" t="str">
        <f t="shared" si="687"/>
        <v/>
      </c>
      <c r="M2055" s="22" t="str">
        <f t="shared" si="688"/>
        <v/>
      </c>
      <c r="N2055" s="72"/>
      <c r="O2055" s="16" t="str">
        <f t="shared" si="689"/>
        <v/>
      </c>
      <c r="P2055" s="16" t="str">
        <f t="shared" si="690"/>
        <v/>
      </c>
      <c r="Q2055" s="16" t="str">
        <f t="shared" si="691"/>
        <v/>
      </c>
      <c r="R2055" s="23" t="str">
        <f t="shared" si="692"/>
        <v/>
      </c>
      <c r="S2055" s="23" t="str">
        <f t="shared" si="693"/>
        <v/>
      </c>
      <c r="T2055" s="23" t="str">
        <f t="shared" si="694"/>
        <v/>
      </c>
      <c r="U2055" s="23" t="str">
        <f t="shared" si="695"/>
        <v/>
      </c>
      <c r="V2055" s="23" t="str">
        <f t="shared" si="696"/>
        <v/>
      </c>
      <c r="W2055" s="70" t="str">
        <f t="shared" si="697"/>
        <v/>
      </c>
      <c r="X2055" s="70" t="str">
        <f t="shared" si="698"/>
        <v/>
      </c>
      <c r="Y2055" s="70" t="str">
        <f>IF(AND($A2055&lt;&gt;"",$E2055&gt;0),isLaptopBag($C2055,$J2055)*$D2055,"")</f>
        <v/>
      </c>
      <c r="Z2055" s="70" t="str">
        <f t="shared" si="699"/>
        <v/>
      </c>
      <c r="AA2055" s="70" t="str">
        <f t="shared" si="700"/>
        <v/>
      </c>
      <c r="AB2055" s="70" t="str">
        <f t="shared" si="701"/>
        <v/>
      </c>
      <c r="AC2055" s="70" t="str">
        <f t="shared" si="702"/>
        <v/>
      </c>
      <c r="AD2055" s="70" t="str">
        <f t="shared" si="703"/>
        <v/>
      </c>
      <c r="AE2055" s="70" t="str">
        <f t="shared" si="704"/>
        <v/>
      </c>
      <c r="AF2055" s="16"/>
      <c r="AG2055" s="23"/>
      <c r="AH2055" s="22"/>
      <c r="AJ2055" s="83">
        <f t="shared" si="705"/>
        <v>0</v>
      </c>
      <c r="AO2055" s="22" t="str">
        <f t="shared" si="706"/>
        <v/>
      </c>
      <c r="AP2055" s="22" t="str">
        <f t="shared" si="707"/>
        <v/>
      </c>
    </row>
    <row r="2056" spans="1:42" x14ac:dyDescent="0.25">
      <c r="A2056" s="10"/>
      <c r="B2056" s="10"/>
      <c r="C2056" s="10"/>
      <c r="D2056" s="10"/>
      <c r="E2056" s="10"/>
      <c r="F2056" s="10"/>
      <c r="G2056" s="10"/>
      <c r="H2056" s="17"/>
      <c r="I2056" s="10"/>
      <c r="J2056" s="10"/>
      <c r="K2056" s="16" t="str">
        <f t="shared" si="686"/>
        <v/>
      </c>
      <c r="L2056" s="23" t="str">
        <f t="shared" si="687"/>
        <v/>
      </c>
      <c r="M2056" s="22" t="str">
        <f t="shared" si="688"/>
        <v/>
      </c>
      <c r="N2056" s="72"/>
      <c r="O2056" s="16" t="str">
        <f t="shared" si="689"/>
        <v/>
      </c>
      <c r="P2056" s="16" t="str">
        <f t="shared" si="690"/>
        <v/>
      </c>
      <c r="Q2056" s="16" t="str">
        <f t="shared" si="691"/>
        <v/>
      </c>
      <c r="R2056" s="23" t="str">
        <f t="shared" si="692"/>
        <v/>
      </c>
      <c r="S2056" s="23" t="str">
        <f t="shared" si="693"/>
        <v/>
      </c>
      <c r="T2056" s="23" t="str">
        <f t="shared" si="694"/>
        <v/>
      </c>
      <c r="U2056" s="23" t="str">
        <f t="shared" si="695"/>
        <v/>
      </c>
      <c r="V2056" s="23" t="str">
        <f t="shared" si="696"/>
        <v/>
      </c>
      <c r="W2056" s="70" t="str">
        <f t="shared" si="697"/>
        <v/>
      </c>
      <c r="X2056" s="70" t="str">
        <f t="shared" si="698"/>
        <v/>
      </c>
      <c r="Y2056" s="70" t="str">
        <f>IF(AND($A2056&lt;&gt;"",$E2056&gt;0),isLaptopBag($C2056,$J2056)*$D2056,"")</f>
        <v/>
      </c>
      <c r="Z2056" s="70" t="str">
        <f t="shared" si="699"/>
        <v/>
      </c>
      <c r="AA2056" s="70" t="str">
        <f t="shared" si="700"/>
        <v/>
      </c>
      <c r="AB2056" s="70" t="str">
        <f t="shared" si="701"/>
        <v/>
      </c>
      <c r="AC2056" s="70" t="str">
        <f t="shared" si="702"/>
        <v/>
      </c>
      <c r="AD2056" s="70" t="str">
        <f t="shared" si="703"/>
        <v/>
      </c>
      <c r="AE2056" s="70" t="str">
        <f t="shared" si="704"/>
        <v/>
      </c>
      <c r="AF2056" s="16"/>
      <c r="AG2056" s="23"/>
      <c r="AH2056" s="22"/>
      <c r="AJ2056" s="83">
        <f t="shared" si="705"/>
        <v>0</v>
      </c>
      <c r="AO2056" s="22" t="str">
        <f t="shared" si="706"/>
        <v/>
      </c>
      <c r="AP2056" s="22" t="str">
        <f t="shared" si="707"/>
        <v/>
      </c>
    </row>
    <row r="2057" spans="1:42" x14ac:dyDescent="0.25">
      <c r="A2057" s="10"/>
      <c r="B2057" s="10"/>
      <c r="C2057" s="10"/>
      <c r="D2057" s="10"/>
      <c r="E2057" s="10"/>
      <c r="F2057" s="10"/>
      <c r="G2057" s="10"/>
      <c r="H2057" s="17"/>
      <c r="I2057" s="10"/>
      <c r="J2057" s="10"/>
      <c r="K2057" s="16" t="str">
        <f t="shared" si="686"/>
        <v/>
      </c>
      <c r="L2057" s="23" t="str">
        <f t="shared" si="687"/>
        <v/>
      </c>
      <c r="M2057" s="22" t="str">
        <f t="shared" si="688"/>
        <v/>
      </c>
      <c r="N2057" s="72"/>
      <c r="O2057" s="16" t="str">
        <f t="shared" si="689"/>
        <v/>
      </c>
      <c r="P2057" s="16" t="str">
        <f t="shared" si="690"/>
        <v/>
      </c>
      <c r="Q2057" s="16" t="str">
        <f t="shared" si="691"/>
        <v/>
      </c>
      <c r="R2057" s="23" t="str">
        <f t="shared" si="692"/>
        <v/>
      </c>
      <c r="S2057" s="23" t="str">
        <f t="shared" si="693"/>
        <v/>
      </c>
      <c r="T2057" s="23" t="str">
        <f t="shared" si="694"/>
        <v/>
      </c>
      <c r="U2057" s="23" t="str">
        <f t="shared" si="695"/>
        <v/>
      </c>
      <c r="V2057" s="23" t="str">
        <f t="shared" si="696"/>
        <v/>
      </c>
      <c r="W2057" s="70" t="str">
        <f t="shared" si="697"/>
        <v/>
      </c>
      <c r="X2057" s="70" t="str">
        <f t="shared" si="698"/>
        <v/>
      </c>
      <c r="Y2057" s="70" t="str">
        <f>IF(AND($A2057&lt;&gt;"",$E2057&gt;0),isLaptopBag($C2057,$J2057)*$D2057,"")</f>
        <v/>
      </c>
      <c r="Z2057" s="70" t="str">
        <f t="shared" si="699"/>
        <v/>
      </c>
      <c r="AA2057" s="70" t="str">
        <f t="shared" si="700"/>
        <v/>
      </c>
      <c r="AB2057" s="70" t="str">
        <f t="shared" si="701"/>
        <v/>
      </c>
      <c r="AC2057" s="70" t="str">
        <f t="shared" si="702"/>
        <v/>
      </c>
      <c r="AD2057" s="70" t="str">
        <f t="shared" si="703"/>
        <v/>
      </c>
      <c r="AE2057" s="70" t="str">
        <f t="shared" si="704"/>
        <v/>
      </c>
      <c r="AF2057" s="16"/>
      <c r="AG2057" s="23"/>
      <c r="AH2057" s="22"/>
      <c r="AJ2057" s="83">
        <f t="shared" si="705"/>
        <v>0</v>
      </c>
      <c r="AO2057" s="22" t="str">
        <f t="shared" si="706"/>
        <v/>
      </c>
      <c r="AP2057" s="22" t="str">
        <f t="shared" si="707"/>
        <v/>
      </c>
    </row>
    <row r="2058" spans="1:42" x14ac:dyDescent="0.25">
      <c r="A2058" s="10"/>
      <c r="B2058" s="10"/>
      <c r="C2058" s="10"/>
      <c r="D2058" s="10"/>
      <c r="E2058" s="10"/>
      <c r="F2058" s="10"/>
      <c r="G2058" s="10"/>
      <c r="H2058" s="17"/>
      <c r="I2058" s="10"/>
      <c r="J2058" s="10"/>
      <c r="K2058" s="16" t="str">
        <f t="shared" si="686"/>
        <v/>
      </c>
      <c r="L2058" s="23" t="str">
        <f t="shared" si="687"/>
        <v/>
      </c>
      <c r="M2058" s="22" t="str">
        <f t="shared" si="688"/>
        <v/>
      </c>
      <c r="N2058" s="72"/>
      <c r="O2058" s="16" t="str">
        <f t="shared" si="689"/>
        <v/>
      </c>
      <c r="P2058" s="16" t="str">
        <f t="shared" si="690"/>
        <v/>
      </c>
      <c r="Q2058" s="16" t="str">
        <f t="shared" si="691"/>
        <v/>
      </c>
      <c r="R2058" s="23" t="str">
        <f t="shared" si="692"/>
        <v/>
      </c>
      <c r="S2058" s="23" t="str">
        <f t="shared" si="693"/>
        <v/>
      </c>
      <c r="T2058" s="23" t="str">
        <f t="shared" si="694"/>
        <v/>
      </c>
      <c r="U2058" s="23" t="str">
        <f t="shared" si="695"/>
        <v/>
      </c>
      <c r="V2058" s="23" t="str">
        <f t="shared" si="696"/>
        <v/>
      </c>
      <c r="W2058" s="70" t="str">
        <f t="shared" si="697"/>
        <v/>
      </c>
      <c r="X2058" s="70" t="str">
        <f t="shared" si="698"/>
        <v/>
      </c>
      <c r="Y2058" s="70" t="str">
        <f>IF(AND($A2058&lt;&gt;"",$E2058&gt;0),isLaptopBag($C2058,$J2058)*$D2058,"")</f>
        <v/>
      </c>
      <c r="Z2058" s="70" t="str">
        <f t="shared" si="699"/>
        <v/>
      </c>
      <c r="AA2058" s="70" t="str">
        <f t="shared" si="700"/>
        <v/>
      </c>
      <c r="AB2058" s="70" t="str">
        <f t="shared" si="701"/>
        <v/>
      </c>
      <c r="AC2058" s="70" t="str">
        <f t="shared" si="702"/>
        <v/>
      </c>
      <c r="AD2058" s="70" t="str">
        <f t="shared" si="703"/>
        <v/>
      </c>
      <c r="AE2058" s="70" t="str">
        <f t="shared" si="704"/>
        <v/>
      </c>
      <c r="AF2058" s="16"/>
      <c r="AG2058" s="23"/>
      <c r="AH2058" s="22"/>
      <c r="AJ2058" s="83">
        <f t="shared" si="705"/>
        <v>0</v>
      </c>
      <c r="AO2058" s="22" t="str">
        <f t="shared" si="706"/>
        <v/>
      </c>
      <c r="AP2058" s="22" t="str">
        <f t="shared" si="707"/>
        <v/>
      </c>
    </row>
    <row r="2059" spans="1:42" x14ac:dyDescent="0.25">
      <c r="A2059" s="10"/>
      <c r="B2059" s="10"/>
      <c r="C2059" s="10"/>
      <c r="D2059" s="10"/>
      <c r="E2059" s="10"/>
      <c r="F2059" s="10"/>
      <c r="G2059" s="10"/>
      <c r="H2059" s="17"/>
      <c r="I2059" s="10"/>
      <c r="J2059" s="10"/>
      <c r="K2059" s="16" t="str">
        <f t="shared" si="686"/>
        <v/>
      </c>
      <c r="L2059" s="23" t="str">
        <f t="shared" si="687"/>
        <v/>
      </c>
      <c r="M2059" s="22" t="str">
        <f t="shared" si="688"/>
        <v/>
      </c>
      <c r="N2059" s="72"/>
      <c r="O2059" s="16" t="str">
        <f t="shared" si="689"/>
        <v/>
      </c>
      <c r="P2059" s="16" t="str">
        <f t="shared" si="690"/>
        <v/>
      </c>
      <c r="Q2059" s="16" t="str">
        <f t="shared" si="691"/>
        <v/>
      </c>
      <c r="R2059" s="23" t="str">
        <f t="shared" si="692"/>
        <v/>
      </c>
      <c r="S2059" s="23" t="str">
        <f t="shared" si="693"/>
        <v/>
      </c>
      <c r="T2059" s="23" t="str">
        <f t="shared" si="694"/>
        <v/>
      </c>
      <c r="U2059" s="23" t="str">
        <f t="shared" si="695"/>
        <v/>
      </c>
      <c r="V2059" s="23" t="str">
        <f t="shared" si="696"/>
        <v/>
      </c>
      <c r="W2059" s="70" t="str">
        <f t="shared" si="697"/>
        <v/>
      </c>
      <c r="X2059" s="70" t="str">
        <f t="shared" si="698"/>
        <v/>
      </c>
      <c r="Y2059" s="70" t="str">
        <f>IF(AND($A2059&lt;&gt;"",$E2059&gt;0),isLaptopBag($C2059,$J2059)*$D2059,"")</f>
        <v/>
      </c>
      <c r="Z2059" s="70" t="str">
        <f t="shared" si="699"/>
        <v/>
      </c>
      <c r="AA2059" s="70" t="str">
        <f t="shared" si="700"/>
        <v/>
      </c>
      <c r="AB2059" s="70" t="str">
        <f t="shared" si="701"/>
        <v/>
      </c>
      <c r="AC2059" s="70" t="str">
        <f t="shared" si="702"/>
        <v/>
      </c>
      <c r="AD2059" s="70" t="str">
        <f t="shared" si="703"/>
        <v/>
      </c>
      <c r="AE2059" s="70" t="str">
        <f t="shared" si="704"/>
        <v/>
      </c>
      <c r="AF2059" s="16"/>
      <c r="AG2059" s="23"/>
      <c r="AH2059" s="22"/>
      <c r="AJ2059" s="83">
        <f t="shared" si="705"/>
        <v>0</v>
      </c>
      <c r="AO2059" s="22" t="str">
        <f t="shared" si="706"/>
        <v/>
      </c>
      <c r="AP2059" s="22" t="str">
        <f t="shared" si="707"/>
        <v/>
      </c>
    </row>
    <row r="2060" spans="1:42" x14ac:dyDescent="0.25">
      <c r="A2060" s="10"/>
      <c r="B2060" s="10"/>
      <c r="C2060" s="10"/>
      <c r="D2060" s="10"/>
      <c r="E2060" s="10"/>
      <c r="F2060" s="10"/>
      <c r="G2060" s="10"/>
      <c r="H2060" s="17"/>
      <c r="I2060" s="10"/>
      <c r="J2060" s="10"/>
      <c r="K2060" s="16" t="str">
        <f t="shared" si="686"/>
        <v/>
      </c>
      <c r="L2060" s="23" t="str">
        <f t="shared" si="687"/>
        <v/>
      </c>
      <c r="M2060" s="22" t="str">
        <f t="shared" si="688"/>
        <v/>
      </c>
      <c r="N2060" s="72"/>
      <c r="O2060" s="16" t="str">
        <f t="shared" si="689"/>
        <v/>
      </c>
      <c r="P2060" s="16" t="str">
        <f t="shared" si="690"/>
        <v/>
      </c>
      <c r="Q2060" s="16" t="str">
        <f t="shared" si="691"/>
        <v/>
      </c>
      <c r="R2060" s="23" t="str">
        <f t="shared" si="692"/>
        <v/>
      </c>
      <c r="S2060" s="23" t="str">
        <f t="shared" si="693"/>
        <v/>
      </c>
      <c r="T2060" s="23" t="str">
        <f t="shared" si="694"/>
        <v/>
      </c>
      <c r="U2060" s="23" t="str">
        <f t="shared" si="695"/>
        <v/>
      </c>
      <c r="V2060" s="23" t="str">
        <f t="shared" si="696"/>
        <v/>
      </c>
      <c r="W2060" s="70" t="str">
        <f t="shared" si="697"/>
        <v/>
      </c>
      <c r="X2060" s="70" t="str">
        <f t="shared" si="698"/>
        <v/>
      </c>
      <c r="Y2060" s="70" t="str">
        <f>IF(AND($A2060&lt;&gt;"",$E2060&gt;0),isLaptopBag($C2060,$J2060)*$D2060,"")</f>
        <v/>
      </c>
      <c r="Z2060" s="70" t="str">
        <f t="shared" si="699"/>
        <v/>
      </c>
      <c r="AA2060" s="70" t="str">
        <f t="shared" si="700"/>
        <v/>
      </c>
      <c r="AB2060" s="70" t="str">
        <f t="shared" si="701"/>
        <v/>
      </c>
      <c r="AC2060" s="70" t="str">
        <f t="shared" si="702"/>
        <v/>
      </c>
      <c r="AD2060" s="70" t="str">
        <f t="shared" si="703"/>
        <v/>
      </c>
      <c r="AE2060" s="70" t="str">
        <f t="shared" si="704"/>
        <v/>
      </c>
      <c r="AF2060" s="16"/>
      <c r="AG2060" s="23"/>
      <c r="AH2060" s="22"/>
      <c r="AJ2060" s="83">
        <f t="shared" si="705"/>
        <v>0</v>
      </c>
      <c r="AO2060" s="22" t="str">
        <f t="shared" si="706"/>
        <v/>
      </c>
      <c r="AP2060" s="22" t="str">
        <f t="shared" si="707"/>
        <v/>
      </c>
    </row>
    <row r="2061" spans="1:42" x14ac:dyDescent="0.25">
      <c r="A2061" s="10"/>
      <c r="B2061" s="10"/>
      <c r="C2061" s="10"/>
      <c r="D2061" s="10"/>
      <c r="E2061" s="10"/>
      <c r="F2061" s="10"/>
      <c r="G2061" s="10"/>
      <c r="H2061" s="17"/>
      <c r="I2061" s="10"/>
      <c r="J2061" s="10"/>
      <c r="K2061" s="16" t="str">
        <f t="shared" ref="K2061:K2124" si="708">IF($AF2061&lt;&gt;"",$AF2061,IF(AND($A2061&lt;&gt;"",$E2061&gt;0),SUM($O2061:$Q2061),""))</f>
        <v/>
      </c>
      <c r="L2061" s="23" t="str">
        <f t="shared" ref="L2061:L2124" si="709">IF($AG2061&lt;&gt;"",$AG2061,IF(AND($A2061&lt;&gt;"",$E2061&gt;0),SUM($R2061:$V2061),""))</f>
        <v/>
      </c>
      <c r="M2061" s="22" t="str">
        <f t="shared" ref="M2061:M2124" si="710">IF($AH2061&lt;&gt;"",$AH2061,IF(AND($A2061&lt;&gt;"",$E2061&gt;0),SUM($W2061:$AE2061)+$AO2061+$AP2061,""))</f>
        <v/>
      </c>
      <c r="N2061" s="72"/>
      <c r="O2061" s="16" t="str">
        <f t="shared" ref="O2061:O2124" si="711">IF(AND($A2061&lt;&gt;"",$E2061&gt;0),IF(AND($J2061="SONY",200000&lt;=$E2061,$E2061&lt;1000000),5000*$D2061,0),"")</f>
        <v/>
      </c>
      <c r="P2061" s="16" t="str">
        <f t="shared" ref="P2061:P2124" si="712">IF(AND($A2061&lt;&gt;"",$E2061&gt;0),IF(AND($J2061="SONY",1000000&lt;=$E2061,$E2061&lt;2000000),10000*$D2061,0),"")</f>
        <v/>
      </c>
      <c r="Q2061" s="16" t="str">
        <f t="shared" ref="Q2061:Q2124" si="713">IF(AND($A2061&lt;&gt;"",$E2061&gt;0),IF(AND($J2061="SONY",$E2061&gt;=2000000),20000*$D2061,0),"")</f>
        <v/>
      </c>
      <c r="R2061" s="23" t="str">
        <f t="shared" ref="R2061:R2124" si="714">IF(AND($A2061&lt;&gt;"",$E2061&gt;0),IF(AND($J2061&lt;&gt;"SONY",100000&lt;=$E2061,$E2061&lt;200000),5000*$D2061,0),"")</f>
        <v/>
      </c>
      <c r="S2061" s="23" t="str">
        <f t="shared" ref="S2061:S2124" si="715">IF(AND($A2061&lt;&gt;"",$E2061&gt;0),IF(AND($J2061&lt;&gt;"SONY",200000&lt;=$E2061,$E2061&lt;500000),10000*$D2061,0),"")</f>
        <v/>
      </c>
      <c r="T2061" s="23" t="str">
        <f t="shared" ref="T2061:T2124" si="716">IF(AND($A2061&lt;&gt;"",$E2061&gt;0),IF(AND($J2061&lt;&gt;"SONY",500000&lt;=$E2061,$E2061&lt;1000000),20000*$D2061,0),"")</f>
        <v/>
      </c>
      <c r="U2061" s="23" t="str">
        <f t="shared" ref="U2061:U2124" si="717">IF(AND($A2061&lt;&gt;"",$E2061&gt;0),IF(AND($J2061&lt;&gt;"SONY",1000000&lt;=$E2061,$E2061&lt;1500000),50000*$D2061,0),"")</f>
        <v/>
      </c>
      <c r="V2061" s="23" t="str">
        <f t="shared" ref="V2061:V2124" si="718">IF(AND($A2061&lt;&gt;"",$E2061&gt;0),IF(AND($J2061&lt;&gt;"SONY",1500000&lt;=$E2061),100000*$D2061,0),"")</f>
        <v/>
      </c>
      <c r="W2061" s="70" t="str">
        <f t="shared" ref="W2061:W2124" si="719">IF(AND($E2061&gt;0,$J2061="ELECOM",$E2061&gt;=500000,ISNUMBER(SEARCH("tai nghe",$C2061))),20000*$D2061,IF($A2061&lt;&gt;"",0,""))</f>
        <v/>
      </c>
      <c r="X2061" s="70" t="str">
        <f t="shared" ref="X2061:X2124" si="720">IF(AND($E2061&gt;0,$J2061="ELECOM",ISNUMBER(SEARCH("loa",$C2061))),20000*$D2061,IF($A2061&lt;&gt;"",0,""))</f>
        <v/>
      </c>
      <c r="Y2061" s="70" t="str">
        <f>IF(AND($A2061&lt;&gt;"",$E2061&gt;0),isLaptopBag($C2061,$J2061)*$D2061,"")</f>
        <v/>
      </c>
      <c r="Z2061" s="70" t="str">
        <f t="shared" ref="Z2061:Z2124" si="721">IF(AND($E2061&gt;0,$J2061="ELECOM",ISNUMBER(SEARCH("ốp",$C2061))),20000*$D2061,IF($A2061&lt;&gt;"",0,""))</f>
        <v/>
      </c>
      <c r="AA2061" s="70" t="str">
        <f t="shared" ref="AA2061:AA2124" si="722">IF(AND($E2061&gt;0,$J2061="ELECOM",ISNUMBER(SEARCH("Bút",$C2061))),20000*$D2061,IF($A2061&lt;&gt;"",0,""))</f>
        <v/>
      </c>
      <c r="AB2061" s="70" t="str">
        <f t="shared" ref="AB2061:AB2124" si="723">IF(AND($E2061&gt;0,$J2061="ELECOM",ISNUMBER(SEARCH("Chuột bi",$C2061))),20000*$D2061,IF($A2061&lt;&gt;"",0,""))</f>
        <v/>
      </c>
      <c r="AC2061" s="70" t="str">
        <f t="shared" ref="AC2061:AC2124" si="724">IF(AND($E2061&gt;0,$J2061="ELECOM",ISNUMBER(SEARCH("Chuột trackball",$C2061))),20000*$D2061,IF($A2061&lt;&gt;"",0,""))</f>
        <v/>
      </c>
      <c r="AD2061" s="70" t="str">
        <f t="shared" ref="AD2061:AD2124" si="725">IF(AND($E2061&gt;0,$J2061="ELECOM",ISNUMBER(SEARCH("Sạc không dây",$C2061))),20000*$D2061,IF($A2061&lt;&gt;"",0,""))</f>
        <v/>
      </c>
      <c r="AE2061" s="70" t="str">
        <f t="shared" ref="AE2061:AE2124" si="726">IF(AND($E2061&gt;0,$J2061="ELECOM",ISNUMBER(SEARCH("Sạc kd",$C2061))),20000*$D2061,IF($A2061&lt;&gt;"",0,""))</f>
        <v/>
      </c>
      <c r="AF2061" s="16"/>
      <c r="AG2061" s="23"/>
      <c r="AH2061" s="22"/>
      <c r="AJ2061" s="83">
        <f t="shared" ref="AJ2061:AJ2124" si="727">DAY(H2061)</f>
        <v>0</v>
      </c>
      <c r="AO2061" s="22" t="str">
        <f t="shared" ref="AO2061:AO2124" si="728">IF(AND($E2061&gt;0,ISNUMBER(SEARCH("Sạc dự phòng Energizer",$C2061))),10000*$D2061,IF($A2061&lt;&gt;"",0,""))</f>
        <v/>
      </c>
      <c r="AP2061" s="22" t="str">
        <f t="shared" ref="AP2061:AP2124" si="729">IF(AND($E2061&gt;0,ISNUMBER(SEARCH("SDP Energizer",$C2061))),10000*$D2061,IF($A2061&lt;&gt;"",0,""))</f>
        <v/>
      </c>
    </row>
    <row r="2062" spans="1:42" x14ac:dyDescent="0.25">
      <c r="A2062" s="10"/>
      <c r="B2062" s="10"/>
      <c r="C2062" s="10"/>
      <c r="D2062" s="10"/>
      <c r="E2062" s="10"/>
      <c r="F2062" s="10"/>
      <c r="G2062" s="10"/>
      <c r="H2062" s="17"/>
      <c r="I2062" s="10"/>
      <c r="J2062" s="10"/>
      <c r="K2062" s="16" t="str">
        <f t="shared" si="708"/>
        <v/>
      </c>
      <c r="L2062" s="23" t="str">
        <f t="shared" si="709"/>
        <v/>
      </c>
      <c r="M2062" s="22" t="str">
        <f t="shared" si="710"/>
        <v/>
      </c>
      <c r="N2062" s="72"/>
      <c r="O2062" s="16" t="str">
        <f t="shared" si="711"/>
        <v/>
      </c>
      <c r="P2062" s="16" t="str">
        <f t="shared" si="712"/>
        <v/>
      </c>
      <c r="Q2062" s="16" t="str">
        <f t="shared" si="713"/>
        <v/>
      </c>
      <c r="R2062" s="23" t="str">
        <f t="shared" si="714"/>
        <v/>
      </c>
      <c r="S2062" s="23" t="str">
        <f t="shared" si="715"/>
        <v/>
      </c>
      <c r="T2062" s="23" t="str">
        <f t="shared" si="716"/>
        <v/>
      </c>
      <c r="U2062" s="23" t="str">
        <f t="shared" si="717"/>
        <v/>
      </c>
      <c r="V2062" s="23" t="str">
        <f t="shared" si="718"/>
        <v/>
      </c>
      <c r="W2062" s="70" t="str">
        <f t="shared" si="719"/>
        <v/>
      </c>
      <c r="X2062" s="70" t="str">
        <f t="shared" si="720"/>
        <v/>
      </c>
      <c r="Y2062" s="70" t="str">
        <f>IF(AND($A2062&lt;&gt;"",$E2062&gt;0),isLaptopBag($C2062,$J2062)*$D2062,"")</f>
        <v/>
      </c>
      <c r="Z2062" s="70" t="str">
        <f t="shared" si="721"/>
        <v/>
      </c>
      <c r="AA2062" s="70" t="str">
        <f t="shared" si="722"/>
        <v/>
      </c>
      <c r="AB2062" s="70" t="str">
        <f t="shared" si="723"/>
        <v/>
      </c>
      <c r="AC2062" s="70" t="str">
        <f t="shared" si="724"/>
        <v/>
      </c>
      <c r="AD2062" s="70" t="str">
        <f t="shared" si="725"/>
        <v/>
      </c>
      <c r="AE2062" s="70" t="str">
        <f t="shared" si="726"/>
        <v/>
      </c>
      <c r="AF2062" s="16"/>
      <c r="AG2062" s="23"/>
      <c r="AH2062" s="22"/>
      <c r="AJ2062" s="83">
        <f t="shared" si="727"/>
        <v>0</v>
      </c>
      <c r="AO2062" s="22" t="str">
        <f t="shared" si="728"/>
        <v/>
      </c>
      <c r="AP2062" s="22" t="str">
        <f t="shared" si="729"/>
        <v/>
      </c>
    </row>
    <row r="2063" spans="1:42" x14ac:dyDescent="0.25">
      <c r="A2063" s="10"/>
      <c r="B2063" s="10"/>
      <c r="C2063" s="10"/>
      <c r="D2063" s="10"/>
      <c r="E2063" s="10"/>
      <c r="F2063" s="10"/>
      <c r="G2063" s="10"/>
      <c r="H2063" s="17"/>
      <c r="I2063" s="10"/>
      <c r="J2063" s="10"/>
      <c r="K2063" s="16" t="str">
        <f t="shared" si="708"/>
        <v/>
      </c>
      <c r="L2063" s="23" t="str">
        <f t="shared" si="709"/>
        <v/>
      </c>
      <c r="M2063" s="22" t="str">
        <f t="shared" si="710"/>
        <v/>
      </c>
      <c r="N2063" s="72"/>
      <c r="O2063" s="16" t="str">
        <f t="shared" si="711"/>
        <v/>
      </c>
      <c r="P2063" s="16" t="str">
        <f t="shared" si="712"/>
        <v/>
      </c>
      <c r="Q2063" s="16" t="str">
        <f t="shared" si="713"/>
        <v/>
      </c>
      <c r="R2063" s="23" t="str">
        <f t="shared" si="714"/>
        <v/>
      </c>
      <c r="S2063" s="23" t="str">
        <f t="shared" si="715"/>
        <v/>
      </c>
      <c r="T2063" s="23" t="str">
        <f t="shared" si="716"/>
        <v/>
      </c>
      <c r="U2063" s="23" t="str">
        <f t="shared" si="717"/>
        <v/>
      </c>
      <c r="V2063" s="23" t="str">
        <f t="shared" si="718"/>
        <v/>
      </c>
      <c r="W2063" s="70" t="str">
        <f t="shared" si="719"/>
        <v/>
      </c>
      <c r="X2063" s="70" t="str">
        <f t="shared" si="720"/>
        <v/>
      </c>
      <c r="Y2063" s="70" t="str">
        <f>IF(AND($A2063&lt;&gt;"",$E2063&gt;0),isLaptopBag($C2063,$J2063)*$D2063,"")</f>
        <v/>
      </c>
      <c r="Z2063" s="70" t="str">
        <f t="shared" si="721"/>
        <v/>
      </c>
      <c r="AA2063" s="70" t="str">
        <f t="shared" si="722"/>
        <v/>
      </c>
      <c r="AB2063" s="70" t="str">
        <f t="shared" si="723"/>
        <v/>
      </c>
      <c r="AC2063" s="70" t="str">
        <f t="shared" si="724"/>
        <v/>
      </c>
      <c r="AD2063" s="70" t="str">
        <f t="shared" si="725"/>
        <v/>
      </c>
      <c r="AE2063" s="70" t="str">
        <f t="shared" si="726"/>
        <v/>
      </c>
      <c r="AF2063" s="16"/>
      <c r="AG2063" s="23"/>
      <c r="AH2063" s="22"/>
      <c r="AJ2063" s="83">
        <f t="shared" si="727"/>
        <v>0</v>
      </c>
      <c r="AO2063" s="22" t="str">
        <f t="shared" si="728"/>
        <v/>
      </c>
      <c r="AP2063" s="22" t="str">
        <f t="shared" si="729"/>
        <v/>
      </c>
    </row>
    <row r="2064" spans="1:42" x14ac:dyDescent="0.25">
      <c r="A2064" s="10"/>
      <c r="B2064" s="10"/>
      <c r="C2064" s="10"/>
      <c r="D2064" s="10"/>
      <c r="E2064" s="10"/>
      <c r="F2064" s="10"/>
      <c r="G2064" s="10"/>
      <c r="H2064" s="17"/>
      <c r="I2064" s="10"/>
      <c r="J2064" s="10"/>
      <c r="K2064" s="16" t="str">
        <f t="shared" si="708"/>
        <v/>
      </c>
      <c r="L2064" s="23" t="str">
        <f t="shared" si="709"/>
        <v/>
      </c>
      <c r="M2064" s="22" t="str">
        <f t="shared" si="710"/>
        <v/>
      </c>
      <c r="N2064" s="72"/>
      <c r="O2064" s="16" t="str">
        <f t="shared" si="711"/>
        <v/>
      </c>
      <c r="P2064" s="16" t="str">
        <f t="shared" si="712"/>
        <v/>
      </c>
      <c r="Q2064" s="16" t="str">
        <f t="shared" si="713"/>
        <v/>
      </c>
      <c r="R2064" s="23" t="str">
        <f t="shared" si="714"/>
        <v/>
      </c>
      <c r="S2064" s="23" t="str">
        <f t="shared" si="715"/>
        <v/>
      </c>
      <c r="T2064" s="23" t="str">
        <f t="shared" si="716"/>
        <v/>
      </c>
      <c r="U2064" s="23" t="str">
        <f t="shared" si="717"/>
        <v/>
      </c>
      <c r="V2064" s="23" t="str">
        <f t="shared" si="718"/>
        <v/>
      </c>
      <c r="W2064" s="70" t="str">
        <f t="shared" si="719"/>
        <v/>
      </c>
      <c r="X2064" s="70" t="str">
        <f t="shared" si="720"/>
        <v/>
      </c>
      <c r="Y2064" s="70" t="str">
        <f>IF(AND($A2064&lt;&gt;"",$E2064&gt;0),isLaptopBag($C2064,$J2064)*$D2064,"")</f>
        <v/>
      </c>
      <c r="Z2064" s="70" t="str">
        <f t="shared" si="721"/>
        <v/>
      </c>
      <c r="AA2064" s="70" t="str">
        <f t="shared" si="722"/>
        <v/>
      </c>
      <c r="AB2064" s="70" t="str">
        <f t="shared" si="723"/>
        <v/>
      </c>
      <c r="AC2064" s="70" t="str">
        <f t="shared" si="724"/>
        <v/>
      </c>
      <c r="AD2064" s="70" t="str">
        <f t="shared" si="725"/>
        <v/>
      </c>
      <c r="AE2064" s="70" t="str">
        <f t="shared" si="726"/>
        <v/>
      </c>
      <c r="AF2064" s="16"/>
      <c r="AG2064" s="23"/>
      <c r="AH2064" s="22"/>
      <c r="AJ2064" s="83">
        <f t="shared" si="727"/>
        <v>0</v>
      </c>
      <c r="AO2064" s="22" t="str">
        <f t="shared" si="728"/>
        <v/>
      </c>
      <c r="AP2064" s="22" t="str">
        <f t="shared" si="729"/>
        <v/>
      </c>
    </row>
    <row r="2065" spans="1:42" x14ac:dyDescent="0.25">
      <c r="A2065" s="10"/>
      <c r="B2065" s="10"/>
      <c r="C2065" s="10"/>
      <c r="D2065" s="10"/>
      <c r="E2065" s="10"/>
      <c r="F2065" s="10"/>
      <c r="G2065" s="10"/>
      <c r="H2065" s="17"/>
      <c r="I2065" s="10"/>
      <c r="J2065" s="10"/>
      <c r="K2065" s="16" t="str">
        <f t="shared" si="708"/>
        <v/>
      </c>
      <c r="L2065" s="23" t="str">
        <f t="shared" si="709"/>
        <v/>
      </c>
      <c r="M2065" s="22" t="str">
        <f t="shared" si="710"/>
        <v/>
      </c>
      <c r="N2065" s="72"/>
      <c r="O2065" s="16" t="str">
        <f t="shared" si="711"/>
        <v/>
      </c>
      <c r="P2065" s="16" t="str">
        <f t="shared" si="712"/>
        <v/>
      </c>
      <c r="Q2065" s="16" t="str">
        <f t="shared" si="713"/>
        <v/>
      </c>
      <c r="R2065" s="23" t="str">
        <f t="shared" si="714"/>
        <v/>
      </c>
      <c r="S2065" s="23" t="str">
        <f t="shared" si="715"/>
        <v/>
      </c>
      <c r="T2065" s="23" t="str">
        <f t="shared" si="716"/>
        <v/>
      </c>
      <c r="U2065" s="23" t="str">
        <f t="shared" si="717"/>
        <v/>
      </c>
      <c r="V2065" s="23" t="str">
        <f t="shared" si="718"/>
        <v/>
      </c>
      <c r="W2065" s="70" t="str">
        <f t="shared" si="719"/>
        <v/>
      </c>
      <c r="X2065" s="70" t="str">
        <f t="shared" si="720"/>
        <v/>
      </c>
      <c r="Y2065" s="70" t="str">
        <f>IF(AND($A2065&lt;&gt;"",$E2065&gt;0),isLaptopBag($C2065,$J2065)*$D2065,"")</f>
        <v/>
      </c>
      <c r="Z2065" s="70" t="str">
        <f t="shared" si="721"/>
        <v/>
      </c>
      <c r="AA2065" s="70" t="str">
        <f t="shared" si="722"/>
        <v/>
      </c>
      <c r="AB2065" s="70" t="str">
        <f t="shared" si="723"/>
        <v/>
      </c>
      <c r="AC2065" s="70" t="str">
        <f t="shared" si="724"/>
        <v/>
      </c>
      <c r="AD2065" s="70" t="str">
        <f t="shared" si="725"/>
        <v/>
      </c>
      <c r="AE2065" s="70" t="str">
        <f t="shared" si="726"/>
        <v/>
      </c>
      <c r="AF2065" s="16"/>
      <c r="AG2065" s="23"/>
      <c r="AH2065" s="22"/>
      <c r="AJ2065" s="83">
        <f t="shared" si="727"/>
        <v>0</v>
      </c>
      <c r="AO2065" s="22" t="str">
        <f t="shared" si="728"/>
        <v/>
      </c>
      <c r="AP2065" s="22" t="str">
        <f t="shared" si="729"/>
        <v/>
      </c>
    </row>
    <row r="2066" spans="1:42" x14ac:dyDescent="0.25">
      <c r="A2066" s="10"/>
      <c r="B2066" s="10"/>
      <c r="C2066" s="10"/>
      <c r="D2066" s="10"/>
      <c r="E2066" s="10"/>
      <c r="F2066" s="10"/>
      <c r="G2066" s="10"/>
      <c r="H2066" s="17"/>
      <c r="I2066" s="10"/>
      <c r="J2066" s="10"/>
      <c r="K2066" s="16" t="str">
        <f t="shared" si="708"/>
        <v/>
      </c>
      <c r="L2066" s="23" t="str">
        <f t="shared" si="709"/>
        <v/>
      </c>
      <c r="M2066" s="22" t="str">
        <f t="shared" si="710"/>
        <v/>
      </c>
      <c r="N2066" s="72"/>
      <c r="O2066" s="16" t="str">
        <f t="shared" si="711"/>
        <v/>
      </c>
      <c r="P2066" s="16" t="str">
        <f t="shared" si="712"/>
        <v/>
      </c>
      <c r="Q2066" s="16" t="str">
        <f t="shared" si="713"/>
        <v/>
      </c>
      <c r="R2066" s="23" t="str">
        <f t="shared" si="714"/>
        <v/>
      </c>
      <c r="S2066" s="23" t="str">
        <f t="shared" si="715"/>
        <v/>
      </c>
      <c r="T2066" s="23" t="str">
        <f t="shared" si="716"/>
        <v/>
      </c>
      <c r="U2066" s="23" t="str">
        <f t="shared" si="717"/>
        <v/>
      </c>
      <c r="V2066" s="23" t="str">
        <f t="shared" si="718"/>
        <v/>
      </c>
      <c r="W2066" s="70" t="str">
        <f t="shared" si="719"/>
        <v/>
      </c>
      <c r="X2066" s="70" t="str">
        <f t="shared" si="720"/>
        <v/>
      </c>
      <c r="Y2066" s="70" t="str">
        <f>IF(AND($A2066&lt;&gt;"",$E2066&gt;0),isLaptopBag($C2066,$J2066)*$D2066,"")</f>
        <v/>
      </c>
      <c r="Z2066" s="70" t="str">
        <f t="shared" si="721"/>
        <v/>
      </c>
      <c r="AA2066" s="70" t="str">
        <f t="shared" si="722"/>
        <v/>
      </c>
      <c r="AB2066" s="70" t="str">
        <f t="shared" si="723"/>
        <v/>
      </c>
      <c r="AC2066" s="70" t="str">
        <f t="shared" si="724"/>
        <v/>
      </c>
      <c r="AD2066" s="70" t="str">
        <f t="shared" si="725"/>
        <v/>
      </c>
      <c r="AE2066" s="70" t="str">
        <f t="shared" si="726"/>
        <v/>
      </c>
      <c r="AF2066" s="16"/>
      <c r="AG2066" s="23"/>
      <c r="AH2066" s="22"/>
      <c r="AJ2066" s="83">
        <f t="shared" si="727"/>
        <v>0</v>
      </c>
      <c r="AO2066" s="22" t="str">
        <f t="shared" si="728"/>
        <v/>
      </c>
      <c r="AP2066" s="22" t="str">
        <f t="shared" si="729"/>
        <v/>
      </c>
    </row>
    <row r="2067" spans="1:42" x14ac:dyDescent="0.25">
      <c r="A2067" s="10"/>
      <c r="B2067" s="10"/>
      <c r="C2067" s="10"/>
      <c r="D2067" s="10"/>
      <c r="E2067" s="10"/>
      <c r="F2067" s="10"/>
      <c r="G2067" s="10"/>
      <c r="H2067" s="17"/>
      <c r="I2067" s="10"/>
      <c r="J2067" s="10"/>
      <c r="K2067" s="16" t="str">
        <f t="shared" si="708"/>
        <v/>
      </c>
      <c r="L2067" s="23" t="str">
        <f t="shared" si="709"/>
        <v/>
      </c>
      <c r="M2067" s="22" t="str">
        <f t="shared" si="710"/>
        <v/>
      </c>
      <c r="N2067" s="72"/>
      <c r="O2067" s="16" t="str">
        <f t="shared" si="711"/>
        <v/>
      </c>
      <c r="P2067" s="16" t="str">
        <f t="shared" si="712"/>
        <v/>
      </c>
      <c r="Q2067" s="16" t="str">
        <f t="shared" si="713"/>
        <v/>
      </c>
      <c r="R2067" s="23" t="str">
        <f t="shared" si="714"/>
        <v/>
      </c>
      <c r="S2067" s="23" t="str">
        <f t="shared" si="715"/>
        <v/>
      </c>
      <c r="T2067" s="23" t="str">
        <f t="shared" si="716"/>
        <v/>
      </c>
      <c r="U2067" s="23" t="str">
        <f t="shared" si="717"/>
        <v/>
      </c>
      <c r="V2067" s="23" t="str">
        <f t="shared" si="718"/>
        <v/>
      </c>
      <c r="W2067" s="70" t="str">
        <f t="shared" si="719"/>
        <v/>
      </c>
      <c r="X2067" s="70" t="str">
        <f t="shared" si="720"/>
        <v/>
      </c>
      <c r="Y2067" s="70" t="str">
        <f>IF(AND($A2067&lt;&gt;"",$E2067&gt;0),isLaptopBag($C2067,$J2067)*$D2067,"")</f>
        <v/>
      </c>
      <c r="Z2067" s="70" t="str">
        <f t="shared" si="721"/>
        <v/>
      </c>
      <c r="AA2067" s="70" t="str">
        <f t="shared" si="722"/>
        <v/>
      </c>
      <c r="AB2067" s="70" t="str">
        <f t="shared" si="723"/>
        <v/>
      </c>
      <c r="AC2067" s="70" t="str">
        <f t="shared" si="724"/>
        <v/>
      </c>
      <c r="AD2067" s="70" t="str">
        <f t="shared" si="725"/>
        <v/>
      </c>
      <c r="AE2067" s="70" t="str">
        <f t="shared" si="726"/>
        <v/>
      </c>
      <c r="AF2067" s="16"/>
      <c r="AG2067" s="23"/>
      <c r="AH2067" s="22"/>
      <c r="AJ2067" s="83">
        <f t="shared" si="727"/>
        <v>0</v>
      </c>
      <c r="AO2067" s="22" t="str">
        <f t="shared" si="728"/>
        <v/>
      </c>
      <c r="AP2067" s="22" t="str">
        <f t="shared" si="729"/>
        <v/>
      </c>
    </row>
    <row r="2068" spans="1:42" x14ac:dyDescent="0.25">
      <c r="A2068" s="10"/>
      <c r="B2068" s="10"/>
      <c r="C2068" s="10"/>
      <c r="D2068" s="10"/>
      <c r="E2068" s="10"/>
      <c r="F2068" s="10"/>
      <c r="G2068" s="10"/>
      <c r="H2068" s="17"/>
      <c r="I2068" s="10"/>
      <c r="J2068" s="10"/>
      <c r="K2068" s="16" t="str">
        <f t="shared" si="708"/>
        <v/>
      </c>
      <c r="L2068" s="23" t="str">
        <f t="shared" si="709"/>
        <v/>
      </c>
      <c r="M2068" s="22" t="str">
        <f t="shared" si="710"/>
        <v/>
      </c>
      <c r="N2068" s="72"/>
      <c r="O2068" s="16" t="str">
        <f t="shared" si="711"/>
        <v/>
      </c>
      <c r="P2068" s="16" t="str">
        <f t="shared" si="712"/>
        <v/>
      </c>
      <c r="Q2068" s="16" t="str">
        <f t="shared" si="713"/>
        <v/>
      </c>
      <c r="R2068" s="23" t="str">
        <f t="shared" si="714"/>
        <v/>
      </c>
      <c r="S2068" s="23" t="str">
        <f t="shared" si="715"/>
        <v/>
      </c>
      <c r="T2068" s="23" t="str">
        <f t="shared" si="716"/>
        <v/>
      </c>
      <c r="U2068" s="23" t="str">
        <f t="shared" si="717"/>
        <v/>
      </c>
      <c r="V2068" s="23" t="str">
        <f t="shared" si="718"/>
        <v/>
      </c>
      <c r="W2068" s="70" t="str">
        <f t="shared" si="719"/>
        <v/>
      </c>
      <c r="X2068" s="70" t="str">
        <f t="shared" si="720"/>
        <v/>
      </c>
      <c r="Y2068" s="70" t="str">
        <f>IF(AND($A2068&lt;&gt;"",$E2068&gt;0),isLaptopBag($C2068,$J2068)*$D2068,"")</f>
        <v/>
      </c>
      <c r="Z2068" s="70" t="str">
        <f t="shared" si="721"/>
        <v/>
      </c>
      <c r="AA2068" s="70" t="str">
        <f t="shared" si="722"/>
        <v/>
      </c>
      <c r="AB2068" s="70" t="str">
        <f t="shared" si="723"/>
        <v/>
      </c>
      <c r="AC2068" s="70" t="str">
        <f t="shared" si="724"/>
        <v/>
      </c>
      <c r="AD2068" s="70" t="str">
        <f t="shared" si="725"/>
        <v/>
      </c>
      <c r="AE2068" s="70" t="str">
        <f t="shared" si="726"/>
        <v/>
      </c>
      <c r="AF2068" s="16"/>
      <c r="AG2068" s="23"/>
      <c r="AH2068" s="22"/>
      <c r="AJ2068" s="83">
        <f t="shared" si="727"/>
        <v>0</v>
      </c>
      <c r="AO2068" s="22" t="str">
        <f t="shared" si="728"/>
        <v/>
      </c>
      <c r="AP2068" s="22" t="str">
        <f t="shared" si="729"/>
        <v/>
      </c>
    </row>
    <row r="2069" spans="1:42" x14ac:dyDescent="0.25">
      <c r="A2069" s="10"/>
      <c r="B2069" s="10"/>
      <c r="C2069" s="10"/>
      <c r="D2069" s="10"/>
      <c r="E2069" s="10"/>
      <c r="F2069" s="10"/>
      <c r="G2069" s="10"/>
      <c r="H2069" s="17"/>
      <c r="I2069" s="10"/>
      <c r="J2069" s="10"/>
      <c r="K2069" s="16" t="str">
        <f t="shared" si="708"/>
        <v/>
      </c>
      <c r="L2069" s="23" t="str">
        <f t="shared" si="709"/>
        <v/>
      </c>
      <c r="M2069" s="22" t="str">
        <f t="shared" si="710"/>
        <v/>
      </c>
      <c r="N2069" s="72"/>
      <c r="O2069" s="16" t="str">
        <f t="shared" si="711"/>
        <v/>
      </c>
      <c r="P2069" s="16" t="str">
        <f t="shared" si="712"/>
        <v/>
      </c>
      <c r="Q2069" s="16" t="str">
        <f t="shared" si="713"/>
        <v/>
      </c>
      <c r="R2069" s="23" t="str">
        <f t="shared" si="714"/>
        <v/>
      </c>
      <c r="S2069" s="23" t="str">
        <f t="shared" si="715"/>
        <v/>
      </c>
      <c r="T2069" s="23" t="str">
        <f t="shared" si="716"/>
        <v/>
      </c>
      <c r="U2069" s="23" t="str">
        <f t="shared" si="717"/>
        <v/>
      </c>
      <c r="V2069" s="23" t="str">
        <f t="shared" si="718"/>
        <v/>
      </c>
      <c r="W2069" s="70" t="str">
        <f t="shared" si="719"/>
        <v/>
      </c>
      <c r="X2069" s="70" t="str">
        <f t="shared" si="720"/>
        <v/>
      </c>
      <c r="Y2069" s="70" t="str">
        <f>IF(AND($A2069&lt;&gt;"",$E2069&gt;0),isLaptopBag($C2069,$J2069)*$D2069,"")</f>
        <v/>
      </c>
      <c r="Z2069" s="70" t="str">
        <f t="shared" si="721"/>
        <v/>
      </c>
      <c r="AA2069" s="70" t="str">
        <f t="shared" si="722"/>
        <v/>
      </c>
      <c r="AB2069" s="70" t="str">
        <f t="shared" si="723"/>
        <v/>
      </c>
      <c r="AC2069" s="70" t="str">
        <f t="shared" si="724"/>
        <v/>
      </c>
      <c r="AD2069" s="70" t="str">
        <f t="shared" si="725"/>
        <v/>
      </c>
      <c r="AE2069" s="70" t="str">
        <f t="shared" si="726"/>
        <v/>
      </c>
      <c r="AF2069" s="16"/>
      <c r="AG2069" s="23"/>
      <c r="AH2069" s="22"/>
      <c r="AJ2069" s="83">
        <f t="shared" si="727"/>
        <v>0</v>
      </c>
      <c r="AO2069" s="22" t="str">
        <f t="shared" si="728"/>
        <v/>
      </c>
      <c r="AP2069" s="22" t="str">
        <f t="shared" si="729"/>
        <v/>
      </c>
    </row>
    <row r="2070" spans="1:42" x14ac:dyDescent="0.25">
      <c r="A2070" s="10"/>
      <c r="B2070" s="10"/>
      <c r="C2070" s="10"/>
      <c r="D2070" s="10"/>
      <c r="E2070" s="10"/>
      <c r="F2070" s="10"/>
      <c r="G2070" s="10"/>
      <c r="H2070" s="17"/>
      <c r="I2070" s="10"/>
      <c r="J2070" s="10"/>
      <c r="K2070" s="16" t="str">
        <f t="shared" si="708"/>
        <v/>
      </c>
      <c r="L2070" s="23" t="str">
        <f t="shared" si="709"/>
        <v/>
      </c>
      <c r="M2070" s="22" t="str">
        <f t="shared" si="710"/>
        <v/>
      </c>
      <c r="N2070" s="72"/>
      <c r="O2070" s="16" t="str">
        <f t="shared" si="711"/>
        <v/>
      </c>
      <c r="P2070" s="16" t="str">
        <f t="shared" si="712"/>
        <v/>
      </c>
      <c r="Q2070" s="16" t="str">
        <f t="shared" si="713"/>
        <v/>
      </c>
      <c r="R2070" s="23" t="str">
        <f t="shared" si="714"/>
        <v/>
      </c>
      <c r="S2070" s="23" t="str">
        <f t="shared" si="715"/>
        <v/>
      </c>
      <c r="T2070" s="23" t="str">
        <f t="shared" si="716"/>
        <v/>
      </c>
      <c r="U2070" s="23" t="str">
        <f t="shared" si="717"/>
        <v/>
      </c>
      <c r="V2070" s="23" t="str">
        <f t="shared" si="718"/>
        <v/>
      </c>
      <c r="W2070" s="70" t="str">
        <f t="shared" si="719"/>
        <v/>
      </c>
      <c r="X2070" s="70" t="str">
        <f t="shared" si="720"/>
        <v/>
      </c>
      <c r="Y2070" s="70" t="str">
        <f>IF(AND($A2070&lt;&gt;"",$E2070&gt;0),isLaptopBag($C2070,$J2070)*$D2070,"")</f>
        <v/>
      </c>
      <c r="Z2070" s="70" t="str">
        <f t="shared" si="721"/>
        <v/>
      </c>
      <c r="AA2070" s="70" t="str">
        <f t="shared" si="722"/>
        <v/>
      </c>
      <c r="AB2070" s="70" t="str">
        <f t="shared" si="723"/>
        <v/>
      </c>
      <c r="AC2070" s="70" t="str">
        <f t="shared" si="724"/>
        <v/>
      </c>
      <c r="AD2070" s="70" t="str">
        <f t="shared" si="725"/>
        <v/>
      </c>
      <c r="AE2070" s="70" t="str">
        <f t="shared" si="726"/>
        <v/>
      </c>
      <c r="AF2070" s="16"/>
      <c r="AG2070" s="23"/>
      <c r="AH2070" s="22"/>
      <c r="AJ2070" s="83">
        <f t="shared" si="727"/>
        <v>0</v>
      </c>
      <c r="AO2070" s="22" t="str">
        <f t="shared" si="728"/>
        <v/>
      </c>
      <c r="AP2070" s="22" t="str">
        <f t="shared" si="729"/>
        <v/>
      </c>
    </row>
    <row r="2071" spans="1:42" x14ac:dyDescent="0.25">
      <c r="A2071" s="10"/>
      <c r="B2071" s="10"/>
      <c r="C2071" s="10"/>
      <c r="D2071" s="10"/>
      <c r="E2071" s="10"/>
      <c r="F2071" s="10"/>
      <c r="G2071" s="10"/>
      <c r="H2071" s="17"/>
      <c r="I2071" s="10"/>
      <c r="J2071" s="10"/>
      <c r="K2071" s="16" t="str">
        <f t="shared" si="708"/>
        <v/>
      </c>
      <c r="L2071" s="23" t="str">
        <f t="shared" si="709"/>
        <v/>
      </c>
      <c r="M2071" s="22" t="str">
        <f t="shared" si="710"/>
        <v/>
      </c>
      <c r="N2071" s="72"/>
      <c r="O2071" s="16" t="str">
        <f t="shared" si="711"/>
        <v/>
      </c>
      <c r="P2071" s="16" t="str">
        <f t="shared" si="712"/>
        <v/>
      </c>
      <c r="Q2071" s="16" t="str">
        <f t="shared" si="713"/>
        <v/>
      </c>
      <c r="R2071" s="23" t="str">
        <f t="shared" si="714"/>
        <v/>
      </c>
      <c r="S2071" s="23" t="str">
        <f t="shared" si="715"/>
        <v/>
      </c>
      <c r="T2071" s="23" t="str">
        <f t="shared" si="716"/>
        <v/>
      </c>
      <c r="U2071" s="23" t="str">
        <f t="shared" si="717"/>
        <v/>
      </c>
      <c r="V2071" s="23" t="str">
        <f t="shared" si="718"/>
        <v/>
      </c>
      <c r="W2071" s="70" t="str">
        <f t="shared" si="719"/>
        <v/>
      </c>
      <c r="X2071" s="70" t="str">
        <f t="shared" si="720"/>
        <v/>
      </c>
      <c r="Y2071" s="70" t="str">
        <f>IF(AND($A2071&lt;&gt;"",$E2071&gt;0),isLaptopBag($C2071,$J2071)*$D2071,"")</f>
        <v/>
      </c>
      <c r="Z2071" s="70" t="str">
        <f t="shared" si="721"/>
        <v/>
      </c>
      <c r="AA2071" s="70" t="str">
        <f t="shared" si="722"/>
        <v/>
      </c>
      <c r="AB2071" s="70" t="str">
        <f t="shared" si="723"/>
        <v/>
      </c>
      <c r="AC2071" s="70" t="str">
        <f t="shared" si="724"/>
        <v/>
      </c>
      <c r="AD2071" s="70" t="str">
        <f t="shared" si="725"/>
        <v/>
      </c>
      <c r="AE2071" s="70" t="str">
        <f t="shared" si="726"/>
        <v/>
      </c>
      <c r="AF2071" s="16"/>
      <c r="AG2071" s="23"/>
      <c r="AH2071" s="22"/>
      <c r="AJ2071" s="83">
        <f t="shared" si="727"/>
        <v>0</v>
      </c>
      <c r="AO2071" s="22" t="str">
        <f t="shared" si="728"/>
        <v/>
      </c>
      <c r="AP2071" s="22" t="str">
        <f t="shared" si="729"/>
        <v/>
      </c>
    </row>
    <row r="2072" spans="1:42" x14ac:dyDescent="0.25">
      <c r="A2072" s="10"/>
      <c r="B2072" s="10"/>
      <c r="C2072" s="10"/>
      <c r="D2072" s="10"/>
      <c r="E2072" s="10"/>
      <c r="F2072" s="10"/>
      <c r="G2072" s="10"/>
      <c r="H2072" s="17"/>
      <c r="I2072" s="10"/>
      <c r="J2072" s="10"/>
      <c r="K2072" s="16" t="str">
        <f t="shared" si="708"/>
        <v/>
      </c>
      <c r="L2072" s="23" t="str">
        <f t="shared" si="709"/>
        <v/>
      </c>
      <c r="M2072" s="22" t="str">
        <f t="shared" si="710"/>
        <v/>
      </c>
      <c r="N2072" s="72"/>
      <c r="O2072" s="16" t="str">
        <f t="shared" si="711"/>
        <v/>
      </c>
      <c r="P2072" s="16" t="str">
        <f t="shared" si="712"/>
        <v/>
      </c>
      <c r="Q2072" s="16" t="str">
        <f t="shared" si="713"/>
        <v/>
      </c>
      <c r="R2072" s="23" t="str">
        <f t="shared" si="714"/>
        <v/>
      </c>
      <c r="S2072" s="23" t="str">
        <f t="shared" si="715"/>
        <v/>
      </c>
      <c r="T2072" s="23" t="str">
        <f t="shared" si="716"/>
        <v/>
      </c>
      <c r="U2072" s="23" t="str">
        <f t="shared" si="717"/>
        <v/>
      </c>
      <c r="V2072" s="23" t="str">
        <f t="shared" si="718"/>
        <v/>
      </c>
      <c r="W2072" s="70" t="str">
        <f t="shared" si="719"/>
        <v/>
      </c>
      <c r="X2072" s="70" t="str">
        <f t="shared" si="720"/>
        <v/>
      </c>
      <c r="Y2072" s="70" t="str">
        <f>IF(AND($A2072&lt;&gt;"",$E2072&gt;0),isLaptopBag($C2072,$J2072)*$D2072,"")</f>
        <v/>
      </c>
      <c r="Z2072" s="70" t="str">
        <f t="shared" si="721"/>
        <v/>
      </c>
      <c r="AA2072" s="70" t="str">
        <f t="shared" si="722"/>
        <v/>
      </c>
      <c r="AB2072" s="70" t="str">
        <f t="shared" si="723"/>
        <v/>
      </c>
      <c r="AC2072" s="70" t="str">
        <f t="shared" si="724"/>
        <v/>
      </c>
      <c r="AD2072" s="70" t="str">
        <f t="shared" si="725"/>
        <v/>
      </c>
      <c r="AE2072" s="70" t="str">
        <f t="shared" si="726"/>
        <v/>
      </c>
      <c r="AF2072" s="16"/>
      <c r="AG2072" s="23"/>
      <c r="AH2072" s="22"/>
      <c r="AJ2072" s="83">
        <f t="shared" si="727"/>
        <v>0</v>
      </c>
      <c r="AO2072" s="22" t="str">
        <f t="shared" si="728"/>
        <v/>
      </c>
      <c r="AP2072" s="22" t="str">
        <f t="shared" si="729"/>
        <v/>
      </c>
    </row>
    <row r="2073" spans="1:42" x14ac:dyDescent="0.25">
      <c r="A2073" s="10"/>
      <c r="B2073" s="10"/>
      <c r="C2073" s="10"/>
      <c r="D2073" s="10"/>
      <c r="E2073" s="10"/>
      <c r="F2073" s="10"/>
      <c r="G2073" s="10"/>
      <c r="H2073" s="17"/>
      <c r="I2073" s="10"/>
      <c r="J2073" s="10"/>
      <c r="K2073" s="16" t="str">
        <f t="shared" si="708"/>
        <v/>
      </c>
      <c r="L2073" s="23" t="str">
        <f t="shared" si="709"/>
        <v/>
      </c>
      <c r="M2073" s="22" t="str">
        <f t="shared" si="710"/>
        <v/>
      </c>
      <c r="N2073" s="72"/>
      <c r="O2073" s="16" t="str">
        <f t="shared" si="711"/>
        <v/>
      </c>
      <c r="P2073" s="16" t="str">
        <f t="shared" si="712"/>
        <v/>
      </c>
      <c r="Q2073" s="16" t="str">
        <f t="shared" si="713"/>
        <v/>
      </c>
      <c r="R2073" s="23" t="str">
        <f t="shared" si="714"/>
        <v/>
      </c>
      <c r="S2073" s="23" t="str">
        <f t="shared" si="715"/>
        <v/>
      </c>
      <c r="T2073" s="23" t="str">
        <f t="shared" si="716"/>
        <v/>
      </c>
      <c r="U2073" s="23" t="str">
        <f t="shared" si="717"/>
        <v/>
      </c>
      <c r="V2073" s="23" t="str">
        <f t="shared" si="718"/>
        <v/>
      </c>
      <c r="W2073" s="70" t="str">
        <f t="shared" si="719"/>
        <v/>
      </c>
      <c r="X2073" s="70" t="str">
        <f t="shared" si="720"/>
        <v/>
      </c>
      <c r="Y2073" s="70" t="str">
        <f>IF(AND($A2073&lt;&gt;"",$E2073&gt;0),isLaptopBag($C2073,$J2073)*$D2073,"")</f>
        <v/>
      </c>
      <c r="Z2073" s="70" t="str">
        <f t="shared" si="721"/>
        <v/>
      </c>
      <c r="AA2073" s="70" t="str">
        <f t="shared" si="722"/>
        <v/>
      </c>
      <c r="AB2073" s="70" t="str">
        <f t="shared" si="723"/>
        <v/>
      </c>
      <c r="AC2073" s="70" t="str">
        <f t="shared" si="724"/>
        <v/>
      </c>
      <c r="AD2073" s="70" t="str">
        <f t="shared" si="725"/>
        <v/>
      </c>
      <c r="AE2073" s="70" t="str">
        <f t="shared" si="726"/>
        <v/>
      </c>
      <c r="AF2073" s="16"/>
      <c r="AG2073" s="23"/>
      <c r="AH2073" s="22"/>
      <c r="AJ2073" s="83">
        <f t="shared" si="727"/>
        <v>0</v>
      </c>
      <c r="AO2073" s="22" t="str">
        <f t="shared" si="728"/>
        <v/>
      </c>
      <c r="AP2073" s="22" t="str">
        <f t="shared" si="729"/>
        <v/>
      </c>
    </row>
    <row r="2074" spans="1:42" x14ac:dyDescent="0.25">
      <c r="A2074" s="10"/>
      <c r="B2074" s="10"/>
      <c r="C2074" s="10"/>
      <c r="D2074" s="10"/>
      <c r="E2074" s="10"/>
      <c r="F2074" s="10"/>
      <c r="G2074" s="10"/>
      <c r="H2074" s="17"/>
      <c r="I2074" s="10"/>
      <c r="J2074" s="10"/>
      <c r="K2074" s="16" t="str">
        <f t="shared" si="708"/>
        <v/>
      </c>
      <c r="L2074" s="23" t="str">
        <f t="shared" si="709"/>
        <v/>
      </c>
      <c r="M2074" s="22" t="str">
        <f t="shared" si="710"/>
        <v/>
      </c>
      <c r="N2074" s="72"/>
      <c r="O2074" s="16" t="str">
        <f t="shared" si="711"/>
        <v/>
      </c>
      <c r="P2074" s="16" t="str">
        <f t="shared" si="712"/>
        <v/>
      </c>
      <c r="Q2074" s="16" t="str">
        <f t="shared" si="713"/>
        <v/>
      </c>
      <c r="R2074" s="23" t="str">
        <f t="shared" si="714"/>
        <v/>
      </c>
      <c r="S2074" s="23" t="str">
        <f t="shared" si="715"/>
        <v/>
      </c>
      <c r="T2074" s="23" t="str">
        <f t="shared" si="716"/>
        <v/>
      </c>
      <c r="U2074" s="23" t="str">
        <f t="shared" si="717"/>
        <v/>
      </c>
      <c r="V2074" s="23" t="str">
        <f t="shared" si="718"/>
        <v/>
      </c>
      <c r="W2074" s="70" t="str">
        <f t="shared" si="719"/>
        <v/>
      </c>
      <c r="X2074" s="70" t="str">
        <f t="shared" si="720"/>
        <v/>
      </c>
      <c r="Y2074" s="70" t="str">
        <f>IF(AND($A2074&lt;&gt;"",$E2074&gt;0),isLaptopBag($C2074,$J2074)*$D2074,"")</f>
        <v/>
      </c>
      <c r="Z2074" s="70" t="str">
        <f t="shared" si="721"/>
        <v/>
      </c>
      <c r="AA2074" s="70" t="str">
        <f t="shared" si="722"/>
        <v/>
      </c>
      <c r="AB2074" s="70" t="str">
        <f t="shared" si="723"/>
        <v/>
      </c>
      <c r="AC2074" s="70" t="str">
        <f t="shared" si="724"/>
        <v/>
      </c>
      <c r="AD2074" s="70" t="str">
        <f t="shared" si="725"/>
        <v/>
      </c>
      <c r="AE2074" s="70" t="str">
        <f t="shared" si="726"/>
        <v/>
      </c>
      <c r="AF2074" s="16"/>
      <c r="AG2074" s="23"/>
      <c r="AH2074" s="22"/>
      <c r="AJ2074" s="83">
        <f t="shared" si="727"/>
        <v>0</v>
      </c>
      <c r="AO2074" s="22" t="str">
        <f t="shared" si="728"/>
        <v/>
      </c>
      <c r="AP2074" s="22" t="str">
        <f t="shared" si="729"/>
        <v/>
      </c>
    </row>
    <row r="2075" spans="1:42" x14ac:dyDescent="0.25">
      <c r="A2075" s="10"/>
      <c r="B2075" s="10"/>
      <c r="C2075" s="10"/>
      <c r="D2075" s="10"/>
      <c r="E2075" s="10"/>
      <c r="F2075" s="10"/>
      <c r="G2075" s="10"/>
      <c r="H2075" s="17"/>
      <c r="I2075" s="10"/>
      <c r="J2075" s="10"/>
      <c r="K2075" s="16" t="str">
        <f t="shared" si="708"/>
        <v/>
      </c>
      <c r="L2075" s="23" t="str">
        <f t="shared" si="709"/>
        <v/>
      </c>
      <c r="M2075" s="22" t="str">
        <f t="shared" si="710"/>
        <v/>
      </c>
      <c r="N2075" s="72"/>
      <c r="O2075" s="16" t="str">
        <f t="shared" si="711"/>
        <v/>
      </c>
      <c r="P2075" s="16" t="str">
        <f t="shared" si="712"/>
        <v/>
      </c>
      <c r="Q2075" s="16" t="str">
        <f t="shared" si="713"/>
        <v/>
      </c>
      <c r="R2075" s="23" t="str">
        <f t="shared" si="714"/>
        <v/>
      </c>
      <c r="S2075" s="23" t="str">
        <f t="shared" si="715"/>
        <v/>
      </c>
      <c r="T2075" s="23" t="str">
        <f t="shared" si="716"/>
        <v/>
      </c>
      <c r="U2075" s="23" t="str">
        <f t="shared" si="717"/>
        <v/>
      </c>
      <c r="V2075" s="23" t="str">
        <f t="shared" si="718"/>
        <v/>
      </c>
      <c r="W2075" s="70" t="str">
        <f t="shared" si="719"/>
        <v/>
      </c>
      <c r="X2075" s="70" t="str">
        <f t="shared" si="720"/>
        <v/>
      </c>
      <c r="Y2075" s="70" t="str">
        <f>IF(AND($A2075&lt;&gt;"",$E2075&gt;0),isLaptopBag($C2075,$J2075)*$D2075,"")</f>
        <v/>
      </c>
      <c r="Z2075" s="70" t="str">
        <f t="shared" si="721"/>
        <v/>
      </c>
      <c r="AA2075" s="70" t="str">
        <f t="shared" si="722"/>
        <v/>
      </c>
      <c r="AB2075" s="70" t="str">
        <f t="shared" si="723"/>
        <v/>
      </c>
      <c r="AC2075" s="70" t="str">
        <f t="shared" si="724"/>
        <v/>
      </c>
      <c r="AD2075" s="70" t="str">
        <f t="shared" si="725"/>
        <v/>
      </c>
      <c r="AE2075" s="70" t="str">
        <f t="shared" si="726"/>
        <v/>
      </c>
      <c r="AF2075" s="16"/>
      <c r="AG2075" s="23"/>
      <c r="AH2075" s="22"/>
      <c r="AJ2075" s="83">
        <f t="shared" si="727"/>
        <v>0</v>
      </c>
      <c r="AO2075" s="22" t="str">
        <f t="shared" si="728"/>
        <v/>
      </c>
      <c r="AP2075" s="22" t="str">
        <f t="shared" si="729"/>
        <v/>
      </c>
    </row>
    <row r="2076" spans="1:42" x14ac:dyDescent="0.25">
      <c r="A2076" s="10"/>
      <c r="B2076" s="10"/>
      <c r="C2076" s="10"/>
      <c r="D2076" s="10"/>
      <c r="E2076" s="10"/>
      <c r="F2076" s="10"/>
      <c r="G2076" s="10"/>
      <c r="H2076" s="17"/>
      <c r="I2076" s="10"/>
      <c r="J2076" s="10"/>
      <c r="K2076" s="16" t="str">
        <f t="shared" si="708"/>
        <v/>
      </c>
      <c r="L2076" s="23" t="str">
        <f t="shared" si="709"/>
        <v/>
      </c>
      <c r="M2076" s="22" t="str">
        <f t="shared" si="710"/>
        <v/>
      </c>
      <c r="N2076" s="72"/>
      <c r="O2076" s="16" t="str">
        <f t="shared" si="711"/>
        <v/>
      </c>
      <c r="P2076" s="16" t="str">
        <f t="shared" si="712"/>
        <v/>
      </c>
      <c r="Q2076" s="16" t="str">
        <f t="shared" si="713"/>
        <v/>
      </c>
      <c r="R2076" s="23" t="str">
        <f t="shared" si="714"/>
        <v/>
      </c>
      <c r="S2076" s="23" t="str">
        <f t="shared" si="715"/>
        <v/>
      </c>
      <c r="T2076" s="23" t="str">
        <f t="shared" si="716"/>
        <v/>
      </c>
      <c r="U2076" s="23" t="str">
        <f t="shared" si="717"/>
        <v/>
      </c>
      <c r="V2076" s="23" t="str">
        <f t="shared" si="718"/>
        <v/>
      </c>
      <c r="W2076" s="70" t="str">
        <f t="shared" si="719"/>
        <v/>
      </c>
      <c r="X2076" s="70" t="str">
        <f t="shared" si="720"/>
        <v/>
      </c>
      <c r="Y2076" s="70" t="str">
        <f>IF(AND($A2076&lt;&gt;"",$E2076&gt;0),isLaptopBag($C2076,$J2076)*$D2076,"")</f>
        <v/>
      </c>
      <c r="Z2076" s="70" t="str">
        <f t="shared" si="721"/>
        <v/>
      </c>
      <c r="AA2076" s="70" t="str">
        <f t="shared" si="722"/>
        <v/>
      </c>
      <c r="AB2076" s="70" t="str">
        <f t="shared" si="723"/>
        <v/>
      </c>
      <c r="AC2076" s="70" t="str">
        <f t="shared" si="724"/>
        <v/>
      </c>
      <c r="AD2076" s="70" t="str">
        <f t="shared" si="725"/>
        <v/>
      </c>
      <c r="AE2076" s="70" t="str">
        <f t="shared" si="726"/>
        <v/>
      </c>
      <c r="AF2076" s="16"/>
      <c r="AG2076" s="23"/>
      <c r="AH2076" s="22"/>
      <c r="AJ2076" s="83">
        <f t="shared" si="727"/>
        <v>0</v>
      </c>
      <c r="AO2076" s="22" t="str">
        <f t="shared" si="728"/>
        <v/>
      </c>
      <c r="AP2076" s="22" t="str">
        <f t="shared" si="729"/>
        <v/>
      </c>
    </row>
    <row r="2077" spans="1:42" x14ac:dyDescent="0.25">
      <c r="A2077" s="10"/>
      <c r="B2077" s="10"/>
      <c r="C2077" s="10"/>
      <c r="D2077" s="10"/>
      <c r="E2077" s="10"/>
      <c r="F2077" s="10"/>
      <c r="G2077" s="10"/>
      <c r="H2077" s="17"/>
      <c r="I2077" s="10"/>
      <c r="J2077" s="10"/>
      <c r="K2077" s="16" t="str">
        <f t="shared" si="708"/>
        <v/>
      </c>
      <c r="L2077" s="23" t="str">
        <f t="shared" si="709"/>
        <v/>
      </c>
      <c r="M2077" s="22" t="str">
        <f t="shared" si="710"/>
        <v/>
      </c>
      <c r="N2077" s="72"/>
      <c r="O2077" s="16" t="str">
        <f t="shared" si="711"/>
        <v/>
      </c>
      <c r="P2077" s="16" t="str">
        <f t="shared" si="712"/>
        <v/>
      </c>
      <c r="Q2077" s="16" t="str">
        <f t="shared" si="713"/>
        <v/>
      </c>
      <c r="R2077" s="23" t="str">
        <f t="shared" si="714"/>
        <v/>
      </c>
      <c r="S2077" s="23" t="str">
        <f t="shared" si="715"/>
        <v/>
      </c>
      <c r="T2077" s="23" t="str">
        <f t="shared" si="716"/>
        <v/>
      </c>
      <c r="U2077" s="23" t="str">
        <f t="shared" si="717"/>
        <v/>
      </c>
      <c r="V2077" s="23" t="str">
        <f t="shared" si="718"/>
        <v/>
      </c>
      <c r="W2077" s="70" t="str">
        <f t="shared" si="719"/>
        <v/>
      </c>
      <c r="X2077" s="70" t="str">
        <f t="shared" si="720"/>
        <v/>
      </c>
      <c r="Y2077" s="70" t="str">
        <f>IF(AND($A2077&lt;&gt;"",$E2077&gt;0),isLaptopBag($C2077,$J2077)*$D2077,"")</f>
        <v/>
      </c>
      <c r="Z2077" s="70" t="str">
        <f t="shared" si="721"/>
        <v/>
      </c>
      <c r="AA2077" s="70" t="str">
        <f t="shared" si="722"/>
        <v/>
      </c>
      <c r="AB2077" s="70" t="str">
        <f t="shared" si="723"/>
        <v/>
      </c>
      <c r="AC2077" s="70" t="str">
        <f t="shared" si="724"/>
        <v/>
      </c>
      <c r="AD2077" s="70" t="str">
        <f t="shared" si="725"/>
        <v/>
      </c>
      <c r="AE2077" s="70" t="str">
        <f t="shared" si="726"/>
        <v/>
      </c>
      <c r="AF2077" s="16"/>
      <c r="AG2077" s="23"/>
      <c r="AH2077" s="22"/>
      <c r="AJ2077" s="83">
        <f t="shared" si="727"/>
        <v>0</v>
      </c>
      <c r="AO2077" s="22" t="str">
        <f t="shared" si="728"/>
        <v/>
      </c>
      <c r="AP2077" s="22" t="str">
        <f t="shared" si="729"/>
        <v/>
      </c>
    </row>
    <row r="2078" spans="1:42" x14ac:dyDescent="0.25">
      <c r="A2078" s="10"/>
      <c r="B2078" s="10"/>
      <c r="C2078" s="10"/>
      <c r="D2078" s="10"/>
      <c r="E2078" s="10"/>
      <c r="F2078" s="10"/>
      <c r="G2078" s="10"/>
      <c r="H2078" s="17"/>
      <c r="I2078" s="10"/>
      <c r="J2078" s="10"/>
      <c r="K2078" s="16" t="str">
        <f t="shared" si="708"/>
        <v/>
      </c>
      <c r="L2078" s="23" t="str">
        <f t="shared" si="709"/>
        <v/>
      </c>
      <c r="M2078" s="22" t="str">
        <f t="shared" si="710"/>
        <v/>
      </c>
      <c r="N2078" s="72"/>
      <c r="O2078" s="16" t="str">
        <f t="shared" si="711"/>
        <v/>
      </c>
      <c r="P2078" s="16" t="str">
        <f t="shared" si="712"/>
        <v/>
      </c>
      <c r="Q2078" s="16" t="str">
        <f t="shared" si="713"/>
        <v/>
      </c>
      <c r="R2078" s="23" t="str">
        <f t="shared" si="714"/>
        <v/>
      </c>
      <c r="S2078" s="23" t="str">
        <f t="shared" si="715"/>
        <v/>
      </c>
      <c r="T2078" s="23" t="str">
        <f t="shared" si="716"/>
        <v/>
      </c>
      <c r="U2078" s="23" t="str">
        <f t="shared" si="717"/>
        <v/>
      </c>
      <c r="V2078" s="23" t="str">
        <f t="shared" si="718"/>
        <v/>
      </c>
      <c r="W2078" s="70" t="str">
        <f t="shared" si="719"/>
        <v/>
      </c>
      <c r="X2078" s="70" t="str">
        <f t="shared" si="720"/>
        <v/>
      </c>
      <c r="Y2078" s="70" t="str">
        <f>IF(AND($A2078&lt;&gt;"",$E2078&gt;0),isLaptopBag($C2078,$J2078)*$D2078,"")</f>
        <v/>
      </c>
      <c r="Z2078" s="70" t="str">
        <f t="shared" si="721"/>
        <v/>
      </c>
      <c r="AA2078" s="70" t="str">
        <f t="shared" si="722"/>
        <v/>
      </c>
      <c r="AB2078" s="70" t="str">
        <f t="shared" si="723"/>
        <v/>
      </c>
      <c r="AC2078" s="70" t="str">
        <f t="shared" si="724"/>
        <v/>
      </c>
      <c r="AD2078" s="70" t="str">
        <f t="shared" si="725"/>
        <v/>
      </c>
      <c r="AE2078" s="70" t="str">
        <f t="shared" si="726"/>
        <v/>
      </c>
      <c r="AF2078" s="16"/>
      <c r="AG2078" s="23"/>
      <c r="AH2078" s="22"/>
      <c r="AJ2078" s="83">
        <f t="shared" si="727"/>
        <v>0</v>
      </c>
      <c r="AO2078" s="22" t="str">
        <f t="shared" si="728"/>
        <v/>
      </c>
      <c r="AP2078" s="22" t="str">
        <f t="shared" si="729"/>
        <v/>
      </c>
    </row>
    <row r="2079" spans="1:42" x14ac:dyDescent="0.25">
      <c r="A2079" s="10"/>
      <c r="B2079" s="10"/>
      <c r="C2079" s="10"/>
      <c r="D2079" s="10"/>
      <c r="E2079" s="10"/>
      <c r="F2079" s="10"/>
      <c r="G2079" s="10"/>
      <c r="H2079" s="17"/>
      <c r="I2079" s="10"/>
      <c r="J2079" s="10"/>
      <c r="K2079" s="16" t="str">
        <f t="shared" si="708"/>
        <v/>
      </c>
      <c r="L2079" s="23" t="str">
        <f t="shared" si="709"/>
        <v/>
      </c>
      <c r="M2079" s="22" t="str">
        <f t="shared" si="710"/>
        <v/>
      </c>
      <c r="N2079" s="72"/>
      <c r="O2079" s="16" t="str">
        <f t="shared" si="711"/>
        <v/>
      </c>
      <c r="P2079" s="16" t="str">
        <f t="shared" si="712"/>
        <v/>
      </c>
      <c r="Q2079" s="16" t="str">
        <f t="shared" si="713"/>
        <v/>
      </c>
      <c r="R2079" s="23" t="str">
        <f t="shared" si="714"/>
        <v/>
      </c>
      <c r="S2079" s="23" t="str">
        <f t="shared" si="715"/>
        <v/>
      </c>
      <c r="T2079" s="23" t="str">
        <f t="shared" si="716"/>
        <v/>
      </c>
      <c r="U2079" s="23" t="str">
        <f t="shared" si="717"/>
        <v/>
      </c>
      <c r="V2079" s="23" t="str">
        <f t="shared" si="718"/>
        <v/>
      </c>
      <c r="W2079" s="70" t="str">
        <f t="shared" si="719"/>
        <v/>
      </c>
      <c r="X2079" s="70" t="str">
        <f t="shared" si="720"/>
        <v/>
      </c>
      <c r="Y2079" s="70" t="str">
        <f>IF(AND($A2079&lt;&gt;"",$E2079&gt;0),isLaptopBag($C2079,$J2079)*$D2079,"")</f>
        <v/>
      </c>
      <c r="Z2079" s="70" t="str">
        <f t="shared" si="721"/>
        <v/>
      </c>
      <c r="AA2079" s="70" t="str">
        <f t="shared" si="722"/>
        <v/>
      </c>
      <c r="AB2079" s="70" t="str">
        <f t="shared" si="723"/>
        <v/>
      </c>
      <c r="AC2079" s="70" t="str">
        <f t="shared" si="724"/>
        <v/>
      </c>
      <c r="AD2079" s="70" t="str">
        <f t="shared" si="725"/>
        <v/>
      </c>
      <c r="AE2079" s="70" t="str">
        <f t="shared" si="726"/>
        <v/>
      </c>
      <c r="AF2079" s="16"/>
      <c r="AG2079" s="23"/>
      <c r="AH2079" s="22"/>
      <c r="AJ2079" s="83">
        <f t="shared" si="727"/>
        <v>0</v>
      </c>
      <c r="AO2079" s="22" t="str">
        <f t="shared" si="728"/>
        <v/>
      </c>
      <c r="AP2079" s="22" t="str">
        <f t="shared" si="729"/>
        <v/>
      </c>
    </row>
    <row r="2080" spans="1:42" x14ac:dyDescent="0.25">
      <c r="A2080" s="10"/>
      <c r="B2080" s="10"/>
      <c r="C2080" s="10"/>
      <c r="D2080" s="10"/>
      <c r="E2080" s="10"/>
      <c r="F2080" s="10"/>
      <c r="G2080" s="10"/>
      <c r="H2080" s="17"/>
      <c r="I2080" s="10"/>
      <c r="J2080" s="10"/>
      <c r="K2080" s="16" t="str">
        <f t="shared" si="708"/>
        <v/>
      </c>
      <c r="L2080" s="23" t="str">
        <f t="shared" si="709"/>
        <v/>
      </c>
      <c r="M2080" s="22" t="str">
        <f t="shared" si="710"/>
        <v/>
      </c>
      <c r="N2080" s="72"/>
      <c r="O2080" s="16" t="str">
        <f t="shared" si="711"/>
        <v/>
      </c>
      <c r="P2080" s="16" t="str">
        <f t="shared" si="712"/>
        <v/>
      </c>
      <c r="Q2080" s="16" t="str">
        <f t="shared" si="713"/>
        <v/>
      </c>
      <c r="R2080" s="23" t="str">
        <f t="shared" si="714"/>
        <v/>
      </c>
      <c r="S2080" s="23" t="str">
        <f t="shared" si="715"/>
        <v/>
      </c>
      <c r="T2080" s="23" t="str">
        <f t="shared" si="716"/>
        <v/>
      </c>
      <c r="U2080" s="23" t="str">
        <f t="shared" si="717"/>
        <v/>
      </c>
      <c r="V2080" s="23" t="str">
        <f t="shared" si="718"/>
        <v/>
      </c>
      <c r="W2080" s="70" t="str">
        <f t="shared" si="719"/>
        <v/>
      </c>
      <c r="X2080" s="70" t="str">
        <f t="shared" si="720"/>
        <v/>
      </c>
      <c r="Y2080" s="70" t="str">
        <f>IF(AND($A2080&lt;&gt;"",$E2080&gt;0),isLaptopBag($C2080,$J2080)*$D2080,"")</f>
        <v/>
      </c>
      <c r="Z2080" s="70" t="str">
        <f t="shared" si="721"/>
        <v/>
      </c>
      <c r="AA2080" s="70" t="str">
        <f t="shared" si="722"/>
        <v/>
      </c>
      <c r="AB2080" s="70" t="str">
        <f t="shared" si="723"/>
        <v/>
      </c>
      <c r="AC2080" s="70" t="str">
        <f t="shared" si="724"/>
        <v/>
      </c>
      <c r="AD2080" s="70" t="str">
        <f t="shared" si="725"/>
        <v/>
      </c>
      <c r="AE2080" s="70" t="str">
        <f t="shared" si="726"/>
        <v/>
      </c>
      <c r="AF2080" s="16"/>
      <c r="AG2080" s="23"/>
      <c r="AH2080" s="22"/>
      <c r="AJ2080" s="83">
        <f t="shared" si="727"/>
        <v>0</v>
      </c>
      <c r="AO2080" s="22" t="str">
        <f t="shared" si="728"/>
        <v/>
      </c>
      <c r="AP2080" s="22" t="str">
        <f t="shared" si="729"/>
        <v/>
      </c>
    </row>
    <row r="2081" spans="1:42" x14ac:dyDescent="0.25">
      <c r="A2081" s="10"/>
      <c r="B2081" s="10"/>
      <c r="C2081" s="10"/>
      <c r="D2081" s="10"/>
      <c r="E2081" s="10"/>
      <c r="F2081" s="10"/>
      <c r="G2081" s="10"/>
      <c r="H2081" s="17"/>
      <c r="I2081" s="10"/>
      <c r="J2081" s="10"/>
      <c r="K2081" s="16" t="str">
        <f t="shared" si="708"/>
        <v/>
      </c>
      <c r="L2081" s="23" t="str">
        <f t="shared" si="709"/>
        <v/>
      </c>
      <c r="M2081" s="22" t="str">
        <f t="shared" si="710"/>
        <v/>
      </c>
      <c r="N2081" s="72"/>
      <c r="O2081" s="16" t="str">
        <f t="shared" si="711"/>
        <v/>
      </c>
      <c r="P2081" s="16" t="str">
        <f t="shared" si="712"/>
        <v/>
      </c>
      <c r="Q2081" s="16" t="str">
        <f t="shared" si="713"/>
        <v/>
      </c>
      <c r="R2081" s="23" t="str">
        <f t="shared" si="714"/>
        <v/>
      </c>
      <c r="S2081" s="23" t="str">
        <f t="shared" si="715"/>
        <v/>
      </c>
      <c r="T2081" s="23" t="str">
        <f t="shared" si="716"/>
        <v/>
      </c>
      <c r="U2081" s="23" t="str">
        <f t="shared" si="717"/>
        <v/>
      </c>
      <c r="V2081" s="23" t="str">
        <f t="shared" si="718"/>
        <v/>
      </c>
      <c r="W2081" s="70" t="str">
        <f t="shared" si="719"/>
        <v/>
      </c>
      <c r="X2081" s="70" t="str">
        <f t="shared" si="720"/>
        <v/>
      </c>
      <c r="Y2081" s="70" t="str">
        <f>IF(AND($A2081&lt;&gt;"",$E2081&gt;0),isLaptopBag($C2081,$J2081)*$D2081,"")</f>
        <v/>
      </c>
      <c r="Z2081" s="70" t="str">
        <f t="shared" si="721"/>
        <v/>
      </c>
      <c r="AA2081" s="70" t="str">
        <f t="shared" si="722"/>
        <v/>
      </c>
      <c r="AB2081" s="70" t="str">
        <f t="shared" si="723"/>
        <v/>
      </c>
      <c r="AC2081" s="70" t="str">
        <f t="shared" si="724"/>
        <v/>
      </c>
      <c r="AD2081" s="70" t="str">
        <f t="shared" si="725"/>
        <v/>
      </c>
      <c r="AE2081" s="70" t="str">
        <f t="shared" si="726"/>
        <v/>
      </c>
      <c r="AF2081" s="16"/>
      <c r="AG2081" s="23"/>
      <c r="AH2081" s="22"/>
      <c r="AJ2081" s="83">
        <f t="shared" si="727"/>
        <v>0</v>
      </c>
      <c r="AO2081" s="22" t="str">
        <f t="shared" si="728"/>
        <v/>
      </c>
      <c r="AP2081" s="22" t="str">
        <f t="shared" si="729"/>
        <v/>
      </c>
    </row>
    <row r="2082" spans="1:42" x14ac:dyDescent="0.25">
      <c r="A2082" s="10"/>
      <c r="B2082" s="10"/>
      <c r="C2082" s="10"/>
      <c r="D2082" s="10"/>
      <c r="E2082" s="10"/>
      <c r="F2082" s="10"/>
      <c r="G2082" s="10"/>
      <c r="H2082" s="17"/>
      <c r="I2082" s="10"/>
      <c r="J2082" s="10"/>
      <c r="K2082" s="16" t="str">
        <f t="shared" si="708"/>
        <v/>
      </c>
      <c r="L2082" s="23" t="str">
        <f t="shared" si="709"/>
        <v/>
      </c>
      <c r="M2082" s="22" t="str">
        <f t="shared" si="710"/>
        <v/>
      </c>
      <c r="N2082" s="72"/>
      <c r="O2082" s="16" t="str">
        <f t="shared" si="711"/>
        <v/>
      </c>
      <c r="P2082" s="16" t="str">
        <f t="shared" si="712"/>
        <v/>
      </c>
      <c r="Q2082" s="16" t="str">
        <f t="shared" si="713"/>
        <v/>
      </c>
      <c r="R2082" s="23" t="str">
        <f t="shared" si="714"/>
        <v/>
      </c>
      <c r="S2082" s="23" t="str">
        <f t="shared" si="715"/>
        <v/>
      </c>
      <c r="T2082" s="23" t="str">
        <f t="shared" si="716"/>
        <v/>
      </c>
      <c r="U2082" s="23" t="str">
        <f t="shared" si="717"/>
        <v/>
      </c>
      <c r="V2082" s="23" t="str">
        <f t="shared" si="718"/>
        <v/>
      </c>
      <c r="W2082" s="70" t="str">
        <f t="shared" si="719"/>
        <v/>
      </c>
      <c r="X2082" s="70" t="str">
        <f t="shared" si="720"/>
        <v/>
      </c>
      <c r="Y2082" s="70" t="str">
        <f>IF(AND($A2082&lt;&gt;"",$E2082&gt;0),isLaptopBag($C2082,$J2082)*$D2082,"")</f>
        <v/>
      </c>
      <c r="Z2082" s="70" t="str">
        <f t="shared" si="721"/>
        <v/>
      </c>
      <c r="AA2082" s="70" t="str">
        <f t="shared" si="722"/>
        <v/>
      </c>
      <c r="AB2082" s="70" t="str">
        <f t="shared" si="723"/>
        <v/>
      </c>
      <c r="AC2082" s="70" t="str">
        <f t="shared" si="724"/>
        <v/>
      </c>
      <c r="AD2082" s="70" t="str">
        <f t="shared" si="725"/>
        <v/>
      </c>
      <c r="AE2082" s="70" t="str">
        <f t="shared" si="726"/>
        <v/>
      </c>
      <c r="AF2082" s="16"/>
      <c r="AG2082" s="23"/>
      <c r="AH2082" s="22"/>
      <c r="AJ2082" s="83">
        <f t="shared" si="727"/>
        <v>0</v>
      </c>
      <c r="AO2082" s="22" t="str">
        <f t="shared" si="728"/>
        <v/>
      </c>
      <c r="AP2082" s="22" t="str">
        <f t="shared" si="729"/>
        <v/>
      </c>
    </row>
    <row r="2083" spans="1:42" x14ac:dyDescent="0.25">
      <c r="A2083" s="10"/>
      <c r="B2083" s="10"/>
      <c r="C2083" s="10"/>
      <c r="D2083" s="10"/>
      <c r="E2083" s="10"/>
      <c r="F2083" s="10"/>
      <c r="G2083" s="10"/>
      <c r="H2083" s="17"/>
      <c r="I2083" s="10"/>
      <c r="J2083" s="10"/>
      <c r="K2083" s="16" t="str">
        <f t="shared" si="708"/>
        <v/>
      </c>
      <c r="L2083" s="23" t="str">
        <f t="shared" si="709"/>
        <v/>
      </c>
      <c r="M2083" s="22" t="str">
        <f t="shared" si="710"/>
        <v/>
      </c>
      <c r="N2083" s="72"/>
      <c r="O2083" s="16" t="str">
        <f t="shared" si="711"/>
        <v/>
      </c>
      <c r="P2083" s="16" t="str">
        <f t="shared" si="712"/>
        <v/>
      </c>
      <c r="Q2083" s="16" t="str">
        <f t="shared" si="713"/>
        <v/>
      </c>
      <c r="R2083" s="23" t="str">
        <f t="shared" si="714"/>
        <v/>
      </c>
      <c r="S2083" s="23" t="str">
        <f t="shared" si="715"/>
        <v/>
      </c>
      <c r="T2083" s="23" t="str">
        <f t="shared" si="716"/>
        <v/>
      </c>
      <c r="U2083" s="23" t="str">
        <f t="shared" si="717"/>
        <v/>
      </c>
      <c r="V2083" s="23" t="str">
        <f t="shared" si="718"/>
        <v/>
      </c>
      <c r="W2083" s="70" t="str">
        <f t="shared" si="719"/>
        <v/>
      </c>
      <c r="X2083" s="70" t="str">
        <f t="shared" si="720"/>
        <v/>
      </c>
      <c r="Y2083" s="70" t="str">
        <f>IF(AND($A2083&lt;&gt;"",$E2083&gt;0),isLaptopBag($C2083,$J2083)*$D2083,"")</f>
        <v/>
      </c>
      <c r="Z2083" s="70" t="str">
        <f t="shared" si="721"/>
        <v/>
      </c>
      <c r="AA2083" s="70" t="str">
        <f t="shared" si="722"/>
        <v/>
      </c>
      <c r="AB2083" s="70" t="str">
        <f t="shared" si="723"/>
        <v/>
      </c>
      <c r="AC2083" s="70" t="str">
        <f t="shared" si="724"/>
        <v/>
      </c>
      <c r="AD2083" s="70" t="str">
        <f t="shared" si="725"/>
        <v/>
      </c>
      <c r="AE2083" s="70" t="str">
        <f t="shared" si="726"/>
        <v/>
      </c>
      <c r="AF2083" s="16"/>
      <c r="AG2083" s="23"/>
      <c r="AH2083" s="22"/>
      <c r="AJ2083" s="83">
        <f t="shared" si="727"/>
        <v>0</v>
      </c>
      <c r="AO2083" s="22" t="str">
        <f t="shared" si="728"/>
        <v/>
      </c>
      <c r="AP2083" s="22" t="str">
        <f t="shared" si="729"/>
        <v/>
      </c>
    </row>
    <row r="2084" spans="1:42" x14ac:dyDescent="0.25">
      <c r="A2084" s="10"/>
      <c r="B2084" s="10"/>
      <c r="C2084" s="10"/>
      <c r="D2084" s="10"/>
      <c r="E2084" s="10"/>
      <c r="F2084" s="10"/>
      <c r="G2084" s="10"/>
      <c r="H2084" s="17"/>
      <c r="I2084" s="10"/>
      <c r="J2084" s="10"/>
      <c r="K2084" s="16" t="str">
        <f t="shared" si="708"/>
        <v/>
      </c>
      <c r="L2084" s="23" t="str">
        <f t="shared" si="709"/>
        <v/>
      </c>
      <c r="M2084" s="22" t="str">
        <f t="shared" si="710"/>
        <v/>
      </c>
      <c r="N2084" s="72"/>
      <c r="O2084" s="16" t="str">
        <f t="shared" si="711"/>
        <v/>
      </c>
      <c r="P2084" s="16" t="str">
        <f t="shared" si="712"/>
        <v/>
      </c>
      <c r="Q2084" s="16" t="str">
        <f t="shared" si="713"/>
        <v/>
      </c>
      <c r="R2084" s="23" t="str">
        <f t="shared" si="714"/>
        <v/>
      </c>
      <c r="S2084" s="23" t="str">
        <f t="shared" si="715"/>
        <v/>
      </c>
      <c r="T2084" s="23" t="str">
        <f t="shared" si="716"/>
        <v/>
      </c>
      <c r="U2084" s="23" t="str">
        <f t="shared" si="717"/>
        <v/>
      </c>
      <c r="V2084" s="23" t="str">
        <f t="shared" si="718"/>
        <v/>
      </c>
      <c r="W2084" s="70" t="str">
        <f t="shared" si="719"/>
        <v/>
      </c>
      <c r="X2084" s="70" t="str">
        <f t="shared" si="720"/>
        <v/>
      </c>
      <c r="Y2084" s="70" t="str">
        <f>IF(AND($A2084&lt;&gt;"",$E2084&gt;0),isLaptopBag($C2084,$J2084)*$D2084,"")</f>
        <v/>
      </c>
      <c r="Z2084" s="70" t="str">
        <f t="shared" si="721"/>
        <v/>
      </c>
      <c r="AA2084" s="70" t="str">
        <f t="shared" si="722"/>
        <v/>
      </c>
      <c r="AB2084" s="70" t="str">
        <f t="shared" si="723"/>
        <v/>
      </c>
      <c r="AC2084" s="70" t="str">
        <f t="shared" si="724"/>
        <v/>
      </c>
      <c r="AD2084" s="70" t="str">
        <f t="shared" si="725"/>
        <v/>
      </c>
      <c r="AE2084" s="70" t="str">
        <f t="shared" si="726"/>
        <v/>
      </c>
      <c r="AF2084" s="16"/>
      <c r="AG2084" s="23"/>
      <c r="AH2084" s="22"/>
      <c r="AJ2084" s="83">
        <f t="shared" si="727"/>
        <v>0</v>
      </c>
      <c r="AO2084" s="22" t="str">
        <f t="shared" si="728"/>
        <v/>
      </c>
      <c r="AP2084" s="22" t="str">
        <f t="shared" si="729"/>
        <v/>
      </c>
    </row>
    <row r="2085" spans="1:42" x14ac:dyDescent="0.25">
      <c r="A2085" s="10"/>
      <c r="B2085" s="10"/>
      <c r="C2085" s="10"/>
      <c r="D2085" s="10"/>
      <c r="E2085" s="10"/>
      <c r="F2085" s="10"/>
      <c r="G2085" s="10"/>
      <c r="H2085" s="17"/>
      <c r="I2085" s="10"/>
      <c r="J2085" s="10"/>
      <c r="K2085" s="16" t="str">
        <f t="shared" si="708"/>
        <v/>
      </c>
      <c r="L2085" s="23" t="str">
        <f t="shared" si="709"/>
        <v/>
      </c>
      <c r="M2085" s="22" t="str">
        <f t="shared" si="710"/>
        <v/>
      </c>
      <c r="N2085" s="72"/>
      <c r="O2085" s="16" t="str">
        <f t="shared" si="711"/>
        <v/>
      </c>
      <c r="P2085" s="16" t="str">
        <f t="shared" si="712"/>
        <v/>
      </c>
      <c r="Q2085" s="16" t="str">
        <f t="shared" si="713"/>
        <v/>
      </c>
      <c r="R2085" s="23" t="str">
        <f t="shared" si="714"/>
        <v/>
      </c>
      <c r="S2085" s="23" t="str">
        <f t="shared" si="715"/>
        <v/>
      </c>
      <c r="T2085" s="23" t="str">
        <f t="shared" si="716"/>
        <v/>
      </c>
      <c r="U2085" s="23" t="str">
        <f t="shared" si="717"/>
        <v/>
      </c>
      <c r="V2085" s="23" t="str">
        <f t="shared" si="718"/>
        <v/>
      </c>
      <c r="W2085" s="70" t="str">
        <f t="shared" si="719"/>
        <v/>
      </c>
      <c r="X2085" s="70" t="str">
        <f t="shared" si="720"/>
        <v/>
      </c>
      <c r="Y2085" s="70" t="str">
        <f>IF(AND($A2085&lt;&gt;"",$E2085&gt;0),isLaptopBag($C2085,$J2085)*$D2085,"")</f>
        <v/>
      </c>
      <c r="Z2085" s="70" t="str">
        <f t="shared" si="721"/>
        <v/>
      </c>
      <c r="AA2085" s="70" t="str">
        <f t="shared" si="722"/>
        <v/>
      </c>
      <c r="AB2085" s="70" t="str">
        <f t="shared" si="723"/>
        <v/>
      </c>
      <c r="AC2085" s="70" t="str">
        <f t="shared" si="724"/>
        <v/>
      </c>
      <c r="AD2085" s="70" t="str">
        <f t="shared" si="725"/>
        <v/>
      </c>
      <c r="AE2085" s="70" t="str">
        <f t="shared" si="726"/>
        <v/>
      </c>
      <c r="AF2085" s="16"/>
      <c r="AG2085" s="23"/>
      <c r="AH2085" s="22"/>
      <c r="AJ2085" s="83">
        <f t="shared" si="727"/>
        <v>0</v>
      </c>
      <c r="AO2085" s="22" t="str">
        <f t="shared" si="728"/>
        <v/>
      </c>
      <c r="AP2085" s="22" t="str">
        <f t="shared" si="729"/>
        <v/>
      </c>
    </row>
    <row r="2086" spans="1:42" x14ac:dyDescent="0.25">
      <c r="A2086" s="10"/>
      <c r="B2086" s="10"/>
      <c r="C2086" s="10"/>
      <c r="D2086" s="10"/>
      <c r="E2086" s="10"/>
      <c r="F2086" s="10"/>
      <c r="G2086" s="10"/>
      <c r="H2086" s="17"/>
      <c r="I2086" s="10"/>
      <c r="J2086" s="10"/>
      <c r="K2086" s="16" t="str">
        <f t="shared" si="708"/>
        <v/>
      </c>
      <c r="L2086" s="23" t="str">
        <f t="shared" si="709"/>
        <v/>
      </c>
      <c r="M2086" s="22" t="str">
        <f t="shared" si="710"/>
        <v/>
      </c>
      <c r="N2086" s="72"/>
      <c r="O2086" s="16" t="str">
        <f t="shared" si="711"/>
        <v/>
      </c>
      <c r="P2086" s="16" t="str">
        <f t="shared" si="712"/>
        <v/>
      </c>
      <c r="Q2086" s="16" t="str">
        <f t="shared" si="713"/>
        <v/>
      </c>
      <c r="R2086" s="23" t="str">
        <f t="shared" si="714"/>
        <v/>
      </c>
      <c r="S2086" s="23" t="str">
        <f t="shared" si="715"/>
        <v/>
      </c>
      <c r="T2086" s="23" t="str">
        <f t="shared" si="716"/>
        <v/>
      </c>
      <c r="U2086" s="23" t="str">
        <f t="shared" si="717"/>
        <v/>
      </c>
      <c r="V2086" s="23" t="str">
        <f t="shared" si="718"/>
        <v/>
      </c>
      <c r="W2086" s="70" t="str">
        <f t="shared" si="719"/>
        <v/>
      </c>
      <c r="X2086" s="70" t="str">
        <f t="shared" si="720"/>
        <v/>
      </c>
      <c r="Y2086" s="70" t="str">
        <f>IF(AND($A2086&lt;&gt;"",$E2086&gt;0),isLaptopBag($C2086,$J2086)*$D2086,"")</f>
        <v/>
      </c>
      <c r="Z2086" s="70" t="str">
        <f t="shared" si="721"/>
        <v/>
      </c>
      <c r="AA2086" s="70" t="str">
        <f t="shared" si="722"/>
        <v/>
      </c>
      <c r="AB2086" s="70" t="str">
        <f t="shared" si="723"/>
        <v/>
      </c>
      <c r="AC2086" s="70" t="str">
        <f t="shared" si="724"/>
        <v/>
      </c>
      <c r="AD2086" s="70" t="str">
        <f t="shared" si="725"/>
        <v/>
      </c>
      <c r="AE2086" s="70" t="str">
        <f t="shared" si="726"/>
        <v/>
      </c>
      <c r="AF2086" s="16"/>
      <c r="AG2086" s="23"/>
      <c r="AH2086" s="22"/>
      <c r="AJ2086" s="83">
        <f t="shared" si="727"/>
        <v>0</v>
      </c>
      <c r="AO2086" s="22" t="str">
        <f t="shared" si="728"/>
        <v/>
      </c>
      <c r="AP2086" s="22" t="str">
        <f t="shared" si="729"/>
        <v/>
      </c>
    </row>
    <row r="2087" spans="1:42" x14ac:dyDescent="0.25">
      <c r="A2087" s="10"/>
      <c r="B2087" s="10"/>
      <c r="C2087" s="10"/>
      <c r="D2087" s="10"/>
      <c r="E2087" s="10"/>
      <c r="F2087" s="10"/>
      <c r="G2087" s="10"/>
      <c r="H2087" s="17"/>
      <c r="I2087" s="10"/>
      <c r="J2087" s="10"/>
      <c r="K2087" s="16" t="str">
        <f t="shared" si="708"/>
        <v/>
      </c>
      <c r="L2087" s="23" t="str">
        <f t="shared" si="709"/>
        <v/>
      </c>
      <c r="M2087" s="22" t="str">
        <f t="shared" si="710"/>
        <v/>
      </c>
      <c r="N2087" s="72"/>
      <c r="O2087" s="16" t="str">
        <f t="shared" si="711"/>
        <v/>
      </c>
      <c r="P2087" s="16" t="str">
        <f t="shared" si="712"/>
        <v/>
      </c>
      <c r="Q2087" s="16" t="str">
        <f t="shared" si="713"/>
        <v/>
      </c>
      <c r="R2087" s="23" t="str">
        <f t="shared" si="714"/>
        <v/>
      </c>
      <c r="S2087" s="23" t="str">
        <f t="shared" si="715"/>
        <v/>
      </c>
      <c r="T2087" s="23" t="str">
        <f t="shared" si="716"/>
        <v/>
      </c>
      <c r="U2087" s="23" t="str">
        <f t="shared" si="717"/>
        <v/>
      </c>
      <c r="V2087" s="23" t="str">
        <f t="shared" si="718"/>
        <v/>
      </c>
      <c r="W2087" s="70" t="str">
        <f t="shared" si="719"/>
        <v/>
      </c>
      <c r="X2087" s="70" t="str">
        <f t="shared" si="720"/>
        <v/>
      </c>
      <c r="Y2087" s="70" t="str">
        <f>IF(AND($A2087&lt;&gt;"",$E2087&gt;0),isLaptopBag($C2087,$J2087)*$D2087,"")</f>
        <v/>
      </c>
      <c r="Z2087" s="70" t="str">
        <f t="shared" si="721"/>
        <v/>
      </c>
      <c r="AA2087" s="70" t="str">
        <f t="shared" si="722"/>
        <v/>
      </c>
      <c r="AB2087" s="70" t="str">
        <f t="shared" si="723"/>
        <v/>
      </c>
      <c r="AC2087" s="70" t="str">
        <f t="shared" si="724"/>
        <v/>
      </c>
      <c r="AD2087" s="70" t="str">
        <f t="shared" si="725"/>
        <v/>
      </c>
      <c r="AE2087" s="70" t="str">
        <f t="shared" si="726"/>
        <v/>
      </c>
      <c r="AF2087" s="16"/>
      <c r="AG2087" s="23"/>
      <c r="AH2087" s="22"/>
      <c r="AJ2087" s="83">
        <f t="shared" si="727"/>
        <v>0</v>
      </c>
      <c r="AO2087" s="22" t="str">
        <f t="shared" si="728"/>
        <v/>
      </c>
      <c r="AP2087" s="22" t="str">
        <f t="shared" si="729"/>
        <v/>
      </c>
    </row>
    <row r="2088" spans="1:42" x14ac:dyDescent="0.25">
      <c r="A2088" s="10"/>
      <c r="B2088" s="10"/>
      <c r="C2088" s="10"/>
      <c r="D2088" s="10"/>
      <c r="E2088" s="10"/>
      <c r="F2088" s="10"/>
      <c r="G2088" s="10"/>
      <c r="H2088" s="17"/>
      <c r="I2088" s="10"/>
      <c r="J2088" s="10"/>
      <c r="K2088" s="16" t="str">
        <f t="shared" si="708"/>
        <v/>
      </c>
      <c r="L2088" s="23" t="str">
        <f t="shared" si="709"/>
        <v/>
      </c>
      <c r="M2088" s="22" t="str">
        <f t="shared" si="710"/>
        <v/>
      </c>
      <c r="N2088" s="72"/>
      <c r="O2088" s="16" t="str">
        <f t="shared" si="711"/>
        <v/>
      </c>
      <c r="P2088" s="16" t="str">
        <f t="shared" si="712"/>
        <v/>
      </c>
      <c r="Q2088" s="16" t="str">
        <f t="shared" si="713"/>
        <v/>
      </c>
      <c r="R2088" s="23" t="str">
        <f t="shared" si="714"/>
        <v/>
      </c>
      <c r="S2088" s="23" t="str">
        <f t="shared" si="715"/>
        <v/>
      </c>
      <c r="T2088" s="23" t="str">
        <f t="shared" si="716"/>
        <v/>
      </c>
      <c r="U2088" s="23" t="str">
        <f t="shared" si="717"/>
        <v/>
      </c>
      <c r="V2088" s="23" t="str">
        <f t="shared" si="718"/>
        <v/>
      </c>
      <c r="W2088" s="70" t="str">
        <f t="shared" si="719"/>
        <v/>
      </c>
      <c r="X2088" s="70" t="str">
        <f t="shared" si="720"/>
        <v/>
      </c>
      <c r="Y2088" s="70" t="str">
        <f>IF(AND($A2088&lt;&gt;"",$E2088&gt;0),isLaptopBag($C2088,$J2088)*$D2088,"")</f>
        <v/>
      </c>
      <c r="Z2088" s="70" t="str">
        <f t="shared" si="721"/>
        <v/>
      </c>
      <c r="AA2088" s="70" t="str">
        <f t="shared" si="722"/>
        <v/>
      </c>
      <c r="AB2088" s="70" t="str">
        <f t="shared" si="723"/>
        <v/>
      </c>
      <c r="AC2088" s="70" t="str">
        <f t="shared" si="724"/>
        <v/>
      </c>
      <c r="AD2088" s="70" t="str">
        <f t="shared" si="725"/>
        <v/>
      </c>
      <c r="AE2088" s="70" t="str">
        <f t="shared" si="726"/>
        <v/>
      </c>
      <c r="AF2088" s="16"/>
      <c r="AG2088" s="23"/>
      <c r="AH2088" s="22"/>
      <c r="AJ2088" s="83">
        <f t="shared" si="727"/>
        <v>0</v>
      </c>
      <c r="AO2088" s="22" t="str">
        <f t="shared" si="728"/>
        <v/>
      </c>
      <c r="AP2088" s="22" t="str">
        <f t="shared" si="729"/>
        <v/>
      </c>
    </row>
    <row r="2089" spans="1:42" x14ac:dyDescent="0.25">
      <c r="A2089" s="10"/>
      <c r="B2089" s="10"/>
      <c r="C2089" s="10"/>
      <c r="D2089" s="10"/>
      <c r="E2089" s="10"/>
      <c r="F2089" s="10"/>
      <c r="G2089" s="10"/>
      <c r="H2089" s="17"/>
      <c r="I2089" s="10"/>
      <c r="J2089" s="10"/>
      <c r="K2089" s="16" t="str">
        <f t="shared" si="708"/>
        <v/>
      </c>
      <c r="L2089" s="23" t="str">
        <f t="shared" si="709"/>
        <v/>
      </c>
      <c r="M2089" s="22" t="str">
        <f t="shared" si="710"/>
        <v/>
      </c>
      <c r="N2089" s="72"/>
      <c r="O2089" s="16" t="str">
        <f t="shared" si="711"/>
        <v/>
      </c>
      <c r="P2089" s="16" t="str">
        <f t="shared" si="712"/>
        <v/>
      </c>
      <c r="Q2089" s="16" t="str">
        <f t="shared" si="713"/>
        <v/>
      </c>
      <c r="R2089" s="23" t="str">
        <f t="shared" si="714"/>
        <v/>
      </c>
      <c r="S2089" s="23" t="str">
        <f t="shared" si="715"/>
        <v/>
      </c>
      <c r="T2089" s="23" t="str">
        <f t="shared" si="716"/>
        <v/>
      </c>
      <c r="U2089" s="23" t="str">
        <f t="shared" si="717"/>
        <v/>
      </c>
      <c r="V2089" s="23" t="str">
        <f t="shared" si="718"/>
        <v/>
      </c>
      <c r="W2089" s="70" t="str">
        <f t="shared" si="719"/>
        <v/>
      </c>
      <c r="X2089" s="70" t="str">
        <f t="shared" si="720"/>
        <v/>
      </c>
      <c r="Y2089" s="70" t="str">
        <f>IF(AND($A2089&lt;&gt;"",$E2089&gt;0),isLaptopBag($C2089,$J2089)*$D2089,"")</f>
        <v/>
      </c>
      <c r="Z2089" s="70" t="str">
        <f t="shared" si="721"/>
        <v/>
      </c>
      <c r="AA2089" s="70" t="str">
        <f t="shared" si="722"/>
        <v/>
      </c>
      <c r="AB2089" s="70" t="str">
        <f t="shared" si="723"/>
        <v/>
      </c>
      <c r="AC2089" s="70" t="str">
        <f t="shared" si="724"/>
        <v/>
      </c>
      <c r="AD2089" s="70" t="str">
        <f t="shared" si="725"/>
        <v/>
      </c>
      <c r="AE2089" s="70" t="str">
        <f t="shared" si="726"/>
        <v/>
      </c>
      <c r="AF2089" s="16"/>
      <c r="AG2089" s="23"/>
      <c r="AH2089" s="22"/>
      <c r="AJ2089" s="83">
        <f t="shared" si="727"/>
        <v>0</v>
      </c>
      <c r="AO2089" s="22" t="str">
        <f t="shared" si="728"/>
        <v/>
      </c>
      <c r="AP2089" s="22" t="str">
        <f t="shared" si="729"/>
        <v/>
      </c>
    </row>
    <row r="2090" spans="1:42" x14ac:dyDescent="0.25">
      <c r="A2090" s="10"/>
      <c r="B2090" s="10"/>
      <c r="C2090" s="10"/>
      <c r="D2090" s="10"/>
      <c r="E2090" s="10"/>
      <c r="F2090" s="10"/>
      <c r="G2090" s="10"/>
      <c r="H2090" s="17"/>
      <c r="I2090" s="10"/>
      <c r="J2090" s="10"/>
      <c r="K2090" s="16" t="str">
        <f t="shared" si="708"/>
        <v/>
      </c>
      <c r="L2090" s="23" t="str">
        <f t="shared" si="709"/>
        <v/>
      </c>
      <c r="M2090" s="22" t="str">
        <f t="shared" si="710"/>
        <v/>
      </c>
      <c r="N2090" s="72"/>
      <c r="O2090" s="16" t="str">
        <f t="shared" si="711"/>
        <v/>
      </c>
      <c r="P2090" s="16" t="str">
        <f t="shared" si="712"/>
        <v/>
      </c>
      <c r="Q2090" s="16" t="str">
        <f t="shared" si="713"/>
        <v/>
      </c>
      <c r="R2090" s="23" t="str">
        <f t="shared" si="714"/>
        <v/>
      </c>
      <c r="S2090" s="23" t="str">
        <f t="shared" si="715"/>
        <v/>
      </c>
      <c r="T2090" s="23" t="str">
        <f t="shared" si="716"/>
        <v/>
      </c>
      <c r="U2090" s="23" t="str">
        <f t="shared" si="717"/>
        <v/>
      </c>
      <c r="V2090" s="23" t="str">
        <f t="shared" si="718"/>
        <v/>
      </c>
      <c r="W2090" s="70" t="str">
        <f t="shared" si="719"/>
        <v/>
      </c>
      <c r="X2090" s="70" t="str">
        <f t="shared" si="720"/>
        <v/>
      </c>
      <c r="Y2090" s="70" t="str">
        <f>IF(AND($A2090&lt;&gt;"",$E2090&gt;0),isLaptopBag($C2090,$J2090)*$D2090,"")</f>
        <v/>
      </c>
      <c r="Z2090" s="70" t="str">
        <f t="shared" si="721"/>
        <v/>
      </c>
      <c r="AA2090" s="70" t="str">
        <f t="shared" si="722"/>
        <v/>
      </c>
      <c r="AB2090" s="70" t="str">
        <f t="shared" si="723"/>
        <v/>
      </c>
      <c r="AC2090" s="70" t="str">
        <f t="shared" si="724"/>
        <v/>
      </c>
      <c r="AD2090" s="70" t="str">
        <f t="shared" si="725"/>
        <v/>
      </c>
      <c r="AE2090" s="70" t="str">
        <f t="shared" si="726"/>
        <v/>
      </c>
      <c r="AF2090" s="16"/>
      <c r="AG2090" s="23"/>
      <c r="AH2090" s="22"/>
      <c r="AJ2090" s="83">
        <f t="shared" si="727"/>
        <v>0</v>
      </c>
      <c r="AO2090" s="22" t="str">
        <f t="shared" si="728"/>
        <v/>
      </c>
      <c r="AP2090" s="22" t="str">
        <f t="shared" si="729"/>
        <v/>
      </c>
    </row>
    <row r="2091" spans="1:42" x14ac:dyDescent="0.25">
      <c r="A2091" s="10"/>
      <c r="B2091" s="10"/>
      <c r="C2091" s="10"/>
      <c r="D2091" s="10"/>
      <c r="E2091" s="10"/>
      <c r="F2091" s="10"/>
      <c r="G2091" s="10"/>
      <c r="H2091" s="17"/>
      <c r="I2091" s="10"/>
      <c r="J2091" s="10"/>
      <c r="K2091" s="16" t="str">
        <f t="shared" si="708"/>
        <v/>
      </c>
      <c r="L2091" s="23" t="str">
        <f t="shared" si="709"/>
        <v/>
      </c>
      <c r="M2091" s="22" t="str">
        <f t="shared" si="710"/>
        <v/>
      </c>
      <c r="N2091" s="72"/>
      <c r="O2091" s="16" t="str">
        <f t="shared" si="711"/>
        <v/>
      </c>
      <c r="P2091" s="16" t="str">
        <f t="shared" si="712"/>
        <v/>
      </c>
      <c r="Q2091" s="16" t="str">
        <f t="shared" si="713"/>
        <v/>
      </c>
      <c r="R2091" s="23" t="str">
        <f t="shared" si="714"/>
        <v/>
      </c>
      <c r="S2091" s="23" t="str">
        <f t="shared" si="715"/>
        <v/>
      </c>
      <c r="T2091" s="23" t="str">
        <f t="shared" si="716"/>
        <v/>
      </c>
      <c r="U2091" s="23" t="str">
        <f t="shared" si="717"/>
        <v/>
      </c>
      <c r="V2091" s="23" t="str">
        <f t="shared" si="718"/>
        <v/>
      </c>
      <c r="W2091" s="70" t="str">
        <f t="shared" si="719"/>
        <v/>
      </c>
      <c r="X2091" s="70" t="str">
        <f t="shared" si="720"/>
        <v/>
      </c>
      <c r="Y2091" s="70" t="str">
        <f>IF(AND($A2091&lt;&gt;"",$E2091&gt;0),isLaptopBag($C2091,$J2091)*$D2091,"")</f>
        <v/>
      </c>
      <c r="Z2091" s="70" t="str">
        <f t="shared" si="721"/>
        <v/>
      </c>
      <c r="AA2091" s="70" t="str">
        <f t="shared" si="722"/>
        <v/>
      </c>
      <c r="AB2091" s="70" t="str">
        <f t="shared" si="723"/>
        <v/>
      </c>
      <c r="AC2091" s="70" t="str">
        <f t="shared" si="724"/>
        <v/>
      </c>
      <c r="AD2091" s="70" t="str">
        <f t="shared" si="725"/>
        <v/>
      </c>
      <c r="AE2091" s="70" t="str">
        <f t="shared" si="726"/>
        <v/>
      </c>
      <c r="AF2091" s="16"/>
      <c r="AG2091" s="23"/>
      <c r="AH2091" s="22"/>
      <c r="AJ2091" s="83">
        <f t="shared" si="727"/>
        <v>0</v>
      </c>
      <c r="AO2091" s="22" t="str">
        <f t="shared" si="728"/>
        <v/>
      </c>
      <c r="AP2091" s="22" t="str">
        <f t="shared" si="729"/>
        <v/>
      </c>
    </row>
    <row r="2092" spans="1:42" x14ac:dyDescent="0.25">
      <c r="A2092" s="10"/>
      <c r="B2092" s="10"/>
      <c r="C2092" s="10"/>
      <c r="D2092" s="10"/>
      <c r="E2092" s="10"/>
      <c r="F2092" s="10"/>
      <c r="G2092" s="10"/>
      <c r="H2092" s="17"/>
      <c r="I2092" s="10"/>
      <c r="J2092" s="10"/>
      <c r="K2092" s="16" t="str">
        <f t="shared" si="708"/>
        <v/>
      </c>
      <c r="L2092" s="23" t="str">
        <f t="shared" si="709"/>
        <v/>
      </c>
      <c r="M2092" s="22" t="str">
        <f t="shared" si="710"/>
        <v/>
      </c>
      <c r="N2092" s="72"/>
      <c r="O2092" s="16" t="str">
        <f t="shared" si="711"/>
        <v/>
      </c>
      <c r="P2092" s="16" t="str">
        <f t="shared" si="712"/>
        <v/>
      </c>
      <c r="Q2092" s="16" t="str">
        <f t="shared" si="713"/>
        <v/>
      </c>
      <c r="R2092" s="23" t="str">
        <f t="shared" si="714"/>
        <v/>
      </c>
      <c r="S2092" s="23" t="str">
        <f t="shared" si="715"/>
        <v/>
      </c>
      <c r="T2092" s="23" t="str">
        <f t="shared" si="716"/>
        <v/>
      </c>
      <c r="U2092" s="23" t="str">
        <f t="shared" si="717"/>
        <v/>
      </c>
      <c r="V2092" s="23" t="str">
        <f t="shared" si="718"/>
        <v/>
      </c>
      <c r="W2092" s="70" t="str">
        <f t="shared" si="719"/>
        <v/>
      </c>
      <c r="X2092" s="70" t="str">
        <f t="shared" si="720"/>
        <v/>
      </c>
      <c r="Y2092" s="70" t="str">
        <f>IF(AND($A2092&lt;&gt;"",$E2092&gt;0),isLaptopBag($C2092,$J2092)*$D2092,"")</f>
        <v/>
      </c>
      <c r="Z2092" s="70" t="str">
        <f t="shared" si="721"/>
        <v/>
      </c>
      <c r="AA2092" s="70" t="str">
        <f t="shared" si="722"/>
        <v/>
      </c>
      <c r="AB2092" s="70" t="str">
        <f t="shared" si="723"/>
        <v/>
      </c>
      <c r="AC2092" s="70" t="str">
        <f t="shared" si="724"/>
        <v/>
      </c>
      <c r="AD2092" s="70" t="str">
        <f t="shared" si="725"/>
        <v/>
      </c>
      <c r="AE2092" s="70" t="str">
        <f t="shared" si="726"/>
        <v/>
      </c>
      <c r="AF2092" s="16"/>
      <c r="AG2092" s="23"/>
      <c r="AH2092" s="22"/>
      <c r="AJ2092" s="83">
        <f t="shared" si="727"/>
        <v>0</v>
      </c>
      <c r="AO2092" s="22" t="str">
        <f t="shared" si="728"/>
        <v/>
      </c>
      <c r="AP2092" s="22" t="str">
        <f t="shared" si="729"/>
        <v/>
      </c>
    </row>
    <row r="2093" spans="1:42" x14ac:dyDescent="0.25">
      <c r="A2093" s="10"/>
      <c r="B2093" s="10"/>
      <c r="C2093" s="10"/>
      <c r="D2093" s="10"/>
      <c r="E2093" s="10"/>
      <c r="F2093" s="10"/>
      <c r="G2093" s="10"/>
      <c r="H2093" s="17"/>
      <c r="I2093" s="10"/>
      <c r="J2093" s="10"/>
      <c r="K2093" s="16" t="str">
        <f t="shared" si="708"/>
        <v/>
      </c>
      <c r="L2093" s="23" t="str">
        <f t="shared" si="709"/>
        <v/>
      </c>
      <c r="M2093" s="22" t="str">
        <f t="shared" si="710"/>
        <v/>
      </c>
      <c r="N2093" s="72"/>
      <c r="O2093" s="16" t="str">
        <f t="shared" si="711"/>
        <v/>
      </c>
      <c r="P2093" s="16" t="str">
        <f t="shared" si="712"/>
        <v/>
      </c>
      <c r="Q2093" s="16" t="str">
        <f t="shared" si="713"/>
        <v/>
      </c>
      <c r="R2093" s="23" t="str">
        <f t="shared" si="714"/>
        <v/>
      </c>
      <c r="S2093" s="23" t="str">
        <f t="shared" si="715"/>
        <v/>
      </c>
      <c r="T2093" s="23" t="str">
        <f t="shared" si="716"/>
        <v/>
      </c>
      <c r="U2093" s="23" t="str">
        <f t="shared" si="717"/>
        <v/>
      </c>
      <c r="V2093" s="23" t="str">
        <f t="shared" si="718"/>
        <v/>
      </c>
      <c r="W2093" s="70" t="str">
        <f t="shared" si="719"/>
        <v/>
      </c>
      <c r="X2093" s="70" t="str">
        <f t="shared" si="720"/>
        <v/>
      </c>
      <c r="Y2093" s="70" t="str">
        <f>IF(AND($A2093&lt;&gt;"",$E2093&gt;0),isLaptopBag($C2093,$J2093)*$D2093,"")</f>
        <v/>
      </c>
      <c r="Z2093" s="70" t="str">
        <f t="shared" si="721"/>
        <v/>
      </c>
      <c r="AA2093" s="70" t="str">
        <f t="shared" si="722"/>
        <v/>
      </c>
      <c r="AB2093" s="70" t="str">
        <f t="shared" si="723"/>
        <v/>
      </c>
      <c r="AC2093" s="70" t="str">
        <f t="shared" si="724"/>
        <v/>
      </c>
      <c r="AD2093" s="70" t="str">
        <f t="shared" si="725"/>
        <v/>
      </c>
      <c r="AE2093" s="70" t="str">
        <f t="shared" si="726"/>
        <v/>
      </c>
      <c r="AF2093" s="16"/>
      <c r="AG2093" s="23"/>
      <c r="AH2093" s="22"/>
      <c r="AJ2093" s="83">
        <f t="shared" si="727"/>
        <v>0</v>
      </c>
      <c r="AO2093" s="22" t="str">
        <f t="shared" si="728"/>
        <v/>
      </c>
      <c r="AP2093" s="22" t="str">
        <f t="shared" si="729"/>
        <v/>
      </c>
    </row>
    <row r="2094" spans="1:42" x14ac:dyDescent="0.25">
      <c r="A2094" s="10"/>
      <c r="B2094" s="10"/>
      <c r="C2094" s="10"/>
      <c r="D2094" s="10"/>
      <c r="E2094" s="10"/>
      <c r="F2094" s="10"/>
      <c r="G2094" s="10"/>
      <c r="H2094" s="17"/>
      <c r="I2094" s="10"/>
      <c r="J2094" s="10"/>
      <c r="K2094" s="16" t="str">
        <f t="shared" si="708"/>
        <v/>
      </c>
      <c r="L2094" s="23" t="str">
        <f t="shared" si="709"/>
        <v/>
      </c>
      <c r="M2094" s="22" t="str">
        <f t="shared" si="710"/>
        <v/>
      </c>
      <c r="N2094" s="72"/>
      <c r="O2094" s="16" t="str">
        <f t="shared" si="711"/>
        <v/>
      </c>
      <c r="P2094" s="16" t="str">
        <f t="shared" si="712"/>
        <v/>
      </c>
      <c r="Q2094" s="16" t="str">
        <f t="shared" si="713"/>
        <v/>
      </c>
      <c r="R2094" s="23" t="str">
        <f t="shared" si="714"/>
        <v/>
      </c>
      <c r="S2094" s="23" t="str">
        <f t="shared" si="715"/>
        <v/>
      </c>
      <c r="T2094" s="23" t="str">
        <f t="shared" si="716"/>
        <v/>
      </c>
      <c r="U2094" s="23" t="str">
        <f t="shared" si="717"/>
        <v/>
      </c>
      <c r="V2094" s="23" t="str">
        <f t="shared" si="718"/>
        <v/>
      </c>
      <c r="W2094" s="70" t="str">
        <f t="shared" si="719"/>
        <v/>
      </c>
      <c r="X2094" s="70" t="str">
        <f t="shared" si="720"/>
        <v/>
      </c>
      <c r="Y2094" s="70" t="str">
        <f>IF(AND($A2094&lt;&gt;"",$E2094&gt;0),isLaptopBag($C2094,$J2094)*$D2094,"")</f>
        <v/>
      </c>
      <c r="Z2094" s="70" t="str">
        <f t="shared" si="721"/>
        <v/>
      </c>
      <c r="AA2094" s="70" t="str">
        <f t="shared" si="722"/>
        <v/>
      </c>
      <c r="AB2094" s="70" t="str">
        <f t="shared" si="723"/>
        <v/>
      </c>
      <c r="AC2094" s="70" t="str">
        <f t="shared" si="724"/>
        <v/>
      </c>
      <c r="AD2094" s="70" t="str">
        <f t="shared" si="725"/>
        <v/>
      </c>
      <c r="AE2094" s="70" t="str">
        <f t="shared" si="726"/>
        <v/>
      </c>
      <c r="AF2094" s="16"/>
      <c r="AG2094" s="23"/>
      <c r="AH2094" s="22"/>
      <c r="AJ2094" s="83">
        <f t="shared" si="727"/>
        <v>0</v>
      </c>
      <c r="AO2094" s="22" t="str">
        <f t="shared" si="728"/>
        <v/>
      </c>
      <c r="AP2094" s="22" t="str">
        <f t="shared" si="729"/>
        <v/>
      </c>
    </row>
    <row r="2095" spans="1:42" x14ac:dyDescent="0.25">
      <c r="A2095" s="10"/>
      <c r="B2095" s="10"/>
      <c r="C2095" s="10"/>
      <c r="D2095" s="10"/>
      <c r="E2095" s="10"/>
      <c r="F2095" s="10"/>
      <c r="G2095" s="10"/>
      <c r="H2095" s="17"/>
      <c r="I2095" s="10"/>
      <c r="J2095" s="10"/>
      <c r="K2095" s="16" t="str">
        <f t="shared" si="708"/>
        <v/>
      </c>
      <c r="L2095" s="23" t="str">
        <f t="shared" si="709"/>
        <v/>
      </c>
      <c r="M2095" s="22" t="str">
        <f t="shared" si="710"/>
        <v/>
      </c>
      <c r="N2095" s="72"/>
      <c r="O2095" s="16" t="str">
        <f t="shared" si="711"/>
        <v/>
      </c>
      <c r="P2095" s="16" t="str">
        <f t="shared" si="712"/>
        <v/>
      </c>
      <c r="Q2095" s="16" t="str">
        <f t="shared" si="713"/>
        <v/>
      </c>
      <c r="R2095" s="23" t="str">
        <f t="shared" si="714"/>
        <v/>
      </c>
      <c r="S2095" s="23" t="str">
        <f t="shared" si="715"/>
        <v/>
      </c>
      <c r="T2095" s="23" t="str">
        <f t="shared" si="716"/>
        <v/>
      </c>
      <c r="U2095" s="23" t="str">
        <f t="shared" si="717"/>
        <v/>
      </c>
      <c r="V2095" s="23" t="str">
        <f t="shared" si="718"/>
        <v/>
      </c>
      <c r="W2095" s="70" t="str">
        <f t="shared" si="719"/>
        <v/>
      </c>
      <c r="X2095" s="70" t="str">
        <f t="shared" si="720"/>
        <v/>
      </c>
      <c r="Y2095" s="70" t="str">
        <f>IF(AND($A2095&lt;&gt;"",$E2095&gt;0),isLaptopBag($C2095,$J2095)*$D2095,"")</f>
        <v/>
      </c>
      <c r="Z2095" s="70" t="str">
        <f t="shared" si="721"/>
        <v/>
      </c>
      <c r="AA2095" s="70" t="str">
        <f t="shared" si="722"/>
        <v/>
      </c>
      <c r="AB2095" s="70" t="str">
        <f t="shared" si="723"/>
        <v/>
      </c>
      <c r="AC2095" s="70" t="str">
        <f t="shared" si="724"/>
        <v/>
      </c>
      <c r="AD2095" s="70" t="str">
        <f t="shared" si="725"/>
        <v/>
      </c>
      <c r="AE2095" s="70" t="str">
        <f t="shared" si="726"/>
        <v/>
      </c>
      <c r="AF2095" s="16"/>
      <c r="AG2095" s="23"/>
      <c r="AH2095" s="22"/>
      <c r="AJ2095" s="83">
        <f t="shared" si="727"/>
        <v>0</v>
      </c>
      <c r="AO2095" s="22" t="str">
        <f t="shared" si="728"/>
        <v/>
      </c>
      <c r="AP2095" s="22" t="str">
        <f t="shared" si="729"/>
        <v/>
      </c>
    </row>
    <row r="2096" spans="1:42" x14ac:dyDescent="0.25">
      <c r="A2096" s="10"/>
      <c r="B2096" s="10"/>
      <c r="C2096" s="10"/>
      <c r="D2096" s="10"/>
      <c r="E2096" s="10"/>
      <c r="F2096" s="10"/>
      <c r="G2096" s="10"/>
      <c r="H2096" s="17"/>
      <c r="I2096" s="10"/>
      <c r="J2096" s="10"/>
      <c r="K2096" s="16" t="str">
        <f t="shared" si="708"/>
        <v/>
      </c>
      <c r="L2096" s="23" t="str">
        <f t="shared" si="709"/>
        <v/>
      </c>
      <c r="M2096" s="22" t="str">
        <f t="shared" si="710"/>
        <v/>
      </c>
      <c r="N2096" s="72"/>
      <c r="O2096" s="16" t="str">
        <f t="shared" si="711"/>
        <v/>
      </c>
      <c r="P2096" s="16" t="str">
        <f t="shared" si="712"/>
        <v/>
      </c>
      <c r="Q2096" s="16" t="str">
        <f t="shared" si="713"/>
        <v/>
      </c>
      <c r="R2096" s="23" t="str">
        <f t="shared" si="714"/>
        <v/>
      </c>
      <c r="S2096" s="23" t="str">
        <f t="shared" si="715"/>
        <v/>
      </c>
      <c r="T2096" s="23" t="str">
        <f t="shared" si="716"/>
        <v/>
      </c>
      <c r="U2096" s="23" t="str">
        <f t="shared" si="717"/>
        <v/>
      </c>
      <c r="V2096" s="23" t="str">
        <f t="shared" si="718"/>
        <v/>
      </c>
      <c r="W2096" s="70" t="str">
        <f t="shared" si="719"/>
        <v/>
      </c>
      <c r="X2096" s="70" t="str">
        <f t="shared" si="720"/>
        <v/>
      </c>
      <c r="Y2096" s="70" t="str">
        <f>IF(AND($A2096&lt;&gt;"",$E2096&gt;0),isLaptopBag($C2096,$J2096)*$D2096,"")</f>
        <v/>
      </c>
      <c r="Z2096" s="70" t="str">
        <f t="shared" si="721"/>
        <v/>
      </c>
      <c r="AA2096" s="70" t="str">
        <f t="shared" si="722"/>
        <v/>
      </c>
      <c r="AB2096" s="70" t="str">
        <f t="shared" si="723"/>
        <v/>
      </c>
      <c r="AC2096" s="70" t="str">
        <f t="shared" si="724"/>
        <v/>
      </c>
      <c r="AD2096" s="70" t="str">
        <f t="shared" si="725"/>
        <v/>
      </c>
      <c r="AE2096" s="70" t="str">
        <f t="shared" si="726"/>
        <v/>
      </c>
      <c r="AF2096" s="16"/>
      <c r="AG2096" s="23"/>
      <c r="AH2096" s="22"/>
      <c r="AJ2096" s="83">
        <f t="shared" si="727"/>
        <v>0</v>
      </c>
      <c r="AO2096" s="22" t="str">
        <f t="shared" si="728"/>
        <v/>
      </c>
      <c r="AP2096" s="22" t="str">
        <f t="shared" si="729"/>
        <v/>
      </c>
    </row>
    <row r="2097" spans="1:42" x14ac:dyDescent="0.25">
      <c r="A2097" s="10"/>
      <c r="B2097" s="10"/>
      <c r="C2097" s="10"/>
      <c r="D2097" s="10"/>
      <c r="E2097" s="10"/>
      <c r="F2097" s="10"/>
      <c r="G2097" s="10"/>
      <c r="H2097" s="17"/>
      <c r="I2097" s="10"/>
      <c r="J2097" s="10"/>
      <c r="K2097" s="16" t="str">
        <f t="shared" si="708"/>
        <v/>
      </c>
      <c r="L2097" s="23" t="str">
        <f t="shared" si="709"/>
        <v/>
      </c>
      <c r="M2097" s="22" t="str">
        <f t="shared" si="710"/>
        <v/>
      </c>
      <c r="N2097" s="72"/>
      <c r="O2097" s="16" t="str">
        <f t="shared" si="711"/>
        <v/>
      </c>
      <c r="P2097" s="16" t="str">
        <f t="shared" si="712"/>
        <v/>
      </c>
      <c r="Q2097" s="16" t="str">
        <f t="shared" si="713"/>
        <v/>
      </c>
      <c r="R2097" s="23" t="str">
        <f t="shared" si="714"/>
        <v/>
      </c>
      <c r="S2097" s="23" t="str">
        <f t="shared" si="715"/>
        <v/>
      </c>
      <c r="T2097" s="23" t="str">
        <f t="shared" si="716"/>
        <v/>
      </c>
      <c r="U2097" s="23" t="str">
        <f t="shared" si="717"/>
        <v/>
      </c>
      <c r="V2097" s="23" t="str">
        <f t="shared" si="718"/>
        <v/>
      </c>
      <c r="W2097" s="70" t="str">
        <f t="shared" si="719"/>
        <v/>
      </c>
      <c r="X2097" s="70" t="str">
        <f t="shared" si="720"/>
        <v/>
      </c>
      <c r="Y2097" s="70" t="str">
        <f>IF(AND($A2097&lt;&gt;"",$E2097&gt;0),isLaptopBag($C2097,$J2097)*$D2097,"")</f>
        <v/>
      </c>
      <c r="Z2097" s="70" t="str">
        <f t="shared" si="721"/>
        <v/>
      </c>
      <c r="AA2097" s="70" t="str">
        <f t="shared" si="722"/>
        <v/>
      </c>
      <c r="AB2097" s="70" t="str">
        <f t="shared" si="723"/>
        <v/>
      </c>
      <c r="AC2097" s="70" t="str">
        <f t="shared" si="724"/>
        <v/>
      </c>
      <c r="AD2097" s="70" t="str">
        <f t="shared" si="725"/>
        <v/>
      </c>
      <c r="AE2097" s="70" t="str">
        <f t="shared" si="726"/>
        <v/>
      </c>
      <c r="AF2097" s="16"/>
      <c r="AG2097" s="23"/>
      <c r="AH2097" s="22"/>
      <c r="AJ2097" s="83">
        <f t="shared" si="727"/>
        <v>0</v>
      </c>
      <c r="AO2097" s="22" t="str">
        <f t="shared" si="728"/>
        <v/>
      </c>
      <c r="AP2097" s="22" t="str">
        <f t="shared" si="729"/>
        <v/>
      </c>
    </row>
    <row r="2098" spans="1:42" x14ac:dyDescent="0.25">
      <c r="A2098" s="10"/>
      <c r="B2098" s="10"/>
      <c r="C2098" s="10"/>
      <c r="D2098" s="10"/>
      <c r="E2098" s="10"/>
      <c r="F2098" s="10"/>
      <c r="G2098" s="10"/>
      <c r="H2098" s="17"/>
      <c r="I2098" s="10"/>
      <c r="J2098" s="10"/>
      <c r="K2098" s="16" t="str">
        <f t="shared" si="708"/>
        <v/>
      </c>
      <c r="L2098" s="23" t="str">
        <f t="shared" si="709"/>
        <v/>
      </c>
      <c r="M2098" s="22" t="str">
        <f t="shared" si="710"/>
        <v/>
      </c>
      <c r="N2098" s="72"/>
      <c r="O2098" s="16" t="str">
        <f t="shared" si="711"/>
        <v/>
      </c>
      <c r="P2098" s="16" t="str">
        <f t="shared" si="712"/>
        <v/>
      </c>
      <c r="Q2098" s="16" t="str">
        <f t="shared" si="713"/>
        <v/>
      </c>
      <c r="R2098" s="23" t="str">
        <f t="shared" si="714"/>
        <v/>
      </c>
      <c r="S2098" s="23" t="str">
        <f t="shared" si="715"/>
        <v/>
      </c>
      <c r="T2098" s="23" t="str">
        <f t="shared" si="716"/>
        <v/>
      </c>
      <c r="U2098" s="23" t="str">
        <f t="shared" si="717"/>
        <v/>
      </c>
      <c r="V2098" s="23" t="str">
        <f t="shared" si="718"/>
        <v/>
      </c>
      <c r="W2098" s="70" t="str">
        <f t="shared" si="719"/>
        <v/>
      </c>
      <c r="X2098" s="70" t="str">
        <f t="shared" si="720"/>
        <v/>
      </c>
      <c r="Y2098" s="70" t="str">
        <f>IF(AND($A2098&lt;&gt;"",$E2098&gt;0),isLaptopBag($C2098,$J2098)*$D2098,"")</f>
        <v/>
      </c>
      <c r="Z2098" s="70" t="str">
        <f t="shared" si="721"/>
        <v/>
      </c>
      <c r="AA2098" s="70" t="str">
        <f t="shared" si="722"/>
        <v/>
      </c>
      <c r="AB2098" s="70" t="str">
        <f t="shared" si="723"/>
        <v/>
      </c>
      <c r="AC2098" s="70" t="str">
        <f t="shared" si="724"/>
        <v/>
      </c>
      <c r="AD2098" s="70" t="str">
        <f t="shared" si="725"/>
        <v/>
      </c>
      <c r="AE2098" s="70" t="str">
        <f t="shared" si="726"/>
        <v/>
      </c>
      <c r="AF2098" s="16"/>
      <c r="AG2098" s="23"/>
      <c r="AH2098" s="22"/>
      <c r="AJ2098" s="83">
        <f t="shared" si="727"/>
        <v>0</v>
      </c>
      <c r="AO2098" s="22" t="str">
        <f t="shared" si="728"/>
        <v/>
      </c>
      <c r="AP2098" s="22" t="str">
        <f t="shared" si="729"/>
        <v/>
      </c>
    </row>
    <row r="2099" spans="1:42" x14ac:dyDescent="0.25">
      <c r="A2099" s="10"/>
      <c r="B2099" s="10"/>
      <c r="C2099" s="10"/>
      <c r="D2099" s="10"/>
      <c r="E2099" s="10"/>
      <c r="F2099" s="10"/>
      <c r="G2099" s="10"/>
      <c r="H2099" s="17"/>
      <c r="I2099" s="10"/>
      <c r="J2099" s="10"/>
      <c r="K2099" s="16" t="str">
        <f t="shared" si="708"/>
        <v/>
      </c>
      <c r="L2099" s="23" t="str">
        <f t="shared" si="709"/>
        <v/>
      </c>
      <c r="M2099" s="22" t="str">
        <f t="shared" si="710"/>
        <v/>
      </c>
      <c r="N2099" s="72"/>
      <c r="O2099" s="16" t="str">
        <f t="shared" si="711"/>
        <v/>
      </c>
      <c r="P2099" s="16" t="str">
        <f t="shared" si="712"/>
        <v/>
      </c>
      <c r="Q2099" s="16" t="str">
        <f t="shared" si="713"/>
        <v/>
      </c>
      <c r="R2099" s="23" t="str">
        <f t="shared" si="714"/>
        <v/>
      </c>
      <c r="S2099" s="23" t="str">
        <f t="shared" si="715"/>
        <v/>
      </c>
      <c r="T2099" s="23" t="str">
        <f t="shared" si="716"/>
        <v/>
      </c>
      <c r="U2099" s="23" t="str">
        <f t="shared" si="717"/>
        <v/>
      </c>
      <c r="V2099" s="23" t="str">
        <f t="shared" si="718"/>
        <v/>
      </c>
      <c r="W2099" s="70" t="str">
        <f t="shared" si="719"/>
        <v/>
      </c>
      <c r="X2099" s="70" t="str">
        <f t="shared" si="720"/>
        <v/>
      </c>
      <c r="Y2099" s="70" t="str">
        <f>IF(AND($A2099&lt;&gt;"",$E2099&gt;0),isLaptopBag($C2099,$J2099)*$D2099,"")</f>
        <v/>
      </c>
      <c r="Z2099" s="70" t="str">
        <f t="shared" si="721"/>
        <v/>
      </c>
      <c r="AA2099" s="70" t="str">
        <f t="shared" si="722"/>
        <v/>
      </c>
      <c r="AB2099" s="70" t="str">
        <f t="shared" si="723"/>
        <v/>
      </c>
      <c r="AC2099" s="70" t="str">
        <f t="shared" si="724"/>
        <v/>
      </c>
      <c r="AD2099" s="70" t="str">
        <f t="shared" si="725"/>
        <v/>
      </c>
      <c r="AE2099" s="70" t="str">
        <f t="shared" si="726"/>
        <v/>
      </c>
      <c r="AF2099" s="16"/>
      <c r="AG2099" s="23"/>
      <c r="AH2099" s="22"/>
      <c r="AJ2099" s="83">
        <f t="shared" si="727"/>
        <v>0</v>
      </c>
      <c r="AO2099" s="22" t="str">
        <f t="shared" si="728"/>
        <v/>
      </c>
      <c r="AP2099" s="22" t="str">
        <f t="shared" si="729"/>
        <v/>
      </c>
    </row>
    <row r="2100" spans="1:42" x14ac:dyDescent="0.25">
      <c r="A2100" s="10"/>
      <c r="B2100" s="10"/>
      <c r="C2100" s="10"/>
      <c r="D2100" s="10"/>
      <c r="E2100" s="10"/>
      <c r="F2100" s="10"/>
      <c r="G2100" s="10"/>
      <c r="H2100" s="17"/>
      <c r="I2100" s="10"/>
      <c r="J2100" s="10"/>
      <c r="K2100" s="16" t="str">
        <f t="shared" si="708"/>
        <v/>
      </c>
      <c r="L2100" s="23" t="str">
        <f t="shared" si="709"/>
        <v/>
      </c>
      <c r="M2100" s="22" t="str">
        <f t="shared" si="710"/>
        <v/>
      </c>
      <c r="N2100" s="72"/>
      <c r="O2100" s="16" t="str">
        <f t="shared" si="711"/>
        <v/>
      </c>
      <c r="P2100" s="16" t="str">
        <f t="shared" si="712"/>
        <v/>
      </c>
      <c r="Q2100" s="16" t="str">
        <f t="shared" si="713"/>
        <v/>
      </c>
      <c r="R2100" s="23" t="str">
        <f t="shared" si="714"/>
        <v/>
      </c>
      <c r="S2100" s="23" t="str">
        <f t="shared" si="715"/>
        <v/>
      </c>
      <c r="T2100" s="23" t="str">
        <f t="shared" si="716"/>
        <v/>
      </c>
      <c r="U2100" s="23" t="str">
        <f t="shared" si="717"/>
        <v/>
      </c>
      <c r="V2100" s="23" t="str">
        <f t="shared" si="718"/>
        <v/>
      </c>
      <c r="W2100" s="70" t="str">
        <f t="shared" si="719"/>
        <v/>
      </c>
      <c r="X2100" s="70" t="str">
        <f t="shared" si="720"/>
        <v/>
      </c>
      <c r="Y2100" s="70" t="str">
        <f>IF(AND($A2100&lt;&gt;"",$E2100&gt;0),isLaptopBag($C2100,$J2100)*$D2100,"")</f>
        <v/>
      </c>
      <c r="Z2100" s="70" t="str">
        <f t="shared" si="721"/>
        <v/>
      </c>
      <c r="AA2100" s="70" t="str">
        <f t="shared" si="722"/>
        <v/>
      </c>
      <c r="AB2100" s="70" t="str">
        <f t="shared" si="723"/>
        <v/>
      </c>
      <c r="AC2100" s="70" t="str">
        <f t="shared" si="724"/>
        <v/>
      </c>
      <c r="AD2100" s="70" t="str">
        <f t="shared" si="725"/>
        <v/>
      </c>
      <c r="AE2100" s="70" t="str">
        <f t="shared" si="726"/>
        <v/>
      </c>
      <c r="AF2100" s="16"/>
      <c r="AG2100" s="23"/>
      <c r="AH2100" s="22"/>
      <c r="AJ2100" s="83">
        <f t="shared" si="727"/>
        <v>0</v>
      </c>
      <c r="AO2100" s="22" t="str">
        <f t="shared" si="728"/>
        <v/>
      </c>
      <c r="AP2100" s="22" t="str">
        <f t="shared" si="729"/>
        <v/>
      </c>
    </row>
    <row r="2101" spans="1:42" x14ac:dyDescent="0.25">
      <c r="A2101" s="10"/>
      <c r="B2101" s="10"/>
      <c r="C2101" s="10"/>
      <c r="D2101" s="10"/>
      <c r="E2101" s="10"/>
      <c r="F2101" s="10"/>
      <c r="G2101" s="10"/>
      <c r="H2101" s="17"/>
      <c r="I2101" s="10"/>
      <c r="J2101" s="10"/>
      <c r="K2101" s="16" t="str">
        <f t="shared" si="708"/>
        <v/>
      </c>
      <c r="L2101" s="23" t="str">
        <f t="shared" si="709"/>
        <v/>
      </c>
      <c r="M2101" s="22" t="str">
        <f t="shared" si="710"/>
        <v/>
      </c>
      <c r="N2101" s="72"/>
      <c r="O2101" s="16" t="str">
        <f t="shared" si="711"/>
        <v/>
      </c>
      <c r="P2101" s="16" t="str">
        <f t="shared" si="712"/>
        <v/>
      </c>
      <c r="Q2101" s="16" t="str">
        <f t="shared" si="713"/>
        <v/>
      </c>
      <c r="R2101" s="23" t="str">
        <f t="shared" si="714"/>
        <v/>
      </c>
      <c r="S2101" s="23" t="str">
        <f t="shared" si="715"/>
        <v/>
      </c>
      <c r="T2101" s="23" t="str">
        <f t="shared" si="716"/>
        <v/>
      </c>
      <c r="U2101" s="23" t="str">
        <f t="shared" si="717"/>
        <v/>
      </c>
      <c r="V2101" s="23" t="str">
        <f t="shared" si="718"/>
        <v/>
      </c>
      <c r="W2101" s="70" t="str">
        <f t="shared" si="719"/>
        <v/>
      </c>
      <c r="X2101" s="70" t="str">
        <f t="shared" si="720"/>
        <v/>
      </c>
      <c r="Y2101" s="70" t="str">
        <f>IF(AND($A2101&lt;&gt;"",$E2101&gt;0),isLaptopBag($C2101,$J2101)*$D2101,"")</f>
        <v/>
      </c>
      <c r="Z2101" s="70" t="str">
        <f t="shared" si="721"/>
        <v/>
      </c>
      <c r="AA2101" s="70" t="str">
        <f t="shared" si="722"/>
        <v/>
      </c>
      <c r="AB2101" s="70" t="str">
        <f t="shared" si="723"/>
        <v/>
      </c>
      <c r="AC2101" s="70" t="str">
        <f t="shared" si="724"/>
        <v/>
      </c>
      <c r="AD2101" s="70" t="str">
        <f t="shared" si="725"/>
        <v/>
      </c>
      <c r="AE2101" s="70" t="str">
        <f t="shared" si="726"/>
        <v/>
      </c>
      <c r="AF2101" s="16"/>
      <c r="AG2101" s="23"/>
      <c r="AH2101" s="22"/>
      <c r="AJ2101" s="83">
        <f t="shared" si="727"/>
        <v>0</v>
      </c>
      <c r="AO2101" s="22" t="str">
        <f t="shared" si="728"/>
        <v/>
      </c>
      <c r="AP2101" s="22" t="str">
        <f t="shared" si="729"/>
        <v/>
      </c>
    </row>
    <row r="2102" spans="1:42" x14ac:dyDescent="0.25">
      <c r="A2102" s="10"/>
      <c r="B2102" s="10"/>
      <c r="C2102" s="10"/>
      <c r="D2102" s="10"/>
      <c r="E2102" s="10"/>
      <c r="F2102" s="10"/>
      <c r="G2102" s="10"/>
      <c r="H2102" s="17"/>
      <c r="I2102" s="10"/>
      <c r="J2102" s="10"/>
      <c r="K2102" s="16" t="str">
        <f t="shared" si="708"/>
        <v/>
      </c>
      <c r="L2102" s="23" t="str">
        <f t="shared" si="709"/>
        <v/>
      </c>
      <c r="M2102" s="22" t="str">
        <f t="shared" si="710"/>
        <v/>
      </c>
      <c r="N2102" s="72"/>
      <c r="O2102" s="16" t="str">
        <f t="shared" si="711"/>
        <v/>
      </c>
      <c r="P2102" s="16" t="str">
        <f t="shared" si="712"/>
        <v/>
      </c>
      <c r="Q2102" s="16" t="str">
        <f t="shared" si="713"/>
        <v/>
      </c>
      <c r="R2102" s="23" t="str">
        <f t="shared" si="714"/>
        <v/>
      </c>
      <c r="S2102" s="23" t="str">
        <f t="shared" si="715"/>
        <v/>
      </c>
      <c r="T2102" s="23" t="str">
        <f t="shared" si="716"/>
        <v/>
      </c>
      <c r="U2102" s="23" t="str">
        <f t="shared" si="717"/>
        <v/>
      </c>
      <c r="V2102" s="23" t="str">
        <f t="shared" si="718"/>
        <v/>
      </c>
      <c r="W2102" s="70" t="str">
        <f t="shared" si="719"/>
        <v/>
      </c>
      <c r="X2102" s="70" t="str">
        <f t="shared" si="720"/>
        <v/>
      </c>
      <c r="Y2102" s="70" t="str">
        <f>IF(AND($A2102&lt;&gt;"",$E2102&gt;0),isLaptopBag($C2102,$J2102)*$D2102,"")</f>
        <v/>
      </c>
      <c r="Z2102" s="70" t="str">
        <f t="shared" si="721"/>
        <v/>
      </c>
      <c r="AA2102" s="70" t="str">
        <f t="shared" si="722"/>
        <v/>
      </c>
      <c r="AB2102" s="70" t="str">
        <f t="shared" si="723"/>
        <v/>
      </c>
      <c r="AC2102" s="70" t="str">
        <f t="shared" si="724"/>
        <v/>
      </c>
      <c r="AD2102" s="70" t="str">
        <f t="shared" si="725"/>
        <v/>
      </c>
      <c r="AE2102" s="70" t="str">
        <f t="shared" si="726"/>
        <v/>
      </c>
      <c r="AF2102" s="16"/>
      <c r="AG2102" s="23"/>
      <c r="AH2102" s="22"/>
      <c r="AJ2102" s="83">
        <f t="shared" si="727"/>
        <v>0</v>
      </c>
      <c r="AO2102" s="22" t="str">
        <f t="shared" si="728"/>
        <v/>
      </c>
      <c r="AP2102" s="22" t="str">
        <f t="shared" si="729"/>
        <v/>
      </c>
    </row>
    <row r="2103" spans="1:42" x14ac:dyDescent="0.25">
      <c r="A2103" s="10"/>
      <c r="B2103" s="10"/>
      <c r="C2103" s="10"/>
      <c r="D2103" s="10"/>
      <c r="E2103" s="10"/>
      <c r="F2103" s="10"/>
      <c r="G2103" s="10"/>
      <c r="H2103" s="17"/>
      <c r="I2103" s="10"/>
      <c r="J2103" s="10"/>
      <c r="K2103" s="16" t="str">
        <f t="shared" si="708"/>
        <v/>
      </c>
      <c r="L2103" s="23" t="str">
        <f t="shared" si="709"/>
        <v/>
      </c>
      <c r="M2103" s="22" t="str">
        <f t="shared" si="710"/>
        <v/>
      </c>
      <c r="N2103" s="72"/>
      <c r="O2103" s="16" t="str">
        <f t="shared" si="711"/>
        <v/>
      </c>
      <c r="P2103" s="16" t="str">
        <f t="shared" si="712"/>
        <v/>
      </c>
      <c r="Q2103" s="16" t="str">
        <f t="shared" si="713"/>
        <v/>
      </c>
      <c r="R2103" s="23" t="str">
        <f t="shared" si="714"/>
        <v/>
      </c>
      <c r="S2103" s="23" t="str">
        <f t="shared" si="715"/>
        <v/>
      </c>
      <c r="T2103" s="23" t="str">
        <f t="shared" si="716"/>
        <v/>
      </c>
      <c r="U2103" s="23" t="str">
        <f t="shared" si="717"/>
        <v/>
      </c>
      <c r="V2103" s="23" t="str">
        <f t="shared" si="718"/>
        <v/>
      </c>
      <c r="W2103" s="70" t="str">
        <f t="shared" si="719"/>
        <v/>
      </c>
      <c r="X2103" s="70" t="str">
        <f t="shared" si="720"/>
        <v/>
      </c>
      <c r="Y2103" s="70" t="str">
        <f>IF(AND($A2103&lt;&gt;"",$E2103&gt;0),isLaptopBag($C2103,$J2103)*$D2103,"")</f>
        <v/>
      </c>
      <c r="Z2103" s="70" t="str">
        <f t="shared" si="721"/>
        <v/>
      </c>
      <c r="AA2103" s="70" t="str">
        <f t="shared" si="722"/>
        <v/>
      </c>
      <c r="AB2103" s="70" t="str">
        <f t="shared" si="723"/>
        <v/>
      </c>
      <c r="AC2103" s="70" t="str">
        <f t="shared" si="724"/>
        <v/>
      </c>
      <c r="AD2103" s="70" t="str">
        <f t="shared" si="725"/>
        <v/>
      </c>
      <c r="AE2103" s="70" t="str">
        <f t="shared" si="726"/>
        <v/>
      </c>
      <c r="AF2103" s="16"/>
      <c r="AG2103" s="23"/>
      <c r="AH2103" s="22"/>
      <c r="AJ2103" s="83">
        <f t="shared" si="727"/>
        <v>0</v>
      </c>
      <c r="AO2103" s="22" t="str">
        <f t="shared" si="728"/>
        <v/>
      </c>
      <c r="AP2103" s="22" t="str">
        <f t="shared" si="729"/>
        <v/>
      </c>
    </row>
    <row r="2104" spans="1:42" x14ac:dyDescent="0.25">
      <c r="A2104" s="10"/>
      <c r="B2104" s="10"/>
      <c r="C2104" s="10"/>
      <c r="D2104" s="10"/>
      <c r="E2104" s="10"/>
      <c r="F2104" s="10"/>
      <c r="G2104" s="10"/>
      <c r="H2104" s="17"/>
      <c r="I2104" s="10"/>
      <c r="J2104" s="10"/>
      <c r="K2104" s="16" t="str">
        <f t="shared" si="708"/>
        <v/>
      </c>
      <c r="L2104" s="23" t="str">
        <f t="shared" si="709"/>
        <v/>
      </c>
      <c r="M2104" s="22" t="str">
        <f t="shared" si="710"/>
        <v/>
      </c>
      <c r="N2104" s="72"/>
      <c r="O2104" s="16" t="str">
        <f t="shared" si="711"/>
        <v/>
      </c>
      <c r="P2104" s="16" t="str">
        <f t="shared" si="712"/>
        <v/>
      </c>
      <c r="Q2104" s="16" t="str">
        <f t="shared" si="713"/>
        <v/>
      </c>
      <c r="R2104" s="23" t="str">
        <f t="shared" si="714"/>
        <v/>
      </c>
      <c r="S2104" s="23" t="str">
        <f t="shared" si="715"/>
        <v/>
      </c>
      <c r="T2104" s="23" t="str">
        <f t="shared" si="716"/>
        <v/>
      </c>
      <c r="U2104" s="23" t="str">
        <f t="shared" si="717"/>
        <v/>
      </c>
      <c r="V2104" s="23" t="str">
        <f t="shared" si="718"/>
        <v/>
      </c>
      <c r="W2104" s="70" t="str">
        <f t="shared" si="719"/>
        <v/>
      </c>
      <c r="X2104" s="70" t="str">
        <f t="shared" si="720"/>
        <v/>
      </c>
      <c r="Y2104" s="70" t="str">
        <f>IF(AND($A2104&lt;&gt;"",$E2104&gt;0),isLaptopBag($C2104,$J2104)*$D2104,"")</f>
        <v/>
      </c>
      <c r="Z2104" s="70" t="str">
        <f t="shared" si="721"/>
        <v/>
      </c>
      <c r="AA2104" s="70" t="str">
        <f t="shared" si="722"/>
        <v/>
      </c>
      <c r="AB2104" s="70" t="str">
        <f t="shared" si="723"/>
        <v/>
      </c>
      <c r="AC2104" s="70" t="str">
        <f t="shared" si="724"/>
        <v/>
      </c>
      <c r="AD2104" s="70" t="str">
        <f t="shared" si="725"/>
        <v/>
      </c>
      <c r="AE2104" s="70" t="str">
        <f t="shared" si="726"/>
        <v/>
      </c>
      <c r="AF2104" s="16"/>
      <c r="AG2104" s="23"/>
      <c r="AH2104" s="22"/>
      <c r="AJ2104" s="83">
        <f t="shared" si="727"/>
        <v>0</v>
      </c>
      <c r="AO2104" s="22" t="str">
        <f t="shared" si="728"/>
        <v/>
      </c>
      <c r="AP2104" s="22" t="str">
        <f t="shared" si="729"/>
        <v/>
      </c>
    </row>
    <row r="2105" spans="1:42" x14ac:dyDescent="0.25">
      <c r="A2105" s="10"/>
      <c r="B2105" s="10"/>
      <c r="C2105" s="10"/>
      <c r="D2105" s="10"/>
      <c r="E2105" s="10"/>
      <c r="F2105" s="10"/>
      <c r="G2105" s="10"/>
      <c r="H2105" s="17"/>
      <c r="I2105" s="10"/>
      <c r="J2105" s="10"/>
      <c r="K2105" s="16" t="str">
        <f t="shared" si="708"/>
        <v/>
      </c>
      <c r="L2105" s="23" t="str">
        <f t="shared" si="709"/>
        <v/>
      </c>
      <c r="M2105" s="22" t="str">
        <f t="shared" si="710"/>
        <v/>
      </c>
      <c r="N2105" s="72"/>
      <c r="O2105" s="16" t="str">
        <f t="shared" si="711"/>
        <v/>
      </c>
      <c r="P2105" s="16" t="str">
        <f t="shared" si="712"/>
        <v/>
      </c>
      <c r="Q2105" s="16" t="str">
        <f t="shared" si="713"/>
        <v/>
      </c>
      <c r="R2105" s="23" t="str">
        <f t="shared" si="714"/>
        <v/>
      </c>
      <c r="S2105" s="23" t="str">
        <f t="shared" si="715"/>
        <v/>
      </c>
      <c r="T2105" s="23" t="str">
        <f t="shared" si="716"/>
        <v/>
      </c>
      <c r="U2105" s="23" t="str">
        <f t="shared" si="717"/>
        <v/>
      </c>
      <c r="V2105" s="23" t="str">
        <f t="shared" si="718"/>
        <v/>
      </c>
      <c r="W2105" s="70" t="str">
        <f t="shared" si="719"/>
        <v/>
      </c>
      <c r="X2105" s="70" t="str">
        <f t="shared" si="720"/>
        <v/>
      </c>
      <c r="Y2105" s="70" t="str">
        <f>IF(AND($A2105&lt;&gt;"",$E2105&gt;0),isLaptopBag($C2105,$J2105)*$D2105,"")</f>
        <v/>
      </c>
      <c r="Z2105" s="70" t="str">
        <f t="shared" si="721"/>
        <v/>
      </c>
      <c r="AA2105" s="70" t="str">
        <f t="shared" si="722"/>
        <v/>
      </c>
      <c r="AB2105" s="70" t="str">
        <f t="shared" si="723"/>
        <v/>
      </c>
      <c r="AC2105" s="70" t="str">
        <f t="shared" si="724"/>
        <v/>
      </c>
      <c r="AD2105" s="70" t="str">
        <f t="shared" si="725"/>
        <v/>
      </c>
      <c r="AE2105" s="70" t="str">
        <f t="shared" si="726"/>
        <v/>
      </c>
      <c r="AF2105" s="16"/>
      <c r="AG2105" s="23"/>
      <c r="AH2105" s="22"/>
      <c r="AJ2105" s="83">
        <f t="shared" si="727"/>
        <v>0</v>
      </c>
      <c r="AO2105" s="22" t="str">
        <f t="shared" si="728"/>
        <v/>
      </c>
      <c r="AP2105" s="22" t="str">
        <f t="shared" si="729"/>
        <v/>
      </c>
    </row>
    <row r="2106" spans="1:42" x14ac:dyDescent="0.25">
      <c r="A2106" s="10"/>
      <c r="B2106" s="10"/>
      <c r="C2106" s="10"/>
      <c r="D2106" s="10"/>
      <c r="E2106" s="10"/>
      <c r="F2106" s="10"/>
      <c r="G2106" s="10"/>
      <c r="H2106" s="17"/>
      <c r="I2106" s="10"/>
      <c r="J2106" s="10"/>
      <c r="K2106" s="16" t="str">
        <f t="shared" si="708"/>
        <v/>
      </c>
      <c r="L2106" s="23" t="str">
        <f t="shared" si="709"/>
        <v/>
      </c>
      <c r="M2106" s="22" t="str">
        <f t="shared" si="710"/>
        <v/>
      </c>
      <c r="N2106" s="72"/>
      <c r="O2106" s="16" t="str">
        <f t="shared" si="711"/>
        <v/>
      </c>
      <c r="P2106" s="16" t="str">
        <f t="shared" si="712"/>
        <v/>
      </c>
      <c r="Q2106" s="16" t="str">
        <f t="shared" si="713"/>
        <v/>
      </c>
      <c r="R2106" s="23" t="str">
        <f t="shared" si="714"/>
        <v/>
      </c>
      <c r="S2106" s="23" t="str">
        <f t="shared" si="715"/>
        <v/>
      </c>
      <c r="T2106" s="23" t="str">
        <f t="shared" si="716"/>
        <v/>
      </c>
      <c r="U2106" s="23" t="str">
        <f t="shared" si="717"/>
        <v/>
      </c>
      <c r="V2106" s="23" t="str">
        <f t="shared" si="718"/>
        <v/>
      </c>
      <c r="W2106" s="70" t="str">
        <f t="shared" si="719"/>
        <v/>
      </c>
      <c r="X2106" s="70" t="str">
        <f t="shared" si="720"/>
        <v/>
      </c>
      <c r="Y2106" s="70" t="str">
        <f>IF(AND($A2106&lt;&gt;"",$E2106&gt;0),isLaptopBag($C2106,$J2106)*$D2106,"")</f>
        <v/>
      </c>
      <c r="Z2106" s="70" t="str">
        <f t="shared" si="721"/>
        <v/>
      </c>
      <c r="AA2106" s="70" t="str">
        <f t="shared" si="722"/>
        <v/>
      </c>
      <c r="AB2106" s="70" t="str">
        <f t="shared" si="723"/>
        <v/>
      </c>
      <c r="AC2106" s="70" t="str">
        <f t="shared" si="724"/>
        <v/>
      </c>
      <c r="AD2106" s="70" t="str">
        <f t="shared" si="725"/>
        <v/>
      </c>
      <c r="AE2106" s="70" t="str">
        <f t="shared" si="726"/>
        <v/>
      </c>
      <c r="AF2106" s="16"/>
      <c r="AG2106" s="23"/>
      <c r="AH2106" s="22"/>
      <c r="AJ2106" s="83">
        <f t="shared" si="727"/>
        <v>0</v>
      </c>
      <c r="AO2106" s="22" t="str">
        <f t="shared" si="728"/>
        <v/>
      </c>
      <c r="AP2106" s="22" t="str">
        <f t="shared" si="729"/>
        <v/>
      </c>
    </row>
    <row r="2107" spans="1:42" x14ac:dyDescent="0.25">
      <c r="A2107" s="10"/>
      <c r="B2107" s="10"/>
      <c r="C2107" s="10"/>
      <c r="D2107" s="10"/>
      <c r="E2107" s="10"/>
      <c r="F2107" s="10"/>
      <c r="G2107" s="10"/>
      <c r="H2107" s="17"/>
      <c r="I2107" s="10"/>
      <c r="J2107" s="10"/>
      <c r="K2107" s="16" t="str">
        <f t="shared" si="708"/>
        <v/>
      </c>
      <c r="L2107" s="23" t="str">
        <f t="shared" si="709"/>
        <v/>
      </c>
      <c r="M2107" s="22" t="str">
        <f t="shared" si="710"/>
        <v/>
      </c>
      <c r="N2107" s="72"/>
      <c r="O2107" s="16" t="str">
        <f t="shared" si="711"/>
        <v/>
      </c>
      <c r="P2107" s="16" t="str">
        <f t="shared" si="712"/>
        <v/>
      </c>
      <c r="Q2107" s="16" t="str">
        <f t="shared" si="713"/>
        <v/>
      </c>
      <c r="R2107" s="23" t="str">
        <f t="shared" si="714"/>
        <v/>
      </c>
      <c r="S2107" s="23" t="str">
        <f t="shared" si="715"/>
        <v/>
      </c>
      <c r="T2107" s="23" t="str">
        <f t="shared" si="716"/>
        <v/>
      </c>
      <c r="U2107" s="23" t="str">
        <f t="shared" si="717"/>
        <v/>
      </c>
      <c r="V2107" s="23" t="str">
        <f t="shared" si="718"/>
        <v/>
      </c>
      <c r="W2107" s="70" t="str">
        <f t="shared" si="719"/>
        <v/>
      </c>
      <c r="X2107" s="70" t="str">
        <f t="shared" si="720"/>
        <v/>
      </c>
      <c r="Y2107" s="70" t="str">
        <f>IF(AND($A2107&lt;&gt;"",$E2107&gt;0),isLaptopBag($C2107,$J2107)*$D2107,"")</f>
        <v/>
      </c>
      <c r="Z2107" s="70" t="str">
        <f t="shared" si="721"/>
        <v/>
      </c>
      <c r="AA2107" s="70" t="str">
        <f t="shared" si="722"/>
        <v/>
      </c>
      <c r="AB2107" s="70" t="str">
        <f t="shared" si="723"/>
        <v/>
      </c>
      <c r="AC2107" s="70" t="str">
        <f t="shared" si="724"/>
        <v/>
      </c>
      <c r="AD2107" s="70" t="str">
        <f t="shared" si="725"/>
        <v/>
      </c>
      <c r="AE2107" s="70" t="str">
        <f t="shared" si="726"/>
        <v/>
      </c>
      <c r="AF2107" s="16"/>
      <c r="AG2107" s="23"/>
      <c r="AH2107" s="22"/>
      <c r="AJ2107" s="83">
        <f t="shared" si="727"/>
        <v>0</v>
      </c>
      <c r="AO2107" s="22" t="str">
        <f t="shared" si="728"/>
        <v/>
      </c>
      <c r="AP2107" s="22" t="str">
        <f t="shared" si="729"/>
        <v/>
      </c>
    </row>
    <row r="2108" spans="1:42" x14ac:dyDescent="0.25">
      <c r="A2108" s="10"/>
      <c r="B2108" s="10"/>
      <c r="C2108" s="10"/>
      <c r="D2108" s="10"/>
      <c r="E2108" s="10"/>
      <c r="F2108" s="10"/>
      <c r="G2108" s="10"/>
      <c r="H2108" s="17"/>
      <c r="I2108" s="10"/>
      <c r="J2108" s="10"/>
      <c r="K2108" s="16" t="str">
        <f t="shared" si="708"/>
        <v/>
      </c>
      <c r="L2108" s="23" t="str">
        <f t="shared" si="709"/>
        <v/>
      </c>
      <c r="M2108" s="22" t="str">
        <f t="shared" si="710"/>
        <v/>
      </c>
      <c r="N2108" s="72"/>
      <c r="O2108" s="16" t="str">
        <f t="shared" si="711"/>
        <v/>
      </c>
      <c r="P2108" s="16" t="str">
        <f t="shared" si="712"/>
        <v/>
      </c>
      <c r="Q2108" s="16" t="str">
        <f t="shared" si="713"/>
        <v/>
      </c>
      <c r="R2108" s="23" t="str">
        <f t="shared" si="714"/>
        <v/>
      </c>
      <c r="S2108" s="23" t="str">
        <f t="shared" si="715"/>
        <v/>
      </c>
      <c r="T2108" s="23" t="str">
        <f t="shared" si="716"/>
        <v/>
      </c>
      <c r="U2108" s="23" t="str">
        <f t="shared" si="717"/>
        <v/>
      </c>
      <c r="V2108" s="23" t="str">
        <f t="shared" si="718"/>
        <v/>
      </c>
      <c r="W2108" s="70" t="str">
        <f t="shared" si="719"/>
        <v/>
      </c>
      <c r="X2108" s="70" t="str">
        <f t="shared" si="720"/>
        <v/>
      </c>
      <c r="Y2108" s="70" t="str">
        <f>IF(AND($A2108&lt;&gt;"",$E2108&gt;0),isLaptopBag($C2108,$J2108)*$D2108,"")</f>
        <v/>
      </c>
      <c r="Z2108" s="70" t="str">
        <f t="shared" si="721"/>
        <v/>
      </c>
      <c r="AA2108" s="70" t="str">
        <f t="shared" si="722"/>
        <v/>
      </c>
      <c r="AB2108" s="70" t="str">
        <f t="shared" si="723"/>
        <v/>
      </c>
      <c r="AC2108" s="70" t="str">
        <f t="shared" si="724"/>
        <v/>
      </c>
      <c r="AD2108" s="70" t="str">
        <f t="shared" si="725"/>
        <v/>
      </c>
      <c r="AE2108" s="70" t="str">
        <f t="shared" si="726"/>
        <v/>
      </c>
      <c r="AF2108" s="16"/>
      <c r="AG2108" s="23"/>
      <c r="AH2108" s="22"/>
      <c r="AJ2108" s="83">
        <f t="shared" si="727"/>
        <v>0</v>
      </c>
      <c r="AO2108" s="22" t="str">
        <f t="shared" si="728"/>
        <v/>
      </c>
      <c r="AP2108" s="22" t="str">
        <f t="shared" si="729"/>
        <v/>
      </c>
    </row>
    <row r="2109" spans="1:42" x14ac:dyDescent="0.25">
      <c r="A2109" s="10"/>
      <c r="B2109" s="10"/>
      <c r="C2109" s="10"/>
      <c r="D2109" s="10"/>
      <c r="E2109" s="10"/>
      <c r="F2109" s="10"/>
      <c r="G2109" s="10"/>
      <c r="H2109" s="17"/>
      <c r="I2109" s="10"/>
      <c r="J2109" s="10"/>
      <c r="K2109" s="16" t="str">
        <f t="shared" si="708"/>
        <v/>
      </c>
      <c r="L2109" s="23" t="str">
        <f t="shared" si="709"/>
        <v/>
      </c>
      <c r="M2109" s="22" t="str">
        <f t="shared" si="710"/>
        <v/>
      </c>
      <c r="N2109" s="72"/>
      <c r="O2109" s="16" t="str">
        <f t="shared" si="711"/>
        <v/>
      </c>
      <c r="P2109" s="16" t="str">
        <f t="shared" si="712"/>
        <v/>
      </c>
      <c r="Q2109" s="16" t="str">
        <f t="shared" si="713"/>
        <v/>
      </c>
      <c r="R2109" s="23" t="str">
        <f t="shared" si="714"/>
        <v/>
      </c>
      <c r="S2109" s="23" t="str">
        <f t="shared" si="715"/>
        <v/>
      </c>
      <c r="T2109" s="23" t="str">
        <f t="shared" si="716"/>
        <v/>
      </c>
      <c r="U2109" s="23" t="str">
        <f t="shared" si="717"/>
        <v/>
      </c>
      <c r="V2109" s="23" t="str">
        <f t="shared" si="718"/>
        <v/>
      </c>
      <c r="W2109" s="70" t="str">
        <f t="shared" si="719"/>
        <v/>
      </c>
      <c r="X2109" s="70" t="str">
        <f t="shared" si="720"/>
        <v/>
      </c>
      <c r="Y2109" s="70" t="str">
        <f>IF(AND($A2109&lt;&gt;"",$E2109&gt;0),isLaptopBag($C2109,$J2109)*$D2109,"")</f>
        <v/>
      </c>
      <c r="Z2109" s="70" t="str">
        <f t="shared" si="721"/>
        <v/>
      </c>
      <c r="AA2109" s="70" t="str">
        <f t="shared" si="722"/>
        <v/>
      </c>
      <c r="AB2109" s="70" t="str">
        <f t="shared" si="723"/>
        <v/>
      </c>
      <c r="AC2109" s="70" t="str">
        <f t="shared" si="724"/>
        <v/>
      </c>
      <c r="AD2109" s="70" t="str">
        <f t="shared" si="725"/>
        <v/>
      </c>
      <c r="AE2109" s="70" t="str">
        <f t="shared" si="726"/>
        <v/>
      </c>
      <c r="AF2109" s="16"/>
      <c r="AG2109" s="23"/>
      <c r="AH2109" s="22"/>
      <c r="AJ2109" s="83">
        <f t="shared" si="727"/>
        <v>0</v>
      </c>
      <c r="AO2109" s="22" t="str">
        <f t="shared" si="728"/>
        <v/>
      </c>
      <c r="AP2109" s="22" t="str">
        <f t="shared" si="729"/>
        <v/>
      </c>
    </row>
    <row r="2110" spans="1:42" x14ac:dyDescent="0.25">
      <c r="A2110" s="10"/>
      <c r="B2110" s="10"/>
      <c r="C2110" s="10"/>
      <c r="D2110" s="10"/>
      <c r="E2110" s="10"/>
      <c r="F2110" s="10"/>
      <c r="G2110" s="10"/>
      <c r="H2110" s="17"/>
      <c r="I2110" s="10"/>
      <c r="J2110" s="10"/>
      <c r="K2110" s="16" t="str">
        <f t="shared" si="708"/>
        <v/>
      </c>
      <c r="L2110" s="23" t="str">
        <f t="shared" si="709"/>
        <v/>
      </c>
      <c r="M2110" s="22" t="str">
        <f t="shared" si="710"/>
        <v/>
      </c>
      <c r="N2110" s="72"/>
      <c r="O2110" s="16" t="str">
        <f t="shared" si="711"/>
        <v/>
      </c>
      <c r="P2110" s="16" t="str">
        <f t="shared" si="712"/>
        <v/>
      </c>
      <c r="Q2110" s="16" t="str">
        <f t="shared" si="713"/>
        <v/>
      </c>
      <c r="R2110" s="23" t="str">
        <f t="shared" si="714"/>
        <v/>
      </c>
      <c r="S2110" s="23" t="str">
        <f t="shared" si="715"/>
        <v/>
      </c>
      <c r="T2110" s="23" t="str">
        <f t="shared" si="716"/>
        <v/>
      </c>
      <c r="U2110" s="23" t="str">
        <f t="shared" si="717"/>
        <v/>
      </c>
      <c r="V2110" s="23" t="str">
        <f t="shared" si="718"/>
        <v/>
      </c>
      <c r="W2110" s="70" t="str">
        <f t="shared" si="719"/>
        <v/>
      </c>
      <c r="X2110" s="70" t="str">
        <f t="shared" si="720"/>
        <v/>
      </c>
      <c r="Y2110" s="70" t="str">
        <f>IF(AND($A2110&lt;&gt;"",$E2110&gt;0),isLaptopBag($C2110,$J2110)*$D2110,"")</f>
        <v/>
      </c>
      <c r="Z2110" s="70" t="str">
        <f t="shared" si="721"/>
        <v/>
      </c>
      <c r="AA2110" s="70" t="str">
        <f t="shared" si="722"/>
        <v/>
      </c>
      <c r="AB2110" s="70" t="str">
        <f t="shared" si="723"/>
        <v/>
      </c>
      <c r="AC2110" s="70" t="str">
        <f t="shared" si="724"/>
        <v/>
      </c>
      <c r="AD2110" s="70" t="str">
        <f t="shared" si="725"/>
        <v/>
      </c>
      <c r="AE2110" s="70" t="str">
        <f t="shared" si="726"/>
        <v/>
      </c>
      <c r="AF2110" s="16"/>
      <c r="AG2110" s="23"/>
      <c r="AH2110" s="22"/>
      <c r="AJ2110" s="83">
        <f t="shared" si="727"/>
        <v>0</v>
      </c>
      <c r="AO2110" s="22" t="str">
        <f t="shared" si="728"/>
        <v/>
      </c>
      <c r="AP2110" s="22" t="str">
        <f t="shared" si="729"/>
        <v/>
      </c>
    </row>
    <row r="2111" spans="1:42" x14ac:dyDescent="0.25">
      <c r="A2111" s="10"/>
      <c r="B2111" s="10"/>
      <c r="C2111" s="10"/>
      <c r="D2111" s="10"/>
      <c r="E2111" s="10"/>
      <c r="F2111" s="10"/>
      <c r="G2111" s="10"/>
      <c r="H2111" s="17"/>
      <c r="I2111" s="10"/>
      <c r="J2111" s="10"/>
      <c r="K2111" s="16" t="str">
        <f t="shared" si="708"/>
        <v/>
      </c>
      <c r="L2111" s="23" t="str">
        <f t="shared" si="709"/>
        <v/>
      </c>
      <c r="M2111" s="22" t="str">
        <f t="shared" si="710"/>
        <v/>
      </c>
      <c r="N2111" s="72"/>
      <c r="O2111" s="16" t="str">
        <f t="shared" si="711"/>
        <v/>
      </c>
      <c r="P2111" s="16" t="str">
        <f t="shared" si="712"/>
        <v/>
      </c>
      <c r="Q2111" s="16" t="str">
        <f t="shared" si="713"/>
        <v/>
      </c>
      <c r="R2111" s="23" t="str">
        <f t="shared" si="714"/>
        <v/>
      </c>
      <c r="S2111" s="23" t="str">
        <f t="shared" si="715"/>
        <v/>
      </c>
      <c r="T2111" s="23" t="str">
        <f t="shared" si="716"/>
        <v/>
      </c>
      <c r="U2111" s="23" t="str">
        <f t="shared" si="717"/>
        <v/>
      </c>
      <c r="V2111" s="23" t="str">
        <f t="shared" si="718"/>
        <v/>
      </c>
      <c r="W2111" s="70" t="str">
        <f t="shared" si="719"/>
        <v/>
      </c>
      <c r="X2111" s="70" t="str">
        <f t="shared" si="720"/>
        <v/>
      </c>
      <c r="Y2111" s="70" t="str">
        <f>IF(AND($A2111&lt;&gt;"",$E2111&gt;0),isLaptopBag($C2111,$J2111)*$D2111,"")</f>
        <v/>
      </c>
      <c r="Z2111" s="70" t="str">
        <f t="shared" si="721"/>
        <v/>
      </c>
      <c r="AA2111" s="70" t="str">
        <f t="shared" si="722"/>
        <v/>
      </c>
      <c r="AB2111" s="70" t="str">
        <f t="shared" si="723"/>
        <v/>
      </c>
      <c r="AC2111" s="70" t="str">
        <f t="shared" si="724"/>
        <v/>
      </c>
      <c r="AD2111" s="70" t="str">
        <f t="shared" si="725"/>
        <v/>
      </c>
      <c r="AE2111" s="70" t="str">
        <f t="shared" si="726"/>
        <v/>
      </c>
      <c r="AF2111" s="16"/>
      <c r="AG2111" s="23"/>
      <c r="AH2111" s="22"/>
      <c r="AJ2111" s="83">
        <f t="shared" si="727"/>
        <v>0</v>
      </c>
      <c r="AO2111" s="22" t="str">
        <f t="shared" si="728"/>
        <v/>
      </c>
      <c r="AP2111" s="22" t="str">
        <f t="shared" si="729"/>
        <v/>
      </c>
    </row>
    <row r="2112" spans="1:42" x14ac:dyDescent="0.25">
      <c r="A2112" s="10"/>
      <c r="B2112" s="10"/>
      <c r="C2112" s="10"/>
      <c r="D2112" s="10"/>
      <c r="E2112" s="10"/>
      <c r="F2112" s="10"/>
      <c r="G2112" s="10"/>
      <c r="H2112" s="17"/>
      <c r="I2112" s="10"/>
      <c r="J2112" s="10"/>
      <c r="K2112" s="16" t="str">
        <f t="shared" si="708"/>
        <v/>
      </c>
      <c r="L2112" s="23" t="str">
        <f t="shared" si="709"/>
        <v/>
      </c>
      <c r="M2112" s="22" t="str">
        <f t="shared" si="710"/>
        <v/>
      </c>
      <c r="N2112" s="72"/>
      <c r="O2112" s="16" t="str">
        <f t="shared" si="711"/>
        <v/>
      </c>
      <c r="P2112" s="16" t="str">
        <f t="shared" si="712"/>
        <v/>
      </c>
      <c r="Q2112" s="16" t="str">
        <f t="shared" si="713"/>
        <v/>
      </c>
      <c r="R2112" s="23" t="str">
        <f t="shared" si="714"/>
        <v/>
      </c>
      <c r="S2112" s="23" t="str">
        <f t="shared" si="715"/>
        <v/>
      </c>
      <c r="T2112" s="23" t="str">
        <f t="shared" si="716"/>
        <v/>
      </c>
      <c r="U2112" s="23" t="str">
        <f t="shared" si="717"/>
        <v/>
      </c>
      <c r="V2112" s="23" t="str">
        <f t="shared" si="718"/>
        <v/>
      </c>
      <c r="W2112" s="70" t="str">
        <f t="shared" si="719"/>
        <v/>
      </c>
      <c r="X2112" s="70" t="str">
        <f t="shared" si="720"/>
        <v/>
      </c>
      <c r="Y2112" s="70" t="str">
        <f>IF(AND($A2112&lt;&gt;"",$E2112&gt;0),isLaptopBag($C2112,$J2112)*$D2112,"")</f>
        <v/>
      </c>
      <c r="Z2112" s="70" t="str">
        <f t="shared" si="721"/>
        <v/>
      </c>
      <c r="AA2112" s="70" t="str">
        <f t="shared" si="722"/>
        <v/>
      </c>
      <c r="AB2112" s="70" t="str">
        <f t="shared" si="723"/>
        <v/>
      </c>
      <c r="AC2112" s="70" t="str">
        <f t="shared" si="724"/>
        <v/>
      </c>
      <c r="AD2112" s="70" t="str">
        <f t="shared" si="725"/>
        <v/>
      </c>
      <c r="AE2112" s="70" t="str">
        <f t="shared" si="726"/>
        <v/>
      </c>
      <c r="AF2112" s="16"/>
      <c r="AG2112" s="23"/>
      <c r="AH2112" s="22"/>
      <c r="AJ2112" s="83">
        <f t="shared" si="727"/>
        <v>0</v>
      </c>
      <c r="AO2112" s="22" t="str">
        <f t="shared" si="728"/>
        <v/>
      </c>
      <c r="AP2112" s="22" t="str">
        <f t="shared" si="729"/>
        <v/>
      </c>
    </row>
    <row r="2113" spans="1:42" x14ac:dyDescent="0.25">
      <c r="A2113" s="10"/>
      <c r="B2113" s="10"/>
      <c r="C2113" s="10"/>
      <c r="D2113" s="10"/>
      <c r="E2113" s="10"/>
      <c r="F2113" s="10"/>
      <c r="G2113" s="10"/>
      <c r="H2113" s="17"/>
      <c r="I2113" s="10"/>
      <c r="J2113" s="10"/>
      <c r="K2113" s="16" t="str">
        <f t="shared" si="708"/>
        <v/>
      </c>
      <c r="L2113" s="23" t="str">
        <f t="shared" si="709"/>
        <v/>
      </c>
      <c r="M2113" s="22" t="str">
        <f t="shared" si="710"/>
        <v/>
      </c>
      <c r="N2113" s="72"/>
      <c r="O2113" s="16" t="str">
        <f t="shared" si="711"/>
        <v/>
      </c>
      <c r="P2113" s="16" t="str">
        <f t="shared" si="712"/>
        <v/>
      </c>
      <c r="Q2113" s="16" t="str">
        <f t="shared" si="713"/>
        <v/>
      </c>
      <c r="R2113" s="23" t="str">
        <f t="shared" si="714"/>
        <v/>
      </c>
      <c r="S2113" s="23" t="str">
        <f t="shared" si="715"/>
        <v/>
      </c>
      <c r="T2113" s="23" t="str">
        <f t="shared" si="716"/>
        <v/>
      </c>
      <c r="U2113" s="23" t="str">
        <f t="shared" si="717"/>
        <v/>
      </c>
      <c r="V2113" s="23" t="str">
        <f t="shared" si="718"/>
        <v/>
      </c>
      <c r="W2113" s="70" t="str">
        <f t="shared" si="719"/>
        <v/>
      </c>
      <c r="X2113" s="70" t="str">
        <f t="shared" si="720"/>
        <v/>
      </c>
      <c r="Y2113" s="70" t="str">
        <f>IF(AND($A2113&lt;&gt;"",$E2113&gt;0),isLaptopBag($C2113,$J2113)*$D2113,"")</f>
        <v/>
      </c>
      <c r="Z2113" s="70" t="str">
        <f t="shared" si="721"/>
        <v/>
      </c>
      <c r="AA2113" s="70" t="str">
        <f t="shared" si="722"/>
        <v/>
      </c>
      <c r="AB2113" s="70" t="str">
        <f t="shared" si="723"/>
        <v/>
      </c>
      <c r="AC2113" s="70" t="str">
        <f t="shared" si="724"/>
        <v/>
      </c>
      <c r="AD2113" s="70" t="str">
        <f t="shared" si="725"/>
        <v/>
      </c>
      <c r="AE2113" s="70" t="str">
        <f t="shared" si="726"/>
        <v/>
      </c>
      <c r="AF2113" s="16"/>
      <c r="AG2113" s="23"/>
      <c r="AH2113" s="22"/>
      <c r="AJ2113" s="83">
        <f t="shared" si="727"/>
        <v>0</v>
      </c>
      <c r="AO2113" s="22" t="str">
        <f t="shared" si="728"/>
        <v/>
      </c>
      <c r="AP2113" s="22" t="str">
        <f t="shared" si="729"/>
        <v/>
      </c>
    </row>
    <row r="2114" spans="1:42" x14ac:dyDescent="0.25">
      <c r="A2114" s="10"/>
      <c r="B2114" s="10"/>
      <c r="C2114" s="10"/>
      <c r="D2114" s="10"/>
      <c r="E2114" s="10"/>
      <c r="F2114" s="10"/>
      <c r="G2114" s="10"/>
      <c r="H2114" s="17"/>
      <c r="I2114" s="10"/>
      <c r="J2114" s="10"/>
      <c r="K2114" s="16" t="str">
        <f t="shared" si="708"/>
        <v/>
      </c>
      <c r="L2114" s="23" t="str">
        <f t="shared" si="709"/>
        <v/>
      </c>
      <c r="M2114" s="22" t="str">
        <f t="shared" si="710"/>
        <v/>
      </c>
      <c r="N2114" s="72"/>
      <c r="O2114" s="16" t="str">
        <f t="shared" si="711"/>
        <v/>
      </c>
      <c r="P2114" s="16" t="str">
        <f t="shared" si="712"/>
        <v/>
      </c>
      <c r="Q2114" s="16" t="str">
        <f t="shared" si="713"/>
        <v/>
      </c>
      <c r="R2114" s="23" t="str">
        <f t="shared" si="714"/>
        <v/>
      </c>
      <c r="S2114" s="23" t="str">
        <f t="shared" si="715"/>
        <v/>
      </c>
      <c r="T2114" s="23" t="str">
        <f t="shared" si="716"/>
        <v/>
      </c>
      <c r="U2114" s="23" t="str">
        <f t="shared" si="717"/>
        <v/>
      </c>
      <c r="V2114" s="23" t="str">
        <f t="shared" si="718"/>
        <v/>
      </c>
      <c r="W2114" s="70" t="str">
        <f t="shared" si="719"/>
        <v/>
      </c>
      <c r="X2114" s="70" t="str">
        <f t="shared" si="720"/>
        <v/>
      </c>
      <c r="Y2114" s="70" t="str">
        <f>IF(AND($A2114&lt;&gt;"",$E2114&gt;0),isLaptopBag($C2114,$J2114)*$D2114,"")</f>
        <v/>
      </c>
      <c r="Z2114" s="70" t="str">
        <f t="shared" si="721"/>
        <v/>
      </c>
      <c r="AA2114" s="70" t="str">
        <f t="shared" si="722"/>
        <v/>
      </c>
      <c r="AB2114" s="70" t="str">
        <f t="shared" si="723"/>
        <v/>
      </c>
      <c r="AC2114" s="70" t="str">
        <f t="shared" si="724"/>
        <v/>
      </c>
      <c r="AD2114" s="70" t="str">
        <f t="shared" si="725"/>
        <v/>
      </c>
      <c r="AE2114" s="70" t="str">
        <f t="shared" si="726"/>
        <v/>
      </c>
      <c r="AF2114" s="16"/>
      <c r="AG2114" s="23"/>
      <c r="AH2114" s="22"/>
      <c r="AJ2114" s="83">
        <f t="shared" si="727"/>
        <v>0</v>
      </c>
      <c r="AO2114" s="22" t="str">
        <f t="shared" si="728"/>
        <v/>
      </c>
      <c r="AP2114" s="22" t="str">
        <f t="shared" si="729"/>
        <v/>
      </c>
    </row>
    <row r="2115" spans="1:42" x14ac:dyDescent="0.25">
      <c r="A2115" s="10"/>
      <c r="B2115" s="10"/>
      <c r="C2115" s="10"/>
      <c r="D2115" s="10"/>
      <c r="E2115" s="10"/>
      <c r="F2115" s="10"/>
      <c r="G2115" s="10"/>
      <c r="H2115" s="17"/>
      <c r="I2115" s="10"/>
      <c r="J2115" s="10"/>
      <c r="K2115" s="16" t="str">
        <f t="shared" si="708"/>
        <v/>
      </c>
      <c r="L2115" s="23" t="str">
        <f t="shared" si="709"/>
        <v/>
      </c>
      <c r="M2115" s="22" t="str">
        <f t="shared" si="710"/>
        <v/>
      </c>
      <c r="N2115" s="72"/>
      <c r="O2115" s="16" t="str">
        <f t="shared" si="711"/>
        <v/>
      </c>
      <c r="P2115" s="16" t="str">
        <f t="shared" si="712"/>
        <v/>
      </c>
      <c r="Q2115" s="16" t="str">
        <f t="shared" si="713"/>
        <v/>
      </c>
      <c r="R2115" s="23" t="str">
        <f t="shared" si="714"/>
        <v/>
      </c>
      <c r="S2115" s="23" t="str">
        <f t="shared" si="715"/>
        <v/>
      </c>
      <c r="T2115" s="23" t="str">
        <f t="shared" si="716"/>
        <v/>
      </c>
      <c r="U2115" s="23" t="str">
        <f t="shared" si="717"/>
        <v/>
      </c>
      <c r="V2115" s="23" t="str">
        <f t="shared" si="718"/>
        <v/>
      </c>
      <c r="W2115" s="70" t="str">
        <f t="shared" si="719"/>
        <v/>
      </c>
      <c r="X2115" s="70" t="str">
        <f t="shared" si="720"/>
        <v/>
      </c>
      <c r="Y2115" s="70" t="str">
        <f>IF(AND($A2115&lt;&gt;"",$E2115&gt;0),isLaptopBag($C2115,$J2115)*$D2115,"")</f>
        <v/>
      </c>
      <c r="Z2115" s="70" t="str">
        <f t="shared" si="721"/>
        <v/>
      </c>
      <c r="AA2115" s="70" t="str">
        <f t="shared" si="722"/>
        <v/>
      </c>
      <c r="AB2115" s="70" t="str">
        <f t="shared" si="723"/>
        <v/>
      </c>
      <c r="AC2115" s="70" t="str">
        <f t="shared" si="724"/>
        <v/>
      </c>
      <c r="AD2115" s="70" t="str">
        <f t="shared" si="725"/>
        <v/>
      </c>
      <c r="AE2115" s="70" t="str">
        <f t="shared" si="726"/>
        <v/>
      </c>
      <c r="AF2115" s="16"/>
      <c r="AG2115" s="23"/>
      <c r="AH2115" s="22"/>
      <c r="AJ2115" s="83">
        <f t="shared" si="727"/>
        <v>0</v>
      </c>
      <c r="AO2115" s="22" t="str">
        <f t="shared" si="728"/>
        <v/>
      </c>
      <c r="AP2115" s="22" t="str">
        <f t="shared" si="729"/>
        <v/>
      </c>
    </row>
    <row r="2116" spans="1:42" x14ac:dyDescent="0.25">
      <c r="A2116" s="10"/>
      <c r="B2116" s="10"/>
      <c r="C2116" s="10"/>
      <c r="D2116" s="10"/>
      <c r="E2116" s="10"/>
      <c r="F2116" s="10"/>
      <c r="G2116" s="10"/>
      <c r="H2116" s="17"/>
      <c r="I2116" s="10"/>
      <c r="J2116" s="10"/>
      <c r="K2116" s="16" t="str">
        <f t="shared" si="708"/>
        <v/>
      </c>
      <c r="L2116" s="23" t="str">
        <f t="shared" si="709"/>
        <v/>
      </c>
      <c r="M2116" s="22" t="str">
        <f t="shared" si="710"/>
        <v/>
      </c>
      <c r="N2116" s="72"/>
      <c r="O2116" s="16" t="str">
        <f t="shared" si="711"/>
        <v/>
      </c>
      <c r="P2116" s="16" t="str">
        <f t="shared" si="712"/>
        <v/>
      </c>
      <c r="Q2116" s="16" t="str">
        <f t="shared" si="713"/>
        <v/>
      </c>
      <c r="R2116" s="23" t="str">
        <f t="shared" si="714"/>
        <v/>
      </c>
      <c r="S2116" s="23" t="str">
        <f t="shared" si="715"/>
        <v/>
      </c>
      <c r="T2116" s="23" t="str">
        <f t="shared" si="716"/>
        <v/>
      </c>
      <c r="U2116" s="23" t="str">
        <f t="shared" si="717"/>
        <v/>
      </c>
      <c r="V2116" s="23" t="str">
        <f t="shared" si="718"/>
        <v/>
      </c>
      <c r="W2116" s="70" t="str">
        <f t="shared" si="719"/>
        <v/>
      </c>
      <c r="X2116" s="70" t="str">
        <f t="shared" si="720"/>
        <v/>
      </c>
      <c r="Y2116" s="70" t="str">
        <f>IF(AND($A2116&lt;&gt;"",$E2116&gt;0),isLaptopBag($C2116,$J2116)*$D2116,"")</f>
        <v/>
      </c>
      <c r="Z2116" s="70" t="str">
        <f t="shared" si="721"/>
        <v/>
      </c>
      <c r="AA2116" s="70" t="str">
        <f t="shared" si="722"/>
        <v/>
      </c>
      <c r="AB2116" s="70" t="str">
        <f t="shared" si="723"/>
        <v/>
      </c>
      <c r="AC2116" s="70" t="str">
        <f t="shared" si="724"/>
        <v/>
      </c>
      <c r="AD2116" s="70" t="str">
        <f t="shared" si="725"/>
        <v/>
      </c>
      <c r="AE2116" s="70" t="str">
        <f t="shared" si="726"/>
        <v/>
      </c>
      <c r="AF2116" s="16"/>
      <c r="AG2116" s="23"/>
      <c r="AH2116" s="22"/>
      <c r="AJ2116" s="83">
        <f t="shared" si="727"/>
        <v>0</v>
      </c>
      <c r="AO2116" s="22" t="str">
        <f t="shared" si="728"/>
        <v/>
      </c>
      <c r="AP2116" s="22" t="str">
        <f t="shared" si="729"/>
        <v/>
      </c>
    </row>
    <row r="2117" spans="1:42" x14ac:dyDescent="0.25">
      <c r="A2117" s="10"/>
      <c r="B2117" s="10"/>
      <c r="C2117" s="10"/>
      <c r="D2117" s="10"/>
      <c r="E2117" s="10"/>
      <c r="F2117" s="10"/>
      <c r="G2117" s="10"/>
      <c r="H2117" s="17"/>
      <c r="I2117" s="10"/>
      <c r="J2117" s="10"/>
      <c r="K2117" s="16" t="str">
        <f t="shared" si="708"/>
        <v/>
      </c>
      <c r="L2117" s="23" t="str">
        <f t="shared" si="709"/>
        <v/>
      </c>
      <c r="M2117" s="22" t="str">
        <f t="shared" si="710"/>
        <v/>
      </c>
      <c r="N2117" s="72"/>
      <c r="O2117" s="16" t="str">
        <f t="shared" si="711"/>
        <v/>
      </c>
      <c r="P2117" s="16" t="str">
        <f t="shared" si="712"/>
        <v/>
      </c>
      <c r="Q2117" s="16" t="str">
        <f t="shared" si="713"/>
        <v/>
      </c>
      <c r="R2117" s="23" t="str">
        <f t="shared" si="714"/>
        <v/>
      </c>
      <c r="S2117" s="23" t="str">
        <f t="shared" si="715"/>
        <v/>
      </c>
      <c r="T2117" s="23" t="str">
        <f t="shared" si="716"/>
        <v/>
      </c>
      <c r="U2117" s="23" t="str">
        <f t="shared" si="717"/>
        <v/>
      </c>
      <c r="V2117" s="23" t="str">
        <f t="shared" si="718"/>
        <v/>
      </c>
      <c r="W2117" s="70" t="str">
        <f t="shared" si="719"/>
        <v/>
      </c>
      <c r="X2117" s="70" t="str">
        <f t="shared" si="720"/>
        <v/>
      </c>
      <c r="Y2117" s="70" t="str">
        <f>IF(AND($A2117&lt;&gt;"",$E2117&gt;0),isLaptopBag($C2117,$J2117)*$D2117,"")</f>
        <v/>
      </c>
      <c r="Z2117" s="70" t="str">
        <f t="shared" si="721"/>
        <v/>
      </c>
      <c r="AA2117" s="70" t="str">
        <f t="shared" si="722"/>
        <v/>
      </c>
      <c r="AB2117" s="70" t="str">
        <f t="shared" si="723"/>
        <v/>
      </c>
      <c r="AC2117" s="70" t="str">
        <f t="shared" si="724"/>
        <v/>
      </c>
      <c r="AD2117" s="70" t="str">
        <f t="shared" si="725"/>
        <v/>
      </c>
      <c r="AE2117" s="70" t="str">
        <f t="shared" si="726"/>
        <v/>
      </c>
      <c r="AF2117" s="16"/>
      <c r="AG2117" s="23"/>
      <c r="AH2117" s="22"/>
      <c r="AJ2117" s="83">
        <f t="shared" si="727"/>
        <v>0</v>
      </c>
      <c r="AO2117" s="22" t="str">
        <f t="shared" si="728"/>
        <v/>
      </c>
      <c r="AP2117" s="22" t="str">
        <f t="shared" si="729"/>
        <v/>
      </c>
    </row>
    <row r="2118" spans="1:42" x14ac:dyDescent="0.25">
      <c r="A2118" s="10"/>
      <c r="B2118" s="10"/>
      <c r="C2118" s="10"/>
      <c r="D2118" s="10"/>
      <c r="E2118" s="10"/>
      <c r="F2118" s="10"/>
      <c r="G2118" s="10"/>
      <c r="H2118" s="17"/>
      <c r="I2118" s="10"/>
      <c r="J2118" s="10"/>
      <c r="K2118" s="16" t="str">
        <f t="shared" si="708"/>
        <v/>
      </c>
      <c r="L2118" s="23" t="str">
        <f t="shared" si="709"/>
        <v/>
      </c>
      <c r="M2118" s="22" t="str">
        <f t="shared" si="710"/>
        <v/>
      </c>
      <c r="N2118" s="72"/>
      <c r="O2118" s="16" t="str">
        <f t="shared" si="711"/>
        <v/>
      </c>
      <c r="P2118" s="16" t="str">
        <f t="shared" si="712"/>
        <v/>
      </c>
      <c r="Q2118" s="16" t="str">
        <f t="shared" si="713"/>
        <v/>
      </c>
      <c r="R2118" s="23" t="str">
        <f t="shared" si="714"/>
        <v/>
      </c>
      <c r="S2118" s="23" t="str">
        <f t="shared" si="715"/>
        <v/>
      </c>
      <c r="T2118" s="23" t="str">
        <f t="shared" si="716"/>
        <v/>
      </c>
      <c r="U2118" s="23" t="str">
        <f t="shared" si="717"/>
        <v/>
      </c>
      <c r="V2118" s="23" t="str">
        <f t="shared" si="718"/>
        <v/>
      </c>
      <c r="W2118" s="70" t="str">
        <f t="shared" si="719"/>
        <v/>
      </c>
      <c r="X2118" s="70" t="str">
        <f t="shared" si="720"/>
        <v/>
      </c>
      <c r="Y2118" s="70" t="str">
        <f>IF(AND($A2118&lt;&gt;"",$E2118&gt;0),isLaptopBag($C2118,$J2118)*$D2118,"")</f>
        <v/>
      </c>
      <c r="Z2118" s="70" t="str">
        <f t="shared" si="721"/>
        <v/>
      </c>
      <c r="AA2118" s="70" t="str">
        <f t="shared" si="722"/>
        <v/>
      </c>
      <c r="AB2118" s="70" t="str">
        <f t="shared" si="723"/>
        <v/>
      </c>
      <c r="AC2118" s="70" t="str">
        <f t="shared" si="724"/>
        <v/>
      </c>
      <c r="AD2118" s="70" t="str">
        <f t="shared" si="725"/>
        <v/>
      </c>
      <c r="AE2118" s="70" t="str">
        <f t="shared" si="726"/>
        <v/>
      </c>
      <c r="AF2118" s="16"/>
      <c r="AG2118" s="23"/>
      <c r="AH2118" s="22"/>
      <c r="AJ2118" s="83">
        <f t="shared" si="727"/>
        <v>0</v>
      </c>
      <c r="AO2118" s="22" t="str">
        <f t="shared" si="728"/>
        <v/>
      </c>
      <c r="AP2118" s="22" t="str">
        <f t="shared" si="729"/>
        <v/>
      </c>
    </row>
    <row r="2119" spans="1:42" x14ac:dyDescent="0.25">
      <c r="A2119" s="10"/>
      <c r="B2119" s="10"/>
      <c r="C2119" s="10"/>
      <c r="D2119" s="10"/>
      <c r="E2119" s="10"/>
      <c r="F2119" s="10"/>
      <c r="G2119" s="10"/>
      <c r="H2119" s="17"/>
      <c r="I2119" s="10"/>
      <c r="J2119" s="10"/>
      <c r="K2119" s="16" t="str">
        <f t="shared" si="708"/>
        <v/>
      </c>
      <c r="L2119" s="23" t="str">
        <f t="shared" si="709"/>
        <v/>
      </c>
      <c r="M2119" s="22" t="str">
        <f t="shared" si="710"/>
        <v/>
      </c>
      <c r="N2119" s="72"/>
      <c r="O2119" s="16" t="str">
        <f t="shared" si="711"/>
        <v/>
      </c>
      <c r="P2119" s="16" t="str">
        <f t="shared" si="712"/>
        <v/>
      </c>
      <c r="Q2119" s="16" t="str">
        <f t="shared" si="713"/>
        <v/>
      </c>
      <c r="R2119" s="23" t="str">
        <f t="shared" si="714"/>
        <v/>
      </c>
      <c r="S2119" s="23" t="str">
        <f t="shared" si="715"/>
        <v/>
      </c>
      <c r="T2119" s="23" t="str">
        <f t="shared" si="716"/>
        <v/>
      </c>
      <c r="U2119" s="23" t="str">
        <f t="shared" si="717"/>
        <v/>
      </c>
      <c r="V2119" s="23" t="str">
        <f t="shared" si="718"/>
        <v/>
      </c>
      <c r="W2119" s="70" t="str">
        <f t="shared" si="719"/>
        <v/>
      </c>
      <c r="X2119" s="70" t="str">
        <f t="shared" si="720"/>
        <v/>
      </c>
      <c r="Y2119" s="70" t="str">
        <f>IF(AND($A2119&lt;&gt;"",$E2119&gt;0),isLaptopBag($C2119,$J2119)*$D2119,"")</f>
        <v/>
      </c>
      <c r="Z2119" s="70" t="str">
        <f t="shared" si="721"/>
        <v/>
      </c>
      <c r="AA2119" s="70" t="str">
        <f t="shared" si="722"/>
        <v/>
      </c>
      <c r="AB2119" s="70" t="str">
        <f t="shared" si="723"/>
        <v/>
      </c>
      <c r="AC2119" s="70" t="str">
        <f t="shared" si="724"/>
        <v/>
      </c>
      <c r="AD2119" s="70" t="str">
        <f t="shared" si="725"/>
        <v/>
      </c>
      <c r="AE2119" s="70" t="str">
        <f t="shared" si="726"/>
        <v/>
      </c>
      <c r="AF2119" s="16"/>
      <c r="AG2119" s="23"/>
      <c r="AH2119" s="22"/>
      <c r="AJ2119" s="83">
        <f t="shared" si="727"/>
        <v>0</v>
      </c>
      <c r="AO2119" s="22" t="str">
        <f t="shared" si="728"/>
        <v/>
      </c>
      <c r="AP2119" s="22" t="str">
        <f t="shared" si="729"/>
        <v/>
      </c>
    </row>
    <row r="2120" spans="1:42" x14ac:dyDescent="0.25">
      <c r="A2120" s="10"/>
      <c r="B2120" s="10"/>
      <c r="C2120" s="10"/>
      <c r="D2120" s="10"/>
      <c r="E2120" s="10"/>
      <c r="F2120" s="10"/>
      <c r="G2120" s="10"/>
      <c r="H2120" s="17"/>
      <c r="I2120" s="10"/>
      <c r="J2120" s="10"/>
      <c r="K2120" s="16" t="str">
        <f t="shared" si="708"/>
        <v/>
      </c>
      <c r="L2120" s="23" t="str">
        <f t="shared" si="709"/>
        <v/>
      </c>
      <c r="M2120" s="22" t="str">
        <f t="shared" si="710"/>
        <v/>
      </c>
      <c r="N2120" s="72"/>
      <c r="O2120" s="16" t="str">
        <f t="shared" si="711"/>
        <v/>
      </c>
      <c r="P2120" s="16" t="str">
        <f t="shared" si="712"/>
        <v/>
      </c>
      <c r="Q2120" s="16" t="str">
        <f t="shared" si="713"/>
        <v/>
      </c>
      <c r="R2120" s="23" t="str">
        <f t="shared" si="714"/>
        <v/>
      </c>
      <c r="S2120" s="23" t="str">
        <f t="shared" si="715"/>
        <v/>
      </c>
      <c r="T2120" s="23" t="str">
        <f t="shared" si="716"/>
        <v/>
      </c>
      <c r="U2120" s="23" t="str">
        <f t="shared" si="717"/>
        <v/>
      </c>
      <c r="V2120" s="23" t="str">
        <f t="shared" si="718"/>
        <v/>
      </c>
      <c r="W2120" s="70" t="str">
        <f t="shared" si="719"/>
        <v/>
      </c>
      <c r="X2120" s="70" t="str">
        <f t="shared" si="720"/>
        <v/>
      </c>
      <c r="Y2120" s="70" t="str">
        <f>IF(AND($A2120&lt;&gt;"",$E2120&gt;0),isLaptopBag($C2120,$J2120)*$D2120,"")</f>
        <v/>
      </c>
      <c r="Z2120" s="70" t="str">
        <f t="shared" si="721"/>
        <v/>
      </c>
      <c r="AA2120" s="70" t="str">
        <f t="shared" si="722"/>
        <v/>
      </c>
      <c r="AB2120" s="70" t="str">
        <f t="shared" si="723"/>
        <v/>
      </c>
      <c r="AC2120" s="70" t="str">
        <f t="shared" si="724"/>
        <v/>
      </c>
      <c r="AD2120" s="70" t="str">
        <f t="shared" si="725"/>
        <v/>
      </c>
      <c r="AE2120" s="70" t="str">
        <f t="shared" si="726"/>
        <v/>
      </c>
      <c r="AF2120" s="16"/>
      <c r="AG2120" s="23"/>
      <c r="AH2120" s="22"/>
      <c r="AJ2120" s="83">
        <f t="shared" si="727"/>
        <v>0</v>
      </c>
      <c r="AO2120" s="22" t="str">
        <f t="shared" si="728"/>
        <v/>
      </c>
      <c r="AP2120" s="22" t="str">
        <f t="shared" si="729"/>
        <v/>
      </c>
    </row>
    <row r="2121" spans="1:42" x14ac:dyDescent="0.25">
      <c r="A2121" s="10"/>
      <c r="B2121" s="10"/>
      <c r="C2121" s="10"/>
      <c r="D2121" s="10"/>
      <c r="E2121" s="10"/>
      <c r="F2121" s="10"/>
      <c r="G2121" s="10"/>
      <c r="H2121" s="17"/>
      <c r="I2121" s="10"/>
      <c r="J2121" s="10"/>
      <c r="K2121" s="16" t="str">
        <f t="shared" si="708"/>
        <v/>
      </c>
      <c r="L2121" s="23" t="str">
        <f t="shared" si="709"/>
        <v/>
      </c>
      <c r="M2121" s="22" t="str">
        <f t="shared" si="710"/>
        <v/>
      </c>
      <c r="N2121" s="72"/>
      <c r="O2121" s="16" t="str">
        <f t="shared" si="711"/>
        <v/>
      </c>
      <c r="P2121" s="16" t="str">
        <f t="shared" si="712"/>
        <v/>
      </c>
      <c r="Q2121" s="16" t="str">
        <f t="shared" si="713"/>
        <v/>
      </c>
      <c r="R2121" s="23" t="str">
        <f t="shared" si="714"/>
        <v/>
      </c>
      <c r="S2121" s="23" t="str">
        <f t="shared" si="715"/>
        <v/>
      </c>
      <c r="T2121" s="23" t="str">
        <f t="shared" si="716"/>
        <v/>
      </c>
      <c r="U2121" s="23" t="str">
        <f t="shared" si="717"/>
        <v/>
      </c>
      <c r="V2121" s="23" t="str">
        <f t="shared" si="718"/>
        <v/>
      </c>
      <c r="W2121" s="70" t="str">
        <f t="shared" si="719"/>
        <v/>
      </c>
      <c r="X2121" s="70" t="str">
        <f t="shared" si="720"/>
        <v/>
      </c>
      <c r="Y2121" s="70" t="str">
        <f>IF(AND($A2121&lt;&gt;"",$E2121&gt;0),isLaptopBag($C2121,$J2121)*$D2121,"")</f>
        <v/>
      </c>
      <c r="Z2121" s="70" t="str">
        <f t="shared" si="721"/>
        <v/>
      </c>
      <c r="AA2121" s="70" t="str">
        <f t="shared" si="722"/>
        <v/>
      </c>
      <c r="AB2121" s="70" t="str">
        <f t="shared" si="723"/>
        <v/>
      </c>
      <c r="AC2121" s="70" t="str">
        <f t="shared" si="724"/>
        <v/>
      </c>
      <c r="AD2121" s="70" t="str">
        <f t="shared" si="725"/>
        <v/>
      </c>
      <c r="AE2121" s="70" t="str">
        <f t="shared" si="726"/>
        <v/>
      </c>
      <c r="AF2121" s="16"/>
      <c r="AG2121" s="23"/>
      <c r="AH2121" s="22"/>
      <c r="AJ2121" s="83">
        <f t="shared" si="727"/>
        <v>0</v>
      </c>
      <c r="AO2121" s="22" t="str">
        <f t="shared" si="728"/>
        <v/>
      </c>
      <c r="AP2121" s="22" t="str">
        <f t="shared" si="729"/>
        <v/>
      </c>
    </row>
    <row r="2122" spans="1:42" x14ac:dyDescent="0.25">
      <c r="A2122" s="10"/>
      <c r="B2122" s="10"/>
      <c r="C2122" s="10"/>
      <c r="D2122" s="10"/>
      <c r="E2122" s="10"/>
      <c r="F2122" s="10"/>
      <c r="G2122" s="10"/>
      <c r="H2122" s="17"/>
      <c r="I2122" s="10"/>
      <c r="J2122" s="10"/>
      <c r="K2122" s="16" t="str">
        <f t="shared" si="708"/>
        <v/>
      </c>
      <c r="L2122" s="23" t="str">
        <f t="shared" si="709"/>
        <v/>
      </c>
      <c r="M2122" s="22" t="str">
        <f t="shared" si="710"/>
        <v/>
      </c>
      <c r="N2122" s="72"/>
      <c r="O2122" s="16" t="str">
        <f t="shared" si="711"/>
        <v/>
      </c>
      <c r="P2122" s="16" t="str">
        <f t="shared" si="712"/>
        <v/>
      </c>
      <c r="Q2122" s="16" t="str">
        <f t="shared" si="713"/>
        <v/>
      </c>
      <c r="R2122" s="23" t="str">
        <f t="shared" si="714"/>
        <v/>
      </c>
      <c r="S2122" s="23" t="str">
        <f t="shared" si="715"/>
        <v/>
      </c>
      <c r="T2122" s="23" t="str">
        <f t="shared" si="716"/>
        <v/>
      </c>
      <c r="U2122" s="23" t="str">
        <f t="shared" si="717"/>
        <v/>
      </c>
      <c r="V2122" s="23" t="str">
        <f t="shared" si="718"/>
        <v/>
      </c>
      <c r="W2122" s="70" t="str">
        <f t="shared" si="719"/>
        <v/>
      </c>
      <c r="X2122" s="70" t="str">
        <f t="shared" si="720"/>
        <v/>
      </c>
      <c r="Y2122" s="70" t="str">
        <f>IF(AND($A2122&lt;&gt;"",$E2122&gt;0),isLaptopBag($C2122,$J2122)*$D2122,"")</f>
        <v/>
      </c>
      <c r="Z2122" s="70" t="str">
        <f t="shared" si="721"/>
        <v/>
      </c>
      <c r="AA2122" s="70" t="str">
        <f t="shared" si="722"/>
        <v/>
      </c>
      <c r="AB2122" s="70" t="str">
        <f t="shared" si="723"/>
        <v/>
      </c>
      <c r="AC2122" s="70" t="str">
        <f t="shared" si="724"/>
        <v/>
      </c>
      <c r="AD2122" s="70" t="str">
        <f t="shared" si="725"/>
        <v/>
      </c>
      <c r="AE2122" s="70" t="str">
        <f t="shared" si="726"/>
        <v/>
      </c>
      <c r="AF2122" s="16"/>
      <c r="AG2122" s="23"/>
      <c r="AH2122" s="22"/>
      <c r="AJ2122" s="83">
        <f t="shared" si="727"/>
        <v>0</v>
      </c>
      <c r="AO2122" s="22" t="str">
        <f t="shared" si="728"/>
        <v/>
      </c>
      <c r="AP2122" s="22" t="str">
        <f t="shared" si="729"/>
        <v/>
      </c>
    </row>
    <row r="2123" spans="1:42" x14ac:dyDescent="0.25">
      <c r="A2123" s="10"/>
      <c r="B2123" s="10"/>
      <c r="C2123" s="10"/>
      <c r="D2123" s="10"/>
      <c r="E2123" s="10"/>
      <c r="F2123" s="10"/>
      <c r="G2123" s="10"/>
      <c r="H2123" s="17"/>
      <c r="I2123" s="10"/>
      <c r="J2123" s="10"/>
      <c r="K2123" s="16" t="str">
        <f t="shared" si="708"/>
        <v/>
      </c>
      <c r="L2123" s="23" t="str">
        <f t="shared" si="709"/>
        <v/>
      </c>
      <c r="M2123" s="22" t="str">
        <f t="shared" si="710"/>
        <v/>
      </c>
      <c r="N2123" s="72"/>
      <c r="O2123" s="16" t="str">
        <f t="shared" si="711"/>
        <v/>
      </c>
      <c r="P2123" s="16" t="str">
        <f t="shared" si="712"/>
        <v/>
      </c>
      <c r="Q2123" s="16" t="str">
        <f t="shared" si="713"/>
        <v/>
      </c>
      <c r="R2123" s="23" t="str">
        <f t="shared" si="714"/>
        <v/>
      </c>
      <c r="S2123" s="23" t="str">
        <f t="shared" si="715"/>
        <v/>
      </c>
      <c r="T2123" s="23" t="str">
        <f t="shared" si="716"/>
        <v/>
      </c>
      <c r="U2123" s="23" t="str">
        <f t="shared" si="717"/>
        <v/>
      </c>
      <c r="V2123" s="23" t="str">
        <f t="shared" si="718"/>
        <v/>
      </c>
      <c r="W2123" s="70" t="str">
        <f t="shared" si="719"/>
        <v/>
      </c>
      <c r="X2123" s="70" t="str">
        <f t="shared" si="720"/>
        <v/>
      </c>
      <c r="Y2123" s="70" t="str">
        <f>IF(AND($A2123&lt;&gt;"",$E2123&gt;0),isLaptopBag($C2123,$J2123)*$D2123,"")</f>
        <v/>
      </c>
      <c r="Z2123" s="70" t="str">
        <f t="shared" si="721"/>
        <v/>
      </c>
      <c r="AA2123" s="70" t="str">
        <f t="shared" si="722"/>
        <v/>
      </c>
      <c r="AB2123" s="70" t="str">
        <f t="shared" si="723"/>
        <v/>
      </c>
      <c r="AC2123" s="70" t="str">
        <f t="shared" si="724"/>
        <v/>
      </c>
      <c r="AD2123" s="70" t="str">
        <f t="shared" si="725"/>
        <v/>
      </c>
      <c r="AE2123" s="70" t="str">
        <f t="shared" si="726"/>
        <v/>
      </c>
      <c r="AF2123" s="16"/>
      <c r="AG2123" s="23"/>
      <c r="AH2123" s="22"/>
      <c r="AJ2123" s="83">
        <f t="shared" si="727"/>
        <v>0</v>
      </c>
      <c r="AO2123" s="22" t="str">
        <f t="shared" si="728"/>
        <v/>
      </c>
      <c r="AP2123" s="22" t="str">
        <f t="shared" si="729"/>
        <v/>
      </c>
    </row>
    <row r="2124" spans="1:42" x14ac:dyDescent="0.25">
      <c r="A2124" s="10"/>
      <c r="B2124" s="10"/>
      <c r="C2124" s="10"/>
      <c r="D2124" s="10"/>
      <c r="E2124" s="10"/>
      <c r="F2124" s="10"/>
      <c r="G2124" s="10"/>
      <c r="H2124" s="17"/>
      <c r="I2124" s="10"/>
      <c r="J2124" s="10"/>
      <c r="K2124" s="16" t="str">
        <f t="shared" si="708"/>
        <v/>
      </c>
      <c r="L2124" s="23" t="str">
        <f t="shared" si="709"/>
        <v/>
      </c>
      <c r="M2124" s="22" t="str">
        <f t="shared" si="710"/>
        <v/>
      </c>
      <c r="N2124" s="72"/>
      <c r="O2124" s="16" t="str">
        <f t="shared" si="711"/>
        <v/>
      </c>
      <c r="P2124" s="16" t="str">
        <f t="shared" si="712"/>
        <v/>
      </c>
      <c r="Q2124" s="16" t="str">
        <f t="shared" si="713"/>
        <v/>
      </c>
      <c r="R2124" s="23" t="str">
        <f t="shared" si="714"/>
        <v/>
      </c>
      <c r="S2124" s="23" t="str">
        <f t="shared" si="715"/>
        <v/>
      </c>
      <c r="T2124" s="23" t="str">
        <f t="shared" si="716"/>
        <v/>
      </c>
      <c r="U2124" s="23" t="str">
        <f t="shared" si="717"/>
        <v/>
      </c>
      <c r="V2124" s="23" t="str">
        <f t="shared" si="718"/>
        <v/>
      </c>
      <c r="W2124" s="70" t="str">
        <f t="shared" si="719"/>
        <v/>
      </c>
      <c r="X2124" s="70" t="str">
        <f t="shared" si="720"/>
        <v/>
      </c>
      <c r="Y2124" s="70" t="str">
        <f>IF(AND($A2124&lt;&gt;"",$E2124&gt;0),isLaptopBag($C2124,$J2124)*$D2124,"")</f>
        <v/>
      </c>
      <c r="Z2124" s="70" t="str">
        <f t="shared" si="721"/>
        <v/>
      </c>
      <c r="AA2124" s="70" t="str">
        <f t="shared" si="722"/>
        <v/>
      </c>
      <c r="AB2124" s="70" t="str">
        <f t="shared" si="723"/>
        <v/>
      </c>
      <c r="AC2124" s="70" t="str">
        <f t="shared" si="724"/>
        <v/>
      </c>
      <c r="AD2124" s="70" t="str">
        <f t="shared" si="725"/>
        <v/>
      </c>
      <c r="AE2124" s="70" t="str">
        <f t="shared" si="726"/>
        <v/>
      </c>
      <c r="AF2124" s="16"/>
      <c r="AG2124" s="23"/>
      <c r="AH2124" s="22"/>
      <c r="AJ2124" s="83">
        <f t="shared" si="727"/>
        <v>0</v>
      </c>
      <c r="AO2124" s="22" t="str">
        <f t="shared" si="728"/>
        <v/>
      </c>
      <c r="AP2124" s="22" t="str">
        <f t="shared" si="729"/>
        <v/>
      </c>
    </row>
    <row r="2125" spans="1:42" x14ac:dyDescent="0.25">
      <c r="A2125" s="10"/>
      <c r="B2125" s="10"/>
      <c r="C2125" s="10"/>
      <c r="D2125" s="10"/>
      <c r="E2125" s="10"/>
      <c r="F2125" s="10"/>
      <c r="G2125" s="10"/>
      <c r="H2125" s="17"/>
      <c r="I2125" s="10"/>
      <c r="J2125" s="10"/>
      <c r="K2125" s="16" t="str">
        <f t="shared" ref="K2125:K2188" si="730">IF($AF2125&lt;&gt;"",$AF2125,IF(AND($A2125&lt;&gt;"",$E2125&gt;0),SUM($O2125:$Q2125),""))</f>
        <v/>
      </c>
      <c r="L2125" s="23" t="str">
        <f t="shared" ref="L2125:L2188" si="731">IF($AG2125&lt;&gt;"",$AG2125,IF(AND($A2125&lt;&gt;"",$E2125&gt;0),SUM($R2125:$V2125),""))</f>
        <v/>
      </c>
      <c r="M2125" s="22" t="str">
        <f t="shared" ref="M2125:M2188" si="732">IF($AH2125&lt;&gt;"",$AH2125,IF(AND($A2125&lt;&gt;"",$E2125&gt;0),SUM($W2125:$AE2125)+$AO2125+$AP2125,""))</f>
        <v/>
      </c>
      <c r="N2125" s="72"/>
      <c r="O2125" s="16" t="str">
        <f t="shared" ref="O2125:O2188" si="733">IF(AND($A2125&lt;&gt;"",$E2125&gt;0),IF(AND($J2125="SONY",200000&lt;=$E2125,$E2125&lt;1000000),5000*$D2125,0),"")</f>
        <v/>
      </c>
      <c r="P2125" s="16" t="str">
        <f t="shared" ref="P2125:P2188" si="734">IF(AND($A2125&lt;&gt;"",$E2125&gt;0),IF(AND($J2125="SONY",1000000&lt;=$E2125,$E2125&lt;2000000),10000*$D2125,0),"")</f>
        <v/>
      </c>
      <c r="Q2125" s="16" t="str">
        <f t="shared" ref="Q2125:Q2188" si="735">IF(AND($A2125&lt;&gt;"",$E2125&gt;0),IF(AND($J2125="SONY",$E2125&gt;=2000000),20000*$D2125,0),"")</f>
        <v/>
      </c>
      <c r="R2125" s="23" t="str">
        <f t="shared" ref="R2125:R2188" si="736">IF(AND($A2125&lt;&gt;"",$E2125&gt;0),IF(AND($J2125&lt;&gt;"SONY",100000&lt;=$E2125,$E2125&lt;200000),5000*$D2125,0),"")</f>
        <v/>
      </c>
      <c r="S2125" s="23" t="str">
        <f t="shared" ref="S2125:S2188" si="737">IF(AND($A2125&lt;&gt;"",$E2125&gt;0),IF(AND($J2125&lt;&gt;"SONY",200000&lt;=$E2125,$E2125&lt;500000),10000*$D2125,0),"")</f>
        <v/>
      </c>
      <c r="T2125" s="23" t="str">
        <f t="shared" ref="T2125:T2188" si="738">IF(AND($A2125&lt;&gt;"",$E2125&gt;0),IF(AND($J2125&lt;&gt;"SONY",500000&lt;=$E2125,$E2125&lt;1000000),20000*$D2125,0),"")</f>
        <v/>
      </c>
      <c r="U2125" s="23" t="str">
        <f t="shared" ref="U2125:U2188" si="739">IF(AND($A2125&lt;&gt;"",$E2125&gt;0),IF(AND($J2125&lt;&gt;"SONY",1000000&lt;=$E2125,$E2125&lt;1500000),50000*$D2125,0),"")</f>
        <v/>
      </c>
      <c r="V2125" s="23" t="str">
        <f t="shared" ref="V2125:V2188" si="740">IF(AND($A2125&lt;&gt;"",$E2125&gt;0),IF(AND($J2125&lt;&gt;"SONY",1500000&lt;=$E2125),100000*$D2125,0),"")</f>
        <v/>
      </c>
      <c r="W2125" s="70" t="str">
        <f t="shared" ref="W2125:W2188" si="741">IF(AND($E2125&gt;0,$J2125="ELECOM",$E2125&gt;=500000,ISNUMBER(SEARCH("tai nghe",$C2125))),20000*$D2125,IF($A2125&lt;&gt;"",0,""))</f>
        <v/>
      </c>
      <c r="X2125" s="70" t="str">
        <f t="shared" ref="X2125:X2188" si="742">IF(AND($E2125&gt;0,$J2125="ELECOM",ISNUMBER(SEARCH("loa",$C2125))),20000*$D2125,IF($A2125&lt;&gt;"",0,""))</f>
        <v/>
      </c>
      <c r="Y2125" s="70" t="str">
        <f>IF(AND($A2125&lt;&gt;"",$E2125&gt;0),isLaptopBag($C2125,$J2125)*$D2125,"")</f>
        <v/>
      </c>
      <c r="Z2125" s="70" t="str">
        <f t="shared" ref="Z2125:Z2188" si="743">IF(AND($E2125&gt;0,$J2125="ELECOM",ISNUMBER(SEARCH("ốp",$C2125))),20000*$D2125,IF($A2125&lt;&gt;"",0,""))</f>
        <v/>
      </c>
      <c r="AA2125" s="70" t="str">
        <f t="shared" ref="AA2125:AA2188" si="744">IF(AND($E2125&gt;0,$J2125="ELECOM",ISNUMBER(SEARCH("Bút",$C2125))),20000*$D2125,IF($A2125&lt;&gt;"",0,""))</f>
        <v/>
      </c>
      <c r="AB2125" s="70" t="str">
        <f t="shared" ref="AB2125:AB2188" si="745">IF(AND($E2125&gt;0,$J2125="ELECOM",ISNUMBER(SEARCH("Chuột bi",$C2125))),20000*$D2125,IF($A2125&lt;&gt;"",0,""))</f>
        <v/>
      </c>
      <c r="AC2125" s="70" t="str">
        <f t="shared" ref="AC2125:AC2188" si="746">IF(AND($E2125&gt;0,$J2125="ELECOM",ISNUMBER(SEARCH("Chuột trackball",$C2125))),20000*$D2125,IF($A2125&lt;&gt;"",0,""))</f>
        <v/>
      </c>
      <c r="AD2125" s="70" t="str">
        <f t="shared" ref="AD2125:AD2188" si="747">IF(AND($E2125&gt;0,$J2125="ELECOM",ISNUMBER(SEARCH("Sạc không dây",$C2125))),20000*$D2125,IF($A2125&lt;&gt;"",0,""))</f>
        <v/>
      </c>
      <c r="AE2125" s="70" t="str">
        <f t="shared" ref="AE2125:AE2188" si="748">IF(AND($E2125&gt;0,$J2125="ELECOM",ISNUMBER(SEARCH("Sạc kd",$C2125))),20000*$D2125,IF($A2125&lt;&gt;"",0,""))</f>
        <v/>
      </c>
      <c r="AF2125" s="16"/>
      <c r="AG2125" s="23"/>
      <c r="AH2125" s="22"/>
      <c r="AJ2125" s="83">
        <f t="shared" ref="AJ2125:AJ2188" si="749">DAY(H2125)</f>
        <v>0</v>
      </c>
      <c r="AO2125" s="22" t="str">
        <f t="shared" ref="AO2125:AO2188" si="750">IF(AND($E2125&gt;0,ISNUMBER(SEARCH("Sạc dự phòng Energizer",$C2125))),10000*$D2125,IF($A2125&lt;&gt;"",0,""))</f>
        <v/>
      </c>
      <c r="AP2125" s="22" t="str">
        <f t="shared" ref="AP2125:AP2188" si="751">IF(AND($E2125&gt;0,ISNUMBER(SEARCH("SDP Energizer",$C2125))),10000*$D2125,IF($A2125&lt;&gt;"",0,""))</f>
        <v/>
      </c>
    </row>
    <row r="2126" spans="1:42" x14ac:dyDescent="0.25">
      <c r="A2126" s="10"/>
      <c r="B2126" s="10"/>
      <c r="C2126" s="10"/>
      <c r="D2126" s="10"/>
      <c r="E2126" s="10"/>
      <c r="F2126" s="10"/>
      <c r="G2126" s="10"/>
      <c r="H2126" s="17"/>
      <c r="I2126" s="10"/>
      <c r="J2126" s="10"/>
      <c r="K2126" s="16" t="str">
        <f t="shared" si="730"/>
        <v/>
      </c>
      <c r="L2126" s="23" t="str">
        <f t="shared" si="731"/>
        <v/>
      </c>
      <c r="M2126" s="22" t="str">
        <f t="shared" si="732"/>
        <v/>
      </c>
      <c r="N2126" s="72"/>
      <c r="O2126" s="16" t="str">
        <f t="shared" si="733"/>
        <v/>
      </c>
      <c r="P2126" s="16" t="str">
        <f t="shared" si="734"/>
        <v/>
      </c>
      <c r="Q2126" s="16" t="str">
        <f t="shared" si="735"/>
        <v/>
      </c>
      <c r="R2126" s="23" t="str">
        <f t="shared" si="736"/>
        <v/>
      </c>
      <c r="S2126" s="23" t="str">
        <f t="shared" si="737"/>
        <v/>
      </c>
      <c r="T2126" s="23" t="str">
        <f t="shared" si="738"/>
        <v/>
      </c>
      <c r="U2126" s="23" t="str">
        <f t="shared" si="739"/>
        <v/>
      </c>
      <c r="V2126" s="23" t="str">
        <f t="shared" si="740"/>
        <v/>
      </c>
      <c r="W2126" s="70" t="str">
        <f t="shared" si="741"/>
        <v/>
      </c>
      <c r="X2126" s="70" t="str">
        <f t="shared" si="742"/>
        <v/>
      </c>
      <c r="Y2126" s="70" t="str">
        <f>IF(AND($A2126&lt;&gt;"",$E2126&gt;0),isLaptopBag($C2126,$J2126)*$D2126,"")</f>
        <v/>
      </c>
      <c r="Z2126" s="70" t="str">
        <f t="shared" si="743"/>
        <v/>
      </c>
      <c r="AA2126" s="70" t="str">
        <f t="shared" si="744"/>
        <v/>
      </c>
      <c r="AB2126" s="70" t="str">
        <f t="shared" si="745"/>
        <v/>
      </c>
      <c r="AC2126" s="70" t="str">
        <f t="shared" si="746"/>
        <v/>
      </c>
      <c r="AD2126" s="70" t="str">
        <f t="shared" si="747"/>
        <v/>
      </c>
      <c r="AE2126" s="70" t="str">
        <f t="shared" si="748"/>
        <v/>
      </c>
      <c r="AF2126" s="16"/>
      <c r="AG2126" s="23"/>
      <c r="AH2126" s="22"/>
      <c r="AJ2126" s="83">
        <f t="shared" si="749"/>
        <v>0</v>
      </c>
      <c r="AO2126" s="22" t="str">
        <f t="shared" si="750"/>
        <v/>
      </c>
      <c r="AP2126" s="22" t="str">
        <f t="shared" si="751"/>
        <v/>
      </c>
    </row>
    <row r="2127" spans="1:42" x14ac:dyDescent="0.25">
      <c r="A2127" s="10"/>
      <c r="B2127" s="10"/>
      <c r="C2127" s="10"/>
      <c r="D2127" s="10"/>
      <c r="E2127" s="10"/>
      <c r="F2127" s="10"/>
      <c r="G2127" s="10"/>
      <c r="H2127" s="17"/>
      <c r="I2127" s="10"/>
      <c r="J2127" s="10"/>
      <c r="K2127" s="16" t="str">
        <f t="shared" si="730"/>
        <v/>
      </c>
      <c r="L2127" s="23" t="str">
        <f t="shared" si="731"/>
        <v/>
      </c>
      <c r="M2127" s="22" t="str">
        <f t="shared" si="732"/>
        <v/>
      </c>
      <c r="N2127" s="72"/>
      <c r="O2127" s="16" t="str">
        <f t="shared" si="733"/>
        <v/>
      </c>
      <c r="P2127" s="16" t="str">
        <f t="shared" si="734"/>
        <v/>
      </c>
      <c r="Q2127" s="16" t="str">
        <f t="shared" si="735"/>
        <v/>
      </c>
      <c r="R2127" s="23" t="str">
        <f t="shared" si="736"/>
        <v/>
      </c>
      <c r="S2127" s="23" t="str">
        <f t="shared" si="737"/>
        <v/>
      </c>
      <c r="T2127" s="23" t="str">
        <f t="shared" si="738"/>
        <v/>
      </c>
      <c r="U2127" s="23" t="str">
        <f t="shared" si="739"/>
        <v/>
      </c>
      <c r="V2127" s="23" t="str">
        <f t="shared" si="740"/>
        <v/>
      </c>
      <c r="W2127" s="70" t="str">
        <f t="shared" si="741"/>
        <v/>
      </c>
      <c r="X2127" s="70" t="str">
        <f t="shared" si="742"/>
        <v/>
      </c>
      <c r="Y2127" s="70" t="str">
        <f>IF(AND($A2127&lt;&gt;"",$E2127&gt;0),isLaptopBag($C2127,$J2127)*$D2127,"")</f>
        <v/>
      </c>
      <c r="Z2127" s="70" t="str">
        <f t="shared" si="743"/>
        <v/>
      </c>
      <c r="AA2127" s="70" t="str">
        <f t="shared" si="744"/>
        <v/>
      </c>
      <c r="AB2127" s="70" t="str">
        <f t="shared" si="745"/>
        <v/>
      </c>
      <c r="AC2127" s="70" t="str">
        <f t="shared" si="746"/>
        <v/>
      </c>
      <c r="AD2127" s="70" t="str">
        <f t="shared" si="747"/>
        <v/>
      </c>
      <c r="AE2127" s="70" t="str">
        <f t="shared" si="748"/>
        <v/>
      </c>
      <c r="AF2127" s="16"/>
      <c r="AG2127" s="23"/>
      <c r="AH2127" s="22"/>
      <c r="AJ2127" s="83">
        <f t="shared" si="749"/>
        <v>0</v>
      </c>
      <c r="AO2127" s="22" t="str">
        <f t="shared" si="750"/>
        <v/>
      </c>
      <c r="AP2127" s="22" t="str">
        <f t="shared" si="751"/>
        <v/>
      </c>
    </row>
    <row r="2128" spans="1:42" x14ac:dyDescent="0.25">
      <c r="A2128" s="10"/>
      <c r="B2128" s="10"/>
      <c r="C2128" s="10"/>
      <c r="D2128" s="10"/>
      <c r="E2128" s="10"/>
      <c r="F2128" s="10"/>
      <c r="G2128" s="10"/>
      <c r="H2128" s="17"/>
      <c r="I2128" s="10"/>
      <c r="J2128" s="10"/>
      <c r="K2128" s="16" t="str">
        <f t="shared" si="730"/>
        <v/>
      </c>
      <c r="L2128" s="23" t="str">
        <f t="shared" si="731"/>
        <v/>
      </c>
      <c r="M2128" s="22" t="str">
        <f t="shared" si="732"/>
        <v/>
      </c>
      <c r="N2128" s="72"/>
      <c r="O2128" s="16" t="str">
        <f t="shared" si="733"/>
        <v/>
      </c>
      <c r="P2128" s="16" t="str">
        <f t="shared" si="734"/>
        <v/>
      </c>
      <c r="Q2128" s="16" t="str">
        <f t="shared" si="735"/>
        <v/>
      </c>
      <c r="R2128" s="23" t="str">
        <f t="shared" si="736"/>
        <v/>
      </c>
      <c r="S2128" s="23" t="str">
        <f t="shared" si="737"/>
        <v/>
      </c>
      <c r="T2128" s="23" t="str">
        <f t="shared" si="738"/>
        <v/>
      </c>
      <c r="U2128" s="23" t="str">
        <f t="shared" si="739"/>
        <v/>
      </c>
      <c r="V2128" s="23" t="str">
        <f t="shared" si="740"/>
        <v/>
      </c>
      <c r="W2128" s="70" t="str">
        <f t="shared" si="741"/>
        <v/>
      </c>
      <c r="X2128" s="70" t="str">
        <f t="shared" si="742"/>
        <v/>
      </c>
      <c r="Y2128" s="70" t="str">
        <f>IF(AND($A2128&lt;&gt;"",$E2128&gt;0),isLaptopBag($C2128,$J2128)*$D2128,"")</f>
        <v/>
      </c>
      <c r="Z2128" s="70" t="str">
        <f t="shared" si="743"/>
        <v/>
      </c>
      <c r="AA2128" s="70" t="str">
        <f t="shared" si="744"/>
        <v/>
      </c>
      <c r="AB2128" s="70" t="str">
        <f t="shared" si="745"/>
        <v/>
      </c>
      <c r="AC2128" s="70" t="str">
        <f t="shared" si="746"/>
        <v/>
      </c>
      <c r="AD2128" s="70" t="str">
        <f t="shared" si="747"/>
        <v/>
      </c>
      <c r="AE2128" s="70" t="str">
        <f t="shared" si="748"/>
        <v/>
      </c>
      <c r="AF2128" s="16"/>
      <c r="AG2128" s="23"/>
      <c r="AH2128" s="22"/>
      <c r="AJ2128" s="83">
        <f t="shared" si="749"/>
        <v>0</v>
      </c>
      <c r="AO2128" s="22" t="str">
        <f t="shared" si="750"/>
        <v/>
      </c>
      <c r="AP2128" s="22" t="str">
        <f t="shared" si="751"/>
        <v/>
      </c>
    </row>
    <row r="2129" spans="1:42" x14ac:dyDescent="0.25">
      <c r="A2129" s="10"/>
      <c r="B2129" s="10"/>
      <c r="C2129" s="10"/>
      <c r="D2129" s="10"/>
      <c r="E2129" s="10"/>
      <c r="F2129" s="10"/>
      <c r="G2129" s="10"/>
      <c r="H2129" s="17"/>
      <c r="I2129" s="10"/>
      <c r="J2129" s="10"/>
      <c r="K2129" s="16" t="str">
        <f t="shared" si="730"/>
        <v/>
      </c>
      <c r="L2129" s="23" t="str">
        <f t="shared" si="731"/>
        <v/>
      </c>
      <c r="M2129" s="22" t="str">
        <f t="shared" si="732"/>
        <v/>
      </c>
      <c r="N2129" s="72"/>
      <c r="O2129" s="16" t="str">
        <f t="shared" si="733"/>
        <v/>
      </c>
      <c r="P2129" s="16" t="str">
        <f t="shared" si="734"/>
        <v/>
      </c>
      <c r="Q2129" s="16" t="str">
        <f t="shared" si="735"/>
        <v/>
      </c>
      <c r="R2129" s="23" t="str">
        <f t="shared" si="736"/>
        <v/>
      </c>
      <c r="S2129" s="23" t="str">
        <f t="shared" si="737"/>
        <v/>
      </c>
      <c r="T2129" s="23" t="str">
        <f t="shared" si="738"/>
        <v/>
      </c>
      <c r="U2129" s="23" t="str">
        <f t="shared" si="739"/>
        <v/>
      </c>
      <c r="V2129" s="23" t="str">
        <f t="shared" si="740"/>
        <v/>
      </c>
      <c r="W2129" s="70" t="str">
        <f t="shared" si="741"/>
        <v/>
      </c>
      <c r="X2129" s="70" t="str">
        <f t="shared" si="742"/>
        <v/>
      </c>
      <c r="Y2129" s="70" t="str">
        <f>IF(AND($A2129&lt;&gt;"",$E2129&gt;0),isLaptopBag($C2129,$J2129)*$D2129,"")</f>
        <v/>
      </c>
      <c r="Z2129" s="70" t="str">
        <f t="shared" si="743"/>
        <v/>
      </c>
      <c r="AA2129" s="70" t="str">
        <f t="shared" si="744"/>
        <v/>
      </c>
      <c r="AB2129" s="70" t="str">
        <f t="shared" si="745"/>
        <v/>
      </c>
      <c r="AC2129" s="70" t="str">
        <f t="shared" si="746"/>
        <v/>
      </c>
      <c r="AD2129" s="70" t="str">
        <f t="shared" si="747"/>
        <v/>
      </c>
      <c r="AE2129" s="70" t="str">
        <f t="shared" si="748"/>
        <v/>
      </c>
      <c r="AF2129" s="16"/>
      <c r="AG2129" s="23"/>
      <c r="AH2129" s="22"/>
      <c r="AJ2129" s="83">
        <f t="shared" si="749"/>
        <v>0</v>
      </c>
      <c r="AO2129" s="22" t="str">
        <f t="shared" si="750"/>
        <v/>
      </c>
      <c r="AP2129" s="22" t="str">
        <f t="shared" si="751"/>
        <v/>
      </c>
    </row>
    <row r="2130" spans="1:42" x14ac:dyDescent="0.25">
      <c r="A2130" s="10"/>
      <c r="B2130" s="10"/>
      <c r="C2130" s="10"/>
      <c r="D2130" s="10"/>
      <c r="E2130" s="10"/>
      <c r="F2130" s="10"/>
      <c r="G2130" s="10"/>
      <c r="H2130" s="17"/>
      <c r="I2130" s="10"/>
      <c r="J2130" s="10"/>
      <c r="K2130" s="16" t="str">
        <f t="shared" si="730"/>
        <v/>
      </c>
      <c r="L2130" s="23" t="str">
        <f t="shared" si="731"/>
        <v/>
      </c>
      <c r="M2130" s="22" t="str">
        <f t="shared" si="732"/>
        <v/>
      </c>
      <c r="N2130" s="72"/>
      <c r="O2130" s="16" t="str">
        <f t="shared" si="733"/>
        <v/>
      </c>
      <c r="P2130" s="16" t="str">
        <f t="shared" si="734"/>
        <v/>
      </c>
      <c r="Q2130" s="16" t="str">
        <f t="shared" si="735"/>
        <v/>
      </c>
      <c r="R2130" s="23" t="str">
        <f t="shared" si="736"/>
        <v/>
      </c>
      <c r="S2130" s="23" t="str">
        <f t="shared" si="737"/>
        <v/>
      </c>
      <c r="T2130" s="23" t="str">
        <f t="shared" si="738"/>
        <v/>
      </c>
      <c r="U2130" s="23" t="str">
        <f t="shared" si="739"/>
        <v/>
      </c>
      <c r="V2130" s="23" t="str">
        <f t="shared" si="740"/>
        <v/>
      </c>
      <c r="W2130" s="70" t="str">
        <f t="shared" si="741"/>
        <v/>
      </c>
      <c r="X2130" s="70" t="str">
        <f t="shared" si="742"/>
        <v/>
      </c>
      <c r="Y2130" s="70" t="str">
        <f>IF(AND($A2130&lt;&gt;"",$E2130&gt;0),isLaptopBag($C2130,$J2130)*$D2130,"")</f>
        <v/>
      </c>
      <c r="Z2130" s="70" t="str">
        <f t="shared" si="743"/>
        <v/>
      </c>
      <c r="AA2130" s="70" t="str">
        <f t="shared" si="744"/>
        <v/>
      </c>
      <c r="AB2130" s="70" t="str">
        <f t="shared" si="745"/>
        <v/>
      </c>
      <c r="AC2130" s="70" t="str">
        <f t="shared" si="746"/>
        <v/>
      </c>
      <c r="AD2130" s="70" t="str">
        <f t="shared" si="747"/>
        <v/>
      </c>
      <c r="AE2130" s="70" t="str">
        <f t="shared" si="748"/>
        <v/>
      </c>
      <c r="AF2130" s="16"/>
      <c r="AG2130" s="23"/>
      <c r="AH2130" s="22"/>
      <c r="AJ2130" s="83">
        <f t="shared" si="749"/>
        <v>0</v>
      </c>
      <c r="AO2130" s="22" t="str">
        <f t="shared" si="750"/>
        <v/>
      </c>
      <c r="AP2130" s="22" t="str">
        <f t="shared" si="751"/>
        <v/>
      </c>
    </row>
    <row r="2131" spans="1:42" x14ac:dyDescent="0.25">
      <c r="A2131" s="10"/>
      <c r="B2131" s="10"/>
      <c r="C2131" s="10"/>
      <c r="D2131" s="10"/>
      <c r="E2131" s="10"/>
      <c r="F2131" s="10"/>
      <c r="G2131" s="10"/>
      <c r="H2131" s="17"/>
      <c r="I2131" s="10"/>
      <c r="J2131" s="10"/>
      <c r="K2131" s="16" t="str">
        <f t="shared" si="730"/>
        <v/>
      </c>
      <c r="L2131" s="23" t="str">
        <f t="shared" si="731"/>
        <v/>
      </c>
      <c r="M2131" s="22" t="str">
        <f t="shared" si="732"/>
        <v/>
      </c>
      <c r="N2131" s="72"/>
      <c r="O2131" s="16" t="str">
        <f t="shared" si="733"/>
        <v/>
      </c>
      <c r="P2131" s="16" t="str">
        <f t="shared" si="734"/>
        <v/>
      </c>
      <c r="Q2131" s="16" t="str">
        <f t="shared" si="735"/>
        <v/>
      </c>
      <c r="R2131" s="23" t="str">
        <f t="shared" si="736"/>
        <v/>
      </c>
      <c r="S2131" s="23" t="str">
        <f t="shared" si="737"/>
        <v/>
      </c>
      <c r="T2131" s="23" t="str">
        <f t="shared" si="738"/>
        <v/>
      </c>
      <c r="U2131" s="23" t="str">
        <f t="shared" si="739"/>
        <v/>
      </c>
      <c r="V2131" s="23" t="str">
        <f t="shared" si="740"/>
        <v/>
      </c>
      <c r="W2131" s="70" t="str">
        <f t="shared" si="741"/>
        <v/>
      </c>
      <c r="X2131" s="70" t="str">
        <f t="shared" si="742"/>
        <v/>
      </c>
      <c r="Y2131" s="70" t="str">
        <f>IF(AND($A2131&lt;&gt;"",$E2131&gt;0),isLaptopBag($C2131,$J2131)*$D2131,"")</f>
        <v/>
      </c>
      <c r="Z2131" s="70" t="str">
        <f t="shared" si="743"/>
        <v/>
      </c>
      <c r="AA2131" s="70" t="str">
        <f t="shared" si="744"/>
        <v/>
      </c>
      <c r="AB2131" s="70" t="str">
        <f t="shared" si="745"/>
        <v/>
      </c>
      <c r="AC2131" s="70" t="str">
        <f t="shared" si="746"/>
        <v/>
      </c>
      <c r="AD2131" s="70" t="str">
        <f t="shared" si="747"/>
        <v/>
      </c>
      <c r="AE2131" s="70" t="str">
        <f t="shared" si="748"/>
        <v/>
      </c>
      <c r="AF2131" s="16"/>
      <c r="AG2131" s="23"/>
      <c r="AH2131" s="22"/>
      <c r="AJ2131" s="83">
        <f t="shared" si="749"/>
        <v>0</v>
      </c>
      <c r="AO2131" s="22" t="str">
        <f t="shared" si="750"/>
        <v/>
      </c>
      <c r="AP2131" s="22" t="str">
        <f t="shared" si="751"/>
        <v/>
      </c>
    </row>
    <row r="2132" spans="1:42" x14ac:dyDescent="0.25">
      <c r="A2132" s="10"/>
      <c r="B2132" s="10"/>
      <c r="C2132" s="10"/>
      <c r="D2132" s="10"/>
      <c r="E2132" s="10"/>
      <c r="F2132" s="10"/>
      <c r="G2132" s="10"/>
      <c r="H2132" s="17"/>
      <c r="I2132" s="10"/>
      <c r="J2132" s="10"/>
      <c r="K2132" s="16" t="str">
        <f t="shared" si="730"/>
        <v/>
      </c>
      <c r="L2132" s="23" t="str">
        <f t="shared" si="731"/>
        <v/>
      </c>
      <c r="M2132" s="22" t="str">
        <f t="shared" si="732"/>
        <v/>
      </c>
      <c r="N2132" s="72"/>
      <c r="O2132" s="16" t="str">
        <f t="shared" si="733"/>
        <v/>
      </c>
      <c r="P2132" s="16" t="str">
        <f t="shared" si="734"/>
        <v/>
      </c>
      <c r="Q2132" s="16" t="str">
        <f t="shared" si="735"/>
        <v/>
      </c>
      <c r="R2132" s="23" t="str">
        <f t="shared" si="736"/>
        <v/>
      </c>
      <c r="S2132" s="23" t="str">
        <f t="shared" si="737"/>
        <v/>
      </c>
      <c r="T2132" s="23" t="str">
        <f t="shared" si="738"/>
        <v/>
      </c>
      <c r="U2132" s="23" t="str">
        <f t="shared" si="739"/>
        <v/>
      </c>
      <c r="V2132" s="23" t="str">
        <f t="shared" si="740"/>
        <v/>
      </c>
      <c r="W2132" s="70" t="str">
        <f t="shared" si="741"/>
        <v/>
      </c>
      <c r="X2132" s="70" t="str">
        <f t="shared" si="742"/>
        <v/>
      </c>
      <c r="Y2132" s="70" t="str">
        <f>IF(AND($A2132&lt;&gt;"",$E2132&gt;0),isLaptopBag($C2132,$J2132)*$D2132,"")</f>
        <v/>
      </c>
      <c r="Z2132" s="70" t="str">
        <f t="shared" si="743"/>
        <v/>
      </c>
      <c r="AA2132" s="70" t="str">
        <f t="shared" si="744"/>
        <v/>
      </c>
      <c r="AB2132" s="70" t="str">
        <f t="shared" si="745"/>
        <v/>
      </c>
      <c r="AC2132" s="70" t="str">
        <f t="shared" si="746"/>
        <v/>
      </c>
      <c r="AD2132" s="70" t="str">
        <f t="shared" si="747"/>
        <v/>
      </c>
      <c r="AE2132" s="70" t="str">
        <f t="shared" si="748"/>
        <v/>
      </c>
      <c r="AF2132" s="16"/>
      <c r="AG2132" s="23"/>
      <c r="AH2132" s="22"/>
      <c r="AJ2132" s="83">
        <f t="shared" si="749"/>
        <v>0</v>
      </c>
      <c r="AO2132" s="22" t="str">
        <f t="shared" si="750"/>
        <v/>
      </c>
      <c r="AP2132" s="22" t="str">
        <f t="shared" si="751"/>
        <v/>
      </c>
    </row>
    <row r="2133" spans="1:42" x14ac:dyDescent="0.25">
      <c r="A2133" s="10"/>
      <c r="B2133" s="10"/>
      <c r="C2133" s="10"/>
      <c r="D2133" s="10"/>
      <c r="E2133" s="10"/>
      <c r="F2133" s="10"/>
      <c r="G2133" s="10"/>
      <c r="H2133" s="17"/>
      <c r="I2133" s="10"/>
      <c r="J2133" s="10"/>
      <c r="K2133" s="16" t="str">
        <f t="shared" si="730"/>
        <v/>
      </c>
      <c r="L2133" s="23" t="str">
        <f t="shared" si="731"/>
        <v/>
      </c>
      <c r="M2133" s="22" t="str">
        <f t="shared" si="732"/>
        <v/>
      </c>
      <c r="N2133" s="72"/>
      <c r="O2133" s="16" t="str">
        <f t="shared" si="733"/>
        <v/>
      </c>
      <c r="P2133" s="16" t="str">
        <f t="shared" si="734"/>
        <v/>
      </c>
      <c r="Q2133" s="16" t="str">
        <f t="shared" si="735"/>
        <v/>
      </c>
      <c r="R2133" s="23" t="str">
        <f t="shared" si="736"/>
        <v/>
      </c>
      <c r="S2133" s="23" t="str">
        <f t="shared" si="737"/>
        <v/>
      </c>
      <c r="T2133" s="23" t="str">
        <f t="shared" si="738"/>
        <v/>
      </c>
      <c r="U2133" s="23" t="str">
        <f t="shared" si="739"/>
        <v/>
      </c>
      <c r="V2133" s="23" t="str">
        <f t="shared" si="740"/>
        <v/>
      </c>
      <c r="W2133" s="70" t="str">
        <f t="shared" si="741"/>
        <v/>
      </c>
      <c r="X2133" s="70" t="str">
        <f t="shared" si="742"/>
        <v/>
      </c>
      <c r="Y2133" s="70" t="str">
        <f>IF(AND($A2133&lt;&gt;"",$E2133&gt;0),isLaptopBag($C2133,$J2133)*$D2133,"")</f>
        <v/>
      </c>
      <c r="Z2133" s="70" t="str">
        <f t="shared" si="743"/>
        <v/>
      </c>
      <c r="AA2133" s="70" t="str">
        <f t="shared" si="744"/>
        <v/>
      </c>
      <c r="AB2133" s="70" t="str">
        <f t="shared" si="745"/>
        <v/>
      </c>
      <c r="AC2133" s="70" t="str">
        <f t="shared" si="746"/>
        <v/>
      </c>
      <c r="AD2133" s="70" t="str">
        <f t="shared" si="747"/>
        <v/>
      </c>
      <c r="AE2133" s="70" t="str">
        <f t="shared" si="748"/>
        <v/>
      </c>
      <c r="AF2133" s="16"/>
      <c r="AG2133" s="23"/>
      <c r="AH2133" s="22"/>
      <c r="AJ2133" s="83">
        <f t="shared" si="749"/>
        <v>0</v>
      </c>
      <c r="AO2133" s="22" t="str">
        <f t="shared" si="750"/>
        <v/>
      </c>
      <c r="AP2133" s="22" t="str">
        <f t="shared" si="751"/>
        <v/>
      </c>
    </row>
    <row r="2134" spans="1:42" x14ac:dyDescent="0.25">
      <c r="A2134" s="10"/>
      <c r="B2134" s="10"/>
      <c r="C2134" s="10"/>
      <c r="D2134" s="10"/>
      <c r="E2134" s="10"/>
      <c r="F2134" s="10"/>
      <c r="G2134" s="10"/>
      <c r="H2134" s="17"/>
      <c r="I2134" s="10"/>
      <c r="J2134" s="10"/>
      <c r="K2134" s="16" t="str">
        <f t="shared" si="730"/>
        <v/>
      </c>
      <c r="L2134" s="23" t="str">
        <f t="shared" si="731"/>
        <v/>
      </c>
      <c r="M2134" s="22" t="str">
        <f t="shared" si="732"/>
        <v/>
      </c>
      <c r="N2134" s="72"/>
      <c r="O2134" s="16" t="str">
        <f t="shared" si="733"/>
        <v/>
      </c>
      <c r="P2134" s="16" t="str">
        <f t="shared" si="734"/>
        <v/>
      </c>
      <c r="Q2134" s="16" t="str">
        <f t="shared" si="735"/>
        <v/>
      </c>
      <c r="R2134" s="23" t="str">
        <f t="shared" si="736"/>
        <v/>
      </c>
      <c r="S2134" s="23" t="str">
        <f t="shared" si="737"/>
        <v/>
      </c>
      <c r="T2134" s="23" t="str">
        <f t="shared" si="738"/>
        <v/>
      </c>
      <c r="U2134" s="23" t="str">
        <f t="shared" si="739"/>
        <v/>
      </c>
      <c r="V2134" s="23" t="str">
        <f t="shared" si="740"/>
        <v/>
      </c>
      <c r="W2134" s="70" t="str">
        <f t="shared" si="741"/>
        <v/>
      </c>
      <c r="X2134" s="70" t="str">
        <f t="shared" si="742"/>
        <v/>
      </c>
      <c r="Y2134" s="70" t="str">
        <f>IF(AND($A2134&lt;&gt;"",$E2134&gt;0),isLaptopBag($C2134,$J2134)*$D2134,"")</f>
        <v/>
      </c>
      <c r="Z2134" s="70" t="str">
        <f t="shared" si="743"/>
        <v/>
      </c>
      <c r="AA2134" s="70" t="str">
        <f t="shared" si="744"/>
        <v/>
      </c>
      <c r="AB2134" s="70" t="str">
        <f t="shared" si="745"/>
        <v/>
      </c>
      <c r="AC2134" s="70" t="str">
        <f t="shared" si="746"/>
        <v/>
      </c>
      <c r="AD2134" s="70" t="str">
        <f t="shared" si="747"/>
        <v/>
      </c>
      <c r="AE2134" s="70" t="str">
        <f t="shared" si="748"/>
        <v/>
      </c>
      <c r="AF2134" s="16"/>
      <c r="AG2134" s="23"/>
      <c r="AH2134" s="22"/>
      <c r="AJ2134" s="83">
        <f t="shared" si="749"/>
        <v>0</v>
      </c>
      <c r="AO2134" s="22" t="str">
        <f t="shared" si="750"/>
        <v/>
      </c>
      <c r="AP2134" s="22" t="str">
        <f t="shared" si="751"/>
        <v/>
      </c>
    </row>
    <row r="2135" spans="1:42" x14ac:dyDescent="0.25">
      <c r="A2135" s="10"/>
      <c r="B2135" s="10"/>
      <c r="C2135" s="10"/>
      <c r="D2135" s="10"/>
      <c r="E2135" s="10"/>
      <c r="F2135" s="10"/>
      <c r="G2135" s="10"/>
      <c r="H2135" s="17"/>
      <c r="I2135" s="10"/>
      <c r="J2135" s="10"/>
      <c r="K2135" s="16" t="str">
        <f t="shared" si="730"/>
        <v/>
      </c>
      <c r="L2135" s="23" t="str">
        <f t="shared" si="731"/>
        <v/>
      </c>
      <c r="M2135" s="22" t="str">
        <f t="shared" si="732"/>
        <v/>
      </c>
      <c r="N2135" s="72"/>
      <c r="O2135" s="16" t="str">
        <f t="shared" si="733"/>
        <v/>
      </c>
      <c r="P2135" s="16" t="str">
        <f t="shared" si="734"/>
        <v/>
      </c>
      <c r="Q2135" s="16" t="str">
        <f t="shared" si="735"/>
        <v/>
      </c>
      <c r="R2135" s="23" t="str">
        <f t="shared" si="736"/>
        <v/>
      </c>
      <c r="S2135" s="23" t="str">
        <f t="shared" si="737"/>
        <v/>
      </c>
      <c r="T2135" s="23" t="str">
        <f t="shared" si="738"/>
        <v/>
      </c>
      <c r="U2135" s="23" t="str">
        <f t="shared" si="739"/>
        <v/>
      </c>
      <c r="V2135" s="23" t="str">
        <f t="shared" si="740"/>
        <v/>
      </c>
      <c r="W2135" s="70" t="str">
        <f t="shared" si="741"/>
        <v/>
      </c>
      <c r="X2135" s="70" t="str">
        <f t="shared" si="742"/>
        <v/>
      </c>
      <c r="Y2135" s="70" t="str">
        <f>IF(AND($A2135&lt;&gt;"",$E2135&gt;0),isLaptopBag($C2135,$J2135)*$D2135,"")</f>
        <v/>
      </c>
      <c r="Z2135" s="70" t="str">
        <f t="shared" si="743"/>
        <v/>
      </c>
      <c r="AA2135" s="70" t="str">
        <f t="shared" si="744"/>
        <v/>
      </c>
      <c r="AB2135" s="70" t="str">
        <f t="shared" si="745"/>
        <v/>
      </c>
      <c r="AC2135" s="70" t="str">
        <f t="shared" si="746"/>
        <v/>
      </c>
      <c r="AD2135" s="70" t="str">
        <f t="shared" si="747"/>
        <v/>
      </c>
      <c r="AE2135" s="70" t="str">
        <f t="shared" si="748"/>
        <v/>
      </c>
      <c r="AF2135" s="16"/>
      <c r="AG2135" s="23"/>
      <c r="AH2135" s="22"/>
      <c r="AJ2135" s="83">
        <f t="shared" si="749"/>
        <v>0</v>
      </c>
      <c r="AO2135" s="22" t="str">
        <f t="shared" si="750"/>
        <v/>
      </c>
      <c r="AP2135" s="22" t="str">
        <f t="shared" si="751"/>
        <v/>
      </c>
    </row>
    <row r="2136" spans="1:42" x14ac:dyDescent="0.25">
      <c r="A2136" s="10"/>
      <c r="B2136" s="10"/>
      <c r="C2136" s="10"/>
      <c r="D2136" s="10"/>
      <c r="E2136" s="10"/>
      <c r="F2136" s="10"/>
      <c r="G2136" s="10"/>
      <c r="H2136" s="17"/>
      <c r="I2136" s="10"/>
      <c r="J2136" s="10"/>
      <c r="K2136" s="16" t="str">
        <f t="shared" si="730"/>
        <v/>
      </c>
      <c r="L2136" s="23" t="str">
        <f t="shared" si="731"/>
        <v/>
      </c>
      <c r="M2136" s="22" t="str">
        <f t="shared" si="732"/>
        <v/>
      </c>
      <c r="N2136" s="72"/>
      <c r="O2136" s="16" t="str">
        <f t="shared" si="733"/>
        <v/>
      </c>
      <c r="P2136" s="16" t="str">
        <f t="shared" si="734"/>
        <v/>
      </c>
      <c r="Q2136" s="16" t="str">
        <f t="shared" si="735"/>
        <v/>
      </c>
      <c r="R2136" s="23" t="str">
        <f t="shared" si="736"/>
        <v/>
      </c>
      <c r="S2136" s="23" t="str">
        <f t="shared" si="737"/>
        <v/>
      </c>
      <c r="T2136" s="23" t="str">
        <f t="shared" si="738"/>
        <v/>
      </c>
      <c r="U2136" s="23" t="str">
        <f t="shared" si="739"/>
        <v/>
      </c>
      <c r="V2136" s="23" t="str">
        <f t="shared" si="740"/>
        <v/>
      </c>
      <c r="W2136" s="70" t="str">
        <f t="shared" si="741"/>
        <v/>
      </c>
      <c r="X2136" s="70" t="str">
        <f t="shared" si="742"/>
        <v/>
      </c>
      <c r="Y2136" s="70" t="str">
        <f>IF(AND($A2136&lt;&gt;"",$E2136&gt;0),isLaptopBag($C2136,$J2136)*$D2136,"")</f>
        <v/>
      </c>
      <c r="Z2136" s="70" t="str">
        <f t="shared" si="743"/>
        <v/>
      </c>
      <c r="AA2136" s="70" t="str">
        <f t="shared" si="744"/>
        <v/>
      </c>
      <c r="AB2136" s="70" t="str">
        <f t="shared" si="745"/>
        <v/>
      </c>
      <c r="AC2136" s="70" t="str">
        <f t="shared" si="746"/>
        <v/>
      </c>
      <c r="AD2136" s="70" t="str">
        <f t="shared" si="747"/>
        <v/>
      </c>
      <c r="AE2136" s="70" t="str">
        <f t="shared" si="748"/>
        <v/>
      </c>
      <c r="AF2136" s="16"/>
      <c r="AG2136" s="23"/>
      <c r="AH2136" s="22"/>
      <c r="AJ2136" s="83">
        <f t="shared" si="749"/>
        <v>0</v>
      </c>
      <c r="AO2136" s="22" t="str">
        <f t="shared" si="750"/>
        <v/>
      </c>
      <c r="AP2136" s="22" t="str">
        <f t="shared" si="751"/>
        <v/>
      </c>
    </row>
    <row r="2137" spans="1:42" x14ac:dyDescent="0.25">
      <c r="A2137" s="10"/>
      <c r="B2137" s="10"/>
      <c r="C2137" s="10"/>
      <c r="D2137" s="10"/>
      <c r="E2137" s="10"/>
      <c r="F2137" s="10"/>
      <c r="G2137" s="10"/>
      <c r="H2137" s="17"/>
      <c r="I2137" s="10"/>
      <c r="J2137" s="10"/>
      <c r="K2137" s="16" t="str">
        <f t="shared" si="730"/>
        <v/>
      </c>
      <c r="L2137" s="23" t="str">
        <f t="shared" si="731"/>
        <v/>
      </c>
      <c r="M2137" s="22" t="str">
        <f t="shared" si="732"/>
        <v/>
      </c>
      <c r="N2137" s="72"/>
      <c r="O2137" s="16" t="str">
        <f t="shared" si="733"/>
        <v/>
      </c>
      <c r="P2137" s="16" t="str">
        <f t="shared" si="734"/>
        <v/>
      </c>
      <c r="Q2137" s="16" t="str">
        <f t="shared" si="735"/>
        <v/>
      </c>
      <c r="R2137" s="23" t="str">
        <f t="shared" si="736"/>
        <v/>
      </c>
      <c r="S2137" s="23" t="str">
        <f t="shared" si="737"/>
        <v/>
      </c>
      <c r="T2137" s="23" t="str">
        <f t="shared" si="738"/>
        <v/>
      </c>
      <c r="U2137" s="23" t="str">
        <f t="shared" si="739"/>
        <v/>
      </c>
      <c r="V2137" s="23" t="str">
        <f t="shared" si="740"/>
        <v/>
      </c>
      <c r="W2137" s="70" t="str">
        <f t="shared" si="741"/>
        <v/>
      </c>
      <c r="X2137" s="70" t="str">
        <f t="shared" si="742"/>
        <v/>
      </c>
      <c r="Y2137" s="70" t="str">
        <f>IF(AND($A2137&lt;&gt;"",$E2137&gt;0),isLaptopBag($C2137,$J2137)*$D2137,"")</f>
        <v/>
      </c>
      <c r="Z2137" s="70" t="str">
        <f t="shared" si="743"/>
        <v/>
      </c>
      <c r="AA2137" s="70" t="str">
        <f t="shared" si="744"/>
        <v/>
      </c>
      <c r="AB2137" s="70" t="str">
        <f t="shared" si="745"/>
        <v/>
      </c>
      <c r="AC2137" s="70" t="str">
        <f t="shared" si="746"/>
        <v/>
      </c>
      <c r="AD2137" s="70" t="str">
        <f t="shared" si="747"/>
        <v/>
      </c>
      <c r="AE2137" s="70" t="str">
        <f t="shared" si="748"/>
        <v/>
      </c>
      <c r="AF2137" s="16"/>
      <c r="AG2137" s="23"/>
      <c r="AH2137" s="22"/>
      <c r="AJ2137" s="83">
        <f t="shared" si="749"/>
        <v>0</v>
      </c>
      <c r="AO2137" s="22" t="str">
        <f t="shared" si="750"/>
        <v/>
      </c>
      <c r="AP2137" s="22" t="str">
        <f t="shared" si="751"/>
        <v/>
      </c>
    </row>
    <row r="2138" spans="1:42" x14ac:dyDescent="0.25">
      <c r="A2138" s="10"/>
      <c r="B2138" s="10"/>
      <c r="C2138" s="10"/>
      <c r="D2138" s="10"/>
      <c r="E2138" s="10"/>
      <c r="F2138" s="10"/>
      <c r="G2138" s="10"/>
      <c r="H2138" s="17"/>
      <c r="I2138" s="10"/>
      <c r="J2138" s="10"/>
      <c r="K2138" s="16" t="str">
        <f t="shared" si="730"/>
        <v/>
      </c>
      <c r="L2138" s="23" t="str">
        <f t="shared" si="731"/>
        <v/>
      </c>
      <c r="M2138" s="22" t="str">
        <f t="shared" si="732"/>
        <v/>
      </c>
      <c r="N2138" s="72"/>
      <c r="O2138" s="16" t="str">
        <f t="shared" si="733"/>
        <v/>
      </c>
      <c r="P2138" s="16" t="str">
        <f t="shared" si="734"/>
        <v/>
      </c>
      <c r="Q2138" s="16" t="str">
        <f t="shared" si="735"/>
        <v/>
      </c>
      <c r="R2138" s="23" t="str">
        <f t="shared" si="736"/>
        <v/>
      </c>
      <c r="S2138" s="23" t="str">
        <f t="shared" si="737"/>
        <v/>
      </c>
      <c r="T2138" s="23" t="str">
        <f t="shared" si="738"/>
        <v/>
      </c>
      <c r="U2138" s="23" t="str">
        <f t="shared" si="739"/>
        <v/>
      </c>
      <c r="V2138" s="23" t="str">
        <f t="shared" si="740"/>
        <v/>
      </c>
      <c r="W2138" s="70" t="str">
        <f t="shared" si="741"/>
        <v/>
      </c>
      <c r="X2138" s="70" t="str">
        <f t="shared" si="742"/>
        <v/>
      </c>
      <c r="Y2138" s="70" t="str">
        <f>IF(AND($A2138&lt;&gt;"",$E2138&gt;0),isLaptopBag($C2138,$J2138)*$D2138,"")</f>
        <v/>
      </c>
      <c r="Z2138" s="70" t="str">
        <f t="shared" si="743"/>
        <v/>
      </c>
      <c r="AA2138" s="70" t="str">
        <f t="shared" si="744"/>
        <v/>
      </c>
      <c r="AB2138" s="70" t="str">
        <f t="shared" si="745"/>
        <v/>
      </c>
      <c r="AC2138" s="70" t="str">
        <f t="shared" si="746"/>
        <v/>
      </c>
      <c r="AD2138" s="70" t="str">
        <f t="shared" si="747"/>
        <v/>
      </c>
      <c r="AE2138" s="70" t="str">
        <f t="shared" si="748"/>
        <v/>
      </c>
      <c r="AF2138" s="16"/>
      <c r="AG2138" s="23"/>
      <c r="AH2138" s="22"/>
      <c r="AJ2138" s="83">
        <f t="shared" si="749"/>
        <v>0</v>
      </c>
      <c r="AO2138" s="22" t="str">
        <f t="shared" si="750"/>
        <v/>
      </c>
      <c r="AP2138" s="22" t="str">
        <f t="shared" si="751"/>
        <v/>
      </c>
    </row>
    <row r="2139" spans="1:42" x14ac:dyDescent="0.25">
      <c r="A2139" s="10"/>
      <c r="B2139" s="10"/>
      <c r="C2139" s="10"/>
      <c r="D2139" s="10"/>
      <c r="E2139" s="10"/>
      <c r="F2139" s="10"/>
      <c r="G2139" s="10"/>
      <c r="H2139" s="17"/>
      <c r="I2139" s="10"/>
      <c r="J2139" s="10"/>
      <c r="K2139" s="16" t="str">
        <f t="shared" si="730"/>
        <v/>
      </c>
      <c r="L2139" s="23" t="str">
        <f t="shared" si="731"/>
        <v/>
      </c>
      <c r="M2139" s="22" t="str">
        <f t="shared" si="732"/>
        <v/>
      </c>
      <c r="N2139" s="72"/>
      <c r="O2139" s="16" t="str">
        <f t="shared" si="733"/>
        <v/>
      </c>
      <c r="P2139" s="16" t="str">
        <f t="shared" si="734"/>
        <v/>
      </c>
      <c r="Q2139" s="16" t="str">
        <f t="shared" si="735"/>
        <v/>
      </c>
      <c r="R2139" s="23" t="str">
        <f t="shared" si="736"/>
        <v/>
      </c>
      <c r="S2139" s="23" t="str">
        <f t="shared" si="737"/>
        <v/>
      </c>
      <c r="T2139" s="23" t="str">
        <f t="shared" si="738"/>
        <v/>
      </c>
      <c r="U2139" s="23" t="str">
        <f t="shared" si="739"/>
        <v/>
      </c>
      <c r="V2139" s="23" t="str">
        <f t="shared" si="740"/>
        <v/>
      </c>
      <c r="W2139" s="70" t="str">
        <f t="shared" si="741"/>
        <v/>
      </c>
      <c r="X2139" s="70" t="str">
        <f t="shared" si="742"/>
        <v/>
      </c>
      <c r="Y2139" s="70" t="str">
        <f>IF(AND($A2139&lt;&gt;"",$E2139&gt;0),isLaptopBag($C2139,$J2139)*$D2139,"")</f>
        <v/>
      </c>
      <c r="Z2139" s="70" t="str">
        <f t="shared" si="743"/>
        <v/>
      </c>
      <c r="AA2139" s="70" t="str">
        <f t="shared" si="744"/>
        <v/>
      </c>
      <c r="AB2139" s="70" t="str">
        <f t="shared" si="745"/>
        <v/>
      </c>
      <c r="AC2139" s="70" t="str">
        <f t="shared" si="746"/>
        <v/>
      </c>
      <c r="AD2139" s="70" t="str">
        <f t="shared" si="747"/>
        <v/>
      </c>
      <c r="AE2139" s="70" t="str">
        <f t="shared" si="748"/>
        <v/>
      </c>
      <c r="AF2139" s="16"/>
      <c r="AG2139" s="23"/>
      <c r="AH2139" s="22"/>
      <c r="AJ2139" s="83">
        <f t="shared" si="749"/>
        <v>0</v>
      </c>
      <c r="AO2139" s="22" t="str">
        <f t="shared" si="750"/>
        <v/>
      </c>
      <c r="AP2139" s="22" t="str">
        <f t="shared" si="751"/>
        <v/>
      </c>
    </row>
    <row r="2140" spans="1:42" x14ac:dyDescent="0.25">
      <c r="A2140" s="10"/>
      <c r="B2140" s="10"/>
      <c r="C2140" s="10"/>
      <c r="D2140" s="10"/>
      <c r="E2140" s="10"/>
      <c r="F2140" s="10"/>
      <c r="G2140" s="10"/>
      <c r="H2140" s="17"/>
      <c r="I2140" s="10"/>
      <c r="J2140" s="10"/>
      <c r="K2140" s="16" t="str">
        <f t="shared" si="730"/>
        <v/>
      </c>
      <c r="L2140" s="23" t="str">
        <f t="shared" si="731"/>
        <v/>
      </c>
      <c r="M2140" s="22" t="str">
        <f t="shared" si="732"/>
        <v/>
      </c>
      <c r="N2140" s="72"/>
      <c r="O2140" s="16" t="str">
        <f t="shared" si="733"/>
        <v/>
      </c>
      <c r="P2140" s="16" t="str">
        <f t="shared" si="734"/>
        <v/>
      </c>
      <c r="Q2140" s="16" t="str">
        <f t="shared" si="735"/>
        <v/>
      </c>
      <c r="R2140" s="23" t="str">
        <f t="shared" si="736"/>
        <v/>
      </c>
      <c r="S2140" s="23" t="str">
        <f t="shared" si="737"/>
        <v/>
      </c>
      <c r="T2140" s="23" t="str">
        <f t="shared" si="738"/>
        <v/>
      </c>
      <c r="U2140" s="23" t="str">
        <f t="shared" si="739"/>
        <v/>
      </c>
      <c r="V2140" s="23" t="str">
        <f t="shared" si="740"/>
        <v/>
      </c>
      <c r="W2140" s="70" t="str">
        <f t="shared" si="741"/>
        <v/>
      </c>
      <c r="X2140" s="70" t="str">
        <f t="shared" si="742"/>
        <v/>
      </c>
      <c r="Y2140" s="70" t="str">
        <f>IF(AND($A2140&lt;&gt;"",$E2140&gt;0),isLaptopBag($C2140,$J2140)*$D2140,"")</f>
        <v/>
      </c>
      <c r="Z2140" s="70" t="str">
        <f t="shared" si="743"/>
        <v/>
      </c>
      <c r="AA2140" s="70" t="str">
        <f t="shared" si="744"/>
        <v/>
      </c>
      <c r="AB2140" s="70" t="str">
        <f t="shared" si="745"/>
        <v/>
      </c>
      <c r="AC2140" s="70" t="str">
        <f t="shared" si="746"/>
        <v/>
      </c>
      <c r="AD2140" s="70" t="str">
        <f t="shared" si="747"/>
        <v/>
      </c>
      <c r="AE2140" s="70" t="str">
        <f t="shared" si="748"/>
        <v/>
      </c>
      <c r="AF2140" s="16"/>
      <c r="AG2140" s="23"/>
      <c r="AH2140" s="22"/>
      <c r="AJ2140" s="83">
        <f t="shared" si="749"/>
        <v>0</v>
      </c>
      <c r="AO2140" s="22" t="str">
        <f t="shared" si="750"/>
        <v/>
      </c>
      <c r="AP2140" s="22" t="str">
        <f t="shared" si="751"/>
        <v/>
      </c>
    </row>
    <row r="2141" spans="1:42" x14ac:dyDescent="0.25">
      <c r="A2141" s="10"/>
      <c r="B2141" s="10"/>
      <c r="C2141" s="10"/>
      <c r="D2141" s="10"/>
      <c r="E2141" s="10"/>
      <c r="F2141" s="10"/>
      <c r="G2141" s="10"/>
      <c r="H2141" s="17"/>
      <c r="I2141" s="10"/>
      <c r="J2141" s="10"/>
      <c r="K2141" s="16" t="str">
        <f t="shared" si="730"/>
        <v/>
      </c>
      <c r="L2141" s="23" t="str">
        <f t="shared" si="731"/>
        <v/>
      </c>
      <c r="M2141" s="22" t="str">
        <f t="shared" si="732"/>
        <v/>
      </c>
      <c r="N2141" s="72"/>
      <c r="O2141" s="16" t="str">
        <f t="shared" si="733"/>
        <v/>
      </c>
      <c r="P2141" s="16" t="str">
        <f t="shared" si="734"/>
        <v/>
      </c>
      <c r="Q2141" s="16" t="str">
        <f t="shared" si="735"/>
        <v/>
      </c>
      <c r="R2141" s="23" t="str">
        <f t="shared" si="736"/>
        <v/>
      </c>
      <c r="S2141" s="23" t="str">
        <f t="shared" si="737"/>
        <v/>
      </c>
      <c r="T2141" s="23" t="str">
        <f t="shared" si="738"/>
        <v/>
      </c>
      <c r="U2141" s="23" t="str">
        <f t="shared" si="739"/>
        <v/>
      </c>
      <c r="V2141" s="23" t="str">
        <f t="shared" si="740"/>
        <v/>
      </c>
      <c r="W2141" s="70" t="str">
        <f t="shared" si="741"/>
        <v/>
      </c>
      <c r="X2141" s="70" t="str">
        <f t="shared" si="742"/>
        <v/>
      </c>
      <c r="Y2141" s="70" t="str">
        <f>IF(AND($A2141&lt;&gt;"",$E2141&gt;0),isLaptopBag($C2141,$J2141)*$D2141,"")</f>
        <v/>
      </c>
      <c r="Z2141" s="70" t="str">
        <f t="shared" si="743"/>
        <v/>
      </c>
      <c r="AA2141" s="70" t="str">
        <f t="shared" si="744"/>
        <v/>
      </c>
      <c r="AB2141" s="70" t="str">
        <f t="shared" si="745"/>
        <v/>
      </c>
      <c r="AC2141" s="70" t="str">
        <f t="shared" si="746"/>
        <v/>
      </c>
      <c r="AD2141" s="70" t="str">
        <f t="shared" si="747"/>
        <v/>
      </c>
      <c r="AE2141" s="70" t="str">
        <f t="shared" si="748"/>
        <v/>
      </c>
      <c r="AF2141" s="16"/>
      <c r="AG2141" s="23"/>
      <c r="AH2141" s="22"/>
      <c r="AJ2141" s="83">
        <f t="shared" si="749"/>
        <v>0</v>
      </c>
      <c r="AO2141" s="22" t="str">
        <f t="shared" si="750"/>
        <v/>
      </c>
      <c r="AP2141" s="22" t="str">
        <f t="shared" si="751"/>
        <v/>
      </c>
    </row>
    <row r="2142" spans="1:42" x14ac:dyDescent="0.25">
      <c r="A2142" s="10"/>
      <c r="B2142" s="10"/>
      <c r="C2142" s="10"/>
      <c r="D2142" s="10"/>
      <c r="E2142" s="10"/>
      <c r="F2142" s="10"/>
      <c r="G2142" s="10"/>
      <c r="H2142" s="17"/>
      <c r="I2142" s="10"/>
      <c r="J2142" s="10"/>
      <c r="K2142" s="16" t="str">
        <f t="shared" si="730"/>
        <v/>
      </c>
      <c r="L2142" s="23" t="str">
        <f t="shared" si="731"/>
        <v/>
      </c>
      <c r="M2142" s="22" t="str">
        <f t="shared" si="732"/>
        <v/>
      </c>
      <c r="N2142" s="72"/>
      <c r="O2142" s="16" t="str">
        <f t="shared" si="733"/>
        <v/>
      </c>
      <c r="P2142" s="16" t="str">
        <f t="shared" si="734"/>
        <v/>
      </c>
      <c r="Q2142" s="16" t="str">
        <f t="shared" si="735"/>
        <v/>
      </c>
      <c r="R2142" s="23" t="str">
        <f t="shared" si="736"/>
        <v/>
      </c>
      <c r="S2142" s="23" t="str">
        <f t="shared" si="737"/>
        <v/>
      </c>
      <c r="T2142" s="23" t="str">
        <f t="shared" si="738"/>
        <v/>
      </c>
      <c r="U2142" s="23" t="str">
        <f t="shared" si="739"/>
        <v/>
      </c>
      <c r="V2142" s="23" t="str">
        <f t="shared" si="740"/>
        <v/>
      </c>
      <c r="W2142" s="70" t="str">
        <f t="shared" si="741"/>
        <v/>
      </c>
      <c r="X2142" s="70" t="str">
        <f t="shared" si="742"/>
        <v/>
      </c>
      <c r="Y2142" s="70" t="str">
        <f>IF(AND($A2142&lt;&gt;"",$E2142&gt;0),isLaptopBag($C2142,$J2142)*$D2142,"")</f>
        <v/>
      </c>
      <c r="Z2142" s="70" t="str">
        <f t="shared" si="743"/>
        <v/>
      </c>
      <c r="AA2142" s="70" t="str">
        <f t="shared" si="744"/>
        <v/>
      </c>
      <c r="AB2142" s="70" t="str">
        <f t="shared" si="745"/>
        <v/>
      </c>
      <c r="AC2142" s="70" t="str">
        <f t="shared" si="746"/>
        <v/>
      </c>
      <c r="AD2142" s="70" t="str">
        <f t="shared" si="747"/>
        <v/>
      </c>
      <c r="AE2142" s="70" t="str">
        <f t="shared" si="748"/>
        <v/>
      </c>
      <c r="AF2142" s="16"/>
      <c r="AG2142" s="23"/>
      <c r="AH2142" s="22"/>
      <c r="AJ2142" s="83">
        <f t="shared" si="749"/>
        <v>0</v>
      </c>
      <c r="AO2142" s="22" t="str">
        <f t="shared" si="750"/>
        <v/>
      </c>
      <c r="AP2142" s="22" t="str">
        <f t="shared" si="751"/>
        <v/>
      </c>
    </row>
    <row r="2143" spans="1:42" x14ac:dyDescent="0.25">
      <c r="A2143" s="10"/>
      <c r="B2143" s="10"/>
      <c r="C2143" s="10"/>
      <c r="D2143" s="10"/>
      <c r="E2143" s="10"/>
      <c r="F2143" s="10"/>
      <c r="G2143" s="10"/>
      <c r="H2143" s="17"/>
      <c r="I2143" s="10"/>
      <c r="J2143" s="10"/>
      <c r="K2143" s="16" t="str">
        <f t="shared" si="730"/>
        <v/>
      </c>
      <c r="L2143" s="23" t="str">
        <f t="shared" si="731"/>
        <v/>
      </c>
      <c r="M2143" s="22" t="str">
        <f t="shared" si="732"/>
        <v/>
      </c>
      <c r="N2143" s="72"/>
      <c r="O2143" s="16" t="str">
        <f t="shared" si="733"/>
        <v/>
      </c>
      <c r="P2143" s="16" t="str">
        <f t="shared" si="734"/>
        <v/>
      </c>
      <c r="Q2143" s="16" t="str">
        <f t="shared" si="735"/>
        <v/>
      </c>
      <c r="R2143" s="23" t="str">
        <f t="shared" si="736"/>
        <v/>
      </c>
      <c r="S2143" s="23" t="str">
        <f t="shared" si="737"/>
        <v/>
      </c>
      <c r="T2143" s="23" t="str">
        <f t="shared" si="738"/>
        <v/>
      </c>
      <c r="U2143" s="23" t="str">
        <f t="shared" si="739"/>
        <v/>
      </c>
      <c r="V2143" s="23" t="str">
        <f t="shared" si="740"/>
        <v/>
      </c>
      <c r="W2143" s="70" t="str">
        <f t="shared" si="741"/>
        <v/>
      </c>
      <c r="X2143" s="70" t="str">
        <f t="shared" si="742"/>
        <v/>
      </c>
      <c r="Y2143" s="70" t="str">
        <f>IF(AND($A2143&lt;&gt;"",$E2143&gt;0),isLaptopBag($C2143,$J2143)*$D2143,"")</f>
        <v/>
      </c>
      <c r="Z2143" s="70" t="str">
        <f t="shared" si="743"/>
        <v/>
      </c>
      <c r="AA2143" s="70" t="str">
        <f t="shared" si="744"/>
        <v/>
      </c>
      <c r="AB2143" s="70" t="str">
        <f t="shared" si="745"/>
        <v/>
      </c>
      <c r="AC2143" s="70" t="str">
        <f t="shared" si="746"/>
        <v/>
      </c>
      <c r="AD2143" s="70" t="str">
        <f t="shared" si="747"/>
        <v/>
      </c>
      <c r="AE2143" s="70" t="str">
        <f t="shared" si="748"/>
        <v/>
      </c>
      <c r="AF2143" s="16"/>
      <c r="AG2143" s="23"/>
      <c r="AH2143" s="22"/>
      <c r="AJ2143" s="83">
        <f t="shared" si="749"/>
        <v>0</v>
      </c>
      <c r="AO2143" s="22" t="str">
        <f t="shared" si="750"/>
        <v/>
      </c>
      <c r="AP2143" s="22" t="str">
        <f t="shared" si="751"/>
        <v/>
      </c>
    </row>
    <row r="2144" spans="1:42" x14ac:dyDescent="0.25">
      <c r="A2144" s="10"/>
      <c r="B2144" s="10"/>
      <c r="C2144" s="10"/>
      <c r="D2144" s="10"/>
      <c r="E2144" s="10"/>
      <c r="F2144" s="10"/>
      <c r="G2144" s="10"/>
      <c r="H2144" s="17"/>
      <c r="I2144" s="10"/>
      <c r="J2144" s="10"/>
      <c r="K2144" s="16" t="str">
        <f t="shared" si="730"/>
        <v/>
      </c>
      <c r="L2144" s="23" t="str">
        <f t="shared" si="731"/>
        <v/>
      </c>
      <c r="M2144" s="22" t="str">
        <f t="shared" si="732"/>
        <v/>
      </c>
      <c r="N2144" s="72"/>
      <c r="O2144" s="16" t="str">
        <f t="shared" si="733"/>
        <v/>
      </c>
      <c r="P2144" s="16" t="str">
        <f t="shared" si="734"/>
        <v/>
      </c>
      <c r="Q2144" s="16" t="str">
        <f t="shared" si="735"/>
        <v/>
      </c>
      <c r="R2144" s="23" t="str">
        <f t="shared" si="736"/>
        <v/>
      </c>
      <c r="S2144" s="23" t="str">
        <f t="shared" si="737"/>
        <v/>
      </c>
      <c r="T2144" s="23" t="str">
        <f t="shared" si="738"/>
        <v/>
      </c>
      <c r="U2144" s="23" t="str">
        <f t="shared" si="739"/>
        <v/>
      </c>
      <c r="V2144" s="23" t="str">
        <f t="shared" si="740"/>
        <v/>
      </c>
      <c r="W2144" s="70" t="str">
        <f t="shared" si="741"/>
        <v/>
      </c>
      <c r="X2144" s="70" t="str">
        <f t="shared" si="742"/>
        <v/>
      </c>
      <c r="Y2144" s="70" t="str">
        <f>IF(AND($A2144&lt;&gt;"",$E2144&gt;0),isLaptopBag($C2144,$J2144)*$D2144,"")</f>
        <v/>
      </c>
      <c r="Z2144" s="70" t="str">
        <f t="shared" si="743"/>
        <v/>
      </c>
      <c r="AA2144" s="70" t="str">
        <f t="shared" si="744"/>
        <v/>
      </c>
      <c r="AB2144" s="70" t="str">
        <f t="shared" si="745"/>
        <v/>
      </c>
      <c r="AC2144" s="70" t="str">
        <f t="shared" si="746"/>
        <v/>
      </c>
      <c r="AD2144" s="70" t="str">
        <f t="shared" si="747"/>
        <v/>
      </c>
      <c r="AE2144" s="70" t="str">
        <f t="shared" si="748"/>
        <v/>
      </c>
      <c r="AF2144" s="16"/>
      <c r="AG2144" s="23"/>
      <c r="AH2144" s="22"/>
      <c r="AJ2144" s="83">
        <f t="shared" si="749"/>
        <v>0</v>
      </c>
      <c r="AO2144" s="22" t="str">
        <f t="shared" si="750"/>
        <v/>
      </c>
      <c r="AP2144" s="22" t="str">
        <f t="shared" si="751"/>
        <v/>
      </c>
    </row>
    <row r="2145" spans="1:42" x14ac:dyDescent="0.25">
      <c r="A2145" s="10"/>
      <c r="B2145" s="10"/>
      <c r="C2145" s="10"/>
      <c r="D2145" s="10"/>
      <c r="E2145" s="10"/>
      <c r="F2145" s="10"/>
      <c r="G2145" s="10"/>
      <c r="H2145" s="17"/>
      <c r="I2145" s="10"/>
      <c r="J2145" s="10"/>
      <c r="K2145" s="16" t="str">
        <f t="shared" si="730"/>
        <v/>
      </c>
      <c r="L2145" s="23" t="str">
        <f t="shared" si="731"/>
        <v/>
      </c>
      <c r="M2145" s="22" t="str">
        <f t="shared" si="732"/>
        <v/>
      </c>
      <c r="N2145" s="72"/>
      <c r="O2145" s="16" t="str">
        <f t="shared" si="733"/>
        <v/>
      </c>
      <c r="P2145" s="16" t="str">
        <f t="shared" si="734"/>
        <v/>
      </c>
      <c r="Q2145" s="16" t="str">
        <f t="shared" si="735"/>
        <v/>
      </c>
      <c r="R2145" s="23" t="str">
        <f t="shared" si="736"/>
        <v/>
      </c>
      <c r="S2145" s="23" t="str">
        <f t="shared" si="737"/>
        <v/>
      </c>
      <c r="T2145" s="23" t="str">
        <f t="shared" si="738"/>
        <v/>
      </c>
      <c r="U2145" s="23" t="str">
        <f t="shared" si="739"/>
        <v/>
      </c>
      <c r="V2145" s="23" t="str">
        <f t="shared" si="740"/>
        <v/>
      </c>
      <c r="W2145" s="70" t="str">
        <f t="shared" si="741"/>
        <v/>
      </c>
      <c r="X2145" s="70" t="str">
        <f t="shared" si="742"/>
        <v/>
      </c>
      <c r="Y2145" s="70" t="str">
        <f>IF(AND($A2145&lt;&gt;"",$E2145&gt;0),isLaptopBag($C2145,$J2145)*$D2145,"")</f>
        <v/>
      </c>
      <c r="Z2145" s="70" t="str">
        <f t="shared" si="743"/>
        <v/>
      </c>
      <c r="AA2145" s="70" t="str">
        <f t="shared" si="744"/>
        <v/>
      </c>
      <c r="AB2145" s="70" t="str">
        <f t="shared" si="745"/>
        <v/>
      </c>
      <c r="AC2145" s="70" t="str">
        <f t="shared" si="746"/>
        <v/>
      </c>
      <c r="AD2145" s="70" t="str">
        <f t="shared" si="747"/>
        <v/>
      </c>
      <c r="AE2145" s="70" t="str">
        <f t="shared" si="748"/>
        <v/>
      </c>
      <c r="AF2145" s="16"/>
      <c r="AG2145" s="23"/>
      <c r="AH2145" s="22"/>
      <c r="AJ2145" s="83">
        <f t="shared" si="749"/>
        <v>0</v>
      </c>
      <c r="AO2145" s="22" t="str">
        <f t="shared" si="750"/>
        <v/>
      </c>
      <c r="AP2145" s="22" t="str">
        <f t="shared" si="751"/>
        <v/>
      </c>
    </row>
    <row r="2146" spans="1:42" x14ac:dyDescent="0.25">
      <c r="A2146" s="10"/>
      <c r="B2146" s="10"/>
      <c r="C2146" s="10"/>
      <c r="D2146" s="10"/>
      <c r="E2146" s="10"/>
      <c r="F2146" s="10"/>
      <c r="G2146" s="10"/>
      <c r="H2146" s="17"/>
      <c r="I2146" s="10"/>
      <c r="J2146" s="10"/>
      <c r="K2146" s="16" t="str">
        <f t="shared" si="730"/>
        <v/>
      </c>
      <c r="L2146" s="23" t="str">
        <f t="shared" si="731"/>
        <v/>
      </c>
      <c r="M2146" s="22" t="str">
        <f t="shared" si="732"/>
        <v/>
      </c>
      <c r="N2146" s="72"/>
      <c r="O2146" s="16" t="str">
        <f t="shared" si="733"/>
        <v/>
      </c>
      <c r="P2146" s="16" t="str">
        <f t="shared" si="734"/>
        <v/>
      </c>
      <c r="Q2146" s="16" t="str">
        <f t="shared" si="735"/>
        <v/>
      </c>
      <c r="R2146" s="23" t="str">
        <f t="shared" si="736"/>
        <v/>
      </c>
      <c r="S2146" s="23" t="str">
        <f t="shared" si="737"/>
        <v/>
      </c>
      <c r="T2146" s="23" t="str">
        <f t="shared" si="738"/>
        <v/>
      </c>
      <c r="U2146" s="23" t="str">
        <f t="shared" si="739"/>
        <v/>
      </c>
      <c r="V2146" s="23" t="str">
        <f t="shared" si="740"/>
        <v/>
      </c>
      <c r="W2146" s="70" t="str">
        <f t="shared" si="741"/>
        <v/>
      </c>
      <c r="X2146" s="70" t="str">
        <f t="shared" si="742"/>
        <v/>
      </c>
      <c r="Y2146" s="70" t="str">
        <f>IF(AND($A2146&lt;&gt;"",$E2146&gt;0),isLaptopBag($C2146,$J2146)*$D2146,"")</f>
        <v/>
      </c>
      <c r="Z2146" s="70" t="str">
        <f t="shared" si="743"/>
        <v/>
      </c>
      <c r="AA2146" s="70" t="str">
        <f t="shared" si="744"/>
        <v/>
      </c>
      <c r="AB2146" s="70" t="str">
        <f t="shared" si="745"/>
        <v/>
      </c>
      <c r="AC2146" s="70" t="str">
        <f t="shared" si="746"/>
        <v/>
      </c>
      <c r="AD2146" s="70" t="str">
        <f t="shared" si="747"/>
        <v/>
      </c>
      <c r="AE2146" s="70" t="str">
        <f t="shared" si="748"/>
        <v/>
      </c>
      <c r="AF2146" s="16"/>
      <c r="AG2146" s="23"/>
      <c r="AH2146" s="22"/>
      <c r="AJ2146" s="83">
        <f t="shared" si="749"/>
        <v>0</v>
      </c>
      <c r="AO2146" s="22" t="str">
        <f t="shared" si="750"/>
        <v/>
      </c>
      <c r="AP2146" s="22" t="str">
        <f t="shared" si="751"/>
        <v/>
      </c>
    </row>
    <row r="2147" spans="1:42" x14ac:dyDescent="0.25">
      <c r="A2147" s="10"/>
      <c r="B2147" s="10"/>
      <c r="C2147" s="10"/>
      <c r="D2147" s="10"/>
      <c r="E2147" s="10"/>
      <c r="F2147" s="10"/>
      <c r="G2147" s="10"/>
      <c r="H2147" s="17"/>
      <c r="I2147" s="10"/>
      <c r="J2147" s="10"/>
      <c r="K2147" s="16" t="str">
        <f t="shared" si="730"/>
        <v/>
      </c>
      <c r="L2147" s="23" t="str">
        <f t="shared" si="731"/>
        <v/>
      </c>
      <c r="M2147" s="22" t="str">
        <f t="shared" si="732"/>
        <v/>
      </c>
      <c r="N2147" s="72"/>
      <c r="O2147" s="16" t="str">
        <f t="shared" si="733"/>
        <v/>
      </c>
      <c r="P2147" s="16" t="str">
        <f t="shared" si="734"/>
        <v/>
      </c>
      <c r="Q2147" s="16" t="str">
        <f t="shared" si="735"/>
        <v/>
      </c>
      <c r="R2147" s="23" t="str">
        <f t="shared" si="736"/>
        <v/>
      </c>
      <c r="S2147" s="23" t="str">
        <f t="shared" si="737"/>
        <v/>
      </c>
      <c r="T2147" s="23" t="str">
        <f t="shared" si="738"/>
        <v/>
      </c>
      <c r="U2147" s="23" t="str">
        <f t="shared" si="739"/>
        <v/>
      </c>
      <c r="V2147" s="23" t="str">
        <f t="shared" si="740"/>
        <v/>
      </c>
      <c r="W2147" s="70" t="str">
        <f t="shared" si="741"/>
        <v/>
      </c>
      <c r="X2147" s="70" t="str">
        <f t="shared" si="742"/>
        <v/>
      </c>
      <c r="Y2147" s="70" t="str">
        <f>IF(AND($A2147&lt;&gt;"",$E2147&gt;0),isLaptopBag($C2147,$J2147)*$D2147,"")</f>
        <v/>
      </c>
      <c r="Z2147" s="70" t="str">
        <f t="shared" si="743"/>
        <v/>
      </c>
      <c r="AA2147" s="70" t="str">
        <f t="shared" si="744"/>
        <v/>
      </c>
      <c r="AB2147" s="70" t="str">
        <f t="shared" si="745"/>
        <v/>
      </c>
      <c r="AC2147" s="70" t="str">
        <f t="shared" si="746"/>
        <v/>
      </c>
      <c r="AD2147" s="70" t="str">
        <f t="shared" si="747"/>
        <v/>
      </c>
      <c r="AE2147" s="70" t="str">
        <f t="shared" si="748"/>
        <v/>
      </c>
      <c r="AF2147" s="16"/>
      <c r="AG2147" s="23"/>
      <c r="AH2147" s="22"/>
      <c r="AJ2147" s="83">
        <f t="shared" si="749"/>
        <v>0</v>
      </c>
      <c r="AO2147" s="22" t="str">
        <f t="shared" si="750"/>
        <v/>
      </c>
      <c r="AP2147" s="22" t="str">
        <f t="shared" si="751"/>
        <v/>
      </c>
    </row>
    <row r="2148" spans="1:42" x14ac:dyDescent="0.25">
      <c r="A2148" s="10"/>
      <c r="B2148" s="10"/>
      <c r="C2148" s="10"/>
      <c r="D2148" s="10"/>
      <c r="E2148" s="10"/>
      <c r="F2148" s="10"/>
      <c r="G2148" s="10"/>
      <c r="H2148" s="17"/>
      <c r="I2148" s="10"/>
      <c r="J2148" s="10"/>
      <c r="K2148" s="16" t="str">
        <f t="shared" si="730"/>
        <v/>
      </c>
      <c r="L2148" s="23" t="str">
        <f t="shared" si="731"/>
        <v/>
      </c>
      <c r="M2148" s="22" t="str">
        <f t="shared" si="732"/>
        <v/>
      </c>
      <c r="N2148" s="72"/>
      <c r="O2148" s="16" t="str">
        <f t="shared" si="733"/>
        <v/>
      </c>
      <c r="P2148" s="16" t="str">
        <f t="shared" si="734"/>
        <v/>
      </c>
      <c r="Q2148" s="16" t="str">
        <f t="shared" si="735"/>
        <v/>
      </c>
      <c r="R2148" s="23" t="str">
        <f t="shared" si="736"/>
        <v/>
      </c>
      <c r="S2148" s="23" t="str">
        <f t="shared" si="737"/>
        <v/>
      </c>
      <c r="T2148" s="23" t="str">
        <f t="shared" si="738"/>
        <v/>
      </c>
      <c r="U2148" s="23" t="str">
        <f t="shared" si="739"/>
        <v/>
      </c>
      <c r="V2148" s="23" t="str">
        <f t="shared" si="740"/>
        <v/>
      </c>
      <c r="W2148" s="70" t="str">
        <f t="shared" si="741"/>
        <v/>
      </c>
      <c r="X2148" s="70" t="str">
        <f t="shared" si="742"/>
        <v/>
      </c>
      <c r="Y2148" s="70" t="str">
        <f>IF(AND($A2148&lt;&gt;"",$E2148&gt;0),isLaptopBag($C2148,$J2148)*$D2148,"")</f>
        <v/>
      </c>
      <c r="Z2148" s="70" t="str">
        <f t="shared" si="743"/>
        <v/>
      </c>
      <c r="AA2148" s="70" t="str">
        <f t="shared" si="744"/>
        <v/>
      </c>
      <c r="AB2148" s="70" t="str">
        <f t="shared" si="745"/>
        <v/>
      </c>
      <c r="AC2148" s="70" t="str">
        <f t="shared" si="746"/>
        <v/>
      </c>
      <c r="AD2148" s="70" t="str">
        <f t="shared" si="747"/>
        <v/>
      </c>
      <c r="AE2148" s="70" t="str">
        <f t="shared" si="748"/>
        <v/>
      </c>
      <c r="AF2148" s="16"/>
      <c r="AG2148" s="23"/>
      <c r="AH2148" s="22"/>
      <c r="AJ2148" s="83">
        <f t="shared" si="749"/>
        <v>0</v>
      </c>
      <c r="AO2148" s="22" t="str">
        <f t="shared" si="750"/>
        <v/>
      </c>
      <c r="AP2148" s="22" t="str">
        <f t="shared" si="751"/>
        <v/>
      </c>
    </row>
    <row r="2149" spans="1:42" x14ac:dyDescent="0.25">
      <c r="A2149" s="10"/>
      <c r="B2149" s="10"/>
      <c r="C2149" s="10"/>
      <c r="D2149" s="10"/>
      <c r="E2149" s="10"/>
      <c r="F2149" s="10"/>
      <c r="G2149" s="10"/>
      <c r="H2149" s="17"/>
      <c r="I2149" s="10"/>
      <c r="J2149" s="10"/>
      <c r="K2149" s="16" t="str">
        <f t="shared" si="730"/>
        <v/>
      </c>
      <c r="L2149" s="23" t="str">
        <f t="shared" si="731"/>
        <v/>
      </c>
      <c r="M2149" s="22" t="str">
        <f t="shared" si="732"/>
        <v/>
      </c>
      <c r="N2149" s="72"/>
      <c r="O2149" s="16" t="str">
        <f t="shared" si="733"/>
        <v/>
      </c>
      <c r="P2149" s="16" t="str">
        <f t="shared" si="734"/>
        <v/>
      </c>
      <c r="Q2149" s="16" t="str">
        <f t="shared" si="735"/>
        <v/>
      </c>
      <c r="R2149" s="23" t="str">
        <f t="shared" si="736"/>
        <v/>
      </c>
      <c r="S2149" s="23" t="str">
        <f t="shared" si="737"/>
        <v/>
      </c>
      <c r="T2149" s="23" t="str">
        <f t="shared" si="738"/>
        <v/>
      </c>
      <c r="U2149" s="23" t="str">
        <f t="shared" si="739"/>
        <v/>
      </c>
      <c r="V2149" s="23" t="str">
        <f t="shared" si="740"/>
        <v/>
      </c>
      <c r="W2149" s="70" t="str">
        <f t="shared" si="741"/>
        <v/>
      </c>
      <c r="X2149" s="70" t="str">
        <f t="shared" si="742"/>
        <v/>
      </c>
      <c r="Y2149" s="70" t="str">
        <f>IF(AND($A2149&lt;&gt;"",$E2149&gt;0),isLaptopBag($C2149,$J2149)*$D2149,"")</f>
        <v/>
      </c>
      <c r="Z2149" s="70" t="str">
        <f t="shared" si="743"/>
        <v/>
      </c>
      <c r="AA2149" s="70" t="str">
        <f t="shared" si="744"/>
        <v/>
      </c>
      <c r="AB2149" s="70" t="str">
        <f t="shared" si="745"/>
        <v/>
      </c>
      <c r="AC2149" s="70" t="str">
        <f t="shared" si="746"/>
        <v/>
      </c>
      <c r="AD2149" s="70" t="str">
        <f t="shared" si="747"/>
        <v/>
      </c>
      <c r="AE2149" s="70" t="str">
        <f t="shared" si="748"/>
        <v/>
      </c>
      <c r="AF2149" s="16"/>
      <c r="AG2149" s="23"/>
      <c r="AH2149" s="22"/>
      <c r="AJ2149" s="83">
        <f t="shared" si="749"/>
        <v>0</v>
      </c>
      <c r="AO2149" s="22" t="str">
        <f t="shared" si="750"/>
        <v/>
      </c>
      <c r="AP2149" s="22" t="str">
        <f t="shared" si="751"/>
        <v/>
      </c>
    </row>
    <row r="2150" spans="1:42" x14ac:dyDescent="0.25">
      <c r="A2150" s="10"/>
      <c r="B2150" s="10"/>
      <c r="C2150" s="10"/>
      <c r="D2150" s="10"/>
      <c r="E2150" s="10"/>
      <c r="F2150" s="10"/>
      <c r="G2150" s="10"/>
      <c r="H2150" s="17"/>
      <c r="I2150" s="10"/>
      <c r="J2150" s="10"/>
      <c r="K2150" s="16" t="str">
        <f t="shared" si="730"/>
        <v/>
      </c>
      <c r="L2150" s="23" t="str">
        <f t="shared" si="731"/>
        <v/>
      </c>
      <c r="M2150" s="22" t="str">
        <f t="shared" si="732"/>
        <v/>
      </c>
      <c r="N2150" s="72"/>
      <c r="O2150" s="16" t="str">
        <f t="shared" si="733"/>
        <v/>
      </c>
      <c r="P2150" s="16" t="str">
        <f t="shared" si="734"/>
        <v/>
      </c>
      <c r="Q2150" s="16" t="str">
        <f t="shared" si="735"/>
        <v/>
      </c>
      <c r="R2150" s="23" t="str">
        <f t="shared" si="736"/>
        <v/>
      </c>
      <c r="S2150" s="23" t="str">
        <f t="shared" si="737"/>
        <v/>
      </c>
      <c r="T2150" s="23" t="str">
        <f t="shared" si="738"/>
        <v/>
      </c>
      <c r="U2150" s="23" t="str">
        <f t="shared" si="739"/>
        <v/>
      </c>
      <c r="V2150" s="23" t="str">
        <f t="shared" si="740"/>
        <v/>
      </c>
      <c r="W2150" s="70" t="str">
        <f t="shared" si="741"/>
        <v/>
      </c>
      <c r="X2150" s="70" t="str">
        <f t="shared" si="742"/>
        <v/>
      </c>
      <c r="Y2150" s="70" t="str">
        <f>IF(AND($A2150&lt;&gt;"",$E2150&gt;0),isLaptopBag($C2150,$J2150)*$D2150,"")</f>
        <v/>
      </c>
      <c r="Z2150" s="70" t="str">
        <f t="shared" si="743"/>
        <v/>
      </c>
      <c r="AA2150" s="70" t="str">
        <f t="shared" si="744"/>
        <v/>
      </c>
      <c r="AB2150" s="70" t="str">
        <f t="shared" si="745"/>
        <v/>
      </c>
      <c r="AC2150" s="70" t="str">
        <f t="shared" si="746"/>
        <v/>
      </c>
      <c r="AD2150" s="70" t="str">
        <f t="shared" si="747"/>
        <v/>
      </c>
      <c r="AE2150" s="70" t="str">
        <f t="shared" si="748"/>
        <v/>
      </c>
      <c r="AF2150" s="16"/>
      <c r="AG2150" s="23"/>
      <c r="AH2150" s="22"/>
      <c r="AJ2150" s="83">
        <f t="shared" si="749"/>
        <v>0</v>
      </c>
      <c r="AO2150" s="22" t="str">
        <f t="shared" si="750"/>
        <v/>
      </c>
      <c r="AP2150" s="22" t="str">
        <f t="shared" si="751"/>
        <v/>
      </c>
    </row>
    <row r="2151" spans="1:42" x14ac:dyDescent="0.25">
      <c r="A2151" s="10"/>
      <c r="B2151" s="10"/>
      <c r="C2151" s="10"/>
      <c r="D2151" s="10"/>
      <c r="E2151" s="10"/>
      <c r="F2151" s="10"/>
      <c r="G2151" s="10"/>
      <c r="H2151" s="17"/>
      <c r="I2151" s="10"/>
      <c r="J2151" s="10"/>
      <c r="K2151" s="16" t="str">
        <f t="shared" si="730"/>
        <v/>
      </c>
      <c r="L2151" s="23" t="str">
        <f t="shared" si="731"/>
        <v/>
      </c>
      <c r="M2151" s="22" t="str">
        <f t="shared" si="732"/>
        <v/>
      </c>
      <c r="N2151" s="72"/>
      <c r="O2151" s="16" t="str">
        <f t="shared" si="733"/>
        <v/>
      </c>
      <c r="P2151" s="16" t="str">
        <f t="shared" si="734"/>
        <v/>
      </c>
      <c r="Q2151" s="16" t="str">
        <f t="shared" si="735"/>
        <v/>
      </c>
      <c r="R2151" s="23" t="str">
        <f t="shared" si="736"/>
        <v/>
      </c>
      <c r="S2151" s="23" t="str">
        <f t="shared" si="737"/>
        <v/>
      </c>
      <c r="T2151" s="23" t="str">
        <f t="shared" si="738"/>
        <v/>
      </c>
      <c r="U2151" s="23" t="str">
        <f t="shared" si="739"/>
        <v/>
      </c>
      <c r="V2151" s="23" t="str">
        <f t="shared" si="740"/>
        <v/>
      </c>
      <c r="W2151" s="70" t="str">
        <f t="shared" si="741"/>
        <v/>
      </c>
      <c r="X2151" s="70" t="str">
        <f t="shared" si="742"/>
        <v/>
      </c>
      <c r="Y2151" s="70" t="str">
        <f>IF(AND($A2151&lt;&gt;"",$E2151&gt;0),isLaptopBag($C2151,$J2151)*$D2151,"")</f>
        <v/>
      </c>
      <c r="Z2151" s="70" t="str">
        <f t="shared" si="743"/>
        <v/>
      </c>
      <c r="AA2151" s="70" t="str">
        <f t="shared" si="744"/>
        <v/>
      </c>
      <c r="AB2151" s="70" t="str">
        <f t="shared" si="745"/>
        <v/>
      </c>
      <c r="AC2151" s="70" t="str">
        <f t="shared" si="746"/>
        <v/>
      </c>
      <c r="AD2151" s="70" t="str">
        <f t="shared" si="747"/>
        <v/>
      </c>
      <c r="AE2151" s="70" t="str">
        <f t="shared" si="748"/>
        <v/>
      </c>
      <c r="AF2151" s="16"/>
      <c r="AG2151" s="23"/>
      <c r="AH2151" s="22"/>
      <c r="AJ2151" s="83">
        <f t="shared" si="749"/>
        <v>0</v>
      </c>
      <c r="AO2151" s="22" t="str">
        <f t="shared" si="750"/>
        <v/>
      </c>
      <c r="AP2151" s="22" t="str">
        <f t="shared" si="751"/>
        <v/>
      </c>
    </row>
    <row r="2152" spans="1:42" x14ac:dyDescent="0.25">
      <c r="A2152" s="10"/>
      <c r="B2152" s="10"/>
      <c r="C2152" s="10"/>
      <c r="D2152" s="10"/>
      <c r="E2152" s="10"/>
      <c r="F2152" s="10"/>
      <c r="G2152" s="10"/>
      <c r="H2152" s="17"/>
      <c r="I2152" s="10"/>
      <c r="J2152" s="10"/>
      <c r="K2152" s="16" t="str">
        <f t="shared" si="730"/>
        <v/>
      </c>
      <c r="L2152" s="23" t="str">
        <f t="shared" si="731"/>
        <v/>
      </c>
      <c r="M2152" s="22" t="str">
        <f t="shared" si="732"/>
        <v/>
      </c>
      <c r="N2152" s="72"/>
      <c r="O2152" s="16" t="str">
        <f t="shared" si="733"/>
        <v/>
      </c>
      <c r="P2152" s="16" t="str">
        <f t="shared" si="734"/>
        <v/>
      </c>
      <c r="Q2152" s="16" t="str">
        <f t="shared" si="735"/>
        <v/>
      </c>
      <c r="R2152" s="23" t="str">
        <f t="shared" si="736"/>
        <v/>
      </c>
      <c r="S2152" s="23" t="str">
        <f t="shared" si="737"/>
        <v/>
      </c>
      <c r="T2152" s="23" t="str">
        <f t="shared" si="738"/>
        <v/>
      </c>
      <c r="U2152" s="23" t="str">
        <f t="shared" si="739"/>
        <v/>
      </c>
      <c r="V2152" s="23" t="str">
        <f t="shared" si="740"/>
        <v/>
      </c>
      <c r="W2152" s="70" t="str">
        <f t="shared" si="741"/>
        <v/>
      </c>
      <c r="X2152" s="70" t="str">
        <f t="shared" si="742"/>
        <v/>
      </c>
      <c r="Y2152" s="70" t="str">
        <f>IF(AND($A2152&lt;&gt;"",$E2152&gt;0),isLaptopBag($C2152,$J2152)*$D2152,"")</f>
        <v/>
      </c>
      <c r="Z2152" s="70" t="str">
        <f t="shared" si="743"/>
        <v/>
      </c>
      <c r="AA2152" s="70" t="str">
        <f t="shared" si="744"/>
        <v/>
      </c>
      <c r="AB2152" s="70" t="str">
        <f t="shared" si="745"/>
        <v/>
      </c>
      <c r="AC2152" s="70" t="str">
        <f t="shared" si="746"/>
        <v/>
      </c>
      <c r="AD2152" s="70" t="str">
        <f t="shared" si="747"/>
        <v/>
      </c>
      <c r="AE2152" s="70" t="str">
        <f t="shared" si="748"/>
        <v/>
      </c>
      <c r="AF2152" s="16"/>
      <c r="AG2152" s="23"/>
      <c r="AH2152" s="22"/>
      <c r="AJ2152" s="83">
        <f t="shared" si="749"/>
        <v>0</v>
      </c>
      <c r="AO2152" s="22" t="str">
        <f t="shared" si="750"/>
        <v/>
      </c>
      <c r="AP2152" s="22" t="str">
        <f t="shared" si="751"/>
        <v/>
      </c>
    </row>
    <row r="2153" spans="1:42" x14ac:dyDescent="0.25">
      <c r="A2153" s="10"/>
      <c r="B2153" s="10"/>
      <c r="C2153" s="10"/>
      <c r="D2153" s="10"/>
      <c r="E2153" s="10"/>
      <c r="F2153" s="10"/>
      <c r="G2153" s="10"/>
      <c r="H2153" s="17"/>
      <c r="I2153" s="10"/>
      <c r="J2153" s="10"/>
      <c r="K2153" s="16" t="str">
        <f t="shared" si="730"/>
        <v/>
      </c>
      <c r="L2153" s="23" t="str">
        <f t="shared" si="731"/>
        <v/>
      </c>
      <c r="M2153" s="22" t="str">
        <f t="shared" si="732"/>
        <v/>
      </c>
      <c r="N2153" s="72"/>
      <c r="O2153" s="16" t="str">
        <f t="shared" si="733"/>
        <v/>
      </c>
      <c r="P2153" s="16" t="str">
        <f t="shared" si="734"/>
        <v/>
      </c>
      <c r="Q2153" s="16" t="str">
        <f t="shared" si="735"/>
        <v/>
      </c>
      <c r="R2153" s="23" t="str">
        <f t="shared" si="736"/>
        <v/>
      </c>
      <c r="S2153" s="23" t="str">
        <f t="shared" si="737"/>
        <v/>
      </c>
      <c r="T2153" s="23" t="str">
        <f t="shared" si="738"/>
        <v/>
      </c>
      <c r="U2153" s="23" t="str">
        <f t="shared" si="739"/>
        <v/>
      </c>
      <c r="V2153" s="23" t="str">
        <f t="shared" si="740"/>
        <v/>
      </c>
      <c r="W2153" s="70" t="str">
        <f t="shared" si="741"/>
        <v/>
      </c>
      <c r="X2153" s="70" t="str">
        <f t="shared" si="742"/>
        <v/>
      </c>
      <c r="Y2153" s="70" t="str">
        <f>IF(AND($A2153&lt;&gt;"",$E2153&gt;0),isLaptopBag($C2153,$J2153)*$D2153,"")</f>
        <v/>
      </c>
      <c r="Z2153" s="70" t="str">
        <f t="shared" si="743"/>
        <v/>
      </c>
      <c r="AA2153" s="70" t="str">
        <f t="shared" si="744"/>
        <v/>
      </c>
      <c r="AB2153" s="70" t="str">
        <f t="shared" si="745"/>
        <v/>
      </c>
      <c r="AC2153" s="70" t="str">
        <f t="shared" si="746"/>
        <v/>
      </c>
      <c r="AD2153" s="70" t="str">
        <f t="shared" si="747"/>
        <v/>
      </c>
      <c r="AE2153" s="70" t="str">
        <f t="shared" si="748"/>
        <v/>
      </c>
      <c r="AF2153" s="16"/>
      <c r="AG2153" s="23"/>
      <c r="AH2153" s="22"/>
      <c r="AJ2153" s="83">
        <f t="shared" si="749"/>
        <v>0</v>
      </c>
      <c r="AO2153" s="22" t="str">
        <f t="shared" si="750"/>
        <v/>
      </c>
      <c r="AP2153" s="22" t="str">
        <f t="shared" si="751"/>
        <v/>
      </c>
    </row>
    <row r="2154" spans="1:42" x14ac:dyDescent="0.25">
      <c r="A2154" s="10"/>
      <c r="B2154" s="10"/>
      <c r="C2154" s="10"/>
      <c r="D2154" s="10"/>
      <c r="E2154" s="10"/>
      <c r="F2154" s="10"/>
      <c r="G2154" s="10"/>
      <c r="H2154" s="17"/>
      <c r="I2154" s="10"/>
      <c r="J2154" s="10"/>
      <c r="K2154" s="16" t="str">
        <f t="shared" si="730"/>
        <v/>
      </c>
      <c r="L2154" s="23" t="str">
        <f t="shared" si="731"/>
        <v/>
      </c>
      <c r="M2154" s="22" t="str">
        <f t="shared" si="732"/>
        <v/>
      </c>
      <c r="N2154" s="72"/>
      <c r="O2154" s="16" t="str">
        <f t="shared" si="733"/>
        <v/>
      </c>
      <c r="P2154" s="16" t="str">
        <f t="shared" si="734"/>
        <v/>
      </c>
      <c r="Q2154" s="16" t="str">
        <f t="shared" si="735"/>
        <v/>
      </c>
      <c r="R2154" s="23" t="str">
        <f t="shared" si="736"/>
        <v/>
      </c>
      <c r="S2154" s="23" t="str">
        <f t="shared" si="737"/>
        <v/>
      </c>
      <c r="T2154" s="23" t="str">
        <f t="shared" si="738"/>
        <v/>
      </c>
      <c r="U2154" s="23" t="str">
        <f t="shared" si="739"/>
        <v/>
      </c>
      <c r="V2154" s="23" t="str">
        <f t="shared" si="740"/>
        <v/>
      </c>
      <c r="W2154" s="70" t="str">
        <f t="shared" si="741"/>
        <v/>
      </c>
      <c r="X2154" s="70" t="str">
        <f t="shared" si="742"/>
        <v/>
      </c>
      <c r="Y2154" s="70" t="str">
        <f>IF(AND($A2154&lt;&gt;"",$E2154&gt;0),isLaptopBag($C2154,$J2154)*$D2154,"")</f>
        <v/>
      </c>
      <c r="Z2154" s="70" t="str">
        <f t="shared" si="743"/>
        <v/>
      </c>
      <c r="AA2154" s="70" t="str">
        <f t="shared" si="744"/>
        <v/>
      </c>
      <c r="AB2154" s="70" t="str">
        <f t="shared" si="745"/>
        <v/>
      </c>
      <c r="AC2154" s="70" t="str">
        <f t="shared" si="746"/>
        <v/>
      </c>
      <c r="AD2154" s="70" t="str">
        <f t="shared" si="747"/>
        <v/>
      </c>
      <c r="AE2154" s="70" t="str">
        <f t="shared" si="748"/>
        <v/>
      </c>
      <c r="AF2154" s="16"/>
      <c r="AG2154" s="23"/>
      <c r="AH2154" s="22"/>
      <c r="AJ2154" s="83">
        <f t="shared" si="749"/>
        <v>0</v>
      </c>
      <c r="AO2154" s="22" t="str">
        <f t="shared" si="750"/>
        <v/>
      </c>
      <c r="AP2154" s="22" t="str">
        <f t="shared" si="751"/>
        <v/>
      </c>
    </row>
    <row r="2155" spans="1:42" x14ac:dyDescent="0.25">
      <c r="A2155" s="10"/>
      <c r="B2155" s="10"/>
      <c r="C2155" s="10"/>
      <c r="D2155" s="10"/>
      <c r="E2155" s="10"/>
      <c r="F2155" s="10"/>
      <c r="G2155" s="10"/>
      <c r="H2155" s="17"/>
      <c r="I2155" s="10"/>
      <c r="J2155" s="10"/>
      <c r="K2155" s="16" t="str">
        <f t="shared" si="730"/>
        <v/>
      </c>
      <c r="L2155" s="23" t="str">
        <f t="shared" si="731"/>
        <v/>
      </c>
      <c r="M2155" s="22" t="str">
        <f t="shared" si="732"/>
        <v/>
      </c>
      <c r="N2155" s="72"/>
      <c r="O2155" s="16" t="str">
        <f t="shared" si="733"/>
        <v/>
      </c>
      <c r="P2155" s="16" t="str">
        <f t="shared" si="734"/>
        <v/>
      </c>
      <c r="Q2155" s="16" t="str">
        <f t="shared" si="735"/>
        <v/>
      </c>
      <c r="R2155" s="23" t="str">
        <f t="shared" si="736"/>
        <v/>
      </c>
      <c r="S2155" s="23" t="str">
        <f t="shared" si="737"/>
        <v/>
      </c>
      <c r="T2155" s="23" t="str">
        <f t="shared" si="738"/>
        <v/>
      </c>
      <c r="U2155" s="23" t="str">
        <f t="shared" si="739"/>
        <v/>
      </c>
      <c r="V2155" s="23" t="str">
        <f t="shared" si="740"/>
        <v/>
      </c>
      <c r="W2155" s="70" t="str">
        <f t="shared" si="741"/>
        <v/>
      </c>
      <c r="X2155" s="70" t="str">
        <f t="shared" si="742"/>
        <v/>
      </c>
      <c r="Y2155" s="70" t="str">
        <f>IF(AND($A2155&lt;&gt;"",$E2155&gt;0),isLaptopBag($C2155,$J2155)*$D2155,"")</f>
        <v/>
      </c>
      <c r="Z2155" s="70" t="str">
        <f t="shared" si="743"/>
        <v/>
      </c>
      <c r="AA2155" s="70" t="str">
        <f t="shared" si="744"/>
        <v/>
      </c>
      <c r="AB2155" s="70" t="str">
        <f t="shared" si="745"/>
        <v/>
      </c>
      <c r="AC2155" s="70" t="str">
        <f t="shared" si="746"/>
        <v/>
      </c>
      <c r="AD2155" s="70" t="str">
        <f t="shared" si="747"/>
        <v/>
      </c>
      <c r="AE2155" s="70" t="str">
        <f t="shared" si="748"/>
        <v/>
      </c>
      <c r="AF2155" s="16"/>
      <c r="AG2155" s="23"/>
      <c r="AH2155" s="22"/>
      <c r="AJ2155" s="83">
        <f t="shared" si="749"/>
        <v>0</v>
      </c>
      <c r="AO2155" s="22" t="str">
        <f t="shared" si="750"/>
        <v/>
      </c>
      <c r="AP2155" s="22" t="str">
        <f t="shared" si="751"/>
        <v/>
      </c>
    </row>
    <row r="2156" spans="1:42" x14ac:dyDescent="0.25">
      <c r="A2156" s="10"/>
      <c r="B2156" s="10"/>
      <c r="C2156" s="10"/>
      <c r="D2156" s="10"/>
      <c r="E2156" s="10"/>
      <c r="F2156" s="10"/>
      <c r="G2156" s="10"/>
      <c r="H2156" s="17"/>
      <c r="I2156" s="10"/>
      <c r="J2156" s="10"/>
      <c r="K2156" s="16" t="str">
        <f t="shared" si="730"/>
        <v/>
      </c>
      <c r="L2156" s="23" t="str">
        <f t="shared" si="731"/>
        <v/>
      </c>
      <c r="M2156" s="22" t="str">
        <f t="shared" si="732"/>
        <v/>
      </c>
      <c r="N2156" s="72"/>
      <c r="O2156" s="16" t="str">
        <f t="shared" si="733"/>
        <v/>
      </c>
      <c r="P2156" s="16" t="str">
        <f t="shared" si="734"/>
        <v/>
      </c>
      <c r="Q2156" s="16" t="str">
        <f t="shared" si="735"/>
        <v/>
      </c>
      <c r="R2156" s="23" t="str">
        <f t="shared" si="736"/>
        <v/>
      </c>
      <c r="S2156" s="23" t="str">
        <f t="shared" si="737"/>
        <v/>
      </c>
      <c r="T2156" s="23" t="str">
        <f t="shared" si="738"/>
        <v/>
      </c>
      <c r="U2156" s="23" t="str">
        <f t="shared" si="739"/>
        <v/>
      </c>
      <c r="V2156" s="23" t="str">
        <f t="shared" si="740"/>
        <v/>
      </c>
      <c r="W2156" s="70" t="str">
        <f t="shared" si="741"/>
        <v/>
      </c>
      <c r="X2156" s="70" t="str">
        <f t="shared" si="742"/>
        <v/>
      </c>
      <c r="Y2156" s="70" t="str">
        <f>IF(AND($A2156&lt;&gt;"",$E2156&gt;0),isLaptopBag($C2156,$J2156)*$D2156,"")</f>
        <v/>
      </c>
      <c r="Z2156" s="70" t="str">
        <f t="shared" si="743"/>
        <v/>
      </c>
      <c r="AA2156" s="70" t="str">
        <f t="shared" si="744"/>
        <v/>
      </c>
      <c r="AB2156" s="70" t="str">
        <f t="shared" si="745"/>
        <v/>
      </c>
      <c r="AC2156" s="70" t="str">
        <f t="shared" si="746"/>
        <v/>
      </c>
      <c r="AD2156" s="70" t="str">
        <f t="shared" si="747"/>
        <v/>
      </c>
      <c r="AE2156" s="70" t="str">
        <f t="shared" si="748"/>
        <v/>
      </c>
      <c r="AF2156" s="16"/>
      <c r="AG2156" s="23"/>
      <c r="AH2156" s="22"/>
      <c r="AJ2156" s="83">
        <f t="shared" si="749"/>
        <v>0</v>
      </c>
      <c r="AO2156" s="22" t="str">
        <f t="shared" si="750"/>
        <v/>
      </c>
      <c r="AP2156" s="22" t="str">
        <f t="shared" si="751"/>
        <v/>
      </c>
    </row>
    <row r="2157" spans="1:42" x14ac:dyDescent="0.25">
      <c r="A2157" s="10"/>
      <c r="B2157" s="10"/>
      <c r="C2157" s="10"/>
      <c r="D2157" s="10"/>
      <c r="E2157" s="10"/>
      <c r="F2157" s="10"/>
      <c r="G2157" s="10"/>
      <c r="H2157" s="17"/>
      <c r="I2157" s="10"/>
      <c r="J2157" s="10"/>
      <c r="K2157" s="16" t="str">
        <f t="shared" si="730"/>
        <v/>
      </c>
      <c r="L2157" s="23" t="str">
        <f t="shared" si="731"/>
        <v/>
      </c>
      <c r="M2157" s="22" t="str">
        <f t="shared" si="732"/>
        <v/>
      </c>
      <c r="N2157" s="72"/>
      <c r="O2157" s="16" t="str">
        <f t="shared" si="733"/>
        <v/>
      </c>
      <c r="P2157" s="16" t="str">
        <f t="shared" si="734"/>
        <v/>
      </c>
      <c r="Q2157" s="16" t="str">
        <f t="shared" si="735"/>
        <v/>
      </c>
      <c r="R2157" s="23" t="str">
        <f t="shared" si="736"/>
        <v/>
      </c>
      <c r="S2157" s="23" t="str">
        <f t="shared" si="737"/>
        <v/>
      </c>
      <c r="T2157" s="23" t="str">
        <f t="shared" si="738"/>
        <v/>
      </c>
      <c r="U2157" s="23" t="str">
        <f t="shared" si="739"/>
        <v/>
      </c>
      <c r="V2157" s="23" t="str">
        <f t="shared" si="740"/>
        <v/>
      </c>
      <c r="W2157" s="70" t="str">
        <f t="shared" si="741"/>
        <v/>
      </c>
      <c r="X2157" s="70" t="str">
        <f t="shared" si="742"/>
        <v/>
      </c>
      <c r="Y2157" s="70" t="str">
        <f>IF(AND($A2157&lt;&gt;"",$E2157&gt;0),isLaptopBag($C2157,$J2157)*$D2157,"")</f>
        <v/>
      </c>
      <c r="Z2157" s="70" t="str">
        <f t="shared" si="743"/>
        <v/>
      </c>
      <c r="AA2157" s="70" t="str">
        <f t="shared" si="744"/>
        <v/>
      </c>
      <c r="AB2157" s="70" t="str">
        <f t="shared" si="745"/>
        <v/>
      </c>
      <c r="AC2157" s="70" t="str">
        <f t="shared" si="746"/>
        <v/>
      </c>
      <c r="AD2157" s="70" t="str">
        <f t="shared" si="747"/>
        <v/>
      </c>
      <c r="AE2157" s="70" t="str">
        <f t="shared" si="748"/>
        <v/>
      </c>
      <c r="AF2157" s="16"/>
      <c r="AG2157" s="23"/>
      <c r="AH2157" s="22"/>
      <c r="AJ2157" s="83">
        <f t="shared" si="749"/>
        <v>0</v>
      </c>
      <c r="AO2157" s="22" t="str">
        <f t="shared" si="750"/>
        <v/>
      </c>
      <c r="AP2157" s="22" t="str">
        <f t="shared" si="751"/>
        <v/>
      </c>
    </row>
    <row r="2158" spans="1:42" x14ac:dyDescent="0.25">
      <c r="A2158" s="10"/>
      <c r="B2158" s="10"/>
      <c r="C2158" s="10"/>
      <c r="D2158" s="10"/>
      <c r="E2158" s="10"/>
      <c r="F2158" s="10"/>
      <c r="G2158" s="10"/>
      <c r="H2158" s="17"/>
      <c r="I2158" s="10"/>
      <c r="J2158" s="10"/>
      <c r="K2158" s="16" t="str">
        <f t="shared" si="730"/>
        <v/>
      </c>
      <c r="L2158" s="23" t="str">
        <f t="shared" si="731"/>
        <v/>
      </c>
      <c r="M2158" s="22" t="str">
        <f t="shared" si="732"/>
        <v/>
      </c>
      <c r="N2158" s="72"/>
      <c r="O2158" s="16" t="str">
        <f t="shared" si="733"/>
        <v/>
      </c>
      <c r="P2158" s="16" t="str">
        <f t="shared" si="734"/>
        <v/>
      </c>
      <c r="Q2158" s="16" t="str">
        <f t="shared" si="735"/>
        <v/>
      </c>
      <c r="R2158" s="23" t="str">
        <f t="shared" si="736"/>
        <v/>
      </c>
      <c r="S2158" s="23" t="str">
        <f t="shared" si="737"/>
        <v/>
      </c>
      <c r="T2158" s="23" t="str">
        <f t="shared" si="738"/>
        <v/>
      </c>
      <c r="U2158" s="23" t="str">
        <f t="shared" si="739"/>
        <v/>
      </c>
      <c r="V2158" s="23" t="str">
        <f t="shared" si="740"/>
        <v/>
      </c>
      <c r="W2158" s="70" t="str">
        <f t="shared" si="741"/>
        <v/>
      </c>
      <c r="X2158" s="70" t="str">
        <f t="shared" si="742"/>
        <v/>
      </c>
      <c r="Y2158" s="70" t="str">
        <f>IF(AND($A2158&lt;&gt;"",$E2158&gt;0),isLaptopBag($C2158,$J2158)*$D2158,"")</f>
        <v/>
      </c>
      <c r="Z2158" s="70" t="str">
        <f t="shared" si="743"/>
        <v/>
      </c>
      <c r="AA2158" s="70" t="str">
        <f t="shared" si="744"/>
        <v/>
      </c>
      <c r="AB2158" s="70" t="str">
        <f t="shared" si="745"/>
        <v/>
      </c>
      <c r="AC2158" s="70" t="str">
        <f t="shared" si="746"/>
        <v/>
      </c>
      <c r="AD2158" s="70" t="str">
        <f t="shared" si="747"/>
        <v/>
      </c>
      <c r="AE2158" s="70" t="str">
        <f t="shared" si="748"/>
        <v/>
      </c>
      <c r="AF2158" s="16"/>
      <c r="AG2158" s="23"/>
      <c r="AH2158" s="22"/>
      <c r="AJ2158" s="83">
        <f t="shared" si="749"/>
        <v>0</v>
      </c>
      <c r="AO2158" s="22" t="str">
        <f t="shared" si="750"/>
        <v/>
      </c>
      <c r="AP2158" s="22" t="str">
        <f t="shared" si="751"/>
        <v/>
      </c>
    </row>
    <row r="2159" spans="1:42" x14ac:dyDescent="0.25">
      <c r="A2159" s="10"/>
      <c r="B2159" s="10"/>
      <c r="C2159" s="10"/>
      <c r="D2159" s="10"/>
      <c r="E2159" s="10"/>
      <c r="F2159" s="10"/>
      <c r="G2159" s="10"/>
      <c r="H2159" s="17"/>
      <c r="I2159" s="10"/>
      <c r="J2159" s="10"/>
      <c r="K2159" s="16" t="str">
        <f t="shared" si="730"/>
        <v/>
      </c>
      <c r="L2159" s="23" t="str">
        <f t="shared" si="731"/>
        <v/>
      </c>
      <c r="M2159" s="22" t="str">
        <f t="shared" si="732"/>
        <v/>
      </c>
      <c r="N2159" s="72"/>
      <c r="O2159" s="16" t="str">
        <f t="shared" si="733"/>
        <v/>
      </c>
      <c r="P2159" s="16" t="str">
        <f t="shared" si="734"/>
        <v/>
      </c>
      <c r="Q2159" s="16" t="str">
        <f t="shared" si="735"/>
        <v/>
      </c>
      <c r="R2159" s="23" t="str">
        <f t="shared" si="736"/>
        <v/>
      </c>
      <c r="S2159" s="23" t="str">
        <f t="shared" si="737"/>
        <v/>
      </c>
      <c r="T2159" s="23" t="str">
        <f t="shared" si="738"/>
        <v/>
      </c>
      <c r="U2159" s="23" t="str">
        <f t="shared" si="739"/>
        <v/>
      </c>
      <c r="V2159" s="23" t="str">
        <f t="shared" si="740"/>
        <v/>
      </c>
      <c r="W2159" s="70" t="str">
        <f t="shared" si="741"/>
        <v/>
      </c>
      <c r="X2159" s="70" t="str">
        <f t="shared" si="742"/>
        <v/>
      </c>
      <c r="Y2159" s="70" t="str">
        <f>IF(AND($A2159&lt;&gt;"",$E2159&gt;0),isLaptopBag($C2159,$J2159)*$D2159,"")</f>
        <v/>
      </c>
      <c r="Z2159" s="70" t="str">
        <f t="shared" si="743"/>
        <v/>
      </c>
      <c r="AA2159" s="70" t="str">
        <f t="shared" si="744"/>
        <v/>
      </c>
      <c r="AB2159" s="70" t="str">
        <f t="shared" si="745"/>
        <v/>
      </c>
      <c r="AC2159" s="70" t="str">
        <f t="shared" si="746"/>
        <v/>
      </c>
      <c r="AD2159" s="70" t="str">
        <f t="shared" si="747"/>
        <v/>
      </c>
      <c r="AE2159" s="70" t="str">
        <f t="shared" si="748"/>
        <v/>
      </c>
      <c r="AF2159" s="16"/>
      <c r="AG2159" s="23"/>
      <c r="AH2159" s="22"/>
      <c r="AJ2159" s="83">
        <f t="shared" si="749"/>
        <v>0</v>
      </c>
      <c r="AO2159" s="22" t="str">
        <f t="shared" si="750"/>
        <v/>
      </c>
      <c r="AP2159" s="22" t="str">
        <f t="shared" si="751"/>
        <v/>
      </c>
    </row>
    <row r="2160" spans="1:42" x14ac:dyDescent="0.25">
      <c r="A2160" s="10"/>
      <c r="B2160" s="10"/>
      <c r="C2160" s="10"/>
      <c r="D2160" s="10"/>
      <c r="E2160" s="10"/>
      <c r="F2160" s="10"/>
      <c r="G2160" s="10"/>
      <c r="H2160" s="17"/>
      <c r="I2160" s="10"/>
      <c r="J2160" s="10"/>
      <c r="K2160" s="16" t="str">
        <f t="shared" si="730"/>
        <v/>
      </c>
      <c r="L2160" s="23" t="str">
        <f t="shared" si="731"/>
        <v/>
      </c>
      <c r="M2160" s="22" t="str">
        <f t="shared" si="732"/>
        <v/>
      </c>
      <c r="N2160" s="72"/>
      <c r="O2160" s="16" t="str">
        <f t="shared" si="733"/>
        <v/>
      </c>
      <c r="P2160" s="16" t="str">
        <f t="shared" si="734"/>
        <v/>
      </c>
      <c r="Q2160" s="16" t="str">
        <f t="shared" si="735"/>
        <v/>
      </c>
      <c r="R2160" s="23" t="str">
        <f t="shared" si="736"/>
        <v/>
      </c>
      <c r="S2160" s="23" t="str">
        <f t="shared" si="737"/>
        <v/>
      </c>
      <c r="T2160" s="23" t="str">
        <f t="shared" si="738"/>
        <v/>
      </c>
      <c r="U2160" s="23" t="str">
        <f t="shared" si="739"/>
        <v/>
      </c>
      <c r="V2160" s="23" t="str">
        <f t="shared" si="740"/>
        <v/>
      </c>
      <c r="W2160" s="70" t="str">
        <f t="shared" si="741"/>
        <v/>
      </c>
      <c r="X2160" s="70" t="str">
        <f t="shared" si="742"/>
        <v/>
      </c>
      <c r="Y2160" s="70" t="str">
        <f>IF(AND($A2160&lt;&gt;"",$E2160&gt;0),isLaptopBag($C2160,$J2160)*$D2160,"")</f>
        <v/>
      </c>
      <c r="Z2160" s="70" t="str">
        <f t="shared" si="743"/>
        <v/>
      </c>
      <c r="AA2160" s="70" t="str">
        <f t="shared" si="744"/>
        <v/>
      </c>
      <c r="AB2160" s="70" t="str">
        <f t="shared" si="745"/>
        <v/>
      </c>
      <c r="AC2160" s="70" t="str">
        <f t="shared" si="746"/>
        <v/>
      </c>
      <c r="AD2160" s="70" t="str">
        <f t="shared" si="747"/>
        <v/>
      </c>
      <c r="AE2160" s="70" t="str">
        <f t="shared" si="748"/>
        <v/>
      </c>
      <c r="AF2160" s="16"/>
      <c r="AG2160" s="23"/>
      <c r="AH2160" s="22"/>
      <c r="AJ2160" s="83">
        <f t="shared" si="749"/>
        <v>0</v>
      </c>
      <c r="AO2160" s="22" t="str">
        <f t="shared" si="750"/>
        <v/>
      </c>
      <c r="AP2160" s="22" t="str">
        <f t="shared" si="751"/>
        <v/>
      </c>
    </row>
    <row r="2161" spans="1:42" x14ac:dyDescent="0.25">
      <c r="A2161" s="10"/>
      <c r="B2161" s="10"/>
      <c r="C2161" s="10"/>
      <c r="D2161" s="10"/>
      <c r="E2161" s="10"/>
      <c r="F2161" s="10"/>
      <c r="G2161" s="10"/>
      <c r="H2161" s="17"/>
      <c r="I2161" s="10"/>
      <c r="J2161" s="10"/>
      <c r="K2161" s="16" t="str">
        <f t="shared" si="730"/>
        <v/>
      </c>
      <c r="L2161" s="23" t="str">
        <f t="shared" si="731"/>
        <v/>
      </c>
      <c r="M2161" s="22" t="str">
        <f t="shared" si="732"/>
        <v/>
      </c>
      <c r="N2161" s="72"/>
      <c r="O2161" s="16" t="str">
        <f t="shared" si="733"/>
        <v/>
      </c>
      <c r="P2161" s="16" t="str">
        <f t="shared" si="734"/>
        <v/>
      </c>
      <c r="Q2161" s="16" t="str">
        <f t="shared" si="735"/>
        <v/>
      </c>
      <c r="R2161" s="23" t="str">
        <f t="shared" si="736"/>
        <v/>
      </c>
      <c r="S2161" s="23" t="str">
        <f t="shared" si="737"/>
        <v/>
      </c>
      <c r="T2161" s="23" t="str">
        <f t="shared" si="738"/>
        <v/>
      </c>
      <c r="U2161" s="23" t="str">
        <f t="shared" si="739"/>
        <v/>
      </c>
      <c r="V2161" s="23" t="str">
        <f t="shared" si="740"/>
        <v/>
      </c>
      <c r="W2161" s="70" t="str">
        <f t="shared" si="741"/>
        <v/>
      </c>
      <c r="X2161" s="70" t="str">
        <f t="shared" si="742"/>
        <v/>
      </c>
      <c r="Y2161" s="70" t="str">
        <f>IF(AND($A2161&lt;&gt;"",$E2161&gt;0),isLaptopBag($C2161,$J2161)*$D2161,"")</f>
        <v/>
      </c>
      <c r="Z2161" s="70" t="str">
        <f t="shared" si="743"/>
        <v/>
      </c>
      <c r="AA2161" s="70" t="str">
        <f t="shared" si="744"/>
        <v/>
      </c>
      <c r="AB2161" s="70" t="str">
        <f t="shared" si="745"/>
        <v/>
      </c>
      <c r="AC2161" s="70" t="str">
        <f t="shared" si="746"/>
        <v/>
      </c>
      <c r="AD2161" s="70" t="str">
        <f t="shared" si="747"/>
        <v/>
      </c>
      <c r="AE2161" s="70" t="str">
        <f t="shared" si="748"/>
        <v/>
      </c>
      <c r="AF2161" s="16"/>
      <c r="AG2161" s="23"/>
      <c r="AH2161" s="22"/>
      <c r="AJ2161" s="83">
        <f t="shared" si="749"/>
        <v>0</v>
      </c>
      <c r="AO2161" s="22" t="str">
        <f t="shared" si="750"/>
        <v/>
      </c>
      <c r="AP2161" s="22" t="str">
        <f t="shared" si="751"/>
        <v/>
      </c>
    </row>
    <row r="2162" spans="1:42" x14ac:dyDescent="0.25">
      <c r="A2162" s="10"/>
      <c r="B2162" s="10"/>
      <c r="C2162" s="10"/>
      <c r="D2162" s="10"/>
      <c r="E2162" s="10"/>
      <c r="F2162" s="10"/>
      <c r="G2162" s="10"/>
      <c r="H2162" s="17"/>
      <c r="I2162" s="10"/>
      <c r="J2162" s="10"/>
      <c r="K2162" s="16" t="str">
        <f t="shared" si="730"/>
        <v/>
      </c>
      <c r="L2162" s="23" t="str">
        <f t="shared" si="731"/>
        <v/>
      </c>
      <c r="M2162" s="22" t="str">
        <f t="shared" si="732"/>
        <v/>
      </c>
      <c r="N2162" s="72"/>
      <c r="O2162" s="16" t="str">
        <f t="shared" si="733"/>
        <v/>
      </c>
      <c r="P2162" s="16" t="str">
        <f t="shared" si="734"/>
        <v/>
      </c>
      <c r="Q2162" s="16" t="str">
        <f t="shared" si="735"/>
        <v/>
      </c>
      <c r="R2162" s="23" t="str">
        <f t="shared" si="736"/>
        <v/>
      </c>
      <c r="S2162" s="23" t="str">
        <f t="shared" si="737"/>
        <v/>
      </c>
      <c r="T2162" s="23" t="str">
        <f t="shared" si="738"/>
        <v/>
      </c>
      <c r="U2162" s="23" t="str">
        <f t="shared" si="739"/>
        <v/>
      </c>
      <c r="V2162" s="23" t="str">
        <f t="shared" si="740"/>
        <v/>
      </c>
      <c r="W2162" s="70" t="str">
        <f t="shared" si="741"/>
        <v/>
      </c>
      <c r="X2162" s="70" t="str">
        <f t="shared" si="742"/>
        <v/>
      </c>
      <c r="Y2162" s="70" t="str">
        <f>IF(AND($A2162&lt;&gt;"",$E2162&gt;0),isLaptopBag($C2162,$J2162)*$D2162,"")</f>
        <v/>
      </c>
      <c r="Z2162" s="70" t="str">
        <f t="shared" si="743"/>
        <v/>
      </c>
      <c r="AA2162" s="70" t="str">
        <f t="shared" si="744"/>
        <v/>
      </c>
      <c r="AB2162" s="70" t="str">
        <f t="shared" si="745"/>
        <v/>
      </c>
      <c r="AC2162" s="70" t="str">
        <f t="shared" si="746"/>
        <v/>
      </c>
      <c r="AD2162" s="70" t="str">
        <f t="shared" si="747"/>
        <v/>
      </c>
      <c r="AE2162" s="70" t="str">
        <f t="shared" si="748"/>
        <v/>
      </c>
      <c r="AF2162" s="16"/>
      <c r="AG2162" s="23"/>
      <c r="AH2162" s="22"/>
      <c r="AJ2162" s="83">
        <f t="shared" si="749"/>
        <v>0</v>
      </c>
      <c r="AO2162" s="22" t="str">
        <f t="shared" si="750"/>
        <v/>
      </c>
      <c r="AP2162" s="22" t="str">
        <f t="shared" si="751"/>
        <v/>
      </c>
    </row>
    <row r="2163" spans="1:42" x14ac:dyDescent="0.25">
      <c r="A2163" s="10"/>
      <c r="B2163" s="10"/>
      <c r="C2163" s="10"/>
      <c r="D2163" s="10"/>
      <c r="E2163" s="10"/>
      <c r="F2163" s="10"/>
      <c r="G2163" s="10"/>
      <c r="H2163" s="17"/>
      <c r="I2163" s="10"/>
      <c r="J2163" s="10"/>
      <c r="K2163" s="16" t="str">
        <f t="shared" si="730"/>
        <v/>
      </c>
      <c r="L2163" s="23" t="str">
        <f t="shared" si="731"/>
        <v/>
      </c>
      <c r="M2163" s="22" t="str">
        <f t="shared" si="732"/>
        <v/>
      </c>
      <c r="N2163" s="72"/>
      <c r="O2163" s="16" t="str">
        <f t="shared" si="733"/>
        <v/>
      </c>
      <c r="P2163" s="16" t="str">
        <f t="shared" si="734"/>
        <v/>
      </c>
      <c r="Q2163" s="16" t="str">
        <f t="shared" si="735"/>
        <v/>
      </c>
      <c r="R2163" s="23" t="str">
        <f t="shared" si="736"/>
        <v/>
      </c>
      <c r="S2163" s="23" t="str">
        <f t="shared" si="737"/>
        <v/>
      </c>
      <c r="T2163" s="23" t="str">
        <f t="shared" si="738"/>
        <v/>
      </c>
      <c r="U2163" s="23" t="str">
        <f t="shared" si="739"/>
        <v/>
      </c>
      <c r="V2163" s="23" t="str">
        <f t="shared" si="740"/>
        <v/>
      </c>
      <c r="W2163" s="70" t="str">
        <f t="shared" si="741"/>
        <v/>
      </c>
      <c r="X2163" s="70" t="str">
        <f t="shared" si="742"/>
        <v/>
      </c>
      <c r="Y2163" s="70" t="str">
        <f>IF(AND($A2163&lt;&gt;"",$E2163&gt;0),isLaptopBag($C2163,$J2163)*$D2163,"")</f>
        <v/>
      </c>
      <c r="Z2163" s="70" t="str">
        <f t="shared" si="743"/>
        <v/>
      </c>
      <c r="AA2163" s="70" t="str">
        <f t="shared" si="744"/>
        <v/>
      </c>
      <c r="AB2163" s="70" t="str">
        <f t="shared" si="745"/>
        <v/>
      </c>
      <c r="AC2163" s="70" t="str">
        <f t="shared" si="746"/>
        <v/>
      </c>
      <c r="AD2163" s="70" t="str">
        <f t="shared" si="747"/>
        <v/>
      </c>
      <c r="AE2163" s="70" t="str">
        <f t="shared" si="748"/>
        <v/>
      </c>
      <c r="AF2163" s="16"/>
      <c r="AG2163" s="23"/>
      <c r="AH2163" s="22"/>
      <c r="AJ2163" s="83">
        <f t="shared" si="749"/>
        <v>0</v>
      </c>
      <c r="AO2163" s="22" t="str">
        <f t="shared" si="750"/>
        <v/>
      </c>
      <c r="AP2163" s="22" t="str">
        <f t="shared" si="751"/>
        <v/>
      </c>
    </row>
    <row r="2164" spans="1:42" x14ac:dyDescent="0.25">
      <c r="A2164" s="10"/>
      <c r="B2164" s="10"/>
      <c r="C2164" s="10"/>
      <c r="D2164" s="10"/>
      <c r="E2164" s="10"/>
      <c r="F2164" s="10"/>
      <c r="G2164" s="10"/>
      <c r="H2164" s="17"/>
      <c r="I2164" s="10"/>
      <c r="J2164" s="10"/>
      <c r="K2164" s="16" t="str">
        <f t="shared" si="730"/>
        <v/>
      </c>
      <c r="L2164" s="23" t="str">
        <f t="shared" si="731"/>
        <v/>
      </c>
      <c r="M2164" s="22" t="str">
        <f t="shared" si="732"/>
        <v/>
      </c>
      <c r="N2164" s="72"/>
      <c r="O2164" s="16" t="str">
        <f t="shared" si="733"/>
        <v/>
      </c>
      <c r="P2164" s="16" t="str">
        <f t="shared" si="734"/>
        <v/>
      </c>
      <c r="Q2164" s="16" t="str">
        <f t="shared" si="735"/>
        <v/>
      </c>
      <c r="R2164" s="23" t="str">
        <f t="shared" si="736"/>
        <v/>
      </c>
      <c r="S2164" s="23" t="str">
        <f t="shared" si="737"/>
        <v/>
      </c>
      <c r="T2164" s="23" t="str">
        <f t="shared" si="738"/>
        <v/>
      </c>
      <c r="U2164" s="23" t="str">
        <f t="shared" si="739"/>
        <v/>
      </c>
      <c r="V2164" s="23" t="str">
        <f t="shared" si="740"/>
        <v/>
      </c>
      <c r="W2164" s="70" t="str">
        <f t="shared" si="741"/>
        <v/>
      </c>
      <c r="X2164" s="70" t="str">
        <f t="shared" si="742"/>
        <v/>
      </c>
      <c r="Y2164" s="70" t="str">
        <f>IF(AND($A2164&lt;&gt;"",$E2164&gt;0),isLaptopBag($C2164,$J2164)*$D2164,"")</f>
        <v/>
      </c>
      <c r="Z2164" s="70" t="str">
        <f t="shared" si="743"/>
        <v/>
      </c>
      <c r="AA2164" s="70" t="str">
        <f t="shared" si="744"/>
        <v/>
      </c>
      <c r="AB2164" s="70" t="str">
        <f t="shared" si="745"/>
        <v/>
      </c>
      <c r="AC2164" s="70" t="str">
        <f t="shared" si="746"/>
        <v/>
      </c>
      <c r="AD2164" s="70" t="str">
        <f t="shared" si="747"/>
        <v/>
      </c>
      <c r="AE2164" s="70" t="str">
        <f t="shared" si="748"/>
        <v/>
      </c>
      <c r="AF2164" s="16"/>
      <c r="AG2164" s="23"/>
      <c r="AH2164" s="22"/>
      <c r="AJ2164" s="83">
        <f t="shared" si="749"/>
        <v>0</v>
      </c>
      <c r="AO2164" s="22" t="str">
        <f t="shared" si="750"/>
        <v/>
      </c>
      <c r="AP2164" s="22" t="str">
        <f t="shared" si="751"/>
        <v/>
      </c>
    </row>
    <row r="2165" spans="1:42" x14ac:dyDescent="0.25">
      <c r="A2165" s="10"/>
      <c r="B2165" s="10"/>
      <c r="C2165" s="10"/>
      <c r="D2165" s="10"/>
      <c r="E2165" s="10"/>
      <c r="F2165" s="10"/>
      <c r="G2165" s="10"/>
      <c r="H2165" s="17"/>
      <c r="I2165" s="10"/>
      <c r="J2165" s="10"/>
      <c r="K2165" s="16" t="str">
        <f t="shared" si="730"/>
        <v/>
      </c>
      <c r="L2165" s="23" t="str">
        <f t="shared" si="731"/>
        <v/>
      </c>
      <c r="M2165" s="22" t="str">
        <f t="shared" si="732"/>
        <v/>
      </c>
      <c r="N2165" s="72"/>
      <c r="O2165" s="16" t="str">
        <f t="shared" si="733"/>
        <v/>
      </c>
      <c r="P2165" s="16" t="str">
        <f t="shared" si="734"/>
        <v/>
      </c>
      <c r="Q2165" s="16" t="str">
        <f t="shared" si="735"/>
        <v/>
      </c>
      <c r="R2165" s="23" t="str">
        <f t="shared" si="736"/>
        <v/>
      </c>
      <c r="S2165" s="23" t="str">
        <f t="shared" si="737"/>
        <v/>
      </c>
      <c r="T2165" s="23" t="str">
        <f t="shared" si="738"/>
        <v/>
      </c>
      <c r="U2165" s="23" t="str">
        <f t="shared" si="739"/>
        <v/>
      </c>
      <c r="V2165" s="23" t="str">
        <f t="shared" si="740"/>
        <v/>
      </c>
      <c r="W2165" s="70" t="str">
        <f t="shared" si="741"/>
        <v/>
      </c>
      <c r="X2165" s="70" t="str">
        <f t="shared" si="742"/>
        <v/>
      </c>
      <c r="Y2165" s="70" t="str">
        <f>IF(AND($A2165&lt;&gt;"",$E2165&gt;0),isLaptopBag($C2165,$J2165)*$D2165,"")</f>
        <v/>
      </c>
      <c r="Z2165" s="70" t="str">
        <f t="shared" si="743"/>
        <v/>
      </c>
      <c r="AA2165" s="70" t="str">
        <f t="shared" si="744"/>
        <v/>
      </c>
      <c r="AB2165" s="70" t="str">
        <f t="shared" si="745"/>
        <v/>
      </c>
      <c r="AC2165" s="70" t="str">
        <f t="shared" si="746"/>
        <v/>
      </c>
      <c r="AD2165" s="70" t="str">
        <f t="shared" si="747"/>
        <v/>
      </c>
      <c r="AE2165" s="70" t="str">
        <f t="shared" si="748"/>
        <v/>
      </c>
      <c r="AF2165" s="16"/>
      <c r="AG2165" s="23"/>
      <c r="AH2165" s="22"/>
      <c r="AJ2165" s="83">
        <f t="shared" si="749"/>
        <v>0</v>
      </c>
      <c r="AO2165" s="22" t="str">
        <f t="shared" si="750"/>
        <v/>
      </c>
      <c r="AP2165" s="22" t="str">
        <f t="shared" si="751"/>
        <v/>
      </c>
    </row>
    <row r="2166" spans="1:42" x14ac:dyDescent="0.25">
      <c r="A2166" s="10"/>
      <c r="B2166" s="10"/>
      <c r="C2166" s="10"/>
      <c r="D2166" s="10"/>
      <c r="E2166" s="10"/>
      <c r="F2166" s="10"/>
      <c r="G2166" s="10"/>
      <c r="H2166" s="17"/>
      <c r="I2166" s="10"/>
      <c r="J2166" s="10"/>
      <c r="K2166" s="16" t="str">
        <f t="shared" si="730"/>
        <v/>
      </c>
      <c r="L2166" s="23" t="str">
        <f t="shared" si="731"/>
        <v/>
      </c>
      <c r="M2166" s="22" t="str">
        <f t="shared" si="732"/>
        <v/>
      </c>
      <c r="N2166" s="72"/>
      <c r="O2166" s="16" t="str">
        <f t="shared" si="733"/>
        <v/>
      </c>
      <c r="P2166" s="16" t="str">
        <f t="shared" si="734"/>
        <v/>
      </c>
      <c r="Q2166" s="16" t="str">
        <f t="shared" si="735"/>
        <v/>
      </c>
      <c r="R2166" s="23" t="str">
        <f t="shared" si="736"/>
        <v/>
      </c>
      <c r="S2166" s="23" t="str">
        <f t="shared" si="737"/>
        <v/>
      </c>
      <c r="T2166" s="23" t="str">
        <f t="shared" si="738"/>
        <v/>
      </c>
      <c r="U2166" s="23" t="str">
        <f t="shared" si="739"/>
        <v/>
      </c>
      <c r="V2166" s="23" t="str">
        <f t="shared" si="740"/>
        <v/>
      </c>
      <c r="W2166" s="70" t="str">
        <f t="shared" si="741"/>
        <v/>
      </c>
      <c r="X2166" s="70" t="str">
        <f t="shared" si="742"/>
        <v/>
      </c>
      <c r="Y2166" s="70" t="str">
        <f>IF(AND($A2166&lt;&gt;"",$E2166&gt;0),isLaptopBag($C2166,$J2166)*$D2166,"")</f>
        <v/>
      </c>
      <c r="Z2166" s="70" t="str">
        <f t="shared" si="743"/>
        <v/>
      </c>
      <c r="AA2166" s="70" t="str">
        <f t="shared" si="744"/>
        <v/>
      </c>
      <c r="AB2166" s="70" t="str">
        <f t="shared" si="745"/>
        <v/>
      </c>
      <c r="AC2166" s="70" t="str">
        <f t="shared" si="746"/>
        <v/>
      </c>
      <c r="AD2166" s="70" t="str">
        <f t="shared" si="747"/>
        <v/>
      </c>
      <c r="AE2166" s="70" t="str">
        <f t="shared" si="748"/>
        <v/>
      </c>
      <c r="AF2166" s="16"/>
      <c r="AG2166" s="23"/>
      <c r="AH2166" s="22"/>
      <c r="AJ2166" s="83">
        <f t="shared" si="749"/>
        <v>0</v>
      </c>
      <c r="AO2166" s="22" t="str">
        <f t="shared" si="750"/>
        <v/>
      </c>
      <c r="AP2166" s="22" t="str">
        <f t="shared" si="751"/>
        <v/>
      </c>
    </row>
    <row r="2167" spans="1:42" x14ac:dyDescent="0.25">
      <c r="A2167" s="10"/>
      <c r="B2167" s="10"/>
      <c r="C2167" s="10"/>
      <c r="D2167" s="10"/>
      <c r="E2167" s="10"/>
      <c r="F2167" s="10"/>
      <c r="G2167" s="10"/>
      <c r="H2167" s="17"/>
      <c r="I2167" s="10"/>
      <c r="J2167" s="10"/>
      <c r="K2167" s="16" t="str">
        <f t="shared" si="730"/>
        <v/>
      </c>
      <c r="L2167" s="23" t="str">
        <f t="shared" si="731"/>
        <v/>
      </c>
      <c r="M2167" s="22" t="str">
        <f t="shared" si="732"/>
        <v/>
      </c>
      <c r="N2167" s="72"/>
      <c r="O2167" s="16" t="str">
        <f t="shared" si="733"/>
        <v/>
      </c>
      <c r="P2167" s="16" t="str">
        <f t="shared" si="734"/>
        <v/>
      </c>
      <c r="Q2167" s="16" t="str">
        <f t="shared" si="735"/>
        <v/>
      </c>
      <c r="R2167" s="23" t="str">
        <f t="shared" si="736"/>
        <v/>
      </c>
      <c r="S2167" s="23" t="str">
        <f t="shared" si="737"/>
        <v/>
      </c>
      <c r="T2167" s="23" t="str">
        <f t="shared" si="738"/>
        <v/>
      </c>
      <c r="U2167" s="23" t="str">
        <f t="shared" si="739"/>
        <v/>
      </c>
      <c r="V2167" s="23" t="str">
        <f t="shared" si="740"/>
        <v/>
      </c>
      <c r="W2167" s="70" t="str">
        <f t="shared" si="741"/>
        <v/>
      </c>
      <c r="X2167" s="70" t="str">
        <f t="shared" si="742"/>
        <v/>
      </c>
      <c r="Y2167" s="70" t="str">
        <f>IF(AND($A2167&lt;&gt;"",$E2167&gt;0),isLaptopBag($C2167,$J2167)*$D2167,"")</f>
        <v/>
      </c>
      <c r="Z2167" s="70" t="str">
        <f t="shared" si="743"/>
        <v/>
      </c>
      <c r="AA2167" s="70" t="str">
        <f t="shared" si="744"/>
        <v/>
      </c>
      <c r="AB2167" s="70" t="str">
        <f t="shared" si="745"/>
        <v/>
      </c>
      <c r="AC2167" s="70" t="str">
        <f t="shared" si="746"/>
        <v/>
      </c>
      <c r="AD2167" s="70" t="str">
        <f t="shared" si="747"/>
        <v/>
      </c>
      <c r="AE2167" s="70" t="str">
        <f t="shared" si="748"/>
        <v/>
      </c>
      <c r="AF2167" s="16"/>
      <c r="AG2167" s="23"/>
      <c r="AH2167" s="22"/>
      <c r="AJ2167" s="83">
        <f t="shared" si="749"/>
        <v>0</v>
      </c>
      <c r="AO2167" s="22" t="str">
        <f t="shared" si="750"/>
        <v/>
      </c>
      <c r="AP2167" s="22" t="str">
        <f t="shared" si="751"/>
        <v/>
      </c>
    </row>
    <row r="2168" spans="1:42" x14ac:dyDescent="0.25">
      <c r="A2168" s="10"/>
      <c r="B2168" s="10"/>
      <c r="C2168" s="10"/>
      <c r="D2168" s="10"/>
      <c r="E2168" s="10"/>
      <c r="F2168" s="10"/>
      <c r="G2168" s="10"/>
      <c r="H2168" s="17"/>
      <c r="I2168" s="10"/>
      <c r="J2168" s="10"/>
      <c r="K2168" s="16" t="str">
        <f t="shared" si="730"/>
        <v/>
      </c>
      <c r="L2168" s="23" t="str">
        <f t="shared" si="731"/>
        <v/>
      </c>
      <c r="M2168" s="22" t="str">
        <f t="shared" si="732"/>
        <v/>
      </c>
      <c r="N2168" s="72"/>
      <c r="O2168" s="16" t="str">
        <f t="shared" si="733"/>
        <v/>
      </c>
      <c r="P2168" s="16" t="str">
        <f t="shared" si="734"/>
        <v/>
      </c>
      <c r="Q2168" s="16" t="str">
        <f t="shared" si="735"/>
        <v/>
      </c>
      <c r="R2168" s="23" t="str">
        <f t="shared" si="736"/>
        <v/>
      </c>
      <c r="S2168" s="23" t="str">
        <f t="shared" si="737"/>
        <v/>
      </c>
      <c r="T2168" s="23" t="str">
        <f t="shared" si="738"/>
        <v/>
      </c>
      <c r="U2168" s="23" t="str">
        <f t="shared" si="739"/>
        <v/>
      </c>
      <c r="V2168" s="23" t="str">
        <f t="shared" si="740"/>
        <v/>
      </c>
      <c r="W2168" s="70" t="str">
        <f t="shared" si="741"/>
        <v/>
      </c>
      <c r="X2168" s="70" t="str">
        <f t="shared" si="742"/>
        <v/>
      </c>
      <c r="Y2168" s="70" t="str">
        <f>IF(AND($A2168&lt;&gt;"",$E2168&gt;0),isLaptopBag($C2168,$J2168)*$D2168,"")</f>
        <v/>
      </c>
      <c r="Z2168" s="70" t="str">
        <f t="shared" si="743"/>
        <v/>
      </c>
      <c r="AA2168" s="70" t="str">
        <f t="shared" si="744"/>
        <v/>
      </c>
      <c r="AB2168" s="70" t="str">
        <f t="shared" si="745"/>
        <v/>
      </c>
      <c r="AC2168" s="70" t="str">
        <f t="shared" si="746"/>
        <v/>
      </c>
      <c r="AD2168" s="70" t="str">
        <f t="shared" si="747"/>
        <v/>
      </c>
      <c r="AE2168" s="70" t="str">
        <f t="shared" si="748"/>
        <v/>
      </c>
      <c r="AF2168" s="16"/>
      <c r="AG2168" s="23"/>
      <c r="AH2168" s="22"/>
      <c r="AJ2168" s="83">
        <f t="shared" si="749"/>
        <v>0</v>
      </c>
      <c r="AO2168" s="22" t="str">
        <f t="shared" si="750"/>
        <v/>
      </c>
      <c r="AP2168" s="22" t="str">
        <f t="shared" si="751"/>
        <v/>
      </c>
    </row>
    <row r="2169" spans="1:42" x14ac:dyDescent="0.25">
      <c r="A2169" s="10"/>
      <c r="B2169" s="10"/>
      <c r="C2169" s="10"/>
      <c r="D2169" s="10"/>
      <c r="E2169" s="10"/>
      <c r="F2169" s="10"/>
      <c r="G2169" s="10"/>
      <c r="H2169" s="17"/>
      <c r="I2169" s="10"/>
      <c r="J2169" s="10"/>
      <c r="K2169" s="16" t="str">
        <f t="shared" si="730"/>
        <v/>
      </c>
      <c r="L2169" s="23" t="str">
        <f t="shared" si="731"/>
        <v/>
      </c>
      <c r="M2169" s="22" t="str">
        <f t="shared" si="732"/>
        <v/>
      </c>
      <c r="N2169" s="72"/>
      <c r="O2169" s="16" t="str">
        <f t="shared" si="733"/>
        <v/>
      </c>
      <c r="P2169" s="16" t="str">
        <f t="shared" si="734"/>
        <v/>
      </c>
      <c r="Q2169" s="16" t="str">
        <f t="shared" si="735"/>
        <v/>
      </c>
      <c r="R2169" s="23" t="str">
        <f t="shared" si="736"/>
        <v/>
      </c>
      <c r="S2169" s="23" t="str">
        <f t="shared" si="737"/>
        <v/>
      </c>
      <c r="T2169" s="23" t="str">
        <f t="shared" si="738"/>
        <v/>
      </c>
      <c r="U2169" s="23" t="str">
        <f t="shared" si="739"/>
        <v/>
      </c>
      <c r="V2169" s="23" t="str">
        <f t="shared" si="740"/>
        <v/>
      </c>
      <c r="W2169" s="70" t="str">
        <f t="shared" si="741"/>
        <v/>
      </c>
      <c r="X2169" s="70" t="str">
        <f t="shared" si="742"/>
        <v/>
      </c>
      <c r="Y2169" s="70" t="str">
        <f>IF(AND($A2169&lt;&gt;"",$E2169&gt;0),isLaptopBag($C2169,$J2169)*$D2169,"")</f>
        <v/>
      </c>
      <c r="Z2169" s="70" t="str">
        <f t="shared" si="743"/>
        <v/>
      </c>
      <c r="AA2169" s="70" t="str">
        <f t="shared" si="744"/>
        <v/>
      </c>
      <c r="AB2169" s="70" t="str">
        <f t="shared" si="745"/>
        <v/>
      </c>
      <c r="AC2169" s="70" t="str">
        <f t="shared" si="746"/>
        <v/>
      </c>
      <c r="AD2169" s="70" t="str">
        <f t="shared" si="747"/>
        <v/>
      </c>
      <c r="AE2169" s="70" t="str">
        <f t="shared" si="748"/>
        <v/>
      </c>
      <c r="AF2169" s="16"/>
      <c r="AG2169" s="23"/>
      <c r="AH2169" s="22"/>
      <c r="AJ2169" s="83">
        <f t="shared" si="749"/>
        <v>0</v>
      </c>
      <c r="AO2169" s="22" t="str">
        <f t="shared" si="750"/>
        <v/>
      </c>
      <c r="AP2169" s="22" t="str">
        <f t="shared" si="751"/>
        <v/>
      </c>
    </row>
    <row r="2170" spans="1:42" x14ac:dyDescent="0.25">
      <c r="A2170" s="10"/>
      <c r="B2170" s="10"/>
      <c r="C2170" s="10"/>
      <c r="D2170" s="10"/>
      <c r="E2170" s="10"/>
      <c r="F2170" s="10"/>
      <c r="G2170" s="10"/>
      <c r="H2170" s="17"/>
      <c r="I2170" s="10"/>
      <c r="J2170" s="10"/>
      <c r="K2170" s="16" t="str">
        <f t="shared" si="730"/>
        <v/>
      </c>
      <c r="L2170" s="23" t="str">
        <f t="shared" si="731"/>
        <v/>
      </c>
      <c r="M2170" s="22" t="str">
        <f t="shared" si="732"/>
        <v/>
      </c>
      <c r="N2170" s="72"/>
      <c r="O2170" s="16" t="str">
        <f t="shared" si="733"/>
        <v/>
      </c>
      <c r="P2170" s="16" t="str">
        <f t="shared" si="734"/>
        <v/>
      </c>
      <c r="Q2170" s="16" t="str">
        <f t="shared" si="735"/>
        <v/>
      </c>
      <c r="R2170" s="23" t="str">
        <f t="shared" si="736"/>
        <v/>
      </c>
      <c r="S2170" s="23" t="str">
        <f t="shared" si="737"/>
        <v/>
      </c>
      <c r="T2170" s="23" t="str">
        <f t="shared" si="738"/>
        <v/>
      </c>
      <c r="U2170" s="23" t="str">
        <f t="shared" si="739"/>
        <v/>
      </c>
      <c r="V2170" s="23" t="str">
        <f t="shared" si="740"/>
        <v/>
      </c>
      <c r="W2170" s="70" t="str">
        <f t="shared" si="741"/>
        <v/>
      </c>
      <c r="X2170" s="70" t="str">
        <f t="shared" si="742"/>
        <v/>
      </c>
      <c r="Y2170" s="70" t="str">
        <f>IF(AND($A2170&lt;&gt;"",$E2170&gt;0),isLaptopBag($C2170,$J2170)*$D2170,"")</f>
        <v/>
      </c>
      <c r="Z2170" s="70" t="str">
        <f t="shared" si="743"/>
        <v/>
      </c>
      <c r="AA2170" s="70" t="str">
        <f t="shared" si="744"/>
        <v/>
      </c>
      <c r="AB2170" s="70" t="str">
        <f t="shared" si="745"/>
        <v/>
      </c>
      <c r="AC2170" s="70" t="str">
        <f t="shared" si="746"/>
        <v/>
      </c>
      <c r="AD2170" s="70" t="str">
        <f t="shared" si="747"/>
        <v/>
      </c>
      <c r="AE2170" s="70" t="str">
        <f t="shared" si="748"/>
        <v/>
      </c>
      <c r="AF2170" s="16"/>
      <c r="AG2170" s="23"/>
      <c r="AH2170" s="22"/>
      <c r="AJ2170" s="83">
        <f t="shared" si="749"/>
        <v>0</v>
      </c>
      <c r="AO2170" s="22" t="str">
        <f t="shared" si="750"/>
        <v/>
      </c>
      <c r="AP2170" s="22" t="str">
        <f t="shared" si="751"/>
        <v/>
      </c>
    </row>
    <row r="2171" spans="1:42" x14ac:dyDescent="0.25">
      <c r="A2171" s="10"/>
      <c r="B2171" s="10"/>
      <c r="C2171" s="10"/>
      <c r="D2171" s="10"/>
      <c r="E2171" s="10"/>
      <c r="F2171" s="10"/>
      <c r="G2171" s="10"/>
      <c r="H2171" s="17"/>
      <c r="I2171" s="10"/>
      <c r="J2171" s="10"/>
      <c r="K2171" s="16" t="str">
        <f t="shared" si="730"/>
        <v/>
      </c>
      <c r="L2171" s="23" t="str">
        <f t="shared" si="731"/>
        <v/>
      </c>
      <c r="M2171" s="22" t="str">
        <f t="shared" si="732"/>
        <v/>
      </c>
      <c r="N2171" s="72"/>
      <c r="O2171" s="16" t="str">
        <f t="shared" si="733"/>
        <v/>
      </c>
      <c r="P2171" s="16" t="str">
        <f t="shared" si="734"/>
        <v/>
      </c>
      <c r="Q2171" s="16" t="str">
        <f t="shared" si="735"/>
        <v/>
      </c>
      <c r="R2171" s="23" t="str">
        <f t="shared" si="736"/>
        <v/>
      </c>
      <c r="S2171" s="23" t="str">
        <f t="shared" si="737"/>
        <v/>
      </c>
      <c r="T2171" s="23" t="str">
        <f t="shared" si="738"/>
        <v/>
      </c>
      <c r="U2171" s="23" t="str">
        <f t="shared" si="739"/>
        <v/>
      </c>
      <c r="V2171" s="23" t="str">
        <f t="shared" si="740"/>
        <v/>
      </c>
      <c r="W2171" s="70" t="str">
        <f t="shared" si="741"/>
        <v/>
      </c>
      <c r="X2171" s="70" t="str">
        <f t="shared" si="742"/>
        <v/>
      </c>
      <c r="Y2171" s="70" t="str">
        <f>IF(AND($A2171&lt;&gt;"",$E2171&gt;0),isLaptopBag($C2171,$J2171)*$D2171,"")</f>
        <v/>
      </c>
      <c r="Z2171" s="70" t="str">
        <f t="shared" si="743"/>
        <v/>
      </c>
      <c r="AA2171" s="70" t="str">
        <f t="shared" si="744"/>
        <v/>
      </c>
      <c r="AB2171" s="70" t="str">
        <f t="shared" si="745"/>
        <v/>
      </c>
      <c r="AC2171" s="70" t="str">
        <f t="shared" si="746"/>
        <v/>
      </c>
      <c r="AD2171" s="70" t="str">
        <f t="shared" si="747"/>
        <v/>
      </c>
      <c r="AE2171" s="70" t="str">
        <f t="shared" si="748"/>
        <v/>
      </c>
      <c r="AF2171" s="16"/>
      <c r="AG2171" s="23"/>
      <c r="AH2171" s="22"/>
      <c r="AJ2171" s="83">
        <f t="shared" si="749"/>
        <v>0</v>
      </c>
      <c r="AO2171" s="22" t="str">
        <f t="shared" si="750"/>
        <v/>
      </c>
      <c r="AP2171" s="22" t="str">
        <f t="shared" si="751"/>
        <v/>
      </c>
    </row>
    <row r="2172" spans="1:42" x14ac:dyDescent="0.25">
      <c r="A2172" s="10"/>
      <c r="B2172" s="10"/>
      <c r="C2172" s="10"/>
      <c r="D2172" s="10"/>
      <c r="E2172" s="10"/>
      <c r="F2172" s="10"/>
      <c r="G2172" s="10"/>
      <c r="H2172" s="17"/>
      <c r="I2172" s="10"/>
      <c r="J2172" s="10"/>
      <c r="K2172" s="16" t="str">
        <f t="shared" si="730"/>
        <v/>
      </c>
      <c r="L2172" s="23" t="str">
        <f t="shared" si="731"/>
        <v/>
      </c>
      <c r="M2172" s="22" t="str">
        <f t="shared" si="732"/>
        <v/>
      </c>
      <c r="N2172" s="72"/>
      <c r="O2172" s="16" t="str">
        <f t="shared" si="733"/>
        <v/>
      </c>
      <c r="P2172" s="16" t="str">
        <f t="shared" si="734"/>
        <v/>
      </c>
      <c r="Q2172" s="16" t="str">
        <f t="shared" si="735"/>
        <v/>
      </c>
      <c r="R2172" s="23" t="str">
        <f t="shared" si="736"/>
        <v/>
      </c>
      <c r="S2172" s="23" t="str">
        <f t="shared" si="737"/>
        <v/>
      </c>
      <c r="T2172" s="23" t="str">
        <f t="shared" si="738"/>
        <v/>
      </c>
      <c r="U2172" s="23" t="str">
        <f t="shared" si="739"/>
        <v/>
      </c>
      <c r="V2172" s="23" t="str">
        <f t="shared" si="740"/>
        <v/>
      </c>
      <c r="W2172" s="70" t="str">
        <f t="shared" si="741"/>
        <v/>
      </c>
      <c r="X2172" s="70" t="str">
        <f t="shared" si="742"/>
        <v/>
      </c>
      <c r="Y2172" s="70" t="str">
        <f>IF(AND($A2172&lt;&gt;"",$E2172&gt;0),isLaptopBag($C2172,$J2172)*$D2172,"")</f>
        <v/>
      </c>
      <c r="Z2172" s="70" t="str">
        <f t="shared" si="743"/>
        <v/>
      </c>
      <c r="AA2172" s="70" t="str">
        <f t="shared" si="744"/>
        <v/>
      </c>
      <c r="AB2172" s="70" t="str">
        <f t="shared" si="745"/>
        <v/>
      </c>
      <c r="AC2172" s="70" t="str">
        <f t="shared" si="746"/>
        <v/>
      </c>
      <c r="AD2172" s="70" t="str">
        <f t="shared" si="747"/>
        <v/>
      </c>
      <c r="AE2172" s="70" t="str">
        <f t="shared" si="748"/>
        <v/>
      </c>
      <c r="AF2172" s="16"/>
      <c r="AG2172" s="23"/>
      <c r="AH2172" s="22"/>
      <c r="AJ2172" s="83">
        <f t="shared" si="749"/>
        <v>0</v>
      </c>
      <c r="AO2172" s="22" t="str">
        <f t="shared" si="750"/>
        <v/>
      </c>
      <c r="AP2172" s="22" t="str">
        <f t="shared" si="751"/>
        <v/>
      </c>
    </row>
    <row r="2173" spans="1:42" x14ac:dyDescent="0.25">
      <c r="A2173" s="10"/>
      <c r="B2173" s="10"/>
      <c r="C2173" s="10"/>
      <c r="D2173" s="10"/>
      <c r="E2173" s="10"/>
      <c r="F2173" s="10"/>
      <c r="G2173" s="10"/>
      <c r="H2173" s="17"/>
      <c r="I2173" s="10"/>
      <c r="J2173" s="10"/>
      <c r="K2173" s="16" t="str">
        <f t="shared" si="730"/>
        <v/>
      </c>
      <c r="L2173" s="23" t="str">
        <f t="shared" si="731"/>
        <v/>
      </c>
      <c r="M2173" s="22" t="str">
        <f t="shared" si="732"/>
        <v/>
      </c>
      <c r="N2173" s="72"/>
      <c r="O2173" s="16" t="str">
        <f t="shared" si="733"/>
        <v/>
      </c>
      <c r="P2173" s="16" t="str">
        <f t="shared" si="734"/>
        <v/>
      </c>
      <c r="Q2173" s="16" t="str">
        <f t="shared" si="735"/>
        <v/>
      </c>
      <c r="R2173" s="23" t="str">
        <f t="shared" si="736"/>
        <v/>
      </c>
      <c r="S2173" s="23" t="str">
        <f t="shared" si="737"/>
        <v/>
      </c>
      <c r="T2173" s="23" t="str">
        <f t="shared" si="738"/>
        <v/>
      </c>
      <c r="U2173" s="23" t="str">
        <f t="shared" si="739"/>
        <v/>
      </c>
      <c r="V2173" s="23" t="str">
        <f t="shared" si="740"/>
        <v/>
      </c>
      <c r="W2173" s="70" t="str">
        <f t="shared" si="741"/>
        <v/>
      </c>
      <c r="X2173" s="70" t="str">
        <f t="shared" si="742"/>
        <v/>
      </c>
      <c r="Y2173" s="70" t="str">
        <f>IF(AND($A2173&lt;&gt;"",$E2173&gt;0),isLaptopBag($C2173,$J2173)*$D2173,"")</f>
        <v/>
      </c>
      <c r="Z2173" s="70" t="str">
        <f t="shared" si="743"/>
        <v/>
      </c>
      <c r="AA2173" s="70" t="str">
        <f t="shared" si="744"/>
        <v/>
      </c>
      <c r="AB2173" s="70" t="str">
        <f t="shared" si="745"/>
        <v/>
      </c>
      <c r="AC2173" s="70" t="str">
        <f t="shared" si="746"/>
        <v/>
      </c>
      <c r="AD2173" s="70" t="str">
        <f t="shared" si="747"/>
        <v/>
      </c>
      <c r="AE2173" s="70" t="str">
        <f t="shared" si="748"/>
        <v/>
      </c>
      <c r="AF2173" s="16"/>
      <c r="AG2173" s="23"/>
      <c r="AH2173" s="22"/>
      <c r="AJ2173" s="83">
        <f t="shared" si="749"/>
        <v>0</v>
      </c>
      <c r="AO2173" s="22" t="str">
        <f t="shared" si="750"/>
        <v/>
      </c>
      <c r="AP2173" s="22" t="str">
        <f t="shared" si="751"/>
        <v/>
      </c>
    </row>
    <row r="2174" spans="1:42" x14ac:dyDescent="0.25">
      <c r="A2174" s="10"/>
      <c r="B2174" s="10"/>
      <c r="C2174" s="10"/>
      <c r="D2174" s="10"/>
      <c r="E2174" s="10"/>
      <c r="F2174" s="10"/>
      <c r="G2174" s="10"/>
      <c r="H2174" s="17"/>
      <c r="I2174" s="10"/>
      <c r="J2174" s="10"/>
      <c r="K2174" s="16" t="str">
        <f t="shared" si="730"/>
        <v/>
      </c>
      <c r="L2174" s="23" t="str">
        <f t="shared" si="731"/>
        <v/>
      </c>
      <c r="M2174" s="22" t="str">
        <f t="shared" si="732"/>
        <v/>
      </c>
      <c r="N2174" s="72"/>
      <c r="O2174" s="16" t="str">
        <f t="shared" si="733"/>
        <v/>
      </c>
      <c r="P2174" s="16" t="str">
        <f t="shared" si="734"/>
        <v/>
      </c>
      <c r="Q2174" s="16" t="str">
        <f t="shared" si="735"/>
        <v/>
      </c>
      <c r="R2174" s="23" t="str">
        <f t="shared" si="736"/>
        <v/>
      </c>
      <c r="S2174" s="23" t="str">
        <f t="shared" si="737"/>
        <v/>
      </c>
      <c r="T2174" s="23" t="str">
        <f t="shared" si="738"/>
        <v/>
      </c>
      <c r="U2174" s="23" t="str">
        <f t="shared" si="739"/>
        <v/>
      </c>
      <c r="V2174" s="23" t="str">
        <f t="shared" si="740"/>
        <v/>
      </c>
      <c r="W2174" s="70" t="str">
        <f t="shared" si="741"/>
        <v/>
      </c>
      <c r="X2174" s="70" t="str">
        <f t="shared" si="742"/>
        <v/>
      </c>
      <c r="Y2174" s="70" t="str">
        <f>IF(AND($A2174&lt;&gt;"",$E2174&gt;0),isLaptopBag($C2174,$J2174)*$D2174,"")</f>
        <v/>
      </c>
      <c r="Z2174" s="70" t="str">
        <f t="shared" si="743"/>
        <v/>
      </c>
      <c r="AA2174" s="70" t="str">
        <f t="shared" si="744"/>
        <v/>
      </c>
      <c r="AB2174" s="70" t="str">
        <f t="shared" si="745"/>
        <v/>
      </c>
      <c r="AC2174" s="70" t="str">
        <f t="shared" si="746"/>
        <v/>
      </c>
      <c r="AD2174" s="70" t="str">
        <f t="shared" si="747"/>
        <v/>
      </c>
      <c r="AE2174" s="70" t="str">
        <f t="shared" si="748"/>
        <v/>
      </c>
      <c r="AF2174" s="16"/>
      <c r="AG2174" s="23"/>
      <c r="AH2174" s="22"/>
      <c r="AJ2174" s="83">
        <f t="shared" si="749"/>
        <v>0</v>
      </c>
      <c r="AO2174" s="22" t="str">
        <f t="shared" si="750"/>
        <v/>
      </c>
      <c r="AP2174" s="22" t="str">
        <f t="shared" si="751"/>
        <v/>
      </c>
    </row>
    <row r="2175" spans="1:42" x14ac:dyDescent="0.25">
      <c r="A2175" s="10"/>
      <c r="B2175" s="10"/>
      <c r="C2175" s="10"/>
      <c r="D2175" s="10"/>
      <c r="E2175" s="10"/>
      <c r="F2175" s="10"/>
      <c r="G2175" s="10"/>
      <c r="H2175" s="17"/>
      <c r="I2175" s="10"/>
      <c r="J2175" s="10"/>
      <c r="K2175" s="16" t="str">
        <f t="shared" si="730"/>
        <v/>
      </c>
      <c r="L2175" s="23" t="str">
        <f t="shared" si="731"/>
        <v/>
      </c>
      <c r="M2175" s="22" t="str">
        <f t="shared" si="732"/>
        <v/>
      </c>
      <c r="N2175" s="72"/>
      <c r="O2175" s="16" t="str">
        <f t="shared" si="733"/>
        <v/>
      </c>
      <c r="P2175" s="16" t="str">
        <f t="shared" si="734"/>
        <v/>
      </c>
      <c r="Q2175" s="16" t="str">
        <f t="shared" si="735"/>
        <v/>
      </c>
      <c r="R2175" s="23" t="str">
        <f t="shared" si="736"/>
        <v/>
      </c>
      <c r="S2175" s="23" t="str">
        <f t="shared" si="737"/>
        <v/>
      </c>
      <c r="T2175" s="23" t="str">
        <f t="shared" si="738"/>
        <v/>
      </c>
      <c r="U2175" s="23" t="str">
        <f t="shared" si="739"/>
        <v/>
      </c>
      <c r="V2175" s="23" t="str">
        <f t="shared" si="740"/>
        <v/>
      </c>
      <c r="W2175" s="70" t="str">
        <f t="shared" si="741"/>
        <v/>
      </c>
      <c r="X2175" s="70" t="str">
        <f t="shared" si="742"/>
        <v/>
      </c>
      <c r="Y2175" s="70" t="str">
        <f>IF(AND($A2175&lt;&gt;"",$E2175&gt;0),isLaptopBag($C2175,$J2175)*$D2175,"")</f>
        <v/>
      </c>
      <c r="Z2175" s="70" t="str">
        <f t="shared" si="743"/>
        <v/>
      </c>
      <c r="AA2175" s="70" t="str">
        <f t="shared" si="744"/>
        <v/>
      </c>
      <c r="AB2175" s="70" t="str">
        <f t="shared" si="745"/>
        <v/>
      </c>
      <c r="AC2175" s="70" t="str">
        <f t="shared" si="746"/>
        <v/>
      </c>
      <c r="AD2175" s="70" t="str">
        <f t="shared" si="747"/>
        <v/>
      </c>
      <c r="AE2175" s="70" t="str">
        <f t="shared" si="748"/>
        <v/>
      </c>
      <c r="AF2175" s="16"/>
      <c r="AG2175" s="23"/>
      <c r="AH2175" s="22"/>
      <c r="AJ2175" s="83">
        <f t="shared" si="749"/>
        <v>0</v>
      </c>
      <c r="AO2175" s="22" t="str">
        <f t="shared" si="750"/>
        <v/>
      </c>
      <c r="AP2175" s="22" t="str">
        <f t="shared" si="751"/>
        <v/>
      </c>
    </row>
    <row r="2176" spans="1:42" x14ac:dyDescent="0.25">
      <c r="A2176" s="10"/>
      <c r="B2176" s="10"/>
      <c r="C2176" s="10"/>
      <c r="D2176" s="10"/>
      <c r="E2176" s="10"/>
      <c r="F2176" s="10"/>
      <c r="G2176" s="10"/>
      <c r="H2176" s="17"/>
      <c r="I2176" s="10"/>
      <c r="J2176" s="10"/>
      <c r="K2176" s="16" t="str">
        <f t="shared" si="730"/>
        <v/>
      </c>
      <c r="L2176" s="23" t="str">
        <f t="shared" si="731"/>
        <v/>
      </c>
      <c r="M2176" s="22" t="str">
        <f t="shared" si="732"/>
        <v/>
      </c>
      <c r="N2176" s="72"/>
      <c r="O2176" s="16" t="str">
        <f t="shared" si="733"/>
        <v/>
      </c>
      <c r="P2176" s="16" t="str">
        <f t="shared" si="734"/>
        <v/>
      </c>
      <c r="Q2176" s="16" t="str">
        <f t="shared" si="735"/>
        <v/>
      </c>
      <c r="R2176" s="23" t="str">
        <f t="shared" si="736"/>
        <v/>
      </c>
      <c r="S2176" s="23" t="str">
        <f t="shared" si="737"/>
        <v/>
      </c>
      <c r="T2176" s="23" t="str">
        <f t="shared" si="738"/>
        <v/>
      </c>
      <c r="U2176" s="23" t="str">
        <f t="shared" si="739"/>
        <v/>
      </c>
      <c r="V2176" s="23" t="str">
        <f t="shared" si="740"/>
        <v/>
      </c>
      <c r="W2176" s="70" t="str">
        <f t="shared" si="741"/>
        <v/>
      </c>
      <c r="X2176" s="70" t="str">
        <f t="shared" si="742"/>
        <v/>
      </c>
      <c r="Y2176" s="70" t="str">
        <f>IF(AND($A2176&lt;&gt;"",$E2176&gt;0),isLaptopBag($C2176,$J2176)*$D2176,"")</f>
        <v/>
      </c>
      <c r="Z2176" s="70" t="str">
        <f t="shared" si="743"/>
        <v/>
      </c>
      <c r="AA2176" s="70" t="str">
        <f t="shared" si="744"/>
        <v/>
      </c>
      <c r="AB2176" s="70" t="str">
        <f t="shared" si="745"/>
        <v/>
      </c>
      <c r="AC2176" s="70" t="str">
        <f t="shared" si="746"/>
        <v/>
      </c>
      <c r="AD2176" s="70" t="str">
        <f t="shared" si="747"/>
        <v/>
      </c>
      <c r="AE2176" s="70" t="str">
        <f t="shared" si="748"/>
        <v/>
      </c>
      <c r="AF2176" s="16"/>
      <c r="AG2176" s="23"/>
      <c r="AH2176" s="22"/>
      <c r="AJ2176" s="83">
        <f t="shared" si="749"/>
        <v>0</v>
      </c>
      <c r="AO2176" s="22" t="str">
        <f t="shared" si="750"/>
        <v/>
      </c>
      <c r="AP2176" s="22" t="str">
        <f t="shared" si="751"/>
        <v/>
      </c>
    </row>
    <row r="2177" spans="1:42" x14ac:dyDescent="0.25">
      <c r="A2177" s="10"/>
      <c r="B2177" s="10"/>
      <c r="C2177" s="10"/>
      <c r="D2177" s="10"/>
      <c r="E2177" s="10"/>
      <c r="F2177" s="10"/>
      <c r="G2177" s="10"/>
      <c r="H2177" s="17"/>
      <c r="I2177" s="10"/>
      <c r="J2177" s="10"/>
      <c r="K2177" s="16" t="str">
        <f t="shared" si="730"/>
        <v/>
      </c>
      <c r="L2177" s="23" t="str">
        <f t="shared" si="731"/>
        <v/>
      </c>
      <c r="M2177" s="22" t="str">
        <f t="shared" si="732"/>
        <v/>
      </c>
      <c r="N2177" s="72"/>
      <c r="O2177" s="16" t="str">
        <f t="shared" si="733"/>
        <v/>
      </c>
      <c r="P2177" s="16" t="str">
        <f t="shared" si="734"/>
        <v/>
      </c>
      <c r="Q2177" s="16" t="str">
        <f t="shared" si="735"/>
        <v/>
      </c>
      <c r="R2177" s="23" t="str">
        <f t="shared" si="736"/>
        <v/>
      </c>
      <c r="S2177" s="23" t="str">
        <f t="shared" si="737"/>
        <v/>
      </c>
      <c r="T2177" s="23" t="str">
        <f t="shared" si="738"/>
        <v/>
      </c>
      <c r="U2177" s="23" t="str">
        <f t="shared" si="739"/>
        <v/>
      </c>
      <c r="V2177" s="23" t="str">
        <f t="shared" si="740"/>
        <v/>
      </c>
      <c r="W2177" s="70" t="str">
        <f t="shared" si="741"/>
        <v/>
      </c>
      <c r="X2177" s="70" t="str">
        <f t="shared" si="742"/>
        <v/>
      </c>
      <c r="Y2177" s="70" t="str">
        <f>IF(AND($A2177&lt;&gt;"",$E2177&gt;0),isLaptopBag($C2177,$J2177)*$D2177,"")</f>
        <v/>
      </c>
      <c r="Z2177" s="70" t="str">
        <f t="shared" si="743"/>
        <v/>
      </c>
      <c r="AA2177" s="70" t="str">
        <f t="shared" si="744"/>
        <v/>
      </c>
      <c r="AB2177" s="70" t="str">
        <f t="shared" si="745"/>
        <v/>
      </c>
      <c r="AC2177" s="70" t="str">
        <f t="shared" si="746"/>
        <v/>
      </c>
      <c r="AD2177" s="70" t="str">
        <f t="shared" si="747"/>
        <v/>
      </c>
      <c r="AE2177" s="70" t="str">
        <f t="shared" si="748"/>
        <v/>
      </c>
      <c r="AF2177" s="16"/>
      <c r="AG2177" s="23"/>
      <c r="AH2177" s="22"/>
      <c r="AJ2177" s="83">
        <f t="shared" si="749"/>
        <v>0</v>
      </c>
      <c r="AO2177" s="22" t="str">
        <f t="shared" si="750"/>
        <v/>
      </c>
      <c r="AP2177" s="22" t="str">
        <f t="shared" si="751"/>
        <v/>
      </c>
    </row>
    <row r="2178" spans="1:42" x14ac:dyDescent="0.25">
      <c r="A2178" s="10"/>
      <c r="B2178" s="10"/>
      <c r="C2178" s="10"/>
      <c r="D2178" s="10"/>
      <c r="E2178" s="10"/>
      <c r="F2178" s="10"/>
      <c r="G2178" s="10"/>
      <c r="H2178" s="17"/>
      <c r="I2178" s="10"/>
      <c r="J2178" s="10"/>
      <c r="K2178" s="16" t="str">
        <f t="shared" si="730"/>
        <v/>
      </c>
      <c r="L2178" s="23" t="str">
        <f t="shared" si="731"/>
        <v/>
      </c>
      <c r="M2178" s="22" t="str">
        <f t="shared" si="732"/>
        <v/>
      </c>
      <c r="N2178" s="72"/>
      <c r="O2178" s="16" t="str">
        <f t="shared" si="733"/>
        <v/>
      </c>
      <c r="P2178" s="16" t="str">
        <f t="shared" si="734"/>
        <v/>
      </c>
      <c r="Q2178" s="16" t="str">
        <f t="shared" si="735"/>
        <v/>
      </c>
      <c r="R2178" s="23" t="str">
        <f t="shared" si="736"/>
        <v/>
      </c>
      <c r="S2178" s="23" t="str">
        <f t="shared" si="737"/>
        <v/>
      </c>
      <c r="T2178" s="23" t="str">
        <f t="shared" si="738"/>
        <v/>
      </c>
      <c r="U2178" s="23" t="str">
        <f t="shared" si="739"/>
        <v/>
      </c>
      <c r="V2178" s="23" t="str">
        <f t="shared" si="740"/>
        <v/>
      </c>
      <c r="W2178" s="70" t="str">
        <f t="shared" si="741"/>
        <v/>
      </c>
      <c r="X2178" s="70" t="str">
        <f t="shared" si="742"/>
        <v/>
      </c>
      <c r="Y2178" s="70" t="str">
        <f>IF(AND($A2178&lt;&gt;"",$E2178&gt;0),isLaptopBag($C2178,$J2178)*$D2178,"")</f>
        <v/>
      </c>
      <c r="Z2178" s="70" t="str">
        <f t="shared" si="743"/>
        <v/>
      </c>
      <c r="AA2178" s="70" t="str">
        <f t="shared" si="744"/>
        <v/>
      </c>
      <c r="AB2178" s="70" t="str">
        <f t="shared" si="745"/>
        <v/>
      </c>
      <c r="AC2178" s="70" t="str">
        <f t="shared" si="746"/>
        <v/>
      </c>
      <c r="AD2178" s="70" t="str">
        <f t="shared" si="747"/>
        <v/>
      </c>
      <c r="AE2178" s="70" t="str">
        <f t="shared" si="748"/>
        <v/>
      </c>
      <c r="AF2178" s="16"/>
      <c r="AG2178" s="23"/>
      <c r="AH2178" s="22"/>
      <c r="AJ2178" s="83">
        <f t="shared" si="749"/>
        <v>0</v>
      </c>
      <c r="AO2178" s="22" t="str">
        <f t="shared" si="750"/>
        <v/>
      </c>
      <c r="AP2178" s="22" t="str">
        <f t="shared" si="751"/>
        <v/>
      </c>
    </row>
    <row r="2179" spans="1:42" x14ac:dyDescent="0.25">
      <c r="A2179" s="10"/>
      <c r="B2179" s="10"/>
      <c r="C2179" s="10"/>
      <c r="D2179" s="10"/>
      <c r="E2179" s="10"/>
      <c r="F2179" s="10"/>
      <c r="G2179" s="10"/>
      <c r="H2179" s="17"/>
      <c r="I2179" s="10"/>
      <c r="J2179" s="10"/>
      <c r="K2179" s="16" t="str">
        <f t="shared" si="730"/>
        <v/>
      </c>
      <c r="L2179" s="23" t="str">
        <f t="shared" si="731"/>
        <v/>
      </c>
      <c r="M2179" s="22" t="str">
        <f t="shared" si="732"/>
        <v/>
      </c>
      <c r="N2179" s="72"/>
      <c r="O2179" s="16" t="str">
        <f t="shared" si="733"/>
        <v/>
      </c>
      <c r="P2179" s="16" t="str">
        <f t="shared" si="734"/>
        <v/>
      </c>
      <c r="Q2179" s="16" t="str">
        <f t="shared" si="735"/>
        <v/>
      </c>
      <c r="R2179" s="23" t="str">
        <f t="shared" si="736"/>
        <v/>
      </c>
      <c r="S2179" s="23" t="str">
        <f t="shared" si="737"/>
        <v/>
      </c>
      <c r="T2179" s="23" t="str">
        <f t="shared" si="738"/>
        <v/>
      </c>
      <c r="U2179" s="23" t="str">
        <f t="shared" si="739"/>
        <v/>
      </c>
      <c r="V2179" s="23" t="str">
        <f t="shared" si="740"/>
        <v/>
      </c>
      <c r="W2179" s="70" t="str">
        <f t="shared" si="741"/>
        <v/>
      </c>
      <c r="X2179" s="70" t="str">
        <f t="shared" si="742"/>
        <v/>
      </c>
      <c r="Y2179" s="70" t="str">
        <f>IF(AND($A2179&lt;&gt;"",$E2179&gt;0),isLaptopBag($C2179,$J2179)*$D2179,"")</f>
        <v/>
      </c>
      <c r="Z2179" s="70" t="str">
        <f t="shared" si="743"/>
        <v/>
      </c>
      <c r="AA2179" s="70" t="str">
        <f t="shared" si="744"/>
        <v/>
      </c>
      <c r="AB2179" s="70" t="str">
        <f t="shared" si="745"/>
        <v/>
      </c>
      <c r="AC2179" s="70" t="str">
        <f t="shared" si="746"/>
        <v/>
      </c>
      <c r="AD2179" s="70" t="str">
        <f t="shared" si="747"/>
        <v/>
      </c>
      <c r="AE2179" s="70" t="str">
        <f t="shared" si="748"/>
        <v/>
      </c>
      <c r="AF2179" s="16"/>
      <c r="AG2179" s="23"/>
      <c r="AH2179" s="22"/>
      <c r="AJ2179" s="83">
        <f t="shared" si="749"/>
        <v>0</v>
      </c>
      <c r="AO2179" s="22" t="str">
        <f t="shared" si="750"/>
        <v/>
      </c>
      <c r="AP2179" s="22" t="str">
        <f t="shared" si="751"/>
        <v/>
      </c>
    </row>
    <row r="2180" spans="1:42" x14ac:dyDescent="0.25">
      <c r="A2180" s="10"/>
      <c r="B2180" s="10"/>
      <c r="C2180" s="10"/>
      <c r="D2180" s="10"/>
      <c r="E2180" s="10"/>
      <c r="F2180" s="10"/>
      <c r="G2180" s="10"/>
      <c r="H2180" s="17"/>
      <c r="I2180" s="10"/>
      <c r="J2180" s="10"/>
      <c r="K2180" s="16" t="str">
        <f t="shared" si="730"/>
        <v/>
      </c>
      <c r="L2180" s="23" t="str">
        <f t="shared" si="731"/>
        <v/>
      </c>
      <c r="M2180" s="22" t="str">
        <f t="shared" si="732"/>
        <v/>
      </c>
      <c r="N2180" s="72"/>
      <c r="O2180" s="16" t="str">
        <f t="shared" si="733"/>
        <v/>
      </c>
      <c r="P2180" s="16" t="str">
        <f t="shared" si="734"/>
        <v/>
      </c>
      <c r="Q2180" s="16" t="str">
        <f t="shared" si="735"/>
        <v/>
      </c>
      <c r="R2180" s="23" t="str">
        <f t="shared" si="736"/>
        <v/>
      </c>
      <c r="S2180" s="23" t="str">
        <f t="shared" si="737"/>
        <v/>
      </c>
      <c r="T2180" s="23" t="str">
        <f t="shared" si="738"/>
        <v/>
      </c>
      <c r="U2180" s="23" t="str">
        <f t="shared" si="739"/>
        <v/>
      </c>
      <c r="V2180" s="23" t="str">
        <f t="shared" si="740"/>
        <v/>
      </c>
      <c r="W2180" s="70" t="str">
        <f t="shared" si="741"/>
        <v/>
      </c>
      <c r="X2180" s="70" t="str">
        <f t="shared" si="742"/>
        <v/>
      </c>
      <c r="Y2180" s="70" t="str">
        <f>IF(AND($A2180&lt;&gt;"",$E2180&gt;0),isLaptopBag($C2180,$J2180)*$D2180,"")</f>
        <v/>
      </c>
      <c r="Z2180" s="70" t="str">
        <f t="shared" si="743"/>
        <v/>
      </c>
      <c r="AA2180" s="70" t="str">
        <f t="shared" si="744"/>
        <v/>
      </c>
      <c r="AB2180" s="70" t="str">
        <f t="shared" si="745"/>
        <v/>
      </c>
      <c r="AC2180" s="70" t="str">
        <f t="shared" si="746"/>
        <v/>
      </c>
      <c r="AD2180" s="70" t="str">
        <f t="shared" si="747"/>
        <v/>
      </c>
      <c r="AE2180" s="70" t="str">
        <f t="shared" si="748"/>
        <v/>
      </c>
      <c r="AF2180" s="16"/>
      <c r="AG2180" s="23"/>
      <c r="AH2180" s="22"/>
      <c r="AJ2180" s="83">
        <f t="shared" si="749"/>
        <v>0</v>
      </c>
      <c r="AO2180" s="22" t="str">
        <f t="shared" si="750"/>
        <v/>
      </c>
      <c r="AP2180" s="22" t="str">
        <f t="shared" si="751"/>
        <v/>
      </c>
    </row>
    <row r="2181" spans="1:42" x14ac:dyDescent="0.25">
      <c r="A2181" s="10"/>
      <c r="B2181" s="10"/>
      <c r="C2181" s="10"/>
      <c r="D2181" s="10"/>
      <c r="E2181" s="10"/>
      <c r="F2181" s="10"/>
      <c r="G2181" s="10"/>
      <c r="H2181" s="17"/>
      <c r="I2181" s="10"/>
      <c r="J2181" s="10"/>
      <c r="K2181" s="16" t="str">
        <f t="shared" si="730"/>
        <v/>
      </c>
      <c r="L2181" s="23" t="str">
        <f t="shared" si="731"/>
        <v/>
      </c>
      <c r="M2181" s="22" t="str">
        <f t="shared" si="732"/>
        <v/>
      </c>
      <c r="N2181" s="72"/>
      <c r="O2181" s="16" t="str">
        <f t="shared" si="733"/>
        <v/>
      </c>
      <c r="P2181" s="16" t="str">
        <f t="shared" si="734"/>
        <v/>
      </c>
      <c r="Q2181" s="16" t="str">
        <f t="shared" si="735"/>
        <v/>
      </c>
      <c r="R2181" s="23" t="str">
        <f t="shared" si="736"/>
        <v/>
      </c>
      <c r="S2181" s="23" t="str">
        <f t="shared" si="737"/>
        <v/>
      </c>
      <c r="T2181" s="23" t="str">
        <f t="shared" si="738"/>
        <v/>
      </c>
      <c r="U2181" s="23" t="str">
        <f t="shared" si="739"/>
        <v/>
      </c>
      <c r="V2181" s="23" t="str">
        <f t="shared" si="740"/>
        <v/>
      </c>
      <c r="W2181" s="70" t="str">
        <f t="shared" si="741"/>
        <v/>
      </c>
      <c r="X2181" s="70" t="str">
        <f t="shared" si="742"/>
        <v/>
      </c>
      <c r="Y2181" s="70" t="str">
        <f>IF(AND($A2181&lt;&gt;"",$E2181&gt;0),isLaptopBag($C2181,$J2181)*$D2181,"")</f>
        <v/>
      </c>
      <c r="Z2181" s="70" t="str">
        <f t="shared" si="743"/>
        <v/>
      </c>
      <c r="AA2181" s="70" t="str">
        <f t="shared" si="744"/>
        <v/>
      </c>
      <c r="AB2181" s="70" t="str">
        <f t="shared" si="745"/>
        <v/>
      </c>
      <c r="AC2181" s="70" t="str">
        <f t="shared" si="746"/>
        <v/>
      </c>
      <c r="AD2181" s="70" t="str">
        <f t="shared" si="747"/>
        <v/>
      </c>
      <c r="AE2181" s="70" t="str">
        <f t="shared" si="748"/>
        <v/>
      </c>
      <c r="AF2181" s="16"/>
      <c r="AG2181" s="23"/>
      <c r="AH2181" s="22"/>
      <c r="AJ2181" s="83">
        <f t="shared" si="749"/>
        <v>0</v>
      </c>
      <c r="AO2181" s="22" t="str">
        <f t="shared" si="750"/>
        <v/>
      </c>
      <c r="AP2181" s="22" t="str">
        <f t="shared" si="751"/>
        <v/>
      </c>
    </row>
    <row r="2182" spans="1:42" x14ac:dyDescent="0.25">
      <c r="A2182" s="10"/>
      <c r="B2182" s="10"/>
      <c r="C2182" s="10"/>
      <c r="D2182" s="10"/>
      <c r="E2182" s="10"/>
      <c r="F2182" s="10"/>
      <c r="G2182" s="10"/>
      <c r="H2182" s="17"/>
      <c r="I2182" s="10"/>
      <c r="J2182" s="10"/>
      <c r="K2182" s="16" t="str">
        <f t="shared" si="730"/>
        <v/>
      </c>
      <c r="L2182" s="23" t="str">
        <f t="shared" si="731"/>
        <v/>
      </c>
      <c r="M2182" s="22" t="str">
        <f t="shared" si="732"/>
        <v/>
      </c>
      <c r="N2182" s="72"/>
      <c r="O2182" s="16" t="str">
        <f t="shared" si="733"/>
        <v/>
      </c>
      <c r="P2182" s="16" t="str">
        <f t="shared" si="734"/>
        <v/>
      </c>
      <c r="Q2182" s="16" t="str">
        <f t="shared" si="735"/>
        <v/>
      </c>
      <c r="R2182" s="23" t="str">
        <f t="shared" si="736"/>
        <v/>
      </c>
      <c r="S2182" s="23" t="str">
        <f t="shared" si="737"/>
        <v/>
      </c>
      <c r="T2182" s="23" t="str">
        <f t="shared" si="738"/>
        <v/>
      </c>
      <c r="U2182" s="23" t="str">
        <f t="shared" si="739"/>
        <v/>
      </c>
      <c r="V2182" s="23" t="str">
        <f t="shared" si="740"/>
        <v/>
      </c>
      <c r="W2182" s="70" t="str">
        <f t="shared" si="741"/>
        <v/>
      </c>
      <c r="X2182" s="70" t="str">
        <f t="shared" si="742"/>
        <v/>
      </c>
      <c r="Y2182" s="70" t="str">
        <f>IF(AND($A2182&lt;&gt;"",$E2182&gt;0),isLaptopBag($C2182,$J2182)*$D2182,"")</f>
        <v/>
      </c>
      <c r="Z2182" s="70" t="str">
        <f t="shared" si="743"/>
        <v/>
      </c>
      <c r="AA2182" s="70" t="str">
        <f t="shared" si="744"/>
        <v/>
      </c>
      <c r="AB2182" s="70" t="str">
        <f t="shared" si="745"/>
        <v/>
      </c>
      <c r="AC2182" s="70" t="str">
        <f t="shared" si="746"/>
        <v/>
      </c>
      <c r="AD2182" s="70" t="str">
        <f t="shared" si="747"/>
        <v/>
      </c>
      <c r="AE2182" s="70" t="str">
        <f t="shared" si="748"/>
        <v/>
      </c>
      <c r="AF2182" s="16"/>
      <c r="AG2182" s="23"/>
      <c r="AH2182" s="22"/>
      <c r="AJ2182" s="83">
        <f t="shared" si="749"/>
        <v>0</v>
      </c>
      <c r="AO2182" s="22" t="str">
        <f t="shared" si="750"/>
        <v/>
      </c>
      <c r="AP2182" s="22" t="str">
        <f t="shared" si="751"/>
        <v/>
      </c>
    </row>
    <row r="2183" spans="1:42" x14ac:dyDescent="0.25">
      <c r="A2183" s="10"/>
      <c r="B2183" s="10"/>
      <c r="C2183" s="10"/>
      <c r="D2183" s="10"/>
      <c r="E2183" s="10"/>
      <c r="F2183" s="10"/>
      <c r="G2183" s="10"/>
      <c r="H2183" s="17"/>
      <c r="I2183" s="10"/>
      <c r="J2183" s="10"/>
      <c r="K2183" s="16" t="str">
        <f t="shared" si="730"/>
        <v/>
      </c>
      <c r="L2183" s="23" t="str">
        <f t="shared" si="731"/>
        <v/>
      </c>
      <c r="M2183" s="22" t="str">
        <f t="shared" si="732"/>
        <v/>
      </c>
      <c r="N2183" s="72"/>
      <c r="O2183" s="16" t="str">
        <f t="shared" si="733"/>
        <v/>
      </c>
      <c r="P2183" s="16" t="str">
        <f t="shared" si="734"/>
        <v/>
      </c>
      <c r="Q2183" s="16" t="str">
        <f t="shared" si="735"/>
        <v/>
      </c>
      <c r="R2183" s="23" t="str">
        <f t="shared" si="736"/>
        <v/>
      </c>
      <c r="S2183" s="23" t="str">
        <f t="shared" si="737"/>
        <v/>
      </c>
      <c r="T2183" s="23" t="str">
        <f t="shared" si="738"/>
        <v/>
      </c>
      <c r="U2183" s="23" t="str">
        <f t="shared" si="739"/>
        <v/>
      </c>
      <c r="V2183" s="23" t="str">
        <f t="shared" si="740"/>
        <v/>
      </c>
      <c r="W2183" s="70" t="str">
        <f t="shared" si="741"/>
        <v/>
      </c>
      <c r="X2183" s="70" t="str">
        <f t="shared" si="742"/>
        <v/>
      </c>
      <c r="Y2183" s="70" t="str">
        <f>IF(AND($A2183&lt;&gt;"",$E2183&gt;0),isLaptopBag($C2183,$J2183)*$D2183,"")</f>
        <v/>
      </c>
      <c r="Z2183" s="70" t="str">
        <f t="shared" si="743"/>
        <v/>
      </c>
      <c r="AA2183" s="70" t="str">
        <f t="shared" si="744"/>
        <v/>
      </c>
      <c r="AB2183" s="70" t="str">
        <f t="shared" si="745"/>
        <v/>
      </c>
      <c r="AC2183" s="70" t="str">
        <f t="shared" si="746"/>
        <v/>
      </c>
      <c r="AD2183" s="70" t="str">
        <f t="shared" si="747"/>
        <v/>
      </c>
      <c r="AE2183" s="70" t="str">
        <f t="shared" si="748"/>
        <v/>
      </c>
      <c r="AF2183" s="16"/>
      <c r="AG2183" s="23"/>
      <c r="AH2183" s="22"/>
      <c r="AJ2183" s="83">
        <f t="shared" si="749"/>
        <v>0</v>
      </c>
      <c r="AO2183" s="22" t="str">
        <f t="shared" si="750"/>
        <v/>
      </c>
      <c r="AP2183" s="22" t="str">
        <f t="shared" si="751"/>
        <v/>
      </c>
    </row>
    <row r="2184" spans="1:42" x14ac:dyDescent="0.25">
      <c r="A2184" s="10"/>
      <c r="B2184" s="10"/>
      <c r="C2184" s="10"/>
      <c r="D2184" s="10"/>
      <c r="E2184" s="10"/>
      <c r="F2184" s="10"/>
      <c r="G2184" s="10"/>
      <c r="H2184" s="17"/>
      <c r="I2184" s="10"/>
      <c r="J2184" s="10"/>
      <c r="K2184" s="16" t="str">
        <f t="shared" si="730"/>
        <v/>
      </c>
      <c r="L2184" s="23" t="str">
        <f t="shared" si="731"/>
        <v/>
      </c>
      <c r="M2184" s="22" t="str">
        <f t="shared" si="732"/>
        <v/>
      </c>
      <c r="N2184" s="72"/>
      <c r="O2184" s="16" t="str">
        <f t="shared" si="733"/>
        <v/>
      </c>
      <c r="P2184" s="16" t="str">
        <f t="shared" si="734"/>
        <v/>
      </c>
      <c r="Q2184" s="16" t="str">
        <f t="shared" si="735"/>
        <v/>
      </c>
      <c r="R2184" s="23" t="str">
        <f t="shared" si="736"/>
        <v/>
      </c>
      <c r="S2184" s="23" t="str">
        <f t="shared" si="737"/>
        <v/>
      </c>
      <c r="T2184" s="23" t="str">
        <f t="shared" si="738"/>
        <v/>
      </c>
      <c r="U2184" s="23" t="str">
        <f t="shared" si="739"/>
        <v/>
      </c>
      <c r="V2184" s="23" t="str">
        <f t="shared" si="740"/>
        <v/>
      </c>
      <c r="W2184" s="70" t="str">
        <f t="shared" si="741"/>
        <v/>
      </c>
      <c r="X2184" s="70" t="str">
        <f t="shared" si="742"/>
        <v/>
      </c>
      <c r="Y2184" s="70" t="str">
        <f>IF(AND($A2184&lt;&gt;"",$E2184&gt;0),isLaptopBag($C2184,$J2184)*$D2184,"")</f>
        <v/>
      </c>
      <c r="Z2184" s="70" t="str">
        <f t="shared" si="743"/>
        <v/>
      </c>
      <c r="AA2184" s="70" t="str">
        <f t="shared" si="744"/>
        <v/>
      </c>
      <c r="AB2184" s="70" t="str">
        <f t="shared" si="745"/>
        <v/>
      </c>
      <c r="AC2184" s="70" t="str">
        <f t="shared" si="746"/>
        <v/>
      </c>
      <c r="AD2184" s="70" t="str">
        <f t="shared" si="747"/>
        <v/>
      </c>
      <c r="AE2184" s="70" t="str">
        <f t="shared" si="748"/>
        <v/>
      </c>
      <c r="AF2184" s="16"/>
      <c r="AG2184" s="23"/>
      <c r="AH2184" s="22"/>
      <c r="AJ2184" s="83">
        <f t="shared" si="749"/>
        <v>0</v>
      </c>
      <c r="AO2184" s="22" t="str">
        <f t="shared" si="750"/>
        <v/>
      </c>
      <c r="AP2184" s="22" t="str">
        <f t="shared" si="751"/>
        <v/>
      </c>
    </row>
    <row r="2185" spans="1:42" x14ac:dyDescent="0.25">
      <c r="A2185" s="10"/>
      <c r="B2185" s="10"/>
      <c r="C2185" s="10"/>
      <c r="D2185" s="10"/>
      <c r="E2185" s="10"/>
      <c r="F2185" s="10"/>
      <c r="G2185" s="10"/>
      <c r="H2185" s="17"/>
      <c r="I2185" s="10"/>
      <c r="J2185" s="10"/>
      <c r="K2185" s="16" t="str">
        <f t="shared" si="730"/>
        <v/>
      </c>
      <c r="L2185" s="23" t="str">
        <f t="shared" si="731"/>
        <v/>
      </c>
      <c r="M2185" s="22" t="str">
        <f t="shared" si="732"/>
        <v/>
      </c>
      <c r="N2185" s="72"/>
      <c r="O2185" s="16" t="str">
        <f t="shared" si="733"/>
        <v/>
      </c>
      <c r="P2185" s="16" t="str">
        <f t="shared" si="734"/>
        <v/>
      </c>
      <c r="Q2185" s="16" t="str">
        <f t="shared" si="735"/>
        <v/>
      </c>
      <c r="R2185" s="23" t="str">
        <f t="shared" si="736"/>
        <v/>
      </c>
      <c r="S2185" s="23" t="str">
        <f t="shared" si="737"/>
        <v/>
      </c>
      <c r="T2185" s="23" t="str">
        <f t="shared" si="738"/>
        <v/>
      </c>
      <c r="U2185" s="23" t="str">
        <f t="shared" si="739"/>
        <v/>
      </c>
      <c r="V2185" s="23" t="str">
        <f t="shared" si="740"/>
        <v/>
      </c>
      <c r="W2185" s="70" t="str">
        <f t="shared" si="741"/>
        <v/>
      </c>
      <c r="X2185" s="70" t="str">
        <f t="shared" si="742"/>
        <v/>
      </c>
      <c r="Y2185" s="70" t="str">
        <f>IF(AND($A2185&lt;&gt;"",$E2185&gt;0),isLaptopBag($C2185,$J2185)*$D2185,"")</f>
        <v/>
      </c>
      <c r="Z2185" s="70" t="str">
        <f t="shared" si="743"/>
        <v/>
      </c>
      <c r="AA2185" s="70" t="str">
        <f t="shared" si="744"/>
        <v/>
      </c>
      <c r="AB2185" s="70" t="str">
        <f t="shared" si="745"/>
        <v/>
      </c>
      <c r="AC2185" s="70" t="str">
        <f t="shared" si="746"/>
        <v/>
      </c>
      <c r="AD2185" s="70" t="str">
        <f t="shared" si="747"/>
        <v/>
      </c>
      <c r="AE2185" s="70" t="str">
        <f t="shared" si="748"/>
        <v/>
      </c>
      <c r="AF2185" s="16"/>
      <c r="AG2185" s="23"/>
      <c r="AH2185" s="22"/>
      <c r="AJ2185" s="83">
        <f t="shared" si="749"/>
        <v>0</v>
      </c>
      <c r="AO2185" s="22" t="str">
        <f t="shared" si="750"/>
        <v/>
      </c>
      <c r="AP2185" s="22" t="str">
        <f t="shared" si="751"/>
        <v/>
      </c>
    </row>
    <row r="2186" spans="1:42" x14ac:dyDescent="0.25">
      <c r="A2186" s="10"/>
      <c r="B2186" s="10"/>
      <c r="C2186" s="10"/>
      <c r="D2186" s="10"/>
      <c r="E2186" s="10"/>
      <c r="F2186" s="10"/>
      <c r="G2186" s="10"/>
      <c r="H2186" s="17"/>
      <c r="I2186" s="10"/>
      <c r="J2186" s="10"/>
      <c r="K2186" s="16" t="str">
        <f t="shared" si="730"/>
        <v/>
      </c>
      <c r="L2186" s="23" t="str">
        <f t="shared" si="731"/>
        <v/>
      </c>
      <c r="M2186" s="22" t="str">
        <f t="shared" si="732"/>
        <v/>
      </c>
      <c r="N2186" s="72"/>
      <c r="O2186" s="16" t="str">
        <f t="shared" si="733"/>
        <v/>
      </c>
      <c r="P2186" s="16" t="str">
        <f t="shared" si="734"/>
        <v/>
      </c>
      <c r="Q2186" s="16" t="str">
        <f t="shared" si="735"/>
        <v/>
      </c>
      <c r="R2186" s="23" t="str">
        <f t="shared" si="736"/>
        <v/>
      </c>
      <c r="S2186" s="23" t="str">
        <f t="shared" si="737"/>
        <v/>
      </c>
      <c r="T2186" s="23" t="str">
        <f t="shared" si="738"/>
        <v/>
      </c>
      <c r="U2186" s="23" t="str">
        <f t="shared" si="739"/>
        <v/>
      </c>
      <c r="V2186" s="23" t="str">
        <f t="shared" si="740"/>
        <v/>
      </c>
      <c r="W2186" s="70" t="str">
        <f t="shared" si="741"/>
        <v/>
      </c>
      <c r="X2186" s="70" t="str">
        <f t="shared" si="742"/>
        <v/>
      </c>
      <c r="Y2186" s="70" t="str">
        <f>IF(AND($A2186&lt;&gt;"",$E2186&gt;0),isLaptopBag($C2186,$J2186)*$D2186,"")</f>
        <v/>
      </c>
      <c r="Z2186" s="70" t="str">
        <f t="shared" si="743"/>
        <v/>
      </c>
      <c r="AA2186" s="70" t="str">
        <f t="shared" si="744"/>
        <v/>
      </c>
      <c r="AB2186" s="70" t="str">
        <f t="shared" si="745"/>
        <v/>
      </c>
      <c r="AC2186" s="70" t="str">
        <f t="shared" si="746"/>
        <v/>
      </c>
      <c r="AD2186" s="70" t="str">
        <f t="shared" si="747"/>
        <v/>
      </c>
      <c r="AE2186" s="70" t="str">
        <f t="shared" si="748"/>
        <v/>
      </c>
      <c r="AF2186" s="16"/>
      <c r="AG2186" s="23"/>
      <c r="AH2186" s="22"/>
      <c r="AJ2186" s="83">
        <f t="shared" si="749"/>
        <v>0</v>
      </c>
      <c r="AO2186" s="22" t="str">
        <f t="shared" si="750"/>
        <v/>
      </c>
      <c r="AP2186" s="22" t="str">
        <f t="shared" si="751"/>
        <v/>
      </c>
    </row>
    <row r="2187" spans="1:42" x14ac:dyDescent="0.25">
      <c r="A2187" s="10"/>
      <c r="B2187" s="10"/>
      <c r="C2187" s="10"/>
      <c r="D2187" s="10"/>
      <c r="E2187" s="10"/>
      <c r="F2187" s="10"/>
      <c r="G2187" s="10"/>
      <c r="H2187" s="17"/>
      <c r="I2187" s="10"/>
      <c r="J2187" s="10"/>
      <c r="K2187" s="16" t="str">
        <f t="shared" si="730"/>
        <v/>
      </c>
      <c r="L2187" s="23" t="str">
        <f t="shared" si="731"/>
        <v/>
      </c>
      <c r="M2187" s="22" t="str">
        <f t="shared" si="732"/>
        <v/>
      </c>
      <c r="N2187" s="72"/>
      <c r="O2187" s="16" t="str">
        <f t="shared" si="733"/>
        <v/>
      </c>
      <c r="P2187" s="16" t="str">
        <f t="shared" si="734"/>
        <v/>
      </c>
      <c r="Q2187" s="16" t="str">
        <f t="shared" si="735"/>
        <v/>
      </c>
      <c r="R2187" s="23" t="str">
        <f t="shared" si="736"/>
        <v/>
      </c>
      <c r="S2187" s="23" t="str">
        <f t="shared" si="737"/>
        <v/>
      </c>
      <c r="T2187" s="23" t="str">
        <f t="shared" si="738"/>
        <v/>
      </c>
      <c r="U2187" s="23" t="str">
        <f t="shared" si="739"/>
        <v/>
      </c>
      <c r="V2187" s="23" t="str">
        <f t="shared" si="740"/>
        <v/>
      </c>
      <c r="W2187" s="70" t="str">
        <f t="shared" si="741"/>
        <v/>
      </c>
      <c r="X2187" s="70" t="str">
        <f t="shared" si="742"/>
        <v/>
      </c>
      <c r="Y2187" s="70" t="str">
        <f>IF(AND($A2187&lt;&gt;"",$E2187&gt;0),isLaptopBag($C2187,$J2187)*$D2187,"")</f>
        <v/>
      </c>
      <c r="Z2187" s="70" t="str">
        <f t="shared" si="743"/>
        <v/>
      </c>
      <c r="AA2187" s="70" t="str">
        <f t="shared" si="744"/>
        <v/>
      </c>
      <c r="AB2187" s="70" t="str">
        <f t="shared" si="745"/>
        <v/>
      </c>
      <c r="AC2187" s="70" t="str">
        <f t="shared" si="746"/>
        <v/>
      </c>
      <c r="AD2187" s="70" t="str">
        <f t="shared" si="747"/>
        <v/>
      </c>
      <c r="AE2187" s="70" t="str">
        <f t="shared" si="748"/>
        <v/>
      </c>
      <c r="AF2187" s="16"/>
      <c r="AG2187" s="23"/>
      <c r="AH2187" s="22"/>
      <c r="AJ2187" s="83">
        <f t="shared" si="749"/>
        <v>0</v>
      </c>
      <c r="AO2187" s="22" t="str">
        <f t="shared" si="750"/>
        <v/>
      </c>
      <c r="AP2187" s="22" t="str">
        <f t="shared" si="751"/>
        <v/>
      </c>
    </row>
    <row r="2188" spans="1:42" x14ac:dyDescent="0.25">
      <c r="A2188" s="10"/>
      <c r="B2188" s="10"/>
      <c r="C2188" s="10"/>
      <c r="D2188" s="10"/>
      <c r="E2188" s="10"/>
      <c r="F2188" s="10"/>
      <c r="G2188" s="10"/>
      <c r="H2188" s="17"/>
      <c r="I2188" s="10"/>
      <c r="J2188" s="10"/>
      <c r="K2188" s="16" t="str">
        <f t="shared" si="730"/>
        <v/>
      </c>
      <c r="L2188" s="23" t="str">
        <f t="shared" si="731"/>
        <v/>
      </c>
      <c r="M2188" s="22" t="str">
        <f t="shared" si="732"/>
        <v/>
      </c>
      <c r="N2188" s="72"/>
      <c r="O2188" s="16" t="str">
        <f t="shared" si="733"/>
        <v/>
      </c>
      <c r="P2188" s="16" t="str">
        <f t="shared" si="734"/>
        <v/>
      </c>
      <c r="Q2188" s="16" t="str">
        <f t="shared" si="735"/>
        <v/>
      </c>
      <c r="R2188" s="23" t="str">
        <f t="shared" si="736"/>
        <v/>
      </c>
      <c r="S2188" s="23" t="str">
        <f t="shared" si="737"/>
        <v/>
      </c>
      <c r="T2188" s="23" t="str">
        <f t="shared" si="738"/>
        <v/>
      </c>
      <c r="U2188" s="23" t="str">
        <f t="shared" si="739"/>
        <v/>
      </c>
      <c r="V2188" s="23" t="str">
        <f t="shared" si="740"/>
        <v/>
      </c>
      <c r="W2188" s="70" t="str">
        <f t="shared" si="741"/>
        <v/>
      </c>
      <c r="X2188" s="70" t="str">
        <f t="shared" si="742"/>
        <v/>
      </c>
      <c r="Y2188" s="70" t="str">
        <f>IF(AND($A2188&lt;&gt;"",$E2188&gt;0),isLaptopBag($C2188,$J2188)*$D2188,"")</f>
        <v/>
      </c>
      <c r="Z2188" s="70" t="str">
        <f t="shared" si="743"/>
        <v/>
      </c>
      <c r="AA2188" s="70" t="str">
        <f t="shared" si="744"/>
        <v/>
      </c>
      <c r="AB2188" s="70" t="str">
        <f t="shared" si="745"/>
        <v/>
      </c>
      <c r="AC2188" s="70" t="str">
        <f t="shared" si="746"/>
        <v/>
      </c>
      <c r="AD2188" s="70" t="str">
        <f t="shared" si="747"/>
        <v/>
      </c>
      <c r="AE2188" s="70" t="str">
        <f t="shared" si="748"/>
        <v/>
      </c>
      <c r="AF2188" s="16"/>
      <c r="AG2188" s="23"/>
      <c r="AH2188" s="22"/>
      <c r="AJ2188" s="83">
        <f t="shared" si="749"/>
        <v>0</v>
      </c>
      <c r="AO2188" s="22" t="str">
        <f t="shared" si="750"/>
        <v/>
      </c>
      <c r="AP2188" s="22" t="str">
        <f t="shared" si="751"/>
        <v/>
      </c>
    </row>
    <row r="2189" spans="1:42" x14ac:dyDescent="0.25">
      <c r="A2189" s="10"/>
      <c r="B2189" s="10"/>
      <c r="C2189" s="10"/>
      <c r="D2189" s="10"/>
      <c r="E2189" s="10"/>
      <c r="F2189" s="10"/>
      <c r="G2189" s="10"/>
      <c r="H2189" s="17"/>
      <c r="I2189" s="10"/>
      <c r="J2189" s="10"/>
      <c r="K2189" s="16" t="str">
        <f t="shared" ref="K2189:K2252" si="752">IF($AF2189&lt;&gt;"",$AF2189,IF(AND($A2189&lt;&gt;"",$E2189&gt;0),SUM($O2189:$Q2189),""))</f>
        <v/>
      </c>
      <c r="L2189" s="23" t="str">
        <f t="shared" ref="L2189:L2252" si="753">IF($AG2189&lt;&gt;"",$AG2189,IF(AND($A2189&lt;&gt;"",$E2189&gt;0),SUM($R2189:$V2189),""))</f>
        <v/>
      </c>
      <c r="M2189" s="22" t="str">
        <f t="shared" ref="M2189:M2252" si="754">IF($AH2189&lt;&gt;"",$AH2189,IF(AND($A2189&lt;&gt;"",$E2189&gt;0),SUM($W2189:$AE2189)+$AO2189+$AP2189,""))</f>
        <v/>
      </c>
      <c r="N2189" s="72"/>
      <c r="O2189" s="16" t="str">
        <f t="shared" ref="O2189:O2252" si="755">IF(AND($A2189&lt;&gt;"",$E2189&gt;0),IF(AND($J2189="SONY",200000&lt;=$E2189,$E2189&lt;1000000),5000*$D2189,0),"")</f>
        <v/>
      </c>
      <c r="P2189" s="16" t="str">
        <f t="shared" ref="P2189:P2252" si="756">IF(AND($A2189&lt;&gt;"",$E2189&gt;0),IF(AND($J2189="SONY",1000000&lt;=$E2189,$E2189&lt;2000000),10000*$D2189,0),"")</f>
        <v/>
      </c>
      <c r="Q2189" s="16" t="str">
        <f t="shared" ref="Q2189:Q2252" si="757">IF(AND($A2189&lt;&gt;"",$E2189&gt;0),IF(AND($J2189="SONY",$E2189&gt;=2000000),20000*$D2189,0),"")</f>
        <v/>
      </c>
      <c r="R2189" s="23" t="str">
        <f t="shared" ref="R2189:R2252" si="758">IF(AND($A2189&lt;&gt;"",$E2189&gt;0),IF(AND($J2189&lt;&gt;"SONY",100000&lt;=$E2189,$E2189&lt;200000),5000*$D2189,0),"")</f>
        <v/>
      </c>
      <c r="S2189" s="23" t="str">
        <f t="shared" ref="S2189:S2252" si="759">IF(AND($A2189&lt;&gt;"",$E2189&gt;0),IF(AND($J2189&lt;&gt;"SONY",200000&lt;=$E2189,$E2189&lt;500000),10000*$D2189,0),"")</f>
        <v/>
      </c>
      <c r="T2189" s="23" t="str">
        <f t="shared" ref="T2189:T2252" si="760">IF(AND($A2189&lt;&gt;"",$E2189&gt;0),IF(AND($J2189&lt;&gt;"SONY",500000&lt;=$E2189,$E2189&lt;1000000),20000*$D2189,0),"")</f>
        <v/>
      </c>
      <c r="U2189" s="23" t="str">
        <f t="shared" ref="U2189:U2252" si="761">IF(AND($A2189&lt;&gt;"",$E2189&gt;0),IF(AND($J2189&lt;&gt;"SONY",1000000&lt;=$E2189,$E2189&lt;1500000),50000*$D2189,0),"")</f>
        <v/>
      </c>
      <c r="V2189" s="23" t="str">
        <f t="shared" ref="V2189:V2252" si="762">IF(AND($A2189&lt;&gt;"",$E2189&gt;0),IF(AND($J2189&lt;&gt;"SONY",1500000&lt;=$E2189),100000*$D2189,0),"")</f>
        <v/>
      </c>
      <c r="W2189" s="70" t="str">
        <f t="shared" ref="W2189:W2252" si="763">IF(AND($E2189&gt;0,$J2189="ELECOM",$E2189&gt;=500000,ISNUMBER(SEARCH("tai nghe",$C2189))),20000*$D2189,IF($A2189&lt;&gt;"",0,""))</f>
        <v/>
      </c>
      <c r="X2189" s="70" t="str">
        <f t="shared" ref="X2189:X2252" si="764">IF(AND($E2189&gt;0,$J2189="ELECOM",ISNUMBER(SEARCH("loa",$C2189))),20000*$D2189,IF($A2189&lt;&gt;"",0,""))</f>
        <v/>
      </c>
      <c r="Y2189" s="70" t="str">
        <f>IF(AND($A2189&lt;&gt;"",$E2189&gt;0),isLaptopBag($C2189,$J2189)*$D2189,"")</f>
        <v/>
      </c>
      <c r="Z2189" s="70" t="str">
        <f t="shared" ref="Z2189:Z2252" si="765">IF(AND($E2189&gt;0,$J2189="ELECOM",ISNUMBER(SEARCH("ốp",$C2189))),20000*$D2189,IF($A2189&lt;&gt;"",0,""))</f>
        <v/>
      </c>
      <c r="AA2189" s="70" t="str">
        <f t="shared" ref="AA2189:AA2252" si="766">IF(AND($E2189&gt;0,$J2189="ELECOM",ISNUMBER(SEARCH("Bút",$C2189))),20000*$D2189,IF($A2189&lt;&gt;"",0,""))</f>
        <v/>
      </c>
      <c r="AB2189" s="70" t="str">
        <f t="shared" ref="AB2189:AB2252" si="767">IF(AND($E2189&gt;0,$J2189="ELECOM",ISNUMBER(SEARCH("Chuột bi",$C2189))),20000*$D2189,IF($A2189&lt;&gt;"",0,""))</f>
        <v/>
      </c>
      <c r="AC2189" s="70" t="str">
        <f t="shared" ref="AC2189:AC2252" si="768">IF(AND($E2189&gt;0,$J2189="ELECOM",ISNUMBER(SEARCH("Chuột trackball",$C2189))),20000*$D2189,IF($A2189&lt;&gt;"",0,""))</f>
        <v/>
      </c>
      <c r="AD2189" s="70" t="str">
        <f t="shared" ref="AD2189:AD2252" si="769">IF(AND($E2189&gt;0,$J2189="ELECOM",ISNUMBER(SEARCH("Sạc không dây",$C2189))),20000*$D2189,IF($A2189&lt;&gt;"",0,""))</f>
        <v/>
      </c>
      <c r="AE2189" s="70" t="str">
        <f t="shared" ref="AE2189:AE2252" si="770">IF(AND($E2189&gt;0,$J2189="ELECOM",ISNUMBER(SEARCH("Sạc kd",$C2189))),20000*$D2189,IF($A2189&lt;&gt;"",0,""))</f>
        <v/>
      </c>
      <c r="AF2189" s="16"/>
      <c r="AG2189" s="23"/>
      <c r="AH2189" s="22"/>
      <c r="AJ2189" s="83">
        <f t="shared" ref="AJ2189:AJ2252" si="771">DAY(H2189)</f>
        <v>0</v>
      </c>
      <c r="AO2189" s="22" t="str">
        <f t="shared" ref="AO2189:AO2252" si="772">IF(AND($E2189&gt;0,ISNUMBER(SEARCH("Sạc dự phòng Energizer",$C2189))),10000*$D2189,IF($A2189&lt;&gt;"",0,""))</f>
        <v/>
      </c>
      <c r="AP2189" s="22" t="str">
        <f t="shared" ref="AP2189:AP2252" si="773">IF(AND($E2189&gt;0,ISNUMBER(SEARCH("SDP Energizer",$C2189))),10000*$D2189,IF($A2189&lt;&gt;"",0,""))</f>
        <v/>
      </c>
    </row>
    <row r="2190" spans="1:42" x14ac:dyDescent="0.25">
      <c r="A2190" s="10"/>
      <c r="B2190" s="10"/>
      <c r="C2190" s="10"/>
      <c r="D2190" s="10"/>
      <c r="E2190" s="10"/>
      <c r="F2190" s="10"/>
      <c r="G2190" s="10"/>
      <c r="H2190" s="17"/>
      <c r="I2190" s="10"/>
      <c r="J2190" s="10"/>
      <c r="K2190" s="16" t="str">
        <f t="shared" si="752"/>
        <v/>
      </c>
      <c r="L2190" s="23" t="str">
        <f t="shared" si="753"/>
        <v/>
      </c>
      <c r="M2190" s="22" t="str">
        <f t="shared" si="754"/>
        <v/>
      </c>
      <c r="N2190" s="72"/>
      <c r="O2190" s="16" t="str">
        <f t="shared" si="755"/>
        <v/>
      </c>
      <c r="P2190" s="16" t="str">
        <f t="shared" si="756"/>
        <v/>
      </c>
      <c r="Q2190" s="16" t="str">
        <f t="shared" si="757"/>
        <v/>
      </c>
      <c r="R2190" s="23" t="str">
        <f t="shared" si="758"/>
        <v/>
      </c>
      <c r="S2190" s="23" t="str">
        <f t="shared" si="759"/>
        <v/>
      </c>
      <c r="T2190" s="23" t="str">
        <f t="shared" si="760"/>
        <v/>
      </c>
      <c r="U2190" s="23" t="str">
        <f t="shared" si="761"/>
        <v/>
      </c>
      <c r="V2190" s="23" t="str">
        <f t="shared" si="762"/>
        <v/>
      </c>
      <c r="W2190" s="70" t="str">
        <f t="shared" si="763"/>
        <v/>
      </c>
      <c r="X2190" s="70" t="str">
        <f t="shared" si="764"/>
        <v/>
      </c>
      <c r="Y2190" s="70" t="str">
        <f>IF(AND($A2190&lt;&gt;"",$E2190&gt;0),isLaptopBag($C2190,$J2190)*$D2190,"")</f>
        <v/>
      </c>
      <c r="Z2190" s="70" t="str">
        <f t="shared" si="765"/>
        <v/>
      </c>
      <c r="AA2190" s="70" t="str">
        <f t="shared" si="766"/>
        <v/>
      </c>
      <c r="AB2190" s="70" t="str">
        <f t="shared" si="767"/>
        <v/>
      </c>
      <c r="AC2190" s="70" t="str">
        <f t="shared" si="768"/>
        <v/>
      </c>
      <c r="AD2190" s="70" t="str">
        <f t="shared" si="769"/>
        <v/>
      </c>
      <c r="AE2190" s="70" t="str">
        <f t="shared" si="770"/>
        <v/>
      </c>
      <c r="AF2190" s="16"/>
      <c r="AG2190" s="23"/>
      <c r="AH2190" s="22"/>
      <c r="AJ2190" s="83">
        <f t="shared" si="771"/>
        <v>0</v>
      </c>
      <c r="AO2190" s="22" t="str">
        <f t="shared" si="772"/>
        <v/>
      </c>
      <c r="AP2190" s="22" t="str">
        <f t="shared" si="773"/>
        <v/>
      </c>
    </row>
    <row r="2191" spans="1:42" x14ac:dyDescent="0.25">
      <c r="A2191" s="10"/>
      <c r="B2191" s="10"/>
      <c r="C2191" s="10"/>
      <c r="D2191" s="10"/>
      <c r="E2191" s="10"/>
      <c r="F2191" s="10"/>
      <c r="G2191" s="10"/>
      <c r="H2191" s="17"/>
      <c r="I2191" s="10"/>
      <c r="J2191" s="10"/>
      <c r="K2191" s="16" t="str">
        <f t="shared" si="752"/>
        <v/>
      </c>
      <c r="L2191" s="23" t="str">
        <f t="shared" si="753"/>
        <v/>
      </c>
      <c r="M2191" s="22" t="str">
        <f t="shared" si="754"/>
        <v/>
      </c>
      <c r="N2191" s="72"/>
      <c r="O2191" s="16" t="str">
        <f t="shared" si="755"/>
        <v/>
      </c>
      <c r="P2191" s="16" t="str">
        <f t="shared" si="756"/>
        <v/>
      </c>
      <c r="Q2191" s="16" t="str">
        <f t="shared" si="757"/>
        <v/>
      </c>
      <c r="R2191" s="23" t="str">
        <f t="shared" si="758"/>
        <v/>
      </c>
      <c r="S2191" s="23" t="str">
        <f t="shared" si="759"/>
        <v/>
      </c>
      <c r="T2191" s="23" t="str">
        <f t="shared" si="760"/>
        <v/>
      </c>
      <c r="U2191" s="23" t="str">
        <f t="shared" si="761"/>
        <v/>
      </c>
      <c r="V2191" s="23" t="str">
        <f t="shared" si="762"/>
        <v/>
      </c>
      <c r="W2191" s="70" t="str">
        <f t="shared" si="763"/>
        <v/>
      </c>
      <c r="X2191" s="70" t="str">
        <f t="shared" si="764"/>
        <v/>
      </c>
      <c r="Y2191" s="70" t="str">
        <f>IF(AND($A2191&lt;&gt;"",$E2191&gt;0),isLaptopBag($C2191,$J2191)*$D2191,"")</f>
        <v/>
      </c>
      <c r="Z2191" s="70" t="str">
        <f t="shared" si="765"/>
        <v/>
      </c>
      <c r="AA2191" s="70" t="str">
        <f t="shared" si="766"/>
        <v/>
      </c>
      <c r="AB2191" s="70" t="str">
        <f t="shared" si="767"/>
        <v/>
      </c>
      <c r="AC2191" s="70" t="str">
        <f t="shared" si="768"/>
        <v/>
      </c>
      <c r="AD2191" s="70" t="str">
        <f t="shared" si="769"/>
        <v/>
      </c>
      <c r="AE2191" s="70" t="str">
        <f t="shared" si="770"/>
        <v/>
      </c>
      <c r="AF2191" s="16"/>
      <c r="AG2191" s="23"/>
      <c r="AH2191" s="22"/>
      <c r="AJ2191" s="83">
        <f t="shared" si="771"/>
        <v>0</v>
      </c>
      <c r="AO2191" s="22" t="str">
        <f t="shared" si="772"/>
        <v/>
      </c>
      <c r="AP2191" s="22" t="str">
        <f t="shared" si="773"/>
        <v/>
      </c>
    </row>
    <row r="2192" spans="1:42" x14ac:dyDescent="0.25">
      <c r="A2192" s="10"/>
      <c r="B2192" s="10"/>
      <c r="C2192" s="10"/>
      <c r="D2192" s="10"/>
      <c r="E2192" s="10"/>
      <c r="F2192" s="10"/>
      <c r="G2192" s="10"/>
      <c r="H2192" s="17"/>
      <c r="I2192" s="10"/>
      <c r="J2192" s="10"/>
      <c r="K2192" s="16" t="str">
        <f t="shared" si="752"/>
        <v/>
      </c>
      <c r="L2192" s="23" t="str">
        <f t="shared" si="753"/>
        <v/>
      </c>
      <c r="M2192" s="22" t="str">
        <f t="shared" si="754"/>
        <v/>
      </c>
      <c r="N2192" s="72"/>
      <c r="O2192" s="16" t="str">
        <f t="shared" si="755"/>
        <v/>
      </c>
      <c r="P2192" s="16" t="str">
        <f t="shared" si="756"/>
        <v/>
      </c>
      <c r="Q2192" s="16" t="str">
        <f t="shared" si="757"/>
        <v/>
      </c>
      <c r="R2192" s="23" t="str">
        <f t="shared" si="758"/>
        <v/>
      </c>
      <c r="S2192" s="23" t="str">
        <f t="shared" si="759"/>
        <v/>
      </c>
      <c r="T2192" s="23" t="str">
        <f t="shared" si="760"/>
        <v/>
      </c>
      <c r="U2192" s="23" t="str">
        <f t="shared" si="761"/>
        <v/>
      </c>
      <c r="V2192" s="23" t="str">
        <f t="shared" si="762"/>
        <v/>
      </c>
      <c r="W2192" s="70" t="str">
        <f t="shared" si="763"/>
        <v/>
      </c>
      <c r="X2192" s="70" t="str">
        <f t="shared" si="764"/>
        <v/>
      </c>
      <c r="Y2192" s="70" t="str">
        <f>IF(AND($A2192&lt;&gt;"",$E2192&gt;0),isLaptopBag($C2192,$J2192)*$D2192,"")</f>
        <v/>
      </c>
      <c r="Z2192" s="70" t="str">
        <f t="shared" si="765"/>
        <v/>
      </c>
      <c r="AA2192" s="70" t="str">
        <f t="shared" si="766"/>
        <v/>
      </c>
      <c r="AB2192" s="70" t="str">
        <f t="shared" si="767"/>
        <v/>
      </c>
      <c r="AC2192" s="70" t="str">
        <f t="shared" si="768"/>
        <v/>
      </c>
      <c r="AD2192" s="70" t="str">
        <f t="shared" si="769"/>
        <v/>
      </c>
      <c r="AE2192" s="70" t="str">
        <f t="shared" si="770"/>
        <v/>
      </c>
      <c r="AF2192" s="16"/>
      <c r="AG2192" s="23"/>
      <c r="AH2192" s="22"/>
      <c r="AJ2192" s="83">
        <f t="shared" si="771"/>
        <v>0</v>
      </c>
      <c r="AO2192" s="22" t="str">
        <f t="shared" si="772"/>
        <v/>
      </c>
      <c r="AP2192" s="22" t="str">
        <f t="shared" si="773"/>
        <v/>
      </c>
    </row>
    <row r="2193" spans="1:42" x14ac:dyDescent="0.25">
      <c r="A2193" s="10"/>
      <c r="B2193" s="10"/>
      <c r="C2193" s="10"/>
      <c r="D2193" s="10"/>
      <c r="E2193" s="10"/>
      <c r="F2193" s="10"/>
      <c r="G2193" s="10"/>
      <c r="H2193" s="17"/>
      <c r="I2193" s="10"/>
      <c r="J2193" s="10"/>
      <c r="K2193" s="16" t="str">
        <f t="shared" si="752"/>
        <v/>
      </c>
      <c r="L2193" s="23" t="str">
        <f t="shared" si="753"/>
        <v/>
      </c>
      <c r="M2193" s="22" t="str">
        <f t="shared" si="754"/>
        <v/>
      </c>
      <c r="N2193" s="72"/>
      <c r="O2193" s="16" t="str">
        <f t="shared" si="755"/>
        <v/>
      </c>
      <c r="P2193" s="16" t="str">
        <f t="shared" si="756"/>
        <v/>
      </c>
      <c r="Q2193" s="16" t="str">
        <f t="shared" si="757"/>
        <v/>
      </c>
      <c r="R2193" s="23" t="str">
        <f t="shared" si="758"/>
        <v/>
      </c>
      <c r="S2193" s="23" t="str">
        <f t="shared" si="759"/>
        <v/>
      </c>
      <c r="T2193" s="23" t="str">
        <f t="shared" si="760"/>
        <v/>
      </c>
      <c r="U2193" s="23" t="str">
        <f t="shared" si="761"/>
        <v/>
      </c>
      <c r="V2193" s="23" t="str">
        <f t="shared" si="762"/>
        <v/>
      </c>
      <c r="W2193" s="70" t="str">
        <f t="shared" si="763"/>
        <v/>
      </c>
      <c r="X2193" s="70" t="str">
        <f t="shared" si="764"/>
        <v/>
      </c>
      <c r="Y2193" s="70" t="str">
        <f>IF(AND($A2193&lt;&gt;"",$E2193&gt;0),isLaptopBag($C2193,$J2193)*$D2193,"")</f>
        <v/>
      </c>
      <c r="Z2193" s="70" t="str">
        <f t="shared" si="765"/>
        <v/>
      </c>
      <c r="AA2193" s="70" t="str">
        <f t="shared" si="766"/>
        <v/>
      </c>
      <c r="AB2193" s="70" t="str">
        <f t="shared" si="767"/>
        <v/>
      </c>
      <c r="AC2193" s="70" t="str">
        <f t="shared" si="768"/>
        <v/>
      </c>
      <c r="AD2193" s="70" t="str">
        <f t="shared" si="769"/>
        <v/>
      </c>
      <c r="AE2193" s="70" t="str">
        <f t="shared" si="770"/>
        <v/>
      </c>
      <c r="AF2193" s="16"/>
      <c r="AG2193" s="23"/>
      <c r="AH2193" s="22"/>
      <c r="AJ2193" s="83">
        <f t="shared" si="771"/>
        <v>0</v>
      </c>
      <c r="AO2193" s="22" t="str">
        <f t="shared" si="772"/>
        <v/>
      </c>
      <c r="AP2193" s="22" t="str">
        <f t="shared" si="773"/>
        <v/>
      </c>
    </row>
    <row r="2194" spans="1:42" x14ac:dyDescent="0.25">
      <c r="A2194" s="10"/>
      <c r="B2194" s="10"/>
      <c r="C2194" s="10"/>
      <c r="D2194" s="10"/>
      <c r="E2194" s="10"/>
      <c r="F2194" s="10"/>
      <c r="G2194" s="10"/>
      <c r="H2194" s="17"/>
      <c r="I2194" s="10"/>
      <c r="J2194" s="10"/>
      <c r="K2194" s="16" t="str">
        <f t="shared" si="752"/>
        <v/>
      </c>
      <c r="L2194" s="23" t="str">
        <f t="shared" si="753"/>
        <v/>
      </c>
      <c r="M2194" s="22" t="str">
        <f t="shared" si="754"/>
        <v/>
      </c>
      <c r="N2194" s="72"/>
      <c r="O2194" s="16" t="str">
        <f t="shared" si="755"/>
        <v/>
      </c>
      <c r="P2194" s="16" t="str">
        <f t="shared" si="756"/>
        <v/>
      </c>
      <c r="Q2194" s="16" t="str">
        <f t="shared" si="757"/>
        <v/>
      </c>
      <c r="R2194" s="23" t="str">
        <f t="shared" si="758"/>
        <v/>
      </c>
      <c r="S2194" s="23" t="str">
        <f t="shared" si="759"/>
        <v/>
      </c>
      <c r="T2194" s="23" t="str">
        <f t="shared" si="760"/>
        <v/>
      </c>
      <c r="U2194" s="23" t="str">
        <f t="shared" si="761"/>
        <v/>
      </c>
      <c r="V2194" s="23" t="str">
        <f t="shared" si="762"/>
        <v/>
      </c>
      <c r="W2194" s="70" t="str">
        <f t="shared" si="763"/>
        <v/>
      </c>
      <c r="X2194" s="70" t="str">
        <f t="shared" si="764"/>
        <v/>
      </c>
      <c r="Y2194" s="70" t="str">
        <f>IF(AND($A2194&lt;&gt;"",$E2194&gt;0),isLaptopBag($C2194,$J2194)*$D2194,"")</f>
        <v/>
      </c>
      <c r="Z2194" s="70" t="str">
        <f t="shared" si="765"/>
        <v/>
      </c>
      <c r="AA2194" s="70" t="str">
        <f t="shared" si="766"/>
        <v/>
      </c>
      <c r="AB2194" s="70" t="str">
        <f t="shared" si="767"/>
        <v/>
      </c>
      <c r="AC2194" s="70" t="str">
        <f t="shared" si="768"/>
        <v/>
      </c>
      <c r="AD2194" s="70" t="str">
        <f t="shared" si="769"/>
        <v/>
      </c>
      <c r="AE2194" s="70" t="str">
        <f t="shared" si="770"/>
        <v/>
      </c>
      <c r="AF2194" s="16"/>
      <c r="AG2194" s="23"/>
      <c r="AH2194" s="22"/>
      <c r="AJ2194" s="83">
        <f t="shared" si="771"/>
        <v>0</v>
      </c>
      <c r="AO2194" s="22" t="str">
        <f t="shared" si="772"/>
        <v/>
      </c>
      <c r="AP2194" s="22" t="str">
        <f t="shared" si="773"/>
        <v/>
      </c>
    </row>
    <row r="2195" spans="1:42" x14ac:dyDescent="0.25">
      <c r="A2195" s="10"/>
      <c r="B2195" s="10"/>
      <c r="C2195" s="10"/>
      <c r="D2195" s="10"/>
      <c r="E2195" s="10"/>
      <c r="F2195" s="10"/>
      <c r="G2195" s="10"/>
      <c r="H2195" s="17"/>
      <c r="I2195" s="10"/>
      <c r="J2195" s="10"/>
      <c r="K2195" s="16" t="str">
        <f t="shared" si="752"/>
        <v/>
      </c>
      <c r="L2195" s="23" t="str">
        <f t="shared" si="753"/>
        <v/>
      </c>
      <c r="M2195" s="22" t="str">
        <f t="shared" si="754"/>
        <v/>
      </c>
      <c r="N2195" s="72"/>
      <c r="O2195" s="16" t="str">
        <f t="shared" si="755"/>
        <v/>
      </c>
      <c r="P2195" s="16" t="str">
        <f t="shared" si="756"/>
        <v/>
      </c>
      <c r="Q2195" s="16" t="str">
        <f t="shared" si="757"/>
        <v/>
      </c>
      <c r="R2195" s="23" t="str">
        <f t="shared" si="758"/>
        <v/>
      </c>
      <c r="S2195" s="23" t="str">
        <f t="shared" si="759"/>
        <v/>
      </c>
      <c r="T2195" s="23" t="str">
        <f t="shared" si="760"/>
        <v/>
      </c>
      <c r="U2195" s="23" t="str">
        <f t="shared" si="761"/>
        <v/>
      </c>
      <c r="V2195" s="23" t="str">
        <f t="shared" si="762"/>
        <v/>
      </c>
      <c r="W2195" s="70" t="str">
        <f t="shared" si="763"/>
        <v/>
      </c>
      <c r="X2195" s="70" t="str">
        <f t="shared" si="764"/>
        <v/>
      </c>
      <c r="Y2195" s="70" t="str">
        <f>IF(AND($A2195&lt;&gt;"",$E2195&gt;0),isLaptopBag($C2195,$J2195)*$D2195,"")</f>
        <v/>
      </c>
      <c r="Z2195" s="70" t="str">
        <f t="shared" si="765"/>
        <v/>
      </c>
      <c r="AA2195" s="70" t="str">
        <f t="shared" si="766"/>
        <v/>
      </c>
      <c r="AB2195" s="70" t="str">
        <f t="shared" si="767"/>
        <v/>
      </c>
      <c r="AC2195" s="70" t="str">
        <f t="shared" si="768"/>
        <v/>
      </c>
      <c r="AD2195" s="70" t="str">
        <f t="shared" si="769"/>
        <v/>
      </c>
      <c r="AE2195" s="70" t="str">
        <f t="shared" si="770"/>
        <v/>
      </c>
      <c r="AF2195" s="16"/>
      <c r="AG2195" s="23"/>
      <c r="AH2195" s="22"/>
      <c r="AJ2195" s="83">
        <f t="shared" si="771"/>
        <v>0</v>
      </c>
      <c r="AO2195" s="22" t="str">
        <f t="shared" si="772"/>
        <v/>
      </c>
      <c r="AP2195" s="22" t="str">
        <f t="shared" si="773"/>
        <v/>
      </c>
    </row>
    <row r="2196" spans="1:42" x14ac:dyDescent="0.25">
      <c r="A2196" s="10"/>
      <c r="B2196" s="10"/>
      <c r="C2196" s="10"/>
      <c r="D2196" s="10"/>
      <c r="E2196" s="10"/>
      <c r="F2196" s="10"/>
      <c r="G2196" s="10"/>
      <c r="H2196" s="17"/>
      <c r="I2196" s="10"/>
      <c r="J2196" s="10"/>
      <c r="K2196" s="16" t="str">
        <f t="shared" si="752"/>
        <v/>
      </c>
      <c r="L2196" s="23" t="str">
        <f t="shared" si="753"/>
        <v/>
      </c>
      <c r="M2196" s="22" t="str">
        <f t="shared" si="754"/>
        <v/>
      </c>
      <c r="N2196" s="72"/>
      <c r="O2196" s="16" t="str">
        <f t="shared" si="755"/>
        <v/>
      </c>
      <c r="P2196" s="16" t="str">
        <f t="shared" si="756"/>
        <v/>
      </c>
      <c r="Q2196" s="16" t="str">
        <f t="shared" si="757"/>
        <v/>
      </c>
      <c r="R2196" s="23" t="str">
        <f t="shared" si="758"/>
        <v/>
      </c>
      <c r="S2196" s="23" t="str">
        <f t="shared" si="759"/>
        <v/>
      </c>
      <c r="T2196" s="23" t="str">
        <f t="shared" si="760"/>
        <v/>
      </c>
      <c r="U2196" s="23" t="str">
        <f t="shared" si="761"/>
        <v/>
      </c>
      <c r="V2196" s="23" t="str">
        <f t="shared" si="762"/>
        <v/>
      </c>
      <c r="W2196" s="70" t="str">
        <f t="shared" si="763"/>
        <v/>
      </c>
      <c r="X2196" s="70" t="str">
        <f t="shared" si="764"/>
        <v/>
      </c>
      <c r="Y2196" s="70" t="str">
        <f>IF(AND($A2196&lt;&gt;"",$E2196&gt;0),isLaptopBag($C2196,$J2196)*$D2196,"")</f>
        <v/>
      </c>
      <c r="Z2196" s="70" t="str">
        <f t="shared" si="765"/>
        <v/>
      </c>
      <c r="AA2196" s="70" t="str">
        <f t="shared" si="766"/>
        <v/>
      </c>
      <c r="AB2196" s="70" t="str">
        <f t="shared" si="767"/>
        <v/>
      </c>
      <c r="AC2196" s="70" t="str">
        <f t="shared" si="768"/>
        <v/>
      </c>
      <c r="AD2196" s="70" t="str">
        <f t="shared" si="769"/>
        <v/>
      </c>
      <c r="AE2196" s="70" t="str">
        <f t="shared" si="770"/>
        <v/>
      </c>
      <c r="AF2196" s="16"/>
      <c r="AG2196" s="23"/>
      <c r="AH2196" s="22"/>
      <c r="AJ2196" s="83">
        <f t="shared" si="771"/>
        <v>0</v>
      </c>
      <c r="AO2196" s="22" t="str">
        <f t="shared" si="772"/>
        <v/>
      </c>
      <c r="AP2196" s="22" t="str">
        <f t="shared" si="773"/>
        <v/>
      </c>
    </row>
    <row r="2197" spans="1:42" x14ac:dyDescent="0.25">
      <c r="A2197" s="10"/>
      <c r="B2197" s="10"/>
      <c r="C2197" s="10"/>
      <c r="D2197" s="10"/>
      <c r="E2197" s="10"/>
      <c r="F2197" s="10"/>
      <c r="G2197" s="10"/>
      <c r="H2197" s="17"/>
      <c r="I2197" s="10"/>
      <c r="J2197" s="10"/>
      <c r="K2197" s="16" t="str">
        <f t="shared" si="752"/>
        <v/>
      </c>
      <c r="L2197" s="23" t="str">
        <f t="shared" si="753"/>
        <v/>
      </c>
      <c r="M2197" s="22" t="str">
        <f t="shared" si="754"/>
        <v/>
      </c>
      <c r="N2197" s="72"/>
      <c r="O2197" s="16" t="str">
        <f t="shared" si="755"/>
        <v/>
      </c>
      <c r="P2197" s="16" t="str">
        <f t="shared" si="756"/>
        <v/>
      </c>
      <c r="Q2197" s="16" t="str">
        <f t="shared" si="757"/>
        <v/>
      </c>
      <c r="R2197" s="23" t="str">
        <f t="shared" si="758"/>
        <v/>
      </c>
      <c r="S2197" s="23" t="str">
        <f t="shared" si="759"/>
        <v/>
      </c>
      <c r="T2197" s="23" t="str">
        <f t="shared" si="760"/>
        <v/>
      </c>
      <c r="U2197" s="23" t="str">
        <f t="shared" si="761"/>
        <v/>
      </c>
      <c r="V2197" s="23" t="str">
        <f t="shared" si="762"/>
        <v/>
      </c>
      <c r="W2197" s="70" t="str">
        <f t="shared" si="763"/>
        <v/>
      </c>
      <c r="X2197" s="70" t="str">
        <f t="shared" si="764"/>
        <v/>
      </c>
      <c r="Y2197" s="70" t="str">
        <f>IF(AND($A2197&lt;&gt;"",$E2197&gt;0),isLaptopBag($C2197,$J2197)*$D2197,"")</f>
        <v/>
      </c>
      <c r="Z2197" s="70" t="str">
        <f t="shared" si="765"/>
        <v/>
      </c>
      <c r="AA2197" s="70" t="str">
        <f t="shared" si="766"/>
        <v/>
      </c>
      <c r="AB2197" s="70" t="str">
        <f t="shared" si="767"/>
        <v/>
      </c>
      <c r="AC2197" s="70" t="str">
        <f t="shared" si="768"/>
        <v/>
      </c>
      <c r="AD2197" s="70" t="str">
        <f t="shared" si="769"/>
        <v/>
      </c>
      <c r="AE2197" s="70" t="str">
        <f t="shared" si="770"/>
        <v/>
      </c>
      <c r="AF2197" s="16"/>
      <c r="AG2197" s="23"/>
      <c r="AH2197" s="22"/>
      <c r="AJ2197" s="83">
        <f t="shared" si="771"/>
        <v>0</v>
      </c>
      <c r="AO2197" s="22" t="str">
        <f t="shared" si="772"/>
        <v/>
      </c>
      <c r="AP2197" s="22" t="str">
        <f t="shared" si="773"/>
        <v/>
      </c>
    </row>
    <row r="2198" spans="1:42" x14ac:dyDescent="0.25">
      <c r="A2198" s="10"/>
      <c r="B2198" s="10"/>
      <c r="C2198" s="10"/>
      <c r="D2198" s="10"/>
      <c r="E2198" s="10"/>
      <c r="F2198" s="10"/>
      <c r="G2198" s="10"/>
      <c r="H2198" s="17"/>
      <c r="I2198" s="10"/>
      <c r="J2198" s="10"/>
      <c r="K2198" s="16" t="str">
        <f t="shared" si="752"/>
        <v/>
      </c>
      <c r="L2198" s="23" t="str">
        <f t="shared" si="753"/>
        <v/>
      </c>
      <c r="M2198" s="22" t="str">
        <f t="shared" si="754"/>
        <v/>
      </c>
      <c r="N2198" s="72"/>
      <c r="O2198" s="16" t="str">
        <f t="shared" si="755"/>
        <v/>
      </c>
      <c r="P2198" s="16" t="str">
        <f t="shared" si="756"/>
        <v/>
      </c>
      <c r="Q2198" s="16" t="str">
        <f t="shared" si="757"/>
        <v/>
      </c>
      <c r="R2198" s="23" t="str">
        <f t="shared" si="758"/>
        <v/>
      </c>
      <c r="S2198" s="23" t="str">
        <f t="shared" si="759"/>
        <v/>
      </c>
      <c r="T2198" s="23" t="str">
        <f t="shared" si="760"/>
        <v/>
      </c>
      <c r="U2198" s="23" t="str">
        <f t="shared" si="761"/>
        <v/>
      </c>
      <c r="V2198" s="23" t="str">
        <f t="shared" si="762"/>
        <v/>
      </c>
      <c r="W2198" s="70" t="str">
        <f t="shared" si="763"/>
        <v/>
      </c>
      <c r="X2198" s="70" t="str">
        <f t="shared" si="764"/>
        <v/>
      </c>
      <c r="Y2198" s="70" t="str">
        <f>IF(AND($A2198&lt;&gt;"",$E2198&gt;0),isLaptopBag($C2198,$J2198)*$D2198,"")</f>
        <v/>
      </c>
      <c r="Z2198" s="70" t="str">
        <f t="shared" si="765"/>
        <v/>
      </c>
      <c r="AA2198" s="70" t="str">
        <f t="shared" si="766"/>
        <v/>
      </c>
      <c r="AB2198" s="70" t="str">
        <f t="shared" si="767"/>
        <v/>
      </c>
      <c r="AC2198" s="70" t="str">
        <f t="shared" si="768"/>
        <v/>
      </c>
      <c r="AD2198" s="70" t="str">
        <f t="shared" si="769"/>
        <v/>
      </c>
      <c r="AE2198" s="70" t="str">
        <f t="shared" si="770"/>
        <v/>
      </c>
      <c r="AF2198" s="16"/>
      <c r="AG2198" s="23"/>
      <c r="AH2198" s="22"/>
      <c r="AJ2198" s="83">
        <f t="shared" si="771"/>
        <v>0</v>
      </c>
      <c r="AO2198" s="22" t="str">
        <f t="shared" si="772"/>
        <v/>
      </c>
      <c r="AP2198" s="22" t="str">
        <f t="shared" si="773"/>
        <v/>
      </c>
    </row>
    <row r="2199" spans="1:42" x14ac:dyDescent="0.25">
      <c r="A2199" s="10"/>
      <c r="B2199" s="10"/>
      <c r="C2199" s="10"/>
      <c r="D2199" s="10"/>
      <c r="E2199" s="10"/>
      <c r="F2199" s="10"/>
      <c r="G2199" s="10"/>
      <c r="H2199" s="17"/>
      <c r="I2199" s="10"/>
      <c r="J2199" s="10"/>
      <c r="K2199" s="16" t="str">
        <f t="shared" si="752"/>
        <v/>
      </c>
      <c r="L2199" s="23" t="str">
        <f t="shared" si="753"/>
        <v/>
      </c>
      <c r="M2199" s="22" t="str">
        <f t="shared" si="754"/>
        <v/>
      </c>
      <c r="N2199" s="72"/>
      <c r="O2199" s="16" t="str">
        <f t="shared" si="755"/>
        <v/>
      </c>
      <c r="P2199" s="16" t="str">
        <f t="shared" si="756"/>
        <v/>
      </c>
      <c r="Q2199" s="16" t="str">
        <f t="shared" si="757"/>
        <v/>
      </c>
      <c r="R2199" s="23" t="str">
        <f t="shared" si="758"/>
        <v/>
      </c>
      <c r="S2199" s="23" t="str">
        <f t="shared" si="759"/>
        <v/>
      </c>
      <c r="T2199" s="23" t="str">
        <f t="shared" si="760"/>
        <v/>
      </c>
      <c r="U2199" s="23" t="str">
        <f t="shared" si="761"/>
        <v/>
      </c>
      <c r="V2199" s="23" t="str">
        <f t="shared" si="762"/>
        <v/>
      </c>
      <c r="W2199" s="70" t="str">
        <f t="shared" si="763"/>
        <v/>
      </c>
      <c r="X2199" s="70" t="str">
        <f t="shared" si="764"/>
        <v/>
      </c>
      <c r="Y2199" s="70" t="str">
        <f>IF(AND($A2199&lt;&gt;"",$E2199&gt;0),isLaptopBag($C2199,$J2199)*$D2199,"")</f>
        <v/>
      </c>
      <c r="Z2199" s="70" t="str">
        <f t="shared" si="765"/>
        <v/>
      </c>
      <c r="AA2199" s="70" t="str">
        <f t="shared" si="766"/>
        <v/>
      </c>
      <c r="AB2199" s="70" t="str">
        <f t="shared" si="767"/>
        <v/>
      </c>
      <c r="AC2199" s="70" t="str">
        <f t="shared" si="768"/>
        <v/>
      </c>
      <c r="AD2199" s="70" t="str">
        <f t="shared" si="769"/>
        <v/>
      </c>
      <c r="AE2199" s="70" t="str">
        <f t="shared" si="770"/>
        <v/>
      </c>
      <c r="AF2199" s="16"/>
      <c r="AG2199" s="23"/>
      <c r="AH2199" s="22"/>
      <c r="AJ2199" s="83">
        <f t="shared" si="771"/>
        <v>0</v>
      </c>
      <c r="AO2199" s="22" t="str">
        <f t="shared" si="772"/>
        <v/>
      </c>
      <c r="AP2199" s="22" t="str">
        <f t="shared" si="773"/>
        <v/>
      </c>
    </row>
    <row r="2200" spans="1:42" x14ac:dyDescent="0.25">
      <c r="A2200" s="10"/>
      <c r="B2200" s="10"/>
      <c r="C2200" s="10"/>
      <c r="D2200" s="10"/>
      <c r="E2200" s="10"/>
      <c r="F2200" s="10"/>
      <c r="G2200" s="10"/>
      <c r="H2200" s="17"/>
      <c r="I2200" s="10"/>
      <c r="J2200" s="10"/>
      <c r="K2200" s="16" t="str">
        <f t="shared" si="752"/>
        <v/>
      </c>
      <c r="L2200" s="23" t="str">
        <f t="shared" si="753"/>
        <v/>
      </c>
      <c r="M2200" s="22" t="str">
        <f t="shared" si="754"/>
        <v/>
      </c>
      <c r="N2200" s="72"/>
      <c r="O2200" s="16" t="str">
        <f t="shared" si="755"/>
        <v/>
      </c>
      <c r="P2200" s="16" t="str">
        <f t="shared" si="756"/>
        <v/>
      </c>
      <c r="Q2200" s="16" t="str">
        <f t="shared" si="757"/>
        <v/>
      </c>
      <c r="R2200" s="23" t="str">
        <f t="shared" si="758"/>
        <v/>
      </c>
      <c r="S2200" s="23" t="str">
        <f t="shared" si="759"/>
        <v/>
      </c>
      <c r="T2200" s="23" t="str">
        <f t="shared" si="760"/>
        <v/>
      </c>
      <c r="U2200" s="23" t="str">
        <f t="shared" si="761"/>
        <v/>
      </c>
      <c r="V2200" s="23" t="str">
        <f t="shared" si="762"/>
        <v/>
      </c>
      <c r="W2200" s="70" t="str">
        <f t="shared" si="763"/>
        <v/>
      </c>
      <c r="X2200" s="70" t="str">
        <f t="shared" si="764"/>
        <v/>
      </c>
      <c r="Y2200" s="70" t="str">
        <f>IF(AND($A2200&lt;&gt;"",$E2200&gt;0),isLaptopBag($C2200,$J2200)*$D2200,"")</f>
        <v/>
      </c>
      <c r="Z2200" s="70" t="str">
        <f t="shared" si="765"/>
        <v/>
      </c>
      <c r="AA2200" s="70" t="str">
        <f t="shared" si="766"/>
        <v/>
      </c>
      <c r="AB2200" s="70" t="str">
        <f t="shared" si="767"/>
        <v/>
      </c>
      <c r="AC2200" s="70" t="str">
        <f t="shared" si="768"/>
        <v/>
      </c>
      <c r="AD2200" s="70" t="str">
        <f t="shared" si="769"/>
        <v/>
      </c>
      <c r="AE2200" s="70" t="str">
        <f t="shared" si="770"/>
        <v/>
      </c>
      <c r="AF2200" s="16"/>
      <c r="AG2200" s="23"/>
      <c r="AH2200" s="22"/>
      <c r="AJ2200" s="83">
        <f t="shared" si="771"/>
        <v>0</v>
      </c>
      <c r="AO2200" s="22" t="str">
        <f t="shared" si="772"/>
        <v/>
      </c>
      <c r="AP2200" s="22" t="str">
        <f t="shared" si="773"/>
        <v/>
      </c>
    </row>
    <row r="2201" spans="1:42" x14ac:dyDescent="0.25">
      <c r="A2201" s="10"/>
      <c r="B2201" s="10"/>
      <c r="C2201" s="10"/>
      <c r="D2201" s="10"/>
      <c r="E2201" s="10"/>
      <c r="F2201" s="10"/>
      <c r="G2201" s="10"/>
      <c r="H2201" s="17"/>
      <c r="I2201" s="10"/>
      <c r="J2201" s="10"/>
      <c r="K2201" s="16" t="str">
        <f t="shared" si="752"/>
        <v/>
      </c>
      <c r="L2201" s="23" t="str">
        <f t="shared" si="753"/>
        <v/>
      </c>
      <c r="M2201" s="22" t="str">
        <f t="shared" si="754"/>
        <v/>
      </c>
      <c r="N2201" s="72"/>
      <c r="O2201" s="16" t="str">
        <f t="shared" si="755"/>
        <v/>
      </c>
      <c r="P2201" s="16" t="str">
        <f t="shared" si="756"/>
        <v/>
      </c>
      <c r="Q2201" s="16" t="str">
        <f t="shared" si="757"/>
        <v/>
      </c>
      <c r="R2201" s="23" t="str">
        <f t="shared" si="758"/>
        <v/>
      </c>
      <c r="S2201" s="23" t="str">
        <f t="shared" si="759"/>
        <v/>
      </c>
      <c r="T2201" s="23" t="str">
        <f t="shared" si="760"/>
        <v/>
      </c>
      <c r="U2201" s="23" t="str">
        <f t="shared" si="761"/>
        <v/>
      </c>
      <c r="V2201" s="23" t="str">
        <f t="shared" si="762"/>
        <v/>
      </c>
      <c r="W2201" s="70" t="str">
        <f t="shared" si="763"/>
        <v/>
      </c>
      <c r="X2201" s="70" t="str">
        <f t="shared" si="764"/>
        <v/>
      </c>
      <c r="Y2201" s="70" t="str">
        <f>IF(AND($A2201&lt;&gt;"",$E2201&gt;0),isLaptopBag($C2201,$J2201)*$D2201,"")</f>
        <v/>
      </c>
      <c r="Z2201" s="70" t="str">
        <f t="shared" si="765"/>
        <v/>
      </c>
      <c r="AA2201" s="70" t="str">
        <f t="shared" si="766"/>
        <v/>
      </c>
      <c r="AB2201" s="70" t="str">
        <f t="shared" si="767"/>
        <v/>
      </c>
      <c r="AC2201" s="70" t="str">
        <f t="shared" si="768"/>
        <v/>
      </c>
      <c r="AD2201" s="70" t="str">
        <f t="shared" si="769"/>
        <v/>
      </c>
      <c r="AE2201" s="70" t="str">
        <f t="shared" si="770"/>
        <v/>
      </c>
      <c r="AF2201" s="16"/>
      <c r="AG2201" s="23"/>
      <c r="AH2201" s="22"/>
      <c r="AJ2201" s="83">
        <f t="shared" si="771"/>
        <v>0</v>
      </c>
      <c r="AO2201" s="22" t="str">
        <f t="shared" si="772"/>
        <v/>
      </c>
      <c r="AP2201" s="22" t="str">
        <f t="shared" si="773"/>
        <v/>
      </c>
    </row>
    <row r="2202" spans="1:42" x14ac:dyDescent="0.25">
      <c r="A2202" s="10"/>
      <c r="B2202" s="10"/>
      <c r="C2202" s="10"/>
      <c r="D2202" s="10"/>
      <c r="E2202" s="10"/>
      <c r="F2202" s="10"/>
      <c r="G2202" s="10"/>
      <c r="H2202" s="17"/>
      <c r="I2202" s="10"/>
      <c r="J2202" s="10"/>
      <c r="K2202" s="16" t="str">
        <f t="shared" si="752"/>
        <v/>
      </c>
      <c r="L2202" s="23" t="str">
        <f t="shared" si="753"/>
        <v/>
      </c>
      <c r="M2202" s="22" t="str">
        <f t="shared" si="754"/>
        <v/>
      </c>
      <c r="N2202" s="72"/>
      <c r="O2202" s="16" t="str">
        <f t="shared" si="755"/>
        <v/>
      </c>
      <c r="P2202" s="16" t="str">
        <f t="shared" si="756"/>
        <v/>
      </c>
      <c r="Q2202" s="16" t="str">
        <f t="shared" si="757"/>
        <v/>
      </c>
      <c r="R2202" s="23" t="str">
        <f t="shared" si="758"/>
        <v/>
      </c>
      <c r="S2202" s="23" t="str">
        <f t="shared" si="759"/>
        <v/>
      </c>
      <c r="T2202" s="23" t="str">
        <f t="shared" si="760"/>
        <v/>
      </c>
      <c r="U2202" s="23" t="str">
        <f t="shared" si="761"/>
        <v/>
      </c>
      <c r="V2202" s="23" t="str">
        <f t="shared" si="762"/>
        <v/>
      </c>
      <c r="W2202" s="70" t="str">
        <f t="shared" si="763"/>
        <v/>
      </c>
      <c r="X2202" s="70" t="str">
        <f t="shared" si="764"/>
        <v/>
      </c>
      <c r="Y2202" s="70" t="str">
        <f>IF(AND($A2202&lt;&gt;"",$E2202&gt;0),isLaptopBag($C2202,$J2202)*$D2202,"")</f>
        <v/>
      </c>
      <c r="Z2202" s="70" t="str">
        <f t="shared" si="765"/>
        <v/>
      </c>
      <c r="AA2202" s="70" t="str">
        <f t="shared" si="766"/>
        <v/>
      </c>
      <c r="AB2202" s="70" t="str">
        <f t="shared" si="767"/>
        <v/>
      </c>
      <c r="AC2202" s="70" t="str">
        <f t="shared" si="768"/>
        <v/>
      </c>
      <c r="AD2202" s="70" t="str">
        <f t="shared" si="769"/>
        <v/>
      </c>
      <c r="AE2202" s="70" t="str">
        <f t="shared" si="770"/>
        <v/>
      </c>
      <c r="AF2202" s="16"/>
      <c r="AG2202" s="23"/>
      <c r="AH2202" s="22"/>
      <c r="AJ2202" s="83">
        <f t="shared" si="771"/>
        <v>0</v>
      </c>
      <c r="AO2202" s="22" t="str">
        <f t="shared" si="772"/>
        <v/>
      </c>
      <c r="AP2202" s="22" t="str">
        <f t="shared" si="773"/>
        <v/>
      </c>
    </row>
    <row r="2203" spans="1:42" x14ac:dyDescent="0.25">
      <c r="A2203" s="10"/>
      <c r="B2203" s="10"/>
      <c r="C2203" s="10"/>
      <c r="D2203" s="10"/>
      <c r="E2203" s="10"/>
      <c r="F2203" s="10"/>
      <c r="G2203" s="10"/>
      <c r="H2203" s="17"/>
      <c r="I2203" s="10"/>
      <c r="J2203" s="10"/>
      <c r="K2203" s="16" t="str">
        <f t="shared" si="752"/>
        <v/>
      </c>
      <c r="L2203" s="23" t="str">
        <f t="shared" si="753"/>
        <v/>
      </c>
      <c r="M2203" s="22" t="str">
        <f t="shared" si="754"/>
        <v/>
      </c>
      <c r="N2203" s="72"/>
      <c r="O2203" s="16" t="str">
        <f t="shared" si="755"/>
        <v/>
      </c>
      <c r="P2203" s="16" t="str">
        <f t="shared" si="756"/>
        <v/>
      </c>
      <c r="Q2203" s="16" t="str">
        <f t="shared" si="757"/>
        <v/>
      </c>
      <c r="R2203" s="23" t="str">
        <f t="shared" si="758"/>
        <v/>
      </c>
      <c r="S2203" s="23" t="str">
        <f t="shared" si="759"/>
        <v/>
      </c>
      <c r="T2203" s="23" t="str">
        <f t="shared" si="760"/>
        <v/>
      </c>
      <c r="U2203" s="23" t="str">
        <f t="shared" si="761"/>
        <v/>
      </c>
      <c r="V2203" s="23" t="str">
        <f t="shared" si="762"/>
        <v/>
      </c>
      <c r="W2203" s="70" t="str">
        <f t="shared" si="763"/>
        <v/>
      </c>
      <c r="X2203" s="70" t="str">
        <f t="shared" si="764"/>
        <v/>
      </c>
      <c r="Y2203" s="70" t="str">
        <f>IF(AND($A2203&lt;&gt;"",$E2203&gt;0),isLaptopBag($C2203,$J2203)*$D2203,"")</f>
        <v/>
      </c>
      <c r="Z2203" s="70" t="str">
        <f t="shared" si="765"/>
        <v/>
      </c>
      <c r="AA2203" s="70" t="str">
        <f t="shared" si="766"/>
        <v/>
      </c>
      <c r="AB2203" s="70" t="str">
        <f t="shared" si="767"/>
        <v/>
      </c>
      <c r="AC2203" s="70" t="str">
        <f t="shared" si="768"/>
        <v/>
      </c>
      <c r="AD2203" s="70" t="str">
        <f t="shared" si="769"/>
        <v/>
      </c>
      <c r="AE2203" s="70" t="str">
        <f t="shared" si="770"/>
        <v/>
      </c>
      <c r="AF2203" s="16"/>
      <c r="AG2203" s="23"/>
      <c r="AH2203" s="22"/>
      <c r="AJ2203" s="83">
        <f t="shared" si="771"/>
        <v>0</v>
      </c>
      <c r="AO2203" s="22" t="str">
        <f t="shared" si="772"/>
        <v/>
      </c>
      <c r="AP2203" s="22" t="str">
        <f t="shared" si="773"/>
        <v/>
      </c>
    </row>
    <row r="2204" spans="1:42" x14ac:dyDescent="0.25">
      <c r="A2204" s="10"/>
      <c r="B2204" s="10"/>
      <c r="C2204" s="10"/>
      <c r="D2204" s="10"/>
      <c r="E2204" s="10"/>
      <c r="F2204" s="10"/>
      <c r="G2204" s="10"/>
      <c r="H2204" s="17"/>
      <c r="I2204" s="10"/>
      <c r="J2204" s="10"/>
      <c r="K2204" s="16" t="str">
        <f t="shared" si="752"/>
        <v/>
      </c>
      <c r="L2204" s="23" t="str">
        <f t="shared" si="753"/>
        <v/>
      </c>
      <c r="M2204" s="22" t="str">
        <f t="shared" si="754"/>
        <v/>
      </c>
      <c r="N2204" s="72"/>
      <c r="O2204" s="16" t="str">
        <f t="shared" si="755"/>
        <v/>
      </c>
      <c r="P2204" s="16" t="str">
        <f t="shared" si="756"/>
        <v/>
      </c>
      <c r="Q2204" s="16" t="str">
        <f t="shared" si="757"/>
        <v/>
      </c>
      <c r="R2204" s="23" t="str">
        <f t="shared" si="758"/>
        <v/>
      </c>
      <c r="S2204" s="23" t="str">
        <f t="shared" si="759"/>
        <v/>
      </c>
      <c r="T2204" s="23" t="str">
        <f t="shared" si="760"/>
        <v/>
      </c>
      <c r="U2204" s="23" t="str">
        <f t="shared" si="761"/>
        <v/>
      </c>
      <c r="V2204" s="23" t="str">
        <f t="shared" si="762"/>
        <v/>
      </c>
      <c r="W2204" s="70" t="str">
        <f t="shared" si="763"/>
        <v/>
      </c>
      <c r="X2204" s="70" t="str">
        <f t="shared" si="764"/>
        <v/>
      </c>
      <c r="Y2204" s="70" t="str">
        <f>IF(AND($A2204&lt;&gt;"",$E2204&gt;0),isLaptopBag($C2204,$J2204)*$D2204,"")</f>
        <v/>
      </c>
      <c r="Z2204" s="70" t="str">
        <f t="shared" si="765"/>
        <v/>
      </c>
      <c r="AA2204" s="70" t="str">
        <f t="shared" si="766"/>
        <v/>
      </c>
      <c r="AB2204" s="70" t="str">
        <f t="shared" si="767"/>
        <v/>
      </c>
      <c r="AC2204" s="70" t="str">
        <f t="shared" si="768"/>
        <v/>
      </c>
      <c r="AD2204" s="70" t="str">
        <f t="shared" si="769"/>
        <v/>
      </c>
      <c r="AE2204" s="70" t="str">
        <f t="shared" si="770"/>
        <v/>
      </c>
      <c r="AF2204" s="16"/>
      <c r="AG2204" s="23"/>
      <c r="AH2204" s="22"/>
      <c r="AJ2204" s="83">
        <f t="shared" si="771"/>
        <v>0</v>
      </c>
      <c r="AO2204" s="22" t="str">
        <f t="shared" si="772"/>
        <v/>
      </c>
      <c r="AP2204" s="22" t="str">
        <f t="shared" si="773"/>
        <v/>
      </c>
    </row>
    <row r="2205" spans="1:42" x14ac:dyDescent="0.25">
      <c r="A2205" s="10"/>
      <c r="B2205" s="10"/>
      <c r="C2205" s="10"/>
      <c r="D2205" s="10"/>
      <c r="E2205" s="10"/>
      <c r="F2205" s="10"/>
      <c r="G2205" s="10"/>
      <c r="H2205" s="17"/>
      <c r="I2205" s="10"/>
      <c r="J2205" s="10"/>
      <c r="K2205" s="16" t="str">
        <f t="shared" si="752"/>
        <v/>
      </c>
      <c r="L2205" s="23" t="str">
        <f t="shared" si="753"/>
        <v/>
      </c>
      <c r="M2205" s="22" t="str">
        <f t="shared" si="754"/>
        <v/>
      </c>
      <c r="N2205" s="72"/>
      <c r="O2205" s="16" t="str">
        <f t="shared" si="755"/>
        <v/>
      </c>
      <c r="P2205" s="16" t="str">
        <f t="shared" si="756"/>
        <v/>
      </c>
      <c r="Q2205" s="16" t="str">
        <f t="shared" si="757"/>
        <v/>
      </c>
      <c r="R2205" s="23" t="str">
        <f t="shared" si="758"/>
        <v/>
      </c>
      <c r="S2205" s="23" t="str">
        <f t="shared" si="759"/>
        <v/>
      </c>
      <c r="T2205" s="23" t="str">
        <f t="shared" si="760"/>
        <v/>
      </c>
      <c r="U2205" s="23" t="str">
        <f t="shared" si="761"/>
        <v/>
      </c>
      <c r="V2205" s="23" t="str">
        <f t="shared" si="762"/>
        <v/>
      </c>
      <c r="W2205" s="70" t="str">
        <f t="shared" si="763"/>
        <v/>
      </c>
      <c r="X2205" s="70" t="str">
        <f t="shared" si="764"/>
        <v/>
      </c>
      <c r="Y2205" s="70" t="str">
        <f>IF(AND($A2205&lt;&gt;"",$E2205&gt;0),isLaptopBag($C2205,$J2205)*$D2205,"")</f>
        <v/>
      </c>
      <c r="Z2205" s="70" t="str">
        <f t="shared" si="765"/>
        <v/>
      </c>
      <c r="AA2205" s="70" t="str">
        <f t="shared" si="766"/>
        <v/>
      </c>
      <c r="AB2205" s="70" t="str">
        <f t="shared" si="767"/>
        <v/>
      </c>
      <c r="AC2205" s="70" t="str">
        <f t="shared" si="768"/>
        <v/>
      </c>
      <c r="AD2205" s="70" t="str">
        <f t="shared" si="769"/>
        <v/>
      </c>
      <c r="AE2205" s="70" t="str">
        <f t="shared" si="770"/>
        <v/>
      </c>
      <c r="AF2205" s="16"/>
      <c r="AG2205" s="23"/>
      <c r="AH2205" s="22"/>
      <c r="AJ2205" s="83">
        <f t="shared" si="771"/>
        <v>0</v>
      </c>
      <c r="AO2205" s="22" t="str">
        <f t="shared" si="772"/>
        <v/>
      </c>
      <c r="AP2205" s="22" t="str">
        <f t="shared" si="773"/>
        <v/>
      </c>
    </row>
    <row r="2206" spans="1:42" x14ac:dyDescent="0.25">
      <c r="A2206" s="10"/>
      <c r="B2206" s="10"/>
      <c r="C2206" s="10"/>
      <c r="D2206" s="10"/>
      <c r="E2206" s="10"/>
      <c r="F2206" s="10"/>
      <c r="G2206" s="10"/>
      <c r="H2206" s="17"/>
      <c r="I2206" s="10"/>
      <c r="J2206" s="10"/>
      <c r="K2206" s="16" t="str">
        <f t="shared" si="752"/>
        <v/>
      </c>
      <c r="L2206" s="23" t="str">
        <f t="shared" si="753"/>
        <v/>
      </c>
      <c r="M2206" s="22" t="str">
        <f t="shared" si="754"/>
        <v/>
      </c>
      <c r="N2206" s="72"/>
      <c r="O2206" s="16" t="str">
        <f t="shared" si="755"/>
        <v/>
      </c>
      <c r="P2206" s="16" t="str">
        <f t="shared" si="756"/>
        <v/>
      </c>
      <c r="Q2206" s="16" t="str">
        <f t="shared" si="757"/>
        <v/>
      </c>
      <c r="R2206" s="23" t="str">
        <f t="shared" si="758"/>
        <v/>
      </c>
      <c r="S2206" s="23" t="str">
        <f t="shared" si="759"/>
        <v/>
      </c>
      <c r="T2206" s="23" t="str">
        <f t="shared" si="760"/>
        <v/>
      </c>
      <c r="U2206" s="23" t="str">
        <f t="shared" si="761"/>
        <v/>
      </c>
      <c r="V2206" s="23" t="str">
        <f t="shared" si="762"/>
        <v/>
      </c>
      <c r="W2206" s="70" t="str">
        <f t="shared" si="763"/>
        <v/>
      </c>
      <c r="X2206" s="70" t="str">
        <f t="shared" si="764"/>
        <v/>
      </c>
      <c r="Y2206" s="70" t="str">
        <f>IF(AND($A2206&lt;&gt;"",$E2206&gt;0),isLaptopBag($C2206,$J2206)*$D2206,"")</f>
        <v/>
      </c>
      <c r="Z2206" s="70" t="str">
        <f t="shared" si="765"/>
        <v/>
      </c>
      <c r="AA2206" s="70" t="str">
        <f t="shared" si="766"/>
        <v/>
      </c>
      <c r="AB2206" s="70" t="str">
        <f t="shared" si="767"/>
        <v/>
      </c>
      <c r="AC2206" s="70" t="str">
        <f t="shared" si="768"/>
        <v/>
      </c>
      <c r="AD2206" s="70" t="str">
        <f t="shared" si="769"/>
        <v/>
      </c>
      <c r="AE2206" s="70" t="str">
        <f t="shared" si="770"/>
        <v/>
      </c>
      <c r="AF2206" s="16"/>
      <c r="AG2206" s="23"/>
      <c r="AH2206" s="22"/>
      <c r="AJ2206" s="83">
        <f t="shared" si="771"/>
        <v>0</v>
      </c>
      <c r="AO2206" s="22" t="str">
        <f t="shared" si="772"/>
        <v/>
      </c>
      <c r="AP2206" s="22" t="str">
        <f t="shared" si="773"/>
        <v/>
      </c>
    </row>
    <row r="2207" spans="1:42" x14ac:dyDescent="0.25">
      <c r="A2207" s="10"/>
      <c r="B2207" s="10"/>
      <c r="C2207" s="10"/>
      <c r="D2207" s="10"/>
      <c r="E2207" s="10"/>
      <c r="F2207" s="10"/>
      <c r="G2207" s="10"/>
      <c r="H2207" s="17"/>
      <c r="I2207" s="10"/>
      <c r="J2207" s="10"/>
      <c r="K2207" s="16" t="str">
        <f t="shared" si="752"/>
        <v/>
      </c>
      <c r="L2207" s="23" t="str">
        <f t="shared" si="753"/>
        <v/>
      </c>
      <c r="M2207" s="22" t="str">
        <f t="shared" si="754"/>
        <v/>
      </c>
      <c r="N2207" s="72"/>
      <c r="O2207" s="16" t="str">
        <f t="shared" si="755"/>
        <v/>
      </c>
      <c r="P2207" s="16" t="str">
        <f t="shared" si="756"/>
        <v/>
      </c>
      <c r="Q2207" s="16" t="str">
        <f t="shared" si="757"/>
        <v/>
      </c>
      <c r="R2207" s="23" t="str">
        <f t="shared" si="758"/>
        <v/>
      </c>
      <c r="S2207" s="23" t="str">
        <f t="shared" si="759"/>
        <v/>
      </c>
      <c r="T2207" s="23" t="str">
        <f t="shared" si="760"/>
        <v/>
      </c>
      <c r="U2207" s="23" t="str">
        <f t="shared" si="761"/>
        <v/>
      </c>
      <c r="V2207" s="23" t="str">
        <f t="shared" si="762"/>
        <v/>
      </c>
      <c r="W2207" s="70" t="str">
        <f t="shared" si="763"/>
        <v/>
      </c>
      <c r="X2207" s="70" t="str">
        <f t="shared" si="764"/>
        <v/>
      </c>
      <c r="Y2207" s="70" t="str">
        <f>IF(AND($A2207&lt;&gt;"",$E2207&gt;0),isLaptopBag($C2207,$J2207)*$D2207,"")</f>
        <v/>
      </c>
      <c r="Z2207" s="70" t="str">
        <f t="shared" si="765"/>
        <v/>
      </c>
      <c r="AA2207" s="70" t="str">
        <f t="shared" si="766"/>
        <v/>
      </c>
      <c r="AB2207" s="70" t="str">
        <f t="shared" si="767"/>
        <v/>
      </c>
      <c r="AC2207" s="70" t="str">
        <f t="shared" si="768"/>
        <v/>
      </c>
      <c r="AD2207" s="70" t="str">
        <f t="shared" si="769"/>
        <v/>
      </c>
      <c r="AE2207" s="70" t="str">
        <f t="shared" si="770"/>
        <v/>
      </c>
      <c r="AF2207" s="16"/>
      <c r="AG2207" s="23"/>
      <c r="AH2207" s="22"/>
      <c r="AJ2207" s="83">
        <f t="shared" si="771"/>
        <v>0</v>
      </c>
      <c r="AO2207" s="22" t="str">
        <f t="shared" si="772"/>
        <v/>
      </c>
      <c r="AP2207" s="22" t="str">
        <f t="shared" si="773"/>
        <v/>
      </c>
    </row>
    <row r="2208" spans="1:42" x14ac:dyDescent="0.25">
      <c r="A2208" s="10"/>
      <c r="B2208" s="10"/>
      <c r="C2208" s="10"/>
      <c r="D2208" s="10"/>
      <c r="E2208" s="10"/>
      <c r="F2208" s="10"/>
      <c r="G2208" s="10"/>
      <c r="H2208" s="17"/>
      <c r="I2208" s="10"/>
      <c r="J2208" s="10"/>
      <c r="K2208" s="16" t="str">
        <f t="shared" si="752"/>
        <v/>
      </c>
      <c r="L2208" s="23" t="str">
        <f t="shared" si="753"/>
        <v/>
      </c>
      <c r="M2208" s="22" t="str">
        <f t="shared" si="754"/>
        <v/>
      </c>
      <c r="N2208" s="72"/>
      <c r="O2208" s="16" t="str">
        <f t="shared" si="755"/>
        <v/>
      </c>
      <c r="P2208" s="16" t="str">
        <f t="shared" si="756"/>
        <v/>
      </c>
      <c r="Q2208" s="16" t="str">
        <f t="shared" si="757"/>
        <v/>
      </c>
      <c r="R2208" s="23" t="str">
        <f t="shared" si="758"/>
        <v/>
      </c>
      <c r="S2208" s="23" t="str">
        <f t="shared" si="759"/>
        <v/>
      </c>
      <c r="T2208" s="23" t="str">
        <f t="shared" si="760"/>
        <v/>
      </c>
      <c r="U2208" s="23" t="str">
        <f t="shared" si="761"/>
        <v/>
      </c>
      <c r="V2208" s="23" t="str">
        <f t="shared" si="762"/>
        <v/>
      </c>
      <c r="W2208" s="70" t="str">
        <f t="shared" si="763"/>
        <v/>
      </c>
      <c r="X2208" s="70" t="str">
        <f t="shared" si="764"/>
        <v/>
      </c>
      <c r="Y2208" s="70" t="str">
        <f>IF(AND($A2208&lt;&gt;"",$E2208&gt;0),isLaptopBag($C2208,$J2208)*$D2208,"")</f>
        <v/>
      </c>
      <c r="Z2208" s="70" t="str">
        <f t="shared" si="765"/>
        <v/>
      </c>
      <c r="AA2208" s="70" t="str">
        <f t="shared" si="766"/>
        <v/>
      </c>
      <c r="AB2208" s="70" t="str">
        <f t="shared" si="767"/>
        <v/>
      </c>
      <c r="AC2208" s="70" t="str">
        <f t="shared" si="768"/>
        <v/>
      </c>
      <c r="AD2208" s="70" t="str">
        <f t="shared" si="769"/>
        <v/>
      </c>
      <c r="AE2208" s="70" t="str">
        <f t="shared" si="770"/>
        <v/>
      </c>
      <c r="AF2208" s="16"/>
      <c r="AG2208" s="23"/>
      <c r="AH2208" s="22"/>
      <c r="AJ2208" s="83">
        <f t="shared" si="771"/>
        <v>0</v>
      </c>
      <c r="AO2208" s="22" t="str">
        <f t="shared" si="772"/>
        <v/>
      </c>
      <c r="AP2208" s="22" t="str">
        <f t="shared" si="773"/>
        <v/>
      </c>
    </row>
    <row r="2209" spans="1:42" x14ac:dyDescent="0.25">
      <c r="A2209" s="10"/>
      <c r="B2209" s="10"/>
      <c r="C2209" s="10"/>
      <c r="D2209" s="10"/>
      <c r="E2209" s="10"/>
      <c r="F2209" s="10"/>
      <c r="G2209" s="10"/>
      <c r="H2209" s="17"/>
      <c r="I2209" s="10"/>
      <c r="J2209" s="10"/>
      <c r="K2209" s="16" t="str">
        <f t="shared" si="752"/>
        <v/>
      </c>
      <c r="L2209" s="23" t="str">
        <f t="shared" si="753"/>
        <v/>
      </c>
      <c r="M2209" s="22" t="str">
        <f t="shared" si="754"/>
        <v/>
      </c>
      <c r="N2209" s="72"/>
      <c r="O2209" s="16" t="str">
        <f t="shared" si="755"/>
        <v/>
      </c>
      <c r="P2209" s="16" t="str">
        <f t="shared" si="756"/>
        <v/>
      </c>
      <c r="Q2209" s="16" t="str">
        <f t="shared" si="757"/>
        <v/>
      </c>
      <c r="R2209" s="23" t="str">
        <f t="shared" si="758"/>
        <v/>
      </c>
      <c r="S2209" s="23" t="str">
        <f t="shared" si="759"/>
        <v/>
      </c>
      <c r="T2209" s="23" t="str">
        <f t="shared" si="760"/>
        <v/>
      </c>
      <c r="U2209" s="23" t="str">
        <f t="shared" si="761"/>
        <v/>
      </c>
      <c r="V2209" s="23" t="str">
        <f t="shared" si="762"/>
        <v/>
      </c>
      <c r="W2209" s="70" t="str">
        <f t="shared" si="763"/>
        <v/>
      </c>
      <c r="X2209" s="70" t="str">
        <f t="shared" si="764"/>
        <v/>
      </c>
      <c r="Y2209" s="70" t="str">
        <f>IF(AND($A2209&lt;&gt;"",$E2209&gt;0),isLaptopBag($C2209,$J2209)*$D2209,"")</f>
        <v/>
      </c>
      <c r="Z2209" s="70" t="str">
        <f t="shared" si="765"/>
        <v/>
      </c>
      <c r="AA2209" s="70" t="str">
        <f t="shared" si="766"/>
        <v/>
      </c>
      <c r="AB2209" s="70" t="str">
        <f t="shared" si="767"/>
        <v/>
      </c>
      <c r="AC2209" s="70" t="str">
        <f t="shared" si="768"/>
        <v/>
      </c>
      <c r="AD2209" s="70" t="str">
        <f t="shared" si="769"/>
        <v/>
      </c>
      <c r="AE2209" s="70" t="str">
        <f t="shared" si="770"/>
        <v/>
      </c>
      <c r="AF2209" s="16"/>
      <c r="AG2209" s="23"/>
      <c r="AH2209" s="22"/>
      <c r="AJ2209" s="83">
        <f t="shared" si="771"/>
        <v>0</v>
      </c>
      <c r="AO2209" s="22" t="str">
        <f t="shared" si="772"/>
        <v/>
      </c>
      <c r="AP2209" s="22" t="str">
        <f t="shared" si="773"/>
        <v/>
      </c>
    </row>
    <row r="2210" spans="1:42" x14ac:dyDescent="0.25">
      <c r="A2210" s="10"/>
      <c r="B2210" s="10"/>
      <c r="C2210" s="10"/>
      <c r="D2210" s="10"/>
      <c r="E2210" s="10"/>
      <c r="F2210" s="10"/>
      <c r="G2210" s="10"/>
      <c r="H2210" s="17"/>
      <c r="I2210" s="10"/>
      <c r="J2210" s="10"/>
      <c r="K2210" s="16" t="str">
        <f t="shared" si="752"/>
        <v/>
      </c>
      <c r="L2210" s="23" t="str">
        <f t="shared" si="753"/>
        <v/>
      </c>
      <c r="M2210" s="22" t="str">
        <f t="shared" si="754"/>
        <v/>
      </c>
      <c r="N2210" s="72"/>
      <c r="O2210" s="16" t="str">
        <f t="shared" si="755"/>
        <v/>
      </c>
      <c r="P2210" s="16" t="str">
        <f t="shared" si="756"/>
        <v/>
      </c>
      <c r="Q2210" s="16" t="str">
        <f t="shared" si="757"/>
        <v/>
      </c>
      <c r="R2210" s="23" t="str">
        <f t="shared" si="758"/>
        <v/>
      </c>
      <c r="S2210" s="23" t="str">
        <f t="shared" si="759"/>
        <v/>
      </c>
      <c r="T2210" s="23" t="str">
        <f t="shared" si="760"/>
        <v/>
      </c>
      <c r="U2210" s="23" t="str">
        <f t="shared" si="761"/>
        <v/>
      </c>
      <c r="V2210" s="23" t="str">
        <f t="shared" si="762"/>
        <v/>
      </c>
      <c r="W2210" s="70" t="str">
        <f t="shared" si="763"/>
        <v/>
      </c>
      <c r="X2210" s="70" t="str">
        <f t="shared" si="764"/>
        <v/>
      </c>
      <c r="Y2210" s="70" t="str">
        <f>IF(AND($A2210&lt;&gt;"",$E2210&gt;0),isLaptopBag($C2210,$J2210)*$D2210,"")</f>
        <v/>
      </c>
      <c r="Z2210" s="70" t="str">
        <f t="shared" si="765"/>
        <v/>
      </c>
      <c r="AA2210" s="70" t="str">
        <f t="shared" si="766"/>
        <v/>
      </c>
      <c r="AB2210" s="70" t="str">
        <f t="shared" si="767"/>
        <v/>
      </c>
      <c r="AC2210" s="70" t="str">
        <f t="shared" si="768"/>
        <v/>
      </c>
      <c r="AD2210" s="70" t="str">
        <f t="shared" si="769"/>
        <v/>
      </c>
      <c r="AE2210" s="70" t="str">
        <f t="shared" si="770"/>
        <v/>
      </c>
      <c r="AF2210" s="16"/>
      <c r="AG2210" s="23"/>
      <c r="AH2210" s="22"/>
      <c r="AJ2210" s="83">
        <f t="shared" si="771"/>
        <v>0</v>
      </c>
      <c r="AO2210" s="22" t="str">
        <f t="shared" si="772"/>
        <v/>
      </c>
      <c r="AP2210" s="22" t="str">
        <f t="shared" si="773"/>
        <v/>
      </c>
    </row>
    <row r="2211" spans="1:42" x14ac:dyDescent="0.25">
      <c r="A2211" s="10"/>
      <c r="B2211" s="10"/>
      <c r="C2211" s="10"/>
      <c r="D2211" s="10"/>
      <c r="E2211" s="10"/>
      <c r="F2211" s="10"/>
      <c r="G2211" s="10"/>
      <c r="H2211" s="17"/>
      <c r="I2211" s="10"/>
      <c r="J2211" s="10"/>
      <c r="K2211" s="16" t="str">
        <f t="shared" si="752"/>
        <v/>
      </c>
      <c r="L2211" s="23" t="str">
        <f t="shared" si="753"/>
        <v/>
      </c>
      <c r="M2211" s="22" t="str">
        <f t="shared" si="754"/>
        <v/>
      </c>
      <c r="N2211" s="72"/>
      <c r="O2211" s="16" t="str">
        <f t="shared" si="755"/>
        <v/>
      </c>
      <c r="P2211" s="16" t="str">
        <f t="shared" si="756"/>
        <v/>
      </c>
      <c r="Q2211" s="16" t="str">
        <f t="shared" si="757"/>
        <v/>
      </c>
      <c r="R2211" s="23" t="str">
        <f t="shared" si="758"/>
        <v/>
      </c>
      <c r="S2211" s="23" t="str">
        <f t="shared" si="759"/>
        <v/>
      </c>
      <c r="T2211" s="23" t="str">
        <f t="shared" si="760"/>
        <v/>
      </c>
      <c r="U2211" s="23" t="str">
        <f t="shared" si="761"/>
        <v/>
      </c>
      <c r="V2211" s="23" t="str">
        <f t="shared" si="762"/>
        <v/>
      </c>
      <c r="W2211" s="70" t="str">
        <f t="shared" si="763"/>
        <v/>
      </c>
      <c r="X2211" s="70" t="str">
        <f t="shared" si="764"/>
        <v/>
      </c>
      <c r="Y2211" s="70" t="str">
        <f>IF(AND($A2211&lt;&gt;"",$E2211&gt;0),isLaptopBag($C2211,$J2211)*$D2211,"")</f>
        <v/>
      </c>
      <c r="Z2211" s="70" t="str">
        <f t="shared" si="765"/>
        <v/>
      </c>
      <c r="AA2211" s="70" t="str">
        <f t="shared" si="766"/>
        <v/>
      </c>
      <c r="AB2211" s="70" t="str">
        <f t="shared" si="767"/>
        <v/>
      </c>
      <c r="AC2211" s="70" t="str">
        <f t="shared" si="768"/>
        <v/>
      </c>
      <c r="AD2211" s="70" t="str">
        <f t="shared" si="769"/>
        <v/>
      </c>
      <c r="AE2211" s="70" t="str">
        <f t="shared" si="770"/>
        <v/>
      </c>
      <c r="AF2211" s="16"/>
      <c r="AG2211" s="23"/>
      <c r="AH2211" s="22"/>
      <c r="AJ2211" s="83">
        <f t="shared" si="771"/>
        <v>0</v>
      </c>
      <c r="AO2211" s="22" t="str">
        <f t="shared" si="772"/>
        <v/>
      </c>
      <c r="AP2211" s="22" t="str">
        <f t="shared" si="773"/>
        <v/>
      </c>
    </row>
    <row r="2212" spans="1:42" x14ac:dyDescent="0.25">
      <c r="A2212" s="10"/>
      <c r="B2212" s="10"/>
      <c r="C2212" s="10"/>
      <c r="D2212" s="10"/>
      <c r="E2212" s="10"/>
      <c r="F2212" s="10"/>
      <c r="G2212" s="10"/>
      <c r="H2212" s="17"/>
      <c r="I2212" s="10"/>
      <c r="J2212" s="10"/>
      <c r="K2212" s="16" t="str">
        <f t="shared" si="752"/>
        <v/>
      </c>
      <c r="L2212" s="23" t="str">
        <f t="shared" si="753"/>
        <v/>
      </c>
      <c r="M2212" s="22" t="str">
        <f t="shared" si="754"/>
        <v/>
      </c>
      <c r="N2212" s="72"/>
      <c r="O2212" s="16" t="str">
        <f t="shared" si="755"/>
        <v/>
      </c>
      <c r="P2212" s="16" t="str">
        <f t="shared" si="756"/>
        <v/>
      </c>
      <c r="Q2212" s="16" t="str">
        <f t="shared" si="757"/>
        <v/>
      </c>
      <c r="R2212" s="23" t="str">
        <f t="shared" si="758"/>
        <v/>
      </c>
      <c r="S2212" s="23" t="str">
        <f t="shared" si="759"/>
        <v/>
      </c>
      <c r="T2212" s="23" t="str">
        <f t="shared" si="760"/>
        <v/>
      </c>
      <c r="U2212" s="23" t="str">
        <f t="shared" si="761"/>
        <v/>
      </c>
      <c r="V2212" s="23" t="str">
        <f t="shared" si="762"/>
        <v/>
      </c>
      <c r="W2212" s="70" t="str">
        <f t="shared" si="763"/>
        <v/>
      </c>
      <c r="X2212" s="70" t="str">
        <f t="shared" si="764"/>
        <v/>
      </c>
      <c r="Y2212" s="70" t="str">
        <f>IF(AND($A2212&lt;&gt;"",$E2212&gt;0),isLaptopBag($C2212,$J2212)*$D2212,"")</f>
        <v/>
      </c>
      <c r="Z2212" s="70" t="str">
        <f t="shared" si="765"/>
        <v/>
      </c>
      <c r="AA2212" s="70" t="str">
        <f t="shared" si="766"/>
        <v/>
      </c>
      <c r="AB2212" s="70" t="str">
        <f t="shared" si="767"/>
        <v/>
      </c>
      <c r="AC2212" s="70" t="str">
        <f t="shared" si="768"/>
        <v/>
      </c>
      <c r="AD2212" s="70" t="str">
        <f t="shared" si="769"/>
        <v/>
      </c>
      <c r="AE2212" s="70" t="str">
        <f t="shared" si="770"/>
        <v/>
      </c>
      <c r="AF2212" s="16"/>
      <c r="AG2212" s="23"/>
      <c r="AH2212" s="22"/>
      <c r="AJ2212" s="83">
        <f t="shared" si="771"/>
        <v>0</v>
      </c>
      <c r="AO2212" s="22" t="str">
        <f t="shared" si="772"/>
        <v/>
      </c>
      <c r="AP2212" s="22" t="str">
        <f t="shared" si="773"/>
        <v/>
      </c>
    </row>
    <row r="2213" spans="1:42" x14ac:dyDescent="0.25">
      <c r="A2213" s="10"/>
      <c r="B2213" s="10"/>
      <c r="C2213" s="10"/>
      <c r="D2213" s="10"/>
      <c r="E2213" s="10"/>
      <c r="F2213" s="10"/>
      <c r="G2213" s="10"/>
      <c r="H2213" s="17"/>
      <c r="I2213" s="10"/>
      <c r="J2213" s="10"/>
      <c r="K2213" s="16" t="str">
        <f t="shared" si="752"/>
        <v/>
      </c>
      <c r="L2213" s="23" t="str">
        <f t="shared" si="753"/>
        <v/>
      </c>
      <c r="M2213" s="22" t="str">
        <f t="shared" si="754"/>
        <v/>
      </c>
      <c r="N2213" s="72"/>
      <c r="O2213" s="16" t="str">
        <f t="shared" si="755"/>
        <v/>
      </c>
      <c r="P2213" s="16" t="str">
        <f t="shared" si="756"/>
        <v/>
      </c>
      <c r="Q2213" s="16" t="str">
        <f t="shared" si="757"/>
        <v/>
      </c>
      <c r="R2213" s="23" t="str">
        <f t="shared" si="758"/>
        <v/>
      </c>
      <c r="S2213" s="23" t="str">
        <f t="shared" si="759"/>
        <v/>
      </c>
      <c r="T2213" s="23" t="str">
        <f t="shared" si="760"/>
        <v/>
      </c>
      <c r="U2213" s="23" t="str">
        <f t="shared" si="761"/>
        <v/>
      </c>
      <c r="V2213" s="23" t="str">
        <f t="shared" si="762"/>
        <v/>
      </c>
      <c r="W2213" s="70" t="str">
        <f t="shared" si="763"/>
        <v/>
      </c>
      <c r="X2213" s="70" t="str">
        <f t="shared" si="764"/>
        <v/>
      </c>
      <c r="Y2213" s="70" t="str">
        <f>IF(AND($A2213&lt;&gt;"",$E2213&gt;0),isLaptopBag($C2213,$J2213)*$D2213,"")</f>
        <v/>
      </c>
      <c r="Z2213" s="70" t="str">
        <f t="shared" si="765"/>
        <v/>
      </c>
      <c r="AA2213" s="70" t="str">
        <f t="shared" si="766"/>
        <v/>
      </c>
      <c r="AB2213" s="70" t="str">
        <f t="shared" si="767"/>
        <v/>
      </c>
      <c r="AC2213" s="70" t="str">
        <f t="shared" si="768"/>
        <v/>
      </c>
      <c r="AD2213" s="70" t="str">
        <f t="shared" si="769"/>
        <v/>
      </c>
      <c r="AE2213" s="70" t="str">
        <f t="shared" si="770"/>
        <v/>
      </c>
      <c r="AF2213" s="16"/>
      <c r="AG2213" s="23"/>
      <c r="AH2213" s="22"/>
      <c r="AJ2213" s="83">
        <f t="shared" si="771"/>
        <v>0</v>
      </c>
      <c r="AO2213" s="22" t="str">
        <f t="shared" si="772"/>
        <v/>
      </c>
      <c r="AP2213" s="22" t="str">
        <f t="shared" si="773"/>
        <v/>
      </c>
    </row>
    <row r="2214" spans="1:42" x14ac:dyDescent="0.25">
      <c r="A2214" s="10"/>
      <c r="B2214" s="10"/>
      <c r="C2214" s="10"/>
      <c r="D2214" s="10"/>
      <c r="E2214" s="10"/>
      <c r="F2214" s="10"/>
      <c r="G2214" s="10"/>
      <c r="H2214" s="17"/>
      <c r="I2214" s="10"/>
      <c r="J2214" s="10"/>
      <c r="K2214" s="16" t="str">
        <f t="shared" si="752"/>
        <v/>
      </c>
      <c r="L2214" s="23" t="str">
        <f t="shared" si="753"/>
        <v/>
      </c>
      <c r="M2214" s="22" t="str">
        <f t="shared" si="754"/>
        <v/>
      </c>
      <c r="N2214" s="72"/>
      <c r="O2214" s="16" t="str">
        <f t="shared" si="755"/>
        <v/>
      </c>
      <c r="P2214" s="16" t="str">
        <f t="shared" si="756"/>
        <v/>
      </c>
      <c r="Q2214" s="16" t="str">
        <f t="shared" si="757"/>
        <v/>
      </c>
      <c r="R2214" s="23" t="str">
        <f t="shared" si="758"/>
        <v/>
      </c>
      <c r="S2214" s="23" t="str">
        <f t="shared" si="759"/>
        <v/>
      </c>
      <c r="T2214" s="23" t="str">
        <f t="shared" si="760"/>
        <v/>
      </c>
      <c r="U2214" s="23" t="str">
        <f t="shared" si="761"/>
        <v/>
      </c>
      <c r="V2214" s="23" t="str">
        <f t="shared" si="762"/>
        <v/>
      </c>
      <c r="W2214" s="70" t="str">
        <f t="shared" si="763"/>
        <v/>
      </c>
      <c r="X2214" s="70" t="str">
        <f t="shared" si="764"/>
        <v/>
      </c>
      <c r="Y2214" s="70" t="str">
        <f>IF(AND($A2214&lt;&gt;"",$E2214&gt;0),isLaptopBag($C2214,$J2214)*$D2214,"")</f>
        <v/>
      </c>
      <c r="Z2214" s="70" t="str">
        <f t="shared" si="765"/>
        <v/>
      </c>
      <c r="AA2214" s="70" t="str">
        <f t="shared" si="766"/>
        <v/>
      </c>
      <c r="AB2214" s="70" t="str">
        <f t="shared" si="767"/>
        <v/>
      </c>
      <c r="AC2214" s="70" t="str">
        <f t="shared" si="768"/>
        <v/>
      </c>
      <c r="AD2214" s="70" t="str">
        <f t="shared" si="769"/>
        <v/>
      </c>
      <c r="AE2214" s="70" t="str">
        <f t="shared" si="770"/>
        <v/>
      </c>
      <c r="AF2214" s="16"/>
      <c r="AG2214" s="23"/>
      <c r="AH2214" s="22"/>
      <c r="AJ2214" s="83">
        <f t="shared" si="771"/>
        <v>0</v>
      </c>
      <c r="AO2214" s="22" t="str">
        <f t="shared" si="772"/>
        <v/>
      </c>
      <c r="AP2214" s="22" t="str">
        <f t="shared" si="773"/>
        <v/>
      </c>
    </row>
    <row r="2215" spans="1:42" x14ac:dyDescent="0.25">
      <c r="A2215" s="10"/>
      <c r="B2215" s="10"/>
      <c r="C2215" s="10"/>
      <c r="D2215" s="10"/>
      <c r="E2215" s="10"/>
      <c r="F2215" s="10"/>
      <c r="G2215" s="10"/>
      <c r="H2215" s="17"/>
      <c r="I2215" s="10"/>
      <c r="J2215" s="10"/>
      <c r="K2215" s="16" t="str">
        <f t="shared" si="752"/>
        <v/>
      </c>
      <c r="L2215" s="23" t="str">
        <f t="shared" si="753"/>
        <v/>
      </c>
      <c r="M2215" s="22" t="str">
        <f t="shared" si="754"/>
        <v/>
      </c>
      <c r="N2215" s="72"/>
      <c r="O2215" s="16" t="str">
        <f t="shared" si="755"/>
        <v/>
      </c>
      <c r="P2215" s="16" t="str">
        <f t="shared" si="756"/>
        <v/>
      </c>
      <c r="Q2215" s="16" t="str">
        <f t="shared" si="757"/>
        <v/>
      </c>
      <c r="R2215" s="23" t="str">
        <f t="shared" si="758"/>
        <v/>
      </c>
      <c r="S2215" s="23" t="str">
        <f t="shared" si="759"/>
        <v/>
      </c>
      <c r="T2215" s="23" t="str">
        <f t="shared" si="760"/>
        <v/>
      </c>
      <c r="U2215" s="23" t="str">
        <f t="shared" si="761"/>
        <v/>
      </c>
      <c r="V2215" s="23" t="str">
        <f t="shared" si="762"/>
        <v/>
      </c>
      <c r="W2215" s="70" t="str">
        <f t="shared" si="763"/>
        <v/>
      </c>
      <c r="X2215" s="70" t="str">
        <f t="shared" si="764"/>
        <v/>
      </c>
      <c r="Y2215" s="70" t="str">
        <f>IF(AND($A2215&lt;&gt;"",$E2215&gt;0),isLaptopBag($C2215,$J2215)*$D2215,"")</f>
        <v/>
      </c>
      <c r="Z2215" s="70" t="str">
        <f t="shared" si="765"/>
        <v/>
      </c>
      <c r="AA2215" s="70" t="str">
        <f t="shared" si="766"/>
        <v/>
      </c>
      <c r="AB2215" s="70" t="str">
        <f t="shared" si="767"/>
        <v/>
      </c>
      <c r="AC2215" s="70" t="str">
        <f t="shared" si="768"/>
        <v/>
      </c>
      <c r="AD2215" s="70" t="str">
        <f t="shared" si="769"/>
        <v/>
      </c>
      <c r="AE2215" s="70" t="str">
        <f t="shared" si="770"/>
        <v/>
      </c>
      <c r="AF2215" s="16"/>
      <c r="AG2215" s="23"/>
      <c r="AH2215" s="22"/>
      <c r="AJ2215" s="83">
        <f t="shared" si="771"/>
        <v>0</v>
      </c>
      <c r="AO2215" s="22" t="str">
        <f t="shared" si="772"/>
        <v/>
      </c>
      <c r="AP2215" s="22" t="str">
        <f t="shared" si="773"/>
        <v/>
      </c>
    </row>
    <row r="2216" spans="1:42" x14ac:dyDescent="0.25">
      <c r="A2216" s="10"/>
      <c r="B2216" s="10"/>
      <c r="C2216" s="10"/>
      <c r="D2216" s="10"/>
      <c r="E2216" s="10"/>
      <c r="F2216" s="10"/>
      <c r="G2216" s="10"/>
      <c r="H2216" s="17"/>
      <c r="I2216" s="10"/>
      <c r="J2216" s="10"/>
      <c r="K2216" s="16" t="str">
        <f t="shared" si="752"/>
        <v/>
      </c>
      <c r="L2216" s="23" t="str">
        <f t="shared" si="753"/>
        <v/>
      </c>
      <c r="M2216" s="22" t="str">
        <f t="shared" si="754"/>
        <v/>
      </c>
      <c r="N2216" s="72"/>
      <c r="O2216" s="16" t="str">
        <f t="shared" si="755"/>
        <v/>
      </c>
      <c r="P2216" s="16" t="str">
        <f t="shared" si="756"/>
        <v/>
      </c>
      <c r="Q2216" s="16" t="str">
        <f t="shared" si="757"/>
        <v/>
      </c>
      <c r="R2216" s="23" t="str">
        <f t="shared" si="758"/>
        <v/>
      </c>
      <c r="S2216" s="23" t="str">
        <f t="shared" si="759"/>
        <v/>
      </c>
      <c r="T2216" s="23" t="str">
        <f t="shared" si="760"/>
        <v/>
      </c>
      <c r="U2216" s="23" t="str">
        <f t="shared" si="761"/>
        <v/>
      </c>
      <c r="V2216" s="23" t="str">
        <f t="shared" si="762"/>
        <v/>
      </c>
      <c r="W2216" s="70" t="str">
        <f t="shared" si="763"/>
        <v/>
      </c>
      <c r="X2216" s="70" t="str">
        <f t="shared" si="764"/>
        <v/>
      </c>
      <c r="Y2216" s="70" t="str">
        <f>IF(AND($A2216&lt;&gt;"",$E2216&gt;0),isLaptopBag($C2216,$J2216)*$D2216,"")</f>
        <v/>
      </c>
      <c r="Z2216" s="70" t="str">
        <f t="shared" si="765"/>
        <v/>
      </c>
      <c r="AA2216" s="70" t="str">
        <f t="shared" si="766"/>
        <v/>
      </c>
      <c r="AB2216" s="70" t="str">
        <f t="shared" si="767"/>
        <v/>
      </c>
      <c r="AC2216" s="70" t="str">
        <f t="shared" si="768"/>
        <v/>
      </c>
      <c r="AD2216" s="70" t="str">
        <f t="shared" si="769"/>
        <v/>
      </c>
      <c r="AE2216" s="70" t="str">
        <f t="shared" si="770"/>
        <v/>
      </c>
      <c r="AF2216" s="16"/>
      <c r="AG2216" s="23"/>
      <c r="AH2216" s="22"/>
      <c r="AJ2216" s="83">
        <f t="shared" si="771"/>
        <v>0</v>
      </c>
      <c r="AO2216" s="22" t="str">
        <f t="shared" si="772"/>
        <v/>
      </c>
      <c r="AP2216" s="22" t="str">
        <f t="shared" si="773"/>
        <v/>
      </c>
    </row>
    <row r="2217" spans="1:42" x14ac:dyDescent="0.25">
      <c r="A2217" s="10"/>
      <c r="B2217" s="10"/>
      <c r="C2217" s="10"/>
      <c r="D2217" s="10"/>
      <c r="E2217" s="10"/>
      <c r="F2217" s="10"/>
      <c r="G2217" s="10"/>
      <c r="H2217" s="17"/>
      <c r="I2217" s="10"/>
      <c r="J2217" s="10"/>
      <c r="K2217" s="16" t="str">
        <f t="shared" si="752"/>
        <v/>
      </c>
      <c r="L2217" s="23" t="str">
        <f t="shared" si="753"/>
        <v/>
      </c>
      <c r="M2217" s="22" t="str">
        <f t="shared" si="754"/>
        <v/>
      </c>
      <c r="N2217" s="72"/>
      <c r="O2217" s="16" t="str">
        <f t="shared" si="755"/>
        <v/>
      </c>
      <c r="P2217" s="16" t="str">
        <f t="shared" si="756"/>
        <v/>
      </c>
      <c r="Q2217" s="16" t="str">
        <f t="shared" si="757"/>
        <v/>
      </c>
      <c r="R2217" s="23" t="str">
        <f t="shared" si="758"/>
        <v/>
      </c>
      <c r="S2217" s="23" t="str">
        <f t="shared" si="759"/>
        <v/>
      </c>
      <c r="T2217" s="23" t="str">
        <f t="shared" si="760"/>
        <v/>
      </c>
      <c r="U2217" s="23" t="str">
        <f t="shared" si="761"/>
        <v/>
      </c>
      <c r="V2217" s="23" t="str">
        <f t="shared" si="762"/>
        <v/>
      </c>
      <c r="W2217" s="70" t="str">
        <f t="shared" si="763"/>
        <v/>
      </c>
      <c r="X2217" s="70" t="str">
        <f t="shared" si="764"/>
        <v/>
      </c>
      <c r="Y2217" s="70" t="str">
        <f>IF(AND($A2217&lt;&gt;"",$E2217&gt;0),isLaptopBag($C2217,$J2217)*$D2217,"")</f>
        <v/>
      </c>
      <c r="Z2217" s="70" t="str">
        <f t="shared" si="765"/>
        <v/>
      </c>
      <c r="AA2217" s="70" t="str">
        <f t="shared" si="766"/>
        <v/>
      </c>
      <c r="AB2217" s="70" t="str">
        <f t="shared" si="767"/>
        <v/>
      </c>
      <c r="AC2217" s="70" t="str">
        <f t="shared" si="768"/>
        <v/>
      </c>
      <c r="AD2217" s="70" t="str">
        <f t="shared" si="769"/>
        <v/>
      </c>
      <c r="AE2217" s="70" t="str">
        <f t="shared" si="770"/>
        <v/>
      </c>
      <c r="AF2217" s="16"/>
      <c r="AG2217" s="23"/>
      <c r="AH2217" s="22"/>
      <c r="AJ2217" s="83">
        <f t="shared" si="771"/>
        <v>0</v>
      </c>
      <c r="AO2217" s="22" t="str">
        <f t="shared" si="772"/>
        <v/>
      </c>
      <c r="AP2217" s="22" t="str">
        <f t="shared" si="773"/>
        <v/>
      </c>
    </row>
    <row r="2218" spans="1:42" x14ac:dyDescent="0.25">
      <c r="A2218" s="10"/>
      <c r="B2218" s="10"/>
      <c r="C2218" s="10"/>
      <c r="D2218" s="10"/>
      <c r="E2218" s="10"/>
      <c r="F2218" s="10"/>
      <c r="G2218" s="10"/>
      <c r="H2218" s="17"/>
      <c r="I2218" s="10"/>
      <c r="J2218" s="10"/>
      <c r="K2218" s="16" t="str">
        <f t="shared" si="752"/>
        <v/>
      </c>
      <c r="L2218" s="23" t="str">
        <f t="shared" si="753"/>
        <v/>
      </c>
      <c r="M2218" s="22" t="str">
        <f t="shared" si="754"/>
        <v/>
      </c>
      <c r="N2218" s="72"/>
      <c r="O2218" s="16" t="str">
        <f t="shared" si="755"/>
        <v/>
      </c>
      <c r="P2218" s="16" t="str">
        <f t="shared" si="756"/>
        <v/>
      </c>
      <c r="Q2218" s="16" t="str">
        <f t="shared" si="757"/>
        <v/>
      </c>
      <c r="R2218" s="23" t="str">
        <f t="shared" si="758"/>
        <v/>
      </c>
      <c r="S2218" s="23" t="str">
        <f t="shared" si="759"/>
        <v/>
      </c>
      <c r="T2218" s="23" t="str">
        <f t="shared" si="760"/>
        <v/>
      </c>
      <c r="U2218" s="23" t="str">
        <f t="shared" si="761"/>
        <v/>
      </c>
      <c r="V2218" s="23" t="str">
        <f t="shared" si="762"/>
        <v/>
      </c>
      <c r="W2218" s="70" t="str">
        <f t="shared" si="763"/>
        <v/>
      </c>
      <c r="X2218" s="70" t="str">
        <f t="shared" si="764"/>
        <v/>
      </c>
      <c r="Y2218" s="70" t="str">
        <f>IF(AND($A2218&lt;&gt;"",$E2218&gt;0),isLaptopBag($C2218,$J2218)*$D2218,"")</f>
        <v/>
      </c>
      <c r="Z2218" s="70" t="str">
        <f t="shared" si="765"/>
        <v/>
      </c>
      <c r="AA2218" s="70" t="str">
        <f t="shared" si="766"/>
        <v/>
      </c>
      <c r="AB2218" s="70" t="str">
        <f t="shared" si="767"/>
        <v/>
      </c>
      <c r="AC2218" s="70" t="str">
        <f t="shared" si="768"/>
        <v/>
      </c>
      <c r="AD2218" s="70" t="str">
        <f t="shared" si="769"/>
        <v/>
      </c>
      <c r="AE2218" s="70" t="str">
        <f t="shared" si="770"/>
        <v/>
      </c>
      <c r="AF2218" s="16"/>
      <c r="AG2218" s="23"/>
      <c r="AH2218" s="22"/>
      <c r="AJ2218" s="83">
        <f t="shared" si="771"/>
        <v>0</v>
      </c>
      <c r="AO2218" s="22" t="str">
        <f t="shared" si="772"/>
        <v/>
      </c>
      <c r="AP2218" s="22" t="str">
        <f t="shared" si="773"/>
        <v/>
      </c>
    </row>
    <row r="2219" spans="1:42" x14ac:dyDescent="0.25">
      <c r="A2219" s="10"/>
      <c r="B2219" s="10"/>
      <c r="C2219" s="10"/>
      <c r="D2219" s="10"/>
      <c r="E2219" s="10"/>
      <c r="F2219" s="10"/>
      <c r="G2219" s="10"/>
      <c r="H2219" s="17"/>
      <c r="I2219" s="10"/>
      <c r="J2219" s="10"/>
      <c r="K2219" s="16" t="str">
        <f t="shared" si="752"/>
        <v/>
      </c>
      <c r="L2219" s="23" t="str">
        <f t="shared" si="753"/>
        <v/>
      </c>
      <c r="M2219" s="22" t="str">
        <f t="shared" si="754"/>
        <v/>
      </c>
      <c r="N2219" s="72"/>
      <c r="O2219" s="16" t="str">
        <f t="shared" si="755"/>
        <v/>
      </c>
      <c r="P2219" s="16" t="str">
        <f t="shared" si="756"/>
        <v/>
      </c>
      <c r="Q2219" s="16" t="str">
        <f t="shared" si="757"/>
        <v/>
      </c>
      <c r="R2219" s="23" t="str">
        <f t="shared" si="758"/>
        <v/>
      </c>
      <c r="S2219" s="23" t="str">
        <f t="shared" si="759"/>
        <v/>
      </c>
      <c r="T2219" s="23" t="str">
        <f t="shared" si="760"/>
        <v/>
      </c>
      <c r="U2219" s="23" t="str">
        <f t="shared" si="761"/>
        <v/>
      </c>
      <c r="V2219" s="23" t="str">
        <f t="shared" si="762"/>
        <v/>
      </c>
      <c r="W2219" s="70" t="str">
        <f t="shared" si="763"/>
        <v/>
      </c>
      <c r="X2219" s="70" t="str">
        <f t="shared" si="764"/>
        <v/>
      </c>
      <c r="Y2219" s="70" t="str">
        <f>IF(AND($A2219&lt;&gt;"",$E2219&gt;0),isLaptopBag($C2219,$J2219)*$D2219,"")</f>
        <v/>
      </c>
      <c r="Z2219" s="70" t="str">
        <f t="shared" si="765"/>
        <v/>
      </c>
      <c r="AA2219" s="70" t="str">
        <f t="shared" si="766"/>
        <v/>
      </c>
      <c r="AB2219" s="70" t="str">
        <f t="shared" si="767"/>
        <v/>
      </c>
      <c r="AC2219" s="70" t="str">
        <f t="shared" si="768"/>
        <v/>
      </c>
      <c r="AD2219" s="70" t="str">
        <f t="shared" si="769"/>
        <v/>
      </c>
      <c r="AE2219" s="70" t="str">
        <f t="shared" si="770"/>
        <v/>
      </c>
      <c r="AF2219" s="16"/>
      <c r="AG2219" s="23"/>
      <c r="AH2219" s="22"/>
      <c r="AJ2219" s="83">
        <f t="shared" si="771"/>
        <v>0</v>
      </c>
      <c r="AO2219" s="22" t="str">
        <f t="shared" si="772"/>
        <v/>
      </c>
      <c r="AP2219" s="22" t="str">
        <f t="shared" si="773"/>
        <v/>
      </c>
    </row>
    <row r="2220" spans="1:42" x14ac:dyDescent="0.25">
      <c r="A2220" s="10"/>
      <c r="B2220" s="10"/>
      <c r="C2220" s="10"/>
      <c r="D2220" s="10"/>
      <c r="E2220" s="10"/>
      <c r="F2220" s="10"/>
      <c r="G2220" s="10"/>
      <c r="H2220" s="17"/>
      <c r="I2220" s="10"/>
      <c r="J2220" s="10"/>
      <c r="K2220" s="16" t="str">
        <f t="shared" si="752"/>
        <v/>
      </c>
      <c r="L2220" s="23" t="str">
        <f t="shared" si="753"/>
        <v/>
      </c>
      <c r="M2220" s="22" t="str">
        <f t="shared" si="754"/>
        <v/>
      </c>
      <c r="N2220" s="72"/>
      <c r="O2220" s="16" t="str">
        <f t="shared" si="755"/>
        <v/>
      </c>
      <c r="P2220" s="16" t="str">
        <f t="shared" si="756"/>
        <v/>
      </c>
      <c r="Q2220" s="16" t="str">
        <f t="shared" si="757"/>
        <v/>
      </c>
      <c r="R2220" s="23" t="str">
        <f t="shared" si="758"/>
        <v/>
      </c>
      <c r="S2220" s="23" t="str">
        <f t="shared" si="759"/>
        <v/>
      </c>
      <c r="T2220" s="23" t="str">
        <f t="shared" si="760"/>
        <v/>
      </c>
      <c r="U2220" s="23" t="str">
        <f t="shared" si="761"/>
        <v/>
      </c>
      <c r="V2220" s="23" t="str">
        <f t="shared" si="762"/>
        <v/>
      </c>
      <c r="W2220" s="70" t="str">
        <f t="shared" si="763"/>
        <v/>
      </c>
      <c r="X2220" s="70" t="str">
        <f t="shared" si="764"/>
        <v/>
      </c>
      <c r="Y2220" s="70" t="str">
        <f>IF(AND($A2220&lt;&gt;"",$E2220&gt;0),isLaptopBag($C2220,$J2220)*$D2220,"")</f>
        <v/>
      </c>
      <c r="Z2220" s="70" t="str">
        <f t="shared" si="765"/>
        <v/>
      </c>
      <c r="AA2220" s="70" t="str">
        <f t="shared" si="766"/>
        <v/>
      </c>
      <c r="AB2220" s="70" t="str">
        <f t="shared" si="767"/>
        <v/>
      </c>
      <c r="AC2220" s="70" t="str">
        <f t="shared" si="768"/>
        <v/>
      </c>
      <c r="AD2220" s="70" t="str">
        <f t="shared" si="769"/>
        <v/>
      </c>
      <c r="AE2220" s="70" t="str">
        <f t="shared" si="770"/>
        <v/>
      </c>
      <c r="AF2220" s="16"/>
      <c r="AG2220" s="23"/>
      <c r="AH2220" s="22"/>
      <c r="AJ2220" s="83">
        <f t="shared" si="771"/>
        <v>0</v>
      </c>
      <c r="AO2220" s="22" t="str">
        <f t="shared" si="772"/>
        <v/>
      </c>
      <c r="AP2220" s="22" t="str">
        <f t="shared" si="773"/>
        <v/>
      </c>
    </row>
    <row r="2221" spans="1:42" x14ac:dyDescent="0.25">
      <c r="A2221" s="10"/>
      <c r="B2221" s="10"/>
      <c r="C2221" s="10"/>
      <c r="D2221" s="10"/>
      <c r="E2221" s="10"/>
      <c r="F2221" s="10"/>
      <c r="G2221" s="10"/>
      <c r="H2221" s="17"/>
      <c r="I2221" s="10"/>
      <c r="J2221" s="10"/>
      <c r="K2221" s="16" t="str">
        <f t="shared" si="752"/>
        <v/>
      </c>
      <c r="L2221" s="23" t="str">
        <f t="shared" si="753"/>
        <v/>
      </c>
      <c r="M2221" s="22" t="str">
        <f t="shared" si="754"/>
        <v/>
      </c>
      <c r="N2221" s="72"/>
      <c r="O2221" s="16" t="str">
        <f t="shared" si="755"/>
        <v/>
      </c>
      <c r="P2221" s="16" t="str">
        <f t="shared" si="756"/>
        <v/>
      </c>
      <c r="Q2221" s="16" t="str">
        <f t="shared" si="757"/>
        <v/>
      </c>
      <c r="R2221" s="23" t="str">
        <f t="shared" si="758"/>
        <v/>
      </c>
      <c r="S2221" s="23" t="str">
        <f t="shared" si="759"/>
        <v/>
      </c>
      <c r="T2221" s="23" t="str">
        <f t="shared" si="760"/>
        <v/>
      </c>
      <c r="U2221" s="23" t="str">
        <f t="shared" si="761"/>
        <v/>
      </c>
      <c r="V2221" s="23" t="str">
        <f t="shared" si="762"/>
        <v/>
      </c>
      <c r="W2221" s="70" t="str">
        <f t="shared" si="763"/>
        <v/>
      </c>
      <c r="X2221" s="70" t="str">
        <f t="shared" si="764"/>
        <v/>
      </c>
      <c r="Y2221" s="70" t="str">
        <f>IF(AND($A2221&lt;&gt;"",$E2221&gt;0),isLaptopBag($C2221,$J2221)*$D2221,"")</f>
        <v/>
      </c>
      <c r="Z2221" s="70" t="str">
        <f t="shared" si="765"/>
        <v/>
      </c>
      <c r="AA2221" s="70" t="str">
        <f t="shared" si="766"/>
        <v/>
      </c>
      <c r="AB2221" s="70" t="str">
        <f t="shared" si="767"/>
        <v/>
      </c>
      <c r="AC2221" s="70" t="str">
        <f t="shared" si="768"/>
        <v/>
      </c>
      <c r="AD2221" s="70" t="str">
        <f t="shared" si="769"/>
        <v/>
      </c>
      <c r="AE2221" s="70" t="str">
        <f t="shared" si="770"/>
        <v/>
      </c>
      <c r="AF2221" s="16"/>
      <c r="AG2221" s="23"/>
      <c r="AH2221" s="22"/>
      <c r="AJ2221" s="83">
        <f t="shared" si="771"/>
        <v>0</v>
      </c>
      <c r="AO2221" s="22" t="str">
        <f t="shared" si="772"/>
        <v/>
      </c>
      <c r="AP2221" s="22" t="str">
        <f t="shared" si="773"/>
        <v/>
      </c>
    </row>
    <row r="2222" spans="1:42" x14ac:dyDescent="0.25">
      <c r="A2222" s="10"/>
      <c r="B2222" s="10"/>
      <c r="C2222" s="10"/>
      <c r="D2222" s="10"/>
      <c r="E2222" s="10"/>
      <c r="F2222" s="10"/>
      <c r="G2222" s="10"/>
      <c r="H2222" s="17"/>
      <c r="I2222" s="10"/>
      <c r="J2222" s="10"/>
      <c r="K2222" s="16" t="str">
        <f t="shared" si="752"/>
        <v/>
      </c>
      <c r="L2222" s="23" t="str">
        <f t="shared" si="753"/>
        <v/>
      </c>
      <c r="M2222" s="22" t="str">
        <f t="shared" si="754"/>
        <v/>
      </c>
      <c r="N2222" s="72"/>
      <c r="O2222" s="16" t="str">
        <f t="shared" si="755"/>
        <v/>
      </c>
      <c r="P2222" s="16" t="str">
        <f t="shared" si="756"/>
        <v/>
      </c>
      <c r="Q2222" s="16" t="str">
        <f t="shared" si="757"/>
        <v/>
      </c>
      <c r="R2222" s="23" t="str">
        <f t="shared" si="758"/>
        <v/>
      </c>
      <c r="S2222" s="23" t="str">
        <f t="shared" si="759"/>
        <v/>
      </c>
      <c r="T2222" s="23" t="str">
        <f t="shared" si="760"/>
        <v/>
      </c>
      <c r="U2222" s="23" t="str">
        <f t="shared" si="761"/>
        <v/>
      </c>
      <c r="V2222" s="23" t="str">
        <f t="shared" si="762"/>
        <v/>
      </c>
      <c r="W2222" s="70" t="str">
        <f t="shared" si="763"/>
        <v/>
      </c>
      <c r="X2222" s="70" t="str">
        <f t="shared" si="764"/>
        <v/>
      </c>
      <c r="Y2222" s="70" t="str">
        <f>IF(AND($A2222&lt;&gt;"",$E2222&gt;0),isLaptopBag($C2222,$J2222)*$D2222,"")</f>
        <v/>
      </c>
      <c r="Z2222" s="70" t="str">
        <f t="shared" si="765"/>
        <v/>
      </c>
      <c r="AA2222" s="70" t="str">
        <f t="shared" si="766"/>
        <v/>
      </c>
      <c r="AB2222" s="70" t="str">
        <f t="shared" si="767"/>
        <v/>
      </c>
      <c r="AC2222" s="70" t="str">
        <f t="shared" si="768"/>
        <v/>
      </c>
      <c r="AD2222" s="70" t="str">
        <f t="shared" si="769"/>
        <v/>
      </c>
      <c r="AE2222" s="70" t="str">
        <f t="shared" si="770"/>
        <v/>
      </c>
      <c r="AF2222" s="16"/>
      <c r="AG2222" s="23"/>
      <c r="AH2222" s="22"/>
      <c r="AJ2222" s="83">
        <f t="shared" si="771"/>
        <v>0</v>
      </c>
      <c r="AO2222" s="22" t="str">
        <f t="shared" si="772"/>
        <v/>
      </c>
      <c r="AP2222" s="22" t="str">
        <f t="shared" si="773"/>
        <v/>
      </c>
    </row>
    <row r="2223" spans="1:42" x14ac:dyDescent="0.25">
      <c r="A2223" s="10"/>
      <c r="B2223" s="10"/>
      <c r="C2223" s="10"/>
      <c r="D2223" s="10"/>
      <c r="E2223" s="10"/>
      <c r="F2223" s="10"/>
      <c r="G2223" s="10"/>
      <c r="H2223" s="17"/>
      <c r="I2223" s="10"/>
      <c r="J2223" s="10"/>
      <c r="K2223" s="16" t="str">
        <f t="shared" si="752"/>
        <v/>
      </c>
      <c r="L2223" s="23" t="str">
        <f t="shared" si="753"/>
        <v/>
      </c>
      <c r="M2223" s="22" t="str">
        <f t="shared" si="754"/>
        <v/>
      </c>
      <c r="N2223" s="72"/>
      <c r="O2223" s="16" t="str">
        <f t="shared" si="755"/>
        <v/>
      </c>
      <c r="P2223" s="16" t="str">
        <f t="shared" si="756"/>
        <v/>
      </c>
      <c r="Q2223" s="16" t="str">
        <f t="shared" si="757"/>
        <v/>
      </c>
      <c r="R2223" s="23" t="str">
        <f t="shared" si="758"/>
        <v/>
      </c>
      <c r="S2223" s="23" t="str">
        <f t="shared" si="759"/>
        <v/>
      </c>
      <c r="T2223" s="23" t="str">
        <f t="shared" si="760"/>
        <v/>
      </c>
      <c r="U2223" s="23" t="str">
        <f t="shared" si="761"/>
        <v/>
      </c>
      <c r="V2223" s="23" t="str">
        <f t="shared" si="762"/>
        <v/>
      </c>
      <c r="W2223" s="70" t="str">
        <f t="shared" si="763"/>
        <v/>
      </c>
      <c r="X2223" s="70" t="str">
        <f t="shared" si="764"/>
        <v/>
      </c>
      <c r="Y2223" s="70" t="str">
        <f>IF(AND($A2223&lt;&gt;"",$E2223&gt;0),isLaptopBag($C2223,$J2223)*$D2223,"")</f>
        <v/>
      </c>
      <c r="Z2223" s="70" t="str">
        <f t="shared" si="765"/>
        <v/>
      </c>
      <c r="AA2223" s="70" t="str">
        <f t="shared" si="766"/>
        <v/>
      </c>
      <c r="AB2223" s="70" t="str">
        <f t="shared" si="767"/>
        <v/>
      </c>
      <c r="AC2223" s="70" t="str">
        <f t="shared" si="768"/>
        <v/>
      </c>
      <c r="AD2223" s="70" t="str">
        <f t="shared" si="769"/>
        <v/>
      </c>
      <c r="AE2223" s="70" t="str">
        <f t="shared" si="770"/>
        <v/>
      </c>
      <c r="AF2223" s="16"/>
      <c r="AG2223" s="23"/>
      <c r="AH2223" s="22"/>
      <c r="AJ2223" s="83">
        <f t="shared" si="771"/>
        <v>0</v>
      </c>
      <c r="AO2223" s="22" t="str">
        <f t="shared" si="772"/>
        <v/>
      </c>
      <c r="AP2223" s="22" t="str">
        <f t="shared" si="773"/>
        <v/>
      </c>
    </row>
    <row r="2224" spans="1:42" x14ac:dyDescent="0.25">
      <c r="A2224" s="10"/>
      <c r="B2224" s="10"/>
      <c r="C2224" s="10"/>
      <c r="D2224" s="10"/>
      <c r="E2224" s="10"/>
      <c r="F2224" s="10"/>
      <c r="G2224" s="10"/>
      <c r="H2224" s="17"/>
      <c r="I2224" s="10"/>
      <c r="J2224" s="10"/>
      <c r="K2224" s="16" t="str">
        <f t="shared" si="752"/>
        <v/>
      </c>
      <c r="L2224" s="23" t="str">
        <f t="shared" si="753"/>
        <v/>
      </c>
      <c r="M2224" s="22" t="str">
        <f t="shared" si="754"/>
        <v/>
      </c>
      <c r="N2224" s="72"/>
      <c r="O2224" s="16" t="str">
        <f t="shared" si="755"/>
        <v/>
      </c>
      <c r="P2224" s="16" t="str">
        <f t="shared" si="756"/>
        <v/>
      </c>
      <c r="Q2224" s="16" t="str">
        <f t="shared" si="757"/>
        <v/>
      </c>
      <c r="R2224" s="23" t="str">
        <f t="shared" si="758"/>
        <v/>
      </c>
      <c r="S2224" s="23" t="str">
        <f t="shared" si="759"/>
        <v/>
      </c>
      <c r="T2224" s="23" t="str">
        <f t="shared" si="760"/>
        <v/>
      </c>
      <c r="U2224" s="23" t="str">
        <f t="shared" si="761"/>
        <v/>
      </c>
      <c r="V2224" s="23" t="str">
        <f t="shared" si="762"/>
        <v/>
      </c>
      <c r="W2224" s="70" t="str">
        <f t="shared" si="763"/>
        <v/>
      </c>
      <c r="X2224" s="70" t="str">
        <f t="shared" si="764"/>
        <v/>
      </c>
      <c r="Y2224" s="70" t="str">
        <f>IF(AND($A2224&lt;&gt;"",$E2224&gt;0),isLaptopBag($C2224,$J2224)*$D2224,"")</f>
        <v/>
      </c>
      <c r="Z2224" s="70" t="str">
        <f t="shared" si="765"/>
        <v/>
      </c>
      <c r="AA2224" s="70" t="str">
        <f t="shared" si="766"/>
        <v/>
      </c>
      <c r="AB2224" s="70" t="str">
        <f t="shared" si="767"/>
        <v/>
      </c>
      <c r="AC2224" s="70" t="str">
        <f t="shared" si="768"/>
        <v/>
      </c>
      <c r="AD2224" s="70" t="str">
        <f t="shared" si="769"/>
        <v/>
      </c>
      <c r="AE2224" s="70" t="str">
        <f t="shared" si="770"/>
        <v/>
      </c>
      <c r="AF2224" s="16"/>
      <c r="AG2224" s="23"/>
      <c r="AH2224" s="22"/>
      <c r="AJ2224" s="83">
        <f t="shared" si="771"/>
        <v>0</v>
      </c>
      <c r="AO2224" s="22" t="str">
        <f t="shared" si="772"/>
        <v/>
      </c>
      <c r="AP2224" s="22" t="str">
        <f t="shared" si="773"/>
        <v/>
      </c>
    </row>
    <row r="2225" spans="1:42" x14ac:dyDescent="0.25">
      <c r="A2225" s="10"/>
      <c r="B2225" s="10"/>
      <c r="C2225" s="10"/>
      <c r="D2225" s="10"/>
      <c r="E2225" s="10"/>
      <c r="F2225" s="10"/>
      <c r="G2225" s="10"/>
      <c r="H2225" s="17"/>
      <c r="I2225" s="10"/>
      <c r="J2225" s="10"/>
      <c r="K2225" s="16" t="str">
        <f t="shared" si="752"/>
        <v/>
      </c>
      <c r="L2225" s="23" t="str">
        <f t="shared" si="753"/>
        <v/>
      </c>
      <c r="M2225" s="22" t="str">
        <f t="shared" si="754"/>
        <v/>
      </c>
      <c r="N2225" s="72"/>
      <c r="O2225" s="16" t="str">
        <f t="shared" si="755"/>
        <v/>
      </c>
      <c r="P2225" s="16" t="str">
        <f t="shared" si="756"/>
        <v/>
      </c>
      <c r="Q2225" s="16" t="str">
        <f t="shared" si="757"/>
        <v/>
      </c>
      <c r="R2225" s="23" t="str">
        <f t="shared" si="758"/>
        <v/>
      </c>
      <c r="S2225" s="23" t="str">
        <f t="shared" si="759"/>
        <v/>
      </c>
      <c r="T2225" s="23" t="str">
        <f t="shared" si="760"/>
        <v/>
      </c>
      <c r="U2225" s="23" t="str">
        <f t="shared" si="761"/>
        <v/>
      </c>
      <c r="V2225" s="23" t="str">
        <f t="shared" si="762"/>
        <v/>
      </c>
      <c r="W2225" s="70" t="str">
        <f t="shared" si="763"/>
        <v/>
      </c>
      <c r="X2225" s="70" t="str">
        <f t="shared" si="764"/>
        <v/>
      </c>
      <c r="Y2225" s="70" t="str">
        <f>IF(AND($A2225&lt;&gt;"",$E2225&gt;0),isLaptopBag($C2225,$J2225)*$D2225,"")</f>
        <v/>
      </c>
      <c r="Z2225" s="70" t="str">
        <f t="shared" si="765"/>
        <v/>
      </c>
      <c r="AA2225" s="70" t="str">
        <f t="shared" si="766"/>
        <v/>
      </c>
      <c r="AB2225" s="70" t="str">
        <f t="shared" si="767"/>
        <v/>
      </c>
      <c r="AC2225" s="70" t="str">
        <f t="shared" si="768"/>
        <v/>
      </c>
      <c r="AD2225" s="70" t="str">
        <f t="shared" si="769"/>
        <v/>
      </c>
      <c r="AE2225" s="70" t="str">
        <f t="shared" si="770"/>
        <v/>
      </c>
      <c r="AF2225" s="16"/>
      <c r="AG2225" s="23"/>
      <c r="AH2225" s="22"/>
      <c r="AJ2225" s="83">
        <f t="shared" si="771"/>
        <v>0</v>
      </c>
      <c r="AO2225" s="22" t="str">
        <f t="shared" si="772"/>
        <v/>
      </c>
      <c r="AP2225" s="22" t="str">
        <f t="shared" si="773"/>
        <v/>
      </c>
    </row>
    <row r="2226" spans="1:42" x14ac:dyDescent="0.25">
      <c r="A2226" s="10"/>
      <c r="B2226" s="10"/>
      <c r="C2226" s="10"/>
      <c r="D2226" s="10"/>
      <c r="E2226" s="10"/>
      <c r="F2226" s="10"/>
      <c r="G2226" s="10"/>
      <c r="H2226" s="17"/>
      <c r="I2226" s="10"/>
      <c r="J2226" s="10"/>
      <c r="K2226" s="16" t="str">
        <f t="shared" si="752"/>
        <v/>
      </c>
      <c r="L2226" s="23" t="str">
        <f t="shared" si="753"/>
        <v/>
      </c>
      <c r="M2226" s="22" t="str">
        <f t="shared" si="754"/>
        <v/>
      </c>
      <c r="N2226" s="72"/>
      <c r="O2226" s="16" t="str">
        <f t="shared" si="755"/>
        <v/>
      </c>
      <c r="P2226" s="16" t="str">
        <f t="shared" si="756"/>
        <v/>
      </c>
      <c r="Q2226" s="16" t="str">
        <f t="shared" si="757"/>
        <v/>
      </c>
      <c r="R2226" s="23" t="str">
        <f t="shared" si="758"/>
        <v/>
      </c>
      <c r="S2226" s="23" t="str">
        <f t="shared" si="759"/>
        <v/>
      </c>
      <c r="T2226" s="23" t="str">
        <f t="shared" si="760"/>
        <v/>
      </c>
      <c r="U2226" s="23" t="str">
        <f t="shared" si="761"/>
        <v/>
      </c>
      <c r="V2226" s="23" t="str">
        <f t="shared" si="762"/>
        <v/>
      </c>
      <c r="W2226" s="70" t="str">
        <f t="shared" si="763"/>
        <v/>
      </c>
      <c r="X2226" s="70" t="str">
        <f t="shared" si="764"/>
        <v/>
      </c>
      <c r="Y2226" s="70" t="str">
        <f>IF(AND($A2226&lt;&gt;"",$E2226&gt;0),isLaptopBag($C2226,$J2226)*$D2226,"")</f>
        <v/>
      </c>
      <c r="Z2226" s="70" t="str">
        <f t="shared" si="765"/>
        <v/>
      </c>
      <c r="AA2226" s="70" t="str">
        <f t="shared" si="766"/>
        <v/>
      </c>
      <c r="AB2226" s="70" t="str">
        <f t="shared" si="767"/>
        <v/>
      </c>
      <c r="AC2226" s="70" t="str">
        <f t="shared" si="768"/>
        <v/>
      </c>
      <c r="AD2226" s="70" t="str">
        <f t="shared" si="769"/>
        <v/>
      </c>
      <c r="AE2226" s="70" t="str">
        <f t="shared" si="770"/>
        <v/>
      </c>
      <c r="AF2226" s="16"/>
      <c r="AG2226" s="23"/>
      <c r="AH2226" s="22"/>
      <c r="AJ2226" s="83">
        <f t="shared" si="771"/>
        <v>0</v>
      </c>
      <c r="AO2226" s="22" t="str">
        <f t="shared" si="772"/>
        <v/>
      </c>
      <c r="AP2226" s="22" t="str">
        <f t="shared" si="773"/>
        <v/>
      </c>
    </row>
    <row r="2227" spans="1:42" x14ac:dyDescent="0.25">
      <c r="A2227" s="10"/>
      <c r="B2227" s="10"/>
      <c r="C2227" s="10"/>
      <c r="D2227" s="10"/>
      <c r="E2227" s="10"/>
      <c r="F2227" s="10"/>
      <c r="G2227" s="10"/>
      <c r="H2227" s="17"/>
      <c r="I2227" s="10"/>
      <c r="J2227" s="10"/>
      <c r="K2227" s="16" t="str">
        <f t="shared" si="752"/>
        <v/>
      </c>
      <c r="L2227" s="23" t="str">
        <f t="shared" si="753"/>
        <v/>
      </c>
      <c r="M2227" s="22" t="str">
        <f t="shared" si="754"/>
        <v/>
      </c>
      <c r="N2227" s="72"/>
      <c r="O2227" s="16" t="str">
        <f t="shared" si="755"/>
        <v/>
      </c>
      <c r="P2227" s="16" t="str">
        <f t="shared" si="756"/>
        <v/>
      </c>
      <c r="Q2227" s="16" t="str">
        <f t="shared" si="757"/>
        <v/>
      </c>
      <c r="R2227" s="23" t="str">
        <f t="shared" si="758"/>
        <v/>
      </c>
      <c r="S2227" s="23" t="str">
        <f t="shared" si="759"/>
        <v/>
      </c>
      <c r="T2227" s="23" t="str">
        <f t="shared" si="760"/>
        <v/>
      </c>
      <c r="U2227" s="23" t="str">
        <f t="shared" si="761"/>
        <v/>
      </c>
      <c r="V2227" s="23" t="str">
        <f t="shared" si="762"/>
        <v/>
      </c>
      <c r="W2227" s="70" t="str">
        <f t="shared" si="763"/>
        <v/>
      </c>
      <c r="X2227" s="70" t="str">
        <f t="shared" si="764"/>
        <v/>
      </c>
      <c r="Y2227" s="70" t="str">
        <f>IF(AND($A2227&lt;&gt;"",$E2227&gt;0),isLaptopBag($C2227,$J2227)*$D2227,"")</f>
        <v/>
      </c>
      <c r="Z2227" s="70" t="str">
        <f t="shared" si="765"/>
        <v/>
      </c>
      <c r="AA2227" s="70" t="str">
        <f t="shared" si="766"/>
        <v/>
      </c>
      <c r="AB2227" s="70" t="str">
        <f t="shared" si="767"/>
        <v/>
      </c>
      <c r="AC2227" s="70" t="str">
        <f t="shared" si="768"/>
        <v/>
      </c>
      <c r="AD2227" s="70" t="str">
        <f t="shared" si="769"/>
        <v/>
      </c>
      <c r="AE2227" s="70" t="str">
        <f t="shared" si="770"/>
        <v/>
      </c>
      <c r="AF2227" s="16"/>
      <c r="AG2227" s="23"/>
      <c r="AH2227" s="22"/>
      <c r="AJ2227" s="83">
        <f t="shared" si="771"/>
        <v>0</v>
      </c>
      <c r="AO2227" s="22" t="str">
        <f t="shared" si="772"/>
        <v/>
      </c>
      <c r="AP2227" s="22" t="str">
        <f t="shared" si="773"/>
        <v/>
      </c>
    </row>
    <row r="2228" spans="1:42" x14ac:dyDescent="0.25">
      <c r="A2228" s="10"/>
      <c r="B2228" s="10"/>
      <c r="C2228" s="10"/>
      <c r="D2228" s="10"/>
      <c r="E2228" s="10"/>
      <c r="F2228" s="10"/>
      <c r="G2228" s="10"/>
      <c r="H2228" s="17"/>
      <c r="I2228" s="10"/>
      <c r="J2228" s="10"/>
      <c r="K2228" s="16" t="str">
        <f t="shared" si="752"/>
        <v/>
      </c>
      <c r="L2228" s="23" t="str">
        <f t="shared" si="753"/>
        <v/>
      </c>
      <c r="M2228" s="22" t="str">
        <f t="shared" si="754"/>
        <v/>
      </c>
      <c r="N2228" s="72"/>
      <c r="O2228" s="16" t="str">
        <f t="shared" si="755"/>
        <v/>
      </c>
      <c r="P2228" s="16" t="str">
        <f t="shared" si="756"/>
        <v/>
      </c>
      <c r="Q2228" s="16" t="str">
        <f t="shared" si="757"/>
        <v/>
      </c>
      <c r="R2228" s="23" t="str">
        <f t="shared" si="758"/>
        <v/>
      </c>
      <c r="S2228" s="23" t="str">
        <f t="shared" si="759"/>
        <v/>
      </c>
      <c r="T2228" s="23" t="str">
        <f t="shared" si="760"/>
        <v/>
      </c>
      <c r="U2228" s="23" t="str">
        <f t="shared" si="761"/>
        <v/>
      </c>
      <c r="V2228" s="23" t="str">
        <f t="shared" si="762"/>
        <v/>
      </c>
      <c r="W2228" s="70" t="str">
        <f t="shared" si="763"/>
        <v/>
      </c>
      <c r="X2228" s="70" t="str">
        <f t="shared" si="764"/>
        <v/>
      </c>
      <c r="Y2228" s="70" t="str">
        <f>IF(AND($A2228&lt;&gt;"",$E2228&gt;0),isLaptopBag($C2228,$J2228)*$D2228,"")</f>
        <v/>
      </c>
      <c r="Z2228" s="70" t="str">
        <f t="shared" si="765"/>
        <v/>
      </c>
      <c r="AA2228" s="70" t="str">
        <f t="shared" si="766"/>
        <v/>
      </c>
      <c r="AB2228" s="70" t="str">
        <f t="shared" si="767"/>
        <v/>
      </c>
      <c r="AC2228" s="70" t="str">
        <f t="shared" si="768"/>
        <v/>
      </c>
      <c r="AD2228" s="70" t="str">
        <f t="shared" si="769"/>
        <v/>
      </c>
      <c r="AE2228" s="70" t="str">
        <f t="shared" si="770"/>
        <v/>
      </c>
      <c r="AF2228" s="16"/>
      <c r="AG2228" s="23"/>
      <c r="AH2228" s="22"/>
      <c r="AJ2228" s="83">
        <f t="shared" si="771"/>
        <v>0</v>
      </c>
      <c r="AO2228" s="22" t="str">
        <f t="shared" si="772"/>
        <v/>
      </c>
      <c r="AP2228" s="22" t="str">
        <f t="shared" si="773"/>
        <v/>
      </c>
    </row>
    <row r="2229" spans="1:42" x14ac:dyDescent="0.25">
      <c r="A2229" s="10"/>
      <c r="B2229" s="10"/>
      <c r="C2229" s="10"/>
      <c r="D2229" s="10"/>
      <c r="E2229" s="10"/>
      <c r="F2229" s="10"/>
      <c r="G2229" s="10"/>
      <c r="H2229" s="17"/>
      <c r="I2229" s="10"/>
      <c r="J2229" s="10"/>
      <c r="K2229" s="16" t="str">
        <f t="shared" si="752"/>
        <v/>
      </c>
      <c r="L2229" s="23" t="str">
        <f t="shared" si="753"/>
        <v/>
      </c>
      <c r="M2229" s="22" t="str">
        <f t="shared" si="754"/>
        <v/>
      </c>
      <c r="N2229" s="72"/>
      <c r="O2229" s="16" t="str">
        <f t="shared" si="755"/>
        <v/>
      </c>
      <c r="P2229" s="16" t="str">
        <f t="shared" si="756"/>
        <v/>
      </c>
      <c r="Q2229" s="16" t="str">
        <f t="shared" si="757"/>
        <v/>
      </c>
      <c r="R2229" s="23" t="str">
        <f t="shared" si="758"/>
        <v/>
      </c>
      <c r="S2229" s="23" t="str">
        <f t="shared" si="759"/>
        <v/>
      </c>
      <c r="T2229" s="23" t="str">
        <f t="shared" si="760"/>
        <v/>
      </c>
      <c r="U2229" s="23" t="str">
        <f t="shared" si="761"/>
        <v/>
      </c>
      <c r="V2229" s="23" t="str">
        <f t="shared" si="762"/>
        <v/>
      </c>
      <c r="W2229" s="70" t="str">
        <f t="shared" si="763"/>
        <v/>
      </c>
      <c r="X2229" s="70" t="str">
        <f t="shared" si="764"/>
        <v/>
      </c>
      <c r="Y2229" s="70" t="str">
        <f>IF(AND($A2229&lt;&gt;"",$E2229&gt;0),isLaptopBag($C2229,$J2229)*$D2229,"")</f>
        <v/>
      </c>
      <c r="Z2229" s="70" t="str">
        <f t="shared" si="765"/>
        <v/>
      </c>
      <c r="AA2229" s="70" t="str">
        <f t="shared" si="766"/>
        <v/>
      </c>
      <c r="AB2229" s="70" t="str">
        <f t="shared" si="767"/>
        <v/>
      </c>
      <c r="AC2229" s="70" t="str">
        <f t="shared" si="768"/>
        <v/>
      </c>
      <c r="AD2229" s="70" t="str">
        <f t="shared" si="769"/>
        <v/>
      </c>
      <c r="AE2229" s="70" t="str">
        <f t="shared" si="770"/>
        <v/>
      </c>
      <c r="AF2229" s="16"/>
      <c r="AG2229" s="23"/>
      <c r="AH2229" s="22"/>
      <c r="AJ2229" s="83">
        <f t="shared" si="771"/>
        <v>0</v>
      </c>
      <c r="AO2229" s="22" t="str">
        <f t="shared" si="772"/>
        <v/>
      </c>
      <c r="AP2229" s="22" t="str">
        <f t="shared" si="773"/>
        <v/>
      </c>
    </row>
    <row r="2230" spans="1:42" x14ac:dyDescent="0.25">
      <c r="A2230" s="10"/>
      <c r="B2230" s="10"/>
      <c r="C2230" s="10"/>
      <c r="D2230" s="10"/>
      <c r="E2230" s="10"/>
      <c r="F2230" s="10"/>
      <c r="G2230" s="10"/>
      <c r="H2230" s="17"/>
      <c r="I2230" s="10"/>
      <c r="J2230" s="10"/>
      <c r="K2230" s="16" t="str">
        <f t="shared" si="752"/>
        <v/>
      </c>
      <c r="L2230" s="23" t="str">
        <f t="shared" si="753"/>
        <v/>
      </c>
      <c r="M2230" s="22" t="str">
        <f t="shared" si="754"/>
        <v/>
      </c>
      <c r="N2230" s="72"/>
      <c r="O2230" s="16" t="str">
        <f t="shared" si="755"/>
        <v/>
      </c>
      <c r="P2230" s="16" t="str">
        <f t="shared" si="756"/>
        <v/>
      </c>
      <c r="Q2230" s="16" t="str">
        <f t="shared" si="757"/>
        <v/>
      </c>
      <c r="R2230" s="23" t="str">
        <f t="shared" si="758"/>
        <v/>
      </c>
      <c r="S2230" s="23" t="str">
        <f t="shared" si="759"/>
        <v/>
      </c>
      <c r="T2230" s="23" t="str">
        <f t="shared" si="760"/>
        <v/>
      </c>
      <c r="U2230" s="23" t="str">
        <f t="shared" si="761"/>
        <v/>
      </c>
      <c r="V2230" s="23" t="str">
        <f t="shared" si="762"/>
        <v/>
      </c>
      <c r="W2230" s="70" t="str">
        <f t="shared" si="763"/>
        <v/>
      </c>
      <c r="X2230" s="70" t="str">
        <f t="shared" si="764"/>
        <v/>
      </c>
      <c r="Y2230" s="70" t="str">
        <f>IF(AND($A2230&lt;&gt;"",$E2230&gt;0),isLaptopBag($C2230,$J2230)*$D2230,"")</f>
        <v/>
      </c>
      <c r="Z2230" s="70" t="str">
        <f t="shared" si="765"/>
        <v/>
      </c>
      <c r="AA2230" s="70" t="str">
        <f t="shared" si="766"/>
        <v/>
      </c>
      <c r="AB2230" s="70" t="str">
        <f t="shared" si="767"/>
        <v/>
      </c>
      <c r="AC2230" s="70" t="str">
        <f t="shared" si="768"/>
        <v/>
      </c>
      <c r="AD2230" s="70" t="str">
        <f t="shared" si="769"/>
        <v/>
      </c>
      <c r="AE2230" s="70" t="str">
        <f t="shared" si="770"/>
        <v/>
      </c>
      <c r="AF2230" s="16"/>
      <c r="AG2230" s="23"/>
      <c r="AH2230" s="22"/>
      <c r="AJ2230" s="83">
        <f t="shared" si="771"/>
        <v>0</v>
      </c>
      <c r="AO2230" s="22" t="str">
        <f t="shared" si="772"/>
        <v/>
      </c>
      <c r="AP2230" s="22" t="str">
        <f t="shared" si="773"/>
        <v/>
      </c>
    </row>
    <row r="2231" spans="1:42" x14ac:dyDescent="0.25">
      <c r="A2231" s="10"/>
      <c r="B2231" s="10"/>
      <c r="C2231" s="10"/>
      <c r="D2231" s="10"/>
      <c r="E2231" s="10"/>
      <c r="F2231" s="10"/>
      <c r="G2231" s="10"/>
      <c r="H2231" s="17"/>
      <c r="I2231" s="10"/>
      <c r="J2231" s="10"/>
      <c r="K2231" s="16" t="str">
        <f t="shared" si="752"/>
        <v/>
      </c>
      <c r="L2231" s="23" t="str">
        <f t="shared" si="753"/>
        <v/>
      </c>
      <c r="M2231" s="22" t="str">
        <f t="shared" si="754"/>
        <v/>
      </c>
      <c r="N2231" s="72"/>
      <c r="O2231" s="16" t="str">
        <f t="shared" si="755"/>
        <v/>
      </c>
      <c r="P2231" s="16" t="str">
        <f t="shared" si="756"/>
        <v/>
      </c>
      <c r="Q2231" s="16" t="str">
        <f t="shared" si="757"/>
        <v/>
      </c>
      <c r="R2231" s="23" t="str">
        <f t="shared" si="758"/>
        <v/>
      </c>
      <c r="S2231" s="23" t="str">
        <f t="shared" si="759"/>
        <v/>
      </c>
      <c r="T2231" s="23" t="str">
        <f t="shared" si="760"/>
        <v/>
      </c>
      <c r="U2231" s="23" t="str">
        <f t="shared" si="761"/>
        <v/>
      </c>
      <c r="V2231" s="23" t="str">
        <f t="shared" si="762"/>
        <v/>
      </c>
      <c r="W2231" s="70" t="str">
        <f t="shared" si="763"/>
        <v/>
      </c>
      <c r="X2231" s="70" t="str">
        <f t="shared" si="764"/>
        <v/>
      </c>
      <c r="Y2231" s="70" t="str">
        <f>IF(AND($A2231&lt;&gt;"",$E2231&gt;0),isLaptopBag($C2231,$J2231)*$D2231,"")</f>
        <v/>
      </c>
      <c r="Z2231" s="70" t="str">
        <f t="shared" si="765"/>
        <v/>
      </c>
      <c r="AA2231" s="70" t="str">
        <f t="shared" si="766"/>
        <v/>
      </c>
      <c r="AB2231" s="70" t="str">
        <f t="shared" si="767"/>
        <v/>
      </c>
      <c r="AC2231" s="70" t="str">
        <f t="shared" si="768"/>
        <v/>
      </c>
      <c r="AD2231" s="70" t="str">
        <f t="shared" si="769"/>
        <v/>
      </c>
      <c r="AE2231" s="70" t="str">
        <f t="shared" si="770"/>
        <v/>
      </c>
      <c r="AF2231" s="16"/>
      <c r="AG2231" s="23"/>
      <c r="AH2231" s="22"/>
      <c r="AJ2231" s="83">
        <f t="shared" si="771"/>
        <v>0</v>
      </c>
      <c r="AO2231" s="22" t="str">
        <f t="shared" si="772"/>
        <v/>
      </c>
      <c r="AP2231" s="22" t="str">
        <f t="shared" si="773"/>
        <v/>
      </c>
    </row>
    <row r="2232" spans="1:42" x14ac:dyDescent="0.25">
      <c r="A2232" s="10"/>
      <c r="B2232" s="10"/>
      <c r="C2232" s="10"/>
      <c r="D2232" s="10"/>
      <c r="E2232" s="10"/>
      <c r="F2232" s="10"/>
      <c r="G2232" s="10"/>
      <c r="H2232" s="17"/>
      <c r="I2232" s="10"/>
      <c r="J2232" s="10"/>
      <c r="K2232" s="16" t="str">
        <f t="shared" si="752"/>
        <v/>
      </c>
      <c r="L2232" s="23" t="str">
        <f t="shared" si="753"/>
        <v/>
      </c>
      <c r="M2232" s="22" t="str">
        <f t="shared" si="754"/>
        <v/>
      </c>
      <c r="N2232" s="72"/>
      <c r="O2232" s="16" t="str">
        <f t="shared" si="755"/>
        <v/>
      </c>
      <c r="P2232" s="16" t="str">
        <f t="shared" si="756"/>
        <v/>
      </c>
      <c r="Q2232" s="16" t="str">
        <f t="shared" si="757"/>
        <v/>
      </c>
      <c r="R2232" s="23" t="str">
        <f t="shared" si="758"/>
        <v/>
      </c>
      <c r="S2232" s="23" t="str">
        <f t="shared" si="759"/>
        <v/>
      </c>
      <c r="T2232" s="23" t="str">
        <f t="shared" si="760"/>
        <v/>
      </c>
      <c r="U2232" s="23" t="str">
        <f t="shared" si="761"/>
        <v/>
      </c>
      <c r="V2232" s="23" t="str">
        <f t="shared" si="762"/>
        <v/>
      </c>
      <c r="W2232" s="70" t="str">
        <f t="shared" si="763"/>
        <v/>
      </c>
      <c r="X2232" s="70" t="str">
        <f t="shared" si="764"/>
        <v/>
      </c>
      <c r="Y2232" s="70" t="str">
        <f>IF(AND($A2232&lt;&gt;"",$E2232&gt;0),isLaptopBag($C2232,$J2232)*$D2232,"")</f>
        <v/>
      </c>
      <c r="Z2232" s="70" t="str">
        <f t="shared" si="765"/>
        <v/>
      </c>
      <c r="AA2232" s="70" t="str">
        <f t="shared" si="766"/>
        <v/>
      </c>
      <c r="AB2232" s="70" t="str">
        <f t="shared" si="767"/>
        <v/>
      </c>
      <c r="AC2232" s="70" t="str">
        <f t="shared" si="768"/>
        <v/>
      </c>
      <c r="AD2232" s="70" t="str">
        <f t="shared" si="769"/>
        <v/>
      </c>
      <c r="AE2232" s="70" t="str">
        <f t="shared" si="770"/>
        <v/>
      </c>
      <c r="AF2232" s="16"/>
      <c r="AG2232" s="23"/>
      <c r="AH2232" s="22"/>
      <c r="AJ2232" s="83">
        <f t="shared" si="771"/>
        <v>0</v>
      </c>
      <c r="AO2232" s="22" t="str">
        <f t="shared" si="772"/>
        <v/>
      </c>
      <c r="AP2232" s="22" t="str">
        <f t="shared" si="773"/>
        <v/>
      </c>
    </row>
    <row r="2233" spans="1:42" x14ac:dyDescent="0.25">
      <c r="A2233" s="10"/>
      <c r="B2233" s="10"/>
      <c r="C2233" s="10"/>
      <c r="D2233" s="10"/>
      <c r="E2233" s="10"/>
      <c r="F2233" s="10"/>
      <c r="G2233" s="10"/>
      <c r="H2233" s="17"/>
      <c r="I2233" s="10"/>
      <c r="J2233" s="10"/>
      <c r="K2233" s="16" t="str">
        <f t="shared" si="752"/>
        <v/>
      </c>
      <c r="L2233" s="23" t="str">
        <f t="shared" si="753"/>
        <v/>
      </c>
      <c r="M2233" s="22" t="str">
        <f t="shared" si="754"/>
        <v/>
      </c>
      <c r="N2233" s="72"/>
      <c r="O2233" s="16" t="str">
        <f t="shared" si="755"/>
        <v/>
      </c>
      <c r="P2233" s="16" t="str">
        <f t="shared" si="756"/>
        <v/>
      </c>
      <c r="Q2233" s="16" t="str">
        <f t="shared" si="757"/>
        <v/>
      </c>
      <c r="R2233" s="23" t="str">
        <f t="shared" si="758"/>
        <v/>
      </c>
      <c r="S2233" s="23" t="str">
        <f t="shared" si="759"/>
        <v/>
      </c>
      <c r="T2233" s="23" t="str">
        <f t="shared" si="760"/>
        <v/>
      </c>
      <c r="U2233" s="23" t="str">
        <f t="shared" si="761"/>
        <v/>
      </c>
      <c r="V2233" s="23" t="str">
        <f t="shared" si="762"/>
        <v/>
      </c>
      <c r="W2233" s="70" t="str">
        <f t="shared" si="763"/>
        <v/>
      </c>
      <c r="X2233" s="70" t="str">
        <f t="shared" si="764"/>
        <v/>
      </c>
      <c r="Y2233" s="70" t="str">
        <f>IF(AND($A2233&lt;&gt;"",$E2233&gt;0),isLaptopBag($C2233,$J2233)*$D2233,"")</f>
        <v/>
      </c>
      <c r="Z2233" s="70" t="str">
        <f t="shared" si="765"/>
        <v/>
      </c>
      <c r="AA2233" s="70" t="str">
        <f t="shared" si="766"/>
        <v/>
      </c>
      <c r="AB2233" s="70" t="str">
        <f t="shared" si="767"/>
        <v/>
      </c>
      <c r="AC2233" s="70" t="str">
        <f t="shared" si="768"/>
        <v/>
      </c>
      <c r="AD2233" s="70" t="str">
        <f t="shared" si="769"/>
        <v/>
      </c>
      <c r="AE2233" s="70" t="str">
        <f t="shared" si="770"/>
        <v/>
      </c>
      <c r="AF2233" s="16"/>
      <c r="AG2233" s="23"/>
      <c r="AH2233" s="22"/>
      <c r="AJ2233" s="83">
        <f t="shared" si="771"/>
        <v>0</v>
      </c>
      <c r="AO2233" s="22" t="str">
        <f t="shared" si="772"/>
        <v/>
      </c>
      <c r="AP2233" s="22" t="str">
        <f t="shared" si="773"/>
        <v/>
      </c>
    </row>
    <row r="2234" spans="1:42" x14ac:dyDescent="0.25">
      <c r="A2234" s="10"/>
      <c r="B2234" s="10"/>
      <c r="C2234" s="10"/>
      <c r="D2234" s="10"/>
      <c r="E2234" s="10"/>
      <c r="F2234" s="10"/>
      <c r="G2234" s="10"/>
      <c r="H2234" s="17"/>
      <c r="I2234" s="10"/>
      <c r="J2234" s="10"/>
      <c r="K2234" s="16" t="str">
        <f t="shared" si="752"/>
        <v/>
      </c>
      <c r="L2234" s="23" t="str">
        <f t="shared" si="753"/>
        <v/>
      </c>
      <c r="M2234" s="22" t="str">
        <f t="shared" si="754"/>
        <v/>
      </c>
      <c r="N2234" s="72"/>
      <c r="O2234" s="16" t="str">
        <f t="shared" si="755"/>
        <v/>
      </c>
      <c r="P2234" s="16" t="str">
        <f t="shared" si="756"/>
        <v/>
      </c>
      <c r="Q2234" s="16" t="str">
        <f t="shared" si="757"/>
        <v/>
      </c>
      <c r="R2234" s="23" t="str">
        <f t="shared" si="758"/>
        <v/>
      </c>
      <c r="S2234" s="23" t="str">
        <f t="shared" si="759"/>
        <v/>
      </c>
      <c r="T2234" s="23" t="str">
        <f t="shared" si="760"/>
        <v/>
      </c>
      <c r="U2234" s="23" t="str">
        <f t="shared" si="761"/>
        <v/>
      </c>
      <c r="V2234" s="23" t="str">
        <f t="shared" si="762"/>
        <v/>
      </c>
      <c r="W2234" s="70" t="str">
        <f t="shared" si="763"/>
        <v/>
      </c>
      <c r="X2234" s="70" t="str">
        <f t="shared" si="764"/>
        <v/>
      </c>
      <c r="Y2234" s="70" t="str">
        <f>IF(AND($A2234&lt;&gt;"",$E2234&gt;0),isLaptopBag($C2234,$J2234)*$D2234,"")</f>
        <v/>
      </c>
      <c r="Z2234" s="70" t="str">
        <f t="shared" si="765"/>
        <v/>
      </c>
      <c r="AA2234" s="70" t="str">
        <f t="shared" si="766"/>
        <v/>
      </c>
      <c r="AB2234" s="70" t="str">
        <f t="shared" si="767"/>
        <v/>
      </c>
      <c r="AC2234" s="70" t="str">
        <f t="shared" si="768"/>
        <v/>
      </c>
      <c r="AD2234" s="70" t="str">
        <f t="shared" si="769"/>
        <v/>
      </c>
      <c r="AE2234" s="70" t="str">
        <f t="shared" si="770"/>
        <v/>
      </c>
      <c r="AF2234" s="16"/>
      <c r="AG2234" s="23"/>
      <c r="AH2234" s="22"/>
      <c r="AJ2234" s="83">
        <f t="shared" si="771"/>
        <v>0</v>
      </c>
      <c r="AO2234" s="22" t="str">
        <f t="shared" si="772"/>
        <v/>
      </c>
      <c r="AP2234" s="22" t="str">
        <f t="shared" si="773"/>
        <v/>
      </c>
    </row>
    <row r="2235" spans="1:42" x14ac:dyDescent="0.25">
      <c r="A2235" s="10"/>
      <c r="B2235" s="10"/>
      <c r="C2235" s="10"/>
      <c r="D2235" s="10"/>
      <c r="E2235" s="10"/>
      <c r="F2235" s="10"/>
      <c r="G2235" s="10"/>
      <c r="H2235" s="17"/>
      <c r="I2235" s="10"/>
      <c r="J2235" s="10"/>
      <c r="K2235" s="16" t="str">
        <f t="shared" si="752"/>
        <v/>
      </c>
      <c r="L2235" s="23" t="str">
        <f t="shared" si="753"/>
        <v/>
      </c>
      <c r="M2235" s="22" t="str">
        <f t="shared" si="754"/>
        <v/>
      </c>
      <c r="N2235" s="72"/>
      <c r="O2235" s="16" t="str">
        <f t="shared" si="755"/>
        <v/>
      </c>
      <c r="P2235" s="16" t="str">
        <f t="shared" si="756"/>
        <v/>
      </c>
      <c r="Q2235" s="16" t="str">
        <f t="shared" si="757"/>
        <v/>
      </c>
      <c r="R2235" s="23" t="str">
        <f t="shared" si="758"/>
        <v/>
      </c>
      <c r="S2235" s="23" t="str">
        <f t="shared" si="759"/>
        <v/>
      </c>
      <c r="T2235" s="23" t="str">
        <f t="shared" si="760"/>
        <v/>
      </c>
      <c r="U2235" s="23" t="str">
        <f t="shared" si="761"/>
        <v/>
      </c>
      <c r="V2235" s="23" t="str">
        <f t="shared" si="762"/>
        <v/>
      </c>
      <c r="W2235" s="70" t="str">
        <f t="shared" si="763"/>
        <v/>
      </c>
      <c r="X2235" s="70" t="str">
        <f t="shared" si="764"/>
        <v/>
      </c>
      <c r="Y2235" s="70" t="str">
        <f>IF(AND($A2235&lt;&gt;"",$E2235&gt;0),isLaptopBag($C2235,$J2235)*$D2235,"")</f>
        <v/>
      </c>
      <c r="Z2235" s="70" t="str">
        <f t="shared" si="765"/>
        <v/>
      </c>
      <c r="AA2235" s="70" t="str">
        <f t="shared" si="766"/>
        <v/>
      </c>
      <c r="AB2235" s="70" t="str">
        <f t="shared" si="767"/>
        <v/>
      </c>
      <c r="AC2235" s="70" t="str">
        <f t="shared" si="768"/>
        <v/>
      </c>
      <c r="AD2235" s="70" t="str">
        <f t="shared" si="769"/>
        <v/>
      </c>
      <c r="AE2235" s="70" t="str">
        <f t="shared" si="770"/>
        <v/>
      </c>
      <c r="AF2235" s="16"/>
      <c r="AG2235" s="23"/>
      <c r="AH2235" s="22"/>
      <c r="AJ2235" s="83">
        <f t="shared" si="771"/>
        <v>0</v>
      </c>
      <c r="AO2235" s="22" t="str">
        <f t="shared" si="772"/>
        <v/>
      </c>
      <c r="AP2235" s="22" t="str">
        <f t="shared" si="773"/>
        <v/>
      </c>
    </row>
    <row r="2236" spans="1:42" x14ac:dyDescent="0.25">
      <c r="A2236" s="10"/>
      <c r="B2236" s="10"/>
      <c r="C2236" s="10"/>
      <c r="D2236" s="10"/>
      <c r="E2236" s="10"/>
      <c r="F2236" s="10"/>
      <c r="G2236" s="10"/>
      <c r="H2236" s="17"/>
      <c r="I2236" s="10"/>
      <c r="J2236" s="10"/>
      <c r="K2236" s="16" t="str">
        <f t="shared" si="752"/>
        <v/>
      </c>
      <c r="L2236" s="23" t="str">
        <f t="shared" si="753"/>
        <v/>
      </c>
      <c r="M2236" s="22" t="str">
        <f t="shared" si="754"/>
        <v/>
      </c>
      <c r="N2236" s="72"/>
      <c r="O2236" s="16" t="str">
        <f t="shared" si="755"/>
        <v/>
      </c>
      <c r="P2236" s="16" t="str">
        <f t="shared" si="756"/>
        <v/>
      </c>
      <c r="Q2236" s="16" t="str">
        <f t="shared" si="757"/>
        <v/>
      </c>
      <c r="R2236" s="23" t="str">
        <f t="shared" si="758"/>
        <v/>
      </c>
      <c r="S2236" s="23" t="str">
        <f t="shared" si="759"/>
        <v/>
      </c>
      <c r="T2236" s="23" t="str">
        <f t="shared" si="760"/>
        <v/>
      </c>
      <c r="U2236" s="23" t="str">
        <f t="shared" si="761"/>
        <v/>
      </c>
      <c r="V2236" s="23" t="str">
        <f t="shared" si="762"/>
        <v/>
      </c>
      <c r="W2236" s="70" t="str">
        <f t="shared" si="763"/>
        <v/>
      </c>
      <c r="X2236" s="70" t="str">
        <f t="shared" si="764"/>
        <v/>
      </c>
      <c r="Y2236" s="70" t="str">
        <f>IF(AND($A2236&lt;&gt;"",$E2236&gt;0),isLaptopBag($C2236,$J2236)*$D2236,"")</f>
        <v/>
      </c>
      <c r="Z2236" s="70" t="str">
        <f t="shared" si="765"/>
        <v/>
      </c>
      <c r="AA2236" s="70" t="str">
        <f t="shared" si="766"/>
        <v/>
      </c>
      <c r="AB2236" s="70" t="str">
        <f t="shared" si="767"/>
        <v/>
      </c>
      <c r="AC2236" s="70" t="str">
        <f t="shared" si="768"/>
        <v/>
      </c>
      <c r="AD2236" s="70" t="str">
        <f t="shared" si="769"/>
        <v/>
      </c>
      <c r="AE2236" s="70" t="str">
        <f t="shared" si="770"/>
        <v/>
      </c>
      <c r="AF2236" s="16"/>
      <c r="AG2236" s="23"/>
      <c r="AH2236" s="22"/>
      <c r="AJ2236" s="83">
        <f t="shared" si="771"/>
        <v>0</v>
      </c>
      <c r="AO2236" s="22" t="str">
        <f t="shared" si="772"/>
        <v/>
      </c>
      <c r="AP2236" s="22" t="str">
        <f t="shared" si="773"/>
        <v/>
      </c>
    </row>
    <row r="2237" spans="1:42" x14ac:dyDescent="0.25">
      <c r="A2237" s="10"/>
      <c r="B2237" s="10"/>
      <c r="C2237" s="10"/>
      <c r="D2237" s="10"/>
      <c r="E2237" s="10"/>
      <c r="F2237" s="10"/>
      <c r="G2237" s="10"/>
      <c r="H2237" s="17"/>
      <c r="I2237" s="10"/>
      <c r="J2237" s="10"/>
      <c r="K2237" s="16" t="str">
        <f t="shared" si="752"/>
        <v/>
      </c>
      <c r="L2237" s="23" t="str">
        <f t="shared" si="753"/>
        <v/>
      </c>
      <c r="M2237" s="22" t="str">
        <f t="shared" si="754"/>
        <v/>
      </c>
      <c r="N2237" s="72"/>
      <c r="O2237" s="16" t="str">
        <f t="shared" si="755"/>
        <v/>
      </c>
      <c r="P2237" s="16" t="str">
        <f t="shared" si="756"/>
        <v/>
      </c>
      <c r="Q2237" s="16" t="str">
        <f t="shared" si="757"/>
        <v/>
      </c>
      <c r="R2237" s="23" t="str">
        <f t="shared" si="758"/>
        <v/>
      </c>
      <c r="S2237" s="23" t="str">
        <f t="shared" si="759"/>
        <v/>
      </c>
      <c r="T2237" s="23" t="str">
        <f t="shared" si="760"/>
        <v/>
      </c>
      <c r="U2237" s="23" t="str">
        <f t="shared" si="761"/>
        <v/>
      </c>
      <c r="V2237" s="23" t="str">
        <f t="shared" si="762"/>
        <v/>
      </c>
      <c r="W2237" s="70" t="str">
        <f t="shared" si="763"/>
        <v/>
      </c>
      <c r="X2237" s="70" t="str">
        <f t="shared" si="764"/>
        <v/>
      </c>
      <c r="Y2237" s="70" t="str">
        <f>IF(AND($A2237&lt;&gt;"",$E2237&gt;0),isLaptopBag($C2237,$J2237)*$D2237,"")</f>
        <v/>
      </c>
      <c r="Z2237" s="70" t="str">
        <f t="shared" si="765"/>
        <v/>
      </c>
      <c r="AA2237" s="70" t="str">
        <f t="shared" si="766"/>
        <v/>
      </c>
      <c r="AB2237" s="70" t="str">
        <f t="shared" si="767"/>
        <v/>
      </c>
      <c r="AC2237" s="70" t="str">
        <f t="shared" si="768"/>
        <v/>
      </c>
      <c r="AD2237" s="70" t="str">
        <f t="shared" si="769"/>
        <v/>
      </c>
      <c r="AE2237" s="70" t="str">
        <f t="shared" si="770"/>
        <v/>
      </c>
      <c r="AF2237" s="16"/>
      <c r="AG2237" s="23"/>
      <c r="AH2237" s="22"/>
      <c r="AJ2237" s="83">
        <f t="shared" si="771"/>
        <v>0</v>
      </c>
      <c r="AO2237" s="22" t="str">
        <f t="shared" si="772"/>
        <v/>
      </c>
      <c r="AP2237" s="22" t="str">
        <f t="shared" si="773"/>
        <v/>
      </c>
    </row>
    <row r="2238" spans="1:42" x14ac:dyDescent="0.25">
      <c r="A2238" s="10"/>
      <c r="B2238" s="10"/>
      <c r="C2238" s="10"/>
      <c r="D2238" s="10"/>
      <c r="E2238" s="10"/>
      <c r="F2238" s="10"/>
      <c r="G2238" s="10"/>
      <c r="H2238" s="17"/>
      <c r="I2238" s="10"/>
      <c r="J2238" s="10"/>
      <c r="K2238" s="16" t="str">
        <f t="shared" si="752"/>
        <v/>
      </c>
      <c r="L2238" s="23" t="str">
        <f t="shared" si="753"/>
        <v/>
      </c>
      <c r="M2238" s="22" t="str">
        <f t="shared" si="754"/>
        <v/>
      </c>
      <c r="N2238" s="72"/>
      <c r="O2238" s="16" t="str">
        <f t="shared" si="755"/>
        <v/>
      </c>
      <c r="P2238" s="16" t="str">
        <f t="shared" si="756"/>
        <v/>
      </c>
      <c r="Q2238" s="16" t="str">
        <f t="shared" si="757"/>
        <v/>
      </c>
      <c r="R2238" s="23" t="str">
        <f t="shared" si="758"/>
        <v/>
      </c>
      <c r="S2238" s="23" t="str">
        <f t="shared" si="759"/>
        <v/>
      </c>
      <c r="T2238" s="23" t="str">
        <f t="shared" si="760"/>
        <v/>
      </c>
      <c r="U2238" s="23" t="str">
        <f t="shared" si="761"/>
        <v/>
      </c>
      <c r="V2238" s="23" t="str">
        <f t="shared" si="762"/>
        <v/>
      </c>
      <c r="W2238" s="70" t="str">
        <f t="shared" si="763"/>
        <v/>
      </c>
      <c r="X2238" s="70" t="str">
        <f t="shared" si="764"/>
        <v/>
      </c>
      <c r="Y2238" s="70" t="str">
        <f>IF(AND($A2238&lt;&gt;"",$E2238&gt;0),isLaptopBag($C2238,$J2238)*$D2238,"")</f>
        <v/>
      </c>
      <c r="Z2238" s="70" t="str">
        <f t="shared" si="765"/>
        <v/>
      </c>
      <c r="AA2238" s="70" t="str">
        <f t="shared" si="766"/>
        <v/>
      </c>
      <c r="AB2238" s="70" t="str">
        <f t="shared" si="767"/>
        <v/>
      </c>
      <c r="AC2238" s="70" t="str">
        <f t="shared" si="768"/>
        <v/>
      </c>
      <c r="AD2238" s="70" t="str">
        <f t="shared" si="769"/>
        <v/>
      </c>
      <c r="AE2238" s="70" t="str">
        <f t="shared" si="770"/>
        <v/>
      </c>
      <c r="AF2238" s="16"/>
      <c r="AG2238" s="23"/>
      <c r="AH2238" s="22"/>
      <c r="AJ2238" s="83">
        <f t="shared" si="771"/>
        <v>0</v>
      </c>
      <c r="AO2238" s="22" t="str">
        <f t="shared" si="772"/>
        <v/>
      </c>
      <c r="AP2238" s="22" t="str">
        <f t="shared" si="773"/>
        <v/>
      </c>
    </row>
    <row r="2239" spans="1:42" x14ac:dyDescent="0.25">
      <c r="A2239" s="10"/>
      <c r="B2239" s="10"/>
      <c r="C2239" s="10"/>
      <c r="D2239" s="10"/>
      <c r="E2239" s="10"/>
      <c r="F2239" s="10"/>
      <c r="G2239" s="10"/>
      <c r="H2239" s="17"/>
      <c r="I2239" s="10"/>
      <c r="J2239" s="10"/>
      <c r="K2239" s="16" t="str">
        <f t="shared" si="752"/>
        <v/>
      </c>
      <c r="L2239" s="23" t="str">
        <f t="shared" si="753"/>
        <v/>
      </c>
      <c r="M2239" s="22" t="str">
        <f t="shared" si="754"/>
        <v/>
      </c>
      <c r="N2239" s="72"/>
      <c r="O2239" s="16" t="str">
        <f t="shared" si="755"/>
        <v/>
      </c>
      <c r="P2239" s="16" t="str">
        <f t="shared" si="756"/>
        <v/>
      </c>
      <c r="Q2239" s="16" t="str">
        <f t="shared" si="757"/>
        <v/>
      </c>
      <c r="R2239" s="23" t="str">
        <f t="shared" si="758"/>
        <v/>
      </c>
      <c r="S2239" s="23" t="str">
        <f t="shared" si="759"/>
        <v/>
      </c>
      <c r="T2239" s="23" t="str">
        <f t="shared" si="760"/>
        <v/>
      </c>
      <c r="U2239" s="23" t="str">
        <f t="shared" si="761"/>
        <v/>
      </c>
      <c r="V2239" s="23" t="str">
        <f t="shared" si="762"/>
        <v/>
      </c>
      <c r="W2239" s="70" t="str">
        <f t="shared" si="763"/>
        <v/>
      </c>
      <c r="X2239" s="70" t="str">
        <f t="shared" si="764"/>
        <v/>
      </c>
      <c r="Y2239" s="70" t="str">
        <f>IF(AND($A2239&lt;&gt;"",$E2239&gt;0),isLaptopBag($C2239,$J2239)*$D2239,"")</f>
        <v/>
      </c>
      <c r="Z2239" s="70" t="str">
        <f t="shared" si="765"/>
        <v/>
      </c>
      <c r="AA2239" s="70" t="str">
        <f t="shared" si="766"/>
        <v/>
      </c>
      <c r="AB2239" s="70" t="str">
        <f t="shared" si="767"/>
        <v/>
      </c>
      <c r="AC2239" s="70" t="str">
        <f t="shared" si="768"/>
        <v/>
      </c>
      <c r="AD2239" s="70" t="str">
        <f t="shared" si="769"/>
        <v/>
      </c>
      <c r="AE2239" s="70" t="str">
        <f t="shared" si="770"/>
        <v/>
      </c>
      <c r="AF2239" s="16"/>
      <c r="AG2239" s="23"/>
      <c r="AH2239" s="22"/>
      <c r="AJ2239" s="83">
        <f t="shared" si="771"/>
        <v>0</v>
      </c>
      <c r="AO2239" s="22" t="str">
        <f t="shared" si="772"/>
        <v/>
      </c>
      <c r="AP2239" s="22" t="str">
        <f t="shared" si="773"/>
        <v/>
      </c>
    </row>
    <row r="2240" spans="1:42" x14ac:dyDescent="0.25">
      <c r="A2240" s="10"/>
      <c r="B2240" s="10"/>
      <c r="C2240" s="10"/>
      <c r="D2240" s="10"/>
      <c r="E2240" s="10"/>
      <c r="F2240" s="10"/>
      <c r="G2240" s="10"/>
      <c r="H2240" s="17"/>
      <c r="I2240" s="10"/>
      <c r="J2240" s="10"/>
      <c r="K2240" s="16" t="str">
        <f t="shared" si="752"/>
        <v/>
      </c>
      <c r="L2240" s="23" t="str">
        <f t="shared" si="753"/>
        <v/>
      </c>
      <c r="M2240" s="22" t="str">
        <f t="shared" si="754"/>
        <v/>
      </c>
      <c r="N2240" s="72"/>
      <c r="O2240" s="16" t="str">
        <f t="shared" si="755"/>
        <v/>
      </c>
      <c r="P2240" s="16" t="str">
        <f t="shared" si="756"/>
        <v/>
      </c>
      <c r="Q2240" s="16" t="str">
        <f t="shared" si="757"/>
        <v/>
      </c>
      <c r="R2240" s="23" t="str">
        <f t="shared" si="758"/>
        <v/>
      </c>
      <c r="S2240" s="23" t="str">
        <f t="shared" si="759"/>
        <v/>
      </c>
      <c r="T2240" s="23" t="str">
        <f t="shared" si="760"/>
        <v/>
      </c>
      <c r="U2240" s="23" t="str">
        <f t="shared" si="761"/>
        <v/>
      </c>
      <c r="V2240" s="23" t="str">
        <f t="shared" si="762"/>
        <v/>
      </c>
      <c r="W2240" s="70" t="str">
        <f t="shared" si="763"/>
        <v/>
      </c>
      <c r="X2240" s="70" t="str">
        <f t="shared" si="764"/>
        <v/>
      </c>
      <c r="Y2240" s="70" t="str">
        <f>IF(AND($A2240&lt;&gt;"",$E2240&gt;0),isLaptopBag($C2240,$J2240)*$D2240,"")</f>
        <v/>
      </c>
      <c r="Z2240" s="70" t="str">
        <f t="shared" si="765"/>
        <v/>
      </c>
      <c r="AA2240" s="70" t="str">
        <f t="shared" si="766"/>
        <v/>
      </c>
      <c r="AB2240" s="70" t="str">
        <f t="shared" si="767"/>
        <v/>
      </c>
      <c r="AC2240" s="70" t="str">
        <f t="shared" si="768"/>
        <v/>
      </c>
      <c r="AD2240" s="70" t="str">
        <f t="shared" si="769"/>
        <v/>
      </c>
      <c r="AE2240" s="70" t="str">
        <f t="shared" si="770"/>
        <v/>
      </c>
      <c r="AF2240" s="16"/>
      <c r="AG2240" s="23"/>
      <c r="AH2240" s="22"/>
      <c r="AJ2240" s="83">
        <f t="shared" si="771"/>
        <v>0</v>
      </c>
      <c r="AO2240" s="22" t="str">
        <f t="shared" si="772"/>
        <v/>
      </c>
      <c r="AP2240" s="22" t="str">
        <f t="shared" si="773"/>
        <v/>
      </c>
    </row>
    <row r="2241" spans="1:42" x14ac:dyDescent="0.25">
      <c r="A2241" s="10"/>
      <c r="B2241" s="10"/>
      <c r="C2241" s="10"/>
      <c r="D2241" s="10"/>
      <c r="E2241" s="10"/>
      <c r="F2241" s="10"/>
      <c r="G2241" s="10"/>
      <c r="H2241" s="17"/>
      <c r="I2241" s="10"/>
      <c r="J2241" s="10"/>
      <c r="K2241" s="16" t="str">
        <f t="shared" si="752"/>
        <v/>
      </c>
      <c r="L2241" s="23" t="str">
        <f t="shared" si="753"/>
        <v/>
      </c>
      <c r="M2241" s="22" t="str">
        <f t="shared" si="754"/>
        <v/>
      </c>
      <c r="N2241" s="72"/>
      <c r="O2241" s="16" t="str">
        <f t="shared" si="755"/>
        <v/>
      </c>
      <c r="P2241" s="16" t="str">
        <f t="shared" si="756"/>
        <v/>
      </c>
      <c r="Q2241" s="16" t="str">
        <f t="shared" si="757"/>
        <v/>
      </c>
      <c r="R2241" s="23" t="str">
        <f t="shared" si="758"/>
        <v/>
      </c>
      <c r="S2241" s="23" t="str">
        <f t="shared" si="759"/>
        <v/>
      </c>
      <c r="T2241" s="23" t="str">
        <f t="shared" si="760"/>
        <v/>
      </c>
      <c r="U2241" s="23" t="str">
        <f t="shared" si="761"/>
        <v/>
      </c>
      <c r="V2241" s="23" t="str">
        <f t="shared" si="762"/>
        <v/>
      </c>
      <c r="W2241" s="70" t="str">
        <f t="shared" si="763"/>
        <v/>
      </c>
      <c r="X2241" s="70" t="str">
        <f t="shared" si="764"/>
        <v/>
      </c>
      <c r="Y2241" s="70" t="str">
        <f>IF(AND($A2241&lt;&gt;"",$E2241&gt;0),isLaptopBag($C2241,$J2241)*$D2241,"")</f>
        <v/>
      </c>
      <c r="Z2241" s="70" t="str">
        <f t="shared" si="765"/>
        <v/>
      </c>
      <c r="AA2241" s="70" t="str">
        <f t="shared" si="766"/>
        <v/>
      </c>
      <c r="AB2241" s="70" t="str">
        <f t="shared" si="767"/>
        <v/>
      </c>
      <c r="AC2241" s="70" t="str">
        <f t="shared" si="768"/>
        <v/>
      </c>
      <c r="AD2241" s="70" t="str">
        <f t="shared" si="769"/>
        <v/>
      </c>
      <c r="AE2241" s="70" t="str">
        <f t="shared" si="770"/>
        <v/>
      </c>
      <c r="AF2241" s="16"/>
      <c r="AG2241" s="23"/>
      <c r="AH2241" s="22"/>
      <c r="AJ2241" s="83">
        <f t="shared" si="771"/>
        <v>0</v>
      </c>
      <c r="AO2241" s="22" t="str">
        <f t="shared" si="772"/>
        <v/>
      </c>
      <c r="AP2241" s="22" t="str">
        <f t="shared" si="773"/>
        <v/>
      </c>
    </row>
    <row r="2242" spans="1:42" x14ac:dyDescent="0.25">
      <c r="A2242" s="10"/>
      <c r="B2242" s="10"/>
      <c r="C2242" s="10"/>
      <c r="D2242" s="10"/>
      <c r="E2242" s="10"/>
      <c r="F2242" s="10"/>
      <c r="G2242" s="10"/>
      <c r="H2242" s="17"/>
      <c r="I2242" s="10"/>
      <c r="J2242" s="10"/>
      <c r="K2242" s="16" t="str">
        <f t="shared" si="752"/>
        <v/>
      </c>
      <c r="L2242" s="23" t="str">
        <f t="shared" si="753"/>
        <v/>
      </c>
      <c r="M2242" s="22" t="str">
        <f t="shared" si="754"/>
        <v/>
      </c>
      <c r="N2242" s="72"/>
      <c r="O2242" s="16" t="str">
        <f t="shared" si="755"/>
        <v/>
      </c>
      <c r="P2242" s="16" t="str">
        <f t="shared" si="756"/>
        <v/>
      </c>
      <c r="Q2242" s="16" t="str">
        <f t="shared" si="757"/>
        <v/>
      </c>
      <c r="R2242" s="23" t="str">
        <f t="shared" si="758"/>
        <v/>
      </c>
      <c r="S2242" s="23" t="str">
        <f t="shared" si="759"/>
        <v/>
      </c>
      <c r="T2242" s="23" t="str">
        <f t="shared" si="760"/>
        <v/>
      </c>
      <c r="U2242" s="23" t="str">
        <f t="shared" si="761"/>
        <v/>
      </c>
      <c r="V2242" s="23" t="str">
        <f t="shared" si="762"/>
        <v/>
      </c>
      <c r="W2242" s="70" t="str">
        <f t="shared" si="763"/>
        <v/>
      </c>
      <c r="X2242" s="70" t="str">
        <f t="shared" si="764"/>
        <v/>
      </c>
      <c r="Y2242" s="70" t="str">
        <f>IF(AND($A2242&lt;&gt;"",$E2242&gt;0),isLaptopBag($C2242,$J2242)*$D2242,"")</f>
        <v/>
      </c>
      <c r="Z2242" s="70" t="str">
        <f t="shared" si="765"/>
        <v/>
      </c>
      <c r="AA2242" s="70" t="str">
        <f t="shared" si="766"/>
        <v/>
      </c>
      <c r="AB2242" s="70" t="str">
        <f t="shared" si="767"/>
        <v/>
      </c>
      <c r="AC2242" s="70" t="str">
        <f t="shared" si="768"/>
        <v/>
      </c>
      <c r="AD2242" s="70" t="str">
        <f t="shared" si="769"/>
        <v/>
      </c>
      <c r="AE2242" s="70" t="str">
        <f t="shared" si="770"/>
        <v/>
      </c>
      <c r="AF2242" s="16"/>
      <c r="AG2242" s="23"/>
      <c r="AH2242" s="22"/>
      <c r="AJ2242" s="83">
        <f t="shared" si="771"/>
        <v>0</v>
      </c>
      <c r="AO2242" s="22" t="str">
        <f t="shared" si="772"/>
        <v/>
      </c>
      <c r="AP2242" s="22" t="str">
        <f t="shared" si="773"/>
        <v/>
      </c>
    </row>
    <row r="2243" spans="1:42" x14ac:dyDescent="0.25">
      <c r="A2243" s="10"/>
      <c r="B2243" s="10"/>
      <c r="C2243" s="10"/>
      <c r="D2243" s="10"/>
      <c r="E2243" s="10"/>
      <c r="F2243" s="10"/>
      <c r="G2243" s="10"/>
      <c r="H2243" s="17"/>
      <c r="I2243" s="10"/>
      <c r="J2243" s="10"/>
      <c r="K2243" s="16" t="str">
        <f t="shared" si="752"/>
        <v/>
      </c>
      <c r="L2243" s="23" t="str">
        <f t="shared" si="753"/>
        <v/>
      </c>
      <c r="M2243" s="22" t="str">
        <f t="shared" si="754"/>
        <v/>
      </c>
      <c r="N2243" s="72"/>
      <c r="O2243" s="16" t="str">
        <f t="shared" si="755"/>
        <v/>
      </c>
      <c r="P2243" s="16" t="str">
        <f t="shared" si="756"/>
        <v/>
      </c>
      <c r="Q2243" s="16" t="str">
        <f t="shared" si="757"/>
        <v/>
      </c>
      <c r="R2243" s="23" t="str">
        <f t="shared" si="758"/>
        <v/>
      </c>
      <c r="S2243" s="23" t="str">
        <f t="shared" si="759"/>
        <v/>
      </c>
      <c r="T2243" s="23" t="str">
        <f t="shared" si="760"/>
        <v/>
      </c>
      <c r="U2243" s="23" t="str">
        <f t="shared" si="761"/>
        <v/>
      </c>
      <c r="V2243" s="23" t="str">
        <f t="shared" si="762"/>
        <v/>
      </c>
      <c r="W2243" s="70" t="str">
        <f t="shared" si="763"/>
        <v/>
      </c>
      <c r="X2243" s="70" t="str">
        <f t="shared" si="764"/>
        <v/>
      </c>
      <c r="Y2243" s="70" t="str">
        <f>IF(AND($A2243&lt;&gt;"",$E2243&gt;0),isLaptopBag($C2243,$J2243)*$D2243,"")</f>
        <v/>
      </c>
      <c r="Z2243" s="70" t="str">
        <f t="shared" si="765"/>
        <v/>
      </c>
      <c r="AA2243" s="70" t="str">
        <f t="shared" si="766"/>
        <v/>
      </c>
      <c r="AB2243" s="70" t="str">
        <f t="shared" si="767"/>
        <v/>
      </c>
      <c r="AC2243" s="70" t="str">
        <f t="shared" si="768"/>
        <v/>
      </c>
      <c r="AD2243" s="70" t="str">
        <f t="shared" si="769"/>
        <v/>
      </c>
      <c r="AE2243" s="70" t="str">
        <f t="shared" si="770"/>
        <v/>
      </c>
      <c r="AF2243" s="16"/>
      <c r="AG2243" s="23"/>
      <c r="AH2243" s="22"/>
      <c r="AJ2243" s="83">
        <f t="shared" si="771"/>
        <v>0</v>
      </c>
      <c r="AO2243" s="22" t="str">
        <f t="shared" si="772"/>
        <v/>
      </c>
      <c r="AP2243" s="22" t="str">
        <f t="shared" si="773"/>
        <v/>
      </c>
    </row>
    <row r="2244" spans="1:42" x14ac:dyDescent="0.25">
      <c r="A2244" s="10"/>
      <c r="B2244" s="10"/>
      <c r="C2244" s="10"/>
      <c r="D2244" s="10"/>
      <c r="E2244" s="10"/>
      <c r="F2244" s="10"/>
      <c r="G2244" s="10"/>
      <c r="H2244" s="17"/>
      <c r="I2244" s="10"/>
      <c r="J2244" s="10"/>
      <c r="K2244" s="16" t="str">
        <f t="shared" si="752"/>
        <v/>
      </c>
      <c r="L2244" s="23" t="str">
        <f t="shared" si="753"/>
        <v/>
      </c>
      <c r="M2244" s="22" t="str">
        <f t="shared" si="754"/>
        <v/>
      </c>
      <c r="N2244" s="72"/>
      <c r="O2244" s="16" t="str">
        <f t="shared" si="755"/>
        <v/>
      </c>
      <c r="P2244" s="16" t="str">
        <f t="shared" si="756"/>
        <v/>
      </c>
      <c r="Q2244" s="16" t="str">
        <f t="shared" si="757"/>
        <v/>
      </c>
      <c r="R2244" s="23" t="str">
        <f t="shared" si="758"/>
        <v/>
      </c>
      <c r="S2244" s="23" t="str">
        <f t="shared" si="759"/>
        <v/>
      </c>
      <c r="T2244" s="23" t="str">
        <f t="shared" si="760"/>
        <v/>
      </c>
      <c r="U2244" s="23" t="str">
        <f t="shared" si="761"/>
        <v/>
      </c>
      <c r="V2244" s="23" t="str">
        <f t="shared" si="762"/>
        <v/>
      </c>
      <c r="W2244" s="70" t="str">
        <f t="shared" si="763"/>
        <v/>
      </c>
      <c r="X2244" s="70" t="str">
        <f t="shared" si="764"/>
        <v/>
      </c>
      <c r="Y2244" s="70" t="str">
        <f>IF(AND($A2244&lt;&gt;"",$E2244&gt;0),isLaptopBag($C2244,$J2244)*$D2244,"")</f>
        <v/>
      </c>
      <c r="Z2244" s="70" t="str">
        <f t="shared" si="765"/>
        <v/>
      </c>
      <c r="AA2244" s="70" t="str">
        <f t="shared" si="766"/>
        <v/>
      </c>
      <c r="AB2244" s="70" t="str">
        <f t="shared" si="767"/>
        <v/>
      </c>
      <c r="AC2244" s="70" t="str">
        <f t="shared" si="768"/>
        <v/>
      </c>
      <c r="AD2244" s="70" t="str">
        <f t="shared" si="769"/>
        <v/>
      </c>
      <c r="AE2244" s="70" t="str">
        <f t="shared" si="770"/>
        <v/>
      </c>
      <c r="AF2244" s="16"/>
      <c r="AG2244" s="23"/>
      <c r="AH2244" s="22"/>
      <c r="AJ2244" s="83">
        <f t="shared" si="771"/>
        <v>0</v>
      </c>
      <c r="AO2244" s="22" t="str">
        <f t="shared" si="772"/>
        <v/>
      </c>
      <c r="AP2244" s="22" t="str">
        <f t="shared" si="773"/>
        <v/>
      </c>
    </row>
    <row r="2245" spans="1:42" x14ac:dyDescent="0.25">
      <c r="A2245" s="10"/>
      <c r="B2245" s="10"/>
      <c r="C2245" s="10"/>
      <c r="D2245" s="10"/>
      <c r="E2245" s="10"/>
      <c r="F2245" s="10"/>
      <c r="G2245" s="10"/>
      <c r="H2245" s="17"/>
      <c r="I2245" s="10"/>
      <c r="J2245" s="10"/>
      <c r="K2245" s="16" t="str">
        <f t="shared" si="752"/>
        <v/>
      </c>
      <c r="L2245" s="23" t="str">
        <f t="shared" si="753"/>
        <v/>
      </c>
      <c r="M2245" s="22" t="str">
        <f t="shared" si="754"/>
        <v/>
      </c>
      <c r="N2245" s="72"/>
      <c r="O2245" s="16" t="str">
        <f t="shared" si="755"/>
        <v/>
      </c>
      <c r="P2245" s="16" t="str">
        <f t="shared" si="756"/>
        <v/>
      </c>
      <c r="Q2245" s="16" t="str">
        <f t="shared" si="757"/>
        <v/>
      </c>
      <c r="R2245" s="23" t="str">
        <f t="shared" si="758"/>
        <v/>
      </c>
      <c r="S2245" s="23" t="str">
        <f t="shared" si="759"/>
        <v/>
      </c>
      <c r="T2245" s="23" t="str">
        <f t="shared" si="760"/>
        <v/>
      </c>
      <c r="U2245" s="23" t="str">
        <f t="shared" si="761"/>
        <v/>
      </c>
      <c r="V2245" s="23" t="str">
        <f t="shared" si="762"/>
        <v/>
      </c>
      <c r="W2245" s="70" t="str">
        <f t="shared" si="763"/>
        <v/>
      </c>
      <c r="X2245" s="70" t="str">
        <f t="shared" si="764"/>
        <v/>
      </c>
      <c r="Y2245" s="70" t="str">
        <f>IF(AND($A2245&lt;&gt;"",$E2245&gt;0),isLaptopBag($C2245,$J2245)*$D2245,"")</f>
        <v/>
      </c>
      <c r="Z2245" s="70" t="str">
        <f t="shared" si="765"/>
        <v/>
      </c>
      <c r="AA2245" s="70" t="str">
        <f t="shared" si="766"/>
        <v/>
      </c>
      <c r="AB2245" s="70" t="str">
        <f t="shared" si="767"/>
        <v/>
      </c>
      <c r="AC2245" s="70" t="str">
        <f t="shared" si="768"/>
        <v/>
      </c>
      <c r="AD2245" s="70" t="str">
        <f t="shared" si="769"/>
        <v/>
      </c>
      <c r="AE2245" s="70" t="str">
        <f t="shared" si="770"/>
        <v/>
      </c>
      <c r="AF2245" s="16"/>
      <c r="AG2245" s="23"/>
      <c r="AH2245" s="22"/>
      <c r="AJ2245" s="83">
        <f t="shared" si="771"/>
        <v>0</v>
      </c>
      <c r="AO2245" s="22" t="str">
        <f t="shared" si="772"/>
        <v/>
      </c>
      <c r="AP2245" s="22" t="str">
        <f t="shared" si="773"/>
        <v/>
      </c>
    </row>
    <row r="2246" spans="1:42" x14ac:dyDescent="0.25">
      <c r="A2246" s="10"/>
      <c r="B2246" s="10"/>
      <c r="C2246" s="10"/>
      <c r="D2246" s="10"/>
      <c r="E2246" s="10"/>
      <c r="F2246" s="10"/>
      <c r="G2246" s="10"/>
      <c r="H2246" s="17"/>
      <c r="I2246" s="10"/>
      <c r="J2246" s="10"/>
      <c r="K2246" s="16" t="str">
        <f t="shared" si="752"/>
        <v/>
      </c>
      <c r="L2246" s="23" t="str">
        <f t="shared" si="753"/>
        <v/>
      </c>
      <c r="M2246" s="22" t="str">
        <f t="shared" si="754"/>
        <v/>
      </c>
      <c r="N2246" s="72"/>
      <c r="O2246" s="16" t="str">
        <f t="shared" si="755"/>
        <v/>
      </c>
      <c r="P2246" s="16" t="str">
        <f t="shared" si="756"/>
        <v/>
      </c>
      <c r="Q2246" s="16" t="str">
        <f t="shared" si="757"/>
        <v/>
      </c>
      <c r="R2246" s="23" t="str">
        <f t="shared" si="758"/>
        <v/>
      </c>
      <c r="S2246" s="23" t="str">
        <f t="shared" si="759"/>
        <v/>
      </c>
      <c r="T2246" s="23" t="str">
        <f t="shared" si="760"/>
        <v/>
      </c>
      <c r="U2246" s="23" t="str">
        <f t="shared" si="761"/>
        <v/>
      </c>
      <c r="V2246" s="23" t="str">
        <f t="shared" si="762"/>
        <v/>
      </c>
      <c r="W2246" s="70" t="str">
        <f t="shared" si="763"/>
        <v/>
      </c>
      <c r="X2246" s="70" t="str">
        <f t="shared" si="764"/>
        <v/>
      </c>
      <c r="Y2246" s="70" t="str">
        <f>IF(AND($A2246&lt;&gt;"",$E2246&gt;0),isLaptopBag($C2246,$J2246)*$D2246,"")</f>
        <v/>
      </c>
      <c r="Z2246" s="70" t="str">
        <f t="shared" si="765"/>
        <v/>
      </c>
      <c r="AA2246" s="70" t="str">
        <f t="shared" si="766"/>
        <v/>
      </c>
      <c r="AB2246" s="70" t="str">
        <f t="shared" si="767"/>
        <v/>
      </c>
      <c r="AC2246" s="70" t="str">
        <f t="shared" si="768"/>
        <v/>
      </c>
      <c r="AD2246" s="70" t="str">
        <f t="shared" si="769"/>
        <v/>
      </c>
      <c r="AE2246" s="70" t="str">
        <f t="shared" si="770"/>
        <v/>
      </c>
      <c r="AF2246" s="16"/>
      <c r="AG2246" s="23"/>
      <c r="AH2246" s="22"/>
      <c r="AJ2246" s="83">
        <f t="shared" si="771"/>
        <v>0</v>
      </c>
      <c r="AO2246" s="22" t="str">
        <f t="shared" si="772"/>
        <v/>
      </c>
      <c r="AP2246" s="22" t="str">
        <f t="shared" si="773"/>
        <v/>
      </c>
    </row>
    <row r="2247" spans="1:42" x14ac:dyDescent="0.25">
      <c r="A2247" s="10"/>
      <c r="B2247" s="10"/>
      <c r="C2247" s="10"/>
      <c r="D2247" s="10"/>
      <c r="E2247" s="10"/>
      <c r="F2247" s="10"/>
      <c r="G2247" s="10"/>
      <c r="H2247" s="17"/>
      <c r="I2247" s="10"/>
      <c r="J2247" s="10"/>
      <c r="K2247" s="16" t="str">
        <f t="shared" si="752"/>
        <v/>
      </c>
      <c r="L2247" s="23" t="str">
        <f t="shared" si="753"/>
        <v/>
      </c>
      <c r="M2247" s="22" t="str">
        <f t="shared" si="754"/>
        <v/>
      </c>
      <c r="N2247" s="72"/>
      <c r="O2247" s="16" t="str">
        <f t="shared" si="755"/>
        <v/>
      </c>
      <c r="P2247" s="16" t="str">
        <f t="shared" si="756"/>
        <v/>
      </c>
      <c r="Q2247" s="16" t="str">
        <f t="shared" si="757"/>
        <v/>
      </c>
      <c r="R2247" s="23" t="str">
        <f t="shared" si="758"/>
        <v/>
      </c>
      <c r="S2247" s="23" t="str">
        <f t="shared" si="759"/>
        <v/>
      </c>
      <c r="T2247" s="23" t="str">
        <f t="shared" si="760"/>
        <v/>
      </c>
      <c r="U2247" s="23" t="str">
        <f t="shared" si="761"/>
        <v/>
      </c>
      <c r="V2247" s="23" t="str">
        <f t="shared" si="762"/>
        <v/>
      </c>
      <c r="W2247" s="70" t="str">
        <f t="shared" si="763"/>
        <v/>
      </c>
      <c r="X2247" s="70" t="str">
        <f t="shared" si="764"/>
        <v/>
      </c>
      <c r="Y2247" s="70" t="str">
        <f>IF(AND($A2247&lt;&gt;"",$E2247&gt;0),isLaptopBag($C2247,$J2247)*$D2247,"")</f>
        <v/>
      </c>
      <c r="Z2247" s="70" t="str">
        <f t="shared" si="765"/>
        <v/>
      </c>
      <c r="AA2247" s="70" t="str">
        <f t="shared" si="766"/>
        <v/>
      </c>
      <c r="AB2247" s="70" t="str">
        <f t="shared" si="767"/>
        <v/>
      </c>
      <c r="AC2247" s="70" t="str">
        <f t="shared" si="768"/>
        <v/>
      </c>
      <c r="AD2247" s="70" t="str">
        <f t="shared" si="769"/>
        <v/>
      </c>
      <c r="AE2247" s="70" t="str">
        <f t="shared" si="770"/>
        <v/>
      </c>
      <c r="AF2247" s="16"/>
      <c r="AG2247" s="23"/>
      <c r="AH2247" s="22"/>
      <c r="AJ2247" s="83">
        <f t="shared" si="771"/>
        <v>0</v>
      </c>
      <c r="AO2247" s="22" t="str">
        <f t="shared" si="772"/>
        <v/>
      </c>
      <c r="AP2247" s="22" t="str">
        <f t="shared" si="773"/>
        <v/>
      </c>
    </row>
    <row r="2248" spans="1:42" x14ac:dyDescent="0.25">
      <c r="A2248" s="10"/>
      <c r="B2248" s="10"/>
      <c r="C2248" s="10"/>
      <c r="D2248" s="10"/>
      <c r="E2248" s="10"/>
      <c r="F2248" s="10"/>
      <c r="G2248" s="10"/>
      <c r="H2248" s="17"/>
      <c r="I2248" s="10"/>
      <c r="J2248" s="10"/>
      <c r="K2248" s="16" t="str">
        <f t="shared" si="752"/>
        <v/>
      </c>
      <c r="L2248" s="23" t="str">
        <f t="shared" si="753"/>
        <v/>
      </c>
      <c r="M2248" s="22" t="str">
        <f t="shared" si="754"/>
        <v/>
      </c>
      <c r="N2248" s="72"/>
      <c r="O2248" s="16" t="str">
        <f t="shared" si="755"/>
        <v/>
      </c>
      <c r="P2248" s="16" t="str">
        <f t="shared" si="756"/>
        <v/>
      </c>
      <c r="Q2248" s="16" t="str">
        <f t="shared" si="757"/>
        <v/>
      </c>
      <c r="R2248" s="23" t="str">
        <f t="shared" si="758"/>
        <v/>
      </c>
      <c r="S2248" s="23" t="str">
        <f t="shared" si="759"/>
        <v/>
      </c>
      <c r="T2248" s="23" t="str">
        <f t="shared" si="760"/>
        <v/>
      </c>
      <c r="U2248" s="23" t="str">
        <f t="shared" si="761"/>
        <v/>
      </c>
      <c r="V2248" s="23" t="str">
        <f t="shared" si="762"/>
        <v/>
      </c>
      <c r="W2248" s="70" t="str">
        <f t="shared" si="763"/>
        <v/>
      </c>
      <c r="X2248" s="70" t="str">
        <f t="shared" si="764"/>
        <v/>
      </c>
      <c r="Y2248" s="70" t="str">
        <f>IF(AND($A2248&lt;&gt;"",$E2248&gt;0),isLaptopBag($C2248,$J2248)*$D2248,"")</f>
        <v/>
      </c>
      <c r="Z2248" s="70" t="str">
        <f t="shared" si="765"/>
        <v/>
      </c>
      <c r="AA2248" s="70" t="str">
        <f t="shared" si="766"/>
        <v/>
      </c>
      <c r="AB2248" s="70" t="str">
        <f t="shared" si="767"/>
        <v/>
      </c>
      <c r="AC2248" s="70" t="str">
        <f t="shared" si="768"/>
        <v/>
      </c>
      <c r="AD2248" s="70" t="str">
        <f t="shared" si="769"/>
        <v/>
      </c>
      <c r="AE2248" s="70" t="str">
        <f t="shared" si="770"/>
        <v/>
      </c>
      <c r="AF2248" s="16"/>
      <c r="AG2248" s="23"/>
      <c r="AH2248" s="22"/>
      <c r="AJ2248" s="83">
        <f t="shared" si="771"/>
        <v>0</v>
      </c>
      <c r="AO2248" s="22" t="str">
        <f t="shared" si="772"/>
        <v/>
      </c>
      <c r="AP2248" s="22" t="str">
        <f t="shared" si="773"/>
        <v/>
      </c>
    </row>
    <row r="2249" spans="1:42" x14ac:dyDescent="0.25">
      <c r="A2249" s="10"/>
      <c r="B2249" s="10"/>
      <c r="C2249" s="10"/>
      <c r="D2249" s="10"/>
      <c r="E2249" s="10"/>
      <c r="F2249" s="10"/>
      <c r="G2249" s="10"/>
      <c r="H2249" s="17"/>
      <c r="I2249" s="10"/>
      <c r="J2249" s="10"/>
      <c r="K2249" s="16" t="str">
        <f t="shared" si="752"/>
        <v/>
      </c>
      <c r="L2249" s="23" t="str">
        <f t="shared" si="753"/>
        <v/>
      </c>
      <c r="M2249" s="22" t="str">
        <f t="shared" si="754"/>
        <v/>
      </c>
      <c r="N2249" s="72"/>
      <c r="O2249" s="16" t="str">
        <f t="shared" si="755"/>
        <v/>
      </c>
      <c r="P2249" s="16" t="str">
        <f t="shared" si="756"/>
        <v/>
      </c>
      <c r="Q2249" s="16" t="str">
        <f t="shared" si="757"/>
        <v/>
      </c>
      <c r="R2249" s="23" t="str">
        <f t="shared" si="758"/>
        <v/>
      </c>
      <c r="S2249" s="23" t="str">
        <f t="shared" si="759"/>
        <v/>
      </c>
      <c r="T2249" s="23" t="str">
        <f t="shared" si="760"/>
        <v/>
      </c>
      <c r="U2249" s="23" t="str">
        <f t="shared" si="761"/>
        <v/>
      </c>
      <c r="V2249" s="23" t="str">
        <f t="shared" si="762"/>
        <v/>
      </c>
      <c r="W2249" s="70" t="str">
        <f t="shared" si="763"/>
        <v/>
      </c>
      <c r="X2249" s="70" t="str">
        <f t="shared" si="764"/>
        <v/>
      </c>
      <c r="Y2249" s="70" t="str">
        <f>IF(AND($A2249&lt;&gt;"",$E2249&gt;0),isLaptopBag($C2249,$J2249)*$D2249,"")</f>
        <v/>
      </c>
      <c r="Z2249" s="70" t="str">
        <f t="shared" si="765"/>
        <v/>
      </c>
      <c r="AA2249" s="70" t="str">
        <f t="shared" si="766"/>
        <v/>
      </c>
      <c r="AB2249" s="70" t="str">
        <f t="shared" si="767"/>
        <v/>
      </c>
      <c r="AC2249" s="70" t="str">
        <f t="shared" si="768"/>
        <v/>
      </c>
      <c r="AD2249" s="70" t="str">
        <f t="shared" si="769"/>
        <v/>
      </c>
      <c r="AE2249" s="70" t="str">
        <f t="shared" si="770"/>
        <v/>
      </c>
      <c r="AF2249" s="16"/>
      <c r="AG2249" s="23"/>
      <c r="AH2249" s="22"/>
      <c r="AJ2249" s="83">
        <f t="shared" si="771"/>
        <v>0</v>
      </c>
      <c r="AO2249" s="22" t="str">
        <f t="shared" si="772"/>
        <v/>
      </c>
      <c r="AP2249" s="22" t="str">
        <f t="shared" si="773"/>
        <v/>
      </c>
    </row>
    <row r="2250" spans="1:42" x14ac:dyDescent="0.25">
      <c r="A2250" s="10"/>
      <c r="B2250" s="10"/>
      <c r="C2250" s="10"/>
      <c r="D2250" s="10"/>
      <c r="E2250" s="10"/>
      <c r="F2250" s="10"/>
      <c r="G2250" s="10"/>
      <c r="H2250" s="17"/>
      <c r="I2250" s="10"/>
      <c r="J2250" s="10"/>
      <c r="K2250" s="16" t="str">
        <f t="shared" si="752"/>
        <v/>
      </c>
      <c r="L2250" s="23" t="str">
        <f t="shared" si="753"/>
        <v/>
      </c>
      <c r="M2250" s="22" t="str">
        <f t="shared" si="754"/>
        <v/>
      </c>
      <c r="N2250" s="72"/>
      <c r="O2250" s="16" t="str">
        <f t="shared" si="755"/>
        <v/>
      </c>
      <c r="P2250" s="16" t="str">
        <f t="shared" si="756"/>
        <v/>
      </c>
      <c r="Q2250" s="16" t="str">
        <f t="shared" si="757"/>
        <v/>
      </c>
      <c r="R2250" s="23" t="str">
        <f t="shared" si="758"/>
        <v/>
      </c>
      <c r="S2250" s="23" t="str">
        <f t="shared" si="759"/>
        <v/>
      </c>
      <c r="T2250" s="23" t="str">
        <f t="shared" si="760"/>
        <v/>
      </c>
      <c r="U2250" s="23" t="str">
        <f t="shared" si="761"/>
        <v/>
      </c>
      <c r="V2250" s="23" t="str">
        <f t="shared" si="762"/>
        <v/>
      </c>
      <c r="W2250" s="70" t="str">
        <f t="shared" si="763"/>
        <v/>
      </c>
      <c r="X2250" s="70" t="str">
        <f t="shared" si="764"/>
        <v/>
      </c>
      <c r="Y2250" s="70" t="str">
        <f>IF(AND($A2250&lt;&gt;"",$E2250&gt;0),isLaptopBag($C2250,$J2250)*$D2250,"")</f>
        <v/>
      </c>
      <c r="Z2250" s="70" t="str">
        <f t="shared" si="765"/>
        <v/>
      </c>
      <c r="AA2250" s="70" t="str">
        <f t="shared" si="766"/>
        <v/>
      </c>
      <c r="AB2250" s="70" t="str">
        <f t="shared" si="767"/>
        <v/>
      </c>
      <c r="AC2250" s="70" t="str">
        <f t="shared" si="768"/>
        <v/>
      </c>
      <c r="AD2250" s="70" t="str">
        <f t="shared" si="769"/>
        <v/>
      </c>
      <c r="AE2250" s="70" t="str">
        <f t="shared" si="770"/>
        <v/>
      </c>
      <c r="AF2250" s="16"/>
      <c r="AG2250" s="23"/>
      <c r="AH2250" s="22"/>
      <c r="AJ2250" s="83">
        <f t="shared" si="771"/>
        <v>0</v>
      </c>
      <c r="AO2250" s="22" t="str">
        <f t="shared" si="772"/>
        <v/>
      </c>
      <c r="AP2250" s="22" t="str">
        <f t="shared" si="773"/>
        <v/>
      </c>
    </row>
    <row r="2251" spans="1:42" x14ac:dyDescent="0.25">
      <c r="A2251" s="10"/>
      <c r="B2251" s="10"/>
      <c r="C2251" s="10"/>
      <c r="D2251" s="10"/>
      <c r="E2251" s="10"/>
      <c r="F2251" s="10"/>
      <c r="G2251" s="10"/>
      <c r="H2251" s="17"/>
      <c r="I2251" s="10"/>
      <c r="J2251" s="10"/>
      <c r="K2251" s="16" t="str">
        <f t="shared" si="752"/>
        <v/>
      </c>
      <c r="L2251" s="23" t="str">
        <f t="shared" si="753"/>
        <v/>
      </c>
      <c r="M2251" s="22" t="str">
        <f t="shared" si="754"/>
        <v/>
      </c>
      <c r="N2251" s="72"/>
      <c r="O2251" s="16" t="str">
        <f t="shared" si="755"/>
        <v/>
      </c>
      <c r="P2251" s="16" t="str">
        <f t="shared" si="756"/>
        <v/>
      </c>
      <c r="Q2251" s="16" t="str">
        <f t="shared" si="757"/>
        <v/>
      </c>
      <c r="R2251" s="23" t="str">
        <f t="shared" si="758"/>
        <v/>
      </c>
      <c r="S2251" s="23" t="str">
        <f t="shared" si="759"/>
        <v/>
      </c>
      <c r="T2251" s="23" t="str">
        <f t="shared" si="760"/>
        <v/>
      </c>
      <c r="U2251" s="23" t="str">
        <f t="shared" si="761"/>
        <v/>
      </c>
      <c r="V2251" s="23" t="str">
        <f t="shared" si="762"/>
        <v/>
      </c>
      <c r="W2251" s="70" t="str">
        <f t="shared" si="763"/>
        <v/>
      </c>
      <c r="X2251" s="70" t="str">
        <f t="shared" si="764"/>
        <v/>
      </c>
      <c r="Y2251" s="70" t="str">
        <f>IF(AND($A2251&lt;&gt;"",$E2251&gt;0),isLaptopBag($C2251,$J2251)*$D2251,"")</f>
        <v/>
      </c>
      <c r="Z2251" s="70" t="str">
        <f t="shared" si="765"/>
        <v/>
      </c>
      <c r="AA2251" s="70" t="str">
        <f t="shared" si="766"/>
        <v/>
      </c>
      <c r="AB2251" s="70" t="str">
        <f t="shared" si="767"/>
        <v/>
      </c>
      <c r="AC2251" s="70" t="str">
        <f t="shared" si="768"/>
        <v/>
      </c>
      <c r="AD2251" s="70" t="str">
        <f t="shared" si="769"/>
        <v/>
      </c>
      <c r="AE2251" s="70" t="str">
        <f t="shared" si="770"/>
        <v/>
      </c>
      <c r="AF2251" s="16"/>
      <c r="AG2251" s="23"/>
      <c r="AH2251" s="22"/>
      <c r="AJ2251" s="83">
        <f t="shared" si="771"/>
        <v>0</v>
      </c>
      <c r="AO2251" s="22" t="str">
        <f t="shared" si="772"/>
        <v/>
      </c>
      <c r="AP2251" s="22" t="str">
        <f t="shared" si="773"/>
        <v/>
      </c>
    </row>
    <row r="2252" spans="1:42" x14ac:dyDescent="0.25">
      <c r="A2252" s="10"/>
      <c r="B2252" s="10"/>
      <c r="C2252" s="10"/>
      <c r="D2252" s="10"/>
      <c r="E2252" s="10"/>
      <c r="F2252" s="10"/>
      <c r="G2252" s="10"/>
      <c r="H2252" s="17"/>
      <c r="I2252" s="10"/>
      <c r="J2252" s="10"/>
      <c r="K2252" s="16" t="str">
        <f t="shared" si="752"/>
        <v/>
      </c>
      <c r="L2252" s="23" t="str">
        <f t="shared" si="753"/>
        <v/>
      </c>
      <c r="M2252" s="22" t="str">
        <f t="shared" si="754"/>
        <v/>
      </c>
      <c r="N2252" s="72"/>
      <c r="O2252" s="16" t="str">
        <f t="shared" si="755"/>
        <v/>
      </c>
      <c r="P2252" s="16" t="str">
        <f t="shared" si="756"/>
        <v/>
      </c>
      <c r="Q2252" s="16" t="str">
        <f t="shared" si="757"/>
        <v/>
      </c>
      <c r="R2252" s="23" t="str">
        <f t="shared" si="758"/>
        <v/>
      </c>
      <c r="S2252" s="23" t="str">
        <f t="shared" si="759"/>
        <v/>
      </c>
      <c r="T2252" s="23" t="str">
        <f t="shared" si="760"/>
        <v/>
      </c>
      <c r="U2252" s="23" t="str">
        <f t="shared" si="761"/>
        <v/>
      </c>
      <c r="V2252" s="23" t="str">
        <f t="shared" si="762"/>
        <v/>
      </c>
      <c r="W2252" s="70" t="str">
        <f t="shared" si="763"/>
        <v/>
      </c>
      <c r="X2252" s="70" t="str">
        <f t="shared" si="764"/>
        <v/>
      </c>
      <c r="Y2252" s="70" t="str">
        <f>IF(AND($A2252&lt;&gt;"",$E2252&gt;0),isLaptopBag($C2252,$J2252)*$D2252,"")</f>
        <v/>
      </c>
      <c r="Z2252" s="70" t="str">
        <f t="shared" si="765"/>
        <v/>
      </c>
      <c r="AA2252" s="70" t="str">
        <f t="shared" si="766"/>
        <v/>
      </c>
      <c r="AB2252" s="70" t="str">
        <f t="shared" si="767"/>
        <v/>
      </c>
      <c r="AC2252" s="70" t="str">
        <f t="shared" si="768"/>
        <v/>
      </c>
      <c r="AD2252" s="70" t="str">
        <f t="shared" si="769"/>
        <v/>
      </c>
      <c r="AE2252" s="70" t="str">
        <f t="shared" si="770"/>
        <v/>
      </c>
      <c r="AF2252" s="16"/>
      <c r="AG2252" s="23"/>
      <c r="AH2252" s="22"/>
      <c r="AJ2252" s="83">
        <f t="shared" si="771"/>
        <v>0</v>
      </c>
      <c r="AO2252" s="22" t="str">
        <f t="shared" si="772"/>
        <v/>
      </c>
      <c r="AP2252" s="22" t="str">
        <f t="shared" si="773"/>
        <v/>
      </c>
    </row>
    <row r="2253" spans="1:42" x14ac:dyDescent="0.25">
      <c r="A2253" s="10"/>
      <c r="B2253" s="10"/>
      <c r="C2253" s="10"/>
      <c r="D2253" s="10"/>
      <c r="E2253" s="10"/>
      <c r="F2253" s="10"/>
      <c r="G2253" s="10"/>
      <c r="H2253" s="17"/>
      <c r="I2253" s="10"/>
      <c r="J2253" s="10"/>
      <c r="K2253" s="16" t="str">
        <f t="shared" ref="K2253:K2316" si="774">IF($AF2253&lt;&gt;"",$AF2253,IF(AND($A2253&lt;&gt;"",$E2253&gt;0),SUM($O2253:$Q2253),""))</f>
        <v/>
      </c>
      <c r="L2253" s="23" t="str">
        <f t="shared" ref="L2253:L2316" si="775">IF($AG2253&lt;&gt;"",$AG2253,IF(AND($A2253&lt;&gt;"",$E2253&gt;0),SUM($R2253:$V2253),""))</f>
        <v/>
      </c>
      <c r="M2253" s="22" t="str">
        <f t="shared" ref="M2253:M2316" si="776">IF($AH2253&lt;&gt;"",$AH2253,IF(AND($A2253&lt;&gt;"",$E2253&gt;0),SUM($W2253:$AE2253)+$AO2253+$AP2253,""))</f>
        <v/>
      </c>
      <c r="N2253" s="72"/>
      <c r="O2253" s="16" t="str">
        <f t="shared" ref="O2253:O2316" si="777">IF(AND($A2253&lt;&gt;"",$E2253&gt;0),IF(AND($J2253="SONY",200000&lt;=$E2253,$E2253&lt;1000000),5000*$D2253,0),"")</f>
        <v/>
      </c>
      <c r="P2253" s="16" t="str">
        <f t="shared" ref="P2253:P2316" si="778">IF(AND($A2253&lt;&gt;"",$E2253&gt;0),IF(AND($J2253="SONY",1000000&lt;=$E2253,$E2253&lt;2000000),10000*$D2253,0),"")</f>
        <v/>
      </c>
      <c r="Q2253" s="16" t="str">
        <f t="shared" ref="Q2253:Q2316" si="779">IF(AND($A2253&lt;&gt;"",$E2253&gt;0),IF(AND($J2253="SONY",$E2253&gt;=2000000),20000*$D2253,0),"")</f>
        <v/>
      </c>
      <c r="R2253" s="23" t="str">
        <f t="shared" ref="R2253:R2316" si="780">IF(AND($A2253&lt;&gt;"",$E2253&gt;0),IF(AND($J2253&lt;&gt;"SONY",100000&lt;=$E2253,$E2253&lt;200000),5000*$D2253,0),"")</f>
        <v/>
      </c>
      <c r="S2253" s="23" t="str">
        <f t="shared" ref="S2253:S2316" si="781">IF(AND($A2253&lt;&gt;"",$E2253&gt;0),IF(AND($J2253&lt;&gt;"SONY",200000&lt;=$E2253,$E2253&lt;500000),10000*$D2253,0),"")</f>
        <v/>
      </c>
      <c r="T2253" s="23" t="str">
        <f t="shared" ref="T2253:T2316" si="782">IF(AND($A2253&lt;&gt;"",$E2253&gt;0),IF(AND($J2253&lt;&gt;"SONY",500000&lt;=$E2253,$E2253&lt;1000000),20000*$D2253,0),"")</f>
        <v/>
      </c>
      <c r="U2253" s="23" t="str">
        <f t="shared" ref="U2253:U2316" si="783">IF(AND($A2253&lt;&gt;"",$E2253&gt;0),IF(AND($J2253&lt;&gt;"SONY",1000000&lt;=$E2253,$E2253&lt;1500000),50000*$D2253,0),"")</f>
        <v/>
      </c>
      <c r="V2253" s="23" t="str">
        <f t="shared" ref="V2253:V2316" si="784">IF(AND($A2253&lt;&gt;"",$E2253&gt;0),IF(AND($J2253&lt;&gt;"SONY",1500000&lt;=$E2253),100000*$D2253,0),"")</f>
        <v/>
      </c>
      <c r="W2253" s="70" t="str">
        <f t="shared" ref="W2253:W2316" si="785">IF(AND($E2253&gt;0,$J2253="ELECOM",$E2253&gt;=500000,ISNUMBER(SEARCH("tai nghe",$C2253))),20000*$D2253,IF($A2253&lt;&gt;"",0,""))</f>
        <v/>
      </c>
      <c r="X2253" s="70" t="str">
        <f t="shared" ref="X2253:X2316" si="786">IF(AND($E2253&gt;0,$J2253="ELECOM",ISNUMBER(SEARCH("loa",$C2253))),20000*$D2253,IF($A2253&lt;&gt;"",0,""))</f>
        <v/>
      </c>
      <c r="Y2253" s="70" t="str">
        <f>IF(AND($A2253&lt;&gt;"",$E2253&gt;0),isLaptopBag($C2253,$J2253)*$D2253,"")</f>
        <v/>
      </c>
      <c r="Z2253" s="70" t="str">
        <f t="shared" ref="Z2253:Z2316" si="787">IF(AND($E2253&gt;0,$J2253="ELECOM",ISNUMBER(SEARCH("ốp",$C2253))),20000*$D2253,IF($A2253&lt;&gt;"",0,""))</f>
        <v/>
      </c>
      <c r="AA2253" s="70" t="str">
        <f t="shared" ref="AA2253:AA2316" si="788">IF(AND($E2253&gt;0,$J2253="ELECOM",ISNUMBER(SEARCH("Bút",$C2253))),20000*$D2253,IF($A2253&lt;&gt;"",0,""))</f>
        <v/>
      </c>
      <c r="AB2253" s="70" t="str">
        <f t="shared" ref="AB2253:AB2316" si="789">IF(AND($E2253&gt;0,$J2253="ELECOM",ISNUMBER(SEARCH("Chuột bi",$C2253))),20000*$D2253,IF($A2253&lt;&gt;"",0,""))</f>
        <v/>
      </c>
      <c r="AC2253" s="70" t="str">
        <f t="shared" ref="AC2253:AC2316" si="790">IF(AND($E2253&gt;0,$J2253="ELECOM",ISNUMBER(SEARCH("Chuột trackball",$C2253))),20000*$D2253,IF($A2253&lt;&gt;"",0,""))</f>
        <v/>
      </c>
      <c r="AD2253" s="70" t="str">
        <f t="shared" ref="AD2253:AD2316" si="791">IF(AND($E2253&gt;0,$J2253="ELECOM",ISNUMBER(SEARCH("Sạc không dây",$C2253))),20000*$D2253,IF($A2253&lt;&gt;"",0,""))</f>
        <v/>
      </c>
      <c r="AE2253" s="70" t="str">
        <f t="shared" ref="AE2253:AE2316" si="792">IF(AND($E2253&gt;0,$J2253="ELECOM",ISNUMBER(SEARCH("Sạc kd",$C2253))),20000*$D2253,IF($A2253&lt;&gt;"",0,""))</f>
        <v/>
      </c>
      <c r="AF2253" s="16"/>
      <c r="AG2253" s="23"/>
      <c r="AH2253" s="22"/>
      <c r="AJ2253" s="83">
        <f t="shared" ref="AJ2253:AJ2316" si="793">DAY(H2253)</f>
        <v>0</v>
      </c>
      <c r="AO2253" s="22" t="str">
        <f t="shared" ref="AO2253:AO2316" si="794">IF(AND($E2253&gt;0,ISNUMBER(SEARCH("Sạc dự phòng Energizer",$C2253))),10000*$D2253,IF($A2253&lt;&gt;"",0,""))</f>
        <v/>
      </c>
      <c r="AP2253" s="22" t="str">
        <f t="shared" ref="AP2253:AP2316" si="795">IF(AND($E2253&gt;0,ISNUMBER(SEARCH("SDP Energizer",$C2253))),10000*$D2253,IF($A2253&lt;&gt;"",0,""))</f>
        <v/>
      </c>
    </row>
    <row r="2254" spans="1:42" x14ac:dyDescent="0.25">
      <c r="A2254" s="10"/>
      <c r="B2254" s="10"/>
      <c r="C2254" s="10"/>
      <c r="D2254" s="10"/>
      <c r="E2254" s="10"/>
      <c r="F2254" s="10"/>
      <c r="G2254" s="10"/>
      <c r="H2254" s="17"/>
      <c r="I2254" s="10"/>
      <c r="J2254" s="10"/>
      <c r="K2254" s="16" t="str">
        <f t="shared" si="774"/>
        <v/>
      </c>
      <c r="L2254" s="23" t="str">
        <f t="shared" si="775"/>
        <v/>
      </c>
      <c r="M2254" s="22" t="str">
        <f t="shared" si="776"/>
        <v/>
      </c>
      <c r="N2254" s="72"/>
      <c r="O2254" s="16" t="str">
        <f t="shared" si="777"/>
        <v/>
      </c>
      <c r="P2254" s="16" t="str">
        <f t="shared" si="778"/>
        <v/>
      </c>
      <c r="Q2254" s="16" t="str">
        <f t="shared" si="779"/>
        <v/>
      </c>
      <c r="R2254" s="23" t="str">
        <f t="shared" si="780"/>
        <v/>
      </c>
      <c r="S2254" s="23" t="str">
        <f t="shared" si="781"/>
        <v/>
      </c>
      <c r="T2254" s="23" t="str">
        <f t="shared" si="782"/>
        <v/>
      </c>
      <c r="U2254" s="23" t="str">
        <f t="shared" si="783"/>
        <v/>
      </c>
      <c r="V2254" s="23" t="str">
        <f t="shared" si="784"/>
        <v/>
      </c>
      <c r="W2254" s="70" t="str">
        <f t="shared" si="785"/>
        <v/>
      </c>
      <c r="X2254" s="70" t="str">
        <f t="shared" si="786"/>
        <v/>
      </c>
      <c r="Y2254" s="70" t="str">
        <f>IF(AND($A2254&lt;&gt;"",$E2254&gt;0),isLaptopBag($C2254,$J2254)*$D2254,"")</f>
        <v/>
      </c>
      <c r="Z2254" s="70" t="str">
        <f t="shared" si="787"/>
        <v/>
      </c>
      <c r="AA2254" s="70" t="str">
        <f t="shared" si="788"/>
        <v/>
      </c>
      <c r="AB2254" s="70" t="str">
        <f t="shared" si="789"/>
        <v/>
      </c>
      <c r="AC2254" s="70" t="str">
        <f t="shared" si="790"/>
        <v/>
      </c>
      <c r="AD2254" s="70" t="str">
        <f t="shared" si="791"/>
        <v/>
      </c>
      <c r="AE2254" s="70" t="str">
        <f t="shared" si="792"/>
        <v/>
      </c>
      <c r="AF2254" s="16"/>
      <c r="AG2254" s="23"/>
      <c r="AH2254" s="22"/>
      <c r="AJ2254" s="83">
        <f t="shared" si="793"/>
        <v>0</v>
      </c>
      <c r="AO2254" s="22" t="str">
        <f t="shared" si="794"/>
        <v/>
      </c>
      <c r="AP2254" s="22" t="str">
        <f t="shared" si="795"/>
        <v/>
      </c>
    </row>
    <row r="2255" spans="1:42" x14ac:dyDescent="0.25">
      <c r="A2255" s="10"/>
      <c r="B2255" s="10"/>
      <c r="C2255" s="10"/>
      <c r="D2255" s="10"/>
      <c r="E2255" s="10"/>
      <c r="F2255" s="10"/>
      <c r="G2255" s="10"/>
      <c r="H2255" s="17"/>
      <c r="I2255" s="10"/>
      <c r="J2255" s="10"/>
      <c r="K2255" s="16" t="str">
        <f t="shared" si="774"/>
        <v/>
      </c>
      <c r="L2255" s="23" t="str">
        <f t="shared" si="775"/>
        <v/>
      </c>
      <c r="M2255" s="22" t="str">
        <f t="shared" si="776"/>
        <v/>
      </c>
      <c r="N2255" s="72"/>
      <c r="O2255" s="16" t="str">
        <f t="shared" si="777"/>
        <v/>
      </c>
      <c r="P2255" s="16" t="str">
        <f t="shared" si="778"/>
        <v/>
      </c>
      <c r="Q2255" s="16" t="str">
        <f t="shared" si="779"/>
        <v/>
      </c>
      <c r="R2255" s="23" t="str">
        <f t="shared" si="780"/>
        <v/>
      </c>
      <c r="S2255" s="23" t="str">
        <f t="shared" si="781"/>
        <v/>
      </c>
      <c r="T2255" s="23" t="str">
        <f t="shared" si="782"/>
        <v/>
      </c>
      <c r="U2255" s="23" t="str">
        <f t="shared" si="783"/>
        <v/>
      </c>
      <c r="V2255" s="23" t="str">
        <f t="shared" si="784"/>
        <v/>
      </c>
      <c r="W2255" s="70" t="str">
        <f t="shared" si="785"/>
        <v/>
      </c>
      <c r="X2255" s="70" t="str">
        <f t="shared" si="786"/>
        <v/>
      </c>
      <c r="Y2255" s="70" t="str">
        <f>IF(AND($A2255&lt;&gt;"",$E2255&gt;0),isLaptopBag($C2255,$J2255)*$D2255,"")</f>
        <v/>
      </c>
      <c r="Z2255" s="70" t="str">
        <f t="shared" si="787"/>
        <v/>
      </c>
      <c r="AA2255" s="70" t="str">
        <f t="shared" si="788"/>
        <v/>
      </c>
      <c r="AB2255" s="70" t="str">
        <f t="shared" si="789"/>
        <v/>
      </c>
      <c r="AC2255" s="70" t="str">
        <f t="shared" si="790"/>
        <v/>
      </c>
      <c r="AD2255" s="70" t="str">
        <f t="shared" si="791"/>
        <v/>
      </c>
      <c r="AE2255" s="70" t="str">
        <f t="shared" si="792"/>
        <v/>
      </c>
      <c r="AF2255" s="16"/>
      <c r="AG2255" s="23"/>
      <c r="AH2255" s="22"/>
      <c r="AJ2255" s="83">
        <f t="shared" si="793"/>
        <v>0</v>
      </c>
      <c r="AO2255" s="22" t="str">
        <f t="shared" si="794"/>
        <v/>
      </c>
      <c r="AP2255" s="22" t="str">
        <f t="shared" si="795"/>
        <v/>
      </c>
    </row>
    <row r="2256" spans="1:42" x14ac:dyDescent="0.25">
      <c r="A2256" s="10"/>
      <c r="B2256" s="10"/>
      <c r="C2256" s="10"/>
      <c r="D2256" s="10"/>
      <c r="E2256" s="10"/>
      <c r="F2256" s="10"/>
      <c r="G2256" s="10"/>
      <c r="H2256" s="17"/>
      <c r="I2256" s="10"/>
      <c r="J2256" s="10"/>
      <c r="K2256" s="16" t="str">
        <f t="shared" si="774"/>
        <v/>
      </c>
      <c r="L2256" s="23" t="str">
        <f t="shared" si="775"/>
        <v/>
      </c>
      <c r="M2256" s="22" t="str">
        <f t="shared" si="776"/>
        <v/>
      </c>
      <c r="N2256" s="72"/>
      <c r="O2256" s="16" t="str">
        <f t="shared" si="777"/>
        <v/>
      </c>
      <c r="P2256" s="16" t="str">
        <f t="shared" si="778"/>
        <v/>
      </c>
      <c r="Q2256" s="16" t="str">
        <f t="shared" si="779"/>
        <v/>
      </c>
      <c r="R2256" s="23" t="str">
        <f t="shared" si="780"/>
        <v/>
      </c>
      <c r="S2256" s="23" t="str">
        <f t="shared" si="781"/>
        <v/>
      </c>
      <c r="T2256" s="23" t="str">
        <f t="shared" si="782"/>
        <v/>
      </c>
      <c r="U2256" s="23" t="str">
        <f t="shared" si="783"/>
        <v/>
      </c>
      <c r="V2256" s="23" t="str">
        <f t="shared" si="784"/>
        <v/>
      </c>
      <c r="W2256" s="70" t="str">
        <f t="shared" si="785"/>
        <v/>
      </c>
      <c r="X2256" s="70" t="str">
        <f t="shared" si="786"/>
        <v/>
      </c>
      <c r="Y2256" s="70" t="str">
        <f>IF(AND($A2256&lt;&gt;"",$E2256&gt;0),isLaptopBag($C2256,$J2256)*$D2256,"")</f>
        <v/>
      </c>
      <c r="Z2256" s="70" t="str">
        <f t="shared" si="787"/>
        <v/>
      </c>
      <c r="AA2256" s="70" t="str">
        <f t="shared" si="788"/>
        <v/>
      </c>
      <c r="AB2256" s="70" t="str">
        <f t="shared" si="789"/>
        <v/>
      </c>
      <c r="AC2256" s="70" t="str">
        <f t="shared" si="790"/>
        <v/>
      </c>
      <c r="AD2256" s="70" t="str">
        <f t="shared" si="791"/>
        <v/>
      </c>
      <c r="AE2256" s="70" t="str">
        <f t="shared" si="792"/>
        <v/>
      </c>
      <c r="AF2256" s="16"/>
      <c r="AG2256" s="23"/>
      <c r="AH2256" s="22"/>
      <c r="AJ2256" s="83">
        <f t="shared" si="793"/>
        <v>0</v>
      </c>
      <c r="AO2256" s="22" t="str">
        <f t="shared" si="794"/>
        <v/>
      </c>
      <c r="AP2256" s="22" t="str">
        <f t="shared" si="795"/>
        <v/>
      </c>
    </row>
    <row r="2257" spans="1:42" x14ac:dyDescent="0.25">
      <c r="A2257" s="10"/>
      <c r="B2257" s="10"/>
      <c r="C2257" s="10"/>
      <c r="D2257" s="10"/>
      <c r="E2257" s="10"/>
      <c r="F2257" s="10"/>
      <c r="G2257" s="10"/>
      <c r="H2257" s="17"/>
      <c r="I2257" s="10"/>
      <c r="J2257" s="10"/>
      <c r="K2257" s="16" t="str">
        <f t="shared" si="774"/>
        <v/>
      </c>
      <c r="L2257" s="23" t="str">
        <f t="shared" si="775"/>
        <v/>
      </c>
      <c r="M2257" s="22" t="str">
        <f t="shared" si="776"/>
        <v/>
      </c>
      <c r="N2257" s="72"/>
      <c r="O2257" s="16" t="str">
        <f t="shared" si="777"/>
        <v/>
      </c>
      <c r="P2257" s="16" t="str">
        <f t="shared" si="778"/>
        <v/>
      </c>
      <c r="Q2257" s="16" t="str">
        <f t="shared" si="779"/>
        <v/>
      </c>
      <c r="R2257" s="23" t="str">
        <f t="shared" si="780"/>
        <v/>
      </c>
      <c r="S2257" s="23" t="str">
        <f t="shared" si="781"/>
        <v/>
      </c>
      <c r="T2257" s="23" t="str">
        <f t="shared" si="782"/>
        <v/>
      </c>
      <c r="U2257" s="23" t="str">
        <f t="shared" si="783"/>
        <v/>
      </c>
      <c r="V2257" s="23" t="str">
        <f t="shared" si="784"/>
        <v/>
      </c>
      <c r="W2257" s="70" t="str">
        <f t="shared" si="785"/>
        <v/>
      </c>
      <c r="X2257" s="70" t="str">
        <f t="shared" si="786"/>
        <v/>
      </c>
      <c r="Y2257" s="70" t="str">
        <f>IF(AND($A2257&lt;&gt;"",$E2257&gt;0),isLaptopBag($C2257,$J2257)*$D2257,"")</f>
        <v/>
      </c>
      <c r="Z2257" s="70" t="str">
        <f t="shared" si="787"/>
        <v/>
      </c>
      <c r="AA2257" s="70" t="str">
        <f t="shared" si="788"/>
        <v/>
      </c>
      <c r="AB2257" s="70" t="str">
        <f t="shared" si="789"/>
        <v/>
      </c>
      <c r="AC2257" s="70" t="str">
        <f t="shared" si="790"/>
        <v/>
      </c>
      <c r="AD2257" s="70" t="str">
        <f t="shared" si="791"/>
        <v/>
      </c>
      <c r="AE2257" s="70" t="str">
        <f t="shared" si="792"/>
        <v/>
      </c>
      <c r="AF2257" s="16"/>
      <c r="AG2257" s="23"/>
      <c r="AH2257" s="22"/>
      <c r="AJ2257" s="83">
        <f t="shared" si="793"/>
        <v>0</v>
      </c>
      <c r="AO2257" s="22" t="str">
        <f t="shared" si="794"/>
        <v/>
      </c>
      <c r="AP2257" s="22" t="str">
        <f t="shared" si="795"/>
        <v/>
      </c>
    </row>
    <row r="2258" spans="1:42" x14ac:dyDescent="0.25">
      <c r="A2258" s="10"/>
      <c r="B2258" s="10"/>
      <c r="C2258" s="10"/>
      <c r="D2258" s="10"/>
      <c r="E2258" s="10"/>
      <c r="F2258" s="10"/>
      <c r="G2258" s="10"/>
      <c r="H2258" s="17"/>
      <c r="I2258" s="10"/>
      <c r="J2258" s="10"/>
      <c r="K2258" s="16" t="str">
        <f t="shared" si="774"/>
        <v/>
      </c>
      <c r="L2258" s="23" t="str">
        <f t="shared" si="775"/>
        <v/>
      </c>
      <c r="M2258" s="22" t="str">
        <f t="shared" si="776"/>
        <v/>
      </c>
      <c r="N2258" s="72"/>
      <c r="O2258" s="16" t="str">
        <f t="shared" si="777"/>
        <v/>
      </c>
      <c r="P2258" s="16" t="str">
        <f t="shared" si="778"/>
        <v/>
      </c>
      <c r="Q2258" s="16" t="str">
        <f t="shared" si="779"/>
        <v/>
      </c>
      <c r="R2258" s="23" t="str">
        <f t="shared" si="780"/>
        <v/>
      </c>
      <c r="S2258" s="23" t="str">
        <f t="shared" si="781"/>
        <v/>
      </c>
      <c r="T2258" s="23" t="str">
        <f t="shared" si="782"/>
        <v/>
      </c>
      <c r="U2258" s="23" t="str">
        <f t="shared" si="783"/>
        <v/>
      </c>
      <c r="V2258" s="23" t="str">
        <f t="shared" si="784"/>
        <v/>
      </c>
      <c r="W2258" s="70" t="str">
        <f t="shared" si="785"/>
        <v/>
      </c>
      <c r="X2258" s="70" t="str">
        <f t="shared" si="786"/>
        <v/>
      </c>
      <c r="Y2258" s="70" t="str">
        <f>IF(AND($A2258&lt;&gt;"",$E2258&gt;0),isLaptopBag($C2258,$J2258)*$D2258,"")</f>
        <v/>
      </c>
      <c r="Z2258" s="70" t="str">
        <f t="shared" si="787"/>
        <v/>
      </c>
      <c r="AA2258" s="70" t="str">
        <f t="shared" si="788"/>
        <v/>
      </c>
      <c r="AB2258" s="70" t="str">
        <f t="shared" si="789"/>
        <v/>
      </c>
      <c r="AC2258" s="70" t="str">
        <f t="shared" si="790"/>
        <v/>
      </c>
      <c r="AD2258" s="70" t="str">
        <f t="shared" si="791"/>
        <v/>
      </c>
      <c r="AE2258" s="70" t="str">
        <f t="shared" si="792"/>
        <v/>
      </c>
      <c r="AF2258" s="16"/>
      <c r="AG2258" s="23"/>
      <c r="AH2258" s="22"/>
      <c r="AJ2258" s="83">
        <f t="shared" si="793"/>
        <v>0</v>
      </c>
      <c r="AO2258" s="22" t="str">
        <f t="shared" si="794"/>
        <v/>
      </c>
      <c r="AP2258" s="22" t="str">
        <f t="shared" si="795"/>
        <v/>
      </c>
    </row>
    <row r="2259" spans="1:42" x14ac:dyDescent="0.25">
      <c r="A2259" s="10"/>
      <c r="B2259" s="10"/>
      <c r="C2259" s="10"/>
      <c r="D2259" s="10"/>
      <c r="E2259" s="10"/>
      <c r="F2259" s="10"/>
      <c r="G2259" s="10"/>
      <c r="H2259" s="17"/>
      <c r="I2259" s="10"/>
      <c r="J2259" s="10"/>
      <c r="K2259" s="16" t="str">
        <f t="shared" si="774"/>
        <v/>
      </c>
      <c r="L2259" s="23" t="str">
        <f t="shared" si="775"/>
        <v/>
      </c>
      <c r="M2259" s="22" t="str">
        <f t="shared" si="776"/>
        <v/>
      </c>
      <c r="N2259" s="72"/>
      <c r="O2259" s="16" t="str">
        <f t="shared" si="777"/>
        <v/>
      </c>
      <c r="P2259" s="16" t="str">
        <f t="shared" si="778"/>
        <v/>
      </c>
      <c r="Q2259" s="16" t="str">
        <f t="shared" si="779"/>
        <v/>
      </c>
      <c r="R2259" s="23" t="str">
        <f t="shared" si="780"/>
        <v/>
      </c>
      <c r="S2259" s="23" t="str">
        <f t="shared" si="781"/>
        <v/>
      </c>
      <c r="T2259" s="23" t="str">
        <f t="shared" si="782"/>
        <v/>
      </c>
      <c r="U2259" s="23" t="str">
        <f t="shared" si="783"/>
        <v/>
      </c>
      <c r="V2259" s="23" t="str">
        <f t="shared" si="784"/>
        <v/>
      </c>
      <c r="W2259" s="70" t="str">
        <f t="shared" si="785"/>
        <v/>
      </c>
      <c r="X2259" s="70" t="str">
        <f t="shared" si="786"/>
        <v/>
      </c>
      <c r="Y2259" s="70" t="str">
        <f>IF(AND($A2259&lt;&gt;"",$E2259&gt;0),isLaptopBag($C2259,$J2259)*$D2259,"")</f>
        <v/>
      </c>
      <c r="Z2259" s="70" t="str">
        <f t="shared" si="787"/>
        <v/>
      </c>
      <c r="AA2259" s="70" t="str">
        <f t="shared" si="788"/>
        <v/>
      </c>
      <c r="AB2259" s="70" t="str">
        <f t="shared" si="789"/>
        <v/>
      </c>
      <c r="AC2259" s="70" t="str">
        <f t="shared" si="790"/>
        <v/>
      </c>
      <c r="AD2259" s="70" t="str">
        <f t="shared" si="791"/>
        <v/>
      </c>
      <c r="AE2259" s="70" t="str">
        <f t="shared" si="792"/>
        <v/>
      </c>
      <c r="AF2259" s="16"/>
      <c r="AG2259" s="23"/>
      <c r="AH2259" s="22"/>
      <c r="AJ2259" s="83">
        <f t="shared" si="793"/>
        <v>0</v>
      </c>
      <c r="AO2259" s="22" t="str">
        <f t="shared" si="794"/>
        <v/>
      </c>
      <c r="AP2259" s="22" t="str">
        <f t="shared" si="795"/>
        <v/>
      </c>
    </row>
    <row r="2260" spans="1:42" x14ac:dyDescent="0.25">
      <c r="A2260" s="10"/>
      <c r="B2260" s="10"/>
      <c r="C2260" s="10"/>
      <c r="D2260" s="10"/>
      <c r="E2260" s="10"/>
      <c r="F2260" s="10"/>
      <c r="G2260" s="10"/>
      <c r="H2260" s="17"/>
      <c r="I2260" s="10"/>
      <c r="J2260" s="10"/>
      <c r="K2260" s="16" t="str">
        <f t="shared" si="774"/>
        <v/>
      </c>
      <c r="L2260" s="23" t="str">
        <f t="shared" si="775"/>
        <v/>
      </c>
      <c r="M2260" s="22" t="str">
        <f t="shared" si="776"/>
        <v/>
      </c>
      <c r="N2260" s="72"/>
      <c r="O2260" s="16" t="str">
        <f t="shared" si="777"/>
        <v/>
      </c>
      <c r="P2260" s="16" t="str">
        <f t="shared" si="778"/>
        <v/>
      </c>
      <c r="Q2260" s="16" t="str">
        <f t="shared" si="779"/>
        <v/>
      </c>
      <c r="R2260" s="23" t="str">
        <f t="shared" si="780"/>
        <v/>
      </c>
      <c r="S2260" s="23" t="str">
        <f t="shared" si="781"/>
        <v/>
      </c>
      <c r="T2260" s="23" t="str">
        <f t="shared" si="782"/>
        <v/>
      </c>
      <c r="U2260" s="23" t="str">
        <f t="shared" si="783"/>
        <v/>
      </c>
      <c r="V2260" s="23" t="str">
        <f t="shared" si="784"/>
        <v/>
      </c>
      <c r="W2260" s="70" t="str">
        <f t="shared" si="785"/>
        <v/>
      </c>
      <c r="X2260" s="70" t="str">
        <f t="shared" si="786"/>
        <v/>
      </c>
      <c r="Y2260" s="70" t="str">
        <f>IF(AND($A2260&lt;&gt;"",$E2260&gt;0),isLaptopBag($C2260,$J2260)*$D2260,"")</f>
        <v/>
      </c>
      <c r="Z2260" s="70" t="str">
        <f t="shared" si="787"/>
        <v/>
      </c>
      <c r="AA2260" s="70" t="str">
        <f t="shared" si="788"/>
        <v/>
      </c>
      <c r="AB2260" s="70" t="str">
        <f t="shared" si="789"/>
        <v/>
      </c>
      <c r="AC2260" s="70" t="str">
        <f t="shared" si="790"/>
        <v/>
      </c>
      <c r="AD2260" s="70" t="str">
        <f t="shared" si="791"/>
        <v/>
      </c>
      <c r="AE2260" s="70" t="str">
        <f t="shared" si="792"/>
        <v/>
      </c>
      <c r="AF2260" s="16"/>
      <c r="AG2260" s="23"/>
      <c r="AH2260" s="22"/>
      <c r="AJ2260" s="83">
        <f t="shared" si="793"/>
        <v>0</v>
      </c>
      <c r="AO2260" s="22" t="str">
        <f t="shared" si="794"/>
        <v/>
      </c>
      <c r="AP2260" s="22" t="str">
        <f t="shared" si="795"/>
        <v/>
      </c>
    </row>
    <row r="2261" spans="1:42" x14ac:dyDescent="0.25">
      <c r="A2261" s="10"/>
      <c r="B2261" s="10"/>
      <c r="C2261" s="10"/>
      <c r="D2261" s="10"/>
      <c r="E2261" s="10"/>
      <c r="F2261" s="10"/>
      <c r="G2261" s="10"/>
      <c r="H2261" s="17"/>
      <c r="I2261" s="10"/>
      <c r="J2261" s="10"/>
      <c r="K2261" s="16" t="str">
        <f t="shared" si="774"/>
        <v/>
      </c>
      <c r="L2261" s="23" t="str">
        <f t="shared" si="775"/>
        <v/>
      </c>
      <c r="M2261" s="22" t="str">
        <f t="shared" si="776"/>
        <v/>
      </c>
      <c r="N2261" s="72"/>
      <c r="O2261" s="16" t="str">
        <f t="shared" si="777"/>
        <v/>
      </c>
      <c r="P2261" s="16" t="str">
        <f t="shared" si="778"/>
        <v/>
      </c>
      <c r="Q2261" s="16" t="str">
        <f t="shared" si="779"/>
        <v/>
      </c>
      <c r="R2261" s="23" t="str">
        <f t="shared" si="780"/>
        <v/>
      </c>
      <c r="S2261" s="23" t="str">
        <f t="shared" si="781"/>
        <v/>
      </c>
      <c r="T2261" s="23" t="str">
        <f t="shared" si="782"/>
        <v/>
      </c>
      <c r="U2261" s="23" t="str">
        <f t="shared" si="783"/>
        <v/>
      </c>
      <c r="V2261" s="23" t="str">
        <f t="shared" si="784"/>
        <v/>
      </c>
      <c r="W2261" s="70" t="str">
        <f t="shared" si="785"/>
        <v/>
      </c>
      <c r="X2261" s="70" t="str">
        <f t="shared" si="786"/>
        <v/>
      </c>
      <c r="Y2261" s="70" t="str">
        <f>IF(AND($A2261&lt;&gt;"",$E2261&gt;0),isLaptopBag($C2261,$J2261)*$D2261,"")</f>
        <v/>
      </c>
      <c r="Z2261" s="70" t="str">
        <f t="shared" si="787"/>
        <v/>
      </c>
      <c r="AA2261" s="70" t="str">
        <f t="shared" si="788"/>
        <v/>
      </c>
      <c r="AB2261" s="70" t="str">
        <f t="shared" si="789"/>
        <v/>
      </c>
      <c r="AC2261" s="70" t="str">
        <f t="shared" si="790"/>
        <v/>
      </c>
      <c r="AD2261" s="70" t="str">
        <f t="shared" si="791"/>
        <v/>
      </c>
      <c r="AE2261" s="70" t="str">
        <f t="shared" si="792"/>
        <v/>
      </c>
      <c r="AF2261" s="16"/>
      <c r="AG2261" s="23"/>
      <c r="AH2261" s="22"/>
      <c r="AJ2261" s="83">
        <f t="shared" si="793"/>
        <v>0</v>
      </c>
      <c r="AO2261" s="22" t="str">
        <f t="shared" si="794"/>
        <v/>
      </c>
      <c r="AP2261" s="22" t="str">
        <f t="shared" si="795"/>
        <v/>
      </c>
    </row>
    <row r="2262" spans="1:42" x14ac:dyDescent="0.25">
      <c r="A2262" s="10"/>
      <c r="B2262" s="10"/>
      <c r="C2262" s="10"/>
      <c r="D2262" s="10"/>
      <c r="E2262" s="10"/>
      <c r="F2262" s="10"/>
      <c r="G2262" s="10"/>
      <c r="H2262" s="17"/>
      <c r="I2262" s="10"/>
      <c r="J2262" s="10"/>
      <c r="K2262" s="16" t="str">
        <f t="shared" si="774"/>
        <v/>
      </c>
      <c r="L2262" s="23" t="str">
        <f t="shared" si="775"/>
        <v/>
      </c>
      <c r="M2262" s="22" t="str">
        <f t="shared" si="776"/>
        <v/>
      </c>
      <c r="N2262" s="72"/>
      <c r="O2262" s="16" t="str">
        <f t="shared" si="777"/>
        <v/>
      </c>
      <c r="P2262" s="16" t="str">
        <f t="shared" si="778"/>
        <v/>
      </c>
      <c r="Q2262" s="16" t="str">
        <f t="shared" si="779"/>
        <v/>
      </c>
      <c r="R2262" s="23" t="str">
        <f t="shared" si="780"/>
        <v/>
      </c>
      <c r="S2262" s="23" t="str">
        <f t="shared" si="781"/>
        <v/>
      </c>
      <c r="T2262" s="23" t="str">
        <f t="shared" si="782"/>
        <v/>
      </c>
      <c r="U2262" s="23" t="str">
        <f t="shared" si="783"/>
        <v/>
      </c>
      <c r="V2262" s="23" t="str">
        <f t="shared" si="784"/>
        <v/>
      </c>
      <c r="W2262" s="70" t="str">
        <f t="shared" si="785"/>
        <v/>
      </c>
      <c r="X2262" s="70" t="str">
        <f t="shared" si="786"/>
        <v/>
      </c>
      <c r="Y2262" s="70" t="str">
        <f>IF(AND($A2262&lt;&gt;"",$E2262&gt;0),isLaptopBag($C2262,$J2262)*$D2262,"")</f>
        <v/>
      </c>
      <c r="Z2262" s="70" t="str">
        <f t="shared" si="787"/>
        <v/>
      </c>
      <c r="AA2262" s="70" t="str">
        <f t="shared" si="788"/>
        <v/>
      </c>
      <c r="AB2262" s="70" t="str">
        <f t="shared" si="789"/>
        <v/>
      </c>
      <c r="AC2262" s="70" t="str">
        <f t="shared" si="790"/>
        <v/>
      </c>
      <c r="AD2262" s="70" t="str">
        <f t="shared" si="791"/>
        <v/>
      </c>
      <c r="AE2262" s="70" t="str">
        <f t="shared" si="792"/>
        <v/>
      </c>
      <c r="AF2262" s="16"/>
      <c r="AG2262" s="23"/>
      <c r="AH2262" s="22"/>
      <c r="AJ2262" s="83">
        <f t="shared" si="793"/>
        <v>0</v>
      </c>
      <c r="AO2262" s="22" t="str">
        <f t="shared" si="794"/>
        <v/>
      </c>
      <c r="AP2262" s="22" t="str">
        <f t="shared" si="795"/>
        <v/>
      </c>
    </row>
    <row r="2263" spans="1:42" x14ac:dyDescent="0.25">
      <c r="A2263" s="10"/>
      <c r="B2263" s="10"/>
      <c r="C2263" s="10"/>
      <c r="D2263" s="10"/>
      <c r="E2263" s="10"/>
      <c r="F2263" s="10"/>
      <c r="G2263" s="10"/>
      <c r="H2263" s="17"/>
      <c r="I2263" s="10"/>
      <c r="J2263" s="10"/>
      <c r="K2263" s="16" t="str">
        <f t="shared" si="774"/>
        <v/>
      </c>
      <c r="L2263" s="23" t="str">
        <f t="shared" si="775"/>
        <v/>
      </c>
      <c r="M2263" s="22" t="str">
        <f t="shared" si="776"/>
        <v/>
      </c>
      <c r="N2263" s="72"/>
      <c r="O2263" s="16" t="str">
        <f t="shared" si="777"/>
        <v/>
      </c>
      <c r="P2263" s="16" t="str">
        <f t="shared" si="778"/>
        <v/>
      </c>
      <c r="Q2263" s="16" t="str">
        <f t="shared" si="779"/>
        <v/>
      </c>
      <c r="R2263" s="23" t="str">
        <f t="shared" si="780"/>
        <v/>
      </c>
      <c r="S2263" s="23" t="str">
        <f t="shared" si="781"/>
        <v/>
      </c>
      <c r="T2263" s="23" t="str">
        <f t="shared" si="782"/>
        <v/>
      </c>
      <c r="U2263" s="23" t="str">
        <f t="shared" si="783"/>
        <v/>
      </c>
      <c r="V2263" s="23" t="str">
        <f t="shared" si="784"/>
        <v/>
      </c>
      <c r="W2263" s="70" t="str">
        <f t="shared" si="785"/>
        <v/>
      </c>
      <c r="X2263" s="70" t="str">
        <f t="shared" si="786"/>
        <v/>
      </c>
      <c r="Y2263" s="70" t="str">
        <f>IF(AND($A2263&lt;&gt;"",$E2263&gt;0),isLaptopBag($C2263,$J2263)*$D2263,"")</f>
        <v/>
      </c>
      <c r="Z2263" s="70" t="str">
        <f t="shared" si="787"/>
        <v/>
      </c>
      <c r="AA2263" s="70" t="str">
        <f t="shared" si="788"/>
        <v/>
      </c>
      <c r="AB2263" s="70" t="str">
        <f t="shared" si="789"/>
        <v/>
      </c>
      <c r="AC2263" s="70" t="str">
        <f t="shared" si="790"/>
        <v/>
      </c>
      <c r="AD2263" s="70" t="str">
        <f t="shared" si="791"/>
        <v/>
      </c>
      <c r="AE2263" s="70" t="str">
        <f t="shared" si="792"/>
        <v/>
      </c>
      <c r="AF2263" s="16"/>
      <c r="AG2263" s="23"/>
      <c r="AH2263" s="22"/>
      <c r="AJ2263" s="83">
        <f t="shared" si="793"/>
        <v>0</v>
      </c>
      <c r="AO2263" s="22" t="str">
        <f t="shared" si="794"/>
        <v/>
      </c>
      <c r="AP2263" s="22" t="str">
        <f t="shared" si="795"/>
        <v/>
      </c>
    </row>
    <row r="2264" spans="1:42" x14ac:dyDescent="0.25">
      <c r="A2264" s="10"/>
      <c r="B2264" s="10"/>
      <c r="C2264" s="10"/>
      <c r="D2264" s="10"/>
      <c r="E2264" s="10"/>
      <c r="F2264" s="10"/>
      <c r="G2264" s="10"/>
      <c r="H2264" s="17"/>
      <c r="I2264" s="10"/>
      <c r="J2264" s="10"/>
      <c r="K2264" s="16" t="str">
        <f t="shared" si="774"/>
        <v/>
      </c>
      <c r="L2264" s="23" t="str">
        <f t="shared" si="775"/>
        <v/>
      </c>
      <c r="M2264" s="22" t="str">
        <f t="shared" si="776"/>
        <v/>
      </c>
      <c r="N2264" s="72"/>
      <c r="O2264" s="16" t="str">
        <f t="shared" si="777"/>
        <v/>
      </c>
      <c r="P2264" s="16" t="str">
        <f t="shared" si="778"/>
        <v/>
      </c>
      <c r="Q2264" s="16" t="str">
        <f t="shared" si="779"/>
        <v/>
      </c>
      <c r="R2264" s="23" t="str">
        <f t="shared" si="780"/>
        <v/>
      </c>
      <c r="S2264" s="23" t="str">
        <f t="shared" si="781"/>
        <v/>
      </c>
      <c r="T2264" s="23" t="str">
        <f t="shared" si="782"/>
        <v/>
      </c>
      <c r="U2264" s="23" t="str">
        <f t="shared" si="783"/>
        <v/>
      </c>
      <c r="V2264" s="23" t="str">
        <f t="shared" si="784"/>
        <v/>
      </c>
      <c r="W2264" s="70" t="str">
        <f t="shared" si="785"/>
        <v/>
      </c>
      <c r="X2264" s="70" t="str">
        <f t="shared" si="786"/>
        <v/>
      </c>
      <c r="Y2264" s="70" t="str">
        <f>IF(AND($A2264&lt;&gt;"",$E2264&gt;0),isLaptopBag($C2264,$J2264)*$D2264,"")</f>
        <v/>
      </c>
      <c r="Z2264" s="70" t="str">
        <f t="shared" si="787"/>
        <v/>
      </c>
      <c r="AA2264" s="70" t="str">
        <f t="shared" si="788"/>
        <v/>
      </c>
      <c r="AB2264" s="70" t="str">
        <f t="shared" si="789"/>
        <v/>
      </c>
      <c r="AC2264" s="70" t="str">
        <f t="shared" si="790"/>
        <v/>
      </c>
      <c r="AD2264" s="70" t="str">
        <f t="shared" si="791"/>
        <v/>
      </c>
      <c r="AE2264" s="70" t="str">
        <f t="shared" si="792"/>
        <v/>
      </c>
      <c r="AF2264" s="16"/>
      <c r="AG2264" s="23"/>
      <c r="AH2264" s="22"/>
      <c r="AJ2264" s="83">
        <f t="shared" si="793"/>
        <v>0</v>
      </c>
      <c r="AO2264" s="22" t="str">
        <f t="shared" si="794"/>
        <v/>
      </c>
      <c r="AP2264" s="22" t="str">
        <f t="shared" si="795"/>
        <v/>
      </c>
    </row>
    <row r="2265" spans="1:42" x14ac:dyDescent="0.25">
      <c r="A2265" s="10"/>
      <c r="B2265" s="10"/>
      <c r="C2265" s="10"/>
      <c r="D2265" s="10"/>
      <c r="E2265" s="10"/>
      <c r="F2265" s="10"/>
      <c r="G2265" s="10"/>
      <c r="H2265" s="17"/>
      <c r="I2265" s="10"/>
      <c r="J2265" s="10"/>
      <c r="K2265" s="16" t="str">
        <f t="shared" si="774"/>
        <v/>
      </c>
      <c r="L2265" s="23" t="str">
        <f t="shared" si="775"/>
        <v/>
      </c>
      <c r="M2265" s="22" t="str">
        <f t="shared" si="776"/>
        <v/>
      </c>
      <c r="N2265" s="72"/>
      <c r="O2265" s="16" t="str">
        <f t="shared" si="777"/>
        <v/>
      </c>
      <c r="P2265" s="16" t="str">
        <f t="shared" si="778"/>
        <v/>
      </c>
      <c r="Q2265" s="16" t="str">
        <f t="shared" si="779"/>
        <v/>
      </c>
      <c r="R2265" s="23" t="str">
        <f t="shared" si="780"/>
        <v/>
      </c>
      <c r="S2265" s="23" t="str">
        <f t="shared" si="781"/>
        <v/>
      </c>
      <c r="T2265" s="23" t="str">
        <f t="shared" si="782"/>
        <v/>
      </c>
      <c r="U2265" s="23" t="str">
        <f t="shared" si="783"/>
        <v/>
      </c>
      <c r="V2265" s="23" t="str">
        <f t="shared" si="784"/>
        <v/>
      </c>
      <c r="W2265" s="70" t="str">
        <f t="shared" si="785"/>
        <v/>
      </c>
      <c r="X2265" s="70" t="str">
        <f t="shared" si="786"/>
        <v/>
      </c>
      <c r="Y2265" s="70" t="str">
        <f>IF(AND($A2265&lt;&gt;"",$E2265&gt;0),isLaptopBag($C2265,$J2265)*$D2265,"")</f>
        <v/>
      </c>
      <c r="Z2265" s="70" t="str">
        <f t="shared" si="787"/>
        <v/>
      </c>
      <c r="AA2265" s="70" t="str">
        <f t="shared" si="788"/>
        <v/>
      </c>
      <c r="AB2265" s="70" t="str">
        <f t="shared" si="789"/>
        <v/>
      </c>
      <c r="AC2265" s="70" t="str">
        <f t="shared" si="790"/>
        <v/>
      </c>
      <c r="AD2265" s="70" t="str">
        <f t="shared" si="791"/>
        <v/>
      </c>
      <c r="AE2265" s="70" t="str">
        <f t="shared" si="792"/>
        <v/>
      </c>
      <c r="AF2265" s="16"/>
      <c r="AG2265" s="23"/>
      <c r="AH2265" s="22"/>
      <c r="AJ2265" s="83">
        <f t="shared" si="793"/>
        <v>0</v>
      </c>
      <c r="AO2265" s="22" t="str">
        <f t="shared" si="794"/>
        <v/>
      </c>
      <c r="AP2265" s="22" t="str">
        <f t="shared" si="795"/>
        <v/>
      </c>
    </row>
    <row r="2266" spans="1:42" x14ac:dyDescent="0.25">
      <c r="A2266" s="10"/>
      <c r="B2266" s="10"/>
      <c r="C2266" s="10"/>
      <c r="D2266" s="10"/>
      <c r="E2266" s="10"/>
      <c r="F2266" s="10"/>
      <c r="G2266" s="10"/>
      <c r="H2266" s="17"/>
      <c r="I2266" s="10"/>
      <c r="J2266" s="10"/>
      <c r="K2266" s="16" t="str">
        <f t="shared" si="774"/>
        <v/>
      </c>
      <c r="L2266" s="23" t="str">
        <f t="shared" si="775"/>
        <v/>
      </c>
      <c r="M2266" s="22" t="str">
        <f t="shared" si="776"/>
        <v/>
      </c>
      <c r="N2266" s="72"/>
      <c r="O2266" s="16" t="str">
        <f t="shared" si="777"/>
        <v/>
      </c>
      <c r="P2266" s="16" t="str">
        <f t="shared" si="778"/>
        <v/>
      </c>
      <c r="Q2266" s="16" t="str">
        <f t="shared" si="779"/>
        <v/>
      </c>
      <c r="R2266" s="23" t="str">
        <f t="shared" si="780"/>
        <v/>
      </c>
      <c r="S2266" s="23" t="str">
        <f t="shared" si="781"/>
        <v/>
      </c>
      <c r="T2266" s="23" t="str">
        <f t="shared" si="782"/>
        <v/>
      </c>
      <c r="U2266" s="23" t="str">
        <f t="shared" si="783"/>
        <v/>
      </c>
      <c r="V2266" s="23" t="str">
        <f t="shared" si="784"/>
        <v/>
      </c>
      <c r="W2266" s="70" t="str">
        <f t="shared" si="785"/>
        <v/>
      </c>
      <c r="X2266" s="70" t="str">
        <f t="shared" si="786"/>
        <v/>
      </c>
      <c r="Y2266" s="70" t="str">
        <f>IF(AND($A2266&lt;&gt;"",$E2266&gt;0),isLaptopBag($C2266,$J2266)*$D2266,"")</f>
        <v/>
      </c>
      <c r="Z2266" s="70" t="str">
        <f t="shared" si="787"/>
        <v/>
      </c>
      <c r="AA2266" s="70" t="str">
        <f t="shared" si="788"/>
        <v/>
      </c>
      <c r="AB2266" s="70" t="str">
        <f t="shared" si="789"/>
        <v/>
      </c>
      <c r="AC2266" s="70" t="str">
        <f t="shared" si="790"/>
        <v/>
      </c>
      <c r="AD2266" s="70" t="str">
        <f t="shared" si="791"/>
        <v/>
      </c>
      <c r="AE2266" s="70" t="str">
        <f t="shared" si="792"/>
        <v/>
      </c>
      <c r="AF2266" s="16"/>
      <c r="AG2266" s="23"/>
      <c r="AH2266" s="22"/>
      <c r="AJ2266" s="83">
        <f t="shared" si="793"/>
        <v>0</v>
      </c>
      <c r="AO2266" s="22" t="str">
        <f t="shared" si="794"/>
        <v/>
      </c>
      <c r="AP2266" s="22" t="str">
        <f t="shared" si="795"/>
        <v/>
      </c>
    </row>
    <row r="2267" spans="1:42" x14ac:dyDescent="0.25">
      <c r="A2267" s="10"/>
      <c r="B2267" s="10"/>
      <c r="C2267" s="10"/>
      <c r="D2267" s="10"/>
      <c r="E2267" s="10"/>
      <c r="F2267" s="10"/>
      <c r="G2267" s="10"/>
      <c r="H2267" s="17"/>
      <c r="I2267" s="10"/>
      <c r="J2267" s="10"/>
      <c r="K2267" s="16" t="str">
        <f t="shared" si="774"/>
        <v/>
      </c>
      <c r="L2267" s="23" t="str">
        <f t="shared" si="775"/>
        <v/>
      </c>
      <c r="M2267" s="22" t="str">
        <f t="shared" si="776"/>
        <v/>
      </c>
      <c r="N2267" s="72"/>
      <c r="O2267" s="16" t="str">
        <f t="shared" si="777"/>
        <v/>
      </c>
      <c r="P2267" s="16" t="str">
        <f t="shared" si="778"/>
        <v/>
      </c>
      <c r="Q2267" s="16" t="str">
        <f t="shared" si="779"/>
        <v/>
      </c>
      <c r="R2267" s="23" t="str">
        <f t="shared" si="780"/>
        <v/>
      </c>
      <c r="S2267" s="23" t="str">
        <f t="shared" si="781"/>
        <v/>
      </c>
      <c r="T2267" s="23" t="str">
        <f t="shared" si="782"/>
        <v/>
      </c>
      <c r="U2267" s="23" t="str">
        <f t="shared" si="783"/>
        <v/>
      </c>
      <c r="V2267" s="23" t="str">
        <f t="shared" si="784"/>
        <v/>
      </c>
      <c r="W2267" s="70" t="str">
        <f t="shared" si="785"/>
        <v/>
      </c>
      <c r="X2267" s="70" t="str">
        <f t="shared" si="786"/>
        <v/>
      </c>
      <c r="Y2267" s="70" t="str">
        <f>IF(AND($A2267&lt;&gt;"",$E2267&gt;0),isLaptopBag($C2267,$J2267)*$D2267,"")</f>
        <v/>
      </c>
      <c r="Z2267" s="70" t="str">
        <f t="shared" si="787"/>
        <v/>
      </c>
      <c r="AA2267" s="70" t="str">
        <f t="shared" si="788"/>
        <v/>
      </c>
      <c r="AB2267" s="70" t="str">
        <f t="shared" si="789"/>
        <v/>
      </c>
      <c r="AC2267" s="70" t="str">
        <f t="shared" si="790"/>
        <v/>
      </c>
      <c r="AD2267" s="70" t="str">
        <f t="shared" si="791"/>
        <v/>
      </c>
      <c r="AE2267" s="70" t="str">
        <f t="shared" si="792"/>
        <v/>
      </c>
      <c r="AF2267" s="16"/>
      <c r="AG2267" s="23"/>
      <c r="AH2267" s="22"/>
      <c r="AJ2267" s="83">
        <f t="shared" si="793"/>
        <v>0</v>
      </c>
      <c r="AO2267" s="22" t="str">
        <f t="shared" si="794"/>
        <v/>
      </c>
      <c r="AP2267" s="22" t="str">
        <f t="shared" si="795"/>
        <v/>
      </c>
    </row>
    <row r="2268" spans="1:42" x14ac:dyDescent="0.25">
      <c r="A2268" s="10"/>
      <c r="B2268" s="10"/>
      <c r="C2268" s="10"/>
      <c r="D2268" s="10"/>
      <c r="E2268" s="10"/>
      <c r="F2268" s="10"/>
      <c r="G2268" s="10"/>
      <c r="H2268" s="17"/>
      <c r="I2268" s="10"/>
      <c r="J2268" s="10"/>
      <c r="K2268" s="16" t="str">
        <f t="shared" si="774"/>
        <v/>
      </c>
      <c r="L2268" s="23" t="str">
        <f t="shared" si="775"/>
        <v/>
      </c>
      <c r="M2268" s="22" t="str">
        <f t="shared" si="776"/>
        <v/>
      </c>
      <c r="N2268" s="72"/>
      <c r="O2268" s="16" t="str">
        <f t="shared" si="777"/>
        <v/>
      </c>
      <c r="P2268" s="16" t="str">
        <f t="shared" si="778"/>
        <v/>
      </c>
      <c r="Q2268" s="16" t="str">
        <f t="shared" si="779"/>
        <v/>
      </c>
      <c r="R2268" s="23" t="str">
        <f t="shared" si="780"/>
        <v/>
      </c>
      <c r="S2268" s="23" t="str">
        <f t="shared" si="781"/>
        <v/>
      </c>
      <c r="T2268" s="23" t="str">
        <f t="shared" si="782"/>
        <v/>
      </c>
      <c r="U2268" s="23" t="str">
        <f t="shared" si="783"/>
        <v/>
      </c>
      <c r="V2268" s="23" t="str">
        <f t="shared" si="784"/>
        <v/>
      </c>
      <c r="W2268" s="70" t="str">
        <f t="shared" si="785"/>
        <v/>
      </c>
      <c r="X2268" s="70" t="str">
        <f t="shared" si="786"/>
        <v/>
      </c>
      <c r="Y2268" s="70" t="str">
        <f>IF(AND($A2268&lt;&gt;"",$E2268&gt;0),isLaptopBag($C2268,$J2268)*$D2268,"")</f>
        <v/>
      </c>
      <c r="Z2268" s="70" t="str">
        <f t="shared" si="787"/>
        <v/>
      </c>
      <c r="AA2268" s="70" t="str">
        <f t="shared" si="788"/>
        <v/>
      </c>
      <c r="AB2268" s="70" t="str">
        <f t="shared" si="789"/>
        <v/>
      </c>
      <c r="AC2268" s="70" t="str">
        <f t="shared" si="790"/>
        <v/>
      </c>
      <c r="AD2268" s="70" t="str">
        <f t="shared" si="791"/>
        <v/>
      </c>
      <c r="AE2268" s="70" t="str">
        <f t="shared" si="792"/>
        <v/>
      </c>
      <c r="AF2268" s="16"/>
      <c r="AG2268" s="23"/>
      <c r="AH2268" s="22"/>
      <c r="AJ2268" s="83">
        <f t="shared" si="793"/>
        <v>0</v>
      </c>
      <c r="AO2268" s="22" t="str">
        <f t="shared" si="794"/>
        <v/>
      </c>
      <c r="AP2268" s="22" t="str">
        <f t="shared" si="795"/>
        <v/>
      </c>
    </row>
    <row r="2269" spans="1:42" x14ac:dyDescent="0.25">
      <c r="A2269" s="10"/>
      <c r="B2269" s="10"/>
      <c r="C2269" s="10"/>
      <c r="D2269" s="10"/>
      <c r="E2269" s="10"/>
      <c r="F2269" s="10"/>
      <c r="G2269" s="10"/>
      <c r="H2269" s="17"/>
      <c r="I2269" s="10"/>
      <c r="J2269" s="10"/>
      <c r="K2269" s="16" t="str">
        <f t="shared" si="774"/>
        <v/>
      </c>
      <c r="L2269" s="23" t="str">
        <f t="shared" si="775"/>
        <v/>
      </c>
      <c r="M2269" s="22" t="str">
        <f t="shared" si="776"/>
        <v/>
      </c>
      <c r="N2269" s="72"/>
      <c r="O2269" s="16" t="str">
        <f t="shared" si="777"/>
        <v/>
      </c>
      <c r="P2269" s="16" t="str">
        <f t="shared" si="778"/>
        <v/>
      </c>
      <c r="Q2269" s="16" t="str">
        <f t="shared" si="779"/>
        <v/>
      </c>
      <c r="R2269" s="23" t="str">
        <f t="shared" si="780"/>
        <v/>
      </c>
      <c r="S2269" s="23" t="str">
        <f t="shared" si="781"/>
        <v/>
      </c>
      <c r="T2269" s="23" t="str">
        <f t="shared" si="782"/>
        <v/>
      </c>
      <c r="U2269" s="23" t="str">
        <f t="shared" si="783"/>
        <v/>
      </c>
      <c r="V2269" s="23" t="str">
        <f t="shared" si="784"/>
        <v/>
      </c>
      <c r="W2269" s="70" t="str">
        <f t="shared" si="785"/>
        <v/>
      </c>
      <c r="X2269" s="70" t="str">
        <f t="shared" si="786"/>
        <v/>
      </c>
      <c r="Y2269" s="70" t="str">
        <f>IF(AND($A2269&lt;&gt;"",$E2269&gt;0),isLaptopBag($C2269,$J2269)*$D2269,"")</f>
        <v/>
      </c>
      <c r="Z2269" s="70" t="str">
        <f t="shared" si="787"/>
        <v/>
      </c>
      <c r="AA2269" s="70" t="str">
        <f t="shared" si="788"/>
        <v/>
      </c>
      <c r="AB2269" s="70" t="str">
        <f t="shared" si="789"/>
        <v/>
      </c>
      <c r="AC2269" s="70" t="str">
        <f t="shared" si="790"/>
        <v/>
      </c>
      <c r="AD2269" s="70" t="str">
        <f t="shared" si="791"/>
        <v/>
      </c>
      <c r="AE2269" s="70" t="str">
        <f t="shared" si="792"/>
        <v/>
      </c>
      <c r="AF2269" s="16"/>
      <c r="AG2269" s="23"/>
      <c r="AH2269" s="22"/>
      <c r="AJ2269" s="83">
        <f t="shared" si="793"/>
        <v>0</v>
      </c>
      <c r="AO2269" s="22" t="str">
        <f t="shared" si="794"/>
        <v/>
      </c>
      <c r="AP2269" s="22" t="str">
        <f t="shared" si="795"/>
        <v/>
      </c>
    </row>
    <row r="2270" spans="1:42" x14ac:dyDescent="0.25">
      <c r="A2270" s="10"/>
      <c r="B2270" s="10"/>
      <c r="C2270" s="10"/>
      <c r="D2270" s="10"/>
      <c r="E2270" s="10"/>
      <c r="F2270" s="10"/>
      <c r="G2270" s="10"/>
      <c r="H2270" s="17"/>
      <c r="I2270" s="10"/>
      <c r="J2270" s="10"/>
      <c r="K2270" s="16" t="str">
        <f t="shared" si="774"/>
        <v/>
      </c>
      <c r="L2270" s="23" t="str">
        <f t="shared" si="775"/>
        <v/>
      </c>
      <c r="M2270" s="22" t="str">
        <f t="shared" si="776"/>
        <v/>
      </c>
      <c r="N2270" s="72"/>
      <c r="O2270" s="16" t="str">
        <f t="shared" si="777"/>
        <v/>
      </c>
      <c r="P2270" s="16" t="str">
        <f t="shared" si="778"/>
        <v/>
      </c>
      <c r="Q2270" s="16" t="str">
        <f t="shared" si="779"/>
        <v/>
      </c>
      <c r="R2270" s="23" t="str">
        <f t="shared" si="780"/>
        <v/>
      </c>
      <c r="S2270" s="23" t="str">
        <f t="shared" si="781"/>
        <v/>
      </c>
      <c r="T2270" s="23" t="str">
        <f t="shared" si="782"/>
        <v/>
      </c>
      <c r="U2270" s="23" t="str">
        <f t="shared" si="783"/>
        <v/>
      </c>
      <c r="V2270" s="23" t="str">
        <f t="shared" si="784"/>
        <v/>
      </c>
      <c r="W2270" s="70" t="str">
        <f t="shared" si="785"/>
        <v/>
      </c>
      <c r="X2270" s="70" t="str">
        <f t="shared" si="786"/>
        <v/>
      </c>
      <c r="Y2270" s="70" t="str">
        <f>IF(AND($A2270&lt;&gt;"",$E2270&gt;0),isLaptopBag($C2270,$J2270)*$D2270,"")</f>
        <v/>
      </c>
      <c r="Z2270" s="70" t="str">
        <f t="shared" si="787"/>
        <v/>
      </c>
      <c r="AA2270" s="70" t="str">
        <f t="shared" si="788"/>
        <v/>
      </c>
      <c r="AB2270" s="70" t="str">
        <f t="shared" si="789"/>
        <v/>
      </c>
      <c r="AC2270" s="70" t="str">
        <f t="shared" si="790"/>
        <v/>
      </c>
      <c r="AD2270" s="70" t="str">
        <f t="shared" si="791"/>
        <v/>
      </c>
      <c r="AE2270" s="70" t="str">
        <f t="shared" si="792"/>
        <v/>
      </c>
      <c r="AF2270" s="16"/>
      <c r="AG2270" s="23"/>
      <c r="AH2270" s="22"/>
      <c r="AJ2270" s="83">
        <f t="shared" si="793"/>
        <v>0</v>
      </c>
      <c r="AO2270" s="22" t="str">
        <f t="shared" si="794"/>
        <v/>
      </c>
      <c r="AP2270" s="22" t="str">
        <f t="shared" si="795"/>
        <v/>
      </c>
    </row>
    <row r="2271" spans="1:42" x14ac:dyDescent="0.25">
      <c r="A2271" s="10"/>
      <c r="B2271" s="10"/>
      <c r="C2271" s="10"/>
      <c r="D2271" s="10"/>
      <c r="E2271" s="10"/>
      <c r="F2271" s="10"/>
      <c r="G2271" s="10"/>
      <c r="H2271" s="17"/>
      <c r="I2271" s="10"/>
      <c r="J2271" s="10"/>
      <c r="K2271" s="16" t="str">
        <f t="shared" si="774"/>
        <v/>
      </c>
      <c r="L2271" s="23" t="str">
        <f t="shared" si="775"/>
        <v/>
      </c>
      <c r="M2271" s="22" t="str">
        <f t="shared" si="776"/>
        <v/>
      </c>
      <c r="N2271" s="72"/>
      <c r="O2271" s="16" t="str">
        <f t="shared" si="777"/>
        <v/>
      </c>
      <c r="P2271" s="16" t="str">
        <f t="shared" si="778"/>
        <v/>
      </c>
      <c r="Q2271" s="16" t="str">
        <f t="shared" si="779"/>
        <v/>
      </c>
      <c r="R2271" s="23" t="str">
        <f t="shared" si="780"/>
        <v/>
      </c>
      <c r="S2271" s="23" t="str">
        <f t="shared" si="781"/>
        <v/>
      </c>
      <c r="T2271" s="23" t="str">
        <f t="shared" si="782"/>
        <v/>
      </c>
      <c r="U2271" s="23" t="str">
        <f t="shared" si="783"/>
        <v/>
      </c>
      <c r="V2271" s="23" t="str">
        <f t="shared" si="784"/>
        <v/>
      </c>
      <c r="W2271" s="70" t="str">
        <f t="shared" si="785"/>
        <v/>
      </c>
      <c r="X2271" s="70" t="str">
        <f t="shared" si="786"/>
        <v/>
      </c>
      <c r="Y2271" s="70" t="str">
        <f>IF(AND($A2271&lt;&gt;"",$E2271&gt;0),isLaptopBag($C2271,$J2271)*$D2271,"")</f>
        <v/>
      </c>
      <c r="Z2271" s="70" t="str">
        <f t="shared" si="787"/>
        <v/>
      </c>
      <c r="AA2271" s="70" t="str">
        <f t="shared" si="788"/>
        <v/>
      </c>
      <c r="AB2271" s="70" t="str">
        <f t="shared" si="789"/>
        <v/>
      </c>
      <c r="AC2271" s="70" t="str">
        <f t="shared" si="790"/>
        <v/>
      </c>
      <c r="AD2271" s="70" t="str">
        <f t="shared" si="791"/>
        <v/>
      </c>
      <c r="AE2271" s="70" t="str">
        <f t="shared" si="792"/>
        <v/>
      </c>
      <c r="AF2271" s="16"/>
      <c r="AG2271" s="23"/>
      <c r="AH2271" s="22"/>
      <c r="AJ2271" s="83">
        <f t="shared" si="793"/>
        <v>0</v>
      </c>
      <c r="AO2271" s="22" t="str">
        <f t="shared" si="794"/>
        <v/>
      </c>
      <c r="AP2271" s="22" t="str">
        <f t="shared" si="795"/>
        <v/>
      </c>
    </row>
    <row r="2272" spans="1:42" x14ac:dyDescent="0.25">
      <c r="A2272" s="10"/>
      <c r="B2272" s="10"/>
      <c r="C2272" s="10"/>
      <c r="D2272" s="10"/>
      <c r="E2272" s="10"/>
      <c r="F2272" s="10"/>
      <c r="G2272" s="10"/>
      <c r="H2272" s="17"/>
      <c r="I2272" s="10"/>
      <c r="J2272" s="10"/>
      <c r="K2272" s="16" t="str">
        <f t="shared" si="774"/>
        <v/>
      </c>
      <c r="L2272" s="23" t="str">
        <f t="shared" si="775"/>
        <v/>
      </c>
      <c r="M2272" s="22" t="str">
        <f t="shared" si="776"/>
        <v/>
      </c>
      <c r="N2272" s="72"/>
      <c r="O2272" s="16" t="str">
        <f t="shared" si="777"/>
        <v/>
      </c>
      <c r="P2272" s="16" t="str">
        <f t="shared" si="778"/>
        <v/>
      </c>
      <c r="Q2272" s="16" t="str">
        <f t="shared" si="779"/>
        <v/>
      </c>
      <c r="R2272" s="23" t="str">
        <f t="shared" si="780"/>
        <v/>
      </c>
      <c r="S2272" s="23" t="str">
        <f t="shared" si="781"/>
        <v/>
      </c>
      <c r="T2272" s="23" t="str">
        <f t="shared" si="782"/>
        <v/>
      </c>
      <c r="U2272" s="23" t="str">
        <f t="shared" si="783"/>
        <v/>
      </c>
      <c r="V2272" s="23" t="str">
        <f t="shared" si="784"/>
        <v/>
      </c>
      <c r="W2272" s="70" t="str">
        <f t="shared" si="785"/>
        <v/>
      </c>
      <c r="X2272" s="70" t="str">
        <f t="shared" si="786"/>
        <v/>
      </c>
      <c r="Y2272" s="70" t="str">
        <f>IF(AND($A2272&lt;&gt;"",$E2272&gt;0),isLaptopBag($C2272,$J2272)*$D2272,"")</f>
        <v/>
      </c>
      <c r="Z2272" s="70" t="str">
        <f t="shared" si="787"/>
        <v/>
      </c>
      <c r="AA2272" s="70" t="str">
        <f t="shared" si="788"/>
        <v/>
      </c>
      <c r="AB2272" s="70" t="str">
        <f t="shared" si="789"/>
        <v/>
      </c>
      <c r="AC2272" s="70" t="str">
        <f t="shared" si="790"/>
        <v/>
      </c>
      <c r="AD2272" s="70" t="str">
        <f t="shared" si="791"/>
        <v/>
      </c>
      <c r="AE2272" s="70" t="str">
        <f t="shared" si="792"/>
        <v/>
      </c>
      <c r="AF2272" s="16"/>
      <c r="AG2272" s="23"/>
      <c r="AH2272" s="22"/>
      <c r="AJ2272" s="83">
        <f t="shared" si="793"/>
        <v>0</v>
      </c>
      <c r="AO2272" s="22" t="str">
        <f t="shared" si="794"/>
        <v/>
      </c>
      <c r="AP2272" s="22" t="str">
        <f t="shared" si="795"/>
        <v/>
      </c>
    </row>
    <row r="2273" spans="1:42" x14ac:dyDescent="0.25">
      <c r="A2273" s="10"/>
      <c r="B2273" s="10"/>
      <c r="C2273" s="10"/>
      <c r="D2273" s="10"/>
      <c r="E2273" s="10"/>
      <c r="F2273" s="10"/>
      <c r="G2273" s="10"/>
      <c r="H2273" s="17"/>
      <c r="I2273" s="10"/>
      <c r="J2273" s="10"/>
      <c r="K2273" s="16" t="str">
        <f t="shared" si="774"/>
        <v/>
      </c>
      <c r="L2273" s="23" t="str">
        <f t="shared" si="775"/>
        <v/>
      </c>
      <c r="M2273" s="22" t="str">
        <f t="shared" si="776"/>
        <v/>
      </c>
      <c r="N2273" s="72"/>
      <c r="O2273" s="16" t="str">
        <f t="shared" si="777"/>
        <v/>
      </c>
      <c r="P2273" s="16" t="str">
        <f t="shared" si="778"/>
        <v/>
      </c>
      <c r="Q2273" s="16" t="str">
        <f t="shared" si="779"/>
        <v/>
      </c>
      <c r="R2273" s="23" t="str">
        <f t="shared" si="780"/>
        <v/>
      </c>
      <c r="S2273" s="23" t="str">
        <f t="shared" si="781"/>
        <v/>
      </c>
      <c r="T2273" s="23" t="str">
        <f t="shared" si="782"/>
        <v/>
      </c>
      <c r="U2273" s="23" t="str">
        <f t="shared" si="783"/>
        <v/>
      </c>
      <c r="V2273" s="23" t="str">
        <f t="shared" si="784"/>
        <v/>
      </c>
      <c r="W2273" s="70" t="str">
        <f t="shared" si="785"/>
        <v/>
      </c>
      <c r="X2273" s="70" t="str">
        <f t="shared" si="786"/>
        <v/>
      </c>
      <c r="Y2273" s="70" t="str">
        <f>IF(AND($A2273&lt;&gt;"",$E2273&gt;0),isLaptopBag($C2273,$J2273)*$D2273,"")</f>
        <v/>
      </c>
      <c r="Z2273" s="70" t="str">
        <f t="shared" si="787"/>
        <v/>
      </c>
      <c r="AA2273" s="70" t="str">
        <f t="shared" si="788"/>
        <v/>
      </c>
      <c r="AB2273" s="70" t="str">
        <f t="shared" si="789"/>
        <v/>
      </c>
      <c r="AC2273" s="70" t="str">
        <f t="shared" si="790"/>
        <v/>
      </c>
      <c r="AD2273" s="70" t="str">
        <f t="shared" si="791"/>
        <v/>
      </c>
      <c r="AE2273" s="70" t="str">
        <f t="shared" si="792"/>
        <v/>
      </c>
      <c r="AF2273" s="16"/>
      <c r="AG2273" s="23"/>
      <c r="AH2273" s="22"/>
      <c r="AJ2273" s="83">
        <f t="shared" si="793"/>
        <v>0</v>
      </c>
      <c r="AO2273" s="22" t="str">
        <f t="shared" si="794"/>
        <v/>
      </c>
      <c r="AP2273" s="22" t="str">
        <f t="shared" si="795"/>
        <v/>
      </c>
    </row>
    <row r="2274" spans="1:42" x14ac:dyDescent="0.25">
      <c r="A2274" s="10"/>
      <c r="B2274" s="10"/>
      <c r="C2274" s="10"/>
      <c r="D2274" s="10"/>
      <c r="E2274" s="10"/>
      <c r="F2274" s="10"/>
      <c r="G2274" s="10"/>
      <c r="H2274" s="17"/>
      <c r="I2274" s="10"/>
      <c r="J2274" s="10"/>
      <c r="K2274" s="16" t="str">
        <f t="shared" si="774"/>
        <v/>
      </c>
      <c r="L2274" s="23" t="str">
        <f t="shared" si="775"/>
        <v/>
      </c>
      <c r="M2274" s="22" t="str">
        <f t="shared" si="776"/>
        <v/>
      </c>
      <c r="N2274" s="72"/>
      <c r="O2274" s="16" t="str">
        <f t="shared" si="777"/>
        <v/>
      </c>
      <c r="P2274" s="16" t="str">
        <f t="shared" si="778"/>
        <v/>
      </c>
      <c r="Q2274" s="16" t="str">
        <f t="shared" si="779"/>
        <v/>
      </c>
      <c r="R2274" s="23" t="str">
        <f t="shared" si="780"/>
        <v/>
      </c>
      <c r="S2274" s="23" t="str">
        <f t="shared" si="781"/>
        <v/>
      </c>
      <c r="T2274" s="23" t="str">
        <f t="shared" si="782"/>
        <v/>
      </c>
      <c r="U2274" s="23" t="str">
        <f t="shared" si="783"/>
        <v/>
      </c>
      <c r="V2274" s="23" t="str">
        <f t="shared" si="784"/>
        <v/>
      </c>
      <c r="W2274" s="70" t="str">
        <f t="shared" si="785"/>
        <v/>
      </c>
      <c r="X2274" s="70" t="str">
        <f t="shared" si="786"/>
        <v/>
      </c>
      <c r="Y2274" s="70" t="str">
        <f>IF(AND($A2274&lt;&gt;"",$E2274&gt;0),isLaptopBag($C2274,$J2274)*$D2274,"")</f>
        <v/>
      </c>
      <c r="Z2274" s="70" t="str">
        <f t="shared" si="787"/>
        <v/>
      </c>
      <c r="AA2274" s="70" t="str">
        <f t="shared" si="788"/>
        <v/>
      </c>
      <c r="AB2274" s="70" t="str">
        <f t="shared" si="789"/>
        <v/>
      </c>
      <c r="AC2274" s="70" t="str">
        <f t="shared" si="790"/>
        <v/>
      </c>
      <c r="AD2274" s="70" t="str">
        <f t="shared" si="791"/>
        <v/>
      </c>
      <c r="AE2274" s="70" t="str">
        <f t="shared" si="792"/>
        <v/>
      </c>
      <c r="AF2274" s="16"/>
      <c r="AG2274" s="23"/>
      <c r="AH2274" s="22"/>
      <c r="AJ2274" s="83">
        <f t="shared" si="793"/>
        <v>0</v>
      </c>
      <c r="AO2274" s="22" t="str">
        <f t="shared" si="794"/>
        <v/>
      </c>
      <c r="AP2274" s="22" t="str">
        <f t="shared" si="795"/>
        <v/>
      </c>
    </row>
    <row r="2275" spans="1:42" x14ac:dyDescent="0.25">
      <c r="A2275" s="10"/>
      <c r="B2275" s="10"/>
      <c r="C2275" s="10"/>
      <c r="D2275" s="10"/>
      <c r="E2275" s="10"/>
      <c r="F2275" s="10"/>
      <c r="G2275" s="10"/>
      <c r="H2275" s="17"/>
      <c r="I2275" s="10"/>
      <c r="J2275" s="10"/>
      <c r="K2275" s="16" t="str">
        <f t="shared" si="774"/>
        <v/>
      </c>
      <c r="L2275" s="23" t="str">
        <f t="shared" si="775"/>
        <v/>
      </c>
      <c r="M2275" s="22" t="str">
        <f t="shared" si="776"/>
        <v/>
      </c>
      <c r="N2275" s="72"/>
      <c r="O2275" s="16" t="str">
        <f t="shared" si="777"/>
        <v/>
      </c>
      <c r="P2275" s="16" t="str">
        <f t="shared" si="778"/>
        <v/>
      </c>
      <c r="Q2275" s="16" t="str">
        <f t="shared" si="779"/>
        <v/>
      </c>
      <c r="R2275" s="23" t="str">
        <f t="shared" si="780"/>
        <v/>
      </c>
      <c r="S2275" s="23" t="str">
        <f t="shared" si="781"/>
        <v/>
      </c>
      <c r="T2275" s="23" t="str">
        <f t="shared" si="782"/>
        <v/>
      </c>
      <c r="U2275" s="23" t="str">
        <f t="shared" si="783"/>
        <v/>
      </c>
      <c r="V2275" s="23" t="str">
        <f t="shared" si="784"/>
        <v/>
      </c>
      <c r="W2275" s="70" t="str">
        <f t="shared" si="785"/>
        <v/>
      </c>
      <c r="X2275" s="70" t="str">
        <f t="shared" si="786"/>
        <v/>
      </c>
      <c r="Y2275" s="70" t="str">
        <f>IF(AND($A2275&lt;&gt;"",$E2275&gt;0),isLaptopBag($C2275,$J2275)*$D2275,"")</f>
        <v/>
      </c>
      <c r="Z2275" s="70" t="str">
        <f t="shared" si="787"/>
        <v/>
      </c>
      <c r="AA2275" s="70" t="str">
        <f t="shared" si="788"/>
        <v/>
      </c>
      <c r="AB2275" s="70" t="str">
        <f t="shared" si="789"/>
        <v/>
      </c>
      <c r="AC2275" s="70" t="str">
        <f t="shared" si="790"/>
        <v/>
      </c>
      <c r="AD2275" s="70" t="str">
        <f t="shared" si="791"/>
        <v/>
      </c>
      <c r="AE2275" s="70" t="str">
        <f t="shared" si="792"/>
        <v/>
      </c>
      <c r="AF2275" s="16"/>
      <c r="AG2275" s="23"/>
      <c r="AH2275" s="22"/>
      <c r="AJ2275" s="83">
        <f t="shared" si="793"/>
        <v>0</v>
      </c>
      <c r="AO2275" s="22" t="str">
        <f t="shared" si="794"/>
        <v/>
      </c>
      <c r="AP2275" s="22" t="str">
        <f t="shared" si="795"/>
        <v/>
      </c>
    </row>
    <row r="2276" spans="1:42" x14ac:dyDescent="0.25">
      <c r="A2276" s="10"/>
      <c r="B2276" s="10"/>
      <c r="C2276" s="10"/>
      <c r="D2276" s="10"/>
      <c r="E2276" s="10"/>
      <c r="F2276" s="10"/>
      <c r="G2276" s="10"/>
      <c r="H2276" s="17"/>
      <c r="I2276" s="10"/>
      <c r="J2276" s="10"/>
      <c r="K2276" s="16" t="str">
        <f t="shared" si="774"/>
        <v/>
      </c>
      <c r="L2276" s="23" t="str">
        <f t="shared" si="775"/>
        <v/>
      </c>
      <c r="M2276" s="22" t="str">
        <f t="shared" si="776"/>
        <v/>
      </c>
      <c r="N2276" s="72"/>
      <c r="O2276" s="16" t="str">
        <f t="shared" si="777"/>
        <v/>
      </c>
      <c r="P2276" s="16" t="str">
        <f t="shared" si="778"/>
        <v/>
      </c>
      <c r="Q2276" s="16" t="str">
        <f t="shared" si="779"/>
        <v/>
      </c>
      <c r="R2276" s="23" t="str">
        <f t="shared" si="780"/>
        <v/>
      </c>
      <c r="S2276" s="23" t="str">
        <f t="shared" si="781"/>
        <v/>
      </c>
      <c r="T2276" s="23" t="str">
        <f t="shared" si="782"/>
        <v/>
      </c>
      <c r="U2276" s="23" t="str">
        <f t="shared" si="783"/>
        <v/>
      </c>
      <c r="V2276" s="23" t="str">
        <f t="shared" si="784"/>
        <v/>
      </c>
      <c r="W2276" s="70" t="str">
        <f t="shared" si="785"/>
        <v/>
      </c>
      <c r="X2276" s="70" t="str">
        <f t="shared" si="786"/>
        <v/>
      </c>
      <c r="Y2276" s="70" t="str">
        <f>IF(AND($A2276&lt;&gt;"",$E2276&gt;0),isLaptopBag($C2276,$J2276)*$D2276,"")</f>
        <v/>
      </c>
      <c r="Z2276" s="70" t="str">
        <f t="shared" si="787"/>
        <v/>
      </c>
      <c r="AA2276" s="70" t="str">
        <f t="shared" si="788"/>
        <v/>
      </c>
      <c r="AB2276" s="70" t="str">
        <f t="shared" si="789"/>
        <v/>
      </c>
      <c r="AC2276" s="70" t="str">
        <f t="shared" si="790"/>
        <v/>
      </c>
      <c r="AD2276" s="70" t="str">
        <f t="shared" si="791"/>
        <v/>
      </c>
      <c r="AE2276" s="70" t="str">
        <f t="shared" si="792"/>
        <v/>
      </c>
      <c r="AF2276" s="16"/>
      <c r="AG2276" s="23"/>
      <c r="AH2276" s="22"/>
      <c r="AJ2276" s="83">
        <f t="shared" si="793"/>
        <v>0</v>
      </c>
      <c r="AO2276" s="22" t="str">
        <f t="shared" si="794"/>
        <v/>
      </c>
      <c r="AP2276" s="22" t="str">
        <f t="shared" si="795"/>
        <v/>
      </c>
    </row>
    <row r="2277" spans="1:42" x14ac:dyDescent="0.25">
      <c r="A2277" s="10"/>
      <c r="B2277" s="10"/>
      <c r="C2277" s="10"/>
      <c r="D2277" s="10"/>
      <c r="E2277" s="10"/>
      <c r="F2277" s="10"/>
      <c r="G2277" s="10"/>
      <c r="H2277" s="17"/>
      <c r="I2277" s="10"/>
      <c r="J2277" s="10"/>
      <c r="K2277" s="16" t="str">
        <f t="shared" si="774"/>
        <v/>
      </c>
      <c r="L2277" s="23" t="str">
        <f t="shared" si="775"/>
        <v/>
      </c>
      <c r="M2277" s="22" t="str">
        <f t="shared" si="776"/>
        <v/>
      </c>
      <c r="N2277" s="72"/>
      <c r="O2277" s="16" t="str">
        <f t="shared" si="777"/>
        <v/>
      </c>
      <c r="P2277" s="16" t="str">
        <f t="shared" si="778"/>
        <v/>
      </c>
      <c r="Q2277" s="16" t="str">
        <f t="shared" si="779"/>
        <v/>
      </c>
      <c r="R2277" s="23" t="str">
        <f t="shared" si="780"/>
        <v/>
      </c>
      <c r="S2277" s="23" t="str">
        <f t="shared" si="781"/>
        <v/>
      </c>
      <c r="T2277" s="23" t="str">
        <f t="shared" si="782"/>
        <v/>
      </c>
      <c r="U2277" s="23" t="str">
        <f t="shared" si="783"/>
        <v/>
      </c>
      <c r="V2277" s="23" t="str">
        <f t="shared" si="784"/>
        <v/>
      </c>
      <c r="W2277" s="70" t="str">
        <f t="shared" si="785"/>
        <v/>
      </c>
      <c r="X2277" s="70" t="str">
        <f t="shared" si="786"/>
        <v/>
      </c>
      <c r="Y2277" s="70" t="str">
        <f>IF(AND($A2277&lt;&gt;"",$E2277&gt;0),isLaptopBag($C2277,$J2277)*$D2277,"")</f>
        <v/>
      </c>
      <c r="Z2277" s="70" t="str">
        <f t="shared" si="787"/>
        <v/>
      </c>
      <c r="AA2277" s="70" t="str">
        <f t="shared" si="788"/>
        <v/>
      </c>
      <c r="AB2277" s="70" t="str">
        <f t="shared" si="789"/>
        <v/>
      </c>
      <c r="AC2277" s="70" t="str">
        <f t="shared" si="790"/>
        <v/>
      </c>
      <c r="AD2277" s="70" t="str">
        <f t="shared" si="791"/>
        <v/>
      </c>
      <c r="AE2277" s="70" t="str">
        <f t="shared" si="792"/>
        <v/>
      </c>
      <c r="AF2277" s="16"/>
      <c r="AG2277" s="23"/>
      <c r="AH2277" s="22"/>
      <c r="AJ2277" s="83">
        <f t="shared" si="793"/>
        <v>0</v>
      </c>
      <c r="AO2277" s="22" t="str">
        <f t="shared" si="794"/>
        <v/>
      </c>
      <c r="AP2277" s="22" t="str">
        <f t="shared" si="795"/>
        <v/>
      </c>
    </row>
    <row r="2278" spans="1:42" x14ac:dyDescent="0.25">
      <c r="A2278" s="10"/>
      <c r="B2278" s="10"/>
      <c r="C2278" s="10"/>
      <c r="D2278" s="10"/>
      <c r="E2278" s="10"/>
      <c r="F2278" s="10"/>
      <c r="G2278" s="10"/>
      <c r="H2278" s="17"/>
      <c r="I2278" s="10"/>
      <c r="J2278" s="10"/>
      <c r="K2278" s="16" t="str">
        <f t="shared" si="774"/>
        <v/>
      </c>
      <c r="L2278" s="23" t="str">
        <f t="shared" si="775"/>
        <v/>
      </c>
      <c r="M2278" s="22" t="str">
        <f t="shared" si="776"/>
        <v/>
      </c>
      <c r="N2278" s="72"/>
      <c r="O2278" s="16" t="str">
        <f t="shared" si="777"/>
        <v/>
      </c>
      <c r="P2278" s="16" t="str">
        <f t="shared" si="778"/>
        <v/>
      </c>
      <c r="Q2278" s="16" t="str">
        <f t="shared" si="779"/>
        <v/>
      </c>
      <c r="R2278" s="23" t="str">
        <f t="shared" si="780"/>
        <v/>
      </c>
      <c r="S2278" s="23" t="str">
        <f t="shared" si="781"/>
        <v/>
      </c>
      <c r="T2278" s="23" t="str">
        <f t="shared" si="782"/>
        <v/>
      </c>
      <c r="U2278" s="23" t="str">
        <f t="shared" si="783"/>
        <v/>
      </c>
      <c r="V2278" s="23" t="str">
        <f t="shared" si="784"/>
        <v/>
      </c>
      <c r="W2278" s="70" t="str">
        <f t="shared" si="785"/>
        <v/>
      </c>
      <c r="X2278" s="70" t="str">
        <f t="shared" si="786"/>
        <v/>
      </c>
      <c r="Y2278" s="70" t="str">
        <f>IF(AND($A2278&lt;&gt;"",$E2278&gt;0),isLaptopBag($C2278,$J2278)*$D2278,"")</f>
        <v/>
      </c>
      <c r="Z2278" s="70" t="str">
        <f t="shared" si="787"/>
        <v/>
      </c>
      <c r="AA2278" s="70" t="str">
        <f t="shared" si="788"/>
        <v/>
      </c>
      <c r="AB2278" s="70" t="str">
        <f t="shared" si="789"/>
        <v/>
      </c>
      <c r="AC2278" s="70" t="str">
        <f t="shared" si="790"/>
        <v/>
      </c>
      <c r="AD2278" s="70" t="str">
        <f t="shared" si="791"/>
        <v/>
      </c>
      <c r="AE2278" s="70" t="str">
        <f t="shared" si="792"/>
        <v/>
      </c>
      <c r="AF2278" s="16"/>
      <c r="AG2278" s="23"/>
      <c r="AH2278" s="22"/>
      <c r="AJ2278" s="83">
        <f t="shared" si="793"/>
        <v>0</v>
      </c>
      <c r="AO2278" s="22" t="str">
        <f t="shared" si="794"/>
        <v/>
      </c>
      <c r="AP2278" s="22" t="str">
        <f t="shared" si="795"/>
        <v/>
      </c>
    </row>
    <row r="2279" spans="1:42" x14ac:dyDescent="0.25">
      <c r="A2279" s="10"/>
      <c r="B2279" s="10"/>
      <c r="C2279" s="10"/>
      <c r="D2279" s="10"/>
      <c r="E2279" s="10"/>
      <c r="F2279" s="10"/>
      <c r="G2279" s="10"/>
      <c r="H2279" s="17"/>
      <c r="I2279" s="10"/>
      <c r="J2279" s="10"/>
      <c r="K2279" s="16" t="str">
        <f t="shared" si="774"/>
        <v/>
      </c>
      <c r="L2279" s="23" t="str">
        <f t="shared" si="775"/>
        <v/>
      </c>
      <c r="M2279" s="22" t="str">
        <f t="shared" si="776"/>
        <v/>
      </c>
      <c r="N2279" s="72"/>
      <c r="O2279" s="16" t="str">
        <f t="shared" si="777"/>
        <v/>
      </c>
      <c r="P2279" s="16" t="str">
        <f t="shared" si="778"/>
        <v/>
      </c>
      <c r="Q2279" s="16" t="str">
        <f t="shared" si="779"/>
        <v/>
      </c>
      <c r="R2279" s="23" t="str">
        <f t="shared" si="780"/>
        <v/>
      </c>
      <c r="S2279" s="23" t="str">
        <f t="shared" si="781"/>
        <v/>
      </c>
      <c r="T2279" s="23" t="str">
        <f t="shared" si="782"/>
        <v/>
      </c>
      <c r="U2279" s="23" t="str">
        <f t="shared" si="783"/>
        <v/>
      </c>
      <c r="V2279" s="23" t="str">
        <f t="shared" si="784"/>
        <v/>
      </c>
      <c r="W2279" s="70" t="str">
        <f t="shared" si="785"/>
        <v/>
      </c>
      <c r="X2279" s="70" t="str">
        <f t="shared" si="786"/>
        <v/>
      </c>
      <c r="Y2279" s="70" t="str">
        <f>IF(AND($A2279&lt;&gt;"",$E2279&gt;0),isLaptopBag($C2279,$J2279)*$D2279,"")</f>
        <v/>
      </c>
      <c r="Z2279" s="70" t="str">
        <f t="shared" si="787"/>
        <v/>
      </c>
      <c r="AA2279" s="70" t="str">
        <f t="shared" si="788"/>
        <v/>
      </c>
      <c r="AB2279" s="70" t="str">
        <f t="shared" si="789"/>
        <v/>
      </c>
      <c r="AC2279" s="70" t="str">
        <f t="shared" si="790"/>
        <v/>
      </c>
      <c r="AD2279" s="70" t="str">
        <f t="shared" si="791"/>
        <v/>
      </c>
      <c r="AE2279" s="70" t="str">
        <f t="shared" si="792"/>
        <v/>
      </c>
      <c r="AF2279" s="16"/>
      <c r="AG2279" s="23"/>
      <c r="AH2279" s="22"/>
      <c r="AJ2279" s="83">
        <f t="shared" si="793"/>
        <v>0</v>
      </c>
      <c r="AO2279" s="22" t="str">
        <f t="shared" si="794"/>
        <v/>
      </c>
      <c r="AP2279" s="22" t="str">
        <f t="shared" si="795"/>
        <v/>
      </c>
    </row>
    <row r="2280" spans="1:42" x14ac:dyDescent="0.25">
      <c r="A2280" s="10"/>
      <c r="B2280" s="10"/>
      <c r="C2280" s="10"/>
      <c r="D2280" s="10"/>
      <c r="E2280" s="10"/>
      <c r="F2280" s="10"/>
      <c r="G2280" s="10"/>
      <c r="H2280" s="17"/>
      <c r="I2280" s="10"/>
      <c r="J2280" s="10"/>
      <c r="K2280" s="16" t="str">
        <f t="shared" si="774"/>
        <v/>
      </c>
      <c r="L2280" s="23" t="str">
        <f t="shared" si="775"/>
        <v/>
      </c>
      <c r="M2280" s="22" t="str">
        <f t="shared" si="776"/>
        <v/>
      </c>
      <c r="N2280" s="72"/>
      <c r="O2280" s="16" t="str">
        <f t="shared" si="777"/>
        <v/>
      </c>
      <c r="P2280" s="16" t="str">
        <f t="shared" si="778"/>
        <v/>
      </c>
      <c r="Q2280" s="16" t="str">
        <f t="shared" si="779"/>
        <v/>
      </c>
      <c r="R2280" s="23" t="str">
        <f t="shared" si="780"/>
        <v/>
      </c>
      <c r="S2280" s="23" t="str">
        <f t="shared" si="781"/>
        <v/>
      </c>
      <c r="T2280" s="23" t="str">
        <f t="shared" si="782"/>
        <v/>
      </c>
      <c r="U2280" s="23" t="str">
        <f t="shared" si="783"/>
        <v/>
      </c>
      <c r="V2280" s="23" t="str">
        <f t="shared" si="784"/>
        <v/>
      </c>
      <c r="W2280" s="70" t="str">
        <f t="shared" si="785"/>
        <v/>
      </c>
      <c r="X2280" s="70" t="str">
        <f t="shared" si="786"/>
        <v/>
      </c>
      <c r="Y2280" s="70" t="str">
        <f>IF(AND($A2280&lt;&gt;"",$E2280&gt;0),isLaptopBag($C2280,$J2280)*$D2280,"")</f>
        <v/>
      </c>
      <c r="Z2280" s="70" t="str">
        <f t="shared" si="787"/>
        <v/>
      </c>
      <c r="AA2280" s="70" t="str">
        <f t="shared" si="788"/>
        <v/>
      </c>
      <c r="AB2280" s="70" t="str">
        <f t="shared" si="789"/>
        <v/>
      </c>
      <c r="AC2280" s="70" t="str">
        <f t="shared" si="790"/>
        <v/>
      </c>
      <c r="AD2280" s="70" t="str">
        <f t="shared" si="791"/>
        <v/>
      </c>
      <c r="AE2280" s="70" t="str">
        <f t="shared" si="792"/>
        <v/>
      </c>
      <c r="AF2280" s="16"/>
      <c r="AG2280" s="23"/>
      <c r="AH2280" s="22"/>
      <c r="AJ2280" s="83">
        <f t="shared" si="793"/>
        <v>0</v>
      </c>
      <c r="AO2280" s="22" t="str">
        <f t="shared" si="794"/>
        <v/>
      </c>
      <c r="AP2280" s="22" t="str">
        <f t="shared" si="795"/>
        <v/>
      </c>
    </row>
    <row r="2281" spans="1:42" x14ac:dyDescent="0.25">
      <c r="A2281" s="10"/>
      <c r="B2281" s="10"/>
      <c r="C2281" s="10"/>
      <c r="D2281" s="10"/>
      <c r="E2281" s="10"/>
      <c r="F2281" s="10"/>
      <c r="G2281" s="10"/>
      <c r="H2281" s="17"/>
      <c r="I2281" s="10"/>
      <c r="J2281" s="10"/>
      <c r="K2281" s="16" t="str">
        <f t="shared" si="774"/>
        <v/>
      </c>
      <c r="L2281" s="23" t="str">
        <f t="shared" si="775"/>
        <v/>
      </c>
      <c r="M2281" s="22" t="str">
        <f t="shared" si="776"/>
        <v/>
      </c>
      <c r="N2281" s="72"/>
      <c r="O2281" s="16" t="str">
        <f t="shared" si="777"/>
        <v/>
      </c>
      <c r="P2281" s="16" t="str">
        <f t="shared" si="778"/>
        <v/>
      </c>
      <c r="Q2281" s="16" t="str">
        <f t="shared" si="779"/>
        <v/>
      </c>
      <c r="R2281" s="23" t="str">
        <f t="shared" si="780"/>
        <v/>
      </c>
      <c r="S2281" s="23" t="str">
        <f t="shared" si="781"/>
        <v/>
      </c>
      <c r="T2281" s="23" t="str">
        <f t="shared" si="782"/>
        <v/>
      </c>
      <c r="U2281" s="23" t="str">
        <f t="shared" si="783"/>
        <v/>
      </c>
      <c r="V2281" s="23" t="str">
        <f t="shared" si="784"/>
        <v/>
      </c>
      <c r="W2281" s="70" t="str">
        <f t="shared" si="785"/>
        <v/>
      </c>
      <c r="X2281" s="70" t="str">
        <f t="shared" si="786"/>
        <v/>
      </c>
      <c r="Y2281" s="70" t="str">
        <f>IF(AND($A2281&lt;&gt;"",$E2281&gt;0),isLaptopBag($C2281,$J2281)*$D2281,"")</f>
        <v/>
      </c>
      <c r="Z2281" s="70" t="str">
        <f t="shared" si="787"/>
        <v/>
      </c>
      <c r="AA2281" s="70" t="str">
        <f t="shared" si="788"/>
        <v/>
      </c>
      <c r="AB2281" s="70" t="str">
        <f t="shared" si="789"/>
        <v/>
      </c>
      <c r="AC2281" s="70" t="str">
        <f t="shared" si="790"/>
        <v/>
      </c>
      <c r="AD2281" s="70" t="str">
        <f t="shared" si="791"/>
        <v/>
      </c>
      <c r="AE2281" s="70" t="str">
        <f t="shared" si="792"/>
        <v/>
      </c>
      <c r="AF2281" s="16"/>
      <c r="AG2281" s="23"/>
      <c r="AH2281" s="22"/>
      <c r="AJ2281" s="83">
        <f t="shared" si="793"/>
        <v>0</v>
      </c>
      <c r="AO2281" s="22" t="str">
        <f t="shared" si="794"/>
        <v/>
      </c>
      <c r="AP2281" s="22" t="str">
        <f t="shared" si="795"/>
        <v/>
      </c>
    </row>
    <row r="2282" spans="1:42" x14ac:dyDescent="0.25">
      <c r="A2282" s="10"/>
      <c r="B2282" s="10"/>
      <c r="C2282" s="10"/>
      <c r="D2282" s="10"/>
      <c r="E2282" s="10"/>
      <c r="F2282" s="10"/>
      <c r="G2282" s="10"/>
      <c r="H2282" s="17"/>
      <c r="I2282" s="10"/>
      <c r="J2282" s="10"/>
      <c r="K2282" s="16" t="str">
        <f t="shared" si="774"/>
        <v/>
      </c>
      <c r="L2282" s="23" t="str">
        <f t="shared" si="775"/>
        <v/>
      </c>
      <c r="M2282" s="22" t="str">
        <f t="shared" si="776"/>
        <v/>
      </c>
      <c r="N2282" s="72"/>
      <c r="O2282" s="16" t="str">
        <f t="shared" si="777"/>
        <v/>
      </c>
      <c r="P2282" s="16" t="str">
        <f t="shared" si="778"/>
        <v/>
      </c>
      <c r="Q2282" s="16" t="str">
        <f t="shared" si="779"/>
        <v/>
      </c>
      <c r="R2282" s="23" t="str">
        <f t="shared" si="780"/>
        <v/>
      </c>
      <c r="S2282" s="23" t="str">
        <f t="shared" si="781"/>
        <v/>
      </c>
      <c r="T2282" s="23" t="str">
        <f t="shared" si="782"/>
        <v/>
      </c>
      <c r="U2282" s="23" t="str">
        <f t="shared" si="783"/>
        <v/>
      </c>
      <c r="V2282" s="23" t="str">
        <f t="shared" si="784"/>
        <v/>
      </c>
      <c r="W2282" s="70" t="str">
        <f t="shared" si="785"/>
        <v/>
      </c>
      <c r="X2282" s="70" t="str">
        <f t="shared" si="786"/>
        <v/>
      </c>
      <c r="Y2282" s="70" t="str">
        <f>IF(AND($A2282&lt;&gt;"",$E2282&gt;0),isLaptopBag($C2282,$J2282)*$D2282,"")</f>
        <v/>
      </c>
      <c r="Z2282" s="70" t="str">
        <f t="shared" si="787"/>
        <v/>
      </c>
      <c r="AA2282" s="70" t="str">
        <f t="shared" si="788"/>
        <v/>
      </c>
      <c r="AB2282" s="70" t="str">
        <f t="shared" si="789"/>
        <v/>
      </c>
      <c r="AC2282" s="70" t="str">
        <f t="shared" si="790"/>
        <v/>
      </c>
      <c r="AD2282" s="70" t="str">
        <f t="shared" si="791"/>
        <v/>
      </c>
      <c r="AE2282" s="70" t="str">
        <f t="shared" si="792"/>
        <v/>
      </c>
      <c r="AF2282" s="16"/>
      <c r="AG2282" s="23"/>
      <c r="AH2282" s="22"/>
      <c r="AJ2282" s="83">
        <f t="shared" si="793"/>
        <v>0</v>
      </c>
      <c r="AO2282" s="22" t="str">
        <f t="shared" si="794"/>
        <v/>
      </c>
      <c r="AP2282" s="22" t="str">
        <f t="shared" si="795"/>
        <v/>
      </c>
    </row>
    <row r="2283" spans="1:42" x14ac:dyDescent="0.25">
      <c r="A2283" s="10"/>
      <c r="B2283" s="10"/>
      <c r="C2283" s="10"/>
      <c r="D2283" s="10"/>
      <c r="E2283" s="10"/>
      <c r="F2283" s="10"/>
      <c r="G2283" s="10"/>
      <c r="H2283" s="17"/>
      <c r="I2283" s="10"/>
      <c r="J2283" s="10"/>
      <c r="K2283" s="16" t="str">
        <f t="shared" si="774"/>
        <v/>
      </c>
      <c r="L2283" s="23" t="str">
        <f t="shared" si="775"/>
        <v/>
      </c>
      <c r="M2283" s="22" t="str">
        <f t="shared" si="776"/>
        <v/>
      </c>
      <c r="N2283" s="72"/>
      <c r="O2283" s="16" t="str">
        <f t="shared" si="777"/>
        <v/>
      </c>
      <c r="P2283" s="16" t="str">
        <f t="shared" si="778"/>
        <v/>
      </c>
      <c r="Q2283" s="16" t="str">
        <f t="shared" si="779"/>
        <v/>
      </c>
      <c r="R2283" s="23" t="str">
        <f t="shared" si="780"/>
        <v/>
      </c>
      <c r="S2283" s="23" t="str">
        <f t="shared" si="781"/>
        <v/>
      </c>
      <c r="T2283" s="23" t="str">
        <f t="shared" si="782"/>
        <v/>
      </c>
      <c r="U2283" s="23" t="str">
        <f t="shared" si="783"/>
        <v/>
      </c>
      <c r="V2283" s="23" t="str">
        <f t="shared" si="784"/>
        <v/>
      </c>
      <c r="W2283" s="70" t="str">
        <f t="shared" si="785"/>
        <v/>
      </c>
      <c r="X2283" s="70" t="str">
        <f t="shared" si="786"/>
        <v/>
      </c>
      <c r="Y2283" s="70" t="str">
        <f>IF(AND($A2283&lt;&gt;"",$E2283&gt;0),isLaptopBag($C2283,$J2283)*$D2283,"")</f>
        <v/>
      </c>
      <c r="Z2283" s="70" t="str">
        <f t="shared" si="787"/>
        <v/>
      </c>
      <c r="AA2283" s="70" t="str">
        <f t="shared" si="788"/>
        <v/>
      </c>
      <c r="AB2283" s="70" t="str">
        <f t="shared" si="789"/>
        <v/>
      </c>
      <c r="AC2283" s="70" t="str">
        <f t="shared" si="790"/>
        <v/>
      </c>
      <c r="AD2283" s="70" t="str">
        <f t="shared" si="791"/>
        <v/>
      </c>
      <c r="AE2283" s="70" t="str">
        <f t="shared" si="792"/>
        <v/>
      </c>
      <c r="AF2283" s="16"/>
      <c r="AG2283" s="23"/>
      <c r="AH2283" s="22"/>
      <c r="AJ2283" s="83">
        <f t="shared" si="793"/>
        <v>0</v>
      </c>
      <c r="AO2283" s="22" t="str">
        <f t="shared" si="794"/>
        <v/>
      </c>
      <c r="AP2283" s="22" t="str">
        <f t="shared" si="795"/>
        <v/>
      </c>
    </row>
    <row r="2284" spans="1:42" x14ac:dyDescent="0.25">
      <c r="A2284" s="10"/>
      <c r="B2284" s="10"/>
      <c r="C2284" s="10"/>
      <c r="D2284" s="10"/>
      <c r="E2284" s="10"/>
      <c r="F2284" s="10"/>
      <c r="G2284" s="10"/>
      <c r="H2284" s="17"/>
      <c r="I2284" s="10"/>
      <c r="J2284" s="10"/>
      <c r="K2284" s="16" t="str">
        <f t="shared" si="774"/>
        <v/>
      </c>
      <c r="L2284" s="23" t="str">
        <f t="shared" si="775"/>
        <v/>
      </c>
      <c r="M2284" s="22" t="str">
        <f t="shared" si="776"/>
        <v/>
      </c>
      <c r="N2284" s="72"/>
      <c r="O2284" s="16" t="str">
        <f t="shared" si="777"/>
        <v/>
      </c>
      <c r="P2284" s="16" t="str">
        <f t="shared" si="778"/>
        <v/>
      </c>
      <c r="Q2284" s="16" t="str">
        <f t="shared" si="779"/>
        <v/>
      </c>
      <c r="R2284" s="23" t="str">
        <f t="shared" si="780"/>
        <v/>
      </c>
      <c r="S2284" s="23" t="str">
        <f t="shared" si="781"/>
        <v/>
      </c>
      <c r="T2284" s="23" t="str">
        <f t="shared" si="782"/>
        <v/>
      </c>
      <c r="U2284" s="23" t="str">
        <f t="shared" si="783"/>
        <v/>
      </c>
      <c r="V2284" s="23" t="str">
        <f t="shared" si="784"/>
        <v/>
      </c>
      <c r="W2284" s="70" t="str">
        <f t="shared" si="785"/>
        <v/>
      </c>
      <c r="X2284" s="70" t="str">
        <f t="shared" si="786"/>
        <v/>
      </c>
      <c r="Y2284" s="70" t="str">
        <f>IF(AND($A2284&lt;&gt;"",$E2284&gt;0),isLaptopBag($C2284,$J2284)*$D2284,"")</f>
        <v/>
      </c>
      <c r="Z2284" s="70" t="str">
        <f t="shared" si="787"/>
        <v/>
      </c>
      <c r="AA2284" s="70" t="str">
        <f t="shared" si="788"/>
        <v/>
      </c>
      <c r="AB2284" s="70" t="str">
        <f t="shared" si="789"/>
        <v/>
      </c>
      <c r="AC2284" s="70" t="str">
        <f t="shared" si="790"/>
        <v/>
      </c>
      <c r="AD2284" s="70" t="str">
        <f t="shared" si="791"/>
        <v/>
      </c>
      <c r="AE2284" s="70" t="str">
        <f t="shared" si="792"/>
        <v/>
      </c>
      <c r="AF2284" s="16"/>
      <c r="AG2284" s="23"/>
      <c r="AH2284" s="22"/>
      <c r="AJ2284" s="83">
        <f t="shared" si="793"/>
        <v>0</v>
      </c>
      <c r="AO2284" s="22" t="str">
        <f t="shared" si="794"/>
        <v/>
      </c>
      <c r="AP2284" s="22" t="str">
        <f t="shared" si="795"/>
        <v/>
      </c>
    </row>
    <row r="2285" spans="1:42" x14ac:dyDescent="0.25">
      <c r="A2285" s="10"/>
      <c r="B2285" s="10"/>
      <c r="C2285" s="10"/>
      <c r="D2285" s="10"/>
      <c r="E2285" s="10"/>
      <c r="F2285" s="10"/>
      <c r="G2285" s="10"/>
      <c r="H2285" s="17"/>
      <c r="I2285" s="10"/>
      <c r="J2285" s="10"/>
      <c r="K2285" s="16" t="str">
        <f t="shared" si="774"/>
        <v/>
      </c>
      <c r="L2285" s="23" t="str">
        <f t="shared" si="775"/>
        <v/>
      </c>
      <c r="M2285" s="22" t="str">
        <f t="shared" si="776"/>
        <v/>
      </c>
      <c r="N2285" s="72"/>
      <c r="O2285" s="16" t="str">
        <f t="shared" si="777"/>
        <v/>
      </c>
      <c r="P2285" s="16" t="str">
        <f t="shared" si="778"/>
        <v/>
      </c>
      <c r="Q2285" s="16" t="str">
        <f t="shared" si="779"/>
        <v/>
      </c>
      <c r="R2285" s="23" t="str">
        <f t="shared" si="780"/>
        <v/>
      </c>
      <c r="S2285" s="23" t="str">
        <f t="shared" si="781"/>
        <v/>
      </c>
      <c r="T2285" s="23" t="str">
        <f t="shared" si="782"/>
        <v/>
      </c>
      <c r="U2285" s="23" t="str">
        <f t="shared" si="783"/>
        <v/>
      </c>
      <c r="V2285" s="23" t="str">
        <f t="shared" si="784"/>
        <v/>
      </c>
      <c r="W2285" s="70" t="str">
        <f t="shared" si="785"/>
        <v/>
      </c>
      <c r="X2285" s="70" t="str">
        <f t="shared" si="786"/>
        <v/>
      </c>
      <c r="Y2285" s="70" t="str">
        <f>IF(AND($A2285&lt;&gt;"",$E2285&gt;0),isLaptopBag($C2285,$J2285)*$D2285,"")</f>
        <v/>
      </c>
      <c r="Z2285" s="70" t="str">
        <f t="shared" si="787"/>
        <v/>
      </c>
      <c r="AA2285" s="70" t="str">
        <f t="shared" si="788"/>
        <v/>
      </c>
      <c r="AB2285" s="70" t="str">
        <f t="shared" si="789"/>
        <v/>
      </c>
      <c r="AC2285" s="70" t="str">
        <f t="shared" si="790"/>
        <v/>
      </c>
      <c r="AD2285" s="70" t="str">
        <f t="shared" si="791"/>
        <v/>
      </c>
      <c r="AE2285" s="70" t="str">
        <f t="shared" si="792"/>
        <v/>
      </c>
      <c r="AF2285" s="16"/>
      <c r="AG2285" s="23"/>
      <c r="AH2285" s="22"/>
      <c r="AJ2285" s="83">
        <f t="shared" si="793"/>
        <v>0</v>
      </c>
      <c r="AO2285" s="22" t="str">
        <f t="shared" si="794"/>
        <v/>
      </c>
      <c r="AP2285" s="22" t="str">
        <f t="shared" si="795"/>
        <v/>
      </c>
    </row>
    <row r="2286" spans="1:42" x14ac:dyDescent="0.25">
      <c r="A2286" s="10"/>
      <c r="B2286" s="10"/>
      <c r="C2286" s="10"/>
      <c r="D2286" s="10"/>
      <c r="E2286" s="10"/>
      <c r="F2286" s="10"/>
      <c r="G2286" s="10"/>
      <c r="H2286" s="17"/>
      <c r="I2286" s="10"/>
      <c r="J2286" s="10"/>
      <c r="K2286" s="16" t="str">
        <f t="shared" si="774"/>
        <v/>
      </c>
      <c r="L2286" s="23" t="str">
        <f t="shared" si="775"/>
        <v/>
      </c>
      <c r="M2286" s="22" t="str">
        <f t="shared" si="776"/>
        <v/>
      </c>
      <c r="N2286" s="72"/>
      <c r="O2286" s="16" t="str">
        <f t="shared" si="777"/>
        <v/>
      </c>
      <c r="P2286" s="16" t="str">
        <f t="shared" si="778"/>
        <v/>
      </c>
      <c r="Q2286" s="16" t="str">
        <f t="shared" si="779"/>
        <v/>
      </c>
      <c r="R2286" s="23" t="str">
        <f t="shared" si="780"/>
        <v/>
      </c>
      <c r="S2286" s="23" t="str">
        <f t="shared" si="781"/>
        <v/>
      </c>
      <c r="T2286" s="23" t="str">
        <f t="shared" si="782"/>
        <v/>
      </c>
      <c r="U2286" s="23" t="str">
        <f t="shared" si="783"/>
        <v/>
      </c>
      <c r="V2286" s="23" t="str">
        <f t="shared" si="784"/>
        <v/>
      </c>
      <c r="W2286" s="70" t="str">
        <f t="shared" si="785"/>
        <v/>
      </c>
      <c r="X2286" s="70" t="str">
        <f t="shared" si="786"/>
        <v/>
      </c>
      <c r="Y2286" s="70" t="str">
        <f>IF(AND($A2286&lt;&gt;"",$E2286&gt;0),isLaptopBag($C2286,$J2286)*$D2286,"")</f>
        <v/>
      </c>
      <c r="Z2286" s="70" t="str">
        <f t="shared" si="787"/>
        <v/>
      </c>
      <c r="AA2286" s="70" t="str">
        <f t="shared" si="788"/>
        <v/>
      </c>
      <c r="AB2286" s="70" t="str">
        <f t="shared" si="789"/>
        <v/>
      </c>
      <c r="AC2286" s="70" t="str">
        <f t="shared" si="790"/>
        <v/>
      </c>
      <c r="AD2286" s="70" t="str">
        <f t="shared" si="791"/>
        <v/>
      </c>
      <c r="AE2286" s="70" t="str">
        <f t="shared" si="792"/>
        <v/>
      </c>
      <c r="AF2286" s="16"/>
      <c r="AG2286" s="23"/>
      <c r="AH2286" s="22"/>
      <c r="AJ2286" s="83">
        <f t="shared" si="793"/>
        <v>0</v>
      </c>
      <c r="AO2286" s="22" t="str">
        <f t="shared" si="794"/>
        <v/>
      </c>
      <c r="AP2286" s="22" t="str">
        <f t="shared" si="795"/>
        <v/>
      </c>
    </row>
    <row r="2287" spans="1:42" x14ac:dyDescent="0.25">
      <c r="A2287" s="10"/>
      <c r="B2287" s="10"/>
      <c r="C2287" s="10"/>
      <c r="D2287" s="10"/>
      <c r="E2287" s="10"/>
      <c r="F2287" s="10"/>
      <c r="G2287" s="10"/>
      <c r="H2287" s="17"/>
      <c r="I2287" s="10"/>
      <c r="J2287" s="10"/>
      <c r="K2287" s="16" t="str">
        <f t="shared" si="774"/>
        <v/>
      </c>
      <c r="L2287" s="23" t="str">
        <f t="shared" si="775"/>
        <v/>
      </c>
      <c r="M2287" s="22" t="str">
        <f t="shared" si="776"/>
        <v/>
      </c>
      <c r="N2287" s="72"/>
      <c r="O2287" s="16" t="str">
        <f t="shared" si="777"/>
        <v/>
      </c>
      <c r="P2287" s="16" t="str">
        <f t="shared" si="778"/>
        <v/>
      </c>
      <c r="Q2287" s="16" t="str">
        <f t="shared" si="779"/>
        <v/>
      </c>
      <c r="R2287" s="23" t="str">
        <f t="shared" si="780"/>
        <v/>
      </c>
      <c r="S2287" s="23" t="str">
        <f t="shared" si="781"/>
        <v/>
      </c>
      <c r="T2287" s="23" t="str">
        <f t="shared" si="782"/>
        <v/>
      </c>
      <c r="U2287" s="23" t="str">
        <f t="shared" si="783"/>
        <v/>
      </c>
      <c r="V2287" s="23" t="str">
        <f t="shared" si="784"/>
        <v/>
      </c>
      <c r="W2287" s="70" t="str">
        <f t="shared" si="785"/>
        <v/>
      </c>
      <c r="X2287" s="70" t="str">
        <f t="shared" si="786"/>
        <v/>
      </c>
      <c r="Y2287" s="70" t="str">
        <f>IF(AND($A2287&lt;&gt;"",$E2287&gt;0),isLaptopBag($C2287,$J2287)*$D2287,"")</f>
        <v/>
      </c>
      <c r="Z2287" s="70" t="str">
        <f t="shared" si="787"/>
        <v/>
      </c>
      <c r="AA2287" s="70" t="str">
        <f t="shared" si="788"/>
        <v/>
      </c>
      <c r="AB2287" s="70" t="str">
        <f t="shared" si="789"/>
        <v/>
      </c>
      <c r="AC2287" s="70" t="str">
        <f t="shared" si="790"/>
        <v/>
      </c>
      <c r="AD2287" s="70" t="str">
        <f t="shared" si="791"/>
        <v/>
      </c>
      <c r="AE2287" s="70" t="str">
        <f t="shared" si="792"/>
        <v/>
      </c>
      <c r="AF2287" s="16"/>
      <c r="AG2287" s="23"/>
      <c r="AH2287" s="22"/>
      <c r="AJ2287" s="83">
        <f t="shared" si="793"/>
        <v>0</v>
      </c>
      <c r="AO2287" s="22" t="str">
        <f t="shared" si="794"/>
        <v/>
      </c>
      <c r="AP2287" s="22" t="str">
        <f t="shared" si="795"/>
        <v/>
      </c>
    </row>
    <row r="2288" spans="1:42" x14ac:dyDescent="0.25">
      <c r="A2288" s="10"/>
      <c r="B2288" s="10"/>
      <c r="C2288" s="10"/>
      <c r="D2288" s="10"/>
      <c r="E2288" s="10"/>
      <c r="F2288" s="10"/>
      <c r="G2288" s="10"/>
      <c r="H2288" s="17"/>
      <c r="I2288" s="10"/>
      <c r="J2288" s="10"/>
      <c r="K2288" s="16" t="str">
        <f t="shared" si="774"/>
        <v/>
      </c>
      <c r="L2288" s="23" t="str">
        <f t="shared" si="775"/>
        <v/>
      </c>
      <c r="M2288" s="22" t="str">
        <f t="shared" si="776"/>
        <v/>
      </c>
      <c r="N2288" s="72"/>
      <c r="O2288" s="16" t="str">
        <f t="shared" si="777"/>
        <v/>
      </c>
      <c r="P2288" s="16" t="str">
        <f t="shared" si="778"/>
        <v/>
      </c>
      <c r="Q2288" s="16" t="str">
        <f t="shared" si="779"/>
        <v/>
      </c>
      <c r="R2288" s="23" t="str">
        <f t="shared" si="780"/>
        <v/>
      </c>
      <c r="S2288" s="23" t="str">
        <f t="shared" si="781"/>
        <v/>
      </c>
      <c r="T2288" s="23" t="str">
        <f t="shared" si="782"/>
        <v/>
      </c>
      <c r="U2288" s="23" t="str">
        <f t="shared" si="783"/>
        <v/>
      </c>
      <c r="V2288" s="23" t="str">
        <f t="shared" si="784"/>
        <v/>
      </c>
      <c r="W2288" s="70" t="str">
        <f t="shared" si="785"/>
        <v/>
      </c>
      <c r="X2288" s="70" t="str">
        <f t="shared" si="786"/>
        <v/>
      </c>
      <c r="Y2288" s="70" t="str">
        <f>IF(AND($A2288&lt;&gt;"",$E2288&gt;0),isLaptopBag($C2288,$J2288)*$D2288,"")</f>
        <v/>
      </c>
      <c r="Z2288" s="70" t="str">
        <f t="shared" si="787"/>
        <v/>
      </c>
      <c r="AA2288" s="70" t="str">
        <f t="shared" si="788"/>
        <v/>
      </c>
      <c r="AB2288" s="70" t="str">
        <f t="shared" si="789"/>
        <v/>
      </c>
      <c r="AC2288" s="70" t="str">
        <f t="shared" si="790"/>
        <v/>
      </c>
      <c r="AD2288" s="70" t="str">
        <f t="shared" si="791"/>
        <v/>
      </c>
      <c r="AE2288" s="70" t="str">
        <f t="shared" si="792"/>
        <v/>
      </c>
      <c r="AF2288" s="16"/>
      <c r="AG2288" s="23"/>
      <c r="AH2288" s="22"/>
      <c r="AJ2288" s="83">
        <f t="shared" si="793"/>
        <v>0</v>
      </c>
      <c r="AO2288" s="22" t="str">
        <f t="shared" si="794"/>
        <v/>
      </c>
      <c r="AP2288" s="22" t="str">
        <f t="shared" si="795"/>
        <v/>
      </c>
    </row>
    <row r="2289" spans="1:42" x14ac:dyDescent="0.25">
      <c r="A2289" s="10"/>
      <c r="B2289" s="10"/>
      <c r="C2289" s="10"/>
      <c r="D2289" s="10"/>
      <c r="E2289" s="10"/>
      <c r="F2289" s="10"/>
      <c r="G2289" s="10"/>
      <c r="H2289" s="17"/>
      <c r="I2289" s="10"/>
      <c r="J2289" s="10"/>
      <c r="K2289" s="16" t="str">
        <f t="shared" si="774"/>
        <v/>
      </c>
      <c r="L2289" s="23" t="str">
        <f t="shared" si="775"/>
        <v/>
      </c>
      <c r="M2289" s="22" t="str">
        <f t="shared" si="776"/>
        <v/>
      </c>
      <c r="N2289" s="72"/>
      <c r="O2289" s="16" t="str">
        <f t="shared" si="777"/>
        <v/>
      </c>
      <c r="P2289" s="16" t="str">
        <f t="shared" si="778"/>
        <v/>
      </c>
      <c r="Q2289" s="16" t="str">
        <f t="shared" si="779"/>
        <v/>
      </c>
      <c r="R2289" s="23" t="str">
        <f t="shared" si="780"/>
        <v/>
      </c>
      <c r="S2289" s="23" t="str">
        <f t="shared" si="781"/>
        <v/>
      </c>
      <c r="T2289" s="23" t="str">
        <f t="shared" si="782"/>
        <v/>
      </c>
      <c r="U2289" s="23" t="str">
        <f t="shared" si="783"/>
        <v/>
      </c>
      <c r="V2289" s="23" t="str">
        <f t="shared" si="784"/>
        <v/>
      </c>
      <c r="W2289" s="70" t="str">
        <f t="shared" si="785"/>
        <v/>
      </c>
      <c r="X2289" s="70" t="str">
        <f t="shared" si="786"/>
        <v/>
      </c>
      <c r="Y2289" s="70" t="str">
        <f>IF(AND($A2289&lt;&gt;"",$E2289&gt;0),isLaptopBag($C2289,$J2289)*$D2289,"")</f>
        <v/>
      </c>
      <c r="Z2289" s="70" t="str">
        <f t="shared" si="787"/>
        <v/>
      </c>
      <c r="AA2289" s="70" t="str">
        <f t="shared" si="788"/>
        <v/>
      </c>
      <c r="AB2289" s="70" t="str">
        <f t="shared" si="789"/>
        <v/>
      </c>
      <c r="AC2289" s="70" t="str">
        <f t="shared" si="790"/>
        <v/>
      </c>
      <c r="AD2289" s="70" t="str">
        <f t="shared" si="791"/>
        <v/>
      </c>
      <c r="AE2289" s="70" t="str">
        <f t="shared" si="792"/>
        <v/>
      </c>
      <c r="AF2289" s="16"/>
      <c r="AG2289" s="23"/>
      <c r="AH2289" s="22"/>
      <c r="AJ2289" s="83">
        <f t="shared" si="793"/>
        <v>0</v>
      </c>
      <c r="AO2289" s="22" t="str">
        <f t="shared" si="794"/>
        <v/>
      </c>
      <c r="AP2289" s="22" t="str">
        <f t="shared" si="795"/>
        <v/>
      </c>
    </row>
    <row r="2290" spans="1:42" x14ac:dyDescent="0.25">
      <c r="A2290" s="10"/>
      <c r="B2290" s="10"/>
      <c r="C2290" s="10"/>
      <c r="D2290" s="10"/>
      <c r="E2290" s="10"/>
      <c r="F2290" s="10"/>
      <c r="G2290" s="10"/>
      <c r="H2290" s="17"/>
      <c r="I2290" s="10"/>
      <c r="J2290" s="10"/>
      <c r="K2290" s="16" t="str">
        <f t="shared" si="774"/>
        <v/>
      </c>
      <c r="L2290" s="23" t="str">
        <f t="shared" si="775"/>
        <v/>
      </c>
      <c r="M2290" s="22" t="str">
        <f t="shared" si="776"/>
        <v/>
      </c>
      <c r="N2290" s="72"/>
      <c r="O2290" s="16" t="str">
        <f t="shared" si="777"/>
        <v/>
      </c>
      <c r="P2290" s="16" t="str">
        <f t="shared" si="778"/>
        <v/>
      </c>
      <c r="Q2290" s="16" t="str">
        <f t="shared" si="779"/>
        <v/>
      </c>
      <c r="R2290" s="23" t="str">
        <f t="shared" si="780"/>
        <v/>
      </c>
      <c r="S2290" s="23" t="str">
        <f t="shared" si="781"/>
        <v/>
      </c>
      <c r="T2290" s="23" t="str">
        <f t="shared" si="782"/>
        <v/>
      </c>
      <c r="U2290" s="23" t="str">
        <f t="shared" si="783"/>
        <v/>
      </c>
      <c r="V2290" s="23" t="str">
        <f t="shared" si="784"/>
        <v/>
      </c>
      <c r="W2290" s="70" t="str">
        <f t="shared" si="785"/>
        <v/>
      </c>
      <c r="X2290" s="70" t="str">
        <f t="shared" si="786"/>
        <v/>
      </c>
      <c r="Y2290" s="70" t="str">
        <f>IF(AND($A2290&lt;&gt;"",$E2290&gt;0),isLaptopBag($C2290,$J2290)*$D2290,"")</f>
        <v/>
      </c>
      <c r="Z2290" s="70" t="str">
        <f t="shared" si="787"/>
        <v/>
      </c>
      <c r="AA2290" s="70" t="str">
        <f t="shared" si="788"/>
        <v/>
      </c>
      <c r="AB2290" s="70" t="str">
        <f t="shared" si="789"/>
        <v/>
      </c>
      <c r="AC2290" s="70" t="str">
        <f t="shared" si="790"/>
        <v/>
      </c>
      <c r="AD2290" s="70" t="str">
        <f t="shared" si="791"/>
        <v/>
      </c>
      <c r="AE2290" s="70" t="str">
        <f t="shared" si="792"/>
        <v/>
      </c>
      <c r="AF2290" s="16"/>
      <c r="AG2290" s="23"/>
      <c r="AH2290" s="22"/>
      <c r="AJ2290" s="83">
        <f t="shared" si="793"/>
        <v>0</v>
      </c>
      <c r="AO2290" s="22" t="str">
        <f t="shared" si="794"/>
        <v/>
      </c>
      <c r="AP2290" s="22" t="str">
        <f t="shared" si="795"/>
        <v/>
      </c>
    </row>
    <row r="2291" spans="1:42" x14ac:dyDescent="0.25">
      <c r="A2291" s="10"/>
      <c r="B2291" s="10"/>
      <c r="C2291" s="10"/>
      <c r="D2291" s="10"/>
      <c r="E2291" s="10"/>
      <c r="F2291" s="10"/>
      <c r="G2291" s="10"/>
      <c r="H2291" s="17"/>
      <c r="I2291" s="10"/>
      <c r="J2291" s="10"/>
      <c r="K2291" s="16" t="str">
        <f t="shared" si="774"/>
        <v/>
      </c>
      <c r="L2291" s="23" t="str">
        <f t="shared" si="775"/>
        <v/>
      </c>
      <c r="M2291" s="22" t="str">
        <f t="shared" si="776"/>
        <v/>
      </c>
      <c r="N2291" s="72"/>
      <c r="O2291" s="16" t="str">
        <f t="shared" si="777"/>
        <v/>
      </c>
      <c r="P2291" s="16" t="str">
        <f t="shared" si="778"/>
        <v/>
      </c>
      <c r="Q2291" s="16" t="str">
        <f t="shared" si="779"/>
        <v/>
      </c>
      <c r="R2291" s="23" t="str">
        <f t="shared" si="780"/>
        <v/>
      </c>
      <c r="S2291" s="23" t="str">
        <f t="shared" si="781"/>
        <v/>
      </c>
      <c r="T2291" s="23" t="str">
        <f t="shared" si="782"/>
        <v/>
      </c>
      <c r="U2291" s="23" t="str">
        <f t="shared" si="783"/>
        <v/>
      </c>
      <c r="V2291" s="23" t="str">
        <f t="shared" si="784"/>
        <v/>
      </c>
      <c r="W2291" s="70" t="str">
        <f t="shared" si="785"/>
        <v/>
      </c>
      <c r="X2291" s="70" t="str">
        <f t="shared" si="786"/>
        <v/>
      </c>
      <c r="Y2291" s="70" t="str">
        <f>IF(AND($A2291&lt;&gt;"",$E2291&gt;0),isLaptopBag($C2291,$J2291)*$D2291,"")</f>
        <v/>
      </c>
      <c r="Z2291" s="70" t="str">
        <f t="shared" si="787"/>
        <v/>
      </c>
      <c r="AA2291" s="70" t="str">
        <f t="shared" si="788"/>
        <v/>
      </c>
      <c r="AB2291" s="70" t="str">
        <f t="shared" si="789"/>
        <v/>
      </c>
      <c r="AC2291" s="70" t="str">
        <f t="shared" si="790"/>
        <v/>
      </c>
      <c r="AD2291" s="70" t="str">
        <f t="shared" si="791"/>
        <v/>
      </c>
      <c r="AE2291" s="70" t="str">
        <f t="shared" si="792"/>
        <v/>
      </c>
      <c r="AF2291" s="16"/>
      <c r="AG2291" s="23"/>
      <c r="AH2291" s="22"/>
      <c r="AJ2291" s="83">
        <f t="shared" si="793"/>
        <v>0</v>
      </c>
      <c r="AO2291" s="22" t="str">
        <f t="shared" si="794"/>
        <v/>
      </c>
      <c r="AP2291" s="22" t="str">
        <f t="shared" si="795"/>
        <v/>
      </c>
    </row>
    <row r="2292" spans="1:42" x14ac:dyDescent="0.25">
      <c r="A2292" s="10"/>
      <c r="B2292" s="10"/>
      <c r="C2292" s="10"/>
      <c r="D2292" s="10"/>
      <c r="E2292" s="10"/>
      <c r="F2292" s="10"/>
      <c r="G2292" s="10"/>
      <c r="H2292" s="17"/>
      <c r="I2292" s="10"/>
      <c r="J2292" s="10"/>
      <c r="K2292" s="16" t="str">
        <f t="shared" si="774"/>
        <v/>
      </c>
      <c r="L2292" s="23" t="str">
        <f t="shared" si="775"/>
        <v/>
      </c>
      <c r="M2292" s="22" t="str">
        <f t="shared" si="776"/>
        <v/>
      </c>
      <c r="N2292" s="72"/>
      <c r="O2292" s="16" t="str">
        <f t="shared" si="777"/>
        <v/>
      </c>
      <c r="P2292" s="16" t="str">
        <f t="shared" si="778"/>
        <v/>
      </c>
      <c r="Q2292" s="16" t="str">
        <f t="shared" si="779"/>
        <v/>
      </c>
      <c r="R2292" s="23" t="str">
        <f t="shared" si="780"/>
        <v/>
      </c>
      <c r="S2292" s="23" t="str">
        <f t="shared" si="781"/>
        <v/>
      </c>
      <c r="T2292" s="23" t="str">
        <f t="shared" si="782"/>
        <v/>
      </c>
      <c r="U2292" s="23" t="str">
        <f t="shared" si="783"/>
        <v/>
      </c>
      <c r="V2292" s="23" t="str">
        <f t="shared" si="784"/>
        <v/>
      </c>
      <c r="W2292" s="70" t="str">
        <f t="shared" si="785"/>
        <v/>
      </c>
      <c r="X2292" s="70" t="str">
        <f t="shared" si="786"/>
        <v/>
      </c>
      <c r="Y2292" s="70" t="str">
        <f>IF(AND($A2292&lt;&gt;"",$E2292&gt;0),isLaptopBag($C2292,$J2292)*$D2292,"")</f>
        <v/>
      </c>
      <c r="Z2292" s="70" t="str">
        <f t="shared" si="787"/>
        <v/>
      </c>
      <c r="AA2292" s="70" t="str">
        <f t="shared" si="788"/>
        <v/>
      </c>
      <c r="AB2292" s="70" t="str">
        <f t="shared" si="789"/>
        <v/>
      </c>
      <c r="AC2292" s="70" t="str">
        <f t="shared" si="790"/>
        <v/>
      </c>
      <c r="AD2292" s="70" t="str">
        <f t="shared" si="791"/>
        <v/>
      </c>
      <c r="AE2292" s="70" t="str">
        <f t="shared" si="792"/>
        <v/>
      </c>
      <c r="AF2292" s="16"/>
      <c r="AG2292" s="23"/>
      <c r="AH2292" s="22"/>
      <c r="AJ2292" s="83">
        <f t="shared" si="793"/>
        <v>0</v>
      </c>
      <c r="AO2292" s="22" t="str">
        <f t="shared" si="794"/>
        <v/>
      </c>
      <c r="AP2292" s="22" t="str">
        <f t="shared" si="795"/>
        <v/>
      </c>
    </row>
    <row r="2293" spans="1:42" x14ac:dyDescent="0.25">
      <c r="A2293" s="10"/>
      <c r="B2293" s="10"/>
      <c r="C2293" s="10"/>
      <c r="D2293" s="10"/>
      <c r="E2293" s="10"/>
      <c r="F2293" s="10"/>
      <c r="G2293" s="10"/>
      <c r="H2293" s="17"/>
      <c r="I2293" s="10"/>
      <c r="J2293" s="10"/>
      <c r="K2293" s="16" t="str">
        <f t="shared" si="774"/>
        <v/>
      </c>
      <c r="L2293" s="23" t="str">
        <f t="shared" si="775"/>
        <v/>
      </c>
      <c r="M2293" s="22" t="str">
        <f t="shared" si="776"/>
        <v/>
      </c>
      <c r="N2293" s="72"/>
      <c r="O2293" s="16" t="str">
        <f t="shared" si="777"/>
        <v/>
      </c>
      <c r="P2293" s="16" t="str">
        <f t="shared" si="778"/>
        <v/>
      </c>
      <c r="Q2293" s="16" t="str">
        <f t="shared" si="779"/>
        <v/>
      </c>
      <c r="R2293" s="23" t="str">
        <f t="shared" si="780"/>
        <v/>
      </c>
      <c r="S2293" s="23" t="str">
        <f t="shared" si="781"/>
        <v/>
      </c>
      <c r="T2293" s="23" t="str">
        <f t="shared" si="782"/>
        <v/>
      </c>
      <c r="U2293" s="23" t="str">
        <f t="shared" si="783"/>
        <v/>
      </c>
      <c r="V2293" s="23" t="str">
        <f t="shared" si="784"/>
        <v/>
      </c>
      <c r="W2293" s="70" t="str">
        <f t="shared" si="785"/>
        <v/>
      </c>
      <c r="X2293" s="70" t="str">
        <f t="shared" si="786"/>
        <v/>
      </c>
      <c r="Y2293" s="70" t="str">
        <f>IF(AND($A2293&lt;&gt;"",$E2293&gt;0),isLaptopBag($C2293,$J2293)*$D2293,"")</f>
        <v/>
      </c>
      <c r="Z2293" s="70" t="str">
        <f t="shared" si="787"/>
        <v/>
      </c>
      <c r="AA2293" s="70" t="str">
        <f t="shared" si="788"/>
        <v/>
      </c>
      <c r="AB2293" s="70" t="str">
        <f t="shared" si="789"/>
        <v/>
      </c>
      <c r="AC2293" s="70" t="str">
        <f t="shared" si="790"/>
        <v/>
      </c>
      <c r="AD2293" s="70" t="str">
        <f t="shared" si="791"/>
        <v/>
      </c>
      <c r="AE2293" s="70" t="str">
        <f t="shared" si="792"/>
        <v/>
      </c>
      <c r="AF2293" s="16"/>
      <c r="AG2293" s="23"/>
      <c r="AH2293" s="22"/>
      <c r="AJ2293" s="83">
        <f t="shared" si="793"/>
        <v>0</v>
      </c>
      <c r="AO2293" s="22" t="str">
        <f t="shared" si="794"/>
        <v/>
      </c>
      <c r="AP2293" s="22" t="str">
        <f t="shared" si="795"/>
        <v/>
      </c>
    </row>
    <row r="2294" spans="1:42" x14ac:dyDescent="0.25">
      <c r="A2294" s="10"/>
      <c r="B2294" s="10"/>
      <c r="C2294" s="10"/>
      <c r="D2294" s="10"/>
      <c r="E2294" s="10"/>
      <c r="F2294" s="10"/>
      <c r="G2294" s="10"/>
      <c r="H2294" s="17"/>
      <c r="I2294" s="10"/>
      <c r="J2294" s="10"/>
      <c r="K2294" s="16" t="str">
        <f t="shared" si="774"/>
        <v/>
      </c>
      <c r="L2294" s="23" t="str">
        <f t="shared" si="775"/>
        <v/>
      </c>
      <c r="M2294" s="22" t="str">
        <f t="shared" si="776"/>
        <v/>
      </c>
      <c r="N2294" s="72"/>
      <c r="O2294" s="16" t="str">
        <f t="shared" si="777"/>
        <v/>
      </c>
      <c r="P2294" s="16" t="str">
        <f t="shared" si="778"/>
        <v/>
      </c>
      <c r="Q2294" s="16" t="str">
        <f t="shared" si="779"/>
        <v/>
      </c>
      <c r="R2294" s="23" t="str">
        <f t="shared" si="780"/>
        <v/>
      </c>
      <c r="S2294" s="23" t="str">
        <f t="shared" si="781"/>
        <v/>
      </c>
      <c r="T2294" s="23" t="str">
        <f t="shared" si="782"/>
        <v/>
      </c>
      <c r="U2294" s="23" t="str">
        <f t="shared" si="783"/>
        <v/>
      </c>
      <c r="V2294" s="23" t="str">
        <f t="shared" si="784"/>
        <v/>
      </c>
      <c r="W2294" s="70" t="str">
        <f t="shared" si="785"/>
        <v/>
      </c>
      <c r="X2294" s="70" t="str">
        <f t="shared" si="786"/>
        <v/>
      </c>
      <c r="Y2294" s="70" t="str">
        <f>IF(AND($A2294&lt;&gt;"",$E2294&gt;0),isLaptopBag($C2294,$J2294)*$D2294,"")</f>
        <v/>
      </c>
      <c r="Z2294" s="70" t="str">
        <f t="shared" si="787"/>
        <v/>
      </c>
      <c r="AA2294" s="70" t="str">
        <f t="shared" si="788"/>
        <v/>
      </c>
      <c r="AB2294" s="70" t="str">
        <f t="shared" si="789"/>
        <v/>
      </c>
      <c r="AC2294" s="70" t="str">
        <f t="shared" si="790"/>
        <v/>
      </c>
      <c r="AD2294" s="70" t="str">
        <f t="shared" si="791"/>
        <v/>
      </c>
      <c r="AE2294" s="70" t="str">
        <f t="shared" si="792"/>
        <v/>
      </c>
      <c r="AF2294" s="16"/>
      <c r="AG2294" s="23"/>
      <c r="AH2294" s="22"/>
      <c r="AJ2294" s="83">
        <f t="shared" si="793"/>
        <v>0</v>
      </c>
      <c r="AO2294" s="22" t="str">
        <f t="shared" si="794"/>
        <v/>
      </c>
      <c r="AP2294" s="22" t="str">
        <f t="shared" si="795"/>
        <v/>
      </c>
    </row>
    <row r="2295" spans="1:42" x14ac:dyDescent="0.25">
      <c r="A2295" s="10"/>
      <c r="B2295" s="10"/>
      <c r="C2295" s="10"/>
      <c r="D2295" s="10"/>
      <c r="E2295" s="10"/>
      <c r="F2295" s="10"/>
      <c r="G2295" s="10"/>
      <c r="H2295" s="17"/>
      <c r="I2295" s="10"/>
      <c r="J2295" s="10"/>
      <c r="K2295" s="16" t="str">
        <f t="shared" si="774"/>
        <v/>
      </c>
      <c r="L2295" s="23" t="str">
        <f t="shared" si="775"/>
        <v/>
      </c>
      <c r="M2295" s="22" t="str">
        <f t="shared" si="776"/>
        <v/>
      </c>
      <c r="N2295" s="72"/>
      <c r="O2295" s="16" t="str">
        <f t="shared" si="777"/>
        <v/>
      </c>
      <c r="P2295" s="16" t="str">
        <f t="shared" si="778"/>
        <v/>
      </c>
      <c r="Q2295" s="16" t="str">
        <f t="shared" si="779"/>
        <v/>
      </c>
      <c r="R2295" s="23" t="str">
        <f t="shared" si="780"/>
        <v/>
      </c>
      <c r="S2295" s="23" t="str">
        <f t="shared" si="781"/>
        <v/>
      </c>
      <c r="T2295" s="23" t="str">
        <f t="shared" si="782"/>
        <v/>
      </c>
      <c r="U2295" s="23" t="str">
        <f t="shared" si="783"/>
        <v/>
      </c>
      <c r="V2295" s="23" t="str">
        <f t="shared" si="784"/>
        <v/>
      </c>
      <c r="W2295" s="70" t="str">
        <f t="shared" si="785"/>
        <v/>
      </c>
      <c r="X2295" s="70" t="str">
        <f t="shared" si="786"/>
        <v/>
      </c>
      <c r="Y2295" s="70" t="str">
        <f>IF(AND($A2295&lt;&gt;"",$E2295&gt;0),isLaptopBag($C2295,$J2295)*$D2295,"")</f>
        <v/>
      </c>
      <c r="Z2295" s="70" t="str">
        <f t="shared" si="787"/>
        <v/>
      </c>
      <c r="AA2295" s="70" t="str">
        <f t="shared" si="788"/>
        <v/>
      </c>
      <c r="AB2295" s="70" t="str">
        <f t="shared" si="789"/>
        <v/>
      </c>
      <c r="AC2295" s="70" t="str">
        <f t="shared" si="790"/>
        <v/>
      </c>
      <c r="AD2295" s="70" t="str">
        <f t="shared" si="791"/>
        <v/>
      </c>
      <c r="AE2295" s="70" t="str">
        <f t="shared" si="792"/>
        <v/>
      </c>
      <c r="AF2295" s="16"/>
      <c r="AG2295" s="23"/>
      <c r="AH2295" s="22"/>
      <c r="AJ2295" s="83">
        <f t="shared" si="793"/>
        <v>0</v>
      </c>
      <c r="AO2295" s="22" t="str">
        <f t="shared" si="794"/>
        <v/>
      </c>
      <c r="AP2295" s="22" t="str">
        <f t="shared" si="795"/>
        <v/>
      </c>
    </row>
    <row r="2296" spans="1:42" x14ac:dyDescent="0.25">
      <c r="A2296" s="10"/>
      <c r="B2296" s="10"/>
      <c r="C2296" s="10"/>
      <c r="D2296" s="10"/>
      <c r="E2296" s="10"/>
      <c r="F2296" s="10"/>
      <c r="G2296" s="10"/>
      <c r="H2296" s="17"/>
      <c r="I2296" s="10"/>
      <c r="J2296" s="10"/>
      <c r="K2296" s="16" t="str">
        <f t="shared" si="774"/>
        <v/>
      </c>
      <c r="L2296" s="23" t="str">
        <f t="shared" si="775"/>
        <v/>
      </c>
      <c r="M2296" s="22" t="str">
        <f t="shared" si="776"/>
        <v/>
      </c>
      <c r="N2296" s="72"/>
      <c r="O2296" s="16" t="str">
        <f t="shared" si="777"/>
        <v/>
      </c>
      <c r="P2296" s="16" t="str">
        <f t="shared" si="778"/>
        <v/>
      </c>
      <c r="Q2296" s="16" t="str">
        <f t="shared" si="779"/>
        <v/>
      </c>
      <c r="R2296" s="23" t="str">
        <f t="shared" si="780"/>
        <v/>
      </c>
      <c r="S2296" s="23" t="str">
        <f t="shared" si="781"/>
        <v/>
      </c>
      <c r="T2296" s="23" t="str">
        <f t="shared" si="782"/>
        <v/>
      </c>
      <c r="U2296" s="23" t="str">
        <f t="shared" si="783"/>
        <v/>
      </c>
      <c r="V2296" s="23" t="str">
        <f t="shared" si="784"/>
        <v/>
      </c>
      <c r="W2296" s="70" t="str">
        <f t="shared" si="785"/>
        <v/>
      </c>
      <c r="X2296" s="70" t="str">
        <f t="shared" si="786"/>
        <v/>
      </c>
      <c r="Y2296" s="70" t="str">
        <f>IF(AND($A2296&lt;&gt;"",$E2296&gt;0),isLaptopBag($C2296,$J2296)*$D2296,"")</f>
        <v/>
      </c>
      <c r="Z2296" s="70" t="str">
        <f t="shared" si="787"/>
        <v/>
      </c>
      <c r="AA2296" s="70" t="str">
        <f t="shared" si="788"/>
        <v/>
      </c>
      <c r="AB2296" s="70" t="str">
        <f t="shared" si="789"/>
        <v/>
      </c>
      <c r="AC2296" s="70" t="str">
        <f t="shared" si="790"/>
        <v/>
      </c>
      <c r="AD2296" s="70" t="str">
        <f t="shared" si="791"/>
        <v/>
      </c>
      <c r="AE2296" s="70" t="str">
        <f t="shared" si="792"/>
        <v/>
      </c>
      <c r="AF2296" s="16"/>
      <c r="AG2296" s="23"/>
      <c r="AH2296" s="22"/>
      <c r="AJ2296" s="83">
        <f t="shared" si="793"/>
        <v>0</v>
      </c>
      <c r="AO2296" s="22" t="str">
        <f t="shared" si="794"/>
        <v/>
      </c>
      <c r="AP2296" s="22" t="str">
        <f t="shared" si="795"/>
        <v/>
      </c>
    </row>
    <row r="2297" spans="1:42" x14ac:dyDescent="0.25">
      <c r="A2297" s="10"/>
      <c r="B2297" s="10"/>
      <c r="C2297" s="10"/>
      <c r="D2297" s="10"/>
      <c r="E2297" s="10"/>
      <c r="F2297" s="10"/>
      <c r="G2297" s="10"/>
      <c r="H2297" s="17"/>
      <c r="I2297" s="10"/>
      <c r="J2297" s="10"/>
      <c r="K2297" s="16" t="str">
        <f t="shared" si="774"/>
        <v/>
      </c>
      <c r="L2297" s="23" t="str">
        <f t="shared" si="775"/>
        <v/>
      </c>
      <c r="M2297" s="22" t="str">
        <f t="shared" si="776"/>
        <v/>
      </c>
      <c r="N2297" s="72"/>
      <c r="O2297" s="16" t="str">
        <f t="shared" si="777"/>
        <v/>
      </c>
      <c r="P2297" s="16" t="str">
        <f t="shared" si="778"/>
        <v/>
      </c>
      <c r="Q2297" s="16" t="str">
        <f t="shared" si="779"/>
        <v/>
      </c>
      <c r="R2297" s="23" t="str">
        <f t="shared" si="780"/>
        <v/>
      </c>
      <c r="S2297" s="23" t="str">
        <f t="shared" si="781"/>
        <v/>
      </c>
      <c r="T2297" s="23" t="str">
        <f t="shared" si="782"/>
        <v/>
      </c>
      <c r="U2297" s="23" t="str">
        <f t="shared" si="783"/>
        <v/>
      </c>
      <c r="V2297" s="23" t="str">
        <f t="shared" si="784"/>
        <v/>
      </c>
      <c r="W2297" s="70" t="str">
        <f t="shared" si="785"/>
        <v/>
      </c>
      <c r="X2297" s="70" t="str">
        <f t="shared" si="786"/>
        <v/>
      </c>
      <c r="Y2297" s="70" t="str">
        <f>IF(AND($A2297&lt;&gt;"",$E2297&gt;0),isLaptopBag($C2297,$J2297)*$D2297,"")</f>
        <v/>
      </c>
      <c r="Z2297" s="70" t="str">
        <f t="shared" si="787"/>
        <v/>
      </c>
      <c r="AA2297" s="70" t="str">
        <f t="shared" si="788"/>
        <v/>
      </c>
      <c r="AB2297" s="70" t="str">
        <f t="shared" si="789"/>
        <v/>
      </c>
      <c r="AC2297" s="70" t="str">
        <f t="shared" si="790"/>
        <v/>
      </c>
      <c r="AD2297" s="70" t="str">
        <f t="shared" si="791"/>
        <v/>
      </c>
      <c r="AE2297" s="70" t="str">
        <f t="shared" si="792"/>
        <v/>
      </c>
      <c r="AF2297" s="16"/>
      <c r="AG2297" s="23"/>
      <c r="AH2297" s="22"/>
      <c r="AJ2297" s="83">
        <f t="shared" si="793"/>
        <v>0</v>
      </c>
      <c r="AO2297" s="22" t="str">
        <f t="shared" si="794"/>
        <v/>
      </c>
      <c r="AP2297" s="22" t="str">
        <f t="shared" si="795"/>
        <v/>
      </c>
    </row>
    <row r="2298" spans="1:42" x14ac:dyDescent="0.25">
      <c r="A2298" s="10"/>
      <c r="B2298" s="10"/>
      <c r="C2298" s="10"/>
      <c r="D2298" s="10"/>
      <c r="E2298" s="10"/>
      <c r="F2298" s="10"/>
      <c r="G2298" s="10"/>
      <c r="H2298" s="17"/>
      <c r="I2298" s="10"/>
      <c r="J2298" s="10"/>
      <c r="K2298" s="16" t="str">
        <f t="shared" si="774"/>
        <v/>
      </c>
      <c r="L2298" s="23" t="str">
        <f t="shared" si="775"/>
        <v/>
      </c>
      <c r="M2298" s="22" t="str">
        <f t="shared" si="776"/>
        <v/>
      </c>
      <c r="N2298" s="72"/>
      <c r="O2298" s="16" t="str">
        <f t="shared" si="777"/>
        <v/>
      </c>
      <c r="P2298" s="16" t="str">
        <f t="shared" si="778"/>
        <v/>
      </c>
      <c r="Q2298" s="16" t="str">
        <f t="shared" si="779"/>
        <v/>
      </c>
      <c r="R2298" s="23" t="str">
        <f t="shared" si="780"/>
        <v/>
      </c>
      <c r="S2298" s="23" t="str">
        <f t="shared" si="781"/>
        <v/>
      </c>
      <c r="T2298" s="23" t="str">
        <f t="shared" si="782"/>
        <v/>
      </c>
      <c r="U2298" s="23" t="str">
        <f t="shared" si="783"/>
        <v/>
      </c>
      <c r="V2298" s="23" t="str">
        <f t="shared" si="784"/>
        <v/>
      </c>
      <c r="W2298" s="70" t="str">
        <f t="shared" si="785"/>
        <v/>
      </c>
      <c r="X2298" s="70" t="str">
        <f t="shared" si="786"/>
        <v/>
      </c>
      <c r="Y2298" s="70" t="str">
        <f>IF(AND($A2298&lt;&gt;"",$E2298&gt;0),isLaptopBag($C2298,$J2298)*$D2298,"")</f>
        <v/>
      </c>
      <c r="Z2298" s="70" t="str">
        <f t="shared" si="787"/>
        <v/>
      </c>
      <c r="AA2298" s="70" t="str">
        <f t="shared" si="788"/>
        <v/>
      </c>
      <c r="AB2298" s="70" t="str">
        <f t="shared" si="789"/>
        <v/>
      </c>
      <c r="AC2298" s="70" t="str">
        <f t="shared" si="790"/>
        <v/>
      </c>
      <c r="AD2298" s="70" t="str">
        <f t="shared" si="791"/>
        <v/>
      </c>
      <c r="AE2298" s="70" t="str">
        <f t="shared" si="792"/>
        <v/>
      </c>
      <c r="AF2298" s="16"/>
      <c r="AG2298" s="23"/>
      <c r="AH2298" s="22"/>
      <c r="AJ2298" s="83">
        <f t="shared" si="793"/>
        <v>0</v>
      </c>
      <c r="AO2298" s="22" t="str">
        <f t="shared" si="794"/>
        <v/>
      </c>
      <c r="AP2298" s="22" t="str">
        <f t="shared" si="795"/>
        <v/>
      </c>
    </row>
    <row r="2299" spans="1:42" x14ac:dyDescent="0.25">
      <c r="A2299" s="10"/>
      <c r="B2299" s="10"/>
      <c r="C2299" s="10"/>
      <c r="D2299" s="10"/>
      <c r="E2299" s="10"/>
      <c r="F2299" s="10"/>
      <c r="G2299" s="10"/>
      <c r="H2299" s="17"/>
      <c r="I2299" s="10"/>
      <c r="J2299" s="10"/>
      <c r="K2299" s="16" t="str">
        <f t="shared" si="774"/>
        <v/>
      </c>
      <c r="L2299" s="23" t="str">
        <f t="shared" si="775"/>
        <v/>
      </c>
      <c r="M2299" s="22" t="str">
        <f t="shared" si="776"/>
        <v/>
      </c>
      <c r="N2299" s="72"/>
      <c r="O2299" s="16" t="str">
        <f t="shared" si="777"/>
        <v/>
      </c>
      <c r="P2299" s="16" t="str">
        <f t="shared" si="778"/>
        <v/>
      </c>
      <c r="Q2299" s="16" t="str">
        <f t="shared" si="779"/>
        <v/>
      </c>
      <c r="R2299" s="23" t="str">
        <f t="shared" si="780"/>
        <v/>
      </c>
      <c r="S2299" s="23" t="str">
        <f t="shared" si="781"/>
        <v/>
      </c>
      <c r="T2299" s="23" t="str">
        <f t="shared" si="782"/>
        <v/>
      </c>
      <c r="U2299" s="23" t="str">
        <f t="shared" si="783"/>
        <v/>
      </c>
      <c r="V2299" s="23" t="str">
        <f t="shared" si="784"/>
        <v/>
      </c>
      <c r="W2299" s="70" t="str">
        <f t="shared" si="785"/>
        <v/>
      </c>
      <c r="X2299" s="70" t="str">
        <f t="shared" si="786"/>
        <v/>
      </c>
      <c r="Y2299" s="70" t="str">
        <f>IF(AND($A2299&lt;&gt;"",$E2299&gt;0),isLaptopBag($C2299,$J2299)*$D2299,"")</f>
        <v/>
      </c>
      <c r="Z2299" s="70" t="str">
        <f t="shared" si="787"/>
        <v/>
      </c>
      <c r="AA2299" s="70" t="str">
        <f t="shared" si="788"/>
        <v/>
      </c>
      <c r="AB2299" s="70" t="str">
        <f t="shared" si="789"/>
        <v/>
      </c>
      <c r="AC2299" s="70" t="str">
        <f t="shared" si="790"/>
        <v/>
      </c>
      <c r="AD2299" s="70" t="str">
        <f t="shared" si="791"/>
        <v/>
      </c>
      <c r="AE2299" s="70" t="str">
        <f t="shared" si="792"/>
        <v/>
      </c>
      <c r="AF2299" s="16"/>
      <c r="AG2299" s="23"/>
      <c r="AH2299" s="22"/>
      <c r="AJ2299" s="83">
        <f t="shared" si="793"/>
        <v>0</v>
      </c>
      <c r="AO2299" s="22" t="str">
        <f t="shared" si="794"/>
        <v/>
      </c>
      <c r="AP2299" s="22" t="str">
        <f t="shared" si="795"/>
        <v/>
      </c>
    </row>
    <row r="2300" spans="1:42" x14ac:dyDescent="0.25">
      <c r="A2300" s="10"/>
      <c r="B2300" s="10"/>
      <c r="C2300" s="10"/>
      <c r="D2300" s="10"/>
      <c r="E2300" s="10"/>
      <c r="F2300" s="10"/>
      <c r="G2300" s="10"/>
      <c r="H2300" s="17"/>
      <c r="I2300" s="10"/>
      <c r="J2300" s="10"/>
      <c r="K2300" s="16" t="str">
        <f t="shared" si="774"/>
        <v/>
      </c>
      <c r="L2300" s="23" t="str">
        <f t="shared" si="775"/>
        <v/>
      </c>
      <c r="M2300" s="22" t="str">
        <f t="shared" si="776"/>
        <v/>
      </c>
      <c r="N2300" s="72"/>
      <c r="O2300" s="16" t="str">
        <f t="shared" si="777"/>
        <v/>
      </c>
      <c r="P2300" s="16" t="str">
        <f t="shared" si="778"/>
        <v/>
      </c>
      <c r="Q2300" s="16" t="str">
        <f t="shared" si="779"/>
        <v/>
      </c>
      <c r="R2300" s="23" t="str">
        <f t="shared" si="780"/>
        <v/>
      </c>
      <c r="S2300" s="23" t="str">
        <f t="shared" si="781"/>
        <v/>
      </c>
      <c r="T2300" s="23" t="str">
        <f t="shared" si="782"/>
        <v/>
      </c>
      <c r="U2300" s="23" t="str">
        <f t="shared" si="783"/>
        <v/>
      </c>
      <c r="V2300" s="23" t="str">
        <f t="shared" si="784"/>
        <v/>
      </c>
      <c r="W2300" s="70" t="str">
        <f t="shared" si="785"/>
        <v/>
      </c>
      <c r="X2300" s="70" t="str">
        <f t="shared" si="786"/>
        <v/>
      </c>
      <c r="Y2300" s="70" t="str">
        <f>IF(AND($A2300&lt;&gt;"",$E2300&gt;0),isLaptopBag($C2300,$J2300)*$D2300,"")</f>
        <v/>
      </c>
      <c r="Z2300" s="70" t="str">
        <f t="shared" si="787"/>
        <v/>
      </c>
      <c r="AA2300" s="70" t="str">
        <f t="shared" si="788"/>
        <v/>
      </c>
      <c r="AB2300" s="70" t="str">
        <f t="shared" si="789"/>
        <v/>
      </c>
      <c r="AC2300" s="70" t="str">
        <f t="shared" si="790"/>
        <v/>
      </c>
      <c r="AD2300" s="70" t="str">
        <f t="shared" si="791"/>
        <v/>
      </c>
      <c r="AE2300" s="70" t="str">
        <f t="shared" si="792"/>
        <v/>
      </c>
      <c r="AF2300" s="16"/>
      <c r="AG2300" s="23"/>
      <c r="AH2300" s="22"/>
      <c r="AJ2300" s="83">
        <f t="shared" si="793"/>
        <v>0</v>
      </c>
      <c r="AO2300" s="22" t="str">
        <f t="shared" si="794"/>
        <v/>
      </c>
      <c r="AP2300" s="22" t="str">
        <f t="shared" si="795"/>
        <v/>
      </c>
    </row>
    <row r="2301" spans="1:42" x14ac:dyDescent="0.25">
      <c r="A2301" s="10"/>
      <c r="B2301" s="10"/>
      <c r="C2301" s="10"/>
      <c r="D2301" s="10"/>
      <c r="E2301" s="10"/>
      <c r="F2301" s="10"/>
      <c r="G2301" s="10"/>
      <c r="H2301" s="17"/>
      <c r="I2301" s="10"/>
      <c r="J2301" s="10"/>
      <c r="K2301" s="16" t="str">
        <f t="shared" si="774"/>
        <v/>
      </c>
      <c r="L2301" s="23" t="str">
        <f t="shared" si="775"/>
        <v/>
      </c>
      <c r="M2301" s="22" t="str">
        <f t="shared" si="776"/>
        <v/>
      </c>
      <c r="N2301" s="72"/>
      <c r="O2301" s="16" t="str">
        <f t="shared" si="777"/>
        <v/>
      </c>
      <c r="P2301" s="16" t="str">
        <f t="shared" si="778"/>
        <v/>
      </c>
      <c r="Q2301" s="16" t="str">
        <f t="shared" si="779"/>
        <v/>
      </c>
      <c r="R2301" s="23" t="str">
        <f t="shared" si="780"/>
        <v/>
      </c>
      <c r="S2301" s="23" t="str">
        <f t="shared" si="781"/>
        <v/>
      </c>
      <c r="T2301" s="23" t="str">
        <f t="shared" si="782"/>
        <v/>
      </c>
      <c r="U2301" s="23" t="str">
        <f t="shared" si="783"/>
        <v/>
      </c>
      <c r="V2301" s="23" t="str">
        <f t="shared" si="784"/>
        <v/>
      </c>
      <c r="W2301" s="70" t="str">
        <f t="shared" si="785"/>
        <v/>
      </c>
      <c r="X2301" s="70" t="str">
        <f t="shared" si="786"/>
        <v/>
      </c>
      <c r="Y2301" s="70" t="str">
        <f>IF(AND($A2301&lt;&gt;"",$E2301&gt;0),isLaptopBag($C2301,$J2301)*$D2301,"")</f>
        <v/>
      </c>
      <c r="Z2301" s="70" t="str">
        <f t="shared" si="787"/>
        <v/>
      </c>
      <c r="AA2301" s="70" t="str">
        <f t="shared" si="788"/>
        <v/>
      </c>
      <c r="AB2301" s="70" t="str">
        <f t="shared" si="789"/>
        <v/>
      </c>
      <c r="AC2301" s="70" t="str">
        <f t="shared" si="790"/>
        <v/>
      </c>
      <c r="AD2301" s="70" t="str">
        <f t="shared" si="791"/>
        <v/>
      </c>
      <c r="AE2301" s="70" t="str">
        <f t="shared" si="792"/>
        <v/>
      </c>
      <c r="AF2301" s="16"/>
      <c r="AG2301" s="23"/>
      <c r="AH2301" s="22"/>
      <c r="AJ2301" s="83">
        <f t="shared" si="793"/>
        <v>0</v>
      </c>
      <c r="AO2301" s="22" t="str">
        <f t="shared" si="794"/>
        <v/>
      </c>
      <c r="AP2301" s="22" t="str">
        <f t="shared" si="795"/>
        <v/>
      </c>
    </row>
    <row r="2302" spans="1:42" x14ac:dyDescent="0.25">
      <c r="A2302" s="10"/>
      <c r="B2302" s="10"/>
      <c r="C2302" s="10"/>
      <c r="D2302" s="10"/>
      <c r="E2302" s="10"/>
      <c r="F2302" s="10"/>
      <c r="G2302" s="10"/>
      <c r="H2302" s="17"/>
      <c r="I2302" s="10"/>
      <c r="J2302" s="10"/>
      <c r="K2302" s="16" t="str">
        <f t="shared" si="774"/>
        <v/>
      </c>
      <c r="L2302" s="23" t="str">
        <f t="shared" si="775"/>
        <v/>
      </c>
      <c r="M2302" s="22" t="str">
        <f t="shared" si="776"/>
        <v/>
      </c>
      <c r="N2302" s="72"/>
      <c r="O2302" s="16" t="str">
        <f t="shared" si="777"/>
        <v/>
      </c>
      <c r="P2302" s="16" t="str">
        <f t="shared" si="778"/>
        <v/>
      </c>
      <c r="Q2302" s="16" t="str">
        <f t="shared" si="779"/>
        <v/>
      </c>
      <c r="R2302" s="23" t="str">
        <f t="shared" si="780"/>
        <v/>
      </c>
      <c r="S2302" s="23" t="str">
        <f t="shared" si="781"/>
        <v/>
      </c>
      <c r="T2302" s="23" t="str">
        <f t="shared" si="782"/>
        <v/>
      </c>
      <c r="U2302" s="23" t="str">
        <f t="shared" si="783"/>
        <v/>
      </c>
      <c r="V2302" s="23" t="str">
        <f t="shared" si="784"/>
        <v/>
      </c>
      <c r="W2302" s="70" t="str">
        <f t="shared" si="785"/>
        <v/>
      </c>
      <c r="X2302" s="70" t="str">
        <f t="shared" si="786"/>
        <v/>
      </c>
      <c r="Y2302" s="70" t="str">
        <f>IF(AND($A2302&lt;&gt;"",$E2302&gt;0),isLaptopBag($C2302,$J2302)*$D2302,"")</f>
        <v/>
      </c>
      <c r="Z2302" s="70" t="str">
        <f t="shared" si="787"/>
        <v/>
      </c>
      <c r="AA2302" s="70" t="str">
        <f t="shared" si="788"/>
        <v/>
      </c>
      <c r="AB2302" s="70" t="str">
        <f t="shared" si="789"/>
        <v/>
      </c>
      <c r="AC2302" s="70" t="str">
        <f t="shared" si="790"/>
        <v/>
      </c>
      <c r="AD2302" s="70" t="str">
        <f t="shared" si="791"/>
        <v/>
      </c>
      <c r="AE2302" s="70" t="str">
        <f t="shared" si="792"/>
        <v/>
      </c>
      <c r="AF2302" s="16"/>
      <c r="AG2302" s="23"/>
      <c r="AH2302" s="22"/>
      <c r="AJ2302" s="83">
        <f t="shared" si="793"/>
        <v>0</v>
      </c>
      <c r="AO2302" s="22" t="str">
        <f t="shared" si="794"/>
        <v/>
      </c>
      <c r="AP2302" s="22" t="str">
        <f t="shared" si="795"/>
        <v/>
      </c>
    </row>
    <row r="2303" spans="1:42" x14ac:dyDescent="0.25">
      <c r="A2303" s="10"/>
      <c r="B2303" s="10"/>
      <c r="C2303" s="10"/>
      <c r="D2303" s="10"/>
      <c r="E2303" s="10"/>
      <c r="F2303" s="10"/>
      <c r="G2303" s="10"/>
      <c r="H2303" s="17"/>
      <c r="I2303" s="10"/>
      <c r="J2303" s="10"/>
      <c r="K2303" s="16" t="str">
        <f t="shared" si="774"/>
        <v/>
      </c>
      <c r="L2303" s="23" t="str">
        <f t="shared" si="775"/>
        <v/>
      </c>
      <c r="M2303" s="22" t="str">
        <f t="shared" si="776"/>
        <v/>
      </c>
      <c r="N2303" s="72"/>
      <c r="O2303" s="16" t="str">
        <f t="shared" si="777"/>
        <v/>
      </c>
      <c r="P2303" s="16" t="str">
        <f t="shared" si="778"/>
        <v/>
      </c>
      <c r="Q2303" s="16" t="str">
        <f t="shared" si="779"/>
        <v/>
      </c>
      <c r="R2303" s="23" t="str">
        <f t="shared" si="780"/>
        <v/>
      </c>
      <c r="S2303" s="23" t="str">
        <f t="shared" si="781"/>
        <v/>
      </c>
      <c r="T2303" s="23" t="str">
        <f t="shared" si="782"/>
        <v/>
      </c>
      <c r="U2303" s="23" t="str">
        <f t="shared" si="783"/>
        <v/>
      </c>
      <c r="V2303" s="23" t="str">
        <f t="shared" si="784"/>
        <v/>
      </c>
      <c r="W2303" s="70" t="str">
        <f t="shared" si="785"/>
        <v/>
      </c>
      <c r="X2303" s="70" t="str">
        <f t="shared" si="786"/>
        <v/>
      </c>
      <c r="Y2303" s="70" t="str">
        <f>IF(AND($A2303&lt;&gt;"",$E2303&gt;0),isLaptopBag($C2303,$J2303)*$D2303,"")</f>
        <v/>
      </c>
      <c r="Z2303" s="70" t="str">
        <f t="shared" si="787"/>
        <v/>
      </c>
      <c r="AA2303" s="70" t="str">
        <f t="shared" si="788"/>
        <v/>
      </c>
      <c r="AB2303" s="70" t="str">
        <f t="shared" si="789"/>
        <v/>
      </c>
      <c r="AC2303" s="70" t="str">
        <f t="shared" si="790"/>
        <v/>
      </c>
      <c r="AD2303" s="70" t="str">
        <f t="shared" si="791"/>
        <v/>
      </c>
      <c r="AE2303" s="70" t="str">
        <f t="shared" si="792"/>
        <v/>
      </c>
      <c r="AF2303" s="16"/>
      <c r="AG2303" s="23"/>
      <c r="AH2303" s="22"/>
      <c r="AJ2303" s="83">
        <f t="shared" si="793"/>
        <v>0</v>
      </c>
      <c r="AO2303" s="22" t="str">
        <f t="shared" si="794"/>
        <v/>
      </c>
      <c r="AP2303" s="22" t="str">
        <f t="shared" si="795"/>
        <v/>
      </c>
    </row>
    <row r="2304" spans="1:42" x14ac:dyDescent="0.25">
      <c r="A2304" s="10"/>
      <c r="B2304" s="10"/>
      <c r="C2304" s="10"/>
      <c r="D2304" s="10"/>
      <c r="E2304" s="10"/>
      <c r="F2304" s="10"/>
      <c r="G2304" s="10"/>
      <c r="H2304" s="17"/>
      <c r="I2304" s="10"/>
      <c r="J2304" s="10"/>
      <c r="K2304" s="16" t="str">
        <f t="shared" si="774"/>
        <v/>
      </c>
      <c r="L2304" s="23" t="str">
        <f t="shared" si="775"/>
        <v/>
      </c>
      <c r="M2304" s="22" t="str">
        <f t="shared" si="776"/>
        <v/>
      </c>
      <c r="N2304" s="72"/>
      <c r="O2304" s="16" t="str">
        <f t="shared" si="777"/>
        <v/>
      </c>
      <c r="P2304" s="16" t="str">
        <f t="shared" si="778"/>
        <v/>
      </c>
      <c r="Q2304" s="16" t="str">
        <f t="shared" si="779"/>
        <v/>
      </c>
      <c r="R2304" s="23" t="str">
        <f t="shared" si="780"/>
        <v/>
      </c>
      <c r="S2304" s="23" t="str">
        <f t="shared" si="781"/>
        <v/>
      </c>
      <c r="T2304" s="23" t="str">
        <f t="shared" si="782"/>
        <v/>
      </c>
      <c r="U2304" s="23" t="str">
        <f t="shared" si="783"/>
        <v/>
      </c>
      <c r="V2304" s="23" t="str">
        <f t="shared" si="784"/>
        <v/>
      </c>
      <c r="W2304" s="70" t="str">
        <f t="shared" si="785"/>
        <v/>
      </c>
      <c r="X2304" s="70" t="str">
        <f t="shared" si="786"/>
        <v/>
      </c>
      <c r="Y2304" s="70" t="str">
        <f>IF(AND($A2304&lt;&gt;"",$E2304&gt;0),isLaptopBag($C2304,$J2304)*$D2304,"")</f>
        <v/>
      </c>
      <c r="Z2304" s="70" t="str">
        <f t="shared" si="787"/>
        <v/>
      </c>
      <c r="AA2304" s="70" t="str">
        <f t="shared" si="788"/>
        <v/>
      </c>
      <c r="AB2304" s="70" t="str">
        <f t="shared" si="789"/>
        <v/>
      </c>
      <c r="AC2304" s="70" t="str">
        <f t="shared" si="790"/>
        <v/>
      </c>
      <c r="AD2304" s="70" t="str">
        <f t="shared" si="791"/>
        <v/>
      </c>
      <c r="AE2304" s="70" t="str">
        <f t="shared" si="792"/>
        <v/>
      </c>
      <c r="AF2304" s="16"/>
      <c r="AG2304" s="23"/>
      <c r="AH2304" s="22"/>
      <c r="AJ2304" s="83">
        <f t="shared" si="793"/>
        <v>0</v>
      </c>
      <c r="AO2304" s="22" t="str">
        <f t="shared" si="794"/>
        <v/>
      </c>
      <c r="AP2304" s="22" t="str">
        <f t="shared" si="795"/>
        <v/>
      </c>
    </row>
    <row r="2305" spans="1:42" x14ac:dyDescent="0.25">
      <c r="A2305" s="10"/>
      <c r="B2305" s="10"/>
      <c r="C2305" s="10"/>
      <c r="D2305" s="10"/>
      <c r="E2305" s="10"/>
      <c r="F2305" s="10"/>
      <c r="G2305" s="10"/>
      <c r="H2305" s="17"/>
      <c r="I2305" s="10"/>
      <c r="J2305" s="10"/>
      <c r="K2305" s="16" t="str">
        <f t="shared" si="774"/>
        <v/>
      </c>
      <c r="L2305" s="23" t="str">
        <f t="shared" si="775"/>
        <v/>
      </c>
      <c r="M2305" s="22" t="str">
        <f t="shared" si="776"/>
        <v/>
      </c>
      <c r="N2305" s="72"/>
      <c r="O2305" s="16" t="str">
        <f t="shared" si="777"/>
        <v/>
      </c>
      <c r="P2305" s="16" t="str">
        <f t="shared" si="778"/>
        <v/>
      </c>
      <c r="Q2305" s="16" t="str">
        <f t="shared" si="779"/>
        <v/>
      </c>
      <c r="R2305" s="23" t="str">
        <f t="shared" si="780"/>
        <v/>
      </c>
      <c r="S2305" s="23" t="str">
        <f t="shared" si="781"/>
        <v/>
      </c>
      <c r="T2305" s="23" t="str">
        <f t="shared" si="782"/>
        <v/>
      </c>
      <c r="U2305" s="23" t="str">
        <f t="shared" si="783"/>
        <v/>
      </c>
      <c r="V2305" s="23" t="str">
        <f t="shared" si="784"/>
        <v/>
      </c>
      <c r="W2305" s="70" t="str">
        <f t="shared" si="785"/>
        <v/>
      </c>
      <c r="X2305" s="70" t="str">
        <f t="shared" si="786"/>
        <v/>
      </c>
      <c r="Y2305" s="70" t="str">
        <f>IF(AND($A2305&lt;&gt;"",$E2305&gt;0),isLaptopBag($C2305,$J2305)*$D2305,"")</f>
        <v/>
      </c>
      <c r="Z2305" s="70" t="str">
        <f t="shared" si="787"/>
        <v/>
      </c>
      <c r="AA2305" s="70" t="str">
        <f t="shared" si="788"/>
        <v/>
      </c>
      <c r="AB2305" s="70" t="str">
        <f t="shared" si="789"/>
        <v/>
      </c>
      <c r="AC2305" s="70" t="str">
        <f t="shared" si="790"/>
        <v/>
      </c>
      <c r="AD2305" s="70" t="str">
        <f t="shared" si="791"/>
        <v/>
      </c>
      <c r="AE2305" s="70" t="str">
        <f t="shared" si="792"/>
        <v/>
      </c>
      <c r="AF2305" s="16"/>
      <c r="AG2305" s="23"/>
      <c r="AH2305" s="22"/>
      <c r="AJ2305" s="83">
        <f t="shared" si="793"/>
        <v>0</v>
      </c>
      <c r="AO2305" s="22" t="str">
        <f t="shared" si="794"/>
        <v/>
      </c>
      <c r="AP2305" s="22" t="str">
        <f t="shared" si="795"/>
        <v/>
      </c>
    </row>
    <row r="2306" spans="1:42" x14ac:dyDescent="0.25">
      <c r="A2306" s="10"/>
      <c r="B2306" s="10"/>
      <c r="C2306" s="10"/>
      <c r="D2306" s="10"/>
      <c r="E2306" s="10"/>
      <c r="F2306" s="10"/>
      <c r="G2306" s="10"/>
      <c r="H2306" s="17"/>
      <c r="I2306" s="10"/>
      <c r="J2306" s="10"/>
      <c r="K2306" s="16" t="str">
        <f t="shared" si="774"/>
        <v/>
      </c>
      <c r="L2306" s="23" t="str">
        <f t="shared" si="775"/>
        <v/>
      </c>
      <c r="M2306" s="22" t="str">
        <f t="shared" si="776"/>
        <v/>
      </c>
      <c r="N2306" s="72"/>
      <c r="O2306" s="16" t="str">
        <f t="shared" si="777"/>
        <v/>
      </c>
      <c r="P2306" s="16" t="str">
        <f t="shared" si="778"/>
        <v/>
      </c>
      <c r="Q2306" s="16" t="str">
        <f t="shared" si="779"/>
        <v/>
      </c>
      <c r="R2306" s="23" t="str">
        <f t="shared" si="780"/>
        <v/>
      </c>
      <c r="S2306" s="23" t="str">
        <f t="shared" si="781"/>
        <v/>
      </c>
      <c r="T2306" s="23" t="str">
        <f t="shared" si="782"/>
        <v/>
      </c>
      <c r="U2306" s="23" t="str">
        <f t="shared" si="783"/>
        <v/>
      </c>
      <c r="V2306" s="23" t="str">
        <f t="shared" si="784"/>
        <v/>
      </c>
      <c r="W2306" s="70" t="str">
        <f t="shared" si="785"/>
        <v/>
      </c>
      <c r="X2306" s="70" t="str">
        <f t="shared" si="786"/>
        <v/>
      </c>
      <c r="Y2306" s="70" t="str">
        <f>IF(AND($A2306&lt;&gt;"",$E2306&gt;0),isLaptopBag($C2306,$J2306)*$D2306,"")</f>
        <v/>
      </c>
      <c r="Z2306" s="70" t="str">
        <f t="shared" si="787"/>
        <v/>
      </c>
      <c r="AA2306" s="70" t="str">
        <f t="shared" si="788"/>
        <v/>
      </c>
      <c r="AB2306" s="70" t="str">
        <f t="shared" si="789"/>
        <v/>
      </c>
      <c r="AC2306" s="70" t="str">
        <f t="shared" si="790"/>
        <v/>
      </c>
      <c r="AD2306" s="70" t="str">
        <f t="shared" si="791"/>
        <v/>
      </c>
      <c r="AE2306" s="70" t="str">
        <f t="shared" si="792"/>
        <v/>
      </c>
      <c r="AF2306" s="16"/>
      <c r="AG2306" s="23"/>
      <c r="AH2306" s="22"/>
      <c r="AJ2306" s="83">
        <f t="shared" si="793"/>
        <v>0</v>
      </c>
      <c r="AO2306" s="22" t="str">
        <f t="shared" si="794"/>
        <v/>
      </c>
      <c r="AP2306" s="22" t="str">
        <f t="shared" si="795"/>
        <v/>
      </c>
    </row>
    <row r="2307" spans="1:42" x14ac:dyDescent="0.25">
      <c r="A2307" s="10"/>
      <c r="B2307" s="10"/>
      <c r="C2307" s="10"/>
      <c r="D2307" s="10"/>
      <c r="E2307" s="10"/>
      <c r="F2307" s="10"/>
      <c r="G2307" s="10"/>
      <c r="H2307" s="17"/>
      <c r="I2307" s="10"/>
      <c r="J2307" s="10"/>
      <c r="K2307" s="16" t="str">
        <f t="shared" si="774"/>
        <v/>
      </c>
      <c r="L2307" s="23" t="str">
        <f t="shared" si="775"/>
        <v/>
      </c>
      <c r="M2307" s="22" t="str">
        <f t="shared" si="776"/>
        <v/>
      </c>
      <c r="N2307" s="72"/>
      <c r="O2307" s="16" t="str">
        <f t="shared" si="777"/>
        <v/>
      </c>
      <c r="P2307" s="16" t="str">
        <f t="shared" si="778"/>
        <v/>
      </c>
      <c r="Q2307" s="16" t="str">
        <f t="shared" si="779"/>
        <v/>
      </c>
      <c r="R2307" s="23" t="str">
        <f t="shared" si="780"/>
        <v/>
      </c>
      <c r="S2307" s="23" t="str">
        <f t="shared" si="781"/>
        <v/>
      </c>
      <c r="T2307" s="23" t="str">
        <f t="shared" si="782"/>
        <v/>
      </c>
      <c r="U2307" s="23" t="str">
        <f t="shared" si="783"/>
        <v/>
      </c>
      <c r="V2307" s="23" t="str">
        <f t="shared" si="784"/>
        <v/>
      </c>
      <c r="W2307" s="70" t="str">
        <f t="shared" si="785"/>
        <v/>
      </c>
      <c r="X2307" s="70" t="str">
        <f t="shared" si="786"/>
        <v/>
      </c>
      <c r="Y2307" s="70" t="str">
        <f>IF(AND($A2307&lt;&gt;"",$E2307&gt;0),isLaptopBag($C2307,$J2307)*$D2307,"")</f>
        <v/>
      </c>
      <c r="Z2307" s="70" t="str">
        <f t="shared" si="787"/>
        <v/>
      </c>
      <c r="AA2307" s="70" t="str">
        <f t="shared" si="788"/>
        <v/>
      </c>
      <c r="AB2307" s="70" t="str">
        <f t="shared" si="789"/>
        <v/>
      </c>
      <c r="AC2307" s="70" t="str">
        <f t="shared" si="790"/>
        <v/>
      </c>
      <c r="AD2307" s="70" t="str">
        <f t="shared" si="791"/>
        <v/>
      </c>
      <c r="AE2307" s="70" t="str">
        <f t="shared" si="792"/>
        <v/>
      </c>
      <c r="AF2307" s="16"/>
      <c r="AG2307" s="23"/>
      <c r="AH2307" s="22"/>
      <c r="AJ2307" s="83">
        <f t="shared" si="793"/>
        <v>0</v>
      </c>
      <c r="AO2307" s="22" t="str">
        <f t="shared" si="794"/>
        <v/>
      </c>
      <c r="AP2307" s="22" t="str">
        <f t="shared" si="795"/>
        <v/>
      </c>
    </row>
    <row r="2308" spans="1:42" x14ac:dyDescent="0.25">
      <c r="A2308" s="10"/>
      <c r="B2308" s="10"/>
      <c r="C2308" s="10"/>
      <c r="D2308" s="10"/>
      <c r="E2308" s="10"/>
      <c r="F2308" s="10"/>
      <c r="G2308" s="10"/>
      <c r="H2308" s="17"/>
      <c r="I2308" s="10"/>
      <c r="J2308" s="10"/>
      <c r="K2308" s="16" t="str">
        <f t="shared" si="774"/>
        <v/>
      </c>
      <c r="L2308" s="23" t="str">
        <f t="shared" si="775"/>
        <v/>
      </c>
      <c r="M2308" s="22" t="str">
        <f t="shared" si="776"/>
        <v/>
      </c>
      <c r="N2308" s="72"/>
      <c r="O2308" s="16" t="str">
        <f t="shared" si="777"/>
        <v/>
      </c>
      <c r="P2308" s="16" t="str">
        <f t="shared" si="778"/>
        <v/>
      </c>
      <c r="Q2308" s="16" t="str">
        <f t="shared" si="779"/>
        <v/>
      </c>
      <c r="R2308" s="23" t="str">
        <f t="shared" si="780"/>
        <v/>
      </c>
      <c r="S2308" s="23" t="str">
        <f t="shared" si="781"/>
        <v/>
      </c>
      <c r="T2308" s="23" t="str">
        <f t="shared" si="782"/>
        <v/>
      </c>
      <c r="U2308" s="23" t="str">
        <f t="shared" si="783"/>
        <v/>
      </c>
      <c r="V2308" s="23" t="str">
        <f t="shared" si="784"/>
        <v/>
      </c>
      <c r="W2308" s="70" t="str">
        <f t="shared" si="785"/>
        <v/>
      </c>
      <c r="X2308" s="70" t="str">
        <f t="shared" si="786"/>
        <v/>
      </c>
      <c r="Y2308" s="70" t="str">
        <f>IF(AND($A2308&lt;&gt;"",$E2308&gt;0),isLaptopBag($C2308,$J2308)*$D2308,"")</f>
        <v/>
      </c>
      <c r="Z2308" s="70" t="str">
        <f t="shared" si="787"/>
        <v/>
      </c>
      <c r="AA2308" s="70" t="str">
        <f t="shared" si="788"/>
        <v/>
      </c>
      <c r="AB2308" s="70" t="str">
        <f t="shared" si="789"/>
        <v/>
      </c>
      <c r="AC2308" s="70" t="str">
        <f t="shared" si="790"/>
        <v/>
      </c>
      <c r="AD2308" s="70" t="str">
        <f t="shared" si="791"/>
        <v/>
      </c>
      <c r="AE2308" s="70" t="str">
        <f t="shared" si="792"/>
        <v/>
      </c>
      <c r="AF2308" s="16"/>
      <c r="AG2308" s="23"/>
      <c r="AH2308" s="22"/>
      <c r="AJ2308" s="83">
        <f t="shared" si="793"/>
        <v>0</v>
      </c>
      <c r="AO2308" s="22" t="str">
        <f t="shared" si="794"/>
        <v/>
      </c>
      <c r="AP2308" s="22" t="str">
        <f t="shared" si="795"/>
        <v/>
      </c>
    </row>
    <row r="2309" spans="1:42" x14ac:dyDescent="0.25">
      <c r="A2309" s="10"/>
      <c r="B2309" s="10"/>
      <c r="C2309" s="10"/>
      <c r="D2309" s="10"/>
      <c r="E2309" s="10"/>
      <c r="F2309" s="10"/>
      <c r="G2309" s="10"/>
      <c r="H2309" s="17"/>
      <c r="I2309" s="10"/>
      <c r="J2309" s="10"/>
      <c r="K2309" s="16" t="str">
        <f t="shared" si="774"/>
        <v/>
      </c>
      <c r="L2309" s="23" t="str">
        <f t="shared" si="775"/>
        <v/>
      </c>
      <c r="M2309" s="22" t="str">
        <f t="shared" si="776"/>
        <v/>
      </c>
      <c r="N2309" s="72"/>
      <c r="O2309" s="16" t="str">
        <f t="shared" si="777"/>
        <v/>
      </c>
      <c r="P2309" s="16" t="str">
        <f t="shared" si="778"/>
        <v/>
      </c>
      <c r="Q2309" s="16" t="str">
        <f t="shared" si="779"/>
        <v/>
      </c>
      <c r="R2309" s="23" t="str">
        <f t="shared" si="780"/>
        <v/>
      </c>
      <c r="S2309" s="23" t="str">
        <f t="shared" si="781"/>
        <v/>
      </c>
      <c r="T2309" s="23" t="str">
        <f t="shared" si="782"/>
        <v/>
      </c>
      <c r="U2309" s="23" t="str">
        <f t="shared" si="783"/>
        <v/>
      </c>
      <c r="V2309" s="23" t="str">
        <f t="shared" si="784"/>
        <v/>
      </c>
      <c r="W2309" s="70" t="str">
        <f t="shared" si="785"/>
        <v/>
      </c>
      <c r="X2309" s="70" t="str">
        <f t="shared" si="786"/>
        <v/>
      </c>
      <c r="Y2309" s="70" t="str">
        <f>IF(AND($A2309&lt;&gt;"",$E2309&gt;0),isLaptopBag($C2309,$J2309)*$D2309,"")</f>
        <v/>
      </c>
      <c r="Z2309" s="70" t="str">
        <f t="shared" si="787"/>
        <v/>
      </c>
      <c r="AA2309" s="70" t="str">
        <f t="shared" si="788"/>
        <v/>
      </c>
      <c r="AB2309" s="70" t="str">
        <f t="shared" si="789"/>
        <v/>
      </c>
      <c r="AC2309" s="70" t="str">
        <f t="shared" si="790"/>
        <v/>
      </c>
      <c r="AD2309" s="70" t="str">
        <f t="shared" si="791"/>
        <v/>
      </c>
      <c r="AE2309" s="70" t="str">
        <f t="shared" si="792"/>
        <v/>
      </c>
      <c r="AF2309" s="16"/>
      <c r="AG2309" s="23"/>
      <c r="AH2309" s="22"/>
      <c r="AJ2309" s="83">
        <f t="shared" si="793"/>
        <v>0</v>
      </c>
      <c r="AO2309" s="22" t="str">
        <f t="shared" si="794"/>
        <v/>
      </c>
      <c r="AP2309" s="22" t="str">
        <f t="shared" si="795"/>
        <v/>
      </c>
    </row>
    <row r="2310" spans="1:42" x14ac:dyDescent="0.25">
      <c r="A2310" s="10"/>
      <c r="B2310" s="10"/>
      <c r="C2310" s="10"/>
      <c r="D2310" s="10"/>
      <c r="E2310" s="10"/>
      <c r="F2310" s="10"/>
      <c r="G2310" s="10"/>
      <c r="H2310" s="17"/>
      <c r="I2310" s="10"/>
      <c r="J2310" s="10"/>
      <c r="K2310" s="16" t="str">
        <f t="shared" si="774"/>
        <v/>
      </c>
      <c r="L2310" s="23" t="str">
        <f t="shared" si="775"/>
        <v/>
      </c>
      <c r="M2310" s="22" t="str">
        <f t="shared" si="776"/>
        <v/>
      </c>
      <c r="N2310" s="72"/>
      <c r="O2310" s="16" t="str">
        <f t="shared" si="777"/>
        <v/>
      </c>
      <c r="P2310" s="16" t="str">
        <f t="shared" si="778"/>
        <v/>
      </c>
      <c r="Q2310" s="16" t="str">
        <f t="shared" si="779"/>
        <v/>
      </c>
      <c r="R2310" s="23" t="str">
        <f t="shared" si="780"/>
        <v/>
      </c>
      <c r="S2310" s="23" t="str">
        <f t="shared" si="781"/>
        <v/>
      </c>
      <c r="T2310" s="23" t="str">
        <f t="shared" si="782"/>
        <v/>
      </c>
      <c r="U2310" s="23" t="str">
        <f t="shared" si="783"/>
        <v/>
      </c>
      <c r="V2310" s="23" t="str">
        <f t="shared" si="784"/>
        <v/>
      </c>
      <c r="W2310" s="70" t="str">
        <f t="shared" si="785"/>
        <v/>
      </c>
      <c r="X2310" s="70" t="str">
        <f t="shared" si="786"/>
        <v/>
      </c>
      <c r="Y2310" s="70" t="str">
        <f>IF(AND($A2310&lt;&gt;"",$E2310&gt;0),isLaptopBag($C2310,$J2310)*$D2310,"")</f>
        <v/>
      </c>
      <c r="Z2310" s="70" t="str">
        <f t="shared" si="787"/>
        <v/>
      </c>
      <c r="AA2310" s="70" t="str">
        <f t="shared" si="788"/>
        <v/>
      </c>
      <c r="AB2310" s="70" t="str">
        <f t="shared" si="789"/>
        <v/>
      </c>
      <c r="AC2310" s="70" t="str">
        <f t="shared" si="790"/>
        <v/>
      </c>
      <c r="AD2310" s="70" t="str">
        <f t="shared" si="791"/>
        <v/>
      </c>
      <c r="AE2310" s="70" t="str">
        <f t="shared" si="792"/>
        <v/>
      </c>
      <c r="AF2310" s="16"/>
      <c r="AG2310" s="23"/>
      <c r="AH2310" s="22"/>
      <c r="AJ2310" s="83">
        <f t="shared" si="793"/>
        <v>0</v>
      </c>
      <c r="AO2310" s="22" t="str">
        <f t="shared" si="794"/>
        <v/>
      </c>
      <c r="AP2310" s="22" t="str">
        <f t="shared" si="795"/>
        <v/>
      </c>
    </row>
    <row r="2311" spans="1:42" x14ac:dyDescent="0.25">
      <c r="A2311" s="10"/>
      <c r="B2311" s="10"/>
      <c r="C2311" s="10"/>
      <c r="D2311" s="10"/>
      <c r="E2311" s="10"/>
      <c r="F2311" s="10"/>
      <c r="G2311" s="10"/>
      <c r="H2311" s="17"/>
      <c r="I2311" s="10"/>
      <c r="J2311" s="10"/>
      <c r="K2311" s="16" t="str">
        <f t="shared" si="774"/>
        <v/>
      </c>
      <c r="L2311" s="23" t="str">
        <f t="shared" si="775"/>
        <v/>
      </c>
      <c r="M2311" s="22" t="str">
        <f t="shared" si="776"/>
        <v/>
      </c>
      <c r="N2311" s="72"/>
      <c r="O2311" s="16" t="str">
        <f t="shared" si="777"/>
        <v/>
      </c>
      <c r="P2311" s="16" t="str">
        <f t="shared" si="778"/>
        <v/>
      </c>
      <c r="Q2311" s="16" t="str">
        <f t="shared" si="779"/>
        <v/>
      </c>
      <c r="R2311" s="23" t="str">
        <f t="shared" si="780"/>
        <v/>
      </c>
      <c r="S2311" s="23" t="str">
        <f t="shared" si="781"/>
        <v/>
      </c>
      <c r="T2311" s="23" t="str">
        <f t="shared" si="782"/>
        <v/>
      </c>
      <c r="U2311" s="23" t="str">
        <f t="shared" si="783"/>
        <v/>
      </c>
      <c r="V2311" s="23" t="str">
        <f t="shared" si="784"/>
        <v/>
      </c>
      <c r="W2311" s="70" t="str">
        <f t="shared" si="785"/>
        <v/>
      </c>
      <c r="X2311" s="70" t="str">
        <f t="shared" si="786"/>
        <v/>
      </c>
      <c r="Y2311" s="70" t="str">
        <f>IF(AND($A2311&lt;&gt;"",$E2311&gt;0),isLaptopBag($C2311,$J2311)*$D2311,"")</f>
        <v/>
      </c>
      <c r="Z2311" s="70" t="str">
        <f t="shared" si="787"/>
        <v/>
      </c>
      <c r="AA2311" s="70" t="str">
        <f t="shared" si="788"/>
        <v/>
      </c>
      <c r="AB2311" s="70" t="str">
        <f t="shared" si="789"/>
        <v/>
      </c>
      <c r="AC2311" s="70" t="str">
        <f t="shared" si="790"/>
        <v/>
      </c>
      <c r="AD2311" s="70" t="str">
        <f t="shared" si="791"/>
        <v/>
      </c>
      <c r="AE2311" s="70" t="str">
        <f t="shared" si="792"/>
        <v/>
      </c>
      <c r="AF2311" s="16"/>
      <c r="AG2311" s="23"/>
      <c r="AH2311" s="22"/>
      <c r="AJ2311" s="83">
        <f t="shared" si="793"/>
        <v>0</v>
      </c>
      <c r="AO2311" s="22" t="str">
        <f t="shared" si="794"/>
        <v/>
      </c>
      <c r="AP2311" s="22" t="str">
        <f t="shared" si="795"/>
        <v/>
      </c>
    </row>
    <row r="2312" spans="1:42" x14ac:dyDescent="0.25">
      <c r="A2312" s="10"/>
      <c r="B2312" s="10"/>
      <c r="C2312" s="10"/>
      <c r="D2312" s="10"/>
      <c r="E2312" s="10"/>
      <c r="F2312" s="10"/>
      <c r="G2312" s="10"/>
      <c r="H2312" s="17"/>
      <c r="I2312" s="10"/>
      <c r="J2312" s="10"/>
      <c r="K2312" s="16" t="str">
        <f t="shared" si="774"/>
        <v/>
      </c>
      <c r="L2312" s="23" t="str">
        <f t="shared" si="775"/>
        <v/>
      </c>
      <c r="M2312" s="22" t="str">
        <f t="shared" si="776"/>
        <v/>
      </c>
      <c r="N2312" s="72"/>
      <c r="O2312" s="16" t="str">
        <f t="shared" si="777"/>
        <v/>
      </c>
      <c r="P2312" s="16" t="str">
        <f t="shared" si="778"/>
        <v/>
      </c>
      <c r="Q2312" s="16" t="str">
        <f t="shared" si="779"/>
        <v/>
      </c>
      <c r="R2312" s="23" t="str">
        <f t="shared" si="780"/>
        <v/>
      </c>
      <c r="S2312" s="23" t="str">
        <f t="shared" si="781"/>
        <v/>
      </c>
      <c r="T2312" s="23" t="str">
        <f t="shared" si="782"/>
        <v/>
      </c>
      <c r="U2312" s="23" t="str">
        <f t="shared" si="783"/>
        <v/>
      </c>
      <c r="V2312" s="23" t="str">
        <f t="shared" si="784"/>
        <v/>
      </c>
      <c r="W2312" s="70" t="str">
        <f t="shared" si="785"/>
        <v/>
      </c>
      <c r="X2312" s="70" t="str">
        <f t="shared" si="786"/>
        <v/>
      </c>
      <c r="Y2312" s="70" t="str">
        <f>IF(AND($A2312&lt;&gt;"",$E2312&gt;0),isLaptopBag($C2312,$J2312)*$D2312,"")</f>
        <v/>
      </c>
      <c r="Z2312" s="70" t="str">
        <f t="shared" si="787"/>
        <v/>
      </c>
      <c r="AA2312" s="70" t="str">
        <f t="shared" si="788"/>
        <v/>
      </c>
      <c r="AB2312" s="70" t="str">
        <f t="shared" si="789"/>
        <v/>
      </c>
      <c r="AC2312" s="70" t="str">
        <f t="shared" si="790"/>
        <v/>
      </c>
      <c r="AD2312" s="70" t="str">
        <f t="shared" si="791"/>
        <v/>
      </c>
      <c r="AE2312" s="70" t="str">
        <f t="shared" si="792"/>
        <v/>
      </c>
      <c r="AF2312" s="16"/>
      <c r="AG2312" s="23"/>
      <c r="AH2312" s="22"/>
      <c r="AJ2312" s="83">
        <f t="shared" si="793"/>
        <v>0</v>
      </c>
      <c r="AO2312" s="22" t="str">
        <f t="shared" si="794"/>
        <v/>
      </c>
      <c r="AP2312" s="22" t="str">
        <f t="shared" si="795"/>
        <v/>
      </c>
    </row>
    <row r="2313" spans="1:42" x14ac:dyDescent="0.25">
      <c r="A2313" s="10"/>
      <c r="B2313" s="10"/>
      <c r="C2313" s="10"/>
      <c r="D2313" s="10"/>
      <c r="E2313" s="10"/>
      <c r="F2313" s="10"/>
      <c r="G2313" s="10"/>
      <c r="H2313" s="17"/>
      <c r="I2313" s="10"/>
      <c r="J2313" s="10"/>
      <c r="K2313" s="16" t="str">
        <f t="shared" si="774"/>
        <v/>
      </c>
      <c r="L2313" s="23" t="str">
        <f t="shared" si="775"/>
        <v/>
      </c>
      <c r="M2313" s="22" t="str">
        <f t="shared" si="776"/>
        <v/>
      </c>
      <c r="N2313" s="72"/>
      <c r="O2313" s="16" t="str">
        <f t="shared" si="777"/>
        <v/>
      </c>
      <c r="P2313" s="16" t="str">
        <f t="shared" si="778"/>
        <v/>
      </c>
      <c r="Q2313" s="16" t="str">
        <f t="shared" si="779"/>
        <v/>
      </c>
      <c r="R2313" s="23" t="str">
        <f t="shared" si="780"/>
        <v/>
      </c>
      <c r="S2313" s="23" t="str">
        <f t="shared" si="781"/>
        <v/>
      </c>
      <c r="T2313" s="23" t="str">
        <f t="shared" si="782"/>
        <v/>
      </c>
      <c r="U2313" s="23" t="str">
        <f t="shared" si="783"/>
        <v/>
      </c>
      <c r="V2313" s="23" t="str">
        <f t="shared" si="784"/>
        <v/>
      </c>
      <c r="W2313" s="70" t="str">
        <f t="shared" si="785"/>
        <v/>
      </c>
      <c r="X2313" s="70" t="str">
        <f t="shared" si="786"/>
        <v/>
      </c>
      <c r="Y2313" s="70" t="str">
        <f>IF(AND($A2313&lt;&gt;"",$E2313&gt;0),isLaptopBag($C2313,$J2313)*$D2313,"")</f>
        <v/>
      </c>
      <c r="Z2313" s="70" t="str">
        <f t="shared" si="787"/>
        <v/>
      </c>
      <c r="AA2313" s="70" t="str">
        <f t="shared" si="788"/>
        <v/>
      </c>
      <c r="AB2313" s="70" t="str">
        <f t="shared" si="789"/>
        <v/>
      </c>
      <c r="AC2313" s="70" t="str">
        <f t="shared" si="790"/>
        <v/>
      </c>
      <c r="AD2313" s="70" t="str">
        <f t="shared" si="791"/>
        <v/>
      </c>
      <c r="AE2313" s="70" t="str">
        <f t="shared" si="792"/>
        <v/>
      </c>
      <c r="AF2313" s="16"/>
      <c r="AG2313" s="23"/>
      <c r="AH2313" s="22"/>
      <c r="AJ2313" s="83">
        <f t="shared" si="793"/>
        <v>0</v>
      </c>
      <c r="AO2313" s="22" t="str">
        <f t="shared" si="794"/>
        <v/>
      </c>
      <c r="AP2313" s="22" t="str">
        <f t="shared" si="795"/>
        <v/>
      </c>
    </row>
    <row r="2314" spans="1:42" x14ac:dyDescent="0.25">
      <c r="A2314" s="10"/>
      <c r="B2314" s="10"/>
      <c r="C2314" s="10"/>
      <c r="D2314" s="10"/>
      <c r="E2314" s="10"/>
      <c r="F2314" s="10"/>
      <c r="G2314" s="10"/>
      <c r="H2314" s="17"/>
      <c r="I2314" s="10"/>
      <c r="J2314" s="10"/>
      <c r="K2314" s="16" t="str">
        <f t="shared" si="774"/>
        <v/>
      </c>
      <c r="L2314" s="23" t="str">
        <f t="shared" si="775"/>
        <v/>
      </c>
      <c r="M2314" s="22" t="str">
        <f t="shared" si="776"/>
        <v/>
      </c>
      <c r="N2314" s="72"/>
      <c r="O2314" s="16" t="str">
        <f t="shared" si="777"/>
        <v/>
      </c>
      <c r="P2314" s="16" t="str">
        <f t="shared" si="778"/>
        <v/>
      </c>
      <c r="Q2314" s="16" t="str">
        <f t="shared" si="779"/>
        <v/>
      </c>
      <c r="R2314" s="23" t="str">
        <f t="shared" si="780"/>
        <v/>
      </c>
      <c r="S2314" s="23" t="str">
        <f t="shared" si="781"/>
        <v/>
      </c>
      <c r="T2314" s="23" t="str">
        <f t="shared" si="782"/>
        <v/>
      </c>
      <c r="U2314" s="23" t="str">
        <f t="shared" si="783"/>
        <v/>
      </c>
      <c r="V2314" s="23" t="str">
        <f t="shared" si="784"/>
        <v/>
      </c>
      <c r="W2314" s="70" t="str">
        <f t="shared" si="785"/>
        <v/>
      </c>
      <c r="X2314" s="70" t="str">
        <f t="shared" si="786"/>
        <v/>
      </c>
      <c r="Y2314" s="70" t="str">
        <f>IF(AND($A2314&lt;&gt;"",$E2314&gt;0),isLaptopBag($C2314,$J2314)*$D2314,"")</f>
        <v/>
      </c>
      <c r="Z2314" s="70" t="str">
        <f t="shared" si="787"/>
        <v/>
      </c>
      <c r="AA2314" s="70" t="str">
        <f t="shared" si="788"/>
        <v/>
      </c>
      <c r="AB2314" s="70" t="str">
        <f t="shared" si="789"/>
        <v/>
      </c>
      <c r="AC2314" s="70" t="str">
        <f t="shared" si="790"/>
        <v/>
      </c>
      <c r="AD2314" s="70" t="str">
        <f t="shared" si="791"/>
        <v/>
      </c>
      <c r="AE2314" s="70" t="str">
        <f t="shared" si="792"/>
        <v/>
      </c>
      <c r="AF2314" s="16"/>
      <c r="AG2314" s="23"/>
      <c r="AH2314" s="22"/>
      <c r="AJ2314" s="83">
        <f t="shared" si="793"/>
        <v>0</v>
      </c>
      <c r="AO2314" s="22" t="str">
        <f t="shared" si="794"/>
        <v/>
      </c>
      <c r="AP2314" s="22" t="str">
        <f t="shared" si="795"/>
        <v/>
      </c>
    </row>
    <row r="2315" spans="1:42" x14ac:dyDescent="0.25">
      <c r="A2315" s="10"/>
      <c r="B2315" s="10"/>
      <c r="C2315" s="10"/>
      <c r="D2315" s="10"/>
      <c r="E2315" s="10"/>
      <c r="F2315" s="10"/>
      <c r="G2315" s="10"/>
      <c r="H2315" s="17"/>
      <c r="I2315" s="10"/>
      <c r="J2315" s="10"/>
      <c r="K2315" s="16" t="str">
        <f t="shared" si="774"/>
        <v/>
      </c>
      <c r="L2315" s="23" t="str">
        <f t="shared" si="775"/>
        <v/>
      </c>
      <c r="M2315" s="22" t="str">
        <f t="shared" si="776"/>
        <v/>
      </c>
      <c r="N2315" s="72"/>
      <c r="O2315" s="16" t="str">
        <f t="shared" si="777"/>
        <v/>
      </c>
      <c r="P2315" s="16" t="str">
        <f t="shared" si="778"/>
        <v/>
      </c>
      <c r="Q2315" s="16" t="str">
        <f t="shared" si="779"/>
        <v/>
      </c>
      <c r="R2315" s="23" t="str">
        <f t="shared" si="780"/>
        <v/>
      </c>
      <c r="S2315" s="23" t="str">
        <f t="shared" si="781"/>
        <v/>
      </c>
      <c r="T2315" s="23" t="str">
        <f t="shared" si="782"/>
        <v/>
      </c>
      <c r="U2315" s="23" t="str">
        <f t="shared" si="783"/>
        <v/>
      </c>
      <c r="V2315" s="23" t="str">
        <f t="shared" si="784"/>
        <v/>
      </c>
      <c r="W2315" s="70" t="str">
        <f t="shared" si="785"/>
        <v/>
      </c>
      <c r="X2315" s="70" t="str">
        <f t="shared" si="786"/>
        <v/>
      </c>
      <c r="Y2315" s="70" t="str">
        <f>IF(AND($A2315&lt;&gt;"",$E2315&gt;0),isLaptopBag($C2315,$J2315)*$D2315,"")</f>
        <v/>
      </c>
      <c r="Z2315" s="70" t="str">
        <f t="shared" si="787"/>
        <v/>
      </c>
      <c r="AA2315" s="70" t="str">
        <f t="shared" si="788"/>
        <v/>
      </c>
      <c r="AB2315" s="70" t="str">
        <f t="shared" si="789"/>
        <v/>
      </c>
      <c r="AC2315" s="70" t="str">
        <f t="shared" si="790"/>
        <v/>
      </c>
      <c r="AD2315" s="70" t="str">
        <f t="shared" si="791"/>
        <v/>
      </c>
      <c r="AE2315" s="70" t="str">
        <f t="shared" si="792"/>
        <v/>
      </c>
      <c r="AF2315" s="16"/>
      <c r="AG2315" s="23"/>
      <c r="AH2315" s="22"/>
      <c r="AJ2315" s="83">
        <f t="shared" si="793"/>
        <v>0</v>
      </c>
      <c r="AO2315" s="22" t="str">
        <f t="shared" si="794"/>
        <v/>
      </c>
      <c r="AP2315" s="22" t="str">
        <f t="shared" si="795"/>
        <v/>
      </c>
    </row>
    <row r="2316" spans="1:42" x14ac:dyDescent="0.25">
      <c r="A2316" s="10"/>
      <c r="B2316" s="10"/>
      <c r="C2316" s="10"/>
      <c r="D2316" s="10"/>
      <c r="E2316" s="10"/>
      <c r="F2316" s="10"/>
      <c r="G2316" s="10"/>
      <c r="H2316" s="17"/>
      <c r="I2316" s="10"/>
      <c r="J2316" s="10"/>
      <c r="K2316" s="16" t="str">
        <f t="shared" si="774"/>
        <v/>
      </c>
      <c r="L2316" s="23" t="str">
        <f t="shared" si="775"/>
        <v/>
      </c>
      <c r="M2316" s="22" t="str">
        <f t="shared" si="776"/>
        <v/>
      </c>
      <c r="N2316" s="72"/>
      <c r="O2316" s="16" t="str">
        <f t="shared" si="777"/>
        <v/>
      </c>
      <c r="P2316" s="16" t="str">
        <f t="shared" si="778"/>
        <v/>
      </c>
      <c r="Q2316" s="16" t="str">
        <f t="shared" si="779"/>
        <v/>
      </c>
      <c r="R2316" s="23" t="str">
        <f t="shared" si="780"/>
        <v/>
      </c>
      <c r="S2316" s="23" t="str">
        <f t="shared" si="781"/>
        <v/>
      </c>
      <c r="T2316" s="23" t="str">
        <f t="shared" si="782"/>
        <v/>
      </c>
      <c r="U2316" s="23" t="str">
        <f t="shared" si="783"/>
        <v/>
      </c>
      <c r="V2316" s="23" t="str">
        <f t="shared" si="784"/>
        <v/>
      </c>
      <c r="W2316" s="70" t="str">
        <f t="shared" si="785"/>
        <v/>
      </c>
      <c r="X2316" s="70" t="str">
        <f t="shared" si="786"/>
        <v/>
      </c>
      <c r="Y2316" s="70" t="str">
        <f>IF(AND($A2316&lt;&gt;"",$E2316&gt;0),isLaptopBag($C2316,$J2316)*$D2316,"")</f>
        <v/>
      </c>
      <c r="Z2316" s="70" t="str">
        <f t="shared" si="787"/>
        <v/>
      </c>
      <c r="AA2316" s="70" t="str">
        <f t="shared" si="788"/>
        <v/>
      </c>
      <c r="AB2316" s="70" t="str">
        <f t="shared" si="789"/>
        <v/>
      </c>
      <c r="AC2316" s="70" t="str">
        <f t="shared" si="790"/>
        <v/>
      </c>
      <c r="AD2316" s="70" t="str">
        <f t="shared" si="791"/>
        <v/>
      </c>
      <c r="AE2316" s="70" t="str">
        <f t="shared" si="792"/>
        <v/>
      </c>
      <c r="AF2316" s="16"/>
      <c r="AG2316" s="23"/>
      <c r="AH2316" s="22"/>
      <c r="AJ2316" s="83">
        <f t="shared" si="793"/>
        <v>0</v>
      </c>
      <c r="AO2316" s="22" t="str">
        <f t="shared" si="794"/>
        <v/>
      </c>
      <c r="AP2316" s="22" t="str">
        <f t="shared" si="795"/>
        <v/>
      </c>
    </row>
    <row r="2317" spans="1:42" x14ac:dyDescent="0.25">
      <c r="A2317" s="10"/>
      <c r="B2317" s="10"/>
      <c r="C2317" s="10"/>
      <c r="D2317" s="10"/>
      <c r="E2317" s="10"/>
      <c r="F2317" s="10"/>
      <c r="G2317" s="10"/>
      <c r="H2317" s="17"/>
      <c r="I2317" s="10"/>
      <c r="J2317" s="10"/>
      <c r="K2317" s="16" t="str">
        <f t="shared" ref="K2317:K2380" si="796">IF($AF2317&lt;&gt;"",$AF2317,IF(AND($A2317&lt;&gt;"",$E2317&gt;0),SUM($O2317:$Q2317),""))</f>
        <v/>
      </c>
      <c r="L2317" s="23" t="str">
        <f t="shared" ref="L2317:L2380" si="797">IF($AG2317&lt;&gt;"",$AG2317,IF(AND($A2317&lt;&gt;"",$E2317&gt;0),SUM($R2317:$V2317),""))</f>
        <v/>
      </c>
      <c r="M2317" s="22" t="str">
        <f t="shared" ref="M2317:M2380" si="798">IF($AH2317&lt;&gt;"",$AH2317,IF(AND($A2317&lt;&gt;"",$E2317&gt;0),SUM($W2317:$AE2317)+$AO2317+$AP2317,""))</f>
        <v/>
      </c>
      <c r="N2317" s="72"/>
      <c r="O2317" s="16" t="str">
        <f t="shared" ref="O2317:O2380" si="799">IF(AND($A2317&lt;&gt;"",$E2317&gt;0),IF(AND($J2317="SONY",200000&lt;=$E2317,$E2317&lt;1000000),5000*$D2317,0),"")</f>
        <v/>
      </c>
      <c r="P2317" s="16" t="str">
        <f t="shared" ref="P2317:P2380" si="800">IF(AND($A2317&lt;&gt;"",$E2317&gt;0),IF(AND($J2317="SONY",1000000&lt;=$E2317,$E2317&lt;2000000),10000*$D2317,0),"")</f>
        <v/>
      </c>
      <c r="Q2317" s="16" t="str">
        <f t="shared" ref="Q2317:Q2380" si="801">IF(AND($A2317&lt;&gt;"",$E2317&gt;0),IF(AND($J2317="SONY",$E2317&gt;=2000000),20000*$D2317,0),"")</f>
        <v/>
      </c>
      <c r="R2317" s="23" t="str">
        <f t="shared" ref="R2317:R2380" si="802">IF(AND($A2317&lt;&gt;"",$E2317&gt;0),IF(AND($J2317&lt;&gt;"SONY",100000&lt;=$E2317,$E2317&lt;200000),5000*$D2317,0),"")</f>
        <v/>
      </c>
      <c r="S2317" s="23" t="str">
        <f t="shared" ref="S2317:S2380" si="803">IF(AND($A2317&lt;&gt;"",$E2317&gt;0),IF(AND($J2317&lt;&gt;"SONY",200000&lt;=$E2317,$E2317&lt;500000),10000*$D2317,0),"")</f>
        <v/>
      </c>
      <c r="T2317" s="23" t="str">
        <f t="shared" ref="T2317:T2380" si="804">IF(AND($A2317&lt;&gt;"",$E2317&gt;0),IF(AND($J2317&lt;&gt;"SONY",500000&lt;=$E2317,$E2317&lt;1000000),20000*$D2317,0),"")</f>
        <v/>
      </c>
      <c r="U2317" s="23" t="str">
        <f t="shared" ref="U2317:U2380" si="805">IF(AND($A2317&lt;&gt;"",$E2317&gt;0),IF(AND($J2317&lt;&gt;"SONY",1000000&lt;=$E2317,$E2317&lt;1500000),50000*$D2317,0),"")</f>
        <v/>
      </c>
      <c r="V2317" s="23" t="str">
        <f t="shared" ref="V2317:V2380" si="806">IF(AND($A2317&lt;&gt;"",$E2317&gt;0),IF(AND($J2317&lt;&gt;"SONY",1500000&lt;=$E2317),100000*$D2317,0),"")</f>
        <v/>
      </c>
      <c r="W2317" s="70" t="str">
        <f t="shared" ref="W2317:W2380" si="807">IF(AND($E2317&gt;0,$J2317="ELECOM",$E2317&gt;=500000,ISNUMBER(SEARCH("tai nghe",$C2317))),20000*$D2317,IF($A2317&lt;&gt;"",0,""))</f>
        <v/>
      </c>
      <c r="X2317" s="70" t="str">
        <f t="shared" ref="X2317:X2380" si="808">IF(AND($E2317&gt;0,$J2317="ELECOM",ISNUMBER(SEARCH("loa",$C2317))),20000*$D2317,IF($A2317&lt;&gt;"",0,""))</f>
        <v/>
      </c>
      <c r="Y2317" s="70" t="str">
        <f>IF(AND($A2317&lt;&gt;"",$E2317&gt;0),isLaptopBag($C2317,$J2317)*$D2317,"")</f>
        <v/>
      </c>
      <c r="Z2317" s="70" t="str">
        <f t="shared" ref="Z2317:Z2380" si="809">IF(AND($E2317&gt;0,$J2317="ELECOM",ISNUMBER(SEARCH("ốp",$C2317))),20000*$D2317,IF($A2317&lt;&gt;"",0,""))</f>
        <v/>
      </c>
      <c r="AA2317" s="70" t="str">
        <f t="shared" ref="AA2317:AA2380" si="810">IF(AND($E2317&gt;0,$J2317="ELECOM",ISNUMBER(SEARCH("Bút",$C2317))),20000*$D2317,IF($A2317&lt;&gt;"",0,""))</f>
        <v/>
      </c>
      <c r="AB2317" s="70" t="str">
        <f t="shared" ref="AB2317:AB2380" si="811">IF(AND($E2317&gt;0,$J2317="ELECOM",ISNUMBER(SEARCH("Chuột bi",$C2317))),20000*$D2317,IF($A2317&lt;&gt;"",0,""))</f>
        <v/>
      </c>
      <c r="AC2317" s="70" t="str">
        <f t="shared" ref="AC2317:AC2380" si="812">IF(AND($E2317&gt;0,$J2317="ELECOM",ISNUMBER(SEARCH("Chuột trackball",$C2317))),20000*$D2317,IF($A2317&lt;&gt;"",0,""))</f>
        <v/>
      </c>
      <c r="AD2317" s="70" t="str">
        <f t="shared" ref="AD2317:AD2380" si="813">IF(AND($E2317&gt;0,$J2317="ELECOM",ISNUMBER(SEARCH("Sạc không dây",$C2317))),20000*$D2317,IF($A2317&lt;&gt;"",0,""))</f>
        <v/>
      </c>
      <c r="AE2317" s="70" t="str">
        <f t="shared" ref="AE2317:AE2380" si="814">IF(AND($E2317&gt;0,$J2317="ELECOM",ISNUMBER(SEARCH("Sạc kd",$C2317))),20000*$D2317,IF($A2317&lt;&gt;"",0,""))</f>
        <v/>
      </c>
      <c r="AF2317" s="16"/>
      <c r="AG2317" s="23"/>
      <c r="AH2317" s="22"/>
      <c r="AJ2317" s="83">
        <f t="shared" ref="AJ2317:AJ2380" si="815">DAY(H2317)</f>
        <v>0</v>
      </c>
      <c r="AO2317" s="22" t="str">
        <f t="shared" ref="AO2317:AO2380" si="816">IF(AND($E2317&gt;0,ISNUMBER(SEARCH("Sạc dự phòng Energizer",$C2317))),10000*$D2317,IF($A2317&lt;&gt;"",0,""))</f>
        <v/>
      </c>
      <c r="AP2317" s="22" t="str">
        <f t="shared" ref="AP2317:AP2380" si="817">IF(AND($E2317&gt;0,ISNUMBER(SEARCH("SDP Energizer",$C2317))),10000*$D2317,IF($A2317&lt;&gt;"",0,""))</f>
        <v/>
      </c>
    </row>
    <row r="2318" spans="1:42" x14ac:dyDescent="0.25">
      <c r="A2318" s="10"/>
      <c r="B2318" s="10"/>
      <c r="C2318" s="10"/>
      <c r="D2318" s="10"/>
      <c r="E2318" s="10"/>
      <c r="F2318" s="10"/>
      <c r="G2318" s="10"/>
      <c r="H2318" s="17"/>
      <c r="I2318" s="10"/>
      <c r="J2318" s="10"/>
      <c r="K2318" s="16" t="str">
        <f t="shared" si="796"/>
        <v/>
      </c>
      <c r="L2318" s="23" t="str">
        <f t="shared" si="797"/>
        <v/>
      </c>
      <c r="M2318" s="22" t="str">
        <f t="shared" si="798"/>
        <v/>
      </c>
      <c r="N2318" s="72"/>
      <c r="O2318" s="16" t="str">
        <f t="shared" si="799"/>
        <v/>
      </c>
      <c r="P2318" s="16" t="str">
        <f t="shared" si="800"/>
        <v/>
      </c>
      <c r="Q2318" s="16" t="str">
        <f t="shared" si="801"/>
        <v/>
      </c>
      <c r="R2318" s="23" t="str">
        <f t="shared" si="802"/>
        <v/>
      </c>
      <c r="S2318" s="23" t="str">
        <f t="shared" si="803"/>
        <v/>
      </c>
      <c r="T2318" s="23" t="str">
        <f t="shared" si="804"/>
        <v/>
      </c>
      <c r="U2318" s="23" t="str">
        <f t="shared" si="805"/>
        <v/>
      </c>
      <c r="V2318" s="23" t="str">
        <f t="shared" si="806"/>
        <v/>
      </c>
      <c r="W2318" s="70" t="str">
        <f t="shared" si="807"/>
        <v/>
      </c>
      <c r="X2318" s="70" t="str">
        <f t="shared" si="808"/>
        <v/>
      </c>
      <c r="Y2318" s="70" t="str">
        <f>IF(AND($A2318&lt;&gt;"",$E2318&gt;0),isLaptopBag($C2318,$J2318)*$D2318,"")</f>
        <v/>
      </c>
      <c r="Z2318" s="70" t="str">
        <f t="shared" si="809"/>
        <v/>
      </c>
      <c r="AA2318" s="70" t="str">
        <f t="shared" si="810"/>
        <v/>
      </c>
      <c r="AB2318" s="70" t="str">
        <f t="shared" si="811"/>
        <v/>
      </c>
      <c r="AC2318" s="70" t="str">
        <f t="shared" si="812"/>
        <v/>
      </c>
      <c r="AD2318" s="70" t="str">
        <f t="shared" si="813"/>
        <v/>
      </c>
      <c r="AE2318" s="70" t="str">
        <f t="shared" si="814"/>
        <v/>
      </c>
      <c r="AF2318" s="16"/>
      <c r="AG2318" s="23"/>
      <c r="AH2318" s="22"/>
      <c r="AJ2318" s="83">
        <f t="shared" si="815"/>
        <v>0</v>
      </c>
      <c r="AO2318" s="22" t="str">
        <f t="shared" si="816"/>
        <v/>
      </c>
      <c r="AP2318" s="22" t="str">
        <f t="shared" si="817"/>
        <v/>
      </c>
    </row>
    <row r="2319" spans="1:42" x14ac:dyDescent="0.25">
      <c r="A2319" s="10"/>
      <c r="B2319" s="10"/>
      <c r="C2319" s="10"/>
      <c r="D2319" s="10"/>
      <c r="E2319" s="10"/>
      <c r="F2319" s="10"/>
      <c r="G2319" s="10"/>
      <c r="H2319" s="17"/>
      <c r="I2319" s="10"/>
      <c r="J2319" s="10"/>
      <c r="K2319" s="16" t="str">
        <f t="shared" si="796"/>
        <v/>
      </c>
      <c r="L2319" s="23" t="str">
        <f t="shared" si="797"/>
        <v/>
      </c>
      <c r="M2319" s="22" t="str">
        <f t="shared" si="798"/>
        <v/>
      </c>
      <c r="N2319" s="72"/>
      <c r="O2319" s="16" t="str">
        <f t="shared" si="799"/>
        <v/>
      </c>
      <c r="P2319" s="16" t="str">
        <f t="shared" si="800"/>
        <v/>
      </c>
      <c r="Q2319" s="16" t="str">
        <f t="shared" si="801"/>
        <v/>
      </c>
      <c r="R2319" s="23" t="str">
        <f t="shared" si="802"/>
        <v/>
      </c>
      <c r="S2319" s="23" t="str">
        <f t="shared" si="803"/>
        <v/>
      </c>
      <c r="T2319" s="23" t="str">
        <f t="shared" si="804"/>
        <v/>
      </c>
      <c r="U2319" s="23" t="str">
        <f t="shared" si="805"/>
        <v/>
      </c>
      <c r="V2319" s="23" t="str">
        <f t="shared" si="806"/>
        <v/>
      </c>
      <c r="W2319" s="70" t="str">
        <f t="shared" si="807"/>
        <v/>
      </c>
      <c r="X2319" s="70" t="str">
        <f t="shared" si="808"/>
        <v/>
      </c>
      <c r="Y2319" s="70" t="str">
        <f>IF(AND($A2319&lt;&gt;"",$E2319&gt;0),isLaptopBag($C2319,$J2319)*$D2319,"")</f>
        <v/>
      </c>
      <c r="Z2319" s="70" t="str">
        <f t="shared" si="809"/>
        <v/>
      </c>
      <c r="AA2319" s="70" t="str">
        <f t="shared" si="810"/>
        <v/>
      </c>
      <c r="AB2319" s="70" t="str">
        <f t="shared" si="811"/>
        <v/>
      </c>
      <c r="AC2319" s="70" t="str">
        <f t="shared" si="812"/>
        <v/>
      </c>
      <c r="AD2319" s="70" t="str">
        <f t="shared" si="813"/>
        <v/>
      </c>
      <c r="AE2319" s="70" t="str">
        <f t="shared" si="814"/>
        <v/>
      </c>
      <c r="AF2319" s="16"/>
      <c r="AG2319" s="23"/>
      <c r="AH2319" s="22"/>
      <c r="AJ2319" s="83">
        <f t="shared" si="815"/>
        <v>0</v>
      </c>
      <c r="AO2319" s="22" t="str">
        <f t="shared" si="816"/>
        <v/>
      </c>
      <c r="AP2319" s="22" t="str">
        <f t="shared" si="817"/>
        <v/>
      </c>
    </row>
    <row r="2320" spans="1:42" x14ac:dyDescent="0.25">
      <c r="A2320" s="10"/>
      <c r="B2320" s="10"/>
      <c r="C2320" s="10"/>
      <c r="D2320" s="10"/>
      <c r="E2320" s="10"/>
      <c r="F2320" s="10"/>
      <c r="G2320" s="10"/>
      <c r="H2320" s="17"/>
      <c r="I2320" s="10"/>
      <c r="J2320" s="10"/>
      <c r="K2320" s="16" t="str">
        <f t="shared" si="796"/>
        <v/>
      </c>
      <c r="L2320" s="23" t="str">
        <f t="shared" si="797"/>
        <v/>
      </c>
      <c r="M2320" s="22" t="str">
        <f t="shared" si="798"/>
        <v/>
      </c>
      <c r="N2320" s="72"/>
      <c r="O2320" s="16" t="str">
        <f t="shared" si="799"/>
        <v/>
      </c>
      <c r="P2320" s="16" t="str">
        <f t="shared" si="800"/>
        <v/>
      </c>
      <c r="Q2320" s="16" t="str">
        <f t="shared" si="801"/>
        <v/>
      </c>
      <c r="R2320" s="23" t="str">
        <f t="shared" si="802"/>
        <v/>
      </c>
      <c r="S2320" s="23" t="str">
        <f t="shared" si="803"/>
        <v/>
      </c>
      <c r="T2320" s="23" t="str">
        <f t="shared" si="804"/>
        <v/>
      </c>
      <c r="U2320" s="23" t="str">
        <f t="shared" si="805"/>
        <v/>
      </c>
      <c r="V2320" s="23" t="str">
        <f t="shared" si="806"/>
        <v/>
      </c>
      <c r="W2320" s="70" t="str">
        <f t="shared" si="807"/>
        <v/>
      </c>
      <c r="X2320" s="70" t="str">
        <f t="shared" si="808"/>
        <v/>
      </c>
      <c r="Y2320" s="70" t="str">
        <f>IF(AND($A2320&lt;&gt;"",$E2320&gt;0),isLaptopBag($C2320,$J2320)*$D2320,"")</f>
        <v/>
      </c>
      <c r="Z2320" s="70" t="str">
        <f t="shared" si="809"/>
        <v/>
      </c>
      <c r="AA2320" s="70" t="str">
        <f t="shared" si="810"/>
        <v/>
      </c>
      <c r="AB2320" s="70" t="str">
        <f t="shared" si="811"/>
        <v/>
      </c>
      <c r="AC2320" s="70" t="str">
        <f t="shared" si="812"/>
        <v/>
      </c>
      <c r="AD2320" s="70" t="str">
        <f t="shared" si="813"/>
        <v/>
      </c>
      <c r="AE2320" s="70" t="str">
        <f t="shared" si="814"/>
        <v/>
      </c>
      <c r="AF2320" s="16"/>
      <c r="AG2320" s="23"/>
      <c r="AH2320" s="22"/>
      <c r="AJ2320" s="83">
        <f t="shared" si="815"/>
        <v>0</v>
      </c>
      <c r="AO2320" s="22" t="str">
        <f t="shared" si="816"/>
        <v/>
      </c>
      <c r="AP2320" s="22" t="str">
        <f t="shared" si="817"/>
        <v/>
      </c>
    </row>
    <row r="2321" spans="1:42" x14ac:dyDescent="0.25">
      <c r="A2321" s="10"/>
      <c r="B2321" s="10"/>
      <c r="C2321" s="10"/>
      <c r="D2321" s="10"/>
      <c r="E2321" s="10"/>
      <c r="F2321" s="10"/>
      <c r="G2321" s="10"/>
      <c r="H2321" s="17"/>
      <c r="I2321" s="10"/>
      <c r="J2321" s="10"/>
      <c r="K2321" s="16" t="str">
        <f t="shared" si="796"/>
        <v/>
      </c>
      <c r="L2321" s="23" t="str">
        <f t="shared" si="797"/>
        <v/>
      </c>
      <c r="M2321" s="22" t="str">
        <f t="shared" si="798"/>
        <v/>
      </c>
      <c r="N2321" s="72"/>
      <c r="O2321" s="16" t="str">
        <f t="shared" si="799"/>
        <v/>
      </c>
      <c r="P2321" s="16" t="str">
        <f t="shared" si="800"/>
        <v/>
      </c>
      <c r="Q2321" s="16" t="str">
        <f t="shared" si="801"/>
        <v/>
      </c>
      <c r="R2321" s="23" t="str">
        <f t="shared" si="802"/>
        <v/>
      </c>
      <c r="S2321" s="23" t="str">
        <f t="shared" si="803"/>
        <v/>
      </c>
      <c r="T2321" s="23" t="str">
        <f t="shared" si="804"/>
        <v/>
      </c>
      <c r="U2321" s="23" t="str">
        <f t="shared" si="805"/>
        <v/>
      </c>
      <c r="V2321" s="23" t="str">
        <f t="shared" si="806"/>
        <v/>
      </c>
      <c r="W2321" s="70" t="str">
        <f t="shared" si="807"/>
        <v/>
      </c>
      <c r="X2321" s="70" t="str">
        <f t="shared" si="808"/>
        <v/>
      </c>
      <c r="Y2321" s="70" t="str">
        <f>IF(AND($A2321&lt;&gt;"",$E2321&gt;0),isLaptopBag($C2321,$J2321)*$D2321,"")</f>
        <v/>
      </c>
      <c r="Z2321" s="70" t="str">
        <f t="shared" si="809"/>
        <v/>
      </c>
      <c r="AA2321" s="70" t="str">
        <f t="shared" si="810"/>
        <v/>
      </c>
      <c r="AB2321" s="70" t="str">
        <f t="shared" si="811"/>
        <v/>
      </c>
      <c r="AC2321" s="70" t="str">
        <f t="shared" si="812"/>
        <v/>
      </c>
      <c r="AD2321" s="70" t="str">
        <f t="shared" si="813"/>
        <v/>
      </c>
      <c r="AE2321" s="70" t="str">
        <f t="shared" si="814"/>
        <v/>
      </c>
      <c r="AF2321" s="16"/>
      <c r="AG2321" s="23"/>
      <c r="AH2321" s="22"/>
      <c r="AJ2321" s="83">
        <f t="shared" si="815"/>
        <v>0</v>
      </c>
      <c r="AO2321" s="22" t="str">
        <f t="shared" si="816"/>
        <v/>
      </c>
      <c r="AP2321" s="22" t="str">
        <f t="shared" si="817"/>
        <v/>
      </c>
    </row>
    <row r="2322" spans="1:42" x14ac:dyDescent="0.25">
      <c r="A2322" s="10"/>
      <c r="B2322" s="10"/>
      <c r="C2322" s="10"/>
      <c r="D2322" s="10"/>
      <c r="E2322" s="10"/>
      <c r="F2322" s="10"/>
      <c r="G2322" s="10"/>
      <c r="H2322" s="17"/>
      <c r="I2322" s="10"/>
      <c r="J2322" s="10"/>
      <c r="K2322" s="16" t="str">
        <f t="shared" si="796"/>
        <v/>
      </c>
      <c r="L2322" s="23" t="str">
        <f t="shared" si="797"/>
        <v/>
      </c>
      <c r="M2322" s="22" t="str">
        <f t="shared" si="798"/>
        <v/>
      </c>
      <c r="N2322" s="72"/>
      <c r="O2322" s="16" t="str">
        <f t="shared" si="799"/>
        <v/>
      </c>
      <c r="P2322" s="16" t="str">
        <f t="shared" si="800"/>
        <v/>
      </c>
      <c r="Q2322" s="16" t="str">
        <f t="shared" si="801"/>
        <v/>
      </c>
      <c r="R2322" s="23" t="str">
        <f t="shared" si="802"/>
        <v/>
      </c>
      <c r="S2322" s="23" t="str">
        <f t="shared" si="803"/>
        <v/>
      </c>
      <c r="T2322" s="23" t="str">
        <f t="shared" si="804"/>
        <v/>
      </c>
      <c r="U2322" s="23" t="str">
        <f t="shared" si="805"/>
        <v/>
      </c>
      <c r="V2322" s="23" t="str">
        <f t="shared" si="806"/>
        <v/>
      </c>
      <c r="W2322" s="70" t="str">
        <f t="shared" si="807"/>
        <v/>
      </c>
      <c r="X2322" s="70" t="str">
        <f t="shared" si="808"/>
        <v/>
      </c>
      <c r="Y2322" s="70" t="str">
        <f>IF(AND($A2322&lt;&gt;"",$E2322&gt;0),isLaptopBag($C2322,$J2322)*$D2322,"")</f>
        <v/>
      </c>
      <c r="Z2322" s="70" t="str">
        <f t="shared" si="809"/>
        <v/>
      </c>
      <c r="AA2322" s="70" t="str">
        <f t="shared" si="810"/>
        <v/>
      </c>
      <c r="AB2322" s="70" t="str">
        <f t="shared" si="811"/>
        <v/>
      </c>
      <c r="AC2322" s="70" t="str">
        <f t="shared" si="812"/>
        <v/>
      </c>
      <c r="AD2322" s="70" t="str">
        <f t="shared" si="813"/>
        <v/>
      </c>
      <c r="AE2322" s="70" t="str">
        <f t="shared" si="814"/>
        <v/>
      </c>
      <c r="AF2322" s="16"/>
      <c r="AG2322" s="23"/>
      <c r="AH2322" s="22"/>
      <c r="AJ2322" s="83">
        <f t="shared" si="815"/>
        <v>0</v>
      </c>
      <c r="AO2322" s="22" t="str">
        <f t="shared" si="816"/>
        <v/>
      </c>
      <c r="AP2322" s="22" t="str">
        <f t="shared" si="817"/>
        <v/>
      </c>
    </row>
    <row r="2323" spans="1:42" x14ac:dyDescent="0.25">
      <c r="A2323" s="10"/>
      <c r="B2323" s="10"/>
      <c r="C2323" s="10"/>
      <c r="D2323" s="10"/>
      <c r="E2323" s="10"/>
      <c r="F2323" s="10"/>
      <c r="G2323" s="10"/>
      <c r="H2323" s="17"/>
      <c r="I2323" s="10"/>
      <c r="J2323" s="10"/>
      <c r="K2323" s="16" t="str">
        <f t="shared" si="796"/>
        <v/>
      </c>
      <c r="L2323" s="23" t="str">
        <f t="shared" si="797"/>
        <v/>
      </c>
      <c r="M2323" s="22" t="str">
        <f t="shared" si="798"/>
        <v/>
      </c>
      <c r="N2323" s="72"/>
      <c r="O2323" s="16" t="str">
        <f t="shared" si="799"/>
        <v/>
      </c>
      <c r="P2323" s="16" t="str">
        <f t="shared" si="800"/>
        <v/>
      </c>
      <c r="Q2323" s="16" t="str">
        <f t="shared" si="801"/>
        <v/>
      </c>
      <c r="R2323" s="23" t="str">
        <f t="shared" si="802"/>
        <v/>
      </c>
      <c r="S2323" s="23" t="str">
        <f t="shared" si="803"/>
        <v/>
      </c>
      <c r="T2323" s="23" t="str">
        <f t="shared" si="804"/>
        <v/>
      </c>
      <c r="U2323" s="23" t="str">
        <f t="shared" si="805"/>
        <v/>
      </c>
      <c r="V2323" s="23" t="str">
        <f t="shared" si="806"/>
        <v/>
      </c>
      <c r="W2323" s="70" t="str">
        <f t="shared" si="807"/>
        <v/>
      </c>
      <c r="X2323" s="70" t="str">
        <f t="shared" si="808"/>
        <v/>
      </c>
      <c r="Y2323" s="70" t="str">
        <f>IF(AND($A2323&lt;&gt;"",$E2323&gt;0),isLaptopBag($C2323,$J2323)*$D2323,"")</f>
        <v/>
      </c>
      <c r="Z2323" s="70" t="str">
        <f t="shared" si="809"/>
        <v/>
      </c>
      <c r="AA2323" s="70" t="str">
        <f t="shared" si="810"/>
        <v/>
      </c>
      <c r="AB2323" s="70" t="str">
        <f t="shared" si="811"/>
        <v/>
      </c>
      <c r="AC2323" s="70" t="str">
        <f t="shared" si="812"/>
        <v/>
      </c>
      <c r="AD2323" s="70" t="str">
        <f t="shared" si="813"/>
        <v/>
      </c>
      <c r="AE2323" s="70" t="str">
        <f t="shared" si="814"/>
        <v/>
      </c>
      <c r="AF2323" s="16"/>
      <c r="AG2323" s="23"/>
      <c r="AH2323" s="22"/>
      <c r="AJ2323" s="83">
        <f t="shared" si="815"/>
        <v>0</v>
      </c>
      <c r="AO2323" s="22" t="str">
        <f t="shared" si="816"/>
        <v/>
      </c>
      <c r="AP2323" s="22" t="str">
        <f t="shared" si="817"/>
        <v/>
      </c>
    </row>
    <row r="2324" spans="1:42" x14ac:dyDescent="0.25">
      <c r="A2324" s="10"/>
      <c r="B2324" s="10"/>
      <c r="C2324" s="10"/>
      <c r="D2324" s="10"/>
      <c r="E2324" s="10"/>
      <c r="F2324" s="10"/>
      <c r="G2324" s="10"/>
      <c r="H2324" s="17"/>
      <c r="I2324" s="10"/>
      <c r="J2324" s="10"/>
      <c r="K2324" s="16" t="str">
        <f t="shared" si="796"/>
        <v/>
      </c>
      <c r="L2324" s="23" t="str">
        <f t="shared" si="797"/>
        <v/>
      </c>
      <c r="M2324" s="22" t="str">
        <f t="shared" si="798"/>
        <v/>
      </c>
      <c r="N2324" s="72"/>
      <c r="O2324" s="16" t="str">
        <f t="shared" si="799"/>
        <v/>
      </c>
      <c r="P2324" s="16" t="str">
        <f t="shared" si="800"/>
        <v/>
      </c>
      <c r="Q2324" s="16" t="str">
        <f t="shared" si="801"/>
        <v/>
      </c>
      <c r="R2324" s="23" t="str">
        <f t="shared" si="802"/>
        <v/>
      </c>
      <c r="S2324" s="23" t="str">
        <f t="shared" si="803"/>
        <v/>
      </c>
      <c r="T2324" s="23" t="str">
        <f t="shared" si="804"/>
        <v/>
      </c>
      <c r="U2324" s="23" t="str">
        <f t="shared" si="805"/>
        <v/>
      </c>
      <c r="V2324" s="23" t="str">
        <f t="shared" si="806"/>
        <v/>
      </c>
      <c r="W2324" s="70" t="str">
        <f t="shared" si="807"/>
        <v/>
      </c>
      <c r="X2324" s="70" t="str">
        <f t="shared" si="808"/>
        <v/>
      </c>
      <c r="Y2324" s="70" t="str">
        <f>IF(AND($A2324&lt;&gt;"",$E2324&gt;0),isLaptopBag($C2324,$J2324)*$D2324,"")</f>
        <v/>
      </c>
      <c r="Z2324" s="70" t="str">
        <f t="shared" si="809"/>
        <v/>
      </c>
      <c r="AA2324" s="70" t="str">
        <f t="shared" si="810"/>
        <v/>
      </c>
      <c r="AB2324" s="70" t="str">
        <f t="shared" si="811"/>
        <v/>
      </c>
      <c r="AC2324" s="70" t="str">
        <f t="shared" si="812"/>
        <v/>
      </c>
      <c r="AD2324" s="70" t="str">
        <f t="shared" si="813"/>
        <v/>
      </c>
      <c r="AE2324" s="70" t="str">
        <f t="shared" si="814"/>
        <v/>
      </c>
      <c r="AF2324" s="16"/>
      <c r="AG2324" s="23"/>
      <c r="AH2324" s="22"/>
      <c r="AJ2324" s="83">
        <f t="shared" si="815"/>
        <v>0</v>
      </c>
      <c r="AO2324" s="22" t="str">
        <f t="shared" si="816"/>
        <v/>
      </c>
      <c r="AP2324" s="22" t="str">
        <f t="shared" si="817"/>
        <v/>
      </c>
    </row>
    <row r="2325" spans="1:42" x14ac:dyDescent="0.25">
      <c r="A2325" s="10"/>
      <c r="B2325" s="10"/>
      <c r="C2325" s="10"/>
      <c r="D2325" s="10"/>
      <c r="E2325" s="10"/>
      <c r="F2325" s="10"/>
      <c r="G2325" s="10"/>
      <c r="H2325" s="17"/>
      <c r="I2325" s="10"/>
      <c r="J2325" s="10"/>
      <c r="K2325" s="16" t="str">
        <f t="shared" si="796"/>
        <v/>
      </c>
      <c r="L2325" s="23" t="str">
        <f t="shared" si="797"/>
        <v/>
      </c>
      <c r="M2325" s="22" t="str">
        <f t="shared" si="798"/>
        <v/>
      </c>
      <c r="N2325" s="72"/>
      <c r="O2325" s="16" t="str">
        <f t="shared" si="799"/>
        <v/>
      </c>
      <c r="P2325" s="16" t="str">
        <f t="shared" si="800"/>
        <v/>
      </c>
      <c r="Q2325" s="16" t="str">
        <f t="shared" si="801"/>
        <v/>
      </c>
      <c r="R2325" s="23" t="str">
        <f t="shared" si="802"/>
        <v/>
      </c>
      <c r="S2325" s="23" t="str">
        <f t="shared" si="803"/>
        <v/>
      </c>
      <c r="T2325" s="23" t="str">
        <f t="shared" si="804"/>
        <v/>
      </c>
      <c r="U2325" s="23" t="str">
        <f t="shared" si="805"/>
        <v/>
      </c>
      <c r="V2325" s="23" t="str">
        <f t="shared" si="806"/>
        <v/>
      </c>
      <c r="W2325" s="70" t="str">
        <f t="shared" si="807"/>
        <v/>
      </c>
      <c r="X2325" s="70" t="str">
        <f t="shared" si="808"/>
        <v/>
      </c>
      <c r="Y2325" s="70" t="str">
        <f>IF(AND($A2325&lt;&gt;"",$E2325&gt;0),isLaptopBag($C2325,$J2325)*$D2325,"")</f>
        <v/>
      </c>
      <c r="Z2325" s="70" t="str">
        <f t="shared" si="809"/>
        <v/>
      </c>
      <c r="AA2325" s="70" t="str">
        <f t="shared" si="810"/>
        <v/>
      </c>
      <c r="AB2325" s="70" t="str">
        <f t="shared" si="811"/>
        <v/>
      </c>
      <c r="AC2325" s="70" t="str">
        <f t="shared" si="812"/>
        <v/>
      </c>
      <c r="AD2325" s="70" t="str">
        <f t="shared" si="813"/>
        <v/>
      </c>
      <c r="AE2325" s="70" t="str">
        <f t="shared" si="814"/>
        <v/>
      </c>
      <c r="AF2325" s="16"/>
      <c r="AG2325" s="23"/>
      <c r="AH2325" s="22"/>
      <c r="AJ2325" s="83">
        <f t="shared" si="815"/>
        <v>0</v>
      </c>
      <c r="AO2325" s="22" t="str">
        <f t="shared" si="816"/>
        <v/>
      </c>
      <c r="AP2325" s="22" t="str">
        <f t="shared" si="817"/>
        <v/>
      </c>
    </row>
    <row r="2326" spans="1:42" x14ac:dyDescent="0.25">
      <c r="A2326" s="10"/>
      <c r="B2326" s="10"/>
      <c r="C2326" s="10"/>
      <c r="D2326" s="10"/>
      <c r="E2326" s="10"/>
      <c r="F2326" s="10"/>
      <c r="G2326" s="10"/>
      <c r="H2326" s="17"/>
      <c r="I2326" s="10"/>
      <c r="J2326" s="10"/>
      <c r="K2326" s="16" t="str">
        <f t="shared" si="796"/>
        <v/>
      </c>
      <c r="L2326" s="23" t="str">
        <f t="shared" si="797"/>
        <v/>
      </c>
      <c r="M2326" s="22" t="str">
        <f t="shared" si="798"/>
        <v/>
      </c>
      <c r="N2326" s="72"/>
      <c r="O2326" s="16" t="str">
        <f t="shared" si="799"/>
        <v/>
      </c>
      <c r="P2326" s="16" t="str">
        <f t="shared" si="800"/>
        <v/>
      </c>
      <c r="Q2326" s="16" t="str">
        <f t="shared" si="801"/>
        <v/>
      </c>
      <c r="R2326" s="23" t="str">
        <f t="shared" si="802"/>
        <v/>
      </c>
      <c r="S2326" s="23" t="str">
        <f t="shared" si="803"/>
        <v/>
      </c>
      <c r="T2326" s="23" t="str">
        <f t="shared" si="804"/>
        <v/>
      </c>
      <c r="U2326" s="23" t="str">
        <f t="shared" si="805"/>
        <v/>
      </c>
      <c r="V2326" s="23" t="str">
        <f t="shared" si="806"/>
        <v/>
      </c>
      <c r="W2326" s="70" t="str">
        <f t="shared" si="807"/>
        <v/>
      </c>
      <c r="X2326" s="70" t="str">
        <f t="shared" si="808"/>
        <v/>
      </c>
      <c r="Y2326" s="70" t="str">
        <f>IF(AND($A2326&lt;&gt;"",$E2326&gt;0),isLaptopBag($C2326,$J2326)*$D2326,"")</f>
        <v/>
      </c>
      <c r="Z2326" s="70" t="str">
        <f t="shared" si="809"/>
        <v/>
      </c>
      <c r="AA2326" s="70" t="str">
        <f t="shared" si="810"/>
        <v/>
      </c>
      <c r="AB2326" s="70" t="str">
        <f t="shared" si="811"/>
        <v/>
      </c>
      <c r="AC2326" s="70" t="str">
        <f t="shared" si="812"/>
        <v/>
      </c>
      <c r="AD2326" s="70" t="str">
        <f t="shared" si="813"/>
        <v/>
      </c>
      <c r="AE2326" s="70" t="str">
        <f t="shared" si="814"/>
        <v/>
      </c>
      <c r="AF2326" s="16"/>
      <c r="AG2326" s="23"/>
      <c r="AH2326" s="22"/>
      <c r="AJ2326" s="83">
        <f t="shared" si="815"/>
        <v>0</v>
      </c>
      <c r="AO2326" s="22" t="str">
        <f t="shared" si="816"/>
        <v/>
      </c>
      <c r="AP2326" s="22" t="str">
        <f t="shared" si="817"/>
        <v/>
      </c>
    </row>
    <row r="2327" spans="1:42" x14ac:dyDescent="0.25">
      <c r="A2327" s="10"/>
      <c r="B2327" s="10"/>
      <c r="C2327" s="10"/>
      <c r="D2327" s="10"/>
      <c r="E2327" s="10"/>
      <c r="F2327" s="10"/>
      <c r="G2327" s="10"/>
      <c r="H2327" s="17"/>
      <c r="I2327" s="10"/>
      <c r="J2327" s="10"/>
      <c r="K2327" s="16" t="str">
        <f t="shared" si="796"/>
        <v/>
      </c>
      <c r="L2327" s="23" t="str">
        <f t="shared" si="797"/>
        <v/>
      </c>
      <c r="M2327" s="22" t="str">
        <f t="shared" si="798"/>
        <v/>
      </c>
      <c r="N2327" s="72"/>
      <c r="O2327" s="16" t="str">
        <f t="shared" si="799"/>
        <v/>
      </c>
      <c r="P2327" s="16" t="str">
        <f t="shared" si="800"/>
        <v/>
      </c>
      <c r="Q2327" s="16" t="str">
        <f t="shared" si="801"/>
        <v/>
      </c>
      <c r="R2327" s="23" t="str">
        <f t="shared" si="802"/>
        <v/>
      </c>
      <c r="S2327" s="23" t="str">
        <f t="shared" si="803"/>
        <v/>
      </c>
      <c r="T2327" s="23" t="str">
        <f t="shared" si="804"/>
        <v/>
      </c>
      <c r="U2327" s="23" t="str">
        <f t="shared" si="805"/>
        <v/>
      </c>
      <c r="V2327" s="23" t="str">
        <f t="shared" si="806"/>
        <v/>
      </c>
      <c r="W2327" s="70" t="str">
        <f t="shared" si="807"/>
        <v/>
      </c>
      <c r="X2327" s="70" t="str">
        <f t="shared" si="808"/>
        <v/>
      </c>
      <c r="Y2327" s="70" t="str">
        <f>IF(AND($A2327&lt;&gt;"",$E2327&gt;0),isLaptopBag($C2327,$J2327)*$D2327,"")</f>
        <v/>
      </c>
      <c r="Z2327" s="70" t="str">
        <f t="shared" si="809"/>
        <v/>
      </c>
      <c r="AA2327" s="70" t="str">
        <f t="shared" si="810"/>
        <v/>
      </c>
      <c r="AB2327" s="70" t="str">
        <f t="shared" si="811"/>
        <v/>
      </c>
      <c r="AC2327" s="70" t="str">
        <f t="shared" si="812"/>
        <v/>
      </c>
      <c r="AD2327" s="70" t="str">
        <f t="shared" si="813"/>
        <v/>
      </c>
      <c r="AE2327" s="70" t="str">
        <f t="shared" si="814"/>
        <v/>
      </c>
      <c r="AF2327" s="16"/>
      <c r="AG2327" s="23"/>
      <c r="AH2327" s="22"/>
      <c r="AJ2327" s="83">
        <f t="shared" si="815"/>
        <v>0</v>
      </c>
      <c r="AO2327" s="22" t="str">
        <f t="shared" si="816"/>
        <v/>
      </c>
      <c r="AP2327" s="22" t="str">
        <f t="shared" si="817"/>
        <v/>
      </c>
    </row>
    <row r="2328" spans="1:42" x14ac:dyDescent="0.25">
      <c r="A2328" s="10"/>
      <c r="B2328" s="10"/>
      <c r="C2328" s="10"/>
      <c r="D2328" s="10"/>
      <c r="E2328" s="10"/>
      <c r="F2328" s="10"/>
      <c r="G2328" s="10"/>
      <c r="H2328" s="17"/>
      <c r="I2328" s="10"/>
      <c r="J2328" s="10"/>
      <c r="K2328" s="16" t="str">
        <f t="shared" si="796"/>
        <v/>
      </c>
      <c r="L2328" s="23" t="str">
        <f t="shared" si="797"/>
        <v/>
      </c>
      <c r="M2328" s="22" t="str">
        <f t="shared" si="798"/>
        <v/>
      </c>
      <c r="N2328" s="72"/>
      <c r="O2328" s="16" t="str">
        <f t="shared" si="799"/>
        <v/>
      </c>
      <c r="P2328" s="16" t="str">
        <f t="shared" si="800"/>
        <v/>
      </c>
      <c r="Q2328" s="16" t="str">
        <f t="shared" si="801"/>
        <v/>
      </c>
      <c r="R2328" s="23" t="str">
        <f t="shared" si="802"/>
        <v/>
      </c>
      <c r="S2328" s="23" t="str">
        <f t="shared" si="803"/>
        <v/>
      </c>
      <c r="T2328" s="23" t="str">
        <f t="shared" si="804"/>
        <v/>
      </c>
      <c r="U2328" s="23" t="str">
        <f t="shared" si="805"/>
        <v/>
      </c>
      <c r="V2328" s="23" t="str">
        <f t="shared" si="806"/>
        <v/>
      </c>
      <c r="W2328" s="70" t="str">
        <f t="shared" si="807"/>
        <v/>
      </c>
      <c r="X2328" s="70" t="str">
        <f t="shared" si="808"/>
        <v/>
      </c>
      <c r="Y2328" s="70" t="str">
        <f>IF(AND($A2328&lt;&gt;"",$E2328&gt;0),isLaptopBag($C2328,$J2328)*$D2328,"")</f>
        <v/>
      </c>
      <c r="Z2328" s="70" t="str">
        <f t="shared" si="809"/>
        <v/>
      </c>
      <c r="AA2328" s="70" t="str">
        <f t="shared" si="810"/>
        <v/>
      </c>
      <c r="AB2328" s="70" t="str">
        <f t="shared" si="811"/>
        <v/>
      </c>
      <c r="AC2328" s="70" t="str">
        <f t="shared" si="812"/>
        <v/>
      </c>
      <c r="AD2328" s="70" t="str">
        <f t="shared" si="813"/>
        <v/>
      </c>
      <c r="AE2328" s="70" t="str">
        <f t="shared" si="814"/>
        <v/>
      </c>
      <c r="AF2328" s="16"/>
      <c r="AG2328" s="23"/>
      <c r="AH2328" s="22"/>
      <c r="AJ2328" s="83">
        <f t="shared" si="815"/>
        <v>0</v>
      </c>
      <c r="AO2328" s="22" t="str">
        <f t="shared" si="816"/>
        <v/>
      </c>
      <c r="AP2328" s="22" t="str">
        <f t="shared" si="817"/>
        <v/>
      </c>
    </row>
    <row r="2329" spans="1:42" x14ac:dyDescent="0.25">
      <c r="A2329" s="10"/>
      <c r="B2329" s="10"/>
      <c r="C2329" s="10"/>
      <c r="D2329" s="10"/>
      <c r="E2329" s="10"/>
      <c r="F2329" s="10"/>
      <c r="G2329" s="10"/>
      <c r="H2329" s="17"/>
      <c r="I2329" s="10"/>
      <c r="J2329" s="10"/>
      <c r="K2329" s="16" t="str">
        <f t="shared" si="796"/>
        <v/>
      </c>
      <c r="L2329" s="23" t="str">
        <f t="shared" si="797"/>
        <v/>
      </c>
      <c r="M2329" s="22" t="str">
        <f t="shared" si="798"/>
        <v/>
      </c>
      <c r="N2329" s="72"/>
      <c r="O2329" s="16" t="str">
        <f t="shared" si="799"/>
        <v/>
      </c>
      <c r="P2329" s="16" t="str">
        <f t="shared" si="800"/>
        <v/>
      </c>
      <c r="Q2329" s="16" t="str">
        <f t="shared" si="801"/>
        <v/>
      </c>
      <c r="R2329" s="23" t="str">
        <f t="shared" si="802"/>
        <v/>
      </c>
      <c r="S2329" s="23" t="str">
        <f t="shared" si="803"/>
        <v/>
      </c>
      <c r="T2329" s="23" t="str">
        <f t="shared" si="804"/>
        <v/>
      </c>
      <c r="U2329" s="23" t="str">
        <f t="shared" si="805"/>
        <v/>
      </c>
      <c r="V2329" s="23" t="str">
        <f t="shared" si="806"/>
        <v/>
      </c>
      <c r="W2329" s="70" t="str">
        <f t="shared" si="807"/>
        <v/>
      </c>
      <c r="X2329" s="70" t="str">
        <f t="shared" si="808"/>
        <v/>
      </c>
      <c r="Y2329" s="70" t="str">
        <f>IF(AND($A2329&lt;&gt;"",$E2329&gt;0),isLaptopBag($C2329,$J2329)*$D2329,"")</f>
        <v/>
      </c>
      <c r="Z2329" s="70" t="str">
        <f t="shared" si="809"/>
        <v/>
      </c>
      <c r="AA2329" s="70" t="str">
        <f t="shared" si="810"/>
        <v/>
      </c>
      <c r="AB2329" s="70" t="str">
        <f t="shared" si="811"/>
        <v/>
      </c>
      <c r="AC2329" s="70" t="str">
        <f t="shared" si="812"/>
        <v/>
      </c>
      <c r="AD2329" s="70" t="str">
        <f t="shared" si="813"/>
        <v/>
      </c>
      <c r="AE2329" s="70" t="str">
        <f t="shared" si="814"/>
        <v/>
      </c>
      <c r="AF2329" s="16"/>
      <c r="AG2329" s="23"/>
      <c r="AH2329" s="22"/>
      <c r="AJ2329" s="83">
        <f t="shared" si="815"/>
        <v>0</v>
      </c>
      <c r="AO2329" s="22" t="str">
        <f t="shared" si="816"/>
        <v/>
      </c>
      <c r="AP2329" s="22" t="str">
        <f t="shared" si="817"/>
        <v/>
      </c>
    </row>
    <row r="2330" spans="1:42" x14ac:dyDescent="0.25">
      <c r="A2330" s="10"/>
      <c r="B2330" s="10"/>
      <c r="C2330" s="10"/>
      <c r="D2330" s="10"/>
      <c r="E2330" s="10"/>
      <c r="F2330" s="10"/>
      <c r="G2330" s="10"/>
      <c r="H2330" s="17"/>
      <c r="I2330" s="10"/>
      <c r="J2330" s="10"/>
      <c r="K2330" s="16" t="str">
        <f t="shared" si="796"/>
        <v/>
      </c>
      <c r="L2330" s="23" t="str">
        <f t="shared" si="797"/>
        <v/>
      </c>
      <c r="M2330" s="22" t="str">
        <f t="shared" si="798"/>
        <v/>
      </c>
      <c r="N2330" s="72"/>
      <c r="O2330" s="16" t="str">
        <f t="shared" si="799"/>
        <v/>
      </c>
      <c r="P2330" s="16" t="str">
        <f t="shared" si="800"/>
        <v/>
      </c>
      <c r="Q2330" s="16" t="str">
        <f t="shared" si="801"/>
        <v/>
      </c>
      <c r="R2330" s="23" t="str">
        <f t="shared" si="802"/>
        <v/>
      </c>
      <c r="S2330" s="23" t="str">
        <f t="shared" si="803"/>
        <v/>
      </c>
      <c r="T2330" s="23" t="str">
        <f t="shared" si="804"/>
        <v/>
      </c>
      <c r="U2330" s="23" t="str">
        <f t="shared" si="805"/>
        <v/>
      </c>
      <c r="V2330" s="23" t="str">
        <f t="shared" si="806"/>
        <v/>
      </c>
      <c r="W2330" s="70" t="str">
        <f t="shared" si="807"/>
        <v/>
      </c>
      <c r="X2330" s="70" t="str">
        <f t="shared" si="808"/>
        <v/>
      </c>
      <c r="Y2330" s="70" t="str">
        <f>IF(AND($A2330&lt;&gt;"",$E2330&gt;0),isLaptopBag($C2330,$J2330)*$D2330,"")</f>
        <v/>
      </c>
      <c r="Z2330" s="70" t="str">
        <f t="shared" si="809"/>
        <v/>
      </c>
      <c r="AA2330" s="70" t="str">
        <f t="shared" si="810"/>
        <v/>
      </c>
      <c r="AB2330" s="70" t="str">
        <f t="shared" si="811"/>
        <v/>
      </c>
      <c r="AC2330" s="70" t="str">
        <f t="shared" si="812"/>
        <v/>
      </c>
      <c r="AD2330" s="70" t="str">
        <f t="shared" si="813"/>
        <v/>
      </c>
      <c r="AE2330" s="70" t="str">
        <f t="shared" si="814"/>
        <v/>
      </c>
      <c r="AF2330" s="16"/>
      <c r="AG2330" s="23"/>
      <c r="AH2330" s="22"/>
      <c r="AJ2330" s="83">
        <f t="shared" si="815"/>
        <v>0</v>
      </c>
      <c r="AO2330" s="22" t="str">
        <f t="shared" si="816"/>
        <v/>
      </c>
      <c r="AP2330" s="22" t="str">
        <f t="shared" si="817"/>
        <v/>
      </c>
    </row>
    <row r="2331" spans="1:42" x14ac:dyDescent="0.25">
      <c r="A2331" s="10"/>
      <c r="B2331" s="10"/>
      <c r="C2331" s="10"/>
      <c r="D2331" s="10"/>
      <c r="E2331" s="10"/>
      <c r="F2331" s="10"/>
      <c r="G2331" s="10"/>
      <c r="H2331" s="17"/>
      <c r="I2331" s="10"/>
      <c r="J2331" s="10"/>
      <c r="K2331" s="16" t="str">
        <f t="shared" si="796"/>
        <v/>
      </c>
      <c r="L2331" s="23" t="str">
        <f t="shared" si="797"/>
        <v/>
      </c>
      <c r="M2331" s="22" t="str">
        <f t="shared" si="798"/>
        <v/>
      </c>
      <c r="N2331" s="72"/>
      <c r="O2331" s="16" t="str">
        <f t="shared" si="799"/>
        <v/>
      </c>
      <c r="P2331" s="16" t="str">
        <f t="shared" si="800"/>
        <v/>
      </c>
      <c r="Q2331" s="16" t="str">
        <f t="shared" si="801"/>
        <v/>
      </c>
      <c r="R2331" s="23" t="str">
        <f t="shared" si="802"/>
        <v/>
      </c>
      <c r="S2331" s="23" t="str">
        <f t="shared" si="803"/>
        <v/>
      </c>
      <c r="T2331" s="23" t="str">
        <f t="shared" si="804"/>
        <v/>
      </c>
      <c r="U2331" s="23" t="str">
        <f t="shared" si="805"/>
        <v/>
      </c>
      <c r="V2331" s="23" t="str">
        <f t="shared" si="806"/>
        <v/>
      </c>
      <c r="W2331" s="70" t="str">
        <f t="shared" si="807"/>
        <v/>
      </c>
      <c r="X2331" s="70" t="str">
        <f t="shared" si="808"/>
        <v/>
      </c>
      <c r="Y2331" s="70" t="str">
        <f>IF(AND($A2331&lt;&gt;"",$E2331&gt;0),isLaptopBag($C2331,$J2331)*$D2331,"")</f>
        <v/>
      </c>
      <c r="Z2331" s="70" t="str">
        <f t="shared" si="809"/>
        <v/>
      </c>
      <c r="AA2331" s="70" t="str">
        <f t="shared" si="810"/>
        <v/>
      </c>
      <c r="AB2331" s="70" t="str">
        <f t="shared" si="811"/>
        <v/>
      </c>
      <c r="AC2331" s="70" t="str">
        <f t="shared" si="812"/>
        <v/>
      </c>
      <c r="AD2331" s="70" t="str">
        <f t="shared" si="813"/>
        <v/>
      </c>
      <c r="AE2331" s="70" t="str">
        <f t="shared" si="814"/>
        <v/>
      </c>
      <c r="AF2331" s="16"/>
      <c r="AG2331" s="23"/>
      <c r="AH2331" s="22"/>
      <c r="AJ2331" s="83">
        <f t="shared" si="815"/>
        <v>0</v>
      </c>
      <c r="AO2331" s="22" t="str">
        <f t="shared" si="816"/>
        <v/>
      </c>
      <c r="AP2331" s="22" t="str">
        <f t="shared" si="817"/>
        <v/>
      </c>
    </row>
    <row r="2332" spans="1:42" x14ac:dyDescent="0.25">
      <c r="A2332" s="10"/>
      <c r="B2332" s="10"/>
      <c r="C2332" s="10"/>
      <c r="D2332" s="10"/>
      <c r="E2332" s="10"/>
      <c r="F2332" s="10"/>
      <c r="G2332" s="10"/>
      <c r="H2332" s="17"/>
      <c r="I2332" s="10"/>
      <c r="J2332" s="10"/>
      <c r="K2332" s="16" t="str">
        <f t="shared" si="796"/>
        <v/>
      </c>
      <c r="L2332" s="23" t="str">
        <f t="shared" si="797"/>
        <v/>
      </c>
      <c r="M2332" s="22" t="str">
        <f t="shared" si="798"/>
        <v/>
      </c>
      <c r="N2332" s="72"/>
      <c r="O2332" s="16" t="str">
        <f t="shared" si="799"/>
        <v/>
      </c>
      <c r="P2332" s="16" t="str">
        <f t="shared" si="800"/>
        <v/>
      </c>
      <c r="Q2332" s="16" t="str">
        <f t="shared" si="801"/>
        <v/>
      </c>
      <c r="R2332" s="23" t="str">
        <f t="shared" si="802"/>
        <v/>
      </c>
      <c r="S2332" s="23" t="str">
        <f t="shared" si="803"/>
        <v/>
      </c>
      <c r="T2332" s="23" t="str">
        <f t="shared" si="804"/>
        <v/>
      </c>
      <c r="U2332" s="23" t="str">
        <f t="shared" si="805"/>
        <v/>
      </c>
      <c r="V2332" s="23" t="str">
        <f t="shared" si="806"/>
        <v/>
      </c>
      <c r="W2332" s="70" t="str">
        <f t="shared" si="807"/>
        <v/>
      </c>
      <c r="X2332" s="70" t="str">
        <f t="shared" si="808"/>
        <v/>
      </c>
      <c r="Y2332" s="70" t="str">
        <f>IF(AND($A2332&lt;&gt;"",$E2332&gt;0),isLaptopBag($C2332,$J2332)*$D2332,"")</f>
        <v/>
      </c>
      <c r="Z2332" s="70" t="str">
        <f t="shared" si="809"/>
        <v/>
      </c>
      <c r="AA2332" s="70" t="str">
        <f t="shared" si="810"/>
        <v/>
      </c>
      <c r="AB2332" s="70" t="str">
        <f t="shared" si="811"/>
        <v/>
      </c>
      <c r="AC2332" s="70" t="str">
        <f t="shared" si="812"/>
        <v/>
      </c>
      <c r="AD2332" s="70" t="str">
        <f t="shared" si="813"/>
        <v/>
      </c>
      <c r="AE2332" s="70" t="str">
        <f t="shared" si="814"/>
        <v/>
      </c>
      <c r="AF2332" s="16"/>
      <c r="AG2332" s="23"/>
      <c r="AH2332" s="22"/>
      <c r="AJ2332" s="83">
        <f t="shared" si="815"/>
        <v>0</v>
      </c>
      <c r="AO2332" s="22" t="str">
        <f t="shared" si="816"/>
        <v/>
      </c>
      <c r="AP2332" s="22" t="str">
        <f t="shared" si="817"/>
        <v/>
      </c>
    </row>
    <row r="2333" spans="1:42" x14ac:dyDescent="0.25">
      <c r="A2333" s="10"/>
      <c r="B2333" s="10"/>
      <c r="C2333" s="10"/>
      <c r="D2333" s="10"/>
      <c r="E2333" s="10"/>
      <c r="F2333" s="10"/>
      <c r="G2333" s="10"/>
      <c r="H2333" s="17"/>
      <c r="I2333" s="10"/>
      <c r="J2333" s="10"/>
      <c r="K2333" s="16" t="str">
        <f t="shared" si="796"/>
        <v/>
      </c>
      <c r="L2333" s="23" t="str">
        <f t="shared" si="797"/>
        <v/>
      </c>
      <c r="M2333" s="22" t="str">
        <f t="shared" si="798"/>
        <v/>
      </c>
      <c r="N2333" s="72"/>
      <c r="O2333" s="16" t="str">
        <f t="shared" si="799"/>
        <v/>
      </c>
      <c r="P2333" s="16" t="str">
        <f t="shared" si="800"/>
        <v/>
      </c>
      <c r="Q2333" s="16" t="str">
        <f t="shared" si="801"/>
        <v/>
      </c>
      <c r="R2333" s="23" t="str">
        <f t="shared" si="802"/>
        <v/>
      </c>
      <c r="S2333" s="23" t="str">
        <f t="shared" si="803"/>
        <v/>
      </c>
      <c r="T2333" s="23" t="str">
        <f t="shared" si="804"/>
        <v/>
      </c>
      <c r="U2333" s="23" t="str">
        <f t="shared" si="805"/>
        <v/>
      </c>
      <c r="V2333" s="23" t="str">
        <f t="shared" si="806"/>
        <v/>
      </c>
      <c r="W2333" s="70" t="str">
        <f t="shared" si="807"/>
        <v/>
      </c>
      <c r="X2333" s="70" t="str">
        <f t="shared" si="808"/>
        <v/>
      </c>
      <c r="Y2333" s="70" t="str">
        <f>IF(AND($A2333&lt;&gt;"",$E2333&gt;0),isLaptopBag($C2333,$J2333)*$D2333,"")</f>
        <v/>
      </c>
      <c r="Z2333" s="70" t="str">
        <f t="shared" si="809"/>
        <v/>
      </c>
      <c r="AA2333" s="70" t="str">
        <f t="shared" si="810"/>
        <v/>
      </c>
      <c r="AB2333" s="70" t="str">
        <f t="shared" si="811"/>
        <v/>
      </c>
      <c r="AC2333" s="70" t="str">
        <f t="shared" si="812"/>
        <v/>
      </c>
      <c r="AD2333" s="70" t="str">
        <f t="shared" si="813"/>
        <v/>
      </c>
      <c r="AE2333" s="70" t="str">
        <f t="shared" si="814"/>
        <v/>
      </c>
      <c r="AF2333" s="16"/>
      <c r="AG2333" s="23"/>
      <c r="AH2333" s="22"/>
      <c r="AJ2333" s="83">
        <f t="shared" si="815"/>
        <v>0</v>
      </c>
      <c r="AO2333" s="22" t="str">
        <f t="shared" si="816"/>
        <v/>
      </c>
      <c r="AP2333" s="22" t="str">
        <f t="shared" si="817"/>
        <v/>
      </c>
    </row>
    <row r="2334" spans="1:42" x14ac:dyDescent="0.25">
      <c r="A2334" s="10"/>
      <c r="B2334" s="10"/>
      <c r="C2334" s="10"/>
      <c r="D2334" s="10"/>
      <c r="E2334" s="10"/>
      <c r="F2334" s="10"/>
      <c r="G2334" s="10"/>
      <c r="H2334" s="17"/>
      <c r="I2334" s="10"/>
      <c r="J2334" s="10"/>
      <c r="K2334" s="16" t="str">
        <f t="shared" si="796"/>
        <v/>
      </c>
      <c r="L2334" s="23" t="str">
        <f t="shared" si="797"/>
        <v/>
      </c>
      <c r="M2334" s="22" t="str">
        <f t="shared" si="798"/>
        <v/>
      </c>
      <c r="N2334" s="72"/>
      <c r="O2334" s="16" t="str">
        <f t="shared" si="799"/>
        <v/>
      </c>
      <c r="P2334" s="16" t="str">
        <f t="shared" si="800"/>
        <v/>
      </c>
      <c r="Q2334" s="16" t="str">
        <f t="shared" si="801"/>
        <v/>
      </c>
      <c r="R2334" s="23" t="str">
        <f t="shared" si="802"/>
        <v/>
      </c>
      <c r="S2334" s="23" t="str">
        <f t="shared" si="803"/>
        <v/>
      </c>
      <c r="T2334" s="23" t="str">
        <f t="shared" si="804"/>
        <v/>
      </c>
      <c r="U2334" s="23" t="str">
        <f t="shared" si="805"/>
        <v/>
      </c>
      <c r="V2334" s="23" t="str">
        <f t="shared" si="806"/>
        <v/>
      </c>
      <c r="W2334" s="70" t="str">
        <f t="shared" si="807"/>
        <v/>
      </c>
      <c r="X2334" s="70" t="str">
        <f t="shared" si="808"/>
        <v/>
      </c>
      <c r="Y2334" s="70" t="str">
        <f>IF(AND($A2334&lt;&gt;"",$E2334&gt;0),isLaptopBag($C2334,$J2334)*$D2334,"")</f>
        <v/>
      </c>
      <c r="Z2334" s="70" t="str">
        <f t="shared" si="809"/>
        <v/>
      </c>
      <c r="AA2334" s="70" t="str">
        <f t="shared" si="810"/>
        <v/>
      </c>
      <c r="AB2334" s="70" t="str">
        <f t="shared" si="811"/>
        <v/>
      </c>
      <c r="AC2334" s="70" t="str">
        <f t="shared" si="812"/>
        <v/>
      </c>
      <c r="AD2334" s="70" t="str">
        <f t="shared" si="813"/>
        <v/>
      </c>
      <c r="AE2334" s="70" t="str">
        <f t="shared" si="814"/>
        <v/>
      </c>
      <c r="AF2334" s="16"/>
      <c r="AG2334" s="23"/>
      <c r="AH2334" s="22"/>
      <c r="AJ2334" s="83">
        <f t="shared" si="815"/>
        <v>0</v>
      </c>
      <c r="AO2334" s="22" t="str">
        <f t="shared" si="816"/>
        <v/>
      </c>
      <c r="AP2334" s="22" t="str">
        <f t="shared" si="817"/>
        <v/>
      </c>
    </row>
    <row r="2335" spans="1:42" x14ac:dyDescent="0.25">
      <c r="A2335" s="10"/>
      <c r="B2335" s="10"/>
      <c r="C2335" s="10"/>
      <c r="D2335" s="10"/>
      <c r="E2335" s="10"/>
      <c r="F2335" s="10"/>
      <c r="G2335" s="10"/>
      <c r="H2335" s="17"/>
      <c r="I2335" s="10"/>
      <c r="J2335" s="10"/>
      <c r="K2335" s="16" t="str">
        <f t="shared" si="796"/>
        <v/>
      </c>
      <c r="L2335" s="23" t="str">
        <f t="shared" si="797"/>
        <v/>
      </c>
      <c r="M2335" s="22" t="str">
        <f t="shared" si="798"/>
        <v/>
      </c>
      <c r="N2335" s="72"/>
      <c r="O2335" s="16" t="str">
        <f t="shared" si="799"/>
        <v/>
      </c>
      <c r="P2335" s="16" t="str">
        <f t="shared" si="800"/>
        <v/>
      </c>
      <c r="Q2335" s="16" t="str">
        <f t="shared" si="801"/>
        <v/>
      </c>
      <c r="R2335" s="23" t="str">
        <f t="shared" si="802"/>
        <v/>
      </c>
      <c r="S2335" s="23" t="str">
        <f t="shared" si="803"/>
        <v/>
      </c>
      <c r="T2335" s="23" t="str">
        <f t="shared" si="804"/>
        <v/>
      </c>
      <c r="U2335" s="23" t="str">
        <f t="shared" si="805"/>
        <v/>
      </c>
      <c r="V2335" s="23" t="str">
        <f t="shared" si="806"/>
        <v/>
      </c>
      <c r="W2335" s="70" t="str">
        <f t="shared" si="807"/>
        <v/>
      </c>
      <c r="X2335" s="70" t="str">
        <f t="shared" si="808"/>
        <v/>
      </c>
      <c r="Y2335" s="70" t="str">
        <f>IF(AND($A2335&lt;&gt;"",$E2335&gt;0),isLaptopBag($C2335,$J2335)*$D2335,"")</f>
        <v/>
      </c>
      <c r="Z2335" s="70" t="str">
        <f t="shared" si="809"/>
        <v/>
      </c>
      <c r="AA2335" s="70" t="str">
        <f t="shared" si="810"/>
        <v/>
      </c>
      <c r="AB2335" s="70" t="str">
        <f t="shared" si="811"/>
        <v/>
      </c>
      <c r="AC2335" s="70" t="str">
        <f t="shared" si="812"/>
        <v/>
      </c>
      <c r="AD2335" s="70" t="str">
        <f t="shared" si="813"/>
        <v/>
      </c>
      <c r="AE2335" s="70" t="str">
        <f t="shared" si="814"/>
        <v/>
      </c>
      <c r="AF2335" s="16"/>
      <c r="AG2335" s="23"/>
      <c r="AH2335" s="22"/>
      <c r="AJ2335" s="83">
        <f t="shared" si="815"/>
        <v>0</v>
      </c>
      <c r="AO2335" s="22" t="str">
        <f t="shared" si="816"/>
        <v/>
      </c>
      <c r="AP2335" s="22" t="str">
        <f t="shared" si="817"/>
        <v/>
      </c>
    </row>
    <row r="2336" spans="1:42" x14ac:dyDescent="0.25">
      <c r="A2336" s="10"/>
      <c r="B2336" s="10"/>
      <c r="C2336" s="10"/>
      <c r="D2336" s="10"/>
      <c r="E2336" s="10"/>
      <c r="F2336" s="10"/>
      <c r="G2336" s="10"/>
      <c r="H2336" s="17"/>
      <c r="I2336" s="10"/>
      <c r="J2336" s="10"/>
      <c r="K2336" s="16" t="str">
        <f t="shared" si="796"/>
        <v/>
      </c>
      <c r="L2336" s="23" t="str">
        <f t="shared" si="797"/>
        <v/>
      </c>
      <c r="M2336" s="22" t="str">
        <f t="shared" si="798"/>
        <v/>
      </c>
      <c r="N2336" s="72"/>
      <c r="O2336" s="16" t="str">
        <f t="shared" si="799"/>
        <v/>
      </c>
      <c r="P2336" s="16" t="str">
        <f t="shared" si="800"/>
        <v/>
      </c>
      <c r="Q2336" s="16" t="str">
        <f t="shared" si="801"/>
        <v/>
      </c>
      <c r="R2336" s="23" t="str">
        <f t="shared" si="802"/>
        <v/>
      </c>
      <c r="S2336" s="23" t="str">
        <f t="shared" si="803"/>
        <v/>
      </c>
      <c r="T2336" s="23" t="str">
        <f t="shared" si="804"/>
        <v/>
      </c>
      <c r="U2336" s="23" t="str">
        <f t="shared" si="805"/>
        <v/>
      </c>
      <c r="V2336" s="23" t="str">
        <f t="shared" si="806"/>
        <v/>
      </c>
      <c r="W2336" s="70" t="str">
        <f t="shared" si="807"/>
        <v/>
      </c>
      <c r="X2336" s="70" t="str">
        <f t="shared" si="808"/>
        <v/>
      </c>
      <c r="Y2336" s="70" t="str">
        <f>IF(AND($A2336&lt;&gt;"",$E2336&gt;0),isLaptopBag($C2336,$J2336)*$D2336,"")</f>
        <v/>
      </c>
      <c r="Z2336" s="70" t="str">
        <f t="shared" si="809"/>
        <v/>
      </c>
      <c r="AA2336" s="70" t="str">
        <f t="shared" si="810"/>
        <v/>
      </c>
      <c r="AB2336" s="70" t="str">
        <f t="shared" si="811"/>
        <v/>
      </c>
      <c r="AC2336" s="70" t="str">
        <f t="shared" si="812"/>
        <v/>
      </c>
      <c r="AD2336" s="70" t="str">
        <f t="shared" si="813"/>
        <v/>
      </c>
      <c r="AE2336" s="70" t="str">
        <f t="shared" si="814"/>
        <v/>
      </c>
      <c r="AF2336" s="16"/>
      <c r="AG2336" s="23"/>
      <c r="AH2336" s="22"/>
      <c r="AJ2336" s="83">
        <f t="shared" si="815"/>
        <v>0</v>
      </c>
      <c r="AO2336" s="22" t="str">
        <f t="shared" si="816"/>
        <v/>
      </c>
      <c r="AP2336" s="22" t="str">
        <f t="shared" si="817"/>
        <v/>
      </c>
    </row>
    <row r="2337" spans="1:42" x14ac:dyDescent="0.25">
      <c r="A2337" s="10"/>
      <c r="B2337" s="10"/>
      <c r="C2337" s="10"/>
      <c r="D2337" s="10"/>
      <c r="E2337" s="10"/>
      <c r="F2337" s="10"/>
      <c r="G2337" s="10"/>
      <c r="H2337" s="17"/>
      <c r="I2337" s="10"/>
      <c r="J2337" s="10"/>
      <c r="K2337" s="16" t="str">
        <f t="shared" si="796"/>
        <v/>
      </c>
      <c r="L2337" s="23" t="str">
        <f t="shared" si="797"/>
        <v/>
      </c>
      <c r="M2337" s="22" t="str">
        <f t="shared" si="798"/>
        <v/>
      </c>
      <c r="N2337" s="72"/>
      <c r="O2337" s="16" t="str">
        <f t="shared" si="799"/>
        <v/>
      </c>
      <c r="P2337" s="16" t="str">
        <f t="shared" si="800"/>
        <v/>
      </c>
      <c r="Q2337" s="16" t="str">
        <f t="shared" si="801"/>
        <v/>
      </c>
      <c r="R2337" s="23" t="str">
        <f t="shared" si="802"/>
        <v/>
      </c>
      <c r="S2337" s="23" t="str">
        <f t="shared" si="803"/>
        <v/>
      </c>
      <c r="T2337" s="23" t="str">
        <f t="shared" si="804"/>
        <v/>
      </c>
      <c r="U2337" s="23" t="str">
        <f t="shared" si="805"/>
        <v/>
      </c>
      <c r="V2337" s="23" t="str">
        <f t="shared" si="806"/>
        <v/>
      </c>
      <c r="W2337" s="70" t="str">
        <f t="shared" si="807"/>
        <v/>
      </c>
      <c r="X2337" s="70" t="str">
        <f t="shared" si="808"/>
        <v/>
      </c>
      <c r="Y2337" s="70" t="str">
        <f>IF(AND($A2337&lt;&gt;"",$E2337&gt;0),isLaptopBag($C2337,$J2337)*$D2337,"")</f>
        <v/>
      </c>
      <c r="Z2337" s="70" t="str">
        <f t="shared" si="809"/>
        <v/>
      </c>
      <c r="AA2337" s="70" t="str">
        <f t="shared" si="810"/>
        <v/>
      </c>
      <c r="AB2337" s="70" t="str">
        <f t="shared" si="811"/>
        <v/>
      </c>
      <c r="AC2337" s="70" t="str">
        <f t="shared" si="812"/>
        <v/>
      </c>
      <c r="AD2337" s="70" t="str">
        <f t="shared" si="813"/>
        <v/>
      </c>
      <c r="AE2337" s="70" t="str">
        <f t="shared" si="814"/>
        <v/>
      </c>
      <c r="AF2337" s="16"/>
      <c r="AG2337" s="23"/>
      <c r="AH2337" s="22"/>
      <c r="AJ2337" s="83">
        <f t="shared" si="815"/>
        <v>0</v>
      </c>
      <c r="AO2337" s="22" t="str">
        <f t="shared" si="816"/>
        <v/>
      </c>
      <c r="AP2337" s="22" t="str">
        <f t="shared" si="817"/>
        <v/>
      </c>
    </row>
    <row r="2338" spans="1:42" x14ac:dyDescent="0.25">
      <c r="A2338" s="10"/>
      <c r="B2338" s="10"/>
      <c r="C2338" s="10"/>
      <c r="D2338" s="10"/>
      <c r="E2338" s="10"/>
      <c r="F2338" s="10"/>
      <c r="G2338" s="10"/>
      <c r="H2338" s="17"/>
      <c r="I2338" s="10"/>
      <c r="J2338" s="10"/>
      <c r="K2338" s="16" t="str">
        <f t="shared" si="796"/>
        <v/>
      </c>
      <c r="L2338" s="23" t="str">
        <f t="shared" si="797"/>
        <v/>
      </c>
      <c r="M2338" s="22" t="str">
        <f t="shared" si="798"/>
        <v/>
      </c>
      <c r="N2338" s="72"/>
      <c r="O2338" s="16" t="str">
        <f t="shared" si="799"/>
        <v/>
      </c>
      <c r="P2338" s="16" t="str">
        <f t="shared" si="800"/>
        <v/>
      </c>
      <c r="Q2338" s="16" t="str">
        <f t="shared" si="801"/>
        <v/>
      </c>
      <c r="R2338" s="23" t="str">
        <f t="shared" si="802"/>
        <v/>
      </c>
      <c r="S2338" s="23" t="str">
        <f t="shared" si="803"/>
        <v/>
      </c>
      <c r="T2338" s="23" t="str">
        <f t="shared" si="804"/>
        <v/>
      </c>
      <c r="U2338" s="23" t="str">
        <f t="shared" si="805"/>
        <v/>
      </c>
      <c r="V2338" s="23" t="str">
        <f t="shared" si="806"/>
        <v/>
      </c>
      <c r="W2338" s="70" t="str">
        <f t="shared" si="807"/>
        <v/>
      </c>
      <c r="X2338" s="70" t="str">
        <f t="shared" si="808"/>
        <v/>
      </c>
      <c r="Y2338" s="70" t="str">
        <f>IF(AND($A2338&lt;&gt;"",$E2338&gt;0),isLaptopBag($C2338,$J2338)*$D2338,"")</f>
        <v/>
      </c>
      <c r="Z2338" s="70" t="str">
        <f t="shared" si="809"/>
        <v/>
      </c>
      <c r="AA2338" s="70" t="str">
        <f t="shared" si="810"/>
        <v/>
      </c>
      <c r="AB2338" s="70" t="str">
        <f t="shared" si="811"/>
        <v/>
      </c>
      <c r="AC2338" s="70" t="str">
        <f t="shared" si="812"/>
        <v/>
      </c>
      <c r="AD2338" s="70" t="str">
        <f t="shared" si="813"/>
        <v/>
      </c>
      <c r="AE2338" s="70" t="str">
        <f t="shared" si="814"/>
        <v/>
      </c>
      <c r="AF2338" s="16"/>
      <c r="AG2338" s="23"/>
      <c r="AH2338" s="22"/>
      <c r="AJ2338" s="83">
        <f t="shared" si="815"/>
        <v>0</v>
      </c>
      <c r="AO2338" s="22" t="str">
        <f t="shared" si="816"/>
        <v/>
      </c>
      <c r="AP2338" s="22" t="str">
        <f t="shared" si="817"/>
        <v/>
      </c>
    </row>
    <row r="2339" spans="1:42" x14ac:dyDescent="0.25">
      <c r="A2339" s="10"/>
      <c r="B2339" s="10"/>
      <c r="C2339" s="10"/>
      <c r="D2339" s="10"/>
      <c r="E2339" s="10"/>
      <c r="F2339" s="10"/>
      <c r="G2339" s="10"/>
      <c r="H2339" s="17"/>
      <c r="I2339" s="10"/>
      <c r="J2339" s="10"/>
      <c r="K2339" s="16" t="str">
        <f t="shared" si="796"/>
        <v/>
      </c>
      <c r="L2339" s="23" t="str">
        <f t="shared" si="797"/>
        <v/>
      </c>
      <c r="M2339" s="22" t="str">
        <f t="shared" si="798"/>
        <v/>
      </c>
      <c r="N2339" s="72"/>
      <c r="O2339" s="16" t="str">
        <f t="shared" si="799"/>
        <v/>
      </c>
      <c r="P2339" s="16" t="str">
        <f t="shared" si="800"/>
        <v/>
      </c>
      <c r="Q2339" s="16" t="str">
        <f t="shared" si="801"/>
        <v/>
      </c>
      <c r="R2339" s="23" t="str">
        <f t="shared" si="802"/>
        <v/>
      </c>
      <c r="S2339" s="23" t="str">
        <f t="shared" si="803"/>
        <v/>
      </c>
      <c r="T2339" s="23" t="str">
        <f t="shared" si="804"/>
        <v/>
      </c>
      <c r="U2339" s="23" t="str">
        <f t="shared" si="805"/>
        <v/>
      </c>
      <c r="V2339" s="23" t="str">
        <f t="shared" si="806"/>
        <v/>
      </c>
      <c r="W2339" s="70" t="str">
        <f t="shared" si="807"/>
        <v/>
      </c>
      <c r="X2339" s="70" t="str">
        <f t="shared" si="808"/>
        <v/>
      </c>
      <c r="Y2339" s="70" t="str">
        <f>IF(AND($A2339&lt;&gt;"",$E2339&gt;0),isLaptopBag($C2339,$J2339)*$D2339,"")</f>
        <v/>
      </c>
      <c r="Z2339" s="70" t="str">
        <f t="shared" si="809"/>
        <v/>
      </c>
      <c r="AA2339" s="70" t="str">
        <f t="shared" si="810"/>
        <v/>
      </c>
      <c r="AB2339" s="70" t="str">
        <f t="shared" si="811"/>
        <v/>
      </c>
      <c r="AC2339" s="70" t="str">
        <f t="shared" si="812"/>
        <v/>
      </c>
      <c r="AD2339" s="70" t="str">
        <f t="shared" si="813"/>
        <v/>
      </c>
      <c r="AE2339" s="70" t="str">
        <f t="shared" si="814"/>
        <v/>
      </c>
      <c r="AF2339" s="16"/>
      <c r="AG2339" s="23"/>
      <c r="AH2339" s="22"/>
      <c r="AJ2339" s="83">
        <f t="shared" si="815"/>
        <v>0</v>
      </c>
      <c r="AO2339" s="22" t="str">
        <f t="shared" si="816"/>
        <v/>
      </c>
      <c r="AP2339" s="22" t="str">
        <f t="shared" si="817"/>
        <v/>
      </c>
    </row>
    <row r="2340" spans="1:42" x14ac:dyDescent="0.25">
      <c r="A2340" s="10"/>
      <c r="B2340" s="10"/>
      <c r="C2340" s="10"/>
      <c r="D2340" s="10"/>
      <c r="E2340" s="10"/>
      <c r="F2340" s="10"/>
      <c r="G2340" s="10"/>
      <c r="H2340" s="17"/>
      <c r="I2340" s="10"/>
      <c r="J2340" s="10"/>
      <c r="K2340" s="16" t="str">
        <f t="shared" si="796"/>
        <v/>
      </c>
      <c r="L2340" s="23" t="str">
        <f t="shared" si="797"/>
        <v/>
      </c>
      <c r="M2340" s="22" t="str">
        <f t="shared" si="798"/>
        <v/>
      </c>
      <c r="N2340" s="72"/>
      <c r="O2340" s="16" t="str">
        <f t="shared" si="799"/>
        <v/>
      </c>
      <c r="P2340" s="16" t="str">
        <f t="shared" si="800"/>
        <v/>
      </c>
      <c r="Q2340" s="16" t="str">
        <f t="shared" si="801"/>
        <v/>
      </c>
      <c r="R2340" s="23" t="str">
        <f t="shared" si="802"/>
        <v/>
      </c>
      <c r="S2340" s="23" t="str">
        <f t="shared" si="803"/>
        <v/>
      </c>
      <c r="T2340" s="23" t="str">
        <f t="shared" si="804"/>
        <v/>
      </c>
      <c r="U2340" s="23" t="str">
        <f t="shared" si="805"/>
        <v/>
      </c>
      <c r="V2340" s="23" t="str">
        <f t="shared" si="806"/>
        <v/>
      </c>
      <c r="W2340" s="70" t="str">
        <f t="shared" si="807"/>
        <v/>
      </c>
      <c r="X2340" s="70" t="str">
        <f t="shared" si="808"/>
        <v/>
      </c>
      <c r="Y2340" s="70" t="str">
        <f>IF(AND($A2340&lt;&gt;"",$E2340&gt;0),isLaptopBag($C2340,$J2340)*$D2340,"")</f>
        <v/>
      </c>
      <c r="Z2340" s="70" t="str">
        <f t="shared" si="809"/>
        <v/>
      </c>
      <c r="AA2340" s="70" t="str">
        <f t="shared" si="810"/>
        <v/>
      </c>
      <c r="AB2340" s="70" t="str">
        <f t="shared" si="811"/>
        <v/>
      </c>
      <c r="AC2340" s="70" t="str">
        <f t="shared" si="812"/>
        <v/>
      </c>
      <c r="AD2340" s="70" t="str">
        <f t="shared" si="813"/>
        <v/>
      </c>
      <c r="AE2340" s="70" t="str">
        <f t="shared" si="814"/>
        <v/>
      </c>
      <c r="AF2340" s="16"/>
      <c r="AG2340" s="23"/>
      <c r="AH2340" s="22"/>
      <c r="AJ2340" s="83">
        <f t="shared" si="815"/>
        <v>0</v>
      </c>
      <c r="AO2340" s="22" t="str">
        <f t="shared" si="816"/>
        <v/>
      </c>
      <c r="AP2340" s="22" t="str">
        <f t="shared" si="817"/>
        <v/>
      </c>
    </row>
    <row r="2341" spans="1:42" x14ac:dyDescent="0.25">
      <c r="A2341" s="10"/>
      <c r="B2341" s="10"/>
      <c r="C2341" s="10"/>
      <c r="D2341" s="10"/>
      <c r="E2341" s="10"/>
      <c r="F2341" s="10"/>
      <c r="G2341" s="10"/>
      <c r="H2341" s="17"/>
      <c r="I2341" s="10"/>
      <c r="J2341" s="10"/>
      <c r="K2341" s="16" t="str">
        <f t="shared" si="796"/>
        <v/>
      </c>
      <c r="L2341" s="23" t="str">
        <f t="shared" si="797"/>
        <v/>
      </c>
      <c r="M2341" s="22" t="str">
        <f t="shared" si="798"/>
        <v/>
      </c>
      <c r="N2341" s="72"/>
      <c r="O2341" s="16" t="str">
        <f t="shared" si="799"/>
        <v/>
      </c>
      <c r="P2341" s="16" t="str">
        <f t="shared" si="800"/>
        <v/>
      </c>
      <c r="Q2341" s="16" t="str">
        <f t="shared" si="801"/>
        <v/>
      </c>
      <c r="R2341" s="23" t="str">
        <f t="shared" si="802"/>
        <v/>
      </c>
      <c r="S2341" s="23" t="str">
        <f t="shared" si="803"/>
        <v/>
      </c>
      <c r="T2341" s="23" t="str">
        <f t="shared" si="804"/>
        <v/>
      </c>
      <c r="U2341" s="23" t="str">
        <f t="shared" si="805"/>
        <v/>
      </c>
      <c r="V2341" s="23" t="str">
        <f t="shared" si="806"/>
        <v/>
      </c>
      <c r="W2341" s="70" t="str">
        <f t="shared" si="807"/>
        <v/>
      </c>
      <c r="X2341" s="70" t="str">
        <f t="shared" si="808"/>
        <v/>
      </c>
      <c r="Y2341" s="70" t="str">
        <f>IF(AND($A2341&lt;&gt;"",$E2341&gt;0),isLaptopBag($C2341,$J2341)*$D2341,"")</f>
        <v/>
      </c>
      <c r="Z2341" s="70" t="str">
        <f t="shared" si="809"/>
        <v/>
      </c>
      <c r="AA2341" s="70" t="str">
        <f t="shared" si="810"/>
        <v/>
      </c>
      <c r="AB2341" s="70" t="str">
        <f t="shared" si="811"/>
        <v/>
      </c>
      <c r="AC2341" s="70" t="str">
        <f t="shared" si="812"/>
        <v/>
      </c>
      <c r="AD2341" s="70" t="str">
        <f t="shared" si="813"/>
        <v/>
      </c>
      <c r="AE2341" s="70" t="str">
        <f t="shared" si="814"/>
        <v/>
      </c>
      <c r="AF2341" s="16"/>
      <c r="AG2341" s="23"/>
      <c r="AH2341" s="22"/>
      <c r="AJ2341" s="83">
        <f t="shared" si="815"/>
        <v>0</v>
      </c>
      <c r="AO2341" s="22" t="str">
        <f t="shared" si="816"/>
        <v/>
      </c>
      <c r="AP2341" s="22" t="str">
        <f t="shared" si="817"/>
        <v/>
      </c>
    </row>
    <row r="2342" spans="1:42" x14ac:dyDescent="0.25">
      <c r="A2342" s="10"/>
      <c r="B2342" s="10"/>
      <c r="C2342" s="10"/>
      <c r="D2342" s="10"/>
      <c r="E2342" s="10"/>
      <c r="F2342" s="10"/>
      <c r="G2342" s="10"/>
      <c r="H2342" s="17"/>
      <c r="I2342" s="10"/>
      <c r="J2342" s="10"/>
      <c r="K2342" s="16" t="str">
        <f t="shared" si="796"/>
        <v/>
      </c>
      <c r="L2342" s="23" t="str">
        <f t="shared" si="797"/>
        <v/>
      </c>
      <c r="M2342" s="22" t="str">
        <f t="shared" si="798"/>
        <v/>
      </c>
      <c r="N2342" s="72"/>
      <c r="O2342" s="16" t="str">
        <f t="shared" si="799"/>
        <v/>
      </c>
      <c r="P2342" s="16" t="str">
        <f t="shared" si="800"/>
        <v/>
      </c>
      <c r="Q2342" s="16" t="str">
        <f t="shared" si="801"/>
        <v/>
      </c>
      <c r="R2342" s="23" t="str">
        <f t="shared" si="802"/>
        <v/>
      </c>
      <c r="S2342" s="23" t="str">
        <f t="shared" si="803"/>
        <v/>
      </c>
      <c r="T2342" s="23" t="str">
        <f t="shared" si="804"/>
        <v/>
      </c>
      <c r="U2342" s="23" t="str">
        <f t="shared" si="805"/>
        <v/>
      </c>
      <c r="V2342" s="23" t="str">
        <f t="shared" si="806"/>
        <v/>
      </c>
      <c r="W2342" s="70" t="str">
        <f t="shared" si="807"/>
        <v/>
      </c>
      <c r="X2342" s="70" t="str">
        <f t="shared" si="808"/>
        <v/>
      </c>
      <c r="Y2342" s="70" t="str">
        <f>IF(AND($A2342&lt;&gt;"",$E2342&gt;0),isLaptopBag($C2342,$J2342)*$D2342,"")</f>
        <v/>
      </c>
      <c r="Z2342" s="70" t="str">
        <f t="shared" si="809"/>
        <v/>
      </c>
      <c r="AA2342" s="70" t="str">
        <f t="shared" si="810"/>
        <v/>
      </c>
      <c r="AB2342" s="70" t="str">
        <f t="shared" si="811"/>
        <v/>
      </c>
      <c r="AC2342" s="70" t="str">
        <f t="shared" si="812"/>
        <v/>
      </c>
      <c r="AD2342" s="70" t="str">
        <f t="shared" si="813"/>
        <v/>
      </c>
      <c r="AE2342" s="70" t="str">
        <f t="shared" si="814"/>
        <v/>
      </c>
      <c r="AF2342" s="16"/>
      <c r="AG2342" s="23"/>
      <c r="AH2342" s="22"/>
      <c r="AJ2342" s="83">
        <f t="shared" si="815"/>
        <v>0</v>
      </c>
      <c r="AO2342" s="22" t="str">
        <f t="shared" si="816"/>
        <v/>
      </c>
      <c r="AP2342" s="22" t="str">
        <f t="shared" si="817"/>
        <v/>
      </c>
    </row>
    <row r="2343" spans="1:42" x14ac:dyDescent="0.25">
      <c r="A2343" s="10"/>
      <c r="B2343" s="10"/>
      <c r="C2343" s="10"/>
      <c r="D2343" s="10"/>
      <c r="E2343" s="10"/>
      <c r="F2343" s="10"/>
      <c r="G2343" s="10"/>
      <c r="H2343" s="17"/>
      <c r="I2343" s="10"/>
      <c r="J2343" s="10"/>
      <c r="K2343" s="16" t="str">
        <f t="shared" si="796"/>
        <v/>
      </c>
      <c r="L2343" s="23" t="str">
        <f t="shared" si="797"/>
        <v/>
      </c>
      <c r="M2343" s="22" t="str">
        <f t="shared" si="798"/>
        <v/>
      </c>
      <c r="N2343" s="72"/>
      <c r="O2343" s="16" t="str">
        <f t="shared" si="799"/>
        <v/>
      </c>
      <c r="P2343" s="16" t="str">
        <f t="shared" si="800"/>
        <v/>
      </c>
      <c r="Q2343" s="16" t="str">
        <f t="shared" si="801"/>
        <v/>
      </c>
      <c r="R2343" s="23" t="str">
        <f t="shared" si="802"/>
        <v/>
      </c>
      <c r="S2343" s="23" t="str">
        <f t="shared" si="803"/>
        <v/>
      </c>
      <c r="T2343" s="23" t="str">
        <f t="shared" si="804"/>
        <v/>
      </c>
      <c r="U2343" s="23" t="str">
        <f t="shared" si="805"/>
        <v/>
      </c>
      <c r="V2343" s="23" t="str">
        <f t="shared" si="806"/>
        <v/>
      </c>
      <c r="W2343" s="70" t="str">
        <f t="shared" si="807"/>
        <v/>
      </c>
      <c r="X2343" s="70" t="str">
        <f t="shared" si="808"/>
        <v/>
      </c>
      <c r="Y2343" s="70" t="str">
        <f>IF(AND($A2343&lt;&gt;"",$E2343&gt;0),isLaptopBag($C2343,$J2343)*$D2343,"")</f>
        <v/>
      </c>
      <c r="Z2343" s="70" t="str">
        <f t="shared" si="809"/>
        <v/>
      </c>
      <c r="AA2343" s="70" t="str">
        <f t="shared" si="810"/>
        <v/>
      </c>
      <c r="AB2343" s="70" t="str">
        <f t="shared" si="811"/>
        <v/>
      </c>
      <c r="AC2343" s="70" t="str">
        <f t="shared" si="812"/>
        <v/>
      </c>
      <c r="AD2343" s="70" t="str">
        <f t="shared" si="813"/>
        <v/>
      </c>
      <c r="AE2343" s="70" t="str">
        <f t="shared" si="814"/>
        <v/>
      </c>
      <c r="AF2343" s="16"/>
      <c r="AG2343" s="23"/>
      <c r="AH2343" s="22"/>
      <c r="AJ2343" s="83">
        <f t="shared" si="815"/>
        <v>0</v>
      </c>
      <c r="AO2343" s="22" t="str">
        <f t="shared" si="816"/>
        <v/>
      </c>
      <c r="AP2343" s="22" t="str">
        <f t="shared" si="817"/>
        <v/>
      </c>
    </row>
    <row r="2344" spans="1:42" x14ac:dyDescent="0.25">
      <c r="A2344" s="10"/>
      <c r="B2344" s="10"/>
      <c r="C2344" s="10"/>
      <c r="D2344" s="10"/>
      <c r="E2344" s="10"/>
      <c r="F2344" s="10"/>
      <c r="G2344" s="10"/>
      <c r="H2344" s="17"/>
      <c r="I2344" s="10"/>
      <c r="J2344" s="10"/>
      <c r="K2344" s="16" t="str">
        <f t="shared" si="796"/>
        <v/>
      </c>
      <c r="L2344" s="23" t="str">
        <f t="shared" si="797"/>
        <v/>
      </c>
      <c r="M2344" s="22" t="str">
        <f t="shared" si="798"/>
        <v/>
      </c>
      <c r="N2344" s="72"/>
      <c r="O2344" s="16" t="str">
        <f t="shared" si="799"/>
        <v/>
      </c>
      <c r="P2344" s="16" t="str">
        <f t="shared" si="800"/>
        <v/>
      </c>
      <c r="Q2344" s="16" t="str">
        <f t="shared" si="801"/>
        <v/>
      </c>
      <c r="R2344" s="23" t="str">
        <f t="shared" si="802"/>
        <v/>
      </c>
      <c r="S2344" s="23" t="str">
        <f t="shared" si="803"/>
        <v/>
      </c>
      <c r="T2344" s="23" t="str">
        <f t="shared" si="804"/>
        <v/>
      </c>
      <c r="U2344" s="23" t="str">
        <f t="shared" si="805"/>
        <v/>
      </c>
      <c r="V2344" s="23" t="str">
        <f t="shared" si="806"/>
        <v/>
      </c>
      <c r="W2344" s="70" t="str">
        <f t="shared" si="807"/>
        <v/>
      </c>
      <c r="X2344" s="70" t="str">
        <f t="shared" si="808"/>
        <v/>
      </c>
      <c r="Y2344" s="70" t="str">
        <f>IF(AND($A2344&lt;&gt;"",$E2344&gt;0),isLaptopBag($C2344,$J2344)*$D2344,"")</f>
        <v/>
      </c>
      <c r="Z2344" s="70" t="str">
        <f t="shared" si="809"/>
        <v/>
      </c>
      <c r="AA2344" s="70" t="str">
        <f t="shared" si="810"/>
        <v/>
      </c>
      <c r="AB2344" s="70" t="str">
        <f t="shared" si="811"/>
        <v/>
      </c>
      <c r="AC2344" s="70" t="str">
        <f t="shared" si="812"/>
        <v/>
      </c>
      <c r="AD2344" s="70" t="str">
        <f t="shared" si="813"/>
        <v/>
      </c>
      <c r="AE2344" s="70" t="str">
        <f t="shared" si="814"/>
        <v/>
      </c>
      <c r="AF2344" s="16"/>
      <c r="AG2344" s="23"/>
      <c r="AH2344" s="22"/>
      <c r="AJ2344" s="83">
        <f t="shared" si="815"/>
        <v>0</v>
      </c>
      <c r="AO2344" s="22" t="str">
        <f t="shared" si="816"/>
        <v/>
      </c>
      <c r="AP2344" s="22" t="str">
        <f t="shared" si="817"/>
        <v/>
      </c>
    </row>
    <row r="2345" spans="1:42" x14ac:dyDescent="0.25">
      <c r="A2345" s="10"/>
      <c r="B2345" s="10"/>
      <c r="C2345" s="10"/>
      <c r="D2345" s="10"/>
      <c r="E2345" s="10"/>
      <c r="F2345" s="10"/>
      <c r="G2345" s="10"/>
      <c r="H2345" s="17"/>
      <c r="I2345" s="10"/>
      <c r="J2345" s="10"/>
      <c r="K2345" s="16" t="str">
        <f t="shared" si="796"/>
        <v/>
      </c>
      <c r="L2345" s="23" t="str">
        <f t="shared" si="797"/>
        <v/>
      </c>
      <c r="M2345" s="22" t="str">
        <f t="shared" si="798"/>
        <v/>
      </c>
      <c r="N2345" s="72"/>
      <c r="O2345" s="16" t="str">
        <f t="shared" si="799"/>
        <v/>
      </c>
      <c r="P2345" s="16" t="str">
        <f t="shared" si="800"/>
        <v/>
      </c>
      <c r="Q2345" s="16" t="str">
        <f t="shared" si="801"/>
        <v/>
      </c>
      <c r="R2345" s="23" t="str">
        <f t="shared" si="802"/>
        <v/>
      </c>
      <c r="S2345" s="23" t="str">
        <f t="shared" si="803"/>
        <v/>
      </c>
      <c r="T2345" s="23" t="str">
        <f t="shared" si="804"/>
        <v/>
      </c>
      <c r="U2345" s="23" t="str">
        <f t="shared" si="805"/>
        <v/>
      </c>
      <c r="V2345" s="23" t="str">
        <f t="shared" si="806"/>
        <v/>
      </c>
      <c r="W2345" s="70" t="str">
        <f t="shared" si="807"/>
        <v/>
      </c>
      <c r="X2345" s="70" t="str">
        <f t="shared" si="808"/>
        <v/>
      </c>
      <c r="Y2345" s="70" t="str">
        <f>IF(AND($A2345&lt;&gt;"",$E2345&gt;0),isLaptopBag($C2345,$J2345)*$D2345,"")</f>
        <v/>
      </c>
      <c r="Z2345" s="70" t="str">
        <f t="shared" si="809"/>
        <v/>
      </c>
      <c r="AA2345" s="70" t="str">
        <f t="shared" si="810"/>
        <v/>
      </c>
      <c r="AB2345" s="70" t="str">
        <f t="shared" si="811"/>
        <v/>
      </c>
      <c r="AC2345" s="70" t="str">
        <f t="shared" si="812"/>
        <v/>
      </c>
      <c r="AD2345" s="70" t="str">
        <f t="shared" si="813"/>
        <v/>
      </c>
      <c r="AE2345" s="70" t="str">
        <f t="shared" si="814"/>
        <v/>
      </c>
      <c r="AF2345" s="16"/>
      <c r="AG2345" s="23"/>
      <c r="AH2345" s="22"/>
      <c r="AJ2345" s="83">
        <f t="shared" si="815"/>
        <v>0</v>
      </c>
      <c r="AO2345" s="22" t="str">
        <f t="shared" si="816"/>
        <v/>
      </c>
      <c r="AP2345" s="22" t="str">
        <f t="shared" si="817"/>
        <v/>
      </c>
    </row>
    <row r="2346" spans="1:42" x14ac:dyDescent="0.25">
      <c r="A2346" s="10"/>
      <c r="B2346" s="10"/>
      <c r="C2346" s="10"/>
      <c r="D2346" s="10"/>
      <c r="E2346" s="10"/>
      <c r="F2346" s="10"/>
      <c r="G2346" s="10"/>
      <c r="H2346" s="17"/>
      <c r="I2346" s="10"/>
      <c r="J2346" s="10"/>
      <c r="K2346" s="16" t="str">
        <f t="shared" si="796"/>
        <v/>
      </c>
      <c r="L2346" s="23" t="str">
        <f t="shared" si="797"/>
        <v/>
      </c>
      <c r="M2346" s="22" t="str">
        <f t="shared" si="798"/>
        <v/>
      </c>
      <c r="N2346" s="72"/>
      <c r="O2346" s="16" t="str">
        <f t="shared" si="799"/>
        <v/>
      </c>
      <c r="P2346" s="16" t="str">
        <f t="shared" si="800"/>
        <v/>
      </c>
      <c r="Q2346" s="16" t="str">
        <f t="shared" si="801"/>
        <v/>
      </c>
      <c r="R2346" s="23" t="str">
        <f t="shared" si="802"/>
        <v/>
      </c>
      <c r="S2346" s="23" t="str">
        <f t="shared" si="803"/>
        <v/>
      </c>
      <c r="T2346" s="23" t="str">
        <f t="shared" si="804"/>
        <v/>
      </c>
      <c r="U2346" s="23" t="str">
        <f t="shared" si="805"/>
        <v/>
      </c>
      <c r="V2346" s="23" t="str">
        <f t="shared" si="806"/>
        <v/>
      </c>
      <c r="W2346" s="70" t="str">
        <f t="shared" si="807"/>
        <v/>
      </c>
      <c r="X2346" s="70" t="str">
        <f t="shared" si="808"/>
        <v/>
      </c>
      <c r="Y2346" s="70" t="str">
        <f>IF(AND($A2346&lt;&gt;"",$E2346&gt;0),isLaptopBag($C2346,$J2346)*$D2346,"")</f>
        <v/>
      </c>
      <c r="Z2346" s="70" t="str">
        <f t="shared" si="809"/>
        <v/>
      </c>
      <c r="AA2346" s="70" t="str">
        <f t="shared" si="810"/>
        <v/>
      </c>
      <c r="AB2346" s="70" t="str">
        <f t="shared" si="811"/>
        <v/>
      </c>
      <c r="AC2346" s="70" t="str">
        <f t="shared" si="812"/>
        <v/>
      </c>
      <c r="AD2346" s="70" t="str">
        <f t="shared" si="813"/>
        <v/>
      </c>
      <c r="AE2346" s="70" t="str">
        <f t="shared" si="814"/>
        <v/>
      </c>
      <c r="AF2346" s="16"/>
      <c r="AG2346" s="23"/>
      <c r="AH2346" s="22"/>
      <c r="AJ2346" s="83">
        <f t="shared" si="815"/>
        <v>0</v>
      </c>
      <c r="AO2346" s="22" t="str">
        <f t="shared" si="816"/>
        <v/>
      </c>
      <c r="AP2346" s="22" t="str">
        <f t="shared" si="817"/>
        <v/>
      </c>
    </row>
    <row r="2347" spans="1:42" x14ac:dyDescent="0.25">
      <c r="A2347" s="10"/>
      <c r="B2347" s="10"/>
      <c r="C2347" s="10"/>
      <c r="D2347" s="10"/>
      <c r="E2347" s="10"/>
      <c r="F2347" s="10"/>
      <c r="G2347" s="10"/>
      <c r="H2347" s="17"/>
      <c r="I2347" s="10"/>
      <c r="J2347" s="10"/>
      <c r="K2347" s="16" t="str">
        <f t="shared" si="796"/>
        <v/>
      </c>
      <c r="L2347" s="23" t="str">
        <f t="shared" si="797"/>
        <v/>
      </c>
      <c r="M2347" s="22" t="str">
        <f t="shared" si="798"/>
        <v/>
      </c>
      <c r="N2347" s="72"/>
      <c r="O2347" s="16" t="str">
        <f t="shared" si="799"/>
        <v/>
      </c>
      <c r="P2347" s="16" t="str">
        <f t="shared" si="800"/>
        <v/>
      </c>
      <c r="Q2347" s="16" t="str">
        <f t="shared" si="801"/>
        <v/>
      </c>
      <c r="R2347" s="23" t="str">
        <f t="shared" si="802"/>
        <v/>
      </c>
      <c r="S2347" s="23" t="str">
        <f t="shared" si="803"/>
        <v/>
      </c>
      <c r="T2347" s="23" t="str">
        <f t="shared" si="804"/>
        <v/>
      </c>
      <c r="U2347" s="23" t="str">
        <f t="shared" si="805"/>
        <v/>
      </c>
      <c r="V2347" s="23" t="str">
        <f t="shared" si="806"/>
        <v/>
      </c>
      <c r="W2347" s="70" t="str">
        <f t="shared" si="807"/>
        <v/>
      </c>
      <c r="X2347" s="70" t="str">
        <f t="shared" si="808"/>
        <v/>
      </c>
      <c r="Y2347" s="70" t="str">
        <f>IF(AND($A2347&lt;&gt;"",$E2347&gt;0),isLaptopBag($C2347,$J2347)*$D2347,"")</f>
        <v/>
      </c>
      <c r="Z2347" s="70" t="str">
        <f t="shared" si="809"/>
        <v/>
      </c>
      <c r="AA2347" s="70" t="str">
        <f t="shared" si="810"/>
        <v/>
      </c>
      <c r="AB2347" s="70" t="str">
        <f t="shared" si="811"/>
        <v/>
      </c>
      <c r="AC2347" s="70" t="str">
        <f t="shared" si="812"/>
        <v/>
      </c>
      <c r="AD2347" s="70" t="str">
        <f t="shared" si="813"/>
        <v/>
      </c>
      <c r="AE2347" s="70" t="str">
        <f t="shared" si="814"/>
        <v/>
      </c>
      <c r="AF2347" s="16"/>
      <c r="AG2347" s="23"/>
      <c r="AH2347" s="22"/>
      <c r="AJ2347" s="83">
        <f t="shared" si="815"/>
        <v>0</v>
      </c>
      <c r="AO2347" s="22" t="str">
        <f t="shared" si="816"/>
        <v/>
      </c>
      <c r="AP2347" s="22" t="str">
        <f t="shared" si="817"/>
        <v/>
      </c>
    </row>
    <row r="2348" spans="1:42" x14ac:dyDescent="0.25">
      <c r="A2348" s="10"/>
      <c r="B2348" s="10"/>
      <c r="C2348" s="10"/>
      <c r="D2348" s="10"/>
      <c r="E2348" s="10"/>
      <c r="F2348" s="10"/>
      <c r="G2348" s="10"/>
      <c r="H2348" s="17"/>
      <c r="I2348" s="10"/>
      <c r="J2348" s="10"/>
      <c r="K2348" s="16" t="str">
        <f t="shared" si="796"/>
        <v/>
      </c>
      <c r="L2348" s="23" t="str">
        <f t="shared" si="797"/>
        <v/>
      </c>
      <c r="M2348" s="22" t="str">
        <f t="shared" si="798"/>
        <v/>
      </c>
      <c r="N2348" s="72"/>
      <c r="O2348" s="16" t="str">
        <f t="shared" si="799"/>
        <v/>
      </c>
      <c r="P2348" s="16" t="str">
        <f t="shared" si="800"/>
        <v/>
      </c>
      <c r="Q2348" s="16" t="str">
        <f t="shared" si="801"/>
        <v/>
      </c>
      <c r="R2348" s="23" t="str">
        <f t="shared" si="802"/>
        <v/>
      </c>
      <c r="S2348" s="23" t="str">
        <f t="shared" si="803"/>
        <v/>
      </c>
      <c r="T2348" s="23" t="str">
        <f t="shared" si="804"/>
        <v/>
      </c>
      <c r="U2348" s="23" t="str">
        <f t="shared" si="805"/>
        <v/>
      </c>
      <c r="V2348" s="23" t="str">
        <f t="shared" si="806"/>
        <v/>
      </c>
      <c r="W2348" s="70" t="str">
        <f t="shared" si="807"/>
        <v/>
      </c>
      <c r="X2348" s="70" t="str">
        <f t="shared" si="808"/>
        <v/>
      </c>
      <c r="Y2348" s="70" t="str">
        <f>IF(AND($A2348&lt;&gt;"",$E2348&gt;0),isLaptopBag($C2348,$J2348)*$D2348,"")</f>
        <v/>
      </c>
      <c r="Z2348" s="70" t="str">
        <f t="shared" si="809"/>
        <v/>
      </c>
      <c r="AA2348" s="70" t="str">
        <f t="shared" si="810"/>
        <v/>
      </c>
      <c r="AB2348" s="70" t="str">
        <f t="shared" si="811"/>
        <v/>
      </c>
      <c r="AC2348" s="70" t="str">
        <f t="shared" si="812"/>
        <v/>
      </c>
      <c r="AD2348" s="70" t="str">
        <f t="shared" si="813"/>
        <v/>
      </c>
      <c r="AE2348" s="70" t="str">
        <f t="shared" si="814"/>
        <v/>
      </c>
      <c r="AF2348" s="16"/>
      <c r="AG2348" s="23"/>
      <c r="AH2348" s="22"/>
      <c r="AJ2348" s="83">
        <f t="shared" si="815"/>
        <v>0</v>
      </c>
      <c r="AO2348" s="22" t="str">
        <f t="shared" si="816"/>
        <v/>
      </c>
      <c r="AP2348" s="22" t="str">
        <f t="shared" si="817"/>
        <v/>
      </c>
    </row>
    <row r="2349" spans="1:42" x14ac:dyDescent="0.25">
      <c r="A2349" s="10"/>
      <c r="B2349" s="10"/>
      <c r="C2349" s="10"/>
      <c r="D2349" s="10"/>
      <c r="E2349" s="10"/>
      <c r="F2349" s="10"/>
      <c r="G2349" s="10"/>
      <c r="H2349" s="17"/>
      <c r="I2349" s="10"/>
      <c r="J2349" s="10"/>
      <c r="K2349" s="16" t="str">
        <f t="shared" si="796"/>
        <v/>
      </c>
      <c r="L2349" s="23" t="str">
        <f t="shared" si="797"/>
        <v/>
      </c>
      <c r="M2349" s="22" t="str">
        <f t="shared" si="798"/>
        <v/>
      </c>
      <c r="N2349" s="72"/>
      <c r="O2349" s="16" t="str">
        <f t="shared" si="799"/>
        <v/>
      </c>
      <c r="P2349" s="16" t="str">
        <f t="shared" si="800"/>
        <v/>
      </c>
      <c r="Q2349" s="16" t="str">
        <f t="shared" si="801"/>
        <v/>
      </c>
      <c r="R2349" s="23" t="str">
        <f t="shared" si="802"/>
        <v/>
      </c>
      <c r="S2349" s="23" t="str">
        <f t="shared" si="803"/>
        <v/>
      </c>
      <c r="T2349" s="23" t="str">
        <f t="shared" si="804"/>
        <v/>
      </c>
      <c r="U2349" s="23" t="str">
        <f t="shared" si="805"/>
        <v/>
      </c>
      <c r="V2349" s="23" t="str">
        <f t="shared" si="806"/>
        <v/>
      </c>
      <c r="W2349" s="70" t="str">
        <f t="shared" si="807"/>
        <v/>
      </c>
      <c r="X2349" s="70" t="str">
        <f t="shared" si="808"/>
        <v/>
      </c>
      <c r="Y2349" s="70" t="str">
        <f>IF(AND($A2349&lt;&gt;"",$E2349&gt;0),isLaptopBag($C2349,$J2349)*$D2349,"")</f>
        <v/>
      </c>
      <c r="Z2349" s="70" t="str">
        <f t="shared" si="809"/>
        <v/>
      </c>
      <c r="AA2349" s="70" t="str">
        <f t="shared" si="810"/>
        <v/>
      </c>
      <c r="AB2349" s="70" t="str">
        <f t="shared" si="811"/>
        <v/>
      </c>
      <c r="AC2349" s="70" t="str">
        <f t="shared" si="812"/>
        <v/>
      </c>
      <c r="AD2349" s="70" t="str">
        <f t="shared" si="813"/>
        <v/>
      </c>
      <c r="AE2349" s="70" t="str">
        <f t="shared" si="814"/>
        <v/>
      </c>
      <c r="AF2349" s="16"/>
      <c r="AG2349" s="23"/>
      <c r="AH2349" s="22"/>
      <c r="AJ2349" s="83">
        <f t="shared" si="815"/>
        <v>0</v>
      </c>
      <c r="AO2349" s="22" t="str">
        <f t="shared" si="816"/>
        <v/>
      </c>
      <c r="AP2349" s="22" t="str">
        <f t="shared" si="817"/>
        <v/>
      </c>
    </row>
    <row r="2350" spans="1:42" x14ac:dyDescent="0.25">
      <c r="A2350" s="10"/>
      <c r="B2350" s="10"/>
      <c r="C2350" s="10"/>
      <c r="D2350" s="10"/>
      <c r="E2350" s="10"/>
      <c r="F2350" s="10"/>
      <c r="G2350" s="10"/>
      <c r="H2350" s="17"/>
      <c r="I2350" s="10"/>
      <c r="J2350" s="10"/>
      <c r="K2350" s="16" t="str">
        <f t="shared" si="796"/>
        <v/>
      </c>
      <c r="L2350" s="23" t="str">
        <f t="shared" si="797"/>
        <v/>
      </c>
      <c r="M2350" s="22" t="str">
        <f t="shared" si="798"/>
        <v/>
      </c>
      <c r="N2350" s="72"/>
      <c r="O2350" s="16" t="str">
        <f t="shared" si="799"/>
        <v/>
      </c>
      <c r="P2350" s="16" t="str">
        <f t="shared" si="800"/>
        <v/>
      </c>
      <c r="Q2350" s="16" t="str">
        <f t="shared" si="801"/>
        <v/>
      </c>
      <c r="R2350" s="23" t="str">
        <f t="shared" si="802"/>
        <v/>
      </c>
      <c r="S2350" s="23" t="str">
        <f t="shared" si="803"/>
        <v/>
      </c>
      <c r="T2350" s="23" t="str">
        <f t="shared" si="804"/>
        <v/>
      </c>
      <c r="U2350" s="23" t="str">
        <f t="shared" si="805"/>
        <v/>
      </c>
      <c r="V2350" s="23" t="str">
        <f t="shared" si="806"/>
        <v/>
      </c>
      <c r="W2350" s="70" t="str">
        <f t="shared" si="807"/>
        <v/>
      </c>
      <c r="X2350" s="70" t="str">
        <f t="shared" si="808"/>
        <v/>
      </c>
      <c r="Y2350" s="70" t="str">
        <f>IF(AND($A2350&lt;&gt;"",$E2350&gt;0),isLaptopBag($C2350,$J2350)*$D2350,"")</f>
        <v/>
      </c>
      <c r="Z2350" s="70" t="str">
        <f t="shared" si="809"/>
        <v/>
      </c>
      <c r="AA2350" s="70" t="str">
        <f t="shared" si="810"/>
        <v/>
      </c>
      <c r="AB2350" s="70" t="str">
        <f t="shared" si="811"/>
        <v/>
      </c>
      <c r="AC2350" s="70" t="str">
        <f t="shared" si="812"/>
        <v/>
      </c>
      <c r="AD2350" s="70" t="str">
        <f t="shared" si="813"/>
        <v/>
      </c>
      <c r="AE2350" s="70" t="str">
        <f t="shared" si="814"/>
        <v/>
      </c>
      <c r="AF2350" s="16"/>
      <c r="AG2350" s="23"/>
      <c r="AH2350" s="22"/>
      <c r="AJ2350" s="83">
        <f t="shared" si="815"/>
        <v>0</v>
      </c>
      <c r="AO2350" s="22" t="str">
        <f t="shared" si="816"/>
        <v/>
      </c>
      <c r="AP2350" s="22" t="str">
        <f t="shared" si="817"/>
        <v/>
      </c>
    </row>
    <row r="2351" spans="1:42" x14ac:dyDescent="0.25">
      <c r="A2351" s="10"/>
      <c r="B2351" s="10"/>
      <c r="C2351" s="10"/>
      <c r="D2351" s="10"/>
      <c r="E2351" s="10"/>
      <c r="F2351" s="10"/>
      <c r="G2351" s="10"/>
      <c r="H2351" s="17"/>
      <c r="I2351" s="10"/>
      <c r="J2351" s="10"/>
      <c r="K2351" s="16" t="str">
        <f t="shared" si="796"/>
        <v/>
      </c>
      <c r="L2351" s="23" t="str">
        <f t="shared" si="797"/>
        <v/>
      </c>
      <c r="M2351" s="22" t="str">
        <f t="shared" si="798"/>
        <v/>
      </c>
      <c r="N2351" s="72"/>
      <c r="O2351" s="16" t="str">
        <f t="shared" si="799"/>
        <v/>
      </c>
      <c r="P2351" s="16" t="str">
        <f t="shared" si="800"/>
        <v/>
      </c>
      <c r="Q2351" s="16" t="str">
        <f t="shared" si="801"/>
        <v/>
      </c>
      <c r="R2351" s="23" t="str">
        <f t="shared" si="802"/>
        <v/>
      </c>
      <c r="S2351" s="23" t="str">
        <f t="shared" si="803"/>
        <v/>
      </c>
      <c r="T2351" s="23" t="str">
        <f t="shared" si="804"/>
        <v/>
      </c>
      <c r="U2351" s="23" t="str">
        <f t="shared" si="805"/>
        <v/>
      </c>
      <c r="V2351" s="23" t="str">
        <f t="shared" si="806"/>
        <v/>
      </c>
      <c r="W2351" s="70" t="str">
        <f t="shared" si="807"/>
        <v/>
      </c>
      <c r="X2351" s="70" t="str">
        <f t="shared" si="808"/>
        <v/>
      </c>
      <c r="Y2351" s="70" t="str">
        <f>IF(AND($A2351&lt;&gt;"",$E2351&gt;0),isLaptopBag($C2351,$J2351)*$D2351,"")</f>
        <v/>
      </c>
      <c r="Z2351" s="70" t="str">
        <f t="shared" si="809"/>
        <v/>
      </c>
      <c r="AA2351" s="70" t="str">
        <f t="shared" si="810"/>
        <v/>
      </c>
      <c r="AB2351" s="70" t="str">
        <f t="shared" si="811"/>
        <v/>
      </c>
      <c r="AC2351" s="70" t="str">
        <f t="shared" si="812"/>
        <v/>
      </c>
      <c r="AD2351" s="70" t="str">
        <f t="shared" si="813"/>
        <v/>
      </c>
      <c r="AE2351" s="70" t="str">
        <f t="shared" si="814"/>
        <v/>
      </c>
      <c r="AF2351" s="16"/>
      <c r="AG2351" s="23"/>
      <c r="AH2351" s="22"/>
      <c r="AJ2351" s="83">
        <f t="shared" si="815"/>
        <v>0</v>
      </c>
      <c r="AO2351" s="22" t="str">
        <f t="shared" si="816"/>
        <v/>
      </c>
      <c r="AP2351" s="22" t="str">
        <f t="shared" si="817"/>
        <v/>
      </c>
    </row>
    <row r="2352" spans="1:42" x14ac:dyDescent="0.25">
      <c r="A2352" s="10"/>
      <c r="B2352" s="10"/>
      <c r="C2352" s="10"/>
      <c r="D2352" s="10"/>
      <c r="E2352" s="10"/>
      <c r="F2352" s="10"/>
      <c r="G2352" s="10"/>
      <c r="H2352" s="17"/>
      <c r="I2352" s="10"/>
      <c r="J2352" s="10"/>
      <c r="K2352" s="16" t="str">
        <f t="shared" si="796"/>
        <v/>
      </c>
      <c r="L2352" s="23" t="str">
        <f t="shared" si="797"/>
        <v/>
      </c>
      <c r="M2352" s="22" t="str">
        <f t="shared" si="798"/>
        <v/>
      </c>
      <c r="N2352" s="72"/>
      <c r="O2352" s="16" t="str">
        <f t="shared" si="799"/>
        <v/>
      </c>
      <c r="P2352" s="16" t="str">
        <f t="shared" si="800"/>
        <v/>
      </c>
      <c r="Q2352" s="16" t="str">
        <f t="shared" si="801"/>
        <v/>
      </c>
      <c r="R2352" s="23" t="str">
        <f t="shared" si="802"/>
        <v/>
      </c>
      <c r="S2352" s="23" t="str">
        <f t="shared" si="803"/>
        <v/>
      </c>
      <c r="T2352" s="23" t="str">
        <f t="shared" si="804"/>
        <v/>
      </c>
      <c r="U2352" s="23" t="str">
        <f t="shared" si="805"/>
        <v/>
      </c>
      <c r="V2352" s="23" t="str">
        <f t="shared" si="806"/>
        <v/>
      </c>
      <c r="W2352" s="70" t="str">
        <f t="shared" si="807"/>
        <v/>
      </c>
      <c r="X2352" s="70" t="str">
        <f t="shared" si="808"/>
        <v/>
      </c>
      <c r="Y2352" s="70" t="str">
        <f>IF(AND($A2352&lt;&gt;"",$E2352&gt;0),isLaptopBag($C2352,$J2352)*$D2352,"")</f>
        <v/>
      </c>
      <c r="Z2352" s="70" t="str">
        <f t="shared" si="809"/>
        <v/>
      </c>
      <c r="AA2352" s="70" t="str">
        <f t="shared" si="810"/>
        <v/>
      </c>
      <c r="AB2352" s="70" t="str">
        <f t="shared" si="811"/>
        <v/>
      </c>
      <c r="AC2352" s="70" t="str">
        <f t="shared" si="812"/>
        <v/>
      </c>
      <c r="AD2352" s="70" t="str">
        <f t="shared" si="813"/>
        <v/>
      </c>
      <c r="AE2352" s="70" t="str">
        <f t="shared" si="814"/>
        <v/>
      </c>
      <c r="AF2352" s="16"/>
      <c r="AG2352" s="23"/>
      <c r="AH2352" s="22"/>
      <c r="AJ2352" s="83">
        <f t="shared" si="815"/>
        <v>0</v>
      </c>
      <c r="AO2352" s="22" t="str">
        <f t="shared" si="816"/>
        <v/>
      </c>
      <c r="AP2352" s="22" t="str">
        <f t="shared" si="817"/>
        <v/>
      </c>
    </row>
    <row r="2353" spans="1:42" x14ac:dyDescent="0.25">
      <c r="A2353" s="10"/>
      <c r="B2353" s="10"/>
      <c r="C2353" s="10"/>
      <c r="D2353" s="10"/>
      <c r="E2353" s="10"/>
      <c r="F2353" s="10"/>
      <c r="G2353" s="10"/>
      <c r="H2353" s="17"/>
      <c r="I2353" s="10"/>
      <c r="J2353" s="10"/>
      <c r="K2353" s="16" t="str">
        <f t="shared" si="796"/>
        <v/>
      </c>
      <c r="L2353" s="23" t="str">
        <f t="shared" si="797"/>
        <v/>
      </c>
      <c r="M2353" s="22" t="str">
        <f t="shared" si="798"/>
        <v/>
      </c>
      <c r="N2353" s="72"/>
      <c r="O2353" s="16" t="str">
        <f t="shared" si="799"/>
        <v/>
      </c>
      <c r="P2353" s="16" t="str">
        <f t="shared" si="800"/>
        <v/>
      </c>
      <c r="Q2353" s="16" t="str">
        <f t="shared" si="801"/>
        <v/>
      </c>
      <c r="R2353" s="23" t="str">
        <f t="shared" si="802"/>
        <v/>
      </c>
      <c r="S2353" s="23" t="str">
        <f t="shared" si="803"/>
        <v/>
      </c>
      <c r="T2353" s="23" t="str">
        <f t="shared" si="804"/>
        <v/>
      </c>
      <c r="U2353" s="23" t="str">
        <f t="shared" si="805"/>
        <v/>
      </c>
      <c r="V2353" s="23" t="str">
        <f t="shared" si="806"/>
        <v/>
      </c>
      <c r="W2353" s="70" t="str">
        <f t="shared" si="807"/>
        <v/>
      </c>
      <c r="X2353" s="70" t="str">
        <f t="shared" si="808"/>
        <v/>
      </c>
      <c r="Y2353" s="70" t="str">
        <f>IF(AND($A2353&lt;&gt;"",$E2353&gt;0),isLaptopBag($C2353,$J2353)*$D2353,"")</f>
        <v/>
      </c>
      <c r="Z2353" s="70" t="str">
        <f t="shared" si="809"/>
        <v/>
      </c>
      <c r="AA2353" s="70" t="str">
        <f t="shared" si="810"/>
        <v/>
      </c>
      <c r="AB2353" s="70" t="str">
        <f t="shared" si="811"/>
        <v/>
      </c>
      <c r="AC2353" s="70" t="str">
        <f t="shared" si="812"/>
        <v/>
      </c>
      <c r="AD2353" s="70" t="str">
        <f t="shared" si="813"/>
        <v/>
      </c>
      <c r="AE2353" s="70" t="str">
        <f t="shared" si="814"/>
        <v/>
      </c>
      <c r="AF2353" s="16"/>
      <c r="AG2353" s="23"/>
      <c r="AH2353" s="22"/>
      <c r="AJ2353" s="83">
        <f t="shared" si="815"/>
        <v>0</v>
      </c>
      <c r="AO2353" s="22" t="str">
        <f t="shared" si="816"/>
        <v/>
      </c>
      <c r="AP2353" s="22" t="str">
        <f t="shared" si="817"/>
        <v/>
      </c>
    </row>
    <row r="2354" spans="1:42" x14ac:dyDescent="0.25">
      <c r="A2354" s="10"/>
      <c r="B2354" s="10"/>
      <c r="C2354" s="10"/>
      <c r="D2354" s="10"/>
      <c r="E2354" s="10"/>
      <c r="F2354" s="10"/>
      <c r="G2354" s="10"/>
      <c r="H2354" s="17"/>
      <c r="I2354" s="10"/>
      <c r="J2354" s="10"/>
      <c r="K2354" s="16" t="str">
        <f t="shared" si="796"/>
        <v/>
      </c>
      <c r="L2354" s="23" t="str">
        <f t="shared" si="797"/>
        <v/>
      </c>
      <c r="M2354" s="22" t="str">
        <f t="shared" si="798"/>
        <v/>
      </c>
      <c r="N2354" s="72"/>
      <c r="O2354" s="16" t="str">
        <f t="shared" si="799"/>
        <v/>
      </c>
      <c r="P2354" s="16" t="str">
        <f t="shared" si="800"/>
        <v/>
      </c>
      <c r="Q2354" s="16" t="str">
        <f t="shared" si="801"/>
        <v/>
      </c>
      <c r="R2354" s="23" t="str">
        <f t="shared" si="802"/>
        <v/>
      </c>
      <c r="S2354" s="23" t="str">
        <f t="shared" si="803"/>
        <v/>
      </c>
      <c r="T2354" s="23" t="str">
        <f t="shared" si="804"/>
        <v/>
      </c>
      <c r="U2354" s="23" t="str">
        <f t="shared" si="805"/>
        <v/>
      </c>
      <c r="V2354" s="23" t="str">
        <f t="shared" si="806"/>
        <v/>
      </c>
      <c r="W2354" s="70" t="str">
        <f t="shared" si="807"/>
        <v/>
      </c>
      <c r="X2354" s="70" t="str">
        <f t="shared" si="808"/>
        <v/>
      </c>
      <c r="Y2354" s="70" t="str">
        <f>IF(AND($A2354&lt;&gt;"",$E2354&gt;0),isLaptopBag($C2354,$J2354)*$D2354,"")</f>
        <v/>
      </c>
      <c r="Z2354" s="70" t="str">
        <f t="shared" si="809"/>
        <v/>
      </c>
      <c r="AA2354" s="70" t="str">
        <f t="shared" si="810"/>
        <v/>
      </c>
      <c r="AB2354" s="70" t="str">
        <f t="shared" si="811"/>
        <v/>
      </c>
      <c r="AC2354" s="70" t="str">
        <f t="shared" si="812"/>
        <v/>
      </c>
      <c r="AD2354" s="70" t="str">
        <f t="shared" si="813"/>
        <v/>
      </c>
      <c r="AE2354" s="70" t="str">
        <f t="shared" si="814"/>
        <v/>
      </c>
      <c r="AF2354" s="16"/>
      <c r="AG2354" s="23"/>
      <c r="AH2354" s="22"/>
      <c r="AJ2354" s="83">
        <f t="shared" si="815"/>
        <v>0</v>
      </c>
      <c r="AO2354" s="22" t="str">
        <f t="shared" si="816"/>
        <v/>
      </c>
      <c r="AP2354" s="22" t="str">
        <f t="shared" si="817"/>
        <v/>
      </c>
    </row>
    <row r="2355" spans="1:42" x14ac:dyDescent="0.25">
      <c r="A2355" s="10"/>
      <c r="B2355" s="10"/>
      <c r="C2355" s="10"/>
      <c r="D2355" s="10"/>
      <c r="E2355" s="10"/>
      <c r="F2355" s="10"/>
      <c r="G2355" s="10"/>
      <c r="H2355" s="17"/>
      <c r="I2355" s="10"/>
      <c r="J2355" s="10"/>
      <c r="K2355" s="16" t="str">
        <f t="shared" si="796"/>
        <v/>
      </c>
      <c r="L2355" s="23" t="str">
        <f t="shared" si="797"/>
        <v/>
      </c>
      <c r="M2355" s="22" t="str">
        <f t="shared" si="798"/>
        <v/>
      </c>
      <c r="N2355" s="72"/>
      <c r="O2355" s="16" t="str">
        <f t="shared" si="799"/>
        <v/>
      </c>
      <c r="P2355" s="16" t="str">
        <f t="shared" si="800"/>
        <v/>
      </c>
      <c r="Q2355" s="16" t="str">
        <f t="shared" si="801"/>
        <v/>
      </c>
      <c r="R2355" s="23" t="str">
        <f t="shared" si="802"/>
        <v/>
      </c>
      <c r="S2355" s="23" t="str">
        <f t="shared" si="803"/>
        <v/>
      </c>
      <c r="T2355" s="23" t="str">
        <f t="shared" si="804"/>
        <v/>
      </c>
      <c r="U2355" s="23" t="str">
        <f t="shared" si="805"/>
        <v/>
      </c>
      <c r="V2355" s="23" t="str">
        <f t="shared" si="806"/>
        <v/>
      </c>
      <c r="W2355" s="70" t="str">
        <f t="shared" si="807"/>
        <v/>
      </c>
      <c r="X2355" s="70" t="str">
        <f t="shared" si="808"/>
        <v/>
      </c>
      <c r="Y2355" s="70" t="str">
        <f>IF(AND($A2355&lt;&gt;"",$E2355&gt;0),isLaptopBag($C2355,$J2355)*$D2355,"")</f>
        <v/>
      </c>
      <c r="Z2355" s="70" t="str">
        <f t="shared" si="809"/>
        <v/>
      </c>
      <c r="AA2355" s="70" t="str">
        <f t="shared" si="810"/>
        <v/>
      </c>
      <c r="AB2355" s="70" t="str">
        <f t="shared" si="811"/>
        <v/>
      </c>
      <c r="AC2355" s="70" t="str">
        <f t="shared" si="812"/>
        <v/>
      </c>
      <c r="AD2355" s="70" t="str">
        <f t="shared" si="813"/>
        <v/>
      </c>
      <c r="AE2355" s="70" t="str">
        <f t="shared" si="814"/>
        <v/>
      </c>
      <c r="AF2355" s="16"/>
      <c r="AG2355" s="23"/>
      <c r="AH2355" s="22"/>
      <c r="AJ2355" s="83">
        <f t="shared" si="815"/>
        <v>0</v>
      </c>
      <c r="AO2355" s="22" t="str">
        <f t="shared" si="816"/>
        <v/>
      </c>
      <c r="AP2355" s="22" t="str">
        <f t="shared" si="817"/>
        <v/>
      </c>
    </row>
    <row r="2356" spans="1:42" x14ac:dyDescent="0.25">
      <c r="A2356" s="10"/>
      <c r="B2356" s="10"/>
      <c r="C2356" s="10"/>
      <c r="D2356" s="10"/>
      <c r="E2356" s="10"/>
      <c r="F2356" s="10"/>
      <c r="G2356" s="10"/>
      <c r="H2356" s="17"/>
      <c r="I2356" s="10"/>
      <c r="J2356" s="10"/>
      <c r="K2356" s="16" t="str">
        <f t="shared" si="796"/>
        <v/>
      </c>
      <c r="L2356" s="23" t="str">
        <f t="shared" si="797"/>
        <v/>
      </c>
      <c r="M2356" s="22" t="str">
        <f t="shared" si="798"/>
        <v/>
      </c>
      <c r="N2356" s="72"/>
      <c r="O2356" s="16" t="str">
        <f t="shared" si="799"/>
        <v/>
      </c>
      <c r="P2356" s="16" t="str">
        <f t="shared" si="800"/>
        <v/>
      </c>
      <c r="Q2356" s="16" t="str">
        <f t="shared" si="801"/>
        <v/>
      </c>
      <c r="R2356" s="23" t="str">
        <f t="shared" si="802"/>
        <v/>
      </c>
      <c r="S2356" s="23" t="str">
        <f t="shared" si="803"/>
        <v/>
      </c>
      <c r="T2356" s="23" t="str">
        <f t="shared" si="804"/>
        <v/>
      </c>
      <c r="U2356" s="23" t="str">
        <f t="shared" si="805"/>
        <v/>
      </c>
      <c r="V2356" s="23" t="str">
        <f t="shared" si="806"/>
        <v/>
      </c>
      <c r="W2356" s="70" t="str">
        <f t="shared" si="807"/>
        <v/>
      </c>
      <c r="X2356" s="70" t="str">
        <f t="shared" si="808"/>
        <v/>
      </c>
      <c r="Y2356" s="70" t="str">
        <f>IF(AND($A2356&lt;&gt;"",$E2356&gt;0),isLaptopBag($C2356,$J2356)*$D2356,"")</f>
        <v/>
      </c>
      <c r="Z2356" s="70" t="str">
        <f t="shared" si="809"/>
        <v/>
      </c>
      <c r="AA2356" s="70" t="str">
        <f t="shared" si="810"/>
        <v/>
      </c>
      <c r="AB2356" s="70" t="str">
        <f t="shared" si="811"/>
        <v/>
      </c>
      <c r="AC2356" s="70" t="str">
        <f t="shared" si="812"/>
        <v/>
      </c>
      <c r="AD2356" s="70" t="str">
        <f t="shared" si="813"/>
        <v/>
      </c>
      <c r="AE2356" s="70" t="str">
        <f t="shared" si="814"/>
        <v/>
      </c>
      <c r="AF2356" s="16"/>
      <c r="AG2356" s="23"/>
      <c r="AH2356" s="22"/>
      <c r="AJ2356" s="83">
        <f t="shared" si="815"/>
        <v>0</v>
      </c>
      <c r="AO2356" s="22" t="str">
        <f t="shared" si="816"/>
        <v/>
      </c>
      <c r="AP2356" s="22" t="str">
        <f t="shared" si="817"/>
        <v/>
      </c>
    </row>
    <row r="2357" spans="1:42" x14ac:dyDescent="0.25">
      <c r="A2357" s="10"/>
      <c r="B2357" s="10"/>
      <c r="C2357" s="10"/>
      <c r="D2357" s="10"/>
      <c r="E2357" s="10"/>
      <c r="F2357" s="10"/>
      <c r="G2357" s="10"/>
      <c r="H2357" s="17"/>
      <c r="I2357" s="10"/>
      <c r="J2357" s="10"/>
      <c r="K2357" s="16" t="str">
        <f t="shared" si="796"/>
        <v/>
      </c>
      <c r="L2357" s="23" t="str">
        <f t="shared" si="797"/>
        <v/>
      </c>
      <c r="M2357" s="22" t="str">
        <f t="shared" si="798"/>
        <v/>
      </c>
      <c r="N2357" s="72"/>
      <c r="O2357" s="16" t="str">
        <f t="shared" si="799"/>
        <v/>
      </c>
      <c r="P2357" s="16" t="str">
        <f t="shared" si="800"/>
        <v/>
      </c>
      <c r="Q2357" s="16" t="str">
        <f t="shared" si="801"/>
        <v/>
      </c>
      <c r="R2357" s="23" t="str">
        <f t="shared" si="802"/>
        <v/>
      </c>
      <c r="S2357" s="23" t="str">
        <f t="shared" si="803"/>
        <v/>
      </c>
      <c r="T2357" s="23" t="str">
        <f t="shared" si="804"/>
        <v/>
      </c>
      <c r="U2357" s="23" t="str">
        <f t="shared" si="805"/>
        <v/>
      </c>
      <c r="V2357" s="23" t="str">
        <f t="shared" si="806"/>
        <v/>
      </c>
      <c r="W2357" s="70" t="str">
        <f t="shared" si="807"/>
        <v/>
      </c>
      <c r="X2357" s="70" t="str">
        <f t="shared" si="808"/>
        <v/>
      </c>
      <c r="Y2357" s="70" t="str">
        <f>IF(AND($A2357&lt;&gt;"",$E2357&gt;0),isLaptopBag($C2357,$J2357)*$D2357,"")</f>
        <v/>
      </c>
      <c r="Z2357" s="70" t="str">
        <f t="shared" si="809"/>
        <v/>
      </c>
      <c r="AA2357" s="70" t="str">
        <f t="shared" si="810"/>
        <v/>
      </c>
      <c r="AB2357" s="70" t="str">
        <f t="shared" si="811"/>
        <v/>
      </c>
      <c r="AC2357" s="70" t="str">
        <f t="shared" si="812"/>
        <v/>
      </c>
      <c r="AD2357" s="70" t="str">
        <f t="shared" si="813"/>
        <v/>
      </c>
      <c r="AE2357" s="70" t="str">
        <f t="shared" si="814"/>
        <v/>
      </c>
      <c r="AF2357" s="16"/>
      <c r="AG2357" s="23"/>
      <c r="AH2357" s="22"/>
      <c r="AJ2357" s="83">
        <f t="shared" si="815"/>
        <v>0</v>
      </c>
      <c r="AO2357" s="22" t="str">
        <f t="shared" si="816"/>
        <v/>
      </c>
      <c r="AP2357" s="22" t="str">
        <f t="shared" si="817"/>
        <v/>
      </c>
    </row>
    <row r="2358" spans="1:42" x14ac:dyDescent="0.25">
      <c r="A2358" s="10"/>
      <c r="B2358" s="10"/>
      <c r="C2358" s="10"/>
      <c r="D2358" s="10"/>
      <c r="E2358" s="10"/>
      <c r="F2358" s="10"/>
      <c r="G2358" s="10"/>
      <c r="H2358" s="17"/>
      <c r="I2358" s="10"/>
      <c r="J2358" s="10"/>
      <c r="K2358" s="16" t="str">
        <f t="shared" si="796"/>
        <v/>
      </c>
      <c r="L2358" s="23" t="str">
        <f t="shared" si="797"/>
        <v/>
      </c>
      <c r="M2358" s="22" t="str">
        <f t="shared" si="798"/>
        <v/>
      </c>
      <c r="N2358" s="72"/>
      <c r="O2358" s="16" t="str">
        <f t="shared" si="799"/>
        <v/>
      </c>
      <c r="P2358" s="16" t="str">
        <f t="shared" si="800"/>
        <v/>
      </c>
      <c r="Q2358" s="16" t="str">
        <f t="shared" si="801"/>
        <v/>
      </c>
      <c r="R2358" s="23" t="str">
        <f t="shared" si="802"/>
        <v/>
      </c>
      <c r="S2358" s="23" t="str">
        <f t="shared" si="803"/>
        <v/>
      </c>
      <c r="T2358" s="23" t="str">
        <f t="shared" si="804"/>
        <v/>
      </c>
      <c r="U2358" s="23" t="str">
        <f t="shared" si="805"/>
        <v/>
      </c>
      <c r="V2358" s="23" t="str">
        <f t="shared" si="806"/>
        <v/>
      </c>
      <c r="W2358" s="70" t="str">
        <f t="shared" si="807"/>
        <v/>
      </c>
      <c r="X2358" s="70" t="str">
        <f t="shared" si="808"/>
        <v/>
      </c>
      <c r="Y2358" s="70" t="str">
        <f>IF(AND($A2358&lt;&gt;"",$E2358&gt;0),isLaptopBag($C2358,$J2358)*$D2358,"")</f>
        <v/>
      </c>
      <c r="Z2358" s="70" t="str">
        <f t="shared" si="809"/>
        <v/>
      </c>
      <c r="AA2358" s="70" t="str">
        <f t="shared" si="810"/>
        <v/>
      </c>
      <c r="AB2358" s="70" t="str">
        <f t="shared" si="811"/>
        <v/>
      </c>
      <c r="AC2358" s="70" t="str">
        <f t="shared" si="812"/>
        <v/>
      </c>
      <c r="AD2358" s="70" t="str">
        <f t="shared" si="813"/>
        <v/>
      </c>
      <c r="AE2358" s="70" t="str">
        <f t="shared" si="814"/>
        <v/>
      </c>
      <c r="AF2358" s="16"/>
      <c r="AG2358" s="23"/>
      <c r="AH2358" s="22"/>
      <c r="AJ2358" s="83">
        <f t="shared" si="815"/>
        <v>0</v>
      </c>
      <c r="AO2358" s="22" t="str">
        <f t="shared" si="816"/>
        <v/>
      </c>
      <c r="AP2358" s="22" t="str">
        <f t="shared" si="817"/>
        <v/>
      </c>
    </row>
    <row r="2359" spans="1:42" x14ac:dyDescent="0.25">
      <c r="A2359" s="10"/>
      <c r="B2359" s="10"/>
      <c r="C2359" s="10"/>
      <c r="D2359" s="10"/>
      <c r="E2359" s="10"/>
      <c r="F2359" s="10"/>
      <c r="G2359" s="10"/>
      <c r="H2359" s="17"/>
      <c r="I2359" s="10"/>
      <c r="J2359" s="10"/>
      <c r="K2359" s="16" t="str">
        <f t="shared" si="796"/>
        <v/>
      </c>
      <c r="L2359" s="23" t="str">
        <f t="shared" si="797"/>
        <v/>
      </c>
      <c r="M2359" s="22" t="str">
        <f t="shared" si="798"/>
        <v/>
      </c>
      <c r="N2359" s="72"/>
      <c r="O2359" s="16" t="str">
        <f t="shared" si="799"/>
        <v/>
      </c>
      <c r="P2359" s="16" t="str">
        <f t="shared" si="800"/>
        <v/>
      </c>
      <c r="Q2359" s="16" t="str">
        <f t="shared" si="801"/>
        <v/>
      </c>
      <c r="R2359" s="23" t="str">
        <f t="shared" si="802"/>
        <v/>
      </c>
      <c r="S2359" s="23" t="str">
        <f t="shared" si="803"/>
        <v/>
      </c>
      <c r="T2359" s="23" t="str">
        <f t="shared" si="804"/>
        <v/>
      </c>
      <c r="U2359" s="23" t="str">
        <f t="shared" si="805"/>
        <v/>
      </c>
      <c r="V2359" s="23" t="str">
        <f t="shared" si="806"/>
        <v/>
      </c>
      <c r="W2359" s="70" t="str">
        <f t="shared" si="807"/>
        <v/>
      </c>
      <c r="X2359" s="70" t="str">
        <f t="shared" si="808"/>
        <v/>
      </c>
      <c r="Y2359" s="70" t="str">
        <f>IF(AND($A2359&lt;&gt;"",$E2359&gt;0),isLaptopBag($C2359,$J2359)*$D2359,"")</f>
        <v/>
      </c>
      <c r="Z2359" s="70" t="str">
        <f t="shared" si="809"/>
        <v/>
      </c>
      <c r="AA2359" s="70" t="str">
        <f t="shared" si="810"/>
        <v/>
      </c>
      <c r="AB2359" s="70" t="str">
        <f t="shared" si="811"/>
        <v/>
      </c>
      <c r="AC2359" s="70" t="str">
        <f t="shared" si="812"/>
        <v/>
      </c>
      <c r="AD2359" s="70" t="str">
        <f t="shared" si="813"/>
        <v/>
      </c>
      <c r="AE2359" s="70" t="str">
        <f t="shared" si="814"/>
        <v/>
      </c>
      <c r="AF2359" s="16"/>
      <c r="AG2359" s="23"/>
      <c r="AH2359" s="22"/>
      <c r="AJ2359" s="83">
        <f t="shared" si="815"/>
        <v>0</v>
      </c>
      <c r="AO2359" s="22" t="str">
        <f t="shared" si="816"/>
        <v/>
      </c>
      <c r="AP2359" s="22" t="str">
        <f t="shared" si="817"/>
        <v/>
      </c>
    </row>
    <row r="2360" spans="1:42" x14ac:dyDescent="0.25">
      <c r="A2360" s="10"/>
      <c r="B2360" s="10"/>
      <c r="C2360" s="10"/>
      <c r="D2360" s="10"/>
      <c r="E2360" s="10"/>
      <c r="F2360" s="10"/>
      <c r="G2360" s="10"/>
      <c r="H2360" s="17"/>
      <c r="I2360" s="10"/>
      <c r="J2360" s="10"/>
      <c r="K2360" s="16" t="str">
        <f t="shared" si="796"/>
        <v/>
      </c>
      <c r="L2360" s="23" t="str">
        <f t="shared" si="797"/>
        <v/>
      </c>
      <c r="M2360" s="22" t="str">
        <f t="shared" si="798"/>
        <v/>
      </c>
      <c r="N2360" s="72"/>
      <c r="O2360" s="16" t="str">
        <f t="shared" si="799"/>
        <v/>
      </c>
      <c r="P2360" s="16" t="str">
        <f t="shared" si="800"/>
        <v/>
      </c>
      <c r="Q2360" s="16" t="str">
        <f t="shared" si="801"/>
        <v/>
      </c>
      <c r="R2360" s="23" t="str">
        <f t="shared" si="802"/>
        <v/>
      </c>
      <c r="S2360" s="23" t="str">
        <f t="shared" si="803"/>
        <v/>
      </c>
      <c r="T2360" s="23" t="str">
        <f t="shared" si="804"/>
        <v/>
      </c>
      <c r="U2360" s="23" t="str">
        <f t="shared" si="805"/>
        <v/>
      </c>
      <c r="V2360" s="23" t="str">
        <f t="shared" si="806"/>
        <v/>
      </c>
      <c r="W2360" s="70" t="str">
        <f t="shared" si="807"/>
        <v/>
      </c>
      <c r="X2360" s="70" t="str">
        <f t="shared" si="808"/>
        <v/>
      </c>
      <c r="Y2360" s="70" t="str">
        <f>IF(AND($A2360&lt;&gt;"",$E2360&gt;0),isLaptopBag($C2360,$J2360)*$D2360,"")</f>
        <v/>
      </c>
      <c r="Z2360" s="70" t="str">
        <f t="shared" si="809"/>
        <v/>
      </c>
      <c r="AA2360" s="70" t="str">
        <f t="shared" si="810"/>
        <v/>
      </c>
      <c r="AB2360" s="70" t="str">
        <f t="shared" si="811"/>
        <v/>
      </c>
      <c r="AC2360" s="70" t="str">
        <f t="shared" si="812"/>
        <v/>
      </c>
      <c r="AD2360" s="70" t="str">
        <f t="shared" si="813"/>
        <v/>
      </c>
      <c r="AE2360" s="70" t="str">
        <f t="shared" si="814"/>
        <v/>
      </c>
      <c r="AF2360" s="16"/>
      <c r="AG2360" s="23"/>
      <c r="AH2360" s="22"/>
      <c r="AJ2360" s="83">
        <f t="shared" si="815"/>
        <v>0</v>
      </c>
      <c r="AO2360" s="22" t="str">
        <f t="shared" si="816"/>
        <v/>
      </c>
      <c r="AP2360" s="22" t="str">
        <f t="shared" si="817"/>
        <v/>
      </c>
    </row>
    <row r="2361" spans="1:42" x14ac:dyDescent="0.25">
      <c r="A2361" s="10"/>
      <c r="B2361" s="10"/>
      <c r="C2361" s="10"/>
      <c r="D2361" s="10"/>
      <c r="E2361" s="10"/>
      <c r="F2361" s="10"/>
      <c r="G2361" s="10"/>
      <c r="H2361" s="17"/>
      <c r="I2361" s="10"/>
      <c r="J2361" s="10"/>
      <c r="K2361" s="16" t="str">
        <f t="shared" si="796"/>
        <v/>
      </c>
      <c r="L2361" s="23" t="str">
        <f t="shared" si="797"/>
        <v/>
      </c>
      <c r="M2361" s="22" t="str">
        <f t="shared" si="798"/>
        <v/>
      </c>
      <c r="N2361" s="72"/>
      <c r="O2361" s="16" t="str">
        <f t="shared" si="799"/>
        <v/>
      </c>
      <c r="P2361" s="16" t="str">
        <f t="shared" si="800"/>
        <v/>
      </c>
      <c r="Q2361" s="16" t="str">
        <f t="shared" si="801"/>
        <v/>
      </c>
      <c r="R2361" s="23" t="str">
        <f t="shared" si="802"/>
        <v/>
      </c>
      <c r="S2361" s="23" t="str">
        <f t="shared" si="803"/>
        <v/>
      </c>
      <c r="T2361" s="23" t="str">
        <f t="shared" si="804"/>
        <v/>
      </c>
      <c r="U2361" s="23" t="str">
        <f t="shared" si="805"/>
        <v/>
      </c>
      <c r="V2361" s="23" t="str">
        <f t="shared" si="806"/>
        <v/>
      </c>
      <c r="W2361" s="70" t="str">
        <f t="shared" si="807"/>
        <v/>
      </c>
      <c r="X2361" s="70" t="str">
        <f t="shared" si="808"/>
        <v/>
      </c>
      <c r="Y2361" s="70" t="str">
        <f>IF(AND($A2361&lt;&gt;"",$E2361&gt;0),isLaptopBag($C2361,$J2361)*$D2361,"")</f>
        <v/>
      </c>
      <c r="Z2361" s="70" t="str">
        <f t="shared" si="809"/>
        <v/>
      </c>
      <c r="AA2361" s="70" t="str">
        <f t="shared" si="810"/>
        <v/>
      </c>
      <c r="AB2361" s="70" t="str">
        <f t="shared" si="811"/>
        <v/>
      </c>
      <c r="AC2361" s="70" t="str">
        <f t="shared" si="812"/>
        <v/>
      </c>
      <c r="AD2361" s="70" t="str">
        <f t="shared" si="813"/>
        <v/>
      </c>
      <c r="AE2361" s="70" t="str">
        <f t="shared" si="814"/>
        <v/>
      </c>
      <c r="AF2361" s="16"/>
      <c r="AG2361" s="23"/>
      <c r="AH2361" s="22"/>
      <c r="AJ2361" s="83">
        <f t="shared" si="815"/>
        <v>0</v>
      </c>
      <c r="AO2361" s="22" t="str">
        <f t="shared" si="816"/>
        <v/>
      </c>
      <c r="AP2361" s="22" t="str">
        <f t="shared" si="817"/>
        <v/>
      </c>
    </row>
    <row r="2362" spans="1:42" x14ac:dyDescent="0.25">
      <c r="A2362" s="10"/>
      <c r="B2362" s="10"/>
      <c r="C2362" s="10"/>
      <c r="D2362" s="10"/>
      <c r="E2362" s="10"/>
      <c r="F2362" s="10"/>
      <c r="G2362" s="10"/>
      <c r="H2362" s="17"/>
      <c r="I2362" s="10"/>
      <c r="J2362" s="10"/>
      <c r="K2362" s="16" t="str">
        <f t="shared" si="796"/>
        <v/>
      </c>
      <c r="L2362" s="23" t="str">
        <f t="shared" si="797"/>
        <v/>
      </c>
      <c r="M2362" s="22" t="str">
        <f t="shared" si="798"/>
        <v/>
      </c>
      <c r="N2362" s="72"/>
      <c r="O2362" s="16" t="str">
        <f t="shared" si="799"/>
        <v/>
      </c>
      <c r="P2362" s="16" t="str">
        <f t="shared" si="800"/>
        <v/>
      </c>
      <c r="Q2362" s="16" t="str">
        <f t="shared" si="801"/>
        <v/>
      </c>
      <c r="R2362" s="23" t="str">
        <f t="shared" si="802"/>
        <v/>
      </c>
      <c r="S2362" s="23" t="str">
        <f t="shared" si="803"/>
        <v/>
      </c>
      <c r="T2362" s="23" t="str">
        <f t="shared" si="804"/>
        <v/>
      </c>
      <c r="U2362" s="23" t="str">
        <f t="shared" si="805"/>
        <v/>
      </c>
      <c r="V2362" s="23" t="str">
        <f t="shared" si="806"/>
        <v/>
      </c>
      <c r="W2362" s="70" t="str">
        <f t="shared" si="807"/>
        <v/>
      </c>
      <c r="X2362" s="70" t="str">
        <f t="shared" si="808"/>
        <v/>
      </c>
      <c r="Y2362" s="70" t="str">
        <f>IF(AND($A2362&lt;&gt;"",$E2362&gt;0),isLaptopBag($C2362,$J2362)*$D2362,"")</f>
        <v/>
      </c>
      <c r="Z2362" s="70" t="str">
        <f t="shared" si="809"/>
        <v/>
      </c>
      <c r="AA2362" s="70" t="str">
        <f t="shared" si="810"/>
        <v/>
      </c>
      <c r="AB2362" s="70" t="str">
        <f t="shared" si="811"/>
        <v/>
      </c>
      <c r="AC2362" s="70" t="str">
        <f t="shared" si="812"/>
        <v/>
      </c>
      <c r="AD2362" s="70" t="str">
        <f t="shared" si="813"/>
        <v/>
      </c>
      <c r="AE2362" s="70" t="str">
        <f t="shared" si="814"/>
        <v/>
      </c>
      <c r="AF2362" s="16"/>
      <c r="AG2362" s="23"/>
      <c r="AH2362" s="22"/>
      <c r="AJ2362" s="83">
        <f t="shared" si="815"/>
        <v>0</v>
      </c>
      <c r="AO2362" s="22" t="str">
        <f t="shared" si="816"/>
        <v/>
      </c>
      <c r="AP2362" s="22" t="str">
        <f t="shared" si="817"/>
        <v/>
      </c>
    </row>
    <row r="2363" spans="1:42" x14ac:dyDescent="0.25">
      <c r="A2363" s="10"/>
      <c r="B2363" s="10"/>
      <c r="C2363" s="10"/>
      <c r="D2363" s="10"/>
      <c r="E2363" s="10"/>
      <c r="F2363" s="10"/>
      <c r="G2363" s="10"/>
      <c r="H2363" s="17"/>
      <c r="I2363" s="10"/>
      <c r="J2363" s="10"/>
      <c r="K2363" s="16" t="str">
        <f t="shared" si="796"/>
        <v/>
      </c>
      <c r="L2363" s="23" t="str">
        <f t="shared" si="797"/>
        <v/>
      </c>
      <c r="M2363" s="22" t="str">
        <f t="shared" si="798"/>
        <v/>
      </c>
      <c r="N2363" s="72"/>
      <c r="O2363" s="16" t="str">
        <f t="shared" si="799"/>
        <v/>
      </c>
      <c r="P2363" s="16" t="str">
        <f t="shared" si="800"/>
        <v/>
      </c>
      <c r="Q2363" s="16" t="str">
        <f t="shared" si="801"/>
        <v/>
      </c>
      <c r="R2363" s="23" t="str">
        <f t="shared" si="802"/>
        <v/>
      </c>
      <c r="S2363" s="23" t="str">
        <f t="shared" si="803"/>
        <v/>
      </c>
      <c r="T2363" s="23" t="str">
        <f t="shared" si="804"/>
        <v/>
      </c>
      <c r="U2363" s="23" t="str">
        <f t="shared" si="805"/>
        <v/>
      </c>
      <c r="V2363" s="23" t="str">
        <f t="shared" si="806"/>
        <v/>
      </c>
      <c r="W2363" s="70" t="str">
        <f t="shared" si="807"/>
        <v/>
      </c>
      <c r="X2363" s="70" t="str">
        <f t="shared" si="808"/>
        <v/>
      </c>
      <c r="Y2363" s="70" t="str">
        <f>IF(AND($A2363&lt;&gt;"",$E2363&gt;0),isLaptopBag($C2363,$J2363)*$D2363,"")</f>
        <v/>
      </c>
      <c r="Z2363" s="70" t="str">
        <f t="shared" si="809"/>
        <v/>
      </c>
      <c r="AA2363" s="70" t="str">
        <f t="shared" si="810"/>
        <v/>
      </c>
      <c r="AB2363" s="70" t="str">
        <f t="shared" si="811"/>
        <v/>
      </c>
      <c r="AC2363" s="70" t="str">
        <f t="shared" si="812"/>
        <v/>
      </c>
      <c r="AD2363" s="70" t="str">
        <f t="shared" si="813"/>
        <v/>
      </c>
      <c r="AE2363" s="70" t="str">
        <f t="shared" si="814"/>
        <v/>
      </c>
      <c r="AF2363" s="16"/>
      <c r="AG2363" s="23"/>
      <c r="AH2363" s="22"/>
      <c r="AJ2363" s="83">
        <f t="shared" si="815"/>
        <v>0</v>
      </c>
      <c r="AO2363" s="22" t="str">
        <f t="shared" si="816"/>
        <v/>
      </c>
      <c r="AP2363" s="22" t="str">
        <f t="shared" si="817"/>
        <v/>
      </c>
    </row>
    <row r="2364" spans="1:42" x14ac:dyDescent="0.25">
      <c r="A2364" s="10"/>
      <c r="B2364" s="10"/>
      <c r="C2364" s="10"/>
      <c r="D2364" s="10"/>
      <c r="E2364" s="10"/>
      <c r="F2364" s="10"/>
      <c r="G2364" s="10"/>
      <c r="H2364" s="17"/>
      <c r="I2364" s="10"/>
      <c r="J2364" s="10"/>
      <c r="K2364" s="16" t="str">
        <f t="shared" si="796"/>
        <v/>
      </c>
      <c r="L2364" s="23" t="str">
        <f t="shared" si="797"/>
        <v/>
      </c>
      <c r="M2364" s="22" t="str">
        <f t="shared" si="798"/>
        <v/>
      </c>
      <c r="N2364" s="72"/>
      <c r="O2364" s="16" t="str">
        <f t="shared" si="799"/>
        <v/>
      </c>
      <c r="P2364" s="16" t="str">
        <f t="shared" si="800"/>
        <v/>
      </c>
      <c r="Q2364" s="16" t="str">
        <f t="shared" si="801"/>
        <v/>
      </c>
      <c r="R2364" s="23" t="str">
        <f t="shared" si="802"/>
        <v/>
      </c>
      <c r="S2364" s="23" t="str">
        <f t="shared" si="803"/>
        <v/>
      </c>
      <c r="T2364" s="23" t="str">
        <f t="shared" si="804"/>
        <v/>
      </c>
      <c r="U2364" s="23" t="str">
        <f t="shared" si="805"/>
        <v/>
      </c>
      <c r="V2364" s="23" t="str">
        <f t="shared" si="806"/>
        <v/>
      </c>
      <c r="W2364" s="70" t="str">
        <f t="shared" si="807"/>
        <v/>
      </c>
      <c r="X2364" s="70" t="str">
        <f t="shared" si="808"/>
        <v/>
      </c>
      <c r="Y2364" s="70" t="str">
        <f>IF(AND($A2364&lt;&gt;"",$E2364&gt;0),isLaptopBag($C2364,$J2364)*$D2364,"")</f>
        <v/>
      </c>
      <c r="Z2364" s="70" t="str">
        <f t="shared" si="809"/>
        <v/>
      </c>
      <c r="AA2364" s="70" t="str">
        <f t="shared" si="810"/>
        <v/>
      </c>
      <c r="AB2364" s="70" t="str">
        <f t="shared" si="811"/>
        <v/>
      </c>
      <c r="AC2364" s="70" t="str">
        <f t="shared" si="812"/>
        <v/>
      </c>
      <c r="AD2364" s="70" t="str">
        <f t="shared" si="813"/>
        <v/>
      </c>
      <c r="AE2364" s="70" t="str">
        <f t="shared" si="814"/>
        <v/>
      </c>
      <c r="AF2364" s="16"/>
      <c r="AG2364" s="23"/>
      <c r="AH2364" s="22"/>
      <c r="AJ2364" s="83">
        <f t="shared" si="815"/>
        <v>0</v>
      </c>
      <c r="AO2364" s="22" t="str">
        <f t="shared" si="816"/>
        <v/>
      </c>
      <c r="AP2364" s="22" t="str">
        <f t="shared" si="817"/>
        <v/>
      </c>
    </row>
    <row r="2365" spans="1:42" x14ac:dyDescent="0.25">
      <c r="A2365" s="10"/>
      <c r="B2365" s="10"/>
      <c r="C2365" s="10"/>
      <c r="D2365" s="10"/>
      <c r="E2365" s="10"/>
      <c r="F2365" s="10"/>
      <c r="G2365" s="10"/>
      <c r="H2365" s="17"/>
      <c r="I2365" s="10"/>
      <c r="J2365" s="10"/>
      <c r="K2365" s="16" t="str">
        <f t="shared" si="796"/>
        <v/>
      </c>
      <c r="L2365" s="23" t="str">
        <f t="shared" si="797"/>
        <v/>
      </c>
      <c r="M2365" s="22" t="str">
        <f t="shared" si="798"/>
        <v/>
      </c>
      <c r="N2365" s="72"/>
      <c r="O2365" s="16" t="str">
        <f t="shared" si="799"/>
        <v/>
      </c>
      <c r="P2365" s="16" t="str">
        <f t="shared" si="800"/>
        <v/>
      </c>
      <c r="Q2365" s="16" t="str">
        <f t="shared" si="801"/>
        <v/>
      </c>
      <c r="R2365" s="23" t="str">
        <f t="shared" si="802"/>
        <v/>
      </c>
      <c r="S2365" s="23" t="str">
        <f t="shared" si="803"/>
        <v/>
      </c>
      <c r="T2365" s="23" t="str">
        <f t="shared" si="804"/>
        <v/>
      </c>
      <c r="U2365" s="23" t="str">
        <f t="shared" si="805"/>
        <v/>
      </c>
      <c r="V2365" s="23" t="str">
        <f t="shared" si="806"/>
        <v/>
      </c>
      <c r="W2365" s="70" t="str">
        <f t="shared" si="807"/>
        <v/>
      </c>
      <c r="X2365" s="70" t="str">
        <f t="shared" si="808"/>
        <v/>
      </c>
      <c r="Y2365" s="70" t="str">
        <f>IF(AND($A2365&lt;&gt;"",$E2365&gt;0),isLaptopBag($C2365,$J2365)*$D2365,"")</f>
        <v/>
      </c>
      <c r="Z2365" s="70" t="str">
        <f t="shared" si="809"/>
        <v/>
      </c>
      <c r="AA2365" s="70" t="str">
        <f t="shared" si="810"/>
        <v/>
      </c>
      <c r="AB2365" s="70" t="str">
        <f t="shared" si="811"/>
        <v/>
      </c>
      <c r="AC2365" s="70" t="str">
        <f t="shared" si="812"/>
        <v/>
      </c>
      <c r="AD2365" s="70" t="str">
        <f t="shared" si="813"/>
        <v/>
      </c>
      <c r="AE2365" s="70" t="str">
        <f t="shared" si="814"/>
        <v/>
      </c>
      <c r="AF2365" s="16"/>
      <c r="AG2365" s="23"/>
      <c r="AH2365" s="22"/>
      <c r="AJ2365" s="83">
        <f t="shared" si="815"/>
        <v>0</v>
      </c>
      <c r="AO2365" s="22" t="str">
        <f t="shared" si="816"/>
        <v/>
      </c>
      <c r="AP2365" s="22" t="str">
        <f t="shared" si="817"/>
        <v/>
      </c>
    </row>
    <row r="2366" spans="1:42" x14ac:dyDescent="0.25">
      <c r="A2366" s="10"/>
      <c r="B2366" s="10"/>
      <c r="C2366" s="10"/>
      <c r="D2366" s="10"/>
      <c r="E2366" s="10"/>
      <c r="F2366" s="10"/>
      <c r="G2366" s="10"/>
      <c r="H2366" s="17"/>
      <c r="I2366" s="10"/>
      <c r="J2366" s="10"/>
      <c r="K2366" s="16" t="str">
        <f t="shared" si="796"/>
        <v/>
      </c>
      <c r="L2366" s="23" t="str">
        <f t="shared" si="797"/>
        <v/>
      </c>
      <c r="M2366" s="22" t="str">
        <f t="shared" si="798"/>
        <v/>
      </c>
      <c r="N2366" s="72"/>
      <c r="O2366" s="16" t="str">
        <f t="shared" si="799"/>
        <v/>
      </c>
      <c r="P2366" s="16" t="str">
        <f t="shared" si="800"/>
        <v/>
      </c>
      <c r="Q2366" s="16" t="str">
        <f t="shared" si="801"/>
        <v/>
      </c>
      <c r="R2366" s="23" t="str">
        <f t="shared" si="802"/>
        <v/>
      </c>
      <c r="S2366" s="23" t="str">
        <f t="shared" si="803"/>
        <v/>
      </c>
      <c r="T2366" s="23" t="str">
        <f t="shared" si="804"/>
        <v/>
      </c>
      <c r="U2366" s="23" t="str">
        <f t="shared" si="805"/>
        <v/>
      </c>
      <c r="V2366" s="23" t="str">
        <f t="shared" si="806"/>
        <v/>
      </c>
      <c r="W2366" s="70" t="str">
        <f t="shared" si="807"/>
        <v/>
      </c>
      <c r="X2366" s="70" t="str">
        <f t="shared" si="808"/>
        <v/>
      </c>
      <c r="Y2366" s="70" t="str">
        <f>IF(AND($A2366&lt;&gt;"",$E2366&gt;0),isLaptopBag($C2366,$J2366)*$D2366,"")</f>
        <v/>
      </c>
      <c r="Z2366" s="70" t="str">
        <f t="shared" si="809"/>
        <v/>
      </c>
      <c r="AA2366" s="70" t="str">
        <f t="shared" si="810"/>
        <v/>
      </c>
      <c r="AB2366" s="70" t="str">
        <f t="shared" si="811"/>
        <v/>
      </c>
      <c r="AC2366" s="70" t="str">
        <f t="shared" si="812"/>
        <v/>
      </c>
      <c r="AD2366" s="70" t="str">
        <f t="shared" si="813"/>
        <v/>
      </c>
      <c r="AE2366" s="70" t="str">
        <f t="shared" si="814"/>
        <v/>
      </c>
      <c r="AF2366" s="16"/>
      <c r="AG2366" s="23"/>
      <c r="AH2366" s="22"/>
      <c r="AJ2366" s="83">
        <f t="shared" si="815"/>
        <v>0</v>
      </c>
      <c r="AO2366" s="22" t="str">
        <f t="shared" si="816"/>
        <v/>
      </c>
      <c r="AP2366" s="22" t="str">
        <f t="shared" si="817"/>
        <v/>
      </c>
    </row>
    <row r="2367" spans="1:42" x14ac:dyDescent="0.25">
      <c r="A2367" s="10"/>
      <c r="B2367" s="10"/>
      <c r="C2367" s="10"/>
      <c r="D2367" s="10"/>
      <c r="E2367" s="10"/>
      <c r="F2367" s="10"/>
      <c r="G2367" s="10"/>
      <c r="H2367" s="17"/>
      <c r="I2367" s="10"/>
      <c r="J2367" s="10"/>
      <c r="K2367" s="16" t="str">
        <f t="shared" si="796"/>
        <v/>
      </c>
      <c r="L2367" s="23" t="str">
        <f t="shared" si="797"/>
        <v/>
      </c>
      <c r="M2367" s="22" t="str">
        <f t="shared" si="798"/>
        <v/>
      </c>
      <c r="N2367" s="72"/>
      <c r="O2367" s="16" t="str">
        <f t="shared" si="799"/>
        <v/>
      </c>
      <c r="P2367" s="16" t="str">
        <f t="shared" si="800"/>
        <v/>
      </c>
      <c r="Q2367" s="16" t="str">
        <f t="shared" si="801"/>
        <v/>
      </c>
      <c r="R2367" s="23" t="str">
        <f t="shared" si="802"/>
        <v/>
      </c>
      <c r="S2367" s="23" t="str">
        <f t="shared" si="803"/>
        <v/>
      </c>
      <c r="T2367" s="23" t="str">
        <f t="shared" si="804"/>
        <v/>
      </c>
      <c r="U2367" s="23" t="str">
        <f t="shared" si="805"/>
        <v/>
      </c>
      <c r="V2367" s="23" t="str">
        <f t="shared" si="806"/>
        <v/>
      </c>
      <c r="W2367" s="70" t="str">
        <f t="shared" si="807"/>
        <v/>
      </c>
      <c r="X2367" s="70" t="str">
        <f t="shared" si="808"/>
        <v/>
      </c>
      <c r="Y2367" s="70" t="str">
        <f>IF(AND($A2367&lt;&gt;"",$E2367&gt;0),isLaptopBag($C2367,$J2367)*$D2367,"")</f>
        <v/>
      </c>
      <c r="Z2367" s="70" t="str">
        <f t="shared" si="809"/>
        <v/>
      </c>
      <c r="AA2367" s="70" t="str">
        <f t="shared" si="810"/>
        <v/>
      </c>
      <c r="AB2367" s="70" t="str">
        <f t="shared" si="811"/>
        <v/>
      </c>
      <c r="AC2367" s="70" t="str">
        <f t="shared" si="812"/>
        <v/>
      </c>
      <c r="AD2367" s="70" t="str">
        <f t="shared" si="813"/>
        <v/>
      </c>
      <c r="AE2367" s="70" t="str">
        <f t="shared" si="814"/>
        <v/>
      </c>
      <c r="AF2367" s="16"/>
      <c r="AG2367" s="23"/>
      <c r="AH2367" s="22"/>
      <c r="AJ2367" s="83">
        <f t="shared" si="815"/>
        <v>0</v>
      </c>
      <c r="AO2367" s="22" t="str">
        <f t="shared" si="816"/>
        <v/>
      </c>
      <c r="AP2367" s="22" t="str">
        <f t="shared" si="817"/>
        <v/>
      </c>
    </row>
    <row r="2368" spans="1:42" x14ac:dyDescent="0.25">
      <c r="A2368" s="10"/>
      <c r="B2368" s="10"/>
      <c r="C2368" s="10"/>
      <c r="D2368" s="10"/>
      <c r="E2368" s="10"/>
      <c r="F2368" s="10"/>
      <c r="G2368" s="10"/>
      <c r="H2368" s="17"/>
      <c r="I2368" s="10"/>
      <c r="J2368" s="10"/>
      <c r="K2368" s="16" t="str">
        <f t="shared" si="796"/>
        <v/>
      </c>
      <c r="L2368" s="23" t="str">
        <f t="shared" si="797"/>
        <v/>
      </c>
      <c r="M2368" s="22" t="str">
        <f t="shared" si="798"/>
        <v/>
      </c>
      <c r="N2368" s="72"/>
      <c r="O2368" s="16" t="str">
        <f t="shared" si="799"/>
        <v/>
      </c>
      <c r="P2368" s="16" t="str">
        <f t="shared" si="800"/>
        <v/>
      </c>
      <c r="Q2368" s="16" t="str">
        <f t="shared" si="801"/>
        <v/>
      </c>
      <c r="R2368" s="23" t="str">
        <f t="shared" si="802"/>
        <v/>
      </c>
      <c r="S2368" s="23" t="str">
        <f t="shared" si="803"/>
        <v/>
      </c>
      <c r="T2368" s="23" t="str">
        <f t="shared" si="804"/>
        <v/>
      </c>
      <c r="U2368" s="23" t="str">
        <f t="shared" si="805"/>
        <v/>
      </c>
      <c r="V2368" s="23" t="str">
        <f t="shared" si="806"/>
        <v/>
      </c>
      <c r="W2368" s="70" t="str">
        <f t="shared" si="807"/>
        <v/>
      </c>
      <c r="X2368" s="70" t="str">
        <f t="shared" si="808"/>
        <v/>
      </c>
      <c r="Y2368" s="70" t="str">
        <f>IF(AND($A2368&lt;&gt;"",$E2368&gt;0),isLaptopBag($C2368,$J2368)*$D2368,"")</f>
        <v/>
      </c>
      <c r="Z2368" s="70" t="str">
        <f t="shared" si="809"/>
        <v/>
      </c>
      <c r="AA2368" s="70" t="str">
        <f t="shared" si="810"/>
        <v/>
      </c>
      <c r="AB2368" s="70" t="str">
        <f t="shared" si="811"/>
        <v/>
      </c>
      <c r="AC2368" s="70" t="str">
        <f t="shared" si="812"/>
        <v/>
      </c>
      <c r="AD2368" s="70" t="str">
        <f t="shared" si="813"/>
        <v/>
      </c>
      <c r="AE2368" s="70" t="str">
        <f t="shared" si="814"/>
        <v/>
      </c>
      <c r="AF2368" s="16"/>
      <c r="AG2368" s="23"/>
      <c r="AH2368" s="22"/>
      <c r="AJ2368" s="83">
        <f t="shared" si="815"/>
        <v>0</v>
      </c>
      <c r="AO2368" s="22" t="str">
        <f t="shared" si="816"/>
        <v/>
      </c>
      <c r="AP2368" s="22" t="str">
        <f t="shared" si="817"/>
        <v/>
      </c>
    </row>
    <row r="2369" spans="1:42" x14ac:dyDescent="0.25">
      <c r="A2369" s="10"/>
      <c r="B2369" s="10"/>
      <c r="C2369" s="10"/>
      <c r="D2369" s="10"/>
      <c r="E2369" s="10"/>
      <c r="F2369" s="10"/>
      <c r="G2369" s="10"/>
      <c r="H2369" s="17"/>
      <c r="I2369" s="10"/>
      <c r="J2369" s="10"/>
      <c r="K2369" s="16" t="str">
        <f t="shared" si="796"/>
        <v/>
      </c>
      <c r="L2369" s="23" t="str">
        <f t="shared" si="797"/>
        <v/>
      </c>
      <c r="M2369" s="22" t="str">
        <f t="shared" si="798"/>
        <v/>
      </c>
      <c r="N2369" s="72"/>
      <c r="O2369" s="16" t="str">
        <f t="shared" si="799"/>
        <v/>
      </c>
      <c r="P2369" s="16" t="str">
        <f t="shared" si="800"/>
        <v/>
      </c>
      <c r="Q2369" s="16" t="str">
        <f t="shared" si="801"/>
        <v/>
      </c>
      <c r="R2369" s="23" t="str">
        <f t="shared" si="802"/>
        <v/>
      </c>
      <c r="S2369" s="23" t="str">
        <f t="shared" si="803"/>
        <v/>
      </c>
      <c r="T2369" s="23" t="str">
        <f t="shared" si="804"/>
        <v/>
      </c>
      <c r="U2369" s="23" t="str">
        <f t="shared" si="805"/>
        <v/>
      </c>
      <c r="V2369" s="23" t="str">
        <f t="shared" si="806"/>
        <v/>
      </c>
      <c r="W2369" s="70" t="str">
        <f t="shared" si="807"/>
        <v/>
      </c>
      <c r="X2369" s="70" t="str">
        <f t="shared" si="808"/>
        <v/>
      </c>
      <c r="Y2369" s="70" t="str">
        <f>IF(AND($A2369&lt;&gt;"",$E2369&gt;0),isLaptopBag($C2369,$J2369)*$D2369,"")</f>
        <v/>
      </c>
      <c r="Z2369" s="70" t="str">
        <f t="shared" si="809"/>
        <v/>
      </c>
      <c r="AA2369" s="70" t="str">
        <f t="shared" si="810"/>
        <v/>
      </c>
      <c r="AB2369" s="70" t="str">
        <f t="shared" si="811"/>
        <v/>
      </c>
      <c r="AC2369" s="70" t="str">
        <f t="shared" si="812"/>
        <v/>
      </c>
      <c r="AD2369" s="70" t="str">
        <f t="shared" si="813"/>
        <v/>
      </c>
      <c r="AE2369" s="70" t="str">
        <f t="shared" si="814"/>
        <v/>
      </c>
      <c r="AF2369" s="16"/>
      <c r="AG2369" s="23"/>
      <c r="AH2369" s="22"/>
      <c r="AJ2369" s="83">
        <f t="shared" si="815"/>
        <v>0</v>
      </c>
      <c r="AO2369" s="22" t="str">
        <f t="shared" si="816"/>
        <v/>
      </c>
      <c r="AP2369" s="22" t="str">
        <f t="shared" si="817"/>
        <v/>
      </c>
    </row>
    <row r="2370" spans="1:42" x14ac:dyDescent="0.25">
      <c r="A2370" s="10"/>
      <c r="B2370" s="10"/>
      <c r="C2370" s="10"/>
      <c r="D2370" s="10"/>
      <c r="E2370" s="10"/>
      <c r="F2370" s="10"/>
      <c r="G2370" s="10"/>
      <c r="H2370" s="17"/>
      <c r="I2370" s="10"/>
      <c r="J2370" s="10"/>
      <c r="K2370" s="16" t="str">
        <f t="shared" si="796"/>
        <v/>
      </c>
      <c r="L2370" s="23" t="str">
        <f t="shared" si="797"/>
        <v/>
      </c>
      <c r="M2370" s="22" t="str">
        <f t="shared" si="798"/>
        <v/>
      </c>
      <c r="N2370" s="72"/>
      <c r="O2370" s="16" t="str">
        <f t="shared" si="799"/>
        <v/>
      </c>
      <c r="P2370" s="16" t="str">
        <f t="shared" si="800"/>
        <v/>
      </c>
      <c r="Q2370" s="16" t="str">
        <f t="shared" si="801"/>
        <v/>
      </c>
      <c r="R2370" s="23" t="str">
        <f t="shared" si="802"/>
        <v/>
      </c>
      <c r="S2370" s="23" t="str">
        <f t="shared" si="803"/>
        <v/>
      </c>
      <c r="T2370" s="23" t="str">
        <f t="shared" si="804"/>
        <v/>
      </c>
      <c r="U2370" s="23" t="str">
        <f t="shared" si="805"/>
        <v/>
      </c>
      <c r="V2370" s="23" t="str">
        <f t="shared" si="806"/>
        <v/>
      </c>
      <c r="W2370" s="70" t="str">
        <f t="shared" si="807"/>
        <v/>
      </c>
      <c r="X2370" s="70" t="str">
        <f t="shared" si="808"/>
        <v/>
      </c>
      <c r="Y2370" s="70" t="str">
        <f>IF(AND($A2370&lt;&gt;"",$E2370&gt;0),isLaptopBag($C2370,$J2370)*$D2370,"")</f>
        <v/>
      </c>
      <c r="Z2370" s="70" t="str">
        <f t="shared" si="809"/>
        <v/>
      </c>
      <c r="AA2370" s="70" t="str">
        <f t="shared" si="810"/>
        <v/>
      </c>
      <c r="AB2370" s="70" t="str">
        <f t="shared" si="811"/>
        <v/>
      </c>
      <c r="AC2370" s="70" t="str">
        <f t="shared" si="812"/>
        <v/>
      </c>
      <c r="AD2370" s="70" t="str">
        <f t="shared" si="813"/>
        <v/>
      </c>
      <c r="AE2370" s="70" t="str">
        <f t="shared" si="814"/>
        <v/>
      </c>
      <c r="AF2370" s="16"/>
      <c r="AG2370" s="23"/>
      <c r="AH2370" s="22"/>
      <c r="AJ2370" s="83">
        <f t="shared" si="815"/>
        <v>0</v>
      </c>
      <c r="AO2370" s="22" t="str">
        <f t="shared" si="816"/>
        <v/>
      </c>
      <c r="AP2370" s="22" t="str">
        <f t="shared" si="817"/>
        <v/>
      </c>
    </row>
    <row r="2371" spans="1:42" x14ac:dyDescent="0.25">
      <c r="A2371" s="10"/>
      <c r="B2371" s="10"/>
      <c r="C2371" s="10"/>
      <c r="D2371" s="10"/>
      <c r="E2371" s="10"/>
      <c r="F2371" s="10"/>
      <c r="G2371" s="10"/>
      <c r="H2371" s="17"/>
      <c r="I2371" s="10"/>
      <c r="J2371" s="10"/>
      <c r="K2371" s="16" t="str">
        <f t="shared" si="796"/>
        <v/>
      </c>
      <c r="L2371" s="23" t="str">
        <f t="shared" si="797"/>
        <v/>
      </c>
      <c r="M2371" s="22" t="str">
        <f t="shared" si="798"/>
        <v/>
      </c>
      <c r="N2371" s="72"/>
      <c r="O2371" s="16" t="str">
        <f t="shared" si="799"/>
        <v/>
      </c>
      <c r="P2371" s="16" t="str">
        <f t="shared" si="800"/>
        <v/>
      </c>
      <c r="Q2371" s="16" t="str">
        <f t="shared" si="801"/>
        <v/>
      </c>
      <c r="R2371" s="23" t="str">
        <f t="shared" si="802"/>
        <v/>
      </c>
      <c r="S2371" s="23" t="str">
        <f t="shared" si="803"/>
        <v/>
      </c>
      <c r="T2371" s="23" t="str">
        <f t="shared" si="804"/>
        <v/>
      </c>
      <c r="U2371" s="23" t="str">
        <f t="shared" si="805"/>
        <v/>
      </c>
      <c r="V2371" s="23" t="str">
        <f t="shared" si="806"/>
        <v/>
      </c>
      <c r="W2371" s="70" t="str">
        <f t="shared" si="807"/>
        <v/>
      </c>
      <c r="X2371" s="70" t="str">
        <f t="shared" si="808"/>
        <v/>
      </c>
      <c r="Y2371" s="70" t="str">
        <f>IF(AND($A2371&lt;&gt;"",$E2371&gt;0),isLaptopBag($C2371,$J2371)*$D2371,"")</f>
        <v/>
      </c>
      <c r="Z2371" s="70" t="str">
        <f t="shared" si="809"/>
        <v/>
      </c>
      <c r="AA2371" s="70" t="str">
        <f t="shared" si="810"/>
        <v/>
      </c>
      <c r="AB2371" s="70" t="str">
        <f t="shared" si="811"/>
        <v/>
      </c>
      <c r="AC2371" s="70" t="str">
        <f t="shared" si="812"/>
        <v/>
      </c>
      <c r="AD2371" s="70" t="str">
        <f t="shared" si="813"/>
        <v/>
      </c>
      <c r="AE2371" s="70" t="str">
        <f t="shared" si="814"/>
        <v/>
      </c>
      <c r="AF2371" s="16"/>
      <c r="AG2371" s="23"/>
      <c r="AH2371" s="22"/>
      <c r="AJ2371" s="83">
        <f t="shared" si="815"/>
        <v>0</v>
      </c>
      <c r="AO2371" s="22" t="str">
        <f t="shared" si="816"/>
        <v/>
      </c>
      <c r="AP2371" s="22" t="str">
        <f t="shared" si="817"/>
        <v/>
      </c>
    </row>
    <row r="2372" spans="1:42" x14ac:dyDescent="0.25">
      <c r="A2372" s="10"/>
      <c r="B2372" s="10"/>
      <c r="C2372" s="10"/>
      <c r="D2372" s="10"/>
      <c r="E2372" s="10"/>
      <c r="F2372" s="10"/>
      <c r="G2372" s="10"/>
      <c r="H2372" s="17"/>
      <c r="I2372" s="10"/>
      <c r="J2372" s="10"/>
      <c r="K2372" s="16" t="str">
        <f t="shared" si="796"/>
        <v/>
      </c>
      <c r="L2372" s="23" t="str">
        <f t="shared" si="797"/>
        <v/>
      </c>
      <c r="M2372" s="22" t="str">
        <f t="shared" si="798"/>
        <v/>
      </c>
      <c r="N2372" s="72"/>
      <c r="O2372" s="16" t="str">
        <f t="shared" si="799"/>
        <v/>
      </c>
      <c r="P2372" s="16" t="str">
        <f t="shared" si="800"/>
        <v/>
      </c>
      <c r="Q2372" s="16" t="str">
        <f t="shared" si="801"/>
        <v/>
      </c>
      <c r="R2372" s="23" t="str">
        <f t="shared" si="802"/>
        <v/>
      </c>
      <c r="S2372" s="23" t="str">
        <f t="shared" si="803"/>
        <v/>
      </c>
      <c r="T2372" s="23" t="str">
        <f t="shared" si="804"/>
        <v/>
      </c>
      <c r="U2372" s="23" t="str">
        <f t="shared" si="805"/>
        <v/>
      </c>
      <c r="V2372" s="23" t="str">
        <f t="shared" si="806"/>
        <v/>
      </c>
      <c r="W2372" s="70" t="str">
        <f t="shared" si="807"/>
        <v/>
      </c>
      <c r="X2372" s="70" t="str">
        <f t="shared" si="808"/>
        <v/>
      </c>
      <c r="Y2372" s="70" t="str">
        <f>IF(AND($A2372&lt;&gt;"",$E2372&gt;0),isLaptopBag($C2372,$J2372)*$D2372,"")</f>
        <v/>
      </c>
      <c r="Z2372" s="70" t="str">
        <f t="shared" si="809"/>
        <v/>
      </c>
      <c r="AA2372" s="70" t="str">
        <f t="shared" si="810"/>
        <v/>
      </c>
      <c r="AB2372" s="70" t="str">
        <f t="shared" si="811"/>
        <v/>
      </c>
      <c r="AC2372" s="70" t="str">
        <f t="shared" si="812"/>
        <v/>
      </c>
      <c r="AD2372" s="70" t="str">
        <f t="shared" si="813"/>
        <v/>
      </c>
      <c r="AE2372" s="70" t="str">
        <f t="shared" si="814"/>
        <v/>
      </c>
      <c r="AF2372" s="16"/>
      <c r="AG2372" s="23"/>
      <c r="AH2372" s="22"/>
      <c r="AJ2372" s="83">
        <f t="shared" si="815"/>
        <v>0</v>
      </c>
      <c r="AO2372" s="22" t="str">
        <f t="shared" si="816"/>
        <v/>
      </c>
      <c r="AP2372" s="22" t="str">
        <f t="shared" si="817"/>
        <v/>
      </c>
    </row>
    <row r="2373" spans="1:42" x14ac:dyDescent="0.25">
      <c r="A2373" s="10"/>
      <c r="B2373" s="10"/>
      <c r="C2373" s="10"/>
      <c r="D2373" s="10"/>
      <c r="E2373" s="10"/>
      <c r="F2373" s="10"/>
      <c r="G2373" s="10"/>
      <c r="H2373" s="17"/>
      <c r="I2373" s="10"/>
      <c r="J2373" s="10"/>
      <c r="K2373" s="16" t="str">
        <f t="shared" si="796"/>
        <v/>
      </c>
      <c r="L2373" s="23" t="str">
        <f t="shared" si="797"/>
        <v/>
      </c>
      <c r="M2373" s="22" t="str">
        <f t="shared" si="798"/>
        <v/>
      </c>
      <c r="N2373" s="72"/>
      <c r="O2373" s="16" t="str">
        <f t="shared" si="799"/>
        <v/>
      </c>
      <c r="P2373" s="16" t="str">
        <f t="shared" si="800"/>
        <v/>
      </c>
      <c r="Q2373" s="16" t="str">
        <f t="shared" si="801"/>
        <v/>
      </c>
      <c r="R2373" s="23" t="str">
        <f t="shared" si="802"/>
        <v/>
      </c>
      <c r="S2373" s="23" t="str">
        <f t="shared" si="803"/>
        <v/>
      </c>
      <c r="T2373" s="23" t="str">
        <f t="shared" si="804"/>
        <v/>
      </c>
      <c r="U2373" s="23" t="str">
        <f t="shared" si="805"/>
        <v/>
      </c>
      <c r="V2373" s="23" t="str">
        <f t="shared" si="806"/>
        <v/>
      </c>
      <c r="W2373" s="70" t="str">
        <f t="shared" si="807"/>
        <v/>
      </c>
      <c r="X2373" s="70" t="str">
        <f t="shared" si="808"/>
        <v/>
      </c>
      <c r="Y2373" s="70" t="str">
        <f>IF(AND($A2373&lt;&gt;"",$E2373&gt;0),isLaptopBag($C2373,$J2373)*$D2373,"")</f>
        <v/>
      </c>
      <c r="Z2373" s="70" t="str">
        <f t="shared" si="809"/>
        <v/>
      </c>
      <c r="AA2373" s="70" t="str">
        <f t="shared" si="810"/>
        <v/>
      </c>
      <c r="AB2373" s="70" t="str">
        <f t="shared" si="811"/>
        <v/>
      </c>
      <c r="AC2373" s="70" t="str">
        <f t="shared" si="812"/>
        <v/>
      </c>
      <c r="AD2373" s="70" t="str">
        <f t="shared" si="813"/>
        <v/>
      </c>
      <c r="AE2373" s="70" t="str">
        <f t="shared" si="814"/>
        <v/>
      </c>
      <c r="AF2373" s="16"/>
      <c r="AG2373" s="23"/>
      <c r="AH2373" s="22"/>
      <c r="AJ2373" s="83">
        <f t="shared" si="815"/>
        <v>0</v>
      </c>
      <c r="AO2373" s="22" t="str">
        <f t="shared" si="816"/>
        <v/>
      </c>
      <c r="AP2373" s="22" t="str">
        <f t="shared" si="817"/>
        <v/>
      </c>
    </row>
    <row r="2374" spans="1:42" x14ac:dyDescent="0.25">
      <c r="A2374" s="10"/>
      <c r="B2374" s="10"/>
      <c r="C2374" s="10"/>
      <c r="D2374" s="10"/>
      <c r="E2374" s="10"/>
      <c r="F2374" s="10"/>
      <c r="G2374" s="10"/>
      <c r="H2374" s="17"/>
      <c r="I2374" s="10"/>
      <c r="J2374" s="10"/>
      <c r="K2374" s="16" t="str">
        <f t="shared" si="796"/>
        <v/>
      </c>
      <c r="L2374" s="23" t="str">
        <f t="shared" si="797"/>
        <v/>
      </c>
      <c r="M2374" s="22" t="str">
        <f t="shared" si="798"/>
        <v/>
      </c>
      <c r="N2374" s="72"/>
      <c r="O2374" s="16" t="str">
        <f t="shared" si="799"/>
        <v/>
      </c>
      <c r="P2374" s="16" t="str">
        <f t="shared" si="800"/>
        <v/>
      </c>
      <c r="Q2374" s="16" t="str">
        <f t="shared" si="801"/>
        <v/>
      </c>
      <c r="R2374" s="23" t="str">
        <f t="shared" si="802"/>
        <v/>
      </c>
      <c r="S2374" s="23" t="str">
        <f t="shared" si="803"/>
        <v/>
      </c>
      <c r="T2374" s="23" t="str">
        <f t="shared" si="804"/>
        <v/>
      </c>
      <c r="U2374" s="23" t="str">
        <f t="shared" si="805"/>
        <v/>
      </c>
      <c r="V2374" s="23" t="str">
        <f t="shared" si="806"/>
        <v/>
      </c>
      <c r="W2374" s="70" t="str">
        <f t="shared" si="807"/>
        <v/>
      </c>
      <c r="X2374" s="70" t="str">
        <f t="shared" si="808"/>
        <v/>
      </c>
      <c r="Y2374" s="70" t="str">
        <f>IF(AND($A2374&lt;&gt;"",$E2374&gt;0),isLaptopBag($C2374,$J2374)*$D2374,"")</f>
        <v/>
      </c>
      <c r="Z2374" s="70" t="str">
        <f t="shared" si="809"/>
        <v/>
      </c>
      <c r="AA2374" s="70" t="str">
        <f t="shared" si="810"/>
        <v/>
      </c>
      <c r="AB2374" s="70" t="str">
        <f t="shared" si="811"/>
        <v/>
      </c>
      <c r="AC2374" s="70" t="str">
        <f t="shared" si="812"/>
        <v/>
      </c>
      <c r="AD2374" s="70" t="str">
        <f t="shared" si="813"/>
        <v/>
      </c>
      <c r="AE2374" s="70" t="str">
        <f t="shared" si="814"/>
        <v/>
      </c>
      <c r="AF2374" s="16"/>
      <c r="AG2374" s="23"/>
      <c r="AH2374" s="22"/>
      <c r="AJ2374" s="83">
        <f t="shared" si="815"/>
        <v>0</v>
      </c>
      <c r="AO2374" s="22" t="str">
        <f t="shared" si="816"/>
        <v/>
      </c>
      <c r="AP2374" s="22" t="str">
        <f t="shared" si="817"/>
        <v/>
      </c>
    </row>
    <row r="2375" spans="1:42" x14ac:dyDescent="0.25">
      <c r="A2375" s="10"/>
      <c r="B2375" s="10"/>
      <c r="C2375" s="10"/>
      <c r="D2375" s="10"/>
      <c r="E2375" s="10"/>
      <c r="F2375" s="10"/>
      <c r="G2375" s="10"/>
      <c r="H2375" s="17"/>
      <c r="I2375" s="10"/>
      <c r="J2375" s="10"/>
      <c r="K2375" s="16" t="str">
        <f t="shared" si="796"/>
        <v/>
      </c>
      <c r="L2375" s="23" t="str">
        <f t="shared" si="797"/>
        <v/>
      </c>
      <c r="M2375" s="22" t="str">
        <f t="shared" si="798"/>
        <v/>
      </c>
      <c r="N2375" s="72"/>
      <c r="O2375" s="16" t="str">
        <f t="shared" si="799"/>
        <v/>
      </c>
      <c r="P2375" s="16" t="str">
        <f t="shared" si="800"/>
        <v/>
      </c>
      <c r="Q2375" s="16" t="str">
        <f t="shared" si="801"/>
        <v/>
      </c>
      <c r="R2375" s="23" t="str">
        <f t="shared" si="802"/>
        <v/>
      </c>
      <c r="S2375" s="23" t="str">
        <f t="shared" si="803"/>
        <v/>
      </c>
      <c r="T2375" s="23" t="str">
        <f t="shared" si="804"/>
        <v/>
      </c>
      <c r="U2375" s="23" t="str">
        <f t="shared" si="805"/>
        <v/>
      </c>
      <c r="V2375" s="23" t="str">
        <f t="shared" si="806"/>
        <v/>
      </c>
      <c r="W2375" s="70" t="str">
        <f t="shared" si="807"/>
        <v/>
      </c>
      <c r="X2375" s="70" t="str">
        <f t="shared" si="808"/>
        <v/>
      </c>
      <c r="Y2375" s="70" t="str">
        <f>IF(AND($A2375&lt;&gt;"",$E2375&gt;0),isLaptopBag($C2375,$J2375)*$D2375,"")</f>
        <v/>
      </c>
      <c r="Z2375" s="70" t="str">
        <f t="shared" si="809"/>
        <v/>
      </c>
      <c r="AA2375" s="70" t="str">
        <f t="shared" si="810"/>
        <v/>
      </c>
      <c r="AB2375" s="70" t="str">
        <f t="shared" si="811"/>
        <v/>
      </c>
      <c r="AC2375" s="70" t="str">
        <f t="shared" si="812"/>
        <v/>
      </c>
      <c r="AD2375" s="70" t="str">
        <f t="shared" si="813"/>
        <v/>
      </c>
      <c r="AE2375" s="70" t="str">
        <f t="shared" si="814"/>
        <v/>
      </c>
      <c r="AF2375" s="16"/>
      <c r="AG2375" s="23"/>
      <c r="AH2375" s="22"/>
      <c r="AJ2375" s="83">
        <f t="shared" si="815"/>
        <v>0</v>
      </c>
      <c r="AO2375" s="22" t="str">
        <f t="shared" si="816"/>
        <v/>
      </c>
      <c r="AP2375" s="22" t="str">
        <f t="shared" si="817"/>
        <v/>
      </c>
    </row>
    <row r="2376" spans="1:42" x14ac:dyDescent="0.25">
      <c r="A2376" s="10"/>
      <c r="B2376" s="10"/>
      <c r="C2376" s="10"/>
      <c r="D2376" s="10"/>
      <c r="E2376" s="10"/>
      <c r="F2376" s="10"/>
      <c r="G2376" s="10"/>
      <c r="H2376" s="17"/>
      <c r="I2376" s="10"/>
      <c r="J2376" s="10"/>
      <c r="K2376" s="16" t="str">
        <f t="shared" si="796"/>
        <v/>
      </c>
      <c r="L2376" s="23" t="str">
        <f t="shared" si="797"/>
        <v/>
      </c>
      <c r="M2376" s="22" t="str">
        <f t="shared" si="798"/>
        <v/>
      </c>
      <c r="N2376" s="72"/>
      <c r="O2376" s="16" t="str">
        <f t="shared" si="799"/>
        <v/>
      </c>
      <c r="P2376" s="16" t="str">
        <f t="shared" si="800"/>
        <v/>
      </c>
      <c r="Q2376" s="16" t="str">
        <f t="shared" si="801"/>
        <v/>
      </c>
      <c r="R2376" s="23" t="str">
        <f t="shared" si="802"/>
        <v/>
      </c>
      <c r="S2376" s="23" t="str">
        <f t="shared" si="803"/>
        <v/>
      </c>
      <c r="T2376" s="23" t="str">
        <f t="shared" si="804"/>
        <v/>
      </c>
      <c r="U2376" s="23" t="str">
        <f t="shared" si="805"/>
        <v/>
      </c>
      <c r="V2376" s="23" t="str">
        <f t="shared" si="806"/>
        <v/>
      </c>
      <c r="W2376" s="70" t="str">
        <f t="shared" si="807"/>
        <v/>
      </c>
      <c r="X2376" s="70" t="str">
        <f t="shared" si="808"/>
        <v/>
      </c>
      <c r="Y2376" s="70" t="str">
        <f>IF(AND($A2376&lt;&gt;"",$E2376&gt;0),isLaptopBag($C2376,$J2376)*$D2376,"")</f>
        <v/>
      </c>
      <c r="Z2376" s="70" t="str">
        <f t="shared" si="809"/>
        <v/>
      </c>
      <c r="AA2376" s="70" t="str">
        <f t="shared" si="810"/>
        <v/>
      </c>
      <c r="AB2376" s="70" t="str">
        <f t="shared" si="811"/>
        <v/>
      </c>
      <c r="AC2376" s="70" t="str">
        <f t="shared" si="812"/>
        <v/>
      </c>
      <c r="AD2376" s="70" t="str">
        <f t="shared" si="813"/>
        <v/>
      </c>
      <c r="AE2376" s="70" t="str">
        <f t="shared" si="814"/>
        <v/>
      </c>
      <c r="AF2376" s="16"/>
      <c r="AG2376" s="23"/>
      <c r="AH2376" s="22"/>
      <c r="AJ2376" s="83">
        <f t="shared" si="815"/>
        <v>0</v>
      </c>
      <c r="AO2376" s="22" t="str">
        <f t="shared" si="816"/>
        <v/>
      </c>
      <c r="AP2376" s="22" t="str">
        <f t="shared" si="817"/>
        <v/>
      </c>
    </row>
    <row r="2377" spans="1:42" x14ac:dyDescent="0.25">
      <c r="A2377" s="10"/>
      <c r="B2377" s="10"/>
      <c r="C2377" s="10"/>
      <c r="D2377" s="10"/>
      <c r="E2377" s="10"/>
      <c r="F2377" s="10"/>
      <c r="G2377" s="10"/>
      <c r="H2377" s="17"/>
      <c r="I2377" s="10"/>
      <c r="J2377" s="10"/>
      <c r="K2377" s="16" t="str">
        <f t="shared" si="796"/>
        <v/>
      </c>
      <c r="L2377" s="23" t="str">
        <f t="shared" si="797"/>
        <v/>
      </c>
      <c r="M2377" s="22" t="str">
        <f t="shared" si="798"/>
        <v/>
      </c>
      <c r="N2377" s="72"/>
      <c r="O2377" s="16" t="str">
        <f t="shared" si="799"/>
        <v/>
      </c>
      <c r="P2377" s="16" t="str">
        <f t="shared" si="800"/>
        <v/>
      </c>
      <c r="Q2377" s="16" t="str">
        <f t="shared" si="801"/>
        <v/>
      </c>
      <c r="R2377" s="23" t="str">
        <f t="shared" si="802"/>
        <v/>
      </c>
      <c r="S2377" s="23" t="str">
        <f t="shared" si="803"/>
        <v/>
      </c>
      <c r="T2377" s="23" t="str">
        <f t="shared" si="804"/>
        <v/>
      </c>
      <c r="U2377" s="23" t="str">
        <f t="shared" si="805"/>
        <v/>
      </c>
      <c r="V2377" s="23" t="str">
        <f t="shared" si="806"/>
        <v/>
      </c>
      <c r="W2377" s="70" t="str">
        <f t="shared" si="807"/>
        <v/>
      </c>
      <c r="X2377" s="70" t="str">
        <f t="shared" si="808"/>
        <v/>
      </c>
      <c r="Y2377" s="70" t="str">
        <f>IF(AND($A2377&lt;&gt;"",$E2377&gt;0),isLaptopBag($C2377,$J2377)*$D2377,"")</f>
        <v/>
      </c>
      <c r="Z2377" s="70" t="str">
        <f t="shared" si="809"/>
        <v/>
      </c>
      <c r="AA2377" s="70" t="str">
        <f t="shared" si="810"/>
        <v/>
      </c>
      <c r="AB2377" s="70" t="str">
        <f t="shared" si="811"/>
        <v/>
      </c>
      <c r="AC2377" s="70" t="str">
        <f t="shared" si="812"/>
        <v/>
      </c>
      <c r="AD2377" s="70" t="str">
        <f t="shared" si="813"/>
        <v/>
      </c>
      <c r="AE2377" s="70" t="str">
        <f t="shared" si="814"/>
        <v/>
      </c>
      <c r="AF2377" s="16"/>
      <c r="AG2377" s="23"/>
      <c r="AH2377" s="22"/>
      <c r="AJ2377" s="83">
        <f t="shared" si="815"/>
        <v>0</v>
      </c>
      <c r="AO2377" s="22" t="str">
        <f t="shared" si="816"/>
        <v/>
      </c>
      <c r="AP2377" s="22" t="str">
        <f t="shared" si="817"/>
        <v/>
      </c>
    </row>
    <row r="2378" spans="1:42" x14ac:dyDescent="0.25">
      <c r="A2378" s="10"/>
      <c r="B2378" s="10"/>
      <c r="C2378" s="10"/>
      <c r="D2378" s="10"/>
      <c r="E2378" s="10"/>
      <c r="F2378" s="10"/>
      <c r="G2378" s="10"/>
      <c r="H2378" s="17"/>
      <c r="I2378" s="10"/>
      <c r="J2378" s="10"/>
      <c r="K2378" s="16" t="str">
        <f t="shared" si="796"/>
        <v/>
      </c>
      <c r="L2378" s="23" t="str">
        <f t="shared" si="797"/>
        <v/>
      </c>
      <c r="M2378" s="22" t="str">
        <f t="shared" si="798"/>
        <v/>
      </c>
      <c r="N2378" s="72"/>
      <c r="O2378" s="16" t="str">
        <f t="shared" si="799"/>
        <v/>
      </c>
      <c r="P2378" s="16" t="str">
        <f t="shared" si="800"/>
        <v/>
      </c>
      <c r="Q2378" s="16" t="str">
        <f t="shared" si="801"/>
        <v/>
      </c>
      <c r="R2378" s="23" t="str">
        <f t="shared" si="802"/>
        <v/>
      </c>
      <c r="S2378" s="23" t="str">
        <f t="shared" si="803"/>
        <v/>
      </c>
      <c r="T2378" s="23" t="str">
        <f t="shared" si="804"/>
        <v/>
      </c>
      <c r="U2378" s="23" t="str">
        <f t="shared" si="805"/>
        <v/>
      </c>
      <c r="V2378" s="23" t="str">
        <f t="shared" si="806"/>
        <v/>
      </c>
      <c r="W2378" s="70" t="str">
        <f t="shared" si="807"/>
        <v/>
      </c>
      <c r="X2378" s="70" t="str">
        <f t="shared" si="808"/>
        <v/>
      </c>
      <c r="Y2378" s="70" t="str">
        <f>IF(AND($A2378&lt;&gt;"",$E2378&gt;0),isLaptopBag($C2378,$J2378)*$D2378,"")</f>
        <v/>
      </c>
      <c r="Z2378" s="70" t="str">
        <f t="shared" si="809"/>
        <v/>
      </c>
      <c r="AA2378" s="70" t="str">
        <f t="shared" si="810"/>
        <v/>
      </c>
      <c r="AB2378" s="70" t="str">
        <f t="shared" si="811"/>
        <v/>
      </c>
      <c r="AC2378" s="70" t="str">
        <f t="shared" si="812"/>
        <v/>
      </c>
      <c r="AD2378" s="70" t="str">
        <f t="shared" si="813"/>
        <v/>
      </c>
      <c r="AE2378" s="70" t="str">
        <f t="shared" si="814"/>
        <v/>
      </c>
      <c r="AF2378" s="16"/>
      <c r="AG2378" s="23"/>
      <c r="AH2378" s="22"/>
      <c r="AJ2378" s="83">
        <f t="shared" si="815"/>
        <v>0</v>
      </c>
      <c r="AO2378" s="22" t="str">
        <f t="shared" si="816"/>
        <v/>
      </c>
      <c r="AP2378" s="22" t="str">
        <f t="shared" si="817"/>
        <v/>
      </c>
    </row>
    <row r="2379" spans="1:42" x14ac:dyDescent="0.25">
      <c r="A2379" s="10"/>
      <c r="B2379" s="10"/>
      <c r="C2379" s="10"/>
      <c r="D2379" s="10"/>
      <c r="E2379" s="10"/>
      <c r="F2379" s="10"/>
      <c r="G2379" s="10"/>
      <c r="H2379" s="17"/>
      <c r="I2379" s="10"/>
      <c r="J2379" s="10"/>
      <c r="K2379" s="16" t="str">
        <f t="shared" si="796"/>
        <v/>
      </c>
      <c r="L2379" s="23" t="str">
        <f t="shared" si="797"/>
        <v/>
      </c>
      <c r="M2379" s="22" t="str">
        <f t="shared" si="798"/>
        <v/>
      </c>
      <c r="N2379" s="72"/>
      <c r="O2379" s="16" t="str">
        <f t="shared" si="799"/>
        <v/>
      </c>
      <c r="P2379" s="16" t="str">
        <f t="shared" si="800"/>
        <v/>
      </c>
      <c r="Q2379" s="16" t="str">
        <f t="shared" si="801"/>
        <v/>
      </c>
      <c r="R2379" s="23" t="str">
        <f t="shared" si="802"/>
        <v/>
      </c>
      <c r="S2379" s="23" t="str">
        <f t="shared" si="803"/>
        <v/>
      </c>
      <c r="T2379" s="23" t="str">
        <f t="shared" si="804"/>
        <v/>
      </c>
      <c r="U2379" s="23" t="str">
        <f t="shared" si="805"/>
        <v/>
      </c>
      <c r="V2379" s="23" t="str">
        <f t="shared" si="806"/>
        <v/>
      </c>
      <c r="W2379" s="70" t="str">
        <f t="shared" si="807"/>
        <v/>
      </c>
      <c r="X2379" s="70" t="str">
        <f t="shared" si="808"/>
        <v/>
      </c>
      <c r="Y2379" s="70" t="str">
        <f>IF(AND($A2379&lt;&gt;"",$E2379&gt;0),isLaptopBag($C2379,$J2379)*$D2379,"")</f>
        <v/>
      </c>
      <c r="Z2379" s="70" t="str">
        <f t="shared" si="809"/>
        <v/>
      </c>
      <c r="AA2379" s="70" t="str">
        <f t="shared" si="810"/>
        <v/>
      </c>
      <c r="AB2379" s="70" t="str">
        <f t="shared" si="811"/>
        <v/>
      </c>
      <c r="AC2379" s="70" t="str">
        <f t="shared" si="812"/>
        <v/>
      </c>
      <c r="AD2379" s="70" t="str">
        <f t="shared" si="813"/>
        <v/>
      </c>
      <c r="AE2379" s="70" t="str">
        <f t="shared" si="814"/>
        <v/>
      </c>
      <c r="AF2379" s="16"/>
      <c r="AG2379" s="23"/>
      <c r="AH2379" s="22"/>
      <c r="AJ2379" s="83">
        <f t="shared" si="815"/>
        <v>0</v>
      </c>
      <c r="AO2379" s="22" t="str">
        <f t="shared" si="816"/>
        <v/>
      </c>
      <c r="AP2379" s="22" t="str">
        <f t="shared" si="817"/>
        <v/>
      </c>
    </row>
    <row r="2380" spans="1:42" x14ac:dyDescent="0.25">
      <c r="A2380" s="10"/>
      <c r="B2380" s="10"/>
      <c r="C2380" s="10"/>
      <c r="D2380" s="10"/>
      <c r="E2380" s="10"/>
      <c r="F2380" s="10"/>
      <c r="G2380" s="10"/>
      <c r="H2380" s="17"/>
      <c r="I2380" s="10"/>
      <c r="J2380" s="10"/>
      <c r="K2380" s="16" t="str">
        <f t="shared" si="796"/>
        <v/>
      </c>
      <c r="L2380" s="23" t="str">
        <f t="shared" si="797"/>
        <v/>
      </c>
      <c r="M2380" s="22" t="str">
        <f t="shared" si="798"/>
        <v/>
      </c>
      <c r="N2380" s="72"/>
      <c r="O2380" s="16" t="str">
        <f t="shared" si="799"/>
        <v/>
      </c>
      <c r="P2380" s="16" t="str">
        <f t="shared" si="800"/>
        <v/>
      </c>
      <c r="Q2380" s="16" t="str">
        <f t="shared" si="801"/>
        <v/>
      </c>
      <c r="R2380" s="23" t="str">
        <f t="shared" si="802"/>
        <v/>
      </c>
      <c r="S2380" s="23" t="str">
        <f t="shared" si="803"/>
        <v/>
      </c>
      <c r="T2380" s="23" t="str">
        <f t="shared" si="804"/>
        <v/>
      </c>
      <c r="U2380" s="23" t="str">
        <f t="shared" si="805"/>
        <v/>
      </c>
      <c r="V2380" s="23" t="str">
        <f t="shared" si="806"/>
        <v/>
      </c>
      <c r="W2380" s="70" t="str">
        <f t="shared" si="807"/>
        <v/>
      </c>
      <c r="X2380" s="70" t="str">
        <f t="shared" si="808"/>
        <v/>
      </c>
      <c r="Y2380" s="70" t="str">
        <f>IF(AND($A2380&lt;&gt;"",$E2380&gt;0),isLaptopBag($C2380,$J2380)*$D2380,"")</f>
        <v/>
      </c>
      <c r="Z2380" s="70" t="str">
        <f t="shared" si="809"/>
        <v/>
      </c>
      <c r="AA2380" s="70" t="str">
        <f t="shared" si="810"/>
        <v/>
      </c>
      <c r="AB2380" s="70" t="str">
        <f t="shared" si="811"/>
        <v/>
      </c>
      <c r="AC2380" s="70" t="str">
        <f t="shared" si="812"/>
        <v/>
      </c>
      <c r="AD2380" s="70" t="str">
        <f t="shared" si="813"/>
        <v/>
      </c>
      <c r="AE2380" s="70" t="str">
        <f t="shared" si="814"/>
        <v/>
      </c>
      <c r="AF2380" s="16"/>
      <c r="AG2380" s="23"/>
      <c r="AH2380" s="22"/>
      <c r="AJ2380" s="83">
        <f t="shared" si="815"/>
        <v>0</v>
      </c>
      <c r="AO2380" s="22" t="str">
        <f t="shared" si="816"/>
        <v/>
      </c>
      <c r="AP2380" s="22" t="str">
        <f t="shared" si="817"/>
        <v/>
      </c>
    </row>
    <row r="2381" spans="1:42" x14ac:dyDescent="0.25">
      <c r="A2381" s="10"/>
      <c r="B2381" s="10"/>
      <c r="C2381" s="10"/>
      <c r="D2381" s="10"/>
      <c r="E2381" s="10"/>
      <c r="F2381" s="10"/>
      <c r="G2381" s="10"/>
      <c r="H2381" s="17"/>
      <c r="I2381" s="10"/>
      <c r="J2381" s="10"/>
      <c r="K2381" s="16" t="str">
        <f t="shared" ref="K2381:K2444" si="818">IF($AF2381&lt;&gt;"",$AF2381,IF(AND($A2381&lt;&gt;"",$E2381&gt;0),SUM($O2381:$Q2381),""))</f>
        <v/>
      </c>
      <c r="L2381" s="23" t="str">
        <f t="shared" ref="L2381:L2444" si="819">IF($AG2381&lt;&gt;"",$AG2381,IF(AND($A2381&lt;&gt;"",$E2381&gt;0),SUM($R2381:$V2381),""))</f>
        <v/>
      </c>
      <c r="M2381" s="22" t="str">
        <f t="shared" ref="M2381:M2444" si="820">IF($AH2381&lt;&gt;"",$AH2381,IF(AND($A2381&lt;&gt;"",$E2381&gt;0),SUM($W2381:$AE2381)+$AO2381+$AP2381,""))</f>
        <v/>
      </c>
      <c r="N2381" s="72"/>
      <c r="O2381" s="16" t="str">
        <f t="shared" ref="O2381:O2444" si="821">IF(AND($A2381&lt;&gt;"",$E2381&gt;0),IF(AND($J2381="SONY",200000&lt;=$E2381,$E2381&lt;1000000),5000*$D2381,0),"")</f>
        <v/>
      </c>
      <c r="P2381" s="16" t="str">
        <f t="shared" ref="P2381:P2444" si="822">IF(AND($A2381&lt;&gt;"",$E2381&gt;0),IF(AND($J2381="SONY",1000000&lt;=$E2381,$E2381&lt;2000000),10000*$D2381,0),"")</f>
        <v/>
      </c>
      <c r="Q2381" s="16" t="str">
        <f t="shared" ref="Q2381:Q2444" si="823">IF(AND($A2381&lt;&gt;"",$E2381&gt;0),IF(AND($J2381="SONY",$E2381&gt;=2000000),20000*$D2381,0),"")</f>
        <v/>
      </c>
      <c r="R2381" s="23" t="str">
        <f t="shared" ref="R2381:R2444" si="824">IF(AND($A2381&lt;&gt;"",$E2381&gt;0),IF(AND($J2381&lt;&gt;"SONY",100000&lt;=$E2381,$E2381&lt;200000),5000*$D2381,0),"")</f>
        <v/>
      </c>
      <c r="S2381" s="23" t="str">
        <f t="shared" ref="S2381:S2444" si="825">IF(AND($A2381&lt;&gt;"",$E2381&gt;0),IF(AND($J2381&lt;&gt;"SONY",200000&lt;=$E2381,$E2381&lt;500000),10000*$D2381,0),"")</f>
        <v/>
      </c>
      <c r="T2381" s="23" t="str">
        <f t="shared" ref="T2381:T2444" si="826">IF(AND($A2381&lt;&gt;"",$E2381&gt;0),IF(AND($J2381&lt;&gt;"SONY",500000&lt;=$E2381,$E2381&lt;1000000),20000*$D2381,0),"")</f>
        <v/>
      </c>
      <c r="U2381" s="23" t="str">
        <f t="shared" ref="U2381:U2444" si="827">IF(AND($A2381&lt;&gt;"",$E2381&gt;0),IF(AND($J2381&lt;&gt;"SONY",1000000&lt;=$E2381,$E2381&lt;1500000),50000*$D2381,0),"")</f>
        <v/>
      </c>
      <c r="V2381" s="23" t="str">
        <f t="shared" ref="V2381:V2444" si="828">IF(AND($A2381&lt;&gt;"",$E2381&gt;0),IF(AND($J2381&lt;&gt;"SONY",1500000&lt;=$E2381),100000*$D2381,0),"")</f>
        <v/>
      </c>
      <c r="W2381" s="70" t="str">
        <f t="shared" ref="W2381:W2444" si="829">IF(AND($E2381&gt;0,$J2381="ELECOM",$E2381&gt;=500000,ISNUMBER(SEARCH("tai nghe",$C2381))),20000*$D2381,IF($A2381&lt;&gt;"",0,""))</f>
        <v/>
      </c>
      <c r="X2381" s="70" t="str">
        <f t="shared" ref="X2381:X2444" si="830">IF(AND($E2381&gt;0,$J2381="ELECOM",ISNUMBER(SEARCH("loa",$C2381))),20000*$D2381,IF($A2381&lt;&gt;"",0,""))</f>
        <v/>
      </c>
      <c r="Y2381" s="70" t="str">
        <f>IF(AND($A2381&lt;&gt;"",$E2381&gt;0),isLaptopBag($C2381,$J2381)*$D2381,"")</f>
        <v/>
      </c>
      <c r="Z2381" s="70" t="str">
        <f t="shared" ref="Z2381:Z2444" si="831">IF(AND($E2381&gt;0,$J2381="ELECOM",ISNUMBER(SEARCH("ốp",$C2381))),20000*$D2381,IF($A2381&lt;&gt;"",0,""))</f>
        <v/>
      </c>
      <c r="AA2381" s="70" t="str">
        <f t="shared" ref="AA2381:AA2444" si="832">IF(AND($E2381&gt;0,$J2381="ELECOM",ISNUMBER(SEARCH("Bút",$C2381))),20000*$D2381,IF($A2381&lt;&gt;"",0,""))</f>
        <v/>
      </c>
      <c r="AB2381" s="70" t="str">
        <f t="shared" ref="AB2381:AB2444" si="833">IF(AND($E2381&gt;0,$J2381="ELECOM",ISNUMBER(SEARCH("Chuột bi",$C2381))),20000*$D2381,IF($A2381&lt;&gt;"",0,""))</f>
        <v/>
      </c>
      <c r="AC2381" s="70" t="str">
        <f t="shared" ref="AC2381:AC2444" si="834">IF(AND($E2381&gt;0,$J2381="ELECOM",ISNUMBER(SEARCH("Chuột trackball",$C2381))),20000*$D2381,IF($A2381&lt;&gt;"",0,""))</f>
        <v/>
      </c>
      <c r="AD2381" s="70" t="str">
        <f t="shared" ref="AD2381:AD2444" si="835">IF(AND($E2381&gt;0,$J2381="ELECOM",ISNUMBER(SEARCH("Sạc không dây",$C2381))),20000*$D2381,IF($A2381&lt;&gt;"",0,""))</f>
        <v/>
      </c>
      <c r="AE2381" s="70" t="str">
        <f t="shared" ref="AE2381:AE2444" si="836">IF(AND($E2381&gt;0,$J2381="ELECOM",ISNUMBER(SEARCH("Sạc kd",$C2381))),20000*$D2381,IF($A2381&lt;&gt;"",0,""))</f>
        <v/>
      </c>
      <c r="AF2381" s="16"/>
      <c r="AG2381" s="23"/>
      <c r="AH2381" s="22"/>
      <c r="AJ2381" s="83">
        <f t="shared" ref="AJ2381:AJ2444" si="837">DAY(H2381)</f>
        <v>0</v>
      </c>
      <c r="AO2381" s="22" t="str">
        <f t="shared" ref="AO2381:AO2444" si="838">IF(AND($E2381&gt;0,ISNUMBER(SEARCH("Sạc dự phòng Energizer",$C2381))),10000*$D2381,IF($A2381&lt;&gt;"",0,""))</f>
        <v/>
      </c>
      <c r="AP2381" s="22" t="str">
        <f t="shared" ref="AP2381:AP2444" si="839">IF(AND($E2381&gt;0,ISNUMBER(SEARCH("SDP Energizer",$C2381))),10000*$D2381,IF($A2381&lt;&gt;"",0,""))</f>
        <v/>
      </c>
    </row>
    <row r="2382" spans="1:42" x14ac:dyDescent="0.25">
      <c r="A2382" s="10"/>
      <c r="B2382" s="10"/>
      <c r="C2382" s="10"/>
      <c r="D2382" s="10"/>
      <c r="E2382" s="10"/>
      <c r="F2382" s="10"/>
      <c r="G2382" s="10"/>
      <c r="H2382" s="17"/>
      <c r="I2382" s="10"/>
      <c r="J2382" s="10"/>
      <c r="K2382" s="16" t="str">
        <f t="shared" si="818"/>
        <v/>
      </c>
      <c r="L2382" s="23" t="str">
        <f t="shared" si="819"/>
        <v/>
      </c>
      <c r="M2382" s="22" t="str">
        <f t="shared" si="820"/>
        <v/>
      </c>
      <c r="N2382" s="72"/>
      <c r="O2382" s="16" t="str">
        <f t="shared" si="821"/>
        <v/>
      </c>
      <c r="P2382" s="16" t="str">
        <f t="shared" si="822"/>
        <v/>
      </c>
      <c r="Q2382" s="16" t="str">
        <f t="shared" si="823"/>
        <v/>
      </c>
      <c r="R2382" s="23" t="str">
        <f t="shared" si="824"/>
        <v/>
      </c>
      <c r="S2382" s="23" t="str">
        <f t="shared" si="825"/>
        <v/>
      </c>
      <c r="T2382" s="23" t="str">
        <f t="shared" si="826"/>
        <v/>
      </c>
      <c r="U2382" s="23" t="str">
        <f t="shared" si="827"/>
        <v/>
      </c>
      <c r="V2382" s="23" t="str">
        <f t="shared" si="828"/>
        <v/>
      </c>
      <c r="W2382" s="70" t="str">
        <f t="shared" si="829"/>
        <v/>
      </c>
      <c r="X2382" s="70" t="str">
        <f t="shared" si="830"/>
        <v/>
      </c>
      <c r="Y2382" s="70" t="str">
        <f>IF(AND($A2382&lt;&gt;"",$E2382&gt;0),isLaptopBag($C2382,$J2382)*$D2382,"")</f>
        <v/>
      </c>
      <c r="Z2382" s="70" t="str">
        <f t="shared" si="831"/>
        <v/>
      </c>
      <c r="AA2382" s="70" t="str">
        <f t="shared" si="832"/>
        <v/>
      </c>
      <c r="AB2382" s="70" t="str">
        <f t="shared" si="833"/>
        <v/>
      </c>
      <c r="AC2382" s="70" t="str">
        <f t="shared" si="834"/>
        <v/>
      </c>
      <c r="AD2382" s="70" t="str">
        <f t="shared" si="835"/>
        <v/>
      </c>
      <c r="AE2382" s="70" t="str">
        <f t="shared" si="836"/>
        <v/>
      </c>
      <c r="AF2382" s="16"/>
      <c r="AG2382" s="23"/>
      <c r="AH2382" s="22"/>
      <c r="AJ2382" s="83">
        <f t="shared" si="837"/>
        <v>0</v>
      </c>
      <c r="AO2382" s="22" t="str">
        <f t="shared" si="838"/>
        <v/>
      </c>
      <c r="AP2382" s="22" t="str">
        <f t="shared" si="839"/>
        <v/>
      </c>
    </row>
    <row r="2383" spans="1:42" x14ac:dyDescent="0.25">
      <c r="A2383" s="10"/>
      <c r="B2383" s="10"/>
      <c r="C2383" s="10"/>
      <c r="D2383" s="10"/>
      <c r="E2383" s="10"/>
      <c r="F2383" s="10"/>
      <c r="G2383" s="10"/>
      <c r="H2383" s="17"/>
      <c r="I2383" s="10"/>
      <c r="J2383" s="10"/>
      <c r="K2383" s="16" t="str">
        <f t="shared" si="818"/>
        <v/>
      </c>
      <c r="L2383" s="23" t="str">
        <f t="shared" si="819"/>
        <v/>
      </c>
      <c r="M2383" s="22" t="str">
        <f t="shared" si="820"/>
        <v/>
      </c>
      <c r="N2383" s="72"/>
      <c r="O2383" s="16" t="str">
        <f t="shared" si="821"/>
        <v/>
      </c>
      <c r="P2383" s="16" t="str">
        <f t="shared" si="822"/>
        <v/>
      </c>
      <c r="Q2383" s="16" t="str">
        <f t="shared" si="823"/>
        <v/>
      </c>
      <c r="R2383" s="23" t="str">
        <f t="shared" si="824"/>
        <v/>
      </c>
      <c r="S2383" s="23" t="str">
        <f t="shared" si="825"/>
        <v/>
      </c>
      <c r="T2383" s="23" t="str">
        <f t="shared" si="826"/>
        <v/>
      </c>
      <c r="U2383" s="23" t="str">
        <f t="shared" si="827"/>
        <v/>
      </c>
      <c r="V2383" s="23" t="str">
        <f t="shared" si="828"/>
        <v/>
      </c>
      <c r="W2383" s="70" t="str">
        <f t="shared" si="829"/>
        <v/>
      </c>
      <c r="X2383" s="70" t="str">
        <f t="shared" si="830"/>
        <v/>
      </c>
      <c r="Y2383" s="70" t="str">
        <f>IF(AND($A2383&lt;&gt;"",$E2383&gt;0),isLaptopBag($C2383,$J2383)*$D2383,"")</f>
        <v/>
      </c>
      <c r="Z2383" s="70" t="str">
        <f t="shared" si="831"/>
        <v/>
      </c>
      <c r="AA2383" s="70" t="str">
        <f t="shared" si="832"/>
        <v/>
      </c>
      <c r="AB2383" s="70" t="str">
        <f t="shared" si="833"/>
        <v/>
      </c>
      <c r="AC2383" s="70" t="str">
        <f t="shared" si="834"/>
        <v/>
      </c>
      <c r="AD2383" s="70" t="str">
        <f t="shared" si="835"/>
        <v/>
      </c>
      <c r="AE2383" s="70" t="str">
        <f t="shared" si="836"/>
        <v/>
      </c>
      <c r="AF2383" s="16"/>
      <c r="AG2383" s="23"/>
      <c r="AH2383" s="22"/>
      <c r="AJ2383" s="83">
        <f t="shared" si="837"/>
        <v>0</v>
      </c>
      <c r="AO2383" s="22" t="str">
        <f t="shared" si="838"/>
        <v/>
      </c>
      <c r="AP2383" s="22" t="str">
        <f t="shared" si="839"/>
        <v/>
      </c>
    </row>
    <row r="2384" spans="1:42" x14ac:dyDescent="0.25">
      <c r="A2384" s="10"/>
      <c r="B2384" s="10"/>
      <c r="C2384" s="10"/>
      <c r="D2384" s="10"/>
      <c r="E2384" s="10"/>
      <c r="F2384" s="10"/>
      <c r="G2384" s="10"/>
      <c r="H2384" s="17"/>
      <c r="I2384" s="10"/>
      <c r="J2384" s="10"/>
      <c r="K2384" s="16" t="str">
        <f t="shared" si="818"/>
        <v/>
      </c>
      <c r="L2384" s="23" t="str">
        <f t="shared" si="819"/>
        <v/>
      </c>
      <c r="M2384" s="22" t="str">
        <f t="shared" si="820"/>
        <v/>
      </c>
      <c r="N2384" s="72"/>
      <c r="O2384" s="16" t="str">
        <f t="shared" si="821"/>
        <v/>
      </c>
      <c r="P2384" s="16" t="str">
        <f t="shared" si="822"/>
        <v/>
      </c>
      <c r="Q2384" s="16" t="str">
        <f t="shared" si="823"/>
        <v/>
      </c>
      <c r="R2384" s="23" t="str">
        <f t="shared" si="824"/>
        <v/>
      </c>
      <c r="S2384" s="23" t="str">
        <f t="shared" si="825"/>
        <v/>
      </c>
      <c r="T2384" s="23" t="str">
        <f t="shared" si="826"/>
        <v/>
      </c>
      <c r="U2384" s="23" t="str">
        <f t="shared" si="827"/>
        <v/>
      </c>
      <c r="V2384" s="23" t="str">
        <f t="shared" si="828"/>
        <v/>
      </c>
      <c r="W2384" s="70" t="str">
        <f t="shared" si="829"/>
        <v/>
      </c>
      <c r="X2384" s="70" t="str">
        <f t="shared" si="830"/>
        <v/>
      </c>
      <c r="Y2384" s="70" t="str">
        <f>IF(AND($A2384&lt;&gt;"",$E2384&gt;0),isLaptopBag($C2384,$J2384)*$D2384,"")</f>
        <v/>
      </c>
      <c r="Z2384" s="70" t="str">
        <f t="shared" si="831"/>
        <v/>
      </c>
      <c r="AA2384" s="70" t="str">
        <f t="shared" si="832"/>
        <v/>
      </c>
      <c r="AB2384" s="70" t="str">
        <f t="shared" si="833"/>
        <v/>
      </c>
      <c r="AC2384" s="70" t="str">
        <f t="shared" si="834"/>
        <v/>
      </c>
      <c r="AD2384" s="70" t="str">
        <f t="shared" si="835"/>
        <v/>
      </c>
      <c r="AE2384" s="70" t="str">
        <f t="shared" si="836"/>
        <v/>
      </c>
      <c r="AF2384" s="16"/>
      <c r="AG2384" s="23"/>
      <c r="AH2384" s="22"/>
      <c r="AJ2384" s="83">
        <f t="shared" si="837"/>
        <v>0</v>
      </c>
      <c r="AO2384" s="22" t="str">
        <f t="shared" si="838"/>
        <v/>
      </c>
      <c r="AP2384" s="22" t="str">
        <f t="shared" si="839"/>
        <v/>
      </c>
    </row>
    <row r="2385" spans="1:42" x14ac:dyDescent="0.25">
      <c r="A2385" s="10"/>
      <c r="B2385" s="10"/>
      <c r="C2385" s="10"/>
      <c r="D2385" s="10"/>
      <c r="E2385" s="10"/>
      <c r="F2385" s="10"/>
      <c r="G2385" s="10"/>
      <c r="H2385" s="17"/>
      <c r="I2385" s="10"/>
      <c r="J2385" s="10"/>
      <c r="K2385" s="16" t="str">
        <f t="shared" si="818"/>
        <v/>
      </c>
      <c r="L2385" s="23" t="str">
        <f t="shared" si="819"/>
        <v/>
      </c>
      <c r="M2385" s="22" t="str">
        <f t="shared" si="820"/>
        <v/>
      </c>
      <c r="N2385" s="72"/>
      <c r="O2385" s="16" t="str">
        <f t="shared" si="821"/>
        <v/>
      </c>
      <c r="P2385" s="16" t="str">
        <f t="shared" si="822"/>
        <v/>
      </c>
      <c r="Q2385" s="16" t="str">
        <f t="shared" si="823"/>
        <v/>
      </c>
      <c r="R2385" s="23" t="str">
        <f t="shared" si="824"/>
        <v/>
      </c>
      <c r="S2385" s="23" t="str">
        <f t="shared" si="825"/>
        <v/>
      </c>
      <c r="T2385" s="23" t="str">
        <f t="shared" si="826"/>
        <v/>
      </c>
      <c r="U2385" s="23" t="str">
        <f t="shared" si="827"/>
        <v/>
      </c>
      <c r="V2385" s="23" t="str">
        <f t="shared" si="828"/>
        <v/>
      </c>
      <c r="W2385" s="70" t="str">
        <f t="shared" si="829"/>
        <v/>
      </c>
      <c r="X2385" s="70" t="str">
        <f t="shared" si="830"/>
        <v/>
      </c>
      <c r="Y2385" s="70" t="str">
        <f>IF(AND($A2385&lt;&gt;"",$E2385&gt;0),isLaptopBag($C2385,$J2385)*$D2385,"")</f>
        <v/>
      </c>
      <c r="Z2385" s="70" t="str">
        <f t="shared" si="831"/>
        <v/>
      </c>
      <c r="AA2385" s="70" t="str">
        <f t="shared" si="832"/>
        <v/>
      </c>
      <c r="AB2385" s="70" t="str">
        <f t="shared" si="833"/>
        <v/>
      </c>
      <c r="AC2385" s="70" t="str">
        <f t="shared" si="834"/>
        <v/>
      </c>
      <c r="AD2385" s="70" t="str">
        <f t="shared" si="835"/>
        <v/>
      </c>
      <c r="AE2385" s="70" t="str">
        <f t="shared" si="836"/>
        <v/>
      </c>
      <c r="AF2385" s="16"/>
      <c r="AG2385" s="23"/>
      <c r="AH2385" s="22"/>
      <c r="AJ2385" s="83">
        <f t="shared" si="837"/>
        <v>0</v>
      </c>
      <c r="AO2385" s="22" t="str">
        <f t="shared" si="838"/>
        <v/>
      </c>
      <c r="AP2385" s="22" t="str">
        <f t="shared" si="839"/>
        <v/>
      </c>
    </row>
    <row r="2386" spans="1:42" x14ac:dyDescent="0.25">
      <c r="A2386" s="10"/>
      <c r="B2386" s="10"/>
      <c r="C2386" s="10"/>
      <c r="D2386" s="10"/>
      <c r="E2386" s="10"/>
      <c r="F2386" s="10"/>
      <c r="G2386" s="10"/>
      <c r="H2386" s="17"/>
      <c r="I2386" s="10"/>
      <c r="J2386" s="10"/>
      <c r="K2386" s="16" t="str">
        <f t="shared" si="818"/>
        <v/>
      </c>
      <c r="L2386" s="23" t="str">
        <f t="shared" si="819"/>
        <v/>
      </c>
      <c r="M2386" s="22" t="str">
        <f t="shared" si="820"/>
        <v/>
      </c>
      <c r="N2386" s="72"/>
      <c r="O2386" s="16" t="str">
        <f t="shared" si="821"/>
        <v/>
      </c>
      <c r="P2386" s="16" t="str">
        <f t="shared" si="822"/>
        <v/>
      </c>
      <c r="Q2386" s="16" t="str">
        <f t="shared" si="823"/>
        <v/>
      </c>
      <c r="R2386" s="23" t="str">
        <f t="shared" si="824"/>
        <v/>
      </c>
      <c r="S2386" s="23" t="str">
        <f t="shared" si="825"/>
        <v/>
      </c>
      <c r="T2386" s="23" t="str">
        <f t="shared" si="826"/>
        <v/>
      </c>
      <c r="U2386" s="23" t="str">
        <f t="shared" si="827"/>
        <v/>
      </c>
      <c r="V2386" s="23" t="str">
        <f t="shared" si="828"/>
        <v/>
      </c>
      <c r="W2386" s="70" t="str">
        <f t="shared" si="829"/>
        <v/>
      </c>
      <c r="X2386" s="70" t="str">
        <f t="shared" si="830"/>
        <v/>
      </c>
      <c r="Y2386" s="70" t="str">
        <f>IF(AND($A2386&lt;&gt;"",$E2386&gt;0),isLaptopBag($C2386,$J2386)*$D2386,"")</f>
        <v/>
      </c>
      <c r="Z2386" s="70" t="str">
        <f t="shared" si="831"/>
        <v/>
      </c>
      <c r="AA2386" s="70" t="str">
        <f t="shared" si="832"/>
        <v/>
      </c>
      <c r="AB2386" s="70" t="str">
        <f t="shared" si="833"/>
        <v/>
      </c>
      <c r="AC2386" s="70" t="str">
        <f t="shared" si="834"/>
        <v/>
      </c>
      <c r="AD2386" s="70" t="str">
        <f t="shared" si="835"/>
        <v/>
      </c>
      <c r="AE2386" s="70" t="str">
        <f t="shared" si="836"/>
        <v/>
      </c>
      <c r="AF2386" s="16"/>
      <c r="AG2386" s="23"/>
      <c r="AH2386" s="22"/>
      <c r="AJ2386" s="83">
        <f t="shared" si="837"/>
        <v>0</v>
      </c>
      <c r="AO2386" s="22" t="str">
        <f t="shared" si="838"/>
        <v/>
      </c>
      <c r="AP2386" s="22" t="str">
        <f t="shared" si="839"/>
        <v/>
      </c>
    </row>
    <row r="2387" spans="1:42" x14ac:dyDescent="0.25">
      <c r="A2387" s="10"/>
      <c r="B2387" s="10"/>
      <c r="C2387" s="10"/>
      <c r="D2387" s="10"/>
      <c r="E2387" s="10"/>
      <c r="F2387" s="10"/>
      <c r="G2387" s="10"/>
      <c r="H2387" s="17"/>
      <c r="I2387" s="10"/>
      <c r="J2387" s="10"/>
      <c r="K2387" s="16" t="str">
        <f t="shared" si="818"/>
        <v/>
      </c>
      <c r="L2387" s="23" t="str">
        <f t="shared" si="819"/>
        <v/>
      </c>
      <c r="M2387" s="22" t="str">
        <f t="shared" si="820"/>
        <v/>
      </c>
      <c r="N2387" s="72"/>
      <c r="O2387" s="16" t="str">
        <f t="shared" si="821"/>
        <v/>
      </c>
      <c r="P2387" s="16" t="str">
        <f t="shared" si="822"/>
        <v/>
      </c>
      <c r="Q2387" s="16" t="str">
        <f t="shared" si="823"/>
        <v/>
      </c>
      <c r="R2387" s="23" t="str">
        <f t="shared" si="824"/>
        <v/>
      </c>
      <c r="S2387" s="23" t="str">
        <f t="shared" si="825"/>
        <v/>
      </c>
      <c r="T2387" s="23" t="str">
        <f t="shared" si="826"/>
        <v/>
      </c>
      <c r="U2387" s="23" t="str">
        <f t="shared" si="827"/>
        <v/>
      </c>
      <c r="V2387" s="23" t="str">
        <f t="shared" si="828"/>
        <v/>
      </c>
      <c r="W2387" s="70" t="str">
        <f t="shared" si="829"/>
        <v/>
      </c>
      <c r="X2387" s="70" t="str">
        <f t="shared" si="830"/>
        <v/>
      </c>
      <c r="Y2387" s="70" t="str">
        <f>IF(AND($A2387&lt;&gt;"",$E2387&gt;0),isLaptopBag($C2387,$J2387)*$D2387,"")</f>
        <v/>
      </c>
      <c r="Z2387" s="70" t="str">
        <f t="shared" si="831"/>
        <v/>
      </c>
      <c r="AA2387" s="70" t="str">
        <f t="shared" si="832"/>
        <v/>
      </c>
      <c r="AB2387" s="70" t="str">
        <f t="shared" si="833"/>
        <v/>
      </c>
      <c r="AC2387" s="70" t="str">
        <f t="shared" si="834"/>
        <v/>
      </c>
      <c r="AD2387" s="70" t="str">
        <f t="shared" si="835"/>
        <v/>
      </c>
      <c r="AE2387" s="70" t="str">
        <f t="shared" si="836"/>
        <v/>
      </c>
      <c r="AF2387" s="16"/>
      <c r="AG2387" s="23"/>
      <c r="AH2387" s="22"/>
      <c r="AJ2387" s="83">
        <f t="shared" si="837"/>
        <v>0</v>
      </c>
      <c r="AO2387" s="22" t="str">
        <f t="shared" si="838"/>
        <v/>
      </c>
      <c r="AP2387" s="22" t="str">
        <f t="shared" si="839"/>
        <v/>
      </c>
    </row>
    <row r="2388" spans="1:42" x14ac:dyDescent="0.25">
      <c r="A2388" s="10"/>
      <c r="B2388" s="10"/>
      <c r="C2388" s="10"/>
      <c r="D2388" s="10"/>
      <c r="E2388" s="10"/>
      <c r="F2388" s="10"/>
      <c r="G2388" s="10"/>
      <c r="H2388" s="17"/>
      <c r="I2388" s="10"/>
      <c r="J2388" s="10"/>
      <c r="K2388" s="16" t="str">
        <f t="shared" si="818"/>
        <v/>
      </c>
      <c r="L2388" s="23" t="str">
        <f t="shared" si="819"/>
        <v/>
      </c>
      <c r="M2388" s="22" t="str">
        <f t="shared" si="820"/>
        <v/>
      </c>
      <c r="N2388" s="72"/>
      <c r="O2388" s="16" t="str">
        <f t="shared" si="821"/>
        <v/>
      </c>
      <c r="P2388" s="16" t="str">
        <f t="shared" si="822"/>
        <v/>
      </c>
      <c r="Q2388" s="16" t="str">
        <f t="shared" si="823"/>
        <v/>
      </c>
      <c r="R2388" s="23" t="str">
        <f t="shared" si="824"/>
        <v/>
      </c>
      <c r="S2388" s="23" t="str">
        <f t="shared" si="825"/>
        <v/>
      </c>
      <c r="T2388" s="23" t="str">
        <f t="shared" si="826"/>
        <v/>
      </c>
      <c r="U2388" s="23" t="str">
        <f t="shared" si="827"/>
        <v/>
      </c>
      <c r="V2388" s="23" t="str">
        <f t="shared" si="828"/>
        <v/>
      </c>
      <c r="W2388" s="70" t="str">
        <f t="shared" si="829"/>
        <v/>
      </c>
      <c r="X2388" s="70" t="str">
        <f t="shared" si="830"/>
        <v/>
      </c>
      <c r="Y2388" s="70" t="str">
        <f>IF(AND($A2388&lt;&gt;"",$E2388&gt;0),isLaptopBag($C2388,$J2388)*$D2388,"")</f>
        <v/>
      </c>
      <c r="Z2388" s="70" t="str">
        <f t="shared" si="831"/>
        <v/>
      </c>
      <c r="AA2388" s="70" t="str">
        <f t="shared" si="832"/>
        <v/>
      </c>
      <c r="AB2388" s="70" t="str">
        <f t="shared" si="833"/>
        <v/>
      </c>
      <c r="AC2388" s="70" t="str">
        <f t="shared" si="834"/>
        <v/>
      </c>
      <c r="AD2388" s="70" t="str">
        <f t="shared" si="835"/>
        <v/>
      </c>
      <c r="AE2388" s="70" t="str">
        <f t="shared" si="836"/>
        <v/>
      </c>
      <c r="AF2388" s="16"/>
      <c r="AG2388" s="23"/>
      <c r="AH2388" s="22"/>
      <c r="AJ2388" s="83">
        <f t="shared" si="837"/>
        <v>0</v>
      </c>
      <c r="AO2388" s="22" t="str">
        <f t="shared" si="838"/>
        <v/>
      </c>
      <c r="AP2388" s="22" t="str">
        <f t="shared" si="839"/>
        <v/>
      </c>
    </row>
    <row r="2389" spans="1:42" x14ac:dyDescent="0.25">
      <c r="A2389" s="10"/>
      <c r="B2389" s="10"/>
      <c r="C2389" s="10"/>
      <c r="D2389" s="10"/>
      <c r="E2389" s="10"/>
      <c r="F2389" s="10"/>
      <c r="G2389" s="10"/>
      <c r="H2389" s="17"/>
      <c r="I2389" s="10"/>
      <c r="J2389" s="10"/>
      <c r="K2389" s="16" t="str">
        <f t="shared" si="818"/>
        <v/>
      </c>
      <c r="L2389" s="23" t="str">
        <f t="shared" si="819"/>
        <v/>
      </c>
      <c r="M2389" s="22" t="str">
        <f t="shared" si="820"/>
        <v/>
      </c>
      <c r="N2389" s="72"/>
      <c r="O2389" s="16" t="str">
        <f t="shared" si="821"/>
        <v/>
      </c>
      <c r="P2389" s="16" t="str">
        <f t="shared" si="822"/>
        <v/>
      </c>
      <c r="Q2389" s="16" t="str">
        <f t="shared" si="823"/>
        <v/>
      </c>
      <c r="R2389" s="23" t="str">
        <f t="shared" si="824"/>
        <v/>
      </c>
      <c r="S2389" s="23" t="str">
        <f t="shared" si="825"/>
        <v/>
      </c>
      <c r="T2389" s="23" t="str">
        <f t="shared" si="826"/>
        <v/>
      </c>
      <c r="U2389" s="23" t="str">
        <f t="shared" si="827"/>
        <v/>
      </c>
      <c r="V2389" s="23" t="str">
        <f t="shared" si="828"/>
        <v/>
      </c>
      <c r="W2389" s="70" t="str">
        <f t="shared" si="829"/>
        <v/>
      </c>
      <c r="X2389" s="70" t="str">
        <f t="shared" si="830"/>
        <v/>
      </c>
      <c r="Y2389" s="70" t="str">
        <f>IF(AND($A2389&lt;&gt;"",$E2389&gt;0),isLaptopBag($C2389,$J2389)*$D2389,"")</f>
        <v/>
      </c>
      <c r="Z2389" s="70" t="str">
        <f t="shared" si="831"/>
        <v/>
      </c>
      <c r="AA2389" s="70" t="str">
        <f t="shared" si="832"/>
        <v/>
      </c>
      <c r="AB2389" s="70" t="str">
        <f t="shared" si="833"/>
        <v/>
      </c>
      <c r="AC2389" s="70" t="str">
        <f t="shared" si="834"/>
        <v/>
      </c>
      <c r="AD2389" s="70" t="str">
        <f t="shared" si="835"/>
        <v/>
      </c>
      <c r="AE2389" s="70" t="str">
        <f t="shared" si="836"/>
        <v/>
      </c>
      <c r="AF2389" s="16"/>
      <c r="AG2389" s="23"/>
      <c r="AH2389" s="22"/>
      <c r="AJ2389" s="83">
        <f t="shared" si="837"/>
        <v>0</v>
      </c>
      <c r="AO2389" s="22" t="str">
        <f t="shared" si="838"/>
        <v/>
      </c>
      <c r="AP2389" s="22" t="str">
        <f t="shared" si="839"/>
        <v/>
      </c>
    </row>
    <row r="2390" spans="1:42" x14ac:dyDescent="0.25">
      <c r="A2390" s="10"/>
      <c r="B2390" s="10"/>
      <c r="C2390" s="10"/>
      <c r="D2390" s="10"/>
      <c r="E2390" s="10"/>
      <c r="F2390" s="10"/>
      <c r="G2390" s="10"/>
      <c r="H2390" s="17"/>
      <c r="I2390" s="10"/>
      <c r="J2390" s="10"/>
      <c r="K2390" s="16" t="str">
        <f t="shared" si="818"/>
        <v/>
      </c>
      <c r="L2390" s="23" t="str">
        <f t="shared" si="819"/>
        <v/>
      </c>
      <c r="M2390" s="22" t="str">
        <f t="shared" si="820"/>
        <v/>
      </c>
      <c r="N2390" s="72"/>
      <c r="O2390" s="16" t="str">
        <f t="shared" si="821"/>
        <v/>
      </c>
      <c r="P2390" s="16" t="str">
        <f t="shared" si="822"/>
        <v/>
      </c>
      <c r="Q2390" s="16" t="str">
        <f t="shared" si="823"/>
        <v/>
      </c>
      <c r="R2390" s="23" t="str">
        <f t="shared" si="824"/>
        <v/>
      </c>
      <c r="S2390" s="23" t="str">
        <f t="shared" si="825"/>
        <v/>
      </c>
      <c r="T2390" s="23" t="str">
        <f t="shared" si="826"/>
        <v/>
      </c>
      <c r="U2390" s="23" t="str">
        <f t="shared" si="827"/>
        <v/>
      </c>
      <c r="V2390" s="23" t="str">
        <f t="shared" si="828"/>
        <v/>
      </c>
      <c r="W2390" s="70" t="str">
        <f t="shared" si="829"/>
        <v/>
      </c>
      <c r="X2390" s="70" t="str">
        <f t="shared" si="830"/>
        <v/>
      </c>
      <c r="Y2390" s="70" t="str">
        <f>IF(AND($A2390&lt;&gt;"",$E2390&gt;0),isLaptopBag($C2390,$J2390)*$D2390,"")</f>
        <v/>
      </c>
      <c r="Z2390" s="70" t="str">
        <f t="shared" si="831"/>
        <v/>
      </c>
      <c r="AA2390" s="70" t="str">
        <f t="shared" si="832"/>
        <v/>
      </c>
      <c r="AB2390" s="70" t="str">
        <f t="shared" si="833"/>
        <v/>
      </c>
      <c r="AC2390" s="70" t="str">
        <f t="shared" si="834"/>
        <v/>
      </c>
      <c r="AD2390" s="70" t="str">
        <f t="shared" si="835"/>
        <v/>
      </c>
      <c r="AE2390" s="70" t="str">
        <f t="shared" si="836"/>
        <v/>
      </c>
      <c r="AF2390" s="16"/>
      <c r="AG2390" s="23"/>
      <c r="AH2390" s="22"/>
      <c r="AJ2390" s="83">
        <f t="shared" si="837"/>
        <v>0</v>
      </c>
      <c r="AO2390" s="22" t="str">
        <f t="shared" si="838"/>
        <v/>
      </c>
      <c r="AP2390" s="22" t="str">
        <f t="shared" si="839"/>
        <v/>
      </c>
    </row>
    <row r="2391" spans="1:42" x14ac:dyDescent="0.25">
      <c r="A2391" s="10"/>
      <c r="B2391" s="10"/>
      <c r="C2391" s="10"/>
      <c r="D2391" s="10"/>
      <c r="E2391" s="10"/>
      <c r="F2391" s="10"/>
      <c r="G2391" s="10"/>
      <c r="H2391" s="17"/>
      <c r="I2391" s="10"/>
      <c r="J2391" s="10"/>
      <c r="K2391" s="16" t="str">
        <f t="shared" si="818"/>
        <v/>
      </c>
      <c r="L2391" s="23" t="str">
        <f t="shared" si="819"/>
        <v/>
      </c>
      <c r="M2391" s="22" t="str">
        <f t="shared" si="820"/>
        <v/>
      </c>
      <c r="N2391" s="72"/>
      <c r="O2391" s="16" t="str">
        <f t="shared" si="821"/>
        <v/>
      </c>
      <c r="P2391" s="16" t="str">
        <f t="shared" si="822"/>
        <v/>
      </c>
      <c r="Q2391" s="16" t="str">
        <f t="shared" si="823"/>
        <v/>
      </c>
      <c r="R2391" s="23" t="str">
        <f t="shared" si="824"/>
        <v/>
      </c>
      <c r="S2391" s="23" t="str">
        <f t="shared" si="825"/>
        <v/>
      </c>
      <c r="T2391" s="23" t="str">
        <f t="shared" si="826"/>
        <v/>
      </c>
      <c r="U2391" s="23" t="str">
        <f t="shared" si="827"/>
        <v/>
      </c>
      <c r="V2391" s="23" t="str">
        <f t="shared" si="828"/>
        <v/>
      </c>
      <c r="W2391" s="70" t="str">
        <f t="shared" si="829"/>
        <v/>
      </c>
      <c r="X2391" s="70" t="str">
        <f t="shared" si="830"/>
        <v/>
      </c>
      <c r="Y2391" s="70" t="str">
        <f>IF(AND($A2391&lt;&gt;"",$E2391&gt;0),isLaptopBag($C2391,$J2391)*$D2391,"")</f>
        <v/>
      </c>
      <c r="Z2391" s="70" t="str">
        <f t="shared" si="831"/>
        <v/>
      </c>
      <c r="AA2391" s="70" t="str">
        <f t="shared" si="832"/>
        <v/>
      </c>
      <c r="AB2391" s="70" t="str">
        <f t="shared" si="833"/>
        <v/>
      </c>
      <c r="AC2391" s="70" t="str">
        <f t="shared" si="834"/>
        <v/>
      </c>
      <c r="AD2391" s="70" t="str">
        <f t="shared" si="835"/>
        <v/>
      </c>
      <c r="AE2391" s="70" t="str">
        <f t="shared" si="836"/>
        <v/>
      </c>
      <c r="AF2391" s="16"/>
      <c r="AG2391" s="23"/>
      <c r="AH2391" s="22"/>
      <c r="AJ2391" s="83">
        <f t="shared" si="837"/>
        <v>0</v>
      </c>
      <c r="AO2391" s="22" t="str">
        <f t="shared" si="838"/>
        <v/>
      </c>
      <c r="AP2391" s="22" t="str">
        <f t="shared" si="839"/>
        <v/>
      </c>
    </row>
    <row r="2392" spans="1:42" x14ac:dyDescent="0.25">
      <c r="A2392" s="10"/>
      <c r="B2392" s="10"/>
      <c r="C2392" s="10"/>
      <c r="D2392" s="10"/>
      <c r="E2392" s="10"/>
      <c r="F2392" s="10"/>
      <c r="G2392" s="10"/>
      <c r="H2392" s="17"/>
      <c r="I2392" s="10"/>
      <c r="J2392" s="10"/>
      <c r="K2392" s="16" t="str">
        <f t="shared" si="818"/>
        <v/>
      </c>
      <c r="L2392" s="23" t="str">
        <f t="shared" si="819"/>
        <v/>
      </c>
      <c r="M2392" s="22" t="str">
        <f t="shared" si="820"/>
        <v/>
      </c>
      <c r="N2392" s="72"/>
      <c r="O2392" s="16" t="str">
        <f t="shared" si="821"/>
        <v/>
      </c>
      <c r="P2392" s="16" t="str">
        <f t="shared" si="822"/>
        <v/>
      </c>
      <c r="Q2392" s="16" t="str">
        <f t="shared" si="823"/>
        <v/>
      </c>
      <c r="R2392" s="23" t="str">
        <f t="shared" si="824"/>
        <v/>
      </c>
      <c r="S2392" s="23" t="str">
        <f t="shared" si="825"/>
        <v/>
      </c>
      <c r="T2392" s="23" t="str">
        <f t="shared" si="826"/>
        <v/>
      </c>
      <c r="U2392" s="23" t="str">
        <f t="shared" si="827"/>
        <v/>
      </c>
      <c r="V2392" s="23" t="str">
        <f t="shared" si="828"/>
        <v/>
      </c>
      <c r="W2392" s="70" t="str">
        <f t="shared" si="829"/>
        <v/>
      </c>
      <c r="X2392" s="70" t="str">
        <f t="shared" si="830"/>
        <v/>
      </c>
      <c r="Y2392" s="70" t="str">
        <f>IF(AND($A2392&lt;&gt;"",$E2392&gt;0),isLaptopBag($C2392,$J2392)*$D2392,"")</f>
        <v/>
      </c>
      <c r="Z2392" s="70" t="str">
        <f t="shared" si="831"/>
        <v/>
      </c>
      <c r="AA2392" s="70" t="str">
        <f t="shared" si="832"/>
        <v/>
      </c>
      <c r="AB2392" s="70" t="str">
        <f t="shared" si="833"/>
        <v/>
      </c>
      <c r="AC2392" s="70" t="str">
        <f t="shared" si="834"/>
        <v/>
      </c>
      <c r="AD2392" s="70" t="str">
        <f t="shared" si="835"/>
        <v/>
      </c>
      <c r="AE2392" s="70" t="str">
        <f t="shared" si="836"/>
        <v/>
      </c>
      <c r="AF2392" s="16"/>
      <c r="AG2392" s="23"/>
      <c r="AH2392" s="22"/>
      <c r="AJ2392" s="83">
        <f t="shared" si="837"/>
        <v>0</v>
      </c>
      <c r="AO2392" s="22" t="str">
        <f t="shared" si="838"/>
        <v/>
      </c>
      <c r="AP2392" s="22" t="str">
        <f t="shared" si="839"/>
        <v/>
      </c>
    </row>
    <row r="2393" spans="1:42" x14ac:dyDescent="0.25">
      <c r="A2393" s="10"/>
      <c r="B2393" s="10"/>
      <c r="C2393" s="10"/>
      <c r="D2393" s="10"/>
      <c r="E2393" s="10"/>
      <c r="F2393" s="10"/>
      <c r="G2393" s="10"/>
      <c r="H2393" s="17"/>
      <c r="I2393" s="10"/>
      <c r="J2393" s="10"/>
      <c r="K2393" s="16" t="str">
        <f t="shared" si="818"/>
        <v/>
      </c>
      <c r="L2393" s="23" t="str">
        <f t="shared" si="819"/>
        <v/>
      </c>
      <c r="M2393" s="22" t="str">
        <f t="shared" si="820"/>
        <v/>
      </c>
      <c r="N2393" s="72"/>
      <c r="O2393" s="16" t="str">
        <f t="shared" si="821"/>
        <v/>
      </c>
      <c r="P2393" s="16" t="str">
        <f t="shared" si="822"/>
        <v/>
      </c>
      <c r="Q2393" s="16" t="str">
        <f t="shared" si="823"/>
        <v/>
      </c>
      <c r="R2393" s="23" t="str">
        <f t="shared" si="824"/>
        <v/>
      </c>
      <c r="S2393" s="23" t="str">
        <f t="shared" si="825"/>
        <v/>
      </c>
      <c r="T2393" s="23" t="str">
        <f t="shared" si="826"/>
        <v/>
      </c>
      <c r="U2393" s="23" t="str">
        <f t="shared" si="827"/>
        <v/>
      </c>
      <c r="V2393" s="23" t="str">
        <f t="shared" si="828"/>
        <v/>
      </c>
      <c r="W2393" s="70" t="str">
        <f t="shared" si="829"/>
        <v/>
      </c>
      <c r="X2393" s="70" t="str">
        <f t="shared" si="830"/>
        <v/>
      </c>
      <c r="Y2393" s="70" t="str">
        <f>IF(AND($A2393&lt;&gt;"",$E2393&gt;0),isLaptopBag($C2393,$J2393)*$D2393,"")</f>
        <v/>
      </c>
      <c r="Z2393" s="70" t="str">
        <f t="shared" si="831"/>
        <v/>
      </c>
      <c r="AA2393" s="70" t="str">
        <f t="shared" si="832"/>
        <v/>
      </c>
      <c r="AB2393" s="70" t="str">
        <f t="shared" si="833"/>
        <v/>
      </c>
      <c r="AC2393" s="70" t="str">
        <f t="shared" si="834"/>
        <v/>
      </c>
      <c r="AD2393" s="70" t="str">
        <f t="shared" si="835"/>
        <v/>
      </c>
      <c r="AE2393" s="70" t="str">
        <f t="shared" si="836"/>
        <v/>
      </c>
      <c r="AF2393" s="16"/>
      <c r="AG2393" s="23"/>
      <c r="AH2393" s="22"/>
      <c r="AJ2393" s="83">
        <f t="shared" si="837"/>
        <v>0</v>
      </c>
      <c r="AO2393" s="22" t="str">
        <f t="shared" si="838"/>
        <v/>
      </c>
      <c r="AP2393" s="22" t="str">
        <f t="shared" si="839"/>
        <v/>
      </c>
    </row>
    <row r="2394" spans="1:42" x14ac:dyDescent="0.25">
      <c r="A2394" s="10"/>
      <c r="B2394" s="10"/>
      <c r="C2394" s="10"/>
      <c r="D2394" s="10"/>
      <c r="E2394" s="10"/>
      <c r="F2394" s="10"/>
      <c r="G2394" s="10"/>
      <c r="H2394" s="17"/>
      <c r="I2394" s="10"/>
      <c r="J2394" s="10"/>
      <c r="K2394" s="16" t="str">
        <f t="shared" si="818"/>
        <v/>
      </c>
      <c r="L2394" s="23" t="str">
        <f t="shared" si="819"/>
        <v/>
      </c>
      <c r="M2394" s="22" t="str">
        <f t="shared" si="820"/>
        <v/>
      </c>
      <c r="N2394" s="72"/>
      <c r="O2394" s="16" t="str">
        <f t="shared" si="821"/>
        <v/>
      </c>
      <c r="P2394" s="16" t="str">
        <f t="shared" si="822"/>
        <v/>
      </c>
      <c r="Q2394" s="16" t="str">
        <f t="shared" si="823"/>
        <v/>
      </c>
      <c r="R2394" s="23" t="str">
        <f t="shared" si="824"/>
        <v/>
      </c>
      <c r="S2394" s="23" t="str">
        <f t="shared" si="825"/>
        <v/>
      </c>
      <c r="T2394" s="23" t="str">
        <f t="shared" si="826"/>
        <v/>
      </c>
      <c r="U2394" s="23" t="str">
        <f t="shared" si="827"/>
        <v/>
      </c>
      <c r="V2394" s="23" t="str">
        <f t="shared" si="828"/>
        <v/>
      </c>
      <c r="W2394" s="70" t="str">
        <f t="shared" si="829"/>
        <v/>
      </c>
      <c r="X2394" s="70" t="str">
        <f t="shared" si="830"/>
        <v/>
      </c>
      <c r="Y2394" s="70" t="str">
        <f>IF(AND($A2394&lt;&gt;"",$E2394&gt;0),isLaptopBag($C2394,$J2394)*$D2394,"")</f>
        <v/>
      </c>
      <c r="Z2394" s="70" t="str">
        <f t="shared" si="831"/>
        <v/>
      </c>
      <c r="AA2394" s="70" t="str">
        <f t="shared" si="832"/>
        <v/>
      </c>
      <c r="AB2394" s="70" t="str">
        <f t="shared" si="833"/>
        <v/>
      </c>
      <c r="AC2394" s="70" t="str">
        <f t="shared" si="834"/>
        <v/>
      </c>
      <c r="AD2394" s="70" t="str">
        <f t="shared" si="835"/>
        <v/>
      </c>
      <c r="AE2394" s="70" t="str">
        <f t="shared" si="836"/>
        <v/>
      </c>
      <c r="AF2394" s="16"/>
      <c r="AG2394" s="23"/>
      <c r="AH2394" s="22"/>
      <c r="AJ2394" s="83">
        <f t="shared" si="837"/>
        <v>0</v>
      </c>
      <c r="AO2394" s="22" t="str">
        <f t="shared" si="838"/>
        <v/>
      </c>
      <c r="AP2394" s="22" t="str">
        <f t="shared" si="839"/>
        <v/>
      </c>
    </row>
    <row r="2395" spans="1:42" x14ac:dyDescent="0.25">
      <c r="A2395" s="10"/>
      <c r="B2395" s="10"/>
      <c r="C2395" s="10"/>
      <c r="D2395" s="10"/>
      <c r="E2395" s="10"/>
      <c r="F2395" s="10"/>
      <c r="G2395" s="10"/>
      <c r="H2395" s="17"/>
      <c r="I2395" s="10"/>
      <c r="J2395" s="10"/>
      <c r="K2395" s="16" t="str">
        <f t="shared" si="818"/>
        <v/>
      </c>
      <c r="L2395" s="23" t="str">
        <f t="shared" si="819"/>
        <v/>
      </c>
      <c r="M2395" s="22" t="str">
        <f t="shared" si="820"/>
        <v/>
      </c>
      <c r="N2395" s="72"/>
      <c r="O2395" s="16" t="str">
        <f t="shared" si="821"/>
        <v/>
      </c>
      <c r="P2395" s="16" t="str">
        <f t="shared" si="822"/>
        <v/>
      </c>
      <c r="Q2395" s="16" t="str">
        <f t="shared" si="823"/>
        <v/>
      </c>
      <c r="R2395" s="23" t="str">
        <f t="shared" si="824"/>
        <v/>
      </c>
      <c r="S2395" s="23" t="str">
        <f t="shared" si="825"/>
        <v/>
      </c>
      <c r="T2395" s="23" t="str">
        <f t="shared" si="826"/>
        <v/>
      </c>
      <c r="U2395" s="23" t="str">
        <f t="shared" si="827"/>
        <v/>
      </c>
      <c r="V2395" s="23" t="str">
        <f t="shared" si="828"/>
        <v/>
      </c>
      <c r="W2395" s="70" t="str">
        <f t="shared" si="829"/>
        <v/>
      </c>
      <c r="X2395" s="70" t="str">
        <f t="shared" si="830"/>
        <v/>
      </c>
      <c r="Y2395" s="70" t="str">
        <f>IF(AND($A2395&lt;&gt;"",$E2395&gt;0),isLaptopBag($C2395,$J2395)*$D2395,"")</f>
        <v/>
      </c>
      <c r="Z2395" s="70" t="str">
        <f t="shared" si="831"/>
        <v/>
      </c>
      <c r="AA2395" s="70" t="str">
        <f t="shared" si="832"/>
        <v/>
      </c>
      <c r="AB2395" s="70" t="str">
        <f t="shared" si="833"/>
        <v/>
      </c>
      <c r="AC2395" s="70" t="str">
        <f t="shared" si="834"/>
        <v/>
      </c>
      <c r="AD2395" s="70" t="str">
        <f t="shared" si="835"/>
        <v/>
      </c>
      <c r="AE2395" s="70" t="str">
        <f t="shared" si="836"/>
        <v/>
      </c>
      <c r="AF2395" s="16"/>
      <c r="AG2395" s="23"/>
      <c r="AH2395" s="22"/>
      <c r="AJ2395" s="83">
        <f t="shared" si="837"/>
        <v>0</v>
      </c>
      <c r="AO2395" s="22" t="str">
        <f t="shared" si="838"/>
        <v/>
      </c>
      <c r="AP2395" s="22" t="str">
        <f t="shared" si="839"/>
        <v/>
      </c>
    </row>
    <row r="2396" spans="1:42" x14ac:dyDescent="0.25">
      <c r="A2396" s="10"/>
      <c r="B2396" s="10"/>
      <c r="C2396" s="10"/>
      <c r="D2396" s="10"/>
      <c r="E2396" s="10"/>
      <c r="F2396" s="10"/>
      <c r="G2396" s="10"/>
      <c r="H2396" s="17"/>
      <c r="I2396" s="10"/>
      <c r="J2396" s="10"/>
      <c r="K2396" s="16" t="str">
        <f t="shared" si="818"/>
        <v/>
      </c>
      <c r="L2396" s="23" t="str">
        <f t="shared" si="819"/>
        <v/>
      </c>
      <c r="M2396" s="22" t="str">
        <f t="shared" si="820"/>
        <v/>
      </c>
      <c r="N2396" s="72"/>
      <c r="O2396" s="16" t="str">
        <f t="shared" si="821"/>
        <v/>
      </c>
      <c r="P2396" s="16" t="str">
        <f t="shared" si="822"/>
        <v/>
      </c>
      <c r="Q2396" s="16" t="str">
        <f t="shared" si="823"/>
        <v/>
      </c>
      <c r="R2396" s="23" t="str">
        <f t="shared" si="824"/>
        <v/>
      </c>
      <c r="S2396" s="23" t="str">
        <f t="shared" si="825"/>
        <v/>
      </c>
      <c r="T2396" s="23" t="str">
        <f t="shared" si="826"/>
        <v/>
      </c>
      <c r="U2396" s="23" t="str">
        <f t="shared" si="827"/>
        <v/>
      </c>
      <c r="V2396" s="23" t="str">
        <f t="shared" si="828"/>
        <v/>
      </c>
      <c r="W2396" s="70" t="str">
        <f t="shared" si="829"/>
        <v/>
      </c>
      <c r="X2396" s="70" t="str">
        <f t="shared" si="830"/>
        <v/>
      </c>
      <c r="Y2396" s="70" t="str">
        <f>IF(AND($A2396&lt;&gt;"",$E2396&gt;0),isLaptopBag($C2396,$J2396)*$D2396,"")</f>
        <v/>
      </c>
      <c r="Z2396" s="70" t="str">
        <f t="shared" si="831"/>
        <v/>
      </c>
      <c r="AA2396" s="70" t="str">
        <f t="shared" si="832"/>
        <v/>
      </c>
      <c r="AB2396" s="70" t="str">
        <f t="shared" si="833"/>
        <v/>
      </c>
      <c r="AC2396" s="70" t="str">
        <f t="shared" si="834"/>
        <v/>
      </c>
      <c r="AD2396" s="70" t="str">
        <f t="shared" si="835"/>
        <v/>
      </c>
      <c r="AE2396" s="70" t="str">
        <f t="shared" si="836"/>
        <v/>
      </c>
      <c r="AF2396" s="16"/>
      <c r="AG2396" s="23"/>
      <c r="AH2396" s="22"/>
      <c r="AJ2396" s="83">
        <f t="shared" si="837"/>
        <v>0</v>
      </c>
      <c r="AO2396" s="22" t="str">
        <f t="shared" si="838"/>
        <v/>
      </c>
      <c r="AP2396" s="22" t="str">
        <f t="shared" si="839"/>
        <v/>
      </c>
    </row>
    <row r="2397" spans="1:42" x14ac:dyDescent="0.25">
      <c r="A2397" s="10"/>
      <c r="B2397" s="10"/>
      <c r="C2397" s="10"/>
      <c r="D2397" s="10"/>
      <c r="E2397" s="10"/>
      <c r="F2397" s="10"/>
      <c r="G2397" s="10"/>
      <c r="H2397" s="17"/>
      <c r="I2397" s="10"/>
      <c r="J2397" s="10"/>
      <c r="K2397" s="16" t="str">
        <f t="shared" si="818"/>
        <v/>
      </c>
      <c r="L2397" s="23" t="str">
        <f t="shared" si="819"/>
        <v/>
      </c>
      <c r="M2397" s="22" t="str">
        <f t="shared" si="820"/>
        <v/>
      </c>
      <c r="N2397" s="72"/>
      <c r="O2397" s="16" t="str">
        <f t="shared" si="821"/>
        <v/>
      </c>
      <c r="P2397" s="16" t="str">
        <f t="shared" si="822"/>
        <v/>
      </c>
      <c r="Q2397" s="16" t="str">
        <f t="shared" si="823"/>
        <v/>
      </c>
      <c r="R2397" s="23" t="str">
        <f t="shared" si="824"/>
        <v/>
      </c>
      <c r="S2397" s="23" t="str">
        <f t="shared" si="825"/>
        <v/>
      </c>
      <c r="T2397" s="23" t="str">
        <f t="shared" si="826"/>
        <v/>
      </c>
      <c r="U2397" s="23" t="str">
        <f t="shared" si="827"/>
        <v/>
      </c>
      <c r="V2397" s="23" t="str">
        <f t="shared" si="828"/>
        <v/>
      </c>
      <c r="W2397" s="70" t="str">
        <f t="shared" si="829"/>
        <v/>
      </c>
      <c r="X2397" s="70" t="str">
        <f t="shared" si="830"/>
        <v/>
      </c>
      <c r="Y2397" s="70" t="str">
        <f>IF(AND($A2397&lt;&gt;"",$E2397&gt;0),isLaptopBag($C2397,$J2397)*$D2397,"")</f>
        <v/>
      </c>
      <c r="Z2397" s="70" t="str">
        <f t="shared" si="831"/>
        <v/>
      </c>
      <c r="AA2397" s="70" t="str">
        <f t="shared" si="832"/>
        <v/>
      </c>
      <c r="AB2397" s="70" t="str">
        <f t="shared" si="833"/>
        <v/>
      </c>
      <c r="AC2397" s="70" t="str">
        <f t="shared" si="834"/>
        <v/>
      </c>
      <c r="AD2397" s="70" t="str">
        <f t="shared" si="835"/>
        <v/>
      </c>
      <c r="AE2397" s="70" t="str">
        <f t="shared" si="836"/>
        <v/>
      </c>
      <c r="AF2397" s="16"/>
      <c r="AG2397" s="23"/>
      <c r="AH2397" s="22"/>
      <c r="AJ2397" s="83">
        <f t="shared" si="837"/>
        <v>0</v>
      </c>
      <c r="AO2397" s="22" t="str">
        <f t="shared" si="838"/>
        <v/>
      </c>
      <c r="AP2397" s="22" t="str">
        <f t="shared" si="839"/>
        <v/>
      </c>
    </row>
    <row r="2398" spans="1:42" x14ac:dyDescent="0.25">
      <c r="A2398" s="10"/>
      <c r="B2398" s="10"/>
      <c r="C2398" s="10"/>
      <c r="D2398" s="10"/>
      <c r="E2398" s="10"/>
      <c r="F2398" s="10"/>
      <c r="G2398" s="10"/>
      <c r="H2398" s="17"/>
      <c r="I2398" s="10"/>
      <c r="J2398" s="10"/>
      <c r="K2398" s="16" t="str">
        <f t="shared" si="818"/>
        <v/>
      </c>
      <c r="L2398" s="23" t="str">
        <f t="shared" si="819"/>
        <v/>
      </c>
      <c r="M2398" s="22" t="str">
        <f t="shared" si="820"/>
        <v/>
      </c>
      <c r="N2398" s="72"/>
      <c r="O2398" s="16" t="str">
        <f t="shared" si="821"/>
        <v/>
      </c>
      <c r="P2398" s="16" t="str">
        <f t="shared" si="822"/>
        <v/>
      </c>
      <c r="Q2398" s="16" t="str">
        <f t="shared" si="823"/>
        <v/>
      </c>
      <c r="R2398" s="23" t="str">
        <f t="shared" si="824"/>
        <v/>
      </c>
      <c r="S2398" s="23" t="str">
        <f t="shared" si="825"/>
        <v/>
      </c>
      <c r="T2398" s="23" t="str">
        <f t="shared" si="826"/>
        <v/>
      </c>
      <c r="U2398" s="23" t="str">
        <f t="shared" si="827"/>
        <v/>
      </c>
      <c r="V2398" s="23" t="str">
        <f t="shared" si="828"/>
        <v/>
      </c>
      <c r="W2398" s="70" t="str">
        <f t="shared" si="829"/>
        <v/>
      </c>
      <c r="X2398" s="70" t="str">
        <f t="shared" si="830"/>
        <v/>
      </c>
      <c r="Y2398" s="70" t="str">
        <f>IF(AND($A2398&lt;&gt;"",$E2398&gt;0),isLaptopBag($C2398,$J2398)*$D2398,"")</f>
        <v/>
      </c>
      <c r="Z2398" s="70" t="str">
        <f t="shared" si="831"/>
        <v/>
      </c>
      <c r="AA2398" s="70" t="str">
        <f t="shared" si="832"/>
        <v/>
      </c>
      <c r="AB2398" s="70" t="str">
        <f t="shared" si="833"/>
        <v/>
      </c>
      <c r="AC2398" s="70" t="str">
        <f t="shared" si="834"/>
        <v/>
      </c>
      <c r="AD2398" s="70" t="str">
        <f t="shared" si="835"/>
        <v/>
      </c>
      <c r="AE2398" s="70" t="str">
        <f t="shared" si="836"/>
        <v/>
      </c>
      <c r="AF2398" s="16"/>
      <c r="AG2398" s="23"/>
      <c r="AH2398" s="22"/>
      <c r="AJ2398" s="83">
        <f t="shared" si="837"/>
        <v>0</v>
      </c>
      <c r="AO2398" s="22" t="str">
        <f t="shared" si="838"/>
        <v/>
      </c>
      <c r="AP2398" s="22" t="str">
        <f t="shared" si="839"/>
        <v/>
      </c>
    </row>
    <row r="2399" spans="1:42" x14ac:dyDescent="0.25">
      <c r="A2399" s="10"/>
      <c r="B2399" s="10"/>
      <c r="C2399" s="10"/>
      <c r="D2399" s="10"/>
      <c r="E2399" s="10"/>
      <c r="F2399" s="10"/>
      <c r="G2399" s="10"/>
      <c r="H2399" s="17"/>
      <c r="I2399" s="10"/>
      <c r="J2399" s="10"/>
      <c r="K2399" s="16" t="str">
        <f t="shared" si="818"/>
        <v/>
      </c>
      <c r="L2399" s="23" t="str">
        <f t="shared" si="819"/>
        <v/>
      </c>
      <c r="M2399" s="22" t="str">
        <f t="shared" si="820"/>
        <v/>
      </c>
      <c r="N2399" s="72"/>
      <c r="O2399" s="16" t="str">
        <f t="shared" si="821"/>
        <v/>
      </c>
      <c r="P2399" s="16" t="str">
        <f t="shared" si="822"/>
        <v/>
      </c>
      <c r="Q2399" s="16" t="str">
        <f t="shared" si="823"/>
        <v/>
      </c>
      <c r="R2399" s="23" t="str">
        <f t="shared" si="824"/>
        <v/>
      </c>
      <c r="S2399" s="23" t="str">
        <f t="shared" si="825"/>
        <v/>
      </c>
      <c r="T2399" s="23" t="str">
        <f t="shared" si="826"/>
        <v/>
      </c>
      <c r="U2399" s="23" t="str">
        <f t="shared" si="827"/>
        <v/>
      </c>
      <c r="V2399" s="23" t="str">
        <f t="shared" si="828"/>
        <v/>
      </c>
      <c r="W2399" s="70" t="str">
        <f t="shared" si="829"/>
        <v/>
      </c>
      <c r="X2399" s="70" t="str">
        <f t="shared" si="830"/>
        <v/>
      </c>
      <c r="Y2399" s="70" t="str">
        <f>IF(AND($A2399&lt;&gt;"",$E2399&gt;0),isLaptopBag($C2399,$J2399)*$D2399,"")</f>
        <v/>
      </c>
      <c r="Z2399" s="70" t="str">
        <f t="shared" si="831"/>
        <v/>
      </c>
      <c r="AA2399" s="70" t="str">
        <f t="shared" si="832"/>
        <v/>
      </c>
      <c r="AB2399" s="70" t="str">
        <f t="shared" si="833"/>
        <v/>
      </c>
      <c r="AC2399" s="70" t="str">
        <f t="shared" si="834"/>
        <v/>
      </c>
      <c r="AD2399" s="70" t="str">
        <f t="shared" si="835"/>
        <v/>
      </c>
      <c r="AE2399" s="70" t="str">
        <f t="shared" si="836"/>
        <v/>
      </c>
      <c r="AF2399" s="16"/>
      <c r="AG2399" s="23"/>
      <c r="AH2399" s="22"/>
      <c r="AJ2399" s="83">
        <f t="shared" si="837"/>
        <v>0</v>
      </c>
      <c r="AO2399" s="22" t="str">
        <f t="shared" si="838"/>
        <v/>
      </c>
      <c r="AP2399" s="22" t="str">
        <f t="shared" si="839"/>
        <v/>
      </c>
    </row>
    <row r="2400" spans="1:42" x14ac:dyDescent="0.25">
      <c r="A2400" s="10"/>
      <c r="B2400" s="10"/>
      <c r="C2400" s="10"/>
      <c r="D2400" s="10"/>
      <c r="E2400" s="10"/>
      <c r="F2400" s="10"/>
      <c r="G2400" s="10"/>
      <c r="H2400" s="17"/>
      <c r="I2400" s="10"/>
      <c r="J2400" s="10"/>
      <c r="K2400" s="16" t="str">
        <f t="shared" si="818"/>
        <v/>
      </c>
      <c r="L2400" s="23" t="str">
        <f t="shared" si="819"/>
        <v/>
      </c>
      <c r="M2400" s="22" t="str">
        <f t="shared" si="820"/>
        <v/>
      </c>
      <c r="N2400" s="72"/>
      <c r="O2400" s="16" t="str">
        <f t="shared" si="821"/>
        <v/>
      </c>
      <c r="P2400" s="16" t="str">
        <f t="shared" si="822"/>
        <v/>
      </c>
      <c r="Q2400" s="16" t="str">
        <f t="shared" si="823"/>
        <v/>
      </c>
      <c r="R2400" s="23" t="str">
        <f t="shared" si="824"/>
        <v/>
      </c>
      <c r="S2400" s="23" t="str">
        <f t="shared" si="825"/>
        <v/>
      </c>
      <c r="T2400" s="23" t="str">
        <f t="shared" si="826"/>
        <v/>
      </c>
      <c r="U2400" s="23" t="str">
        <f t="shared" si="827"/>
        <v/>
      </c>
      <c r="V2400" s="23" t="str">
        <f t="shared" si="828"/>
        <v/>
      </c>
      <c r="W2400" s="70" t="str">
        <f t="shared" si="829"/>
        <v/>
      </c>
      <c r="X2400" s="70" t="str">
        <f t="shared" si="830"/>
        <v/>
      </c>
      <c r="Y2400" s="70" t="str">
        <f>IF(AND($A2400&lt;&gt;"",$E2400&gt;0),isLaptopBag($C2400,$J2400)*$D2400,"")</f>
        <v/>
      </c>
      <c r="Z2400" s="70" t="str">
        <f t="shared" si="831"/>
        <v/>
      </c>
      <c r="AA2400" s="70" t="str">
        <f t="shared" si="832"/>
        <v/>
      </c>
      <c r="AB2400" s="70" t="str">
        <f t="shared" si="833"/>
        <v/>
      </c>
      <c r="AC2400" s="70" t="str">
        <f t="shared" si="834"/>
        <v/>
      </c>
      <c r="AD2400" s="70" t="str">
        <f t="shared" si="835"/>
        <v/>
      </c>
      <c r="AE2400" s="70" t="str">
        <f t="shared" si="836"/>
        <v/>
      </c>
      <c r="AF2400" s="16"/>
      <c r="AG2400" s="23"/>
      <c r="AH2400" s="22"/>
      <c r="AJ2400" s="83">
        <f t="shared" si="837"/>
        <v>0</v>
      </c>
      <c r="AO2400" s="22" t="str">
        <f t="shared" si="838"/>
        <v/>
      </c>
      <c r="AP2400" s="22" t="str">
        <f t="shared" si="839"/>
        <v/>
      </c>
    </row>
    <row r="2401" spans="1:42" x14ac:dyDescent="0.25">
      <c r="A2401" s="10"/>
      <c r="B2401" s="10"/>
      <c r="C2401" s="10"/>
      <c r="D2401" s="10"/>
      <c r="E2401" s="10"/>
      <c r="F2401" s="10"/>
      <c r="G2401" s="10"/>
      <c r="H2401" s="17"/>
      <c r="I2401" s="10"/>
      <c r="J2401" s="10"/>
      <c r="K2401" s="16" t="str">
        <f t="shared" si="818"/>
        <v/>
      </c>
      <c r="L2401" s="23" t="str">
        <f t="shared" si="819"/>
        <v/>
      </c>
      <c r="M2401" s="22" t="str">
        <f t="shared" si="820"/>
        <v/>
      </c>
      <c r="N2401" s="72"/>
      <c r="O2401" s="16" t="str">
        <f t="shared" si="821"/>
        <v/>
      </c>
      <c r="P2401" s="16" t="str">
        <f t="shared" si="822"/>
        <v/>
      </c>
      <c r="Q2401" s="16" t="str">
        <f t="shared" si="823"/>
        <v/>
      </c>
      <c r="R2401" s="23" t="str">
        <f t="shared" si="824"/>
        <v/>
      </c>
      <c r="S2401" s="23" t="str">
        <f t="shared" si="825"/>
        <v/>
      </c>
      <c r="T2401" s="23" t="str">
        <f t="shared" si="826"/>
        <v/>
      </c>
      <c r="U2401" s="23" t="str">
        <f t="shared" si="827"/>
        <v/>
      </c>
      <c r="V2401" s="23" t="str">
        <f t="shared" si="828"/>
        <v/>
      </c>
      <c r="W2401" s="70" t="str">
        <f t="shared" si="829"/>
        <v/>
      </c>
      <c r="X2401" s="70" t="str">
        <f t="shared" si="830"/>
        <v/>
      </c>
      <c r="Y2401" s="70" t="str">
        <f>IF(AND($A2401&lt;&gt;"",$E2401&gt;0),isLaptopBag($C2401,$J2401)*$D2401,"")</f>
        <v/>
      </c>
      <c r="Z2401" s="70" t="str">
        <f t="shared" si="831"/>
        <v/>
      </c>
      <c r="AA2401" s="70" t="str">
        <f t="shared" si="832"/>
        <v/>
      </c>
      <c r="AB2401" s="70" t="str">
        <f t="shared" si="833"/>
        <v/>
      </c>
      <c r="AC2401" s="70" t="str">
        <f t="shared" si="834"/>
        <v/>
      </c>
      <c r="AD2401" s="70" t="str">
        <f t="shared" si="835"/>
        <v/>
      </c>
      <c r="AE2401" s="70" t="str">
        <f t="shared" si="836"/>
        <v/>
      </c>
      <c r="AF2401" s="16"/>
      <c r="AG2401" s="23"/>
      <c r="AH2401" s="22"/>
      <c r="AJ2401" s="83">
        <f t="shared" si="837"/>
        <v>0</v>
      </c>
      <c r="AO2401" s="22" t="str">
        <f t="shared" si="838"/>
        <v/>
      </c>
      <c r="AP2401" s="22" t="str">
        <f t="shared" si="839"/>
        <v/>
      </c>
    </row>
    <row r="2402" spans="1:42" x14ac:dyDescent="0.25">
      <c r="A2402" s="10"/>
      <c r="B2402" s="10"/>
      <c r="C2402" s="10"/>
      <c r="D2402" s="10"/>
      <c r="E2402" s="10"/>
      <c r="F2402" s="10"/>
      <c r="G2402" s="10"/>
      <c r="H2402" s="17"/>
      <c r="I2402" s="10"/>
      <c r="J2402" s="10"/>
      <c r="K2402" s="16" t="str">
        <f t="shared" si="818"/>
        <v/>
      </c>
      <c r="L2402" s="23" t="str">
        <f t="shared" si="819"/>
        <v/>
      </c>
      <c r="M2402" s="22" t="str">
        <f t="shared" si="820"/>
        <v/>
      </c>
      <c r="N2402" s="72"/>
      <c r="O2402" s="16" t="str">
        <f t="shared" si="821"/>
        <v/>
      </c>
      <c r="P2402" s="16" t="str">
        <f t="shared" si="822"/>
        <v/>
      </c>
      <c r="Q2402" s="16" t="str">
        <f t="shared" si="823"/>
        <v/>
      </c>
      <c r="R2402" s="23" t="str">
        <f t="shared" si="824"/>
        <v/>
      </c>
      <c r="S2402" s="23" t="str">
        <f t="shared" si="825"/>
        <v/>
      </c>
      <c r="T2402" s="23" t="str">
        <f t="shared" si="826"/>
        <v/>
      </c>
      <c r="U2402" s="23" t="str">
        <f t="shared" si="827"/>
        <v/>
      </c>
      <c r="V2402" s="23" t="str">
        <f t="shared" si="828"/>
        <v/>
      </c>
      <c r="W2402" s="70" t="str">
        <f t="shared" si="829"/>
        <v/>
      </c>
      <c r="X2402" s="70" t="str">
        <f t="shared" si="830"/>
        <v/>
      </c>
      <c r="Y2402" s="70" t="str">
        <f>IF(AND($A2402&lt;&gt;"",$E2402&gt;0),isLaptopBag($C2402,$J2402)*$D2402,"")</f>
        <v/>
      </c>
      <c r="Z2402" s="70" t="str">
        <f t="shared" si="831"/>
        <v/>
      </c>
      <c r="AA2402" s="70" t="str">
        <f t="shared" si="832"/>
        <v/>
      </c>
      <c r="AB2402" s="70" t="str">
        <f t="shared" si="833"/>
        <v/>
      </c>
      <c r="AC2402" s="70" t="str">
        <f t="shared" si="834"/>
        <v/>
      </c>
      <c r="AD2402" s="70" t="str">
        <f t="shared" si="835"/>
        <v/>
      </c>
      <c r="AE2402" s="70" t="str">
        <f t="shared" si="836"/>
        <v/>
      </c>
      <c r="AF2402" s="16"/>
      <c r="AG2402" s="23"/>
      <c r="AH2402" s="22"/>
      <c r="AJ2402" s="83">
        <f t="shared" si="837"/>
        <v>0</v>
      </c>
      <c r="AO2402" s="22" t="str">
        <f t="shared" si="838"/>
        <v/>
      </c>
      <c r="AP2402" s="22" t="str">
        <f t="shared" si="839"/>
        <v/>
      </c>
    </row>
    <row r="2403" spans="1:42" x14ac:dyDescent="0.25">
      <c r="A2403" s="10"/>
      <c r="B2403" s="10"/>
      <c r="C2403" s="10"/>
      <c r="D2403" s="10"/>
      <c r="E2403" s="10"/>
      <c r="F2403" s="10"/>
      <c r="G2403" s="10"/>
      <c r="H2403" s="17"/>
      <c r="I2403" s="10"/>
      <c r="J2403" s="10"/>
      <c r="K2403" s="16" t="str">
        <f t="shared" si="818"/>
        <v/>
      </c>
      <c r="L2403" s="23" t="str">
        <f t="shared" si="819"/>
        <v/>
      </c>
      <c r="M2403" s="22" t="str">
        <f t="shared" si="820"/>
        <v/>
      </c>
      <c r="N2403" s="72"/>
      <c r="O2403" s="16" t="str">
        <f t="shared" si="821"/>
        <v/>
      </c>
      <c r="P2403" s="16" t="str">
        <f t="shared" si="822"/>
        <v/>
      </c>
      <c r="Q2403" s="16" t="str">
        <f t="shared" si="823"/>
        <v/>
      </c>
      <c r="R2403" s="23" t="str">
        <f t="shared" si="824"/>
        <v/>
      </c>
      <c r="S2403" s="23" t="str">
        <f t="shared" si="825"/>
        <v/>
      </c>
      <c r="T2403" s="23" t="str">
        <f t="shared" si="826"/>
        <v/>
      </c>
      <c r="U2403" s="23" t="str">
        <f t="shared" si="827"/>
        <v/>
      </c>
      <c r="V2403" s="23" t="str">
        <f t="shared" si="828"/>
        <v/>
      </c>
      <c r="W2403" s="70" t="str">
        <f t="shared" si="829"/>
        <v/>
      </c>
      <c r="X2403" s="70" t="str">
        <f t="shared" si="830"/>
        <v/>
      </c>
      <c r="Y2403" s="70" t="str">
        <f>IF(AND($A2403&lt;&gt;"",$E2403&gt;0),isLaptopBag($C2403,$J2403)*$D2403,"")</f>
        <v/>
      </c>
      <c r="Z2403" s="70" t="str">
        <f t="shared" si="831"/>
        <v/>
      </c>
      <c r="AA2403" s="70" t="str">
        <f t="shared" si="832"/>
        <v/>
      </c>
      <c r="AB2403" s="70" t="str">
        <f t="shared" si="833"/>
        <v/>
      </c>
      <c r="AC2403" s="70" t="str">
        <f t="shared" si="834"/>
        <v/>
      </c>
      <c r="AD2403" s="70" t="str">
        <f t="shared" si="835"/>
        <v/>
      </c>
      <c r="AE2403" s="70" t="str">
        <f t="shared" si="836"/>
        <v/>
      </c>
      <c r="AF2403" s="16"/>
      <c r="AG2403" s="23"/>
      <c r="AH2403" s="22"/>
      <c r="AJ2403" s="83">
        <f t="shared" si="837"/>
        <v>0</v>
      </c>
      <c r="AO2403" s="22" t="str">
        <f t="shared" si="838"/>
        <v/>
      </c>
      <c r="AP2403" s="22" t="str">
        <f t="shared" si="839"/>
        <v/>
      </c>
    </row>
    <row r="2404" spans="1:42" x14ac:dyDescent="0.25">
      <c r="A2404" s="10"/>
      <c r="B2404" s="10"/>
      <c r="C2404" s="10"/>
      <c r="D2404" s="10"/>
      <c r="E2404" s="10"/>
      <c r="F2404" s="10"/>
      <c r="G2404" s="10"/>
      <c r="H2404" s="17"/>
      <c r="I2404" s="10"/>
      <c r="J2404" s="10"/>
      <c r="K2404" s="16" t="str">
        <f t="shared" si="818"/>
        <v/>
      </c>
      <c r="L2404" s="23" t="str">
        <f t="shared" si="819"/>
        <v/>
      </c>
      <c r="M2404" s="22" t="str">
        <f t="shared" si="820"/>
        <v/>
      </c>
      <c r="N2404" s="72"/>
      <c r="O2404" s="16" t="str">
        <f t="shared" si="821"/>
        <v/>
      </c>
      <c r="P2404" s="16" t="str">
        <f t="shared" si="822"/>
        <v/>
      </c>
      <c r="Q2404" s="16" t="str">
        <f t="shared" si="823"/>
        <v/>
      </c>
      <c r="R2404" s="23" t="str">
        <f t="shared" si="824"/>
        <v/>
      </c>
      <c r="S2404" s="23" t="str">
        <f t="shared" si="825"/>
        <v/>
      </c>
      <c r="T2404" s="23" t="str">
        <f t="shared" si="826"/>
        <v/>
      </c>
      <c r="U2404" s="23" t="str">
        <f t="shared" si="827"/>
        <v/>
      </c>
      <c r="V2404" s="23" t="str">
        <f t="shared" si="828"/>
        <v/>
      </c>
      <c r="W2404" s="70" t="str">
        <f t="shared" si="829"/>
        <v/>
      </c>
      <c r="X2404" s="70" t="str">
        <f t="shared" si="830"/>
        <v/>
      </c>
      <c r="Y2404" s="70" t="str">
        <f>IF(AND($A2404&lt;&gt;"",$E2404&gt;0),isLaptopBag($C2404,$J2404)*$D2404,"")</f>
        <v/>
      </c>
      <c r="Z2404" s="70" t="str">
        <f t="shared" si="831"/>
        <v/>
      </c>
      <c r="AA2404" s="70" t="str">
        <f t="shared" si="832"/>
        <v/>
      </c>
      <c r="AB2404" s="70" t="str">
        <f t="shared" si="833"/>
        <v/>
      </c>
      <c r="AC2404" s="70" t="str">
        <f t="shared" si="834"/>
        <v/>
      </c>
      <c r="AD2404" s="70" t="str">
        <f t="shared" si="835"/>
        <v/>
      </c>
      <c r="AE2404" s="70" t="str">
        <f t="shared" si="836"/>
        <v/>
      </c>
      <c r="AF2404" s="16"/>
      <c r="AG2404" s="23"/>
      <c r="AH2404" s="22"/>
      <c r="AJ2404" s="83">
        <f t="shared" si="837"/>
        <v>0</v>
      </c>
      <c r="AO2404" s="22" t="str">
        <f t="shared" si="838"/>
        <v/>
      </c>
      <c r="AP2404" s="22" t="str">
        <f t="shared" si="839"/>
        <v/>
      </c>
    </row>
    <row r="2405" spans="1:42" x14ac:dyDescent="0.25">
      <c r="A2405" s="10"/>
      <c r="B2405" s="10"/>
      <c r="C2405" s="10"/>
      <c r="D2405" s="10"/>
      <c r="E2405" s="10"/>
      <c r="F2405" s="10"/>
      <c r="G2405" s="10"/>
      <c r="H2405" s="17"/>
      <c r="I2405" s="10"/>
      <c r="J2405" s="10"/>
      <c r="K2405" s="16" t="str">
        <f t="shared" si="818"/>
        <v/>
      </c>
      <c r="L2405" s="23" t="str">
        <f t="shared" si="819"/>
        <v/>
      </c>
      <c r="M2405" s="22" t="str">
        <f t="shared" si="820"/>
        <v/>
      </c>
      <c r="N2405" s="72"/>
      <c r="O2405" s="16" t="str">
        <f t="shared" si="821"/>
        <v/>
      </c>
      <c r="P2405" s="16" t="str">
        <f t="shared" si="822"/>
        <v/>
      </c>
      <c r="Q2405" s="16" t="str">
        <f t="shared" si="823"/>
        <v/>
      </c>
      <c r="R2405" s="23" t="str">
        <f t="shared" si="824"/>
        <v/>
      </c>
      <c r="S2405" s="23" t="str">
        <f t="shared" si="825"/>
        <v/>
      </c>
      <c r="T2405" s="23" t="str">
        <f t="shared" si="826"/>
        <v/>
      </c>
      <c r="U2405" s="23" t="str">
        <f t="shared" si="827"/>
        <v/>
      </c>
      <c r="V2405" s="23" t="str">
        <f t="shared" si="828"/>
        <v/>
      </c>
      <c r="W2405" s="70" t="str">
        <f t="shared" si="829"/>
        <v/>
      </c>
      <c r="X2405" s="70" t="str">
        <f t="shared" si="830"/>
        <v/>
      </c>
      <c r="Y2405" s="70" t="str">
        <f>IF(AND($A2405&lt;&gt;"",$E2405&gt;0),isLaptopBag($C2405,$J2405)*$D2405,"")</f>
        <v/>
      </c>
      <c r="Z2405" s="70" t="str">
        <f t="shared" si="831"/>
        <v/>
      </c>
      <c r="AA2405" s="70" t="str">
        <f t="shared" si="832"/>
        <v/>
      </c>
      <c r="AB2405" s="70" t="str">
        <f t="shared" si="833"/>
        <v/>
      </c>
      <c r="AC2405" s="70" t="str">
        <f t="shared" si="834"/>
        <v/>
      </c>
      <c r="AD2405" s="70" t="str">
        <f t="shared" si="835"/>
        <v/>
      </c>
      <c r="AE2405" s="70" t="str">
        <f t="shared" si="836"/>
        <v/>
      </c>
      <c r="AF2405" s="16"/>
      <c r="AG2405" s="23"/>
      <c r="AH2405" s="22"/>
      <c r="AJ2405" s="83">
        <f t="shared" si="837"/>
        <v>0</v>
      </c>
      <c r="AO2405" s="22" t="str">
        <f t="shared" si="838"/>
        <v/>
      </c>
      <c r="AP2405" s="22" t="str">
        <f t="shared" si="839"/>
        <v/>
      </c>
    </row>
    <row r="2406" spans="1:42" x14ac:dyDescent="0.25">
      <c r="A2406" s="10"/>
      <c r="B2406" s="10"/>
      <c r="C2406" s="10"/>
      <c r="D2406" s="10"/>
      <c r="E2406" s="10"/>
      <c r="F2406" s="10"/>
      <c r="G2406" s="10"/>
      <c r="H2406" s="17"/>
      <c r="I2406" s="10"/>
      <c r="J2406" s="10"/>
      <c r="K2406" s="16" t="str">
        <f t="shared" si="818"/>
        <v/>
      </c>
      <c r="L2406" s="23" t="str">
        <f t="shared" si="819"/>
        <v/>
      </c>
      <c r="M2406" s="22" t="str">
        <f t="shared" si="820"/>
        <v/>
      </c>
      <c r="N2406" s="72"/>
      <c r="O2406" s="16" t="str">
        <f t="shared" si="821"/>
        <v/>
      </c>
      <c r="P2406" s="16" t="str">
        <f t="shared" si="822"/>
        <v/>
      </c>
      <c r="Q2406" s="16" t="str">
        <f t="shared" si="823"/>
        <v/>
      </c>
      <c r="R2406" s="23" t="str">
        <f t="shared" si="824"/>
        <v/>
      </c>
      <c r="S2406" s="23" t="str">
        <f t="shared" si="825"/>
        <v/>
      </c>
      <c r="T2406" s="23" t="str">
        <f t="shared" si="826"/>
        <v/>
      </c>
      <c r="U2406" s="23" t="str">
        <f t="shared" si="827"/>
        <v/>
      </c>
      <c r="V2406" s="23" t="str">
        <f t="shared" si="828"/>
        <v/>
      </c>
      <c r="W2406" s="70" t="str">
        <f t="shared" si="829"/>
        <v/>
      </c>
      <c r="X2406" s="70" t="str">
        <f t="shared" si="830"/>
        <v/>
      </c>
      <c r="Y2406" s="70" t="str">
        <f>IF(AND($A2406&lt;&gt;"",$E2406&gt;0),isLaptopBag($C2406,$J2406)*$D2406,"")</f>
        <v/>
      </c>
      <c r="Z2406" s="70" t="str">
        <f t="shared" si="831"/>
        <v/>
      </c>
      <c r="AA2406" s="70" t="str">
        <f t="shared" si="832"/>
        <v/>
      </c>
      <c r="AB2406" s="70" t="str">
        <f t="shared" si="833"/>
        <v/>
      </c>
      <c r="AC2406" s="70" t="str">
        <f t="shared" si="834"/>
        <v/>
      </c>
      <c r="AD2406" s="70" t="str">
        <f t="shared" si="835"/>
        <v/>
      </c>
      <c r="AE2406" s="70" t="str">
        <f t="shared" si="836"/>
        <v/>
      </c>
      <c r="AF2406" s="16"/>
      <c r="AG2406" s="23"/>
      <c r="AH2406" s="22"/>
      <c r="AJ2406" s="83">
        <f t="shared" si="837"/>
        <v>0</v>
      </c>
      <c r="AO2406" s="22" t="str">
        <f t="shared" si="838"/>
        <v/>
      </c>
      <c r="AP2406" s="22" t="str">
        <f t="shared" si="839"/>
        <v/>
      </c>
    </row>
    <row r="2407" spans="1:42" x14ac:dyDescent="0.25">
      <c r="A2407" s="10"/>
      <c r="B2407" s="10"/>
      <c r="C2407" s="10"/>
      <c r="D2407" s="10"/>
      <c r="E2407" s="10"/>
      <c r="F2407" s="10"/>
      <c r="G2407" s="10"/>
      <c r="H2407" s="17"/>
      <c r="I2407" s="10"/>
      <c r="J2407" s="10"/>
      <c r="K2407" s="16" t="str">
        <f t="shared" si="818"/>
        <v/>
      </c>
      <c r="L2407" s="23" t="str">
        <f t="shared" si="819"/>
        <v/>
      </c>
      <c r="M2407" s="22" t="str">
        <f t="shared" si="820"/>
        <v/>
      </c>
      <c r="N2407" s="72"/>
      <c r="O2407" s="16" t="str">
        <f t="shared" si="821"/>
        <v/>
      </c>
      <c r="P2407" s="16" t="str">
        <f t="shared" si="822"/>
        <v/>
      </c>
      <c r="Q2407" s="16" t="str">
        <f t="shared" si="823"/>
        <v/>
      </c>
      <c r="R2407" s="23" t="str">
        <f t="shared" si="824"/>
        <v/>
      </c>
      <c r="S2407" s="23" t="str">
        <f t="shared" si="825"/>
        <v/>
      </c>
      <c r="T2407" s="23" t="str">
        <f t="shared" si="826"/>
        <v/>
      </c>
      <c r="U2407" s="23" t="str">
        <f t="shared" si="827"/>
        <v/>
      </c>
      <c r="V2407" s="23" t="str">
        <f t="shared" si="828"/>
        <v/>
      </c>
      <c r="W2407" s="70" t="str">
        <f t="shared" si="829"/>
        <v/>
      </c>
      <c r="X2407" s="70" t="str">
        <f t="shared" si="830"/>
        <v/>
      </c>
      <c r="Y2407" s="70" t="str">
        <f>IF(AND($A2407&lt;&gt;"",$E2407&gt;0),isLaptopBag($C2407,$J2407)*$D2407,"")</f>
        <v/>
      </c>
      <c r="Z2407" s="70" t="str">
        <f t="shared" si="831"/>
        <v/>
      </c>
      <c r="AA2407" s="70" t="str">
        <f t="shared" si="832"/>
        <v/>
      </c>
      <c r="AB2407" s="70" t="str">
        <f t="shared" si="833"/>
        <v/>
      </c>
      <c r="AC2407" s="70" t="str">
        <f t="shared" si="834"/>
        <v/>
      </c>
      <c r="AD2407" s="70" t="str">
        <f t="shared" si="835"/>
        <v/>
      </c>
      <c r="AE2407" s="70" t="str">
        <f t="shared" si="836"/>
        <v/>
      </c>
      <c r="AF2407" s="16"/>
      <c r="AG2407" s="23"/>
      <c r="AH2407" s="22"/>
      <c r="AJ2407" s="83">
        <f t="shared" si="837"/>
        <v>0</v>
      </c>
      <c r="AO2407" s="22" t="str">
        <f t="shared" si="838"/>
        <v/>
      </c>
      <c r="AP2407" s="22" t="str">
        <f t="shared" si="839"/>
        <v/>
      </c>
    </row>
    <row r="2408" spans="1:42" x14ac:dyDescent="0.25">
      <c r="A2408" s="10"/>
      <c r="B2408" s="10"/>
      <c r="C2408" s="10"/>
      <c r="D2408" s="10"/>
      <c r="E2408" s="10"/>
      <c r="F2408" s="10"/>
      <c r="G2408" s="10"/>
      <c r="H2408" s="17"/>
      <c r="I2408" s="10"/>
      <c r="J2408" s="10"/>
      <c r="K2408" s="16" t="str">
        <f t="shared" si="818"/>
        <v/>
      </c>
      <c r="L2408" s="23" t="str">
        <f t="shared" si="819"/>
        <v/>
      </c>
      <c r="M2408" s="22" t="str">
        <f t="shared" si="820"/>
        <v/>
      </c>
      <c r="N2408" s="72"/>
      <c r="O2408" s="16" t="str">
        <f t="shared" si="821"/>
        <v/>
      </c>
      <c r="P2408" s="16" t="str">
        <f t="shared" si="822"/>
        <v/>
      </c>
      <c r="Q2408" s="16" t="str">
        <f t="shared" si="823"/>
        <v/>
      </c>
      <c r="R2408" s="23" t="str">
        <f t="shared" si="824"/>
        <v/>
      </c>
      <c r="S2408" s="23" t="str">
        <f t="shared" si="825"/>
        <v/>
      </c>
      <c r="T2408" s="23" t="str">
        <f t="shared" si="826"/>
        <v/>
      </c>
      <c r="U2408" s="23" t="str">
        <f t="shared" si="827"/>
        <v/>
      </c>
      <c r="V2408" s="23" t="str">
        <f t="shared" si="828"/>
        <v/>
      </c>
      <c r="W2408" s="70" t="str">
        <f t="shared" si="829"/>
        <v/>
      </c>
      <c r="X2408" s="70" t="str">
        <f t="shared" si="830"/>
        <v/>
      </c>
      <c r="Y2408" s="70" t="str">
        <f>IF(AND($A2408&lt;&gt;"",$E2408&gt;0),isLaptopBag($C2408,$J2408)*$D2408,"")</f>
        <v/>
      </c>
      <c r="Z2408" s="70" t="str">
        <f t="shared" si="831"/>
        <v/>
      </c>
      <c r="AA2408" s="70" t="str">
        <f t="shared" si="832"/>
        <v/>
      </c>
      <c r="AB2408" s="70" t="str">
        <f t="shared" si="833"/>
        <v/>
      </c>
      <c r="AC2408" s="70" t="str">
        <f t="shared" si="834"/>
        <v/>
      </c>
      <c r="AD2408" s="70" t="str">
        <f t="shared" si="835"/>
        <v/>
      </c>
      <c r="AE2408" s="70" t="str">
        <f t="shared" si="836"/>
        <v/>
      </c>
      <c r="AF2408" s="16"/>
      <c r="AG2408" s="23"/>
      <c r="AH2408" s="22"/>
      <c r="AJ2408" s="83">
        <f t="shared" si="837"/>
        <v>0</v>
      </c>
      <c r="AO2408" s="22" t="str">
        <f t="shared" si="838"/>
        <v/>
      </c>
      <c r="AP2408" s="22" t="str">
        <f t="shared" si="839"/>
        <v/>
      </c>
    </row>
    <row r="2409" spans="1:42" x14ac:dyDescent="0.25">
      <c r="A2409" s="10"/>
      <c r="B2409" s="10"/>
      <c r="C2409" s="10"/>
      <c r="D2409" s="10"/>
      <c r="E2409" s="10"/>
      <c r="F2409" s="10"/>
      <c r="G2409" s="10"/>
      <c r="H2409" s="17"/>
      <c r="I2409" s="10"/>
      <c r="J2409" s="10"/>
      <c r="K2409" s="16" t="str">
        <f t="shared" si="818"/>
        <v/>
      </c>
      <c r="L2409" s="23" t="str">
        <f t="shared" si="819"/>
        <v/>
      </c>
      <c r="M2409" s="22" t="str">
        <f t="shared" si="820"/>
        <v/>
      </c>
      <c r="N2409" s="72"/>
      <c r="O2409" s="16" t="str">
        <f t="shared" si="821"/>
        <v/>
      </c>
      <c r="P2409" s="16" t="str">
        <f t="shared" si="822"/>
        <v/>
      </c>
      <c r="Q2409" s="16" t="str">
        <f t="shared" si="823"/>
        <v/>
      </c>
      <c r="R2409" s="23" t="str">
        <f t="shared" si="824"/>
        <v/>
      </c>
      <c r="S2409" s="23" t="str">
        <f t="shared" si="825"/>
        <v/>
      </c>
      <c r="T2409" s="23" t="str">
        <f t="shared" si="826"/>
        <v/>
      </c>
      <c r="U2409" s="23" t="str">
        <f t="shared" si="827"/>
        <v/>
      </c>
      <c r="V2409" s="23" t="str">
        <f t="shared" si="828"/>
        <v/>
      </c>
      <c r="W2409" s="70" t="str">
        <f t="shared" si="829"/>
        <v/>
      </c>
      <c r="X2409" s="70" t="str">
        <f t="shared" si="830"/>
        <v/>
      </c>
      <c r="Y2409" s="70" t="str">
        <f>IF(AND($A2409&lt;&gt;"",$E2409&gt;0),isLaptopBag($C2409,$J2409)*$D2409,"")</f>
        <v/>
      </c>
      <c r="Z2409" s="70" t="str">
        <f t="shared" si="831"/>
        <v/>
      </c>
      <c r="AA2409" s="70" t="str">
        <f t="shared" si="832"/>
        <v/>
      </c>
      <c r="AB2409" s="70" t="str">
        <f t="shared" si="833"/>
        <v/>
      </c>
      <c r="AC2409" s="70" t="str">
        <f t="shared" si="834"/>
        <v/>
      </c>
      <c r="AD2409" s="70" t="str">
        <f t="shared" si="835"/>
        <v/>
      </c>
      <c r="AE2409" s="70" t="str">
        <f t="shared" si="836"/>
        <v/>
      </c>
      <c r="AF2409" s="16"/>
      <c r="AG2409" s="23"/>
      <c r="AH2409" s="22"/>
      <c r="AJ2409" s="83">
        <f t="shared" si="837"/>
        <v>0</v>
      </c>
      <c r="AO2409" s="22" t="str">
        <f t="shared" si="838"/>
        <v/>
      </c>
      <c r="AP2409" s="22" t="str">
        <f t="shared" si="839"/>
        <v/>
      </c>
    </row>
    <row r="2410" spans="1:42" x14ac:dyDescent="0.25">
      <c r="A2410" s="10"/>
      <c r="B2410" s="10"/>
      <c r="C2410" s="10"/>
      <c r="D2410" s="10"/>
      <c r="E2410" s="10"/>
      <c r="F2410" s="10"/>
      <c r="G2410" s="10"/>
      <c r="H2410" s="17"/>
      <c r="I2410" s="10"/>
      <c r="J2410" s="10"/>
      <c r="K2410" s="16" t="str">
        <f t="shared" si="818"/>
        <v/>
      </c>
      <c r="L2410" s="23" t="str">
        <f t="shared" si="819"/>
        <v/>
      </c>
      <c r="M2410" s="22" t="str">
        <f t="shared" si="820"/>
        <v/>
      </c>
      <c r="N2410" s="72"/>
      <c r="O2410" s="16" t="str">
        <f t="shared" si="821"/>
        <v/>
      </c>
      <c r="P2410" s="16" t="str">
        <f t="shared" si="822"/>
        <v/>
      </c>
      <c r="Q2410" s="16" t="str">
        <f t="shared" si="823"/>
        <v/>
      </c>
      <c r="R2410" s="23" t="str">
        <f t="shared" si="824"/>
        <v/>
      </c>
      <c r="S2410" s="23" t="str">
        <f t="shared" si="825"/>
        <v/>
      </c>
      <c r="T2410" s="23" t="str">
        <f t="shared" si="826"/>
        <v/>
      </c>
      <c r="U2410" s="23" t="str">
        <f t="shared" si="827"/>
        <v/>
      </c>
      <c r="V2410" s="23" t="str">
        <f t="shared" si="828"/>
        <v/>
      </c>
      <c r="W2410" s="70" t="str">
        <f t="shared" si="829"/>
        <v/>
      </c>
      <c r="X2410" s="70" t="str">
        <f t="shared" si="830"/>
        <v/>
      </c>
      <c r="Y2410" s="70" t="str">
        <f>IF(AND($A2410&lt;&gt;"",$E2410&gt;0),isLaptopBag($C2410,$J2410)*$D2410,"")</f>
        <v/>
      </c>
      <c r="Z2410" s="70" t="str">
        <f t="shared" si="831"/>
        <v/>
      </c>
      <c r="AA2410" s="70" t="str">
        <f t="shared" si="832"/>
        <v/>
      </c>
      <c r="AB2410" s="70" t="str">
        <f t="shared" si="833"/>
        <v/>
      </c>
      <c r="AC2410" s="70" t="str">
        <f t="shared" si="834"/>
        <v/>
      </c>
      <c r="AD2410" s="70" t="str">
        <f t="shared" si="835"/>
        <v/>
      </c>
      <c r="AE2410" s="70" t="str">
        <f t="shared" si="836"/>
        <v/>
      </c>
      <c r="AF2410" s="16"/>
      <c r="AG2410" s="23"/>
      <c r="AH2410" s="22"/>
      <c r="AJ2410" s="83">
        <f t="shared" si="837"/>
        <v>0</v>
      </c>
      <c r="AO2410" s="22" t="str">
        <f t="shared" si="838"/>
        <v/>
      </c>
      <c r="AP2410" s="22" t="str">
        <f t="shared" si="839"/>
        <v/>
      </c>
    </row>
    <row r="2411" spans="1:42" x14ac:dyDescent="0.25">
      <c r="A2411" s="10"/>
      <c r="B2411" s="10"/>
      <c r="C2411" s="10"/>
      <c r="D2411" s="10"/>
      <c r="E2411" s="10"/>
      <c r="F2411" s="10"/>
      <c r="G2411" s="10"/>
      <c r="H2411" s="17"/>
      <c r="I2411" s="10"/>
      <c r="J2411" s="10"/>
      <c r="K2411" s="16" t="str">
        <f t="shared" si="818"/>
        <v/>
      </c>
      <c r="L2411" s="23" t="str">
        <f t="shared" si="819"/>
        <v/>
      </c>
      <c r="M2411" s="22" t="str">
        <f t="shared" si="820"/>
        <v/>
      </c>
      <c r="N2411" s="72"/>
      <c r="O2411" s="16" t="str">
        <f t="shared" si="821"/>
        <v/>
      </c>
      <c r="P2411" s="16" t="str">
        <f t="shared" si="822"/>
        <v/>
      </c>
      <c r="Q2411" s="16" t="str">
        <f t="shared" si="823"/>
        <v/>
      </c>
      <c r="R2411" s="23" t="str">
        <f t="shared" si="824"/>
        <v/>
      </c>
      <c r="S2411" s="23" t="str">
        <f t="shared" si="825"/>
        <v/>
      </c>
      <c r="T2411" s="23" t="str">
        <f t="shared" si="826"/>
        <v/>
      </c>
      <c r="U2411" s="23" t="str">
        <f t="shared" si="827"/>
        <v/>
      </c>
      <c r="V2411" s="23" t="str">
        <f t="shared" si="828"/>
        <v/>
      </c>
      <c r="W2411" s="70" t="str">
        <f t="shared" si="829"/>
        <v/>
      </c>
      <c r="X2411" s="70" t="str">
        <f t="shared" si="830"/>
        <v/>
      </c>
      <c r="Y2411" s="70" t="str">
        <f>IF(AND($A2411&lt;&gt;"",$E2411&gt;0),isLaptopBag($C2411,$J2411)*$D2411,"")</f>
        <v/>
      </c>
      <c r="Z2411" s="70" t="str">
        <f t="shared" si="831"/>
        <v/>
      </c>
      <c r="AA2411" s="70" t="str">
        <f t="shared" si="832"/>
        <v/>
      </c>
      <c r="AB2411" s="70" t="str">
        <f t="shared" si="833"/>
        <v/>
      </c>
      <c r="AC2411" s="70" t="str">
        <f t="shared" si="834"/>
        <v/>
      </c>
      <c r="AD2411" s="70" t="str">
        <f t="shared" si="835"/>
        <v/>
      </c>
      <c r="AE2411" s="70" t="str">
        <f t="shared" si="836"/>
        <v/>
      </c>
      <c r="AF2411" s="16"/>
      <c r="AG2411" s="23"/>
      <c r="AH2411" s="22"/>
      <c r="AJ2411" s="83">
        <f t="shared" si="837"/>
        <v>0</v>
      </c>
      <c r="AO2411" s="22" t="str">
        <f t="shared" si="838"/>
        <v/>
      </c>
      <c r="AP2411" s="22" t="str">
        <f t="shared" si="839"/>
        <v/>
      </c>
    </row>
    <row r="2412" spans="1:42" x14ac:dyDescent="0.25">
      <c r="A2412" s="10"/>
      <c r="B2412" s="10"/>
      <c r="C2412" s="10"/>
      <c r="D2412" s="10"/>
      <c r="E2412" s="10"/>
      <c r="F2412" s="10"/>
      <c r="G2412" s="10"/>
      <c r="H2412" s="17"/>
      <c r="I2412" s="10"/>
      <c r="J2412" s="10"/>
      <c r="K2412" s="16" t="str">
        <f t="shared" si="818"/>
        <v/>
      </c>
      <c r="L2412" s="23" t="str">
        <f t="shared" si="819"/>
        <v/>
      </c>
      <c r="M2412" s="22" t="str">
        <f t="shared" si="820"/>
        <v/>
      </c>
      <c r="N2412" s="72"/>
      <c r="O2412" s="16" t="str">
        <f t="shared" si="821"/>
        <v/>
      </c>
      <c r="P2412" s="16" t="str">
        <f t="shared" si="822"/>
        <v/>
      </c>
      <c r="Q2412" s="16" t="str">
        <f t="shared" si="823"/>
        <v/>
      </c>
      <c r="R2412" s="23" t="str">
        <f t="shared" si="824"/>
        <v/>
      </c>
      <c r="S2412" s="23" t="str">
        <f t="shared" si="825"/>
        <v/>
      </c>
      <c r="T2412" s="23" t="str">
        <f t="shared" si="826"/>
        <v/>
      </c>
      <c r="U2412" s="23" t="str">
        <f t="shared" si="827"/>
        <v/>
      </c>
      <c r="V2412" s="23" t="str">
        <f t="shared" si="828"/>
        <v/>
      </c>
      <c r="W2412" s="70" t="str">
        <f t="shared" si="829"/>
        <v/>
      </c>
      <c r="X2412" s="70" t="str">
        <f t="shared" si="830"/>
        <v/>
      </c>
      <c r="Y2412" s="70" t="str">
        <f>IF(AND($A2412&lt;&gt;"",$E2412&gt;0),isLaptopBag($C2412,$J2412)*$D2412,"")</f>
        <v/>
      </c>
      <c r="Z2412" s="70" t="str">
        <f t="shared" si="831"/>
        <v/>
      </c>
      <c r="AA2412" s="70" t="str">
        <f t="shared" si="832"/>
        <v/>
      </c>
      <c r="AB2412" s="70" t="str">
        <f t="shared" si="833"/>
        <v/>
      </c>
      <c r="AC2412" s="70" t="str">
        <f t="shared" si="834"/>
        <v/>
      </c>
      <c r="AD2412" s="70" t="str">
        <f t="shared" si="835"/>
        <v/>
      </c>
      <c r="AE2412" s="70" t="str">
        <f t="shared" si="836"/>
        <v/>
      </c>
      <c r="AF2412" s="16"/>
      <c r="AG2412" s="23"/>
      <c r="AH2412" s="22"/>
      <c r="AJ2412" s="83">
        <f t="shared" si="837"/>
        <v>0</v>
      </c>
      <c r="AO2412" s="22" t="str">
        <f t="shared" si="838"/>
        <v/>
      </c>
      <c r="AP2412" s="22" t="str">
        <f t="shared" si="839"/>
        <v/>
      </c>
    </row>
    <row r="2413" spans="1:42" x14ac:dyDescent="0.25">
      <c r="A2413" s="10"/>
      <c r="B2413" s="10"/>
      <c r="C2413" s="10"/>
      <c r="D2413" s="10"/>
      <c r="E2413" s="10"/>
      <c r="F2413" s="10"/>
      <c r="G2413" s="10"/>
      <c r="H2413" s="17"/>
      <c r="I2413" s="10"/>
      <c r="J2413" s="10"/>
      <c r="K2413" s="16" t="str">
        <f t="shared" si="818"/>
        <v/>
      </c>
      <c r="L2413" s="23" t="str">
        <f t="shared" si="819"/>
        <v/>
      </c>
      <c r="M2413" s="22" t="str">
        <f t="shared" si="820"/>
        <v/>
      </c>
      <c r="N2413" s="72"/>
      <c r="O2413" s="16" t="str">
        <f t="shared" si="821"/>
        <v/>
      </c>
      <c r="P2413" s="16" t="str">
        <f t="shared" si="822"/>
        <v/>
      </c>
      <c r="Q2413" s="16" t="str">
        <f t="shared" si="823"/>
        <v/>
      </c>
      <c r="R2413" s="23" t="str">
        <f t="shared" si="824"/>
        <v/>
      </c>
      <c r="S2413" s="23" t="str">
        <f t="shared" si="825"/>
        <v/>
      </c>
      <c r="T2413" s="23" t="str">
        <f t="shared" si="826"/>
        <v/>
      </c>
      <c r="U2413" s="23" t="str">
        <f t="shared" si="827"/>
        <v/>
      </c>
      <c r="V2413" s="23" t="str">
        <f t="shared" si="828"/>
        <v/>
      </c>
      <c r="W2413" s="70" t="str">
        <f t="shared" si="829"/>
        <v/>
      </c>
      <c r="X2413" s="70" t="str">
        <f t="shared" si="830"/>
        <v/>
      </c>
      <c r="Y2413" s="70" t="str">
        <f>IF(AND($A2413&lt;&gt;"",$E2413&gt;0),isLaptopBag($C2413,$J2413)*$D2413,"")</f>
        <v/>
      </c>
      <c r="Z2413" s="70" t="str">
        <f t="shared" si="831"/>
        <v/>
      </c>
      <c r="AA2413" s="70" t="str">
        <f t="shared" si="832"/>
        <v/>
      </c>
      <c r="AB2413" s="70" t="str">
        <f t="shared" si="833"/>
        <v/>
      </c>
      <c r="AC2413" s="70" t="str">
        <f t="shared" si="834"/>
        <v/>
      </c>
      <c r="AD2413" s="70" t="str">
        <f t="shared" si="835"/>
        <v/>
      </c>
      <c r="AE2413" s="70" t="str">
        <f t="shared" si="836"/>
        <v/>
      </c>
      <c r="AF2413" s="16"/>
      <c r="AG2413" s="23"/>
      <c r="AH2413" s="22"/>
      <c r="AJ2413" s="83">
        <f t="shared" si="837"/>
        <v>0</v>
      </c>
      <c r="AO2413" s="22" t="str">
        <f t="shared" si="838"/>
        <v/>
      </c>
      <c r="AP2413" s="22" t="str">
        <f t="shared" si="839"/>
        <v/>
      </c>
    </row>
    <row r="2414" spans="1:42" x14ac:dyDescent="0.25">
      <c r="A2414" s="10"/>
      <c r="B2414" s="10"/>
      <c r="C2414" s="10"/>
      <c r="D2414" s="10"/>
      <c r="E2414" s="10"/>
      <c r="F2414" s="10"/>
      <c r="G2414" s="10"/>
      <c r="H2414" s="17"/>
      <c r="I2414" s="10"/>
      <c r="J2414" s="10"/>
      <c r="K2414" s="16" t="str">
        <f t="shared" si="818"/>
        <v/>
      </c>
      <c r="L2414" s="23" t="str">
        <f t="shared" si="819"/>
        <v/>
      </c>
      <c r="M2414" s="22" t="str">
        <f t="shared" si="820"/>
        <v/>
      </c>
      <c r="N2414" s="72"/>
      <c r="O2414" s="16" t="str">
        <f t="shared" si="821"/>
        <v/>
      </c>
      <c r="P2414" s="16" t="str">
        <f t="shared" si="822"/>
        <v/>
      </c>
      <c r="Q2414" s="16" t="str">
        <f t="shared" si="823"/>
        <v/>
      </c>
      <c r="R2414" s="23" t="str">
        <f t="shared" si="824"/>
        <v/>
      </c>
      <c r="S2414" s="23" t="str">
        <f t="shared" si="825"/>
        <v/>
      </c>
      <c r="T2414" s="23" t="str">
        <f t="shared" si="826"/>
        <v/>
      </c>
      <c r="U2414" s="23" t="str">
        <f t="shared" si="827"/>
        <v/>
      </c>
      <c r="V2414" s="23" t="str">
        <f t="shared" si="828"/>
        <v/>
      </c>
      <c r="W2414" s="70" t="str">
        <f t="shared" si="829"/>
        <v/>
      </c>
      <c r="X2414" s="70" t="str">
        <f t="shared" si="830"/>
        <v/>
      </c>
      <c r="Y2414" s="70" t="str">
        <f>IF(AND($A2414&lt;&gt;"",$E2414&gt;0),isLaptopBag($C2414,$J2414)*$D2414,"")</f>
        <v/>
      </c>
      <c r="Z2414" s="70" t="str">
        <f t="shared" si="831"/>
        <v/>
      </c>
      <c r="AA2414" s="70" t="str">
        <f t="shared" si="832"/>
        <v/>
      </c>
      <c r="AB2414" s="70" t="str">
        <f t="shared" si="833"/>
        <v/>
      </c>
      <c r="AC2414" s="70" t="str">
        <f t="shared" si="834"/>
        <v/>
      </c>
      <c r="AD2414" s="70" t="str">
        <f t="shared" si="835"/>
        <v/>
      </c>
      <c r="AE2414" s="70" t="str">
        <f t="shared" si="836"/>
        <v/>
      </c>
      <c r="AF2414" s="16"/>
      <c r="AG2414" s="23"/>
      <c r="AH2414" s="22"/>
      <c r="AJ2414" s="83">
        <f t="shared" si="837"/>
        <v>0</v>
      </c>
      <c r="AO2414" s="22" t="str">
        <f t="shared" si="838"/>
        <v/>
      </c>
      <c r="AP2414" s="22" t="str">
        <f t="shared" si="839"/>
        <v/>
      </c>
    </row>
    <row r="2415" spans="1:42" x14ac:dyDescent="0.25">
      <c r="A2415" s="10"/>
      <c r="B2415" s="10"/>
      <c r="C2415" s="10"/>
      <c r="D2415" s="10"/>
      <c r="E2415" s="10"/>
      <c r="F2415" s="10"/>
      <c r="G2415" s="10"/>
      <c r="H2415" s="17"/>
      <c r="I2415" s="10"/>
      <c r="J2415" s="10"/>
      <c r="K2415" s="16" t="str">
        <f t="shared" si="818"/>
        <v/>
      </c>
      <c r="L2415" s="23" t="str">
        <f t="shared" si="819"/>
        <v/>
      </c>
      <c r="M2415" s="22" t="str">
        <f t="shared" si="820"/>
        <v/>
      </c>
      <c r="N2415" s="72"/>
      <c r="O2415" s="16" t="str">
        <f t="shared" si="821"/>
        <v/>
      </c>
      <c r="P2415" s="16" t="str">
        <f t="shared" si="822"/>
        <v/>
      </c>
      <c r="Q2415" s="16" t="str">
        <f t="shared" si="823"/>
        <v/>
      </c>
      <c r="R2415" s="23" t="str">
        <f t="shared" si="824"/>
        <v/>
      </c>
      <c r="S2415" s="23" t="str">
        <f t="shared" si="825"/>
        <v/>
      </c>
      <c r="T2415" s="23" t="str">
        <f t="shared" si="826"/>
        <v/>
      </c>
      <c r="U2415" s="23" t="str">
        <f t="shared" si="827"/>
        <v/>
      </c>
      <c r="V2415" s="23" t="str">
        <f t="shared" si="828"/>
        <v/>
      </c>
      <c r="W2415" s="70" t="str">
        <f t="shared" si="829"/>
        <v/>
      </c>
      <c r="X2415" s="70" t="str">
        <f t="shared" si="830"/>
        <v/>
      </c>
      <c r="Y2415" s="70" t="str">
        <f>IF(AND($A2415&lt;&gt;"",$E2415&gt;0),isLaptopBag($C2415,$J2415)*$D2415,"")</f>
        <v/>
      </c>
      <c r="Z2415" s="70" t="str">
        <f t="shared" si="831"/>
        <v/>
      </c>
      <c r="AA2415" s="70" t="str">
        <f t="shared" si="832"/>
        <v/>
      </c>
      <c r="AB2415" s="70" t="str">
        <f t="shared" si="833"/>
        <v/>
      </c>
      <c r="AC2415" s="70" t="str">
        <f t="shared" si="834"/>
        <v/>
      </c>
      <c r="AD2415" s="70" t="str">
        <f t="shared" si="835"/>
        <v/>
      </c>
      <c r="AE2415" s="70" t="str">
        <f t="shared" si="836"/>
        <v/>
      </c>
      <c r="AF2415" s="16"/>
      <c r="AG2415" s="23"/>
      <c r="AH2415" s="22"/>
      <c r="AJ2415" s="83">
        <f t="shared" si="837"/>
        <v>0</v>
      </c>
      <c r="AO2415" s="22" t="str">
        <f t="shared" si="838"/>
        <v/>
      </c>
      <c r="AP2415" s="22" t="str">
        <f t="shared" si="839"/>
        <v/>
      </c>
    </row>
    <row r="2416" spans="1:42" x14ac:dyDescent="0.25">
      <c r="A2416" s="10"/>
      <c r="B2416" s="10"/>
      <c r="C2416" s="10"/>
      <c r="D2416" s="10"/>
      <c r="E2416" s="10"/>
      <c r="F2416" s="10"/>
      <c r="G2416" s="10"/>
      <c r="H2416" s="17"/>
      <c r="I2416" s="10"/>
      <c r="J2416" s="10"/>
      <c r="K2416" s="16" t="str">
        <f t="shared" si="818"/>
        <v/>
      </c>
      <c r="L2416" s="23" t="str">
        <f t="shared" si="819"/>
        <v/>
      </c>
      <c r="M2416" s="22" t="str">
        <f t="shared" si="820"/>
        <v/>
      </c>
      <c r="N2416" s="72"/>
      <c r="O2416" s="16" t="str">
        <f t="shared" si="821"/>
        <v/>
      </c>
      <c r="P2416" s="16" t="str">
        <f t="shared" si="822"/>
        <v/>
      </c>
      <c r="Q2416" s="16" t="str">
        <f t="shared" si="823"/>
        <v/>
      </c>
      <c r="R2416" s="23" t="str">
        <f t="shared" si="824"/>
        <v/>
      </c>
      <c r="S2416" s="23" t="str">
        <f t="shared" si="825"/>
        <v/>
      </c>
      <c r="T2416" s="23" t="str">
        <f t="shared" si="826"/>
        <v/>
      </c>
      <c r="U2416" s="23" t="str">
        <f t="shared" si="827"/>
        <v/>
      </c>
      <c r="V2416" s="23" t="str">
        <f t="shared" si="828"/>
        <v/>
      </c>
      <c r="W2416" s="70" t="str">
        <f t="shared" si="829"/>
        <v/>
      </c>
      <c r="X2416" s="70" t="str">
        <f t="shared" si="830"/>
        <v/>
      </c>
      <c r="Y2416" s="70" t="str">
        <f>IF(AND($A2416&lt;&gt;"",$E2416&gt;0),isLaptopBag($C2416,$J2416)*$D2416,"")</f>
        <v/>
      </c>
      <c r="Z2416" s="70" t="str">
        <f t="shared" si="831"/>
        <v/>
      </c>
      <c r="AA2416" s="70" t="str">
        <f t="shared" si="832"/>
        <v/>
      </c>
      <c r="AB2416" s="70" t="str">
        <f t="shared" si="833"/>
        <v/>
      </c>
      <c r="AC2416" s="70" t="str">
        <f t="shared" si="834"/>
        <v/>
      </c>
      <c r="AD2416" s="70" t="str">
        <f t="shared" si="835"/>
        <v/>
      </c>
      <c r="AE2416" s="70" t="str">
        <f t="shared" si="836"/>
        <v/>
      </c>
      <c r="AF2416" s="16"/>
      <c r="AG2416" s="23"/>
      <c r="AH2416" s="22"/>
      <c r="AJ2416" s="83">
        <f t="shared" si="837"/>
        <v>0</v>
      </c>
      <c r="AO2416" s="22" t="str">
        <f t="shared" si="838"/>
        <v/>
      </c>
      <c r="AP2416" s="22" t="str">
        <f t="shared" si="839"/>
        <v/>
      </c>
    </row>
    <row r="2417" spans="1:42" x14ac:dyDescent="0.25">
      <c r="A2417" s="10"/>
      <c r="B2417" s="10"/>
      <c r="C2417" s="10"/>
      <c r="D2417" s="10"/>
      <c r="E2417" s="10"/>
      <c r="F2417" s="10"/>
      <c r="G2417" s="10"/>
      <c r="H2417" s="17"/>
      <c r="I2417" s="10"/>
      <c r="J2417" s="10"/>
      <c r="K2417" s="16" t="str">
        <f t="shared" si="818"/>
        <v/>
      </c>
      <c r="L2417" s="23" t="str">
        <f t="shared" si="819"/>
        <v/>
      </c>
      <c r="M2417" s="22" t="str">
        <f t="shared" si="820"/>
        <v/>
      </c>
      <c r="N2417" s="72"/>
      <c r="O2417" s="16" t="str">
        <f t="shared" si="821"/>
        <v/>
      </c>
      <c r="P2417" s="16" t="str">
        <f t="shared" si="822"/>
        <v/>
      </c>
      <c r="Q2417" s="16" t="str">
        <f t="shared" si="823"/>
        <v/>
      </c>
      <c r="R2417" s="23" t="str">
        <f t="shared" si="824"/>
        <v/>
      </c>
      <c r="S2417" s="23" t="str">
        <f t="shared" si="825"/>
        <v/>
      </c>
      <c r="T2417" s="23" t="str">
        <f t="shared" si="826"/>
        <v/>
      </c>
      <c r="U2417" s="23" t="str">
        <f t="shared" si="827"/>
        <v/>
      </c>
      <c r="V2417" s="23" t="str">
        <f t="shared" si="828"/>
        <v/>
      </c>
      <c r="W2417" s="70" t="str">
        <f t="shared" si="829"/>
        <v/>
      </c>
      <c r="X2417" s="70" t="str">
        <f t="shared" si="830"/>
        <v/>
      </c>
      <c r="Y2417" s="70" t="str">
        <f>IF(AND($A2417&lt;&gt;"",$E2417&gt;0),isLaptopBag($C2417,$J2417)*$D2417,"")</f>
        <v/>
      </c>
      <c r="Z2417" s="70" t="str">
        <f t="shared" si="831"/>
        <v/>
      </c>
      <c r="AA2417" s="70" t="str">
        <f t="shared" si="832"/>
        <v/>
      </c>
      <c r="AB2417" s="70" t="str">
        <f t="shared" si="833"/>
        <v/>
      </c>
      <c r="AC2417" s="70" t="str">
        <f t="shared" si="834"/>
        <v/>
      </c>
      <c r="AD2417" s="70" t="str">
        <f t="shared" si="835"/>
        <v/>
      </c>
      <c r="AE2417" s="70" t="str">
        <f t="shared" si="836"/>
        <v/>
      </c>
      <c r="AF2417" s="16"/>
      <c r="AG2417" s="23"/>
      <c r="AH2417" s="22"/>
      <c r="AJ2417" s="83">
        <f t="shared" si="837"/>
        <v>0</v>
      </c>
      <c r="AO2417" s="22" t="str">
        <f t="shared" si="838"/>
        <v/>
      </c>
      <c r="AP2417" s="22" t="str">
        <f t="shared" si="839"/>
        <v/>
      </c>
    </row>
    <row r="2418" spans="1:42" x14ac:dyDescent="0.25">
      <c r="A2418" s="10"/>
      <c r="B2418" s="10"/>
      <c r="C2418" s="10"/>
      <c r="D2418" s="10"/>
      <c r="E2418" s="10"/>
      <c r="F2418" s="10"/>
      <c r="G2418" s="10"/>
      <c r="H2418" s="17"/>
      <c r="I2418" s="10"/>
      <c r="J2418" s="10"/>
      <c r="K2418" s="16" t="str">
        <f t="shared" si="818"/>
        <v/>
      </c>
      <c r="L2418" s="23" t="str">
        <f t="shared" si="819"/>
        <v/>
      </c>
      <c r="M2418" s="22" t="str">
        <f t="shared" si="820"/>
        <v/>
      </c>
      <c r="N2418" s="72"/>
      <c r="O2418" s="16" t="str">
        <f t="shared" si="821"/>
        <v/>
      </c>
      <c r="P2418" s="16" t="str">
        <f t="shared" si="822"/>
        <v/>
      </c>
      <c r="Q2418" s="16" t="str">
        <f t="shared" si="823"/>
        <v/>
      </c>
      <c r="R2418" s="23" t="str">
        <f t="shared" si="824"/>
        <v/>
      </c>
      <c r="S2418" s="23" t="str">
        <f t="shared" si="825"/>
        <v/>
      </c>
      <c r="T2418" s="23" t="str">
        <f t="shared" si="826"/>
        <v/>
      </c>
      <c r="U2418" s="23" t="str">
        <f t="shared" si="827"/>
        <v/>
      </c>
      <c r="V2418" s="23" t="str">
        <f t="shared" si="828"/>
        <v/>
      </c>
      <c r="W2418" s="70" t="str">
        <f t="shared" si="829"/>
        <v/>
      </c>
      <c r="X2418" s="70" t="str">
        <f t="shared" si="830"/>
        <v/>
      </c>
      <c r="Y2418" s="70" t="str">
        <f>IF(AND($A2418&lt;&gt;"",$E2418&gt;0),isLaptopBag($C2418,$J2418)*$D2418,"")</f>
        <v/>
      </c>
      <c r="Z2418" s="70" t="str">
        <f t="shared" si="831"/>
        <v/>
      </c>
      <c r="AA2418" s="70" t="str">
        <f t="shared" si="832"/>
        <v/>
      </c>
      <c r="AB2418" s="70" t="str">
        <f t="shared" si="833"/>
        <v/>
      </c>
      <c r="AC2418" s="70" t="str">
        <f t="shared" si="834"/>
        <v/>
      </c>
      <c r="AD2418" s="70" t="str">
        <f t="shared" si="835"/>
        <v/>
      </c>
      <c r="AE2418" s="70" t="str">
        <f t="shared" si="836"/>
        <v/>
      </c>
      <c r="AF2418" s="16"/>
      <c r="AG2418" s="23"/>
      <c r="AH2418" s="22"/>
      <c r="AJ2418" s="83">
        <f t="shared" si="837"/>
        <v>0</v>
      </c>
      <c r="AO2418" s="22" t="str">
        <f t="shared" si="838"/>
        <v/>
      </c>
      <c r="AP2418" s="22" t="str">
        <f t="shared" si="839"/>
        <v/>
      </c>
    </row>
    <row r="2419" spans="1:42" x14ac:dyDescent="0.25">
      <c r="A2419" s="10"/>
      <c r="B2419" s="10"/>
      <c r="C2419" s="10"/>
      <c r="D2419" s="10"/>
      <c r="E2419" s="10"/>
      <c r="F2419" s="10"/>
      <c r="G2419" s="10"/>
      <c r="H2419" s="17"/>
      <c r="I2419" s="10"/>
      <c r="J2419" s="10"/>
      <c r="K2419" s="16" t="str">
        <f t="shared" si="818"/>
        <v/>
      </c>
      <c r="L2419" s="23" t="str">
        <f t="shared" si="819"/>
        <v/>
      </c>
      <c r="M2419" s="22" t="str">
        <f t="shared" si="820"/>
        <v/>
      </c>
      <c r="N2419" s="72"/>
      <c r="O2419" s="16" t="str">
        <f t="shared" si="821"/>
        <v/>
      </c>
      <c r="P2419" s="16" t="str">
        <f t="shared" si="822"/>
        <v/>
      </c>
      <c r="Q2419" s="16" t="str">
        <f t="shared" si="823"/>
        <v/>
      </c>
      <c r="R2419" s="23" t="str">
        <f t="shared" si="824"/>
        <v/>
      </c>
      <c r="S2419" s="23" t="str">
        <f t="shared" si="825"/>
        <v/>
      </c>
      <c r="T2419" s="23" t="str">
        <f t="shared" si="826"/>
        <v/>
      </c>
      <c r="U2419" s="23" t="str">
        <f t="shared" si="827"/>
        <v/>
      </c>
      <c r="V2419" s="23" t="str">
        <f t="shared" si="828"/>
        <v/>
      </c>
      <c r="W2419" s="70" t="str">
        <f t="shared" si="829"/>
        <v/>
      </c>
      <c r="X2419" s="70" t="str">
        <f t="shared" si="830"/>
        <v/>
      </c>
      <c r="Y2419" s="70" t="str">
        <f>IF(AND($A2419&lt;&gt;"",$E2419&gt;0),isLaptopBag($C2419,$J2419)*$D2419,"")</f>
        <v/>
      </c>
      <c r="Z2419" s="70" t="str">
        <f t="shared" si="831"/>
        <v/>
      </c>
      <c r="AA2419" s="70" t="str">
        <f t="shared" si="832"/>
        <v/>
      </c>
      <c r="AB2419" s="70" t="str">
        <f t="shared" si="833"/>
        <v/>
      </c>
      <c r="AC2419" s="70" t="str">
        <f t="shared" si="834"/>
        <v/>
      </c>
      <c r="AD2419" s="70" t="str">
        <f t="shared" si="835"/>
        <v/>
      </c>
      <c r="AE2419" s="70" t="str">
        <f t="shared" si="836"/>
        <v/>
      </c>
      <c r="AF2419" s="16"/>
      <c r="AG2419" s="23"/>
      <c r="AH2419" s="22"/>
      <c r="AJ2419" s="83">
        <f t="shared" si="837"/>
        <v>0</v>
      </c>
      <c r="AO2419" s="22" t="str">
        <f t="shared" si="838"/>
        <v/>
      </c>
      <c r="AP2419" s="22" t="str">
        <f t="shared" si="839"/>
        <v/>
      </c>
    </row>
    <row r="2420" spans="1:42" x14ac:dyDescent="0.25">
      <c r="A2420" s="10"/>
      <c r="B2420" s="10"/>
      <c r="C2420" s="10"/>
      <c r="D2420" s="10"/>
      <c r="E2420" s="10"/>
      <c r="F2420" s="10"/>
      <c r="G2420" s="10"/>
      <c r="H2420" s="17"/>
      <c r="I2420" s="10"/>
      <c r="J2420" s="10"/>
      <c r="K2420" s="16" t="str">
        <f t="shared" si="818"/>
        <v/>
      </c>
      <c r="L2420" s="23" t="str">
        <f t="shared" si="819"/>
        <v/>
      </c>
      <c r="M2420" s="22" t="str">
        <f t="shared" si="820"/>
        <v/>
      </c>
      <c r="N2420" s="72"/>
      <c r="O2420" s="16" t="str">
        <f t="shared" si="821"/>
        <v/>
      </c>
      <c r="P2420" s="16" t="str">
        <f t="shared" si="822"/>
        <v/>
      </c>
      <c r="Q2420" s="16" t="str">
        <f t="shared" si="823"/>
        <v/>
      </c>
      <c r="R2420" s="23" t="str">
        <f t="shared" si="824"/>
        <v/>
      </c>
      <c r="S2420" s="23" t="str">
        <f t="shared" si="825"/>
        <v/>
      </c>
      <c r="T2420" s="23" t="str">
        <f t="shared" si="826"/>
        <v/>
      </c>
      <c r="U2420" s="23" t="str">
        <f t="shared" si="827"/>
        <v/>
      </c>
      <c r="V2420" s="23" t="str">
        <f t="shared" si="828"/>
        <v/>
      </c>
      <c r="W2420" s="70" t="str">
        <f t="shared" si="829"/>
        <v/>
      </c>
      <c r="X2420" s="70" t="str">
        <f t="shared" si="830"/>
        <v/>
      </c>
      <c r="Y2420" s="70" t="str">
        <f>IF(AND($A2420&lt;&gt;"",$E2420&gt;0),isLaptopBag($C2420,$J2420)*$D2420,"")</f>
        <v/>
      </c>
      <c r="Z2420" s="70" t="str">
        <f t="shared" si="831"/>
        <v/>
      </c>
      <c r="AA2420" s="70" t="str">
        <f t="shared" si="832"/>
        <v/>
      </c>
      <c r="AB2420" s="70" t="str">
        <f t="shared" si="833"/>
        <v/>
      </c>
      <c r="AC2420" s="70" t="str">
        <f t="shared" si="834"/>
        <v/>
      </c>
      <c r="AD2420" s="70" t="str">
        <f t="shared" si="835"/>
        <v/>
      </c>
      <c r="AE2420" s="70" t="str">
        <f t="shared" si="836"/>
        <v/>
      </c>
      <c r="AF2420" s="16"/>
      <c r="AG2420" s="23"/>
      <c r="AH2420" s="22"/>
      <c r="AJ2420" s="83">
        <f t="shared" si="837"/>
        <v>0</v>
      </c>
      <c r="AO2420" s="22" t="str">
        <f t="shared" si="838"/>
        <v/>
      </c>
      <c r="AP2420" s="22" t="str">
        <f t="shared" si="839"/>
        <v/>
      </c>
    </row>
    <row r="2421" spans="1:42" x14ac:dyDescent="0.25">
      <c r="A2421" s="10"/>
      <c r="B2421" s="10"/>
      <c r="C2421" s="10"/>
      <c r="D2421" s="10"/>
      <c r="E2421" s="10"/>
      <c r="F2421" s="10"/>
      <c r="G2421" s="10"/>
      <c r="H2421" s="17"/>
      <c r="I2421" s="10"/>
      <c r="J2421" s="10"/>
      <c r="K2421" s="16" t="str">
        <f t="shared" si="818"/>
        <v/>
      </c>
      <c r="L2421" s="23" t="str">
        <f t="shared" si="819"/>
        <v/>
      </c>
      <c r="M2421" s="22" t="str">
        <f t="shared" si="820"/>
        <v/>
      </c>
      <c r="N2421" s="72"/>
      <c r="O2421" s="16" t="str">
        <f t="shared" si="821"/>
        <v/>
      </c>
      <c r="P2421" s="16" t="str">
        <f t="shared" si="822"/>
        <v/>
      </c>
      <c r="Q2421" s="16" t="str">
        <f t="shared" si="823"/>
        <v/>
      </c>
      <c r="R2421" s="23" t="str">
        <f t="shared" si="824"/>
        <v/>
      </c>
      <c r="S2421" s="23" t="str">
        <f t="shared" si="825"/>
        <v/>
      </c>
      <c r="T2421" s="23" t="str">
        <f t="shared" si="826"/>
        <v/>
      </c>
      <c r="U2421" s="23" t="str">
        <f t="shared" si="827"/>
        <v/>
      </c>
      <c r="V2421" s="23" t="str">
        <f t="shared" si="828"/>
        <v/>
      </c>
      <c r="W2421" s="70" t="str">
        <f t="shared" si="829"/>
        <v/>
      </c>
      <c r="X2421" s="70" t="str">
        <f t="shared" si="830"/>
        <v/>
      </c>
      <c r="Y2421" s="70" t="str">
        <f>IF(AND($A2421&lt;&gt;"",$E2421&gt;0),isLaptopBag($C2421,$J2421)*$D2421,"")</f>
        <v/>
      </c>
      <c r="Z2421" s="70" t="str">
        <f t="shared" si="831"/>
        <v/>
      </c>
      <c r="AA2421" s="70" t="str">
        <f t="shared" si="832"/>
        <v/>
      </c>
      <c r="AB2421" s="70" t="str">
        <f t="shared" si="833"/>
        <v/>
      </c>
      <c r="AC2421" s="70" t="str">
        <f t="shared" si="834"/>
        <v/>
      </c>
      <c r="AD2421" s="70" t="str">
        <f t="shared" si="835"/>
        <v/>
      </c>
      <c r="AE2421" s="70" t="str">
        <f t="shared" si="836"/>
        <v/>
      </c>
      <c r="AF2421" s="16"/>
      <c r="AG2421" s="23"/>
      <c r="AH2421" s="22"/>
      <c r="AJ2421" s="83">
        <f t="shared" si="837"/>
        <v>0</v>
      </c>
      <c r="AO2421" s="22" t="str">
        <f t="shared" si="838"/>
        <v/>
      </c>
      <c r="AP2421" s="22" t="str">
        <f t="shared" si="839"/>
        <v/>
      </c>
    </row>
    <row r="2422" spans="1:42" x14ac:dyDescent="0.25">
      <c r="A2422" s="10"/>
      <c r="B2422" s="10"/>
      <c r="C2422" s="10"/>
      <c r="D2422" s="10"/>
      <c r="E2422" s="10"/>
      <c r="F2422" s="10"/>
      <c r="G2422" s="10"/>
      <c r="H2422" s="17"/>
      <c r="I2422" s="10"/>
      <c r="J2422" s="10"/>
      <c r="K2422" s="16" t="str">
        <f t="shared" si="818"/>
        <v/>
      </c>
      <c r="L2422" s="23" t="str">
        <f t="shared" si="819"/>
        <v/>
      </c>
      <c r="M2422" s="22" t="str">
        <f t="shared" si="820"/>
        <v/>
      </c>
      <c r="N2422" s="72"/>
      <c r="O2422" s="16" t="str">
        <f t="shared" si="821"/>
        <v/>
      </c>
      <c r="P2422" s="16" t="str">
        <f t="shared" si="822"/>
        <v/>
      </c>
      <c r="Q2422" s="16" t="str">
        <f t="shared" si="823"/>
        <v/>
      </c>
      <c r="R2422" s="23" t="str">
        <f t="shared" si="824"/>
        <v/>
      </c>
      <c r="S2422" s="23" t="str">
        <f t="shared" si="825"/>
        <v/>
      </c>
      <c r="T2422" s="23" t="str">
        <f t="shared" si="826"/>
        <v/>
      </c>
      <c r="U2422" s="23" t="str">
        <f t="shared" si="827"/>
        <v/>
      </c>
      <c r="V2422" s="23" t="str">
        <f t="shared" si="828"/>
        <v/>
      </c>
      <c r="W2422" s="70" t="str">
        <f t="shared" si="829"/>
        <v/>
      </c>
      <c r="X2422" s="70" t="str">
        <f t="shared" si="830"/>
        <v/>
      </c>
      <c r="Y2422" s="70" t="str">
        <f>IF(AND($A2422&lt;&gt;"",$E2422&gt;0),isLaptopBag($C2422,$J2422)*$D2422,"")</f>
        <v/>
      </c>
      <c r="Z2422" s="70" t="str">
        <f t="shared" si="831"/>
        <v/>
      </c>
      <c r="AA2422" s="70" t="str">
        <f t="shared" si="832"/>
        <v/>
      </c>
      <c r="AB2422" s="70" t="str">
        <f t="shared" si="833"/>
        <v/>
      </c>
      <c r="AC2422" s="70" t="str">
        <f t="shared" si="834"/>
        <v/>
      </c>
      <c r="AD2422" s="70" t="str">
        <f t="shared" si="835"/>
        <v/>
      </c>
      <c r="AE2422" s="70" t="str">
        <f t="shared" si="836"/>
        <v/>
      </c>
      <c r="AF2422" s="16"/>
      <c r="AG2422" s="23"/>
      <c r="AH2422" s="22"/>
      <c r="AJ2422" s="83">
        <f t="shared" si="837"/>
        <v>0</v>
      </c>
      <c r="AO2422" s="22" t="str">
        <f t="shared" si="838"/>
        <v/>
      </c>
      <c r="AP2422" s="22" t="str">
        <f t="shared" si="839"/>
        <v/>
      </c>
    </row>
    <row r="2423" spans="1:42" x14ac:dyDescent="0.25">
      <c r="A2423" s="10"/>
      <c r="B2423" s="10"/>
      <c r="C2423" s="10"/>
      <c r="D2423" s="10"/>
      <c r="E2423" s="10"/>
      <c r="F2423" s="10"/>
      <c r="G2423" s="10"/>
      <c r="H2423" s="17"/>
      <c r="I2423" s="10"/>
      <c r="J2423" s="10"/>
      <c r="K2423" s="16" t="str">
        <f t="shared" si="818"/>
        <v/>
      </c>
      <c r="L2423" s="23" t="str">
        <f t="shared" si="819"/>
        <v/>
      </c>
      <c r="M2423" s="22" t="str">
        <f t="shared" si="820"/>
        <v/>
      </c>
      <c r="N2423" s="72"/>
      <c r="O2423" s="16" t="str">
        <f t="shared" si="821"/>
        <v/>
      </c>
      <c r="P2423" s="16" t="str">
        <f t="shared" si="822"/>
        <v/>
      </c>
      <c r="Q2423" s="16" t="str">
        <f t="shared" si="823"/>
        <v/>
      </c>
      <c r="R2423" s="23" t="str">
        <f t="shared" si="824"/>
        <v/>
      </c>
      <c r="S2423" s="23" t="str">
        <f t="shared" si="825"/>
        <v/>
      </c>
      <c r="T2423" s="23" t="str">
        <f t="shared" si="826"/>
        <v/>
      </c>
      <c r="U2423" s="23" t="str">
        <f t="shared" si="827"/>
        <v/>
      </c>
      <c r="V2423" s="23" t="str">
        <f t="shared" si="828"/>
        <v/>
      </c>
      <c r="W2423" s="70" t="str">
        <f t="shared" si="829"/>
        <v/>
      </c>
      <c r="X2423" s="70" t="str">
        <f t="shared" si="830"/>
        <v/>
      </c>
      <c r="Y2423" s="70" t="str">
        <f>IF(AND($A2423&lt;&gt;"",$E2423&gt;0),isLaptopBag($C2423,$J2423)*$D2423,"")</f>
        <v/>
      </c>
      <c r="Z2423" s="70" t="str">
        <f t="shared" si="831"/>
        <v/>
      </c>
      <c r="AA2423" s="70" t="str">
        <f t="shared" si="832"/>
        <v/>
      </c>
      <c r="AB2423" s="70" t="str">
        <f t="shared" si="833"/>
        <v/>
      </c>
      <c r="AC2423" s="70" t="str">
        <f t="shared" si="834"/>
        <v/>
      </c>
      <c r="AD2423" s="70" t="str">
        <f t="shared" si="835"/>
        <v/>
      </c>
      <c r="AE2423" s="70" t="str">
        <f t="shared" si="836"/>
        <v/>
      </c>
      <c r="AF2423" s="16"/>
      <c r="AG2423" s="23"/>
      <c r="AH2423" s="22"/>
      <c r="AJ2423" s="83">
        <f t="shared" si="837"/>
        <v>0</v>
      </c>
      <c r="AO2423" s="22" t="str">
        <f t="shared" si="838"/>
        <v/>
      </c>
      <c r="AP2423" s="22" t="str">
        <f t="shared" si="839"/>
        <v/>
      </c>
    </row>
    <row r="2424" spans="1:42" x14ac:dyDescent="0.25">
      <c r="A2424" s="10"/>
      <c r="B2424" s="10"/>
      <c r="C2424" s="10"/>
      <c r="D2424" s="10"/>
      <c r="E2424" s="10"/>
      <c r="F2424" s="10"/>
      <c r="G2424" s="10"/>
      <c r="H2424" s="17"/>
      <c r="I2424" s="10"/>
      <c r="J2424" s="10"/>
      <c r="K2424" s="16" t="str">
        <f t="shared" si="818"/>
        <v/>
      </c>
      <c r="L2424" s="23" t="str">
        <f t="shared" si="819"/>
        <v/>
      </c>
      <c r="M2424" s="22" t="str">
        <f t="shared" si="820"/>
        <v/>
      </c>
      <c r="N2424" s="72"/>
      <c r="O2424" s="16" t="str">
        <f t="shared" si="821"/>
        <v/>
      </c>
      <c r="P2424" s="16" t="str">
        <f t="shared" si="822"/>
        <v/>
      </c>
      <c r="Q2424" s="16" t="str">
        <f t="shared" si="823"/>
        <v/>
      </c>
      <c r="R2424" s="23" t="str">
        <f t="shared" si="824"/>
        <v/>
      </c>
      <c r="S2424" s="23" t="str">
        <f t="shared" si="825"/>
        <v/>
      </c>
      <c r="T2424" s="23" t="str">
        <f t="shared" si="826"/>
        <v/>
      </c>
      <c r="U2424" s="23" t="str">
        <f t="shared" si="827"/>
        <v/>
      </c>
      <c r="V2424" s="23" t="str">
        <f t="shared" si="828"/>
        <v/>
      </c>
      <c r="W2424" s="70" t="str">
        <f t="shared" si="829"/>
        <v/>
      </c>
      <c r="X2424" s="70" t="str">
        <f t="shared" si="830"/>
        <v/>
      </c>
      <c r="Y2424" s="70" t="str">
        <f>IF(AND($A2424&lt;&gt;"",$E2424&gt;0),isLaptopBag($C2424,$J2424)*$D2424,"")</f>
        <v/>
      </c>
      <c r="Z2424" s="70" t="str">
        <f t="shared" si="831"/>
        <v/>
      </c>
      <c r="AA2424" s="70" t="str">
        <f t="shared" si="832"/>
        <v/>
      </c>
      <c r="AB2424" s="70" t="str">
        <f t="shared" si="833"/>
        <v/>
      </c>
      <c r="AC2424" s="70" t="str">
        <f t="shared" si="834"/>
        <v/>
      </c>
      <c r="AD2424" s="70" t="str">
        <f t="shared" si="835"/>
        <v/>
      </c>
      <c r="AE2424" s="70" t="str">
        <f t="shared" si="836"/>
        <v/>
      </c>
      <c r="AF2424" s="16"/>
      <c r="AG2424" s="23"/>
      <c r="AH2424" s="22"/>
      <c r="AJ2424" s="83">
        <f t="shared" si="837"/>
        <v>0</v>
      </c>
      <c r="AO2424" s="22" t="str">
        <f t="shared" si="838"/>
        <v/>
      </c>
      <c r="AP2424" s="22" t="str">
        <f t="shared" si="839"/>
        <v/>
      </c>
    </row>
    <row r="2425" spans="1:42" x14ac:dyDescent="0.25">
      <c r="A2425" s="10"/>
      <c r="B2425" s="10"/>
      <c r="C2425" s="10"/>
      <c r="D2425" s="10"/>
      <c r="E2425" s="10"/>
      <c r="F2425" s="10"/>
      <c r="G2425" s="10"/>
      <c r="H2425" s="17"/>
      <c r="I2425" s="10"/>
      <c r="J2425" s="10"/>
      <c r="K2425" s="16" t="str">
        <f t="shared" si="818"/>
        <v/>
      </c>
      <c r="L2425" s="23" t="str">
        <f t="shared" si="819"/>
        <v/>
      </c>
      <c r="M2425" s="22" t="str">
        <f t="shared" si="820"/>
        <v/>
      </c>
      <c r="N2425" s="72"/>
      <c r="O2425" s="16" t="str">
        <f t="shared" si="821"/>
        <v/>
      </c>
      <c r="P2425" s="16" t="str">
        <f t="shared" si="822"/>
        <v/>
      </c>
      <c r="Q2425" s="16" t="str">
        <f t="shared" si="823"/>
        <v/>
      </c>
      <c r="R2425" s="23" t="str">
        <f t="shared" si="824"/>
        <v/>
      </c>
      <c r="S2425" s="23" t="str">
        <f t="shared" si="825"/>
        <v/>
      </c>
      <c r="T2425" s="23" t="str">
        <f t="shared" si="826"/>
        <v/>
      </c>
      <c r="U2425" s="23" t="str">
        <f t="shared" si="827"/>
        <v/>
      </c>
      <c r="V2425" s="23" t="str">
        <f t="shared" si="828"/>
        <v/>
      </c>
      <c r="W2425" s="70" t="str">
        <f t="shared" si="829"/>
        <v/>
      </c>
      <c r="X2425" s="70" t="str">
        <f t="shared" si="830"/>
        <v/>
      </c>
      <c r="Y2425" s="70" t="str">
        <f>IF(AND($A2425&lt;&gt;"",$E2425&gt;0),isLaptopBag($C2425,$J2425)*$D2425,"")</f>
        <v/>
      </c>
      <c r="Z2425" s="70" t="str">
        <f t="shared" si="831"/>
        <v/>
      </c>
      <c r="AA2425" s="70" t="str">
        <f t="shared" si="832"/>
        <v/>
      </c>
      <c r="AB2425" s="70" t="str">
        <f t="shared" si="833"/>
        <v/>
      </c>
      <c r="AC2425" s="70" t="str">
        <f t="shared" si="834"/>
        <v/>
      </c>
      <c r="AD2425" s="70" t="str">
        <f t="shared" si="835"/>
        <v/>
      </c>
      <c r="AE2425" s="70" t="str">
        <f t="shared" si="836"/>
        <v/>
      </c>
      <c r="AF2425" s="16"/>
      <c r="AG2425" s="23"/>
      <c r="AH2425" s="22"/>
      <c r="AJ2425" s="83">
        <f t="shared" si="837"/>
        <v>0</v>
      </c>
      <c r="AO2425" s="22" t="str">
        <f t="shared" si="838"/>
        <v/>
      </c>
      <c r="AP2425" s="22" t="str">
        <f t="shared" si="839"/>
        <v/>
      </c>
    </row>
    <row r="2426" spans="1:42" x14ac:dyDescent="0.25">
      <c r="A2426" s="10"/>
      <c r="B2426" s="10"/>
      <c r="C2426" s="10"/>
      <c r="D2426" s="10"/>
      <c r="E2426" s="10"/>
      <c r="F2426" s="10"/>
      <c r="G2426" s="10"/>
      <c r="H2426" s="17"/>
      <c r="I2426" s="10"/>
      <c r="J2426" s="10"/>
      <c r="K2426" s="16" t="str">
        <f t="shared" si="818"/>
        <v/>
      </c>
      <c r="L2426" s="23" t="str">
        <f t="shared" si="819"/>
        <v/>
      </c>
      <c r="M2426" s="22" t="str">
        <f t="shared" si="820"/>
        <v/>
      </c>
      <c r="N2426" s="72"/>
      <c r="O2426" s="16" t="str">
        <f t="shared" si="821"/>
        <v/>
      </c>
      <c r="P2426" s="16" t="str">
        <f t="shared" si="822"/>
        <v/>
      </c>
      <c r="Q2426" s="16" t="str">
        <f t="shared" si="823"/>
        <v/>
      </c>
      <c r="R2426" s="23" t="str">
        <f t="shared" si="824"/>
        <v/>
      </c>
      <c r="S2426" s="23" t="str">
        <f t="shared" si="825"/>
        <v/>
      </c>
      <c r="T2426" s="23" t="str">
        <f t="shared" si="826"/>
        <v/>
      </c>
      <c r="U2426" s="23" t="str">
        <f t="shared" si="827"/>
        <v/>
      </c>
      <c r="V2426" s="23" t="str">
        <f t="shared" si="828"/>
        <v/>
      </c>
      <c r="W2426" s="70" t="str">
        <f t="shared" si="829"/>
        <v/>
      </c>
      <c r="X2426" s="70" t="str">
        <f t="shared" si="830"/>
        <v/>
      </c>
      <c r="Y2426" s="70" t="str">
        <f>IF(AND($A2426&lt;&gt;"",$E2426&gt;0),isLaptopBag($C2426,$J2426)*$D2426,"")</f>
        <v/>
      </c>
      <c r="Z2426" s="70" t="str">
        <f t="shared" si="831"/>
        <v/>
      </c>
      <c r="AA2426" s="70" t="str">
        <f t="shared" si="832"/>
        <v/>
      </c>
      <c r="AB2426" s="70" t="str">
        <f t="shared" si="833"/>
        <v/>
      </c>
      <c r="AC2426" s="70" t="str">
        <f t="shared" si="834"/>
        <v/>
      </c>
      <c r="AD2426" s="70" t="str">
        <f t="shared" si="835"/>
        <v/>
      </c>
      <c r="AE2426" s="70" t="str">
        <f t="shared" si="836"/>
        <v/>
      </c>
      <c r="AF2426" s="16"/>
      <c r="AG2426" s="23"/>
      <c r="AH2426" s="22"/>
      <c r="AJ2426" s="83">
        <f t="shared" si="837"/>
        <v>0</v>
      </c>
      <c r="AO2426" s="22" t="str">
        <f t="shared" si="838"/>
        <v/>
      </c>
      <c r="AP2426" s="22" t="str">
        <f t="shared" si="839"/>
        <v/>
      </c>
    </row>
    <row r="2427" spans="1:42" x14ac:dyDescent="0.25">
      <c r="A2427" s="10"/>
      <c r="B2427" s="10"/>
      <c r="C2427" s="10"/>
      <c r="D2427" s="10"/>
      <c r="E2427" s="10"/>
      <c r="F2427" s="10"/>
      <c r="G2427" s="10"/>
      <c r="H2427" s="17"/>
      <c r="I2427" s="10"/>
      <c r="J2427" s="10"/>
      <c r="K2427" s="16" t="str">
        <f t="shared" si="818"/>
        <v/>
      </c>
      <c r="L2427" s="23" t="str">
        <f t="shared" si="819"/>
        <v/>
      </c>
      <c r="M2427" s="22" t="str">
        <f t="shared" si="820"/>
        <v/>
      </c>
      <c r="N2427" s="72"/>
      <c r="O2427" s="16" t="str">
        <f t="shared" si="821"/>
        <v/>
      </c>
      <c r="P2427" s="16" t="str">
        <f t="shared" si="822"/>
        <v/>
      </c>
      <c r="Q2427" s="16" t="str">
        <f t="shared" si="823"/>
        <v/>
      </c>
      <c r="R2427" s="23" t="str">
        <f t="shared" si="824"/>
        <v/>
      </c>
      <c r="S2427" s="23" t="str">
        <f t="shared" si="825"/>
        <v/>
      </c>
      <c r="T2427" s="23" t="str">
        <f t="shared" si="826"/>
        <v/>
      </c>
      <c r="U2427" s="23" t="str">
        <f t="shared" si="827"/>
        <v/>
      </c>
      <c r="V2427" s="23" t="str">
        <f t="shared" si="828"/>
        <v/>
      </c>
      <c r="W2427" s="70" t="str">
        <f t="shared" si="829"/>
        <v/>
      </c>
      <c r="X2427" s="70" t="str">
        <f t="shared" si="830"/>
        <v/>
      </c>
      <c r="Y2427" s="70" t="str">
        <f>IF(AND($A2427&lt;&gt;"",$E2427&gt;0),isLaptopBag($C2427,$J2427)*$D2427,"")</f>
        <v/>
      </c>
      <c r="Z2427" s="70" t="str">
        <f t="shared" si="831"/>
        <v/>
      </c>
      <c r="AA2427" s="70" t="str">
        <f t="shared" si="832"/>
        <v/>
      </c>
      <c r="AB2427" s="70" t="str">
        <f t="shared" si="833"/>
        <v/>
      </c>
      <c r="AC2427" s="70" t="str">
        <f t="shared" si="834"/>
        <v/>
      </c>
      <c r="AD2427" s="70" t="str">
        <f t="shared" si="835"/>
        <v/>
      </c>
      <c r="AE2427" s="70" t="str">
        <f t="shared" si="836"/>
        <v/>
      </c>
      <c r="AF2427" s="16"/>
      <c r="AG2427" s="23"/>
      <c r="AH2427" s="22"/>
      <c r="AJ2427" s="83">
        <f t="shared" si="837"/>
        <v>0</v>
      </c>
      <c r="AO2427" s="22" t="str">
        <f t="shared" si="838"/>
        <v/>
      </c>
      <c r="AP2427" s="22" t="str">
        <f t="shared" si="839"/>
        <v/>
      </c>
    </row>
    <row r="2428" spans="1:42" x14ac:dyDescent="0.25">
      <c r="A2428" s="10"/>
      <c r="B2428" s="10"/>
      <c r="C2428" s="10"/>
      <c r="D2428" s="10"/>
      <c r="E2428" s="10"/>
      <c r="F2428" s="10"/>
      <c r="G2428" s="10"/>
      <c r="H2428" s="17"/>
      <c r="I2428" s="10"/>
      <c r="J2428" s="10"/>
      <c r="K2428" s="16" t="str">
        <f t="shared" si="818"/>
        <v/>
      </c>
      <c r="L2428" s="23" t="str">
        <f t="shared" si="819"/>
        <v/>
      </c>
      <c r="M2428" s="22" t="str">
        <f t="shared" si="820"/>
        <v/>
      </c>
      <c r="N2428" s="72"/>
      <c r="O2428" s="16" t="str">
        <f t="shared" si="821"/>
        <v/>
      </c>
      <c r="P2428" s="16" t="str">
        <f t="shared" si="822"/>
        <v/>
      </c>
      <c r="Q2428" s="16" t="str">
        <f t="shared" si="823"/>
        <v/>
      </c>
      <c r="R2428" s="23" t="str">
        <f t="shared" si="824"/>
        <v/>
      </c>
      <c r="S2428" s="23" t="str">
        <f t="shared" si="825"/>
        <v/>
      </c>
      <c r="T2428" s="23" t="str">
        <f t="shared" si="826"/>
        <v/>
      </c>
      <c r="U2428" s="23" t="str">
        <f t="shared" si="827"/>
        <v/>
      </c>
      <c r="V2428" s="23" t="str">
        <f t="shared" si="828"/>
        <v/>
      </c>
      <c r="W2428" s="70" t="str">
        <f t="shared" si="829"/>
        <v/>
      </c>
      <c r="X2428" s="70" t="str">
        <f t="shared" si="830"/>
        <v/>
      </c>
      <c r="Y2428" s="70" t="str">
        <f>IF(AND($A2428&lt;&gt;"",$E2428&gt;0),isLaptopBag($C2428,$J2428)*$D2428,"")</f>
        <v/>
      </c>
      <c r="Z2428" s="70" t="str">
        <f t="shared" si="831"/>
        <v/>
      </c>
      <c r="AA2428" s="70" t="str">
        <f t="shared" si="832"/>
        <v/>
      </c>
      <c r="AB2428" s="70" t="str">
        <f t="shared" si="833"/>
        <v/>
      </c>
      <c r="AC2428" s="70" t="str">
        <f t="shared" si="834"/>
        <v/>
      </c>
      <c r="AD2428" s="70" t="str">
        <f t="shared" si="835"/>
        <v/>
      </c>
      <c r="AE2428" s="70" t="str">
        <f t="shared" si="836"/>
        <v/>
      </c>
      <c r="AF2428" s="16"/>
      <c r="AG2428" s="23"/>
      <c r="AH2428" s="22"/>
      <c r="AJ2428" s="83">
        <f t="shared" si="837"/>
        <v>0</v>
      </c>
      <c r="AO2428" s="22" t="str">
        <f t="shared" si="838"/>
        <v/>
      </c>
      <c r="AP2428" s="22" t="str">
        <f t="shared" si="839"/>
        <v/>
      </c>
    </row>
    <row r="2429" spans="1:42" x14ac:dyDescent="0.25">
      <c r="A2429" s="10"/>
      <c r="B2429" s="10"/>
      <c r="C2429" s="10"/>
      <c r="D2429" s="10"/>
      <c r="E2429" s="10"/>
      <c r="F2429" s="10"/>
      <c r="G2429" s="10"/>
      <c r="H2429" s="17"/>
      <c r="I2429" s="10"/>
      <c r="J2429" s="10"/>
      <c r="K2429" s="16" t="str">
        <f t="shared" si="818"/>
        <v/>
      </c>
      <c r="L2429" s="23" t="str">
        <f t="shared" si="819"/>
        <v/>
      </c>
      <c r="M2429" s="22" t="str">
        <f t="shared" si="820"/>
        <v/>
      </c>
      <c r="N2429" s="72"/>
      <c r="O2429" s="16" t="str">
        <f t="shared" si="821"/>
        <v/>
      </c>
      <c r="P2429" s="16" t="str">
        <f t="shared" si="822"/>
        <v/>
      </c>
      <c r="Q2429" s="16" t="str">
        <f t="shared" si="823"/>
        <v/>
      </c>
      <c r="R2429" s="23" t="str">
        <f t="shared" si="824"/>
        <v/>
      </c>
      <c r="S2429" s="23" t="str">
        <f t="shared" si="825"/>
        <v/>
      </c>
      <c r="T2429" s="23" t="str">
        <f t="shared" si="826"/>
        <v/>
      </c>
      <c r="U2429" s="23" t="str">
        <f t="shared" si="827"/>
        <v/>
      </c>
      <c r="V2429" s="23" t="str">
        <f t="shared" si="828"/>
        <v/>
      </c>
      <c r="W2429" s="70" t="str">
        <f t="shared" si="829"/>
        <v/>
      </c>
      <c r="X2429" s="70" t="str">
        <f t="shared" si="830"/>
        <v/>
      </c>
      <c r="Y2429" s="70" t="str">
        <f>IF(AND($A2429&lt;&gt;"",$E2429&gt;0),isLaptopBag($C2429,$J2429)*$D2429,"")</f>
        <v/>
      </c>
      <c r="Z2429" s="70" t="str">
        <f t="shared" si="831"/>
        <v/>
      </c>
      <c r="AA2429" s="70" t="str">
        <f t="shared" si="832"/>
        <v/>
      </c>
      <c r="AB2429" s="70" t="str">
        <f t="shared" si="833"/>
        <v/>
      </c>
      <c r="AC2429" s="70" t="str">
        <f t="shared" si="834"/>
        <v/>
      </c>
      <c r="AD2429" s="70" t="str">
        <f t="shared" si="835"/>
        <v/>
      </c>
      <c r="AE2429" s="70" t="str">
        <f t="shared" si="836"/>
        <v/>
      </c>
      <c r="AF2429" s="16"/>
      <c r="AG2429" s="23"/>
      <c r="AH2429" s="22"/>
      <c r="AJ2429" s="83">
        <f t="shared" si="837"/>
        <v>0</v>
      </c>
      <c r="AO2429" s="22" t="str">
        <f t="shared" si="838"/>
        <v/>
      </c>
      <c r="AP2429" s="22" t="str">
        <f t="shared" si="839"/>
        <v/>
      </c>
    </row>
    <row r="2430" spans="1:42" x14ac:dyDescent="0.25">
      <c r="A2430" s="10"/>
      <c r="B2430" s="10"/>
      <c r="C2430" s="10"/>
      <c r="D2430" s="10"/>
      <c r="E2430" s="10"/>
      <c r="F2430" s="10"/>
      <c r="G2430" s="10"/>
      <c r="H2430" s="17"/>
      <c r="I2430" s="10"/>
      <c r="J2430" s="10"/>
      <c r="K2430" s="16" t="str">
        <f t="shared" si="818"/>
        <v/>
      </c>
      <c r="L2430" s="23" t="str">
        <f t="shared" si="819"/>
        <v/>
      </c>
      <c r="M2430" s="22" t="str">
        <f t="shared" si="820"/>
        <v/>
      </c>
      <c r="N2430" s="72"/>
      <c r="O2430" s="16" t="str">
        <f t="shared" si="821"/>
        <v/>
      </c>
      <c r="P2430" s="16" t="str">
        <f t="shared" si="822"/>
        <v/>
      </c>
      <c r="Q2430" s="16" t="str">
        <f t="shared" si="823"/>
        <v/>
      </c>
      <c r="R2430" s="23" t="str">
        <f t="shared" si="824"/>
        <v/>
      </c>
      <c r="S2430" s="23" t="str">
        <f t="shared" si="825"/>
        <v/>
      </c>
      <c r="T2430" s="23" t="str">
        <f t="shared" si="826"/>
        <v/>
      </c>
      <c r="U2430" s="23" t="str">
        <f t="shared" si="827"/>
        <v/>
      </c>
      <c r="V2430" s="23" t="str">
        <f t="shared" si="828"/>
        <v/>
      </c>
      <c r="W2430" s="70" t="str">
        <f t="shared" si="829"/>
        <v/>
      </c>
      <c r="X2430" s="70" t="str">
        <f t="shared" si="830"/>
        <v/>
      </c>
      <c r="Y2430" s="70" t="str">
        <f>IF(AND($A2430&lt;&gt;"",$E2430&gt;0),isLaptopBag($C2430,$J2430)*$D2430,"")</f>
        <v/>
      </c>
      <c r="Z2430" s="70" t="str">
        <f t="shared" si="831"/>
        <v/>
      </c>
      <c r="AA2430" s="70" t="str">
        <f t="shared" si="832"/>
        <v/>
      </c>
      <c r="AB2430" s="70" t="str">
        <f t="shared" si="833"/>
        <v/>
      </c>
      <c r="AC2430" s="70" t="str">
        <f t="shared" si="834"/>
        <v/>
      </c>
      <c r="AD2430" s="70" t="str">
        <f t="shared" si="835"/>
        <v/>
      </c>
      <c r="AE2430" s="70" t="str">
        <f t="shared" si="836"/>
        <v/>
      </c>
      <c r="AF2430" s="16"/>
      <c r="AG2430" s="23"/>
      <c r="AH2430" s="22"/>
      <c r="AJ2430" s="83">
        <f t="shared" si="837"/>
        <v>0</v>
      </c>
      <c r="AO2430" s="22" t="str">
        <f t="shared" si="838"/>
        <v/>
      </c>
      <c r="AP2430" s="22" t="str">
        <f t="shared" si="839"/>
        <v/>
      </c>
    </row>
    <row r="2431" spans="1:42" x14ac:dyDescent="0.25">
      <c r="A2431" s="10"/>
      <c r="B2431" s="10"/>
      <c r="C2431" s="10"/>
      <c r="D2431" s="10"/>
      <c r="E2431" s="10"/>
      <c r="F2431" s="10"/>
      <c r="G2431" s="10"/>
      <c r="H2431" s="17"/>
      <c r="I2431" s="10"/>
      <c r="J2431" s="10"/>
      <c r="K2431" s="16" t="str">
        <f t="shared" si="818"/>
        <v/>
      </c>
      <c r="L2431" s="23" t="str">
        <f t="shared" si="819"/>
        <v/>
      </c>
      <c r="M2431" s="22" t="str">
        <f t="shared" si="820"/>
        <v/>
      </c>
      <c r="N2431" s="72"/>
      <c r="O2431" s="16" t="str">
        <f t="shared" si="821"/>
        <v/>
      </c>
      <c r="P2431" s="16" t="str">
        <f t="shared" si="822"/>
        <v/>
      </c>
      <c r="Q2431" s="16" t="str">
        <f t="shared" si="823"/>
        <v/>
      </c>
      <c r="R2431" s="23" t="str">
        <f t="shared" si="824"/>
        <v/>
      </c>
      <c r="S2431" s="23" t="str">
        <f t="shared" si="825"/>
        <v/>
      </c>
      <c r="T2431" s="23" t="str">
        <f t="shared" si="826"/>
        <v/>
      </c>
      <c r="U2431" s="23" t="str">
        <f t="shared" si="827"/>
        <v/>
      </c>
      <c r="V2431" s="23" t="str">
        <f t="shared" si="828"/>
        <v/>
      </c>
      <c r="W2431" s="70" t="str">
        <f t="shared" si="829"/>
        <v/>
      </c>
      <c r="X2431" s="70" t="str">
        <f t="shared" si="830"/>
        <v/>
      </c>
      <c r="Y2431" s="70" t="str">
        <f>IF(AND($A2431&lt;&gt;"",$E2431&gt;0),isLaptopBag($C2431,$J2431)*$D2431,"")</f>
        <v/>
      </c>
      <c r="Z2431" s="70" t="str">
        <f t="shared" si="831"/>
        <v/>
      </c>
      <c r="AA2431" s="70" t="str">
        <f t="shared" si="832"/>
        <v/>
      </c>
      <c r="AB2431" s="70" t="str">
        <f t="shared" si="833"/>
        <v/>
      </c>
      <c r="AC2431" s="70" t="str">
        <f t="shared" si="834"/>
        <v/>
      </c>
      <c r="AD2431" s="70" t="str">
        <f t="shared" si="835"/>
        <v/>
      </c>
      <c r="AE2431" s="70" t="str">
        <f t="shared" si="836"/>
        <v/>
      </c>
      <c r="AF2431" s="16"/>
      <c r="AG2431" s="23"/>
      <c r="AH2431" s="22"/>
      <c r="AJ2431" s="83">
        <f t="shared" si="837"/>
        <v>0</v>
      </c>
      <c r="AO2431" s="22" t="str">
        <f t="shared" si="838"/>
        <v/>
      </c>
      <c r="AP2431" s="22" t="str">
        <f t="shared" si="839"/>
        <v/>
      </c>
    </row>
    <row r="2432" spans="1:42" x14ac:dyDescent="0.25">
      <c r="A2432" s="10"/>
      <c r="B2432" s="10"/>
      <c r="C2432" s="10"/>
      <c r="D2432" s="10"/>
      <c r="E2432" s="10"/>
      <c r="F2432" s="10"/>
      <c r="G2432" s="10"/>
      <c r="H2432" s="17"/>
      <c r="I2432" s="10"/>
      <c r="J2432" s="10"/>
      <c r="K2432" s="16" t="str">
        <f t="shared" si="818"/>
        <v/>
      </c>
      <c r="L2432" s="23" t="str">
        <f t="shared" si="819"/>
        <v/>
      </c>
      <c r="M2432" s="22" t="str">
        <f t="shared" si="820"/>
        <v/>
      </c>
      <c r="N2432" s="72"/>
      <c r="O2432" s="16" t="str">
        <f t="shared" si="821"/>
        <v/>
      </c>
      <c r="P2432" s="16" t="str">
        <f t="shared" si="822"/>
        <v/>
      </c>
      <c r="Q2432" s="16" t="str">
        <f t="shared" si="823"/>
        <v/>
      </c>
      <c r="R2432" s="23" t="str">
        <f t="shared" si="824"/>
        <v/>
      </c>
      <c r="S2432" s="23" t="str">
        <f t="shared" si="825"/>
        <v/>
      </c>
      <c r="T2432" s="23" t="str">
        <f t="shared" si="826"/>
        <v/>
      </c>
      <c r="U2432" s="23" t="str">
        <f t="shared" si="827"/>
        <v/>
      </c>
      <c r="V2432" s="23" t="str">
        <f t="shared" si="828"/>
        <v/>
      </c>
      <c r="W2432" s="70" t="str">
        <f t="shared" si="829"/>
        <v/>
      </c>
      <c r="X2432" s="70" t="str">
        <f t="shared" si="830"/>
        <v/>
      </c>
      <c r="Y2432" s="70" t="str">
        <f>IF(AND($A2432&lt;&gt;"",$E2432&gt;0),isLaptopBag($C2432,$J2432)*$D2432,"")</f>
        <v/>
      </c>
      <c r="Z2432" s="70" t="str">
        <f t="shared" si="831"/>
        <v/>
      </c>
      <c r="AA2432" s="70" t="str">
        <f t="shared" si="832"/>
        <v/>
      </c>
      <c r="AB2432" s="70" t="str">
        <f t="shared" si="833"/>
        <v/>
      </c>
      <c r="AC2432" s="70" t="str">
        <f t="shared" si="834"/>
        <v/>
      </c>
      <c r="AD2432" s="70" t="str">
        <f t="shared" si="835"/>
        <v/>
      </c>
      <c r="AE2432" s="70" t="str">
        <f t="shared" si="836"/>
        <v/>
      </c>
      <c r="AF2432" s="16"/>
      <c r="AG2432" s="23"/>
      <c r="AH2432" s="22"/>
      <c r="AJ2432" s="83">
        <f t="shared" si="837"/>
        <v>0</v>
      </c>
      <c r="AO2432" s="22" t="str">
        <f t="shared" si="838"/>
        <v/>
      </c>
      <c r="AP2432" s="22" t="str">
        <f t="shared" si="839"/>
        <v/>
      </c>
    </row>
    <row r="2433" spans="1:42" x14ac:dyDescent="0.25">
      <c r="A2433" s="10"/>
      <c r="B2433" s="10"/>
      <c r="C2433" s="10"/>
      <c r="D2433" s="10"/>
      <c r="E2433" s="10"/>
      <c r="F2433" s="10"/>
      <c r="G2433" s="10"/>
      <c r="H2433" s="17"/>
      <c r="I2433" s="10"/>
      <c r="J2433" s="10"/>
      <c r="K2433" s="16" t="str">
        <f t="shared" si="818"/>
        <v/>
      </c>
      <c r="L2433" s="23" t="str">
        <f t="shared" si="819"/>
        <v/>
      </c>
      <c r="M2433" s="22" t="str">
        <f t="shared" si="820"/>
        <v/>
      </c>
      <c r="N2433" s="72"/>
      <c r="O2433" s="16" t="str">
        <f t="shared" si="821"/>
        <v/>
      </c>
      <c r="P2433" s="16" t="str">
        <f t="shared" si="822"/>
        <v/>
      </c>
      <c r="Q2433" s="16" t="str">
        <f t="shared" si="823"/>
        <v/>
      </c>
      <c r="R2433" s="23" t="str">
        <f t="shared" si="824"/>
        <v/>
      </c>
      <c r="S2433" s="23" t="str">
        <f t="shared" si="825"/>
        <v/>
      </c>
      <c r="T2433" s="23" t="str">
        <f t="shared" si="826"/>
        <v/>
      </c>
      <c r="U2433" s="23" t="str">
        <f t="shared" si="827"/>
        <v/>
      </c>
      <c r="V2433" s="23" t="str">
        <f t="shared" si="828"/>
        <v/>
      </c>
      <c r="W2433" s="70" t="str">
        <f t="shared" si="829"/>
        <v/>
      </c>
      <c r="X2433" s="70" t="str">
        <f t="shared" si="830"/>
        <v/>
      </c>
      <c r="Y2433" s="70" t="str">
        <f>IF(AND($A2433&lt;&gt;"",$E2433&gt;0),isLaptopBag($C2433,$J2433)*$D2433,"")</f>
        <v/>
      </c>
      <c r="Z2433" s="70" t="str">
        <f t="shared" si="831"/>
        <v/>
      </c>
      <c r="AA2433" s="70" t="str">
        <f t="shared" si="832"/>
        <v/>
      </c>
      <c r="AB2433" s="70" t="str">
        <f t="shared" si="833"/>
        <v/>
      </c>
      <c r="AC2433" s="70" t="str">
        <f t="shared" si="834"/>
        <v/>
      </c>
      <c r="AD2433" s="70" t="str">
        <f t="shared" si="835"/>
        <v/>
      </c>
      <c r="AE2433" s="70" t="str">
        <f t="shared" si="836"/>
        <v/>
      </c>
      <c r="AF2433" s="16"/>
      <c r="AG2433" s="23"/>
      <c r="AH2433" s="22"/>
      <c r="AJ2433" s="83">
        <f t="shared" si="837"/>
        <v>0</v>
      </c>
      <c r="AO2433" s="22" t="str">
        <f t="shared" si="838"/>
        <v/>
      </c>
      <c r="AP2433" s="22" t="str">
        <f t="shared" si="839"/>
        <v/>
      </c>
    </row>
    <row r="2434" spans="1:42" x14ac:dyDescent="0.25">
      <c r="A2434" s="10"/>
      <c r="B2434" s="10"/>
      <c r="C2434" s="10"/>
      <c r="D2434" s="10"/>
      <c r="E2434" s="10"/>
      <c r="F2434" s="10"/>
      <c r="G2434" s="10"/>
      <c r="H2434" s="17"/>
      <c r="I2434" s="10"/>
      <c r="J2434" s="10"/>
      <c r="K2434" s="16" t="str">
        <f t="shared" si="818"/>
        <v/>
      </c>
      <c r="L2434" s="23" t="str">
        <f t="shared" si="819"/>
        <v/>
      </c>
      <c r="M2434" s="22" t="str">
        <f t="shared" si="820"/>
        <v/>
      </c>
      <c r="N2434" s="72"/>
      <c r="O2434" s="16" t="str">
        <f t="shared" si="821"/>
        <v/>
      </c>
      <c r="P2434" s="16" t="str">
        <f t="shared" si="822"/>
        <v/>
      </c>
      <c r="Q2434" s="16" t="str">
        <f t="shared" si="823"/>
        <v/>
      </c>
      <c r="R2434" s="23" t="str">
        <f t="shared" si="824"/>
        <v/>
      </c>
      <c r="S2434" s="23" t="str">
        <f t="shared" si="825"/>
        <v/>
      </c>
      <c r="T2434" s="23" t="str">
        <f t="shared" si="826"/>
        <v/>
      </c>
      <c r="U2434" s="23" t="str">
        <f t="shared" si="827"/>
        <v/>
      </c>
      <c r="V2434" s="23" t="str">
        <f t="shared" si="828"/>
        <v/>
      </c>
      <c r="W2434" s="70" t="str">
        <f t="shared" si="829"/>
        <v/>
      </c>
      <c r="X2434" s="70" t="str">
        <f t="shared" si="830"/>
        <v/>
      </c>
      <c r="Y2434" s="70" t="str">
        <f>IF(AND($A2434&lt;&gt;"",$E2434&gt;0),isLaptopBag($C2434,$J2434)*$D2434,"")</f>
        <v/>
      </c>
      <c r="Z2434" s="70" t="str">
        <f t="shared" si="831"/>
        <v/>
      </c>
      <c r="AA2434" s="70" t="str">
        <f t="shared" si="832"/>
        <v/>
      </c>
      <c r="AB2434" s="70" t="str">
        <f t="shared" si="833"/>
        <v/>
      </c>
      <c r="AC2434" s="70" t="str">
        <f t="shared" si="834"/>
        <v/>
      </c>
      <c r="AD2434" s="70" t="str">
        <f t="shared" si="835"/>
        <v/>
      </c>
      <c r="AE2434" s="70" t="str">
        <f t="shared" si="836"/>
        <v/>
      </c>
      <c r="AF2434" s="16"/>
      <c r="AG2434" s="23"/>
      <c r="AH2434" s="22"/>
      <c r="AJ2434" s="83">
        <f t="shared" si="837"/>
        <v>0</v>
      </c>
      <c r="AO2434" s="22" t="str">
        <f t="shared" si="838"/>
        <v/>
      </c>
      <c r="AP2434" s="22" t="str">
        <f t="shared" si="839"/>
        <v/>
      </c>
    </row>
    <row r="2435" spans="1:42" x14ac:dyDescent="0.25">
      <c r="A2435" s="10"/>
      <c r="B2435" s="10"/>
      <c r="C2435" s="10"/>
      <c r="D2435" s="10"/>
      <c r="E2435" s="10"/>
      <c r="F2435" s="10"/>
      <c r="G2435" s="10"/>
      <c r="H2435" s="17"/>
      <c r="I2435" s="10"/>
      <c r="J2435" s="10"/>
      <c r="K2435" s="16" t="str">
        <f t="shared" si="818"/>
        <v/>
      </c>
      <c r="L2435" s="23" t="str">
        <f t="shared" si="819"/>
        <v/>
      </c>
      <c r="M2435" s="22" t="str">
        <f t="shared" si="820"/>
        <v/>
      </c>
      <c r="N2435" s="72"/>
      <c r="O2435" s="16" t="str">
        <f t="shared" si="821"/>
        <v/>
      </c>
      <c r="P2435" s="16" t="str">
        <f t="shared" si="822"/>
        <v/>
      </c>
      <c r="Q2435" s="16" t="str">
        <f t="shared" si="823"/>
        <v/>
      </c>
      <c r="R2435" s="23" t="str">
        <f t="shared" si="824"/>
        <v/>
      </c>
      <c r="S2435" s="23" t="str">
        <f t="shared" si="825"/>
        <v/>
      </c>
      <c r="T2435" s="23" t="str">
        <f t="shared" si="826"/>
        <v/>
      </c>
      <c r="U2435" s="23" t="str">
        <f t="shared" si="827"/>
        <v/>
      </c>
      <c r="V2435" s="23" t="str">
        <f t="shared" si="828"/>
        <v/>
      </c>
      <c r="W2435" s="70" t="str">
        <f t="shared" si="829"/>
        <v/>
      </c>
      <c r="X2435" s="70" t="str">
        <f t="shared" si="830"/>
        <v/>
      </c>
      <c r="Y2435" s="70" t="str">
        <f>IF(AND($A2435&lt;&gt;"",$E2435&gt;0),isLaptopBag($C2435,$J2435)*$D2435,"")</f>
        <v/>
      </c>
      <c r="Z2435" s="70" t="str">
        <f t="shared" si="831"/>
        <v/>
      </c>
      <c r="AA2435" s="70" t="str">
        <f t="shared" si="832"/>
        <v/>
      </c>
      <c r="AB2435" s="70" t="str">
        <f t="shared" si="833"/>
        <v/>
      </c>
      <c r="AC2435" s="70" t="str">
        <f t="shared" si="834"/>
        <v/>
      </c>
      <c r="AD2435" s="70" t="str">
        <f t="shared" si="835"/>
        <v/>
      </c>
      <c r="AE2435" s="70" t="str">
        <f t="shared" si="836"/>
        <v/>
      </c>
      <c r="AF2435" s="16"/>
      <c r="AG2435" s="23"/>
      <c r="AH2435" s="22"/>
      <c r="AJ2435" s="83">
        <f t="shared" si="837"/>
        <v>0</v>
      </c>
      <c r="AO2435" s="22" t="str">
        <f t="shared" si="838"/>
        <v/>
      </c>
      <c r="AP2435" s="22" t="str">
        <f t="shared" si="839"/>
        <v/>
      </c>
    </row>
    <row r="2436" spans="1:42" x14ac:dyDescent="0.25">
      <c r="A2436" s="10"/>
      <c r="B2436" s="10"/>
      <c r="C2436" s="10"/>
      <c r="D2436" s="10"/>
      <c r="E2436" s="10"/>
      <c r="F2436" s="10"/>
      <c r="G2436" s="10"/>
      <c r="H2436" s="17"/>
      <c r="I2436" s="10"/>
      <c r="J2436" s="10"/>
      <c r="K2436" s="16" t="str">
        <f t="shared" si="818"/>
        <v/>
      </c>
      <c r="L2436" s="23" t="str">
        <f t="shared" si="819"/>
        <v/>
      </c>
      <c r="M2436" s="22" t="str">
        <f t="shared" si="820"/>
        <v/>
      </c>
      <c r="N2436" s="72"/>
      <c r="O2436" s="16" t="str">
        <f t="shared" si="821"/>
        <v/>
      </c>
      <c r="P2436" s="16" t="str">
        <f t="shared" si="822"/>
        <v/>
      </c>
      <c r="Q2436" s="16" t="str">
        <f t="shared" si="823"/>
        <v/>
      </c>
      <c r="R2436" s="23" t="str">
        <f t="shared" si="824"/>
        <v/>
      </c>
      <c r="S2436" s="23" t="str">
        <f t="shared" si="825"/>
        <v/>
      </c>
      <c r="T2436" s="23" t="str">
        <f t="shared" si="826"/>
        <v/>
      </c>
      <c r="U2436" s="23" t="str">
        <f t="shared" si="827"/>
        <v/>
      </c>
      <c r="V2436" s="23" t="str">
        <f t="shared" si="828"/>
        <v/>
      </c>
      <c r="W2436" s="70" t="str">
        <f t="shared" si="829"/>
        <v/>
      </c>
      <c r="X2436" s="70" t="str">
        <f t="shared" si="830"/>
        <v/>
      </c>
      <c r="Y2436" s="70" t="str">
        <f>IF(AND($A2436&lt;&gt;"",$E2436&gt;0),isLaptopBag($C2436,$J2436)*$D2436,"")</f>
        <v/>
      </c>
      <c r="Z2436" s="70" t="str">
        <f t="shared" si="831"/>
        <v/>
      </c>
      <c r="AA2436" s="70" t="str">
        <f t="shared" si="832"/>
        <v/>
      </c>
      <c r="AB2436" s="70" t="str">
        <f t="shared" si="833"/>
        <v/>
      </c>
      <c r="AC2436" s="70" t="str">
        <f t="shared" si="834"/>
        <v/>
      </c>
      <c r="AD2436" s="70" t="str">
        <f t="shared" si="835"/>
        <v/>
      </c>
      <c r="AE2436" s="70" t="str">
        <f t="shared" si="836"/>
        <v/>
      </c>
      <c r="AF2436" s="16"/>
      <c r="AG2436" s="23"/>
      <c r="AH2436" s="22"/>
      <c r="AJ2436" s="83">
        <f t="shared" si="837"/>
        <v>0</v>
      </c>
      <c r="AO2436" s="22" t="str">
        <f t="shared" si="838"/>
        <v/>
      </c>
      <c r="AP2436" s="22" t="str">
        <f t="shared" si="839"/>
        <v/>
      </c>
    </row>
    <row r="2437" spans="1:42" x14ac:dyDescent="0.25">
      <c r="A2437" s="10"/>
      <c r="B2437" s="10"/>
      <c r="C2437" s="10"/>
      <c r="D2437" s="10"/>
      <c r="E2437" s="10"/>
      <c r="F2437" s="10"/>
      <c r="G2437" s="10"/>
      <c r="H2437" s="17"/>
      <c r="I2437" s="10"/>
      <c r="J2437" s="10"/>
      <c r="K2437" s="16" t="str">
        <f t="shared" si="818"/>
        <v/>
      </c>
      <c r="L2437" s="23" t="str">
        <f t="shared" si="819"/>
        <v/>
      </c>
      <c r="M2437" s="22" t="str">
        <f t="shared" si="820"/>
        <v/>
      </c>
      <c r="N2437" s="72"/>
      <c r="O2437" s="16" t="str">
        <f t="shared" si="821"/>
        <v/>
      </c>
      <c r="P2437" s="16" t="str">
        <f t="shared" si="822"/>
        <v/>
      </c>
      <c r="Q2437" s="16" t="str">
        <f t="shared" si="823"/>
        <v/>
      </c>
      <c r="R2437" s="23" t="str">
        <f t="shared" si="824"/>
        <v/>
      </c>
      <c r="S2437" s="23" t="str">
        <f t="shared" si="825"/>
        <v/>
      </c>
      <c r="T2437" s="23" t="str">
        <f t="shared" si="826"/>
        <v/>
      </c>
      <c r="U2437" s="23" t="str">
        <f t="shared" si="827"/>
        <v/>
      </c>
      <c r="V2437" s="23" t="str">
        <f t="shared" si="828"/>
        <v/>
      </c>
      <c r="W2437" s="70" t="str">
        <f t="shared" si="829"/>
        <v/>
      </c>
      <c r="X2437" s="70" t="str">
        <f t="shared" si="830"/>
        <v/>
      </c>
      <c r="Y2437" s="70" t="str">
        <f>IF(AND($A2437&lt;&gt;"",$E2437&gt;0),isLaptopBag($C2437,$J2437)*$D2437,"")</f>
        <v/>
      </c>
      <c r="Z2437" s="70" t="str">
        <f t="shared" si="831"/>
        <v/>
      </c>
      <c r="AA2437" s="70" t="str">
        <f t="shared" si="832"/>
        <v/>
      </c>
      <c r="AB2437" s="70" t="str">
        <f t="shared" si="833"/>
        <v/>
      </c>
      <c r="AC2437" s="70" t="str">
        <f t="shared" si="834"/>
        <v/>
      </c>
      <c r="AD2437" s="70" t="str">
        <f t="shared" si="835"/>
        <v/>
      </c>
      <c r="AE2437" s="70" t="str">
        <f t="shared" si="836"/>
        <v/>
      </c>
      <c r="AF2437" s="16"/>
      <c r="AG2437" s="23"/>
      <c r="AH2437" s="22"/>
      <c r="AJ2437" s="83">
        <f t="shared" si="837"/>
        <v>0</v>
      </c>
      <c r="AO2437" s="22" t="str">
        <f t="shared" si="838"/>
        <v/>
      </c>
      <c r="AP2437" s="22" t="str">
        <f t="shared" si="839"/>
        <v/>
      </c>
    </row>
    <row r="2438" spans="1:42" x14ac:dyDescent="0.25">
      <c r="A2438" s="10"/>
      <c r="B2438" s="10"/>
      <c r="C2438" s="10"/>
      <c r="D2438" s="10"/>
      <c r="E2438" s="10"/>
      <c r="F2438" s="10"/>
      <c r="G2438" s="10"/>
      <c r="H2438" s="17"/>
      <c r="I2438" s="10"/>
      <c r="J2438" s="10"/>
      <c r="K2438" s="16" t="str">
        <f t="shared" si="818"/>
        <v/>
      </c>
      <c r="L2438" s="23" t="str">
        <f t="shared" si="819"/>
        <v/>
      </c>
      <c r="M2438" s="22" t="str">
        <f t="shared" si="820"/>
        <v/>
      </c>
      <c r="N2438" s="72"/>
      <c r="O2438" s="16" t="str">
        <f t="shared" si="821"/>
        <v/>
      </c>
      <c r="P2438" s="16" t="str">
        <f t="shared" si="822"/>
        <v/>
      </c>
      <c r="Q2438" s="16" t="str">
        <f t="shared" si="823"/>
        <v/>
      </c>
      <c r="R2438" s="23" t="str">
        <f t="shared" si="824"/>
        <v/>
      </c>
      <c r="S2438" s="23" t="str">
        <f t="shared" si="825"/>
        <v/>
      </c>
      <c r="T2438" s="23" t="str">
        <f t="shared" si="826"/>
        <v/>
      </c>
      <c r="U2438" s="23" t="str">
        <f t="shared" si="827"/>
        <v/>
      </c>
      <c r="V2438" s="23" t="str">
        <f t="shared" si="828"/>
        <v/>
      </c>
      <c r="W2438" s="70" t="str">
        <f t="shared" si="829"/>
        <v/>
      </c>
      <c r="X2438" s="70" t="str">
        <f t="shared" si="830"/>
        <v/>
      </c>
      <c r="Y2438" s="70" t="str">
        <f>IF(AND($A2438&lt;&gt;"",$E2438&gt;0),isLaptopBag($C2438,$J2438)*$D2438,"")</f>
        <v/>
      </c>
      <c r="Z2438" s="70" t="str">
        <f t="shared" si="831"/>
        <v/>
      </c>
      <c r="AA2438" s="70" t="str">
        <f t="shared" si="832"/>
        <v/>
      </c>
      <c r="AB2438" s="70" t="str">
        <f t="shared" si="833"/>
        <v/>
      </c>
      <c r="AC2438" s="70" t="str">
        <f t="shared" si="834"/>
        <v/>
      </c>
      <c r="AD2438" s="70" t="str">
        <f t="shared" si="835"/>
        <v/>
      </c>
      <c r="AE2438" s="70" t="str">
        <f t="shared" si="836"/>
        <v/>
      </c>
      <c r="AF2438" s="16"/>
      <c r="AG2438" s="23"/>
      <c r="AH2438" s="22"/>
      <c r="AJ2438" s="83">
        <f t="shared" si="837"/>
        <v>0</v>
      </c>
      <c r="AO2438" s="22" t="str">
        <f t="shared" si="838"/>
        <v/>
      </c>
      <c r="AP2438" s="22" t="str">
        <f t="shared" si="839"/>
        <v/>
      </c>
    </row>
    <row r="2439" spans="1:42" x14ac:dyDescent="0.25">
      <c r="A2439" s="10"/>
      <c r="B2439" s="10"/>
      <c r="C2439" s="10"/>
      <c r="D2439" s="10"/>
      <c r="E2439" s="10"/>
      <c r="F2439" s="10"/>
      <c r="G2439" s="10"/>
      <c r="H2439" s="17"/>
      <c r="I2439" s="10"/>
      <c r="J2439" s="10"/>
      <c r="K2439" s="16" t="str">
        <f t="shared" si="818"/>
        <v/>
      </c>
      <c r="L2439" s="23" t="str">
        <f t="shared" si="819"/>
        <v/>
      </c>
      <c r="M2439" s="22" t="str">
        <f t="shared" si="820"/>
        <v/>
      </c>
      <c r="N2439" s="72"/>
      <c r="O2439" s="16" t="str">
        <f t="shared" si="821"/>
        <v/>
      </c>
      <c r="P2439" s="16" t="str">
        <f t="shared" si="822"/>
        <v/>
      </c>
      <c r="Q2439" s="16" t="str">
        <f t="shared" si="823"/>
        <v/>
      </c>
      <c r="R2439" s="23" t="str">
        <f t="shared" si="824"/>
        <v/>
      </c>
      <c r="S2439" s="23" t="str">
        <f t="shared" si="825"/>
        <v/>
      </c>
      <c r="T2439" s="23" t="str">
        <f t="shared" si="826"/>
        <v/>
      </c>
      <c r="U2439" s="23" t="str">
        <f t="shared" si="827"/>
        <v/>
      </c>
      <c r="V2439" s="23" t="str">
        <f t="shared" si="828"/>
        <v/>
      </c>
      <c r="W2439" s="70" t="str">
        <f t="shared" si="829"/>
        <v/>
      </c>
      <c r="X2439" s="70" t="str">
        <f t="shared" si="830"/>
        <v/>
      </c>
      <c r="Y2439" s="70" t="str">
        <f>IF(AND($A2439&lt;&gt;"",$E2439&gt;0),isLaptopBag($C2439,$J2439)*$D2439,"")</f>
        <v/>
      </c>
      <c r="Z2439" s="70" t="str">
        <f t="shared" si="831"/>
        <v/>
      </c>
      <c r="AA2439" s="70" t="str">
        <f t="shared" si="832"/>
        <v/>
      </c>
      <c r="AB2439" s="70" t="str">
        <f t="shared" si="833"/>
        <v/>
      </c>
      <c r="AC2439" s="70" t="str">
        <f t="shared" si="834"/>
        <v/>
      </c>
      <c r="AD2439" s="70" t="str">
        <f t="shared" si="835"/>
        <v/>
      </c>
      <c r="AE2439" s="70" t="str">
        <f t="shared" si="836"/>
        <v/>
      </c>
      <c r="AF2439" s="16"/>
      <c r="AG2439" s="23"/>
      <c r="AH2439" s="22"/>
      <c r="AJ2439" s="83">
        <f t="shared" si="837"/>
        <v>0</v>
      </c>
      <c r="AO2439" s="22" t="str">
        <f t="shared" si="838"/>
        <v/>
      </c>
      <c r="AP2439" s="22" t="str">
        <f t="shared" si="839"/>
        <v/>
      </c>
    </row>
    <row r="2440" spans="1:42" x14ac:dyDescent="0.25">
      <c r="A2440" s="10"/>
      <c r="B2440" s="10"/>
      <c r="C2440" s="10"/>
      <c r="D2440" s="10"/>
      <c r="E2440" s="10"/>
      <c r="F2440" s="10"/>
      <c r="G2440" s="10"/>
      <c r="H2440" s="17"/>
      <c r="I2440" s="10"/>
      <c r="J2440" s="10"/>
      <c r="K2440" s="16" t="str">
        <f t="shared" si="818"/>
        <v/>
      </c>
      <c r="L2440" s="23" t="str">
        <f t="shared" si="819"/>
        <v/>
      </c>
      <c r="M2440" s="22" t="str">
        <f t="shared" si="820"/>
        <v/>
      </c>
      <c r="N2440" s="72"/>
      <c r="O2440" s="16" t="str">
        <f t="shared" si="821"/>
        <v/>
      </c>
      <c r="P2440" s="16" t="str">
        <f t="shared" si="822"/>
        <v/>
      </c>
      <c r="Q2440" s="16" t="str">
        <f t="shared" si="823"/>
        <v/>
      </c>
      <c r="R2440" s="23" t="str">
        <f t="shared" si="824"/>
        <v/>
      </c>
      <c r="S2440" s="23" t="str">
        <f t="shared" si="825"/>
        <v/>
      </c>
      <c r="T2440" s="23" t="str">
        <f t="shared" si="826"/>
        <v/>
      </c>
      <c r="U2440" s="23" t="str">
        <f t="shared" si="827"/>
        <v/>
      </c>
      <c r="V2440" s="23" t="str">
        <f t="shared" si="828"/>
        <v/>
      </c>
      <c r="W2440" s="70" t="str">
        <f t="shared" si="829"/>
        <v/>
      </c>
      <c r="X2440" s="70" t="str">
        <f t="shared" si="830"/>
        <v/>
      </c>
      <c r="Y2440" s="70" t="str">
        <f>IF(AND($A2440&lt;&gt;"",$E2440&gt;0),isLaptopBag($C2440,$J2440)*$D2440,"")</f>
        <v/>
      </c>
      <c r="Z2440" s="70" t="str">
        <f t="shared" si="831"/>
        <v/>
      </c>
      <c r="AA2440" s="70" t="str">
        <f t="shared" si="832"/>
        <v/>
      </c>
      <c r="AB2440" s="70" t="str">
        <f t="shared" si="833"/>
        <v/>
      </c>
      <c r="AC2440" s="70" t="str">
        <f t="shared" si="834"/>
        <v/>
      </c>
      <c r="AD2440" s="70" t="str">
        <f t="shared" si="835"/>
        <v/>
      </c>
      <c r="AE2440" s="70" t="str">
        <f t="shared" si="836"/>
        <v/>
      </c>
      <c r="AF2440" s="16"/>
      <c r="AG2440" s="23"/>
      <c r="AH2440" s="22"/>
      <c r="AJ2440" s="83">
        <f t="shared" si="837"/>
        <v>0</v>
      </c>
      <c r="AO2440" s="22" t="str">
        <f t="shared" si="838"/>
        <v/>
      </c>
      <c r="AP2440" s="22" t="str">
        <f t="shared" si="839"/>
        <v/>
      </c>
    </row>
    <row r="2441" spans="1:42" x14ac:dyDescent="0.25">
      <c r="A2441" s="10"/>
      <c r="B2441" s="10"/>
      <c r="C2441" s="10"/>
      <c r="D2441" s="10"/>
      <c r="E2441" s="10"/>
      <c r="F2441" s="10"/>
      <c r="G2441" s="10"/>
      <c r="H2441" s="17"/>
      <c r="I2441" s="10"/>
      <c r="J2441" s="10"/>
      <c r="K2441" s="16" t="str">
        <f t="shared" si="818"/>
        <v/>
      </c>
      <c r="L2441" s="23" t="str">
        <f t="shared" si="819"/>
        <v/>
      </c>
      <c r="M2441" s="22" t="str">
        <f t="shared" si="820"/>
        <v/>
      </c>
      <c r="N2441" s="72"/>
      <c r="O2441" s="16" t="str">
        <f t="shared" si="821"/>
        <v/>
      </c>
      <c r="P2441" s="16" t="str">
        <f t="shared" si="822"/>
        <v/>
      </c>
      <c r="Q2441" s="16" t="str">
        <f t="shared" si="823"/>
        <v/>
      </c>
      <c r="R2441" s="23" t="str">
        <f t="shared" si="824"/>
        <v/>
      </c>
      <c r="S2441" s="23" t="str">
        <f t="shared" si="825"/>
        <v/>
      </c>
      <c r="T2441" s="23" t="str">
        <f t="shared" si="826"/>
        <v/>
      </c>
      <c r="U2441" s="23" t="str">
        <f t="shared" si="827"/>
        <v/>
      </c>
      <c r="V2441" s="23" t="str">
        <f t="shared" si="828"/>
        <v/>
      </c>
      <c r="W2441" s="70" t="str">
        <f t="shared" si="829"/>
        <v/>
      </c>
      <c r="X2441" s="70" t="str">
        <f t="shared" si="830"/>
        <v/>
      </c>
      <c r="Y2441" s="70" t="str">
        <f>IF(AND($A2441&lt;&gt;"",$E2441&gt;0),isLaptopBag($C2441,$J2441)*$D2441,"")</f>
        <v/>
      </c>
      <c r="Z2441" s="70" t="str">
        <f t="shared" si="831"/>
        <v/>
      </c>
      <c r="AA2441" s="70" t="str">
        <f t="shared" si="832"/>
        <v/>
      </c>
      <c r="AB2441" s="70" t="str">
        <f t="shared" si="833"/>
        <v/>
      </c>
      <c r="AC2441" s="70" t="str">
        <f t="shared" si="834"/>
        <v/>
      </c>
      <c r="AD2441" s="70" t="str">
        <f t="shared" si="835"/>
        <v/>
      </c>
      <c r="AE2441" s="70" t="str">
        <f t="shared" si="836"/>
        <v/>
      </c>
      <c r="AF2441" s="16"/>
      <c r="AG2441" s="23"/>
      <c r="AH2441" s="22"/>
      <c r="AJ2441" s="83">
        <f t="shared" si="837"/>
        <v>0</v>
      </c>
      <c r="AO2441" s="22" t="str">
        <f t="shared" si="838"/>
        <v/>
      </c>
      <c r="AP2441" s="22" t="str">
        <f t="shared" si="839"/>
        <v/>
      </c>
    </row>
    <row r="2442" spans="1:42" x14ac:dyDescent="0.25">
      <c r="A2442" s="10"/>
      <c r="B2442" s="10"/>
      <c r="C2442" s="10"/>
      <c r="D2442" s="10"/>
      <c r="E2442" s="10"/>
      <c r="F2442" s="10"/>
      <c r="G2442" s="10"/>
      <c r="H2442" s="17"/>
      <c r="I2442" s="10"/>
      <c r="J2442" s="10"/>
      <c r="K2442" s="16" t="str">
        <f t="shared" si="818"/>
        <v/>
      </c>
      <c r="L2442" s="23" t="str">
        <f t="shared" si="819"/>
        <v/>
      </c>
      <c r="M2442" s="22" t="str">
        <f t="shared" si="820"/>
        <v/>
      </c>
      <c r="N2442" s="72"/>
      <c r="O2442" s="16" t="str">
        <f t="shared" si="821"/>
        <v/>
      </c>
      <c r="P2442" s="16" t="str">
        <f t="shared" si="822"/>
        <v/>
      </c>
      <c r="Q2442" s="16" t="str">
        <f t="shared" si="823"/>
        <v/>
      </c>
      <c r="R2442" s="23" t="str">
        <f t="shared" si="824"/>
        <v/>
      </c>
      <c r="S2442" s="23" t="str">
        <f t="shared" si="825"/>
        <v/>
      </c>
      <c r="T2442" s="23" t="str">
        <f t="shared" si="826"/>
        <v/>
      </c>
      <c r="U2442" s="23" t="str">
        <f t="shared" si="827"/>
        <v/>
      </c>
      <c r="V2442" s="23" t="str">
        <f t="shared" si="828"/>
        <v/>
      </c>
      <c r="W2442" s="70" t="str">
        <f t="shared" si="829"/>
        <v/>
      </c>
      <c r="X2442" s="70" t="str">
        <f t="shared" si="830"/>
        <v/>
      </c>
      <c r="Y2442" s="70" t="str">
        <f>IF(AND($A2442&lt;&gt;"",$E2442&gt;0),isLaptopBag($C2442,$J2442)*$D2442,"")</f>
        <v/>
      </c>
      <c r="Z2442" s="70" t="str">
        <f t="shared" si="831"/>
        <v/>
      </c>
      <c r="AA2442" s="70" t="str">
        <f t="shared" si="832"/>
        <v/>
      </c>
      <c r="AB2442" s="70" t="str">
        <f t="shared" si="833"/>
        <v/>
      </c>
      <c r="AC2442" s="70" t="str">
        <f t="shared" si="834"/>
        <v/>
      </c>
      <c r="AD2442" s="70" t="str">
        <f t="shared" si="835"/>
        <v/>
      </c>
      <c r="AE2442" s="70" t="str">
        <f t="shared" si="836"/>
        <v/>
      </c>
      <c r="AF2442" s="16"/>
      <c r="AG2442" s="23"/>
      <c r="AH2442" s="22"/>
      <c r="AJ2442" s="83">
        <f t="shared" si="837"/>
        <v>0</v>
      </c>
      <c r="AO2442" s="22" t="str">
        <f t="shared" si="838"/>
        <v/>
      </c>
      <c r="AP2442" s="22" t="str">
        <f t="shared" si="839"/>
        <v/>
      </c>
    </row>
    <row r="2443" spans="1:42" x14ac:dyDescent="0.25">
      <c r="A2443" s="10"/>
      <c r="B2443" s="10"/>
      <c r="C2443" s="10"/>
      <c r="D2443" s="10"/>
      <c r="E2443" s="10"/>
      <c r="F2443" s="10"/>
      <c r="G2443" s="10"/>
      <c r="H2443" s="17"/>
      <c r="I2443" s="10"/>
      <c r="J2443" s="10"/>
      <c r="K2443" s="16" t="str">
        <f t="shared" si="818"/>
        <v/>
      </c>
      <c r="L2443" s="23" t="str">
        <f t="shared" si="819"/>
        <v/>
      </c>
      <c r="M2443" s="22" t="str">
        <f t="shared" si="820"/>
        <v/>
      </c>
      <c r="N2443" s="72"/>
      <c r="O2443" s="16" t="str">
        <f t="shared" si="821"/>
        <v/>
      </c>
      <c r="P2443" s="16" t="str">
        <f t="shared" si="822"/>
        <v/>
      </c>
      <c r="Q2443" s="16" t="str">
        <f t="shared" si="823"/>
        <v/>
      </c>
      <c r="R2443" s="23" t="str">
        <f t="shared" si="824"/>
        <v/>
      </c>
      <c r="S2443" s="23" t="str">
        <f t="shared" si="825"/>
        <v/>
      </c>
      <c r="T2443" s="23" t="str">
        <f t="shared" si="826"/>
        <v/>
      </c>
      <c r="U2443" s="23" t="str">
        <f t="shared" si="827"/>
        <v/>
      </c>
      <c r="V2443" s="23" t="str">
        <f t="shared" si="828"/>
        <v/>
      </c>
      <c r="W2443" s="70" t="str">
        <f t="shared" si="829"/>
        <v/>
      </c>
      <c r="X2443" s="70" t="str">
        <f t="shared" si="830"/>
        <v/>
      </c>
      <c r="Y2443" s="70" t="str">
        <f>IF(AND($A2443&lt;&gt;"",$E2443&gt;0),isLaptopBag($C2443,$J2443)*$D2443,"")</f>
        <v/>
      </c>
      <c r="Z2443" s="70" t="str">
        <f t="shared" si="831"/>
        <v/>
      </c>
      <c r="AA2443" s="70" t="str">
        <f t="shared" si="832"/>
        <v/>
      </c>
      <c r="AB2443" s="70" t="str">
        <f t="shared" si="833"/>
        <v/>
      </c>
      <c r="AC2443" s="70" t="str">
        <f t="shared" si="834"/>
        <v/>
      </c>
      <c r="AD2443" s="70" t="str">
        <f t="shared" si="835"/>
        <v/>
      </c>
      <c r="AE2443" s="70" t="str">
        <f t="shared" si="836"/>
        <v/>
      </c>
      <c r="AF2443" s="16"/>
      <c r="AG2443" s="23"/>
      <c r="AH2443" s="22"/>
      <c r="AJ2443" s="83">
        <f t="shared" si="837"/>
        <v>0</v>
      </c>
      <c r="AO2443" s="22" t="str">
        <f t="shared" si="838"/>
        <v/>
      </c>
      <c r="AP2443" s="22" t="str">
        <f t="shared" si="839"/>
        <v/>
      </c>
    </row>
    <row r="2444" spans="1:42" x14ac:dyDescent="0.25">
      <c r="A2444" s="10"/>
      <c r="B2444" s="10"/>
      <c r="C2444" s="10"/>
      <c r="D2444" s="10"/>
      <c r="E2444" s="10"/>
      <c r="F2444" s="10"/>
      <c r="G2444" s="10"/>
      <c r="H2444" s="17"/>
      <c r="I2444" s="10"/>
      <c r="J2444" s="10"/>
      <c r="K2444" s="16" t="str">
        <f t="shared" si="818"/>
        <v/>
      </c>
      <c r="L2444" s="23" t="str">
        <f t="shared" si="819"/>
        <v/>
      </c>
      <c r="M2444" s="22" t="str">
        <f t="shared" si="820"/>
        <v/>
      </c>
      <c r="N2444" s="72"/>
      <c r="O2444" s="16" t="str">
        <f t="shared" si="821"/>
        <v/>
      </c>
      <c r="P2444" s="16" t="str">
        <f t="shared" si="822"/>
        <v/>
      </c>
      <c r="Q2444" s="16" t="str">
        <f t="shared" si="823"/>
        <v/>
      </c>
      <c r="R2444" s="23" t="str">
        <f t="shared" si="824"/>
        <v/>
      </c>
      <c r="S2444" s="23" t="str">
        <f t="shared" si="825"/>
        <v/>
      </c>
      <c r="T2444" s="23" t="str">
        <f t="shared" si="826"/>
        <v/>
      </c>
      <c r="U2444" s="23" t="str">
        <f t="shared" si="827"/>
        <v/>
      </c>
      <c r="V2444" s="23" t="str">
        <f t="shared" si="828"/>
        <v/>
      </c>
      <c r="W2444" s="70" t="str">
        <f t="shared" si="829"/>
        <v/>
      </c>
      <c r="X2444" s="70" t="str">
        <f t="shared" si="830"/>
        <v/>
      </c>
      <c r="Y2444" s="70" t="str">
        <f>IF(AND($A2444&lt;&gt;"",$E2444&gt;0),isLaptopBag($C2444,$J2444)*$D2444,"")</f>
        <v/>
      </c>
      <c r="Z2444" s="70" t="str">
        <f t="shared" si="831"/>
        <v/>
      </c>
      <c r="AA2444" s="70" t="str">
        <f t="shared" si="832"/>
        <v/>
      </c>
      <c r="AB2444" s="70" t="str">
        <f t="shared" si="833"/>
        <v/>
      </c>
      <c r="AC2444" s="70" t="str">
        <f t="shared" si="834"/>
        <v/>
      </c>
      <c r="AD2444" s="70" t="str">
        <f t="shared" si="835"/>
        <v/>
      </c>
      <c r="AE2444" s="70" t="str">
        <f t="shared" si="836"/>
        <v/>
      </c>
      <c r="AF2444" s="16"/>
      <c r="AG2444" s="23"/>
      <c r="AH2444" s="22"/>
      <c r="AJ2444" s="83">
        <f t="shared" si="837"/>
        <v>0</v>
      </c>
      <c r="AO2444" s="22" t="str">
        <f t="shared" si="838"/>
        <v/>
      </c>
      <c r="AP2444" s="22" t="str">
        <f t="shared" si="839"/>
        <v/>
      </c>
    </row>
    <row r="2445" spans="1:42" x14ac:dyDescent="0.25">
      <c r="A2445" s="10"/>
      <c r="B2445" s="10"/>
      <c r="C2445" s="10"/>
      <c r="D2445" s="10"/>
      <c r="E2445" s="10"/>
      <c r="F2445" s="10"/>
      <c r="G2445" s="10"/>
      <c r="H2445" s="17"/>
      <c r="I2445" s="10"/>
      <c r="J2445" s="10"/>
      <c r="K2445" s="16" t="str">
        <f t="shared" ref="K2445:K2508" si="840">IF($AF2445&lt;&gt;"",$AF2445,IF(AND($A2445&lt;&gt;"",$E2445&gt;0),SUM($O2445:$Q2445),""))</f>
        <v/>
      </c>
      <c r="L2445" s="23" t="str">
        <f t="shared" ref="L2445:L2508" si="841">IF($AG2445&lt;&gt;"",$AG2445,IF(AND($A2445&lt;&gt;"",$E2445&gt;0),SUM($R2445:$V2445),""))</f>
        <v/>
      </c>
      <c r="M2445" s="22" t="str">
        <f t="shared" ref="M2445:M2508" si="842">IF($AH2445&lt;&gt;"",$AH2445,IF(AND($A2445&lt;&gt;"",$E2445&gt;0),SUM($W2445:$AE2445)+$AO2445+$AP2445,""))</f>
        <v/>
      </c>
      <c r="N2445" s="72"/>
      <c r="O2445" s="16" t="str">
        <f t="shared" ref="O2445:O2508" si="843">IF(AND($A2445&lt;&gt;"",$E2445&gt;0),IF(AND($J2445="SONY",200000&lt;=$E2445,$E2445&lt;1000000),5000*$D2445,0),"")</f>
        <v/>
      </c>
      <c r="P2445" s="16" t="str">
        <f t="shared" ref="P2445:P2508" si="844">IF(AND($A2445&lt;&gt;"",$E2445&gt;0),IF(AND($J2445="SONY",1000000&lt;=$E2445,$E2445&lt;2000000),10000*$D2445,0),"")</f>
        <v/>
      </c>
      <c r="Q2445" s="16" t="str">
        <f t="shared" ref="Q2445:Q2508" si="845">IF(AND($A2445&lt;&gt;"",$E2445&gt;0),IF(AND($J2445="SONY",$E2445&gt;=2000000),20000*$D2445,0),"")</f>
        <v/>
      </c>
      <c r="R2445" s="23" t="str">
        <f t="shared" ref="R2445:R2508" si="846">IF(AND($A2445&lt;&gt;"",$E2445&gt;0),IF(AND($J2445&lt;&gt;"SONY",100000&lt;=$E2445,$E2445&lt;200000),5000*$D2445,0),"")</f>
        <v/>
      </c>
      <c r="S2445" s="23" t="str">
        <f t="shared" ref="S2445:S2508" si="847">IF(AND($A2445&lt;&gt;"",$E2445&gt;0),IF(AND($J2445&lt;&gt;"SONY",200000&lt;=$E2445,$E2445&lt;500000),10000*$D2445,0),"")</f>
        <v/>
      </c>
      <c r="T2445" s="23" t="str">
        <f t="shared" ref="T2445:T2508" si="848">IF(AND($A2445&lt;&gt;"",$E2445&gt;0),IF(AND($J2445&lt;&gt;"SONY",500000&lt;=$E2445,$E2445&lt;1000000),20000*$D2445,0),"")</f>
        <v/>
      </c>
      <c r="U2445" s="23" t="str">
        <f t="shared" ref="U2445:U2508" si="849">IF(AND($A2445&lt;&gt;"",$E2445&gt;0),IF(AND($J2445&lt;&gt;"SONY",1000000&lt;=$E2445,$E2445&lt;1500000),50000*$D2445,0),"")</f>
        <v/>
      </c>
      <c r="V2445" s="23" t="str">
        <f t="shared" ref="V2445:V2508" si="850">IF(AND($A2445&lt;&gt;"",$E2445&gt;0),IF(AND($J2445&lt;&gt;"SONY",1500000&lt;=$E2445),100000*$D2445,0),"")</f>
        <v/>
      </c>
      <c r="W2445" s="70" t="str">
        <f t="shared" ref="W2445:W2508" si="851">IF(AND($E2445&gt;0,$J2445="ELECOM",$E2445&gt;=500000,ISNUMBER(SEARCH("tai nghe",$C2445))),20000*$D2445,IF($A2445&lt;&gt;"",0,""))</f>
        <v/>
      </c>
      <c r="X2445" s="70" t="str">
        <f t="shared" ref="X2445:X2508" si="852">IF(AND($E2445&gt;0,$J2445="ELECOM",ISNUMBER(SEARCH("loa",$C2445))),20000*$D2445,IF($A2445&lt;&gt;"",0,""))</f>
        <v/>
      </c>
      <c r="Y2445" s="70" t="str">
        <f>IF(AND($A2445&lt;&gt;"",$E2445&gt;0),isLaptopBag($C2445,$J2445)*$D2445,"")</f>
        <v/>
      </c>
      <c r="Z2445" s="70" t="str">
        <f t="shared" ref="Z2445:Z2508" si="853">IF(AND($E2445&gt;0,$J2445="ELECOM",ISNUMBER(SEARCH("ốp",$C2445))),20000*$D2445,IF($A2445&lt;&gt;"",0,""))</f>
        <v/>
      </c>
      <c r="AA2445" s="70" t="str">
        <f t="shared" ref="AA2445:AA2508" si="854">IF(AND($E2445&gt;0,$J2445="ELECOM",ISNUMBER(SEARCH("Bút",$C2445))),20000*$D2445,IF($A2445&lt;&gt;"",0,""))</f>
        <v/>
      </c>
      <c r="AB2445" s="70" t="str">
        <f t="shared" ref="AB2445:AB2508" si="855">IF(AND($E2445&gt;0,$J2445="ELECOM",ISNUMBER(SEARCH("Chuột bi",$C2445))),20000*$D2445,IF($A2445&lt;&gt;"",0,""))</f>
        <v/>
      </c>
      <c r="AC2445" s="70" t="str">
        <f t="shared" ref="AC2445:AC2508" si="856">IF(AND($E2445&gt;0,$J2445="ELECOM",ISNUMBER(SEARCH("Chuột trackball",$C2445))),20000*$D2445,IF($A2445&lt;&gt;"",0,""))</f>
        <v/>
      </c>
      <c r="AD2445" s="70" t="str">
        <f t="shared" ref="AD2445:AD2508" si="857">IF(AND($E2445&gt;0,$J2445="ELECOM",ISNUMBER(SEARCH("Sạc không dây",$C2445))),20000*$D2445,IF($A2445&lt;&gt;"",0,""))</f>
        <v/>
      </c>
      <c r="AE2445" s="70" t="str">
        <f t="shared" ref="AE2445:AE2508" si="858">IF(AND($E2445&gt;0,$J2445="ELECOM",ISNUMBER(SEARCH("Sạc kd",$C2445))),20000*$D2445,IF($A2445&lt;&gt;"",0,""))</f>
        <v/>
      </c>
      <c r="AF2445" s="16"/>
      <c r="AG2445" s="23"/>
      <c r="AH2445" s="22"/>
      <c r="AJ2445" s="83">
        <f t="shared" ref="AJ2445:AJ2508" si="859">DAY(H2445)</f>
        <v>0</v>
      </c>
      <c r="AO2445" s="22" t="str">
        <f t="shared" ref="AO2445:AO2508" si="860">IF(AND($E2445&gt;0,ISNUMBER(SEARCH("Sạc dự phòng Energizer",$C2445))),10000*$D2445,IF($A2445&lt;&gt;"",0,""))</f>
        <v/>
      </c>
      <c r="AP2445" s="22" t="str">
        <f t="shared" ref="AP2445:AP2508" si="861">IF(AND($E2445&gt;0,ISNUMBER(SEARCH("SDP Energizer",$C2445))),10000*$D2445,IF($A2445&lt;&gt;"",0,""))</f>
        <v/>
      </c>
    </row>
    <row r="2446" spans="1:42" x14ac:dyDescent="0.25">
      <c r="A2446" s="10"/>
      <c r="B2446" s="10"/>
      <c r="C2446" s="10"/>
      <c r="D2446" s="10"/>
      <c r="E2446" s="10"/>
      <c r="F2446" s="10"/>
      <c r="G2446" s="10"/>
      <c r="H2446" s="17"/>
      <c r="I2446" s="10"/>
      <c r="J2446" s="10"/>
      <c r="K2446" s="16" t="str">
        <f t="shared" si="840"/>
        <v/>
      </c>
      <c r="L2446" s="23" t="str">
        <f t="shared" si="841"/>
        <v/>
      </c>
      <c r="M2446" s="22" t="str">
        <f t="shared" si="842"/>
        <v/>
      </c>
      <c r="N2446" s="72"/>
      <c r="O2446" s="16" t="str">
        <f t="shared" si="843"/>
        <v/>
      </c>
      <c r="P2446" s="16" t="str">
        <f t="shared" si="844"/>
        <v/>
      </c>
      <c r="Q2446" s="16" t="str">
        <f t="shared" si="845"/>
        <v/>
      </c>
      <c r="R2446" s="23" t="str">
        <f t="shared" si="846"/>
        <v/>
      </c>
      <c r="S2446" s="23" t="str">
        <f t="shared" si="847"/>
        <v/>
      </c>
      <c r="T2446" s="23" t="str">
        <f t="shared" si="848"/>
        <v/>
      </c>
      <c r="U2446" s="23" t="str">
        <f t="shared" si="849"/>
        <v/>
      </c>
      <c r="V2446" s="23" t="str">
        <f t="shared" si="850"/>
        <v/>
      </c>
      <c r="W2446" s="70" t="str">
        <f t="shared" si="851"/>
        <v/>
      </c>
      <c r="X2446" s="70" t="str">
        <f t="shared" si="852"/>
        <v/>
      </c>
      <c r="Y2446" s="70" t="str">
        <f>IF(AND($A2446&lt;&gt;"",$E2446&gt;0),isLaptopBag($C2446,$J2446)*$D2446,"")</f>
        <v/>
      </c>
      <c r="Z2446" s="70" t="str">
        <f t="shared" si="853"/>
        <v/>
      </c>
      <c r="AA2446" s="70" t="str">
        <f t="shared" si="854"/>
        <v/>
      </c>
      <c r="AB2446" s="70" t="str">
        <f t="shared" si="855"/>
        <v/>
      </c>
      <c r="AC2446" s="70" t="str">
        <f t="shared" si="856"/>
        <v/>
      </c>
      <c r="AD2446" s="70" t="str">
        <f t="shared" si="857"/>
        <v/>
      </c>
      <c r="AE2446" s="70" t="str">
        <f t="shared" si="858"/>
        <v/>
      </c>
      <c r="AF2446" s="16"/>
      <c r="AG2446" s="23"/>
      <c r="AH2446" s="22"/>
      <c r="AJ2446" s="83">
        <f t="shared" si="859"/>
        <v>0</v>
      </c>
      <c r="AO2446" s="22" t="str">
        <f t="shared" si="860"/>
        <v/>
      </c>
      <c r="AP2446" s="22" t="str">
        <f t="shared" si="861"/>
        <v/>
      </c>
    </row>
    <row r="2447" spans="1:42" x14ac:dyDescent="0.25">
      <c r="A2447" s="10"/>
      <c r="B2447" s="10"/>
      <c r="C2447" s="10"/>
      <c r="D2447" s="10"/>
      <c r="E2447" s="10"/>
      <c r="F2447" s="10"/>
      <c r="G2447" s="10"/>
      <c r="H2447" s="17"/>
      <c r="I2447" s="10"/>
      <c r="J2447" s="10"/>
      <c r="K2447" s="16" t="str">
        <f t="shared" si="840"/>
        <v/>
      </c>
      <c r="L2447" s="23" t="str">
        <f t="shared" si="841"/>
        <v/>
      </c>
      <c r="M2447" s="22" t="str">
        <f t="shared" si="842"/>
        <v/>
      </c>
      <c r="N2447" s="72"/>
      <c r="O2447" s="16" t="str">
        <f t="shared" si="843"/>
        <v/>
      </c>
      <c r="P2447" s="16" t="str">
        <f t="shared" si="844"/>
        <v/>
      </c>
      <c r="Q2447" s="16" t="str">
        <f t="shared" si="845"/>
        <v/>
      </c>
      <c r="R2447" s="23" t="str">
        <f t="shared" si="846"/>
        <v/>
      </c>
      <c r="S2447" s="23" t="str">
        <f t="shared" si="847"/>
        <v/>
      </c>
      <c r="T2447" s="23" t="str">
        <f t="shared" si="848"/>
        <v/>
      </c>
      <c r="U2447" s="23" t="str">
        <f t="shared" si="849"/>
        <v/>
      </c>
      <c r="V2447" s="23" t="str">
        <f t="shared" si="850"/>
        <v/>
      </c>
      <c r="W2447" s="70" t="str">
        <f t="shared" si="851"/>
        <v/>
      </c>
      <c r="X2447" s="70" t="str">
        <f t="shared" si="852"/>
        <v/>
      </c>
      <c r="Y2447" s="70" t="str">
        <f>IF(AND($A2447&lt;&gt;"",$E2447&gt;0),isLaptopBag($C2447,$J2447)*$D2447,"")</f>
        <v/>
      </c>
      <c r="Z2447" s="70" t="str">
        <f t="shared" si="853"/>
        <v/>
      </c>
      <c r="AA2447" s="70" t="str">
        <f t="shared" si="854"/>
        <v/>
      </c>
      <c r="AB2447" s="70" t="str">
        <f t="shared" si="855"/>
        <v/>
      </c>
      <c r="AC2447" s="70" t="str">
        <f t="shared" si="856"/>
        <v/>
      </c>
      <c r="AD2447" s="70" t="str">
        <f t="shared" si="857"/>
        <v/>
      </c>
      <c r="AE2447" s="70" t="str">
        <f t="shared" si="858"/>
        <v/>
      </c>
      <c r="AF2447" s="16"/>
      <c r="AG2447" s="23"/>
      <c r="AH2447" s="22"/>
      <c r="AJ2447" s="83">
        <f t="shared" si="859"/>
        <v>0</v>
      </c>
      <c r="AO2447" s="22" t="str">
        <f t="shared" si="860"/>
        <v/>
      </c>
      <c r="AP2447" s="22" t="str">
        <f t="shared" si="861"/>
        <v/>
      </c>
    </row>
    <row r="2448" spans="1:42" x14ac:dyDescent="0.25">
      <c r="A2448" s="10"/>
      <c r="B2448" s="10"/>
      <c r="C2448" s="10"/>
      <c r="D2448" s="10"/>
      <c r="E2448" s="10"/>
      <c r="F2448" s="10"/>
      <c r="G2448" s="10"/>
      <c r="H2448" s="17"/>
      <c r="I2448" s="10"/>
      <c r="J2448" s="10"/>
      <c r="K2448" s="16" t="str">
        <f t="shared" si="840"/>
        <v/>
      </c>
      <c r="L2448" s="23" t="str">
        <f t="shared" si="841"/>
        <v/>
      </c>
      <c r="M2448" s="22" t="str">
        <f t="shared" si="842"/>
        <v/>
      </c>
      <c r="N2448" s="72"/>
      <c r="O2448" s="16" t="str">
        <f t="shared" si="843"/>
        <v/>
      </c>
      <c r="P2448" s="16" t="str">
        <f t="shared" si="844"/>
        <v/>
      </c>
      <c r="Q2448" s="16" t="str">
        <f t="shared" si="845"/>
        <v/>
      </c>
      <c r="R2448" s="23" t="str">
        <f t="shared" si="846"/>
        <v/>
      </c>
      <c r="S2448" s="23" t="str">
        <f t="shared" si="847"/>
        <v/>
      </c>
      <c r="T2448" s="23" t="str">
        <f t="shared" si="848"/>
        <v/>
      </c>
      <c r="U2448" s="23" t="str">
        <f t="shared" si="849"/>
        <v/>
      </c>
      <c r="V2448" s="23" t="str">
        <f t="shared" si="850"/>
        <v/>
      </c>
      <c r="W2448" s="70" t="str">
        <f t="shared" si="851"/>
        <v/>
      </c>
      <c r="X2448" s="70" t="str">
        <f t="shared" si="852"/>
        <v/>
      </c>
      <c r="Y2448" s="70" t="str">
        <f>IF(AND($A2448&lt;&gt;"",$E2448&gt;0),isLaptopBag($C2448,$J2448)*$D2448,"")</f>
        <v/>
      </c>
      <c r="Z2448" s="70" t="str">
        <f t="shared" si="853"/>
        <v/>
      </c>
      <c r="AA2448" s="70" t="str">
        <f t="shared" si="854"/>
        <v/>
      </c>
      <c r="AB2448" s="70" t="str">
        <f t="shared" si="855"/>
        <v/>
      </c>
      <c r="AC2448" s="70" t="str">
        <f t="shared" si="856"/>
        <v/>
      </c>
      <c r="AD2448" s="70" t="str">
        <f t="shared" si="857"/>
        <v/>
      </c>
      <c r="AE2448" s="70" t="str">
        <f t="shared" si="858"/>
        <v/>
      </c>
      <c r="AF2448" s="16"/>
      <c r="AG2448" s="23"/>
      <c r="AH2448" s="22"/>
      <c r="AJ2448" s="83">
        <f t="shared" si="859"/>
        <v>0</v>
      </c>
      <c r="AO2448" s="22" t="str">
        <f t="shared" si="860"/>
        <v/>
      </c>
      <c r="AP2448" s="22" t="str">
        <f t="shared" si="861"/>
        <v/>
      </c>
    </row>
    <row r="2449" spans="1:42" x14ac:dyDescent="0.25">
      <c r="A2449" s="10"/>
      <c r="B2449" s="10"/>
      <c r="C2449" s="10"/>
      <c r="D2449" s="10"/>
      <c r="E2449" s="10"/>
      <c r="F2449" s="10"/>
      <c r="G2449" s="10"/>
      <c r="H2449" s="17"/>
      <c r="I2449" s="10"/>
      <c r="J2449" s="10"/>
      <c r="K2449" s="16" t="str">
        <f t="shared" si="840"/>
        <v/>
      </c>
      <c r="L2449" s="23" t="str">
        <f t="shared" si="841"/>
        <v/>
      </c>
      <c r="M2449" s="22" t="str">
        <f t="shared" si="842"/>
        <v/>
      </c>
      <c r="N2449" s="72"/>
      <c r="O2449" s="16" t="str">
        <f t="shared" si="843"/>
        <v/>
      </c>
      <c r="P2449" s="16" t="str">
        <f t="shared" si="844"/>
        <v/>
      </c>
      <c r="Q2449" s="16" t="str">
        <f t="shared" si="845"/>
        <v/>
      </c>
      <c r="R2449" s="23" t="str">
        <f t="shared" si="846"/>
        <v/>
      </c>
      <c r="S2449" s="23" t="str">
        <f t="shared" si="847"/>
        <v/>
      </c>
      <c r="T2449" s="23" t="str">
        <f t="shared" si="848"/>
        <v/>
      </c>
      <c r="U2449" s="23" t="str">
        <f t="shared" si="849"/>
        <v/>
      </c>
      <c r="V2449" s="23" t="str">
        <f t="shared" si="850"/>
        <v/>
      </c>
      <c r="W2449" s="70" t="str">
        <f t="shared" si="851"/>
        <v/>
      </c>
      <c r="X2449" s="70" t="str">
        <f t="shared" si="852"/>
        <v/>
      </c>
      <c r="Y2449" s="70" t="str">
        <f>IF(AND($A2449&lt;&gt;"",$E2449&gt;0),isLaptopBag($C2449,$J2449)*$D2449,"")</f>
        <v/>
      </c>
      <c r="Z2449" s="70" t="str">
        <f t="shared" si="853"/>
        <v/>
      </c>
      <c r="AA2449" s="70" t="str">
        <f t="shared" si="854"/>
        <v/>
      </c>
      <c r="AB2449" s="70" t="str">
        <f t="shared" si="855"/>
        <v/>
      </c>
      <c r="AC2449" s="70" t="str">
        <f t="shared" si="856"/>
        <v/>
      </c>
      <c r="AD2449" s="70" t="str">
        <f t="shared" si="857"/>
        <v/>
      </c>
      <c r="AE2449" s="70" t="str">
        <f t="shared" si="858"/>
        <v/>
      </c>
      <c r="AF2449" s="16"/>
      <c r="AG2449" s="23"/>
      <c r="AH2449" s="22"/>
      <c r="AJ2449" s="83">
        <f t="shared" si="859"/>
        <v>0</v>
      </c>
      <c r="AO2449" s="22" t="str">
        <f t="shared" si="860"/>
        <v/>
      </c>
      <c r="AP2449" s="22" t="str">
        <f t="shared" si="861"/>
        <v/>
      </c>
    </row>
    <row r="2450" spans="1:42" x14ac:dyDescent="0.25">
      <c r="A2450" s="10"/>
      <c r="B2450" s="10"/>
      <c r="C2450" s="10"/>
      <c r="D2450" s="10"/>
      <c r="E2450" s="10"/>
      <c r="F2450" s="10"/>
      <c r="G2450" s="10"/>
      <c r="H2450" s="17"/>
      <c r="I2450" s="10"/>
      <c r="J2450" s="10"/>
      <c r="K2450" s="16" t="str">
        <f t="shared" si="840"/>
        <v/>
      </c>
      <c r="L2450" s="23" t="str">
        <f t="shared" si="841"/>
        <v/>
      </c>
      <c r="M2450" s="22" t="str">
        <f t="shared" si="842"/>
        <v/>
      </c>
      <c r="N2450" s="72"/>
      <c r="O2450" s="16" t="str">
        <f t="shared" si="843"/>
        <v/>
      </c>
      <c r="P2450" s="16" t="str">
        <f t="shared" si="844"/>
        <v/>
      </c>
      <c r="Q2450" s="16" t="str">
        <f t="shared" si="845"/>
        <v/>
      </c>
      <c r="R2450" s="23" t="str">
        <f t="shared" si="846"/>
        <v/>
      </c>
      <c r="S2450" s="23" t="str">
        <f t="shared" si="847"/>
        <v/>
      </c>
      <c r="T2450" s="23" t="str">
        <f t="shared" si="848"/>
        <v/>
      </c>
      <c r="U2450" s="23" t="str">
        <f t="shared" si="849"/>
        <v/>
      </c>
      <c r="V2450" s="23" t="str">
        <f t="shared" si="850"/>
        <v/>
      </c>
      <c r="W2450" s="70" t="str">
        <f t="shared" si="851"/>
        <v/>
      </c>
      <c r="X2450" s="70" t="str">
        <f t="shared" si="852"/>
        <v/>
      </c>
      <c r="Y2450" s="70" t="str">
        <f>IF(AND($A2450&lt;&gt;"",$E2450&gt;0),isLaptopBag($C2450,$J2450)*$D2450,"")</f>
        <v/>
      </c>
      <c r="Z2450" s="70" t="str">
        <f t="shared" si="853"/>
        <v/>
      </c>
      <c r="AA2450" s="70" t="str">
        <f t="shared" si="854"/>
        <v/>
      </c>
      <c r="AB2450" s="70" t="str">
        <f t="shared" si="855"/>
        <v/>
      </c>
      <c r="AC2450" s="70" t="str">
        <f t="shared" si="856"/>
        <v/>
      </c>
      <c r="AD2450" s="70" t="str">
        <f t="shared" si="857"/>
        <v/>
      </c>
      <c r="AE2450" s="70" t="str">
        <f t="shared" si="858"/>
        <v/>
      </c>
      <c r="AF2450" s="16"/>
      <c r="AG2450" s="23"/>
      <c r="AH2450" s="22"/>
      <c r="AJ2450" s="83">
        <f t="shared" si="859"/>
        <v>0</v>
      </c>
      <c r="AO2450" s="22" t="str">
        <f t="shared" si="860"/>
        <v/>
      </c>
      <c r="AP2450" s="22" t="str">
        <f t="shared" si="861"/>
        <v/>
      </c>
    </row>
    <row r="2451" spans="1:42" x14ac:dyDescent="0.25">
      <c r="A2451" s="10"/>
      <c r="B2451" s="10"/>
      <c r="C2451" s="10"/>
      <c r="D2451" s="10"/>
      <c r="E2451" s="10"/>
      <c r="F2451" s="10"/>
      <c r="G2451" s="10"/>
      <c r="H2451" s="17"/>
      <c r="I2451" s="10"/>
      <c r="J2451" s="10"/>
      <c r="K2451" s="16" t="str">
        <f t="shared" si="840"/>
        <v/>
      </c>
      <c r="L2451" s="23" t="str">
        <f t="shared" si="841"/>
        <v/>
      </c>
      <c r="M2451" s="22" t="str">
        <f t="shared" si="842"/>
        <v/>
      </c>
      <c r="N2451" s="72"/>
      <c r="O2451" s="16" t="str">
        <f t="shared" si="843"/>
        <v/>
      </c>
      <c r="P2451" s="16" t="str">
        <f t="shared" si="844"/>
        <v/>
      </c>
      <c r="Q2451" s="16" t="str">
        <f t="shared" si="845"/>
        <v/>
      </c>
      <c r="R2451" s="23" t="str">
        <f t="shared" si="846"/>
        <v/>
      </c>
      <c r="S2451" s="23" t="str">
        <f t="shared" si="847"/>
        <v/>
      </c>
      <c r="T2451" s="23" t="str">
        <f t="shared" si="848"/>
        <v/>
      </c>
      <c r="U2451" s="23" t="str">
        <f t="shared" si="849"/>
        <v/>
      </c>
      <c r="V2451" s="23" t="str">
        <f t="shared" si="850"/>
        <v/>
      </c>
      <c r="W2451" s="70" t="str">
        <f t="shared" si="851"/>
        <v/>
      </c>
      <c r="X2451" s="70" t="str">
        <f t="shared" si="852"/>
        <v/>
      </c>
      <c r="Y2451" s="70" t="str">
        <f>IF(AND($A2451&lt;&gt;"",$E2451&gt;0),isLaptopBag($C2451,$J2451)*$D2451,"")</f>
        <v/>
      </c>
      <c r="Z2451" s="70" t="str">
        <f t="shared" si="853"/>
        <v/>
      </c>
      <c r="AA2451" s="70" t="str">
        <f t="shared" si="854"/>
        <v/>
      </c>
      <c r="AB2451" s="70" t="str">
        <f t="shared" si="855"/>
        <v/>
      </c>
      <c r="AC2451" s="70" t="str">
        <f t="shared" si="856"/>
        <v/>
      </c>
      <c r="AD2451" s="70" t="str">
        <f t="shared" si="857"/>
        <v/>
      </c>
      <c r="AE2451" s="70" t="str">
        <f t="shared" si="858"/>
        <v/>
      </c>
      <c r="AF2451" s="16"/>
      <c r="AG2451" s="23"/>
      <c r="AH2451" s="22"/>
      <c r="AJ2451" s="83">
        <f t="shared" si="859"/>
        <v>0</v>
      </c>
      <c r="AO2451" s="22" t="str">
        <f t="shared" si="860"/>
        <v/>
      </c>
      <c r="AP2451" s="22" t="str">
        <f t="shared" si="861"/>
        <v/>
      </c>
    </row>
    <row r="2452" spans="1:42" x14ac:dyDescent="0.25">
      <c r="A2452" s="10"/>
      <c r="B2452" s="10"/>
      <c r="C2452" s="10"/>
      <c r="D2452" s="10"/>
      <c r="E2452" s="10"/>
      <c r="F2452" s="10"/>
      <c r="G2452" s="10"/>
      <c r="H2452" s="17"/>
      <c r="I2452" s="10"/>
      <c r="J2452" s="10"/>
      <c r="K2452" s="16" t="str">
        <f t="shared" si="840"/>
        <v/>
      </c>
      <c r="L2452" s="23" t="str">
        <f t="shared" si="841"/>
        <v/>
      </c>
      <c r="M2452" s="22" t="str">
        <f t="shared" si="842"/>
        <v/>
      </c>
      <c r="N2452" s="72"/>
      <c r="O2452" s="16" t="str">
        <f t="shared" si="843"/>
        <v/>
      </c>
      <c r="P2452" s="16" t="str">
        <f t="shared" si="844"/>
        <v/>
      </c>
      <c r="Q2452" s="16" t="str">
        <f t="shared" si="845"/>
        <v/>
      </c>
      <c r="R2452" s="23" t="str">
        <f t="shared" si="846"/>
        <v/>
      </c>
      <c r="S2452" s="23" t="str">
        <f t="shared" si="847"/>
        <v/>
      </c>
      <c r="T2452" s="23" t="str">
        <f t="shared" si="848"/>
        <v/>
      </c>
      <c r="U2452" s="23" t="str">
        <f t="shared" si="849"/>
        <v/>
      </c>
      <c r="V2452" s="23" t="str">
        <f t="shared" si="850"/>
        <v/>
      </c>
      <c r="W2452" s="70" t="str">
        <f t="shared" si="851"/>
        <v/>
      </c>
      <c r="X2452" s="70" t="str">
        <f t="shared" si="852"/>
        <v/>
      </c>
      <c r="Y2452" s="70" t="str">
        <f>IF(AND($A2452&lt;&gt;"",$E2452&gt;0),isLaptopBag($C2452,$J2452)*$D2452,"")</f>
        <v/>
      </c>
      <c r="Z2452" s="70" t="str">
        <f t="shared" si="853"/>
        <v/>
      </c>
      <c r="AA2452" s="70" t="str">
        <f t="shared" si="854"/>
        <v/>
      </c>
      <c r="AB2452" s="70" t="str">
        <f t="shared" si="855"/>
        <v/>
      </c>
      <c r="AC2452" s="70" t="str">
        <f t="shared" si="856"/>
        <v/>
      </c>
      <c r="AD2452" s="70" t="str">
        <f t="shared" si="857"/>
        <v/>
      </c>
      <c r="AE2452" s="70" t="str">
        <f t="shared" si="858"/>
        <v/>
      </c>
      <c r="AF2452" s="16"/>
      <c r="AG2452" s="23"/>
      <c r="AH2452" s="22"/>
      <c r="AJ2452" s="83">
        <f t="shared" si="859"/>
        <v>0</v>
      </c>
      <c r="AO2452" s="22" t="str">
        <f t="shared" si="860"/>
        <v/>
      </c>
      <c r="AP2452" s="22" t="str">
        <f t="shared" si="861"/>
        <v/>
      </c>
    </row>
    <row r="2453" spans="1:42" x14ac:dyDescent="0.25">
      <c r="A2453" s="10"/>
      <c r="B2453" s="10"/>
      <c r="C2453" s="10"/>
      <c r="D2453" s="10"/>
      <c r="E2453" s="10"/>
      <c r="F2453" s="10"/>
      <c r="G2453" s="10"/>
      <c r="H2453" s="17"/>
      <c r="I2453" s="10"/>
      <c r="J2453" s="10"/>
      <c r="K2453" s="16" t="str">
        <f t="shared" si="840"/>
        <v/>
      </c>
      <c r="L2453" s="23" t="str">
        <f t="shared" si="841"/>
        <v/>
      </c>
      <c r="M2453" s="22" t="str">
        <f t="shared" si="842"/>
        <v/>
      </c>
      <c r="N2453" s="72"/>
      <c r="O2453" s="16" t="str">
        <f t="shared" si="843"/>
        <v/>
      </c>
      <c r="P2453" s="16" t="str">
        <f t="shared" si="844"/>
        <v/>
      </c>
      <c r="Q2453" s="16" t="str">
        <f t="shared" si="845"/>
        <v/>
      </c>
      <c r="R2453" s="23" t="str">
        <f t="shared" si="846"/>
        <v/>
      </c>
      <c r="S2453" s="23" t="str">
        <f t="shared" si="847"/>
        <v/>
      </c>
      <c r="T2453" s="23" t="str">
        <f t="shared" si="848"/>
        <v/>
      </c>
      <c r="U2453" s="23" t="str">
        <f t="shared" si="849"/>
        <v/>
      </c>
      <c r="V2453" s="23" t="str">
        <f t="shared" si="850"/>
        <v/>
      </c>
      <c r="W2453" s="70" t="str">
        <f t="shared" si="851"/>
        <v/>
      </c>
      <c r="X2453" s="70" t="str">
        <f t="shared" si="852"/>
        <v/>
      </c>
      <c r="Y2453" s="70" t="str">
        <f>IF(AND($A2453&lt;&gt;"",$E2453&gt;0),isLaptopBag($C2453,$J2453)*$D2453,"")</f>
        <v/>
      </c>
      <c r="Z2453" s="70" t="str">
        <f t="shared" si="853"/>
        <v/>
      </c>
      <c r="AA2453" s="70" t="str">
        <f t="shared" si="854"/>
        <v/>
      </c>
      <c r="AB2453" s="70" t="str">
        <f t="shared" si="855"/>
        <v/>
      </c>
      <c r="AC2453" s="70" t="str">
        <f t="shared" si="856"/>
        <v/>
      </c>
      <c r="AD2453" s="70" t="str">
        <f t="shared" si="857"/>
        <v/>
      </c>
      <c r="AE2453" s="70" t="str">
        <f t="shared" si="858"/>
        <v/>
      </c>
      <c r="AF2453" s="16"/>
      <c r="AG2453" s="23"/>
      <c r="AH2453" s="22"/>
      <c r="AJ2453" s="83">
        <f t="shared" si="859"/>
        <v>0</v>
      </c>
      <c r="AO2453" s="22" t="str">
        <f t="shared" si="860"/>
        <v/>
      </c>
      <c r="AP2453" s="22" t="str">
        <f t="shared" si="861"/>
        <v/>
      </c>
    </row>
    <row r="2454" spans="1:42" x14ac:dyDescent="0.25">
      <c r="A2454" s="10"/>
      <c r="B2454" s="10"/>
      <c r="C2454" s="10"/>
      <c r="D2454" s="10"/>
      <c r="E2454" s="10"/>
      <c r="F2454" s="10"/>
      <c r="G2454" s="10"/>
      <c r="H2454" s="17"/>
      <c r="I2454" s="10"/>
      <c r="J2454" s="10"/>
      <c r="K2454" s="16" t="str">
        <f t="shared" si="840"/>
        <v/>
      </c>
      <c r="L2454" s="23" t="str">
        <f t="shared" si="841"/>
        <v/>
      </c>
      <c r="M2454" s="22" t="str">
        <f t="shared" si="842"/>
        <v/>
      </c>
      <c r="N2454" s="72"/>
      <c r="O2454" s="16" t="str">
        <f t="shared" si="843"/>
        <v/>
      </c>
      <c r="P2454" s="16" t="str">
        <f t="shared" si="844"/>
        <v/>
      </c>
      <c r="Q2454" s="16" t="str">
        <f t="shared" si="845"/>
        <v/>
      </c>
      <c r="R2454" s="23" t="str">
        <f t="shared" si="846"/>
        <v/>
      </c>
      <c r="S2454" s="23" t="str">
        <f t="shared" si="847"/>
        <v/>
      </c>
      <c r="T2454" s="23" t="str">
        <f t="shared" si="848"/>
        <v/>
      </c>
      <c r="U2454" s="23" t="str">
        <f t="shared" si="849"/>
        <v/>
      </c>
      <c r="V2454" s="23" t="str">
        <f t="shared" si="850"/>
        <v/>
      </c>
      <c r="W2454" s="70" t="str">
        <f t="shared" si="851"/>
        <v/>
      </c>
      <c r="X2454" s="70" t="str">
        <f t="shared" si="852"/>
        <v/>
      </c>
      <c r="Y2454" s="70" t="str">
        <f>IF(AND($A2454&lt;&gt;"",$E2454&gt;0),isLaptopBag($C2454,$J2454)*$D2454,"")</f>
        <v/>
      </c>
      <c r="Z2454" s="70" t="str">
        <f t="shared" si="853"/>
        <v/>
      </c>
      <c r="AA2454" s="70" t="str">
        <f t="shared" si="854"/>
        <v/>
      </c>
      <c r="AB2454" s="70" t="str">
        <f t="shared" si="855"/>
        <v/>
      </c>
      <c r="AC2454" s="70" t="str">
        <f t="shared" si="856"/>
        <v/>
      </c>
      <c r="AD2454" s="70" t="str">
        <f t="shared" si="857"/>
        <v/>
      </c>
      <c r="AE2454" s="70" t="str">
        <f t="shared" si="858"/>
        <v/>
      </c>
      <c r="AF2454" s="16"/>
      <c r="AG2454" s="23"/>
      <c r="AH2454" s="22"/>
      <c r="AJ2454" s="83">
        <f t="shared" si="859"/>
        <v>0</v>
      </c>
      <c r="AO2454" s="22" t="str">
        <f t="shared" si="860"/>
        <v/>
      </c>
      <c r="AP2454" s="22" t="str">
        <f t="shared" si="861"/>
        <v/>
      </c>
    </row>
    <row r="2455" spans="1:42" x14ac:dyDescent="0.25">
      <c r="A2455" s="10"/>
      <c r="B2455" s="10"/>
      <c r="C2455" s="10"/>
      <c r="D2455" s="10"/>
      <c r="E2455" s="10"/>
      <c r="F2455" s="10"/>
      <c r="G2455" s="10"/>
      <c r="H2455" s="17"/>
      <c r="I2455" s="10"/>
      <c r="J2455" s="10"/>
      <c r="K2455" s="16" t="str">
        <f t="shared" si="840"/>
        <v/>
      </c>
      <c r="L2455" s="23" t="str">
        <f t="shared" si="841"/>
        <v/>
      </c>
      <c r="M2455" s="22" t="str">
        <f t="shared" si="842"/>
        <v/>
      </c>
      <c r="N2455" s="72"/>
      <c r="O2455" s="16" t="str">
        <f t="shared" si="843"/>
        <v/>
      </c>
      <c r="P2455" s="16" t="str">
        <f t="shared" si="844"/>
        <v/>
      </c>
      <c r="Q2455" s="16" t="str">
        <f t="shared" si="845"/>
        <v/>
      </c>
      <c r="R2455" s="23" t="str">
        <f t="shared" si="846"/>
        <v/>
      </c>
      <c r="S2455" s="23" t="str">
        <f t="shared" si="847"/>
        <v/>
      </c>
      <c r="T2455" s="23" t="str">
        <f t="shared" si="848"/>
        <v/>
      </c>
      <c r="U2455" s="23" t="str">
        <f t="shared" si="849"/>
        <v/>
      </c>
      <c r="V2455" s="23" t="str">
        <f t="shared" si="850"/>
        <v/>
      </c>
      <c r="W2455" s="70" t="str">
        <f t="shared" si="851"/>
        <v/>
      </c>
      <c r="X2455" s="70" t="str">
        <f t="shared" si="852"/>
        <v/>
      </c>
      <c r="Y2455" s="70" t="str">
        <f>IF(AND($A2455&lt;&gt;"",$E2455&gt;0),isLaptopBag($C2455,$J2455)*$D2455,"")</f>
        <v/>
      </c>
      <c r="Z2455" s="70" t="str">
        <f t="shared" si="853"/>
        <v/>
      </c>
      <c r="AA2455" s="70" t="str">
        <f t="shared" si="854"/>
        <v/>
      </c>
      <c r="AB2455" s="70" t="str">
        <f t="shared" si="855"/>
        <v/>
      </c>
      <c r="AC2455" s="70" t="str">
        <f t="shared" si="856"/>
        <v/>
      </c>
      <c r="AD2455" s="70" t="str">
        <f t="shared" si="857"/>
        <v/>
      </c>
      <c r="AE2455" s="70" t="str">
        <f t="shared" si="858"/>
        <v/>
      </c>
      <c r="AF2455" s="16"/>
      <c r="AG2455" s="23"/>
      <c r="AH2455" s="22"/>
      <c r="AJ2455" s="83">
        <f t="shared" si="859"/>
        <v>0</v>
      </c>
      <c r="AO2455" s="22" t="str">
        <f t="shared" si="860"/>
        <v/>
      </c>
      <c r="AP2455" s="22" t="str">
        <f t="shared" si="861"/>
        <v/>
      </c>
    </row>
    <row r="2456" spans="1:42" x14ac:dyDescent="0.25">
      <c r="A2456" s="10"/>
      <c r="B2456" s="10"/>
      <c r="C2456" s="10"/>
      <c r="D2456" s="10"/>
      <c r="E2456" s="10"/>
      <c r="F2456" s="10"/>
      <c r="G2456" s="10"/>
      <c r="H2456" s="17"/>
      <c r="I2456" s="10"/>
      <c r="J2456" s="10"/>
      <c r="K2456" s="16" t="str">
        <f t="shared" si="840"/>
        <v/>
      </c>
      <c r="L2456" s="23" t="str">
        <f t="shared" si="841"/>
        <v/>
      </c>
      <c r="M2456" s="22" t="str">
        <f t="shared" si="842"/>
        <v/>
      </c>
      <c r="N2456" s="72"/>
      <c r="O2456" s="16" t="str">
        <f t="shared" si="843"/>
        <v/>
      </c>
      <c r="P2456" s="16" t="str">
        <f t="shared" si="844"/>
        <v/>
      </c>
      <c r="Q2456" s="16" t="str">
        <f t="shared" si="845"/>
        <v/>
      </c>
      <c r="R2456" s="23" t="str">
        <f t="shared" si="846"/>
        <v/>
      </c>
      <c r="S2456" s="23" t="str">
        <f t="shared" si="847"/>
        <v/>
      </c>
      <c r="T2456" s="23" t="str">
        <f t="shared" si="848"/>
        <v/>
      </c>
      <c r="U2456" s="23" t="str">
        <f t="shared" si="849"/>
        <v/>
      </c>
      <c r="V2456" s="23" t="str">
        <f t="shared" si="850"/>
        <v/>
      </c>
      <c r="W2456" s="70" t="str">
        <f t="shared" si="851"/>
        <v/>
      </c>
      <c r="X2456" s="70" t="str">
        <f t="shared" si="852"/>
        <v/>
      </c>
      <c r="Y2456" s="70" t="str">
        <f>IF(AND($A2456&lt;&gt;"",$E2456&gt;0),isLaptopBag($C2456,$J2456)*$D2456,"")</f>
        <v/>
      </c>
      <c r="Z2456" s="70" t="str">
        <f t="shared" si="853"/>
        <v/>
      </c>
      <c r="AA2456" s="70" t="str">
        <f t="shared" si="854"/>
        <v/>
      </c>
      <c r="AB2456" s="70" t="str">
        <f t="shared" si="855"/>
        <v/>
      </c>
      <c r="AC2456" s="70" t="str">
        <f t="shared" si="856"/>
        <v/>
      </c>
      <c r="AD2456" s="70" t="str">
        <f t="shared" si="857"/>
        <v/>
      </c>
      <c r="AE2456" s="70" t="str">
        <f t="shared" si="858"/>
        <v/>
      </c>
      <c r="AF2456" s="16"/>
      <c r="AG2456" s="23"/>
      <c r="AH2456" s="22"/>
      <c r="AJ2456" s="83">
        <f t="shared" si="859"/>
        <v>0</v>
      </c>
      <c r="AO2456" s="22" t="str">
        <f t="shared" si="860"/>
        <v/>
      </c>
      <c r="AP2456" s="22" t="str">
        <f t="shared" si="861"/>
        <v/>
      </c>
    </row>
    <row r="2457" spans="1:42" x14ac:dyDescent="0.25">
      <c r="A2457" s="10"/>
      <c r="B2457" s="10"/>
      <c r="C2457" s="10"/>
      <c r="D2457" s="10"/>
      <c r="E2457" s="10"/>
      <c r="F2457" s="10"/>
      <c r="G2457" s="10"/>
      <c r="H2457" s="17"/>
      <c r="I2457" s="10"/>
      <c r="J2457" s="10"/>
      <c r="K2457" s="16" t="str">
        <f t="shared" si="840"/>
        <v/>
      </c>
      <c r="L2457" s="23" t="str">
        <f t="shared" si="841"/>
        <v/>
      </c>
      <c r="M2457" s="22" t="str">
        <f t="shared" si="842"/>
        <v/>
      </c>
      <c r="N2457" s="72"/>
      <c r="O2457" s="16" t="str">
        <f t="shared" si="843"/>
        <v/>
      </c>
      <c r="P2457" s="16" t="str">
        <f t="shared" si="844"/>
        <v/>
      </c>
      <c r="Q2457" s="16" t="str">
        <f t="shared" si="845"/>
        <v/>
      </c>
      <c r="R2457" s="23" t="str">
        <f t="shared" si="846"/>
        <v/>
      </c>
      <c r="S2457" s="23" t="str">
        <f t="shared" si="847"/>
        <v/>
      </c>
      <c r="T2457" s="23" t="str">
        <f t="shared" si="848"/>
        <v/>
      </c>
      <c r="U2457" s="23" t="str">
        <f t="shared" si="849"/>
        <v/>
      </c>
      <c r="V2457" s="23" t="str">
        <f t="shared" si="850"/>
        <v/>
      </c>
      <c r="W2457" s="70" t="str">
        <f t="shared" si="851"/>
        <v/>
      </c>
      <c r="X2457" s="70" t="str">
        <f t="shared" si="852"/>
        <v/>
      </c>
      <c r="Y2457" s="70" t="str">
        <f>IF(AND($A2457&lt;&gt;"",$E2457&gt;0),isLaptopBag($C2457,$J2457)*$D2457,"")</f>
        <v/>
      </c>
      <c r="Z2457" s="70" t="str">
        <f t="shared" si="853"/>
        <v/>
      </c>
      <c r="AA2457" s="70" t="str">
        <f t="shared" si="854"/>
        <v/>
      </c>
      <c r="AB2457" s="70" t="str">
        <f t="shared" si="855"/>
        <v/>
      </c>
      <c r="AC2457" s="70" t="str">
        <f t="shared" si="856"/>
        <v/>
      </c>
      <c r="AD2457" s="70" t="str">
        <f t="shared" si="857"/>
        <v/>
      </c>
      <c r="AE2457" s="70" t="str">
        <f t="shared" si="858"/>
        <v/>
      </c>
      <c r="AF2457" s="16"/>
      <c r="AG2457" s="23"/>
      <c r="AH2457" s="22"/>
      <c r="AJ2457" s="83">
        <f t="shared" si="859"/>
        <v>0</v>
      </c>
      <c r="AO2457" s="22" t="str">
        <f t="shared" si="860"/>
        <v/>
      </c>
      <c r="AP2457" s="22" t="str">
        <f t="shared" si="861"/>
        <v/>
      </c>
    </row>
    <row r="2458" spans="1:42" x14ac:dyDescent="0.25">
      <c r="A2458" s="10"/>
      <c r="B2458" s="10"/>
      <c r="C2458" s="10"/>
      <c r="D2458" s="10"/>
      <c r="E2458" s="10"/>
      <c r="F2458" s="10"/>
      <c r="G2458" s="10"/>
      <c r="H2458" s="17"/>
      <c r="I2458" s="10"/>
      <c r="J2458" s="10"/>
      <c r="K2458" s="16" t="str">
        <f t="shared" si="840"/>
        <v/>
      </c>
      <c r="L2458" s="23" t="str">
        <f t="shared" si="841"/>
        <v/>
      </c>
      <c r="M2458" s="22" t="str">
        <f t="shared" si="842"/>
        <v/>
      </c>
      <c r="N2458" s="72"/>
      <c r="O2458" s="16" t="str">
        <f t="shared" si="843"/>
        <v/>
      </c>
      <c r="P2458" s="16" t="str">
        <f t="shared" si="844"/>
        <v/>
      </c>
      <c r="Q2458" s="16" t="str">
        <f t="shared" si="845"/>
        <v/>
      </c>
      <c r="R2458" s="23" t="str">
        <f t="shared" si="846"/>
        <v/>
      </c>
      <c r="S2458" s="23" t="str">
        <f t="shared" si="847"/>
        <v/>
      </c>
      <c r="T2458" s="23" t="str">
        <f t="shared" si="848"/>
        <v/>
      </c>
      <c r="U2458" s="23" t="str">
        <f t="shared" si="849"/>
        <v/>
      </c>
      <c r="V2458" s="23" t="str">
        <f t="shared" si="850"/>
        <v/>
      </c>
      <c r="W2458" s="70" t="str">
        <f t="shared" si="851"/>
        <v/>
      </c>
      <c r="X2458" s="70" t="str">
        <f t="shared" si="852"/>
        <v/>
      </c>
      <c r="Y2458" s="70" t="str">
        <f>IF(AND($A2458&lt;&gt;"",$E2458&gt;0),isLaptopBag($C2458,$J2458)*$D2458,"")</f>
        <v/>
      </c>
      <c r="Z2458" s="70" t="str">
        <f t="shared" si="853"/>
        <v/>
      </c>
      <c r="AA2458" s="70" t="str">
        <f t="shared" si="854"/>
        <v/>
      </c>
      <c r="AB2458" s="70" t="str">
        <f t="shared" si="855"/>
        <v/>
      </c>
      <c r="AC2458" s="70" t="str">
        <f t="shared" si="856"/>
        <v/>
      </c>
      <c r="AD2458" s="70" t="str">
        <f t="shared" si="857"/>
        <v/>
      </c>
      <c r="AE2458" s="70" t="str">
        <f t="shared" si="858"/>
        <v/>
      </c>
      <c r="AF2458" s="16"/>
      <c r="AG2458" s="23"/>
      <c r="AH2458" s="22"/>
      <c r="AJ2458" s="83">
        <f t="shared" si="859"/>
        <v>0</v>
      </c>
      <c r="AO2458" s="22" t="str">
        <f t="shared" si="860"/>
        <v/>
      </c>
      <c r="AP2458" s="22" t="str">
        <f t="shared" si="861"/>
        <v/>
      </c>
    </row>
    <row r="2459" spans="1:42" x14ac:dyDescent="0.25">
      <c r="A2459" s="10"/>
      <c r="B2459" s="10"/>
      <c r="C2459" s="10"/>
      <c r="D2459" s="10"/>
      <c r="E2459" s="10"/>
      <c r="F2459" s="10"/>
      <c r="G2459" s="10"/>
      <c r="H2459" s="17"/>
      <c r="I2459" s="10"/>
      <c r="J2459" s="10"/>
      <c r="K2459" s="16" t="str">
        <f t="shared" si="840"/>
        <v/>
      </c>
      <c r="L2459" s="23" t="str">
        <f t="shared" si="841"/>
        <v/>
      </c>
      <c r="M2459" s="22" t="str">
        <f t="shared" si="842"/>
        <v/>
      </c>
      <c r="N2459" s="72"/>
      <c r="O2459" s="16" t="str">
        <f t="shared" si="843"/>
        <v/>
      </c>
      <c r="P2459" s="16" t="str">
        <f t="shared" si="844"/>
        <v/>
      </c>
      <c r="Q2459" s="16" t="str">
        <f t="shared" si="845"/>
        <v/>
      </c>
      <c r="R2459" s="23" t="str">
        <f t="shared" si="846"/>
        <v/>
      </c>
      <c r="S2459" s="23" t="str">
        <f t="shared" si="847"/>
        <v/>
      </c>
      <c r="T2459" s="23" t="str">
        <f t="shared" si="848"/>
        <v/>
      </c>
      <c r="U2459" s="23" t="str">
        <f t="shared" si="849"/>
        <v/>
      </c>
      <c r="V2459" s="23" t="str">
        <f t="shared" si="850"/>
        <v/>
      </c>
      <c r="W2459" s="70" t="str">
        <f t="shared" si="851"/>
        <v/>
      </c>
      <c r="X2459" s="70" t="str">
        <f t="shared" si="852"/>
        <v/>
      </c>
      <c r="Y2459" s="70" t="str">
        <f>IF(AND($A2459&lt;&gt;"",$E2459&gt;0),isLaptopBag($C2459,$J2459)*$D2459,"")</f>
        <v/>
      </c>
      <c r="Z2459" s="70" t="str">
        <f t="shared" si="853"/>
        <v/>
      </c>
      <c r="AA2459" s="70" t="str">
        <f t="shared" si="854"/>
        <v/>
      </c>
      <c r="AB2459" s="70" t="str">
        <f t="shared" si="855"/>
        <v/>
      </c>
      <c r="AC2459" s="70" t="str">
        <f t="shared" si="856"/>
        <v/>
      </c>
      <c r="AD2459" s="70" t="str">
        <f t="shared" si="857"/>
        <v/>
      </c>
      <c r="AE2459" s="70" t="str">
        <f t="shared" si="858"/>
        <v/>
      </c>
      <c r="AF2459" s="16"/>
      <c r="AG2459" s="23"/>
      <c r="AH2459" s="22"/>
      <c r="AJ2459" s="83">
        <f t="shared" si="859"/>
        <v>0</v>
      </c>
      <c r="AO2459" s="22" t="str">
        <f t="shared" si="860"/>
        <v/>
      </c>
      <c r="AP2459" s="22" t="str">
        <f t="shared" si="861"/>
        <v/>
      </c>
    </row>
    <row r="2460" spans="1:42" x14ac:dyDescent="0.25">
      <c r="A2460" s="10"/>
      <c r="B2460" s="10"/>
      <c r="C2460" s="10"/>
      <c r="D2460" s="10"/>
      <c r="E2460" s="10"/>
      <c r="F2460" s="10"/>
      <c r="G2460" s="10"/>
      <c r="H2460" s="17"/>
      <c r="I2460" s="10"/>
      <c r="J2460" s="10"/>
      <c r="K2460" s="16" t="str">
        <f t="shared" si="840"/>
        <v/>
      </c>
      <c r="L2460" s="23" t="str">
        <f t="shared" si="841"/>
        <v/>
      </c>
      <c r="M2460" s="22" t="str">
        <f t="shared" si="842"/>
        <v/>
      </c>
      <c r="N2460" s="72"/>
      <c r="O2460" s="16" t="str">
        <f t="shared" si="843"/>
        <v/>
      </c>
      <c r="P2460" s="16" t="str">
        <f t="shared" si="844"/>
        <v/>
      </c>
      <c r="Q2460" s="16" t="str">
        <f t="shared" si="845"/>
        <v/>
      </c>
      <c r="R2460" s="23" t="str">
        <f t="shared" si="846"/>
        <v/>
      </c>
      <c r="S2460" s="23" t="str">
        <f t="shared" si="847"/>
        <v/>
      </c>
      <c r="T2460" s="23" t="str">
        <f t="shared" si="848"/>
        <v/>
      </c>
      <c r="U2460" s="23" t="str">
        <f t="shared" si="849"/>
        <v/>
      </c>
      <c r="V2460" s="23" t="str">
        <f t="shared" si="850"/>
        <v/>
      </c>
      <c r="W2460" s="70" t="str">
        <f t="shared" si="851"/>
        <v/>
      </c>
      <c r="X2460" s="70" t="str">
        <f t="shared" si="852"/>
        <v/>
      </c>
      <c r="Y2460" s="70" t="str">
        <f>IF(AND($A2460&lt;&gt;"",$E2460&gt;0),isLaptopBag($C2460,$J2460)*$D2460,"")</f>
        <v/>
      </c>
      <c r="Z2460" s="70" t="str">
        <f t="shared" si="853"/>
        <v/>
      </c>
      <c r="AA2460" s="70" t="str">
        <f t="shared" si="854"/>
        <v/>
      </c>
      <c r="AB2460" s="70" t="str">
        <f t="shared" si="855"/>
        <v/>
      </c>
      <c r="AC2460" s="70" t="str">
        <f t="shared" si="856"/>
        <v/>
      </c>
      <c r="AD2460" s="70" t="str">
        <f t="shared" si="857"/>
        <v/>
      </c>
      <c r="AE2460" s="70" t="str">
        <f t="shared" si="858"/>
        <v/>
      </c>
      <c r="AF2460" s="16"/>
      <c r="AG2460" s="23"/>
      <c r="AH2460" s="22"/>
      <c r="AJ2460" s="83">
        <f t="shared" si="859"/>
        <v>0</v>
      </c>
      <c r="AO2460" s="22" t="str">
        <f t="shared" si="860"/>
        <v/>
      </c>
      <c r="AP2460" s="22" t="str">
        <f t="shared" si="861"/>
        <v/>
      </c>
    </row>
    <row r="2461" spans="1:42" x14ac:dyDescent="0.25">
      <c r="A2461" s="10"/>
      <c r="B2461" s="10"/>
      <c r="C2461" s="10"/>
      <c r="D2461" s="10"/>
      <c r="E2461" s="10"/>
      <c r="F2461" s="10"/>
      <c r="G2461" s="10"/>
      <c r="H2461" s="17"/>
      <c r="I2461" s="10"/>
      <c r="J2461" s="10"/>
      <c r="K2461" s="16" t="str">
        <f t="shared" si="840"/>
        <v/>
      </c>
      <c r="L2461" s="23" t="str">
        <f t="shared" si="841"/>
        <v/>
      </c>
      <c r="M2461" s="22" t="str">
        <f t="shared" si="842"/>
        <v/>
      </c>
      <c r="N2461" s="72"/>
      <c r="O2461" s="16" t="str">
        <f t="shared" si="843"/>
        <v/>
      </c>
      <c r="P2461" s="16" t="str">
        <f t="shared" si="844"/>
        <v/>
      </c>
      <c r="Q2461" s="16" t="str">
        <f t="shared" si="845"/>
        <v/>
      </c>
      <c r="R2461" s="23" t="str">
        <f t="shared" si="846"/>
        <v/>
      </c>
      <c r="S2461" s="23" t="str">
        <f t="shared" si="847"/>
        <v/>
      </c>
      <c r="T2461" s="23" t="str">
        <f t="shared" si="848"/>
        <v/>
      </c>
      <c r="U2461" s="23" t="str">
        <f t="shared" si="849"/>
        <v/>
      </c>
      <c r="V2461" s="23" t="str">
        <f t="shared" si="850"/>
        <v/>
      </c>
      <c r="W2461" s="70" t="str">
        <f t="shared" si="851"/>
        <v/>
      </c>
      <c r="X2461" s="70" t="str">
        <f t="shared" si="852"/>
        <v/>
      </c>
      <c r="Y2461" s="70" t="str">
        <f>IF(AND($A2461&lt;&gt;"",$E2461&gt;0),isLaptopBag($C2461,$J2461)*$D2461,"")</f>
        <v/>
      </c>
      <c r="Z2461" s="70" t="str">
        <f t="shared" si="853"/>
        <v/>
      </c>
      <c r="AA2461" s="70" t="str">
        <f t="shared" si="854"/>
        <v/>
      </c>
      <c r="AB2461" s="70" t="str">
        <f t="shared" si="855"/>
        <v/>
      </c>
      <c r="AC2461" s="70" t="str">
        <f t="shared" si="856"/>
        <v/>
      </c>
      <c r="AD2461" s="70" t="str">
        <f t="shared" si="857"/>
        <v/>
      </c>
      <c r="AE2461" s="70" t="str">
        <f t="shared" si="858"/>
        <v/>
      </c>
      <c r="AF2461" s="16"/>
      <c r="AG2461" s="23"/>
      <c r="AH2461" s="22"/>
      <c r="AJ2461" s="83">
        <f t="shared" si="859"/>
        <v>0</v>
      </c>
      <c r="AO2461" s="22" t="str">
        <f t="shared" si="860"/>
        <v/>
      </c>
      <c r="AP2461" s="22" t="str">
        <f t="shared" si="861"/>
        <v/>
      </c>
    </row>
    <row r="2462" spans="1:42" x14ac:dyDescent="0.25">
      <c r="A2462" s="10"/>
      <c r="B2462" s="10"/>
      <c r="C2462" s="10"/>
      <c r="D2462" s="10"/>
      <c r="E2462" s="10"/>
      <c r="F2462" s="10"/>
      <c r="G2462" s="10"/>
      <c r="H2462" s="17"/>
      <c r="I2462" s="10"/>
      <c r="J2462" s="10"/>
      <c r="K2462" s="16" t="str">
        <f t="shared" si="840"/>
        <v/>
      </c>
      <c r="L2462" s="23" t="str">
        <f t="shared" si="841"/>
        <v/>
      </c>
      <c r="M2462" s="22" t="str">
        <f t="shared" si="842"/>
        <v/>
      </c>
      <c r="N2462" s="72"/>
      <c r="O2462" s="16" t="str">
        <f t="shared" si="843"/>
        <v/>
      </c>
      <c r="P2462" s="16" t="str">
        <f t="shared" si="844"/>
        <v/>
      </c>
      <c r="Q2462" s="16" t="str">
        <f t="shared" si="845"/>
        <v/>
      </c>
      <c r="R2462" s="23" t="str">
        <f t="shared" si="846"/>
        <v/>
      </c>
      <c r="S2462" s="23" t="str">
        <f t="shared" si="847"/>
        <v/>
      </c>
      <c r="T2462" s="23" t="str">
        <f t="shared" si="848"/>
        <v/>
      </c>
      <c r="U2462" s="23" t="str">
        <f t="shared" si="849"/>
        <v/>
      </c>
      <c r="V2462" s="23" t="str">
        <f t="shared" si="850"/>
        <v/>
      </c>
      <c r="W2462" s="70" t="str">
        <f t="shared" si="851"/>
        <v/>
      </c>
      <c r="X2462" s="70" t="str">
        <f t="shared" si="852"/>
        <v/>
      </c>
      <c r="Y2462" s="70" t="str">
        <f>IF(AND($A2462&lt;&gt;"",$E2462&gt;0),isLaptopBag($C2462,$J2462)*$D2462,"")</f>
        <v/>
      </c>
      <c r="Z2462" s="70" t="str">
        <f t="shared" si="853"/>
        <v/>
      </c>
      <c r="AA2462" s="70" t="str">
        <f t="shared" si="854"/>
        <v/>
      </c>
      <c r="AB2462" s="70" t="str">
        <f t="shared" si="855"/>
        <v/>
      </c>
      <c r="AC2462" s="70" t="str">
        <f t="shared" si="856"/>
        <v/>
      </c>
      <c r="AD2462" s="70" t="str">
        <f t="shared" si="857"/>
        <v/>
      </c>
      <c r="AE2462" s="70" t="str">
        <f t="shared" si="858"/>
        <v/>
      </c>
      <c r="AF2462" s="16"/>
      <c r="AG2462" s="23"/>
      <c r="AH2462" s="22"/>
      <c r="AJ2462" s="83">
        <f t="shared" si="859"/>
        <v>0</v>
      </c>
      <c r="AO2462" s="22" t="str">
        <f t="shared" si="860"/>
        <v/>
      </c>
      <c r="AP2462" s="22" t="str">
        <f t="shared" si="861"/>
        <v/>
      </c>
    </row>
    <row r="2463" spans="1:42" x14ac:dyDescent="0.25">
      <c r="A2463" s="10"/>
      <c r="B2463" s="10"/>
      <c r="C2463" s="10"/>
      <c r="D2463" s="10"/>
      <c r="E2463" s="10"/>
      <c r="F2463" s="10"/>
      <c r="G2463" s="10"/>
      <c r="H2463" s="17"/>
      <c r="I2463" s="10"/>
      <c r="J2463" s="10"/>
      <c r="K2463" s="16" t="str">
        <f t="shared" si="840"/>
        <v/>
      </c>
      <c r="L2463" s="23" t="str">
        <f t="shared" si="841"/>
        <v/>
      </c>
      <c r="M2463" s="22" t="str">
        <f t="shared" si="842"/>
        <v/>
      </c>
      <c r="N2463" s="72"/>
      <c r="O2463" s="16" t="str">
        <f t="shared" si="843"/>
        <v/>
      </c>
      <c r="P2463" s="16" t="str">
        <f t="shared" si="844"/>
        <v/>
      </c>
      <c r="Q2463" s="16" t="str">
        <f t="shared" si="845"/>
        <v/>
      </c>
      <c r="R2463" s="23" t="str">
        <f t="shared" si="846"/>
        <v/>
      </c>
      <c r="S2463" s="23" t="str">
        <f t="shared" si="847"/>
        <v/>
      </c>
      <c r="T2463" s="23" t="str">
        <f t="shared" si="848"/>
        <v/>
      </c>
      <c r="U2463" s="23" t="str">
        <f t="shared" si="849"/>
        <v/>
      </c>
      <c r="V2463" s="23" t="str">
        <f t="shared" si="850"/>
        <v/>
      </c>
      <c r="W2463" s="70" t="str">
        <f t="shared" si="851"/>
        <v/>
      </c>
      <c r="X2463" s="70" t="str">
        <f t="shared" si="852"/>
        <v/>
      </c>
      <c r="Y2463" s="70" t="str">
        <f>IF(AND($A2463&lt;&gt;"",$E2463&gt;0),isLaptopBag($C2463,$J2463)*$D2463,"")</f>
        <v/>
      </c>
      <c r="Z2463" s="70" t="str">
        <f t="shared" si="853"/>
        <v/>
      </c>
      <c r="AA2463" s="70" t="str">
        <f t="shared" si="854"/>
        <v/>
      </c>
      <c r="AB2463" s="70" t="str">
        <f t="shared" si="855"/>
        <v/>
      </c>
      <c r="AC2463" s="70" t="str">
        <f t="shared" si="856"/>
        <v/>
      </c>
      <c r="AD2463" s="70" t="str">
        <f t="shared" si="857"/>
        <v/>
      </c>
      <c r="AE2463" s="70" t="str">
        <f t="shared" si="858"/>
        <v/>
      </c>
      <c r="AF2463" s="16"/>
      <c r="AG2463" s="23"/>
      <c r="AH2463" s="22"/>
      <c r="AJ2463" s="83">
        <f t="shared" si="859"/>
        <v>0</v>
      </c>
      <c r="AO2463" s="22" t="str">
        <f t="shared" si="860"/>
        <v/>
      </c>
      <c r="AP2463" s="22" t="str">
        <f t="shared" si="861"/>
        <v/>
      </c>
    </row>
    <row r="2464" spans="1:42" x14ac:dyDescent="0.25">
      <c r="A2464" s="10"/>
      <c r="B2464" s="10"/>
      <c r="C2464" s="10"/>
      <c r="D2464" s="10"/>
      <c r="E2464" s="10"/>
      <c r="F2464" s="10"/>
      <c r="G2464" s="10"/>
      <c r="H2464" s="17"/>
      <c r="I2464" s="10"/>
      <c r="J2464" s="10"/>
      <c r="K2464" s="16" t="str">
        <f t="shared" si="840"/>
        <v/>
      </c>
      <c r="L2464" s="23" t="str">
        <f t="shared" si="841"/>
        <v/>
      </c>
      <c r="M2464" s="22" t="str">
        <f t="shared" si="842"/>
        <v/>
      </c>
      <c r="N2464" s="72"/>
      <c r="O2464" s="16" t="str">
        <f t="shared" si="843"/>
        <v/>
      </c>
      <c r="P2464" s="16" t="str">
        <f t="shared" si="844"/>
        <v/>
      </c>
      <c r="Q2464" s="16" t="str">
        <f t="shared" si="845"/>
        <v/>
      </c>
      <c r="R2464" s="23" t="str">
        <f t="shared" si="846"/>
        <v/>
      </c>
      <c r="S2464" s="23" t="str">
        <f t="shared" si="847"/>
        <v/>
      </c>
      <c r="T2464" s="23" t="str">
        <f t="shared" si="848"/>
        <v/>
      </c>
      <c r="U2464" s="23" t="str">
        <f t="shared" si="849"/>
        <v/>
      </c>
      <c r="V2464" s="23" t="str">
        <f t="shared" si="850"/>
        <v/>
      </c>
      <c r="W2464" s="70" t="str">
        <f t="shared" si="851"/>
        <v/>
      </c>
      <c r="X2464" s="70" t="str">
        <f t="shared" si="852"/>
        <v/>
      </c>
      <c r="Y2464" s="70" t="str">
        <f>IF(AND($A2464&lt;&gt;"",$E2464&gt;0),isLaptopBag($C2464,$J2464)*$D2464,"")</f>
        <v/>
      </c>
      <c r="Z2464" s="70" t="str">
        <f t="shared" si="853"/>
        <v/>
      </c>
      <c r="AA2464" s="70" t="str">
        <f t="shared" si="854"/>
        <v/>
      </c>
      <c r="AB2464" s="70" t="str">
        <f t="shared" si="855"/>
        <v/>
      </c>
      <c r="AC2464" s="70" t="str">
        <f t="shared" si="856"/>
        <v/>
      </c>
      <c r="AD2464" s="70" t="str">
        <f t="shared" si="857"/>
        <v/>
      </c>
      <c r="AE2464" s="70" t="str">
        <f t="shared" si="858"/>
        <v/>
      </c>
      <c r="AF2464" s="16"/>
      <c r="AG2464" s="23"/>
      <c r="AH2464" s="22"/>
      <c r="AJ2464" s="83">
        <f t="shared" si="859"/>
        <v>0</v>
      </c>
      <c r="AO2464" s="22" t="str">
        <f t="shared" si="860"/>
        <v/>
      </c>
      <c r="AP2464" s="22" t="str">
        <f t="shared" si="861"/>
        <v/>
      </c>
    </row>
    <row r="2465" spans="1:42" x14ac:dyDescent="0.25">
      <c r="A2465" s="10"/>
      <c r="B2465" s="10"/>
      <c r="C2465" s="10"/>
      <c r="D2465" s="10"/>
      <c r="E2465" s="10"/>
      <c r="F2465" s="10"/>
      <c r="G2465" s="10"/>
      <c r="H2465" s="17"/>
      <c r="I2465" s="10"/>
      <c r="J2465" s="10"/>
      <c r="K2465" s="16" t="str">
        <f t="shared" si="840"/>
        <v/>
      </c>
      <c r="L2465" s="23" t="str">
        <f t="shared" si="841"/>
        <v/>
      </c>
      <c r="M2465" s="22" t="str">
        <f t="shared" si="842"/>
        <v/>
      </c>
      <c r="N2465" s="72"/>
      <c r="O2465" s="16" t="str">
        <f t="shared" si="843"/>
        <v/>
      </c>
      <c r="P2465" s="16" t="str">
        <f t="shared" si="844"/>
        <v/>
      </c>
      <c r="Q2465" s="16" t="str">
        <f t="shared" si="845"/>
        <v/>
      </c>
      <c r="R2465" s="23" t="str">
        <f t="shared" si="846"/>
        <v/>
      </c>
      <c r="S2465" s="23" t="str">
        <f t="shared" si="847"/>
        <v/>
      </c>
      <c r="T2465" s="23" t="str">
        <f t="shared" si="848"/>
        <v/>
      </c>
      <c r="U2465" s="23" t="str">
        <f t="shared" si="849"/>
        <v/>
      </c>
      <c r="V2465" s="23" t="str">
        <f t="shared" si="850"/>
        <v/>
      </c>
      <c r="W2465" s="70" t="str">
        <f t="shared" si="851"/>
        <v/>
      </c>
      <c r="X2465" s="70" t="str">
        <f t="shared" si="852"/>
        <v/>
      </c>
      <c r="Y2465" s="70" t="str">
        <f>IF(AND($A2465&lt;&gt;"",$E2465&gt;0),isLaptopBag($C2465,$J2465)*$D2465,"")</f>
        <v/>
      </c>
      <c r="Z2465" s="70" t="str">
        <f t="shared" si="853"/>
        <v/>
      </c>
      <c r="AA2465" s="70" t="str">
        <f t="shared" si="854"/>
        <v/>
      </c>
      <c r="AB2465" s="70" t="str">
        <f t="shared" si="855"/>
        <v/>
      </c>
      <c r="AC2465" s="70" t="str">
        <f t="shared" si="856"/>
        <v/>
      </c>
      <c r="AD2465" s="70" t="str">
        <f t="shared" si="857"/>
        <v/>
      </c>
      <c r="AE2465" s="70" t="str">
        <f t="shared" si="858"/>
        <v/>
      </c>
      <c r="AF2465" s="16"/>
      <c r="AG2465" s="23"/>
      <c r="AH2465" s="22"/>
      <c r="AJ2465" s="83">
        <f t="shared" si="859"/>
        <v>0</v>
      </c>
      <c r="AO2465" s="22" t="str">
        <f t="shared" si="860"/>
        <v/>
      </c>
      <c r="AP2465" s="22" t="str">
        <f t="shared" si="861"/>
        <v/>
      </c>
    </row>
    <row r="2466" spans="1:42" x14ac:dyDescent="0.25">
      <c r="A2466" s="10"/>
      <c r="B2466" s="10"/>
      <c r="C2466" s="10"/>
      <c r="D2466" s="10"/>
      <c r="E2466" s="10"/>
      <c r="F2466" s="10"/>
      <c r="G2466" s="10"/>
      <c r="H2466" s="17"/>
      <c r="I2466" s="10"/>
      <c r="J2466" s="10"/>
      <c r="K2466" s="16" t="str">
        <f t="shared" si="840"/>
        <v/>
      </c>
      <c r="L2466" s="23" t="str">
        <f t="shared" si="841"/>
        <v/>
      </c>
      <c r="M2466" s="22" t="str">
        <f t="shared" si="842"/>
        <v/>
      </c>
      <c r="N2466" s="72"/>
      <c r="O2466" s="16" t="str">
        <f t="shared" si="843"/>
        <v/>
      </c>
      <c r="P2466" s="16" t="str">
        <f t="shared" si="844"/>
        <v/>
      </c>
      <c r="Q2466" s="16" t="str">
        <f t="shared" si="845"/>
        <v/>
      </c>
      <c r="R2466" s="23" t="str">
        <f t="shared" si="846"/>
        <v/>
      </c>
      <c r="S2466" s="23" t="str">
        <f t="shared" si="847"/>
        <v/>
      </c>
      <c r="T2466" s="23" t="str">
        <f t="shared" si="848"/>
        <v/>
      </c>
      <c r="U2466" s="23" t="str">
        <f t="shared" si="849"/>
        <v/>
      </c>
      <c r="V2466" s="23" t="str">
        <f t="shared" si="850"/>
        <v/>
      </c>
      <c r="W2466" s="70" t="str">
        <f t="shared" si="851"/>
        <v/>
      </c>
      <c r="X2466" s="70" t="str">
        <f t="shared" si="852"/>
        <v/>
      </c>
      <c r="Y2466" s="70" t="str">
        <f>IF(AND($A2466&lt;&gt;"",$E2466&gt;0),isLaptopBag($C2466,$J2466)*$D2466,"")</f>
        <v/>
      </c>
      <c r="Z2466" s="70" t="str">
        <f t="shared" si="853"/>
        <v/>
      </c>
      <c r="AA2466" s="70" t="str">
        <f t="shared" si="854"/>
        <v/>
      </c>
      <c r="AB2466" s="70" t="str">
        <f t="shared" si="855"/>
        <v/>
      </c>
      <c r="AC2466" s="70" t="str">
        <f t="shared" si="856"/>
        <v/>
      </c>
      <c r="AD2466" s="70" t="str">
        <f t="shared" si="857"/>
        <v/>
      </c>
      <c r="AE2466" s="70" t="str">
        <f t="shared" si="858"/>
        <v/>
      </c>
      <c r="AF2466" s="16"/>
      <c r="AG2466" s="23"/>
      <c r="AH2466" s="22"/>
      <c r="AJ2466" s="83">
        <f t="shared" si="859"/>
        <v>0</v>
      </c>
      <c r="AO2466" s="22" t="str">
        <f t="shared" si="860"/>
        <v/>
      </c>
      <c r="AP2466" s="22" t="str">
        <f t="shared" si="861"/>
        <v/>
      </c>
    </row>
    <row r="2467" spans="1:42" x14ac:dyDescent="0.25">
      <c r="A2467" s="10"/>
      <c r="B2467" s="10"/>
      <c r="C2467" s="10"/>
      <c r="D2467" s="10"/>
      <c r="E2467" s="10"/>
      <c r="F2467" s="10"/>
      <c r="G2467" s="10"/>
      <c r="H2467" s="17"/>
      <c r="I2467" s="10"/>
      <c r="J2467" s="10"/>
      <c r="K2467" s="16" t="str">
        <f t="shared" si="840"/>
        <v/>
      </c>
      <c r="L2467" s="23" t="str">
        <f t="shared" si="841"/>
        <v/>
      </c>
      <c r="M2467" s="22" t="str">
        <f t="shared" si="842"/>
        <v/>
      </c>
      <c r="N2467" s="72"/>
      <c r="O2467" s="16" t="str">
        <f t="shared" si="843"/>
        <v/>
      </c>
      <c r="P2467" s="16" t="str">
        <f t="shared" si="844"/>
        <v/>
      </c>
      <c r="Q2467" s="16" t="str">
        <f t="shared" si="845"/>
        <v/>
      </c>
      <c r="R2467" s="23" t="str">
        <f t="shared" si="846"/>
        <v/>
      </c>
      <c r="S2467" s="23" t="str">
        <f t="shared" si="847"/>
        <v/>
      </c>
      <c r="T2467" s="23" t="str">
        <f t="shared" si="848"/>
        <v/>
      </c>
      <c r="U2467" s="23" t="str">
        <f t="shared" si="849"/>
        <v/>
      </c>
      <c r="V2467" s="23" t="str">
        <f t="shared" si="850"/>
        <v/>
      </c>
      <c r="W2467" s="70" t="str">
        <f t="shared" si="851"/>
        <v/>
      </c>
      <c r="X2467" s="70" t="str">
        <f t="shared" si="852"/>
        <v/>
      </c>
      <c r="Y2467" s="70" t="str">
        <f>IF(AND($A2467&lt;&gt;"",$E2467&gt;0),isLaptopBag($C2467,$J2467)*$D2467,"")</f>
        <v/>
      </c>
      <c r="Z2467" s="70" t="str">
        <f t="shared" si="853"/>
        <v/>
      </c>
      <c r="AA2467" s="70" t="str">
        <f t="shared" si="854"/>
        <v/>
      </c>
      <c r="AB2467" s="70" t="str">
        <f t="shared" si="855"/>
        <v/>
      </c>
      <c r="AC2467" s="70" t="str">
        <f t="shared" si="856"/>
        <v/>
      </c>
      <c r="AD2467" s="70" t="str">
        <f t="shared" si="857"/>
        <v/>
      </c>
      <c r="AE2467" s="70" t="str">
        <f t="shared" si="858"/>
        <v/>
      </c>
      <c r="AF2467" s="16"/>
      <c r="AG2467" s="23"/>
      <c r="AH2467" s="22"/>
      <c r="AJ2467" s="83">
        <f t="shared" si="859"/>
        <v>0</v>
      </c>
      <c r="AO2467" s="22" t="str">
        <f t="shared" si="860"/>
        <v/>
      </c>
      <c r="AP2467" s="22" t="str">
        <f t="shared" si="861"/>
        <v/>
      </c>
    </row>
    <row r="2468" spans="1:42" x14ac:dyDescent="0.25">
      <c r="A2468" s="10"/>
      <c r="B2468" s="10"/>
      <c r="C2468" s="10"/>
      <c r="D2468" s="10"/>
      <c r="E2468" s="10"/>
      <c r="F2468" s="10"/>
      <c r="G2468" s="10"/>
      <c r="H2468" s="17"/>
      <c r="I2468" s="10"/>
      <c r="J2468" s="10"/>
      <c r="K2468" s="16" t="str">
        <f t="shared" si="840"/>
        <v/>
      </c>
      <c r="L2468" s="23" t="str">
        <f t="shared" si="841"/>
        <v/>
      </c>
      <c r="M2468" s="22" t="str">
        <f t="shared" si="842"/>
        <v/>
      </c>
      <c r="N2468" s="72"/>
      <c r="O2468" s="16" t="str">
        <f t="shared" si="843"/>
        <v/>
      </c>
      <c r="P2468" s="16" t="str">
        <f t="shared" si="844"/>
        <v/>
      </c>
      <c r="Q2468" s="16" t="str">
        <f t="shared" si="845"/>
        <v/>
      </c>
      <c r="R2468" s="23" t="str">
        <f t="shared" si="846"/>
        <v/>
      </c>
      <c r="S2468" s="23" t="str">
        <f t="shared" si="847"/>
        <v/>
      </c>
      <c r="T2468" s="23" t="str">
        <f t="shared" si="848"/>
        <v/>
      </c>
      <c r="U2468" s="23" t="str">
        <f t="shared" si="849"/>
        <v/>
      </c>
      <c r="V2468" s="23" t="str">
        <f t="shared" si="850"/>
        <v/>
      </c>
      <c r="W2468" s="70" t="str">
        <f t="shared" si="851"/>
        <v/>
      </c>
      <c r="X2468" s="70" t="str">
        <f t="shared" si="852"/>
        <v/>
      </c>
      <c r="Y2468" s="70" t="str">
        <f>IF(AND($A2468&lt;&gt;"",$E2468&gt;0),isLaptopBag($C2468,$J2468)*$D2468,"")</f>
        <v/>
      </c>
      <c r="Z2468" s="70" t="str">
        <f t="shared" si="853"/>
        <v/>
      </c>
      <c r="AA2468" s="70" t="str">
        <f t="shared" si="854"/>
        <v/>
      </c>
      <c r="AB2468" s="70" t="str">
        <f t="shared" si="855"/>
        <v/>
      </c>
      <c r="AC2468" s="70" t="str">
        <f t="shared" si="856"/>
        <v/>
      </c>
      <c r="AD2468" s="70" t="str">
        <f t="shared" si="857"/>
        <v/>
      </c>
      <c r="AE2468" s="70" t="str">
        <f t="shared" si="858"/>
        <v/>
      </c>
      <c r="AF2468" s="16"/>
      <c r="AG2468" s="23"/>
      <c r="AH2468" s="22"/>
      <c r="AJ2468" s="83">
        <f t="shared" si="859"/>
        <v>0</v>
      </c>
      <c r="AO2468" s="22" t="str">
        <f t="shared" si="860"/>
        <v/>
      </c>
      <c r="AP2468" s="22" t="str">
        <f t="shared" si="861"/>
        <v/>
      </c>
    </row>
    <row r="2469" spans="1:42" x14ac:dyDescent="0.25">
      <c r="A2469" s="10"/>
      <c r="B2469" s="10"/>
      <c r="C2469" s="10"/>
      <c r="D2469" s="10"/>
      <c r="E2469" s="10"/>
      <c r="F2469" s="10"/>
      <c r="G2469" s="10"/>
      <c r="H2469" s="17"/>
      <c r="I2469" s="10"/>
      <c r="J2469" s="10"/>
      <c r="K2469" s="16" t="str">
        <f t="shared" si="840"/>
        <v/>
      </c>
      <c r="L2469" s="23" t="str">
        <f t="shared" si="841"/>
        <v/>
      </c>
      <c r="M2469" s="22" t="str">
        <f t="shared" si="842"/>
        <v/>
      </c>
      <c r="N2469" s="72"/>
      <c r="O2469" s="16" t="str">
        <f t="shared" si="843"/>
        <v/>
      </c>
      <c r="P2469" s="16" t="str">
        <f t="shared" si="844"/>
        <v/>
      </c>
      <c r="Q2469" s="16" t="str">
        <f t="shared" si="845"/>
        <v/>
      </c>
      <c r="R2469" s="23" t="str">
        <f t="shared" si="846"/>
        <v/>
      </c>
      <c r="S2469" s="23" t="str">
        <f t="shared" si="847"/>
        <v/>
      </c>
      <c r="T2469" s="23" t="str">
        <f t="shared" si="848"/>
        <v/>
      </c>
      <c r="U2469" s="23" t="str">
        <f t="shared" si="849"/>
        <v/>
      </c>
      <c r="V2469" s="23" t="str">
        <f t="shared" si="850"/>
        <v/>
      </c>
      <c r="W2469" s="70" t="str">
        <f t="shared" si="851"/>
        <v/>
      </c>
      <c r="X2469" s="70" t="str">
        <f t="shared" si="852"/>
        <v/>
      </c>
      <c r="Y2469" s="70" t="str">
        <f>IF(AND($A2469&lt;&gt;"",$E2469&gt;0),isLaptopBag($C2469,$J2469)*$D2469,"")</f>
        <v/>
      </c>
      <c r="Z2469" s="70" t="str">
        <f t="shared" si="853"/>
        <v/>
      </c>
      <c r="AA2469" s="70" t="str">
        <f t="shared" si="854"/>
        <v/>
      </c>
      <c r="AB2469" s="70" t="str">
        <f t="shared" si="855"/>
        <v/>
      </c>
      <c r="AC2469" s="70" t="str">
        <f t="shared" si="856"/>
        <v/>
      </c>
      <c r="AD2469" s="70" t="str">
        <f t="shared" si="857"/>
        <v/>
      </c>
      <c r="AE2469" s="70" t="str">
        <f t="shared" si="858"/>
        <v/>
      </c>
      <c r="AF2469" s="16"/>
      <c r="AG2469" s="23"/>
      <c r="AH2469" s="22"/>
      <c r="AJ2469" s="83">
        <f t="shared" si="859"/>
        <v>0</v>
      </c>
      <c r="AO2469" s="22" t="str">
        <f t="shared" si="860"/>
        <v/>
      </c>
      <c r="AP2469" s="22" t="str">
        <f t="shared" si="861"/>
        <v/>
      </c>
    </row>
    <row r="2470" spans="1:42" x14ac:dyDescent="0.25">
      <c r="A2470" s="10"/>
      <c r="B2470" s="10"/>
      <c r="C2470" s="10"/>
      <c r="D2470" s="10"/>
      <c r="E2470" s="10"/>
      <c r="F2470" s="10"/>
      <c r="G2470" s="10"/>
      <c r="H2470" s="17"/>
      <c r="I2470" s="10"/>
      <c r="J2470" s="10"/>
      <c r="K2470" s="16" t="str">
        <f t="shared" si="840"/>
        <v/>
      </c>
      <c r="L2470" s="23" t="str">
        <f t="shared" si="841"/>
        <v/>
      </c>
      <c r="M2470" s="22" t="str">
        <f t="shared" si="842"/>
        <v/>
      </c>
      <c r="N2470" s="72"/>
      <c r="O2470" s="16" t="str">
        <f t="shared" si="843"/>
        <v/>
      </c>
      <c r="P2470" s="16" t="str">
        <f t="shared" si="844"/>
        <v/>
      </c>
      <c r="Q2470" s="16" t="str">
        <f t="shared" si="845"/>
        <v/>
      </c>
      <c r="R2470" s="23" t="str">
        <f t="shared" si="846"/>
        <v/>
      </c>
      <c r="S2470" s="23" t="str">
        <f t="shared" si="847"/>
        <v/>
      </c>
      <c r="T2470" s="23" t="str">
        <f t="shared" si="848"/>
        <v/>
      </c>
      <c r="U2470" s="23" t="str">
        <f t="shared" si="849"/>
        <v/>
      </c>
      <c r="V2470" s="23" t="str">
        <f t="shared" si="850"/>
        <v/>
      </c>
      <c r="W2470" s="70" t="str">
        <f t="shared" si="851"/>
        <v/>
      </c>
      <c r="X2470" s="70" t="str">
        <f t="shared" si="852"/>
        <v/>
      </c>
      <c r="Y2470" s="70" t="str">
        <f>IF(AND($A2470&lt;&gt;"",$E2470&gt;0),isLaptopBag($C2470,$J2470)*$D2470,"")</f>
        <v/>
      </c>
      <c r="Z2470" s="70" t="str">
        <f t="shared" si="853"/>
        <v/>
      </c>
      <c r="AA2470" s="70" t="str">
        <f t="shared" si="854"/>
        <v/>
      </c>
      <c r="AB2470" s="70" t="str">
        <f t="shared" si="855"/>
        <v/>
      </c>
      <c r="AC2470" s="70" t="str">
        <f t="shared" si="856"/>
        <v/>
      </c>
      <c r="AD2470" s="70" t="str">
        <f t="shared" si="857"/>
        <v/>
      </c>
      <c r="AE2470" s="70" t="str">
        <f t="shared" si="858"/>
        <v/>
      </c>
      <c r="AF2470" s="16"/>
      <c r="AG2470" s="23"/>
      <c r="AH2470" s="22"/>
      <c r="AJ2470" s="83">
        <f t="shared" si="859"/>
        <v>0</v>
      </c>
      <c r="AO2470" s="22" t="str">
        <f t="shared" si="860"/>
        <v/>
      </c>
      <c r="AP2470" s="22" t="str">
        <f t="shared" si="861"/>
        <v/>
      </c>
    </row>
    <row r="2471" spans="1:42" x14ac:dyDescent="0.25">
      <c r="A2471" s="10"/>
      <c r="B2471" s="10"/>
      <c r="C2471" s="10"/>
      <c r="D2471" s="10"/>
      <c r="E2471" s="10"/>
      <c r="F2471" s="10"/>
      <c r="G2471" s="10"/>
      <c r="H2471" s="17"/>
      <c r="I2471" s="10"/>
      <c r="J2471" s="10"/>
      <c r="K2471" s="16" t="str">
        <f t="shared" si="840"/>
        <v/>
      </c>
      <c r="L2471" s="23" t="str">
        <f t="shared" si="841"/>
        <v/>
      </c>
      <c r="M2471" s="22" t="str">
        <f t="shared" si="842"/>
        <v/>
      </c>
      <c r="N2471" s="72"/>
      <c r="O2471" s="16" t="str">
        <f t="shared" si="843"/>
        <v/>
      </c>
      <c r="P2471" s="16" t="str">
        <f t="shared" si="844"/>
        <v/>
      </c>
      <c r="Q2471" s="16" t="str">
        <f t="shared" si="845"/>
        <v/>
      </c>
      <c r="R2471" s="23" t="str">
        <f t="shared" si="846"/>
        <v/>
      </c>
      <c r="S2471" s="23" t="str">
        <f t="shared" si="847"/>
        <v/>
      </c>
      <c r="T2471" s="23" t="str">
        <f t="shared" si="848"/>
        <v/>
      </c>
      <c r="U2471" s="23" t="str">
        <f t="shared" si="849"/>
        <v/>
      </c>
      <c r="V2471" s="23" t="str">
        <f t="shared" si="850"/>
        <v/>
      </c>
      <c r="W2471" s="70" t="str">
        <f t="shared" si="851"/>
        <v/>
      </c>
      <c r="X2471" s="70" t="str">
        <f t="shared" si="852"/>
        <v/>
      </c>
      <c r="Y2471" s="70" t="str">
        <f>IF(AND($A2471&lt;&gt;"",$E2471&gt;0),isLaptopBag($C2471,$J2471)*$D2471,"")</f>
        <v/>
      </c>
      <c r="Z2471" s="70" t="str">
        <f t="shared" si="853"/>
        <v/>
      </c>
      <c r="AA2471" s="70" t="str">
        <f t="shared" si="854"/>
        <v/>
      </c>
      <c r="AB2471" s="70" t="str">
        <f t="shared" si="855"/>
        <v/>
      </c>
      <c r="AC2471" s="70" t="str">
        <f t="shared" si="856"/>
        <v/>
      </c>
      <c r="AD2471" s="70" t="str">
        <f t="shared" si="857"/>
        <v/>
      </c>
      <c r="AE2471" s="70" t="str">
        <f t="shared" si="858"/>
        <v/>
      </c>
      <c r="AF2471" s="16"/>
      <c r="AG2471" s="23"/>
      <c r="AH2471" s="22"/>
      <c r="AJ2471" s="83">
        <f t="shared" si="859"/>
        <v>0</v>
      </c>
      <c r="AO2471" s="22" t="str">
        <f t="shared" si="860"/>
        <v/>
      </c>
      <c r="AP2471" s="22" t="str">
        <f t="shared" si="861"/>
        <v/>
      </c>
    </row>
    <row r="2472" spans="1:42" x14ac:dyDescent="0.25">
      <c r="A2472" s="10"/>
      <c r="B2472" s="10"/>
      <c r="C2472" s="10"/>
      <c r="D2472" s="10"/>
      <c r="E2472" s="10"/>
      <c r="F2472" s="10"/>
      <c r="G2472" s="10"/>
      <c r="H2472" s="17"/>
      <c r="I2472" s="10"/>
      <c r="J2472" s="10"/>
      <c r="K2472" s="16" t="str">
        <f t="shared" si="840"/>
        <v/>
      </c>
      <c r="L2472" s="23" t="str">
        <f t="shared" si="841"/>
        <v/>
      </c>
      <c r="M2472" s="22" t="str">
        <f t="shared" si="842"/>
        <v/>
      </c>
      <c r="N2472" s="72"/>
      <c r="O2472" s="16" t="str">
        <f t="shared" si="843"/>
        <v/>
      </c>
      <c r="P2472" s="16" t="str">
        <f t="shared" si="844"/>
        <v/>
      </c>
      <c r="Q2472" s="16" t="str">
        <f t="shared" si="845"/>
        <v/>
      </c>
      <c r="R2472" s="23" t="str">
        <f t="shared" si="846"/>
        <v/>
      </c>
      <c r="S2472" s="23" t="str">
        <f t="shared" si="847"/>
        <v/>
      </c>
      <c r="T2472" s="23" t="str">
        <f t="shared" si="848"/>
        <v/>
      </c>
      <c r="U2472" s="23" t="str">
        <f t="shared" si="849"/>
        <v/>
      </c>
      <c r="V2472" s="23" t="str">
        <f t="shared" si="850"/>
        <v/>
      </c>
      <c r="W2472" s="70" t="str">
        <f t="shared" si="851"/>
        <v/>
      </c>
      <c r="X2472" s="70" t="str">
        <f t="shared" si="852"/>
        <v/>
      </c>
      <c r="Y2472" s="70" t="str">
        <f>IF(AND($A2472&lt;&gt;"",$E2472&gt;0),isLaptopBag($C2472,$J2472)*$D2472,"")</f>
        <v/>
      </c>
      <c r="Z2472" s="70" t="str">
        <f t="shared" si="853"/>
        <v/>
      </c>
      <c r="AA2472" s="70" t="str">
        <f t="shared" si="854"/>
        <v/>
      </c>
      <c r="AB2472" s="70" t="str">
        <f t="shared" si="855"/>
        <v/>
      </c>
      <c r="AC2472" s="70" t="str">
        <f t="shared" si="856"/>
        <v/>
      </c>
      <c r="AD2472" s="70" t="str">
        <f t="shared" si="857"/>
        <v/>
      </c>
      <c r="AE2472" s="70" t="str">
        <f t="shared" si="858"/>
        <v/>
      </c>
      <c r="AF2472" s="16"/>
      <c r="AG2472" s="23"/>
      <c r="AH2472" s="22"/>
      <c r="AJ2472" s="83">
        <f t="shared" si="859"/>
        <v>0</v>
      </c>
      <c r="AO2472" s="22" t="str">
        <f t="shared" si="860"/>
        <v/>
      </c>
      <c r="AP2472" s="22" t="str">
        <f t="shared" si="861"/>
        <v/>
      </c>
    </row>
    <row r="2473" spans="1:42" x14ac:dyDescent="0.25">
      <c r="A2473" s="10"/>
      <c r="B2473" s="10"/>
      <c r="C2473" s="10"/>
      <c r="D2473" s="10"/>
      <c r="E2473" s="10"/>
      <c r="F2473" s="10"/>
      <c r="G2473" s="10"/>
      <c r="H2473" s="17"/>
      <c r="I2473" s="10"/>
      <c r="J2473" s="10"/>
      <c r="K2473" s="16" t="str">
        <f t="shared" si="840"/>
        <v/>
      </c>
      <c r="L2473" s="23" t="str">
        <f t="shared" si="841"/>
        <v/>
      </c>
      <c r="M2473" s="22" t="str">
        <f t="shared" si="842"/>
        <v/>
      </c>
      <c r="N2473" s="72"/>
      <c r="O2473" s="16" t="str">
        <f t="shared" si="843"/>
        <v/>
      </c>
      <c r="P2473" s="16" t="str">
        <f t="shared" si="844"/>
        <v/>
      </c>
      <c r="Q2473" s="16" t="str">
        <f t="shared" si="845"/>
        <v/>
      </c>
      <c r="R2473" s="23" t="str">
        <f t="shared" si="846"/>
        <v/>
      </c>
      <c r="S2473" s="23" t="str">
        <f t="shared" si="847"/>
        <v/>
      </c>
      <c r="T2473" s="23" t="str">
        <f t="shared" si="848"/>
        <v/>
      </c>
      <c r="U2473" s="23" t="str">
        <f t="shared" si="849"/>
        <v/>
      </c>
      <c r="V2473" s="23" t="str">
        <f t="shared" si="850"/>
        <v/>
      </c>
      <c r="W2473" s="70" t="str">
        <f t="shared" si="851"/>
        <v/>
      </c>
      <c r="X2473" s="70" t="str">
        <f t="shared" si="852"/>
        <v/>
      </c>
      <c r="Y2473" s="70" t="str">
        <f>IF(AND($A2473&lt;&gt;"",$E2473&gt;0),isLaptopBag($C2473,$J2473)*$D2473,"")</f>
        <v/>
      </c>
      <c r="Z2473" s="70" t="str">
        <f t="shared" si="853"/>
        <v/>
      </c>
      <c r="AA2473" s="70" t="str">
        <f t="shared" si="854"/>
        <v/>
      </c>
      <c r="AB2473" s="70" t="str">
        <f t="shared" si="855"/>
        <v/>
      </c>
      <c r="AC2473" s="70" t="str">
        <f t="shared" si="856"/>
        <v/>
      </c>
      <c r="AD2473" s="70" t="str">
        <f t="shared" si="857"/>
        <v/>
      </c>
      <c r="AE2473" s="70" t="str">
        <f t="shared" si="858"/>
        <v/>
      </c>
      <c r="AF2473" s="16"/>
      <c r="AG2473" s="23"/>
      <c r="AH2473" s="22"/>
      <c r="AJ2473" s="83">
        <f t="shared" si="859"/>
        <v>0</v>
      </c>
      <c r="AO2473" s="22" t="str">
        <f t="shared" si="860"/>
        <v/>
      </c>
      <c r="AP2473" s="22" t="str">
        <f t="shared" si="861"/>
        <v/>
      </c>
    </row>
    <row r="2474" spans="1:42" x14ac:dyDescent="0.25">
      <c r="A2474" s="10"/>
      <c r="B2474" s="10"/>
      <c r="C2474" s="10"/>
      <c r="D2474" s="10"/>
      <c r="E2474" s="10"/>
      <c r="F2474" s="10"/>
      <c r="G2474" s="10"/>
      <c r="H2474" s="17"/>
      <c r="I2474" s="10"/>
      <c r="J2474" s="10"/>
      <c r="K2474" s="16" t="str">
        <f t="shared" si="840"/>
        <v/>
      </c>
      <c r="L2474" s="23" t="str">
        <f t="shared" si="841"/>
        <v/>
      </c>
      <c r="M2474" s="22" t="str">
        <f t="shared" si="842"/>
        <v/>
      </c>
      <c r="N2474" s="72"/>
      <c r="O2474" s="16" t="str">
        <f t="shared" si="843"/>
        <v/>
      </c>
      <c r="P2474" s="16" t="str">
        <f t="shared" si="844"/>
        <v/>
      </c>
      <c r="Q2474" s="16" t="str">
        <f t="shared" si="845"/>
        <v/>
      </c>
      <c r="R2474" s="23" t="str">
        <f t="shared" si="846"/>
        <v/>
      </c>
      <c r="S2474" s="23" t="str">
        <f t="shared" si="847"/>
        <v/>
      </c>
      <c r="T2474" s="23" t="str">
        <f t="shared" si="848"/>
        <v/>
      </c>
      <c r="U2474" s="23" t="str">
        <f t="shared" si="849"/>
        <v/>
      </c>
      <c r="V2474" s="23" t="str">
        <f t="shared" si="850"/>
        <v/>
      </c>
      <c r="W2474" s="70" t="str">
        <f t="shared" si="851"/>
        <v/>
      </c>
      <c r="X2474" s="70" t="str">
        <f t="shared" si="852"/>
        <v/>
      </c>
      <c r="Y2474" s="70" t="str">
        <f>IF(AND($A2474&lt;&gt;"",$E2474&gt;0),isLaptopBag($C2474,$J2474)*$D2474,"")</f>
        <v/>
      </c>
      <c r="Z2474" s="70" t="str">
        <f t="shared" si="853"/>
        <v/>
      </c>
      <c r="AA2474" s="70" t="str">
        <f t="shared" si="854"/>
        <v/>
      </c>
      <c r="AB2474" s="70" t="str">
        <f t="shared" si="855"/>
        <v/>
      </c>
      <c r="AC2474" s="70" t="str">
        <f t="shared" si="856"/>
        <v/>
      </c>
      <c r="AD2474" s="70" t="str">
        <f t="shared" si="857"/>
        <v/>
      </c>
      <c r="AE2474" s="70" t="str">
        <f t="shared" si="858"/>
        <v/>
      </c>
      <c r="AF2474" s="16"/>
      <c r="AG2474" s="23"/>
      <c r="AH2474" s="22"/>
      <c r="AJ2474" s="83">
        <f t="shared" si="859"/>
        <v>0</v>
      </c>
      <c r="AO2474" s="22" t="str">
        <f t="shared" si="860"/>
        <v/>
      </c>
      <c r="AP2474" s="22" t="str">
        <f t="shared" si="861"/>
        <v/>
      </c>
    </row>
    <row r="2475" spans="1:42" x14ac:dyDescent="0.25">
      <c r="A2475" s="10"/>
      <c r="B2475" s="10"/>
      <c r="C2475" s="10"/>
      <c r="D2475" s="10"/>
      <c r="E2475" s="10"/>
      <c r="F2475" s="10"/>
      <c r="G2475" s="10"/>
      <c r="H2475" s="17"/>
      <c r="I2475" s="10"/>
      <c r="J2475" s="10"/>
      <c r="K2475" s="16" t="str">
        <f t="shared" si="840"/>
        <v/>
      </c>
      <c r="L2475" s="23" t="str">
        <f t="shared" si="841"/>
        <v/>
      </c>
      <c r="M2475" s="22" t="str">
        <f t="shared" si="842"/>
        <v/>
      </c>
      <c r="N2475" s="72"/>
      <c r="O2475" s="16" t="str">
        <f t="shared" si="843"/>
        <v/>
      </c>
      <c r="P2475" s="16" t="str">
        <f t="shared" si="844"/>
        <v/>
      </c>
      <c r="Q2475" s="16" t="str">
        <f t="shared" si="845"/>
        <v/>
      </c>
      <c r="R2475" s="23" t="str">
        <f t="shared" si="846"/>
        <v/>
      </c>
      <c r="S2475" s="23" t="str">
        <f t="shared" si="847"/>
        <v/>
      </c>
      <c r="T2475" s="23" t="str">
        <f t="shared" si="848"/>
        <v/>
      </c>
      <c r="U2475" s="23" t="str">
        <f t="shared" si="849"/>
        <v/>
      </c>
      <c r="V2475" s="23" t="str">
        <f t="shared" si="850"/>
        <v/>
      </c>
      <c r="W2475" s="70" t="str">
        <f t="shared" si="851"/>
        <v/>
      </c>
      <c r="X2475" s="70" t="str">
        <f t="shared" si="852"/>
        <v/>
      </c>
      <c r="Y2475" s="70" t="str">
        <f>IF(AND($A2475&lt;&gt;"",$E2475&gt;0),isLaptopBag($C2475,$J2475)*$D2475,"")</f>
        <v/>
      </c>
      <c r="Z2475" s="70" t="str">
        <f t="shared" si="853"/>
        <v/>
      </c>
      <c r="AA2475" s="70" t="str">
        <f t="shared" si="854"/>
        <v/>
      </c>
      <c r="AB2475" s="70" t="str">
        <f t="shared" si="855"/>
        <v/>
      </c>
      <c r="AC2475" s="70" t="str">
        <f t="shared" si="856"/>
        <v/>
      </c>
      <c r="AD2475" s="70" t="str">
        <f t="shared" si="857"/>
        <v/>
      </c>
      <c r="AE2475" s="70" t="str">
        <f t="shared" si="858"/>
        <v/>
      </c>
      <c r="AF2475" s="16"/>
      <c r="AG2475" s="23"/>
      <c r="AH2475" s="22"/>
      <c r="AJ2475" s="83">
        <f t="shared" si="859"/>
        <v>0</v>
      </c>
      <c r="AO2475" s="22" t="str">
        <f t="shared" si="860"/>
        <v/>
      </c>
      <c r="AP2475" s="22" t="str">
        <f t="shared" si="861"/>
        <v/>
      </c>
    </row>
    <row r="2476" spans="1:42" x14ac:dyDescent="0.25">
      <c r="A2476" s="10"/>
      <c r="B2476" s="10"/>
      <c r="C2476" s="10"/>
      <c r="D2476" s="10"/>
      <c r="E2476" s="10"/>
      <c r="F2476" s="10"/>
      <c r="G2476" s="10"/>
      <c r="H2476" s="17"/>
      <c r="I2476" s="10"/>
      <c r="J2476" s="10"/>
      <c r="K2476" s="16" t="str">
        <f t="shared" si="840"/>
        <v/>
      </c>
      <c r="L2476" s="23" t="str">
        <f t="shared" si="841"/>
        <v/>
      </c>
      <c r="M2476" s="22" t="str">
        <f t="shared" si="842"/>
        <v/>
      </c>
      <c r="N2476" s="72"/>
      <c r="O2476" s="16" t="str">
        <f t="shared" si="843"/>
        <v/>
      </c>
      <c r="P2476" s="16" t="str">
        <f t="shared" si="844"/>
        <v/>
      </c>
      <c r="Q2476" s="16" t="str">
        <f t="shared" si="845"/>
        <v/>
      </c>
      <c r="R2476" s="23" t="str">
        <f t="shared" si="846"/>
        <v/>
      </c>
      <c r="S2476" s="23" t="str">
        <f t="shared" si="847"/>
        <v/>
      </c>
      <c r="T2476" s="23" t="str">
        <f t="shared" si="848"/>
        <v/>
      </c>
      <c r="U2476" s="23" t="str">
        <f t="shared" si="849"/>
        <v/>
      </c>
      <c r="V2476" s="23" t="str">
        <f t="shared" si="850"/>
        <v/>
      </c>
      <c r="W2476" s="70" t="str">
        <f t="shared" si="851"/>
        <v/>
      </c>
      <c r="X2476" s="70" t="str">
        <f t="shared" si="852"/>
        <v/>
      </c>
      <c r="Y2476" s="70" t="str">
        <f>IF(AND($A2476&lt;&gt;"",$E2476&gt;0),isLaptopBag($C2476,$J2476)*$D2476,"")</f>
        <v/>
      </c>
      <c r="Z2476" s="70" t="str">
        <f t="shared" si="853"/>
        <v/>
      </c>
      <c r="AA2476" s="70" t="str">
        <f t="shared" si="854"/>
        <v/>
      </c>
      <c r="AB2476" s="70" t="str">
        <f t="shared" si="855"/>
        <v/>
      </c>
      <c r="AC2476" s="70" t="str">
        <f t="shared" si="856"/>
        <v/>
      </c>
      <c r="AD2476" s="70" t="str">
        <f t="shared" si="857"/>
        <v/>
      </c>
      <c r="AE2476" s="70" t="str">
        <f t="shared" si="858"/>
        <v/>
      </c>
      <c r="AF2476" s="16"/>
      <c r="AG2476" s="23"/>
      <c r="AH2476" s="22"/>
      <c r="AJ2476" s="83">
        <f t="shared" si="859"/>
        <v>0</v>
      </c>
      <c r="AO2476" s="22" t="str">
        <f t="shared" si="860"/>
        <v/>
      </c>
      <c r="AP2476" s="22" t="str">
        <f t="shared" si="861"/>
        <v/>
      </c>
    </row>
    <row r="2477" spans="1:42" x14ac:dyDescent="0.25">
      <c r="A2477" s="10"/>
      <c r="B2477" s="10"/>
      <c r="C2477" s="10"/>
      <c r="D2477" s="10"/>
      <c r="E2477" s="10"/>
      <c r="F2477" s="10"/>
      <c r="G2477" s="10"/>
      <c r="H2477" s="17"/>
      <c r="I2477" s="10"/>
      <c r="J2477" s="10"/>
      <c r="K2477" s="16" t="str">
        <f t="shared" si="840"/>
        <v/>
      </c>
      <c r="L2477" s="23" t="str">
        <f t="shared" si="841"/>
        <v/>
      </c>
      <c r="M2477" s="22" t="str">
        <f t="shared" si="842"/>
        <v/>
      </c>
      <c r="N2477" s="72"/>
      <c r="O2477" s="16" t="str">
        <f t="shared" si="843"/>
        <v/>
      </c>
      <c r="P2477" s="16" t="str">
        <f t="shared" si="844"/>
        <v/>
      </c>
      <c r="Q2477" s="16" t="str">
        <f t="shared" si="845"/>
        <v/>
      </c>
      <c r="R2477" s="23" t="str">
        <f t="shared" si="846"/>
        <v/>
      </c>
      <c r="S2477" s="23" t="str">
        <f t="shared" si="847"/>
        <v/>
      </c>
      <c r="T2477" s="23" t="str">
        <f t="shared" si="848"/>
        <v/>
      </c>
      <c r="U2477" s="23" t="str">
        <f t="shared" si="849"/>
        <v/>
      </c>
      <c r="V2477" s="23" t="str">
        <f t="shared" si="850"/>
        <v/>
      </c>
      <c r="W2477" s="70" t="str">
        <f t="shared" si="851"/>
        <v/>
      </c>
      <c r="X2477" s="70" t="str">
        <f t="shared" si="852"/>
        <v/>
      </c>
      <c r="Y2477" s="70" t="str">
        <f>IF(AND($A2477&lt;&gt;"",$E2477&gt;0),isLaptopBag($C2477,$J2477)*$D2477,"")</f>
        <v/>
      </c>
      <c r="Z2477" s="70" t="str">
        <f t="shared" si="853"/>
        <v/>
      </c>
      <c r="AA2477" s="70" t="str">
        <f t="shared" si="854"/>
        <v/>
      </c>
      <c r="AB2477" s="70" t="str">
        <f t="shared" si="855"/>
        <v/>
      </c>
      <c r="AC2477" s="70" t="str">
        <f t="shared" si="856"/>
        <v/>
      </c>
      <c r="AD2477" s="70" t="str">
        <f t="shared" si="857"/>
        <v/>
      </c>
      <c r="AE2477" s="70" t="str">
        <f t="shared" si="858"/>
        <v/>
      </c>
      <c r="AF2477" s="16"/>
      <c r="AG2477" s="23"/>
      <c r="AH2477" s="22"/>
      <c r="AJ2477" s="83">
        <f t="shared" si="859"/>
        <v>0</v>
      </c>
      <c r="AO2477" s="22" t="str">
        <f t="shared" si="860"/>
        <v/>
      </c>
      <c r="AP2477" s="22" t="str">
        <f t="shared" si="861"/>
        <v/>
      </c>
    </row>
    <row r="2478" spans="1:42" x14ac:dyDescent="0.25">
      <c r="A2478" s="10"/>
      <c r="B2478" s="10"/>
      <c r="C2478" s="10"/>
      <c r="D2478" s="10"/>
      <c r="E2478" s="10"/>
      <c r="F2478" s="10"/>
      <c r="G2478" s="10"/>
      <c r="H2478" s="17"/>
      <c r="I2478" s="10"/>
      <c r="J2478" s="10"/>
      <c r="K2478" s="16" t="str">
        <f t="shared" si="840"/>
        <v/>
      </c>
      <c r="L2478" s="23" t="str">
        <f t="shared" si="841"/>
        <v/>
      </c>
      <c r="M2478" s="22" t="str">
        <f t="shared" si="842"/>
        <v/>
      </c>
      <c r="N2478" s="72"/>
      <c r="O2478" s="16" t="str">
        <f t="shared" si="843"/>
        <v/>
      </c>
      <c r="P2478" s="16" t="str">
        <f t="shared" si="844"/>
        <v/>
      </c>
      <c r="Q2478" s="16" t="str">
        <f t="shared" si="845"/>
        <v/>
      </c>
      <c r="R2478" s="23" t="str">
        <f t="shared" si="846"/>
        <v/>
      </c>
      <c r="S2478" s="23" t="str">
        <f t="shared" si="847"/>
        <v/>
      </c>
      <c r="T2478" s="23" t="str">
        <f t="shared" si="848"/>
        <v/>
      </c>
      <c r="U2478" s="23" t="str">
        <f t="shared" si="849"/>
        <v/>
      </c>
      <c r="V2478" s="23" t="str">
        <f t="shared" si="850"/>
        <v/>
      </c>
      <c r="W2478" s="70" t="str">
        <f t="shared" si="851"/>
        <v/>
      </c>
      <c r="X2478" s="70" t="str">
        <f t="shared" si="852"/>
        <v/>
      </c>
      <c r="Y2478" s="70" t="str">
        <f>IF(AND($A2478&lt;&gt;"",$E2478&gt;0),isLaptopBag($C2478,$J2478)*$D2478,"")</f>
        <v/>
      </c>
      <c r="Z2478" s="70" t="str">
        <f t="shared" si="853"/>
        <v/>
      </c>
      <c r="AA2478" s="70" t="str">
        <f t="shared" si="854"/>
        <v/>
      </c>
      <c r="AB2478" s="70" t="str">
        <f t="shared" si="855"/>
        <v/>
      </c>
      <c r="AC2478" s="70" t="str">
        <f t="shared" si="856"/>
        <v/>
      </c>
      <c r="AD2478" s="70" t="str">
        <f t="shared" si="857"/>
        <v/>
      </c>
      <c r="AE2478" s="70" t="str">
        <f t="shared" si="858"/>
        <v/>
      </c>
      <c r="AF2478" s="16"/>
      <c r="AG2478" s="23"/>
      <c r="AH2478" s="22"/>
      <c r="AJ2478" s="83">
        <f t="shared" si="859"/>
        <v>0</v>
      </c>
      <c r="AO2478" s="22" t="str">
        <f t="shared" si="860"/>
        <v/>
      </c>
      <c r="AP2478" s="22" t="str">
        <f t="shared" si="861"/>
        <v/>
      </c>
    </row>
    <row r="2479" spans="1:42" x14ac:dyDescent="0.25">
      <c r="A2479" s="10"/>
      <c r="B2479" s="10"/>
      <c r="C2479" s="10"/>
      <c r="D2479" s="10"/>
      <c r="E2479" s="10"/>
      <c r="F2479" s="10"/>
      <c r="G2479" s="10"/>
      <c r="H2479" s="17"/>
      <c r="I2479" s="10"/>
      <c r="J2479" s="10"/>
      <c r="K2479" s="16" t="str">
        <f t="shared" si="840"/>
        <v/>
      </c>
      <c r="L2479" s="23" t="str">
        <f t="shared" si="841"/>
        <v/>
      </c>
      <c r="M2479" s="22" t="str">
        <f t="shared" si="842"/>
        <v/>
      </c>
      <c r="N2479" s="72"/>
      <c r="O2479" s="16" t="str">
        <f t="shared" si="843"/>
        <v/>
      </c>
      <c r="P2479" s="16" t="str">
        <f t="shared" si="844"/>
        <v/>
      </c>
      <c r="Q2479" s="16" t="str">
        <f t="shared" si="845"/>
        <v/>
      </c>
      <c r="R2479" s="23" t="str">
        <f t="shared" si="846"/>
        <v/>
      </c>
      <c r="S2479" s="23" t="str">
        <f t="shared" si="847"/>
        <v/>
      </c>
      <c r="T2479" s="23" t="str">
        <f t="shared" si="848"/>
        <v/>
      </c>
      <c r="U2479" s="23" t="str">
        <f t="shared" si="849"/>
        <v/>
      </c>
      <c r="V2479" s="23" t="str">
        <f t="shared" si="850"/>
        <v/>
      </c>
      <c r="W2479" s="70" t="str">
        <f t="shared" si="851"/>
        <v/>
      </c>
      <c r="X2479" s="70" t="str">
        <f t="shared" si="852"/>
        <v/>
      </c>
      <c r="Y2479" s="70" t="str">
        <f>IF(AND($A2479&lt;&gt;"",$E2479&gt;0),isLaptopBag($C2479,$J2479)*$D2479,"")</f>
        <v/>
      </c>
      <c r="Z2479" s="70" t="str">
        <f t="shared" si="853"/>
        <v/>
      </c>
      <c r="AA2479" s="70" t="str">
        <f t="shared" si="854"/>
        <v/>
      </c>
      <c r="AB2479" s="70" t="str">
        <f t="shared" si="855"/>
        <v/>
      </c>
      <c r="AC2479" s="70" t="str">
        <f t="shared" si="856"/>
        <v/>
      </c>
      <c r="AD2479" s="70" t="str">
        <f t="shared" si="857"/>
        <v/>
      </c>
      <c r="AE2479" s="70" t="str">
        <f t="shared" si="858"/>
        <v/>
      </c>
      <c r="AF2479" s="16"/>
      <c r="AG2479" s="23"/>
      <c r="AH2479" s="22"/>
      <c r="AJ2479" s="83">
        <f t="shared" si="859"/>
        <v>0</v>
      </c>
      <c r="AO2479" s="22" t="str">
        <f t="shared" si="860"/>
        <v/>
      </c>
      <c r="AP2479" s="22" t="str">
        <f t="shared" si="861"/>
        <v/>
      </c>
    </row>
    <row r="2480" spans="1:42" x14ac:dyDescent="0.25">
      <c r="A2480" s="10"/>
      <c r="B2480" s="10"/>
      <c r="C2480" s="10"/>
      <c r="D2480" s="10"/>
      <c r="E2480" s="10"/>
      <c r="F2480" s="10"/>
      <c r="G2480" s="10"/>
      <c r="H2480" s="17"/>
      <c r="I2480" s="10"/>
      <c r="J2480" s="10"/>
      <c r="K2480" s="16" t="str">
        <f t="shared" si="840"/>
        <v/>
      </c>
      <c r="L2480" s="23" t="str">
        <f t="shared" si="841"/>
        <v/>
      </c>
      <c r="M2480" s="22" t="str">
        <f t="shared" si="842"/>
        <v/>
      </c>
      <c r="N2480" s="72"/>
      <c r="O2480" s="16" t="str">
        <f t="shared" si="843"/>
        <v/>
      </c>
      <c r="P2480" s="16" t="str">
        <f t="shared" si="844"/>
        <v/>
      </c>
      <c r="Q2480" s="16" t="str">
        <f t="shared" si="845"/>
        <v/>
      </c>
      <c r="R2480" s="23" t="str">
        <f t="shared" si="846"/>
        <v/>
      </c>
      <c r="S2480" s="23" t="str">
        <f t="shared" si="847"/>
        <v/>
      </c>
      <c r="T2480" s="23" t="str">
        <f t="shared" si="848"/>
        <v/>
      </c>
      <c r="U2480" s="23" t="str">
        <f t="shared" si="849"/>
        <v/>
      </c>
      <c r="V2480" s="23" t="str">
        <f t="shared" si="850"/>
        <v/>
      </c>
      <c r="W2480" s="70" t="str">
        <f t="shared" si="851"/>
        <v/>
      </c>
      <c r="X2480" s="70" t="str">
        <f t="shared" si="852"/>
        <v/>
      </c>
      <c r="Y2480" s="70" t="str">
        <f>IF(AND($A2480&lt;&gt;"",$E2480&gt;0),isLaptopBag($C2480,$J2480)*$D2480,"")</f>
        <v/>
      </c>
      <c r="Z2480" s="70" t="str">
        <f t="shared" si="853"/>
        <v/>
      </c>
      <c r="AA2480" s="70" t="str">
        <f t="shared" si="854"/>
        <v/>
      </c>
      <c r="AB2480" s="70" t="str">
        <f t="shared" si="855"/>
        <v/>
      </c>
      <c r="AC2480" s="70" t="str">
        <f t="shared" si="856"/>
        <v/>
      </c>
      <c r="AD2480" s="70" t="str">
        <f t="shared" si="857"/>
        <v/>
      </c>
      <c r="AE2480" s="70" t="str">
        <f t="shared" si="858"/>
        <v/>
      </c>
      <c r="AF2480" s="16"/>
      <c r="AG2480" s="23"/>
      <c r="AH2480" s="22"/>
      <c r="AJ2480" s="83">
        <f t="shared" si="859"/>
        <v>0</v>
      </c>
      <c r="AO2480" s="22" t="str">
        <f t="shared" si="860"/>
        <v/>
      </c>
      <c r="AP2480" s="22" t="str">
        <f t="shared" si="861"/>
        <v/>
      </c>
    </row>
    <row r="2481" spans="1:42" x14ac:dyDescent="0.25">
      <c r="A2481" s="10"/>
      <c r="B2481" s="10"/>
      <c r="C2481" s="10"/>
      <c r="D2481" s="10"/>
      <c r="E2481" s="10"/>
      <c r="F2481" s="10"/>
      <c r="G2481" s="10"/>
      <c r="H2481" s="17"/>
      <c r="I2481" s="10"/>
      <c r="J2481" s="10"/>
      <c r="K2481" s="16" t="str">
        <f t="shared" si="840"/>
        <v/>
      </c>
      <c r="L2481" s="23" t="str">
        <f t="shared" si="841"/>
        <v/>
      </c>
      <c r="M2481" s="22" t="str">
        <f t="shared" si="842"/>
        <v/>
      </c>
      <c r="N2481" s="72"/>
      <c r="O2481" s="16" t="str">
        <f t="shared" si="843"/>
        <v/>
      </c>
      <c r="P2481" s="16" t="str">
        <f t="shared" si="844"/>
        <v/>
      </c>
      <c r="Q2481" s="16" t="str">
        <f t="shared" si="845"/>
        <v/>
      </c>
      <c r="R2481" s="23" t="str">
        <f t="shared" si="846"/>
        <v/>
      </c>
      <c r="S2481" s="23" t="str">
        <f t="shared" si="847"/>
        <v/>
      </c>
      <c r="T2481" s="23" t="str">
        <f t="shared" si="848"/>
        <v/>
      </c>
      <c r="U2481" s="23" t="str">
        <f t="shared" si="849"/>
        <v/>
      </c>
      <c r="V2481" s="23" t="str">
        <f t="shared" si="850"/>
        <v/>
      </c>
      <c r="W2481" s="70" t="str">
        <f t="shared" si="851"/>
        <v/>
      </c>
      <c r="X2481" s="70" t="str">
        <f t="shared" si="852"/>
        <v/>
      </c>
      <c r="Y2481" s="70" t="str">
        <f>IF(AND($A2481&lt;&gt;"",$E2481&gt;0),isLaptopBag($C2481,$J2481)*$D2481,"")</f>
        <v/>
      </c>
      <c r="Z2481" s="70" t="str">
        <f t="shared" si="853"/>
        <v/>
      </c>
      <c r="AA2481" s="70" t="str">
        <f t="shared" si="854"/>
        <v/>
      </c>
      <c r="AB2481" s="70" t="str">
        <f t="shared" si="855"/>
        <v/>
      </c>
      <c r="AC2481" s="70" t="str">
        <f t="shared" si="856"/>
        <v/>
      </c>
      <c r="AD2481" s="70" t="str">
        <f t="shared" si="857"/>
        <v/>
      </c>
      <c r="AE2481" s="70" t="str">
        <f t="shared" si="858"/>
        <v/>
      </c>
      <c r="AF2481" s="16"/>
      <c r="AG2481" s="23"/>
      <c r="AH2481" s="22"/>
      <c r="AJ2481" s="83">
        <f t="shared" si="859"/>
        <v>0</v>
      </c>
      <c r="AO2481" s="22" t="str">
        <f t="shared" si="860"/>
        <v/>
      </c>
      <c r="AP2481" s="22" t="str">
        <f t="shared" si="861"/>
        <v/>
      </c>
    </row>
    <row r="2482" spans="1:42" x14ac:dyDescent="0.25">
      <c r="A2482" s="10"/>
      <c r="B2482" s="10"/>
      <c r="C2482" s="10"/>
      <c r="D2482" s="10"/>
      <c r="E2482" s="10"/>
      <c r="F2482" s="10"/>
      <c r="G2482" s="10"/>
      <c r="H2482" s="17"/>
      <c r="I2482" s="10"/>
      <c r="J2482" s="10"/>
      <c r="K2482" s="16" t="str">
        <f t="shared" si="840"/>
        <v/>
      </c>
      <c r="L2482" s="23" t="str">
        <f t="shared" si="841"/>
        <v/>
      </c>
      <c r="M2482" s="22" t="str">
        <f t="shared" si="842"/>
        <v/>
      </c>
      <c r="N2482" s="72"/>
      <c r="O2482" s="16" t="str">
        <f t="shared" si="843"/>
        <v/>
      </c>
      <c r="P2482" s="16" t="str">
        <f t="shared" si="844"/>
        <v/>
      </c>
      <c r="Q2482" s="16" t="str">
        <f t="shared" si="845"/>
        <v/>
      </c>
      <c r="R2482" s="23" t="str">
        <f t="shared" si="846"/>
        <v/>
      </c>
      <c r="S2482" s="23" t="str">
        <f t="shared" si="847"/>
        <v/>
      </c>
      <c r="T2482" s="23" t="str">
        <f t="shared" si="848"/>
        <v/>
      </c>
      <c r="U2482" s="23" t="str">
        <f t="shared" si="849"/>
        <v/>
      </c>
      <c r="V2482" s="23" t="str">
        <f t="shared" si="850"/>
        <v/>
      </c>
      <c r="W2482" s="70" t="str">
        <f t="shared" si="851"/>
        <v/>
      </c>
      <c r="X2482" s="70" t="str">
        <f t="shared" si="852"/>
        <v/>
      </c>
      <c r="Y2482" s="70" t="str">
        <f>IF(AND($A2482&lt;&gt;"",$E2482&gt;0),isLaptopBag($C2482,$J2482)*$D2482,"")</f>
        <v/>
      </c>
      <c r="Z2482" s="70" t="str">
        <f t="shared" si="853"/>
        <v/>
      </c>
      <c r="AA2482" s="70" t="str">
        <f t="shared" si="854"/>
        <v/>
      </c>
      <c r="AB2482" s="70" t="str">
        <f t="shared" si="855"/>
        <v/>
      </c>
      <c r="AC2482" s="70" t="str">
        <f t="shared" si="856"/>
        <v/>
      </c>
      <c r="AD2482" s="70" t="str">
        <f t="shared" si="857"/>
        <v/>
      </c>
      <c r="AE2482" s="70" t="str">
        <f t="shared" si="858"/>
        <v/>
      </c>
      <c r="AF2482" s="16"/>
      <c r="AG2482" s="23"/>
      <c r="AH2482" s="22"/>
      <c r="AJ2482" s="83">
        <f t="shared" si="859"/>
        <v>0</v>
      </c>
      <c r="AO2482" s="22" t="str">
        <f t="shared" si="860"/>
        <v/>
      </c>
      <c r="AP2482" s="22" t="str">
        <f t="shared" si="861"/>
        <v/>
      </c>
    </row>
    <row r="2483" spans="1:42" x14ac:dyDescent="0.25">
      <c r="A2483" s="10"/>
      <c r="B2483" s="10"/>
      <c r="C2483" s="10"/>
      <c r="D2483" s="10"/>
      <c r="E2483" s="10"/>
      <c r="F2483" s="10"/>
      <c r="G2483" s="10"/>
      <c r="H2483" s="17"/>
      <c r="I2483" s="10"/>
      <c r="J2483" s="10"/>
      <c r="K2483" s="16" t="str">
        <f t="shared" si="840"/>
        <v/>
      </c>
      <c r="L2483" s="23" t="str">
        <f t="shared" si="841"/>
        <v/>
      </c>
      <c r="M2483" s="22" t="str">
        <f t="shared" si="842"/>
        <v/>
      </c>
      <c r="N2483" s="72"/>
      <c r="O2483" s="16" t="str">
        <f t="shared" si="843"/>
        <v/>
      </c>
      <c r="P2483" s="16" t="str">
        <f t="shared" si="844"/>
        <v/>
      </c>
      <c r="Q2483" s="16" t="str">
        <f t="shared" si="845"/>
        <v/>
      </c>
      <c r="R2483" s="23" t="str">
        <f t="shared" si="846"/>
        <v/>
      </c>
      <c r="S2483" s="23" t="str">
        <f t="shared" si="847"/>
        <v/>
      </c>
      <c r="T2483" s="23" t="str">
        <f t="shared" si="848"/>
        <v/>
      </c>
      <c r="U2483" s="23" t="str">
        <f t="shared" si="849"/>
        <v/>
      </c>
      <c r="V2483" s="23" t="str">
        <f t="shared" si="850"/>
        <v/>
      </c>
      <c r="W2483" s="70" t="str">
        <f t="shared" si="851"/>
        <v/>
      </c>
      <c r="X2483" s="70" t="str">
        <f t="shared" si="852"/>
        <v/>
      </c>
      <c r="Y2483" s="70" t="str">
        <f>IF(AND($A2483&lt;&gt;"",$E2483&gt;0),isLaptopBag($C2483,$J2483)*$D2483,"")</f>
        <v/>
      </c>
      <c r="Z2483" s="70" t="str">
        <f t="shared" si="853"/>
        <v/>
      </c>
      <c r="AA2483" s="70" t="str">
        <f t="shared" si="854"/>
        <v/>
      </c>
      <c r="AB2483" s="70" t="str">
        <f t="shared" si="855"/>
        <v/>
      </c>
      <c r="AC2483" s="70" t="str">
        <f t="shared" si="856"/>
        <v/>
      </c>
      <c r="AD2483" s="70" t="str">
        <f t="shared" si="857"/>
        <v/>
      </c>
      <c r="AE2483" s="70" t="str">
        <f t="shared" si="858"/>
        <v/>
      </c>
      <c r="AF2483" s="16"/>
      <c r="AG2483" s="23"/>
      <c r="AH2483" s="22"/>
      <c r="AJ2483" s="83">
        <f t="shared" si="859"/>
        <v>0</v>
      </c>
      <c r="AO2483" s="22" t="str">
        <f t="shared" si="860"/>
        <v/>
      </c>
      <c r="AP2483" s="22" t="str">
        <f t="shared" si="861"/>
        <v/>
      </c>
    </row>
    <row r="2484" spans="1:42" x14ac:dyDescent="0.25">
      <c r="A2484" s="10"/>
      <c r="B2484" s="10"/>
      <c r="C2484" s="10"/>
      <c r="D2484" s="10"/>
      <c r="E2484" s="10"/>
      <c r="F2484" s="10"/>
      <c r="G2484" s="10"/>
      <c r="H2484" s="17"/>
      <c r="I2484" s="10"/>
      <c r="J2484" s="10"/>
      <c r="K2484" s="16" t="str">
        <f t="shared" si="840"/>
        <v/>
      </c>
      <c r="L2484" s="23" t="str">
        <f t="shared" si="841"/>
        <v/>
      </c>
      <c r="M2484" s="22" t="str">
        <f t="shared" si="842"/>
        <v/>
      </c>
      <c r="N2484" s="72"/>
      <c r="O2484" s="16" t="str">
        <f t="shared" si="843"/>
        <v/>
      </c>
      <c r="P2484" s="16" t="str">
        <f t="shared" si="844"/>
        <v/>
      </c>
      <c r="Q2484" s="16" t="str">
        <f t="shared" si="845"/>
        <v/>
      </c>
      <c r="R2484" s="23" t="str">
        <f t="shared" si="846"/>
        <v/>
      </c>
      <c r="S2484" s="23" t="str">
        <f t="shared" si="847"/>
        <v/>
      </c>
      <c r="T2484" s="23" t="str">
        <f t="shared" si="848"/>
        <v/>
      </c>
      <c r="U2484" s="23" t="str">
        <f t="shared" si="849"/>
        <v/>
      </c>
      <c r="V2484" s="23" t="str">
        <f t="shared" si="850"/>
        <v/>
      </c>
      <c r="W2484" s="70" t="str">
        <f t="shared" si="851"/>
        <v/>
      </c>
      <c r="X2484" s="70" t="str">
        <f t="shared" si="852"/>
        <v/>
      </c>
      <c r="Y2484" s="70" t="str">
        <f>IF(AND($A2484&lt;&gt;"",$E2484&gt;0),isLaptopBag($C2484,$J2484)*$D2484,"")</f>
        <v/>
      </c>
      <c r="Z2484" s="70" t="str">
        <f t="shared" si="853"/>
        <v/>
      </c>
      <c r="AA2484" s="70" t="str">
        <f t="shared" si="854"/>
        <v/>
      </c>
      <c r="AB2484" s="70" t="str">
        <f t="shared" si="855"/>
        <v/>
      </c>
      <c r="AC2484" s="70" t="str">
        <f t="shared" si="856"/>
        <v/>
      </c>
      <c r="AD2484" s="70" t="str">
        <f t="shared" si="857"/>
        <v/>
      </c>
      <c r="AE2484" s="70" t="str">
        <f t="shared" si="858"/>
        <v/>
      </c>
      <c r="AF2484" s="16"/>
      <c r="AG2484" s="23"/>
      <c r="AH2484" s="22"/>
      <c r="AJ2484" s="83">
        <f t="shared" si="859"/>
        <v>0</v>
      </c>
      <c r="AO2484" s="22" t="str">
        <f t="shared" si="860"/>
        <v/>
      </c>
      <c r="AP2484" s="22" t="str">
        <f t="shared" si="861"/>
        <v/>
      </c>
    </row>
    <row r="2485" spans="1:42" x14ac:dyDescent="0.25">
      <c r="A2485" s="10"/>
      <c r="B2485" s="10"/>
      <c r="C2485" s="10"/>
      <c r="D2485" s="10"/>
      <c r="E2485" s="10"/>
      <c r="F2485" s="10"/>
      <c r="G2485" s="10"/>
      <c r="H2485" s="17"/>
      <c r="I2485" s="10"/>
      <c r="J2485" s="10"/>
      <c r="K2485" s="16" t="str">
        <f t="shared" si="840"/>
        <v/>
      </c>
      <c r="L2485" s="23" t="str">
        <f t="shared" si="841"/>
        <v/>
      </c>
      <c r="M2485" s="22" t="str">
        <f t="shared" si="842"/>
        <v/>
      </c>
      <c r="N2485" s="72"/>
      <c r="O2485" s="16" t="str">
        <f t="shared" si="843"/>
        <v/>
      </c>
      <c r="P2485" s="16" t="str">
        <f t="shared" si="844"/>
        <v/>
      </c>
      <c r="Q2485" s="16" t="str">
        <f t="shared" si="845"/>
        <v/>
      </c>
      <c r="R2485" s="23" t="str">
        <f t="shared" si="846"/>
        <v/>
      </c>
      <c r="S2485" s="23" t="str">
        <f t="shared" si="847"/>
        <v/>
      </c>
      <c r="T2485" s="23" t="str">
        <f t="shared" si="848"/>
        <v/>
      </c>
      <c r="U2485" s="23" t="str">
        <f t="shared" si="849"/>
        <v/>
      </c>
      <c r="V2485" s="23" t="str">
        <f t="shared" si="850"/>
        <v/>
      </c>
      <c r="W2485" s="70" t="str">
        <f t="shared" si="851"/>
        <v/>
      </c>
      <c r="X2485" s="70" t="str">
        <f t="shared" si="852"/>
        <v/>
      </c>
      <c r="Y2485" s="70" t="str">
        <f>IF(AND($A2485&lt;&gt;"",$E2485&gt;0),isLaptopBag($C2485,$J2485)*$D2485,"")</f>
        <v/>
      </c>
      <c r="Z2485" s="70" t="str">
        <f t="shared" si="853"/>
        <v/>
      </c>
      <c r="AA2485" s="70" t="str">
        <f t="shared" si="854"/>
        <v/>
      </c>
      <c r="AB2485" s="70" t="str">
        <f t="shared" si="855"/>
        <v/>
      </c>
      <c r="AC2485" s="70" t="str">
        <f t="shared" si="856"/>
        <v/>
      </c>
      <c r="AD2485" s="70" t="str">
        <f t="shared" si="857"/>
        <v/>
      </c>
      <c r="AE2485" s="70" t="str">
        <f t="shared" si="858"/>
        <v/>
      </c>
      <c r="AF2485" s="16"/>
      <c r="AG2485" s="23"/>
      <c r="AH2485" s="22"/>
      <c r="AJ2485" s="83">
        <f t="shared" si="859"/>
        <v>0</v>
      </c>
      <c r="AO2485" s="22" t="str">
        <f t="shared" si="860"/>
        <v/>
      </c>
      <c r="AP2485" s="22" t="str">
        <f t="shared" si="861"/>
        <v/>
      </c>
    </row>
    <row r="2486" spans="1:42" x14ac:dyDescent="0.25">
      <c r="A2486" s="10"/>
      <c r="B2486" s="10"/>
      <c r="C2486" s="10"/>
      <c r="D2486" s="10"/>
      <c r="E2486" s="10"/>
      <c r="F2486" s="10"/>
      <c r="G2486" s="10"/>
      <c r="H2486" s="17"/>
      <c r="I2486" s="10"/>
      <c r="J2486" s="10"/>
      <c r="K2486" s="16" t="str">
        <f t="shared" si="840"/>
        <v/>
      </c>
      <c r="L2486" s="23" t="str">
        <f t="shared" si="841"/>
        <v/>
      </c>
      <c r="M2486" s="22" t="str">
        <f t="shared" si="842"/>
        <v/>
      </c>
      <c r="N2486" s="72"/>
      <c r="O2486" s="16" t="str">
        <f t="shared" si="843"/>
        <v/>
      </c>
      <c r="P2486" s="16" t="str">
        <f t="shared" si="844"/>
        <v/>
      </c>
      <c r="Q2486" s="16" t="str">
        <f t="shared" si="845"/>
        <v/>
      </c>
      <c r="R2486" s="23" t="str">
        <f t="shared" si="846"/>
        <v/>
      </c>
      <c r="S2486" s="23" t="str">
        <f t="shared" si="847"/>
        <v/>
      </c>
      <c r="T2486" s="23" t="str">
        <f t="shared" si="848"/>
        <v/>
      </c>
      <c r="U2486" s="23" t="str">
        <f t="shared" si="849"/>
        <v/>
      </c>
      <c r="V2486" s="23" t="str">
        <f t="shared" si="850"/>
        <v/>
      </c>
      <c r="W2486" s="70" t="str">
        <f t="shared" si="851"/>
        <v/>
      </c>
      <c r="X2486" s="70" t="str">
        <f t="shared" si="852"/>
        <v/>
      </c>
      <c r="Y2486" s="70" t="str">
        <f>IF(AND($A2486&lt;&gt;"",$E2486&gt;0),isLaptopBag($C2486,$J2486)*$D2486,"")</f>
        <v/>
      </c>
      <c r="Z2486" s="70" t="str">
        <f t="shared" si="853"/>
        <v/>
      </c>
      <c r="AA2486" s="70" t="str">
        <f t="shared" si="854"/>
        <v/>
      </c>
      <c r="AB2486" s="70" t="str">
        <f t="shared" si="855"/>
        <v/>
      </c>
      <c r="AC2486" s="70" t="str">
        <f t="shared" si="856"/>
        <v/>
      </c>
      <c r="AD2486" s="70" t="str">
        <f t="shared" si="857"/>
        <v/>
      </c>
      <c r="AE2486" s="70" t="str">
        <f t="shared" si="858"/>
        <v/>
      </c>
      <c r="AF2486" s="16"/>
      <c r="AG2486" s="23"/>
      <c r="AH2486" s="22"/>
      <c r="AJ2486" s="83">
        <f t="shared" si="859"/>
        <v>0</v>
      </c>
      <c r="AO2486" s="22" t="str">
        <f t="shared" si="860"/>
        <v/>
      </c>
      <c r="AP2486" s="22" t="str">
        <f t="shared" si="861"/>
        <v/>
      </c>
    </row>
    <row r="2487" spans="1:42" x14ac:dyDescent="0.25">
      <c r="A2487" s="10"/>
      <c r="B2487" s="10"/>
      <c r="C2487" s="10"/>
      <c r="D2487" s="10"/>
      <c r="E2487" s="10"/>
      <c r="F2487" s="10"/>
      <c r="G2487" s="10"/>
      <c r="H2487" s="17"/>
      <c r="I2487" s="10"/>
      <c r="J2487" s="10"/>
      <c r="K2487" s="16" t="str">
        <f t="shared" si="840"/>
        <v/>
      </c>
      <c r="L2487" s="23" t="str">
        <f t="shared" si="841"/>
        <v/>
      </c>
      <c r="M2487" s="22" t="str">
        <f t="shared" si="842"/>
        <v/>
      </c>
      <c r="N2487" s="72"/>
      <c r="O2487" s="16" t="str">
        <f t="shared" si="843"/>
        <v/>
      </c>
      <c r="P2487" s="16" t="str">
        <f t="shared" si="844"/>
        <v/>
      </c>
      <c r="Q2487" s="16" t="str">
        <f t="shared" si="845"/>
        <v/>
      </c>
      <c r="R2487" s="23" t="str">
        <f t="shared" si="846"/>
        <v/>
      </c>
      <c r="S2487" s="23" t="str">
        <f t="shared" si="847"/>
        <v/>
      </c>
      <c r="T2487" s="23" t="str">
        <f t="shared" si="848"/>
        <v/>
      </c>
      <c r="U2487" s="23" t="str">
        <f t="shared" si="849"/>
        <v/>
      </c>
      <c r="V2487" s="23" t="str">
        <f t="shared" si="850"/>
        <v/>
      </c>
      <c r="W2487" s="70" t="str">
        <f t="shared" si="851"/>
        <v/>
      </c>
      <c r="X2487" s="70" t="str">
        <f t="shared" si="852"/>
        <v/>
      </c>
      <c r="Y2487" s="70" t="str">
        <f>IF(AND($A2487&lt;&gt;"",$E2487&gt;0),isLaptopBag($C2487,$J2487)*$D2487,"")</f>
        <v/>
      </c>
      <c r="Z2487" s="70" t="str">
        <f t="shared" si="853"/>
        <v/>
      </c>
      <c r="AA2487" s="70" t="str">
        <f t="shared" si="854"/>
        <v/>
      </c>
      <c r="AB2487" s="70" t="str">
        <f t="shared" si="855"/>
        <v/>
      </c>
      <c r="AC2487" s="70" t="str">
        <f t="shared" si="856"/>
        <v/>
      </c>
      <c r="AD2487" s="70" t="str">
        <f t="shared" si="857"/>
        <v/>
      </c>
      <c r="AE2487" s="70" t="str">
        <f t="shared" si="858"/>
        <v/>
      </c>
      <c r="AF2487" s="16"/>
      <c r="AG2487" s="23"/>
      <c r="AH2487" s="22"/>
      <c r="AJ2487" s="83">
        <f t="shared" si="859"/>
        <v>0</v>
      </c>
      <c r="AO2487" s="22" t="str">
        <f t="shared" si="860"/>
        <v/>
      </c>
      <c r="AP2487" s="22" t="str">
        <f t="shared" si="861"/>
        <v/>
      </c>
    </row>
    <row r="2488" spans="1:42" x14ac:dyDescent="0.25">
      <c r="A2488" s="10"/>
      <c r="B2488" s="10"/>
      <c r="C2488" s="10"/>
      <c r="D2488" s="10"/>
      <c r="E2488" s="10"/>
      <c r="F2488" s="10"/>
      <c r="G2488" s="10"/>
      <c r="H2488" s="17"/>
      <c r="I2488" s="10"/>
      <c r="J2488" s="10"/>
      <c r="K2488" s="16" t="str">
        <f t="shared" si="840"/>
        <v/>
      </c>
      <c r="L2488" s="23" t="str">
        <f t="shared" si="841"/>
        <v/>
      </c>
      <c r="M2488" s="22" t="str">
        <f t="shared" si="842"/>
        <v/>
      </c>
      <c r="N2488" s="72"/>
      <c r="O2488" s="16" t="str">
        <f t="shared" si="843"/>
        <v/>
      </c>
      <c r="P2488" s="16" t="str">
        <f t="shared" si="844"/>
        <v/>
      </c>
      <c r="Q2488" s="16" t="str">
        <f t="shared" si="845"/>
        <v/>
      </c>
      <c r="R2488" s="23" t="str">
        <f t="shared" si="846"/>
        <v/>
      </c>
      <c r="S2488" s="23" t="str">
        <f t="shared" si="847"/>
        <v/>
      </c>
      <c r="T2488" s="23" t="str">
        <f t="shared" si="848"/>
        <v/>
      </c>
      <c r="U2488" s="23" t="str">
        <f t="shared" si="849"/>
        <v/>
      </c>
      <c r="V2488" s="23" t="str">
        <f t="shared" si="850"/>
        <v/>
      </c>
      <c r="W2488" s="70" t="str">
        <f t="shared" si="851"/>
        <v/>
      </c>
      <c r="X2488" s="70" t="str">
        <f t="shared" si="852"/>
        <v/>
      </c>
      <c r="Y2488" s="70" t="str">
        <f>IF(AND($A2488&lt;&gt;"",$E2488&gt;0),isLaptopBag($C2488,$J2488)*$D2488,"")</f>
        <v/>
      </c>
      <c r="Z2488" s="70" t="str">
        <f t="shared" si="853"/>
        <v/>
      </c>
      <c r="AA2488" s="70" t="str">
        <f t="shared" si="854"/>
        <v/>
      </c>
      <c r="AB2488" s="70" t="str">
        <f t="shared" si="855"/>
        <v/>
      </c>
      <c r="AC2488" s="70" t="str">
        <f t="shared" si="856"/>
        <v/>
      </c>
      <c r="AD2488" s="70" t="str">
        <f t="shared" si="857"/>
        <v/>
      </c>
      <c r="AE2488" s="70" t="str">
        <f t="shared" si="858"/>
        <v/>
      </c>
      <c r="AF2488" s="16"/>
      <c r="AG2488" s="23"/>
      <c r="AH2488" s="22"/>
      <c r="AJ2488" s="83">
        <f t="shared" si="859"/>
        <v>0</v>
      </c>
      <c r="AO2488" s="22" t="str">
        <f t="shared" si="860"/>
        <v/>
      </c>
      <c r="AP2488" s="22" t="str">
        <f t="shared" si="861"/>
        <v/>
      </c>
    </row>
    <row r="2489" spans="1:42" x14ac:dyDescent="0.25">
      <c r="A2489" s="10"/>
      <c r="B2489" s="10"/>
      <c r="C2489" s="10"/>
      <c r="D2489" s="10"/>
      <c r="E2489" s="10"/>
      <c r="F2489" s="10"/>
      <c r="G2489" s="10"/>
      <c r="H2489" s="17"/>
      <c r="I2489" s="10"/>
      <c r="J2489" s="10"/>
      <c r="K2489" s="16" t="str">
        <f t="shared" si="840"/>
        <v/>
      </c>
      <c r="L2489" s="23" t="str">
        <f t="shared" si="841"/>
        <v/>
      </c>
      <c r="M2489" s="22" t="str">
        <f t="shared" si="842"/>
        <v/>
      </c>
      <c r="N2489" s="72"/>
      <c r="O2489" s="16" t="str">
        <f t="shared" si="843"/>
        <v/>
      </c>
      <c r="P2489" s="16" t="str">
        <f t="shared" si="844"/>
        <v/>
      </c>
      <c r="Q2489" s="16" t="str">
        <f t="shared" si="845"/>
        <v/>
      </c>
      <c r="R2489" s="23" t="str">
        <f t="shared" si="846"/>
        <v/>
      </c>
      <c r="S2489" s="23" t="str">
        <f t="shared" si="847"/>
        <v/>
      </c>
      <c r="T2489" s="23" t="str">
        <f t="shared" si="848"/>
        <v/>
      </c>
      <c r="U2489" s="23" t="str">
        <f t="shared" si="849"/>
        <v/>
      </c>
      <c r="V2489" s="23" t="str">
        <f t="shared" si="850"/>
        <v/>
      </c>
      <c r="W2489" s="70" t="str">
        <f t="shared" si="851"/>
        <v/>
      </c>
      <c r="X2489" s="70" t="str">
        <f t="shared" si="852"/>
        <v/>
      </c>
      <c r="Y2489" s="70" t="str">
        <f>IF(AND($A2489&lt;&gt;"",$E2489&gt;0),isLaptopBag($C2489,$J2489)*$D2489,"")</f>
        <v/>
      </c>
      <c r="Z2489" s="70" t="str">
        <f t="shared" si="853"/>
        <v/>
      </c>
      <c r="AA2489" s="70" t="str">
        <f t="shared" si="854"/>
        <v/>
      </c>
      <c r="AB2489" s="70" t="str">
        <f t="shared" si="855"/>
        <v/>
      </c>
      <c r="AC2489" s="70" t="str">
        <f t="shared" si="856"/>
        <v/>
      </c>
      <c r="AD2489" s="70" t="str">
        <f t="shared" si="857"/>
        <v/>
      </c>
      <c r="AE2489" s="70" t="str">
        <f t="shared" si="858"/>
        <v/>
      </c>
      <c r="AF2489" s="16"/>
      <c r="AG2489" s="23"/>
      <c r="AH2489" s="22"/>
      <c r="AJ2489" s="83">
        <f t="shared" si="859"/>
        <v>0</v>
      </c>
      <c r="AO2489" s="22" t="str">
        <f t="shared" si="860"/>
        <v/>
      </c>
      <c r="AP2489" s="22" t="str">
        <f t="shared" si="861"/>
        <v/>
      </c>
    </row>
    <row r="2490" spans="1:42" x14ac:dyDescent="0.25">
      <c r="A2490" s="10"/>
      <c r="B2490" s="10"/>
      <c r="C2490" s="10"/>
      <c r="D2490" s="10"/>
      <c r="E2490" s="10"/>
      <c r="F2490" s="10"/>
      <c r="G2490" s="10"/>
      <c r="H2490" s="17"/>
      <c r="I2490" s="10"/>
      <c r="J2490" s="10"/>
      <c r="K2490" s="16" t="str">
        <f t="shared" si="840"/>
        <v/>
      </c>
      <c r="L2490" s="23" t="str">
        <f t="shared" si="841"/>
        <v/>
      </c>
      <c r="M2490" s="22" t="str">
        <f t="shared" si="842"/>
        <v/>
      </c>
      <c r="N2490" s="72"/>
      <c r="O2490" s="16" t="str">
        <f t="shared" si="843"/>
        <v/>
      </c>
      <c r="P2490" s="16" t="str">
        <f t="shared" si="844"/>
        <v/>
      </c>
      <c r="Q2490" s="16" t="str">
        <f t="shared" si="845"/>
        <v/>
      </c>
      <c r="R2490" s="23" t="str">
        <f t="shared" si="846"/>
        <v/>
      </c>
      <c r="S2490" s="23" t="str">
        <f t="shared" si="847"/>
        <v/>
      </c>
      <c r="T2490" s="23" t="str">
        <f t="shared" si="848"/>
        <v/>
      </c>
      <c r="U2490" s="23" t="str">
        <f t="shared" si="849"/>
        <v/>
      </c>
      <c r="V2490" s="23" t="str">
        <f t="shared" si="850"/>
        <v/>
      </c>
      <c r="W2490" s="70" t="str">
        <f t="shared" si="851"/>
        <v/>
      </c>
      <c r="X2490" s="70" t="str">
        <f t="shared" si="852"/>
        <v/>
      </c>
      <c r="Y2490" s="70" t="str">
        <f>IF(AND($A2490&lt;&gt;"",$E2490&gt;0),isLaptopBag($C2490,$J2490)*$D2490,"")</f>
        <v/>
      </c>
      <c r="Z2490" s="70" t="str">
        <f t="shared" si="853"/>
        <v/>
      </c>
      <c r="AA2490" s="70" t="str">
        <f t="shared" si="854"/>
        <v/>
      </c>
      <c r="AB2490" s="70" t="str">
        <f t="shared" si="855"/>
        <v/>
      </c>
      <c r="AC2490" s="70" t="str">
        <f t="shared" si="856"/>
        <v/>
      </c>
      <c r="AD2490" s="70" t="str">
        <f t="shared" si="857"/>
        <v/>
      </c>
      <c r="AE2490" s="70" t="str">
        <f t="shared" si="858"/>
        <v/>
      </c>
      <c r="AF2490" s="16"/>
      <c r="AG2490" s="23"/>
      <c r="AH2490" s="22"/>
      <c r="AJ2490" s="83">
        <f t="shared" si="859"/>
        <v>0</v>
      </c>
      <c r="AO2490" s="22" t="str">
        <f t="shared" si="860"/>
        <v/>
      </c>
      <c r="AP2490" s="22" t="str">
        <f t="shared" si="861"/>
        <v/>
      </c>
    </row>
    <row r="2491" spans="1:42" x14ac:dyDescent="0.25">
      <c r="A2491" s="10"/>
      <c r="B2491" s="10"/>
      <c r="C2491" s="10"/>
      <c r="D2491" s="10"/>
      <c r="E2491" s="10"/>
      <c r="F2491" s="10"/>
      <c r="G2491" s="10"/>
      <c r="H2491" s="17"/>
      <c r="I2491" s="10"/>
      <c r="J2491" s="10"/>
      <c r="K2491" s="16" t="str">
        <f t="shared" si="840"/>
        <v/>
      </c>
      <c r="L2491" s="23" t="str">
        <f t="shared" si="841"/>
        <v/>
      </c>
      <c r="M2491" s="22" t="str">
        <f t="shared" si="842"/>
        <v/>
      </c>
      <c r="N2491" s="72"/>
      <c r="O2491" s="16" t="str">
        <f t="shared" si="843"/>
        <v/>
      </c>
      <c r="P2491" s="16" t="str">
        <f t="shared" si="844"/>
        <v/>
      </c>
      <c r="Q2491" s="16" t="str">
        <f t="shared" si="845"/>
        <v/>
      </c>
      <c r="R2491" s="23" t="str">
        <f t="shared" si="846"/>
        <v/>
      </c>
      <c r="S2491" s="23" t="str">
        <f t="shared" si="847"/>
        <v/>
      </c>
      <c r="T2491" s="23" t="str">
        <f t="shared" si="848"/>
        <v/>
      </c>
      <c r="U2491" s="23" t="str">
        <f t="shared" si="849"/>
        <v/>
      </c>
      <c r="V2491" s="23" t="str">
        <f t="shared" si="850"/>
        <v/>
      </c>
      <c r="W2491" s="70" t="str">
        <f t="shared" si="851"/>
        <v/>
      </c>
      <c r="X2491" s="70" t="str">
        <f t="shared" si="852"/>
        <v/>
      </c>
      <c r="Y2491" s="70" t="str">
        <f>IF(AND($A2491&lt;&gt;"",$E2491&gt;0),isLaptopBag($C2491,$J2491)*$D2491,"")</f>
        <v/>
      </c>
      <c r="Z2491" s="70" t="str">
        <f t="shared" si="853"/>
        <v/>
      </c>
      <c r="AA2491" s="70" t="str">
        <f t="shared" si="854"/>
        <v/>
      </c>
      <c r="AB2491" s="70" t="str">
        <f t="shared" si="855"/>
        <v/>
      </c>
      <c r="AC2491" s="70" t="str">
        <f t="shared" si="856"/>
        <v/>
      </c>
      <c r="AD2491" s="70" t="str">
        <f t="shared" si="857"/>
        <v/>
      </c>
      <c r="AE2491" s="70" t="str">
        <f t="shared" si="858"/>
        <v/>
      </c>
      <c r="AF2491" s="16"/>
      <c r="AG2491" s="23"/>
      <c r="AH2491" s="22"/>
      <c r="AJ2491" s="83">
        <f t="shared" si="859"/>
        <v>0</v>
      </c>
      <c r="AO2491" s="22" t="str">
        <f t="shared" si="860"/>
        <v/>
      </c>
      <c r="AP2491" s="22" t="str">
        <f t="shared" si="861"/>
        <v/>
      </c>
    </row>
    <row r="2492" spans="1:42" x14ac:dyDescent="0.25">
      <c r="A2492" s="10"/>
      <c r="B2492" s="10"/>
      <c r="C2492" s="10"/>
      <c r="D2492" s="10"/>
      <c r="E2492" s="10"/>
      <c r="F2492" s="10"/>
      <c r="G2492" s="10"/>
      <c r="H2492" s="17"/>
      <c r="I2492" s="10"/>
      <c r="J2492" s="10"/>
      <c r="K2492" s="16" t="str">
        <f t="shared" si="840"/>
        <v/>
      </c>
      <c r="L2492" s="23" t="str">
        <f t="shared" si="841"/>
        <v/>
      </c>
      <c r="M2492" s="22" t="str">
        <f t="shared" si="842"/>
        <v/>
      </c>
      <c r="N2492" s="72"/>
      <c r="O2492" s="16" t="str">
        <f t="shared" si="843"/>
        <v/>
      </c>
      <c r="P2492" s="16" t="str">
        <f t="shared" si="844"/>
        <v/>
      </c>
      <c r="Q2492" s="16" t="str">
        <f t="shared" si="845"/>
        <v/>
      </c>
      <c r="R2492" s="23" t="str">
        <f t="shared" si="846"/>
        <v/>
      </c>
      <c r="S2492" s="23" t="str">
        <f t="shared" si="847"/>
        <v/>
      </c>
      <c r="T2492" s="23" t="str">
        <f t="shared" si="848"/>
        <v/>
      </c>
      <c r="U2492" s="23" t="str">
        <f t="shared" si="849"/>
        <v/>
      </c>
      <c r="V2492" s="23" t="str">
        <f t="shared" si="850"/>
        <v/>
      </c>
      <c r="W2492" s="70" t="str">
        <f t="shared" si="851"/>
        <v/>
      </c>
      <c r="X2492" s="70" t="str">
        <f t="shared" si="852"/>
        <v/>
      </c>
      <c r="Y2492" s="70" t="str">
        <f>IF(AND($A2492&lt;&gt;"",$E2492&gt;0),isLaptopBag($C2492,$J2492)*$D2492,"")</f>
        <v/>
      </c>
      <c r="Z2492" s="70" t="str">
        <f t="shared" si="853"/>
        <v/>
      </c>
      <c r="AA2492" s="70" t="str">
        <f t="shared" si="854"/>
        <v/>
      </c>
      <c r="AB2492" s="70" t="str">
        <f t="shared" si="855"/>
        <v/>
      </c>
      <c r="AC2492" s="70" t="str">
        <f t="shared" si="856"/>
        <v/>
      </c>
      <c r="AD2492" s="70" t="str">
        <f t="shared" si="857"/>
        <v/>
      </c>
      <c r="AE2492" s="70" t="str">
        <f t="shared" si="858"/>
        <v/>
      </c>
      <c r="AF2492" s="16"/>
      <c r="AG2492" s="23"/>
      <c r="AH2492" s="22"/>
      <c r="AJ2492" s="83">
        <f t="shared" si="859"/>
        <v>0</v>
      </c>
      <c r="AO2492" s="22" t="str">
        <f t="shared" si="860"/>
        <v/>
      </c>
      <c r="AP2492" s="22" t="str">
        <f t="shared" si="861"/>
        <v/>
      </c>
    </row>
    <row r="2493" spans="1:42" x14ac:dyDescent="0.25">
      <c r="A2493" s="10"/>
      <c r="B2493" s="10"/>
      <c r="C2493" s="10"/>
      <c r="D2493" s="10"/>
      <c r="E2493" s="10"/>
      <c r="F2493" s="10"/>
      <c r="G2493" s="10"/>
      <c r="H2493" s="17"/>
      <c r="I2493" s="10"/>
      <c r="J2493" s="10"/>
      <c r="K2493" s="16" t="str">
        <f t="shared" si="840"/>
        <v/>
      </c>
      <c r="L2493" s="23" t="str">
        <f t="shared" si="841"/>
        <v/>
      </c>
      <c r="M2493" s="22" t="str">
        <f t="shared" si="842"/>
        <v/>
      </c>
      <c r="N2493" s="72"/>
      <c r="O2493" s="16" t="str">
        <f t="shared" si="843"/>
        <v/>
      </c>
      <c r="P2493" s="16" t="str">
        <f t="shared" si="844"/>
        <v/>
      </c>
      <c r="Q2493" s="16" t="str">
        <f t="shared" si="845"/>
        <v/>
      </c>
      <c r="R2493" s="23" t="str">
        <f t="shared" si="846"/>
        <v/>
      </c>
      <c r="S2493" s="23" t="str">
        <f t="shared" si="847"/>
        <v/>
      </c>
      <c r="T2493" s="23" t="str">
        <f t="shared" si="848"/>
        <v/>
      </c>
      <c r="U2493" s="23" t="str">
        <f t="shared" si="849"/>
        <v/>
      </c>
      <c r="V2493" s="23" t="str">
        <f t="shared" si="850"/>
        <v/>
      </c>
      <c r="W2493" s="70" t="str">
        <f t="shared" si="851"/>
        <v/>
      </c>
      <c r="X2493" s="70" t="str">
        <f t="shared" si="852"/>
        <v/>
      </c>
      <c r="Y2493" s="70" t="str">
        <f>IF(AND($A2493&lt;&gt;"",$E2493&gt;0),isLaptopBag($C2493,$J2493)*$D2493,"")</f>
        <v/>
      </c>
      <c r="Z2493" s="70" t="str">
        <f t="shared" si="853"/>
        <v/>
      </c>
      <c r="AA2493" s="70" t="str">
        <f t="shared" si="854"/>
        <v/>
      </c>
      <c r="AB2493" s="70" t="str">
        <f t="shared" si="855"/>
        <v/>
      </c>
      <c r="AC2493" s="70" t="str">
        <f t="shared" si="856"/>
        <v/>
      </c>
      <c r="AD2493" s="70" t="str">
        <f t="shared" si="857"/>
        <v/>
      </c>
      <c r="AE2493" s="70" t="str">
        <f t="shared" si="858"/>
        <v/>
      </c>
      <c r="AF2493" s="16"/>
      <c r="AG2493" s="23"/>
      <c r="AH2493" s="22"/>
      <c r="AJ2493" s="83">
        <f t="shared" si="859"/>
        <v>0</v>
      </c>
      <c r="AO2493" s="22" t="str">
        <f t="shared" si="860"/>
        <v/>
      </c>
      <c r="AP2493" s="22" t="str">
        <f t="shared" si="861"/>
        <v/>
      </c>
    </row>
    <row r="2494" spans="1:42" x14ac:dyDescent="0.25">
      <c r="A2494" s="10"/>
      <c r="B2494" s="10"/>
      <c r="C2494" s="10"/>
      <c r="D2494" s="10"/>
      <c r="E2494" s="10"/>
      <c r="F2494" s="10"/>
      <c r="G2494" s="10"/>
      <c r="H2494" s="17"/>
      <c r="I2494" s="10"/>
      <c r="J2494" s="10"/>
      <c r="K2494" s="16" t="str">
        <f t="shared" si="840"/>
        <v/>
      </c>
      <c r="L2494" s="23" t="str">
        <f t="shared" si="841"/>
        <v/>
      </c>
      <c r="M2494" s="22" t="str">
        <f t="shared" si="842"/>
        <v/>
      </c>
      <c r="N2494" s="72"/>
      <c r="O2494" s="16" t="str">
        <f t="shared" si="843"/>
        <v/>
      </c>
      <c r="P2494" s="16" t="str">
        <f t="shared" si="844"/>
        <v/>
      </c>
      <c r="Q2494" s="16" t="str">
        <f t="shared" si="845"/>
        <v/>
      </c>
      <c r="R2494" s="23" t="str">
        <f t="shared" si="846"/>
        <v/>
      </c>
      <c r="S2494" s="23" t="str">
        <f t="shared" si="847"/>
        <v/>
      </c>
      <c r="T2494" s="23" t="str">
        <f t="shared" si="848"/>
        <v/>
      </c>
      <c r="U2494" s="23" t="str">
        <f t="shared" si="849"/>
        <v/>
      </c>
      <c r="V2494" s="23" t="str">
        <f t="shared" si="850"/>
        <v/>
      </c>
      <c r="W2494" s="70" t="str">
        <f t="shared" si="851"/>
        <v/>
      </c>
      <c r="X2494" s="70" t="str">
        <f t="shared" si="852"/>
        <v/>
      </c>
      <c r="Y2494" s="70" t="str">
        <f>IF(AND($A2494&lt;&gt;"",$E2494&gt;0),isLaptopBag($C2494,$J2494)*$D2494,"")</f>
        <v/>
      </c>
      <c r="Z2494" s="70" t="str">
        <f t="shared" si="853"/>
        <v/>
      </c>
      <c r="AA2494" s="70" t="str">
        <f t="shared" si="854"/>
        <v/>
      </c>
      <c r="AB2494" s="70" t="str">
        <f t="shared" si="855"/>
        <v/>
      </c>
      <c r="AC2494" s="70" t="str">
        <f t="shared" si="856"/>
        <v/>
      </c>
      <c r="AD2494" s="70" t="str">
        <f t="shared" si="857"/>
        <v/>
      </c>
      <c r="AE2494" s="70" t="str">
        <f t="shared" si="858"/>
        <v/>
      </c>
      <c r="AF2494" s="16"/>
      <c r="AG2494" s="23"/>
      <c r="AH2494" s="22"/>
      <c r="AJ2494" s="83">
        <f t="shared" si="859"/>
        <v>0</v>
      </c>
      <c r="AO2494" s="22" t="str">
        <f t="shared" si="860"/>
        <v/>
      </c>
      <c r="AP2494" s="22" t="str">
        <f t="shared" si="861"/>
        <v/>
      </c>
    </row>
    <row r="2495" spans="1:42" x14ac:dyDescent="0.25">
      <c r="A2495" s="10"/>
      <c r="B2495" s="10"/>
      <c r="C2495" s="10"/>
      <c r="D2495" s="10"/>
      <c r="E2495" s="10"/>
      <c r="F2495" s="10"/>
      <c r="G2495" s="10"/>
      <c r="H2495" s="17"/>
      <c r="I2495" s="10"/>
      <c r="J2495" s="10"/>
      <c r="K2495" s="16" t="str">
        <f t="shared" si="840"/>
        <v/>
      </c>
      <c r="L2495" s="23" t="str">
        <f t="shared" si="841"/>
        <v/>
      </c>
      <c r="M2495" s="22" t="str">
        <f t="shared" si="842"/>
        <v/>
      </c>
      <c r="N2495" s="72"/>
      <c r="O2495" s="16" t="str">
        <f t="shared" si="843"/>
        <v/>
      </c>
      <c r="P2495" s="16" t="str">
        <f t="shared" si="844"/>
        <v/>
      </c>
      <c r="Q2495" s="16" t="str">
        <f t="shared" si="845"/>
        <v/>
      </c>
      <c r="R2495" s="23" t="str">
        <f t="shared" si="846"/>
        <v/>
      </c>
      <c r="S2495" s="23" t="str">
        <f t="shared" si="847"/>
        <v/>
      </c>
      <c r="T2495" s="23" t="str">
        <f t="shared" si="848"/>
        <v/>
      </c>
      <c r="U2495" s="23" t="str">
        <f t="shared" si="849"/>
        <v/>
      </c>
      <c r="V2495" s="23" t="str">
        <f t="shared" si="850"/>
        <v/>
      </c>
      <c r="W2495" s="70" t="str">
        <f t="shared" si="851"/>
        <v/>
      </c>
      <c r="X2495" s="70" t="str">
        <f t="shared" si="852"/>
        <v/>
      </c>
      <c r="Y2495" s="70" t="str">
        <f>IF(AND($A2495&lt;&gt;"",$E2495&gt;0),isLaptopBag($C2495,$J2495)*$D2495,"")</f>
        <v/>
      </c>
      <c r="Z2495" s="70" t="str">
        <f t="shared" si="853"/>
        <v/>
      </c>
      <c r="AA2495" s="70" t="str">
        <f t="shared" si="854"/>
        <v/>
      </c>
      <c r="AB2495" s="70" t="str">
        <f t="shared" si="855"/>
        <v/>
      </c>
      <c r="AC2495" s="70" t="str">
        <f t="shared" si="856"/>
        <v/>
      </c>
      <c r="AD2495" s="70" t="str">
        <f t="shared" si="857"/>
        <v/>
      </c>
      <c r="AE2495" s="70" t="str">
        <f t="shared" si="858"/>
        <v/>
      </c>
      <c r="AF2495" s="16"/>
      <c r="AG2495" s="23"/>
      <c r="AH2495" s="22"/>
      <c r="AJ2495" s="83">
        <f t="shared" si="859"/>
        <v>0</v>
      </c>
      <c r="AO2495" s="22" t="str">
        <f t="shared" si="860"/>
        <v/>
      </c>
      <c r="AP2495" s="22" t="str">
        <f t="shared" si="861"/>
        <v/>
      </c>
    </row>
    <row r="2496" spans="1:42" x14ac:dyDescent="0.25">
      <c r="A2496" s="10"/>
      <c r="B2496" s="10"/>
      <c r="C2496" s="10"/>
      <c r="D2496" s="10"/>
      <c r="E2496" s="10"/>
      <c r="F2496" s="10"/>
      <c r="G2496" s="10"/>
      <c r="H2496" s="17"/>
      <c r="I2496" s="10"/>
      <c r="J2496" s="10"/>
      <c r="K2496" s="16" t="str">
        <f t="shared" si="840"/>
        <v/>
      </c>
      <c r="L2496" s="23" t="str">
        <f t="shared" si="841"/>
        <v/>
      </c>
      <c r="M2496" s="22" t="str">
        <f t="shared" si="842"/>
        <v/>
      </c>
      <c r="N2496" s="72"/>
      <c r="O2496" s="16" t="str">
        <f t="shared" si="843"/>
        <v/>
      </c>
      <c r="P2496" s="16" t="str">
        <f t="shared" si="844"/>
        <v/>
      </c>
      <c r="Q2496" s="16" t="str">
        <f t="shared" si="845"/>
        <v/>
      </c>
      <c r="R2496" s="23" t="str">
        <f t="shared" si="846"/>
        <v/>
      </c>
      <c r="S2496" s="23" t="str">
        <f t="shared" si="847"/>
        <v/>
      </c>
      <c r="T2496" s="23" t="str">
        <f t="shared" si="848"/>
        <v/>
      </c>
      <c r="U2496" s="23" t="str">
        <f t="shared" si="849"/>
        <v/>
      </c>
      <c r="V2496" s="23" t="str">
        <f t="shared" si="850"/>
        <v/>
      </c>
      <c r="W2496" s="70" t="str">
        <f t="shared" si="851"/>
        <v/>
      </c>
      <c r="X2496" s="70" t="str">
        <f t="shared" si="852"/>
        <v/>
      </c>
      <c r="Y2496" s="70" t="str">
        <f>IF(AND($A2496&lt;&gt;"",$E2496&gt;0),isLaptopBag($C2496,$J2496)*$D2496,"")</f>
        <v/>
      </c>
      <c r="Z2496" s="70" t="str">
        <f t="shared" si="853"/>
        <v/>
      </c>
      <c r="AA2496" s="70" t="str">
        <f t="shared" si="854"/>
        <v/>
      </c>
      <c r="AB2496" s="70" t="str">
        <f t="shared" si="855"/>
        <v/>
      </c>
      <c r="AC2496" s="70" t="str">
        <f t="shared" si="856"/>
        <v/>
      </c>
      <c r="AD2496" s="70" t="str">
        <f t="shared" si="857"/>
        <v/>
      </c>
      <c r="AE2496" s="70" t="str">
        <f t="shared" si="858"/>
        <v/>
      </c>
      <c r="AF2496" s="16"/>
      <c r="AG2496" s="23"/>
      <c r="AH2496" s="22"/>
      <c r="AJ2496" s="83">
        <f t="shared" si="859"/>
        <v>0</v>
      </c>
      <c r="AO2496" s="22" t="str">
        <f t="shared" si="860"/>
        <v/>
      </c>
      <c r="AP2496" s="22" t="str">
        <f t="shared" si="861"/>
        <v/>
      </c>
    </row>
    <row r="2497" spans="1:42" x14ac:dyDescent="0.25">
      <c r="A2497" s="10"/>
      <c r="B2497" s="10"/>
      <c r="C2497" s="10"/>
      <c r="D2497" s="10"/>
      <c r="E2497" s="10"/>
      <c r="F2497" s="10"/>
      <c r="G2497" s="10"/>
      <c r="H2497" s="17"/>
      <c r="I2497" s="10"/>
      <c r="J2497" s="10"/>
      <c r="K2497" s="16" t="str">
        <f t="shared" si="840"/>
        <v/>
      </c>
      <c r="L2497" s="23" t="str">
        <f t="shared" si="841"/>
        <v/>
      </c>
      <c r="M2497" s="22" t="str">
        <f t="shared" si="842"/>
        <v/>
      </c>
      <c r="N2497" s="72"/>
      <c r="O2497" s="16" t="str">
        <f t="shared" si="843"/>
        <v/>
      </c>
      <c r="P2497" s="16" t="str">
        <f t="shared" si="844"/>
        <v/>
      </c>
      <c r="Q2497" s="16" t="str">
        <f t="shared" si="845"/>
        <v/>
      </c>
      <c r="R2497" s="23" t="str">
        <f t="shared" si="846"/>
        <v/>
      </c>
      <c r="S2497" s="23" t="str">
        <f t="shared" si="847"/>
        <v/>
      </c>
      <c r="T2497" s="23" t="str">
        <f t="shared" si="848"/>
        <v/>
      </c>
      <c r="U2497" s="23" t="str">
        <f t="shared" si="849"/>
        <v/>
      </c>
      <c r="V2497" s="23" t="str">
        <f t="shared" si="850"/>
        <v/>
      </c>
      <c r="W2497" s="70" t="str">
        <f t="shared" si="851"/>
        <v/>
      </c>
      <c r="X2497" s="70" t="str">
        <f t="shared" si="852"/>
        <v/>
      </c>
      <c r="Y2497" s="70" t="str">
        <f>IF(AND($A2497&lt;&gt;"",$E2497&gt;0),isLaptopBag($C2497,$J2497)*$D2497,"")</f>
        <v/>
      </c>
      <c r="Z2497" s="70" t="str">
        <f t="shared" si="853"/>
        <v/>
      </c>
      <c r="AA2497" s="70" t="str">
        <f t="shared" si="854"/>
        <v/>
      </c>
      <c r="AB2497" s="70" t="str">
        <f t="shared" si="855"/>
        <v/>
      </c>
      <c r="AC2497" s="70" t="str">
        <f t="shared" si="856"/>
        <v/>
      </c>
      <c r="AD2497" s="70" t="str">
        <f t="shared" si="857"/>
        <v/>
      </c>
      <c r="AE2497" s="70" t="str">
        <f t="shared" si="858"/>
        <v/>
      </c>
      <c r="AF2497" s="16"/>
      <c r="AG2497" s="23"/>
      <c r="AH2497" s="22"/>
      <c r="AJ2497" s="83">
        <f t="shared" si="859"/>
        <v>0</v>
      </c>
      <c r="AO2497" s="22" t="str">
        <f t="shared" si="860"/>
        <v/>
      </c>
      <c r="AP2497" s="22" t="str">
        <f t="shared" si="861"/>
        <v/>
      </c>
    </row>
    <row r="2498" spans="1:42" x14ac:dyDescent="0.25">
      <c r="A2498" s="10"/>
      <c r="B2498" s="10"/>
      <c r="C2498" s="10"/>
      <c r="D2498" s="10"/>
      <c r="E2498" s="10"/>
      <c r="F2498" s="10"/>
      <c r="G2498" s="10"/>
      <c r="H2498" s="17"/>
      <c r="I2498" s="10"/>
      <c r="J2498" s="10"/>
      <c r="K2498" s="16" t="str">
        <f t="shared" si="840"/>
        <v/>
      </c>
      <c r="L2498" s="23" t="str">
        <f t="shared" si="841"/>
        <v/>
      </c>
      <c r="M2498" s="22" t="str">
        <f t="shared" si="842"/>
        <v/>
      </c>
      <c r="N2498" s="72"/>
      <c r="O2498" s="16" t="str">
        <f t="shared" si="843"/>
        <v/>
      </c>
      <c r="P2498" s="16" t="str">
        <f t="shared" si="844"/>
        <v/>
      </c>
      <c r="Q2498" s="16" t="str">
        <f t="shared" si="845"/>
        <v/>
      </c>
      <c r="R2498" s="23" t="str">
        <f t="shared" si="846"/>
        <v/>
      </c>
      <c r="S2498" s="23" t="str">
        <f t="shared" si="847"/>
        <v/>
      </c>
      <c r="T2498" s="23" t="str">
        <f t="shared" si="848"/>
        <v/>
      </c>
      <c r="U2498" s="23" t="str">
        <f t="shared" si="849"/>
        <v/>
      </c>
      <c r="V2498" s="23" t="str">
        <f t="shared" si="850"/>
        <v/>
      </c>
      <c r="W2498" s="70" t="str">
        <f t="shared" si="851"/>
        <v/>
      </c>
      <c r="X2498" s="70" t="str">
        <f t="shared" si="852"/>
        <v/>
      </c>
      <c r="Y2498" s="70" t="str">
        <f>IF(AND($A2498&lt;&gt;"",$E2498&gt;0),isLaptopBag($C2498,$J2498)*$D2498,"")</f>
        <v/>
      </c>
      <c r="Z2498" s="70" t="str">
        <f t="shared" si="853"/>
        <v/>
      </c>
      <c r="AA2498" s="70" t="str">
        <f t="shared" si="854"/>
        <v/>
      </c>
      <c r="AB2498" s="70" t="str">
        <f t="shared" si="855"/>
        <v/>
      </c>
      <c r="AC2498" s="70" t="str">
        <f t="shared" si="856"/>
        <v/>
      </c>
      <c r="AD2498" s="70" t="str">
        <f t="shared" si="857"/>
        <v/>
      </c>
      <c r="AE2498" s="70" t="str">
        <f t="shared" si="858"/>
        <v/>
      </c>
      <c r="AF2498" s="16"/>
      <c r="AG2498" s="23"/>
      <c r="AH2498" s="22"/>
      <c r="AJ2498" s="83">
        <f t="shared" si="859"/>
        <v>0</v>
      </c>
      <c r="AO2498" s="22" t="str">
        <f t="shared" si="860"/>
        <v/>
      </c>
      <c r="AP2498" s="22" t="str">
        <f t="shared" si="861"/>
        <v/>
      </c>
    </row>
    <row r="2499" spans="1:42" x14ac:dyDescent="0.25">
      <c r="A2499" s="10"/>
      <c r="B2499" s="10"/>
      <c r="C2499" s="10"/>
      <c r="D2499" s="10"/>
      <c r="E2499" s="10"/>
      <c r="F2499" s="10"/>
      <c r="G2499" s="10"/>
      <c r="H2499" s="17"/>
      <c r="I2499" s="10"/>
      <c r="J2499" s="10"/>
      <c r="K2499" s="16" t="str">
        <f t="shared" si="840"/>
        <v/>
      </c>
      <c r="L2499" s="23" t="str">
        <f t="shared" si="841"/>
        <v/>
      </c>
      <c r="M2499" s="22" t="str">
        <f t="shared" si="842"/>
        <v/>
      </c>
      <c r="N2499" s="72"/>
      <c r="O2499" s="16" t="str">
        <f t="shared" si="843"/>
        <v/>
      </c>
      <c r="P2499" s="16" t="str">
        <f t="shared" si="844"/>
        <v/>
      </c>
      <c r="Q2499" s="16" t="str">
        <f t="shared" si="845"/>
        <v/>
      </c>
      <c r="R2499" s="23" t="str">
        <f t="shared" si="846"/>
        <v/>
      </c>
      <c r="S2499" s="23" t="str">
        <f t="shared" si="847"/>
        <v/>
      </c>
      <c r="T2499" s="23" t="str">
        <f t="shared" si="848"/>
        <v/>
      </c>
      <c r="U2499" s="23" t="str">
        <f t="shared" si="849"/>
        <v/>
      </c>
      <c r="V2499" s="23" t="str">
        <f t="shared" si="850"/>
        <v/>
      </c>
      <c r="W2499" s="70" t="str">
        <f t="shared" si="851"/>
        <v/>
      </c>
      <c r="X2499" s="70" t="str">
        <f t="shared" si="852"/>
        <v/>
      </c>
      <c r="Y2499" s="70" t="str">
        <f>IF(AND($A2499&lt;&gt;"",$E2499&gt;0),isLaptopBag($C2499,$J2499)*$D2499,"")</f>
        <v/>
      </c>
      <c r="Z2499" s="70" t="str">
        <f t="shared" si="853"/>
        <v/>
      </c>
      <c r="AA2499" s="70" t="str">
        <f t="shared" si="854"/>
        <v/>
      </c>
      <c r="AB2499" s="70" t="str">
        <f t="shared" si="855"/>
        <v/>
      </c>
      <c r="AC2499" s="70" t="str">
        <f t="shared" si="856"/>
        <v/>
      </c>
      <c r="AD2499" s="70" t="str">
        <f t="shared" si="857"/>
        <v/>
      </c>
      <c r="AE2499" s="70" t="str">
        <f t="shared" si="858"/>
        <v/>
      </c>
      <c r="AF2499" s="16"/>
      <c r="AG2499" s="23"/>
      <c r="AH2499" s="22"/>
      <c r="AJ2499" s="83">
        <f t="shared" si="859"/>
        <v>0</v>
      </c>
      <c r="AO2499" s="22" t="str">
        <f t="shared" si="860"/>
        <v/>
      </c>
      <c r="AP2499" s="22" t="str">
        <f t="shared" si="861"/>
        <v/>
      </c>
    </row>
    <row r="2500" spans="1:42" x14ac:dyDescent="0.25">
      <c r="A2500" s="10"/>
      <c r="B2500" s="10"/>
      <c r="C2500" s="10"/>
      <c r="D2500" s="10"/>
      <c r="E2500" s="10"/>
      <c r="F2500" s="10"/>
      <c r="G2500" s="10"/>
      <c r="H2500" s="17"/>
      <c r="I2500" s="10"/>
      <c r="J2500" s="10"/>
      <c r="K2500" s="16" t="str">
        <f t="shared" si="840"/>
        <v/>
      </c>
      <c r="L2500" s="23" t="str">
        <f t="shared" si="841"/>
        <v/>
      </c>
      <c r="M2500" s="22" t="str">
        <f t="shared" si="842"/>
        <v/>
      </c>
      <c r="N2500" s="72"/>
      <c r="O2500" s="16" t="str">
        <f t="shared" si="843"/>
        <v/>
      </c>
      <c r="P2500" s="16" t="str">
        <f t="shared" si="844"/>
        <v/>
      </c>
      <c r="Q2500" s="16" t="str">
        <f t="shared" si="845"/>
        <v/>
      </c>
      <c r="R2500" s="23" t="str">
        <f t="shared" si="846"/>
        <v/>
      </c>
      <c r="S2500" s="23" t="str">
        <f t="shared" si="847"/>
        <v/>
      </c>
      <c r="T2500" s="23" t="str">
        <f t="shared" si="848"/>
        <v/>
      </c>
      <c r="U2500" s="23" t="str">
        <f t="shared" si="849"/>
        <v/>
      </c>
      <c r="V2500" s="23" t="str">
        <f t="shared" si="850"/>
        <v/>
      </c>
      <c r="W2500" s="70" t="str">
        <f t="shared" si="851"/>
        <v/>
      </c>
      <c r="X2500" s="70" t="str">
        <f t="shared" si="852"/>
        <v/>
      </c>
      <c r="Y2500" s="70" t="str">
        <f>IF(AND($A2500&lt;&gt;"",$E2500&gt;0),isLaptopBag($C2500,$J2500)*$D2500,"")</f>
        <v/>
      </c>
      <c r="Z2500" s="70" t="str">
        <f t="shared" si="853"/>
        <v/>
      </c>
      <c r="AA2500" s="70" t="str">
        <f t="shared" si="854"/>
        <v/>
      </c>
      <c r="AB2500" s="70" t="str">
        <f t="shared" si="855"/>
        <v/>
      </c>
      <c r="AC2500" s="70" t="str">
        <f t="shared" si="856"/>
        <v/>
      </c>
      <c r="AD2500" s="70" t="str">
        <f t="shared" si="857"/>
        <v/>
      </c>
      <c r="AE2500" s="70" t="str">
        <f t="shared" si="858"/>
        <v/>
      </c>
      <c r="AF2500" s="16"/>
      <c r="AG2500" s="23"/>
      <c r="AH2500" s="22"/>
      <c r="AJ2500" s="83">
        <f t="shared" si="859"/>
        <v>0</v>
      </c>
      <c r="AO2500" s="22" t="str">
        <f t="shared" si="860"/>
        <v/>
      </c>
      <c r="AP2500" s="22" t="str">
        <f t="shared" si="861"/>
        <v/>
      </c>
    </row>
    <row r="2501" spans="1:42" x14ac:dyDescent="0.25">
      <c r="A2501" s="10"/>
      <c r="B2501" s="10"/>
      <c r="C2501" s="10"/>
      <c r="D2501" s="10"/>
      <c r="E2501" s="10"/>
      <c r="F2501" s="10"/>
      <c r="G2501" s="10"/>
      <c r="H2501" s="17"/>
      <c r="I2501" s="10"/>
      <c r="J2501" s="10"/>
      <c r="K2501" s="16" t="str">
        <f t="shared" si="840"/>
        <v/>
      </c>
      <c r="L2501" s="23" t="str">
        <f t="shared" si="841"/>
        <v/>
      </c>
      <c r="M2501" s="22" t="str">
        <f t="shared" si="842"/>
        <v/>
      </c>
      <c r="N2501" s="72"/>
      <c r="O2501" s="16" t="str">
        <f t="shared" si="843"/>
        <v/>
      </c>
      <c r="P2501" s="16" t="str">
        <f t="shared" si="844"/>
        <v/>
      </c>
      <c r="Q2501" s="16" t="str">
        <f t="shared" si="845"/>
        <v/>
      </c>
      <c r="R2501" s="23" t="str">
        <f t="shared" si="846"/>
        <v/>
      </c>
      <c r="S2501" s="23" t="str">
        <f t="shared" si="847"/>
        <v/>
      </c>
      <c r="T2501" s="23" t="str">
        <f t="shared" si="848"/>
        <v/>
      </c>
      <c r="U2501" s="23" t="str">
        <f t="shared" si="849"/>
        <v/>
      </c>
      <c r="V2501" s="23" t="str">
        <f t="shared" si="850"/>
        <v/>
      </c>
      <c r="W2501" s="70" t="str">
        <f t="shared" si="851"/>
        <v/>
      </c>
      <c r="X2501" s="70" t="str">
        <f t="shared" si="852"/>
        <v/>
      </c>
      <c r="Y2501" s="70" t="str">
        <f>IF(AND($A2501&lt;&gt;"",$E2501&gt;0),isLaptopBag($C2501,$J2501)*$D2501,"")</f>
        <v/>
      </c>
      <c r="Z2501" s="70" t="str">
        <f t="shared" si="853"/>
        <v/>
      </c>
      <c r="AA2501" s="70" t="str">
        <f t="shared" si="854"/>
        <v/>
      </c>
      <c r="AB2501" s="70" t="str">
        <f t="shared" si="855"/>
        <v/>
      </c>
      <c r="AC2501" s="70" t="str">
        <f t="shared" si="856"/>
        <v/>
      </c>
      <c r="AD2501" s="70" t="str">
        <f t="shared" si="857"/>
        <v/>
      </c>
      <c r="AE2501" s="70" t="str">
        <f t="shared" si="858"/>
        <v/>
      </c>
      <c r="AF2501" s="16"/>
      <c r="AG2501" s="23"/>
      <c r="AH2501" s="22"/>
      <c r="AJ2501" s="83">
        <f t="shared" si="859"/>
        <v>0</v>
      </c>
      <c r="AO2501" s="22" t="str">
        <f t="shared" si="860"/>
        <v/>
      </c>
      <c r="AP2501" s="22" t="str">
        <f t="shared" si="861"/>
        <v/>
      </c>
    </row>
    <row r="2502" spans="1:42" x14ac:dyDescent="0.25">
      <c r="A2502" s="10"/>
      <c r="B2502" s="10"/>
      <c r="C2502" s="10"/>
      <c r="D2502" s="10"/>
      <c r="E2502" s="10"/>
      <c r="F2502" s="10"/>
      <c r="G2502" s="10"/>
      <c r="H2502" s="17"/>
      <c r="I2502" s="10"/>
      <c r="J2502" s="10"/>
      <c r="K2502" s="16" t="str">
        <f t="shared" si="840"/>
        <v/>
      </c>
      <c r="L2502" s="23" t="str">
        <f t="shared" si="841"/>
        <v/>
      </c>
      <c r="M2502" s="22" t="str">
        <f t="shared" si="842"/>
        <v/>
      </c>
      <c r="N2502" s="72"/>
      <c r="O2502" s="16" t="str">
        <f t="shared" si="843"/>
        <v/>
      </c>
      <c r="P2502" s="16" t="str">
        <f t="shared" si="844"/>
        <v/>
      </c>
      <c r="Q2502" s="16" t="str">
        <f t="shared" si="845"/>
        <v/>
      </c>
      <c r="R2502" s="23" t="str">
        <f t="shared" si="846"/>
        <v/>
      </c>
      <c r="S2502" s="23" t="str">
        <f t="shared" si="847"/>
        <v/>
      </c>
      <c r="T2502" s="23" t="str">
        <f t="shared" si="848"/>
        <v/>
      </c>
      <c r="U2502" s="23" t="str">
        <f t="shared" si="849"/>
        <v/>
      </c>
      <c r="V2502" s="23" t="str">
        <f t="shared" si="850"/>
        <v/>
      </c>
      <c r="W2502" s="70" t="str">
        <f t="shared" si="851"/>
        <v/>
      </c>
      <c r="X2502" s="70" t="str">
        <f t="shared" si="852"/>
        <v/>
      </c>
      <c r="Y2502" s="70" t="str">
        <f>IF(AND($A2502&lt;&gt;"",$E2502&gt;0),isLaptopBag($C2502,$J2502)*$D2502,"")</f>
        <v/>
      </c>
      <c r="Z2502" s="70" t="str">
        <f t="shared" si="853"/>
        <v/>
      </c>
      <c r="AA2502" s="70" t="str">
        <f t="shared" si="854"/>
        <v/>
      </c>
      <c r="AB2502" s="70" t="str">
        <f t="shared" si="855"/>
        <v/>
      </c>
      <c r="AC2502" s="70" t="str">
        <f t="shared" si="856"/>
        <v/>
      </c>
      <c r="AD2502" s="70" t="str">
        <f t="shared" si="857"/>
        <v/>
      </c>
      <c r="AE2502" s="70" t="str">
        <f t="shared" si="858"/>
        <v/>
      </c>
      <c r="AF2502" s="16"/>
      <c r="AG2502" s="23"/>
      <c r="AH2502" s="22"/>
      <c r="AJ2502" s="83">
        <f t="shared" si="859"/>
        <v>0</v>
      </c>
      <c r="AO2502" s="22" t="str">
        <f t="shared" si="860"/>
        <v/>
      </c>
      <c r="AP2502" s="22" t="str">
        <f t="shared" si="861"/>
        <v/>
      </c>
    </row>
    <row r="2503" spans="1:42" x14ac:dyDescent="0.25">
      <c r="A2503" s="10"/>
      <c r="B2503" s="10"/>
      <c r="C2503" s="10"/>
      <c r="D2503" s="10"/>
      <c r="E2503" s="10"/>
      <c r="F2503" s="10"/>
      <c r="G2503" s="10"/>
      <c r="H2503" s="17"/>
      <c r="I2503" s="10"/>
      <c r="J2503" s="10"/>
      <c r="K2503" s="16" t="str">
        <f t="shared" si="840"/>
        <v/>
      </c>
      <c r="L2503" s="23" t="str">
        <f t="shared" si="841"/>
        <v/>
      </c>
      <c r="M2503" s="22" t="str">
        <f t="shared" si="842"/>
        <v/>
      </c>
      <c r="N2503" s="72"/>
      <c r="O2503" s="16" t="str">
        <f t="shared" si="843"/>
        <v/>
      </c>
      <c r="P2503" s="16" t="str">
        <f t="shared" si="844"/>
        <v/>
      </c>
      <c r="Q2503" s="16" t="str">
        <f t="shared" si="845"/>
        <v/>
      </c>
      <c r="R2503" s="23" t="str">
        <f t="shared" si="846"/>
        <v/>
      </c>
      <c r="S2503" s="23" t="str">
        <f t="shared" si="847"/>
        <v/>
      </c>
      <c r="T2503" s="23" t="str">
        <f t="shared" si="848"/>
        <v/>
      </c>
      <c r="U2503" s="23" t="str">
        <f t="shared" si="849"/>
        <v/>
      </c>
      <c r="V2503" s="23" t="str">
        <f t="shared" si="850"/>
        <v/>
      </c>
      <c r="W2503" s="70" t="str">
        <f t="shared" si="851"/>
        <v/>
      </c>
      <c r="X2503" s="70" t="str">
        <f t="shared" si="852"/>
        <v/>
      </c>
      <c r="Y2503" s="70" t="str">
        <f>IF(AND($A2503&lt;&gt;"",$E2503&gt;0),isLaptopBag($C2503,$J2503)*$D2503,"")</f>
        <v/>
      </c>
      <c r="Z2503" s="70" t="str">
        <f t="shared" si="853"/>
        <v/>
      </c>
      <c r="AA2503" s="70" t="str">
        <f t="shared" si="854"/>
        <v/>
      </c>
      <c r="AB2503" s="70" t="str">
        <f t="shared" si="855"/>
        <v/>
      </c>
      <c r="AC2503" s="70" t="str">
        <f t="shared" si="856"/>
        <v/>
      </c>
      <c r="AD2503" s="70" t="str">
        <f t="shared" si="857"/>
        <v/>
      </c>
      <c r="AE2503" s="70" t="str">
        <f t="shared" si="858"/>
        <v/>
      </c>
      <c r="AF2503" s="16"/>
      <c r="AG2503" s="23"/>
      <c r="AH2503" s="22"/>
      <c r="AJ2503" s="83">
        <f t="shared" si="859"/>
        <v>0</v>
      </c>
      <c r="AO2503" s="22" t="str">
        <f t="shared" si="860"/>
        <v/>
      </c>
      <c r="AP2503" s="22" t="str">
        <f t="shared" si="861"/>
        <v/>
      </c>
    </row>
    <row r="2504" spans="1:42" x14ac:dyDescent="0.25">
      <c r="A2504" s="10"/>
      <c r="B2504" s="10"/>
      <c r="C2504" s="10"/>
      <c r="D2504" s="10"/>
      <c r="E2504" s="10"/>
      <c r="F2504" s="10"/>
      <c r="G2504" s="10"/>
      <c r="H2504" s="17"/>
      <c r="I2504" s="10"/>
      <c r="J2504" s="10"/>
      <c r="K2504" s="16" t="str">
        <f t="shared" si="840"/>
        <v/>
      </c>
      <c r="L2504" s="23" t="str">
        <f t="shared" si="841"/>
        <v/>
      </c>
      <c r="M2504" s="22" t="str">
        <f t="shared" si="842"/>
        <v/>
      </c>
      <c r="N2504" s="72"/>
      <c r="O2504" s="16" t="str">
        <f t="shared" si="843"/>
        <v/>
      </c>
      <c r="P2504" s="16" t="str">
        <f t="shared" si="844"/>
        <v/>
      </c>
      <c r="Q2504" s="16" t="str">
        <f t="shared" si="845"/>
        <v/>
      </c>
      <c r="R2504" s="23" t="str">
        <f t="shared" si="846"/>
        <v/>
      </c>
      <c r="S2504" s="23" t="str">
        <f t="shared" si="847"/>
        <v/>
      </c>
      <c r="T2504" s="23" t="str">
        <f t="shared" si="848"/>
        <v/>
      </c>
      <c r="U2504" s="23" t="str">
        <f t="shared" si="849"/>
        <v/>
      </c>
      <c r="V2504" s="23" t="str">
        <f t="shared" si="850"/>
        <v/>
      </c>
      <c r="W2504" s="70" t="str">
        <f t="shared" si="851"/>
        <v/>
      </c>
      <c r="X2504" s="70" t="str">
        <f t="shared" si="852"/>
        <v/>
      </c>
      <c r="Y2504" s="70" t="str">
        <f>IF(AND($A2504&lt;&gt;"",$E2504&gt;0),isLaptopBag($C2504,$J2504)*$D2504,"")</f>
        <v/>
      </c>
      <c r="Z2504" s="70" t="str">
        <f t="shared" si="853"/>
        <v/>
      </c>
      <c r="AA2504" s="70" t="str">
        <f t="shared" si="854"/>
        <v/>
      </c>
      <c r="AB2504" s="70" t="str">
        <f t="shared" si="855"/>
        <v/>
      </c>
      <c r="AC2504" s="70" t="str">
        <f t="shared" si="856"/>
        <v/>
      </c>
      <c r="AD2504" s="70" t="str">
        <f t="shared" si="857"/>
        <v/>
      </c>
      <c r="AE2504" s="70" t="str">
        <f t="shared" si="858"/>
        <v/>
      </c>
      <c r="AF2504" s="16"/>
      <c r="AG2504" s="23"/>
      <c r="AH2504" s="22"/>
      <c r="AJ2504" s="83">
        <f t="shared" si="859"/>
        <v>0</v>
      </c>
      <c r="AO2504" s="22" t="str">
        <f t="shared" si="860"/>
        <v/>
      </c>
      <c r="AP2504" s="22" t="str">
        <f t="shared" si="861"/>
        <v/>
      </c>
    </row>
    <row r="2505" spans="1:42" x14ac:dyDescent="0.25">
      <c r="A2505" s="10"/>
      <c r="B2505" s="10"/>
      <c r="C2505" s="10"/>
      <c r="D2505" s="10"/>
      <c r="E2505" s="10"/>
      <c r="F2505" s="10"/>
      <c r="G2505" s="10"/>
      <c r="H2505" s="17"/>
      <c r="I2505" s="10"/>
      <c r="J2505" s="10"/>
      <c r="K2505" s="16" t="str">
        <f t="shared" si="840"/>
        <v/>
      </c>
      <c r="L2505" s="23" t="str">
        <f t="shared" si="841"/>
        <v/>
      </c>
      <c r="M2505" s="22" t="str">
        <f t="shared" si="842"/>
        <v/>
      </c>
      <c r="N2505" s="72"/>
      <c r="O2505" s="16" t="str">
        <f t="shared" si="843"/>
        <v/>
      </c>
      <c r="P2505" s="16" t="str">
        <f t="shared" si="844"/>
        <v/>
      </c>
      <c r="Q2505" s="16" t="str">
        <f t="shared" si="845"/>
        <v/>
      </c>
      <c r="R2505" s="23" t="str">
        <f t="shared" si="846"/>
        <v/>
      </c>
      <c r="S2505" s="23" t="str">
        <f t="shared" si="847"/>
        <v/>
      </c>
      <c r="T2505" s="23" t="str">
        <f t="shared" si="848"/>
        <v/>
      </c>
      <c r="U2505" s="23" t="str">
        <f t="shared" si="849"/>
        <v/>
      </c>
      <c r="V2505" s="23" t="str">
        <f t="shared" si="850"/>
        <v/>
      </c>
      <c r="W2505" s="70" t="str">
        <f t="shared" si="851"/>
        <v/>
      </c>
      <c r="X2505" s="70" t="str">
        <f t="shared" si="852"/>
        <v/>
      </c>
      <c r="Y2505" s="70" t="str">
        <f>IF(AND($A2505&lt;&gt;"",$E2505&gt;0),isLaptopBag($C2505,$J2505)*$D2505,"")</f>
        <v/>
      </c>
      <c r="Z2505" s="70" t="str">
        <f t="shared" si="853"/>
        <v/>
      </c>
      <c r="AA2505" s="70" t="str">
        <f t="shared" si="854"/>
        <v/>
      </c>
      <c r="AB2505" s="70" t="str">
        <f t="shared" si="855"/>
        <v/>
      </c>
      <c r="AC2505" s="70" t="str">
        <f t="shared" si="856"/>
        <v/>
      </c>
      <c r="AD2505" s="70" t="str">
        <f t="shared" si="857"/>
        <v/>
      </c>
      <c r="AE2505" s="70" t="str">
        <f t="shared" si="858"/>
        <v/>
      </c>
      <c r="AF2505" s="16"/>
      <c r="AG2505" s="23"/>
      <c r="AH2505" s="22"/>
      <c r="AJ2505" s="83">
        <f t="shared" si="859"/>
        <v>0</v>
      </c>
      <c r="AO2505" s="22" t="str">
        <f t="shared" si="860"/>
        <v/>
      </c>
      <c r="AP2505" s="22" t="str">
        <f t="shared" si="861"/>
        <v/>
      </c>
    </row>
    <row r="2506" spans="1:42" x14ac:dyDescent="0.25">
      <c r="A2506" s="10"/>
      <c r="B2506" s="10"/>
      <c r="C2506" s="10"/>
      <c r="D2506" s="10"/>
      <c r="E2506" s="10"/>
      <c r="F2506" s="10"/>
      <c r="G2506" s="10"/>
      <c r="H2506" s="17"/>
      <c r="I2506" s="10"/>
      <c r="J2506" s="10"/>
      <c r="K2506" s="16" t="str">
        <f t="shared" si="840"/>
        <v/>
      </c>
      <c r="L2506" s="23" t="str">
        <f t="shared" si="841"/>
        <v/>
      </c>
      <c r="M2506" s="22" t="str">
        <f t="shared" si="842"/>
        <v/>
      </c>
      <c r="N2506" s="72"/>
      <c r="O2506" s="16" t="str">
        <f t="shared" si="843"/>
        <v/>
      </c>
      <c r="P2506" s="16" t="str">
        <f t="shared" si="844"/>
        <v/>
      </c>
      <c r="Q2506" s="16" t="str">
        <f t="shared" si="845"/>
        <v/>
      </c>
      <c r="R2506" s="23" t="str">
        <f t="shared" si="846"/>
        <v/>
      </c>
      <c r="S2506" s="23" t="str">
        <f t="shared" si="847"/>
        <v/>
      </c>
      <c r="T2506" s="23" t="str">
        <f t="shared" si="848"/>
        <v/>
      </c>
      <c r="U2506" s="23" t="str">
        <f t="shared" si="849"/>
        <v/>
      </c>
      <c r="V2506" s="23" t="str">
        <f t="shared" si="850"/>
        <v/>
      </c>
      <c r="W2506" s="70" t="str">
        <f t="shared" si="851"/>
        <v/>
      </c>
      <c r="X2506" s="70" t="str">
        <f t="shared" si="852"/>
        <v/>
      </c>
      <c r="Y2506" s="70" t="str">
        <f>IF(AND($A2506&lt;&gt;"",$E2506&gt;0),isLaptopBag($C2506,$J2506)*$D2506,"")</f>
        <v/>
      </c>
      <c r="Z2506" s="70" t="str">
        <f t="shared" si="853"/>
        <v/>
      </c>
      <c r="AA2506" s="70" t="str">
        <f t="shared" si="854"/>
        <v/>
      </c>
      <c r="AB2506" s="70" t="str">
        <f t="shared" si="855"/>
        <v/>
      </c>
      <c r="AC2506" s="70" t="str">
        <f t="shared" si="856"/>
        <v/>
      </c>
      <c r="AD2506" s="70" t="str">
        <f t="shared" si="857"/>
        <v/>
      </c>
      <c r="AE2506" s="70" t="str">
        <f t="shared" si="858"/>
        <v/>
      </c>
      <c r="AF2506" s="16"/>
      <c r="AG2506" s="23"/>
      <c r="AH2506" s="22"/>
      <c r="AJ2506" s="83">
        <f t="shared" si="859"/>
        <v>0</v>
      </c>
      <c r="AO2506" s="22" t="str">
        <f t="shared" si="860"/>
        <v/>
      </c>
      <c r="AP2506" s="22" t="str">
        <f t="shared" si="861"/>
        <v/>
      </c>
    </row>
    <row r="2507" spans="1:42" x14ac:dyDescent="0.25">
      <c r="A2507" s="10"/>
      <c r="B2507" s="10"/>
      <c r="C2507" s="10"/>
      <c r="D2507" s="10"/>
      <c r="E2507" s="10"/>
      <c r="F2507" s="10"/>
      <c r="G2507" s="10"/>
      <c r="H2507" s="17"/>
      <c r="I2507" s="10"/>
      <c r="J2507" s="10"/>
      <c r="K2507" s="16" t="str">
        <f t="shared" si="840"/>
        <v/>
      </c>
      <c r="L2507" s="23" t="str">
        <f t="shared" si="841"/>
        <v/>
      </c>
      <c r="M2507" s="22" t="str">
        <f t="shared" si="842"/>
        <v/>
      </c>
      <c r="N2507" s="72"/>
      <c r="O2507" s="16" t="str">
        <f t="shared" si="843"/>
        <v/>
      </c>
      <c r="P2507" s="16" t="str">
        <f t="shared" si="844"/>
        <v/>
      </c>
      <c r="Q2507" s="16" t="str">
        <f t="shared" si="845"/>
        <v/>
      </c>
      <c r="R2507" s="23" t="str">
        <f t="shared" si="846"/>
        <v/>
      </c>
      <c r="S2507" s="23" t="str">
        <f t="shared" si="847"/>
        <v/>
      </c>
      <c r="T2507" s="23" t="str">
        <f t="shared" si="848"/>
        <v/>
      </c>
      <c r="U2507" s="23" t="str">
        <f t="shared" si="849"/>
        <v/>
      </c>
      <c r="V2507" s="23" t="str">
        <f t="shared" si="850"/>
        <v/>
      </c>
      <c r="W2507" s="70" t="str">
        <f t="shared" si="851"/>
        <v/>
      </c>
      <c r="X2507" s="70" t="str">
        <f t="shared" si="852"/>
        <v/>
      </c>
      <c r="Y2507" s="70" t="str">
        <f>IF(AND($A2507&lt;&gt;"",$E2507&gt;0),isLaptopBag($C2507,$J2507)*$D2507,"")</f>
        <v/>
      </c>
      <c r="Z2507" s="70" t="str">
        <f t="shared" si="853"/>
        <v/>
      </c>
      <c r="AA2507" s="70" t="str">
        <f t="shared" si="854"/>
        <v/>
      </c>
      <c r="AB2507" s="70" t="str">
        <f t="shared" si="855"/>
        <v/>
      </c>
      <c r="AC2507" s="70" t="str">
        <f t="shared" si="856"/>
        <v/>
      </c>
      <c r="AD2507" s="70" t="str">
        <f t="shared" si="857"/>
        <v/>
      </c>
      <c r="AE2507" s="70" t="str">
        <f t="shared" si="858"/>
        <v/>
      </c>
      <c r="AF2507" s="16"/>
      <c r="AG2507" s="23"/>
      <c r="AH2507" s="22"/>
      <c r="AJ2507" s="83">
        <f t="shared" si="859"/>
        <v>0</v>
      </c>
      <c r="AO2507" s="22" t="str">
        <f t="shared" si="860"/>
        <v/>
      </c>
      <c r="AP2507" s="22" t="str">
        <f t="shared" si="861"/>
        <v/>
      </c>
    </row>
    <row r="2508" spans="1:42" x14ac:dyDescent="0.25">
      <c r="A2508" s="10"/>
      <c r="B2508" s="10"/>
      <c r="C2508" s="10"/>
      <c r="D2508" s="10"/>
      <c r="E2508" s="10"/>
      <c r="F2508" s="10"/>
      <c r="G2508" s="10"/>
      <c r="H2508" s="17"/>
      <c r="I2508" s="10"/>
      <c r="J2508" s="10"/>
      <c r="K2508" s="16" t="str">
        <f t="shared" si="840"/>
        <v/>
      </c>
      <c r="L2508" s="23" t="str">
        <f t="shared" si="841"/>
        <v/>
      </c>
      <c r="M2508" s="22" t="str">
        <f t="shared" si="842"/>
        <v/>
      </c>
      <c r="N2508" s="72"/>
      <c r="O2508" s="16" t="str">
        <f t="shared" si="843"/>
        <v/>
      </c>
      <c r="P2508" s="16" t="str">
        <f t="shared" si="844"/>
        <v/>
      </c>
      <c r="Q2508" s="16" t="str">
        <f t="shared" si="845"/>
        <v/>
      </c>
      <c r="R2508" s="23" t="str">
        <f t="shared" si="846"/>
        <v/>
      </c>
      <c r="S2508" s="23" t="str">
        <f t="shared" si="847"/>
        <v/>
      </c>
      <c r="T2508" s="23" t="str">
        <f t="shared" si="848"/>
        <v/>
      </c>
      <c r="U2508" s="23" t="str">
        <f t="shared" si="849"/>
        <v/>
      </c>
      <c r="V2508" s="23" t="str">
        <f t="shared" si="850"/>
        <v/>
      </c>
      <c r="W2508" s="70" t="str">
        <f t="shared" si="851"/>
        <v/>
      </c>
      <c r="X2508" s="70" t="str">
        <f t="shared" si="852"/>
        <v/>
      </c>
      <c r="Y2508" s="70" t="str">
        <f>IF(AND($A2508&lt;&gt;"",$E2508&gt;0),isLaptopBag($C2508,$J2508)*$D2508,"")</f>
        <v/>
      </c>
      <c r="Z2508" s="70" t="str">
        <f t="shared" si="853"/>
        <v/>
      </c>
      <c r="AA2508" s="70" t="str">
        <f t="shared" si="854"/>
        <v/>
      </c>
      <c r="AB2508" s="70" t="str">
        <f t="shared" si="855"/>
        <v/>
      </c>
      <c r="AC2508" s="70" t="str">
        <f t="shared" si="856"/>
        <v/>
      </c>
      <c r="AD2508" s="70" t="str">
        <f t="shared" si="857"/>
        <v/>
      </c>
      <c r="AE2508" s="70" t="str">
        <f t="shared" si="858"/>
        <v/>
      </c>
      <c r="AF2508" s="16"/>
      <c r="AG2508" s="23"/>
      <c r="AH2508" s="22"/>
      <c r="AJ2508" s="83">
        <f t="shared" si="859"/>
        <v>0</v>
      </c>
      <c r="AO2508" s="22" t="str">
        <f t="shared" si="860"/>
        <v/>
      </c>
      <c r="AP2508" s="22" t="str">
        <f t="shared" si="861"/>
        <v/>
      </c>
    </row>
    <row r="2509" spans="1:42" x14ac:dyDescent="0.25">
      <c r="A2509" s="10"/>
      <c r="B2509" s="10"/>
      <c r="C2509" s="10"/>
      <c r="D2509" s="10"/>
      <c r="E2509" s="10"/>
      <c r="F2509" s="10"/>
      <c r="G2509" s="10"/>
      <c r="H2509" s="17"/>
      <c r="I2509" s="10"/>
      <c r="J2509" s="10"/>
      <c r="K2509" s="16" t="str">
        <f t="shared" ref="K2509:K2572" si="862">IF($AF2509&lt;&gt;"",$AF2509,IF(AND($A2509&lt;&gt;"",$E2509&gt;0),SUM($O2509:$Q2509),""))</f>
        <v/>
      </c>
      <c r="L2509" s="23" t="str">
        <f t="shared" ref="L2509:L2572" si="863">IF($AG2509&lt;&gt;"",$AG2509,IF(AND($A2509&lt;&gt;"",$E2509&gt;0),SUM($R2509:$V2509),""))</f>
        <v/>
      </c>
      <c r="M2509" s="22" t="str">
        <f t="shared" ref="M2509:M2572" si="864">IF($AH2509&lt;&gt;"",$AH2509,IF(AND($A2509&lt;&gt;"",$E2509&gt;0),SUM($W2509:$AE2509)+$AO2509+$AP2509,""))</f>
        <v/>
      </c>
      <c r="N2509" s="72"/>
      <c r="O2509" s="16" t="str">
        <f t="shared" ref="O2509:O2572" si="865">IF(AND($A2509&lt;&gt;"",$E2509&gt;0),IF(AND($J2509="SONY",200000&lt;=$E2509,$E2509&lt;1000000),5000*$D2509,0),"")</f>
        <v/>
      </c>
      <c r="P2509" s="16" t="str">
        <f t="shared" ref="P2509:P2572" si="866">IF(AND($A2509&lt;&gt;"",$E2509&gt;0),IF(AND($J2509="SONY",1000000&lt;=$E2509,$E2509&lt;2000000),10000*$D2509,0),"")</f>
        <v/>
      </c>
      <c r="Q2509" s="16" t="str">
        <f t="shared" ref="Q2509:Q2572" si="867">IF(AND($A2509&lt;&gt;"",$E2509&gt;0),IF(AND($J2509="SONY",$E2509&gt;=2000000),20000*$D2509,0),"")</f>
        <v/>
      </c>
      <c r="R2509" s="23" t="str">
        <f t="shared" ref="R2509:R2572" si="868">IF(AND($A2509&lt;&gt;"",$E2509&gt;0),IF(AND($J2509&lt;&gt;"SONY",100000&lt;=$E2509,$E2509&lt;200000),5000*$D2509,0),"")</f>
        <v/>
      </c>
      <c r="S2509" s="23" t="str">
        <f t="shared" ref="S2509:S2572" si="869">IF(AND($A2509&lt;&gt;"",$E2509&gt;0),IF(AND($J2509&lt;&gt;"SONY",200000&lt;=$E2509,$E2509&lt;500000),10000*$D2509,0),"")</f>
        <v/>
      </c>
      <c r="T2509" s="23" t="str">
        <f t="shared" ref="T2509:T2572" si="870">IF(AND($A2509&lt;&gt;"",$E2509&gt;0),IF(AND($J2509&lt;&gt;"SONY",500000&lt;=$E2509,$E2509&lt;1000000),20000*$D2509,0),"")</f>
        <v/>
      </c>
      <c r="U2509" s="23" t="str">
        <f t="shared" ref="U2509:U2572" si="871">IF(AND($A2509&lt;&gt;"",$E2509&gt;0),IF(AND($J2509&lt;&gt;"SONY",1000000&lt;=$E2509,$E2509&lt;1500000),50000*$D2509,0),"")</f>
        <v/>
      </c>
      <c r="V2509" s="23" t="str">
        <f t="shared" ref="V2509:V2572" si="872">IF(AND($A2509&lt;&gt;"",$E2509&gt;0),IF(AND($J2509&lt;&gt;"SONY",1500000&lt;=$E2509),100000*$D2509,0),"")</f>
        <v/>
      </c>
      <c r="W2509" s="70" t="str">
        <f t="shared" ref="W2509:W2572" si="873">IF(AND($E2509&gt;0,$J2509="ELECOM",$E2509&gt;=500000,ISNUMBER(SEARCH("tai nghe",$C2509))),20000*$D2509,IF($A2509&lt;&gt;"",0,""))</f>
        <v/>
      </c>
      <c r="X2509" s="70" t="str">
        <f t="shared" ref="X2509:X2572" si="874">IF(AND($E2509&gt;0,$J2509="ELECOM",ISNUMBER(SEARCH("loa",$C2509))),20000*$D2509,IF($A2509&lt;&gt;"",0,""))</f>
        <v/>
      </c>
      <c r="Y2509" s="70" t="str">
        <f>IF(AND($A2509&lt;&gt;"",$E2509&gt;0),isLaptopBag($C2509,$J2509)*$D2509,"")</f>
        <v/>
      </c>
      <c r="Z2509" s="70" t="str">
        <f t="shared" ref="Z2509:Z2572" si="875">IF(AND($E2509&gt;0,$J2509="ELECOM",ISNUMBER(SEARCH("ốp",$C2509))),20000*$D2509,IF($A2509&lt;&gt;"",0,""))</f>
        <v/>
      </c>
      <c r="AA2509" s="70" t="str">
        <f t="shared" ref="AA2509:AA2572" si="876">IF(AND($E2509&gt;0,$J2509="ELECOM",ISNUMBER(SEARCH("Bút",$C2509))),20000*$D2509,IF($A2509&lt;&gt;"",0,""))</f>
        <v/>
      </c>
      <c r="AB2509" s="70" t="str">
        <f t="shared" ref="AB2509:AB2572" si="877">IF(AND($E2509&gt;0,$J2509="ELECOM",ISNUMBER(SEARCH("Chuột bi",$C2509))),20000*$D2509,IF($A2509&lt;&gt;"",0,""))</f>
        <v/>
      </c>
      <c r="AC2509" s="70" t="str">
        <f t="shared" ref="AC2509:AC2572" si="878">IF(AND($E2509&gt;0,$J2509="ELECOM",ISNUMBER(SEARCH("Chuột trackball",$C2509))),20000*$D2509,IF($A2509&lt;&gt;"",0,""))</f>
        <v/>
      </c>
      <c r="AD2509" s="70" t="str">
        <f t="shared" ref="AD2509:AD2572" si="879">IF(AND($E2509&gt;0,$J2509="ELECOM",ISNUMBER(SEARCH("Sạc không dây",$C2509))),20000*$D2509,IF($A2509&lt;&gt;"",0,""))</f>
        <v/>
      </c>
      <c r="AE2509" s="70" t="str">
        <f t="shared" ref="AE2509:AE2572" si="880">IF(AND($E2509&gt;0,$J2509="ELECOM",ISNUMBER(SEARCH("Sạc kd",$C2509))),20000*$D2509,IF($A2509&lt;&gt;"",0,""))</f>
        <v/>
      </c>
      <c r="AF2509" s="16"/>
      <c r="AG2509" s="23"/>
      <c r="AH2509" s="22"/>
      <c r="AJ2509" s="83">
        <f t="shared" ref="AJ2509:AJ2572" si="881">DAY(H2509)</f>
        <v>0</v>
      </c>
      <c r="AO2509" s="22" t="str">
        <f t="shared" ref="AO2509:AO2572" si="882">IF(AND($E2509&gt;0,ISNUMBER(SEARCH("Sạc dự phòng Energizer",$C2509))),10000*$D2509,IF($A2509&lt;&gt;"",0,""))</f>
        <v/>
      </c>
      <c r="AP2509" s="22" t="str">
        <f t="shared" ref="AP2509:AP2572" si="883">IF(AND($E2509&gt;0,ISNUMBER(SEARCH("SDP Energizer",$C2509))),10000*$D2509,IF($A2509&lt;&gt;"",0,""))</f>
        <v/>
      </c>
    </row>
    <row r="2510" spans="1:42" x14ac:dyDescent="0.25">
      <c r="A2510" s="10"/>
      <c r="B2510" s="10"/>
      <c r="C2510" s="10"/>
      <c r="D2510" s="10"/>
      <c r="E2510" s="10"/>
      <c r="F2510" s="10"/>
      <c r="G2510" s="10"/>
      <c r="H2510" s="17"/>
      <c r="I2510" s="10"/>
      <c r="J2510" s="10"/>
      <c r="K2510" s="16" t="str">
        <f t="shared" si="862"/>
        <v/>
      </c>
      <c r="L2510" s="23" t="str">
        <f t="shared" si="863"/>
        <v/>
      </c>
      <c r="M2510" s="22" t="str">
        <f t="shared" si="864"/>
        <v/>
      </c>
      <c r="N2510" s="72"/>
      <c r="O2510" s="16" t="str">
        <f t="shared" si="865"/>
        <v/>
      </c>
      <c r="P2510" s="16" t="str">
        <f t="shared" si="866"/>
        <v/>
      </c>
      <c r="Q2510" s="16" t="str">
        <f t="shared" si="867"/>
        <v/>
      </c>
      <c r="R2510" s="23" t="str">
        <f t="shared" si="868"/>
        <v/>
      </c>
      <c r="S2510" s="23" t="str">
        <f t="shared" si="869"/>
        <v/>
      </c>
      <c r="T2510" s="23" t="str">
        <f t="shared" si="870"/>
        <v/>
      </c>
      <c r="U2510" s="23" t="str">
        <f t="shared" si="871"/>
        <v/>
      </c>
      <c r="V2510" s="23" t="str">
        <f t="shared" si="872"/>
        <v/>
      </c>
      <c r="W2510" s="70" t="str">
        <f t="shared" si="873"/>
        <v/>
      </c>
      <c r="X2510" s="70" t="str">
        <f t="shared" si="874"/>
        <v/>
      </c>
      <c r="Y2510" s="70" t="str">
        <f>IF(AND($A2510&lt;&gt;"",$E2510&gt;0),isLaptopBag($C2510,$J2510)*$D2510,"")</f>
        <v/>
      </c>
      <c r="Z2510" s="70" t="str">
        <f t="shared" si="875"/>
        <v/>
      </c>
      <c r="AA2510" s="70" t="str">
        <f t="shared" si="876"/>
        <v/>
      </c>
      <c r="AB2510" s="70" t="str">
        <f t="shared" si="877"/>
        <v/>
      </c>
      <c r="AC2510" s="70" t="str">
        <f t="shared" si="878"/>
        <v/>
      </c>
      <c r="AD2510" s="70" t="str">
        <f t="shared" si="879"/>
        <v/>
      </c>
      <c r="AE2510" s="70" t="str">
        <f t="shared" si="880"/>
        <v/>
      </c>
      <c r="AF2510" s="16"/>
      <c r="AG2510" s="23"/>
      <c r="AH2510" s="22"/>
      <c r="AJ2510" s="83">
        <f t="shared" si="881"/>
        <v>0</v>
      </c>
      <c r="AO2510" s="22" t="str">
        <f t="shared" si="882"/>
        <v/>
      </c>
      <c r="AP2510" s="22" t="str">
        <f t="shared" si="883"/>
        <v/>
      </c>
    </row>
    <row r="2511" spans="1:42" x14ac:dyDescent="0.25">
      <c r="A2511" s="10"/>
      <c r="B2511" s="10"/>
      <c r="C2511" s="10"/>
      <c r="D2511" s="10"/>
      <c r="E2511" s="10"/>
      <c r="F2511" s="10"/>
      <c r="G2511" s="10"/>
      <c r="H2511" s="17"/>
      <c r="I2511" s="10"/>
      <c r="J2511" s="10"/>
      <c r="K2511" s="16" t="str">
        <f t="shared" si="862"/>
        <v/>
      </c>
      <c r="L2511" s="23" t="str">
        <f t="shared" si="863"/>
        <v/>
      </c>
      <c r="M2511" s="22" t="str">
        <f t="shared" si="864"/>
        <v/>
      </c>
      <c r="N2511" s="72"/>
      <c r="O2511" s="16" t="str">
        <f t="shared" si="865"/>
        <v/>
      </c>
      <c r="P2511" s="16" t="str">
        <f t="shared" si="866"/>
        <v/>
      </c>
      <c r="Q2511" s="16" t="str">
        <f t="shared" si="867"/>
        <v/>
      </c>
      <c r="R2511" s="23" t="str">
        <f t="shared" si="868"/>
        <v/>
      </c>
      <c r="S2511" s="23" t="str">
        <f t="shared" si="869"/>
        <v/>
      </c>
      <c r="T2511" s="23" t="str">
        <f t="shared" si="870"/>
        <v/>
      </c>
      <c r="U2511" s="23" t="str">
        <f t="shared" si="871"/>
        <v/>
      </c>
      <c r="V2511" s="23" t="str">
        <f t="shared" si="872"/>
        <v/>
      </c>
      <c r="W2511" s="70" t="str">
        <f t="shared" si="873"/>
        <v/>
      </c>
      <c r="X2511" s="70" t="str">
        <f t="shared" si="874"/>
        <v/>
      </c>
      <c r="Y2511" s="70" t="str">
        <f>IF(AND($A2511&lt;&gt;"",$E2511&gt;0),isLaptopBag($C2511,$J2511)*$D2511,"")</f>
        <v/>
      </c>
      <c r="Z2511" s="70" t="str">
        <f t="shared" si="875"/>
        <v/>
      </c>
      <c r="AA2511" s="70" t="str">
        <f t="shared" si="876"/>
        <v/>
      </c>
      <c r="AB2511" s="70" t="str">
        <f t="shared" si="877"/>
        <v/>
      </c>
      <c r="AC2511" s="70" t="str">
        <f t="shared" si="878"/>
        <v/>
      </c>
      <c r="AD2511" s="70" t="str">
        <f t="shared" si="879"/>
        <v/>
      </c>
      <c r="AE2511" s="70" t="str">
        <f t="shared" si="880"/>
        <v/>
      </c>
      <c r="AF2511" s="16"/>
      <c r="AG2511" s="23"/>
      <c r="AH2511" s="22"/>
      <c r="AJ2511" s="83">
        <f t="shared" si="881"/>
        <v>0</v>
      </c>
      <c r="AO2511" s="22" t="str">
        <f t="shared" si="882"/>
        <v/>
      </c>
      <c r="AP2511" s="22" t="str">
        <f t="shared" si="883"/>
        <v/>
      </c>
    </row>
    <row r="2512" spans="1:42" x14ac:dyDescent="0.25">
      <c r="A2512" s="10"/>
      <c r="B2512" s="10"/>
      <c r="C2512" s="10"/>
      <c r="D2512" s="10"/>
      <c r="E2512" s="10"/>
      <c r="F2512" s="10"/>
      <c r="G2512" s="10"/>
      <c r="H2512" s="17"/>
      <c r="I2512" s="10"/>
      <c r="J2512" s="10"/>
      <c r="K2512" s="16" t="str">
        <f t="shared" si="862"/>
        <v/>
      </c>
      <c r="L2512" s="23" t="str">
        <f t="shared" si="863"/>
        <v/>
      </c>
      <c r="M2512" s="22" t="str">
        <f t="shared" si="864"/>
        <v/>
      </c>
      <c r="N2512" s="72"/>
      <c r="O2512" s="16" t="str">
        <f t="shared" si="865"/>
        <v/>
      </c>
      <c r="P2512" s="16" t="str">
        <f t="shared" si="866"/>
        <v/>
      </c>
      <c r="Q2512" s="16" t="str">
        <f t="shared" si="867"/>
        <v/>
      </c>
      <c r="R2512" s="23" t="str">
        <f t="shared" si="868"/>
        <v/>
      </c>
      <c r="S2512" s="23" t="str">
        <f t="shared" si="869"/>
        <v/>
      </c>
      <c r="T2512" s="23" t="str">
        <f t="shared" si="870"/>
        <v/>
      </c>
      <c r="U2512" s="23" t="str">
        <f t="shared" si="871"/>
        <v/>
      </c>
      <c r="V2512" s="23" t="str">
        <f t="shared" si="872"/>
        <v/>
      </c>
      <c r="W2512" s="70" t="str">
        <f t="shared" si="873"/>
        <v/>
      </c>
      <c r="X2512" s="70" t="str">
        <f t="shared" si="874"/>
        <v/>
      </c>
      <c r="Y2512" s="70" t="str">
        <f>IF(AND($A2512&lt;&gt;"",$E2512&gt;0),isLaptopBag($C2512,$J2512)*$D2512,"")</f>
        <v/>
      </c>
      <c r="Z2512" s="70" t="str">
        <f t="shared" si="875"/>
        <v/>
      </c>
      <c r="AA2512" s="70" t="str">
        <f t="shared" si="876"/>
        <v/>
      </c>
      <c r="AB2512" s="70" t="str">
        <f t="shared" si="877"/>
        <v/>
      </c>
      <c r="AC2512" s="70" t="str">
        <f t="shared" si="878"/>
        <v/>
      </c>
      <c r="AD2512" s="70" t="str">
        <f t="shared" si="879"/>
        <v/>
      </c>
      <c r="AE2512" s="70" t="str">
        <f t="shared" si="880"/>
        <v/>
      </c>
      <c r="AF2512" s="16"/>
      <c r="AG2512" s="23"/>
      <c r="AH2512" s="22"/>
      <c r="AJ2512" s="83">
        <f t="shared" si="881"/>
        <v>0</v>
      </c>
      <c r="AO2512" s="22" t="str">
        <f t="shared" si="882"/>
        <v/>
      </c>
      <c r="AP2512" s="22" t="str">
        <f t="shared" si="883"/>
        <v/>
      </c>
    </row>
    <row r="2513" spans="1:42" x14ac:dyDescent="0.25">
      <c r="A2513" s="10"/>
      <c r="B2513" s="10"/>
      <c r="C2513" s="10"/>
      <c r="D2513" s="10"/>
      <c r="E2513" s="10"/>
      <c r="F2513" s="10"/>
      <c r="G2513" s="10"/>
      <c r="H2513" s="17"/>
      <c r="I2513" s="10"/>
      <c r="J2513" s="10"/>
      <c r="K2513" s="16" t="str">
        <f t="shared" si="862"/>
        <v/>
      </c>
      <c r="L2513" s="23" t="str">
        <f t="shared" si="863"/>
        <v/>
      </c>
      <c r="M2513" s="22" t="str">
        <f t="shared" si="864"/>
        <v/>
      </c>
      <c r="N2513" s="72"/>
      <c r="O2513" s="16" t="str">
        <f t="shared" si="865"/>
        <v/>
      </c>
      <c r="P2513" s="16" t="str">
        <f t="shared" si="866"/>
        <v/>
      </c>
      <c r="Q2513" s="16" t="str">
        <f t="shared" si="867"/>
        <v/>
      </c>
      <c r="R2513" s="23" t="str">
        <f t="shared" si="868"/>
        <v/>
      </c>
      <c r="S2513" s="23" t="str">
        <f t="shared" si="869"/>
        <v/>
      </c>
      <c r="T2513" s="23" t="str">
        <f t="shared" si="870"/>
        <v/>
      </c>
      <c r="U2513" s="23" t="str">
        <f t="shared" si="871"/>
        <v/>
      </c>
      <c r="V2513" s="23" t="str">
        <f t="shared" si="872"/>
        <v/>
      </c>
      <c r="W2513" s="70" t="str">
        <f t="shared" si="873"/>
        <v/>
      </c>
      <c r="X2513" s="70" t="str">
        <f t="shared" si="874"/>
        <v/>
      </c>
      <c r="Y2513" s="70" t="str">
        <f>IF(AND($A2513&lt;&gt;"",$E2513&gt;0),isLaptopBag($C2513,$J2513)*$D2513,"")</f>
        <v/>
      </c>
      <c r="Z2513" s="70" t="str">
        <f t="shared" si="875"/>
        <v/>
      </c>
      <c r="AA2513" s="70" t="str">
        <f t="shared" si="876"/>
        <v/>
      </c>
      <c r="AB2513" s="70" t="str">
        <f t="shared" si="877"/>
        <v/>
      </c>
      <c r="AC2513" s="70" t="str">
        <f t="shared" si="878"/>
        <v/>
      </c>
      <c r="AD2513" s="70" t="str">
        <f t="shared" si="879"/>
        <v/>
      </c>
      <c r="AE2513" s="70" t="str">
        <f t="shared" si="880"/>
        <v/>
      </c>
      <c r="AF2513" s="16"/>
      <c r="AG2513" s="23"/>
      <c r="AH2513" s="22"/>
      <c r="AJ2513" s="83">
        <f t="shared" si="881"/>
        <v>0</v>
      </c>
      <c r="AO2513" s="22" t="str">
        <f t="shared" si="882"/>
        <v/>
      </c>
      <c r="AP2513" s="22" t="str">
        <f t="shared" si="883"/>
        <v/>
      </c>
    </row>
    <row r="2514" spans="1:42" x14ac:dyDescent="0.25">
      <c r="A2514" s="10"/>
      <c r="B2514" s="10"/>
      <c r="C2514" s="10"/>
      <c r="D2514" s="10"/>
      <c r="E2514" s="10"/>
      <c r="F2514" s="10"/>
      <c r="G2514" s="10"/>
      <c r="H2514" s="17"/>
      <c r="I2514" s="10"/>
      <c r="J2514" s="10"/>
      <c r="K2514" s="16" t="str">
        <f t="shared" si="862"/>
        <v/>
      </c>
      <c r="L2514" s="23" t="str">
        <f t="shared" si="863"/>
        <v/>
      </c>
      <c r="M2514" s="22" t="str">
        <f t="shared" si="864"/>
        <v/>
      </c>
      <c r="N2514" s="72"/>
      <c r="O2514" s="16" t="str">
        <f t="shared" si="865"/>
        <v/>
      </c>
      <c r="P2514" s="16" t="str">
        <f t="shared" si="866"/>
        <v/>
      </c>
      <c r="Q2514" s="16" t="str">
        <f t="shared" si="867"/>
        <v/>
      </c>
      <c r="R2514" s="23" t="str">
        <f t="shared" si="868"/>
        <v/>
      </c>
      <c r="S2514" s="23" t="str">
        <f t="shared" si="869"/>
        <v/>
      </c>
      <c r="T2514" s="23" t="str">
        <f t="shared" si="870"/>
        <v/>
      </c>
      <c r="U2514" s="23" t="str">
        <f t="shared" si="871"/>
        <v/>
      </c>
      <c r="V2514" s="23" t="str">
        <f t="shared" si="872"/>
        <v/>
      </c>
      <c r="W2514" s="70" t="str">
        <f t="shared" si="873"/>
        <v/>
      </c>
      <c r="X2514" s="70" t="str">
        <f t="shared" si="874"/>
        <v/>
      </c>
      <c r="Y2514" s="70" t="str">
        <f>IF(AND($A2514&lt;&gt;"",$E2514&gt;0),isLaptopBag($C2514,$J2514)*$D2514,"")</f>
        <v/>
      </c>
      <c r="Z2514" s="70" t="str">
        <f t="shared" si="875"/>
        <v/>
      </c>
      <c r="AA2514" s="70" t="str">
        <f t="shared" si="876"/>
        <v/>
      </c>
      <c r="AB2514" s="70" t="str">
        <f t="shared" si="877"/>
        <v/>
      </c>
      <c r="AC2514" s="70" t="str">
        <f t="shared" si="878"/>
        <v/>
      </c>
      <c r="AD2514" s="70" t="str">
        <f t="shared" si="879"/>
        <v/>
      </c>
      <c r="AE2514" s="70" t="str">
        <f t="shared" si="880"/>
        <v/>
      </c>
      <c r="AF2514" s="16"/>
      <c r="AG2514" s="23"/>
      <c r="AH2514" s="22"/>
      <c r="AJ2514" s="83">
        <f t="shared" si="881"/>
        <v>0</v>
      </c>
      <c r="AO2514" s="22" t="str">
        <f t="shared" si="882"/>
        <v/>
      </c>
      <c r="AP2514" s="22" t="str">
        <f t="shared" si="883"/>
        <v/>
      </c>
    </row>
    <row r="2515" spans="1:42" x14ac:dyDescent="0.25">
      <c r="A2515" s="10"/>
      <c r="B2515" s="10"/>
      <c r="C2515" s="10"/>
      <c r="D2515" s="10"/>
      <c r="E2515" s="10"/>
      <c r="F2515" s="10"/>
      <c r="G2515" s="10"/>
      <c r="H2515" s="17"/>
      <c r="I2515" s="10"/>
      <c r="J2515" s="10"/>
      <c r="K2515" s="16" t="str">
        <f t="shared" si="862"/>
        <v/>
      </c>
      <c r="L2515" s="23" t="str">
        <f t="shared" si="863"/>
        <v/>
      </c>
      <c r="M2515" s="22" t="str">
        <f t="shared" si="864"/>
        <v/>
      </c>
      <c r="N2515" s="72"/>
      <c r="O2515" s="16" t="str">
        <f t="shared" si="865"/>
        <v/>
      </c>
      <c r="P2515" s="16" t="str">
        <f t="shared" si="866"/>
        <v/>
      </c>
      <c r="Q2515" s="16" t="str">
        <f t="shared" si="867"/>
        <v/>
      </c>
      <c r="R2515" s="23" t="str">
        <f t="shared" si="868"/>
        <v/>
      </c>
      <c r="S2515" s="23" t="str">
        <f t="shared" si="869"/>
        <v/>
      </c>
      <c r="T2515" s="23" t="str">
        <f t="shared" si="870"/>
        <v/>
      </c>
      <c r="U2515" s="23" t="str">
        <f t="shared" si="871"/>
        <v/>
      </c>
      <c r="V2515" s="23" t="str">
        <f t="shared" si="872"/>
        <v/>
      </c>
      <c r="W2515" s="70" t="str">
        <f t="shared" si="873"/>
        <v/>
      </c>
      <c r="X2515" s="70" t="str">
        <f t="shared" si="874"/>
        <v/>
      </c>
      <c r="Y2515" s="70" t="str">
        <f>IF(AND($A2515&lt;&gt;"",$E2515&gt;0),isLaptopBag($C2515,$J2515)*$D2515,"")</f>
        <v/>
      </c>
      <c r="Z2515" s="70" t="str">
        <f t="shared" si="875"/>
        <v/>
      </c>
      <c r="AA2515" s="70" t="str">
        <f t="shared" si="876"/>
        <v/>
      </c>
      <c r="AB2515" s="70" t="str">
        <f t="shared" si="877"/>
        <v/>
      </c>
      <c r="AC2515" s="70" t="str">
        <f t="shared" si="878"/>
        <v/>
      </c>
      <c r="AD2515" s="70" t="str">
        <f t="shared" si="879"/>
        <v/>
      </c>
      <c r="AE2515" s="70" t="str">
        <f t="shared" si="880"/>
        <v/>
      </c>
      <c r="AF2515" s="16"/>
      <c r="AG2515" s="23"/>
      <c r="AH2515" s="22"/>
      <c r="AJ2515" s="83">
        <f t="shared" si="881"/>
        <v>0</v>
      </c>
      <c r="AO2515" s="22" t="str">
        <f t="shared" si="882"/>
        <v/>
      </c>
      <c r="AP2515" s="22" t="str">
        <f t="shared" si="883"/>
        <v/>
      </c>
    </row>
    <row r="2516" spans="1:42" x14ac:dyDescent="0.25">
      <c r="A2516" s="10"/>
      <c r="B2516" s="10"/>
      <c r="C2516" s="10"/>
      <c r="D2516" s="10"/>
      <c r="E2516" s="10"/>
      <c r="F2516" s="10"/>
      <c r="G2516" s="10"/>
      <c r="H2516" s="17"/>
      <c r="I2516" s="10"/>
      <c r="J2516" s="10"/>
      <c r="K2516" s="16" t="str">
        <f t="shared" si="862"/>
        <v/>
      </c>
      <c r="L2516" s="23" t="str">
        <f t="shared" si="863"/>
        <v/>
      </c>
      <c r="M2516" s="22" t="str">
        <f t="shared" si="864"/>
        <v/>
      </c>
      <c r="N2516" s="72"/>
      <c r="O2516" s="16" t="str">
        <f t="shared" si="865"/>
        <v/>
      </c>
      <c r="P2516" s="16" t="str">
        <f t="shared" si="866"/>
        <v/>
      </c>
      <c r="Q2516" s="16" t="str">
        <f t="shared" si="867"/>
        <v/>
      </c>
      <c r="R2516" s="23" t="str">
        <f t="shared" si="868"/>
        <v/>
      </c>
      <c r="S2516" s="23" t="str">
        <f t="shared" si="869"/>
        <v/>
      </c>
      <c r="T2516" s="23" t="str">
        <f t="shared" si="870"/>
        <v/>
      </c>
      <c r="U2516" s="23" t="str">
        <f t="shared" si="871"/>
        <v/>
      </c>
      <c r="V2516" s="23" t="str">
        <f t="shared" si="872"/>
        <v/>
      </c>
      <c r="W2516" s="70" t="str">
        <f t="shared" si="873"/>
        <v/>
      </c>
      <c r="X2516" s="70" t="str">
        <f t="shared" si="874"/>
        <v/>
      </c>
      <c r="Y2516" s="70" t="str">
        <f>IF(AND($A2516&lt;&gt;"",$E2516&gt;0),isLaptopBag($C2516,$J2516)*$D2516,"")</f>
        <v/>
      </c>
      <c r="Z2516" s="70" t="str">
        <f t="shared" si="875"/>
        <v/>
      </c>
      <c r="AA2516" s="70" t="str">
        <f t="shared" si="876"/>
        <v/>
      </c>
      <c r="AB2516" s="70" t="str">
        <f t="shared" si="877"/>
        <v/>
      </c>
      <c r="AC2516" s="70" t="str">
        <f t="shared" si="878"/>
        <v/>
      </c>
      <c r="AD2516" s="70" t="str">
        <f t="shared" si="879"/>
        <v/>
      </c>
      <c r="AE2516" s="70" t="str">
        <f t="shared" si="880"/>
        <v/>
      </c>
      <c r="AF2516" s="16"/>
      <c r="AG2516" s="23"/>
      <c r="AH2516" s="22"/>
      <c r="AJ2516" s="83">
        <f t="shared" si="881"/>
        <v>0</v>
      </c>
      <c r="AO2516" s="22" t="str">
        <f t="shared" si="882"/>
        <v/>
      </c>
      <c r="AP2516" s="22" t="str">
        <f t="shared" si="883"/>
        <v/>
      </c>
    </row>
    <row r="2517" spans="1:42" x14ac:dyDescent="0.25">
      <c r="A2517" s="10"/>
      <c r="B2517" s="10"/>
      <c r="C2517" s="10"/>
      <c r="D2517" s="10"/>
      <c r="E2517" s="10"/>
      <c r="F2517" s="10"/>
      <c r="G2517" s="10"/>
      <c r="H2517" s="17"/>
      <c r="I2517" s="10"/>
      <c r="J2517" s="10"/>
      <c r="K2517" s="16" t="str">
        <f t="shared" si="862"/>
        <v/>
      </c>
      <c r="L2517" s="23" t="str">
        <f t="shared" si="863"/>
        <v/>
      </c>
      <c r="M2517" s="22" t="str">
        <f t="shared" si="864"/>
        <v/>
      </c>
      <c r="N2517" s="72"/>
      <c r="O2517" s="16" t="str">
        <f t="shared" si="865"/>
        <v/>
      </c>
      <c r="P2517" s="16" t="str">
        <f t="shared" si="866"/>
        <v/>
      </c>
      <c r="Q2517" s="16" t="str">
        <f t="shared" si="867"/>
        <v/>
      </c>
      <c r="R2517" s="23" t="str">
        <f t="shared" si="868"/>
        <v/>
      </c>
      <c r="S2517" s="23" t="str">
        <f t="shared" si="869"/>
        <v/>
      </c>
      <c r="T2517" s="23" t="str">
        <f t="shared" si="870"/>
        <v/>
      </c>
      <c r="U2517" s="23" t="str">
        <f t="shared" si="871"/>
        <v/>
      </c>
      <c r="V2517" s="23" t="str">
        <f t="shared" si="872"/>
        <v/>
      </c>
      <c r="W2517" s="70" t="str">
        <f t="shared" si="873"/>
        <v/>
      </c>
      <c r="X2517" s="70" t="str">
        <f t="shared" si="874"/>
        <v/>
      </c>
      <c r="Y2517" s="70" t="str">
        <f>IF(AND($A2517&lt;&gt;"",$E2517&gt;0),isLaptopBag($C2517,$J2517)*$D2517,"")</f>
        <v/>
      </c>
      <c r="Z2517" s="70" t="str">
        <f t="shared" si="875"/>
        <v/>
      </c>
      <c r="AA2517" s="70" t="str">
        <f t="shared" si="876"/>
        <v/>
      </c>
      <c r="AB2517" s="70" t="str">
        <f t="shared" si="877"/>
        <v/>
      </c>
      <c r="AC2517" s="70" t="str">
        <f t="shared" si="878"/>
        <v/>
      </c>
      <c r="AD2517" s="70" t="str">
        <f t="shared" si="879"/>
        <v/>
      </c>
      <c r="AE2517" s="70" t="str">
        <f t="shared" si="880"/>
        <v/>
      </c>
      <c r="AF2517" s="16"/>
      <c r="AG2517" s="23"/>
      <c r="AH2517" s="22"/>
      <c r="AJ2517" s="83">
        <f t="shared" si="881"/>
        <v>0</v>
      </c>
      <c r="AO2517" s="22" t="str">
        <f t="shared" si="882"/>
        <v/>
      </c>
      <c r="AP2517" s="22" t="str">
        <f t="shared" si="883"/>
        <v/>
      </c>
    </row>
    <row r="2518" spans="1:42" x14ac:dyDescent="0.25">
      <c r="A2518" s="10"/>
      <c r="B2518" s="10"/>
      <c r="C2518" s="10"/>
      <c r="D2518" s="10"/>
      <c r="E2518" s="10"/>
      <c r="F2518" s="10"/>
      <c r="G2518" s="10"/>
      <c r="H2518" s="17"/>
      <c r="I2518" s="10"/>
      <c r="J2518" s="10"/>
      <c r="K2518" s="16" t="str">
        <f t="shared" si="862"/>
        <v/>
      </c>
      <c r="L2518" s="23" t="str">
        <f t="shared" si="863"/>
        <v/>
      </c>
      <c r="M2518" s="22" t="str">
        <f t="shared" si="864"/>
        <v/>
      </c>
      <c r="N2518" s="72"/>
      <c r="O2518" s="16" t="str">
        <f t="shared" si="865"/>
        <v/>
      </c>
      <c r="P2518" s="16" t="str">
        <f t="shared" si="866"/>
        <v/>
      </c>
      <c r="Q2518" s="16" t="str">
        <f t="shared" si="867"/>
        <v/>
      </c>
      <c r="R2518" s="23" t="str">
        <f t="shared" si="868"/>
        <v/>
      </c>
      <c r="S2518" s="23" t="str">
        <f t="shared" si="869"/>
        <v/>
      </c>
      <c r="T2518" s="23" t="str">
        <f t="shared" si="870"/>
        <v/>
      </c>
      <c r="U2518" s="23" t="str">
        <f t="shared" si="871"/>
        <v/>
      </c>
      <c r="V2518" s="23" t="str">
        <f t="shared" si="872"/>
        <v/>
      </c>
      <c r="W2518" s="70" t="str">
        <f t="shared" si="873"/>
        <v/>
      </c>
      <c r="X2518" s="70" t="str">
        <f t="shared" si="874"/>
        <v/>
      </c>
      <c r="Y2518" s="70" t="str">
        <f>IF(AND($A2518&lt;&gt;"",$E2518&gt;0),isLaptopBag($C2518,$J2518)*$D2518,"")</f>
        <v/>
      </c>
      <c r="Z2518" s="70" t="str">
        <f t="shared" si="875"/>
        <v/>
      </c>
      <c r="AA2518" s="70" t="str">
        <f t="shared" si="876"/>
        <v/>
      </c>
      <c r="AB2518" s="70" t="str">
        <f t="shared" si="877"/>
        <v/>
      </c>
      <c r="AC2518" s="70" t="str">
        <f t="shared" si="878"/>
        <v/>
      </c>
      <c r="AD2518" s="70" t="str">
        <f t="shared" si="879"/>
        <v/>
      </c>
      <c r="AE2518" s="70" t="str">
        <f t="shared" si="880"/>
        <v/>
      </c>
      <c r="AF2518" s="16"/>
      <c r="AG2518" s="23"/>
      <c r="AH2518" s="22"/>
      <c r="AJ2518" s="83">
        <f t="shared" si="881"/>
        <v>0</v>
      </c>
      <c r="AO2518" s="22" t="str">
        <f t="shared" si="882"/>
        <v/>
      </c>
      <c r="AP2518" s="22" t="str">
        <f t="shared" si="883"/>
        <v/>
      </c>
    </row>
    <row r="2519" spans="1:42" x14ac:dyDescent="0.25">
      <c r="A2519" s="10"/>
      <c r="B2519" s="10"/>
      <c r="C2519" s="10"/>
      <c r="D2519" s="10"/>
      <c r="E2519" s="10"/>
      <c r="F2519" s="10"/>
      <c r="G2519" s="10"/>
      <c r="H2519" s="17"/>
      <c r="I2519" s="10"/>
      <c r="J2519" s="10"/>
      <c r="K2519" s="16" t="str">
        <f t="shared" si="862"/>
        <v/>
      </c>
      <c r="L2519" s="23" t="str">
        <f t="shared" si="863"/>
        <v/>
      </c>
      <c r="M2519" s="22" t="str">
        <f t="shared" si="864"/>
        <v/>
      </c>
      <c r="N2519" s="72"/>
      <c r="O2519" s="16" t="str">
        <f t="shared" si="865"/>
        <v/>
      </c>
      <c r="P2519" s="16" t="str">
        <f t="shared" si="866"/>
        <v/>
      </c>
      <c r="Q2519" s="16" t="str">
        <f t="shared" si="867"/>
        <v/>
      </c>
      <c r="R2519" s="23" t="str">
        <f t="shared" si="868"/>
        <v/>
      </c>
      <c r="S2519" s="23" t="str">
        <f t="shared" si="869"/>
        <v/>
      </c>
      <c r="T2519" s="23" t="str">
        <f t="shared" si="870"/>
        <v/>
      </c>
      <c r="U2519" s="23" t="str">
        <f t="shared" si="871"/>
        <v/>
      </c>
      <c r="V2519" s="23" t="str">
        <f t="shared" si="872"/>
        <v/>
      </c>
      <c r="W2519" s="70" t="str">
        <f t="shared" si="873"/>
        <v/>
      </c>
      <c r="X2519" s="70" t="str">
        <f t="shared" si="874"/>
        <v/>
      </c>
      <c r="Y2519" s="70" t="str">
        <f>IF(AND($A2519&lt;&gt;"",$E2519&gt;0),isLaptopBag($C2519,$J2519)*$D2519,"")</f>
        <v/>
      </c>
      <c r="Z2519" s="70" t="str">
        <f t="shared" si="875"/>
        <v/>
      </c>
      <c r="AA2519" s="70" t="str">
        <f t="shared" si="876"/>
        <v/>
      </c>
      <c r="AB2519" s="70" t="str">
        <f t="shared" si="877"/>
        <v/>
      </c>
      <c r="AC2519" s="70" t="str">
        <f t="shared" si="878"/>
        <v/>
      </c>
      <c r="AD2519" s="70" t="str">
        <f t="shared" si="879"/>
        <v/>
      </c>
      <c r="AE2519" s="70" t="str">
        <f t="shared" si="880"/>
        <v/>
      </c>
      <c r="AF2519" s="16"/>
      <c r="AG2519" s="23"/>
      <c r="AH2519" s="22"/>
      <c r="AJ2519" s="83">
        <f t="shared" si="881"/>
        <v>0</v>
      </c>
      <c r="AO2519" s="22" t="str">
        <f t="shared" si="882"/>
        <v/>
      </c>
      <c r="AP2519" s="22" t="str">
        <f t="shared" si="883"/>
        <v/>
      </c>
    </row>
    <row r="2520" spans="1:42" x14ac:dyDescent="0.25">
      <c r="A2520" s="10"/>
      <c r="B2520" s="10"/>
      <c r="C2520" s="10"/>
      <c r="D2520" s="10"/>
      <c r="E2520" s="10"/>
      <c r="F2520" s="10"/>
      <c r="G2520" s="10"/>
      <c r="H2520" s="17"/>
      <c r="I2520" s="10"/>
      <c r="J2520" s="10"/>
      <c r="K2520" s="16" t="str">
        <f t="shared" si="862"/>
        <v/>
      </c>
      <c r="L2520" s="23" t="str">
        <f t="shared" si="863"/>
        <v/>
      </c>
      <c r="M2520" s="22" t="str">
        <f t="shared" si="864"/>
        <v/>
      </c>
      <c r="N2520" s="72"/>
      <c r="O2520" s="16" t="str">
        <f t="shared" si="865"/>
        <v/>
      </c>
      <c r="P2520" s="16" t="str">
        <f t="shared" si="866"/>
        <v/>
      </c>
      <c r="Q2520" s="16" t="str">
        <f t="shared" si="867"/>
        <v/>
      </c>
      <c r="R2520" s="23" t="str">
        <f t="shared" si="868"/>
        <v/>
      </c>
      <c r="S2520" s="23" t="str">
        <f t="shared" si="869"/>
        <v/>
      </c>
      <c r="T2520" s="23" t="str">
        <f t="shared" si="870"/>
        <v/>
      </c>
      <c r="U2520" s="23" t="str">
        <f t="shared" si="871"/>
        <v/>
      </c>
      <c r="V2520" s="23" t="str">
        <f t="shared" si="872"/>
        <v/>
      </c>
      <c r="W2520" s="70" t="str">
        <f t="shared" si="873"/>
        <v/>
      </c>
      <c r="X2520" s="70" t="str">
        <f t="shared" si="874"/>
        <v/>
      </c>
      <c r="Y2520" s="70" t="str">
        <f>IF(AND($A2520&lt;&gt;"",$E2520&gt;0),isLaptopBag($C2520,$J2520)*$D2520,"")</f>
        <v/>
      </c>
      <c r="Z2520" s="70" t="str">
        <f t="shared" si="875"/>
        <v/>
      </c>
      <c r="AA2520" s="70" t="str">
        <f t="shared" si="876"/>
        <v/>
      </c>
      <c r="AB2520" s="70" t="str">
        <f t="shared" si="877"/>
        <v/>
      </c>
      <c r="AC2520" s="70" t="str">
        <f t="shared" si="878"/>
        <v/>
      </c>
      <c r="AD2520" s="70" t="str">
        <f t="shared" si="879"/>
        <v/>
      </c>
      <c r="AE2520" s="70" t="str">
        <f t="shared" si="880"/>
        <v/>
      </c>
      <c r="AF2520" s="16"/>
      <c r="AG2520" s="23"/>
      <c r="AH2520" s="22"/>
      <c r="AJ2520" s="83">
        <f t="shared" si="881"/>
        <v>0</v>
      </c>
      <c r="AO2520" s="22" t="str">
        <f t="shared" si="882"/>
        <v/>
      </c>
      <c r="AP2520" s="22" t="str">
        <f t="shared" si="883"/>
        <v/>
      </c>
    </row>
    <row r="2521" spans="1:42" x14ac:dyDescent="0.25">
      <c r="A2521" s="10"/>
      <c r="B2521" s="10"/>
      <c r="C2521" s="10"/>
      <c r="D2521" s="10"/>
      <c r="E2521" s="10"/>
      <c r="F2521" s="10"/>
      <c r="G2521" s="10"/>
      <c r="H2521" s="17"/>
      <c r="I2521" s="10"/>
      <c r="J2521" s="10"/>
      <c r="K2521" s="16" t="str">
        <f t="shared" si="862"/>
        <v/>
      </c>
      <c r="L2521" s="23" t="str">
        <f t="shared" si="863"/>
        <v/>
      </c>
      <c r="M2521" s="22" t="str">
        <f t="shared" si="864"/>
        <v/>
      </c>
      <c r="N2521" s="72"/>
      <c r="O2521" s="16" t="str">
        <f t="shared" si="865"/>
        <v/>
      </c>
      <c r="P2521" s="16" t="str">
        <f t="shared" si="866"/>
        <v/>
      </c>
      <c r="Q2521" s="16" t="str">
        <f t="shared" si="867"/>
        <v/>
      </c>
      <c r="R2521" s="23" t="str">
        <f t="shared" si="868"/>
        <v/>
      </c>
      <c r="S2521" s="23" t="str">
        <f t="shared" si="869"/>
        <v/>
      </c>
      <c r="T2521" s="23" t="str">
        <f t="shared" si="870"/>
        <v/>
      </c>
      <c r="U2521" s="23" t="str">
        <f t="shared" si="871"/>
        <v/>
      </c>
      <c r="V2521" s="23" t="str">
        <f t="shared" si="872"/>
        <v/>
      </c>
      <c r="W2521" s="70" t="str">
        <f t="shared" si="873"/>
        <v/>
      </c>
      <c r="X2521" s="70" t="str">
        <f t="shared" si="874"/>
        <v/>
      </c>
      <c r="Y2521" s="70" t="str">
        <f>IF(AND($A2521&lt;&gt;"",$E2521&gt;0),isLaptopBag($C2521,$J2521)*$D2521,"")</f>
        <v/>
      </c>
      <c r="Z2521" s="70" t="str">
        <f t="shared" si="875"/>
        <v/>
      </c>
      <c r="AA2521" s="70" t="str">
        <f t="shared" si="876"/>
        <v/>
      </c>
      <c r="AB2521" s="70" t="str">
        <f t="shared" si="877"/>
        <v/>
      </c>
      <c r="AC2521" s="70" t="str">
        <f t="shared" si="878"/>
        <v/>
      </c>
      <c r="AD2521" s="70" t="str">
        <f t="shared" si="879"/>
        <v/>
      </c>
      <c r="AE2521" s="70" t="str">
        <f t="shared" si="880"/>
        <v/>
      </c>
      <c r="AF2521" s="16"/>
      <c r="AG2521" s="23"/>
      <c r="AH2521" s="22"/>
      <c r="AJ2521" s="83">
        <f t="shared" si="881"/>
        <v>0</v>
      </c>
      <c r="AO2521" s="22" t="str">
        <f t="shared" si="882"/>
        <v/>
      </c>
      <c r="AP2521" s="22" t="str">
        <f t="shared" si="883"/>
        <v/>
      </c>
    </row>
    <row r="2522" spans="1:42" x14ac:dyDescent="0.25">
      <c r="A2522" s="10"/>
      <c r="B2522" s="10"/>
      <c r="C2522" s="10"/>
      <c r="D2522" s="10"/>
      <c r="E2522" s="10"/>
      <c r="F2522" s="10"/>
      <c r="G2522" s="10"/>
      <c r="H2522" s="17"/>
      <c r="I2522" s="10"/>
      <c r="J2522" s="10"/>
      <c r="K2522" s="16" t="str">
        <f t="shared" si="862"/>
        <v/>
      </c>
      <c r="L2522" s="23" t="str">
        <f t="shared" si="863"/>
        <v/>
      </c>
      <c r="M2522" s="22" t="str">
        <f t="shared" si="864"/>
        <v/>
      </c>
      <c r="N2522" s="72"/>
      <c r="O2522" s="16" t="str">
        <f t="shared" si="865"/>
        <v/>
      </c>
      <c r="P2522" s="16" t="str">
        <f t="shared" si="866"/>
        <v/>
      </c>
      <c r="Q2522" s="16" t="str">
        <f t="shared" si="867"/>
        <v/>
      </c>
      <c r="R2522" s="23" t="str">
        <f t="shared" si="868"/>
        <v/>
      </c>
      <c r="S2522" s="23" t="str">
        <f t="shared" si="869"/>
        <v/>
      </c>
      <c r="T2522" s="23" t="str">
        <f t="shared" si="870"/>
        <v/>
      </c>
      <c r="U2522" s="23" t="str">
        <f t="shared" si="871"/>
        <v/>
      </c>
      <c r="V2522" s="23" t="str">
        <f t="shared" si="872"/>
        <v/>
      </c>
      <c r="W2522" s="70" t="str">
        <f t="shared" si="873"/>
        <v/>
      </c>
      <c r="X2522" s="70" t="str">
        <f t="shared" si="874"/>
        <v/>
      </c>
      <c r="Y2522" s="70" t="str">
        <f>IF(AND($A2522&lt;&gt;"",$E2522&gt;0),isLaptopBag($C2522,$J2522)*$D2522,"")</f>
        <v/>
      </c>
      <c r="Z2522" s="70" t="str">
        <f t="shared" si="875"/>
        <v/>
      </c>
      <c r="AA2522" s="70" t="str">
        <f t="shared" si="876"/>
        <v/>
      </c>
      <c r="AB2522" s="70" t="str">
        <f t="shared" si="877"/>
        <v/>
      </c>
      <c r="AC2522" s="70" t="str">
        <f t="shared" si="878"/>
        <v/>
      </c>
      <c r="AD2522" s="70" t="str">
        <f t="shared" si="879"/>
        <v/>
      </c>
      <c r="AE2522" s="70" t="str">
        <f t="shared" si="880"/>
        <v/>
      </c>
      <c r="AF2522" s="16"/>
      <c r="AG2522" s="23"/>
      <c r="AH2522" s="22"/>
      <c r="AJ2522" s="83">
        <f t="shared" si="881"/>
        <v>0</v>
      </c>
      <c r="AO2522" s="22" t="str">
        <f t="shared" si="882"/>
        <v/>
      </c>
      <c r="AP2522" s="22" t="str">
        <f t="shared" si="883"/>
        <v/>
      </c>
    </row>
    <row r="2523" spans="1:42" x14ac:dyDescent="0.25">
      <c r="A2523" s="10"/>
      <c r="B2523" s="10"/>
      <c r="C2523" s="10"/>
      <c r="D2523" s="10"/>
      <c r="E2523" s="10"/>
      <c r="F2523" s="10"/>
      <c r="G2523" s="10"/>
      <c r="H2523" s="17"/>
      <c r="I2523" s="10"/>
      <c r="J2523" s="10"/>
      <c r="K2523" s="16" t="str">
        <f t="shared" si="862"/>
        <v/>
      </c>
      <c r="L2523" s="23" t="str">
        <f t="shared" si="863"/>
        <v/>
      </c>
      <c r="M2523" s="22" t="str">
        <f t="shared" si="864"/>
        <v/>
      </c>
      <c r="N2523" s="72"/>
      <c r="O2523" s="16" t="str">
        <f t="shared" si="865"/>
        <v/>
      </c>
      <c r="P2523" s="16" t="str">
        <f t="shared" si="866"/>
        <v/>
      </c>
      <c r="Q2523" s="16" t="str">
        <f t="shared" si="867"/>
        <v/>
      </c>
      <c r="R2523" s="23" t="str">
        <f t="shared" si="868"/>
        <v/>
      </c>
      <c r="S2523" s="23" t="str">
        <f t="shared" si="869"/>
        <v/>
      </c>
      <c r="T2523" s="23" t="str">
        <f t="shared" si="870"/>
        <v/>
      </c>
      <c r="U2523" s="23" t="str">
        <f t="shared" si="871"/>
        <v/>
      </c>
      <c r="V2523" s="23" t="str">
        <f t="shared" si="872"/>
        <v/>
      </c>
      <c r="W2523" s="70" t="str">
        <f t="shared" si="873"/>
        <v/>
      </c>
      <c r="X2523" s="70" t="str">
        <f t="shared" si="874"/>
        <v/>
      </c>
      <c r="Y2523" s="70" t="str">
        <f>IF(AND($A2523&lt;&gt;"",$E2523&gt;0),isLaptopBag($C2523,$J2523)*$D2523,"")</f>
        <v/>
      </c>
      <c r="Z2523" s="70" t="str">
        <f t="shared" si="875"/>
        <v/>
      </c>
      <c r="AA2523" s="70" t="str">
        <f t="shared" si="876"/>
        <v/>
      </c>
      <c r="AB2523" s="70" t="str">
        <f t="shared" si="877"/>
        <v/>
      </c>
      <c r="AC2523" s="70" t="str">
        <f t="shared" si="878"/>
        <v/>
      </c>
      <c r="AD2523" s="70" t="str">
        <f t="shared" si="879"/>
        <v/>
      </c>
      <c r="AE2523" s="70" t="str">
        <f t="shared" si="880"/>
        <v/>
      </c>
      <c r="AF2523" s="16"/>
      <c r="AG2523" s="23"/>
      <c r="AH2523" s="22"/>
      <c r="AJ2523" s="83">
        <f t="shared" si="881"/>
        <v>0</v>
      </c>
      <c r="AO2523" s="22" t="str">
        <f t="shared" si="882"/>
        <v/>
      </c>
      <c r="AP2523" s="22" t="str">
        <f t="shared" si="883"/>
        <v/>
      </c>
    </row>
    <row r="2524" spans="1:42" x14ac:dyDescent="0.25">
      <c r="A2524" s="10"/>
      <c r="B2524" s="10"/>
      <c r="C2524" s="10"/>
      <c r="D2524" s="10"/>
      <c r="E2524" s="10"/>
      <c r="F2524" s="10"/>
      <c r="G2524" s="10"/>
      <c r="H2524" s="17"/>
      <c r="I2524" s="10"/>
      <c r="J2524" s="10"/>
      <c r="K2524" s="16" t="str">
        <f t="shared" si="862"/>
        <v/>
      </c>
      <c r="L2524" s="23" t="str">
        <f t="shared" si="863"/>
        <v/>
      </c>
      <c r="M2524" s="22" t="str">
        <f t="shared" si="864"/>
        <v/>
      </c>
      <c r="N2524" s="72"/>
      <c r="O2524" s="16" t="str">
        <f t="shared" si="865"/>
        <v/>
      </c>
      <c r="P2524" s="16" t="str">
        <f t="shared" si="866"/>
        <v/>
      </c>
      <c r="Q2524" s="16" t="str">
        <f t="shared" si="867"/>
        <v/>
      </c>
      <c r="R2524" s="23" t="str">
        <f t="shared" si="868"/>
        <v/>
      </c>
      <c r="S2524" s="23" t="str">
        <f t="shared" si="869"/>
        <v/>
      </c>
      <c r="T2524" s="23" t="str">
        <f t="shared" si="870"/>
        <v/>
      </c>
      <c r="U2524" s="23" t="str">
        <f t="shared" si="871"/>
        <v/>
      </c>
      <c r="V2524" s="23" t="str">
        <f t="shared" si="872"/>
        <v/>
      </c>
      <c r="W2524" s="70" t="str">
        <f t="shared" si="873"/>
        <v/>
      </c>
      <c r="X2524" s="70" t="str">
        <f t="shared" si="874"/>
        <v/>
      </c>
      <c r="Y2524" s="70" t="str">
        <f>IF(AND($A2524&lt;&gt;"",$E2524&gt;0),isLaptopBag($C2524,$J2524)*$D2524,"")</f>
        <v/>
      </c>
      <c r="Z2524" s="70" t="str">
        <f t="shared" si="875"/>
        <v/>
      </c>
      <c r="AA2524" s="70" t="str">
        <f t="shared" si="876"/>
        <v/>
      </c>
      <c r="AB2524" s="70" t="str">
        <f t="shared" si="877"/>
        <v/>
      </c>
      <c r="AC2524" s="70" t="str">
        <f t="shared" si="878"/>
        <v/>
      </c>
      <c r="AD2524" s="70" t="str">
        <f t="shared" si="879"/>
        <v/>
      </c>
      <c r="AE2524" s="70" t="str">
        <f t="shared" si="880"/>
        <v/>
      </c>
      <c r="AF2524" s="16"/>
      <c r="AG2524" s="23"/>
      <c r="AH2524" s="22"/>
      <c r="AJ2524" s="83">
        <f t="shared" si="881"/>
        <v>0</v>
      </c>
      <c r="AO2524" s="22" t="str">
        <f t="shared" si="882"/>
        <v/>
      </c>
      <c r="AP2524" s="22" t="str">
        <f t="shared" si="883"/>
        <v/>
      </c>
    </row>
    <row r="2525" spans="1:42" x14ac:dyDescent="0.25">
      <c r="A2525" s="10"/>
      <c r="B2525" s="10"/>
      <c r="C2525" s="10"/>
      <c r="D2525" s="10"/>
      <c r="E2525" s="10"/>
      <c r="F2525" s="10"/>
      <c r="G2525" s="10"/>
      <c r="H2525" s="17"/>
      <c r="I2525" s="10"/>
      <c r="J2525" s="10"/>
      <c r="K2525" s="16" t="str">
        <f t="shared" si="862"/>
        <v/>
      </c>
      <c r="L2525" s="23" t="str">
        <f t="shared" si="863"/>
        <v/>
      </c>
      <c r="M2525" s="22" t="str">
        <f t="shared" si="864"/>
        <v/>
      </c>
      <c r="N2525" s="72"/>
      <c r="O2525" s="16" t="str">
        <f t="shared" si="865"/>
        <v/>
      </c>
      <c r="P2525" s="16" t="str">
        <f t="shared" si="866"/>
        <v/>
      </c>
      <c r="Q2525" s="16" t="str">
        <f t="shared" si="867"/>
        <v/>
      </c>
      <c r="R2525" s="23" t="str">
        <f t="shared" si="868"/>
        <v/>
      </c>
      <c r="S2525" s="23" t="str">
        <f t="shared" si="869"/>
        <v/>
      </c>
      <c r="T2525" s="23" t="str">
        <f t="shared" si="870"/>
        <v/>
      </c>
      <c r="U2525" s="23" t="str">
        <f t="shared" si="871"/>
        <v/>
      </c>
      <c r="V2525" s="23" t="str">
        <f t="shared" si="872"/>
        <v/>
      </c>
      <c r="W2525" s="70" t="str">
        <f t="shared" si="873"/>
        <v/>
      </c>
      <c r="X2525" s="70" t="str">
        <f t="shared" si="874"/>
        <v/>
      </c>
      <c r="Y2525" s="70" t="str">
        <f>IF(AND($A2525&lt;&gt;"",$E2525&gt;0),isLaptopBag($C2525,$J2525)*$D2525,"")</f>
        <v/>
      </c>
      <c r="Z2525" s="70" t="str">
        <f t="shared" si="875"/>
        <v/>
      </c>
      <c r="AA2525" s="70" t="str">
        <f t="shared" si="876"/>
        <v/>
      </c>
      <c r="AB2525" s="70" t="str">
        <f t="shared" si="877"/>
        <v/>
      </c>
      <c r="AC2525" s="70" t="str">
        <f t="shared" si="878"/>
        <v/>
      </c>
      <c r="AD2525" s="70" t="str">
        <f t="shared" si="879"/>
        <v/>
      </c>
      <c r="AE2525" s="70" t="str">
        <f t="shared" si="880"/>
        <v/>
      </c>
      <c r="AF2525" s="16"/>
      <c r="AG2525" s="23"/>
      <c r="AH2525" s="22"/>
      <c r="AJ2525" s="83">
        <f t="shared" si="881"/>
        <v>0</v>
      </c>
      <c r="AO2525" s="22" t="str">
        <f t="shared" si="882"/>
        <v/>
      </c>
      <c r="AP2525" s="22" t="str">
        <f t="shared" si="883"/>
        <v/>
      </c>
    </row>
    <row r="2526" spans="1:42" x14ac:dyDescent="0.25">
      <c r="A2526" s="10"/>
      <c r="B2526" s="10"/>
      <c r="C2526" s="10"/>
      <c r="D2526" s="10"/>
      <c r="E2526" s="10"/>
      <c r="F2526" s="10"/>
      <c r="G2526" s="10"/>
      <c r="H2526" s="17"/>
      <c r="I2526" s="10"/>
      <c r="J2526" s="10"/>
      <c r="K2526" s="16" t="str">
        <f t="shared" si="862"/>
        <v/>
      </c>
      <c r="L2526" s="23" t="str">
        <f t="shared" si="863"/>
        <v/>
      </c>
      <c r="M2526" s="22" t="str">
        <f t="shared" si="864"/>
        <v/>
      </c>
      <c r="N2526" s="72"/>
      <c r="O2526" s="16" t="str">
        <f t="shared" si="865"/>
        <v/>
      </c>
      <c r="P2526" s="16" t="str">
        <f t="shared" si="866"/>
        <v/>
      </c>
      <c r="Q2526" s="16" t="str">
        <f t="shared" si="867"/>
        <v/>
      </c>
      <c r="R2526" s="23" t="str">
        <f t="shared" si="868"/>
        <v/>
      </c>
      <c r="S2526" s="23" t="str">
        <f t="shared" si="869"/>
        <v/>
      </c>
      <c r="T2526" s="23" t="str">
        <f t="shared" si="870"/>
        <v/>
      </c>
      <c r="U2526" s="23" t="str">
        <f t="shared" si="871"/>
        <v/>
      </c>
      <c r="V2526" s="23" t="str">
        <f t="shared" si="872"/>
        <v/>
      </c>
      <c r="W2526" s="70" t="str">
        <f t="shared" si="873"/>
        <v/>
      </c>
      <c r="X2526" s="70" t="str">
        <f t="shared" si="874"/>
        <v/>
      </c>
      <c r="Y2526" s="70" t="str">
        <f>IF(AND($A2526&lt;&gt;"",$E2526&gt;0),isLaptopBag($C2526,$J2526)*$D2526,"")</f>
        <v/>
      </c>
      <c r="Z2526" s="70" t="str">
        <f t="shared" si="875"/>
        <v/>
      </c>
      <c r="AA2526" s="70" t="str">
        <f t="shared" si="876"/>
        <v/>
      </c>
      <c r="AB2526" s="70" t="str">
        <f t="shared" si="877"/>
        <v/>
      </c>
      <c r="AC2526" s="70" t="str">
        <f t="shared" si="878"/>
        <v/>
      </c>
      <c r="AD2526" s="70" t="str">
        <f t="shared" si="879"/>
        <v/>
      </c>
      <c r="AE2526" s="70" t="str">
        <f t="shared" si="880"/>
        <v/>
      </c>
      <c r="AF2526" s="16"/>
      <c r="AG2526" s="23"/>
      <c r="AH2526" s="22"/>
      <c r="AJ2526" s="83">
        <f t="shared" si="881"/>
        <v>0</v>
      </c>
      <c r="AO2526" s="22" t="str">
        <f t="shared" si="882"/>
        <v/>
      </c>
      <c r="AP2526" s="22" t="str">
        <f t="shared" si="883"/>
        <v/>
      </c>
    </row>
    <row r="2527" spans="1:42" x14ac:dyDescent="0.25">
      <c r="A2527" s="10"/>
      <c r="B2527" s="10"/>
      <c r="C2527" s="10"/>
      <c r="D2527" s="10"/>
      <c r="E2527" s="10"/>
      <c r="F2527" s="10"/>
      <c r="G2527" s="10"/>
      <c r="H2527" s="17"/>
      <c r="I2527" s="10"/>
      <c r="J2527" s="10"/>
      <c r="K2527" s="16" t="str">
        <f t="shared" si="862"/>
        <v/>
      </c>
      <c r="L2527" s="23" t="str">
        <f t="shared" si="863"/>
        <v/>
      </c>
      <c r="M2527" s="22" t="str">
        <f t="shared" si="864"/>
        <v/>
      </c>
      <c r="N2527" s="72"/>
      <c r="O2527" s="16" t="str">
        <f t="shared" si="865"/>
        <v/>
      </c>
      <c r="P2527" s="16" t="str">
        <f t="shared" si="866"/>
        <v/>
      </c>
      <c r="Q2527" s="16" t="str">
        <f t="shared" si="867"/>
        <v/>
      </c>
      <c r="R2527" s="23" t="str">
        <f t="shared" si="868"/>
        <v/>
      </c>
      <c r="S2527" s="23" t="str">
        <f t="shared" si="869"/>
        <v/>
      </c>
      <c r="T2527" s="23" t="str">
        <f t="shared" si="870"/>
        <v/>
      </c>
      <c r="U2527" s="23" t="str">
        <f t="shared" si="871"/>
        <v/>
      </c>
      <c r="V2527" s="23" t="str">
        <f t="shared" si="872"/>
        <v/>
      </c>
      <c r="W2527" s="70" t="str">
        <f t="shared" si="873"/>
        <v/>
      </c>
      <c r="X2527" s="70" t="str">
        <f t="shared" si="874"/>
        <v/>
      </c>
      <c r="Y2527" s="70" t="str">
        <f>IF(AND($A2527&lt;&gt;"",$E2527&gt;0),isLaptopBag($C2527,$J2527)*$D2527,"")</f>
        <v/>
      </c>
      <c r="Z2527" s="70" t="str">
        <f t="shared" si="875"/>
        <v/>
      </c>
      <c r="AA2527" s="70" t="str">
        <f t="shared" si="876"/>
        <v/>
      </c>
      <c r="AB2527" s="70" t="str">
        <f t="shared" si="877"/>
        <v/>
      </c>
      <c r="AC2527" s="70" t="str">
        <f t="shared" si="878"/>
        <v/>
      </c>
      <c r="AD2527" s="70" t="str">
        <f t="shared" si="879"/>
        <v/>
      </c>
      <c r="AE2527" s="70" t="str">
        <f t="shared" si="880"/>
        <v/>
      </c>
      <c r="AF2527" s="16"/>
      <c r="AG2527" s="23"/>
      <c r="AH2527" s="22"/>
      <c r="AJ2527" s="83">
        <f t="shared" si="881"/>
        <v>0</v>
      </c>
      <c r="AO2527" s="22" t="str">
        <f t="shared" si="882"/>
        <v/>
      </c>
      <c r="AP2527" s="22" t="str">
        <f t="shared" si="883"/>
        <v/>
      </c>
    </row>
    <row r="2528" spans="1:42" x14ac:dyDescent="0.25">
      <c r="A2528" s="10"/>
      <c r="B2528" s="10"/>
      <c r="C2528" s="10"/>
      <c r="D2528" s="10"/>
      <c r="E2528" s="10"/>
      <c r="F2528" s="10"/>
      <c r="G2528" s="10"/>
      <c r="H2528" s="17"/>
      <c r="I2528" s="10"/>
      <c r="J2528" s="10"/>
      <c r="K2528" s="16" t="str">
        <f t="shared" si="862"/>
        <v/>
      </c>
      <c r="L2528" s="23" t="str">
        <f t="shared" si="863"/>
        <v/>
      </c>
      <c r="M2528" s="22" t="str">
        <f t="shared" si="864"/>
        <v/>
      </c>
      <c r="N2528" s="72"/>
      <c r="O2528" s="16" t="str">
        <f t="shared" si="865"/>
        <v/>
      </c>
      <c r="P2528" s="16" t="str">
        <f t="shared" si="866"/>
        <v/>
      </c>
      <c r="Q2528" s="16" t="str">
        <f t="shared" si="867"/>
        <v/>
      </c>
      <c r="R2528" s="23" t="str">
        <f t="shared" si="868"/>
        <v/>
      </c>
      <c r="S2528" s="23" t="str">
        <f t="shared" si="869"/>
        <v/>
      </c>
      <c r="T2528" s="23" t="str">
        <f t="shared" si="870"/>
        <v/>
      </c>
      <c r="U2528" s="23" t="str">
        <f t="shared" si="871"/>
        <v/>
      </c>
      <c r="V2528" s="23" t="str">
        <f t="shared" si="872"/>
        <v/>
      </c>
      <c r="W2528" s="70" t="str">
        <f t="shared" si="873"/>
        <v/>
      </c>
      <c r="X2528" s="70" t="str">
        <f t="shared" si="874"/>
        <v/>
      </c>
      <c r="Y2528" s="70" t="str">
        <f>IF(AND($A2528&lt;&gt;"",$E2528&gt;0),isLaptopBag($C2528,$J2528)*$D2528,"")</f>
        <v/>
      </c>
      <c r="Z2528" s="70" t="str">
        <f t="shared" si="875"/>
        <v/>
      </c>
      <c r="AA2528" s="70" t="str">
        <f t="shared" si="876"/>
        <v/>
      </c>
      <c r="AB2528" s="70" t="str">
        <f t="shared" si="877"/>
        <v/>
      </c>
      <c r="AC2528" s="70" t="str">
        <f t="shared" si="878"/>
        <v/>
      </c>
      <c r="AD2528" s="70" t="str">
        <f t="shared" si="879"/>
        <v/>
      </c>
      <c r="AE2528" s="70" t="str">
        <f t="shared" si="880"/>
        <v/>
      </c>
      <c r="AF2528" s="16"/>
      <c r="AG2528" s="23"/>
      <c r="AH2528" s="22"/>
      <c r="AJ2528" s="83">
        <f t="shared" si="881"/>
        <v>0</v>
      </c>
      <c r="AO2528" s="22" t="str">
        <f t="shared" si="882"/>
        <v/>
      </c>
      <c r="AP2528" s="22" t="str">
        <f t="shared" si="883"/>
        <v/>
      </c>
    </row>
    <row r="2529" spans="1:42" x14ac:dyDescent="0.25">
      <c r="A2529" s="10"/>
      <c r="B2529" s="10"/>
      <c r="C2529" s="10"/>
      <c r="D2529" s="10"/>
      <c r="E2529" s="10"/>
      <c r="F2529" s="10"/>
      <c r="G2529" s="10"/>
      <c r="H2529" s="17"/>
      <c r="I2529" s="10"/>
      <c r="J2529" s="10"/>
      <c r="K2529" s="16" t="str">
        <f t="shared" si="862"/>
        <v/>
      </c>
      <c r="L2529" s="23" t="str">
        <f t="shared" si="863"/>
        <v/>
      </c>
      <c r="M2529" s="22" t="str">
        <f t="shared" si="864"/>
        <v/>
      </c>
      <c r="N2529" s="72"/>
      <c r="O2529" s="16" t="str">
        <f t="shared" si="865"/>
        <v/>
      </c>
      <c r="P2529" s="16" t="str">
        <f t="shared" si="866"/>
        <v/>
      </c>
      <c r="Q2529" s="16" t="str">
        <f t="shared" si="867"/>
        <v/>
      </c>
      <c r="R2529" s="23" t="str">
        <f t="shared" si="868"/>
        <v/>
      </c>
      <c r="S2529" s="23" t="str">
        <f t="shared" si="869"/>
        <v/>
      </c>
      <c r="T2529" s="23" t="str">
        <f t="shared" si="870"/>
        <v/>
      </c>
      <c r="U2529" s="23" t="str">
        <f t="shared" si="871"/>
        <v/>
      </c>
      <c r="V2529" s="23" t="str">
        <f t="shared" si="872"/>
        <v/>
      </c>
      <c r="W2529" s="70" t="str">
        <f t="shared" si="873"/>
        <v/>
      </c>
      <c r="X2529" s="70" t="str">
        <f t="shared" si="874"/>
        <v/>
      </c>
      <c r="Y2529" s="70" t="str">
        <f>IF(AND($A2529&lt;&gt;"",$E2529&gt;0),isLaptopBag($C2529,$J2529)*$D2529,"")</f>
        <v/>
      </c>
      <c r="Z2529" s="70" t="str">
        <f t="shared" si="875"/>
        <v/>
      </c>
      <c r="AA2529" s="70" t="str">
        <f t="shared" si="876"/>
        <v/>
      </c>
      <c r="AB2529" s="70" t="str">
        <f t="shared" si="877"/>
        <v/>
      </c>
      <c r="AC2529" s="70" t="str">
        <f t="shared" si="878"/>
        <v/>
      </c>
      <c r="AD2529" s="70" t="str">
        <f t="shared" si="879"/>
        <v/>
      </c>
      <c r="AE2529" s="70" t="str">
        <f t="shared" si="880"/>
        <v/>
      </c>
      <c r="AF2529" s="16"/>
      <c r="AG2529" s="23"/>
      <c r="AH2529" s="22"/>
      <c r="AJ2529" s="83">
        <f t="shared" si="881"/>
        <v>0</v>
      </c>
      <c r="AO2529" s="22" t="str">
        <f t="shared" si="882"/>
        <v/>
      </c>
      <c r="AP2529" s="22" t="str">
        <f t="shared" si="883"/>
        <v/>
      </c>
    </row>
    <row r="2530" spans="1:42" x14ac:dyDescent="0.25">
      <c r="A2530" s="10"/>
      <c r="B2530" s="10"/>
      <c r="C2530" s="10"/>
      <c r="D2530" s="10"/>
      <c r="E2530" s="10"/>
      <c r="F2530" s="10"/>
      <c r="G2530" s="10"/>
      <c r="H2530" s="17"/>
      <c r="I2530" s="10"/>
      <c r="J2530" s="10"/>
      <c r="K2530" s="16" t="str">
        <f t="shared" si="862"/>
        <v/>
      </c>
      <c r="L2530" s="23" t="str">
        <f t="shared" si="863"/>
        <v/>
      </c>
      <c r="M2530" s="22" t="str">
        <f t="shared" si="864"/>
        <v/>
      </c>
      <c r="N2530" s="72"/>
      <c r="O2530" s="16" t="str">
        <f t="shared" si="865"/>
        <v/>
      </c>
      <c r="P2530" s="16" t="str">
        <f t="shared" si="866"/>
        <v/>
      </c>
      <c r="Q2530" s="16" t="str">
        <f t="shared" si="867"/>
        <v/>
      </c>
      <c r="R2530" s="23" t="str">
        <f t="shared" si="868"/>
        <v/>
      </c>
      <c r="S2530" s="23" t="str">
        <f t="shared" si="869"/>
        <v/>
      </c>
      <c r="T2530" s="23" t="str">
        <f t="shared" si="870"/>
        <v/>
      </c>
      <c r="U2530" s="23" t="str">
        <f t="shared" si="871"/>
        <v/>
      </c>
      <c r="V2530" s="23" t="str">
        <f t="shared" si="872"/>
        <v/>
      </c>
      <c r="W2530" s="70" t="str">
        <f t="shared" si="873"/>
        <v/>
      </c>
      <c r="X2530" s="70" t="str">
        <f t="shared" si="874"/>
        <v/>
      </c>
      <c r="Y2530" s="70" t="str">
        <f>IF(AND($A2530&lt;&gt;"",$E2530&gt;0),isLaptopBag($C2530,$J2530)*$D2530,"")</f>
        <v/>
      </c>
      <c r="Z2530" s="70" t="str">
        <f t="shared" si="875"/>
        <v/>
      </c>
      <c r="AA2530" s="70" t="str">
        <f t="shared" si="876"/>
        <v/>
      </c>
      <c r="AB2530" s="70" t="str">
        <f t="shared" si="877"/>
        <v/>
      </c>
      <c r="AC2530" s="70" t="str">
        <f t="shared" si="878"/>
        <v/>
      </c>
      <c r="AD2530" s="70" t="str">
        <f t="shared" si="879"/>
        <v/>
      </c>
      <c r="AE2530" s="70" t="str">
        <f t="shared" si="880"/>
        <v/>
      </c>
      <c r="AF2530" s="16"/>
      <c r="AG2530" s="23"/>
      <c r="AH2530" s="22"/>
      <c r="AJ2530" s="83">
        <f t="shared" si="881"/>
        <v>0</v>
      </c>
      <c r="AO2530" s="22" t="str">
        <f t="shared" si="882"/>
        <v/>
      </c>
      <c r="AP2530" s="22" t="str">
        <f t="shared" si="883"/>
        <v/>
      </c>
    </row>
    <row r="2531" spans="1:42" x14ac:dyDescent="0.25">
      <c r="A2531" s="10"/>
      <c r="B2531" s="10"/>
      <c r="C2531" s="10"/>
      <c r="D2531" s="10"/>
      <c r="E2531" s="10"/>
      <c r="F2531" s="10"/>
      <c r="G2531" s="10"/>
      <c r="H2531" s="17"/>
      <c r="I2531" s="10"/>
      <c r="J2531" s="10"/>
      <c r="K2531" s="16" t="str">
        <f t="shared" si="862"/>
        <v/>
      </c>
      <c r="L2531" s="23" t="str">
        <f t="shared" si="863"/>
        <v/>
      </c>
      <c r="M2531" s="22" t="str">
        <f t="shared" si="864"/>
        <v/>
      </c>
      <c r="N2531" s="72"/>
      <c r="O2531" s="16" t="str">
        <f t="shared" si="865"/>
        <v/>
      </c>
      <c r="P2531" s="16" t="str">
        <f t="shared" si="866"/>
        <v/>
      </c>
      <c r="Q2531" s="16" t="str">
        <f t="shared" si="867"/>
        <v/>
      </c>
      <c r="R2531" s="23" t="str">
        <f t="shared" si="868"/>
        <v/>
      </c>
      <c r="S2531" s="23" t="str">
        <f t="shared" si="869"/>
        <v/>
      </c>
      <c r="T2531" s="23" t="str">
        <f t="shared" si="870"/>
        <v/>
      </c>
      <c r="U2531" s="23" t="str">
        <f t="shared" si="871"/>
        <v/>
      </c>
      <c r="V2531" s="23" t="str">
        <f t="shared" si="872"/>
        <v/>
      </c>
      <c r="W2531" s="70" t="str">
        <f t="shared" si="873"/>
        <v/>
      </c>
      <c r="X2531" s="70" t="str">
        <f t="shared" si="874"/>
        <v/>
      </c>
      <c r="Y2531" s="70" t="str">
        <f>IF(AND($A2531&lt;&gt;"",$E2531&gt;0),isLaptopBag($C2531,$J2531)*$D2531,"")</f>
        <v/>
      </c>
      <c r="Z2531" s="70" t="str">
        <f t="shared" si="875"/>
        <v/>
      </c>
      <c r="AA2531" s="70" t="str">
        <f t="shared" si="876"/>
        <v/>
      </c>
      <c r="AB2531" s="70" t="str">
        <f t="shared" si="877"/>
        <v/>
      </c>
      <c r="AC2531" s="70" t="str">
        <f t="shared" si="878"/>
        <v/>
      </c>
      <c r="AD2531" s="70" t="str">
        <f t="shared" si="879"/>
        <v/>
      </c>
      <c r="AE2531" s="70" t="str">
        <f t="shared" si="880"/>
        <v/>
      </c>
      <c r="AF2531" s="16"/>
      <c r="AG2531" s="23"/>
      <c r="AH2531" s="22"/>
      <c r="AJ2531" s="83">
        <f t="shared" si="881"/>
        <v>0</v>
      </c>
      <c r="AO2531" s="22" t="str">
        <f t="shared" si="882"/>
        <v/>
      </c>
      <c r="AP2531" s="22" t="str">
        <f t="shared" si="883"/>
        <v/>
      </c>
    </row>
    <row r="2532" spans="1:42" x14ac:dyDescent="0.25">
      <c r="A2532" s="10"/>
      <c r="B2532" s="10"/>
      <c r="C2532" s="10"/>
      <c r="D2532" s="10"/>
      <c r="E2532" s="10"/>
      <c r="F2532" s="10"/>
      <c r="G2532" s="10"/>
      <c r="H2532" s="17"/>
      <c r="I2532" s="10"/>
      <c r="J2532" s="10"/>
      <c r="K2532" s="16" t="str">
        <f t="shared" si="862"/>
        <v/>
      </c>
      <c r="L2532" s="23" t="str">
        <f t="shared" si="863"/>
        <v/>
      </c>
      <c r="M2532" s="22" t="str">
        <f t="shared" si="864"/>
        <v/>
      </c>
      <c r="N2532" s="72"/>
      <c r="O2532" s="16" t="str">
        <f t="shared" si="865"/>
        <v/>
      </c>
      <c r="P2532" s="16" t="str">
        <f t="shared" si="866"/>
        <v/>
      </c>
      <c r="Q2532" s="16" t="str">
        <f t="shared" si="867"/>
        <v/>
      </c>
      <c r="R2532" s="23" t="str">
        <f t="shared" si="868"/>
        <v/>
      </c>
      <c r="S2532" s="23" t="str">
        <f t="shared" si="869"/>
        <v/>
      </c>
      <c r="T2532" s="23" t="str">
        <f t="shared" si="870"/>
        <v/>
      </c>
      <c r="U2532" s="23" t="str">
        <f t="shared" si="871"/>
        <v/>
      </c>
      <c r="V2532" s="23" t="str">
        <f t="shared" si="872"/>
        <v/>
      </c>
      <c r="W2532" s="70" t="str">
        <f t="shared" si="873"/>
        <v/>
      </c>
      <c r="X2532" s="70" t="str">
        <f t="shared" si="874"/>
        <v/>
      </c>
      <c r="Y2532" s="70" t="str">
        <f>IF(AND($A2532&lt;&gt;"",$E2532&gt;0),isLaptopBag($C2532,$J2532)*$D2532,"")</f>
        <v/>
      </c>
      <c r="Z2532" s="70" t="str">
        <f t="shared" si="875"/>
        <v/>
      </c>
      <c r="AA2532" s="70" t="str">
        <f t="shared" si="876"/>
        <v/>
      </c>
      <c r="AB2532" s="70" t="str">
        <f t="shared" si="877"/>
        <v/>
      </c>
      <c r="AC2532" s="70" t="str">
        <f t="shared" si="878"/>
        <v/>
      </c>
      <c r="AD2532" s="70" t="str">
        <f t="shared" si="879"/>
        <v/>
      </c>
      <c r="AE2532" s="70" t="str">
        <f t="shared" si="880"/>
        <v/>
      </c>
      <c r="AF2532" s="16"/>
      <c r="AG2532" s="23"/>
      <c r="AH2532" s="22"/>
      <c r="AJ2532" s="83">
        <f t="shared" si="881"/>
        <v>0</v>
      </c>
      <c r="AO2532" s="22" t="str">
        <f t="shared" si="882"/>
        <v/>
      </c>
      <c r="AP2532" s="22" t="str">
        <f t="shared" si="883"/>
        <v/>
      </c>
    </row>
    <row r="2533" spans="1:42" x14ac:dyDescent="0.25">
      <c r="A2533" s="10"/>
      <c r="B2533" s="10"/>
      <c r="C2533" s="10"/>
      <c r="D2533" s="10"/>
      <c r="E2533" s="10"/>
      <c r="F2533" s="10"/>
      <c r="G2533" s="10"/>
      <c r="H2533" s="17"/>
      <c r="I2533" s="10"/>
      <c r="J2533" s="10"/>
      <c r="K2533" s="16" t="str">
        <f t="shared" si="862"/>
        <v/>
      </c>
      <c r="L2533" s="23" t="str">
        <f t="shared" si="863"/>
        <v/>
      </c>
      <c r="M2533" s="22" t="str">
        <f t="shared" si="864"/>
        <v/>
      </c>
      <c r="N2533" s="72"/>
      <c r="O2533" s="16" t="str">
        <f t="shared" si="865"/>
        <v/>
      </c>
      <c r="P2533" s="16" t="str">
        <f t="shared" si="866"/>
        <v/>
      </c>
      <c r="Q2533" s="16" t="str">
        <f t="shared" si="867"/>
        <v/>
      </c>
      <c r="R2533" s="23" t="str">
        <f t="shared" si="868"/>
        <v/>
      </c>
      <c r="S2533" s="23" t="str">
        <f t="shared" si="869"/>
        <v/>
      </c>
      <c r="T2533" s="23" t="str">
        <f t="shared" si="870"/>
        <v/>
      </c>
      <c r="U2533" s="23" t="str">
        <f t="shared" si="871"/>
        <v/>
      </c>
      <c r="V2533" s="23" t="str">
        <f t="shared" si="872"/>
        <v/>
      </c>
      <c r="W2533" s="70" t="str">
        <f t="shared" si="873"/>
        <v/>
      </c>
      <c r="X2533" s="70" t="str">
        <f t="shared" si="874"/>
        <v/>
      </c>
      <c r="Y2533" s="70" t="str">
        <f>IF(AND($A2533&lt;&gt;"",$E2533&gt;0),isLaptopBag($C2533,$J2533)*$D2533,"")</f>
        <v/>
      </c>
      <c r="Z2533" s="70" t="str">
        <f t="shared" si="875"/>
        <v/>
      </c>
      <c r="AA2533" s="70" t="str">
        <f t="shared" si="876"/>
        <v/>
      </c>
      <c r="AB2533" s="70" t="str">
        <f t="shared" si="877"/>
        <v/>
      </c>
      <c r="AC2533" s="70" t="str">
        <f t="shared" si="878"/>
        <v/>
      </c>
      <c r="AD2533" s="70" t="str">
        <f t="shared" si="879"/>
        <v/>
      </c>
      <c r="AE2533" s="70" t="str">
        <f t="shared" si="880"/>
        <v/>
      </c>
      <c r="AF2533" s="16"/>
      <c r="AG2533" s="23"/>
      <c r="AH2533" s="22"/>
      <c r="AJ2533" s="83">
        <f t="shared" si="881"/>
        <v>0</v>
      </c>
      <c r="AO2533" s="22" t="str">
        <f t="shared" si="882"/>
        <v/>
      </c>
      <c r="AP2533" s="22" t="str">
        <f t="shared" si="883"/>
        <v/>
      </c>
    </row>
    <row r="2534" spans="1:42" x14ac:dyDescent="0.25">
      <c r="A2534" s="10"/>
      <c r="B2534" s="10"/>
      <c r="C2534" s="10"/>
      <c r="D2534" s="10"/>
      <c r="E2534" s="10"/>
      <c r="F2534" s="10"/>
      <c r="G2534" s="10"/>
      <c r="H2534" s="17"/>
      <c r="I2534" s="10"/>
      <c r="J2534" s="10"/>
      <c r="K2534" s="16" t="str">
        <f t="shared" si="862"/>
        <v/>
      </c>
      <c r="L2534" s="23" t="str">
        <f t="shared" si="863"/>
        <v/>
      </c>
      <c r="M2534" s="22" t="str">
        <f t="shared" si="864"/>
        <v/>
      </c>
      <c r="N2534" s="72"/>
      <c r="O2534" s="16" t="str">
        <f t="shared" si="865"/>
        <v/>
      </c>
      <c r="P2534" s="16" t="str">
        <f t="shared" si="866"/>
        <v/>
      </c>
      <c r="Q2534" s="16" t="str">
        <f t="shared" si="867"/>
        <v/>
      </c>
      <c r="R2534" s="23" t="str">
        <f t="shared" si="868"/>
        <v/>
      </c>
      <c r="S2534" s="23" t="str">
        <f t="shared" si="869"/>
        <v/>
      </c>
      <c r="T2534" s="23" t="str">
        <f t="shared" si="870"/>
        <v/>
      </c>
      <c r="U2534" s="23" t="str">
        <f t="shared" si="871"/>
        <v/>
      </c>
      <c r="V2534" s="23" t="str">
        <f t="shared" si="872"/>
        <v/>
      </c>
      <c r="W2534" s="70" t="str">
        <f t="shared" si="873"/>
        <v/>
      </c>
      <c r="X2534" s="70" t="str">
        <f t="shared" si="874"/>
        <v/>
      </c>
      <c r="Y2534" s="70" t="str">
        <f>IF(AND($A2534&lt;&gt;"",$E2534&gt;0),isLaptopBag($C2534,$J2534)*$D2534,"")</f>
        <v/>
      </c>
      <c r="Z2534" s="70" t="str">
        <f t="shared" si="875"/>
        <v/>
      </c>
      <c r="AA2534" s="70" t="str">
        <f t="shared" si="876"/>
        <v/>
      </c>
      <c r="AB2534" s="70" t="str">
        <f t="shared" si="877"/>
        <v/>
      </c>
      <c r="AC2534" s="70" t="str">
        <f t="shared" si="878"/>
        <v/>
      </c>
      <c r="AD2534" s="70" t="str">
        <f t="shared" si="879"/>
        <v/>
      </c>
      <c r="AE2534" s="70" t="str">
        <f t="shared" si="880"/>
        <v/>
      </c>
      <c r="AF2534" s="16"/>
      <c r="AG2534" s="23"/>
      <c r="AH2534" s="22"/>
      <c r="AJ2534" s="83">
        <f t="shared" si="881"/>
        <v>0</v>
      </c>
      <c r="AO2534" s="22" t="str">
        <f t="shared" si="882"/>
        <v/>
      </c>
      <c r="AP2534" s="22" t="str">
        <f t="shared" si="883"/>
        <v/>
      </c>
    </row>
    <row r="2535" spans="1:42" x14ac:dyDescent="0.25">
      <c r="A2535" s="10"/>
      <c r="B2535" s="10"/>
      <c r="C2535" s="10"/>
      <c r="D2535" s="10"/>
      <c r="E2535" s="10"/>
      <c r="F2535" s="10"/>
      <c r="G2535" s="10"/>
      <c r="H2535" s="17"/>
      <c r="I2535" s="10"/>
      <c r="J2535" s="10"/>
      <c r="K2535" s="16" t="str">
        <f t="shared" si="862"/>
        <v/>
      </c>
      <c r="L2535" s="23" t="str">
        <f t="shared" si="863"/>
        <v/>
      </c>
      <c r="M2535" s="22" t="str">
        <f t="shared" si="864"/>
        <v/>
      </c>
      <c r="N2535" s="72"/>
      <c r="O2535" s="16" t="str">
        <f t="shared" si="865"/>
        <v/>
      </c>
      <c r="P2535" s="16" t="str">
        <f t="shared" si="866"/>
        <v/>
      </c>
      <c r="Q2535" s="16" t="str">
        <f t="shared" si="867"/>
        <v/>
      </c>
      <c r="R2535" s="23" t="str">
        <f t="shared" si="868"/>
        <v/>
      </c>
      <c r="S2535" s="23" t="str">
        <f t="shared" si="869"/>
        <v/>
      </c>
      <c r="T2535" s="23" t="str">
        <f t="shared" si="870"/>
        <v/>
      </c>
      <c r="U2535" s="23" t="str">
        <f t="shared" si="871"/>
        <v/>
      </c>
      <c r="V2535" s="23" t="str">
        <f t="shared" si="872"/>
        <v/>
      </c>
      <c r="W2535" s="70" t="str">
        <f t="shared" si="873"/>
        <v/>
      </c>
      <c r="X2535" s="70" t="str">
        <f t="shared" si="874"/>
        <v/>
      </c>
      <c r="Y2535" s="70" t="str">
        <f>IF(AND($A2535&lt;&gt;"",$E2535&gt;0),isLaptopBag($C2535,$J2535)*$D2535,"")</f>
        <v/>
      </c>
      <c r="Z2535" s="70" t="str">
        <f t="shared" si="875"/>
        <v/>
      </c>
      <c r="AA2535" s="70" t="str">
        <f t="shared" si="876"/>
        <v/>
      </c>
      <c r="AB2535" s="70" t="str">
        <f t="shared" si="877"/>
        <v/>
      </c>
      <c r="AC2535" s="70" t="str">
        <f t="shared" si="878"/>
        <v/>
      </c>
      <c r="AD2535" s="70" t="str">
        <f t="shared" si="879"/>
        <v/>
      </c>
      <c r="AE2535" s="70" t="str">
        <f t="shared" si="880"/>
        <v/>
      </c>
      <c r="AF2535" s="16"/>
      <c r="AG2535" s="23"/>
      <c r="AH2535" s="22"/>
      <c r="AJ2535" s="83">
        <f t="shared" si="881"/>
        <v>0</v>
      </c>
      <c r="AO2535" s="22" t="str">
        <f t="shared" si="882"/>
        <v/>
      </c>
      <c r="AP2535" s="22" t="str">
        <f t="shared" si="883"/>
        <v/>
      </c>
    </row>
    <row r="2536" spans="1:42" x14ac:dyDescent="0.25">
      <c r="A2536" s="10"/>
      <c r="B2536" s="10"/>
      <c r="C2536" s="10"/>
      <c r="D2536" s="10"/>
      <c r="E2536" s="10"/>
      <c r="F2536" s="10"/>
      <c r="G2536" s="10"/>
      <c r="H2536" s="17"/>
      <c r="I2536" s="10"/>
      <c r="J2536" s="10"/>
      <c r="K2536" s="16" t="str">
        <f t="shared" si="862"/>
        <v/>
      </c>
      <c r="L2536" s="23" t="str">
        <f t="shared" si="863"/>
        <v/>
      </c>
      <c r="M2536" s="22" t="str">
        <f t="shared" si="864"/>
        <v/>
      </c>
      <c r="N2536" s="72"/>
      <c r="O2536" s="16" t="str">
        <f t="shared" si="865"/>
        <v/>
      </c>
      <c r="P2536" s="16" t="str">
        <f t="shared" si="866"/>
        <v/>
      </c>
      <c r="Q2536" s="16" t="str">
        <f t="shared" si="867"/>
        <v/>
      </c>
      <c r="R2536" s="23" t="str">
        <f t="shared" si="868"/>
        <v/>
      </c>
      <c r="S2536" s="23" t="str">
        <f t="shared" si="869"/>
        <v/>
      </c>
      <c r="T2536" s="23" t="str">
        <f t="shared" si="870"/>
        <v/>
      </c>
      <c r="U2536" s="23" t="str">
        <f t="shared" si="871"/>
        <v/>
      </c>
      <c r="V2536" s="23" t="str">
        <f t="shared" si="872"/>
        <v/>
      </c>
      <c r="W2536" s="70" t="str">
        <f t="shared" si="873"/>
        <v/>
      </c>
      <c r="X2536" s="70" t="str">
        <f t="shared" si="874"/>
        <v/>
      </c>
      <c r="Y2536" s="70" t="str">
        <f>IF(AND($A2536&lt;&gt;"",$E2536&gt;0),isLaptopBag($C2536,$J2536)*$D2536,"")</f>
        <v/>
      </c>
      <c r="Z2536" s="70" t="str">
        <f t="shared" si="875"/>
        <v/>
      </c>
      <c r="AA2536" s="70" t="str">
        <f t="shared" si="876"/>
        <v/>
      </c>
      <c r="AB2536" s="70" t="str">
        <f t="shared" si="877"/>
        <v/>
      </c>
      <c r="AC2536" s="70" t="str">
        <f t="shared" si="878"/>
        <v/>
      </c>
      <c r="AD2536" s="70" t="str">
        <f t="shared" si="879"/>
        <v/>
      </c>
      <c r="AE2536" s="70" t="str">
        <f t="shared" si="880"/>
        <v/>
      </c>
      <c r="AF2536" s="16"/>
      <c r="AG2536" s="23"/>
      <c r="AH2536" s="22"/>
      <c r="AJ2536" s="83">
        <f t="shared" si="881"/>
        <v>0</v>
      </c>
      <c r="AO2536" s="22" t="str">
        <f t="shared" si="882"/>
        <v/>
      </c>
      <c r="AP2536" s="22" t="str">
        <f t="shared" si="883"/>
        <v/>
      </c>
    </row>
    <row r="2537" spans="1:42" x14ac:dyDescent="0.25">
      <c r="A2537" s="10"/>
      <c r="B2537" s="10"/>
      <c r="C2537" s="10"/>
      <c r="D2537" s="10"/>
      <c r="E2537" s="10"/>
      <c r="F2537" s="10"/>
      <c r="G2537" s="10"/>
      <c r="H2537" s="17"/>
      <c r="I2537" s="10"/>
      <c r="J2537" s="10"/>
      <c r="K2537" s="16" t="str">
        <f t="shared" si="862"/>
        <v/>
      </c>
      <c r="L2537" s="23" t="str">
        <f t="shared" si="863"/>
        <v/>
      </c>
      <c r="M2537" s="22" t="str">
        <f t="shared" si="864"/>
        <v/>
      </c>
      <c r="N2537" s="72"/>
      <c r="O2537" s="16" t="str">
        <f t="shared" si="865"/>
        <v/>
      </c>
      <c r="P2537" s="16" t="str">
        <f t="shared" si="866"/>
        <v/>
      </c>
      <c r="Q2537" s="16" t="str">
        <f t="shared" si="867"/>
        <v/>
      </c>
      <c r="R2537" s="23" t="str">
        <f t="shared" si="868"/>
        <v/>
      </c>
      <c r="S2537" s="23" t="str">
        <f t="shared" si="869"/>
        <v/>
      </c>
      <c r="T2537" s="23" t="str">
        <f t="shared" si="870"/>
        <v/>
      </c>
      <c r="U2537" s="23" t="str">
        <f t="shared" si="871"/>
        <v/>
      </c>
      <c r="V2537" s="23" t="str">
        <f t="shared" si="872"/>
        <v/>
      </c>
      <c r="W2537" s="70" t="str">
        <f t="shared" si="873"/>
        <v/>
      </c>
      <c r="X2537" s="70" t="str">
        <f t="shared" si="874"/>
        <v/>
      </c>
      <c r="Y2537" s="70" t="str">
        <f>IF(AND($A2537&lt;&gt;"",$E2537&gt;0),isLaptopBag($C2537,$J2537)*$D2537,"")</f>
        <v/>
      </c>
      <c r="Z2537" s="70" t="str">
        <f t="shared" si="875"/>
        <v/>
      </c>
      <c r="AA2537" s="70" t="str">
        <f t="shared" si="876"/>
        <v/>
      </c>
      <c r="AB2537" s="70" t="str">
        <f t="shared" si="877"/>
        <v/>
      </c>
      <c r="AC2537" s="70" t="str">
        <f t="shared" si="878"/>
        <v/>
      </c>
      <c r="AD2537" s="70" t="str">
        <f t="shared" si="879"/>
        <v/>
      </c>
      <c r="AE2537" s="70" t="str">
        <f t="shared" si="880"/>
        <v/>
      </c>
      <c r="AF2537" s="16"/>
      <c r="AG2537" s="23"/>
      <c r="AH2537" s="22"/>
      <c r="AJ2537" s="83">
        <f t="shared" si="881"/>
        <v>0</v>
      </c>
      <c r="AO2537" s="22" t="str">
        <f t="shared" si="882"/>
        <v/>
      </c>
      <c r="AP2537" s="22" t="str">
        <f t="shared" si="883"/>
        <v/>
      </c>
    </row>
    <row r="2538" spans="1:42" x14ac:dyDescent="0.25">
      <c r="A2538" s="10"/>
      <c r="B2538" s="10"/>
      <c r="C2538" s="10"/>
      <c r="D2538" s="10"/>
      <c r="E2538" s="10"/>
      <c r="F2538" s="10"/>
      <c r="G2538" s="10"/>
      <c r="H2538" s="17"/>
      <c r="I2538" s="10"/>
      <c r="J2538" s="10"/>
      <c r="K2538" s="16" t="str">
        <f t="shared" si="862"/>
        <v/>
      </c>
      <c r="L2538" s="23" t="str">
        <f t="shared" si="863"/>
        <v/>
      </c>
      <c r="M2538" s="22" t="str">
        <f t="shared" si="864"/>
        <v/>
      </c>
      <c r="N2538" s="72"/>
      <c r="O2538" s="16" t="str">
        <f t="shared" si="865"/>
        <v/>
      </c>
      <c r="P2538" s="16" t="str">
        <f t="shared" si="866"/>
        <v/>
      </c>
      <c r="Q2538" s="16" t="str">
        <f t="shared" si="867"/>
        <v/>
      </c>
      <c r="R2538" s="23" t="str">
        <f t="shared" si="868"/>
        <v/>
      </c>
      <c r="S2538" s="23" t="str">
        <f t="shared" si="869"/>
        <v/>
      </c>
      <c r="T2538" s="23" t="str">
        <f t="shared" si="870"/>
        <v/>
      </c>
      <c r="U2538" s="23" t="str">
        <f t="shared" si="871"/>
        <v/>
      </c>
      <c r="V2538" s="23" t="str">
        <f t="shared" si="872"/>
        <v/>
      </c>
      <c r="W2538" s="70" t="str">
        <f t="shared" si="873"/>
        <v/>
      </c>
      <c r="X2538" s="70" t="str">
        <f t="shared" si="874"/>
        <v/>
      </c>
      <c r="Y2538" s="70" t="str">
        <f>IF(AND($A2538&lt;&gt;"",$E2538&gt;0),isLaptopBag($C2538,$J2538)*$D2538,"")</f>
        <v/>
      </c>
      <c r="Z2538" s="70" t="str">
        <f t="shared" si="875"/>
        <v/>
      </c>
      <c r="AA2538" s="70" t="str">
        <f t="shared" si="876"/>
        <v/>
      </c>
      <c r="AB2538" s="70" t="str">
        <f t="shared" si="877"/>
        <v/>
      </c>
      <c r="AC2538" s="70" t="str">
        <f t="shared" si="878"/>
        <v/>
      </c>
      <c r="AD2538" s="70" t="str">
        <f t="shared" si="879"/>
        <v/>
      </c>
      <c r="AE2538" s="70" t="str">
        <f t="shared" si="880"/>
        <v/>
      </c>
      <c r="AF2538" s="16"/>
      <c r="AG2538" s="23"/>
      <c r="AH2538" s="22"/>
      <c r="AJ2538" s="83">
        <f t="shared" si="881"/>
        <v>0</v>
      </c>
      <c r="AO2538" s="22" t="str">
        <f t="shared" si="882"/>
        <v/>
      </c>
      <c r="AP2538" s="22" t="str">
        <f t="shared" si="883"/>
        <v/>
      </c>
    </row>
    <row r="2539" spans="1:42" x14ac:dyDescent="0.25">
      <c r="A2539" s="10"/>
      <c r="B2539" s="10"/>
      <c r="C2539" s="10"/>
      <c r="D2539" s="10"/>
      <c r="E2539" s="10"/>
      <c r="F2539" s="10"/>
      <c r="G2539" s="10"/>
      <c r="H2539" s="17"/>
      <c r="I2539" s="10"/>
      <c r="J2539" s="10"/>
      <c r="K2539" s="16" t="str">
        <f t="shared" si="862"/>
        <v/>
      </c>
      <c r="L2539" s="23" t="str">
        <f t="shared" si="863"/>
        <v/>
      </c>
      <c r="M2539" s="22" t="str">
        <f t="shared" si="864"/>
        <v/>
      </c>
      <c r="N2539" s="72"/>
      <c r="O2539" s="16" t="str">
        <f t="shared" si="865"/>
        <v/>
      </c>
      <c r="P2539" s="16" t="str">
        <f t="shared" si="866"/>
        <v/>
      </c>
      <c r="Q2539" s="16" t="str">
        <f t="shared" si="867"/>
        <v/>
      </c>
      <c r="R2539" s="23" t="str">
        <f t="shared" si="868"/>
        <v/>
      </c>
      <c r="S2539" s="23" t="str">
        <f t="shared" si="869"/>
        <v/>
      </c>
      <c r="T2539" s="23" t="str">
        <f t="shared" si="870"/>
        <v/>
      </c>
      <c r="U2539" s="23" t="str">
        <f t="shared" si="871"/>
        <v/>
      </c>
      <c r="V2539" s="23" t="str">
        <f t="shared" si="872"/>
        <v/>
      </c>
      <c r="W2539" s="70" t="str">
        <f t="shared" si="873"/>
        <v/>
      </c>
      <c r="X2539" s="70" t="str">
        <f t="shared" si="874"/>
        <v/>
      </c>
      <c r="Y2539" s="70" t="str">
        <f>IF(AND($A2539&lt;&gt;"",$E2539&gt;0),isLaptopBag($C2539,$J2539)*$D2539,"")</f>
        <v/>
      </c>
      <c r="Z2539" s="70" t="str">
        <f t="shared" si="875"/>
        <v/>
      </c>
      <c r="AA2539" s="70" t="str">
        <f t="shared" si="876"/>
        <v/>
      </c>
      <c r="AB2539" s="70" t="str">
        <f t="shared" si="877"/>
        <v/>
      </c>
      <c r="AC2539" s="70" t="str">
        <f t="shared" si="878"/>
        <v/>
      </c>
      <c r="AD2539" s="70" t="str">
        <f t="shared" si="879"/>
        <v/>
      </c>
      <c r="AE2539" s="70" t="str">
        <f t="shared" si="880"/>
        <v/>
      </c>
      <c r="AF2539" s="16"/>
      <c r="AG2539" s="23"/>
      <c r="AH2539" s="22"/>
      <c r="AJ2539" s="83">
        <f t="shared" si="881"/>
        <v>0</v>
      </c>
      <c r="AO2539" s="22" t="str">
        <f t="shared" si="882"/>
        <v/>
      </c>
      <c r="AP2539" s="22" t="str">
        <f t="shared" si="883"/>
        <v/>
      </c>
    </row>
    <row r="2540" spans="1:42" x14ac:dyDescent="0.25">
      <c r="A2540" s="10"/>
      <c r="B2540" s="10"/>
      <c r="C2540" s="10"/>
      <c r="D2540" s="10"/>
      <c r="E2540" s="10"/>
      <c r="F2540" s="10"/>
      <c r="G2540" s="10"/>
      <c r="H2540" s="17"/>
      <c r="I2540" s="10"/>
      <c r="J2540" s="10"/>
      <c r="K2540" s="16" t="str">
        <f t="shared" si="862"/>
        <v/>
      </c>
      <c r="L2540" s="23" t="str">
        <f t="shared" si="863"/>
        <v/>
      </c>
      <c r="M2540" s="22" t="str">
        <f t="shared" si="864"/>
        <v/>
      </c>
      <c r="N2540" s="72"/>
      <c r="O2540" s="16" t="str">
        <f t="shared" si="865"/>
        <v/>
      </c>
      <c r="P2540" s="16" t="str">
        <f t="shared" si="866"/>
        <v/>
      </c>
      <c r="Q2540" s="16" t="str">
        <f t="shared" si="867"/>
        <v/>
      </c>
      <c r="R2540" s="23" t="str">
        <f t="shared" si="868"/>
        <v/>
      </c>
      <c r="S2540" s="23" t="str">
        <f t="shared" si="869"/>
        <v/>
      </c>
      <c r="T2540" s="23" t="str">
        <f t="shared" si="870"/>
        <v/>
      </c>
      <c r="U2540" s="23" t="str">
        <f t="shared" si="871"/>
        <v/>
      </c>
      <c r="V2540" s="23" t="str">
        <f t="shared" si="872"/>
        <v/>
      </c>
      <c r="W2540" s="70" t="str">
        <f t="shared" si="873"/>
        <v/>
      </c>
      <c r="X2540" s="70" t="str">
        <f t="shared" si="874"/>
        <v/>
      </c>
      <c r="Y2540" s="70" t="str">
        <f>IF(AND($A2540&lt;&gt;"",$E2540&gt;0),isLaptopBag($C2540,$J2540)*$D2540,"")</f>
        <v/>
      </c>
      <c r="Z2540" s="70" t="str">
        <f t="shared" si="875"/>
        <v/>
      </c>
      <c r="AA2540" s="70" t="str">
        <f t="shared" si="876"/>
        <v/>
      </c>
      <c r="AB2540" s="70" t="str">
        <f t="shared" si="877"/>
        <v/>
      </c>
      <c r="AC2540" s="70" t="str">
        <f t="shared" si="878"/>
        <v/>
      </c>
      <c r="AD2540" s="70" t="str">
        <f t="shared" si="879"/>
        <v/>
      </c>
      <c r="AE2540" s="70" t="str">
        <f t="shared" si="880"/>
        <v/>
      </c>
      <c r="AF2540" s="16"/>
      <c r="AG2540" s="23"/>
      <c r="AH2540" s="22"/>
      <c r="AJ2540" s="83">
        <f t="shared" si="881"/>
        <v>0</v>
      </c>
      <c r="AO2540" s="22" t="str">
        <f t="shared" si="882"/>
        <v/>
      </c>
      <c r="AP2540" s="22" t="str">
        <f t="shared" si="883"/>
        <v/>
      </c>
    </row>
    <row r="2541" spans="1:42" x14ac:dyDescent="0.25">
      <c r="A2541" s="10"/>
      <c r="B2541" s="10"/>
      <c r="C2541" s="10"/>
      <c r="D2541" s="10"/>
      <c r="E2541" s="10"/>
      <c r="F2541" s="10"/>
      <c r="G2541" s="10"/>
      <c r="H2541" s="17"/>
      <c r="I2541" s="10"/>
      <c r="J2541" s="10"/>
      <c r="K2541" s="16" t="str">
        <f t="shared" si="862"/>
        <v/>
      </c>
      <c r="L2541" s="23" t="str">
        <f t="shared" si="863"/>
        <v/>
      </c>
      <c r="M2541" s="22" t="str">
        <f t="shared" si="864"/>
        <v/>
      </c>
      <c r="N2541" s="72"/>
      <c r="O2541" s="16" t="str">
        <f t="shared" si="865"/>
        <v/>
      </c>
      <c r="P2541" s="16" t="str">
        <f t="shared" si="866"/>
        <v/>
      </c>
      <c r="Q2541" s="16" t="str">
        <f t="shared" si="867"/>
        <v/>
      </c>
      <c r="R2541" s="23" t="str">
        <f t="shared" si="868"/>
        <v/>
      </c>
      <c r="S2541" s="23" t="str">
        <f t="shared" si="869"/>
        <v/>
      </c>
      <c r="T2541" s="23" t="str">
        <f t="shared" si="870"/>
        <v/>
      </c>
      <c r="U2541" s="23" t="str">
        <f t="shared" si="871"/>
        <v/>
      </c>
      <c r="V2541" s="23" t="str">
        <f t="shared" si="872"/>
        <v/>
      </c>
      <c r="W2541" s="70" t="str">
        <f t="shared" si="873"/>
        <v/>
      </c>
      <c r="X2541" s="70" t="str">
        <f t="shared" si="874"/>
        <v/>
      </c>
      <c r="Y2541" s="70" t="str">
        <f>IF(AND($A2541&lt;&gt;"",$E2541&gt;0),isLaptopBag($C2541,$J2541)*$D2541,"")</f>
        <v/>
      </c>
      <c r="Z2541" s="70" t="str">
        <f t="shared" si="875"/>
        <v/>
      </c>
      <c r="AA2541" s="70" t="str">
        <f t="shared" si="876"/>
        <v/>
      </c>
      <c r="AB2541" s="70" t="str">
        <f t="shared" si="877"/>
        <v/>
      </c>
      <c r="AC2541" s="70" t="str">
        <f t="shared" si="878"/>
        <v/>
      </c>
      <c r="AD2541" s="70" t="str">
        <f t="shared" si="879"/>
        <v/>
      </c>
      <c r="AE2541" s="70" t="str">
        <f t="shared" si="880"/>
        <v/>
      </c>
      <c r="AF2541" s="16"/>
      <c r="AG2541" s="23"/>
      <c r="AH2541" s="22"/>
      <c r="AJ2541" s="83">
        <f t="shared" si="881"/>
        <v>0</v>
      </c>
      <c r="AO2541" s="22" t="str">
        <f t="shared" si="882"/>
        <v/>
      </c>
      <c r="AP2541" s="22" t="str">
        <f t="shared" si="883"/>
        <v/>
      </c>
    </row>
    <row r="2542" spans="1:42" x14ac:dyDescent="0.25">
      <c r="A2542" s="10"/>
      <c r="B2542" s="10"/>
      <c r="C2542" s="10"/>
      <c r="D2542" s="10"/>
      <c r="E2542" s="10"/>
      <c r="F2542" s="10"/>
      <c r="G2542" s="10"/>
      <c r="H2542" s="17"/>
      <c r="I2542" s="10"/>
      <c r="J2542" s="10"/>
      <c r="K2542" s="16" t="str">
        <f t="shared" si="862"/>
        <v/>
      </c>
      <c r="L2542" s="23" t="str">
        <f t="shared" si="863"/>
        <v/>
      </c>
      <c r="M2542" s="22" t="str">
        <f t="shared" si="864"/>
        <v/>
      </c>
      <c r="N2542" s="72"/>
      <c r="O2542" s="16" t="str">
        <f t="shared" si="865"/>
        <v/>
      </c>
      <c r="P2542" s="16" t="str">
        <f t="shared" si="866"/>
        <v/>
      </c>
      <c r="Q2542" s="16" t="str">
        <f t="shared" si="867"/>
        <v/>
      </c>
      <c r="R2542" s="23" t="str">
        <f t="shared" si="868"/>
        <v/>
      </c>
      <c r="S2542" s="23" t="str">
        <f t="shared" si="869"/>
        <v/>
      </c>
      <c r="T2542" s="23" t="str">
        <f t="shared" si="870"/>
        <v/>
      </c>
      <c r="U2542" s="23" t="str">
        <f t="shared" si="871"/>
        <v/>
      </c>
      <c r="V2542" s="23" t="str">
        <f t="shared" si="872"/>
        <v/>
      </c>
      <c r="W2542" s="70" t="str">
        <f t="shared" si="873"/>
        <v/>
      </c>
      <c r="X2542" s="70" t="str">
        <f t="shared" si="874"/>
        <v/>
      </c>
      <c r="Y2542" s="70" t="str">
        <f>IF(AND($A2542&lt;&gt;"",$E2542&gt;0),isLaptopBag($C2542,$J2542)*$D2542,"")</f>
        <v/>
      </c>
      <c r="Z2542" s="70" t="str">
        <f t="shared" si="875"/>
        <v/>
      </c>
      <c r="AA2542" s="70" t="str">
        <f t="shared" si="876"/>
        <v/>
      </c>
      <c r="AB2542" s="70" t="str">
        <f t="shared" si="877"/>
        <v/>
      </c>
      <c r="AC2542" s="70" t="str">
        <f t="shared" si="878"/>
        <v/>
      </c>
      <c r="AD2542" s="70" t="str">
        <f t="shared" si="879"/>
        <v/>
      </c>
      <c r="AE2542" s="70" t="str">
        <f t="shared" si="880"/>
        <v/>
      </c>
      <c r="AF2542" s="16"/>
      <c r="AG2542" s="23"/>
      <c r="AH2542" s="22"/>
      <c r="AJ2542" s="83">
        <f t="shared" si="881"/>
        <v>0</v>
      </c>
      <c r="AO2542" s="22" t="str">
        <f t="shared" si="882"/>
        <v/>
      </c>
      <c r="AP2542" s="22" t="str">
        <f t="shared" si="883"/>
        <v/>
      </c>
    </row>
    <row r="2543" spans="1:42" x14ac:dyDescent="0.25">
      <c r="A2543" s="10"/>
      <c r="B2543" s="10"/>
      <c r="C2543" s="10"/>
      <c r="D2543" s="10"/>
      <c r="E2543" s="10"/>
      <c r="F2543" s="10"/>
      <c r="G2543" s="10"/>
      <c r="H2543" s="17"/>
      <c r="I2543" s="10"/>
      <c r="J2543" s="10"/>
      <c r="K2543" s="16" t="str">
        <f t="shared" si="862"/>
        <v/>
      </c>
      <c r="L2543" s="23" t="str">
        <f t="shared" si="863"/>
        <v/>
      </c>
      <c r="M2543" s="22" t="str">
        <f t="shared" si="864"/>
        <v/>
      </c>
      <c r="N2543" s="72"/>
      <c r="O2543" s="16" t="str">
        <f t="shared" si="865"/>
        <v/>
      </c>
      <c r="P2543" s="16" t="str">
        <f t="shared" si="866"/>
        <v/>
      </c>
      <c r="Q2543" s="16" t="str">
        <f t="shared" si="867"/>
        <v/>
      </c>
      <c r="R2543" s="23" t="str">
        <f t="shared" si="868"/>
        <v/>
      </c>
      <c r="S2543" s="23" t="str">
        <f t="shared" si="869"/>
        <v/>
      </c>
      <c r="T2543" s="23" t="str">
        <f t="shared" si="870"/>
        <v/>
      </c>
      <c r="U2543" s="23" t="str">
        <f t="shared" si="871"/>
        <v/>
      </c>
      <c r="V2543" s="23" t="str">
        <f t="shared" si="872"/>
        <v/>
      </c>
      <c r="W2543" s="70" t="str">
        <f t="shared" si="873"/>
        <v/>
      </c>
      <c r="X2543" s="70" t="str">
        <f t="shared" si="874"/>
        <v/>
      </c>
      <c r="Y2543" s="70" t="str">
        <f>IF(AND($A2543&lt;&gt;"",$E2543&gt;0),isLaptopBag($C2543,$J2543)*$D2543,"")</f>
        <v/>
      </c>
      <c r="Z2543" s="70" t="str">
        <f t="shared" si="875"/>
        <v/>
      </c>
      <c r="AA2543" s="70" t="str">
        <f t="shared" si="876"/>
        <v/>
      </c>
      <c r="AB2543" s="70" t="str">
        <f t="shared" si="877"/>
        <v/>
      </c>
      <c r="AC2543" s="70" t="str">
        <f t="shared" si="878"/>
        <v/>
      </c>
      <c r="AD2543" s="70" t="str">
        <f t="shared" si="879"/>
        <v/>
      </c>
      <c r="AE2543" s="70" t="str">
        <f t="shared" si="880"/>
        <v/>
      </c>
      <c r="AF2543" s="16"/>
      <c r="AG2543" s="23"/>
      <c r="AH2543" s="22"/>
      <c r="AJ2543" s="83">
        <f t="shared" si="881"/>
        <v>0</v>
      </c>
      <c r="AO2543" s="22" t="str">
        <f t="shared" si="882"/>
        <v/>
      </c>
      <c r="AP2543" s="22" t="str">
        <f t="shared" si="883"/>
        <v/>
      </c>
    </row>
    <row r="2544" spans="1:42" x14ac:dyDescent="0.25">
      <c r="A2544" s="10"/>
      <c r="B2544" s="10"/>
      <c r="C2544" s="10"/>
      <c r="D2544" s="10"/>
      <c r="E2544" s="10"/>
      <c r="F2544" s="10"/>
      <c r="G2544" s="10"/>
      <c r="H2544" s="17"/>
      <c r="I2544" s="10"/>
      <c r="J2544" s="10"/>
      <c r="K2544" s="16" t="str">
        <f t="shared" si="862"/>
        <v/>
      </c>
      <c r="L2544" s="23" t="str">
        <f t="shared" si="863"/>
        <v/>
      </c>
      <c r="M2544" s="22" t="str">
        <f t="shared" si="864"/>
        <v/>
      </c>
      <c r="N2544" s="72"/>
      <c r="O2544" s="16" t="str">
        <f t="shared" si="865"/>
        <v/>
      </c>
      <c r="P2544" s="16" t="str">
        <f t="shared" si="866"/>
        <v/>
      </c>
      <c r="Q2544" s="16" t="str">
        <f t="shared" si="867"/>
        <v/>
      </c>
      <c r="R2544" s="23" t="str">
        <f t="shared" si="868"/>
        <v/>
      </c>
      <c r="S2544" s="23" t="str">
        <f t="shared" si="869"/>
        <v/>
      </c>
      <c r="T2544" s="23" t="str">
        <f t="shared" si="870"/>
        <v/>
      </c>
      <c r="U2544" s="23" t="str">
        <f t="shared" si="871"/>
        <v/>
      </c>
      <c r="V2544" s="23" t="str">
        <f t="shared" si="872"/>
        <v/>
      </c>
      <c r="W2544" s="70" t="str">
        <f t="shared" si="873"/>
        <v/>
      </c>
      <c r="X2544" s="70" t="str">
        <f t="shared" si="874"/>
        <v/>
      </c>
      <c r="Y2544" s="70" t="str">
        <f>IF(AND($A2544&lt;&gt;"",$E2544&gt;0),isLaptopBag($C2544,$J2544)*$D2544,"")</f>
        <v/>
      </c>
      <c r="Z2544" s="70" t="str">
        <f t="shared" si="875"/>
        <v/>
      </c>
      <c r="AA2544" s="70" t="str">
        <f t="shared" si="876"/>
        <v/>
      </c>
      <c r="AB2544" s="70" t="str">
        <f t="shared" si="877"/>
        <v/>
      </c>
      <c r="AC2544" s="70" t="str">
        <f t="shared" si="878"/>
        <v/>
      </c>
      <c r="AD2544" s="70" t="str">
        <f t="shared" si="879"/>
        <v/>
      </c>
      <c r="AE2544" s="70" t="str">
        <f t="shared" si="880"/>
        <v/>
      </c>
      <c r="AF2544" s="16"/>
      <c r="AG2544" s="23"/>
      <c r="AH2544" s="22"/>
      <c r="AJ2544" s="83">
        <f t="shared" si="881"/>
        <v>0</v>
      </c>
      <c r="AO2544" s="22" t="str">
        <f t="shared" si="882"/>
        <v/>
      </c>
      <c r="AP2544" s="22" t="str">
        <f t="shared" si="883"/>
        <v/>
      </c>
    </row>
    <row r="2545" spans="1:42" x14ac:dyDescent="0.25">
      <c r="A2545" s="10"/>
      <c r="B2545" s="10"/>
      <c r="C2545" s="10"/>
      <c r="D2545" s="10"/>
      <c r="E2545" s="10"/>
      <c r="F2545" s="10"/>
      <c r="G2545" s="10"/>
      <c r="H2545" s="17"/>
      <c r="I2545" s="10"/>
      <c r="J2545" s="10"/>
      <c r="K2545" s="16" t="str">
        <f t="shared" si="862"/>
        <v/>
      </c>
      <c r="L2545" s="23" t="str">
        <f t="shared" si="863"/>
        <v/>
      </c>
      <c r="M2545" s="22" t="str">
        <f t="shared" si="864"/>
        <v/>
      </c>
      <c r="N2545" s="72"/>
      <c r="O2545" s="16" t="str">
        <f t="shared" si="865"/>
        <v/>
      </c>
      <c r="P2545" s="16" t="str">
        <f t="shared" si="866"/>
        <v/>
      </c>
      <c r="Q2545" s="16" t="str">
        <f t="shared" si="867"/>
        <v/>
      </c>
      <c r="R2545" s="23" t="str">
        <f t="shared" si="868"/>
        <v/>
      </c>
      <c r="S2545" s="23" t="str">
        <f t="shared" si="869"/>
        <v/>
      </c>
      <c r="T2545" s="23" t="str">
        <f t="shared" si="870"/>
        <v/>
      </c>
      <c r="U2545" s="23" t="str">
        <f t="shared" si="871"/>
        <v/>
      </c>
      <c r="V2545" s="23" t="str">
        <f t="shared" si="872"/>
        <v/>
      </c>
      <c r="W2545" s="70" t="str">
        <f t="shared" si="873"/>
        <v/>
      </c>
      <c r="X2545" s="70" t="str">
        <f t="shared" si="874"/>
        <v/>
      </c>
      <c r="Y2545" s="70" t="str">
        <f>IF(AND($A2545&lt;&gt;"",$E2545&gt;0),isLaptopBag($C2545,$J2545)*$D2545,"")</f>
        <v/>
      </c>
      <c r="Z2545" s="70" t="str">
        <f t="shared" si="875"/>
        <v/>
      </c>
      <c r="AA2545" s="70" t="str">
        <f t="shared" si="876"/>
        <v/>
      </c>
      <c r="AB2545" s="70" t="str">
        <f t="shared" si="877"/>
        <v/>
      </c>
      <c r="AC2545" s="70" t="str">
        <f t="shared" si="878"/>
        <v/>
      </c>
      <c r="AD2545" s="70" t="str">
        <f t="shared" si="879"/>
        <v/>
      </c>
      <c r="AE2545" s="70" t="str">
        <f t="shared" si="880"/>
        <v/>
      </c>
      <c r="AF2545" s="16"/>
      <c r="AG2545" s="23"/>
      <c r="AH2545" s="22"/>
      <c r="AJ2545" s="83">
        <f t="shared" si="881"/>
        <v>0</v>
      </c>
      <c r="AO2545" s="22" t="str">
        <f t="shared" si="882"/>
        <v/>
      </c>
      <c r="AP2545" s="22" t="str">
        <f t="shared" si="883"/>
        <v/>
      </c>
    </row>
    <row r="2546" spans="1:42" x14ac:dyDescent="0.25">
      <c r="A2546" s="10"/>
      <c r="B2546" s="10"/>
      <c r="C2546" s="10"/>
      <c r="D2546" s="10"/>
      <c r="E2546" s="10"/>
      <c r="F2546" s="10"/>
      <c r="G2546" s="10"/>
      <c r="H2546" s="17"/>
      <c r="I2546" s="10"/>
      <c r="J2546" s="10"/>
      <c r="K2546" s="16" t="str">
        <f t="shared" si="862"/>
        <v/>
      </c>
      <c r="L2546" s="23" t="str">
        <f t="shared" si="863"/>
        <v/>
      </c>
      <c r="M2546" s="22" t="str">
        <f t="shared" si="864"/>
        <v/>
      </c>
      <c r="N2546" s="72"/>
      <c r="O2546" s="16" t="str">
        <f t="shared" si="865"/>
        <v/>
      </c>
      <c r="P2546" s="16" t="str">
        <f t="shared" si="866"/>
        <v/>
      </c>
      <c r="Q2546" s="16" t="str">
        <f t="shared" si="867"/>
        <v/>
      </c>
      <c r="R2546" s="23" t="str">
        <f t="shared" si="868"/>
        <v/>
      </c>
      <c r="S2546" s="23" t="str">
        <f t="shared" si="869"/>
        <v/>
      </c>
      <c r="T2546" s="23" t="str">
        <f t="shared" si="870"/>
        <v/>
      </c>
      <c r="U2546" s="23" t="str">
        <f t="shared" si="871"/>
        <v/>
      </c>
      <c r="V2546" s="23" t="str">
        <f t="shared" si="872"/>
        <v/>
      </c>
      <c r="W2546" s="70" t="str">
        <f t="shared" si="873"/>
        <v/>
      </c>
      <c r="X2546" s="70" t="str">
        <f t="shared" si="874"/>
        <v/>
      </c>
      <c r="Y2546" s="70" t="str">
        <f>IF(AND($A2546&lt;&gt;"",$E2546&gt;0),isLaptopBag($C2546,$J2546)*$D2546,"")</f>
        <v/>
      </c>
      <c r="Z2546" s="70" t="str">
        <f t="shared" si="875"/>
        <v/>
      </c>
      <c r="AA2546" s="70" t="str">
        <f t="shared" si="876"/>
        <v/>
      </c>
      <c r="AB2546" s="70" t="str">
        <f t="shared" si="877"/>
        <v/>
      </c>
      <c r="AC2546" s="70" t="str">
        <f t="shared" si="878"/>
        <v/>
      </c>
      <c r="AD2546" s="70" t="str">
        <f t="shared" si="879"/>
        <v/>
      </c>
      <c r="AE2546" s="70" t="str">
        <f t="shared" si="880"/>
        <v/>
      </c>
      <c r="AF2546" s="16"/>
      <c r="AG2546" s="23"/>
      <c r="AH2546" s="22"/>
      <c r="AJ2546" s="83">
        <f t="shared" si="881"/>
        <v>0</v>
      </c>
      <c r="AO2546" s="22" t="str">
        <f t="shared" si="882"/>
        <v/>
      </c>
      <c r="AP2546" s="22" t="str">
        <f t="shared" si="883"/>
        <v/>
      </c>
    </row>
    <row r="2547" spans="1:42" x14ac:dyDescent="0.25">
      <c r="A2547" s="10"/>
      <c r="B2547" s="10"/>
      <c r="C2547" s="10"/>
      <c r="D2547" s="10"/>
      <c r="E2547" s="10"/>
      <c r="F2547" s="10"/>
      <c r="G2547" s="10"/>
      <c r="H2547" s="17"/>
      <c r="I2547" s="10"/>
      <c r="J2547" s="10"/>
      <c r="K2547" s="16" t="str">
        <f t="shared" si="862"/>
        <v/>
      </c>
      <c r="L2547" s="23" t="str">
        <f t="shared" si="863"/>
        <v/>
      </c>
      <c r="M2547" s="22" t="str">
        <f t="shared" si="864"/>
        <v/>
      </c>
      <c r="N2547" s="72"/>
      <c r="O2547" s="16" t="str">
        <f t="shared" si="865"/>
        <v/>
      </c>
      <c r="P2547" s="16" t="str">
        <f t="shared" si="866"/>
        <v/>
      </c>
      <c r="Q2547" s="16" t="str">
        <f t="shared" si="867"/>
        <v/>
      </c>
      <c r="R2547" s="23" t="str">
        <f t="shared" si="868"/>
        <v/>
      </c>
      <c r="S2547" s="23" t="str">
        <f t="shared" si="869"/>
        <v/>
      </c>
      <c r="T2547" s="23" t="str">
        <f t="shared" si="870"/>
        <v/>
      </c>
      <c r="U2547" s="23" t="str">
        <f t="shared" si="871"/>
        <v/>
      </c>
      <c r="V2547" s="23" t="str">
        <f t="shared" si="872"/>
        <v/>
      </c>
      <c r="W2547" s="70" t="str">
        <f t="shared" si="873"/>
        <v/>
      </c>
      <c r="X2547" s="70" t="str">
        <f t="shared" si="874"/>
        <v/>
      </c>
      <c r="Y2547" s="70" t="str">
        <f>IF(AND($A2547&lt;&gt;"",$E2547&gt;0),isLaptopBag($C2547,$J2547)*$D2547,"")</f>
        <v/>
      </c>
      <c r="Z2547" s="70" t="str">
        <f t="shared" si="875"/>
        <v/>
      </c>
      <c r="AA2547" s="70" t="str">
        <f t="shared" si="876"/>
        <v/>
      </c>
      <c r="AB2547" s="70" t="str">
        <f t="shared" si="877"/>
        <v/>
      </c>
      <c r="AC2547" s="70" t="str">
        <f t="shared" si="878"/>
        <v/>
      </c>
      <c r="AD2547" s="70" t="str">
        <f t="shared" si="879"/>
        <v/>
      </c>
      <c r="AE2547" s="70" t="str">
        <f t="shared" si="880"/>
        <v/>
      </c>
      <c r="AF2547" s="16"/>
      <c r="AG2547" s="23"/>
      <c r="AH2547" s="22"/>
      <c r="AJ2547" s="83">
        <f t="shared" si="881"/>
        <v>0</v>
      </c>
      <c r="AO2547" s="22" t="str">
        <f t="shared" si="882"/>
        <v/>
      </c>
      <c r="AP2547" s="22" t="str">
        <f t="shared" si="883"/>
        <v/>
      </c>
    </row>
    <row r="2548" spans="1:42" x14ac:dyDescent="0.25">
      <c r="A2548" s="10"/>
      <c r="B2548" s="10"/>
      <c r="C2548" s="10"/>
      <c r="D2548" s="10"/>
      <c r="E2548" s="10"/>
      <c r="F2548" s="10"/>
      <c r="G2548" s="10"/>
      <c r="H2548" s="17"/>
      <c r="I2548" s="10"/>
      <c r="J2548" s="10"/>
      <c r="K2548" s="16" t="str">
        <f t="shared" si="862"/>
        <v/>
      </c>
      <c r="L2548" s="23" t="str">
        <f t="shared" si="863"/>
        <v/>
      </c>
      <c r="M2548" s="22" t="str">
        <f t="shared" si="864"/>
        <v/>
      </c>
      <c r="N2548" s="72"/>
      <c r="O2548" s="16" t="str">
        <f t="shared" si="865"/>
        <v/>
      </c>
      <c r="P2548" s="16" t="str">
        <f t="shared" si="866"/>
        <v/>
      </c>
      <c r="Q2548" s="16" t="str">
        <f t="shared" si="867"/>
        <v/>
      </c>
      <c r="R2548" s="23" t="str">
        <f t="shared" si="868"/>
        <v/>
      </c>
      <c r="S2548" s="23" t="str">
        <f t="shared" si="869"/>
        <v/>
      </c>
      <c r="T2548" s="23" t="str">
        <f t="shared" si="870"/>
        <v/>
      </c>
      <c r="U2548" s="23" t="str">
        <f t="shared" si="871"/>
        <v/>
      </c>
      <c r="V2548" s="23" t="str">
        <f t="shared" si="872"/>
        <v/>
      </c>
      <c r="W2548" s="70" t="str">
        <f t="shared" si="873"/>
        <v/>
      </c>
      <c r="X2548" s="70" t="str">
        <f t="shared" si="874"/>
        <v/>
      </c>
      <c r="Y2548" s="70" t="str">
        <f>IF(AND($A2548&lt;&gt;"",$E2548&gt;0),isLaptopBag($C2548,$J2548)*$D2548,"")</f>
        <v/>
      </c>
      <c r="Z2548" s="70" t="str">
        <f t="shared" si="875"/>
        <v/>
      </c>
      <c r="AA2548" s="70" t="str">
        <f t="shared" si="876"/>
        <v/>
      </c>
      <c r="AB2548" s="70" t="str">
        <f t="shared" si="877"/>
        <v/>
      </c>
      <c r="AC2548" s="70" t="str">
        <f t="shared" si="878"/>
        <v/>
      </c>
      <c r="AD2548" s="70" t="str">
        <f t="shared" si="879"/>
        <v/>
      </c>
      <c r="AE2548" s="70" t="str">
        <f t="shared" si="880"/>
        <v/>
      </c>
      <c r="AF2548" s="16"/>
      <c r="AG2548" s="23"/>
      <c r="AH2548" s="22"/>
      <c r="AJ2548" s="83">
        <f t="shared" si="881"/>
        <v>0</v>
      </c>
      <c r="AO2548" s="22" t="str">
        <f t="shared" si="882"/>
        <v/>
      </c>
      <c r="AP2548" s="22" t="str">
        <f t="shared" si="883"/>
        <v/>
      </c>
    </row>
    <row r="2549" spans="1:42" x14ac:dyDescent="0.25">
      <c r="A2549" s="10"/>
      <c r="B2549" s="10"/>
      <c r="C2549" s="10"/>
      <c r="D2549" s="10"/>
      <c r="E2549" s="10"/>
      <c r="F2549" s="10"/>
      <c r="G2549" s="10"/>
      <c r="H2549" s="17"/>
      <c r="I2549" s="10"/>
      <c r="J2549" s="10"/>
      <c r="K2549" s="16" t="str">
        <f t="shared" si="862"/>
        <v/>
      </c>
      <c r="L2549" s="23" t="str">
        <f t="shared" si="863"/>
        <v/>
      </c>
      <c r="M2549" s="22" t="str">
        <f t="shared" si="864"/>
        <v/>
      </c>
      <c r="N2549" s="72"/>
      <c r="O2549" s="16" t="str">
        <f t="shared" si="865"/>
        <v/>
      </c>
      <c r="P2549" s="16" t="str">
        <f t="shared" si="866"/>
        <v/>
      </c>
      <c r="Q2549" s="16" t="str">
        <f t="shared" si="867"/>
        <v/>
      </c>
      <c r="R2549" s="23" t="str">
        <f t="shared" si="868"/>
        <v/>
      </c>
      <c r="S2549" s="23" t="str">
        <f t="shared" si="869"/>
        <v/>
      </c>
      <c r="T2549" s="23" t="str">
        <f t="shared" si="870"/>
        <v/>
      </c>
      <c r="U2549" s="23" t="str">
        <f t="shared" si="871"/>
        <v/>
      </c>
      <c r="V2549" s="23" t="str">
        <f t="shared" si="872"/>
        <v/>
      </c>
      <c r="W2549" s="70" t="str">
        <f t="shared" si="873"/>
        <v/>
      </c>
      <c r="X2549" s="70" t="str">
        <f t="shared" si="874"/>
        <v/>
      </c>
      <c r="Y2549" s="70" t="str">
        <f>IF(AND($A2549&lt;&gt;"",$E2549&gt;0),isLaptopBag($C2549,$J2549)*$D2549,"")</f>
        <v/>
      </c>
      <c r="Z2549" s="70" t="str">
        <f t="shared" si="875"/>
        <v/>
      </c>
      <c r="AA2549" s="70" t="str">
        <f t="shared" si="876"/>
        <v/>
      </c>
      <c r="AB2549" s="70" t="str">
        <f t="shared" si="877"/>
        <v/>
      </c>
      <c r="AC2549" s="70" t="str">
        <f t="shared" si="878"/>
        <v/>
      </c>
      <c r="AD2549" s="70" t="str">
        <f t="shared" si="879"/>
        <v/>
      </c>
      <c r="AE2549" s="70" t="str">
        <f t="shared" si="880"/>
        <v/>
      </c>
      <c r="AF2549" s="16"/>
      <c r="AG2549" s="23"/>
      <c r="AH2549" s="22"/>
      <c r="AJ2549" s="83">
        <f t="shared" si="881"/>
        <v>0</v>
      </c>
      <c r="AO2549" s="22" t="str">
        <f t="shared" si="882"/>
        <v/>
      </c>
      <c r="AP2549" s="22" t="str">
        <f t="shared" si="883"/>
        <v/>
      </c>
    </row>
    <row r="2550" spans="1:42" x14ac:dyDescent="0.25">
      <c r="A2550" s="10"/>
      <c r="B2550" s="10"/>
      <c r="C2550" s="10"/>
      <c r="D2550" s="10"/>
      <c r="E2550" s="10"/>
      <c r="F2550" s="10"/>
      <c r="G2550" s="10"/>
      <c r="H2550" s="17"/>
      <c r="I2550" s="10"/>
      <c r="J2550" s="10"/>
      <c r="K2550" s="16" t="str">
        <f t="shared" si="862"/>
        <v/>
      </c>
      <c r="L2550" s="23" t="str">
        <f t="shared" si="863"/>
        <v/>
      </c>
      <c r="M2550" s="22" t="str">
        <f t="shared" si="864"/>
        <v/>
      </c>
      <c r="N2550" s="72"/>
      <c r="O2550" s="16" t="str">
        <f t="shared" si="865"/>
        <v/>
      </c>
      <c r="P2550" s="16" t="str">
        <f t="shared" si="866"/>
        <v/>
      </c>
      <c r="Q2550" s="16" t="str">
        <f t="shared" si="867"/>
        <v/>
      </c>
      <c r="R2550" s="23" t="str">
        <f t="shared" si="868"/>
        <v/>
      </c>
      <c r="S2550" s="23" t="str">
        <f t="shared" si="869"/>
        <v/>
      </c>
      <c r="T2550" s="23" t="str">
        <f t="shared" si="870"/>
        <v/>
      </c>
      <c r="U2550" s="23" t="str">
        <f t="shared" si="871"/>
        <v/>
      </c>
      <c r="V2550" s="23" t="str">
        <f t="shared" si="872"/>
        <v/>
      </c>
      <c r="W2550" s="70" t="str">
        <f t="shared" si="873"/>
        <v/>
      </c>
      <c r="X2550" s="70" t="str">
        <f t="shared" si="874"/>
        <v/>
      </c>
      <c r="Y2550" s="70" t="str">
        <f>IF(AND($A2550&lt;&gt;"",$E2550&gt;0),isLaptopBag($C2550,$J2550)*$D2550,"")</f>
        <v/>
      </c>
      <c r="Z2550" s="70" t="str">
        <f t="shared" si="875"/>
        <v/>
      </c>
      <c r="AA2550" s="70" t="str">
        <f t="shared" si="876"/>
        <v/>
      </c>
      <c r="AB2550" s="70" t="str">
        <f t="shared" si="877"/>
        <v/>
      </c>
      <c r="AC2550" s="70" t="str">
        <f t="shared" si="878"/>
        <v/>
      </c>
      <c r="AD2550" s="70" t="str">
        <f t="shared" si="879"/>
        <v/>
      </c>
      <c r="AE2550" s="70" t="str">
        <f t="shared" si="880"/>
        <v/>
      </c>
      <c r="AF2550" s="16"/>
      <c r="AG2550" s="23"/>
      <c r="AH2550" s="22"/>
      <c r="AJ2550" s="83">
        <f t="shared" si="881"/>
        <v>0</v>
      </c>
      <c r="AO2550" s="22" t="str">
        <f t="shared" si="882"/>
        <v/>
      </c>
      <c r="AP2550" s="22" t="str">
        <f t="shared" si="883"/>
        <v/>
      </c>
    </row>
    <row r="2551" spans="1:42" x14ac:dyDescent="0.25">
      <c r="A2551" s="10"/>
      <c r="B2551" s="10"/>
      <c r="C2551" s="10"/>
      <c r="D2551" s="10"/>
      <c r="E2551" s="10"/>
      <c r="F2551" s="10"/>
      <c r="G2551" s="10"/>
      <c r="H2551" s="17"/>
      <c r="I2551" s="10"/>
      <c r="J2551" s="10"/>
      <c r="K2551" s="16" t="str">
        <f t="shared" si="862"/>
        <v/>
      </c>
      <c r="L2551" s="23" t="str">
        <f t="shared" si="863"/>
        <v/>
      </c>
      <c r="M2551" s="22" t="str">
        <f t="shared" si="864"/>
        <v/>
      </c>
      <c r="N2551" s="72"/>
      <c r="O2551" s="16" t="str">
        <f t="shared" si="865"/>
        <v/>
      </c>
      <c r="P2551" s="16" t="str">
        <f t="shared" si="866"/>
        <v/>
      </c>
      <c r="Q2551" s="16" t="str">
        <f t="shared" si="867"/>
        <v/>
      </c>
      <c r="R2551" s="23" t="str">
        <f t="shared" si="868"/>
        <v/>
      </c>
      <c r="S2551" s="23" t="str">
        <f t="shared" si="869"/>
        <v/>
      </c>
      <c r="T2551" s="23" t="str">
        <f t="shared" si="870"/>
        <v/>
      </c>
      <c r="U2551" s="23" t="str">
        <f t="shared" si="871"/>
        <v/>
      </c>
      <c r="V2551" s="23" t="str">
        <f t="shared" si="872"/>
        <v/>
      </c>
      <c r="W2551" s="70" t="str">
        <f t="shared" si="873"/>
        <v/>
      </c>
      <c r="X2551" s="70" t="str">
        <f t="shared" si="874"/>
        <v/>
      </c>
      <c r="Y2551" s="70" t="str">
        <f>IF(AND($A2551&lt;&gt;"",$E2551&gt;0),isLaptopBag($C2551,$J2551)*$D2551,"")</f>
        <v/>
      </c>
      <c r="Z2551" s="70" t="str">
        <f t="shared" si="875"/>
        <v/>
      </c>
      <c r="AA2551" s="70" t="str">
        <f t="shared" si="876"/>
        <v/>
      </c>
      <c r="AB2551" s="70" t="str">
        <f t="shared" si="877"/>
        <v/>
      </c>
      <c r="AC2551" s="70" t="str">
        <f t="shared" si="878"/>
        <v/>
      </c>
      <c r="AD2551" s="70" t="str">
        <f t="shared" si="879"/>
        <v/>
      </c>
      <c r="AE2551" s="70" t="str">
        <f t="shared" si="880"/>
        <v/>
      </c>
      <c r="AF2551" s="16"/>
      <c r="AG2551" s="23"/>
      <c r="AH2551" s="22"/>
      <c r="AJ2551" s="83">
        <f t="shared" si="881"/>
        <v>0</v>
      </c>
      <c r="AO2551" s="22" t="str">
        <f t="shared" si="882"/>
        <v/>
      </c>
      <c r="AP2551" s="22" t="str">
        <f t="shared" si="883"/>
        <v/>
      </c>
    </row>
    <row r="2552" spans="1:42" x14ac:dyDescent="0.25">
      <c r="A2552" s="10"/>
      <c r="B2552" s="10"/>
      <c r="C2552" s="10"/>
      <c r="D2552" s="10"/>
      <c r="E2552" s="10"/>
      <c r="F2552" s="10"/>
      <c r="G2552" s="10"/>
      <c r="H2552" s="17"/>
      <c r="I2552" s="10"/>
      <c r="J2552" s="10"/>
      <c r="K2552" s="16" t="str">
        <f t="shared" si="862"/>
        <v/>
      </c>
      <c r="L2552" s="23" t="str">
        <f t="shared" si="863"/>
        <v/>
      </c>
      <c r="M2552" s="22" t="str">
        <f t="shared" si="864"/>
        <v/>
      </c>
      <c r="N2552" s="72"/>
      <c r="O2552" s="16" t="str">
        <f t="shared" si="865"/>
        <v/>
      </c>
      <c r="P2552" s="16" t="str">
        <f t="shared" si="866"/>
        <v/>
      </c>
      <c r="Q2552" s="16" t="str">
        <f t="shared" si="867"/>
        <v/>
      </c>
      <c r="R2552" s="23" t="str">
        <f t="shared" si="868"/>
        <v/>
      </c>
      <c r="S2552" s="23" t="str">
        <f t="shared" si="869"/>
        <v/>
      </c>
      <c r="T2552" s="23" t="str">
        <f t="shared" si="870"/>
        <v/>
      </c>
      <c r="U2552" s="23" t="str">
        <f t="shared" si="871"/>
        <v/>
      </c>
      <c r="V2552" s="23" t="str">
        <f t="shared" si="872"/>
        <v/>
      </c>
      <c r="W2552" s="70" t="str">
        <f t="shared" si="873"/>
        <v/>
      </c>
      <c r="X2552" s="70" t="str">
        <f t="shared" si="874"/>
        <v/>
      </c>
      <c r="Y2552" s="70" t="str">
        <f>IF(AND($A2552&lt;&gt;"",$E2552&gt;0),isLaptopBag($C2552,$J2552)*$D2552,"")</f>
        <v/>
      </c>
      <c r="Z2552" s="70" t="str">
        <f t="shared" si="875"/>
        <v/>
      </c>
      <c r="AA2552" s="70" t="str">
        <f t="shared" si="876"/>
        <v/>
      </c>
      <c r="AB2552" s="70" t="str">
        <f t="shared" si="877"/>
        <v/>
      </c>
      <c r="AC2552" s="70" t="str">
        <f t="shared" si="878"/>
        <v/>
      </c>
      <c r="AD2552" s="70" t="str">
        <f t="shared" si="879"/>
        <v/>
      </c>
      <c r="AE2552" s="70" t="str">
        <f t="shared" si="880"/>
        <v/>
      </c>
      <c r="AF2552" s="16"/>
      <c r="AG2552" s="23"/>
      <c r="AH2552" s="22"/>
      <c r="AJ2552" s="83">
        <f t="shared" si="881"/>
        <v>0</v>
      </c>
      <c r="AO2552" s="22" t="str">
        <f t="shared" si="882"/>
        <v/>
      </c>
      <c r="AP2552" s="22" t="str">
        <f t="shared" si="883"/>
        <v/>
      </c>
    </row>
    <row r="2553" spans="1:42" x14ac:dyDescent="0.25">
      <c r="A2553" s="10"/>
      <c r="B2553" s="10"/>
      <c r="C2553" s="10"/>
      <c r="D2553" s="10"/>
      <c r="E2553" s="10"/>
      <c r="F2553" s="10"/>
      <c r="G2553" s="10"/>
      <c r="H2553" s="17"/>
      <c r="I2553" s="10"/>
      <c r="J2553" s="10"/>
      <c r="K2553" s="16" t="str">
        <f t="shared" si="862"/>
        <v/>
      </c>
      <c r="L2553" s="23" t="str">
        <f t="shared" si="863"/>
        <v/>
      </c>
      <c r="M2553" s="22" t="str">
        <f t="shared" si="864"/>
        <v/>
      </c>
      <c r="N2553" s="72"/>
      <c r="O2553" s="16" t="str">
        <f t="shared" si="865"/>
        <v/>
      </c>
      <c r="P2553" s="16" t="str">
        <f t="shared" si="866"/>
        <v/>
      </c>
      <c r="Q2553" s="16" t="str">
        <f t="shared" si="867"/>
        <v/>
      </c>
      <c r="R2553" s="23" t="str">
        <f t="shared" si="868"/>
        <v/>
      </c>
      <c r="S2553" s="23" t="str">
        <f t="shared" si="869"/>
        <v/>
      </c>
      <c r="T2553" s="23" t="str">
        <f t="shared" si="870"/>
        <v/>
      </c>
      <c r="U2553" s="23" t="str">
        <f t="shared" si="871"/>
        <v/>
      </c>
      <c r="V2553" s="23" t="str">
        <f t="shared" si="872"/>
        <v/>
      </c>
      <c r="W2553" s="70" t="str">
        <f t="shared" si="873"/>
        <v/>
      </c>
      <c r="X2553" s="70" t="str">
        <f t="shared" si="874"/>
        <v/>
      </c>
      <c r="Y2553" s="70" t="str">
        <f>IF(AND($A2553&lt;&gt;"",$E2553&gt;0),isLaptopBag($C2553,$J2553)*$D2553,"")</f>
        <v/>
      </c>
      <c r="Z2553" s="70" t="str">
        <f t="shared" si="875"/>
        <v/>
      </c>
      <c r="AA2553" s="70" t="str">
        <f t="shared" si="876"/>
        <v/>
      </c>
      <c r="AB2553" s="70" t="str">
        <f t="shared" si="877"/>
        <v/>
      </c>
      <c r="AC2553" s="70" t="str">
        <f t="shared" si="878"/>
        <v/>
      </c>
      <c r="AD2553" s="70" t="str">
        <f t="shared" si="879"/>
        <v/>
      </c>
      <c r="AE2553" s="70" t="str">
        <f t="shared" si="880"/>
        <v/>
      </c>
      <c r="AF2553" s="16"/>
      <c r="AG2553" s="23"/>
      <c r="AH2553" s="22"/>
      <c r="AJ2553" s="83">
        <f t="shared" si="881"/>
        <v>0</v>
      </c>
      <c r="AO2553" s="22" t="str">
        <f t="shared" si="882"/>
        <v/>
      </c>
      <c r="AP2553" s="22" t="str">
        <f t="shared" si="883"/>
        <v/>
      </c>
    </row>
    <row r="2554" spans="1:42" x14ac:dyDescent="0.25">
      <c r="A2554" s="10"/>
      <c r="B2554" s="10"/>
      <c r="C2554" s="10"/>
      <c r="D2554" s="10"/>
      <c r="E2554" s="10"/>
      <c r="F2554" s="10"/>
      <c r="G2554" s="10"/>
      <c r="H2554" s="17"/>
      <c r="I2554" s="10"/>
      <c r="J2554" s="10"/>
      <c r="K2554" s="16" t="str">
        <f t="shared" si="862"/>
        <v/>
      </c>
      <c r="L2554" s="23" t="str">
        <f t="shared" si="863"/>
        <v/>
      </c>
      <c r="M2554" s="22" t="str">
        <f t="shared" si="864"/>
        <v/>
      </c>
      <c r="N2554" s="72"/>
      <c r="O2554" s="16" t="str">
        <f t="shared" si="865"/>
        <v/>
      </c>
      <c r="P2554" s="16" t="str">
        <f t="shared" si="866"/>
        <v/>
      </c>
      <c r="Q2554" s="16" t="str">
        <f t="shared" si="867"/>
        <v/>
      </c>
      <c r="R2554" s="23" t="str">
        <f t="shared" si="868"/>
        <v/>
      </c>
      <c r="S2554" s="23" t="str">
        <f t="shared" si="869"/>
        <v/>
      </c>
      <c r="T2554" s="23" t="str">
        <f t="shared" si="870"/>
        <v/>
      </c>
      <c r="U2554" s="23" t="str">
        <f t="shared" si="871"/>
        <v/>
      </c>
      <c r="V2554" s="23" t="str">
        <f t="shared" si="872"/>
        <v/>
      </c>
      <c r="W2554" s="70" t="str">
        <f t="shared" si="873"/>
        <v/>
      </c>
      <c r="X2554" s="70" t="str">
        <f t="shared" si="874"/>
        <v/>
      </c>
      <c r="Y2554" s="70" t="str">
        <f>IF(AND($A2554&lt;&gt;"",$E2554&gt;0),isLaptopBag($C2554,$J2554)*$D2554,"")</f>
        <v/>
      </c>
      <c r="Z2554" s="70" t="str">
        <f t="shared" si="875"/>
        <v/>
      </c>
      <c r="AA2554" s="70" t="str">
        <f t="shared" si="876"/>
        <v/>
      </c>
      <c r="AB2554" s="70" t="str">
        <f t="shared" si="877"/>
        <v/>
      </c>
      <c r="AC2554" s="70" t="str">
        <f t="shared" si="878"/>
        <v/>
      </c>
      <c r="AD2554" s="70" t="str">
        <f t="shared" si="879"/>
        <v/>
      </c>
      <c r="AE2554" s="70" t="str">
        <f t="shared" si="880"/>
        <v/>
      </c>
      <c r="AF2554" s="16"/>
      <c r="AG2554" s="23"/>
      <c r="AH2554" s="22"/>
      <c r="AJ2554" s="83">
        <f t="shared" si="881"/>
        <v>0</v>
      </c>
      <c r="AO2554" s="22" t="str">
        <f t="shared" si="882"/>
        <v/>
      </c>
      <c r="AP2554" s="22" t="str">
        <f t="shared" si="883"/>
        <v/>
      </c>
    </row>
    <row r="2555" spans="1:42" x14ac:dyDescent="0.25">
      <c r="A2555" s="10"/>
      <c r="B2555" s="10"/>
      <c r="C2555" s="10"/>
      <c r="D2555" s="10"/>
      <c r="E2555" s="10"/>
      <c r="F2555" s="10"/>
      <c r="G2555" s="10"/>
      <c r="H2555" s="17"/>
      <c r="I2555" s="10"/>
      <c r="J2555" s="10"/>
      <c r="K2555" s="16" t="str">
        <f t="shared" si="862"/>
        <v/>
      </c>
      <c r="L2555" s="23" t="str">
        <f t="shared" si="863"/>
        <v/>
      </c>
      <c r="M2555" s="22" t="str">
        <f t="shared" si="864"/>
        <v/>
      </c>
      <c r="N2555" s="72"/>
      <c r="O2555" s="16" t="str">
        <f t="shared" si="865"/>
        <v/>
      </c>
      <c r="P2555" s="16" t="str">
        <f t="shared" si="866"/>
        <v/>
      </c>
      <c r="Q2555" s="16" t="str">
        <f t="shared" si="867"/>
        <v/>
      </c>
      <c r="R2555" s="23" t="str">
        <f t="shared" si="868"/>
        <v/>
      </c>
      <c r="S2555" s="23" t="str">
        <f t="shared" si="869"/>
        <v/>
      </c>
      <c r="T2555" s="23" t="str">
        <f t="shared" si="870"/>
        <v/>
      </c>
      <c r="U2555" s="23" t="str">
        <f t="shared" si="871"/>
        <v/>
      </c>
      <c r="V2555" s="23" t="str">
        <f t="shared" si="872"/>
        <v/>
      </c>
      <c r="W2555" s="70" t="str">
        <f t="shared" si="873"/>
        <v/>
      </c>
      <c r="X2555" s="70" t="str">
        <f t="shared" si="874"/>
        <v/>
      </c>
      <c r="Y2555" s="70" t="str">
        <f>IF(AND($A2555&lt;&gt;"",$E2555&gt;0),isLaptopBag($C2555,$J2555)*$D2555,"")</f>
        <v/>
      </c>
      <c r="Z2555" s="70" t="str">
        <f t="shared" si="875"/>
        <v/>
      </c>
      <c r="AA2555" s="70" t="str">
        <f t="shared" si="876"/>
        <v/>
      </c>
      <c r="AB2555" s="70" t="str">
        <f t="shared" si="877"/>
        <v/>
      </c>
      <c r="AC2555" s="70" t="str">
        <f t="shared" si="878"/>
        <v/>
      </c>
      <c r="AD2555" s="70" t="str">
        <f t="shared" si="879"/>
        <v/>
      </c>
      <c r="AE2555" s="70" t="str">
        <f t="shared" si="880"/>
        <v/>
      </c>
      <c r="AF2555" s="16"/>
      <c r="AG2555" s="23"/>
      <c r="AH2555" s="22"/>
      <c r="AJ2555" s="83">
        <f t="shared" si="881"/>
        <v>0</v>
      </c>
      <c r="AO2555" s="22" t="str">
        <f t="shared" si="882"/>
        <v/>
      </c>
      <c r="AP2555" s="22" t="str">
        <f t="shared" si="883"/>
        <v/>
      </c>
    </row>
    <row r="2556" spans="1:42" x14ac:dyDescent="0.25">
      <c r="A2556" s="10"/>
      <c r="B2556" s="10"/>
      <c r="C2556" s="10"/>
      <c r="D2556" s="10"/>
      <c r="E2556" s="10"/>
      <c r="F2556" s="10"/>
      <c r="G2556" s="10"/>
      <c r="H2556" s="17"/>
      <c r="I2556" s="10"/>
      <c r="J2556" s="10"/>
      <c r="K2556" s="16" t="str">
        <f t="shared" si="862"/>
        <v/>
      </c>
      <c r="L2556" s="23" t="str">
        <f t="shared" si="863"/>
        <v/>
      </c>
      <c r="M2556" s="22" t="str">
        <f t="shared" si="864"/>
        <v/>
      </c>
      <c r="N2556" s="72"/>
      <c r="O2556" s="16" t="str">
        <f t="shared" si="865"/>
        <v/>
      </c>
      <c r="P2556" s="16" t="str">
        <f t="shared" si="866"/>
        <v/>
      </c>
      <c r="Q2556" s="16" t="str">
        <f t="shared" si="867"/>
        <v/>
      </c>
      <c r="R2556" s="23" t="str">
        <f t="shared" si="868"/>
        <v/>
      </c>
      <c r="S2556" s="23" t="str">
        <f t="shared" si="869"/>
        <v/>
      </c>
      <c r="T2556" s="23" t="str">
        <f t="shared" si="870"/>
        <v/>
      </c>
      <c r="U2556" s="23" t="str">
        <f t="shared" si="871"/>
        <v/>
      </c>
      <c r="V2556" s="23" t="str">
        <f t="shared" si="872"/>
        <v/>
      </c>
      <c r="W2556" s="70" t="str">
        <f t="shared" si="873"/>
        <v/>
      </c>
      <c r="X2556" s="70" t="str">
        <f t="shared" si="874"/>
        <v/>
      </c>
      <c r="Y2556" s="70" t="str">
        <f>IF(AND($A2556&lt;&gt;"",$E2556&gt;0),isLaptopBag($C2556,$J2556)*$D2556,"")</f>
        <v/>
      </c>
      <c r="Z2556" s="70" t="str">
        <f t="shared" si="875"/>
        <v/>
      </c>
      <c r="AA2556" s="70" t="str">
        <f t="shared" si="876"/>
        <v/>
      </c>
      <c r="AB2556" s="70" t="str">
        <f t="shared" si="877"/>
        <v/>
      </c>
      <c r="AC2556" s="70" t="str">
        <f t="shared" si="878"/>
        <v/>
      </c>
      <c r="AD2556" s="70" t="str">
        <f t="shared" si="879"/>
        <v/>
      </c>
      <c r="AE2556" s="70" t="str">
        <f t="shared" si="880"/>
        <v/>
      </c>
      <c r="AF2556" s="16"/>
      <c r="AG2556" s="23"/>
      <c r="AH2556" s="22"/>
      <c r="AJ2556" s="83">
        <f t="shared" si="881"/>
        <v>0</v>
      </c>
      <c r="AO2556" s="22" t="str">
        <f t="shared" si="882"/>
        <v/>
      </c>
      <c r="AP2556" s="22" t="str">
        <f t="shared" si="883"/>
        <v/>
      </c>
    </row>
    <row r="2557" spans="1:42" x14ac:dyDescent="0.25">
      <c r="A2557" s="10"/>
      <c r="B2557" s="10"/>
      <c r="C2557" s="10"/>
      <c r="D2557" s="10"/>
      <c r="E2557" s="10"/>
      <c r="F2557" s="10"/>
      <c r="G2557" s="10"/>
      <c r="H2557" s="17"/>
      <c r="I2557" s="10"/>
      <c r="J2557" s="10"/>
      <c r="K2557" s="16" t="str">
        <f t="shared" si="862"/>
        <v/>
      </c>
      <c r="L2557" s="23" t="str">
        <f t="shared" si="863"/>
        <v/>
      </c>
      <c r="M2557" s="22" t="str">
        <f t="shared" si="864"/>
        <v/>
      </c>
      <c r="N2557" s="72"/>
      <c r="O2557" s="16" t="str">
        <f t="shared" si="865"/>
        <v/>
      </c>
      <c r="P2557" s="16" t="str">
        <f t="shared" si="866"/>
        <v/>
      </c>
      <c r="Q2557" s="16" t="str">
        <f t="shared" si="867"/>
        <v/>
      </c>
      <c r="R2557" s="23" t="str">
        <f t="shared" si="868"/>
        <v/>
      </c>
      <c r="S2557" s="23" t="str">
        <f t="shared" si="869"/>
        <v/>
      </c>
      <c r="T2557" s="23" t="str">
        <f t="shared" si="870"/>
        <v/>
      </c>
      <c r="U2557" s="23" t="str">
        <f t="shared" si="871"/>
        <v/>
      </c>
      <c r="V2557" s="23" t="str">
        <f t="shared" si="872"/>
        <v/>
      </c>
      <c r="W2557" s="70" t="str">
        <f t="shared" si="873"/>
        <v/>
      </c>
      <c r="X2557" s="70" t="str">
        <f t="shared" si="874"/>
        <v/>
      </c>
      <c r="Y2557" s="70" t="str">
        <f>IF(AND($A2557&lt;&gt;"",$E2557&gt;0),isLaptopBag($C2557,$J2557)*$D2557,"")</f>
        <v/>
      </c>
      <c r="Z2557" s="70" t="str">
        <f t="shared" si="875"/>
        <v/>
      </c>
      <c r="AA2557" s="70" t="str">
        <f t="shared" si="876"/>
        <v/>
      </c>
      <c r="AB2557" s="70" t="str">
        <f t="shared" si="877"/>
        <v/>
      </c>
      <c r="AC2557" s="70" t="str">
        <f t="shared" si="878"/>
        <v/>
      </c>
      <c r="AD2557" s="70" t="str">
        <f t="shared" si="879"/>
        <v/>
      </c>
      <c r="AE2557" s="70" t="str">
        <f t="shared" si="880"/>
        <v/>
      </c>
      <c r="AF2557" s="16"/>
      <c r="AG2557" s="23"/>
      <c r="AH2557" s="22"/>
      <c r="AJ2557" s="83">
        <f t="shared" si="881"/>
        <v>0</v>
      </c>
      <c r="AO2557" s="22" t="str">
        <f t="shared" si="882"/>
        <v/>
      </c>
      <c r="AP2557" s="22" t="str">
        <f t="shared" si="883"/>
        <v/>
      </c>
    </row>
    <row r="2558" spans="1:42" x14ac:dyDescent="0.25">
      <c r="A2558" s="10"/>
      <c r="B2558" s="10"/>
      <c r="C2558" s="10"/>
      <c r="D2558" s="10"/>
      <c r="E2558" s="10"/>
      <c r="F2558" s="10"/>
      <c r="G2558" s="10"/>
      <c r="H2558" s="17"/>
      <c r="I2558" s="10"/>
      <c r="J2558" s="10"/>
      <c r="K2558" s="16" t="str">
        <f t="shared" si="862"/>
        <v/>
      </c>
      <c r="L2558" s="23" t="str">
        <f t="shared" si="863"/>
        <v/>
      </c>
      <c r="M2558" s="22" t="str">
        <f t="shared" si="864"/>
        <v/>
      </c>
      <c r="N2558" s="72"/>
      <c r="O2558" s="16" t="str">
        <f t="shared" si="865"/>
        <v/>
      </c>
      <c r="P2558" s="16" t="str">
        <f t="shared" si="866"/>
        <v/>
      </c>
      <c r="Q2558" s="16" t="str">
        <f t="shared" si="867"/>
        <v/>
      </c>
      <c r="R2558" s="23" t="str">
        <f t="shared" si="868"/>
        <v/>
      </c>
      <c r="S2558" s="23" t="str">
        <f t="shared" si="869"/>
        <v/>
      </c>
      <c r="T2558" s="23" t="str">
        <f t="shared" si="870"/>
        <v/>
      </c>
      <c r="U2558" s="23" t="str">
        <f t="shared" si="871"/>
        <v/>
      </c>
      <c r="V2558" s="23" t="str">
        <f t="shared" si="872"/>
        <v/>
      </c>
      <c r="W2558" s="70" t="str">
        <f t="shared" si="873"/>
        <v/>
      </c>
      <c r="X2558" s="70" t="str">
        <f t="shared" si="874"/>
        <v/>
      </c>
      <c r="Y2558" s="70" t="str">
        <f>IF(AND($A2558&lt;&gt;"",$E2558&gt;0),isLaptopBag($C2558,$J2558)*$D2558,"")</f>
        <v/>
      </c>
      <c r="Z2558" s="70" t="str">
        <f t="shared" si="875"/>
        <v/>
      </c>
      <c r="AA2558" s="70" t="str">
        <f t="shared" si="876"/>
        <v/>
      </c>
      <c r="AB2558" s="70" t="str">
        <f t="shared" si="877"/>
        <v/>
      </c>
      <c r="AC2558" s="70" t="str">
        <f t="shared" si="878"/>
        <v/>
      </c>
      <c r="AD2558" s="70" t="str">
        <f t="shared" si="879"/>
        <v/>
      </c>
      <c r="AE2558" s="70" t="str">
        <f t="shared" si="880"/>
        <v/>
      </c>
      <c r="AF2558" s="16"/>
      <c r="AG2558" s="23"/>
      <c r="AH2558" s="22"/>
      <c r="AJ2558" s="83">
        <f t="shared" si="881"/>
        <v>0</v>
      </c>
      <c r="AO2558" s="22" t="str">
        <f t="shared" si="882"/>
        <v/>
      </c>
      <c r="AP2558" s="22" t="str">
        <f t="shared" si="883"/>
        <v/>
      </c>
    </row>
    <row r="2559" spans="1:42" x14ac:dyDescent="0.25">
      <c r="A2559" s="10"/>
      <c r="B2559" s="10"/>
      <c r="C2559" s="10"/>
      <c r="D2559" s="10"/>
      <c r="E2559" s="10"/>
      <c r="F2559" s="10"/>
      <c r="G2559" s="10"/>
      <c r="H2559" s="17"/>
      <c r="I2559" s="10"/>
      <c r="J2559" s="10"/>
      <c r="K2559" s="16" t="str">
        <f t="shared" si="862"/>
        <v/>
      </c>
      <c r="L2559" s="23" t="str">
        <f t="shared" si="863"/>
        <v/>
      </c>
      <c r="M2559" s="22" t="str">
        <f t="shared" si="864"/>
        <v/>
      </c>
      <c r="N2559" s="72"/>
      <c r="O2559" s="16" t="str">
        <f t="shared" si="865"/>
        <v/>
      </c>
      <c r="P2559" s="16" t="str">
        <f t="shared" si="866"/>
        <v/>
      </c>
      <c r="Q2559" s="16" t="str">
        <f t="shared" si="867"/>
        <v/>
      </c>
      <c r="R2559" s="23" t="str">
        <f t="shared" si="868"/>
        <v/>
      </c>
      <c r="S2559" s="23" t="str">
        <f t="shared" si="869"/>
        <v/>
      </c>
      <c r="T2559" s="23" t="str">
        <f t="shared" si="870"/>
        <v/>
      </c>
      <c r="U2559" s="23" t="str">
        <f t="shared" si="871"/>
        <v/>
      </c>
      <c r="V2559" s="23" t="str">
        <f t="shared" si="872"/>
        <v/>
      </c>
      <c r="W2559" s="70" t="str">
        <f t="shared" si="873"/>
        <v/>
      </c>
      <c r="X2559" s="70" t="str">
        <f t="shared" si="874"/>
        <v/>
      </c>
      <c r="Y2559" s="70" t="str">
        <f>IF(AND($A2559&lt;&gt;"",$E2559&gt;0),isLaptopBag($C2559,$J2559)*$D2559,"")</f>
        <v/>
      </c>
      <c r="Z2559" s="70" t="str">
        <f t="shared" si="875"/>
        <v/>
      </c>
      <c r="AA2559" s="70" t="str">
        <f t="shared" si="876"/>
        <v/>
      </c>
      <c r="AB2559" s="70" t="str">
        <f t="shared" si="877"/>
        <v/>
      </c>
      <c r="AC2559" s="70" t="str">
        <f t="shared" si="878"/>
        <v/>
      </c>
      <c r="AD2559" s="70" t="str">
        <f t="shared" si="879"/>
        <v/>
      </c>
      <c r="AE2559" s="70" t="str">
        <f t="shared" si="880"/>
        <v/>
      </c>
      <c r="AF2559" s="16"/>
      <c r="AG2559" s="23"/>
      <c r="AH2559" s="22"/>
      <c r="AJ2559" s="83">
        <f t="shared" si="881"/>
        <v>0</v>
      </c>
      <c r="AO2559" s="22" t="str">
        <f t="shared" si="882"/>
        <v/>
      </c>
      <c r="AP2559" s="22" t="str">
        <f t="shared" si="883"/>
        <v/>
      </c>
    </row>
    <row r="2560" spans="1:42" x14ac:dyDescent="0.25">
      <c r="A2560" s="10"/>
      <c r="B2560" s="10"/>
      <c r="C2560" s="10"/>
      <c r="D2560" s="10"/>
      <c r="E2560" s="10"/>
      <c r="F2560" s="10"/>
      <c r="G2560" s="10"/>
      <c r="H2560" s="17"/>
      <c r="I2560" s="10"/>
      <c r="J2560" s="10"/>
      <c r="K2560" s="16" t="str">
        <f t="shared" si="862"/>
        <v/>
      </c>
      <c r="L2560" s="23" t="str">
        <f t="shared" si="863"/>
        <v/>
      </c>
      <c r="M2560" s="22" t="str">
        <f t="shared" si="864"/>
        <v/>
      </c>
      <c r="N2560" s="72"/>
      <c r="O2560" s="16" t="str">
        <f t="shared" si="865"/>
        <v/>
      </c>
      <c r="P2560" s="16" t="str">
        <f t="shared" si="866"/>
        <v/>
      </c>
      <c r="Q2560" s="16" t="str">
        <f t="shared" si="867"/>
        <v/>
      </c>
      <c r="R2560" s="23" t="str">
        <f t="shared" si="868"/>
        <v/>
      </c>
      <c r="S2560" s="23" t="str">
        <f t="shared" si="869"/>
        <v/>
      </c>
      <c r="T2560" s="23" t="str">
        <f t="shared" si="870"/>
        <v/>
      </c>
      <c r="U2560" s="23" t="str">
        <f t="shared" si="871"/>
        <v/>
      </c>
      <c r="V2560" s="23" t="str">
        <f t="shared" si="872"/>
        <v/>
      </c>
      <c r="W2560" s="70" t="str">
        <f t="shared" si="873"/>
        <v/>
      </c>
      <c r="X2560" s="70" t="str">
        <f t="shared" si="874"/>
        <v/>
      </c>
      <c r="Y2560" s="70" t="str">
        <f>IF(AND($A2560&lt;&gt;"",$E2560&gt;0),isLaptopBag($C2560,$J2560)*$D2560,"")</f>
        <v/>
      </c>
      <c r="Z2560" s="70" t="str">
        <f t="shared" si="875"/>
        <v/>
      </c>
      <c r="AA2560" s="70" t="str">
        <f t="shared" si="876"/>
        <v/>
      </c>
      <c r="AB2560" s="70" t="str">
        <f t="shared" si="877"/>
        <v/>
      </c>
      <c r="AC2560" s="70" t="str">
        <f t="shared" si="878"/>
        <v/>
      </c>
      <c r="AD2560" s="70" t="str">
        <f t="shared" si="879"/>
        <v/>
      </c>
      <c r="AE2560" s="70" t="str">
        <f t="shared" si="880"/>
        <v/>
      </c>
      <c r="AF2560" s="16"/>
      <c r="AG2560" s="23"/>
      <c r="AH2560" s="22"/>
      <c r="AJ2560" s="83">
        <f t="shared" si="881"/>
        <v>0</v>
      </c>
      <c r="AO2560" s="22" t="str">
        <f t="shared" si="882"/>
        <v/>
      </c>
      <c r="AP2560" s="22" t="str">
        <f t="shared" si="883"/>
        <v/>
      </c>
    </row>
    <row r="2561" spans="1:42" x14ac:dyDescent="0.25">
      <c r="A2561" s="10"/>
      <c r="B2561" s="10"/>
      <c r="C2561" s="10"/>
      <c r="D2561" s="10"/>
      <c r="E2561" s="10"/>
      <c r="F2561" s="10"/>
      <c r="G2561" s="10"/>
      <c r="H2561" s="17"/>
      <c r="I2561" s="10"/>
      <c r="J2561" s="10"/>
      <c r="K2561" s="16" t="str">
        <f t="shared" si="862"/>
        <v/>
      </c>
      <c r="L2561" s="23" t="str">
        <f t="shared" si="863"/>
        <v/>
      </c>
      <c r="M2561" s="22" t="str">
        <f t="shared" si="864"/>
        <v/>
      </c>
      <c r="N2561" s="72"/>
      <c r="O2561" s="16" t="str">
        <f t="shared" si="865"/>
        <v/>
      </c>
      <c r="P2561" s="16" t="str">
        <f t="shared" si="866"/>
        <v/>
      </c>
      <c r="Q2561" s="16" t="str">
        <f t="shared" si="867"/>
        <v/>
      </c>
      <c r="R2561" s="23" t="str">
        <f t="shared" si="868"/>
        <v/>
      </c>
      <c r="S2561" s="23" t="str">
        <f t="shared" si="869"/>
        <v/>
      </c>
      <c r="T2561" s="23" t="str">
        <f t="shared" si="870"/>
        <v/>
      </c>
      <c r="U2561" s="23" t="str">
        <f t="shared" si="871"/>
        <v/>
      </c>
      <c r="V2561" s="23" t="str">
        <f t="shared" si="872"/>
        <v/>
      </c>
      <c r="W2561" s="70" t="str">
        <f t="shared" si="873"/>
        <v/>
      </c>
      <c r="X2561" s="70" t="str">
        <f t="shared" si="874"/>
        <v/>
      </c>
      <c r="Y2561" s="70" t="str">
        <f>IF(AND($A2561&lt;&gt;"",$E2561&gt;0),isLaptopBag($C2561,$J2561)*$D2561,"")</f>
        <v/>
      </c>
      <c r="Z2561" s="70" t="str">
        <f t="shared" si="875"/>
        <v/>
      </c>
      <c r="AA2561" s="70" t="str">
        <f t="shared" si="876"/>
        <v/>
      </c>
      <c r="AB2561" s="70" t="str">
        <f t="shared" si="877"/>
        <v/>
      </c>
      <c r="AC2561" s="70" t="str">
        <f t="shared" si="878"/>
        <v/>
      </c>
      <c r="AD2561" s="70" t="str">
        <f t="shared" si="879"/>
        <v/>
      </c>
      <c r="AE2561" s="70" t="str">
        <f t="shared" si="880"/>
        <v/>
      </c>
      <c r="AF2561" s="16"/>
      <c r="AG2561" s="23"/>
      <c r="AH2561" s="22"/>
      <c r="AJ2561" s="83">
        <f t="shared" si="881"/>
        <v>0</v>
      </c>
      <c r="AO2561" s="22" t="str">
        <f t="shared" si="882"/>
        <v/>
      </c>
      <c r="AP2561" s="22" t="str">
        <f t="shared" si="883"/>
        <v/>
      </c>
    </row>
    <row r="2562" spans="1:42" x14ac:dyDescent="0.25">
      <c r="A2562" s="10"/>
      <c r="B2562" s="10"/>
      <c r="C2562" s="10"/>
      <c r="D2562" s="10"/>
      <c r="E2562" s="10"/>
      <c r="F2562" s="10"/>
      <c r="G2562" s="10"/>
      <c r="H2562" s="17"/>
      <c r="I2562" s="10"/>
      <c r="J2562" s="10"/>
      <c r="K2562" s="16" t="str">
        <f t="shared" si="862"/>
        <v/>
      </c>
      <c r="L2562" s="23" t="str">
        <f t="shared" si="863"/>
        <v/>
      </c>
      <c r="M2562" s="22" t="str">
        <f t="shared" si="864"/>
        <v/>
      </c>
      <c r="N2562" s="72"/>
      <c r="O2562" s="16" t="str">
        <f t="shared" si="865"/>
        <v/>
      </c>
      <c r="P2562" s="16" t="str">
        <f t="shared" si="866"/>
        <v/>
      </c>
      <c r="Q2562" s="16" t="str">
        <f t="shared" si="867"/>
        <v/>
      </c>
      <c r="R2562" s="23" t="str">
        <f t="shared" si="868"/>
        <v/>
      </c>
      <c r="S2562" s="23" t="str">
        <f t="shared" si="869"/>
        <v/>
      </c>
      <c r="T2562" s="23" t="str">
        <f t="shared" si="870"/>
        <v/>
      </c>
      <c r="U2562" s="23" t="str">
        <f t="shared" si="871"/>
        <v/>
      </c>
      <c r="V2562" s="23" t="str">
        <f t="shared" si="872"/>
        <v/>
      </c>
      <c r="W2562" s="70" t="str">
        <f t="shared" si="873"/>
        <v/>
      </c>
      <c r="X2562" s="70" t="str">
        <f t="shared" si="874"/>
        <v/>
      </c>
      <c r="Y2562" s="70" t="str">
        <f>IF(AND($A2562&lt;&gt;"",$E2562&gt;0),isLaptopBag($C2562,$J2562)*$D2562,"")</f>
        <v/>
      </c>
      <c r="Z2562" s="70" t="str">
        <f t="shared" si="875"/>
        <v/>
      </c>
      <c r="AA2562" s="70" t="str">
        <f t="shared" si="876"/>
        <v/>
      </c>
      <c r="AB2562" s="70" t="str">
        <f t="shared" si="877"/>
        <v/>
      </c>
      <c r="AC2562" s="70" t="str">
        <f t="shared" si="878"/>
        <v/>
      </c>
      <c r="AD2562" s="70" t="str">
        <f t="shared" si="879"/>
        <v/>
      </c>
      <c r="AE2562" s="70" t="str">
        <f t="shared" si="880"/>
        <v/>
      </c>
      <c r="AF2562" s="16"/>
      <c r="AG2562" s="23"/>
      <c r="AH2562" s="22"/>
      <c r="AJ2562" s="83">
        <f t="shared" si="881"/>
        <v>0</v>
      </c>
      <c r="AO2562" s="22" t="str">
        <f t="shared" si="882"/>
        <v/>
      </c>
      <c r="AP2562" s="22" t="str">
        <f t="shared" si="883"/>
        <v/>
      </c>
    </row>
    <row r="2563" spans="1:42" x14ac:dyDescent="0.25">
      <c r="A2563" s="10"/>
      <c r="B2563" s="10"/>
      <c r="C2563" s="10"/>
      <c r="D2563" s="10"/>
      <c r="E2563" s="10"/>
      <c r="F2563" s="10"/>
      <c r="G2563" s="10"/>
      <c r="H2563" s="17"/>
      <c r="I2563" s="10"/>
      <c r="J2563" s="10"/>
      <c r="K2563" s="16" t="str">
        <f t="shared" si="862"/>
        <v/>
      </c>
      <c r="L2563" s="23" t="str">
        <f t="shared" si="863"/>
        <v/>
      </c>
      <c r="M2563" s="22" t="str">
        <f t="shared" si="864"/>
        <v/>
      </c>
      <c r="N2563" s="72"/>
      <c r="O2563" s="16" t="str">
        <f t="shared" si="865"/>
        <v/>
      </c>
      <c r="P2563" s="16" t="str">
        <f t="shared" si="866"/>
        <v/>
      </c>
      <c r="Q2563" s="16" t="str">
        <f t="shared" si="867"/>
        <v/>
      </c>
      <c r="R2563" s="23" t="str">
        <f t="shared" si="868"/>
        <v/>
      </c>
      <c r="S2563" s="23" t="str">
        <f t="shared" si="869"/>
        <v/>
      </c>
      <c r="T2563" s="23" t="str">
        <f t="shared" si="870"/>
        <v/>
      </c>
      <c r="U2563" s="23" t="str">
        <f t="shared" si="871"/>
        <v/>
      </c>
      <c r="V2563" s="23" t="str">
        <f t="shared" si="872"/>
        <v/>
      </c>
      <c r="W2563" s="70" t="str">
        <f t="shared" si="873"/>
        <v/>
      </c>
      <c r="X2563" s="70" t="str">
        <f t="shared" si="874"/>
        <v/>
      </c>
      <c r="Y2563" s="70" t="str">
        <f>IF(AND($A2563&lt;&gt;"",$E2563&gt;0),isLaptopBag($C2563,$J2563)*$D2563,"")</f>
        <v/>
      </c>
      <c r="Z2563" s="70" t="str">
        <f t="shared" si="875"/>
        <v/>
      </c>
      <c r="AA2563" s="70" t="str">
        <f t="shared" si="876"/>
        <v/>
      </c>
      <c r="AB2563" s="70" t="str">
        <f t="shared" si="877"/>
        <v/>
      </c>
      <c r="AC2563" s="70" t="str">
        <f t="shared" si="878"/>
        <v/>
      </c>
      <c r="AD2563" s="70" t="str">
        <f t="shared" si="879"/>
        <v/>
      </c>
      <c r="AE2563" s="70" t="str">
        <f t="shared" si="880"/>
        <v/>
      </c>
      <c r="AF2563" s="16"/>
      <c r="AG2563" s="23"/>
      <c r="AH2563" s="22"/>
      <c r="AJ2563" s="83">
        <f t="shared" si="881"/>
        <v>0</v>
      </c>
      <c r="AO2563" s="22" t="str">
        <f t="shared" si="882"/>
        <v/>
      </c>
      <c r="AP2563" s="22" t="str">
        <f t="shared" si="883"/>
        <v/>
      </c>
    </row>
    <row r="2564" spans="1:42" x14ac:dyDescent="0.25">
      <c r="A2564" s="10"/>
      <c r="B2564" s="10"/>
      <c r="C2564" s="10"/>
      <c r="D2564" s="10"/>
      <c r="E2564" s="10"/>
      <c r="F2564" s="10"/>
      <c r="G2564" s="10"/>
      <c r="H2564" s="17"/>
      <c r="I2564" s="10"/>
      <c r="J2564" s="10"/>
      <c r="K2564" s="16" t="str">
        <f t="shared" si="862"/>
        <v/>
      </c>
      <c r="L2564" s="23" t="str">
        <f t="shared" si="863"/>
        <v/>
      </c>
      <c r="M2564" s="22" t="str">
        <f t="shared" si="864"/>
        <v/>
      </c>
      <c r="N2564" s="72"/>
      <c r="O2564" s="16" t="str">
        <f t="shared" si="865"/>
        <v/>
      </c>
      <c r="P2564" s="16" t="str">
        <f t="shared" si="866"/>
        <v/>
      </c>
      <c r="Q2564" s="16" t="str">
        <f t="shared" si="867"/>
        <v/>
      </c>
      <c r="R2564" s="23" t="str">
        <f t="shared" si="868"/>
        <v/>
      </c>
      <c r="S2564" s="23" t="str">
        <f t="shared" si="869"/>
        <v/>
      </c>
      <c r="T2564" s="23" t="str">
        <f t="shared" si="870"/>
        <v/>
      </c>
      <c r="U2564" s="23" t="str">
        <f t="shared" si="871"/>
        <v/>
      </c>
      <c r="V2564" s="23" t="str">
        <f t="shared" si="872"/>
        <v/>
      </c>
      <c r="W2564" s="70" t="str">
        <f t="shared" si="873"/>
        <v/>
      </c>
      <c r="X2564" s="70" t="str">
        <f t="shared" si="874"/>
        <v/>
      </c>
      <c r="Y2564" s="70" t="str">
        <f>IF(AND($A2564&lt;&gt;"",$E2564&gt;0),isLaptopBag($C2564,$J2564)*$D2564,"")</f>
        <v/>
      </c>
      <c r="Z2564" s="70" t="str">
        <f t="shared" si="875"/>
        <v/>
      </c>
      <c r="AA2564" s="70" t="str">
        <f t="shared" si="876"/>
        <v/>
      </c>
      <c r="AB2564" s="70" t="str">
        <f t="shared" si="877"/>
        <v/>
      </c>
      <c r="AC2564" s="70" t="str">
        <f t="shared" si="878"/>
        <v/>
      </c>
      <c r="AD2564" s="70" t="str">
        <f t="shared" si="879"/>
        <v/>
      </c>
      <c r="AE2564" s="70" t="str">
        <f t="shared" si="880"/>
        <v/>
      </c>
      <c r="AF2564" s="16"/>
      <c r="AG2564" s="23"/>
      <c r="AH2564" s="22"/>
      <c r="AJ2564" s="83">
        <f t="shared" si="881"/>
        <v>0</v>
      </c>
      <c r="AO2564" s="22" t="str">
        <f t="shared" si="882"/>
        <v/>
      </c>
      <c r="AP2564" s="22" t="str">
        <f t="shared" si="883"/>
        <v/>
      </c>
    </row>
    <row r="2565" spans="1:42" x14ac:dyDescent="0.25">
      <c r="A2565" s="10"/>
      <c r="B2565" s="10"/>
      <c r="C2565" s="10"/>
      <c r="D2565" s="10"/>
      <c r="E2565" s="10"/>
      <c r="F2565" s="10"/>
      <c r="G2565" s="10"/>
      <c r="H2565" s="17"/>
      <c r="I2565" s="10"/>
      <c r="J2565" s="10"/>
      <c r="K2565" s="16" t="str">
        <f t="shared" si="862"/>
        <v/>
      </c>
      <c r="L2565" s="23" t="str">
        <f t="shared" si="863"/>
        <v/>
      </c>
      <c r="M2565" s="22" t="str">
        <f t="shared" si="864"/>
        <v/>
      </c>
      <c r="N2565" s="72"/>
      <c r="O2565" s="16" t="str">
        <f t="shared" si="865"/>
        <v/>
      </c>
      <c r="P2565" s="16" t="str">
        <f t="shared" si="866"/>
        <v/>
      </c>
      <c r="Q2565" s="16" t="str">
        <f t="shared" si="867"/>
        <v/>
      </c>
      <c r="R2565" s="23" t="str">
        <f t="shared" si="868"/>
        <v/>
      </c>
      <c r="S2565" s="23" t="str">
        <f t="shared" si="869"/>
        <v/>
      </c>
      <c r="T2565" s="23" t="str">
        <f t="shared" si="870"/>
        <v/>
      </c>
      <c r="U2565" s="23" t="str">
        <f t="shared" si="871"/>
        <v/>
      </c>
      <c r="V2565" s="23" t="str">
        <f t="shared" si="872"/>
        <v/>
      </c>
      <c r="W2565" s="70" t="str">
        <f t="shared" si="873"/>
        <v/>
      </c>
      <c r="X2565" s="70" t="str">
        <f t="shared" si="874"/>
        <v/>
      </c>
      <c r="Y2565" s="70" t="str">
        <f>IF(AND($A2565&lt;&gt;"",$E2565&gt;0),isLaptopBag($C2565,$J2565)*$D2565,"")</f>
        <v/>
      </c>
      <c r="Z2565" s="70" t="str">
        <f t="shared" si="875"/>
        <v/>
      </c>
      <c r="AA2565" s="70" t="str">
        <f t="shared" si="876"/>
        <v/>
      </c>
      <c r="AB2565" s="70" t="str">
        <f t="shared" si="877"/>
        <v/>
      </c>
      <c r="AC2565" s="70" t="str">
        <f t="shared" si="878"/>
        <v/>
      </c>
      <c r="AD2565" s="70" t="str">
        <f t="shared" si="879"/>
        <v/>
      </c>
      <c r="AE2565" s="70" t="str">
        <f t="shared" si="880"/>
        <v/>
      </c>
      <c r="AF2565" s="16"/>
      <c r="AG2565" s="23"/>
      <c r="AH2565" s="22"/>
      <c r="AJ2565" s="83">
        <f t="shared" si="881"/>
        <v>0</v>
      </c>
      <c r="AO2565" s="22" t="str">
        <f t="shared" si="882"/>
        <v/>
      </c>
      <c r="AP2565" s="22" t="str">
        <f t="shared" si="883"/>
        <v/>
      </c>
    </row>
    <row r="2566" spans="1:42" x14ac:dyDescent="0.25">
      <c r="A2566" s="10"/>
      <c r="B2566" s="10"/>
      <c r="C2566" s="10"/>
      <c r="D2566" s="10"/>
      <c r="E2566" s="10"/>
      <c r="F2566" s="10"/>
      <c r="G2566" s="10"/>
      <c r="H2566" s="17"/>
      <c r="I2566" s="10"/>
      <c r="J2566" s="10"/>
      <c r="K2566" s="16" t="str">
        <f t="shared" si="862"/>
        <v/>
      </c>
      <c r="L2566" s="23" t="str">
        <f t="shared" si="863"/>
        <v/>
      </c>
      <c r="M2566" s="22" t="str">
        <f t="shared" si="864"/>
        <v/>
      </c>
      <c r="N2566" s="72"/>
      <c r="O2566" s="16" t="str">
        <f t="shared" si="865"/>
        <v/>
      </c>
      <c r="P2566" s="16" t="str">
        <f t="shared" si="866"/>
        <v/>
      </c>
      <c r="Q2566" s="16" t="str">
        <f t="shared" si="867"/>
        <v/>
      </c>
      <c r="R2566" s="23" t="str">
        <f t="shared" si="868"/>
        <v/>
      </c>
      <c r="S2566" s="23" t="str">
        <f t="shared" si="869"/>
        <v/>
      </c>
      <c r="T2566" s="23" t="str">
        <f t="shared" si="870"/>
        <v/>
      </c>
      <c r="U2566" s="23" t="str">
        <f t="shared" si="871"/>
        <v/>
      </c>
      <c r="V2566" s="23" t="str">
        <f t="shared" si="872"/>
        <v/>
      </c>
      <c r="W2566" s="70" t="str">
        <f t="shared" si="873"/>
        <v/>
      </c>
      <c r="X2566" s="70" t="str">
        <f t="shared" si="874"/>
        <v/>
      </c>
      <c r="Y2566" s="70" t="str">
        <f>IF(AND($A2566&lt;&gt;"",$E2566&gt;0),isLaptopBag($C2566,$J2566)*$D2566,"")</f>
        <v/>
      </c>
      <c r="Z2566" s="70" t="str">
        <f t="shared" si="875"/>
        <v/>
      </c>
      <c r="AA2566" s="70" t="str">
        <f t="shared" si="876"/>
        <v/>
      </c>
      <c r="AB2566" s="70" t="str">
        <f t="shared" si="877"/>
        <v/>
      </c>
      <c r="AC2566" s="70" t="str">
        <f t="shared" si="878"/>
        <v/>
      </c>
      <c r="AD2566" s="70" t="str">
        <f t="shared" si="879"/>
        <v/>
      </c>
      <c r="AE2566" s="70" t="str">
        <f t="shared" si="880"/>
        <v/>
      </c>
      <c r="AF2566" s="16"/>
      <c r="AG2566" s="23"/>
      <c r="AH2566" s="22"/>
      <c r="AJ2566" s="83">
        <f t="shared" si="881"/>
        <v>0</v>
      </c>
      <c r="AO2566" s="22" t="str">
        <f t="shared" si="882"/>
        <v/>
      </c>
      <c r="AP2566" s="22" t="str">
        <f t="shared" si="883"/>
        <v/>
      </c>
    </row>
    <row r="2567" spans="1:42" x14ac:dyDescent="0.25">
      <c r="A2567" s="10"/>
      <c r="B2567" s="10"/>
      <c r="C2567" s="10"/>
      <c r="D2567" s="10"/>
      <c r="E2567" s="10"/>
      <c r="F2567" s="10"/>
      <c r="G2567" s="10"/>
      <c r="H2567" s="17"/>
      <c r="I2567" s="10"/>
      <c r="J2567" s="10"/>
      <c r="K2567" s="16" t="str">
        <f t="shared" si="862"/>
        <v/>
      </c>
      <c r="L2567" s="23" t="str">
        <f t="shared" si="863"/>
        <v/>
      </c>
      <c r="M2567" s="22" t="str">
        <f t="shared" si="864"/>
        <v/>
      </c>
      <c r="N2567" s="72"/>
      <c r="O2567" s="16" t="str">
        <f t="shared" si="865"/>
        <v/>
      </c>
      <c r="P2567" s="16" t="str">
        <f t="shared" si="866"/>
        <v/>
      </c>
      <c r="Q2567" s="16" t="str">
        <f t="shared" si="867"/>
        <v/>
      </c>
      <c r="R2567" s="23" t="str">
        <f t="shared" si="868"/>
        <v/>
      </c>
      <c r="S2567" s="23" t="str">
        <f t="shared" si="869"/>
        <v/>
      </c>
      <c r="T2567" s="23" t="str">
        <f t="shared" si="870"/>
        <v/>
      </c>
      <c r="U2567" s="23" t="str">
        <f t="shared" si="871"/>
        <v/>
      </c>
      <c r="V2567" s="23" t="str">
        <f t="shared" si="872"/>
        <v/>
      </c>
      <c r="W2567" s="70" t="str">
        <f t="shared" si="873"/>
        <v/>
      </c>
      <c r="X2567" s="70" t="str">
        <f t="shared" si="874"/>
        <v/>
      </c>
      <c r="Y2567" s="70" t="str">
        <f>IF(AND($A2567&lt;&gt;"",$E2567&gt;0),isLaptopBag($C2567,$J2567)*$D2567,"")</f>
        <v/>
      </c>
      <c r="Z2567" s="70" t="str">
        <f t="shared" si="875"/>
        <v/>
      </c>
      <c r="AA2567" s="70" t="str">
        <f t="shared" si="876"/>
        <v/>
      </c>
      <c r="AB2567" s="70" t="str">
        <f t="shared" si="877"/>
        <v/>
      </c>
      <c r="AC2567" s="70" t="str">
        <f t="shared" si="878"/>
        <v/>
      </c>
      <c r="AD2567" s="70" t="str">
        <f t="shared" si="879"/>
        <v/>
      </c>
      <c r="AE2567" s="70" t="str">
        <f t="shared" si="880"/>
        <v/>
      </c>
      <c r="AF2567" s="16"/>
      <c r="AG2567" s="23"/>
      <c r="AH2567" s="22"/>
      <c r="AJ2567" s="83">
        <f t="shared" si="881"/>
        <v>0</v>
      </c>
      <c r="AO2567" s="22" t="str">
        <f t="shared" si="882"/>
        <v/>
      </c>
      <c r="AP2567" s="22" t="str">
        <f t="shared" si="883"/>
        <v/>
      </c>
    </row>
    <row r="2568" spans="1:42" x14ac:dyDescent="0.25">
      <c r="A2568" s="10"/>
      <c r="B2568" s="10"/>
      <c r="C2568" s="10"/>
      <c r="D2568" s="10"/>
      <c r="E2568" s="10"/>
      <c r="F2568" s="10"/>
      <c r="G2568" s="10"/>
      <c r="H2568" s="17"/>
      <c r="I2568" s="10"/>
      <c r="J2568" s="10"/>
      <c r="K2568" s="16" t="str">
        <f t="shared" si="862"/>
        <v/>
      </c>
      <c r="L2568" s="23" t="str">
        <f t="shared" si="863"/>
        <v/>
      </c>
      <c r="M2568" s="22" t="str">
        <f t="shared" si="864"/>
        <v/>
      </c>
      <c r="N2568" s="72"/>
      <c r="O2568" s="16" t="str">
        <f t="shared" si="865"/>
        <v/>
      </c>
      <c r="P2568" s="16" t="str">
        <f t="shared" si="866"/>
        <v/>
      </c>
      <c r="Q2568" s="16" t="str">
        <f t="shared" si="867"/>
        <v/>
      </c>
      <c r="R2568" s="23" t="str">
        <f t="shared" si="868"/>
        <v/>
      </c>
      <c r="S2568" s="23" t="str">
        <f t="shared" si="869"/>
        <v/>
      </c>
      <c r="T2568" s="23" t="str">
        <f t="shared" si="870"/>
        <v/>
      </c>
      <c r="U2568" s="23" t="str">
        <f t="shared" si="871"/>
        <v/>
      </c>
      <c r="V2568" s="23" t="str">
        <f t="shared" si="872"/>
        <v/>
      </c>
      <c r="W2568" s="70" t="str">
        <f t="shared" si="873"/>
        <v/>
      </c>
      <c r="X2568" s="70" t="str">
        <f t="shared" si="874"/>
        <v/>
      </c>
      <c r="Y2568" s="70" t="str">
        <f>IF(AND($A2568&lt;&gt;"",$E2568&gt;0),isLaptopBag($C2568,$J2568)*$D2568,"")</f>
        <v/>
      </c>
      <c r="Z2568" s="70" t="str">
        <f t="shared" si="875"/>
        <v/>
      </c>
      <c r="AA2568" s="70" t="str">
        <f t="shared" si="876"/>
        <v/>
      </c>
      <c r="AB2568" s="70" t="str">
        <f t="shared" si="877"/>
        <v/>
      </c>
      <c r="AC2568" s="70" t="str">
        <f t="shared" si="878"/>
        <v/>
      </c>
      <c r="AD2568" s="70" t="str">
        <f t="shared" si="879"/>
        <v/>
      </c>
      <c r="AE2568" s="70" t="str">
        <f t="shared" si="880"/>
        <v/>
      </c>
      <c r="AF2568" s="16"/>
      <c r="AG2568" s="23"/>
      <c r="AH2568" s="22"/>
      <c r="AJ2568" s="83">
        <f t="shared" si="881"/>
        <v>0</v>
      </c>
      <c r="AO2568" s="22" t="str">
        <f t="shared" si="882"/>
        <v/>
      </c>
      <c r="AP2568" s="22" t="str">
        <f t="shared" si="883"/>
        <v/>
      </c>
    </row>
    <row r="2569" spans="1:42" x14ac:dyDescent="0.25">
      <c r="A2569" s="10"/>
      <c r="B2569" s="10"/>
      <c r="C2569" s="10"/>
      <c r="D2569" s="10"/>
      <c r="E2569" s="10"/>
      <c r="F2569" s="10"/>
      <c r="G2569" s="10"/>
      <c r="H2569" s="17"/>
      <c r="I2569" s="10"/>
      <c r="J2569" s="10"/>
      <c r="K2569" s="16" t="str">
        <f t="shared" si="862"/>
        <v/>
      </c>
      <c r="L2569" s="23" t="str">
        <f t="shared" si="863"/>
        <v/>
      </c>
      <c r="M2569" s="22" t="str">
        <f t="shared" si="864"/>
        <v/>
      </c>
      <c r="N2569" s="72"/>
      <c r="O2569" s="16" t="str">
        <f t="shared" si="865"/>
        <v/>
      </c>
      <c r="P2569" s="16" t="str">
        <f t="shared" si="866"/>
        <v/>
      </c>
      <c r="Q2569" s="16" t="str">
        <f t="shared" si="867"/>
        <v/>
      </c>
      <c r="R2569" s="23" t="str">
        <f t="shared" si="868"/>
        <v/>
      </c>
      <c r="S2569" s="23" t="str">
        <f t="shared" si="869"/>
        <v/>
      </c>
      <c r="T2569" s="23" t="str">
        <f t="shared" si="870"/>
        <v/>
      </c>
      <c r="U2569" s="23" t="str">
        <f t="shared" si="871"/>
        <v/>
      </c>
      <c r="V2569" s="23" t="str">
        <f t="shared" si="872"/>
        <v/>
      </c>
      <c r="W2569" s="70" t="str">
        <f t="shared" si="873"/>
        <v/>
      </c>
      <c r="X2569" s="70" t="str">
        <f t="shared" si="874"/>
        <v/>
      </c>
      <c r="Y2569" s="70" t="str">
        <f>IF(AND($A2569&lt;&gt;"",$E2569&gt;0),isLaptopBag($C2569,$J2569)*$D2569,"")</f>
        <v/>
      </c>
      <c r="Z2569" s="70" t="str">
        <f t="shared" si="875"/>
        <v/>
      </c>
      <c r="AA2569" s="70" t="str">
        <f t="shared" si="876"/>
        <v/>
      </c>
      <c r="AB2569" s="70" t="str">
        <f t="shared" si="877"/>
        <v/>
      </c>
      <c r="AC2569" s="70" t="str">
        <f t="shared" si="878"/>
        <v/>
      </c>
      <c r="AD2569" s="70" t="str">
        <f t="shared" si="879"/>
        <v/>
      </c>
      <c r="AE2569" s="70" t="str">
        <f t="shared" si="880"/>
        <v/>
      </c>
      <c r="AF2569" s="16"/>
      <c r="AG2569" s="23"/>
      <c r="AH2569" s="22"/>
      <c r="AJ2569" s="83">
        <f t="shared" si="881"/>
        <v>0</v>
      </c>
      <c r="AO2569" s="22" t="str">
        <f t="shared" si="882"/>
        <v/>
      </c>
      <c r="AP2569" s="22" t="str">
        <f t="shared" si="883"/>
        <v/>
      </c>
    </row>
    <row r="2570" spans="1:42" x14ac:dyDescent="0.25">
      <c r="A2570" s="10"/>
      <c r="B2570" s="10"/>
      <c r="C2570" s="10"/>
      <c r="D2570" s="10"/>
      <c r="E2570" s="10"/>
      <c r="F2570" s="10"/>
      <c r="G2570" s="10"/>
      <c r="H2570" s="17"/>
      <c r="I2570" s="10"/>
      <c r="J2570" s="10"/>
      <c r="K2570" s="16" t="str">
        <f t="shared" si="862"/>
        <v/>
      </c>
      <c r="L2570" s="23" t="str">
        <f t="shared" si="863"/>
        <v/>
      </c>
      <c r="M2570" s="22" t="str">
        <f t="shared" si="864"/>
        <v/>
      </c>
      <c r="N2570" s="72"/>
      <c r="O2570" s="16" t="str">
        <f t="shared" si="865"/>
        <v/>
      </c>
      <c r="P2570" s="16" t="str">
        <f t="shared" si="866"/>
        <v/>
      </c>
      <c r="Q2570" s="16" t="str">
        <f t="shared" si="867"/>
        <v/>
      </c>
      <c r="R2570" s="23" t="str">
        <f t="shared" si="868"/>
        <v/>
      </c>
      <c r="S2570" s="23" t="str">
        <f t="shared" si="869"/>
        <v/>
      </c>
      <c r="T2570" s="23" t="str">
        <f t="shared" si="870"/>
        <v/>
      </c>
      <c r="U2570" s="23" t="str">
        <f t="shared" si="871"/>
        <v/>
      </c>
      <c r="V2570" s="23" t="str">
        <f t="shared" si="872"/>
        <v/>
      </c>
      <c r="W2570" s="70" t="str">
        <f t="shared" si="873"/>
        <v/>
      </c>
      <c r="X2570" s="70" t="str">
        <f t="shared" si="874"/>
        <v/>
      </c>
      <c r="Y2570" s="70" t="str">
        <f>IF(AND($A2570&lt;&gt;"",$E2570&gt;0),isLaptopBag($C2570,$J2570)*$D2570,"")</f>
        <v/>
      </c>
      <c r="Z2570" s="70" t="str">
        <f t="shared" si="875"/>
        <v/>
      </c>
      <c r="AA2570" s="70" t="str">
        <f t="shared" si="876"/>
        <v/>
      </c>
      <c r="AB2570" s="70" t="str">
        <f t="shared" si="877"/>
        <v/>
      </c>
      <c r="AC2570" s="70" t="str">
        <f t="shared" si="878"/>
        <v/>
      </c>
      <c r="AD2570" s="70" t="str">
        <f t="shared" si="879"/>
        <v/>
      </c>
      <c r="AE2570" s="70" t="str">
        <f t="shared" si="880"/>
        <v/>
      </c>
      <c r="AF2570" s="16"/>
      <c r="AG2570" s="23"/>
      <c r="AH2570" s="22"/>
      <c r="AJ2570" s="83">
        <f t="shared" si="881"/>
        <v>0</v>
      </c>
      <c r="AO2570" s="22" t="str">
        <f t="shared" si="882"/>
        <v/>
      </c>
      <c r="AP2570" s="22" t="str">
        <f t="shared" si="883"/>
        <v/>
      </c>
    </row>
    <row r="2571" spans="1:42" x14ac:dyDescent="0.25">
      <c r="A2571" s="10"/>
      <c r="B2571" s="10"/>
      <c r="C2571" s="10"/>
      <c r="D2571" s="10"/>
      <c r="E2571" s="10"/>
      <c r="F2571" s="10"/>
      <c r="G2571" s="10"/>
      <c r="H2571" s="17"/>
      <c r="I2571" s="10"/>
      <c r="J2571" s="10"/>
      <c r="K2571" s="16" t="str">
        <f t="shared" si="862"/>
        <v/>
      </c>
      <c r="L2571" s="23" t="str">
        <f t="shared" si="863"/>
        <v/>
      </c>
      <c r="M2571" s="22" t="str">
        <f t="shared" si="864"/>
        <v/>
      </c>
      <c r="N2571" s="72"/>
      <c r="O2571" s="16" t="str">
        <f t="shared" si="865"/>
        <v/>
      </c>
      <c r="P2571" s="16" t="str">
        <f t="shared" si="866"/>
        <v/>
      </c>
      <c r="Q2571" s="16" t="str">
        <f t="shared" si="867"/>
        <v/>
      </c>
      <c r="R2571" s="23" t="str">
        <f t="shared" si="868"/>
        <v/>
      </c>
      <c r="S2571" s="23" t="str">
        <f t="shared" si="869"/>
        <v/>
      </c>
      <c r="T2571" s="23" t="str">
        <f t="shared" si="870"/>
        <v/>
      </c>
      <c r="U2571" s="23" t="str">
        <f t="shared" si="871"/>
        <v/>
      </c>
      <c r="V2571" s="23" t="str">
        <f t="shared" si="872"/>
        <v/>
      </c>
      <c r="W2571" s="70" t="str">
        <f t="shared" si="873"/>
        <v/>
      </c>
      <c r="X2571" s="70" t="str">
        <f t="shared" si="874"/>
        <v/>
      </c>
      <c r="Y2571" s="70" t="str">
        <f>IF(AND($A2571&lt;&gt;"",$E2571&gt;0),isLaptopBag($C2571,$J2571)*$D2571,"")</f>
        <v/>
      </c>
      <c r="Z2571" s="70" t="str">
        <f t="shared" si="875"/>
        <v/>
      </c>
      <c r="AA2571" s="70" t="str">
        <f t="shared" si="876"/>
        <v/>
      </c>
      <c r="AB2571" s="70" t="str">
        <f t="shared" si="877"/>
        <v/>
      </c>
      <c r="AC2571" s="70" t="str">
        <f t="shared" si="878"/>
        <v/>
      </c>
      <c r="AD2571" s="70" t="str">
        <f t="shared" si="879"/>
        <v/>
      </c>
      <c r="AE2571" s="70" t="str">
        <f t="shared" si="880"/>
        <v/>
      </c>
      <c r="AF2571" s="16"/>
      <c r="AG2571" s="23"/>
      <c r="AH2571" s="22"/>
      <c r="AJ2571" s="83">
        <f t="shared" si="881"/>
        <v>0</v>
      </c>
      <c r="AO2571" s="22" t="str">
        <f t="shared" si="882"/>
        <v/>
      </c>
      <c r="AP2571" s="22" t="str">
        <f t="shared" si="883"/>
        <v/>
      </c>
    </row>
    <row r="2572" spans="1:42" x14ac:dyDescent="0.25">
      <c r="A2572" s="10"/>
      <c r="B2572" s="10"/>
      <c r="C2572" s="10"/>
      <c r="D2572" s="10"/>
      <c r="E2572" s="10"/>
      <c r="F2572" s="10"/>
      <c r="G2572" s="10"/>
      <c r="H2572" s="17"/>
      <c r="I2572" s="10"/>
      <c r="J2572" s="10"/>
      <c r="K2572" s="16" t="str">
        <f t="shared" si="862"/>
        <v/>
      </c>
      <c r="L2572" s="23" t="str">
        <f t="shared" si="863"/>
        <v/>
      </c>
      <c r="M2572" s="22" t="str">
        <f t="shared" si="864"/>
        <v/>
      </c>
      <c r="N2572" s="72"/>
      <c r="O2572" s="16" t="str">
        <f t="shared" si="865"/>
        <v/>
      </c>
      <c r="P2572" s="16" t="str">
        <f t="shared" si="866"/>
        <v/>
      </c>
      <c r="Q2572" s="16" t="str">
        <f t="shared" si="867"/>
        <v/>
      </c>
      <c r="R2572" s="23" t="str">
        <f t="shared" si="868"/>
        <v/>
      </c>
      <c r="S2572" s="23" t="str">
        <f t="shared" si="869"/>
        <v/>
      </c>
      <c r="T2572" s="23" t="str">
        <f t="shared" si="870"/>
        <v/>
      </c>
      <c r="U2572" s="23" t="str">
        <f t="shared" si="871"/>
        <v/>
      </c>
      <c r="V2572" s="23" t="str">
        <f t="shared" si="872"/>
        <v/>
      </c>
      <c r="W2572" s="70" t="str">
        <f t="shared" si="873"/>
        <v/>
      </c>
      <c r="X2572" s="70" t="str">
        <f t="shared" si="874"/>
        <v/>
      </c>
      <c r="Y2572" s="70" t="str">
        <f>IF(AND($A2572&lt;&gt;"",$E2572&gt;0),isLaptopBag($C2572,$J2572)*$D2572,"")</f>
        <v/>
      </c>
      <c r="Z2572" s="70" t="str">
        <f t="shared" si="875"/>
        <v/>
      </c>
      <c r="AA2572" s="70" t="str">
        <f t="shared" si="876"/>
        <v/>
      </c>
      <c r="AB2572" s="70" t="str">
        <f t="shared" si="877"/>
        <v/>
      </c>
      <c r="AC2572" s="70" t="str">
        <f t="shared" si="878"/>
        <v/>
      </c>
      <c r="AD2572" s="70" t="str">
        <f t="shared" si="879"/>
        <v/>
      </c>
      <c r="AE2572" s="70" t="str">
        <f t="shared" si="880"/>
        <v/>
      </c>
      <c r="AF2572" s="16"/>
      <c r="AG2572" s="23"/>
      <c r="AH2572" s="22"/>
      <c r="AJ2572" s="83">
        <f t="shared" si="881"/>
        <v>0</v>
      </c>
      <c r="AO2572" s="22" t="str">
        <f t="shared" si="882"/>
        <v/>
      </c>
      <c r="AP2572" s="22" t="str">
        <f t="shared" si="883"/>
        <v/>
      </c>
    </row>
    <row r="2573" spans="1:42" x14ac:dyDescent="0.25">
      <c r="A2573" s="10"/>
      <c r="B2573" s="10"/>
      <c r="C2573" s="10"/>
      <c r="D2573" s="10"/>
      <c r="E2573" s="10"/>
      <c r="F2573" s="10"/>
      <c r="G2573" s="10"/>
      <c r="H2573" s="17"/>
      <c r="I2573" s="10"/>
      <c r="J2573" s="10"/>
      <c r="K2573" s="16" t="str">
        <f t="shared" ref="K2573:K2636" si="884">IF($AF2573&lt;&gt;"",$AF2573,IF(AND($A2573&lt;&gt;"",$E2573&gt;0),SUM($O2573:$Q2573),""))</f>
        <v/>
      </c>
      <c r="L2573" s="23" t="str">
        <f t="shared" ref="L2573:L2636" si="885">IF($AG2573&lt;&gt;"",$AG2573,IF(AND($A2573&lt;&gt;"",$E2573&gt;0),SUM($R2573:$V2573),""))</f>
        <v/>
      </c>
      <c r="M2573" s="22" t="str">
        <f t="shared" ref="M2573:M2636" si="886">IF($AH2573&lt;&gt;"",$AH2573,IF(AND($A2573&lt;&gt;"",$E2573&gt;0),SUM($W2573:$AE2573)+$AO2573+$AP2573,""))</f>
        <v/>
      </c>
      <c r="N2573" s="72"/>
      <c r="O2573" s="16" t="str">
        <f t="shared" ref="O2573:O2636" si="887">IF(AND($A2573&lt;&gt;"",$E2573&gt;0),IF(AND($J2573="SONY",200000&lt;=$E2573,$E2573&lt;1000000),5000*$D2573,0),"")</f>
        <v/>
      </c>
      <c r="P2573" s="16" t="str">
        <f t="shared" ref="P2573:P2636" si="888">IF(AND($A2573&lt;&gt;"",$E2573&gt;0),IF(AND($J2573="SONY",1000000&lt;=$E2573,$E2573&lt;2000000),10000*$D2573,0),"")</f>
        <v/>
      </c>
      <c r="Q2573" s="16" t="str">
        <f t="shared" ref="Q2573:Q2636" si="889">IF(AND($A2573&lt;&gt;"",$E2573&gt;0),IF(AND($J2573="SONY",$E2573&gt;=2000000),20000*$D2573,0),"")</f>
        <v/>
      </c>
      <c r="R2573" s="23" t="str">
        <f t="shared" ref="R2573:R2636" si="890">IF(AND($A2573&lt;&gt;"",$E2573&gt;0),IF(AND($J2573&lt;&gt;"SONY",100000&lt;=$E2573,$E2573&lt;200000),5000*$D2573,0),"")</f>
        <v/>
      </c>
      <c r="S2573" s="23" t="str">
        <f t="shared" ref="S2573:S2636" si="891">IF(AND($A2573&lt;&gt;"",$E2573&gt;0),IF(AND($J2573&lt;&gt;"SONY",200000&lt;=$E2573,$E2573&lt;500000),10000*$D2573,0),"")</f>
        <v/>
      </c>
      <c r="T2573" s="23" t="str">
        <f t="shared" ref="T2573:T2636" si="892">IF(AND($A2573&lt;&gt;"",$E2573&gt;0),IF(AND($J2573&lt;&gt;"SONY",500000&lt;=$E2573,$E2573&lt;1000000),20000*$D2573,0),"")</f>
        <v/>
      </c>
      <c r="U2573" s="23" t="str">
        <f t="shared" ref="U2573:U2636" si="893">IF(AND($A2573&lt;&gt;"",$E2573&gt;0),IF(AND($J2573&lt;&gt;"SONY",1000000&lt;=$E2573,$E2573&lt;1500000),50000*$D2573,0),"")</f>
        <v/>
      </c>
      <c r="V2573" s="23" t="str">
        <f t="shared" ref="V2573:V2636" si="894">IF(AND($A2573&lt;&gt;"",$E2573&gt;0),IF(AND($J2573&lt;&gt;"SONY",1500000&lt;=$E2573),100000*$D2573,0),"")</f>
        <v/>
      </c>
      <c r="W2573" s="70" t="str">
        <f t="shared" ref="W2573:W2636" si="895">IF(AND($E2573&gt;0,$J2573="ELECOM",$E2573&gt;=500000,ISNUMBER(SEARCH("tai nghe",$C2573))),20000*$D2573,IF($A2573&lt;&gt;"",0,""))</f>
        <v/>
      </c>
      <c r="X2573" s="70" t="str">
        <f t="shared" ref="X2573:X2636" si="896">IF(AND($E2573&gt;0,$J2573="ELECOM",ISNUMBER(SEARCH("loa",$C2573))),20000*$D2573,IF($A2573&lt;&gt;"",0,""))</f>
        <v/>
      </c>
      <c r="Y2573" s="70" t="str">
        <f>IF(AND($A2573&lt;&gt;"",$E2573&gt;0),isLaptopBag($C2573,$J2573)*$D2573,"")</f>
        <v/>
      </c>
      <c r="Z2573" s="70" t="str">
        <f t="shared" ref="Z2573:Z2636" si="897">IF(AND($E2573&gt;0,$J2573="ELECOM",ISNUMBER(SEARCH("ốp",$C2573))),20000*$D2573,IF($A2573&lt;&gt;"",0,""))</f>
        <v/>
      </c>
      <c r="AA2573" s="70" t="str">
        <f t="shared" ref="AA2573:AA2636" si="898">IF(AND($E2573&gt;0,$J2573="ELECOM",ISNUMBER(SEARCH("Bút",$C2573))),20000*$D2573,IF($A2573&lt;&gt;"",0,""))</f>
        <v/>
      </c>
      <c r="AB2573" s="70" t="str">
        <f t="shared" ref="AB2573:AB2636" si="899">IF(AND($E2573&gt;0,$J2573="ELECOM",ISNUMBER(SEARCH("Chuột bi",$C2573))),20000*$D2573,IF($A2573&lt;&gt;"",0,""))</f>
        <v/>
      </c>
      <c r="AC2573" s="70" t="str">
        <f t="shared" ref="AC2573:AC2636" si="900">IF(AND($E2573&gt;0,$J2573="ELECOM",ISNUMBER(SEARCH("Chuột trackball",$C2573))),20000*$D2573,IF($A2573&lt;&gt;"",0,""))</f>
        <v/>
      </c>
      <c r="AD2573" s="70" t="str">
        <f t="shared" ref="AD2573:AD2636" si="901">IF(AND($E2573&gt;0,$J2573="ELECOM",ISNUMBER(SEARCH("Sạc không dây",$C2573))),20000*$D2573,IF($A2573&lt;&gt;"",0,""))</f>
        <v/>
      </c>
      <c r="AE2573" s="70" t="str">
        <f t="shared" ref="AE2573:AE2636" si="902">IF(AND($E2573&gt;0,$J2573="ELECOM",ISNUMBER(SEARCH("Sạc kd",$C2573))),20000*$D2573,IF($A2573&lt;&gt;"",0,""))</f>
        <v/>
      </c>
      <c r="AF2573" s="16"/>
      <c r="AG2573" s="23"/>
      <c r="AH2573" s="22"/>
      <c r="AJ2573" s="83">
        <f t="shared" ref="AJ2573:AJ2636" si="903">DAY(H2573)</f>
        <v>0</v>
      </c>
      <c r="AO2573" s="22" t="str">
        <f t="shared" ref="AO2573:AO2636" si="904">IF(AND($E2573&gt;0,ISNUMBER(SEARCH("Sạc dự phòng Energizer",$C2573))),10000*$D2573,IF($A2573&lt;&gt;"",0,""))</f>
        <v/>
      </c>
      <c r="AP2573" s="22" t="str">
        <f t="shared" ref="AP2573:AP2636" si="905">IF(AND($E2573&gt;0,ISNUMBER(SEARCH("SDP Energizer",$C2573))),10000*$D2573,IF($A2573&lt;&gt;"",0,""))</f>
        <v/>
      </c>
    </row>
    <row r="2574" spans="1:42" x14ac:dyDescent="0.25">
      <c r="A2574" s="10"/>
      <c r="B2574" s="10"/>
      <c r="C2574" s="10"/>
      <c r="D2574" s="10"/>
      <c r="E2574" s="10"/>
      <c r="F2574" s="10"/>
      <c r="G2574" s="10"/>
      <c r="H2574" s="17"/>
      <c r="I2574" s="10"/>
      <c r="J2574" s="10"/>
      <c r="K2574" s="16" t="str">
        <f t="shared" si="884"/>
        <v/>
      </c>
      <c r="L2574" s="23" t="str">
        <f t="shared" si="885"/>
        <v/>
      </c>
      <c r="M2574" s="22" t="str">
        <f t="shared" si="886"/>
        <v/>
      </c>
      <c r="N2574" s="72"/>
      <c r="O2574" s="16" t="str">
        <f t="shared" si="887"/>
        <v/>
      </c>
      <c r="P2574" s="16" t="str">
        <f t="shared" si="888"/>
        <v/>
      </c>
      <c r="Q2574" s="16" t="str">
        <f t="shared" si="889"/>
        <v/>
      </c>
      <c r="R2574" s="23" t="str">
        <f t="shared" si="890"/>
        <v/>
      </c>
      <c r="S2574" s="23" t="str">
        <f t="shared" si="891"/>
        <v/>
      </c>
      <c r="T2574" s="23" t="str">
        <f t="shared" si="892"/>
        <v/>
      </c>
      <c r="U2574" s="23" t="str">
        <f t="shared" si="893"/>
        <v/>
      </c>
      <c r="V2574" s="23" t="str">
        <f t="shared" si="894"/>
        <v/>
      </c>
      <c r="W2574" s="70" t="str">
        <f t="shared" si="895"/>
        <v/>
      </c>
      <c r="X2574" s="70" t="str">
        <f t="shared" si="896"/>
        <v/>
      </c>
      <c r="Y2574" s="70" t="str">
        <f>IF(AND($A2574&lt;&gt;"",$E2574&gt;0),isLaptopBag($C2574,$J2574)*$D2574,"")</f>
        <v/>
      </c>
      <c r="Z2574" s="70" t="str">
        <f t="shared" si="897"/>
        <v/>
      </c>
      <c r="AA2574" s="70" t="str">
        <f t="shared" si="898"/>
        <v/>
      </c>
      <c r="AB2574" s="70" t="str">
        <f t="shared" si="899"/>
        <v/>
      </c>
      <c r="AC2574" s="70" t="str">
        <f t="shared" si="900"/>
        <v/>
      </c>
      <c r="AD2574" s="70" t="str">
        <f t="shared" si="901"/>
        <v/>
      </c>
      <c r="AE2574" s="70" t="str">
        <f t="shared" si="902"/>
        <v/>
      </c>
      <c r="AF2574" s="16"/>
      <c r="AG2574" s="23"/>
      <c r="AH2574" s="22"/>
      <c r="AJ2574" s="83">
        <f t="shared" si="903"/>
        <v>0</v>
      </c>
      <c r="AO2574" s="22" t="str">
        <f t="shared" si="904"/>
        <v/>
      </c>
      <c r="AP2574" s="22" t="str">
        <f t="shared" si="905"/>
        <v/>
      </c>
    </row>
    <row r="2575" spans="1:42" x14ac:dyDescent="0.25">
      <c r="A2575" s="10"/>
      <c r="B2575" s="10"/>
      <c r="C2575" s="10"/>
      <c r="D2575" s="10"/>
      <c r="E2575" s="10"/>
      <c r="F2575" s="10"/>
      <c r="G2575" s="10"/>
      <c r="H2575" s="17"/>
      <c r="I2575" s="10"/>
      <c r="J2575" s="10"/>
      <c r="K2575" s="16" t="str">
        <f t="shared" si="884"/>
        <v/>
      </c>
      <c r="L2575" s="23" t="str">
        <f t="shared" si="885"/>
        <v/>
      </c>
      <c r="M2575" s="22" t="str">
        <f t="shared" si="886"/>
        <v/>
      </c>
      <c r="N2575" s="72"/>
      <c r="O2575" s="16" t="str">
        <f t="shared" si="887"/>
        <v/>
      </c>
      <c r="P2575" s="16" t="str">
        <f t="shared" si="888"/>
        <v/>
      </c>
      <c r="Q2575" s="16" t="str">
        <f t="shared" si="889"/>
        <v/>
      </c>
      <c r="R2575" s="23" t="str">
        <f t="shared" si="890"/>
        <v/>
      </c>
      <c r="S2575" s="23" t="str">
        <f t="shared" si="891"/>
        <v/>
      </c>
      <c r="T2575" s="23" t="str">
        <f t="shared" si="892"/>
        <v/>
      </c>
      <c r="U2575" s="23" t="str">
        <f t="shared" si="893"/>
        <v/>
      </c>
      <c r="V2575" s="23" t="str">
        <f t="shared" si="894"/>
        <v/>
      </c>
      <c r="W2575" s="70" t="str">
        <f t="shared" si="895"/>
        <v/>
      </c>
      <c r="X2575" s="70" t="str">
        <f t="shared" si="896"/>
        <v/>
      </c>
      <c r="Y2575" s="70" t="str">
        <f>IF(AND($A2575&lt;&gt;"",$E2575&gt;0),isLaptopBag($C2575,$J2575)*$D2575,"")</f>
        <v/>
      </c>
      <c r="Z2575" s="70" t="str">
        <f t="shared" si="897"/>
        <v/>
      </c>
      <c r="AA2575" s="70" t="str">
        <f t="shared" si="898"/>
        <v/>
      </c>
      <c r="AB2575" s="70" t="str">
        <f t="shared" si="899"/>
        <v/>
      </c>
      <c r="AC2575" s="70" t="str">
        <f t="shared" si="900"/>
        <v/>
      </c>
      <c r="AD2575" s="70" t="str">
        <f t="shared" si="901"/>
        <v/>
      </c>
      <c r="AE2575" s="70" t="str">
        <f t="shared" si="902"/>
        <v/>
      </c>
      <c r="AF2575" s="16"/>
      <c r="AG2575" s="23"/>
      <c r="AH2575" s="22"/>
      <c r="AJ2575" s="83">
        <f t="shared" si="903"/>
        <v>0</v>
      </c>
      <c r="AO2575" s="22" t="str">
        <f t="shared" si="904"/>
        <v/>
      </c>
      <c r="AP2575" s="22" t="str">
        <f t="shared" si="905"/>
        <v/>
      </c>
    </row>
    <row r="2576" spans="1:42" x14ac:dyDescent="0.25">
      <c r="A2576" s="10"/>
      <c r="B2576" s="10"/>
      <c r="C2576" s="10"/>
      <c r="D2576" s="10"/>
      <c r="E2576" s="10"/>
      <c r="F2576" s="10"/>
      <c r="G2576" s="10"/>
      <c r="H2576" s="17"/>
      <c r="I2576" s="10"/>
      <c r="J2576" s="10"/>
      <c r="K2576" s="16" t="str">
        <f t="shared" si="884"/>
        <v/>
      </c>
      <c r="L2576" s="23" t="str">
        <f t="shared" si="885"/>
        <v/>
      </c>
      <c r="M2576" s="22" t="str">
        <f t="shared" si="886"/>
        <v/>
      </c>
      <c r="N2576" s="72"/>
      <c r="O2576" s="16" t="str">
        <f t="shared" si="887"/>
        <v/>
      </c>
      <c r="P2576" s="16" t="str">
        <f t="shared" si="888"/>
        <v/>
      </c>
      <c r="Q2576" s="16" t="str">
        <f t="shared" si="889"/>
        <v/>
      </c>
      <c r="R2576" s="23" t="str">
        <f t="shared" si="890"/>
        <v/>
      </c>
      <c r="S2576" s="23" t="str">
        <f t="shared" si="891"/>
        <v/>
      </c>
      <c r="T2576" s="23" t="str">
        <f t="shared" si="892"/>
        <v/>
      </c>
      <c r="U2576" s="23" t="str">
        <f t="shared" si="893"/>
        <v/>
      </c>
      <c r="V2576" s="23" t="str">
        <f t="shared" si="894"/>
        <v/>
      </c>
      <c r="W2576" s="70" t="str">
        <f t="shared" si="895"/>
        <v/>
      </c>
      <c r="X2576" s="70" t="str">
        <f t="shared" si="896"/>
        <v/>
      </c>
      <c r="Y2576" s="70" t="str">
        <f>IF(AND($A2576&lt;&gt;"",$E2576&gt;0),isLaptopBag($C2576,$J2576)*$D2576,"")</f>
        <v/>
      </c>
      <c r="Z2576" s="70" t="str">
        <f t="shared" si="897"/>
        <v/>
      </c>
      <c r="AA2576" s="70" t="str">
        <f t="shared" si="898"/>
        <v/>
      </c>
      <c r="AB2576" s="70" t="str">
        <f t="shared" si="899"/>
        <v/>
      </c>
      <c r="AC2576" s="70" t="str">
        <f t="shared" si="900"/>
        <v/>
      </c>
      <c r="AD2576" s="70" t="str">
        <f t="shared" si="901"/>
        <v/>
      </c>
      <c r="AE2576" s="70" t="str">
        <f t="shared" si="902"/>
        <v/>
      </c>
      <c r="AF2576" s="16"/>
      <c r="AG2576" s="23"/>
      <c r="AH2576" s="22"/>
      <c r="AJ2576" s="83">
        <f t="shared" si="903"/>
        <v>0</v>
      </c>
      <c r="AO2576" s="22" t="str">
        <f t="shared" si="904"/>
        <v/>
      </c>
      <c r="AP2576" s="22" t="str">
        <f t="shared" si="905"/>
        <v/>
      </c>
    </row>
    <row r="2577" spans="1:42" x14ac:dyDescent="0.25">
      <c r="A2577" s="10"/>
      <c r="B2577" s="10"/>
      <c r="C2577" s="10"/>
      <c r="D2577" s="10"/>
      <c r="E2577" s="10"/>
      <c r="F2577" s="10"/>
      <c r="G2577" s="10"/>
      <c r="H2577" s="17"/>
      <c r="I2577" s="10"/>
      <c r="J2577" s="10"/>
      <c r="K2577" s="16" t="str">
        <f t="shared" si="884"/>
        <v/>
      </c>
      <c r="L2577" s="23" t="str">
        <f t="shared" si="885"/>
        <v/>
      </c>
      <c r="M2577" s="22" t="str">
        <f t="shared" si="886"/>
        <v/>
      </c>
      <c r="N2577" s="72"/>
      <c r="O2577" s="16" t="str">
        <f t="shared" si="887"/>
        <v/>
      </c>
      <c r="P2577" s="16" t="str">
        <f t="shared" si="888"/>
        <v/>
      </c>
      <c r="Q2577" s="16" t="str">
        <f t="shared" si="889"/>
        <v/>
      </c>
      <c r="R2577" s="23" t="str">
        <f t="shared" si="890"/>
        <v/>
      </c>
      <c r="S2577" s="23" t="str">
        <f t="shared" si="891"/>
        <v/>
      </c>
      <c r="T2577" s="23" t="str">
        <f t="shared" si="892"/>
        <v/>
      </c>
      <c r="U2577" s="23" t="str">
        <f t="shared" si="893"/>
        <v/>
      </c>
      <c r="V2577" s="23" t="str">
        <f t="shared" si="894"/>
        <v/>
      </c>
      <c r="W2577" s="70" t="str">
        <f t="shared" si="895"/>
        <v/>
      </c>
      <c r="X2577" s="70" t="str">
        <f t="shared" si="896"/>
        <v/>
      </c>
      <c r="Y2577" s="70" t="str">
        <f>IF(AND($A2577&lt;&gt;"",$E2577&gt;0),isLaptopBag($C2577,$J2577)*$D2577,"")</f>
        <v/>
      </c>
      <c r="Z2577" s="70" t="str">
        <f t="shared" si="897"/>
        <v/>
      </c>
      <c r="AA2577" s="70" t="str">
        <f t="shared" si="898"/>
        <v/>
      </c>
      <c r="AB2577" s="70" t="str">
        <f t="shared" si="899"/>
        <v/>
      </c>
      <c r="AC2577" s="70" t="str">
        <f t="shared" si="900"/>
        <v/>
      </c>
      <c r="AD2577" s="70" t="str">
        <f t="shared" si="901"/>
        <v/>
      </c>
      <c r="AE2577" s="70" t="str">
        <f t="shared" si="902"/>
        <v/>
      </c>
      <c r="AF2577" s="16"/>
      <c r="AG2577" s="23"/>
      <c r="AH2577" s="22"/>
      <c r="AJ2577" s="83">
        <f t="shared" si="903"/>
        <v>0</v>
      </c>
      <c r="AO2577" s="22" t="str">
        <f t="shared" si="904"/>
        <v/>
      </c>
      <c r="AP2577" s="22" t="str">
        <f t="shared" si="905"/>
        <v/>
      </c>
    </row>
    <row r="2578" spans="1:42" x14ac:dyDescent="0.25">
      <c r="A2578" s="10"/>
      <c r="B2578" s="10"/>
      <c r="C2578" s="10"/>
      <c r="D2578" s="10"/>
      <c r="E2578" s="10"/>
      <c r="F2578" s="10"/>
      <c r="G2578" s="10"/>
      <c r="H2578" s="17"/>
      <c r="I2578" s="10"/>
      <c r="J2578" s="10"/>
      <c r="K2578" s="16" t="str">
        <f t="shared" si="884"/>
        <v/>
      </c>
      <c r="L2578" s="23" t="str">
        <f t="shared" si="885"/>
        <v/>
      </c>
      <c r="M2578" s="22" t="str">
        <f t="shared" si="886"/>
        <v/>
      </c>
      <c r="N2578" s="72"/>
      <c r="O2578" s="16" t="str">
        <f t="shared" si="887"/>
        <v/>
      </c>
      <c r="P2578" s="16" t="str">
        <f t="shared" si="888"/>
        <v/>
      </c>
      <c r="Q2578" s="16" t="str">
        <f t="shared" si="889"/>
        <v/>
      </c>
      <c r="R2578" s="23" t="str">
        <f t="shared" si="890"/>
        <v/>
      </c>
      <c r="S2578" s="23" t="str">
        <f t="shared" si="891"/>
        <v/>
      </c>
      <c r="T2578" s="23" t="str">
        <f t="shared" si="892"/>
        <v/>
      </c>
      <c r="U2578" s="23" t="str">
        <f t="shared" si="893"/>
        <v/>
      </c>
      <c r="V2578" s="23" t="str">
        <f t="shared" si="894"/>
        <v/>
      </c>
      <c r="W2578" s="70" t="str">
        <f t="shared" si="895"/>
        <v/>
      </c>
      <c r="X2578" s="70" t="str">
        <f t="shared" si="896"/>
        <v/>
      </c>
      <c r="Y2578" s="70" t="str">
        <f>IF(AND($A2578&lt;&gt;"",$E2578&gt;0),isLaptopBag($C2578,$J2578)*$D2578,"")</f>
        <v/>
      </c>
      <c r="Z2578" s="70" t="str">
        <f t="shared" si="897"/>
        <v/>
      </c>
      <c r="AA2578" s="70" t="str">
        <f t="shared" si="898"/>
        <v/>
      </c>
      <c r="AB2578" s="70" t="str">
        <f t="shared" si="899"/>
        <v/>
      </c>
      <c r="AC2578" s="70" t="str">
        <f t="shared" si="900"/>
        <v/>
      </c>
      <c r="AD2578" s="70" t="str">
        <f t="shared" si="901"/>
        <v/>
      </c>
      <c r="AE2578" s="70" t="str">
        <f t="shared" si="902"/>
        <v/>
      </c>
      <c r="AF2578" s="16"/>
      <c r="AG2578" s="23"/>
      <c r="AH2578" s="22"/>
      <c r="AJ2578" s="83">
        <f t="shared" si="903"/>
        <v>0</v>
      </c>
      <c r="AO2578" s="22" t="str">
        <f t="shared" si="904"/>
        <v/>
      </c>
      <c r="AP2578" s="22" t="str">
        <f t="shared" si="905"/>
        <v/>
      </c>
    </row>
    <row r="2579" spans="1:42" x14ac:dyDescent="0.25">
      <c r="A2579" s="10"/>
      <c r="B2579" s="10"/>
      <c r="C2579" s="10"/>
      <c r="D2579" s="10"/>
      <c r="E2579" s="10"/>
      <c r="F2579" s="10"/>
      <c r="G2579" s="10"/>
      <c r="H2579" s="17"/>
      <c r="I2579" s="10"/>
      <c r="J2579" s="10"/>
      <c r="K2579" s="16" t="str">
        <f t="shared" si="884"/>
        <v/>
      </c>
      <c r="L2579" s="23" t="str">
        <f t="shared" si="885"/>
        <v/>
      </c>
      <c r="M2579" s="22" t="str">
        <f t="shared" si="886"/>
        <v/>
      </c>
      <c r="N2579" s="72"/>
      <c r="O2579" s="16" t="str">
        <f t="shared" si="887"/>
        <v/>
      </c>
      <c r="P2579" s="16" t="str">
        <f t="shared" si="888"/>
        <v/>
      </c>
      <c r="Q2579" s="16" t="str">
        <f t="shared" si="889"/>
        <v/>
      </c>
      <c r="R2579" s="23" t="str">
        <f t="shared" si="890"/>
        <v/>
      </c>
      <c r="S2579" s="23" t="str">
        <f t="shared" si="891"/>
        <v/>
      </c>
      <c r="T2579" s="23" t="str">
        <f t="shared" si="892"/>
        <v/>
      </c>
      <c r="U2579" s="23" t="str">
        <f t="shared" si="893"/>
        <v/>
      </c>
      <c r="V2579" s="23" t="str">
        <f t="shared" si="894"/>
        <v/>
      </c>
      <c r="W2579" s="70" t="str">
        <f t="shared" si="895"/>
        <v/>
      </c>
      <c r="X2579" s="70" t="str">
        <f t="shared" si="896"/>
        <v/>
      </c>
      <c r="Y2579" s="70" t="str">
        <f>IF(AND($A2579&lt;&gt;"",$E2579&gt;0),isLaptopBag($C2579,$J2579)*$D2579,"")</f>
        <v/>
      </c>
      <c r="Z2579" s="70" t="str">
        <f t="shared" si="897"/>
        <v/>
      </c>
      <c r="AA2579" s="70" t="str">
        <f t="shared" si="898"/>
        <v/>
      </c>
      <c r="AB2579" s="70" t="str">
        <f t="shared" si="899"/>
        <v/>
      </c>
      <c r="AC2579" s="70" t="str">
        <f t="shared" si="900"/>
        <v/>
      </c>
      <c r="AD2579" s="70" t="str">
        <f t="shared" si="901"/>
        <v/>
      </c>
      <c r="AE2579" s="70" t="str">
        <f t="shared" si="902"/>
        <v/>
      </c>
      <c r="AF2579" s="16"/>
      <c r="AG2579" s="23"/>
      <c r="AH2579" s="22"/>
      <c r="AJ2579" s="83">
        <f t="shared" si="903"/>
        <v>0</v>
      </c>
      <c r="AO2579" s="22" t="str">
        <f t="shared" si="904"/>
        <v/>
      </c>
      <c r="AP2579" s="22" t="str">
        <f t="shared" si="905"/>
        <v/>
      </c>
    </row>
    <row r="2580" spans="1:42" x14ac:dyDescent="0.25">
      <c r="A2580" s="10"/>
      <c r="B2580" s="10"/>
      <c r="C2580" s="10"/>
      <c r="D2580" s="10"/>
      <c r="E2580" s="10"/>
      <c r="F2580" s="10"/>
      <c r="G2580" s="10"/>
      <c r="H2580" s="17"/>
      <c r="I2580" s="10"/>
      <c r="J2580" s="10"/>
      <c r="K2580" s="16" t="str">
        <f t="shared" si="884"/>
        <v/>
      </c>
      <c r="L2580" s="23" t="str">
        <f t="shared" si="885"/>
        <v/>
      </c>
      <c r="M2580" s="22" t="str">
        <f t="shared" si="886"/>
        <v/>
      </c>
      <c r="N2580" s="72"/>
      <c r="O2580" s="16" t="str">
        <f t="shared" si="887"/>
        <v/>
      </c>
      <c r="P2580" s="16" t="str">
        <f t="shared" si="888"/>
        <v/>
      </c>
      <c r="Q2580" s="16" t="str">
        <f t="shared" si="889"/>
        <v/>
      </c>
      <c r="R2580" s="23" t="str">
        <f t="shared" si="890"/>
        <v/>
      </c>
      <c r="S2580" s="23" t="str">
        <f t="shared" si="891"/>
        <v/>
      </c>
      <c r="T2580" s="23" t="str">
        <f t="shared" si="892"/>
        <v/>
      </c>
      <c r="U2580" s="23" t="str">
        <f t="shared" si="893"/>
        <v/>
      </c>
      <c r="V2580" s="23" t="str">
        <f t="shared" si="894"/>
        <v/>
      </c>
      <c r="W2580" s="70" t="str">
        <f t="shared" si="895"/>
        <v/>
      </c>
      <c r="X2580" s="70" t="str">
        <f t="shared" si="896"/>
        <v/>
      </c>
      <c r="Y2580" s="70" t="str">
        <f>IF(AND($A2580&lt;&gt;"",$E2580&gt;0),isLaptopBag($C2580,$J2580)*$D2580,"")</f>
        <v/>
      </c>
      <c r="Z2580" s="70" t="str">
        <f t="shared" si="897"/>
        <v/>
      </c>
      <c r="AA2580" s="70" t="str">
        <f t="shared" si="898"/>
        <v/>
      </c>
      <c r="AB2580" s="70" t="str">
        <f t="shared" si="899"/>
        <v/>
      </c>
      <c r="AC2580" s="70" t="str">
        <f t="shared" si="900"/>
        <v/>
      </c>
      <c r="AD2580" s="70" t="str">
        <f t="shared" si="901"/>
        <v/>
      </c>
      <c r="AE2580" s="70" t="str">
        <f t="shared" si="902"/>
        <v/>
      </c>
      <c r="AF2580" s="16"/>
      <c r="AG2580" s="23"/>
      <c r="AH2580" s="22"/>
      <c r="AJ2580" s="83">
        <f t="shared" si="903"/>
        <v>0</v>
      </c>
      <c r="AO2580" s="22" t="str">
        <f t="shared" si="904"/>
        <v/>
      </c>
      <c r="AP2580" s="22" t="str">
        <f t="shared" si="905"/>
        <v/>
      </c>
    </row>
    <row r="2581" spans="1:42" x14ac:dyDescent="0.25">
      <c r="A2581" s="10"/>
      <c r="B2581" s="10"/>
      <c r="C2581" s="10"/>
      <c r="D2581" s="10"/>
      <c r="E2581" s="10"/>
      <c r="F2581" s="10"/>
      <c r="G2581" s="10"/>
      <c r="H2581" s="17"/>
      <c r="I2581" s="10"/>
      <c r="J2581" s="10"/>
      <c r="K2581" s="16" t="str">
        <f t="shared" si="884"/>
        <v/>
      </c>
      <c r="L2581" s="23" t="str">
        <f t="shared" si="885"/>
        <v/>
      </c>
      <c r="M2581" s="22" t="str">
        <f t="shared" si="886"/>
        <v/>
      </c>
      <c r="N2581" s="72"/>
      <c r="O2581" s="16" t="str">
        <f t="shared" si="887"/>
        <v/>
      </c>
      <c r="P2581" s="16" t="str">
        <f t="shared" si="888"/>
        <v/>
      </c>
      <c r="Q2581" s="16" t="str">
        <f t="shared" si="889"/>
        <v/>
      </c>
      <c r="R2581" s="23" t="str">
        <f t="shared" si="890"/>
        <v/>
      </c>
      <c r="S2581" s="23" t="str">
        <f t="shared" si="891"/>
        <v/>
      </c>
      <c r="T2581" s="23" t="str">
        <f t="shared" si="892"/>
        <v/>
      </c>
      <c r="U2581" s="23" t="str">
        <f t="shared" si="893"/>
        <v/>
      </c>
      <c r="V2581" s="23" t="str">
        <f t="shared" si="894"/>
        <v/>
      </c>
      <c r="W2581" s="70" t="str">
        <f t="shared" si="895"/>
        <v/>
      </c>
      <c r="X2581" s="70" t="str">
        <f t="shared" si="896"/>
        <v/>
      </c>
      <c r="Y2581" s="70" t="str">
        <f>IF(AND($A2581&lt;&gt;"",$E2581&gt;0),isLaptopBag($C2581,$J2581)*$D2581,"")</f>
        <v/>
      </c>
      <c r="Z2581" s="70" t="str">
        <f t="shared" si="897"/>
        <v/>
      </c>
      <c r="AA2581" s="70" t="str">
        <f t="shared" si="898"/>
        <v/>
      </c>
      <c r="AB2581" s="70" t="str">
        <f t="shared" si="899"/>
        <v/>
      </c>
      <c r="AC2581" s="70" t="str">
        <f t="shared" si="900"/>
        <v/>
      </c>
      <c r="AD2581" s="70" t="str">
        <f t="shared" si="901"/>
        <v/>
      </c>
      <c r="AE2581" s="70" t="str">
        <f t="shared" si="902"/>
        <v/>
      </c>
      <c r="AF2581" s="16"/>
      <c r="AG2581" s="23"/>
      <c r="AH2581" s="22"/>
      <c r="AJ2581" s="83">
        <f t="shared" si="903"/>
        <v>0</v>
      </c>
      <c r="AO2581" s="22" t="str">
        <f t="shared" si="904"/>
        <v/>
      </c>
      <c r="AP2581" s="22" t="str">
        <f t="shared" si="905"/>
        <v/>
      </c>
    </row>
    <row r="2582" spans="1:42" x14ac:dyDescent="0.25">
      <c r="A2582" s="10"/>
      <c r="B2582" s="10"/>
      <c r="C2582" s="10"/>
      <c r="D2582" s="10"/>
      <c r="E2582" s="10"/>
      <c r="F2582" s="10"/>
      <c r="G2582" s="10"/>
      <c r="H2582" s="17"/>
      <c r="I2582" s="10"/>
      <c r="J2582" s="10"/>
      <c r="K2582" s="16" t="str">
        <f t="shared" si="884"/>
        <v/>
      </c>
      <c r="L2582" s="23" t="str">
        <f t="shared" si="885"/>
        <v/>
      </c>
      <c r="M2582" s="22" t="str">
        <f t="shared" si="886"/>
        <v/>
      </c>
      <c r="N2582" s="72"/>
      <c r="O2582" s="16" t="str">
        <f t="shared" si="887"/>
        <v/>
      </c>
      <c r="P2582" s="16" t="str">
        <f t="shared" si="888"/>
        <v/>
      </c>
      <c r="Q2582" s="16" t="str">
        <f t="shared" si="889"/>
        <v/>
      </c>
      <c r="R2582" s="23" t="str">
        <f t="shared" si="890"/>
        <v/>
      </c>
      <c r="S2582" s="23" t="str">
        <f t="shared" si="891"/>
        <v/>
      </c>
      <c r="T2582" s="23" t="str">
        <f t="shared" si="892"/>
        <v/>
      </c>
      <c r="U2582" s="23" t="str">
        <f t="shared" si="893"/>
        <v/>
      </c>
      <c r="V2582" s="23" t="str">
        <f t="shared" si="894"/>
        <v/>
      </c>
      <c r="W2582" s="70" t="str">
        <f t="shared" si="895"/>
        <v/>
      </c>
      <c r="X2582" s="70" t="str">
        <f t="shared" si="896"/>
        <v/>
      </c>
      <c r="Y2582" s="70" t="str">
        <f>IF(AND($A2582&lt;&gt;"",$E2582&gt;0),isLaptopBag($C2582,$J2582)*$D2582,"")</f>
        <v/>
      </c>
      <c r="Z2582" s="70" t="str">
        <f t="shared" si="897"/>
        <v/>
      </c>
      <c r="AA2582" s="70" t="str">
        <f t="shared" si="898"/>
        <v/>
      </c>
      <c r="AB2582" s="70" t="str">
        <f t="shared" si="899"/>
        <v/>
      </c>
      <c r="AC2582" s="70" t="str">
        <f t="shared" si="900"/>
        <v/>
      </c>
      <c r="AD2582" s="70" t="str">
        <f t="shared" si="901"/>
        <v/>
      </c>
      <c r="AE2582" s="70" t="str">
        <f t="shared" si="902"/>
        <v/>
      </c>
      <c r="AF2582" s="16"/>
      <c r="AG2582" s="23"/>
      <c r="AH2582" s="22"/>
      <c r="AJ2582" s="83">
        <f t="shared" si="903"/>
        <v>0</v>
      </c>
      <c r="AO2582" s="22" t="str">
        <f t="shared" si="904"/>
        <v/>
      </c>
      <c r="AP2582" s="22" t="str">
        <f t="shared" si="905"/>
        <v/>
      </c>
    </row>
    <row r="2583" spans="1:42" x14ac:dyDescent="0.25">
      <c r="A2583" s="10"/>
      <c r="B2583" s="10"/>
      <c r="C2583" s="10"/>
      <c r="D2583" s="10"/>
      <c r="E2583" s="10"/>
      <c r="F2583" s="10"/>
      <c r="G2583" s="10"/>
      <c r="H2583" s="17"/>
      <c r="I2583" s="10"/>
      <c r="J2583" s="10"/>
      <c r="K2583" s="16" t="str">
        <f t="shared" si="884"/>
        <v/>
      </c>
      <c r="L2583" s="23" t="str">
        <f t="shared" si="885"/>
        <v/>
      </c>
      <c r="M2583" s="22" t="str">
        <f t="shared" si="886"/>
        <v/>
      </c>
      <c r="N2583" s="72"/>
      <c r="O2583" s="16" t="str">
        <f t="shared" si="887"/>
        <v/>
      </c>
      <c r="P2583" s="16" t="str">
        <f t="shared" si="888"/>
        <v/>
      </c>
      <c r="Q2583" s="16" t="str">
        <f t="shared" si="889"/>
        <v/>
      </c>
      <c r="R2583" s="23" t="str">
        <f t="shared" si="890"/>
        <v/>
      </c>
      <c r="S2583" s="23" t="str">
        <f t="shared" si="891"/>
        <v/>
      </c>
      <c r="T2583" s="23" t="str">
        <f t="shared" si="892"/>
        <v/>
      </c>
      <c r="U2583" s="23" t="str">
        <f t="shared" si="893"/>
        <v/>
      </c>
      <c r="V2583" s="23" t="str">
        <f t="shared" si="894"/>
        <v/>
      </c>
      <c r="W2583" s="70" t="str">
        <f t="shared" si="895"/>
        <v/>
      </c>
      <c r="X2583" s="70" t="str">
        <f t="shared" si="896"/>
        <v/>
      </c>
      <c r="Y2583" s="70" t="str">
        <f>IF(AND($A2583&lt;&gt;"",$E2583&gt;0),isLaptopBag($C2583,$J2583)*$D2583,"")</f>
        <v/>
      </c>
      <c r="Z2583" s="70" t="str">
        <f t="shared" si="897"/>
        <v/>
      </c>
      <c r="AA2583" s="70" t="str">
        <f t="shared" si="898"/>
        <v/>
      </c>
      <c r="AB2583" s="70" t="str">
        <f t="shared" si="899"/>
        <v/>
      </c>
      <c r="AC2583" s="70" t="str">
        <f t="shared" si="900"/>
        <v/>
      </c>
      <c r="AD2583" s="70" t="str">
        <f t="shared" si="901"/>
        <v/>
      </c>
      <c r="AE2583" s="70" t="str">
        <f t="shared" si="902"/>
        <v/>
      </c>
      <c r="AF2583" s="16"/>
      <c r="AG2583" s="23"/>
      <c r="AH2583" s="22"/>
      <c r="AJ2583" s="83">
        <f t="shared" si="903"/>
        <v>0</v>
      </c>
      <c r="AO2583" s="22" t="str">
        <f t="shared" si="904"/>
        <v/>
      </c>
      <c r="AP2583" s="22" t="str">
        <f t="shared" si="905"/>
        <v/>
      </c>
    </row>
    <row r="2584" spans="1:42" x14ac:dyDescent="0.25">
      <c r="A2584" s="10"/>
      <c r="B2584" s="10"/>
      <c r="C2584" s="10"/>
      <c r="D2584" s="10"/>
      <c r="E2584" s="10"/>
      <c r="F2584" s="10"/>
      <c r="G2584" s="10"/>
      <c r="H2584" s="17"/>
      <c r="I2584" s="10"/>
      <c r="J2584" s="10"/>
      <c r="K2584" s="16" t="str">
        <f t="shared" si="884"/>
        <v/>
      </c>
      <c r="L2584" s="23" t="str">
        <f t="shared" si="885"/>
        <v/>
      </c>
      <c r="M2584" s="22" t="str">
        <f t="shared" si="886"/>
        <v/>
      </c>
      <c r="N2584" s="72"/>
      <c r="O2584" s="16" t="str">
        <f t="shared" si="887"/>
        <v/>
      </c>
      <c r="P2584" s="16" t="str">
        <f t="shared" si="888"/>
        <v/>
      </c>
      <c r="Q2584" s="16" t="str">
        <f t="shared" si="889"/>
        <v/>
      </c>
      <c r="R2584" s="23" t="str">
        <f t="shared" si="890"/>
        <v/>
      </c>
      <c r="S2584" s="23" t="str">
        <f t="shared" si="891"/>
        <v/>
      </c>
      <c r="T2584" s="23" t="str">
        <f t="shared" si="892"/>
        <v/>
      </c>
      <c r="U2584" s="23" t="str">
        <f t="shared" si="893"/>
        <v/>
      </c>
      <c r="V2584" s="23" t="str">
        <f t="shared" si="894"/>
        <v/>
      </c>
      <c r="W2584" s="70" t="str">
        <f t="shared" si="895"/>
        <v/>
      </c>
      <c r="X2584" s="70" t="str">
        <f t="shared" si="896"/>
        <v/>
      </c>
      <c r="Y2584" s="70" t="str">
        <f>IF(AND($A2584&lt;&gt;"",$E2584&gt;0),isLaptopBag($C2584,$J2584)*$D2584,"")</f>
        <v/>
      </c>
      <c r="Z2584" s="70" t="str">
        <f t="shared" si="897"/>
        <v/>
      </c>
      <c r="AA2584" s="70" t="str">
        <f t="shared" si="898"/>
        <v/>
      </c>
      <c r="AB2584" s="70" t="str">
        <f t="shared" si="899"/>
        <v/>
      </c>
      <c r="AC2584" s="70" t="str">
        <f t="shared" si="900"/>
        <v/>
      </c>
      <c r="AD2584" s="70" t="str">
        <f t="shared" si="901"/>
        <v/>
      </c>
      <c r="AE2584" s="70" t="str">
        <f t="shared" si="902"/>
        <v/>
      </c>
      <c r="AF2584" s="16"/>
      <c r="AG2584" s="23"/>
      <c r="AH2584" s="22"/>
      <c r="AJ2584" s="83">
        <f t="shared" si="903"/>
        <v>0</v>
      </c>
      <c r="AO2584" s="22" t="str">
        <f t="shared" si="904"/>
        <v/>
      </c>
      <c r="AP2584" s="22" t="str">
        <f t="shared" si="905"/>
        <v/>
      </c>
    </row>
    <row r="2585" spans="1:42" x14ac:dyDescent="0.25">
      <c r="A2585" s="10"/>
      <c r="B2585" s="10"/>
      <c r="C2585" s="10"/>
      <c r="D2585" s="10"/>
      <c r="E2585" s="10"/>
      <c r="F2585" s="10"/>
      <c r="G2585" s="10"/>
      <c r="H2585" s="17"/>
      <c r="I2585" s="10"/>
      <c r="J2585" s="10"/>
      <c r="K2585" s="16" t="str">
        <f t="shared" si="884"/>
        <v/>
      </c>
      <c r="L2585" s="23" t="str">
        <f t="shared" si="885"/>
        <v/>
      </c>
      <c r="M2585" s="22" t="str">
        <f t="shared" si="886"/>
        <v/>
      </c>
      <c r="N2585" s="72"/>
      <c r="O2585" s="16" t="str">
        <f t="shared" si="887"/>
        <v/>
      </c>
      <c r="P2585" s="16" t="str">
        <f t="shared" si="888"/>
        <v/>
      </c>
      <c r="Q2585" s="16" t="str">
        <f t="shared" si="889"/>
        <v/>
      </c>
      <c r="R2585" s="23" t="str">
        <f t="shared" si="890"/>
        <v/>
      </c>
      <c r="S2585" s="23" t="str">
        <f t="shared" si="891"/>
        <v/>
      </c>
      <c r="T2585" s="23" t="str">
        <f t="shared" si="892"/>
        <v/>
      </c>
      <c r="U2585" s="23" t="str">
        <f t="shared" si="893"/>
        <v/>
      </c>
      <c r="V2585" s="23" t="str">
        <f t="shared" si="894"/>
        <v/>
      </c>
      <c r="W2585" s="70" t="str">
        <f t="shared" si="895"/>
        <v/>
      </c>
      <c r="X2585" s="70" t="str">
        <f t="shared" si="896"/>
        <v/>
      </c>
      <c r="Y2585" s="70" t="str">
        <f>IF(AND($A2585&lt;&gt;"",$E2585&gt;0),isLaptopBag($C2585,$J2585)*$D2585,"")</f>
        <v/>
      </c>
      <c r="Z2585" s="70" t="str">
        <f t="shared" si="897"/>
        <v/>
      </c>
      <c r="AA2585" s="70" t="str">
        <f t="shared" si="898"/>
        <v/>
      </c>
      <c r="AB2585" s="70" t="str">
        <f t="shared" si="899"/>
        <v/>
      </c>
      <c r="AC2585" s="70" t="str">
        <f t="shared" si="900"/>
        <v/>
      </c>
      <c r="AD2585" s="70" t="str">
        <f t="shared" si="901"/>
        <v/>
      </c>
      <c r="AE2585" s="70" t="str">
        <f t="shared" si="902"/>
        <v/>
      </c>
      <c r="AF2585" s="16"/>
      <c r="AG2585" s="23"/>
      <c r="AH2585" s="22"/>
      <c r="AJ2585" s="83">
        <f t="shared" si="903"/>
        <v>0</v>
      </c>
      <c r="AO2585" s="22" t="str">
        <f t="shared" si="904"/>
        <v/>
      </c>
      <c r="AP2585" s="22" t="str">
        <f t="shared" si="905"/>
        <v/>
      </c>
    </row>
    <row r="2586" spans="1:42" x14ac:dyDescent="0.25">
      <c r="A2586" s="10"/>
      <c r="B2586" s="10"/>
      <c r="C2586" s="10"/>
      <c r="D2586" s="10"/>
      <c r="E2586" s="10"/>
      <c r="F2586" s="10"/>
      <c r="G2586" s="10"/>
      <c r="H2586" s="17"/>
      <c r="I2586" s="10"/>
      <c r="J2586" s="10"/>
      <c r="K2586" s="16" t="str">
        <f t="shared" si="884"/>
        <v/>
      </c>
      <c r="L2586" s="23" t="str">
        <f t="shared" si="885"/>
        <v/>
      </c>
      <c r="M2586" s="22" t="str">
        <f t="shared" si="886"/>
        <v/>
      </c>
      <c r="N2586" s="72"/>
      <c r="O2586" s="16" t="str">
        <f t="shared" si="887"/>
        <v/>
      </c>
      <c r="P2586" s="16" t="str">
        <f t="shared" si="888"/>
        <v/>
      </c>
      <c r="Q2586" s="16" t="str">
        <f t="shared" si="889"/>
        <v/>
      </c>
      <c r="R2586" s="23" t="str">
        <f t="shared" si="890"/>
        <v/>
      </c>
      <c r="S2586" s="23" t="str">
        <f t="shared" si="891"/>
        <v/>
      </c>
      <c r="T2586" s="23" t="str">
        <f t="shared" si="892"/>
        <v/>
      </c>
      <c r="U2586" s="23" t="str">
        <f t="shared" si="893"/>
        <v/>
      </c>
      <c r="V2586" s="23" t="str">
        <f t="shared" si="894"/>
        <v/>
      </c>
      <c r="W2586" s="70" t="str">
        <f t="shared" si="895"/>
        <v/>
      </c>
      <c r="X2586" s="70" t="str">
        <f t="shared" si="896"/>
        <v/>
      </c>
      <c r="Y2586" s="70" t="str">
        <f>IF(AND($A2586&lt;&gt;"",$E2586&gt;0),isLaptopBag($C2586,$J2586)*$D2586,"")</f>
        <v/>
      </c>
      <c r="Z2586" s="70" t="str">
        <f t="shared" si="897"/>
        <v/>
      </c>
      <c r="AA2586" s="70" t="str">
        <f t="shared" si="898"/>
        <v/>
      </c>
      <c r="AB2586" s="70" t="str">
        <f t="shared" si="899"/>
        <v/>
      </c>
      <c r="AC2586" s="70" t="str">
        <f t="shared" si="900"/>
        <v/>
      </c>
      <c r="AD2586" s="70" t="str">
        <f t="shared" si="901"/>
        <v/>
      </c>
      <c r="AE2586" s="70" t="str">
        <f t="shared" si="902"/>
        <v/>
      </c>
      <c r="AF2586" s="16"/>
      <c r="AG2586" s="23"/>
      <c r="AH2586" s="22"/>
      <c r="AJ2586" s="83">
        <f t="shared" si="903"/>
        <v>0</v>
      </c>
      <c r="AO2586" s="22" t="str">
        <f t="shared" si="904"/>
        <v/>
      </c>
      <c r="AP2586" s="22" t="str">
        <f t="shared" si="905"/>
        <v/>
      </c>
    </row>
    <row r="2587" spans="1:42" x14ac:dyDescent="0.25">
      <c r="A2587" s="10"/>
      <c r="B2587" s="10"/>
      <c r="C2587" s="10"/>
      <c r="D2587" s="10"/>
      <c r="E2587" s="10"/>
      <c r="F2587" s="10"/>
      <c r="G2587" s="10"/>
      <c r="H2587" s="17"/>
      <c r="I2587" s="10"/>
      <c r="J2587" s="10"/>
      <c r="K2587" s="16" t="str">
        <f t="shared" si="884"/>
        <v/>
      </c>
      <c r="L2587" s="23" t="str">
        <f t="shared" si="885"/>
        <v/>
      </c>
      <c r="M2587" s="22" t="str">
        <f t="shared" si="886"/>
        <v/>
      </c>
      <c r="N2587" s="72"/>
      <c r="O2587" s="16" t="str">
        <f t="shared" si="887"/>
        <v/>
      </c>
      <c r="P2587" s="16" t="str">
        <f t="shared" si="888"/>
        <v/>
      </c>
      <c r="Q2587" s="16" t="str">
        <f t="shared" si="889"/>
        <v/>
      </c>
      <c r="R2587" s="23" t="str">
        <f t="shared" si="890"/>
        <v/>
      </c>
      <c r="S2587" s="23" t="str">
        <f t="shared" si="891"/>
        <v/>
      </c>
      <c r="T2587" s="23" t="str">
        <f t="shared" si="892"/>
        <v/>
      </c>
      <c r="U2587" s="23" t="str">
        <f t="shared" si="893"/>
        <v/>
      </c>
      <c r="V2587" s="23" t="str">
        <f t="shared" si="894"/>
        <v/>
      </c>
      <c r="W2587" s="70" t="str">
        <f t="shared" si="895"/>
        <v/>
      </c>
      <c r="X2587" s="70" t="str">
        <f t="shared" si="896"/>
        <v/>
      </c>
      <c r="Y2587" s="70" t="str">
        <f>IF(AND($A2587&lt;&gt;"",$E2587&gt;0),isLaptopBag($C2587,$J2587)*$D2587,"")</f>
        <v/>
      </c>
      <c r="Z2587" s="70" t="str">
        <f t="shared" si="897"/>
        <v/>
      </c>
      <c r="AA2587" s="70" t="str">
        <f t="shared" si="898"/>
        <v/>
      </c>
      <c r="AB2587" s="70" t="str">
        <f t="shared" si="899"/>
        <v/>
      </c>
      <c r="AC2587" s="70" t="str">
        <f t="shared" si="900"/>
        <v/>
      </c>
      <c r="AD2587" s="70" t="str">
        <f t="shared" si="901"/>
        <v/>
      </c>
      <c r="AE2587" s="70" t="str">
        <f t="shared" si="902"/>
        <v/>
      </c>
      <c r="AF2587" s="16"/>
      <c r="AG2587" s="23"/>
      <c r="AH2587" s="22"/>
      <c r="AJ2587" s="83">
        <f t="shared" si="903"/>
        <v>0</v>
      </c>
      <c r="AO2587" s="22" t="str">
        <f t="shared" si="904"/>
        <v/>
      </c>
      <c r="AP2587" s="22" t="str">
        <f t="shared" si="905"/>
        <v/>
      </c>
    </row>
    <row r="2588" spans="1:42" x14ac:dyDescent="0.25">
      <c r="A2588" s="10"/>
      <c r="B2588" s="10"/>
      <c r="C2588" s="10"/>
      <c r="D2588" s="10"/>
      <c r="E2588" s="10"/>
      <c r="F2588" s="10"/>
      <c r="G2588" s="10"/>
      <c r="H2588" s="17"/>
      <c r="I2588" s="10"/>
      <c r="J2588" s="10"/>
      <c r="K2588" s="16" t="str">
        <f t="shared" si="884"/>
        <v/>
      </c>
      <c r="L2588" s="23" t="str">
        <f t="shared" si="885"/>
        <v/>
      </c>
      <c r="M2588" s="22" t="str">
        <f t="shared" si="886"/>
        <v/>
      </c>
      <c r="N2588" s="72"/>
      <c r="O2588" s="16" t="str">
        <f t="shared" si="887"/>
        <v/>
      </c>
      <c r="P2588" s="16" t="str">
        <f t="shared" si="888"/>
        <v/>
      </c>
      <c r="Q2588" s="16" t="str">
        <f t="shared" si="889"/>
        <v/>
      </c>
      <c r="R2588" s="23" t="str">
        <f t="shared" si="890"/>
        <v/>
      </c>
      <c r="S2588" s="23" t="str">
        <f t="shared" si="891"/>
        <v/>
      </c>
      <c r="T2588" s="23" t="str">
        <f t="shared" si="892"/>
        <v/>
      </c>
      <c r="U2588" s="23" t="str">
        <f t="shared" si="893"/>
        <v/>
      </c>
      <c r="V2588" s="23" t="str">
        <f t="shared" si="894"/>
        <v/>
      </c>
      <c r="W2588" s="70" t="str">
        <f t="shared" si="895"/>
        <v/>
      </c>
      <c r="X2588" s="70" t="str">
        <f t="shared" si="896"/>
        <v/>
      </c>
      <c r="Y2588" s="70" t="str">
        <f>IF(AND($A2588&lt;&gt;"",$E2588&gt;0),isLaptopBag($C2588,$J2588)*$D2588,"")</f>
        <v/>
      </c>
      <c r="Z2588" s="70" t="str">
        <f t="shared" si="897"/>
        <v/>
      </c>
      <c r="AA2588" s="70" t="str">
        <f t="shared" si="898"/>
        <v/>
      </c>
      <c r="AB2588" s="70" t="str">
        <f t="shared" si="899"/>
        <v/>
      </c>
      <c r="AC2588" s="70" t="str">
        <f t="shared" si="900"/>
        <v/>
      </c>
      <c r="AD2588" s="70" t="str">
        <f t="shared" si="901"/>
        <v/>
      </c>
      <c r="AE2588" s="70" t="str">
        <f t="shared" si="902"/>
        <v/>
      </c>
      <c r="AF2588" s="16"/>
      <c r="AG2588" s="23"/>
      <c r="AH2588" s="22"/>
      <c r="AJ2588" s="83">
        <f t="shared" si="903"/>
        <v>0</v>
      </c>
      <c r="AO2588" s="22" t="str">
        <f t="shared" si="904"/>
        <v/>
      </c>
      <c r="AP2588" s="22" t="str">
        <f t="shared" si="905"/>
        <v/>
      </c>
    </row>
    <row r="2589" spans="1:42" x14ac:dyDescent="0.25">
      <c r="A2589" s="10"/>
      <c r="B2589" s="10"/>
      <c r="C2589" s="10"/>
      <c r="D2589" s="10"/>
      <c r="E2589" s="10"/>
      <c r="F2589" s="10"/>
      <c r="G2589" s="10"/>
      <c r="H2589" s="17"/>
      <c r="I2589" s="10"/>
      <c r="J2589" s="10"/>
      <c r="K2589" s="16" t="str">
        <f t="shared" si="884"/>
        <v/>
      </c>
      <c r="L2589" s="23" t="str">
        <f t="shared" si="885"/>
        <v/>
      </c>
      <c r="M2589" s="22" t="str">
        <f t="shared" si="886"/>
        <v/>
      </c>
      <c r="N2589" s="72"/>
      <c r="O2589" s="16" t="str">
        <f t="shared" si="887"/>
        <v/>
      </c>
      <c r="P2589" s="16" t="str">
        <f t="shared" si="888"/>
        <v/>
      </c>
      <c r="Q2589" s="16" t="str">
        <f t="shared" si="889"/>
        <v/>
      </c>
      <c r="R2589" s="23" t="str">
        <f t="shared" si="890"/>
        <v/>
      </c>
      <c r="S2589" s="23" t="str">
        <f t="shared" si="891"/>
        <v/>
      </c>
      <c r="T2589" s="23" t="str">
        <f t="shared" si="892"/>
        <v/>
      </c>
      <c r="U2589" s="23" t="str">
        <f t="shared" si="893"/>
        <v/>
      </c>
      <c r="V2589" s="23" t="str">
        <f t="shared" si="894"/>
        <v/>
      </c>
      <c r="W2589" s="70" t="str">
        <f t="shared" si="895"/>
        <v/>
      </c>
      <c r="X2589" s="70" t="str">
        <f t="shared" si="896"/>
        <v/>
      </c>
      <c r="Y2589" s="70" t="str">
        <f>IF(AND($A2589&lt;&gt;"",$E2589&gt;0),isLaptopBag($C2589,$J2589)*$D2589,"")</f>
        <v/>
      </c>
      <c r="Z2589" s="70" t="str">
        <f t="shared" si="897"/>
        <v/>
      </c>
      <c r="AA2589" s="70" t="str">
        <f t="shared" si="898"/>
        <v/>
      </c>
      <c r="AB2589" s="70" t="str">
        <f t="shared" si="899"/>
        <v/>
      </c>
      <c r="AC2589" s="70" t="str">
        <f t="shared" si="900"/>
        <v/>
      </c>
      <c r="AD2589" s="70" t="str">
        <f t="shared" si="901"/>
        <v/>
      </c>
      <c r="AE2589" s="70" t="str">
        <f t="shared" si="902"/>
        <v/>
      </c>
      <c r="AF2589" s="16"/>
      <c r="AG2589" s="23"/>
      <c r="AH2589" s="22"/>
      <c r="AJ2589" s="83">
        <f t="shared" si="903"/>
        <v>0</v>
      </c>
      <c r="AO2589" s="22" t="str">
        <f t="shared" si="904"/>
        <v/>
      </c>
      <c r="AP2589" s="22" t="str">
        <f t="shared" si="905"/>
        <v/>
      </c>
    </row>
    <row r="2590" spans="1:42" x14ac:dyDescent="0.25">
      <c r="A2590" s="10"/>
      <c r="B2590" s="10"/>
      <c r="C2590" s="10"/>
      <c r="D2590" s="10"/>
      <c r="E2590" s="10"/>
      <c r="F2590" s="10"/>
      <c r="G2590" s="10"/>
      <c r="H2590" s="17"/>
      <c r="I2590" s="10"/>
      <c r="J2590" s="10"/>
      <c r="K2590" s="16" t="str">
        <f t="shared" si="884"/>
        <v/>
      </c>
      <c r="L2590" s="23" t="str">
        <f t="shared" si="885"/>
        <v/>
      </c>
      <c r="M2590" s="22" t="str">
        <f t="shared" si="886"/>
        <v/>
      </c>
      <c r="N2590" s="72"/>
      <c r="O2590" s="16" t="str">
        <f t="shared" si="887"/>
        <v/>
      </c>
      <c r="P2590" s="16" t="str">
        <f t="shared" si="888"/>
        <v/>
      </c>
      <c r="Q2590" s="16" t="str">
        <f t="shared" si="889"/>
        <v/>
      </c>
      <c r="R2590" s="23" t="str">
        <f t="shared" si="890"/>
        <v/>
      </c>
      <c r="S2590" s="23" t="str">
        <f t="shared" si="891"/>
        <v/>
      </c>
      <c r="T2590" s="23" t="str">
        <f t="shared" si="892"/>
        <v/>
      </c>
      <c r="U2590" s="23" t="str">
        <f t="shared" si="893"/>
        <v/>
      </c>
      <c r="V2590" s="23" t="str">
        <f t="shared" si="894"/>
        <v/>
      </c>
      <c r="W2590" s="70" t="str">
        <f t="shared" si="895"/>
        <v/>
      </c>
      <c r="X2590" s="70" t="str">
        <f t="shared" si="896"/>
        <v/>
      </c>
      <c r="Y2590" s="70" t="str">
        <f>IF(AND($A2590&lt;&gt;"",$E2590&gt;0),isLaptopBag($C2590,$J2590)*$D2590,"")</f>
        <v/>
      </c>
      <c r="Z2590" s="70" t="str">
        <f t="shared" si="897"/>
        <v/>
      </c>
      <c r="AA2590" s="70" t="str">
        <f t="shared" si="898"/>
        <v/>
      </c>
      <c r="AB2590" s="70" t="str">
        <f t="shared" si="899"/>
        <v/>
      </c>
      <c r="AC2590" s="70" t="str">
        <f t="shared" si="900"/>
        <v/>
      </c>
      <c r="AD2590" s="70" t="str">
        <f t="shared" si="901"/>
        <v/>
      </c>
      <c r="AE2590" s="70" t="str">
        <f t="shared" si="902"/>
        <v/>
      </c>
      <c r="AF2590" s="16"/>
      <c r="AG2590" s="23"/>
      <c r="AH2590" s="22"/>
      <c r="AJ2590" s="83">
        <f t="shared" si="903"/>
        <v>0</v>
      </c>
      <c r="AO2590" s="22" t="str">
        <f t="shared" si="904"/>
        <v/>
      </c>
      <c r="AP2590" s="22" t="str">
        <f t="shared" si="905"/>
        <v/>
      </c>
    </row>
    <row r="2591" spans="1:42" x14ac:dyDescent="0.25">
      <c r="A2591" s="10"/>
      <c r="B2591" s="10"/>
      <c r="C2591" s="10"/>
      <c r="D2591" s="10"/>
      <c r="E2591" s="10"/>
      <c r="F2591" s="10"/>
      <c r="G2591" s="10"/>
      <c r="H2591" s="17"/>
      <c r="I2591" s="10"/>
      <c r="J2591" s="10"/>
      <c r="K2591" s="16" t="str">
        <f t="shared" si="884"/>
        <v/>
      </c>
      <c r="L2591" s="23" t="str">
        <f t="shared" si="885"/>
        <v/>
      </c>
      <c r="M2591" s="22" t="str">
        <f t="shared" si="886"/>
        <v/>
      </c>
      <c r="N2591" s="72"/>
      <c r="O2591" s="16" t="str">
        <f t="shared" si="887"/>
        <v/>
      </c>
      <c r="P2591" s="16" t="str">
        <f t="shared" si="888"/>
        <v/>
      </c>
      <c r="Q2591" s="16" t="str">
        <f t="shared" si="889"/>
        <v/>
      </c>
      <c r="R2591" s="23" t="str">
        <f t="shared" si="890"/>
        <v/>
      </c>
      <c r="S2591" s="23" t="str">
        <f t="shared" si="891"/>
        <v/>
      </c>
      <c r="T2591" s="23" t="str">
        <f t="shared" si="892"/>
        <v/>
      </c>
      <c r="U2591" s="23" t="str">
        <f t="shared" si="893"/>
        <v/>
      </c>
      <c r="V2591" s="23" t="str">
        <f t="shared" si="894"/>
        <v/>
      </c>
      <c r="W2591" s="70" t="str">
        <f t="shared" si="895"/>
        <v/>
      </c>
      <c r="X2591" s="70" t="str">
        <f t="shared" si="896"/>
        <v/>
      </c>
      <c r="Y2591" s="70" t="str">
        <f>IF(AND($A2591&lt;&gt;"",$E2591&gt;0),isLaptopBag($C2591,$J2591)*$D2591,"")</f>
        <v/>
      </c>
      <c r="Z2591" s="70" t="str">
        <f t="shared" si="897"/>
        <v/>
      </c>
      <c r="AA2591" s="70" t="str">
        <f t="shared" si="898"/>
        <v/>
      </c>
      <c r="AB2591" s="70" t="str">
        <f t="shared" si="899"/>
        <v/>
      </c>
      <c r="AC2591" s="70" t="str">
        <f t="shared" si="900"/>
        <v/>
      </c>
      <c r="AD2591" s="70" t="str">
        <f t="shared" si="901"/>
        <v/>
      </c>
      <c r="AE2591" s="70" t="str">
        <f t="shared" si="902"/>
        <v/>
      </c>
      <c r="AF2591" s="16"/>
      <c r="AG2591" s="23"/>
      <c r="AH2591" s="22"/>
      <c r="AJ2591" s="83">
        <f t="shared" si="903"/>
        <v>0</v>
      </c>
      <c r="AO2591" s="22" t="str">
        <f t="shared" si="904"/>
        <v/>
      </c>
      <c r="AP2591" s="22" t="str">
        <f t="shared" si="905"/>
        <v/>
      </c>
    </row>
    <row r="2592" spans="1:42" x14ac:dyDescent="0.25">
      <c r="A2592" s="10"/>
      <c r="B2592" s="10"/>
      <c r="C2592" s="10"/>
      <c r="D2592" s="10"/>
      <c r="E2592" s="10"/>
      <c r="F2592" s="10"/>
      <c r="G2592" s="10"/>
      <c r="H2592" s="17"/>
      <c r="I2592" s="10"/>
      <c r="J2592" s="10"/>
      <c r="K2592" s="16" t="str">
        <f t="shared" si="884"/>
        <v/>
      </c>
      <c r="L2592" s="23" t="str">
        <f t="shared" si="885"/>
        <v/>
      </c>
      <c r="M2592" s="22" t="str">
        <f t="shared" si="886"/>
        <v/>
      </c>
      <c r="N2592" s="72"/>
      <c r="O2592" s="16" t="str">
        <f t="shared" si="887"/>
        <v/>
      </c>
      <c r="P2592" s="16" t="str">
        <f t="shared" si="888"/>
        <v/>
      </c>
      <c r="Q2592" s="16" t="str">
        <f t="shared" si="889"/>
        <v/>
      </c>
      <c r="R2592" s="23" t="str">
        <f t="shared" si="890"/>
        <v/>
      </c>
      <c r="S2592" s="23" t="str">
        <f t="shared" si="891"/>
        <v/>
      </c>
      <c r="T2592" s="23" t="str">
        <f t="shared" si="892"/>
        <v/>
      </c>
      <c r="U2592" s="23" t="str">
        <f t="shared" si="893"/>
        <v/>
      </c>
      <c r="V2592" s="23" t="str">
        <f t="shared" si="894"/>
        <v/>
      </c>
      <c r="W2592" s="70" t="str">
        <f t="shared" si="895"/>
        <v/>
      </c>
      <c r="X2592" s="70" t="str">
        <f t="shared" si="896"/>
        <v/>
      </c>
      <c r="Y2592" s="70" t="str">
        <f>IF(AND($A2592&lt;&gt;"",$E2592&gt;0),isLaptopBag($C2592,$J2592)*$D2592,"")</f>
        <v/>
      </c>
      <c r="Z2592" s="70" t="str">
        <f t="shared" si="897"/>
        <v/>
      </c>
      <c r="AA2592" s="70" t="str">
        <f t="shared" si="898"/>
        <v/>
      </c>
      <c r="AB2592" s="70" t="str">
        <f t="shared" si="899"/>
        <v/>
      </c>
      <c r="AC2592" s="70" t="str">
        <f t="shared" si="900"/>
        <v/>
      </c>
      <c r="AD2592" s="70" t="str">
        <f t="shared" si="901"/>
        <v/>
      </c>
      <c r="AE2592" s="70" t="str">
        <f t="shared" si="902"/>
        <v/>
      </c>
      <c r="AF2592" s="16"/>
      <c r="AG2592" s="23"/>
      <c r="AH2592" s="22"/>
      <c r="AJ2592" s="83">
        <f t="shared" si="903"/>
        <v>0</v>
      </c>
      <c r="AO2592" s="22" t="str">
        <f t="shared" si="904"/>
        <v/>
      </c>
      <c r="AP2592" s="22" t="str">
        <f t="shared" si="905"/>
        <v/>
      </c>
    </row>
    <row r="2593" spans="1:42" x14ac:dyDescent="0.25">
      <c r="A2593" s="10"/>
      <c r="B2593" s="10"/>
      <c r="C2593" s="10"/>
      <c r="D2593" s="10"/>
      <c r="E2593" s="10"/>
      <c r="F2593" s="10"/>
      <c r="G2593" s="10"/>
      <c r="H2593" s="17"/>
      <c r="I2593" s="10"/>
      <c r="J2593" s="10"/>
      <c r="K2593" s="16" t="str">
        <f t="shared" si="884"/>
        <v/>
      </c>
      <c r="L2593" s="23" t="str">
        <f t="shared" si="885"/>
        <v/>
      </c>
      <c r="M2593" s="22" t="str">
        <f t="shared" si="886"/>
        <v/>
      </c>
      <c r="N2593" s="72"/>
      <c r="O2593" s="16" t="str">
        <f t="shared" si="887"/>
        <v/>
      </c>
      <c r="P2593" s="16" t="str">
        <f t="shared" si="888"/>
        <v/>
      </c>
      <c r="Q2593" s="16" t="str">
        <f t="shared" si="889"/>
        <v/>
      </c>
      <c r="R2593" s="23" t="str">
        <f t="shared" si="890"/>
        <v/>
      </c>
      <c r="S2593" s="23" t="str">
        <f t="shared" si="891"/>
        <v/>
      </c>
      <c r="T2593" s="23" t="str">
        <f t="shared" si="892"/>
        <v/>
      </c>
      <c r="U2593" s="23" t="str">
        <f t="shared" si="893"/>
        <v/>
      </c>
      <c r="V2593" s="23" t="str">
        <f t="shared" si="894"/>
        <v/>
      </c>
      <c r="W2593" s="70" t="str">
        <f t="shared" si="895"/>
        <v/>
      </c>
      <c r="X2593" s="70" t="str">
        <f t="shared" si="896"/>
        <v/>
      </c>
      <c r="Y2593" s="70" t="str">
        <f>IF(AND($A2593&lt;&gt;"",$E2593&gt;0),isLaptopBag($C2593,$J2593)*$D2593,"")</f>
        <v/>
      </c>
      <c r="Z2593" s="70" t="str">
        <f t="shared" si="897"/>
        <v/>
      </c>
      <c r="AA2593" s="70" t="str">
        <f t="shared" si="898"/>
        <v/>
      </c>
      <c r="AB2593" s="70" t="str">
        <f t="shared" si="899"/>
        <v/>
      </c>
      <c r="AC2593" s="70" t="str">
        <f t="shared" si="900"/>
        <v/>
      </c>
      <c r="AD2593" s="70" t="str">
        <f t="shared" si="901"/>
        <v/>
      </c>
      <c r="AE2593" s="70" t="str">
        <f t="shared" si="902"/>
        <v/>
      </c>
      <c r="AF2593" s="16"/>
      <c r="AG2593" s="23"/>
      <c r="AH2593" s="22"/>
      <c r="AJ2593" s="83">
        <f t="shared" si="903"/>
        <v>0</v>
      </c>
      <c r="AO2593" s="22" t="str">
        <f t="shared" si="904"/>
        <v/>
      </c>
      <c r="AP2593" s="22" t="str">
        <f t="shared" si="905"/>
        <v/>
      </c>
    </row>
    <row r="2594" spans="1:42" x14ac:dyDescent="0.25">
      <c r="A2594" s="10"/>
      <c r="B2594" s="10"/>
      <c r="C2594" s="10"/>
      <c r="D2594" s="10"/>
      <c r="E2594" s="10"/>
      <c r="F2594" s="10"/>
      <c r="G2594" s="10"/>
      <c r="H2594" s="17"/>
      <c r="I2594" s="10"/>
      <c r="J2594" s="10"/>
      <c r="K2594" s="16" t="str">
        <f t="shared" si="884"/>
        <v/>
      </c>
      <c r="L2594" s="23" t="str">
        <f t="shared" si="885"/>
        <v/>
      </c>
      <c r="M2594" s="22" t="str">
        <f t="shared" si="886"/>
        <v/>
      </c>
      <c r="N2594" s="72"/>
      <c r="O2594" s="16" t="str">
        <f t="shared" si="887"/>
        <v/>
      </c>
      <c r="P2594" s="16" t="str">
        <f t="shared" si="888"/>
        <v/>
      </c>
      <c r="Q2594" s="16" t="str">
        <f t="shared" si="889"/>
        <v/>
      </c>
      <c r="R2594" s="23" t="str">
        <f t="shared" si="890"/>
        <v/>
      </c>
      <c r="S2594" s="23" t="str">
        <f t="shared" si="891"/>
        <v/>
      </c>
      <c r="T2594" s="23" t="str">
        <f t="shared" si="892"/>
        <v/>
      </c>
      <c r="U2594" s="23" t="str">
        <f t="shared" si="893"/>
        <v/>
      </c>
      <c r="V2594" s="23" t="str">
        <f t="shared" si="894"/>
        <v/>
      </c>
      <c r="W2594" s="70" t="str">
        <f t="shared" si="895"/>
        <v/>
      </c>
      <c r="X2594" s="70" t="str">
        <f t="shared" si="896"/>
        <v/>
      </c>
      <c r="Y2594" s="70" t="str">
        <f>IF(AND($A2594&lt;&gt;"",$E2594&gt;0),isLaptopBag($C2594,$J2594)*$D2594,"")</f>
        <v/>
      </c>
      <c r="Z2594" s="70" t="str">
        <f t="shared" si="897"/>
        <v/>
      </c>
      <c r="AA2594" s="70" t="str">
        <f t="shared" si="898"/>
        <v/>
      </c>
      <c r="AB2594" s="70" t="str">
        <f t="shared" si="899"/>
        <v/>
      </c>
      <c r="AC2594" s="70" t="str">
        <f t="shared" si="900"/>
        <v/>
      </c>
      <c r="AD2594" s="70" t="str">
        <f t="shared" si="901"/>
        <v/>
      </c>
      <c r="AE2594" s="70" t="str">
        <f t="shared" si="902"/>
        <v/>
      </c>
      <c r="AF2594" s="16"/>
      <c r="AG2594" s="23"/>
      <c r="AH2594" s="22"/>
      <c r="AJ2594" s="83">
        <f t="shared" si="903"/>
        <v>0</v>
      </c>
      <c r="AO2594" s="22" t="str">
        <f t="shared" si="904"/>
        <v/>
      </c>
      <c r="AP2594" s="22" t="str">
        <f t="shared" si="905"/>
        <v/>
      </c>
    </row>
    <row r="2595" spans="1:42" x14ac:dyDescent="0.25">
      <c r="A2595" s="10"/>
      <c r="B2595" s="10"/>
      <c r="C2595" s="10"/>
      <c r="D2595" s="10"/>
      <c r="E2595" s="10"/>
      <c r="F2595" s="10"/>
      <c r="G2595" s="10"/>
      <c r="H2595" s="17"/>
      <c r="I2595" s="10"/>
      <c r="J2595" s="10"/>
      <c r="K2595" s="16" t="str">
        <f t="shared" si="884"/>
        <v/>
      </c>
      <c r="L2595" s="23" t="str">
        <f t="shared" si="885"/>
        <v/>
      </c>
      <c r="M2595" s="22" t="str">
        <f t="shared" si="886"/>
        <v/>
      </c>
      <c r="N2595" s="72"/>
      <c r="O2595" s="16" t="str">
        <f t="shared" si="887"/>
        <v/>
      </c>
      <c r="P2595" s="16" t="str">
        <f t="shared" si="888"/>
        <v/>
      </c>
      <c r="Q2595" s="16" t="str">
        <f t="shared" si="889"/>
        <v/>
      </c>
      <c r="R2595" s="23" t="str">
        <f t="shared" si="890"/>
        <v/>
      </c>
      <c r="S2595" s="23" t="str">
        <f t="shared" si="891"/>
        <v/>
      </c>
      <c r="T2595" s="23" t="str">
        <f t="shared" si="892"/>
        <v/>
      </c>
      <c r="U2595" s="23" t="str">
        <f t="shared" si="893"/>
        <v/>
      </c>
      <c r="V2595" s="23" t="str">
        <f t="shared" si="894"/>
        <v/>
      </c>
      <c r="W2595" s="70" t="str">
        <f t="shared" si="895"/>
        <v/>
      </c>
      <c r="X2595" s="70" t="str">
        <f t="shared" si="896"/>
        <v/>
      </c>
      <c r="Y2595" s="70" t="str">
        <f>IF(AND($A2595&lt;&gt;"",$E2595&gt;0),isLaptopBag($C2595,$J2595)*$D2595,"")</f>
        <v/>
      </c>
      <c r="Z2595" s="70" t="str">
        <f t="shared" si="897"/>
        <v/>
      </c>
      <c r="AA2595" s="70" t="str">
        <f t="shared" si="898"/>
        <v/>
      </c>
      <c r="AB2595" s="70" t="str">
        <f t="shared" si="899"/>
        <v/>
      </c>
      <c r="AC2595" s="70" t="str">
        <f t="shared" si="900"/>
        <v/>
      </c>
      <c r="AD2595" s="70" t="str">
        <f t="shared" si="901"/>
        <v/>
      </c>
      <c r="AE2595" s="70" t="str">
        <f t="shared" si="902"/>
        <v/>
      </c>
      <c r="AF2595" s="16"/>
      <c r="AG2595" s="23"/>
      <c r="AH2595" s="22"/>
      <c r="AJ2595" s="83">
        <f t="shared" si="903"/>
        <v>0</v>
      </c>
      <c r="AO2595" s="22" t="str">
        <f t="shared" si="904"/>
        <v/>
      </c>
      <c r="AP2595" s="22" t="str">
        <f t="shared" si="905"/>
        <v/>
      </c>
    </row>
    <row r="2596" spans="1:42" x14ac:dyDescent="0.25">
      <c r="A2596" s="10"/>
      <c r="B2596" s="10"/>
      <c r="C2596" s="10"/>
      <c r="D2596" s="10"/>
      <c r="E2596" s="10"/>
      <c r="F2596" s="10"/>
      <c r="G2596" s="10"/>
      <c r="H2596" s="17"/>
      <c r="I2596" s="10"/>
      <c r="J2596" s="10"/>
      <c r="K2596" s="16" t="str">
        <f t="shared" si="884"/>
        <v/>
      </c>
      <c r="L2596" s="23" t="str">
        <f t="shared" si="885"/>
        <v/>
      </c>
      <c r="M2596" s="22" t="str">
        <f t="shared" si="886"/>
        <v/>
      </c>
      <c r="N2596" s="72"/>
      <c r="O2596" s="16" t="str">
        <f t="shared" si="887"/>
        <v/>
      </c>
      <c r="P2596" s="16" t="str">
        <f t="shared" si="888"/>
        <v/>
      </c>
      <c r="Q2596" s="16" t="str">
        <f t="shared" si="889"/>
        <v/>
      </c>
      <c r="R2596" s="23" t="str">
        <f t="shared" si="890"/>
        <v/>
      </c>
      <c r="S2596" s="23" t="str">
        <f t="shared" si="891"/>
        <v/>
      </c>
      <c r="T2596" s="23" t="str">
        <f t="shared" si="892"/>
        <v/>
      </c>
      <c r="U2596" s="23" t="str">
        <f t="shared" si="893"/>
        <v/>
      </c>
      <c r="V2596" s="23" t="str">
        <f t="shared" si="894"/>
        <v/>
      </c>
      <c r="W2596" s="70" t="str">
        <f t="shared" si="895"/>
        <v/>
      </c>
      <c r="X2596" s="70" t="str">
        <f t="shared" si="896"/>
        <v/>
      </c>
      <c r="Y2596" s="70" t="str">
        <f>IF(AND($A2596&lt;&gt;"",$E2596&gt;0),isLaptopBag($C2596,$J2596)*$D2596,"")</f>
        <v/>
      </c>
      <c r="Z2596" s="70" t="str">
        <f t="shared" si="897"/>
        <v/>
      </c>
      <c r="AA2596" s="70" t="str">
        <f t="shared" si="898"/>
        <v/>
      </c>
      <c r="AB2596" s="70" t="str">
        <f t="shared" si="899"/>
        <v/>
      </c>
      <c r="AC2596" s="70" t="str">
        <f t="shared" si="900"/>
        <v/>
      </c>
      <c r="AD2596" s="70" t="str">
        <f t="shared" si="901"/>
        <v/>
      </c>
      <c r="AE2596" s="70" t="str">
        <f t="shared" si="902"/>
        <v/>
      </c>
      <c r="AF2596" s="16"/>
      <c r="AG2596" s="23"/>
      <c r="AH2596" s="22"/>
      <c r="AJ2596" s="83">
        <f t="shared" si="903"/>
        <v>0</v>
      </c>
      <c r="AO2596" s="22" t="str">
        <f t="shared" si="904"/>
        <v/>
      </c>
      <c r="AP2596" s="22" t="str">
        <f t="shared" si="905"/>
        <v/>
      </c>
    </row>
    <row r="2597" spans="1:42" x14ac:dyDescent="0.25">
      <c r="A2597" s="10"/>
      <c r="B2597" s="10"/>
      <c r="C2597" s="10"/>
      <c r="D2597" s="10"/>
      <c r="E2597" s="10"/>
      <c r="F2597" s="10"/>
      <c r="G2597" s="10"/>
      <c r="H2597" s="17"/>
      <c r="I2597" s="10"/>
      <c r="J2597" s="10"/>
      <c r="K2597" s="16" t="str">
        <f t="shared" si="884"/>
        <v/>
      </c>
      <c r="L2597" s="23" t="str">
        <f t="shared" si="885"/>
        <v/>
      </c>
      <c r="M2597" s="22" t="str">
        <f t="shared" si="886"/>
        <v/>
      </c>
      <c r="N2597" s="72"/>
      <c r="O2597" s="16" t="str">
        <f t="shared" si="887"/>
        <v/>
      </c>
      <c r="P2597" s="16" t="str">
        <f t="shared" si="888"/>
        <v/>
      </c>
      <c r="Q2597" s="16" t="str">
        <f t="shared" si="889"/>
        <v/>
      </c>
      <c r="R2597" s="23" t="str">
        <f t="shared" si="890"/>
        <v/>
      </c>
      <c r="S2597" s="23" t="str">
        <f t="shared" si="891"/>
        <v/>
      </c>
      <c r="T2597" s="23" t="str">
        <f t="shared" si="892"/>
        <v/>
      </c>
      <c r="U2597" s="23" t="str">
        <f t="shared" si="893"/>
        <v/>
      </c>
      <c r="V2597" s="23" t="str">
        <f t="shared" si="894"/>
        <v/>
      </c>
      <c r="W2597" s="70" t="str">
        <f t="shared" si="895"/>
        <v/>
      </c>
      <c r="X2597" s="70" t="str">
        <f t="shared" si="896"/>
        <v/>
      </c>
      <c r="Y2597" s="70" t="str">
        <f>IF(AND($A2597&lt;&gt;"",$E2597&gt;0),isLaptopBag($C2597,$J2597)*$D2597,"")</f>
        <v/>
      </c>
      <c r="Z2597" s="70" t="str">
        <f t="shared" si="897"/>
        <v/>
      </c>
      <c r="AA2597" s="70" t="str">
        <f t="shared" si="898"/>
        <v/>
      </c>
      <c r="AB2597" s="70" t="str">
        <f t="shared" si="899"/>
        <v/>
      </c>
      <c r="AC2597" s="70" t="str">
        <f t="shared" si="900"/>
        <v/>
      </c>
      <c r="AD2597" s="70" t="str">
        <f t="shared" si="901"/>
        <v/>
      </c>
      <c r="AE2597" s="70" t="str">
        <f t="shared" si="902"/>
        <v/>
      </c>
      <c r="AF2597" s="16"/>
      <c r="AG2597" s="23"/>
      <c r="AH2597" s="22"/>
      <c r="AJ2597" s="83">
        <f t="shared" si="903"/>
        <v>0</v>
      </c>
      <c r="AO2597" s="22" t="str">
        <f t="shared" si="904"/>
        <v/>
      </c>
      <c r="AP2597" s="22" t="str">
        <f t="shared" si="905"/>
        <v/>
      </c>
    </row>
    <row r="2598" spans="1:42" x14ac:dyDescent="0.25">
      <c r="A2598" s="10"/>
      <c r="B2598" s="10"/>
      <c r="C2598" s="10"/>
      <c r="D2598" s="10"/>
      <c r="E2598" s="10"/>
      <c r="F2598" s="10"/>
      <c r="G2598" s="10"/>
      <c r="H2598" s="17"/>
      <c r="I2598" s="10"/>
      <c r="J2598" s="10"/>
      <c r="K2598" s="16" t="str">
        <f t="shared" si="884"/>
        <v/>
      </c>
      <c r="L2598" s="23" t="str">
        <f t="shared" si="885"/>
        <v/>
      </c>
      <c r="M2598" s="22" t="str">
        <f t="shared" si="886"/>
        <v/>
      </c>
      <c r="N2598" s="72"/>
      <c r="O2598" s="16" t="str">
        <f t="shared" si="887"/>
        <v/>
      </c>
      <c r="P2598" s="16" t="str">
        <f t="shared" si="888"/>
        <v/>
      </c>
      <c r="Q2598" s="16" t="str">
        <f t="shared" si="889"/>
        <v/>
      </c>
      <c r="R2598" s="23" t="str">
        <f t="shared" si="890"/>
        <v/>
      </c>
      <c r="S2598" s="23" t="str">
        <f t="shared" si="891"/>
        <v/>
      </c>
      <c r="T2598" s="23" t="str">
        <f t="shared" si="892"/>
        <v/>
      </c>
      <c r="U2598" s="23" t="str">
        <f t="shared" si="893"/>
        <v/>
      </c>
      <c r="V2598" s="23" t="str">
        <f t="shared" si="894"/>
        <v/>
      </c>
      <c r="W2598" s="70" t="str">
        <f t="shared" si="895"/>
        <v/>
      </c>
      <c r="X2598" s="70" t="str">
        <f t="shared" si="896"/>
        <v/>
      </c>
      <c r="Y2598" s="70" t="str">
        <f>IF(AND($A2598&lt;&gt;"",$E2598&gt;0),isLaptopBag($C2598,$J2598)*$D2598,"")</f>
        <v/>
      </c>
      <c r="Z2598" s="70" t="str">
        <f t="shared" si="897"/>
        <v/>
      </c>
      <c r="AA2598" s="70" t="str">
        <f t="shared" si="898"/>
        <v/>
      </c>
      <c r="AB2598" s="70" t="str">
        <f t="shared" si="899"/>
        <v/>
      </c>
      <c r="AC2598" s="70" t="str">
        <f t="shared" si="900"/>
        <v/>
      </c>
      <c r="AD2598" s="70" t="str">
        <f t="shared" si="901"/>
        <v/>
      </c>
      <c r="AE2598" s="70" t="str">
        <f t="shared" si="902"/>
        <v/>
      </c>
      <c r="AF2598" s="16"/>
      <c r="AG2598" s="23"/>
      <c r="AH2598" s="22"/>
      <c r="AJ2598" s="83">
        <f t="shared" si="903"/>
        <v>0</v>
      </c>
      <c r="AO2598" s="22" t="str">
        <f t="shared" si="904"/>
        <v/>
      </c>
      <c r="AP2598" s="22" t="str">
        <f t="shared" si="905"/>
        <v/>
      </c>
    </row>
    <row r="2599" spans="1:42" x14ac:dyDescent="0.25">
      <c r="A2599" s="10"/>
      <c r="B2599" s="10"/>
      <c r="C2599" s="10"/>
      <c r="D2599" s="10"/>
      <c r="E2599" s="10"/>
      <c r="F2599" s="10"/>
      <c r="G2599" s="10"/>
      <c r="H2599" s="17"/>
      <c r="I2599" s="10"/>
      <c r="J2599" s="10"/>
      <c r="K2599" s="16" t="str">
        <f t="shared" si="884"/>
        <v/>
      </c>
      <c r="L2599" s="23" t="str">
        <f t="shared" si="885"/>
        <v/>
      </c>
      <c r="M2599" s="22" t="str">
        <f t="shared" si="886"/>
        <v/>
      </c>
      <c r="N2599" s="72"/>
      <c r="O2599" s="16" t="str">
        <f t="shared" si="887"/>
        <v/>
      </c>
      <c r="P2599" s="16" t="str">
        <f t="shared" si="888"/>
        <v/>
      </c>
      <c r="Q2599" s="16" t="str">
        <f t="shared" si="889"/>
        <v/>
      </c>
      <c r="R2599" s="23" t="str">
        <f t="shared" si="890"/>
        <v/>
      </c>
      <c r="S2599" s="23" t="str">
        <f t="shared" si="891"/>
        <v/>
      </c>
      <c r="T2599" s="23" t="str">
        <f t="shared" si="892"/>
        <v/>
      </c>
      <c r="U2599" s="23" t="str">
        <f t="shared" si="893"/>
        <v/>
      </c>
      <c r="V2599" s="23" t="str">
        <f t="shared" si="894"/>
        <v/>
      </c>
      <c r="W2599" s="70" t="str">
        <f t="shared" si="895"/>
        <v/>
      </c>
      <c r="X2599" s="70" t="str">
        <f t="shared" si="896"/>
        <v/>
      </c>
      <c r="Y2599" s="70" t="str">
        <f>IF(AND($A2599&lt;&gt;"",$E2599&gt;0),isLaptopBag($C2599,$J2599)*$D2599,"")</f>
        <v/>
      </c>
      <c r="Z2599" s="70" t="str">
        <f t="shared" si="897"/>
        <v/>
      </c>
      <c r="AA2599" s="70" t="str">
        <f t="shared" si="898"/>
        <v/>
      </c>
      <c r="AB2599" s="70" t="str">
        <f t="shared" si="899"/>
        <v/>
      </c>
      <c r="AC2599" s="70" t="str">
        <f t="shared" si="900"/>
        <v/>
      </c>
      <c r="AD2599" s="70" t="str">
        <f t="shared" si="901"/>
        <v/>
      </c>
      <c r="AE2599" s="70" t="str">
        <f t="shared" si="902"/>
        <v/>
      </c>
      <c r="AF2599" s="16"/>
      <c r="AG2599" s="23"/>
      <c r="AH2599" s="22"/>
      <c r="AJ2599" s="83">
        <f t="shared" si="903"/>
        <v>0</v>
      </c>
      <c r="AO2599" s="22" t="str">
        <f t="shared" si="904"/>
        <v/>
      </c>
      <c r="AP2599" s="22" t="str">
        <f t="shared" si="905"/>
        <v/>
      </c>
    </row>
    <row r="2600" spans="1:42" x14ac:dyDescent="0.25">
      <c r="A2600" s="10"/>
      <c r="B2600" s="10"/>
      <c r="C2600" s="10"/>
      <c r="D2600" s="10"/>
      <c r="E2600" s="10"/>
      <c r="F2600" s="10"/>
      <c r="G2600" s="10"/>
      <c r="H2600" s="17"/>
      <c r="I2600" s="10"/>
      <c r="J2600" s="10"/>
      <c r="K2600" s="16" t="str">
        <f t="shared" si="884"/>
        <v/>
      </c>
      <c r="L2600" s="23" t="str">
        <f t="shared" si="885"/>
        <v/>
      </c>
      <c r="M2600" s="22" t="str">
        <f t="shared" si="886"/>
        <v/>
      </c>
      <c r="N2600" s="72"/>
      <c r="O2600" s="16" t="str">
        <f t="shared" si="887"/>
        <v/>
      </c>
      <c r="P2600" s="16" t="str">
        <f t="shared" si="888"/>
        <v/>
      </c>
      <c r="Q2600" s="16" t="str">
        <f t="shared" si="889"/>
        <v/>
      </c>
      <c r="R2600" s="23" t="str">
        <f t="shared" si="890"/>
        <v/>
      </c>
      <c r="S2600" s="23" t="str">
        <f t="shared" si="891"/>
        <v/>
      </c>
      <c r="T2600" s="23" t="str">
        <f t="shared" si="892"/>
        <v/>
      </c>
      <c r="U2600" s="23" t="str">
        <f t="shared" si="893"/>
        <v/>
      </c>
      <c r="V2600" s="23" t="str">
        <f t="shared" si="894"/>
        <v/>
      </c>
      <c r="W2600" s="70" t="str">
        <f t="shared" si="895"/>
        <v/>
      </c>
      <c r="X2600" s="70" t="str">
        <f t="shared" si="896"/>
        <v/>
      </c>
      <c r="Y2600" s="70" t="str">
        <f>IF(AND($A2600&lt;&gt;"",$E2600&gt;0),isLaptopBag($C2600,$J2600)*$D2600,"")</f>
        <v/>
      </c>
      <c r="Z2600" s="70" t="str">
        <f t="shared" si="897"/>
        <v/>
      </c>
      <c r="AA2600" s="70" t="str">
        <f t="shared" si="898"/>
        <v/>
      </c>
      <c r="AB2600" s="70" t="str">
        <f t="shared" si="899"/>
        <v/>
      </c>
      <c r="AC2600" s="70" t="str">
        <f t="shared" si="900"/>
        <v/>
      </c>
      <c r="AD2600" s="70" t="str">
        <f t="shared" si="901"/>
        <v/>
      </c>
      <c r="AE2600" s="70" t="str">
        <f t="shared" si="902"/>
        <v/>
      </c>
      <c r="AF2600" s="16"/>
      <c r="AG2600" s="23"/>
      <c r="AH2600" s="22"/>
      <c r="AJ2600" s="83">
        <f t="shared" si="903"/>
        <v>0</v>
      </c>
      <c r="AO2600" s="22" t="str">
        <f t="shared" si="904"/>
        <v/>
      </c>
      <c r="AP2600" s="22" t="str">
        <f t="shared" si="905"/>
        <v/>
      </c>
    </row>
    <row r="2601" spans="1:42" x14ac:dyDescent="0.25">
      <c r="A2601" s="10"/>
      <c r="B2601" s="10"/>
      <c r="C2601" s="10"/>
      <c r="D2601" s="10"/>
      <c r="E2601" s="10"/>
      <c r="F2601" s="10"/>
      <c r="G2601" s="10"/>
      <c r="H2601" s="17"/>
      <c r="I2601" s="10"/>
      <c r="J2601" s="10"/>
      <c r="K2601" s="16" t="str">
        <f t="shared" si="884"/>
        <v/>
      </c>
      <c r="L2601" s="23" t="str">
        <f t="shared" si="885"/>
        <v/>
      </c>
      <c r="M2601" s="22" t="str">
        <f t="shared" si="886"/>
        <v/>
      </c>
      <c r="N2601" s="72"/>
      <c r="O2601" s="16" t="str">
        <f t="shared" si="887"/>
        <v/>
      </c>
      <c r="P2601" s="16" t="str">
        <f t="shared" si="888"/>
        <v/>
      </c>
      <c r="Q2601" s="16" t="str">
        <f t="shared" si="889"/>
        <v/>
      </c>
      <c r="R2601" s="23" t="str">
        <f t="shared" si="890"/>
        <v/>
      </c>
      <c r="S2601" s="23" t="str">
        <f t="shared" si="891"/>
        <v/>
      </c>
      <c r="T2601" s="23" t="str">
        <f t="shared" si="892"/>
        <v/>
      </c>
      <c r="U2601" s="23" t="str">
        <f t="shared" si="893"/>
        <v/>
      </c>
      <c r="V2601" s="23" t="str">
        <f t="shared" si="894"/>
        <v/>
      </c>
      <c r="W2601" s="70" t="str">
        <f t="shared" si="895"/>
        <v/>
      </c>
      <c r="X2601" s="70" t="str">
        <f t="shared" si="896"/>
        <v/>
      </c>
      <c r="Y2601" s="70" t="str">
        <f>IF(AND($A2601&lt;&gt;"",$E2601&gt;0),isLaptopBag($C2601,$J2601)*$D2601,"")</f>
        <v/>
      </c>
      <c r="Z2601" s="70" t="str">
        <f t="shared" si="897"/>
        <v/>
      </c>
      <c r="AA2601" s="70" t="str">
        <f t="shared" si="898"/>
        <v/>
      </c>
      <c r="AB2601" s="70" t="str">
        <f t="shared" si="899"/>
        <v/>
      </c>
      <c r="AC2601" s="70" t="str">
        <f t="shared" si="900"/>
        <v/>
      </c>
      <c r="AD2601" s="70" t="str">
        <f t="shared" si="901"/>
        <v/>
      </c>
      <c r="AE2601" s="70" t="str">
        <f t="shared" si="902"/>
        <v/>
      </c>
      <c r="AF2601" s="16"/>
      <c r="AG2601" s="23"/>
      <c r="AH2601" s="22"/>
      <c r="AJ2601" s="83">
        <f t="shared" si="903"/>
        <v>0</v>
      </c>
      <c r="AO2601" s="22" t="str">
        <f t="shared" si="904"/>
        <v/>
      </c>
      <c r="AP2601" s="22" t="str">
        <f t="shared" si="905"/>
        <v/>
      </c>
    </row>
    <row r="2602" spans="1:42" x14ac:dyDescent="0.25">
      <c r="A2602" s="10"/>
      <c r="B2602" s="10"/>
      <c r="C2602" s="10"/>
      <c r="D2602" s="10"/>
      <c r="E2602" s="10"/>
      <c r="F2602" s="10"/>
      <c r="G2602" s="10"/>
      <c r="H2602" s="17"/>
      <c r="I2602" s="10"/>
      <c r="J2602" s="10"/>
      <c r="K2602" s="16" t="str">
        <f t="shared" si="884"/>
        <v/>
      </c>
      <c r="L2602" s="23" t="str">
        <f t="shared" si="885"/>
        <v/>
      </c>
      <c r="M2602" s="22" t="str">
        <f t="shared" si="886"/>
        <v/>
      </c>
      <c r="N2602" s="72"/>
      <c r="O2602" s="16" t="str">
        <f t="shared" si="887"/>
        <v/>
      </c>
      <c r="P2602" s="16" t="str">
        <f t="shared" si="888"/>
        <v/>
      </c>
      <c r="Q2602" s="16" t="str">
        <f t="shared" si="889"/>
        <v/>
      </c>
      <c r="R2602" s="23" t="str">
        <f t="shared" si="890"/>
        <v/>
      </c>
      <c r="S2602" s="23" t="str">
        <f t="shared" si="891"/>
        <v/>
      </c>
      <c r="T2602" s="23" t="str">
        <f t="shared" si="892"/>
        <v/>
      </c>
      <c r="U2602" s="23" t="str">
        <f t="shared" si="893"/>
        <v/>
      </c>
      <c r="V2602" s="23" t="str">
        <f t="shared" si="894"/>
        <v/>
      </c>
      <c r="W2602" s="70" t="str">
        <f t="shared" si="895"/>
        <v/>
      </c>
      <c r="X2602" s="70" t="str">
        <f t="shared" si="896"/>
        <v/>
      </c>
      <c r="Y2602" s="70" t="str">
        <f>IF(AND($A2602&lt;&gt;"",$E2602&gt;0),isLaptopBag($C2602,$J2602)*$D2602,"")</f>
        <v/>
      </c>
      <c r="Z2602" s="70" t="str">
        <f t="shared" si="897"/>
        <v/>
      </c>
      <c r="AA2602" s="70" t="str">
        <f t="shared" si="898"/>
        <v/>
      </c>
      <c r="AB2602" s="70" t="str">
        <f t="shared" si="899"/>
        <v/>
      </c>
      <c r="AC2602" s="70" t="str">
        <f t="shared" si="900"/>
        <v/>
      </c>
      <c r="AD2602" s="70" t="str">
        <f t="shared" si="901"/>
        <v/>
      </c>
      <c r="AE2602" s="70" t="str">
        <f t="shared" si="902"/>
        <v/>
      </c>
      <c r="AF2602" s="16"/>
      <c r="AG2602" s="23"/>
      <c r="AH2602" s="22"/>
      <c r="AJ2602" s="83">
        <f t="shared" si="903"/>
        <v>0</v>
      </c>
      <c r="AO2602" s="22" t="str">
        <f t="shared" si="904"/>
        <v/>
      </c>
      <c r="AP2602" s="22" t="str">
        <f t="shared" si="905"/>
        <v/>
      </c>
    </row>
    <row r="2603" spans="1:42" x14ac:dyDescent="0.25">
      <c r="A2603" s="10"/>
      <c r="B2603" s="10"/>
      <c r="C2603" s="10"/>
      <c r="D2603" s="10"/>
      <c r="E2603" s="10"/>
      <c r="F2603" s="10"/>
      <c r="G2603" s="10"/>
      <c r="H2603" s="17"/>
      <c r="I2603" s="10"/>
      <c r="J2603" s="10"/>
      <c r="K2603" s="16" t="str">
        <f t="shared" si="884"/>
        <v/>
      </c>
      <c r="L2603" s="23" t="str">
        <f t="shared" si="885"/>
        <v/>
      </c>
      <c r="M2603" s="22" t="str">
        <f t="shared" si="886"/>
        <v/>
      </c>
      <c r="N2603" s="72"/>
      <c r="O2603" s="16" t="str">
        <f t="shared" si="887"/>
        <v/>
      </c>
      <c r="P2603" s="16" t="str">
        <f t="shared" si="888"/>
        <v/>
      </c>
      <c r="Q2603" s="16" t="str">
        <f t="shared" si="889"/>
        <v/>
      </c>
      <c r="R2603" s="23" t="str">
        <f t="shared" si="890"/>
        <v/>
      </c>
      <c r="S2603" s="23" t="str">
        <f t="shared" si="891"/>
        <v/>
      </c>
      <c r="T2603" s="23" t="str">
        <f t="shared" si="892"/>
        <v/>
      </c>
      <c r="U2603" s="23" t="str">
        <f t="shared" si="893"/>
        <v/>
      </c>
      <c r="V2603" s="23" t="str">
        <f t="shared" si="894"/>
        <v/>
      </c>
      <c r="W2603" s="70" t="str">
        <f t="shared" si="895"/>
        <v/>
      </c>
      <c r="X2603" s="70" t="str">
        <f t="shared" si="896"/>
        <v/>
      </c>
      <c r="Y2603" s="70" t="str">
        <f>IF(AND($A2603&lt;&gt;"",$E2603&gt;0),isLaptopBag($C2603,$J2603)*$D2603,"")</f>
        <v/>
      </c>
      <c r="Z2603" s="70" t="str">
        <f t="shared" si="897"/>
        <v/>
      </c>
      <c r="AA2603" s="70" t="str">
        <f t="shared" si="898"/>
        <v/>
      </c>
      <c r="AB2603" s="70" t="str">
        <f t="shared" si="899"/>
        <v/>
      </c>
      <c r="AC2603" s="70" t="str">
        <f t="shared" si="900"/>
        <v/>
      </c>
      <c r="AD2603" s="70" t="str">
        <f t="shared" si="901"/>
        <v/>
      </c>
      <c r="AE2603" s="70" t="str">
        <f t="shared" si="902"/>
        <v/>
      </c>
      <c r="AF2603" s="16"/>
      <c r="AG2603" s="23"/>
      <c r="AH2603" s="22"/>
      <c r="AJ2603" s="83">
        <f t="shared" si="903"/>
        <v>0</v>
      </c>
      <c r="AO2603" s="22" t="str">
        <f t="shared" si="904"/>
        <v/>
      </c>
      <c r="AP2603" s="22" t="str">
        <f t="shared" si="905"/>
        <v/>
      </c>
    </row>
    <row r="2604" spans="1:42" x14ac:dyDescent="0.25">
      <c r="A2604" s="10"/>
      <c r="B2604" s="10"/>
      <c r="C2604" s="10"/>
      <c r="D2604" s="10"/>
      <c r="E2604" s="10"/>
      <c r="F2604" s="10"/>
      <c r="G2604" s="10"/>
      <c r="H2604" s="17"/>
      <c r="I2604" s="10"/>
      <c r="J2604" s="10"/>
      <c r="K2604" s="16" t="str">
        <f t="shared" si="884"/>
        <v/>
      </c>
      <c r="L2604" s="23" t="str">
        <f t="shared" si="885"/>
        <v/>
      </c>
      <c r="M2604" s="22" t="str">
        <f t="shared" si="886"/>
        <v/>
      </c>
      <c r="N2604" s="72"/>
      <c r="O2604" s="16" t="str">
        <f t="shared" si="887"/>
        <v/>
      </c>
      <c r="P2604" s="16" t="str">
        <f t="shared" si="888"/>
        <v/>
      </c>
      <c r="Q2604" s="16" t="str">
        <f t="shared" si="889"/>
        <v/>
      </c>
      <c r="R2604" s="23" t="str">
        <f t="shared" si="890"/>
        <v/>
      </c>
      <c r="S2604" s="23" t="str">
        <f t="shared" si="891"/>
        <v/>
      </c>
      <c r="T2604" s="23" t="str">
        <f t="shared" si="892"/>
        <v/>
      </c>
      <c r="U2604" s="23" t="str">
        <f t="shared" si="893"/>
        <v/>
      </c>
      <c r="V2604" s="23" t="str">
        <f t="shared" si="894"/>
        <v/>
      </c>
      <c r="W2604" s="70" t="str">
        <f t="shared" si="895"/>
        <v/>
      </c>
      <c r="X2604" s="70" t="str">
        <f t="shared" si="896"/>
        <v/>
      </c>
      <c r="Y2604" s="70" t="str">
        <f>IF(AND($A2604&lt;&gt;"",$E2604&gt;0),isLaptopBag($C2604,$J2604)*$D2604,"")</f>
        <v/>
      </c>
      <c r="Z2604" s="70" t="str">
        <f t="shared" si="897"/>
        <v/>
      </c>
      <c r="AA2604" s="70" t="str">
        <f t="shared" si="898"/>
        <v/>
      </c>
      <c r="AB2604" s="70" t="str">
        <f t="shared" si="899"/>
        <v/>
      </c>
      <c r="AC2604" s="70" t="str">
        <f t="shared" si="900"/>
        <v/>
      </c>
      <c r="AD2604" s="70" t="str">
        <f t="shared" si="901"/>
        <v/>
      </c>
      <c r="AE2604" s="70" t="str">
        <f t="shared" si="902"/>
        <v/>
      </c>
      <c r="AF2604" s="16"/>
      <c r="AG2604" s="23"/>
      <c r="AH2604" s="22"/>
      <c r="AJ2604" s="83">
        <f t="shared" si="903"/>
        <v>0</v>
      </c>
      <c r="AO2604" s="22" t="str">
        <f t="shared" si="904"/>
        <v/>
      </c>
      <c r="AP2604" s="22" t="str">
        <f t="shared" si="905"/>
        <v/>
      </c>
    </row>
    <row r="2605" spans="1:42" x14ac:dyDescent="0.25">
      <c r="A2605" s="10"/>
      <c r="B2605" s="10"/>
      <c r="C2605" s="10"/>
      <c r="D2605" s="10"/>
      <c r="E2605" s="10"/>
      <c r="F2605" s="10"/>
      <c r="G2605" s="10"/>
      <c r="H2605" s="17"/>
      <c r="I2605" s="10"/>
      <c r="J2605" s="10"/>
      <c r="K2605" s="16" t="str">
        <f t="shared" si="884"/>
        <v/>
      </c>
      <c r="L2605" s="23" t="str">
        <f t="shared" si="885"/>
        <v/>
      </c>
      <c r="M2605" s="22" t="str">
        <f t="shared" si="886"/>
        <v/>
      </c>
      <c r="N2605" s="72"/>
      <c r="O2605" s="16" t="str">
        <f t="shared" si="887"/>
        <v/>
      </c>
      <c r="P2605" s="16" t="str">
        <f t="shared" si="888"/>
        <v/>
      </c>
      <c r="Q2605" s="16" t="str">
        <f t="shared" si="889"/>
        <v/>
      </c>
      <c r="R2605" s="23" t="str">
        <f t="shared" si="890"/>
        <v/>
      </c>
      <c r="S2605" s="23" t="str">
        <f t="shared" si="891"/>
        <v/>
      </c>
      <c r="T2605" s="23" t="str">
        <f t="shared" si="892"/>
        <v/>
      </c>
      <c r="U2605" s="23" t="str">
        <f t="shared" si="893"/>
        <v/>
      </c>
      <c r="V2605" s="23" t="str">
        <f t="shared" si="894"/>
        <v/>
      </c>
      <c r="W2605" s="70" t="str">
        <f t="shared" si="895"/>
        <v/>
      </c>
      <c r="X2605" s="70" t="str">
        <f t="shared" si="896"/>
        <v/>
      </c>
      <c r="Y2605" s="70" t="str">
        <f>IF(AND($A2605&lt;&gt;"",$E2605&gt;0),isLaptopBag($C2605,$J2605)*$D2605,"")</f>
        <v/>
      </c>
      <c r="Z2605" s="70" t="str">
        <f t="shared" si="897"/>
        <v/>
      </c>
      <c r="AA2605" s="70" t="str">
        <f t="shared" si="898"/>
        <v/>
      </c>
      <c r="AB2605" s="70" t="str">
        <f t="shared" si="899"/>
        <v/>
      </c>
      <c r="AC2605" s="70" t="str">
        <f t="shared" si="900"/>
        <v/>
      </c>
      <c r="AD2605" s="70" t="str">
        <f t="shared" si="901"/>
        <v/>
      </c>
      <c r="AE2605" s="70" t="str">
        <f t="shared" si="902"/>
        <v/>
      </c>
      <c r="AF2605" s="16"/>
      <c r="AG2605" s="23"/>
      <c r="AH2605" s="22"/>
      <c r="AJ2605" s="83">
        <f t="shared" si="903"/>
        <v>0</v>
      </c>
      <c r="AO2605" s="22" t="str">
        <f t="shared" si="904"/>
        <v/>
      </c>
      <c r="AP2605" s="22" t="str">
        <f t="shared" si="905"/>
        <v/>
      </c>
    </row>
    <row r="2606" spans="1:42" x14ac:dyDescent="0.25">
      <c r="A2606" s="10"/>
      <c r="B2606" s="10"/>
      <c r="C2606" s="10"/>
      <c r="D2606" s="10"/>
      <c r="E2606" s="10"/>
      <c r="F2606" s="10"/>
      <c r="G2606" s="10"/>
      <c r="H2606" s="17"/>
      <c r="I2606" s="10"/>
      <c r="J2606" s="10"/>
      <c r="K2606" s="16" t="str">
        <f t="shared" si="884"/>
        <v/>
      </c>
      <c r="L2606" s="23" t="str">
        <f t="shared" si="885"/>
        <v/>
      </c>
      <c r="M2606" s="22" t="str">
        <f t="shared" si="886"/>
        <v/>
      </c>
      <c r="N2606" s="72"/>
      <c r="O2606" s="16" t="str">
        <f t="shared" si="887"/>
        <v/>
      </c>
      <c r="P2606" s="16" t="str">
        <f t="shared" si="888"/>
        <v/>
      </c>
      <c r="Q2606" s="16" t="str">
        <f t="shared" si="889"/>
        <v/>
      </c>
      <c r="R2606" s="23" t="str">
        <f t="shared" si="890"/>
        <v/>
      </c>
      <c r="S2606" s="23" t="str">
        <f t="shared" si="891"/>
        <v/>
      </c>
      <c r="T2606" s="23" t="str">
        <f t="shared" si="892"/>
        <v/>
      </c>
      <c r="U2606" s="23" t="str">
        <f t="shared" si="893"/>
        <v/>
      </c>
      <c r="V2606" s="23" t="str">
        <f t="shared" si="894"/>
        <v/>
      </c>
      <c r="W2606" s="70" t="str">
        <f t="shared" si="895"/>
        <v/>
      </c>
      <c r="X2606" s="70" t="str">
        <f t="shared" si="896"/>
        <v/>
      </c>
      <c r="Y2606" s="70" t="str">
        <f>IF(AND($A2606&lt;&gt;"",$E2606&gt;0),isLaptopBag($C2606,$J2606)*$D2606,"")</f>
        <v/>
      </c>
      <c r="Z2606" s="70" t="str">
        <f t="shared" si="897"/>
        <v/>
      </c>
      <c r="AA2606" s="70" t="str">
        <f t="shared" si="898"/>
        <v/>
      </c>
      <c r="AB2606" s="70" t="str">
        <f t="shared" si="899"/>
        <v/>
      </c>
      <c r="AC2606" s="70" t="str">
        <f t="shared" si="900"/>
        <v/>
      </c>
      <c r="AD2606" s="70" t="str">
        <f t="shared" si="901"/>
        <v/>
      </c>
      <c r="AE2606" s="70" t="str">
        <f t="shared" si="902"/>
        <v/>
      </c>
      <c r="AF2606" s="16"/>
      <c r="AG2606" s="23"/>
      <c r="AH2606" s="22"/>
      <c r="AJ2606" s="83">
        <f t="shared" si="903"/>
        <v>0</v>
      </c>
      <c r="AO2606" s="22" t="str">
        <f t="shared" si="904"/>
        <v/>
      </c>
      <c r="AP2606" s="22" t="str">
        <f t="shared" si="905"/>
        <v/>
      </c>
    </row>
    <row r="2607" spans="1:42" x14ac:dyDescent="0.25">
      <c r="A2607" s="10"/>
      <c r="B2607" s="10"/>
      <c r="C2607" s="10"/>
      <c r="D2607" s="10"/>
      <c r="E2607" s="10"/>
      <c r="F2607" s="10"/>
      <c r="G2607" s="10"/>
      <c r="H2607" s="17"/>
      <c r="I2607" s="10"/>
      <c r="J2607" s="10"/>
      <c r="K2607" s="16" t="str">
        <f t="shared" si="884"/>
        <v/>
      </c>
      <c r="L2607" s="23" t="str">
        <f t="shared" si="885"/>
        <v/>
      </c>
      <c r="M2607" s="22" t="str">
        <f t="shared" si="886"/>
        <v/>
      </c>
      <c r="N2607" s="72"/>
      <c r="O2607" s="16" t="str">
        <f t="shared" si="887"/>
        <v/>
      </c>
      <c r="P2607" s="16" t="str">
        <f t="shared" si="888"/>
        <v/>
      </c>
      <c r="Q2607" s="16" t="str">
        <f t="shared" si="889"/>
        <v/>
      </c>
      <c r="R2607" s="23" t="str">
        <f t="shared" si="890"/>
        <v/>
      </c>
      <c r="S2607" s="23" t="str">
        <f t="shared" si="891"/>
        <v/>
      </c>
      <c r="T2607" s="23" t="str">
        <f t="shared" si="892"/>
        <v/>
      </c>
      <c r="U2607" s="23" t="str">
        <f t="shared" si="893"/>
        <v/>
      </c>
      <c r="V2607" s="23" t="str">
        <f t="shared" si="894"/>
        <v/>
      </c>
      <c r="W2607" s="70" t="str">
        <f t="shared" si="895"/>
        <v/>
      </c>
      <c r="X2607" s="70" t="str">
        <f t="shared" si="896"/>
        <v/>
      </c>
      <c r="Y2607" s="70" t="str">
        <f>IF(AND($A2607&lt;&gt;"",$E2607&gt;0),isLaptopBag($C2607,$J2607)*$D2607,"")</f>
        <v/>
      </c>
      <c r="Z2607" s="70" t="str">
        <f t="shared" si="897"/>
        <v/>
      </c>
      <c r="AA2607" s="70" t="str">
        <f t="shared" si="898"/>
        <v/>
      </c>
      <c r="AB2607" s="70" t="str">
        <f t="shared" si="899"/>
        <v/>
      </c>
      <c r="AC2607" s="70" t="str">
        <f t="shared" si="900"/>
        <v/>
      </c>
      <c r="AD2607" s="70" t="str">
        <f t="shared" si="901"/>
        <v/>
      </c>
      <c r="AE2607" s="70" t="str">
        <f t="shared" si="902"/>
        <v/>
      </c>
      <c r="AF2607" s="16"/>
      <c r="AG2607" s="23"/>
      <c r="AH2607" s="22"/>
      <c r="AJ2607" s="83">
        <f t="shared" si="903"/>
        <v>0</v>
      </c>
      <c r="AO2607" s="22" t="str">
        <f t="shared" si="904"/>
        <v/>
      </c>
      <c r="AP2607" s="22" t="str">
        <f t="shared" si="905"/>
        <v/>
      </c>
    </row>
    <row r="2608" spans="1:42" x14ac:dyDescent="0.25">
      <c r="A2608" s="10"/>
      <c r="B2608" s="10"/>
      <c r="C2608" s="10"/>
      <c r="D2608" s="10"/>
      <c r="E2608" s="10"/>
      <c r="F2608" s="10"/>
      <c r="G2608" s="10"/>
      <c r="H2608" s="17"/>
      <c r="I2608" s="10"/>
      <c r="J2608" s="10"/>
      <c r="K2608" s="16" t="str">
        <f t="shared" si="884"/>
        <v/>
      </c>
      <c r="L2608" s="23" t="str">
        <f t="shared" si="885"/>
        <v/>
      </c>
      <c r="M2608" s="22" t="str">
        <f t="shared" si="886"/>
        <v/>
      </c>
      <c r="N2608" s="72"/>
      <c r="O2608" s="16" t="str">
        <f t="shared" si="887"/>
        <v/>
      </c>
      <c r="P2608" s="16" t="str">
        <f t="shared" si="888"/>
        <v/>
      </c>
      <c r="Q2608" s="16" t="str">
        <f t="shared" si="889"/>
        <v/>
      </c>
      <c r="R2608" s="23" t="str">
        <f t="shared" si="890"/>
        <v/>
      </c>
      <c r="S2608" s="23" t="str">
        <f t="shared" si="891"/>
        <v/>
      </c>
      <c r="T2608" s="23" t="str">
        <f t="shared" si="892"/>
        <v/>
      </c>
      <c r="U2608" s="23" t="str">
        <f t="shared" si="893"/>
        <v/>
      </c>
      <c r="V2608" s="23" t="str">
        <f t="shared" si="894"/>
        <v/>
      </c>
      <c r="W2608" s="70" t="str">
        <f t="shared" si="895"/>
        <v/>
      </c>
      <c r="X2608" s="70" t="str">
        <f t="shared" si="896"/>
        <v/>
      </c>
      <c r="Y2608" s="70" t="str">
        <f>IF(AND($A2608&lt;&gt;"",$E2608&gt;0),isLaptopBag($C2608,$J2608)*$D2608,"")</f>
        <v/>
      </c>
      <c r="Z2608" s="70" t="str">
        <f t="shared" si="897"/>
        <v/>
      </c>
      <c r="AA2608" s="70" t="str">
        <f t="shared" si="898"/>
        <v/>
      </c>
      <c r="AB2608" s="70" t="str">
        <f t="shared" si="899"/>
        <v/>
      </c>
      <c r="AC2608" s="70" t="str">
        <f t="shared" si="900"/>
        <v/>
      </c>
      <c r="AD2608" s="70" t="str">
        <f t="shared" si="901"/>
        <v/>
      </c>
      <c r="AE2608" s="70" t="str">
        <f t="shared" si="902"/>
        <v/>
      </c>
      <c r="AF2608" s="16"/>
      <c r="AG2608" s="23"/>
      <c r="AH2608" s="22"/>
      <c r="AJ2608" s="83">
        <f t="shared" si="903"/>
        <v>0</v>
      </c>
      <c r="AO2608" s="22" t="str">
        <f t="shared" si="904"/>
        <v/>
      </c>
      <c r="AP2608" s="22" t="str">
        <f t="shared" si="905"/>
        <v/>
      </c>
    </row>
    <row r="2609" spans="1:42" x14ac:dyDescent="0.25">
      <c r="A2609" s="10"/>
      <c r="B2609" s="10"/>
      <c r="C2609" s="10"/>
      <c r="D2609" s="10"/>
      <c r="E2609" s="10"/>
      <c r="F2609" s="10"/>
      <c r="G2609" s="10"/>
      <c r="H2609" s="17"/>
      <c r="I2609" s="10"/>
      <c r="J2609" s="10"/>
      <c r="K2609" s="16" t="str">
        <f t="shared" si="884"/>
        <v/>
      </c>
      <c r="L2609" s="23" t="str">
        <f t="shared" si="885"/>
        <v/>
      </c>
      <c r="M2609" s="22" t="str">
        <f t="shared" si="886"/>
        <v/>
      </c>
      <c r="N2609" s="72"/>
      <c r="O2609" s="16" t="str">
        <f t="shared" si="887"/>
        <v/>
      </c>
      <c r="P2609" s="16" t="str">
        <f t="shared" si="888"/>
        <v/>
      </c>
      <c r="Q2609" s="16" t="str">
        <f t="shared" si="889"/>
        <v/>
      </c>
      <c r="R2609" s="23" t="str">
        <f t="shared" si="890"/>
        <v/>
      </c>
      <c r="S2609" s="23" t="str">
        <f t="shared" si="891"/>
        <v/>
      </c>
      <c r="T2609" s="23" t="str">
        <f t="shared" si="892"/>
        <v/>
      </c>
      <c r="U2609" s="23" t="str">
        <f t="shared" si="893"/>
        <v/>
      </c>
      <c r="V2609" s="23" t="str">
        <f t="shared" si="894"/>
        <v/>
      </c>
      <c r="W2609" s="70" t="str">
        <f t="shared" si="895"/>
        <v/>
      </c>
      <c r="X2609" s="70" t="str">
        <f t="shared" si="896"/>
        <v/>
      </c>
      <c r="Y2609" s="70" t="str">
        <f>IF(AND($A2609&lt;&gt;"",$E2609&gt;0),isLaptopBag($C2609,$J2609)*$D2609,"")</f>
        <v/>
      </c>
      <c r="Z2609" s="70" t="str">
        <f t="shared" si="897"/>
        <v/>
      </c>
      <c r="AA2609" s="70" t="str">
        <f t="shared" si="898"/>
        <v/>
      </c>
      <c r="AB2609" s="70" t="str">
        <f t="shared" si="899"/>
        <v/>
      </c>
      <c r="AC2609" s="70" t="str">
        <f t="shared" si="900"/>
        <v/>
      </c>
      <c r="AD2609" s="70" t="str">
        <f t="shared" si="901"/>
        <v/>
      </c>
      <c r="AE2609" s="70" t="str">
        <f t="shared" si="902"/>
        <v/>
      </c>
      <c r="AF2609" s="16"/>
      <c r="AG2609" s="23"/>
      <c r="AH2609" s="22"/>
      <c r="AJ2609" s="83">
        <f t="shared" si="903"/>
        <v>0</v>
      </c>
      <c r="AO2609" s="22" t="str">
        <f t="shared" si="904"/>
        <v/>
      </c>
      <c r="AP2609" s="22" t="str">
        <f t="shared" si="905"/>
        <v/>
      </c>
    </row>
    <row r="2610" spans="1:42" x14ac:dyDescent="0.25">
      <c r="A2610" s="10"/>
      <c r="B2610" s="10"/>
      <c r="C2610" s="10"/>
      <c r="D2610" s="10"/>
      <c r="E2610" s="10"/>
      <c r="F2610" s="10"/>
      <c r="G2610" s="10"/>
      <c r="H2610" s="17"/>
      <c r="I2610" s="10"/>
      <c r="J2610" s="10"/>
      <c r="K2610" s="16" t="str">
        <f t="shared" si="884"/>
        <v/>
      </c>
      <c r="L2610" s="23" t="str">
        <f t="shared" si="885"/>
        <v/>
      </c>
      <c r="M2610" s="22" t="str">
        <f t="shared" si="886"/>
        <v/>
      </c>
      <c r="N2610" s="72"/>
      <c r="O2610" s="16" t="str">
        <f t="shared" si="887"/>
        <v/>
      </c>
      <c r="P2610" s="16" t="str">
        <f t="shared" si="888"/>
        <v/>
      </c>
      <c r="Q2610" s="16" t="str">
        <f t="shared" si="889"/>
        <v/>
      </c>
      <c r="R2610" s="23" t="str">
        <f t="shared" si="890"/>
        <v/>
      </c>
      <c r="S2610" s="23" t="str">
        <f t="shared" si="891"/>
        <v/>
      </c>
      <c r="T2610" s="23" t="str">
        <f t="shared" si="892"/>
        <v/>
      </c>
      <c r="U2610" s="23" t="str">
        <f t="shared" si="893"/>
        <v/>
      </c>
      <c r="V2610" s="23" t="str">
        <f t="shared" si="894"/>
        <v/>
      </c>
      <c r="W2610" s="70" t="str">
        <f t="shared" si="895"/>
        <v/>
      </c>
      <c r="X2610" s="70" t="str">
        <f t="shared" si="896"/>
        <v/>
      </c>
      <c r="Y2610" s="70" t="str">
        <f>IF(AND($A2610&lt;&gt;"",$E2610&gt;0),isLaptopBag($C2610,$J2610)*$D2610,"")</f>
        <v/>
      </c>
      <c r="Z2610" s="70" t="str">
        <f t="shared" si="897"/>
        <v/>
      </c>
      <c r="AA2610" s="70" t="str">
        <f t="shared" si="898"/>
        <v/>
      </c>
      <c r="AB2610" s="70" t="str">
        <f t="shared" si="899"/>
        <v/>
      </c>
      <c r="AC2610" s="70" t="str">
        <f t="shared" si="900"/>
        <v/>
      </c>
      <c r="AD2610" s="70" t="str">
        <f t="shared" si="901"/>
        <v/>
      </c>
      <c r="AE2610" s="70" t="str">
        <f t="shared" si="902"/>
        <v/>
      </c>
      <c r="AF2610" s="16"/>
      <c r="AG2610" s="23"/>
      <c r="AH2610" s="22"/>
      <c r="AJ2610" s="83">
        <f t="shared" si="903"/>
        <v>0</v>
      </c>
      <c r="AO2610" s="22" t="str">
        <f t="shared" si="904"/>
        <v/>
      </c>
      <c r="AP2610" s="22" t="str">
        <f t="shared" si="905"/>
        <v/>
      </c>
    </row>
    <row r="2611" spans="1:42" x14ac:dyDescent="0.25">
      <c r="A2611" s="10"/>
      <c r="B2611" s="10"/>
      <c r="C2611" s="10"/>
      <c r="D2611" s="10"/>
      <c r="E2611" s="10"/>
      <c r="F2611" s="10"/>
      <c r="G2611" s="10"/>
      <c r="H2611" s="17"/>
      <c r="I2611" s="10"/>
      <c r="J2611" s="10"/>
      <c r="K2611" s="16" t="str">
        <f t="shared" si="884"/>
        <v/>
      </c>
      <c r="L2611" s="23" t="str">
        <f t="shared" si="885"/>
        <v/>
      </c>
      <c r="M2611" s="22" t="str">
        <f t="shared" si="886"/>
        <v/>
      </c>
      <c r="N2611" s="72"/>
      <c r="O2611" s="16" t="str">
        <f t="shared" si="887"/>
        <v/>
      </c>
      <c r="P2611" s="16" t="str">
        <f t="shared" si="888"/>
        <v/>
      </c>
      <c r="Q2611" s="16" t="str">
        <f t="shared" si="889"/>
        <v/>
      </c>
      <c r="R2611" s="23" t="str">
        <f t="shared" si="890"/>
        <v/>
      </c>
      <c r="S2611" s="23" t="str">
        <f t="shared" si="891"/>
        <v/>
      </c>
      <c r="T2611" s="23" t="str">
        <f t="shared" si="892"/>
        <v/>
      </c>
      <c r="U2611" s="23" t="str">
        <f t="shared" si="893"/>
        <v/>
      </c>
      <c r="V2611" s="23" t="str">
        <f t="shared" si="894"/>
        <v/>
      </c>
      <c r="W2611" s="70" t="str">
        <f t="shared" si="895"/>
        <v/>
      </c>
      <c r="X2611" s="70" t="str">
        <f t="shared" si="896"/>
        <v/>
      </c>
      <c r="Y2611" s="70" t="str">
        <f>IF(AND($A2611&lt;&gt;"",$E2611&gt;0),isLaptopBag($C2611,$J2611)*$D2611,"")</f>
        <v/>
      </c>
      <c r="Z2611" s="70" t="str">
        <f t="shared" si="897"/>
        <v/>
      </c>
      <c r="AA2611" s="70" t="str">
        <f t="shared" si="898"/>
        <v/>
      </c>
      <c r="AB2611" s="70" t="str">
        <f t="shared" si="899"/>
        <v/>
      </c>
      <c r="AC2611" s="70" t="str">
        <f t="shared" si="900"/>
        <v/>
      </c>
      <c r="AD2611" s="70" t="str">
        <f t="shared" si="901"/>
        <v/>
      </c>
      <c r="AE2611" s="70" t="str">
        <f t="shared" si="902"/>
        <v/>
      </c>
      <c r="AF2611" s="16"/>
      <c r="AG2611" s="23"/>
      <c r="AH2611" s="22"/>
      <c r="AJ2611" s="83">
        <f t="shared" si="903"/>
        <v>0</v>
      </c>
      <c r="AO2611" s="22" t="str">
        <f t="shared" si="904"/>
        <v/>
      </c>
      <c r="AP2611" s="22" t="str">
        <f t="shared" si="905"/>
        <v/>
      </c>
    </row>
    <row r="2612" spans="1:42" x14ac:dyDescent="0.25">
      <c r="A2612" s="10"/>
      <c r="B2612" s="10"/>
      <c r="C2612" s="10"/>
      <c r="D2612" s="10"/>
      <c r="E2612" s="10"/>
      <c r="F2612" s="10"/>
      <c r="G2612" s="10"/>
      <c r="H2612" s="17"/>
      <c r="I2612" s="10"/>
      <c r="J2612" s="10"/>
      <c r="K2612" s="16" t="str">
        <f t="shared" si="884"/>
        <v/>
      </c>
      <c r="L2612" s="23" t="str">
        <f t="shared" si="885"/>
        <v/>
      </c>
      <c r="M2612" s="22" t="str">
        <f t="shared" si="886"/>
        <v/>
      </c>
      <c r="N2612" s="72"/>
      <c r="O2612" s="16" t="str">
        <f t="shared" si="887"/>
        <v/>
      </c>
      <c r="P2612" s="16" t="str">
        <f t="shared" si="888"/>
        <v/>
      </c>
      <c r="Q2612" s="16" t="str">
        <f t="shared" si="889"/>
        <v/>
      </c>
      <c r="R2612" s="23" t="str">
        <f t="shared" si="890"/>
        <v/>
      </c>
      <c r="S2612" s="23" t="str">
        <f t="shared" si="891"/>
        <v/>
      </c>
      <c r="T2612" s="23" t="str">
        <f t="shared" si="892"/>
        <v/>
      </c>
      <c r="U2612" s="23" t="str">
        <f t="shared" si="893"/>
        <v/>
      </c>
      <c r="V2612" s="23" t="str">
        <f t="shared" si="894"/>
        <v/>
      </c>
      <c r="W2612" s="70" t="str">
        <f t="shared" si="895"/>
        <v/>
      </c>
      <c r="X2612" s="70" t="str">
        <f t="shared" si="896"/>
        <v/>
      </c>
      <c r="Y2612" s="70" t="str">
        <f>IF(AND($A2612&lt;&gt;"",$E2612&gt;0),isLaptopBag($C2612,$J2612)*$D2612,"")</f>
        <v/>
      </c>
      <c r="Z2612" s="70" t="str">
        <f t="shared" si="897"/>
        <v/>
      </c>
      <c r="AA2612" s="70" t="str">
        <f t="shared" si="898"/>
        <v/>
      </c>
      <c r="AB2612" s="70" t="str">
        <f t="shared" si="899"/>
        <v/>
      </c>
      <c r="AC2612" s="70" t="str">
        <f t="shared" si="900"/>
        <v/>
      </c>
      <c r="AD2612" s="70" t="str">
        <f t="shared" si="901"/>
        <v/>
      </c>
      <c r="AE2612" s="70" t="str">
        <f t="shared" si="902"/>
        <v/>
      </c>
      <c r="AF2612" s="16"/>
      <c r="AG2612" s="23"/>
      <c r="AH2612" s="22"/>
      <c r="AJ2612" s="83">
        <f t="shared" si="903"/>
        <v>0</v>
      </c>
      <c r="AO2612" s="22" t="str">
        <f t="shared" si="904"/>
        <v/>
      </c>
      <c r="AP2612" s="22" t="str">
        <f t="shared" si="905"/>
        <v/>
      </c>
    </row>
    <row r="2613" spans="1:42" x14ac:dyDescent="0.25">
      <c r="A2613" s="10"/>
      <c r="B2613" s="10"/>
      <c r="C2613" s="10"/>
      <c r="D2613" s="10"/>
      <c r="E2613" s="10"/>
      <c r="F2613" s="10"/>
      <c r="G2613" s="10"/>
      <c r="H2613" s="17"/>
      <c r="I2613" s="10"/>
      <c r="J2613" s="10"/>
      <c r="K2613" s="16" t="str">
        <f t="shared" si="884"/>
        <v/>
      </c>
      <c r="L2613" s="23" t="str">
        <f t="shared" si="885"/>
        <v/>
      </c>
      <c r="M2613" s="22" t="str">
        <f t="shared" si="886"/>
        <v/>
      </c>
      <c r="N2613" s="72"/>
      <c r="O2613" s="16" t="str">
        <f t="shared" si="887"/>
        <v/>
      </c>
      <c r="P2613" s="16" t="str">
        <f t="shared" si="888"/>
        <v/>
      </c>
      <c r="Q2613" s="16" t="str">
        <f t="shared" si="889"/>
        <v/>
      </c>
      <c r="R2613" s="23" t="str">
        <f t="shared" si="890"/>
        <v/>
      </c>
      <c r="S2613" s="23" t="str">
        <f t="shared" si="891"/>
        <v/>
      </c>
      <c r="T2613" s="23" t="str">
        <f t="shared" si="892"/>
        <v/>
      </c>
      <c r="U2613" s="23" t="str">
        <f t="shared" si="893"/>
        <v/>
      </c>
      <c r="V2613" s="23" t="str">
        <f t="shared" si="894"/>
        <v/>
      </c>
      <c r="W2613" s="70" t="str">
        <f t="shared" si="895"/>
        <v/>
      </c>
      <c r="X2613" s="70" t="str">
        <f t="shared" si="896"/>
        <v/>
      </c>
      <c r="Y2613" s="70" t="str">
        <f>IF(AND($A2613&lt;&gt;"",$E2613&gt;0),isLaptopBag($C2613,$J2613)*$D2613,"")</f>
        <v/>
      </c>
      <c r="Z2613" s="70" t="str">
        <f t="shared" si="897"/>
        <v/>
      </c>
      <c r="AA2613" s="70" t="str">
        <f t="shared" si="898"/>
        <v/>
      </c>
      <c r="AB2613" s="70" t="str">
        <f t="shared" si="899"/>
        <v/>
      </c>
      <c r="AC2613" s="70" t="str">
        <f t="shared" si="900"/>
        <v/>
      </c>
      <c r="AD2613" s="70" t="str">
        <f t="shared" si="901"/>
        <v/>
      </c>
      <c r="AE2613" s="70" t="str">
        <f t="shared" si="902"/>
        <v/>
      </c>
      <c r="AF2613" s="16"/>
      <c r="AG2613" s="23"/>
      <c r="AH2613" s="22"/>
      <c r="AJ2613" s="83">
        <f t="shared" si="903"/>
        <v>0</v>
      </c>
      <c r="AO2613" s="22" t="str">
        <f t="shared" si="904"/>
        <v/>
      </c>
      <c r="AP2613" s="22" t="str">
        <f t="shared" si="905"/>
        <v/>
      </c>
    </row>
    <row r="2614" spans="1:42" x14ac:dyDescent="0.25">
      <c r="A2614" s="10"/>
      <c r="B2614" s="10"/>
      <c r="C2614" s="10"/>
      <c r="D2614" s="10"/>
      <c r="E2614" s="10"/>
      <c r="F2614" s="10"/>
      <c r="G2614" s="10"/>
      <c r="H2614" s="17"/>
      <c r="I2614" s="10"/>
      <c r="J2614" s="10"/>
      <c r="K2614" s="16" t="str">
        <f t="shared" si="884"/>
        <v/>
      </c>
      <c r="L2614" s="23" t="str">
        <f t="shared" si="885"/>
        <v/>
      </c>
      <c r="M2614" s="22" t="str">
        <f t="shared" si="886"/>
        <v/>
      </c>
      <c r="N2614" s="72"/>
      <c r="O2614" s="16" t="str">
        <f t="shared" si="887"/>
        <v/>
      </c>
      <c r="P2614" s="16" t="str">
        <f t="shared" si="888"/>
        <v/>
      </c>
      <c r="Q2614" s="16" t="str">
        <f t="shared" si="889"/>
        <v/>
      </c>
      <c r="R2614" s="23" t="str">
        <f t="shared" si="890"/>
        <v/>
      </c>
      <c r="S2614" s="23" t="str">
        <f t="shared" si="891"/>
        <v/>
      </c>
      <c r="T2614" s="23" t="str">
        <f t="shared" si="892"/>
        <v/>
      </c>
      <c r="U2614" s="23" t="str">
        <f t="shared" si="893"/>
        <v/>
      </c>
      <c r="V2614" s="23" t="str">
        <f t="shared" si="894"/>
        <v/>
      </c>
      <c r="W2614" s="70" t="str">
        <f t="shared" si="895"/>
        <v/>
      </c>
      <c r="X2614" s="70" t="str">
        <f t="shared" si="896"/>
        <v/>
      </c>
      <c r="Y2614" s="70" t="str">
        <f>IF(AND($A2614&lt;&gt;"",$E2614&gt;0),isLaptopBag($C2614,$J2614)*$D2614,"")</f>
        <v/>
      </c>
      <c r="Z2614" s="70" t="str">
        <f t="shared" si="897"/>
        <v/>
      </c>
      <c r="AA2614" s="70" t="str">
        <f t="shared" si="898"/>
        <v/>
      </c>
      <c r="AB2614" s="70" t="str">
        <f t="shared" si="899"/>
        <v/>
      </c>
      <c r="AC2614" s="70" t="str">
        <f t="shared" si="900"/>
        <v/>
      </c>
      <c r="AD2614" s="70" t="str">
        <f t="shared" si="901"/>
        <v/>
      </c>
      <c r="AE2614" s="70" t="str">
        <f t="shared" si="902"/>
        <v/>
      </c>
      <c r="AF2614" s="16"/>
      <c r="AG2614" s="23"/>
      <c r="AH2614" s="22"/>
      <c r="AJ2614" s="83">
        <f t="shared" si="903"/>
        <v>0</v>
      </c>
      <c r="AO2614" s="22" t="str">
        <f t="shared" si="904"/>
        <v/>
      </c>
      <c r="AP2614" s="22" t="str">
        <f t="shared" si="905"/>
        <v/>
      </c>
    </row>
    <row r="2615" spans="1:42" x14ac:dyDescent="0.25">
      <c r="A2615" s="10"/>
      <c r="B2615" s="10"/>
      <c r="C2615" s="10"/>
      <c r="D2615" s="10"/>
      <c r="E2615" s="10"/>
      <c r="F2615" s="10"/>
      <c r="G2615" s="10"/>
      <c r="H2615" s="17"/>
      <c r="I2615" s="10"/>
      <c r="J2615" s="10"/>
      <c r="K2615" s="16" t="str">
        <f t="shared" si="884"/>
        <v/>
      </c>
      <c r="L2615" s="23" t="str">
        <f t="shared" si="885"/>
        <v/>
      </c>
      <c r="M2615" s="22" t="str">
        <f t="shared" si="886"/>
        <v/>
      </c>
      <c r="N2615" s="72"/>
      <c r="O2615" s="16" t="str">
        <f t="shared" si="887"/>
        <v/>
      </c>
      <c r="P2615" s="16" t="str">
        <f t="shared" si="888"/>
        <v/>
      </c>
      <c r="Q2615" s="16" t="str">
        <f t="shared" si="889"/>
        <v/>
      </c>
      <c r="R2615" s="23" t="str">
        <f t="shared" si="890"/>
        <v/>
      </c>
      <c r="S2615" s="23" t="str">
        <f t="shared" si="891"/>
        <v/>
      </c>
      <c r="T2615" s="23" t="str">
        <f t="shared" si="892"/>
        <v/>
      </c>
      <c r="U2615" s="23" t="str">
        <f t="shared" si="893"/>
        <v/>
      </c>
      <c r="V2615" s="23" t="str">
        <f t="shared" si="894"/>
        <v/>
      </c>
      <c r="W2615" s="70" t="str">
        <f t="shared" si="895"/>
        <v/>
      </c>
      <c r="X2615" s="70" t="str">
        <f t="shared" si="896"/>
        <v/>
      </c>
      <c r="Y2615" s="70" t="str">
        <f>IF(AND($A2615&lt;&gt;"",$E2615&gt;0),isLaptopBag($C2615,$J2615)*$D2615,"")</f>
        <v/>
      </c>
      <c r="Z2615" s="70" t="str">
        <f t="shared" si="897"/>
        <v/>
      </c>
      <c r="AA2615" s="70" t="str">
        <f t="shared" si="898"/>
        <v/>
      </c>
      <c r="AB2615" s="70" t="str">
        <f t="shared" si="899"/>
        <v/>
      </c>
      <c r="AC2615" s="70" t="str">
        <f t="shared" si="900"/>
        <v/>
      </c>
      <c r="AD2615" s="70" t="str">
        <f t="shared" si="901"/>
        <v/>
      </c>
      <c r="AE2615" s="70" t="str">
        <f t="shared" si="902"/>
        <v/>
      </c>
      <c r="AF2615" s="16"/>
      <c r="AG2615" s="23"/>
      <c r="AH2615" s="22"/>
      <c r="AJ2615" s="83">
        <f t="shared" si="903"/>
        <v>0</v>
      </c>
      <c r="AO2615" s="22" t="str">
        <f t="shared" si="904"/>
        <v/>
      </c>
      <c r="AP2615" s="22" t="str">
        <f t="shared" si="905"/>
        <v/>
      </c>
    </row>
    <row r="2616" spans="1:42" x14ac:dyDescent="0.25">
      <c r="A2616" s="10"/>
      <c r="B2616" s="10"/>
      <c r="C2616" s="10"/>
      <c r="D2616" s="10"/>
      <c r="E2616" s="10"/>
      <c r="F2616" s="10"/>
      <c r="G2616" s="10"/>
      <c r="H2616" s="17"/>
      <c r="I2616" s="10"/>
      <c r="J2616" s="10"/>
      <c r="K2616" s="16" t="str">
        <f t="shared" si="884"/>
        <v/>
      </c>
      <c r="L2616" s="23" t="str">
        <f t="shared" si="885"/>
        <v/>
      </c>
      <c r="M2616" s="22" t="str">
        <f t="shared" si="886"/>
        <v/>
      </c>
      <c r="N2616" s="72"/>
      <c r="O2616" s="16" t="str">
        <f t="shared" si="887"/>
        <v/>
      </c>
      <c r="P2616" s="16" t="str">
        <f t="shared" si="888"/>
        <v/>
      </c>
      <c r="Q2616" s="16" t="str">
        <f t="shared" si="889"/>
        <v/>
      </c>
      <c r="R2616" s="23" t="str">
        <f t="shared" si="890"/>
        <v/>
      </c>
      <c r="S2616" s="23" t="str">
        <f t="shared" si="891"/>
        <v/>
      </c>
      <c r="T2616" s="23" t="str">
        <f t="shared" si="892"/>
        <v/>
      </c>
      <c r="U2616" s="23" t="str">
        <f t="shared" si="893"/>
        <v/>
      </c>
      <c r="V2616" s="23" t="str">
        <f t="shared" si="894"/>
        <v/>
      </c>
      <c r="W2616" s="70" t="str">
        <f t="shared" si="895"/>
        <v/>
      </c>
      <c r="X2616" s="70" t="str">
        <f t="shared" si="896"/>
        <v/>
      </c>
      <c r="Y2616" s="70" t="str">
        <f>IF(AND($A2616&lt;&gt;"",$E2616&gt;0),isLaptopBag($C2616,$J2616)*$D2616,"")</f>
        <v/>
      </c>
      <c r="Z2616" s="70" t="str">
        <f t="shared" si="897"/>
        <v/>
      </c>
      <c r="AA2616" s="70" t="str">
        <f t="shared" si="898"/>
        <v/>
      </c>
      <c r="AB2616" s="70" t="str">
        <f t="shared" si="899"/>
        <v/>
      </c>
      <c r="AC2616" s="70" t="str">
        <f t="shared" si="900"/>
        <v/>
      </c>
      <c r="AD2616" s="70" t="str">
        <f t="shared" si="901"/>
        <v/>
      </c>
      <c r="AE2616" s="70" t="str">
        <f t="shared" si="902"/>
        <v/>
      </c>
      <c r="AF2616" s="16"/>
      <c r="AG2616" s="23"/>
      <c r="AH2616" s="22"/>
      <c r="AJ2616" s="83">
        <f t="shared" si="903"/>
        <v>0</v>
      </c>
      <c r="AO2616" s="22" t="str">
        <f t="shared" si="904"/>
        <v/>
      </c>
      <c r="AP2616" s="22" t="str">
        <f t="shared" si="905"/>
        <v/>
      </c>
    </row>
    <row r="2617" spans="1:42" x14ac:dyDescent="0.25">
      <c r="A2617" s="10"/>
      <c r="B2617" s="10"/>
      <c r="C2617" s="10"/>
      <c r="D2617" s="10"/>
      <c r="E2617" s="10"/>
      <c r="F2617" s="10"/>
      <c r="G2617" s="10"/>
      <c r="H2617" s="17"/>
      <c r="I2617" s="10"/>
      <c r="J2617" s="10"/>
      <c r="K2617" s="16" t="str">
        <f t="shared" si="884"/>
        <v/>
      </c>
      <c r="L2617" s="23" t="str">
        <f t="shared" si="885"/>
        <v/>
      </c>
      <c r="M2617" s="22" t="str">
        <f t="shared" si="886"/>
        <v/>
      </c>
      <c r="N2617" s="72"/>
      <c r="O2617" s="16" t="str">
        <f t="shared" si="887"/>
        <v/>
      </c>
      <c r="P2617" s="16" t="str">
        <f t="shared" si="888"/>
        <v/>
      </c>
      <c r="Q2617" s="16" t="str">
        <f t="shared" si="889"/>
        <v/>
      </c>
      <c r="R2617" s="23" t="str">
        <f t="shared" si="890"/>
        <v/>
      </c>
      <c r="S2617" s="23" t="str">
        <f t="shared" si="891"/>
        <v/>
      </c>
      <c r="T2617" s="23" t="str">
        <f t="shared" si="892"/>
        <v/>
      </c>
      <c r="U2617" s="23" t="str">
        <f t="shared" si="893"/>
        <v/>
      </c>
      <c r="V2617" s="23" t="str">
        <f t="shared" si="894"/>
        <v/>
      </c>
      <c r="W2617" s="70" t="str">
        <f t="shared" si="895"/>
        <v/>
      </c>
      <c r="X2617" s="70" t="str">
        <f t="shared" si="896"/>
        <v/>
      </c>
      <c r="Y2617" s="70" t="str">
        <f>IF(AND($A2617&lt;&gt;"",$E2617&gt;0),isLaptopBag($C2617,$J2617)*$D2617,"")</f>
        <v/>
      </c>
      <c r="Z2617" s="70" t="str">
        <f t="shared" si="897"/>
        <v/>
      </c>
      <c r="AA2617" s="70" t="str">
        <f t="shared" si="898"/>
        <v/>
      </c>
      <c r="AB2617" s="70" t="str">
        <f t="shared" si="899"/>
        <v/>
      </c>
      <c r="AC2617" s="70" t="str">
        <f t="shared" si="900"/>
        <v/>
      </c>
      <c r="AD2617" s="70" t="str">
        <f t="shared" si="901"/>
        <v/>
      </c>
      <c r="AE2617" s="70" t="str">
        <f t="shared" si="902"/>
        <v/>
      </c>
      <c r="AF2617" s="16"/>
      <c r="AG2617" s="23"/>
      <c r="AH2617" s="22"/>
      <c r="AJ2617" s="83">
        <f t="shared" si="903"/>
        <v>0</v>
      </c>
      <c r="AO2617" s="22" t="str">
        <f t="shared" si="904"/>
        <v/>
      </c>
      <c r="AP2617" s="22" t="str">
        <f t="shared" si="905"/>
        <v/>
      </c>
    </row>
    <row r="2618" spans="1:42" x14ac:dyDescent="0.25">
      <c r="A2618" s="10"/>
      <c r="B2618" s="10"/>
      <c r="C2618" s="10"/>
      <c r="D2618" s="10"/>
      <c r="E2618" s="10"/>
      <c r="F2618" s="10"/>
      <c r="G2618" s="10"/>
      <c r="H2618" s="17"/>
      <c r="I2618" s="10"/>
      <c r="J2618" s="10"/>
      <c r="K2618" s="16" t="str">
        <f t="shared" si="884"/>
        <v/>
      </c>
      <c r="L2618" s="23" t="str">
        <f t="shared" si="885"/>
        <v/>
      </c>
      <c r="M2618" s="22" t="str">
        <f t="shared" si="886"/>
        <v/>
      </c>
      <c r="N2618" s="72"/>
      <c r="O2618" s="16" t="str">
        <f t="shared" si="887"/>
        <v/>
      </c>
      <c r="P2618" s="16" t="str">
        <f t="shared" si="888"/>
        <v/>
      </c>
      <c r="Q2618" s="16" t="str">
        <f t="shared" si="889"/>
        <v/>
      </c>
      <c r="R2618" s="23" t="str">
        <f t="shared" si="890"/>
        <v/>
      </c>
      <c r="S2618" s="23" t="str">
        <f t="shared" si="891"/>
        <v/>
      </c>
      <c r="T2618" s="23" t="str">
        <f t="shared" si="892"/>
        <v/>
      </c>
      <c r="U2618" s="23" t="str">
        <f t="shared" si="893"/>
        <v/>
      </c>
      <c r="V2618" s="23" t="str">
        <f t="shared" si="894"/>
        <v/>
      </c>
      <c r="W2618" s="70" t="str">
        <f t="shared" si="895"/>
        <v/>
      </c>
      <c r="X2618" s="70" t="str">
        <f t="shared" si="896"/>
        <v/>
      </c>
      <c r="Y2618" s="70" t="str">
        <f>IF(AND($A2618&lt;&gt;"",$E2618&gt;0),isLaptopBag($C2618,$J2618)*$D2618,"")</f>
        <v/>
      </c>
      <c r="Z2618" s="70" t="str">
        <f t="shared" si="897"/>
        <v/>
      </c>
      <c r="AA2618" s="70" t="str">
        <f t="shared" si="898"/>
        <v/>
      </c>
      <c r="AB2618" s="70" t="str">
        <f t="shared" si="899"/>
        <v/>
      </c>
      <c r="AC2618" s="70" t="str">
        <f t="shared" si="900"/>
        <v/>
      </c>
      <c r="AD2618" s="70" t="str">
        <f t="shared" si="901"/>
        <v/>
      </c>
      <c r="AE2618" s="70" t="str">
        <f t="shared" si="902"/>
        <v/>
      </c>
      <c r="AF2618" s="16"/>
      <c r="AG2618" s="23"/>
      <c r="AH2618" s="22"/>
      <c r="AJ2618" s="83">
        <f t="shared" si="903"/>
        <v>0</v>
      </c>
      <c r="AO2618" s="22" t="str">
        <f t="shared" si="904"/>
        <v/>
      </c>
      <c r="AP2618" s="22" t="str">
        <f t="shared" si="905"/>
        <v/>
      </c>
    </row>
    <row r="2619" spans="1:42" x14ac:dyDescent="0.25">
      <c r="A2619" s="10"/>
      <c r="B2619" s="10"/>
      <c r="C2619" s="10"/>
      <c r="D2619" s="10"/>
      <c r="E2619" s="10"/>
      <c r="F2619" s="10"/>
      <c r="G2619" s="10"/>
      <c r="H2619" s="17"/>
      <c r="I2619" s="10"/>
      <c r="J2619" s="10"/>
      <c r="K2619" s="16" t="str">
        <f t="shared" si="884"/>
        <v/>
      </c>
      <c r="L2619" s="23" t="str">
        <f t="shared" si="885"/>
        <v/>
      </c>
      <c r="M2619" s="22" t="str">
        <f t="shared" si="886"/>
        <v/>
      </c>
      <c r="N2619" s="72"/>
      <c r="O2619" s="16" t="str">
        <f t="shared" si="887"/>
        <v/>
      </c>
      <c r="P2619" s="16" t="str">
        <f t="shared" si="888"/>
        <v/>
      </c>
      <c r="Q2619" s="16" t="str">
        <f t="shared" si="889"/>
        <v/>
      </c>
      <c r="R2619" s="23" t="str">
        <f t="shared" si="890"/>
        <v/>
      </c>
      <c r="S2619" s="23" t="str">
        <f t="shared" si="891"/>
        <v/>
      </c>
      <c r="T2619" s="23" t="str">
        <f t="shared" si="892"/>
        <v/>
      </c>
      <c r="U2619" s="23" t="str">
        <f t="shared" si="893"/>
        <v/>
      </c>
      <c r="V2619" s="23" t="str">
        <f t="shared" si="894"/>
        <v/>
      </c>
      <c r="W2619" s="70" t="str">
        <f t="shared" si="895"/>
        <v/>
      </c>
      <c r="X2619" s="70" t="str">
        <f t="shared" si="896"/>
        <v/>
      </c>
      <c r="Y2619" s="70" t="str">
        <f>IF(AND($A2619&lt;&gt;"",$E2619&gt;0),isLaptopBag($C2619,$J2619)*$D2619,"")</f>
        <v/>
      </c>
      <c r="Z2619" s="70" t="str">
        <f t="shared" si="897"/>
        <v/>
      </c>
      <c r="AA2619" s="70" t="str">
        <f t="shared" si="898"/>
        <v/>
      </c>
      <c r="AB2619" s="70" t="str">
        <f t="shared" si="899"/>
        <v/>
      </c>
      <c r="AC2619" s="70" t="str">
        <f t="shared" si="900"/>
        <v/>
      </c>
      <c r="AD2619" s="70" t="str">
        <f t="shared" si="901"/>
        <v/>
      </c>
      <c r="AE2619" s="70" t="str">
        <f t="shared" si="902"/>
        <v/>
      </c>
      <c r="AF2619" s="16"/>
      <c r="AG2619" s="23"/>
      <c r="AH2619" s="22"/>
      <c r="AJ2619" s="83">
        <f t="shared" si="903"/>
        <v>0</v>
      </c>
      <c r="AO2619" s="22" t="str">
        <f t="shared" si="904"/>
        <v/>
      </c>
      <c r="AP2619" s="22" t="str">
        <f t="shared" si="905"/>
        <v/>
      </c>
    </row>
    <row r="2620" spans="1:42" x14ac:dyDescent="0.25">
      <c r="A2620" s="10"/>
      <c r="B2620" s="10"/>
      <c r="C2620" s="10"/>
      <c r="D2620" s="10"/>
      <c r="E2620" s="10"/>
      <c r="F2620" s="10"/>
      <c r="G2620" s="10"/>
      <c r="H2620" s="17"/>
      <c r="I2620" s="10"/>
      <c r="J2620" s="10"/>
      <c r="K2620" s="16" t="str">
        <f t="shared" si="884"/>
        <v/>
      </c>
      <c r="L2620" s="23" t="str">
        <f t="shared" si="885"/>
        <v/>
      </c>
      <c r="M2620" s="22" t="str">
        <f t="shared" si="886"/>
        <v/>
      </c>
      <c r="N2620" s="72"/>
      <c r="O2620" s="16" t="str">
        <f t="shared" si="887"/>
        <v/>
      </c>
      <c r="P2620" s="16" t="str">
        <f t="shared" si="888"/>
        <v/>
      </c>
      <c r="Q2620" s="16" t="str">
        <f t="shared" si="889"/>
        <v/>
      </c>
      <c r="R2620" s="23" t="str">
        <f t="shared" si="890"/>
        <v/>
      </c>
      <c r="S2620" s="23" t="str">
        <f t="shared" si="891"/>
        <v/>
      </c>
      <c r="T2620" s="23" t="str">
        <f t="shared" si="892"/>
        <v/>
      </c>
      <c r="U2620" s="23" t="str">
        <f t="shared" si="893"/>
        <v/>
      </c>
      <c r="V2620" s="23" t="str">
        <f t="shared" si="894"/>
        <v/>
      </c>
      <c r="W2620" s="70" t="str">
        <f t="shared" si="895"/>
        <v/>
      </c>
      <c r="X2620" s="70" t="str">
        <f t="shared" si="896"/>
        <v/>
      </c>
      <c r="Y2620" s="70" t="str">
        <f>IF(AND($A2620&lt;&gt;"",$E2620&gt;0),isLaptopBag($C2620,$J2620)*$D2620,"")</f>
        <v/>
      </c>
      <c r="Z2620" s="70" t="str">
        <f t="shared" si="897"/>
        <v/>
      </c>
      <c r="AA2620" s="70" t="str">
        <f t="shared" si="898"/>
        <v/>
      </c>
      <c r="AB2620" s="70" t="str">
        <f t="shared" si="899"/>
        <v/>
      </c>
      <c r="AC2620" s="70" t="str">
        <f t="shared" si="900"/>
        <v/>
      </c>
      <c r="AD2620" s="70" t="str">
        <f t="shared" si="901"/>
        <v/>
      </c>
      <c r="AE2620" s="70" t="str">
        <f t="shared" si="902"/>
        <v/>
      </c>
      <c r="AF2620" s="16"/>
      <c r="AG2620" s="23"/>
      <c r="AH2620" s="22"/>
      <c r="AJ2620" s="83">
        <f t="shared" si="903"/>
        <v>0</v>
      </c>
      <c r="AO2620" s="22" t="str">
        <f t="shared" si="904"/>
        <v/>
      </c>
      <c r="AP2620" s="22" t="str">
        <f t="shared" si="905"/>
        <v/>
      </c>
    </row>
    <row r="2621" spans="1:42" x14ac:dyDescent="0.25">
      <c r="A2621" s="10"/>
      <c r="B2621" s="10"/>
      <c r="C2621" s="10"/>
      <c r="D2621" s="10"/>
      <c r="E2621" s="10"/>
      <c r="F2621" s="10"/>
      <c r="G2621" s="10"/>
      <c r="H2621" s="17"/>
      <c r="I2621" s="10"/>
      <c r="J2621" s="10"/>
      <c r="K2621" s="16" t="str">
        <f t="shared" si="884"/>
        <v/>
      </c>
      <c r="L2621" s="23" t="str">
        <f t="shared" si="885"/>
        <v/>
      </c>
      <c r="M2621" s="22" t="str">
        <f t="shared" si="886"/>
        <v/>
      </c>
      <c r="N2621" s="72"/>
      <c r="O2621" s="16" t="str">
        <f t="shared" si="887"/>
        <v/>
      </c>
      <c r="P2621" s="16" t="str">
        <f t="shared" si="888"/>
        <v/>
      </c>
      <c r="Q2621" s="16" t="str">
        <f t="shared" si="889"/>
        <v/>
      </c>
      <c r="R2621" s="23" t="str">
        <f t="shared" si="890"/>
        <v/>
      </c>
      <c r="S2621" s="23" t="str">
        <f t="shared" si="891"/>
        <v/>
      </c>
      <c r="T2621" s="23" t="str">
        <f t="shared" si="892"/>
        <v/>
      </c>
      <c r="U2621" s="23" t="str">
        <f t="shared" si="893"/>
        <v/>
      </c>
      <c r="V2621" s="23" t="str">
        <f t="shared" si="894"/>
        <v/>
      </c>
      <c r="W2621" s="70" t="str">
        <f t="shared" si="895"/>
        <v/>
      </c>
      <c r="X2621" s="70" t="str">
        <f t="shared" si="896"/>
        <v/>
      </c>
      <c r="Y2621" s="70" t="str">
        <f>IF(AND($A2621&lt;&gt;"",$E2621&gt;0),isLaptopBag($C2621,$J2621)*$D2621,"")</f>
        <v/>
      </c>
      <c r="Z2621" s="70" t="str">
        <f t="shared" si="897"/>
        <v/>
      </c>
      <c r="AA2621" s="70" t="str">
        <f t="shared" si="898"/>
        <v/>
      </c>
      <c r="AB2621" s="70" t="str">
        <f t="shared" si="899"/>
        <v/>
      </c>
      <c r="AC2621" s="70" t="str">
        <f t="shared" si="900"/>
        <v/>
      </c>
      <c r="AD2621" s="70" t="str">
        <f t="shared" si="901"/>
        <v/>
      </c>
      <c r="AE2621" s="70" t="str">
        <f t="shared" si="902"/>
        <v/>
      </c>
      <c r="AF2621" s="16"/>
      <c r="AG2621" s="23"/>
      <c r="AH2621" s="22"/>
      <c r="AJ2621" s="83">
        <f t="shared" si="903"/>
        <v>0</v>
      </c>
      <c r="AO2621" s="22" t="str">
        <f t="shared" si="904"/>
        <v/>
      </c>
      <c r="AP2621" s="22" t="str">
        <f t="shared" si="905"/>
        <v/>
      </c>
    </row>
    <row r="2622" spans="1:42" x14ac:dyDescent="0.25">
      <c r="A2622" s="10"/>
      <c r="B2622" s="10"/>
      <c r="C2622" s="10"/>
      <c r="D2622" s="10"/>
      <c r="E2622" s="10"/>
      <c r="F2622" s="10"/>
      <c r="G2622" s="10"/>
      <c r="H2622" s="17"/>
      <c r="I2622" s="10"/>
      <c r="J2622" s="10"/>
      <c r="K2622" s="16" t="str">
        <f t="shared" si="884"/>
        <v/>
      </c>
      <c r="L2622" s="23" t="str">
        <f t="shared" si="885"/>
        <v/>
      </c>
      <c r="M2622" s="22" t="str">
        <f t="shared" si="886"/>
        <v/>
      </c>
      <c r="N2622" s="72"/>
      <c r="O2622" s="16" t="str">
        <f t="shared" si="887"/>
        <v/>
      </c>
      <c r="P2622" s="16" t="str">
        <f t="shared" si="888"/>
        <v/>
      </c>
      <c r="Q2622" s="16" t="str">
        <f t="shared" si="889"/>
        <v/>
      </c>
      <c r="R2622" s="23" t="str">
        <f t="shared" si="890"/>
        <v/>
      </c>
      <c r="S2622" s="23" t="str">
        <f t="shared" si="891"/>
        <v/>
      </c>
      <c r="T2622" s="23" t="str">
        <f t="shared" si="892"/>
        <v/>
      </c>
      <c r="U2622" s="23" t="str">
        <f t="shared" si="893"/>
        <v/>
      </c>
      <c r="V2622" s="23" t="str">
        <f t="shared" si="894"/>
        <v/>
      </c>
      <c r="W2622" s="70" t="str">
        <f t="shared" si="895"/>
        <v/>
      </c>
      <c r="X2622" s="70" t="str">
        <f t="shared" si="896"/>
        <v/>
      </c>
      <c r="Y2622" s="70" t="str">
        <f>IF(AND($A2622&lt;&gt;"",$E2622&gt;0),isLaptopBag($C2622,$J2622)*$D2622,"")</f>
        <v/>
      </c>
      <c r="Z2622" s="70" t="str">
        <f t="shared" si="897"/>
        <v/>
      </c>
      <c r="AA2622" s="70" t="str">
        <f t="shared" si="898"/>
        <v/>
      </c>
      <c r="AB2622" s="70" t="str">
        <f t="shared" si="899"/>
        <v/>
      </c>
      <c r="AC2622" s="70" t="str">
        <f t="shared" si="900"/>
        <v/>
      </c>
      <c r="AD2622" s="70" t="str">
        <f t="shared" si="901"/>
        <v/>
      </c>
      <c r="AE2622" s="70" t="str">
        <f t="shared" si="902"/>
        <v/>
      </c>
      <c r="AF2622" s="16"/>
      <c r="AG2622" s="23"/>
      <c r="AH2622" s="22"/>
      <c r="AJ2622" s="83">
        <f t="shared" si="903"/>
        <v>0</v>
      </c>
      <c r="AO2622" s="22" t="str">
        <f t="shared" si="904"/>
        <v/>
      </c>
      <c r="AP2622" s="22" t="str">
        <f t="shared" si="905"/>
        <v/>
      </c>
    </row>
    <row r="2623" spans="1:42" x14ac:dyDescent="0.25">
      <c r="A2623" s="10"/>
      <c r="B2623" s="10"/>
      <c r="C2623" s="10"/>
      <c r="D2623" s="10"/>
      <c r="E2623" s="10"/>
      <c r="F2623" s="10"/>
      <c r="G2623" s="10"/>
      <c r="H2623" s="17"/>
      <c r="I2623" s="10"/>
      <c r="J2623" s="10"/>
      <c r="K2623" s="16" t="str">
        <f t="shared" si="884"/>
        <v/>
      </c>
      <c r="L2623" s="23" t="str">
        <f t="shared" si="885"/>
        <v/>
      </c>
      <c r="M2623" s="22" t="str">
        <f t="shared" si="886"/>
        <v/>
      </c>
      <c r="N2623" s="72"/>
      <c r="O2623" s="16" t="str">
        <f t="shared" si="887"/>
        <v/>
      </c>
      <c r="P2623" s="16" t="str">
        <f t="shared" si="888"/>
        <v/>
      </c>
      <c r="Q2623" s="16" t="str">
        <f t="shared" si="889"/>
        <v/>
      </c>
      <c r="R2623" s="23" t="str">
        <f t="shared" si="890"/>
        <v/>
      </c>
      <c r="S2623" s="23" t="str">
        <f t="shared" si="891"/>
        <v/>
      </c>
      <c r="T2623" s="23" t="str">
        <f t="shared" si="892"/>
        <v/>
      </c>
      <c r="U2623" s="23" t="str">
        <f t="shared" si="893"/>
        <v/>
      </c>
      <c r="V2623" s="23" t="str">
        <f t="shared" si="894"/>
        <v/>
      </c>
      <c r="W2623" s="70" t="str">
        <f t="shared" si="895"/>
        <v/>
      </c>
      <c r="X2623" s="70" t="str">
        <f t="shared" si="896"/>
        <v/>
      </c>
      <c r="Y2623" s="70" t="str">
        <f>IF(AND($A2623&lt;&gt;"",$E2623&gt;0),isLaptopBag($C2623,$J2623)*$D2623,"")</f>
        <v/>
      </c>
      <c r="Z2623" s="70" t="str">
        <f t="shared" si="897"/>
        <v/>
      </c>
      <c r="AA2623" s="70" t="str">
        <f t="shared" si="898"/>
        <v/>
      </c>
      <c r="AB2623" s="70" t="str">
        <f t="shared" si="899"/>
        <v/>
      </c>
      <c r="AC2623" s="70" t="str">
        <f t="shared" si="900"/>
        <v/>
      </c>
      <c r="AD2623" s="70" t="str">
        <f t="shared" si="901"/>
        <v/>
      </c>
      <c r="AE2623" s="70" t="str">
        <f t="shared" si="902"/>
        <v/>
      </c>
      <c r="AF2623" s="16"/>
      <c r="AG2623" s="23"/>
      <c r="AH2623" s="22"/>
      <c r="AJ2623" s="83">
        <f t="shared" si="903"/>
        <v>0</v>
      </c>
      <c r="AO2623" s="22" t="str">
        <f t="shared" si="904"/>
        <v/>
      </c>
      <c r="AP2623" s="22" t="str">
        <f t="shared" si="905"/>
        <v/>
      </c>
    </row>
    <row r="2624" spans="1:42" x14ac:dyDescent="0.25">
      <c r="A2624" s="10"/>
      <c r="B2624" s="10"/>
      <c r="C2624" s="10"/>
      <c r="D2624" s="10"/>
      <c r="E2624" s="10"/>
      <c r="F2624" s="10"/>
      <c r="G2624" s="10"/>
      <c r="H2624" s="17"/>
      <c r="I2624" s="10"/>
      <c r="J2624" s="10"/>
      <c r="K2624" s="16" t="str">
        <f t="shared" si="884"/>
        <v/>
      </c>
      <c r="L2624" s="23" t="str">
        <f t="shared" si="885"/>
        <v/>
      </c>
      <c r="M2624" s="22" t="str">
        <f t="shared" si="886"/>
        <v/>
      </c>
      <c r="N2624" s="72"/>
      <c r="O2624" s="16" t="str">
        <f t="shared" si="887"/>
        <v/>
      </c>
      <c r="P2624" s="16" t="str">
        <f t="shared" si="888"/>
        <v/>
      </c>
      <c r="Q2624" s="16" t="str">
        <f t="shared" si="889"/>
        <v/>
      </c>
      <c r="R2624" s="23" t="str">
        <f t="shared" si="890"/>
        <v/>
      </c>
      <c r="S2624" s="23" t="str">
        <f t="shared" si="891"/>
        <v/>
      </c>
      <c r="T2624" s="23" t="str">
        <f t="shared" si="892"/>
        <v/>
      </c>
      <c r="U2624" s="23" t="str">
        <f t="shared" si="893"/>
        <v/>
      </c>
      <c r="V2624" s="23" t="str">
        <f t="shared" si="894"/>
        <v/>
      </c>
      <c r="W2624" s="70" t="str">
        <f t="shared" si="895"/>
        <v/>
      </c>
      <c r="X2624" s="70" t="str">
        <f t="shared" si="896"/>
        <v/>
      </c>
      <c r="Y2624" s="70" t="str">
        <f>IF(AND($A2624&lt;&gt;"",$E2624&gt;0),isLaptopBag($C2624,$J2624)*$D2624,"")</f>
        <v/>
      </c>
      <c r="Z2624" s="70" t="str">
        <f t="shared" si="897"/>
        <v/>
      </c>
      <c r="AA2624" s="70" t="str">
        <f t="shared" si="898"/>
        <v/>
      </c>
      <c r="AB2624" s="70" t="str">
        <f t="shared" si="899"/>
        <v/>
      </c>
      <c r="AC2624" s="70" t="str">
        <f t="shared" si="900"/>
        <v/>
      </c>
      <c r="AD2624" s="70" t="str">
        <f t="shared" si="901"/>
        <v/>
      </c>
      <c r="AE2624" s="70" t="str">
        <f t="shared" si="902"/>
        <v/>
      </c>
      <c r="AF2624" s="16"/>
      <c r="AG2624" s="23"/>
      <c r="AH2624" s="22"/>
      <c r="AJ2624" s="83">
        <f t="shared" si="903"/>
        <v>0</v>
      </c>
      <c r="AO2624" s="22" t="str">
        <f t="shared" si="904"/>
        <v/>
      </c>
      <c r="AP2624" s="22" t="str">
        <f t="shared" si="905"/>
        <v/>
      </c>
    </row>
    <row r="2625" spans="1:42" x14ac:dyDescent="0.25">
      <c r="A2625" s="10"/>
      <c r="B2625" s="10"/>
      <c r="C2625" s="10"/>
      <c r="D2625" s="10"/>
      <c r="E2625" s="10"/>
      <c r="F2625" s="10"/>
      <c r="G2625" s="10"/>
      <c r="H2625" s="17"/>
      <c r="I2625" s="10"/>
      <c r="J2625" s="10"/>
      <c r="K2625" s="16" t="str">
        <f t="shared" si="884"/>
        <v/>
      </c>
      <c r="L2625" s="23" t="str">
        <f t="shared" si="885"/>
        <v/>
      </c>
      <c r="M2625" s="22" t="str">
        <f t="shared" si="886"/>
        <v/>
      </c>
      <c r="N2625" s="72"/>
      <c r="O2625" s="16" t="str">
        <f t="shared" si="887"/>
        <v/>
      </c>
      <c r="P2625" s="16" t="str">
        <f t="shared" si="888"/>
        <v/>
      </c>
      <c r="Q2625" s="16" t="str">
        <f t="shared" si="889"/>
        <v/>
      </c>
      <c r="R2625" s="23" t="str">
        <f t="shared" si="890"/>
        <v/>
      </c>
      <c r="S2625" s="23" t="str">
        <f t="shared" si="891"/>
        <v/>
      </c>
      <c r="T2625" s="23" t="str">
        <f t="shared" si="892"/>
        <v/>
      </c>
      <c r="U2625" s="23" t="str">
        <f t="shared" si="893"/>
        <v/>
      </c>
      <c r="V2625" s="23" t="str">
        <f t="shared" si="894"/>
        <v/>
      </c>
      <c r="W2625" s="70" t="str">
        <f t="shared" si="895"/>
        <v/>
      </c>
      <c r="X2625" s="70" t="str">
        <f t="shared" si="896"/>
        <v/>
      </c>
      <c r="Y2625" s="70" t="str">
        <f>IF(AND($A2625&lt;&gt;"",$E2625&gt;0),isLaptopBag($C2625,$J2625)*$D2625,"")</f>
        <v/>
      </c>
      <c r="Z2625" s="70" t="str">
        <f t="shared" si="897"/>
        <v/>
      </c>
      <c r="AA2625" s="70" t="str">
        <f t="shared" si="898"/>
        <v/>
      </c>
      <c r="AB2625" s="70" t="str">
        <f t="shared" si="899"/>
        <v/>
      </c>
      <c r="AC2625" s="70" t="str">
        <f t="shared" si="900"/>
        <v/>
      </c>
      <c r="AD2625" s="70" t="str">
        <f t="shared" si="901"/>
        <v/>
      </c>
      <c r="AE2625" s="70" t="str">
        <f t="shared" si="902"/>
        <v/>
      </c>
      <c r="AF2625" s="16"/>
      <c r="AG2625" s="23"/>
      <c r="AH2625" s="22"/>
      <c r="AJ2625" s="83">
        <f t="shared" si="903"/>
        <v>0</v>
      </c>
      <c r="AO2625" s="22" t="str">
        <f t="shared" si="904"/>
        <v/>
      </c>
      <c r="AP2625" s="22" t="str">
        <f t="shared" si="905"/>
        <v/>
      </c>
    </row>
    <row r="2626" spans="1:42" x14ac:dyDescent="0.25">
      <c r="A2626" s="10"/>
      <c r="B2626" s="10"/>
      <c r="C2626" s="10"/>
      <c r="D2626" s="10"/>
      <c r="E2626" s="10"/>
      <c r="F2626" s="10"/>
      <c r="G2626" s="10"/>
      <c r="H2626" s="17"/>
      <c r="I2626" s="10"/>
      <c r="J2626" s="10"/>
      <c r="K2626" s="16" t="str">
        <f t="shared" si="884"/>
        <v/>
      </c>
      <c r="L2626" s="23" t="str">
        <f t="shared" si="885"/>
        <v/>
      </c>
      <c r="M2626" s="22" t="str">
        <f t="shared" si="886"/>
        <v/>
      </c>
      <c r="N2626" s="72"/>
      <c r="O2626" s="16" t="str">
        <f t="shared" si="887"/>
        <v/>
      </c>
      <c r="P2626" s="16" t="str">
        <f t="shared" si="888"/>
        <v/>
      </c>
      <c r="Q2626" s="16" t="str">
        <f t="shared" si="889"/>
        <v/>
      </c>
      <c r="R2626" s="23" t="str">
        <f t="shared" si="890"/>
        <v/>
      </c>
      <c r="S2626" s="23" t="str">
        <f t="shared" si="891"/>
        <v/>
      </c>
      <c r="T2626" s="23" t="str">
        <f t="shared" si="892"/>
        <v/>
      </c>
      <c r="U2626" s="23" t="str">
        <f t="shared" si="893"/>
        <v/>
      </c>
      <c r="V2626" s="23" t="str">
        <f t="shared" si="894"/>
        <v/>
      </c>
      <c r="W2626" s="70" t="str">
        <f t="shared" si="895"/>
        <v/>
      </c>
      <c r="X2626" s="70" t="str">
        <f t="shared" si="896"/>
        <v/>
      </c>
      <c r="Y2626" s="70" t="str">
        <f>IF(AND($A2626&lt;&gt;"",$E2626&gt;0),isLaptopBag($C2626,$J2626)*$D2626,"")</f>
        <v/>
      </c>
      <c r="Z2626" s="70" t="str">
        <f t="shared" si="897"/>
        <v/>
      </c>
      <c r="AA2626" s="70" t="str">
        <f t="shared" si="898"/>
        <v/>
      </c>
      <c r="AB2626" s="70" t="str">
        <f t="shared" si="899"/>
        <v/>
      </c>
      <c r="AC2626" s="70" t="str">
        <f t="shared" si="900"/>
        <v/>
      </c>
      <c r="AD2626" s="70" t="str">
        <f t="shared" si="901"/>
        <v/>
      </c>
      <c r="AE2626" s="70" t="str">
        <f t="shared" si="902"/>
        <v/>
      </c>
      <c r="AF2626" s="16"/>
      <c r="AG2626" s="23"/>
      <c r="AH2626" s="22"/>
      <c r="AJ2626" s="83">
        <f t="shared" si="903"/>
        <v>0</v>
      </c>
      <c r="AO2626" s="22" t="str">
        <f t="shared" si="904"/>
        <v/>
      </c>
      <c r="AP2626" s="22" t="str">
        <f t="shared" si="905"/>
        <v/>
      </c>
    </row>
    <row r="2627" spans="1:42" x14ac:dyDescent="0.25">
      <c r="A2627" s="10"/>
      <c r="B2627" s="10"/>
      <c r="C2627" s="10"/>
      <c r="D2627" s="10"/>
      <c r="E2627" s="10"/>
      <c r="F2627" s="10"/>
      <c r="G2627" s="10"/>
      <c r="H2627" s="17"/>
      <c r="I2627" s="10"/>
      <c r="J2627" s="10"/>
      <c r="K2627" s="16" t="str">
        <f t="shared" si="884"/>
        <v/>
      </c>
      <c r="L2627" s="23" t="str">
        <f t="shared" si="885"/>
        <v/>
      </c>
      <c r="M2627" s="22" t="str">
        <f t="shared" si="886"/>
        <v/>
      </c>
      <c r="N2627" s="72"/>
      <c r="O2627" s="16" t="str">
        <f t="shared" si="887"/>
        <v/>
      </c>
      <c r="P2627" s="16" t="str">
        <f t="shared" si="888"/>
        <v/>
      </c>
      <c r="Q2627" s="16" t="str">
        <f t="shared" si="889"/>
        <v/>
      </c>
      <c r="R2627" s="23" t="str">
        <f t="shared" si="890"/>
        <v/>
      </c>
      <c r="S2627" s="23" t="str">
        <f t="shared" si="891"/>
        <v/>
      </c>
      <c r="T2627" s="23" t="str">
        <f t="shared" si="892"/>
        <v/>
      </c>
      <c r="U2627" s="23" t="str">
        <f t="shared" si="893"/>
        <v/>
      </c>
      <c r="V2627" s="23" t="str">
        <f t="shared" si="894"/>
        <v/>
      </c>
      <c r="W2627" s="70" t="str">
        <f t="shared" si="895"/>
        <v/>
      </c>
      <c r="X2627" s="70" t="str">
        <f t="shared" si="896"/>
        <v/>
      </c>
      <c r="Y2627" s="70" t="str">
        <f>IF(AND($A2627&lt;&gt;"",$E2627&gt;0),isLaptopBag($C2627,$J2627)*$D2627,"")</f>
        <v/>
      </c>
      <c r="Z2627" s="70" t="str">
        <f t="shared" si="897"/>
        <v/>
      </c>
      <c r="AA2627" s="70" t="str">
        <f t="shared" si="898"/>
        <v/>
      </c>
      <c r="AB2627" s="70" t="str">
        <f t="shared" si="899"/>
        <v/>
      </c>
      <c r="AC2627" s="70" t="str">
        <f t="shared" si="900"/>
        <v/>
      </c>
      <c r="AD2627" s="70" t="str">
        <f t="shared" si="901"/>
        <v/>
      </c>
      <c r="AE2627" s="70" t="str">
        <f t="shared" si="902"/>
        <v/>
      </c>
      <c r="AF2627" s="16"/>
      <c r="AG2627" s="23"/>
      <c r="AH2627" s="22"/>
      <c r="AJ2627" s="83">
        <f t="shared" si="903"/>
        <v>0</v>
      </c>
      <c r="AO2627" s="22" t="str">
        <f t="shared" si="904"/>
        <v/>
      </c>
      <c r="AP2627" s="22" t="str">
        <f t="shared" si="905"/>
        <v/>
      </c>
    </row>
    <row r="2628" spans="1:42" x14ac:dyDescent="0.25">
      <c r="A2628" s="10"/>
      <c r="B2628" s="10"/>
      <c r="C2628" s="10"/>
      <c r="D2628" s="10"/>
      <c r="E2628" s="10"/>
      <c r="F2628" s="10"/>
      <c r="G2628" s="10"/>
      <c r="H2628" s="17"/>
      <c r="I2628" s="10"/>
      <c r="J2628" s="10"/>
      <c r="K2628" s="16" t="str">
        <f t="shared" si="884"/>
        <v/>
      </c>
      <c r="L2628" s="23" t="str">
        <f t="shared" si="885"/>
        <v/>
      </c>
      <c r="M2628" s="22" t="str">
        <f t="shared" si="886"/>
        <v/>
      </c>
      <c r="N2628" s="72"/>
      <c r="O2628" s="16" t="str">
        <f t="shared" si="887"/>
        <v/>
      </c>
      <c r="P2628" s="16" t="str">
        <f t="shared" si="888"/>
        <v/>
      </c>
      <c r="Q2628" s="16" t="str">
        <f t="shared" si="889"/>
        <v/>
      </c>
      <c r="R2628" s="23" t="str">
        <f t="shared" si="890"/>
        <v/>
      </c>
      <c r="S2628" s="23" t="str">
        <f t="shared" si="891"/>
        <v/>
      </c>
      <c r="T2628" s="23" t="str">
        <f t="shared" si="892"/>
        <v/>
      </c>
      <c r="U2628" s="23" t="str">
        <f t="shared" si="893"/>
        <v/>
      </c>
      <c r="V2628" s="23" t="str">
        <f t="shared" si="894"/>
        <v/>
      </c>
      <c r="W2628" s="70" t="str">
        <f t="shared" si="895"/>
        <v/>
      </c>
      <c r="X2628" s="70" t="str">
        <f t="shared" si="896"/>
        <v/>
      </c>
      <c r="Y2628" s="70" t="str">
        <f>IF(AND($A2628&lt;&gt;"",$E2628&gt;0),isLaptopBag($C2628,$J2628)*$D2628,"")</f>
        <v/>
      </c>
      <c r="Z2628" s="70" t="str">
        <f t="shared" si="897"/>
        <v/>
      </c>
      <c r="AA2628" s="70" t="str">
        <f t="shared" si="898"/>
        <v/>
      </c>
      <c r="AB2628" s="70" t="str">
        <f t="shared" si="899"/>
        <v/>
      </c>
      <c r="AC2628" s="70" t="str">
        <f t="shared" si="900"/>
        <v/>
      </c>
      <c r="AD2628" s="70" t="str">
        <f t="shared" si="901"/>
        <v/>
      </c>
      <c r="AE2628" s="70" t="str">
        <f t="shared" si="902"/>
        <v/>
      </c>
      <c r="AF2628" s="16"/>
      <c r="AG2628" s="23"/>
      <c r="AH2628" s="22"/>
      <c r="AJ2628" s="83">
        <f t="shared" si="903"/>
        <v>0</v>
      </c>
      <c r="AO2628" s="22" t="str">
        <f t="shared" si="904"/>
        <v/>
      </c>
      <c r="AP2628" s="22" t="str">
        <f t="shared" si="905"/>
        <v/>
      </c>
    </row>
    <row r="2629" spans="1:42" x14ac:dyDescent="0.25">
      <c r="A2629" s="10"/>
      <c r="B2629" s="10"/>
      <c r="C2629" s="10"/>
      <c r="D2629" s="10"/>
      <c r="E2629" s="10"/>
      <c r="F2629" s="10"/>
      <c r="G2629" s="10"/>
      <c r="H2629" s="17"/>
      <c r="I2629" s="10"/>
      <c r="J2629" s="10"/>
      <c r="K2629" s="16" t="str">
        <f t="shared" si="884"/>
        <v/>
      </c>
      <c r="L2629" s="23" t="str">
        <f t="shared" si="885"/>
        <v/>
      </c>
      <c r="M2629" s="22" t="str">
        <f t="shared" si="886"/>
        <v/>
      </c>
      <c r="N2629" s="72"/>
      <c r="O2629" s="16" t="str">
        <f t="shared" si="887"/>
        <v/>
      </c>
      <c r="P2629" s="16" t="str">
        <f t="shared" si="888"/>
        <v/>
      </c>
      <c r="Q2629" s="16" t="str">
        <f t="shared" si="889"/>
        <v/>
      </c>
      <c r="R2629" s="23" t="str">
        <f t="shared" si="890"/>
        <v/>
      </c>
      <c r="S2629" s="23" t="str">
        <f t="shared" si="891"/>
        <v/>
      </c>
      <c r="T2629" s="23" t="str">
        <f t="shared" si="892"/>
        <v/>
      </c>
      <c r="U2629" s="23" t="str">
        <f t="shared" si="893"/>
        <v/>
      </c>
      <c r="V2629" s="23" t="str">
        <f t="shared" si="894"/>
        <v/>
      </c>
      <c r="W2629" s="70" t="str">
        <f t="shared" si="895"/>
        <v/>
      </c>
      <c r="X2629" s="70" t="str">
        <f t="shared" si="896"/>
        <v/>
      </c>
      <c r="Y2629" s="70" t="str">
        <f>IF(AND($A2629&lt;&gt;"",$E2629&gt;0),isLaptopBag($C2629,$J2629)*$D2629,"")</f>
        <v/>
      </c>
      <c r="Z2629" s="70" t="str">
        <f t="shared" si="897"/>
        <v/>
      </c>
      <c r="AA2629" s="70" t="str">
        <f t="shared" si="898"/>
        <v/>
      </c>
      <c r="AB2629" s="70" t="str">
        <f t="shared" si="899"/>
        <v/>
      </c>
      <c r="AC2629" s="70" t="str">
        <f t="shared" si="900"/>
        <v/>
      </c>
      <c r="AD2629" s="70" t="str">
        <f t="shared" si="901"/>
        <v/>
      </c>
      <c r="AE2629" s="70" t="str">
        <f t="shared" si="902"/>
        <v/>
      </c>
      <c r="AF2629" s="16"/>
      <c r="AG2629" s="23"/>
      <c r="AH2629" s="22"/>
      <c r="AJ2629" s="83">
        <f t="shared" si="903"/>
        <v>0</v>
      </c>
      <c r="AO2629" s="22" t="str">
        <f t="shared" si="904"/>
        <v/>
      </c>
      <c r="AP2629" s="22" t="str">
        <f t="shared" si="905"/>
        <v/>
      </c>
    </row>
    <row r="2630" spans="1:42" x14ac:dyDescent="0.25">
      <c r="A2630" s="10"/>
      <c r="B2630" s="10"/>
      <c r="C2630" s="10"/>
      <c r="D2630" s="10"/>
      <c r="E2630" s="10"/>
      <c r="F2630" s="10"/>
      <c r="G2630" s="10"/>
      <c r="H2630" s="17"/>
      <c r="I2630" s="10"/>
      <c r="J2630" s="10"/>
      <c r="K2630" s="16" t="str">
        <f t="shared" si="884"/>
        <v/>
      </c>
      <c r="L2630" s="23" t="str">
        <f t="shared" si="885"/>
        <v/>
      </c>
      <c r="M2630" s="22" t="str">
        <f t="shared" si="886"/>
        <v/>
      </c>
      <c r="N2630" s="72"/>
      <c r="O2630" s="16" t="str">
        <f t="shared" si="887"/>
        <v/>
      </c>
      <c r="P2630" s="16" t="str">
        <f t="shared" si="888"/>
        <v/>
      </c>
      <c r="Q2630" s="16" t="str">
        <f t="shared" si="889"/>
        <v/>
      </c>
      <c r="R2630" s="23" t="str">
        <f t="shared" si="890"/>
        <v/>
      </c>
      <c r="S2630" s="23" t="str">
        <f t="shared" si="891"/>
        <v/>
      </c>
      <c r="T2630" s="23" t="str">
        <f t="shared" si="892"/>
        <v/>
      </c>
      <c r="U2630" s="23" t="str">
        <f t="shared" si="893"/>
        <v/>
      </c>
      <c r="V2630" s="23" t="str">
        <f t="shared" si="894"/>
        <v/>
      </c>
      <c r="W2630" s="70" t="str">
        <f t="shared" si="895"/>
        <v/>
      </c>
      <c r="X2630" s="70" t="str">
        <f t="shared" si="896"/>
        <v/>
      </c>
      <c r="Y2630" s="70" t="str">
        <f>IF(AND($A2630&lt;&gt;"",$E2630&gt;0),isLaptopBag($C2630,$J2630)*$D2630,"")</f>
        <v/>
      </c>
      <c r="Z2630" s="70" t="str">
        <f t="shared" si="897"/>
        <v/>
      </c>
      <c r="AA2630" s="70" t="str">
        <f t="shared" si="898"/>
        <v/>
      </c>
      <c r="AB2630" s="70" t="str">
        <f t="shared" si="899"/>
        <v/>
      </c>
      <c r="AC2630" s="70" t="str">
        <f t="shared" si="900"/>
        <v/>
      </c>
      <c r="AD2630" s="70" t="str">
        <f t="shared" si="901"/>
        <v/>
      </c>
      <c r="AE2630" s="70" t="str">
        <f t="shared" si="902"/>
        <v/>
      </c>
      <c r="AF2630" s="16"/>
      <c r="AG2630" s="23"/>
      <c r="AH2630" s="22"/>
      <c r="AJ2630" s="83">
        <f t="shared" si="903"/>
        <v>0</v>
      </c>
      <c r="AO2630" s="22" t="str">
        <f t="shared" si="904"/>
        <v/>
      </c>
      <c r="AP2630" s="22" t="str">
        <f t="shared" si="905"/>
        <v/>
      </c>
    </row>
    <row r="2631" spans="1:42" x14ac:dyDescent="0.25">
      <c r="A2631" s="10"/>
      <c r="B2631" s="10"/>
      <c r="C2631" s="10"/>
      <c r="D2631" s="10"/>
      <c r="E2631" s="10"/>
      <c r="F2631" s="10"/>
      <c r="G2631" s="10"/>
      <c r="H2631" s="17"/>
      <c r="I2631" s="10"/>
      <c r="J2631" s="10"/>
      <c r="K2631" s="16" t="str">
        <f t="shared" si="884"/>
        <v/>
      </c>
      <c r="L2631" s="23" t="str">
        <f t="shared" si="885"/>
        <v/>
      </c>
      <c r="M2631" s="22" t="str">
        <f t="shared" si="886"/>
        <v/>
      </c>
      <c r="N2631" s="72"/>
      <c r="O2631" s="16" t="str">
        <f t="shared" si="887"/>
        <v/>
      </c>
      <c r="P2631" s="16" t="str">
        <f t="shared" si="888"/>
        <v/>
      </c>
      <c r="Q2631" s="16" t="str">
        <f t="shared" si="889"/>
        <v/>
      </c>
      <c r="R2631" s="23" t="str">
        <f t="shared" si="890"/>
        <v/>
      </c>
      <c r="S2631" s="23" t="str">
        <f t="shared" si="891"/>
        <v/>
      </c>
      <c r="T2631" s="23" t="str">
        <f t="shared" si="892"/>
        <v/>
      </c>
      <c r="U2631" s="23" t="str">
        <f t="shared" si="893"/>
        <v/>
      </c>
      <c r="V2631" s="23" t="str">
        <f t="shared" si="894"/>
        <v/>
      </c>
      <c r="W2631" s="70" t="str">
        <f t="shared" si="895"/>
        <v/>
      </c>
      <c r="X2631" s="70" t="str">
        <f t="shared" si="896"/>
        <v/>
      </c>
      <c r="Y2631" s="70" t="str">
        <f>IF(AND($A2631&lt;&gt;"",$E2631&gt;0),isLaptopBag($C2631,$J2631)*$D2631,"")</f>
        <v/>
      </c>
      <c r="Z2631" s="70" t="str">
        <f t="shared" si="897"/>
        <v/>
      </c>
      <c r="AA2631" s="70" t="str">
        <f t="shared" si="898"/>
        <v/>
      </c>
      <c r="AB2631" s="70" t="str">
        <f t="shared" si="899"/>
        <v/>
      </c>
      <c r="AC2631" s="70" t="str">
        <f t="shared" si="900"/>
        <v/>
      </c>
      <c r="AD2631" s="70" t="str">
        <f t="shared" si="901"/>
        <v/>
      </c>
      <c r="AE2631" s="70" t="str">
        <f t="shared" si="902"/>
        <v/>
      </c>
      <c r="AF2631" s="16"/>
      <c r="AG2631" s="23"/>
      <c r="AH2631" s="22"/>
      <c r="AJ2631" s="83">
        <f t="shared" si="903"/>
        <v>0</v>
      </c>
      <c r="AO2631" s="22" t="str">
        <f t="shared" si="904"/>
        <v/>
      </c>
      <c r="AP2631" s="22" t="str">
        <f t="shared" si="905"/>
        <v/>
      </c>
    </row>
    <row r="2632" spans="1:42" x14ac:dyDescent="0.25">
      <c r="A2632" s="10"/>
      <c r="B2632" s="10"/>
      <c r="C2632" s="10"/>
      <c r="D2632" s="10"/>
      <c r="E2632" s="10"/>
      <c r="F2632" s="10"/>
      <c r="G2632" s="10"/>
      <c r="H2632" s="17"/>
      <c r="I2632" s="10"/>
      <c r="J2632" s="10"/>
      <c r="K2632" s="16" t="str">
        <f t="shared" si="884"/>
        <v/>
      </c>
      <c r="L2632" s="23" t="str">
        <f t="shared" si="885"/>
        <v/>
      </c>
      <c r="M2632" s="22" t="str">
        <f t="shared" si="886"/>
        <v/>
      </c>
      <c r="N2632" s="72"/>
      <c r="O2632" s="16" t="str">
        <f t="shared" si="887"/>
        <v/>
      </c>
      <c r="P2632" s="16" t="str">
        <f t="shared" si="888"/>
        <v/>
      </c>
      <c r="Q2632" s="16" t="str">
        <f t="shared" si="889"/>
        <v/>
      </c>
      <c r="R2632" s="23" t="str">
        <f t="shared" si="890"/>
        <v/>
      </c>
      <c r="S2632" s="23" t="str">
        <f t="shared" si="891"/>
        <v/>
      </c>
      <c r="T2632" s="23" t="str">
        <f t="shared" si="892"/>
        <v/>
      </c>
      <c r="U2632" s="23" t="str">
        <f t="shared" si="893"/>
        <v/>
      </c>
      <c r="V2632" s="23" t="str">
        <f t="shared" si="894"/>
        <v/>
      </c>
      <c r="W2632" s="70" t="str">
        <f t="shared" si="895"/>
        <v/>
      </c>
      <c r="X2632" s="70" t="str">
        <f t="shared" si="896"/>
        <v/>
      </c>
      <c r="Y2632" s="70" t="str">
        <f>IF(AND($A2632&lt;&gt;"",$E2632&gt;0),isLaptopBag($C2632,$J2632)*$D2632,"")</f>
        <v/>
      </c>
      <c r="Z2632" s="70" t="str">
        <f t="shared" si="897"/>
        <v/>
      </c>
      <c r="AA2632" s="70" t="str">
        <f t="shared" si="898"/>
        <v/>
      </c>
      <c r="AB2632" s="70" t="str">
        <f t="shared" si="899"/>
        <v/>
      </c>
      <c r="AC2632" s="70" t="str">
        <f t="shared" si="900"/>
        <v/>
      </c>
      <c r="AD2632" s="70" t="str">
        <f t="shared" si="901"/>
        <v/>
      </c>
      <c r="AE2632" s="70" t="str">
        <f t="shared" si="902"/>
        <v/>
      </c>
      <c r="AF2632" s="16"/>
      <c r="AG2632" s="23"/>
      <c r="AH2632" s="22"/>
      <c r="AJ2632" s="83">
        <f t="shared" si="903"/>
        <v>0</v>
      </c>
      <c r="AO2632" s="22" t="str">
        <f t="shared" si="904"/>
        <v/>
      </c>
      <c r="AP2632" s="22" t="str">
        <f t="shared" si="905"/>
        <v/>
      </c>
    </row>
    <row r="2633" spans="1:42" x14ac:dyDescent="0.25">
      <c r="A2633" s="10"/>
      <c r="B2633" s="10"/>
      <c r="C2633" s="10"/>
      <c r="D2633" s="10"/>
      <c r="E2633" s="10"/>
      <c r="F2633" s="10"/>
      <c r="G2633" s="10"/>
      <c r="H2633" s="17"/>
      <c r="I2633" s="10"/>
      <c r="J2633" s="10"/>
      <c r="K2633" s="16" t="str">
        <f t="shared" si="884"/>
        <v/>
      </c>
      <c r="L2633" s="23" t="str">
        <f t="shared" si="885"/>
        <v/>
      </c>
      <c r="M2633" s="22" t="str">
        <f t="shared" si="886"/>
        <v/>
      </c>
      <c r="N2633" s="72"/>
      <c r="O2633" s="16" t="str">
        <f t="shared" si="887"/>
        <v/>
      </c>
      <c r="P2633" s="16" t="str">
        <f t="shared" si="888"/>
        <v/>
      </c>
      <c r="Q2633" s="16" t="str">
        <f t="shared" si="889"/>
        <v/>
      </c>
      <c r="R2633" s="23" t="str">
        <f t="shared" si="890"/>
        <v/>
      </c>
      <c r="S2633" s="23" t="str">
        <f t="shared" si="891"/>
        <v/>
      </c>
      <c r="T2633" s="23" t="str">
        <f t="shared" si="892"/>
        <v/>
      </c>
      <c r="U2633" s="23" t="str">
        <f t="shared" si="893"/>
        <v/>
      </c>
      <c r="V2633" s="23" t="str">
        <f t="shared" si="894"/>
        <v/>
      </c>
      <c r="W2633" s="70" t="str">
        <f t="shared" si="895"/>
        <v/>
      </c>
      <c r="X2633" s="70" t="str">
        <f t="shared" si="896"/>
        <v/>
      </c>
      <c r="Y2633" s="70" t="str">
        <f>IF(AND($A2633&lt;&gt;"",$E2633&gt;0),isLaptopBag($C2633,$J2633)*$D2633,"")</f>
        <v/>
      </c>
      <c r="Z2633" s="70" t="str">
        <f t="shared" si="897"/>
        <v/>
      </c>
      <c r="AA2633" s="70" t="str">
        <f t="shared" si="898"/>
        <v/>
      </c>
      <c r="AB2633" s="70" t="str">
        <f t="shared" si="899"/>
        <v/>
      </c>
      <c r="AC2633" s="70" t="str">
        <f t="shared" si="900"/>
        <v/>
      </c>
      <c r="AD2633" s="70" t="str">
        <f t="shared" si="901"/>
        <v/>
      </c>
      <c r="AE2633" s="70" t="str">
        <f t="shared" si="902"/>
        <v/>
      </c>
      <c r="AF2633" s="16"/>
      <c r="AG2633" s="23"/>
      <c r="AH2633" s="22"/>
      <c r="AJ2633" s="83">
        <f t="shared" si="903"/>
        <v>0</v>
      </c>
      <c r="AO2633" s="22" t="str">
        <f t="shared" si="904"/>
        <v/>
      </c>
      <c r="AP2633" s="22" t="str">
        <f t="shared" si="905"/>
        <v/>
      </c>
    </row>
    <row r="2634" spans="1:42" x14ac:dyDescent="0.25">
      <c r="A2634" s="10"/>
      <c r="B2634" s="10"/>
      <c r="C2634" s="10"/>
      <c r="D2634" s="10"/>
      <c r="E2634" s="10"/>
      <c r="F2634" s="10"/>
      <c r="G2634" s="10"/>
      <c r="H2634" s="17"/>
      <c r="I2634" s="10"/>
      <c r="J2634" s="10"/>
      <c r="K2634" s="16" t="str">
        <f t="shared" si="884"/>
        <v/>
      </c>
      <c r="L2634" s="23" t="str">
        <f t="shared" si="885"/>
        <v/>
      </c>
      <c r="M2634" s="22" t="str">
        <f t="shared" si="886"/>
        <v/>
      </c>
      <c r="N2634" s="72"/>
      <c r="O2634" s="16" t="str">
        <f t="shared" si="887"/>
        <v/>
      </c>
      <c r="P2634" s="16" t="str">
        <f t="shared" si="888"/>
        <v/>
      </c>
      <c r="Q2634" s="16" t="str">
        <f t="shared" si="889"/>
        <v/>
      </c>
      <c r="R2634" s="23" t="str">
        <f t="shared" si="890"/>
        <v/>
      </c>
      <c r="S2634" s="23" t="str">
        <f t="shared" si="891"/>
        <v/>
      </c>
      <c r="T2634" s="23" t="str">
        <f t="shared" si="892"/>
        <v/>
      </c>
      <c r="U2634" s="23" t="str">
        <f t="shared" si="893"/>
        <v/>
      </c>
      <c r="V2634" s="23" t="str">
        <f t="shared" si="894"/>
        <v/>
      </c>
      <c r="W2634" s="70" t="str">
        <f t="shared" si="895"/>
        <v/>
      </c>
      <c r="X2634" s="70" t="str">
        <f t="shared" si="896"/>
        <v/>
      </c>
      <c r="Y2634" s="70" t="str">
        <f>IF(AND($A2634&lt;&gt;"",$E2634&gt;0),isLaptopBag($C2634,$J2634)*$D2634,"")</f>
        <v/>
      </c>
      <c r="Z2634" s="70" t="str">
        <f t="shared" si="897"/>
        <v/>
      </c>
      <c r="AA2634" s="70" t="str">
        <f t="shared" si="898"/>
        <v/>
      </c>
      <c r="AB2634" s="70" t="str">
        <f t="shared" si="899"/>
        <v/>
      </c>
      <c r="AC2634" s="70" t="str">
        <f t="shared" si="900"/>
        <v/>
      </c>
      <c r="AD2634" s="70" t="str">
        <f t="shared" si="901"/>
        <v/>
      </c>
      <c r="AE2634" s="70" t="str">
        <f t="shared" si="902"/>
        <v/>
      </c>
      <c r="AF2634" s="16"/>
      <c r="AG2634" s="23"/>
      <c r="AH2634" s="22"/>
      <c r="AJ2634" s="83">
        <f t="shared" si="903"/>
        <v>0</v>
      </c>
      <c r="AO2634" s="22" t="str">
        <f t="shared" si="904"/>
        <v/>
      </c>
      <c r="AP2634" s="22" t="str">
        <f t="shared" si="905"/>
        <v/>
      </c>
    </row>
    <row r="2635" spans="1:42" x14ac:dyDescent="0.25">
      <c r="A2635" s="10"/>
      <c r="B2635" s="10"/>
      <c r="C2635" s="10"/>
      <c r="D2635" s="10"/>
      <c r="E2635" s="10"/>
      <c r="F2635" s="10"/>
      <c r="G2635" s="10"/>
      <c r="H2635" s="17"/>
      <c r="I2635" s="10"/>
      <c r="J2635" s="10"/>
      <c r="K2635" s="16" t="str">
        <f t="shared" si="884"/>
        <v/>
      </c>
      <c r="L2635" s="23" t="str">
        <f t="shared" si="885"/>
        <v/>
      </c>
      <c r="M2635" s="22" t="str">
        <f t="shared" si="886"/>
        <v/>
      </c>
      <c r="N2635" s="72"/>
      <c r="O2635" s="16" t="str">
        <f t="shared" si="887"/>
        <v/>
      </c>
      <c r="P2635" s="16" t="str">
        <f t="shared" si="888"/>
        <v/>
      </c>
      <c r="Q2635" s="16" t="str">
        <f t="shared" si="889"/>
        <v/>
      </c>
      <c r="R2635" s="23" t="str">
        <f t="shared" si="890"/>
        <v/>
      </c>
      <c r="S2635" s="23" t="str">
        <f t="shared" si="891"/>
        <v/>
      </c>
      <c r="T2635" s="23" t="str">
        <f t="shared" si="892"/>
        <v/>
      </c>
      <c r="U2635" s="23" t="str">
        <f t="shared" si="893"/>
        <v/>
      </c>
      <c r="V2635" s="23" t="str">
        <f t="shared" si="894"/>
        <v/>
      </c>
      <c r="W2635" s="70" t="str">
        <f t="shared" si="895"/>
        <v/>
      </c>
      <c r="X2635" s="70" t="str">
        <f t="shared" si="896"/>
        <v/>
      </c>
      <c r="Y2635" s="70" t="str">
        <f>IF(AND($A2635&lt;&gt;"",$E2635&gt;0),isLaptopBag($C2635,$J2635)*$D2635,"")</f>
        <v/>
      </c>
      <c r="Z2635" s="70" t="str">
        <f t="shared" si="897"/>
        <v/>
      </c>
      <c r="AA2635" s="70" t="str">
        <f t="shared" si="898"/>
        <v/>
      </c>
      <c r="AB2635" s="70" t="str">
        <f t="shared" si="899"/>
        <v/>
      </c>
      <c r="AC2635" s="70" t="str">
        <f t="shared" si="900"/>
        <v/>
      </c>
      <c r="AD2635" s="70" t="str">
        <f t="shared" si="901"/>
        <v/>
      </c>
      <c r="AE2635" s="70" t="str">
        <f t="shared" si="902"/>
        <v/>
      </c>
      <c r="AF2635" s="16"/>
      <c r="AG2635" s="23"/>
      <c r="AH2635" s="22"/>
      <c r="AJ2635" s="83">
        <f t="shared" si="903"/>
        <v>0</v>
      </c>
      <c r="AO2635" s="22" t="str">
        <f t="shared" si="904"/>
        <v/>
      </c>
      <c r="AP2635" s="22" t="str">
        <f t="shared" si="905"/>
        <v/>
      </c>
    </row>
    <row r="2636" spans="1:42" x14ac:dyDescent="0.25">
      <c r="A2636" s="10"/>
      <c r="B2636" s="10"/>
      <c r="C2636" s="10"/>
      <c r="D2636" s="10"/>
      <c r="E2636" s="10"/>
      <c r="F2636" s="10"/>
      <c r="G2636" s="10"/>
      <c r="H2636" s="17"/>
      <c r="I2636" s="10"/>
      <c r="J2636" s="10"/>
      <c r="K2636" s="16" t="str">
        <f t="shared" si="884"/>
        <v/>
      </c>
      <c r="L2636" s="23" t="str">
        <f t="shared" si="885"/>
        <v/>
      </c>
      <c r="M2636" s="22" t="str">
        <f t="shared" si="886"/>
        <v/>
      </c>
      <c r="N2636" s="72"/>
      <c r="O2636" s="16" t="str">
        <f t="shared" si="887"/>
        <v/>
      </c>
      <c r="P2636" s="16" t="str">
        <f t="shared" si="888"/>
        <v/>
      </c>
      <c r="Q2636" s="16" t="str">
        <f t="shared" si="889"/>
        <v/>
      </c>
      <c r="R2636" s="23" t="str">
        <f t="shared" si="890"/>
        <v/>
      </c>
      <c r="S2636" s="23" t="str">
        <f t="shared" si="891"/>
        <v/>
      </c>
      <c r="T2636" s="23" t="str">
        <f t="shared" si="892"/>
        <v/>
      </c>
      <c r="U2636" s="23" t="str">
        <f t="shared" si="893"/>
        <v/>
      </c>
      <c r="V2636" s="23" t="str">
        <f t="shared" si="894"/>
        <v/>
      </c>
      <c r="W2636" s="70" t="str">
        <f t="shared" si="895"/>
        <v/>
      </c>
      <c r="X2636" s="70" t="str">
        <f t="shared" si="896"/>
        <v/>
      </c>
      <c r="Y2636" s="70" t="str">
        <f>IF(AND($A2636&lt;&gt;"",$E2636&gt;0),isLaptopBag($C2636,$J2636)*$D2636,"")</f>
        <v/>
      </c>
      <c r="Z2636" s="70" t="str">
        <f t="shared" si="897"/>
        <v/>
      </c>
      <c r="AA2636" s="70" t="str">
        <f t="shared" si="898"/>
        <v/>
      </c>
      <c r="AB2636" s="70" t="str">
        <f t="shared" si="899"/>
        <v/>
      </c>
      <c r="AC2636" s="70" t="str">
        <f t="shared" si="900"/>
        <v/>
      </c>
      <c r="AD2636" s="70" t="str">
        <f t="shared" si="901"/>
        <v/>
      </c>
      <c r="AE2636" s="70" t="str">
        <f t="shared" si="902"/>
        <v/>
      </c>
      <c r="AF2636" s="16"/>
      <c r="AG2636" s="23"/>
      <c r="AH2636" s="22"/>
      <c r="AJ2636" s="83">
        <f t="shared" si="903"/>
        <v>0</v>
      </c>
      <c r="AO2636" s="22" t="str">
        <f t="shared" si="904"/>
        <v/>
      </c>
      <c r="AP2636" s="22" t="str">
        <f t="shared" si="905"/>
        <v/>
      </c>
    </row>
    <row r="2637" spans="1:42" x14ac:dyDescent="0.25">
      <c r="A2637" s="10"/>
      <c r="B2637" s="10"/>
      <c r="C2637" s="10"/>
      <c r="D2637" s="10"/>
      <c r="E2637" s="10"/>
      <c r="F2637" s="10"/>
      <c r="G2637" s="10"/>
      <c r="H2637" s="17"/>
      <c r="I2637" s="10"/>
      <c r="J2637" s="10"/>
      <c r="K2637" s="16" t="str">
        <f t="shared" ref="K2637:K2700" si="906">IF($AF2637&lt;&gt;"",$AF2637,IF(AND($A2637&lt;&gt;"",$E2637&gt;0),SUM($O2637:$Q2637),""))</f>
        <v/>
      </c>
      <c r="L2637" s="23" t="str">
        <f t="shared" ref="L2637:L2700" si="907">IF($AG2637&lt;&gt;"",$AG2637,IF(AND($A2637&lt;&gt;"",$E2637&gt;0),SUM($R2637:$V2637),""))</f>
        <v/>
      </c>
      <c r="M2637" s="22" t="str">
        <f t="shared" ref="M2637:M2700" si="908">IF($AH2637&lt;&gt;"",$AH2637,IF(AND($A2637&lt;&gt;"",$E2637&gt;0),SUM($W2637:$AE2637)+$AO2637+$AP2637,""))</f>
        <v/>
      </c>
      <c r="N2637" s="72"/>
      <c r="O2637" s="16" t="str">
        <f t="shared" ref="O2637:O2700" si="909">IF(AND($A2637&lt;&gt;"",$E2637&gt;0),IF(AND($J2637="SONY",200000&lt;=$E2637,$E2637&lt;1000000),5000*$D2637,0),"")</f>
        <v/>
      </c>
      <c r="P2637" s="16" t="str">
        <f t="shared" ref="P2637:P2700" si="910">IF(AND($A2637&lt;&gt;"",$E2637&gt;0),IF(AND($J2637="SONY",1000000&lt;=$E2637,$E2637&lt;2000000),10000*$D2637,0),"")</f>
        <v/>
      </c>
      <c r="Q2637" s="16" t="str">
        <f t="shared" ref="Q2637:Q2700" si="911">IF(AND($A2637&lt;&gt;"",$E2637&gt;0),IF(AND($J2637="SONY",$E2637&gt;=2000000),20000*$D2637,0),"")</f>
        <v/>
      </c>
      <c r="R2637" s="23" t="str">
        <f t="shared" ref="R2637:R2700" si="912">IF(AND($A2637&lt;&gt;"",$E2637&gt;0),IF(AND($J2637&lt;&gt;"SONY",100000&lt;=$E2637,$E2637&lt;200000),5000*$D2637,0),"")</f>
        <v/>
      </c>
      <c r="S2637" s="23" t="str">
        <f t="shared" ref="S2637:S2700" si="913">IF(AND($A2637&lt;&gt;"",$E2637&gt;0),IF(AND($J2637&lt;&gt;"SONY",200000&lt;=$E2637,$E2637&lt;500000),10000*$D2637,0),"")</f>
        <v/>
      </c>
      <c r="T2637" s="23" t="str">
        <f t="shared" ref="T2637:T2700" si="914">IF(AND($A2637&lt;&gt;"",$E2637&gt;0),IF(AND($J2637&lt;&gt;"SONY",500000&lt;=$E2637,$E2637&lt;1000000),20000*$D2637,0),"")</f>
        <v/>
      </c>
      <c r="U2637" s="23" t="str">
        <f t="shared" ref="U2637:U2700" si="915">IF(AND($A2637&lt;&gt;"",$E2637&gt;0),IF(AND($J2637&lt;&gt;"SONY",1000000&lt;=$E2637,$E2637&lt;1500000),50000*$D2637,0),"")</f>
        <v/>
      </c>
      <c r="V2637" s="23" t="str">
        <f t="shared" ref="V2637:V2700" si="916">IF(AND($A2637&lt;&gt;"",$E2637&gt;0),IF(AND($J2637&lt;&gt;"SONY",1500000&lt;=$E2637),100000*$D2637,0),"")</f>
        <v/>
      </c>
      <c r="W2637" s="70" t="str">
        <f t="shared" ref="W2637:W2700" si="917">IF(AND($E2637&gt;0,$J2637="ELECOM",$E2637&gt;=500000,ISNUMBER(SEARCH("tai nghe",$C2637))),20000*$D2637,IF($A2637&lt;&gt;"",0,""))</f>
        <v/>
      </c>
      <c r="X2637" s="70" t="str">
        <f t="shared" ref="X2637:X2700" si="918">IF(AND($E2637&gt;0,$J2637="ELECOM",ISNUMBER(SEARCH("loa",$C2637))),20000*$D2637,IF($A2637&lt;&gt;"",0,""))</f>
        <v/>
      </c>
      <c r="Y2637" s="70" t="str">
        <f>IF(AND($A2637&lt;&gt;"",$E2637&gt;0),isLaptopBag($C2637,$J2637)*$D2637,"")</f>
        <v/>
      </c>
      <c r="Z2637" s="70" t="str">
        <f t="shared" ref="Z2637:Z2700" si="919">IF(AND($E2637&gt;0,$J2637="ELECOM",ISNUMBER(SEARCH("ốp",$C2637))),20000*$D2637,IF($A2637&lt;&gt;"",0,""))</f>
        <v/>
      </c>
      <c r="AA2637" s="70" t="str">
        <f t="shared" ref="AA2637:AA2700" si="920">IF(AND($E2637&gt;0,$J2637="ELECOM",ISNUMBER(SEARCH("Bút",$C2637))),20000*$D2637,IF($A2637&lt;&gt;"",0,""))</f>
        <v/>
      </c>
      <c r="AB2637" s="70" t="str">
        <f t="shared" ref="AB2637:AB2700" si="921">IF(AND($E2637&gt;0,$J2637="ELECOM",ISNUMBER(SEARCH("Chuột bi",$C2637))),20000*$D2637,IF($A2637&lt;&gt;"",0,""))</f>
        <v/>
      </c>
      <c r="AC2637" s="70" t="str">
        <f t="shared" ref="AC2637:AC2700" si="922">IF(AND($E2637&gt;0,$J2637="ELECOM",ISNUMBER(SEARCH("Chuột trackball",$C2637))),20000*$D2637,IF($A2637&lt;&gt;"",0,""))</f>
        <v/>
      </c>
      <c r="AD2637" s="70" t="str">
        <f t="shared" ref="AD2637:AD2700" si="923">IF(AND($E2637&gt;0,$J2637="ELECOM",ISNUMBER(SEARCH("Sạc không dây",$C2637))),20000*$D2637,IF($A2637&lt;&gt;"",0,""))</f>
        <v/>
      </c>
      <c r="AE2637" s="70" t="str">
        <f t="shared" ref="AE2637:AE2700" si="924">IF(AND($E2637&gt;0,$J2637="ELECOM",ISNUMBER(SEARCH("Sạc kd",$C2637))),20000*$D2637,IF($A2637&lt;&gt;"",0,""))</f>
        <v/>
      </c>
      <c r="AF2637" s="16"/>
      <c r="AG2637" s="23"/>
      <c r="AH2637" s="22"/>
      <c r="AJ2637" s="83">
        <f t="shared" ref="AJ2637:AJ2700" si="925">DAY(H2637)</f>
        <v>0</v>
      </c>
      <c r="AO2637" s="22" t="str">
        <f t="shared" ref="AO2637:AO2700" si="926">IF(AND($E2637&gt;0,ISNUMBER(SEARCH("Sạc dự phòng Energizer",$C2637))),10000*$D2637,IF($A2637&lt;&gt;"",0,""))</f>
        <v/>
      </c>
      <c r="AP2637" s="22" t="str">
        <f t="shared" ref="AP2637:AP2700" si="927">IF(AND($E2637&gt;0,ISNUMBER(SEARCH("SDP Energizer",$C2637))),10000*$D2637,IF($A2637&lt;&gt;"",0,""))</f>
        <v/>
      </c>
    </row>
    <row r="2638" spans="1:42" x14ac:dyDescent="0.25">
      <c r="A2638" s="10"/>
      <c r="B2638" s="10"/>
      <c r="C2638" s="10"/>
      <c r="D2638" s="10"/>
      <c r="E2638" s="10"/>
      <c r="F2638" s="10"/>
      <c r="G2638" s="10"/>
      <c r="H2638" s="17"/>
      <c r="I2638" s="10"/>
      <c r="J2638" s="10"/>
      <c r="K2638" s="16" t="str">
        <f t="shared" si="906"/>
        <v/>
      </c>
      <c r="L2638" s="23" t="str">
        <f t="shared" si="907"/>
        <v/>
      </c>
      <c r="M2638" s="22" t="str">
        <f t="shared" si="908"/>
        <v/>
      </c>
      <c r="N2638" s="72"/>
      <c r="O2638" s="16" t="str">
        <f t="shared" si="909"/>
        <v/>
      </c>
      <c r="P2638" s="16" t="str">
        <f t="shared" si="910"/>
        <v/>
      </c>
      <c r="Q2638" s="16" t="str">
        <f t="shared" si="911"/>
        <v/>
      </c>
      <c r="R2638" s="23" t="str">
        <f t="shared" si="912"/>
        <v/>
      </c>
      <c r="S2638" s="23" t="str">
        <f t="shared" si="913"/>
        <v/>
      </c>
      <c r="T2638" s="23" t="str">
        <f t="shared" si="914"/>
        <v/>
      </c>
      <c r="U2638" s="23" t="str">
        <f t="shared" si="915"/>
        <v/>
      </c>
      <c r="V2638" s="23" t="str">
        <f t="shared" si="916"/>
        <v/>
      </c>
      <c r="W2638" s="70" t="str">
        <f t="shared" si="917"/>
        <v/>
      </c>
      <c r="X2638" s="70" t="str">
        <f t="shared" si="918"/>
        <v/>
      </c>
      <c r="Y2638" s="70" t="str">
        <f>IF(AND($A2638&lt;&gt;"",$E2638&gt;0),isLaptopBag($C2638,$J2638)*$D2638,"")</f>
        <v/>
      </c>
      <c r="Z2638" s="70" t="str">
        <f t="shared" si="919"/>
        <v/>
      </c>
      <c r="AA2638" s="70" t="str">
        <f t="shared" si="920"/>
        <v/>
      </c>
      <c r="AB2638" s="70" t="str">
        <f t="shared" si="921"/>
        <v/>
      </c>
      <c r="AC2638" s="70" t="str">
        <f t="shared" si="922"/>
        <v/>
      </c>
      <c r="AD2638" s="70" t="str">
        <f t="shared" si="923"/>
        <v/>
      </c>
      <c r="AE2638" s="70" t="str">
        <f t="shared" si="924"/>
        <v/>
      </c>
      <c r="AF2638" s="16"/>
      <c r="AG2638" s="23"/>
      <c r="AH2638" s="22"/>
      <c r="AJ2638" s="83">
        <f t="shared" si="925"/>
        <v>0</v>
      </c>
      <c r="AO2638" s="22" t="str">
        <f t="shared" si="926"/>
        <v/>
      </c>
      <c r="AP2638" s="22" t="str">
        <f t="shared" si="927"/>
        <v/>
      </c>
    </row>
    <row r="2639" spans="1:42" x14ac:dyDescent="0.25">
      <c r="A2639" s="10"/>
      <c r="B2639" s="10"/>
      <c r="C2639" s="10"/>
      <c r="D2639" s="10"/>
      <c r="E2639" s="10"/>
      <c r="F2639" s="10"/>
      <c r="G2639" s="10"/>
      <c r="H2639" s="17"/>
      <c r="I2639" s="10"/>
      <c r="J2639" s="10"/>
      <c r="K2639" s="16" t="str">
        <f t="shared" si="906"/>
        <v/>
      </c>
      <c r="L2639" s="23" t="str">
        <f t="shared" si="907"/>
        <v/>
      </c>
      <c r="M2639" s="22" t="str">
        <f t="shared" si="908"/>
        <v/>
      </c>
      <c r="N2639" s="72"/>
      <c r="O2639" s="16" t="str">
        <f t="shared" si="909"/>
        <v/>
      </c>
      <c r="P2639" s="16" t="str">
        <f t="shared" si="910"/>
        <v/>
      </c>
      <c r="Q2639" s="16" t="str">
        <f t="shared" si="911"/>
        <v/>
      </c>
      <c r="R2639" s="23" t="str">
        <f t="shared" si="912"/>
        <v/>
      </c>
      <c r="S2639" s="23" t="str">
        <f t="shared" si="913"/>
        <v/>
      </c>
      <c r="T2639" s="23" t="str">
        <f t="shared" si="914"/>
        <v/>
      </c>
      <c r="U2639" s="23" t="str">
        <f t="shared" si="915"/>
        <v/>
      </c>
      <c r="V2639" s="23" t="str">
        <f t="shared" si="916"/>
        <v/>
      </c>
      <c r="W2639" s="70" t="str">
        <f t="shared" si="917"/>
        <v/>
      </c>
      <c r="X2639" s="70" t="str">
        <f t="shared" si="918"/>
        <v/>
      </c>
      <c r="Y2639" s="70" t="str">
        <f>IF(AND($A2639&lt;&gt;"",$E2639&gt;0),isLaptopBag($C2639,$J2639)*$D2639,"")</f>
        <v/>
      </c>
      <c r="Z2639" s="70" t="str">
        <f t="shared" si="919"/>
        <v/>
      </c>
      <c r="AA2639" s="70" t="str">
        <f t="shared" si="920"/>
        <v/>
      </c>
      <c r="AB2639" s="70" t="str">
        <f t="shared" si="921"/>
        <v/>
      </c>
      <c r="AC2639" s="70" t="str">
        <f t="shared" si="922"/>
        <v/>
      </c>
      <c r="AD2639" s="70" t="str">
        <f t="shared" si="923"/>
        <v/>
      </c>
      <c r="AE2639" s="70" t="str">
        <f t="shared" si="924"/>
        <v/>
      </c>
      <c r="AF2639" s="16"/>
      <c r="AG2639" s="23"/>
      <c r="AH2639" s="22"/>
      <c r="AJ2639" s="83">
        <f t="shared" si="925"/>
        <v>0</v>
      </c>
      <c r="AO2639" s="22" t="str">
        <f t="shared" si="926"/>
        <v/>
      </c>
      <c r="AP2639" s="22" t="str">
        <f t="shared" si="927"/>
        <v/>
      </c>
    </row>
    <row r="2640" spans="1:42" x14ac:dyDescent="0.25">
      <c r="A2640" s="10"/>
      <c r="B2640" s="10"/>
      <c r="C2640" s="10"/>
      <c r="D2640" s="10"/>
      <c r="E2640" s="10"/>
      <c r="F2640" s="10"/>
      <c r="G2640" s="10"/>
      <c r="H2640" s="17"/>
      <c r="I2640" s="10"/>
      <c r="J2640" s="10"/>
      <c r="K2640" s="16" t="str">
        <f t="shared" si="906"/>
        <v/>
      </c>
      <c r="L2640" s="23" t="str">
        <f t="shared" si="907"/>
        <v/>
      </c>
      <c r="M2640" s="22" t="str">
        <f t="shared" si="908"/>
        <v/>
      </c>
      <c r="N2640" s="72"/>
      <c r="O2640" s="16" t="str">
        <f t="shared" si="909"/>
        <v/>
      </c>
      <c r="P2640" s="16" t="str">
        <f t="shared" si="910"/>
        <v/>
      </c>
      <c r="Q2640" s="16" t="str">
        <f t="shared" si="911"/>
        <v/>
      </c>
      <c r="R2640" s="23" t="str">
        <f t="shared" si="912"/>
        <v/>
      </c>
      <c r="S2640" s="23" t="str">
        <f t="shared" si="913"/>
        <v/>
      </c>
      <c r="T2640" s="23" t="str">
        <f t="shared" si="914"/>
        <v/>
      </c>
      <c r="U2640" s="23" t="str">
        <f t="shared" si="915"/>
        <v/>
      </c>
      <c r="V2640" s="23" t="str">
        <f t="shared" si="916"/>
        <v/>
      </c>
      <c r="W2640" s="70" t="str">
        <f t="shared" si="917"/>
        <v/>
      </c>
      <c r="X2640" s="70" t="str">
        <f t="shared" si="918"/>
        <v/>
      </c>
      <c r="Y2640" s="70" t="str">
        <f>IF(AND($A2640&lt;&gt;"",$E2640&gt;0),isLaptopBag($C2640,$J2640)*$D2640,"")</f>
        <v/>
      </c>
      <c r="Z2640" s="70" t="str">
        <f t="shared" si="919"/>
        <v/>
      </c>
      <c r="AA2640" s="70" t="str">
        <f t="shared" si="920"/>
        <v/>
      </c>
      <c r="AB2640" s="70" t="str">
        <f t="shared" si="921"/>
        <v/>
      </c>
      <c r="AC2640" s="70" t="str">
        <f t="shared" si="922"/>
        <v/>
      </c>
      <c r="AD2640" s="70" t="str">
        <f t="shared" si="923"/>
        <v/>
      </c>
      <c r="AE2640" s="70" t="str">
        <f t="shared" si="924"/>
        <v/>
      </c>
      <c r="AF2640" s="16"/>
      <c r="AG2640" s="23"/>
      <c r="AH2640" s="22"/>
      <c r="AJ2640" s="83">
        <f t="shared" si="925"/>
        <v>0</v>
      </c>
      <c r="AO2640" s="22" t="str">
        <f t="shared" si="926"/>
        <v/>
      </c>
      <c r="AP2640" s="22" t="str">
        <f t="shared" si="927"/>
        <v/>
      </c>
    </row>
    <row r="2641" spans="1:42" x14ac:dyDescent="0.25">
      <c r="A2641" s="10"/>
      <c r="B2641" s="10"/>
      <c r="C2641" s="10"/>
      <c r="D2641" s="10"/>
      <c r="E2641" s="10"/>
      <c r="F2641" s="10"/>
      <c r="G2641" s="10"/>
      <c r="H2641" s="17"/>
      <c r="I2641" s="10"/>
      <c r="J2641" s="10"/>
      <c r="K2641" s="16" t="str">
        <f t="shared" si="906"/>
        <v/>
      </c>
      <c r="L2641" s="23" t="str">
        <f t="shared" si="907"/>
        <v/>
      </c>
      <c r="M2641" s="22" t="str">
        <f t="shared" si="908"/>
        <v/>
      </c>
      <c r="N2641" s="72"/>
      <c r="O2641" s="16" t="str">
        <f t="shared" si="909"/>
        <v/>
      </c>
      <c r="P2641" s="16" t="str">
        <f t="shared" si="910"/>
        <v/>
      </c>
      <c r="Q2641" s="16" t="str">
        <f t="shared" si="911"/>
        <v/>
      </c>
      <c r="R2641" s="23" t="str">
        <f t="shared" si="912"/>
        <v/>
      </c>
      <c r="S2641" s="23" t="str">
        <f t="shared" si="913"/>
        <v/>
      </c>
      <c r="T2641" s="23" t="str">
        <f t="shared" si="914"/>
        <v/>
      </c>
      <c r="U2641" s="23" t="str">
        <f t="shared" si="915"/>
        <v/>
      </c>
      <c r="V2641" s="23" t="str">
        <f t="shared" si="916"/>
        <v/>
      </c>
      <c r="W2641" s="70" t="str">
        <f t="shared" si="917"/>
        <v/>
      </c>
      <c r="X2641" s="70" t="str">
        <f t="shared" si="918"/>
        <v/>
      </c>
      <c r="Y2641" s="70" t="str">
        <f>IF(AND($A2641&lt;&gt;"",$E2641&gt;0),isLaptopBag($C2641,$J2641)*$D2641,"")</f>
        <v/>
      </c>
      <c r="Z2641" s="70" t="str">
        <f t="shared" si="919"/>
        <v/>
      </c>
      <c r="AA2641" s="70" t="str">
        <f t="shared" si="920"/>
        <v/>
      </c>
      <c r="AB2641" s="70" t="str">
        <f t="shared" si="921"/>
        <v/>
      </c>
      <c r="AC2641" s="70" t="str">
        <f t="shared" si="922"/>
        <v/>
      </c>
      <c r="AD2641" s="70" t="str">
        <f t="shared" si="923"/>
        <v/>
      </c>
      <c r="AE2641" s="70" t="str">
        <f t="shared" si="924"/>
        <v/>
      </c>
      <c r="AF2641" s="16"/>
      <c r="AG2641" s="23"/>
      <c r="AH2641" s="22"/>
      <c r="AJ2641" s="83">
        <f t="shared" si="925"/>
        <v>0</v>
      </c>
      <c r="AO2641" s="22" t="str">
        <f t="shared" si="926"/>
        <v/>
      </c>
      <c r="AP2641" s="22" t="str">
        <f t="shared" si="927"/>
        <v/>
      </c>
    </row>
    <row r="2642" spans="1:42" x14ac:dyDescent="0.25">
      <c r="A2642" s="10"/>
      <c r="B2642" s="10"/>
      <c r="C2642" s="10"/>
      <c r="D2642" s="10"/>
      <c r="E2642" s="10"/>
      <c r="F2642" s="10"/>
      <c r="G2642" s="10"/>
      <c r="H2642" s="17"/>
      <c r="I2642" s="10"/>
      <c r="J2642" s="10"/>
      <c r="K2642" s="16" t="str">
        <f t="shared" si="906"/>
        <v/>
      </c>
      <c r="L2642" s="23" t="str">
        <f t="shared" si="907"/>
        <v/>
      </c>
      <c r="M2642" s="22" t="str">
        <f t="shared" si="908"/>
        <v/>
      </c>
      <c r="N2642" s="72"/>
      <c r="O2642" s="16" t="str">
        <f t="shared" si="909"/>
        <v/>
      </c>
      <c r="P2642" s="16" t="str">
        <f t="shared" si="910"/>
        <v/>
      </c>
      <c r="Q2642" s="16" t="str">
        <f t="shared" si="911"/>
        <v/>
      </c>
      <c r="R2642" s="23" t="str">
        <f t="shared" si="912"/>
        <v/>
      </c>
      <c r="S2642" s="23" t="str">
        <f t="shared" si="913"/>
        <v/>
      </c>
      <c r="T2642" s="23" t="str">
        <f t="shared" si="914"/>
        <v/>
      </c>
      <c r="U2642" s="23" t="str">
        <f t="shared" si="915"/>
        <v/>
      </c>
      <c r="V2642" s="23" t="str">
        <f t="shared" si="916"/>
        <v/>
      </c>
      <c r="W2642" s="70" t="str">
        <f t="shared" si="917"/>
        <v/>
      </c>
      <c r="X2642" s="70" t="str">
        <f t="shared" si="918"/>
        <v/>
      </c>
      <c r="Y2642" s="70" t="str">
        <f>IF(AND($A2642&lt;&gt;"",$E2642&gt;0),isLaptopBag($C2642,$J2642)*$D2642,"")</f>
        <v/>
      </c>
      <c r="Z2642" s="70" t="str">
        <f t="shared" si="919"/>
        <v/>
      </c>
      <c r="AA2642" s="70" t="str">
        <f t="shared" si="920"/>
        <v/>
      </c>
      <c r="AB2642" s="70" t="str">
        <f t="shared" si="921"/>
        <v/>
      </c>
      <c r="AC2642" s="70" t="str">
        <f t="shared" si="922"/>
        <v/>
      </c>
      <c r="AD2642" s="70" t="str">
        <f t="shared" si="923"/>
        <v/>
      </c>
      <c r="AE2642" s="70" t="str">
        <f t="shared" si="924"/>
        <v/>
      </c>
      <c r="AF2642" s="16"/>
      <c r="AG2642" s="23"/>
      <c r="AH2642" s="22"/>
      <c r="AJ2642" s="83">
        <f t="shared" si="925"/>
        <v>0</v>
      </c>
      <c r="AO2642" s="22" t="str">
        <f t="shared" si="926"/>
        <v/>
      </c>
      <c r="AP2642" s="22" t="str">
        <f t="shared" si="927"/>
        <v/>
      </c>
    </row>
    <row r="2643" spans="1:42" x14ac:dyDescent="0.25">
      <c r="A2643" s="10"/>
      <c r="B2643" s="10"/>
      <c r="C2643" s="10"/>
      <c r="D2643" s="10"/>
      <c r="E2643" s="10"/>
      <c r="F2643" s="10"/>
      <c r="G2643" s="10"/>
      <c r="H2643" s="17"/>
      <c r="I2643" s="10"/>
      <c r="J2643" s="10"/>
      <c r="K2643" s="16" t="str">
        <f t="shared" si="906"/>
        <v/>
      </c>
      <c r="L2643" s="23" t="str">
        <f t="shared" si="907"/>
        <v/>
      </c>
      <c r="M2643" s="22" t="str">
        <f t="shared" si="908"/>
        <v/>
      </c>
      <c r="N2643" s="72"/>
      <c r="O2643" s="16" t="str">
        <f t="shared" si="909"/>
        <v/>
      </c>
      <c r="P2643" s="16" t="str">
        <f t="shared" si="910"/>
        <v/>
      </c>
      <c r="Q2643" s="16" t="str">
        <f t="shared" si="911"/>
        <v/>
      </c>
      <c r="R2643" s="23" t="str">
        <f t="shared" si="912"/>
        <v/>
      </c>
      <c r="S2643" s="23" t="str">
        <f t="shared" si="913"/>
        <v/>
      </c>
      <c r="T2643" s="23" t="str">
        <f t="shared" si="914"/>
        <v/>
      </c>
      <c r="U2643" s="23" t="str">
        <f t="shared" si="915"/>
        <v/>
      </c>
      <c r="V2643" s="23" t="str">
        <f t="shared" si="916"/>
        <v/>
      </c>
      <c r="W2643" s="70" t="str">
        <f t="shared" si="917"/>
        <v/>
      </c>
      <c r="X2643" s="70" t="str">
        <f t="shared" si="918"/>
        <v/>
      </c>
      <c r="Y2643" s="70" t="str">
        <f>IF(AND($A2643&lt;&gt;"",$E2643&gt;0),isLaptopBag($C2643,$J2643)*$D2643,"")</f>
        <v/>
      </c>
      <c r="Z2643" s="70" t="str">
        <f t="shared" si="919"/>
        <v/>
      </c>
      <c r="AA2643" s="70" t="str">
        <f t="shared" si="920"/>
        <v/>
      </c>
      <c r="AB2643" s="70" t="str">
        <f t="shared" si="921"/>
        <v/>
      </c>
      <c r="AC2643" s="70" t="str">
        <f t="shared" si="922"/>
        <v/>
      </c>
      <c r="AD2643" s="70" t="str">
        <f t="shared" si="923"/>
        <v/>
      </c>
      <c r="AE2643" s="70" t="str">
        <f t="shared" si="924"/>
        <v/>
      </c>
      <c r="AF2643" s="16"/>
      <c r="AG2643" s="23"/>
      <c r="AH2643" s="22"/>
      <c r="AJ2643" s="83">
        <f t="shared" si="925"/>
        <v>0</v>
      </c>
      <c r="AO2643" s="22" t="str">
        <f t="shared" si="926"/>
        <v/>
      </c>
      <c r="AP2643" s="22" t="str">
        <f t="shared" si="927"/>
        <v/>
      </c>
    </row>
    <row r="2644" spans="1:42" x14ac:dyDescent="0.25">
      <c r="A2644" s="10"/>
      <c r="B2644" s="10"/>
      <c r="C2644" s="10"/>
      <c r="D2644" s="10"/>
      <c r="E2644" s="10"/>
      <c r="F2644" s="10"/>
      <c r="G2644" s="10"/>
      <c r="H2644" s="17"/>
      <c r="I2644" s="10"/>
      <c r="J2644" s="10"/>
      <c r="K2644" s="16" t="str">
        <f t="shared" si="906"/>
        <v/>
      </c>
      <c r="L2644" s="23" t="str">
        <f t="shared" si="907"/>
        <v/>
      </c>
      <c r="M2644" s="22" t="str">
        <f t="shared" si="908"/>
        <v/>
      </c>
      <c r="N2644" s="72"/>
      <c r="O2644" s="16" t="str">
        <f t="shared" si="909"/>
        <v/>
      </c>
      <c r="P2644" s="16" t="str">
        <f t="shared" si="910"/>
        <v/>
      </c>
      <c r="Q2644" s="16" t="str">
        <f t="shared" si="911"/>
        <v/>
      </c>
      <c r="R2644" s="23" t="str">
        <f t="shared" si="912"/>
        <v/>
      </c>
      <c r="S2644" s="23" t="str">
        <f t="shared" si="913"/>
        <v/>
      </c>
      <c r="T2644" s="23" t="str">
        <f t="shared" si="914"/>
        <v/>
      </c>
      <c r="U2644" s="23" t="str">
        <f t="shared" si="915"/>
        <v/>
      </c>
      <c r="V2644" s="23" t="str">
        <f t="shared" si="916"/>
        <v/>
      </c>
      <c r="W2644" s="70" t="str">
        <f t="shared" si="917"/>
        <v/>
      </c>
      <c r="X2644" s="70" t="str">
        <f t="shared" si="918"/>
        <v/>
      </c>
      <c r="Y2644" s="70" t="str">
        <f>IF(AND($A2644&lt;&gt;"",$E2644&gt;0),isLaptopBag($C2644,$J2644)*$D2644,"")</f>
        <v/>
      </c>
      <c r="Z2644" s="70" t="str">
        <f t="shared" si="919"/>
        <v/>
      </c>
      <c r="AA2644" s="70" t="str">
        <f t="shared" si="920"/>
        <v/>
      </c>
      <c r="AB2644" s="70" t="str">
        <f t="shared" si="921"/>
        <v/>
      </c>
      <c r="AC2644" s="70" t="str">
        <f t="shared" si="922"/>
        <v/>
      </c>
      <c r="AD2644" s="70" t="str">
        <f t="shared" si="923"/>
        <v/>
      </c>
      <c r="AE2644" s="70" t="str">
        <f t="shared" si="924"/>
        <v/>
      </c>
      <c r="AF2644" s="16"/>
      <c r="AG2644" s="23"/>
      <c r="AH2644" s="22"/>
      <c r="AJ2644" s="83">
        <f t="shared" si="925"/>
        <v>0</v>
      </c>
      <c r="AO2644" s="22" t="str">
        <f t="shared" si="926"/>
        <v/>
      </c>
      <c r="AP2644" s="22" t="str">
        <f t="shared" si="927"/>
        <v/>
      </c>
    </row>
    <row r="2645" spans="1:42" x14ac:dyDescent="0.25">
      <c r="A2645" s="10"/>
      <c r="B2645" s="10"/>
      <c r="C2645" s="10"/>
      <c r="D2645" s="10"/>
      <c r="E2645" s="10"/>
      <c r="F2645" s="10"/>
      <c r="G2645" s="10"/>
      <c r="H2645" s="17"/>
      <c r="I2645" s="10"/>
      <c r="J2645" s="10"/>
      <c r="K2645" s="16" t="str">
        <f t="shared" si="906"/>
        <v/>
      </c>
      <c r="L2645" s="23" t="str">
        <f t="shared" si="907"/>
        <v/>
      </c>
      <c r="M2645" s="22" t="str">
        <f t="shared" si="908"/>
        <v/>
      </c>
      <c r="N2645" s="72"/>
      <c r="O2645" s="16" t="str">
        <f t="shared" si="909"/>
        <v/>
      </c>
      <c r="P2645" s="16" t="str">
        <f t="shared" si="910"/>
        <v/>
      </c>
      <c r="Q2645" s="16" t="str">
        <f t="shared" si="911"/>
        <v/>
      </c>
      <c r="R2645" s="23" t="str">
        <f t="shared" si="912"/>
        <v/>
      </c>
      <c r="S2645" s="23" t="str">
        <f t="shared" si="913"/>
        <v/>
      </c>
      <c r="T2645" s="23" t="str">
        <f t="shared" si="914"/>
        <v/>
      </c>
      <c r="U2645" s="23" t="str">
        <f t="shared" si="915"/>
        <v/>
      </c>
      <c r="V2645" s="23" t="str">
        <f t="shared" si="916"/>
        <v/>
      </c>
      <c r="W2645" s="70" t="str">
        <f t="shared" si="917"/>
        <v/>
      </c>
      <c r="X2645" s="70" t="str">
        <f t="shared" si="918"/>
        <v/>
      </c>
      <c r="Y2645" s="70" t="str">
        <f>IF(AND($A2645&lt;&gt;"",$E2645&gt;0),isLaptopBag($C2645,$J2645)*$D2645,"")</f>
        <v/>
      </c>
      <c r="Z2645" s="70" t="str">
        <f t="shared" si="919"/>
        <v/>
      </c>
      <c r="AA2645" s="70" t="str">
        <f t="shared" si="920"/>
        <v/>
      </c>
      <c r="AB2645" s="70" t="str">
        <f t="shared" si="921"/>
        <v/>
      </c>
      <c r="AC2645" s="70" t="str">
        <f t="shared" si="922"/>
        <v/>
      </c>
      <c r="AD2645" s="70" t="str">
        <f t="shared" si="923"/>
        <v/>
      </c>
      <c r="AE2645" s="70" t="str">
        <f t="shared" si="924"/>
        <v/>
      </c>
      <c r="AF2645" s="16"/>
      <c r="AG2645" s="23"/>
      <c r="AH2645" s="22"/>
      <c r="AJ2645" s="83">
        <f t="shared" si="925"/>
        <v>0</v>
      </c>
      <c r="AO2645" s="22" t="str">
        <f t="shared" si="926"/>
        <v/>
      </c>
      <c r="AP2645" s="22" t="str">
        <f t="shared" si="927"/>
        <v/>
      </c>
    </row>
    <row r="2646" spans="1:42" x14ac:dyDescent="0.25">
      <c r="A2646" s="10"/>
      <c r="B2646" s="10"/>
      <c r="C2646" s="10"/>
      <c r="D2646" s="10"/>
      <c r="E2646" s="10"/>
      <c r="F2646" s="10"/>
      <c r="G2646" s="10"/>
      <c r="H2646" s="17"/>
      <c r="I2646" s="10"/>
      <c r="J2646" s="10"/>
      <c r="K2646" s="16" t="str">
        <f t="shared" si="906"/>
        <v/>
      </c>
      <c r="L2646" s="23" t="str">
        <f t="shared" si="907"/>
        <v/>
      </c>
      <c r="M2646" s="22" t="str">
        <f t="shared" si="908"/>
        <v/>
      </c>
      <c r="N2646" s="72"/>
      <c r="O2646" s="16" t="str">
        <f t="shared" si="909"/>
        <v/>
      </c>
      <c r="P2646" s="16" t="str">
        <f t="shared" si="910"/>
        <v/>
      </c>
      <c r="Q2646" s="16" t="str">
        <f t="shared" si="911"/>
        <v/>
      </c>
      <c r="R2646" s="23" t="str">
        <f t="shared" si="912"/>
        <v/>
      </c>
      <c r="S2646" s="23" t="str">
        <f t="shared" si="913"/>
        <v/>
      </c>
      <c r="T2646" s="23" t="str">
        <f t="shared" si="914"/>
        <v/>
      </c>
      <c r="U2646" s="23" t="str">
        <f t="shared" si="915"/>
        <v/>
      </c>
      <c r="V2646" s="23" t="str">
        <f t="shared" si="916"/>
        <v/>
      </c>
      <c r="W2646" s="70" t="str">
        <f t="shared" si="917"/>
        <v/>
      </c>
      <c r="X2646" s="70" t="str">
        <f t="shared" si="918"/>
        <v/>
      </c>
      <c r="Y2646" s="70" t="str">
        <f>IF(AND($A2646&lt;&gt;"",$E2646&gt;0),isLaptopBag($C2646,$J2646)*$D2646,"")</f>
        <v/>
      </c>
      <c r="Z2646" s="70" t="str">
        <f t="shared" si="919"/>
        <v/>
      </c>
      <c r="AA2646" s="70" t="str">
        <f t="shared" si="920"/>
        <v/>
      </c>
      <c r="AB2646" s="70" t="str">
        <f t="shared" si="921"/>
        <v/>
      </c>
      <c r="AC2646" s="70" t="str">
        <f t="shared" si="922"/>
        <v/>
      </c>
      <c r="AD2646" s="70" t="str">
        <f t="shared" si="923"/>
        <v/>
      </c>
      <c r="AE2646" s="70" t="str">
        <f t="shared" si="924"/>
        <v/>
      </c>
      <c r="AF2646" s="16"/>
      <c r="AG2646" s="23"/>
      <c r="AH2646" s="22"/>
      <c r="AJ2646" s="83">
        <f t="shared" si="925"/>
        <v>0</v>
      </c>
      <c r="AO2646" s="22" t="str">
        <f t="shared" si="926"/>
        <v/>
      </c>
      <c r="AP2646" s="22" t="str">
        <f t="shared" si="927"/>
        <v/>
      </c>
    </row>
    <row r="2647" spans="1:42" x14ac:dyDescent="0.25">
      <c r="A2647" s="10"/>
      <c r="B2647" s="10"/>
      <c r="C2647" s="10"/>
      <c r="D2647" s="10"/>
      <c r="E2647" s="10"/>
      <c r="F2647" s="10"/>
      <c r="G2647" s="10"/>
      <c r="H2647" s="17"/>
      <c r="I2647" s="10"/>
      <c r="J2647" s="10"/>
      <c r="K2647" s="16" t="str">
        <f t="shared" si="906"/>
        <v/>
      </c>
      <c r="L2647" s="23" t="str">
        <f t="shared" si="907"/>
        <v/>
      </c>
      <c r="M2647" s="22" t="str">
        <f t="shared" si="908"/>
        <v/>
      </c>
      <c r="N2647" s="72"/>
      <c r="O2647" s="16" t="str">
        <f t="shared" si="909"/>
        <v/>
      </c>
      <c r="P2647" s="16" t="str">
        <f t="shared" si="910"/>
        <v/>
      </c>
      <c r="Q2647" s="16" t="str">
        <f t="shared" si="911"/>
        <v/>
      </c>
      <c r="R2647" s="23" t="str">
        <f t="shared" si="912"/>
        <v/>
      </c>
      <c r="S2647" s="23" t="str">
        <f t="shared" si="913"/>
        <v/>
      </c>
      <c r="T2647" s="23" t="str">
        <f t="shared" si="914"/>
        <v/>
      </c>
      <c r="U2647" s="23" t="str">
        <f t="shared" si="915"/>
        <v/>
      </c>
      <c r="V2647" s="23" t="str">
        <f t="shared" si="916"/>
        <v/>
      </c>
      <c r="W2647" s="70" t="str">
        <f t="shared" si="917"/>
        <v/>
      </c>
      <c r="X2647" s="70" t="str">
        <f t="shared" si="918"/>
        <v/>
      </c>
      <c r="Y2647" s="70" t="str">
        <f>IF(AND($A2647&lt;&gt;"",$E2647&gt;0),isLaptopBag($C2647,$J2647)*$D2647,"")</f>
        <v/>
      </c>
      <c r="Z2647" s="70" t="str">
        <f t="shared" si="919"/>
        <v/>
      </c>
      <c r="AA2647" s="70" t="str">
        <f t="shared" si="920"/>
        <v/>
      </c>
      <c r="AB2647" s="70" t="str">
        <f t="shared" si="921"/>
        <v/>
      </c>
      <c r="AC2647" s="70" t="str">
        <f t="shared" si="922"/>
        <v/>
      </c>
      <c r="AD2647" s="70" t="str">
        <f t="shared" si="923"/>
        <v/>
      </c>
      <c r="AE2647" s="70" t="str">
        <f t="shared" si="924"/>
        <v/>
      </c>
      <c r="AF2647" s="16"/>
      <c r="AG2647" s="23"/>
      <c r="AH2647" s="22"/>
      <c r="AJ2647" s="83">
        <f t="shared" si="925"/>
        <v>0</v>
      </c>
      <c r="AO2647" s="22" t="str">
        <f t="shared" si="926"/>
        <v/>
      </c>
      <c r="AP2647" s="22" t="str">
        <f t="shared" si="927"/>
        <v/>
      </c>
    </row>
    <row r="2648" spans="1:42" x14ac:dyDescent="0.25">
      <c r="A2648" s="10"/>
      <c r="B2648" s="10"/>
      <c r="C2648" s="10"/>
      <c r="D2648" s="10"/>
      <c r="E2648" s="10"/>
      <c r="F2648" s="10"/>
      <c r="G2648" s="10"/>
      <c r="H2648" s="17"/>
      <c r="I2648" s="10"/>
      <c r="J2648" s="10"/>
      <c r="K2648" s="16" t="str">
        <f t="shared" si="906"/>
        <v/>
      </c>
      <c r="L2648" s="23" t="str">
        <f t="shared" si="907"/>
        <v/>
      </c>
      <c r="M2648" s="22" t="str">
        <f t="shared" si="908"/>
        <v/>
      </c>
      <c r="N2648" s="72"/>
      <c r="O2648" s="16" t="str">
        <f t="shared" si="909"/>
        <v/>
      </c>
      <c r="P2648" s="16" t="str">
        <f t="shared" si="910"/>
        <v/>
      </c>
      <c r="Q2648" s="16" t="str">
        <f t="shared" si="911"/>
        <v/>
      </c>
      <c r="R2648" s="23" t="str">
        <f t="shared" si="912"/>
        <v/>
      </c>
      <c r="S2648" s="23" t="str">
        <f t="shared" si="913"/>
        <v/>
      </c>
      <c r="T2648" s="23" t="str">
        <f t="shared" si="914"/>
        <v/>
      </c>
      <c r="U2648" s="23" t="str">
        <f t="shared" si="915"/>
        <v/>
      </c>
      <c r="V2648" s="23" t="str">
        <f t="shared" si="916"/>
        <v/>
      </c>
      <c r="W2648" s="70" t="str">
        <f t="shared" si="917"/>
        <v/>
      </c>
      <c r="X2648" s="70" t="str">
        <f t="shared" si="918"/>
        <v/>
      </c>
      <c r="Y2648" s="70" t="str">
        <f>IF(AND($A2648&lt;&gt;"",$E2648&gt;0),isLaptopBag($C2648,$J2648)*$D2648,"")</f>
        <v/>
      </c>
      <c r="Z2648" s="70" t="str">
        <f t="shared" si="919"/>
        <v/>
      </c>
      <c r="AA2648" s="70" t="str">
        <f t="shared" si="920"/>
        <v/>
      </c>
      <c r="AB2648" s="70" t="str">
        <f t="shared" si="921"/>
        <v/>
      </c>
      <c r="AC2648" s="70" t="str">
        <f t="shared" si="922"/>
        <v/>
      </c>
      <c r="AD2648" s="70" t="str">
        <f t="shared" si="923"/>
        <v/>
      </c>
      <c r="AE2648" s="70" t="str">
        <f t="shared" si="924"/>
        <v/>
      </c>
      <c r="AF2648" s="16"/>
      <c r="AG2648" s="23"/>
      <c r="AH2648" s="22"/>
      <c r="AJ2648" s="83">
        <f t="shared" si="925"/>
        <v>0</v>
      </c>
      <c r="AO2648" s="22" t="str">
        <f t="shared" si="926"/>
        <v/>
      </c>
      <c r="AP2648" s="22" t="str">
        <f t="shared" si="927"/>
        <v/>
      </c>
    </row>
    <row r="2649" spans="1:42" x14ac:dyDescent="0.25">
      <c r="A2649" s="10"/>
      <c r="B2649" s="10"/>
      <c r="C2649" s="10"/>
      <c r="D2649" s="10"/>
      <c r="E2649" s="10"/>
      <c r="F2649" s="10"/>
      <c r="G2649" s="10"/>
      <c r="H2649" s="17"/>
      <c r="I2649" s="10"/>
      <c r="J2649" s="10"/>
      <c r="K2649" s="16" t="str">
        <f t="shared" si="906"/>
        <v/>
      </c>
      <c r="L2649" s="23" t="str">
        <f t="shared" si="907"/>
        <v/>
      </c>
      <c r="M2649" s="22" t="str">
        <f t="shared" si="908"/>
        <v/>
      </c>
      <c r="N2649" s="72"/>
      <c r="O2649" s="16" t="str">
        <f t="shared" si="909"/>
        <v/>
      </c>
      <c r="P2649" s="16" t="str">
        <f t="shared" si="910"/>
        <v/>
      </c>
      <c r="Q2649" s="16" t="str">
        <f t="shared" si="911"/>
        <v/>
      </c>
      <c r="R2649" s="23" t="str">
        <f t="shared" si="912"/>
        <v/>
      </c>
      <c r="S2649" s="23" t="str">
        <f t="shared" si="913"/>
        <v/>
      </c>
      <c r="T2649" s="23" t="str">
        <f t="shared" si="914"/>
        <v/>
      </c>
      <c r="U2649" s="23" t="str">
        <f t="shared" si="915"/>
        <v/>
      </c>
      <c r="V2649" s="23" t="str">
        <f t="shared" si="916"/>
        <v/>
      </c>
      <c r="W2649" s="70" t="str">
        <f t="shared" si="917"/>
        <v/>
      </c>
      <c r="X2649" s="70" t="str">
        <f t="shared" si="918"/>
        <v/>
      </c>
      <c r="Y2649" s="70" t="str">
        <f>IF(AND($A2649&lt;&gt;"",$E2649&gt;0),isLaptopBag($C2649,$J2649)*$D2649,"")</f>
        <v/>
      </c>
      <c r="Z2649" s="70" t="str">
        <f t="shared" si="919"/>
        <v/>
      </c>
      <c r="AA2649" s="70" t="str">
        <f t="shared" si="920"/>
        <v/>
      </c>
      <c r="AB2649" s="70" t="str">
        <f t="shared" si="921"/>
        <v/>
      </c>
      <c r="AC2649" s="70" t="str">
        <f t="shared" si="922"/>
        <v/>
      </c>
      <c r="AD2649" s="70" t="str">
        <f t="shared" si="923"/>
        <v/>
      </c>
      <c r="AE2649" s="70" t="str">
        <f t="shared" si="924"/>
        <v/>
      </c>
      <c r="AF2649" s="16"/>
      <c r="AG2649" s="23"/>
      <c r="AH2649" s="22"/>
      <c r="AJ2649" s="83">
        <f t="shared" si="925"/>
        <v>0</v>
      </c>
      <c r="AO2649" s="22" t="str">
        <f t="shared" si="926"/>
        <v/>
      </c>
      <c r="AP2649" s="22" t="str">
        <f t="shared" si="927"/>
        <v/>
      </c>
    </row>
    <row r="2650" spans="1:42" x14ac:dyDescent="0.25">
      <c r="A2650" s="10"/>
      <c r="B2650" s="10"/>
      <c r="C2650" s="10"/>
      <c r="D2650" s="10"/>
      <c r="E2650" s="10"/>
      <c r="F2650" s="10"/>
      <c r="G2650" s="10"/>
      <c r="H2650" s="17"/>
      <c r="I2650" s="10"/>
      <c r="J2650" s="10"/>
      <c r="K2650" s="16" t="str">
        <f t="shared" si="906"/>
        <v/>
      </c>
      <c r="L2650" s="23" t="str">
        <f t="shared" si="907"/>
        <v/>
      </c>
      <c r="M2650" s="22" t="str">
        <f t="shared" si="908"/>
        <v/>
      </c>
      <c r="N2650" s="72"/>
      <c r="O2650" s="16" t="str">
        <f t="shared" si="909"/>
        <v/>
      </c>
      <c r="P2650" s="16" t="str">
        <f t="shared" si="910"/>
        <v/>
      </c>
      <c r="Q2650" s="16" t="str">
        <f t="shared" si="911"/>
        <v/>
      </c>
      <c r="R2650" s="23" t="str">
        <f t="shared" si="912"/>
        <v/>
      </c>
      <c r="S2650" s="23" t="str">
        <f t="shared" si="913"/>
        <v/>
      </c>
      <c r="T2650" s="23" t="str">
        <f t="shared" si="914"/>
        <v/>
      </c>
      <c r="U2650" s="23" t="str">
        <f t="shared" si="915"/>
        <v/>
      </c>
      <c r="V2650" s="23" t="str">
        <f t="shared" si="916"/>
        <v/>
      </c>
      <c r="W2650" s="70" t="str">
        <f t="shared" si="917"/>
        <v/>
      </c>
      <c r="X2650" s="70" t="str">
        <f t="shared" si="918"/>
        <v/>
      </c>
      <c r="Y2650" s="70" t="str">
        <f>IF(AND($A2650&lt;&gt;"",$E2650&gt;0),isLaptopBag($C2650,$J2650)*$D2650,"")</f>
        <v/>
      </c>
      <c r="Z2650" s="70" t="str">
        <f t="shared" si="919"/>
        <v/>
      </c>
      <c r="AA2650" s="70" t="str">
        <f t="shared" si="920"/>
        <v/>
      </c>
      <c r="AB2650" s="70" t="str">
        <f t="shared" si="921"/>
        <v/>
      </c>
      <c r="AC2650" s="70" t="str">
        <f t="shared" si="922"/>
        <v/>
      </c>
      <c r="AD2650" s="70" t="str">
        <f t="shared" si="923"/>
        <v/>
      </c>
      <c r="AE2650" s="70" t="str">
        <f t="shared" si="924"/>
        <v/>
      </c>
      <c r="AF2650" s="16"/>
      <c r="AG2650" s="23"/>
      <c r="AH2650" s="22"/>
      <c r="AJ2650" s="83">
        <f t="shared" si="925"/>
        <v>0</v>
      </c>
      <c r="AO2650" s="22" t="str">
        <f t="shared" si="926"/>
        <v/>
      </c>
      <c r="AP2650" s="22" t="str">
        <f t="shared" si="927"/>
        <v/>
      </c>
    </row>
    <row r="2651" spans="1:42" x14ac:dyDescent="0.25">
      <c r="A2651" s="10"/>
      <c r="B2651" s="10"/>
      <c r="C2651" s="10"/>
      <c r="D2651" s="10"/>
      <c r="E2651" s="10"/>
      <c r="F2651" s="10"/>
      <c r="G2651" s="10"/>
      <c r="H2651" s="17"/>
      <c r="I2651" s="10"/>
      <c r="J2651" s="10"/>
      <c r="K2651" s="16" t="str">
        <f t="shared" si="906"/>
        <v/>
      </c>
      <c r="L2651" s="23" t="str">
        <f t="shared" si="907"/>
        <v/>
      </c>
      <c r="M2651" s="22" t="str">
        <f t="shared" si="908"/>
        <v/>
      </c>
      <c r="N2651" s="72"/>
      <c r="O2651" s="16" t="str">
        <f t="shared" si="909"/>
        <v/>
      </c>
      <c r="P2651" s="16" t="str">
        <f t="shared" si="910"/>
        <v/>
      </c>
      <c r="Q2651" s="16" t="str">
        <f t="shared" si="911"/>
        <v/>
      </c>
      <c r="R2651" s="23" t="str">
        <f t="shared" si="912"/>
        <v/>
      </c>
      <c r="S2651" s="23" t="str">
        <f t="shared" si="913"/>
        <v/>
      </c>
      <c r="T2651" s="23" t="str">
        <f t="shared" si="914"/>
        <v/>
      </c>
      <c r="U2651" s="23" t="str">
        <f t="shared" si="915"/>
        <v/>
      </c>
      <c r="V2651" s="23" t="str">
        <f t="shared" si="916"/>
        <v/>
      </c>
      <c r="W2651" s="70" t="str">
        <f t="shared" si="917"/>
        <v/>
      </c>
      <c r="X2651" s="70" t="str">
        <f t="shared" si="918"/>
        <v/>
      </c>
      <c r="Y2651" s="70" t="str">
        <f>IF(AND($A2651&lt;&gt;"",$E2651&gt;0),isLaptopBag($C2651,$J2651)*$D2651,"")</f>
        <v/>
      </c>
      <c r="Z2651" s="70" t="str">
        <f t="shared" si="919"/>
        <v/>
      </c>
      <c r="AA2651" s="70" t="str">
        <f t="shared" si="920"/>
        <v/>
      </c>
      <c r="AB2651" s="70" t="str">
        <f t="shared" si="921"/>
        <v/>
      </c>
      <c r="AC2651" s="70" t="str">
        <f t="shared" si="922"/>
        <v/>
      </c>
      <c r="AD2651" s="70" t="str">
        <f t="shared" si="923"/>
        <v/>
      </c>
      <c r="AE2651" s="70" t="str">
        <f t="shared" si="924"/>
        <v/>
      </c>
      <c r="AF2651" s="16"/>
      <c r="AG2651" s="23"/>
      <c r="AH2651" s="22"/>
      <c r="AJ2651" s="83">
        <f t="shared" si="925"/>
        <v>0</v>
      </c>
      <c r="AO2651" s="22" t="str">
        <f t="shared" si="926"/>
        <v/>
      </c>
      <c r="AP2651" s="22" t="str">
        <f t="shared" si="927"/>
        <v/>
      </c>
    </row>
    <row r="2652" spans="1:42" x14ac:dyDescent="0.25">
      <c r="A2652" s="10"/>
      <c r="B2652" s="10"/>
      <c r="C2652" s="10"/>
      <c r="D2652" s="10"/>
      <c r="E2652" s="10"/>
      <c r="F2652" s="10"/>
      <c r="G2652" s="10"/>
      <c r="H2652" s="17"/>
      <c r="I2652" s="10"/>
      <c r="J2652" s="10"/>
      <c r="K2652" s="16" t="str">
        <f t="shared" si="906"/>
        <v/>
      </c>
      <c r="L2652" s="23" t="str">
        <f t="shared" si="907"/>
        <v/>
      </c>
      <c r="M2652" s="22" t="str">
        <f t="shared" si="908"/>
        <v/>
      </c>
      <c r="N2652" s="72"/>
      <c r="O2652" s="16" t="str">
        <f t="shared" si="909"/>
        <v/>
      </c>
      <c r="P2652" s="16" t="str">
        <f t="shared" si="910"/>
        <v/>
      </c>
      <c r="Q2652" s="16" t="str">
        <f t="shared" si="911"/>
        <v/>
      </c>
      <c r="R2652" s="23" t="str">
        <f t="shared" si="912"/>
        <v/>
      </c>
      <c r="S2652" s="23" t="str">
        <f t="shared" si="913"/>
        <v/>
      </c>
      <c r="T2652" s="23" t="str">
        <f t="shared" si="914"/>
        <v/>
      </c>
      <c r="U2652" s="23" t="str">
        <f t="shared" si="915"/>
        <v/>
      </c>
      <c r="V2652" s="23" t="str">
        <f t="shared" si="916"/>
        <v/>
      </c>
      <c r="W2652" s="70" t="str">
        <f t="shared" si="917"/>
        <v/>
      </c>
      <c r="X2652" s="70" t="str">
        <f t="shared" si="918"/>
        <v/>
      </c>
      <c r="Y2652" s="70" t="str">
        <f>IF(AND($A2652&lt;&gt;"",$E2652&gt;0),isLaptopBag($C2652,$J2652)*$D2652,"")</f>
        <v/>
      </c>
      <c r="Z2652" s="70" t="str">
        <f t="shared" si="919"/>
        <v/>
      </c>
      <c r="AA2652" s="70" t="str">
        <f t="shared" si="920"/>
        <v/>
      </c>
      <c r="AB2652" s="70" t="str">
        <f t="shared" si="921"/>
        <v/>
      </c>
      <c r="AC2652" s="70" t="str">
        <f t="shared" si="922"/>
        <v/>
      </c>
      <c r="AD2652" s="70" t="str">
        <f t="shared" si="923"/>
        <v/>
      </c>
      <c r="AE2652" s="70" t="str">
        <f t="shared" si="924"/>
        <v/>
      </c>
      <c r="AF2652" s="16"/>
      <c r="AG2652" s="23"/>
      <c r="AH2652" s="22"/>
      <c r="AJ2652" s="83">
        <f t="shared" si="925"/>
        <v>0</v>
      </c>
      <c r="AO2652" s="22" t="str">
        <f t="shared" si="926"/>
        <v/>
      </c>
      <c r="AP2652" s="22" t="str">
        <f t="shared" si="927"/>
        <v/>
      </c>
    </row>
    <row r="2653" spans="1:42" x14ac:dyDescent="0.25">
      <c r="A2653" s="10"/>
      <c r="B2653" s="10"/>
      <c r="C2653" s="10"/>
      <c r="D2653" s="10"/>
      <c r="E2653" s="10"/>
      <c r="F2653" s="10"/>
      <c r="G2653" s="10"/>
      <c r="H2653" s="17"/>
      <c r="I2653" s="10"/>
      <c r="J2653" s="10"/>
      <c r="K2653" s="16" t="str">
        <f t="shared" si="906"/>
        <v/>
      </c>
      <c r="L2653" s="23" t="str">
        <f t="shared" si="907"/>
        <v/>
      </c>
      <c r="M2653" s="22" t="str">
        <f t="shared" si="908"/>
        <v/>
      </c>
      <c r="N2653" s="72"/>
      <c r="O2653" s="16" t="str">
        <f t="shared" si="909"/>
        <v/>
      </c>
      <c r="P2653" s="16" t="str">
        <f t="shared" si="910"/>
        <v/>
      </c>
      <c r="Q2653" s="16" t="str">
        <f t="shared" si="911"/>
        <v/>
      </c>
      <c r="R2653" s="23" t="str">
        <f t="shared" si="912"/>
        <v/>
      </c>
      <c r="S2653" s="23" t="str">
        <f t="shared" si="913"/>
        <v/>
      </c>
      <c r="T2653" s="23" t="str">
        <f t="shared" si="914"/>
        <v/>
      </c>
      <c r="U2653" s="23" t="str">
        <f t="shared" si="915"/>
        <v/>
      </c>
      <c r="V2653" s="23" t="str">
        <f t="shared" si="916"/>
        <v/>
      </c>
      <c r="W2653" s="70" t="str">
        <f t="shared" si="917"/>
        <v/>
      </c>
      <c r="X2653" s="70" t="str">
        <f t="shared" si="918"/>
        <v/>
      </c>
      <c r="Y2653" s="70" t="str">
        <f>IF(AND($A2653&lt;&gt;"",$E2653&gt;0),isLaptopBag($C2653,$J2653)*$D2653,"")</f>
        <v/>
      </c>
      <c r="Z2653" s="70" t="str">
        <f t="shared" si="919"/>
        <v/>
      </c>
      <c r="AA2653" s="70" t="str">
        <f t="shared" si="920"/>
        <v/>
      </c>
      <c r="AB2653" s="70" t="str">
        <f t="shared" si="921"/>
        <v/>
      </c>
      <c r="AC2653" s="70" t="str">
        <f t="shared" si="922"/>
        <v/>
      </c>
      <c r="AD2653" s="70" t="str">
        <f t="shared" si="923"/>
        <v/>
      </c>
      <c r="AE2653" s="70" t="str">
        <f t="shared" si="924"/>
        <v/>
      </c>
      <c r="AF2653" s="16"/>
      <c r="AG2653" s="23"/>
      <c r="AH2653" s="22"/>
      <c r="AJ2653" s="83">
        <f t="shared" si="925"/>
        <v>0</v>
      </c>
      <c r="AO2653" s="22" t="str">
        <f t="shared" si="926"/>
        <v/>
      </c>
      <c r="AP2653" s="22" t="str">
        <f t="shared" si="927"/>
        <v/>
      </c>
    </row>
    <row r="2654" spans="1:42" x14ac:dyDescent="0.25">
      <c r="A2654" s="10"/>
      <c r="B2654" s="10"/>
      <c r="C2654" s="10"/>
      <c r="D2654" s="10"/>
      <c r="E2654" s="10"/>
      <c r="F2654" s="10"/>
      <c r="G2654" s="10"/>
      <c r="H2654" s="17"/>
      <c r="I2654" s="10"/>
      <c r="J2654" s="10"/>
      <c r="K2654" s="16" t="str">
        <f t="shared" si="906"/>
        <v/>
      </c>
      <c r="L2654" s="23" t="str">
        <f t="shared" si="907"/>
        <v/>
      </c>
      <c r="M2654" s="22" t="str">
        <f t="shared" si="908"/>
        <v/>
      </c>
      <c r="N2654" s="72"/>
      <c r="O2654" s="16" t="str">
        <f t="shared" si="909"/>
        <v/>
      </c>
      <c r="P2654" s="16" t="str">
        <f t="shared" si="910"/>
        <v/>
      </c>
      <c r="Q2654" s="16" t="str">
        <f t="shared" si="911"/>
        <v/>
      </c>
      <c r="R2654" s="23" t="str">
        <f t="shared" si="912"/>
        <v/>
      </c>
      <c r="S2654" s="23" t="str">
        <f t="shared" si="913"/>
        <v/>
      </c>
      <c r="T2654" s="23" t="str">
        <f t="shared" si="914"/>
        <v/>
      </c>
      <c r="U2654" s="23" t="str">
        <f t="shared" si="915"/>
        <v/>
      </c>
      <c r="V2654" s="23" t="str">
        <f t="shared" si="916"/>
        <v/>
      </c>
      <c r="W2654" s="70" t="str">
        <f t="shared" si="917"/>
        <v/>
      </c>
      <c r="X2654" s="70" t="str">
        <f t="shared" si="918"/>
        <v/>
      </c>
      <c r="Y2654" s="70" t="str">
        <f>IF(AND($A2654&lt;&gt;"",$E2654&gt;0),isLaptopBag($C2654,$J2654)*$D2654,"")</f>
        <v/>
      </c>
      <c r="Z2654" s="70" t="str">
        <f t="shared" si="919"/>
        <v/>
      </c>
      <c r="AA2654" s="70" t="str">
        <f t="shared" si="920"/>
        <v/>
      </c>
      <c r="AB2654" s="70" t="str">
        <f t="shared" si="921"/>
        <v/>
      </c>
      <c r="AC2654" s="70" t="str">
        <f t="shared" si="922"/>
        <v/>
      </c>
      <c r="AD2654" s="70" t="str">
        <f t="shared" si="923"/>
        <v/>
      </c>
      <c r="AE2654" s="70" t="str">
        <f t="shared" si="924"/>
        <v/>
      </c>
      <c r="AF2654" s="16"/>
      <c r="AG2654" s="23"/>
      <c r="AH2654" s="22"/>
      <c r="AJ2654" s="83">
        <f t="shared" si="925"/>
        <v>0</v>
      </c>
      <c r="AO2654" s="22" t="str">
        <f t="shared" si="926"/>
        <v/>
      </c>
      <c r="AP2654" s="22" t="str">
        <f t="shared" si="927"/>
        <v/>
      </c>
    </row>
    <row r="2655" spans="1:42" x14ac:dyDescent="0.25">
      <c r="A2655" s="10"/>
      <c r="B2655" s="10"/>
      <c r="C2655" s="10"/>
      <c r="D2655" s="10"/>
      <c r="E2655" s="10"/>
      <c r="F2655" s="10"/>
      <c r="G2655" s="10"/>
      <c r="H2655" s="17"/>
      <c r="I2655" s="10"/>
      <c r="J2655" s="10"/>
      <c r="K2655" s="16" t="str">
        <f t="shared" si="906"/>
        <v/>
      </c>
      <c r="L2655" s="23" t="str">
        <f t="shared" si="907"/>
        <v/>
      </c>
      <c r="M2655" s="22" t="str">
        <f t="shared" si="908"/>
        <v/>
      </c>
      <c r="N2655" s="72"/>
      <c r="O2655" s="16" t="str">
        <f t="shared" si="909"/>
        <v/>
      </c>
      <c r="P2655" s="16" t="str">
        <f t="shared" si="910"/>
        <v/>
      </c>
      <c r="Q2655" s="16" t="str">
        <f t="shared" si="911"/>
        <v/>
      </c>
      <c r="R2655" s="23" t="str">
        <f t="shared" si="912"/>
        <v/>
      </c>
      <c r="S2655" s="23" t="str">
        <f t="shared" si="913"/>
        <v/>
      </c>
      <c r="T2655" s="23" t="str">
        <f t="shared" si="914"/>
        <v/>
      </c>
      <c r="U2655" s="23" t="str">
        <f t="shared" si="915"/>
        <v/>
      </c>
      <c r="V2655" s="23" t="str">
        <f t="shared" si="916"/>
        <v/>
      </c>
      <c r="W2655" s="70" t="str">
        <f t="shared" si="917"/>
        <v/>
      </c>
      <c r="X2655" s="70" t="str">
        <f t="shared" si="918"/>
        <v/>
      </c>
      <c r="Y2655" s="70" t="str">
        <f>IF(AND($A2655&lt;&gt;"",$E2655&gt;0),isLaptopBag($C2655,$J2655)*$D2655,"")</f>
        <v/>
      </c>
      <c r="Z2655" s="70" t="str">
        <f t="shared" si="919"/>
        <v/>
      </c>
      <c r="AA2655" s="70" t="str">
        <f t="shared" si="920"/>
        <v/>
      </c>
      <c r="AB2655" s="70" t="str">
        <f t="shared" si="921"/>
        <v/>
      </c>
      <c r="AC2655" s="70" t="str">
        <f t="shared" si="922"/>
        <v/>
      </c>
      <c r="AD2655" s="70" t="str">
        <f t="shared" si="923"/>
        <v/>
      </c>
      <c r="AE2655" s="70" t="str">
        <f t="shared" si="924"/>
        <v/>
      </c>
      <c r="AF2655" s="16"/>
      <c r="AG2655" s="23"/>
      <c r="AH2655" s="22"/>
      <c r="AJ2655" s="83">
        <f t="shared" si="925"/>
        <v>0</v>
      </c>
      <c r="AO2655" s="22" t="str">
        <f t="shared" si="926"/>
        <v/>
      </c>
      <c r="AP2655" s="22" t="str">
        <f t="shared" si="927"/>
        <v/>
      </c>
    </row>
    <row r="2656" spans="1:42" x14ac:dyDescent="0.25">
      <c r="A2656" s="10"/>
      <c r="B2656" s="10"/>
      <c r="C2656" s="10"/>
      <c r="D2656" s="10"/>
      <c r="E2656" s="10"/>
      <c r="F2656" s="10"/>
      <c r="G2656" s="10"/>
      <c r="H2656" s="17"/>
      <c r="I2656" s="10"/>
      <c r="J2656" s="10"/>
      <c r="K2656" s="16" t="str">
        <f t="shared" si="906"/>
        <v/>
      </c>
      <c r="L2656" s="23" t="str">
        <f t="shared" si="907"/>
        <v/>
      </c>
      <c r="M2656" s="22" t="str">
        <f t="shared" si="908"/>
        <v/>
      </c>
      <c r="N2656" s="72"/>
      <c r="O2656" s="16" t="str">
        <f t="shared" si="909"/>
        <v/>
      </c>
      <c r="P2656" s="16" t="str">
        <f t="shared" si="910"/>
        <v/>
      </c>
      <c r="Q2656" s="16" t="str">
        <f t="shared" si="911"/>
        <v/>
      </c>
      <c r="R2656" s="23" t="str">
        <f t="shared" si="912"/>
        <v/>
      </c>
      <c r="S2656" s="23" t="str">
        <f t="shared" si="913"/>
        <v/>
      </c>
      <c r="T2656" s="23" t="str">
        <f t="shared" si="914"/>
        <v/>
      </c>
      <c r="U2656" s="23" t="str">
        <f t="shared" si="915"/>
        <v/>
      </c>
      <c r="V2656" s="23" t="str">
        <f t="shared" si="916"/>
        <v/>
      </c>
      <c r="W2656" s="70" t="str">
        <f t="shared" si="917"/>
        <v/>
      </c>
      <c r="X2656" s="70" t="str">
        <f t="shared" si="918"/>
        <v/>
      </c>
      <c r="Y2656" s="70" t="str">
        <f>IF(AND($A2656&lt;&gt;"",$E2656&gt;0),isLaptopBag($C2656,$J2656)*$D2656,"")</f>
        <v/>
      </c>
      <c r="Z2656" s="70" t="str">
        <f t="shared" si="919"/>
        <v/>
      </c>
      <c r="AA2656" s="70" t="str">
        <f t="shared" si="920"/>
        <v/>
      </c>
      <c r="AB2656" s="70" t="str">
        <f t="shared" si="921"/>
        <v/>
      </c>
      <c r="AC2656" s="70" t="str">
        <f t="shared" si="922"/>
        <v/>
      </c>
      <c r="AD2656" s="70" t="str">
        <f t="shared" si="923"/>
        <v/>
      </c>
      <c r="AE2656" s="70" t="str">
        <f t="shared" si="924"/>
        <v/>
      </c>
      <c r="AF2656" s="16"/>
      <c r="AG2656" s="23"/>
      <c r="AH2656" s="22"/>
      <c r="AJ2656" s="83">
        <f t="shared" si="925"/>
        <v>0</v>
      </c>
      <c r="AO2656" s="22" t="str">
        <f t="shared" si="926"/>
        <v/>
      </c>
      <c r="AP2656" s="22" t="str">
        <f t="shared" si="927"/>
        <v/>
      </c>
    </row>
    <row r="2657" spans="1:42" x14ac:dyDescent="0.25">
      <c r="A2657" s="10"/>
      <c r="B2657" s="10"/>
      <c r="C2657" s="10"/>
      <c r="D2657" s="10"/>
      <c r="E2657" s="10"/>
      <c r="F2657" s="10"/>
      <c r="G2657" s="10"/>
      <c r="H2657" s="17"/>
      <c r="I2657" s="10"/>
      <c r="J2657" s="10"/>
      <c r="K2657" s="16" t="str">
        <f t="shared" si="906"/>
        <v/>
      </c>
      <c r="L2657" s="23" t="str">
        <f t="shared" si="907"/>
        <v/>
      </c>
      <c r="M2657" s="22" t="str">
        <f t="shared" si="908"/>
        <v/>
      </c>
      <c r="N2657" s="72"/>
      <c r="O2657" s="16" t="str">
        <f t="shared" si="909"/>
        <v/>
      </c>
      <c r="P2657" s="16" t="str">
        <f t="shared" si="910"/>
        <v/>
      </c>
      <c r="Q2657" s="16" t="str">
        <f t="shared" si="911"/>
        <v/>
      </c>
      <c r="R2657" s="23" t="str">
        <f t="shared" si="912"/>
        <v/>
      </c>
      <c r="S2657" s="23" t="str">
        <f t="shared" si="913"/>
        <v/>
      </c>
      <c r="T2657" s="23" t="str">
        <f t="shared" si="914"/>
        <v/>
      </c>
      <c r="U2657" s="23" t="str">
        <f t="shared" si="915"/>
        <v/>
      </c>
      <c r="V2657" s="23" t="str">
        <f t="shared" si="916"/>
        <v/>
      </c>
      <c r="W2657" s="70" t="str">
        <f t="shared" si="917"/>
        <v/>
      </c>
      <c r="X2657" s="70" t="str">
        <f t="shared" si="918"/>
        <v/>
      </c>
      <c r="Y2657" s="70" t="str">
        <f>IF(AND($A2657&lt;&gt;"",$E2657&gt;0),isLaptopBag($C2657,$J2657)*$D2657,"")</f>
        <v/>
      </c>
      <c r="Z2657" s="70" t="str">
        <f t="shared" si="919"/>
        <v/>
      </c>
      <c r="AA2657" s="70" t="str">
        <f t="shared" si="920"/>
        <v/>
      </c>
      <c r="AB2657" s="70" t="str">
        <f t="shared" si="921"/>
        <v/>
      </c>
      <c r="AC2657" s="70" t="str">
        <f t="shared" si="922"/>
        <v/>
      </c>
      <c r="AD2657" s="70" t="str">
        <f t="shared" si="923"/>
        <v/>
      </c>
      <c r="AE2657" s="70" t="str">
        <f t="shared" si="924"/>
        <v/>
      </c>
      <c r="AF2657" s="16"/>
      <c r="AG2657" s="23"/>
      <c r="AH2657" s="22"/>
      <c r="AJ2657" s="83">
        <f t="shared" si="925"/>
        <v>0</v>
      </c>
      <c r="AO2657" s="22" t="str">
        <f t="shared" si="926"/>
        <v/>
      </c>
      <c r="AP2657" s="22" t="str">
        <f t="shared" si="927"/>
        <v/>
      </c>
    </row>
    <row r="2658" spans="1:42" x14ac:dyDescent="0.25">
      <c r="A2658" s="10"/>
      <c r="B2658" s="10"/>
      <c r="C2658" s="10"/>
      <c r="D2658" s="10"/>
      <c r="E2658" s="10"/>
      <c r="F2658" s="10"/>
      <c r="G2658" s="10"/>
      <c r="H2658" s="17"/>
      <c r="I2658" s="10"/>
      <c r="J2658" s="10"/>
      <c r="K2658" s="16" t="str">
        <f t="shared" si="906"/>
        <v/>
      </c>
      <c r="L2658" s="23" t="str">
        <f t="shared" si="907"/>
        <v/>
      </c>
      <c r="M2658" s="22" t="str">
        <f t="shared" si="908"/>
        <v/>
      </c>
      <c r="N2658" s="72"/>
      <c r="O2658" s="16" t="str">
        <f t="shared" si="909"/>
        <v/>
      </c>
      <c r="P2658" s="16" t="str">
        <f t="shared" si="910"/>
        <v/>
      </c>
      <c r="Q2658" s="16" t="str">
        <f t="shared" si="911"/>
        <v/>
      </c>
      <c r="R2658" s="23" t="str">
        <f t="shared" si="912"/>
        <v/>
      </c>
      <c r="S2658" s="23" t="str">
        <f t="shared" si="913"/>
        <v/>
      </c>
      <c r="T2658" s="23" t="str">
        <f t="shared" si="914"/>
        <v/>
      </c>
      <c r="U2658" s="23" t="str">
        <f t="shared" si="915"/>
        <v/>
      </c>
      <c r="V2658" s="23" t="str">
        <f t="shared" si="916"/>
        <v/>
      </c>
      <c r="W2658" s="70" t="str">
        <f t="shared" si="917"/>
        <v/>
      </c>
      <c r="X2658" s="70" t="str">
        <f t="shared" si="918"/>
        <v/>
      </c>
      <c r="Y2658" s="70" t="str">
        <f>IF(AND($A2658&lt;&gt;"",$E2658&gt;0),isLaptopBag($C2658,$J2658)*$D2658,"")</f>
        <v/>
      </c>
      <c r="Z2658" s="70" t="str">
        <f t="shared" si="919"/>
        <v/>
      </c>
      <c r="AA2658" s="70" t="str">
        <f t="shared" si="920"/>
        <v/>
      </c>
      <c r="AB2658" s="70" t="str">
        <f t="shared" si="921"/>
        <v/>
      </c>
      <c r="AC2658" s="70" t="str">
        <f t="shared" si="922"/>
        <v/>
      </c>
      <c r="AD2658" s="70" t="str">
        <f t="shared" si="923"/>
        <v/>
      </c>
      <c r="AE2658" s="70" t="str">
        <f t="shared" si="924"/>
        <v/>
      </c>
      <c r="AF2658" s="16"/>
      <c r="AG2658" s="23"/>
      <c r="AH2658" s="22"/>
      <c r="AJ2658" s="83">
        <f t="shared" si="925"/>
        <v>0</v>
      </c>
      <c r="AO2658" s="22" t="str">
        <f t="shared" si="926"/>
        <v/>
      </c>
      <c r="AP2658" s="22" t="str">
        <f t="shared" si="927"/>
        <v/>
      </c>
    </row>
    <row r="2659" spans="1:42" x14ac:dyDescent="0.25">
      <c r="A2659" s="10"/>
      <c r="B2659" s="10"/>
      <c r="C2659" s="10"/>
      <c r="D2659" s="10"/>
      <c r="E2659" s="10"/>
      <c r="F2659" s="10"/>
      <c r="G2659" s="10"/>
      <c r="H2659" s="17"/>
      <c r="I2659" s="10"/>
      <c r="J2659" s="10"/>
      <c r="K2659" s="16" t="str">
        <f t="shared" si="906"/>
        <v/>
      </c>
      <c r="L2659" s="23" t="str">
        <f t="shared" si="907"/>
        <v/>
      </c>
      <c r="M2659" s="22" t="str">
        <f t="shared" si="908"/>
        <v/>
      </c>
      <c r="N2659" s="72"/>
      <c r="O2659" s="16" t="str">
        <f t="shared" si="909"/>
        <v/>
      </c>
      <c r="P2659" s="16" t="str">
        <f t="shared" si="910"/>
        <v/>
      </c>
      <c r="Q2659" s="16" t="str">
        <f t="shared" si="911"/>
        <v/>
      </c>
      <c r="R2659" s="23" t="str">
        <f t="shared" si="912"/>
        <v/>
      </c>
      <c r="S2659" s="23" t="str">
        <f t="shared" si="913"/>
        <v/>
      </c>
      <c r="T2659" s="23" t="str">
        <f t="shared" si="914"/>
        <v/>
      </c>
      <c r="U2659" s="23" t="str">
        <f t="shared" si="915"/>
        <v/>
      </c>
      <c r="V2659" s="23" t="str">
        <f t="shared" si="916"/>
        <v/>
      </c>
      <c r="W2659" s="70" t="str">
        <f t="shared" si="917"/>
        <v/>
      </c>
      <c r="X2659" s="70" t="str">
        <f t="shared" si="918"/>
        <v/>
      </c>
      <c r="Y2659" s="70" t="str">
        <f>IF(AND($A2659&lt;&gt;"",$E2659&gt;0),isLaptopBag($C2659,$J2659)*$D2659,"")</f>
        <v/>
      </c>
      <c r="Z2659" s="70" t="str">
        <f t="shared" si="919"/>
        <v/>
      </c>
      <c r="AA2659" s="70" t="str">
        <f t="shared" si="920"/>
        <v/>
      </c>
      <c r="AB2659" s="70" t="str">
        <f t="shared" si="921"/>
        <v/>
      </c>
      <c r="AC2659" s="70" t="str">
        <f t="shared" si="922"/>
        <v/>
      </c>
      <c r="AD2659" s="70" t="str">
        <f t="shared" si="923"/>
        <v/>
      </c>
      <c r="AE2659" s="70" t="str">
        <f t="shared" si="924"/>
        <v/>
      </c>
      <c r="AF2659" s="16"/>
      <c r="AG2659" s="23"/>
      <c r="AH2659" s="22"/>
      <c r="AJ2659" s="83">
        <f t="shared" si="925"/>
        <v>0</v>
      </c>
      <c r="AO2659" s="22" t="str">
        <f t="shared" si="926"/>
        <v/>
      </c>
      <c r="AP2659" s="22" t="str">
        <f t="shared" si="927"/>
        <v/>
      </c>
    </row>
    <row r="2660" spans="1:42" x14ac:dyDescent="0.25">
      <c r="A2660" s="10"/>
      <c r="B2660" s="10"/>
      <c r="C2660" s="10"/>
      <c r="D2660" s="10"/>
      <c r="E2660" s="10"/>
      <c r="F2660" s="10"/>
      <c r="G2660" s="10"/>
      <c r="H2660" s="17"/>
      <c r="I2660" s="10"/>
      <c r="J2660" s="10"/>
      <c r="K2660" s="16" t="str">
        <f t="shared" si="906"/>
        <v/>
      </c>
      <c r="L2660" s="23" t="str">
        <f t="shared" si="907"/>
        <v/>
      </c>
      <c r="M2660" s="22" t="str">
        <f t="shared" si="908"/>
        <v/>
      </c>
      <c r="N2660" s="72"/>
      <c r="O2660" s="16" t="str">
        <f t="shared" si="909"/>
        <v/>
      </c>
      <c r="P2660" s="16" t="str">
        <f t="shared" si="910"/>
        <v/>
      </c>
      <c r="Q2660" s="16" t="str">
        <f t="shared" si="911"/>
        <v/>
      </c>
      <c r="R2660" s="23" t="str">
        <f t="shared" si="912"/>
        <v/>
      </c>
      <c r="S2660" s="23" t="str">
        <f t="shared" si="913"/>
        <v/>
      </c>
      <c r="T2660" s="23" t="str">
        <f t="shared" si="914"/>
        <v/>
      </c>
      <c r="U2660" s="23" t="str">
        <f t="shared" si="915"/>
        <v/>
      </c>
      <c r="V2660" s="23" t="str">
        <f t="shared" si="916"/>
        <v/>
      </c>
      <c r="W2660" s="70" t="str">
        <f t="shared" si="917"/>
        <v/>
      </c>
      <c r="X2660" s="70" t="str">
        <f t="shared" si="918"/>
        <v/>
      </c>
      <c r="Y2660" s="70" t="str">
        <f>IF(AND($A2660&lt;&gt;"",$E2660&gt;0),isLaptopBag($C2660,$J2660)*$D2660,"")</f>
        <v/>
      </c>
      <c r="Z2660" s="70" t="str">
        <f t="shared" si="919"/>
        <v/>
      </c>
      <c r="AA2660" s="70" t="str">
        <f t="shared" si="920"/>
        <v/>
      </c>
      <c r="AB2660" s="70" t="str">
        <f t="shared" si="921"/>
        <v/>
      </c>
      <c r="AC2660" s="70" t="str">
        <f t="shared" si="922"/>
        <v/>
      </c>
      <c r="AD2660" s="70" t="str">
        <f t="shared" si="923"/>
        <v/>
      </c>
      <c r="AE2660" s="70" t="str">
        <f t="shared" si="924"/>
        <v/>
      </c>
      <c r="AF2660" s="16"/>
      <c r="AG2660" s="23"/>
      <c r="AH2660" s="22"/>
      <c r="AJ2660" s="83">
        <f t="shared" si="925"/>
        <v>0</v>
      </c>
      <c r="AO2660" s="22" t="str">
        <f t="shared" si="926"/>
        <v/>
      </c>
      <c r="AP2660" s="22" t="str">
        <f t="shared" si="927"/>
        <v/>
      </c>
    </row>
    <row r="2661" spans="1:42" x14ac:dyDescent="0.25">
      <c r="A2661" s="10"/>
      <c r="B2661" s="10"/>
      <c r="C2661" s="10"/>
      <c r="D2661" s="10"/>
      <c r="E2661" s="10"/>
      <c r="F2661" s="10"/>
      <c r="G2661" s="10"/>
      <c r="H2661" s="17"/>
      <c r="I2661" s="10"/>
      <c r="J2661" s="10"/>
      <c r="K2661" s="16" t="str">
        <f t="shared" si="906"/>
        <v/>
      </c>
      <c r="L2661" s="23" t="str">
        <f t="shared" si="907"/>
        <v/>
      </c>
      <c r="M2661" s="22" t="str">
        <f t="shared" si="908"/>
        <v/>
      </c>
      <c r="N2661" s="72"/>
      <c r="O2661" s="16" t="str">
        <f t="shared" si="909"/>
        <v/>
      </c>
      <c r="P2661" s="16" t="str">
        <f t="shared" si="910"/>
        <v/>
      </c>
      <c r="Q2661" s="16" t="str">
        <f t="shared" si="911"/>
        <v/>
      </c>
      <c r="R2661" s="23" t="str">
        <f t="shared" si="912"/>
        <v/>
      </c>
      <c r="S2661" s="23" t="str">
        <f t="shared" si="913"/>
        <v/>
      </c>
      <c r="T2661" s="23" t="str">
        <f t="shared" si="914"/>
        <v/>
      </c>
      <c r="U2661" s="23" t="str">
        <f t="shared" si="915"/>
        <v/>
      </c>
      <c r="V2661" s="23" t="str">
        <f t="shared" si="916"/>
        <v/>
      </c>
      <c r="W2661" s="70" t="str">
        <f t="shared" si="917"/>
        <v/>
      </c>
      <c r="X2661" s="70" t="str">
        <f t="shared" si="918"/>
        <v/>
      </c>
      <c r="Y2661" s="70" t="str">
        <f>IF(AND($A2661&lt;&gt;"",$E2661&gt;0),isLaptopBag($C2661,$J2661)*$D2661,"")</f>
        <v/>
      </c>
      <c r="Z2661" s="70" t="str">
        <f t="shared" si="919"/>
        <v/>
      </c>
      <c r="AA2661" s="70" t="str">
        <f t="shared" si="920"/>
        <v/>
      </c>
      <c r="AB2661" s="70" t="str">
        <f t="shared" si="921"/>
        <v/>
      </c>
      <c r="AC2661" s="70" t="str">
        <f t="shared" si="922"/>
        <v/>
      </c>
      <c r="AD2661" s="70" t="str">
        <f t="shared" si="923"/>
        <v/>
      </c>
      <c r="AE2661" s="70" t="str">
        <f t="shared" si="924"/>
        <v/>
      </c>
      <c r="AF2661" s="16"/>
      <c r="AG2661" s="23"/>
      <c r="AH2661" s="22"/>
      <c r="AJ2661" s="83">
        <f t="shared" si="925"/>
        <v>0</v>
      </c>
      <c r="AO2661" s="22" t="str">
        <f t="shared" si="926"/>
        <v/>
      </c>
      <c r="AP2661" s="22" t="str">
        <f t="shared" si="927"/>
        <v/>
      </c>
    </row>
    <row r="2662" spans="1:42" x14ac:dyDescent="0.25">
      <c r="A2662" s="10"/>
      <c r="B2662" s="10"/>
      <c r="C2662" s="10"/>
      <c r="D2662" s="10"/>
      <c r="E2662" s="10"/>
      <c r="F2662" s="10"/>
      <c r="G2662" s="10"/>
      <c r="H2662" s="17"/>
      <c r="I2662" s="10"/>
      <c r="J2662" s="10"/>
      <c r="K2662" s="16" t="str">
        <f t="shared" si="906"/>
        <v/>
      </c>
      <c r="L2662" s="23" t="str">
        <f t="shared" si="907"/>
        <v/>
      </c>
      <c r="M2662" s="22" t="str">
        <f t="shared" si="908"/>
        <v/>
      </c>
      <c r="N2662" s="72"/>
      <c r="O2662" s="16" t="str">
        <f t="shared" si="909"/>
        <v/>
      </c>
      <c r="P2662" s="16" t="str">
        <f t="shared" si="910"/>
        <v/>
      </c>
      <c r="Q2662" s="16" t="str">
        <f t="shared" si="911"/>
        <v/>
      </c>
      <c r="R2662" s="23" t="str">
        <f t="shared" si="912"/>
        <v/>
      </c>
      <c r="S2662" s="23" t="str">
        <f t="shared" si="913"/>
        <v/>
      </c>
      <c r="T2662" s="23" t="str">
        <f t="shared" si="914"/>
        <v/>
      </c>
      <c r="U2662" s="23" t="str">
        <f t="shared" si="915"/>
        <v/>
      </c>
      <c r="V2662" s="23" t="str">
        <f t="shared" si="916"/>
        <v/>
      </c>
      <c r="W2662" s="70" t="str">
        <f t="shared" si="917"/>
        <v/>
      </c>
      <c r="X2662" s="70" t="str">
        <f t="shared" si="918"/>
        <v/>
      </c>
      <c r="Y2662" s="70" t="str">
        <f>IF(AND($A2662&lt;&gt;"",$E2662&gt;0),isLaptopBag($C2662,$J2662)*$D2662,"")</f>
        <v/>
      </c>
      <c r="Z2662" s="70" t="str">
        <f t="shared" si="919"/>
        <v/>
      </c>
      <c r="AA2662" s="70" t="str">
        <f t="shared" si="920"/>
        <v/>
      </c>
      <c r="AB2662" s="70" t="str">
        <f t="shared" si="921"/>
        <v/>
      </c>
      <c r="AC2662" s="70" t="str">
        <f t="shared" si="922"/>
        <v/>
      </c>
      <c r="AD2662" s="70" t="str">
        <f t="shared" si="923"/>
        <v/>
      </c>
      <c r="AE2662" s="70" t="str">
        <f t="shared" si="924"/>
        <v/>
      </c>
      <c r="AF2662" s="16"/>
      <c r="AG2662" s="23"/>
      <c r="AH2662" s="22"/>
      <c r="AJ2662" s="83">
        <f t="shared" si="925"/>
        <v>0</v>
      </c>
      <c r="AO2662" s="22" t="str">
        <f t="shared" si="926"/>
        <v/>
      </c>
      <c r="AP2662" s="22" t="str">
        <f t="shared" si="927"/>
        <v/>
      </c>
    </row>
    <row r="2663" spans="1:42" x14ac:dyDescent="0.25">
      <c r="A2663" s="10"/>
      <c r="B2663" s="10"/>
      <c r="C2663" s="10"/>
      <c r="D2663" s="10"/>
      <c r="E2663" s="10"/>
      <c r="F2663" s="10"/>
      <c r="G2663" s="10"/>
      <c r="H2663" s="17"/>
      <c r="I2663" s="10"/>
      <c r="J2663" s="10"/>
      <c r="K2663" s="16" t="str">
        <f t="shared" si="906"/>
        <v/>
      </c>
      <c r="L2663" s="23" t="str">
        <f t="shared" si="907"/>
        <v/>
      </c>
      <c r="M2663" s="22" t="str">
        <f t="shared" si="908"/>
        <v/>
      </c>
      <c r="N2663" s="72"/>
      <c r="O2663" s="16" t="str">
        <f t="shared" si="909"/>
        <v/>
      </c>
      <c r="P2663" s="16" t="str">
        <f t="shared" si="910"/>
        <v/>
      </c>
      <c r="Q2663" s="16" t="str">
        <f t="shared" si="911"/>
        <v/>
      </c>
      <c r="R2663" s="23" t="str">
        <f t="shared" si="912"/>
        <v/>
      </c>
      <c r="S2663" s="23" t="str">
        <f t="shared" si="913"/>
        <v/>
      </c>
      <c r="T2663" s="23" t="str">
        <f t="shared" si="914"/>
        <v/>
      </c>
      <c r="U2663" s="23" t="str">
        <f t="shared" si="915"/>
        <v/>
      </c>
      <c r="V2663" s="23" t="str">
        <f t="shared" si="916"/>
        <v/>
      </c>
      <c r="W2663" s="70" t="str">
        <f t="shared" si="917"/>
        <v/>
      </c>
      <c r="X2663" s="70" t="str">
        <f t="shared" si="918"/>
        <v/>
      </c>
      <c r="Y2663" s="70" t="str">
        <f>IF(AND($A2663&lt;&gt;"",$E2663&gt;0),isLaptopBag($C2663,$J2663)*$D2663,"")</f>
        <v/>
      </c>
      <c r="Z2663" s="70" t="str">
        <f t="shared" si="919"/>
        <v/>
      </c>
      <c r="AA2663" s="70" t="str">
        <f t="shared" si="920"/>
        <v/>
      </c>
      <c r="AB2663" s="70" t="str">
        <f t="shared" si="921"/>
        <v/>
      </c>
      <c r="AC2663" s="70" t="str">
        <f t="shared" si="922"/>
        <v/>
      </c>
      <c r="AD2663" s="70" t="str">
        <f t="shared" si="923"/>
        <v/>
      </c>
      <c r="AE2663" s="70" t="str">
        <f t="shared" si="924"/>
        <v/>
      </c>
      <c r="AF2663" s="16"/>
      <c r="AG2663" s="23"/>
      <c r="AH2663" s="22"/>
      <c r="AJ2663" s="83">
        <f t="shared" si="925"/>
        <v>0</v>
      </c>
      <c r="AO2663" s="22" t="str">
        <f t="shared" si="926"/>
        <v/>
      </c>
      <c r="AP2663" s="22" t="str">
        <f t="shared" si="927"/>
        <v/>
      </c>
    </row>
    <row r="2664" spans="1:42" x14ac:dyDescent="0.25">
      <c r="A2664" s="10"/>
      <c r="B2664" s="10"/>
      <c r="C2664" s="10"/>
      <c r="D2664" s="10"/>
      <c r="E2664" s="10"/>
      <c r="F2664" s="10"/>
      <c r="G2664" s="10"/>
      <c r="H2664" s="17"/>
      <c r="I2664" s="10"/>
      <c r="J2664" s="10"/>
      <c r="K2664" s="16" t="str">
        <f t="shared" si="906"/>
        <v/>
      </c>
      <c r="L2664" s="23" t="str">
        <f t="shared" si="907"/>
        <v/>
      </c>
      <c r="M2664" s="22" t="str">
        <f t="shared" si="908"/>
        <v/>
      </c>
      <c r="N2664" s="72"/>
      <c r="O2664" s="16" t="str">
        <f t="shared" si="909"/>
        <v/>
      </c>
      <c r="P2664" s="16" t="str">
        <f t="shared" si="910"/>
        <v/>
      </c>
      <c r="Q2664" s="16" t="str">
        <f t="shared" si="911"/>
        <v/>
      </c>
      <c r="R2664" s="23" t="str">
        <f t="shared" si="912"/>
        <v/>
      </c>
      <c r="S2664" s="23" t="str">
        <f t="shared" si="913"/>
        <v/>
      </c>
      <c r="T2664" s="23" t="str">
        <f t="shared" si="914"/>
        <v/>
      </c>
      <c r="U2664" s="23" t="str">
        <f t="shared" si="915"/>
        <v/>
      </c>
      <c r="V2664" s="23" t="str">
        <f t="shared" si="916"/>
        <v/>
      </c>
      <c r="W2664" s="70" t="str">
        <f t="shared" si="917"/>
        <v/>
      </c>
      <c r="X2664" s="70" t="str">
        <f t="shared" si="918"/>
        <v/>
      </c>
      <c r="Y2664" s="70" t="str">
        <f>IF(AND($A2664&lt;&gt;"",$E2664&gt;0),isLaptopBag($C2664,$J2664)*$D2664,"")</f>
        <v/>
      </c>
      <c r="Z2664" s="70" t="str">
        <f t="shared" si="919"/>
        <v/>
      </c>
      <c r="AA2664" s="70" t="str">
        <f t="shared" si="920"/>
        <v/>
      </c>
      <c r="AB2664" s="70" t="str">
        <f t="shared" si="921"/>
        <v/>
      </c>
      <c r="AC2664" s="70" t="str">
        <f t="shared" si="922"/>
        <v/>
      </c>
      <c r="AD2664" s="70" t="str">
        <f t="shared" si="923"/>
        <v/>
      </c>
      <c r="AE2664" s="70" t="str">
        <f t="shared" si="924"/>
        <v/>
      </c>
      <c r="AF2664" s="16"/>
      <c r="AG2664" s="23"/>
      <c r="AH2664" s="22"/>
      <c r="AJ2664" s="83">
        <f t="shared" si="925"/>
        <v>0</v>
      </c>
      <c r="AO2664" s="22" t="str">
        <f t="shared" si="926"/>
        <v/>
      </c>
      <c r="AP2664" s="22" t="str">
        <f t="shared" si="927"/>
        <v/>
      </c>
    </row>
    <row r="2665" spans="1:42" x14ac:dyDescent="0.25">
      <c r="A2665" s="10"/>
      <c r="B2665" s="10"/>
      <c r="C2665" s="10"/>
      <c r="D2665" s="10"/>
      <c r="E2665" s="10"/>
      <c r="F2665" s="10"/>
      <c r="G2665" s="10"/>
      <c r="H2665" s="17"/>
      <c r="I2665" s="10"/>
      <c r="J2665" s="10"/>
      <c r="K2665" s="16" t="str">
        <f t="shared" si="906"/>
        <v/>
      </c>
      <c r="L2665" s="23" t="str">
        <f t="shared" si="907"/>
        <v/>
      </c>
      <c r="M2665" s="22" t="str">
        <f t="shared" si="908"/>
        <v/>
      </c>
      <c r="N2665" s="72"/>
      <c r="O2665" s="16" t="str">
        <f t="shared" si="909"/>
        <v/>
      </c>
      <c r="P2665" s="16" t="str">
        <f t="shared" si="910"/>
        <v/>
      </c>
      <c r="Q2665" s="16" t="str">
        <f t="shared" si="911"/>
        <v/>
      </c>
      <c r="R2665" s="23" t="str">
        <f t="shared" si="912"/>
        <v/>
      </c>
      <c r="S2665" s="23" t="str">
        <f t="shared" si="913"/>
        <v/>
      </c>
      <c r="T2665" s="23" t="str">
        <f t="shared" si="914"/>
        <v/>
      </c>
      <c r="U2665" s="23" t="str">
        <f t="shared" si="915"/>
        <v/>
      </c>
      <c r="V2665" s="23" t="str">
        <f t="shared" si="916"/>
        <v/>
      </c>
      <c r="W2665" s="70" t="str">
        <f t="shared" si="917"/>
        <v/>
      </c>
      <c r="X2665" s="70" t="str">
        <f t="shared" si="918"/>
        <v/>
      </c>
      <c r="Y2665" s="70" t="str">
        <f>IF(AND($A2665&lt;&gt;"",$E2665&gt;0),isLaptopBag($C2665,$J2665)*$D2665,"")</f>
        <v/>
      </c>
      <c r="Z2665" s="70" t="str">
        <f t="shared" si="919"/>
        <v/>
      </c>
      <c r="AA2665" s="70" t="str">
        <f t="shared" si="920"/>
        <v/>
      </c>
      <c r="AB2665" s="70" t="str">
        <f t="shared" si="921"/>
        <v/>
      </c>
      <c r="AC2665" s="70" t="str">
        <f t="shared" si="922"/>
        <v/>
      </c>
      <c r="AD2665" s="70" t="str">
        <f t="shared" si="923"/>
        <v/>
      </c>
      <c r="AE2665" s="70" t="str">
        <f t="shared" si="924"/>
        <v/>
      </c>
      <c r="AF2665" s="16"/>
      <c r="AG2665" s="23"/>
      <c r="AH2665" s="22"/>
      <c r="AJ2665" s="83">
        <f t="shared" si="925"/>
        <v>0</v>
      </c>
      <c r="AO2665" s="22" t="str">
        <f t="shared" si="926"/>
        <v/>
      </c>
      <c r="AP2665" s="22" t="str">
        <f t="shared" si="927"/>
        <v/>
      </c>
    </row>
    <row r="2666" spans="1:42" x14ac:dyDescent="0.25">
      <c r="A2666" s="10"/>
      <c r="B2666" s="10"/>
      <c r="C2666" s="10"/>
      <c r="D2666" s="10"/>
      <c r="E2666" s="10"/>
      <c r="F2666" s="10"/>
      <c r="G2666" s="10"/>
      <c r="H2666" s="17"/>
      <c r="I2666" s="10"/>
      <c r="J2666" s="10"/>
      <c r="K2666" s="16" t="str">
        <f t="shared" si="906"/>
        <v/>
      </c>
      <c r="L2666" s="23" t="str">
        <f t="shared" si="907"/>
        <v/>
      </c>
      <c r="M2666" s="22" t="str">
        <f t="shared" si="908"/>
        <v/>
      </c>
      <c r="N2666" s="72"/>
      <c r="O2666" s="16" t="str">
        <f t="shared" si="909"/>
        <v/>
      </c>
      <c r="P2666" s="16" t="str">
        <f t="shared" si="910"/>
        <v/>
      </c>
      <c r="Q2666" s="16" t="str">
        <f t="shared" si="911"/>
        <v/>
      </c>
      <c r="R2666" s="23" t="str">
        <f t="shared" si="912"/>
        <v/>
      </c>
      <c r="S2666" s="23" t="str">
        <f t="shared" si="913"/>
        <v/>
      </c>
      <c r="T2666" s="23" t="str">
        <f t="shared" si="914"/>
        <v/>
      </c>
      <c r="U2666" s="23" t="str">
        <f t="shared" si="915"/>
        <v/>
      </c>
      <c r="V2666" s="23" t="str">
        <f t="shared" si="916"/>
        <v/>
      </c>
      <c r="W2666" s="70" t="str">
        <f t="shared" si="917"/>
        <v/>
      </c>
      <c r="X2666" s="70" t="str">
        <f t="shared" si="918"/>
        <v/>
      </c>
      <c r="Y2666" s="70" t="str">
        <f>IF(AND($A2666&lt;&gt;"",$E2666&gt;0),isLaptopBag($C2666,$J2666)*$D2666,"")</f>
        <v/>
      </c>
      <c r="Z2666" s="70" t="str">
        <f t="shared" si="919"/>
        <v/>
      </c>
      <c r="AA2666" s="70" t="str">
        <f t="shared" si="920"/>
        <v/>
      </c>
      <c r="AB2666" s="70" t="str">
        <f t="shared" si="921"/>
        <v/>
      </c>
      <c r="AC2666" s="70" t="str">
        <f t="shared" si="922"/>
        <v/>
      </c>
      <c r="AD2666" s="70" t="str">
        <f t="shared" si="923"/>
        <v/>
      </c>
      <c r="AE2666" s="70" t="str">
        <f t="shared" si="924"/>
        <v/>
      </c>
      <c r="AF2666" s="16"/>
      <c r="AG2666" s="23"/>
      <c r="AH2666" s="22"/>
      <c r="AJ2666" s="83">
        <f t="shared" si="925"/>
        <v>0</v>
      </c>
      <c r="AO2666" s="22" t="str">
        <f t="shared" si="926"/>
        <v/>
      </c>
      <c r="AP2666" s="22" t="str">
        <f t="shared" si="927"/>
        <v/>
      </c>
    </row>
    <row r="2667" spans="1:42" x14ac:dyDescent="0.25">
      <c r="A2667" s="10"/>
      <c r="B2667" s="10"/>
      <c r="C2667" s="10"/>
      <c r="D2667" s="10"/>
      <c r="E2667" s="10"/>
      <c r="F2667" s="10"/>
      <c r="G2667" s="10"/>
      <c r="H2667" s="17"/>
      <c r="I2667" s="10"/>
      <c r="J2667" s="10"/>
      <c r="K2667" s="16" t="str">
        <f t="shared" si="906"/>
        <v/>
      </c>
      <c r="L2667" s="23" t="str">
        <f t="shared" si="907"/>
        <v/>
      </c>
      <c r="M2667" s="22" t="str">
        <f t="shared" si="908"/>
        <v/>
      </c>
      <c r="N2667" s="72"/>
      <c r="O2667" s="16" t="str">
        <f t="shared" si="909"/>
        <v/>
      </c>
      <c r="P2667" s="16" t="str">
        <f t="shared" si="910"/>
        <v/>
      </c>
      <c r="Q2667" s="16" t="str">
        <f t="shared" si="911"/>
        <v/>
      </c>
      <c r="R2667" s="23" t="str">
        <f t="shared" si="912"/>
        <v/>
      </c>
      <c r="S2667" s="23" t="str">
        <f t="shared" si="913"/>
        <v/>
      </c>
      <c r="T2667" s="23" t="str">
        <f t="shared" si="914"/>
        <v/>
      </c>
      <c r="U2667" s="23" t="str">
        <f t="shared" si="915"/>
        <v/>
      </c>
      <c r="V2667" s="23" t="str">
        <f t="shared" si="916"/>
        <v/>
      </c>
      <c r="W2667" s="70" t="str">
        <f t="shared" si="917"/>
        <v/>
      </c>
      <c r="X2667" s="70" t="str">
        <f t="shared" si="918"/>
        <v/>
      </c>
      <c r="Y2667" s="70" t="str">
        <f>IF(AND($A2667&lt;&gt;"",$E2667&gt;0),isLaptopBag($C2667,$J2667)*$D2667,"")</f>
        <v/>
      </c>
      <c r="Z2667" s="70" t="str">
        <f t="shared" si="919"/>
        <v/>
      </c>
      <c r="AA2667" s="70" t="str">
        <f t="shared" si="920"/>
        <v/>
      </c>
      <c r="AB2667" s="70" t="str">
        <f t="shared" si="921"/>
        <v/>
      </c>
      <c r="AC2667" s="70" t="str">
        <f t="shared" si="922"/>
        <v/>
      </c>
      <c r="AD2667" s="70" t="str">
        <f t="shared" si="923"/>
        <v/>
      </c>
      <c r="AE2667" s="70" t="str">
        <f t="shared" si="924"/>
        <v/>
      </c>
      <c r="AF2667" s="16"/>
      <c r="AG2667" s="23"/>
      <c r="AH2667" s="22"/>
      <c r="AJ2667" s="83">
        <f t="shared" si="925"/>
        <v>0</v>
      </c>
      <c r="AO2667" s="22" t="str">
        <f t="shared" si="926"/>
        <v/>
      </c>
      <c r="AP2667" s="22" t="str">
        <f t="shared" si="927"/>
        <v/>
      </c>
    </row>
    <row r="2668" spans="1:42" x14ac:dyDescent="0.25">
      <c r="A2668" s="10"/>
      <c r="B2668" s="10"/>
      <c r="C2668" s="10"/>
      <c r="D2668" s="10"/>
      <c r="E2668" s="10"/>
      <c r="F2668" s="10"/>
      <c r="G2668" s="10"/>
      <c r="H2668" s="17"/>
      <c r="I2668" s="10"/>
      <c r="J2668" s="10"/>
      <c r="K2668" s="16" t="str">
        <f t="shared" si="906"/>
        <v/>
      </c>
      <c r="L2668" s="23" t="str">
        <f t="shared" si="907"/>
        <v/>
      </c>
      <c r="M2668" s="22" t="str">
        <f t="shared" si="908"/>
        <v/>
      </c>
      <c r="N2668" s="72"/>
      <c r="O2668" s="16" t="str">
        <f t="shared" si="909"/>
        <v/>
      </c>
      <c r="P2668" s="16" t="str">
        <f t="shared" si="910"/>
        <v/>
      </c>
      <c r="Q2668" s="16" t="str">
        <f t="shared" si="911"/>
        <v/>
      </c>
      <c r="R2668" s="23" t="str">
        <f t="shared" si="912"/>
        <v/>
      </c>
      <c r="S2668" s="23" t="str">
        <f t="shared" si="913"/>
        <v/>
      </c>
      <c r="T2668" s="23" t="str">
        <f t="shared" si="914"/>
        <v/>
      </c>
      <c r="U2668" s="23" t="str">
        <f t="shared" si="915"/>
        <v/>
      </c>
      <c r="V2668" s="23" t="str">
        <f t="shared" si="916"/>
        <v/>
      </c>
      <c r="W2668" s="70" t="str">
        <f t="shared" si="917"/>
        <v/>
      </c>
      <c r="X2668" s="70" t="str">
        <f t="shared" si="918"/>
        <v/>
      </c>
      <c r="Y2668" s="70" t="str">
        <f>IF(AND($A2668&lt;&gt;"",$E2668&gt;0),isLaptopBag($C2668,$J2668)*$D2668,"")</f>
        <v/>
      </c>
      <c r="Z2668" s="70" t="str">
        <f t="shared" si="919"/>
        <v/>
      </c>
      <c r="AA2668" s="70" t="str">
        <f t="shared" si="920"/>
        <v/>
      </c>
      <c r="AB2668" s="70" t="str">
        <f t="shared" si="921"/>
        <v/>
      </c>
      <c r="AC2668" s="70" t="str">
        <f t="shared" si="922"/>
        <v/>
      </c>
      <c r="AD2668" s="70" t="str">
        <f t="shared" si="923"/>
        <v/>
      </c>
      <c r="AE2668" s="70" t="str">
        <f t="shared" si="924"/>
        <v/>
      </c>
      <c r="AF2668" s="16"/>
      <c r="AG2668" s="23"/>
      <c r="AH2668" s="22"/>
      <c r="AJ2668" s="83">
        <f t="shared" si="925"/>
        <v>0</v>
      </c>
      <c r="AO2668" s="22" t="str">
        <f t="shared" si="926"/>
        <v/>
      </c>
      <c r="AP2668" s="22" t="str">
        <f t="shared" si="927"/>
        <v/>
      </c>
    </row>
    <row r="2669" spans="1:42" x14ac:dyDescent="0.25">
      <c r="A2669" s="10"/>
      <c r="B2669" s="10"/>
      <c r="C2669" s="10"/>
      <c r="D2669" s="10"/>
      <c r="E2669" s="10"/>
      <c r="F2669" s="10"/>
      <c r="G2669" s="10"/>
      <c r="H2669" s="17"/>
      <c r="I2669" s="10"/>
      <c r="J2669" s="10"/>
      <c r="K2669" s="16" t="str">
        <f t="shared" si="906"/>
        <v/>
      </c>
      <c r="L2669" s="23" t="str">
        <f t="shared" si="907"/>
        <v/>
      </c>
      <c r="M2669" s="22" t="str">
        <f t="shared" si="908"/>
        <v/>
      </c>
      <c r="N2669" s="72"/>
      <c r="O2669" s="16" t="str">
        <f t="shared" si="909"/>
        <v/>
      </c>
      <c r="P2669" s="16" t="str">
        <f t="shared" si="910"/>
        <v/>
      </c>
      <c r="Q2669" s="16" t="str">
        <f t="shared" si="911"/>
        <v/>
      </c>
      <c r="R2669" s="23" t="str">
        <f t="shared" si="912"/>
        <v/>
      </c>
      <c r="S2669" s="23" t="str">
        <f t="shared" si="913"/>
        <v/>
      </c>
      <c r="T2669" s="23" t="str">
        <f t="shared" si="914"/>
        <v/>
      </c>
      <c r="U2669" s="23" t="str">
        <f t="shared" si="915"/>
        <v/>
      </c>
      <c r="V2669" s="23" t="str">
        <f t="shared" si="916"/>
        <v/>
      </c>
      <c r="W2669" s="70" t="str">
        <f t="shared" si="917"/>
        <v/>
      </c>
      <c r="X2669" s="70" t="str">
        <f t="shared" si="918"/>
        <v/>
      </c>
      <c r="Y2669" s="70" t="str">
        <f>IF(AND($A2669&lt;&gt;"",$E2669&gt;0),isLaptopBag($C2669,$J2669)*$D2669,"")</f>
        <v/>
      </c>
      <c r="Z2669" s="70" t="str">
        <f t="shared" si="919"/>
        <v/>
      </c>
      <c r="AA2669" s="70" t="str">
        <f t="shared" si="920"/>
        <v/>
      </c>
      <c r="AB2669" s="70" t="str">
        <f t="shared" si="921"/>
        <v/>
      </c>
      <c r="AC2669" s="70" t="str">
        <f t="shared" si="922"/>
        <v/>
      </c>
      <c r="AD2669" s="70" t="str">
        <f t="shared" si="923"/>
        <v/>
      </c>
      <c r="AE2669" s="70" t="str">
        <f t="shared" si="924"/>
        <v/>
      </c>
      <c r="AF2669" s="16"/>
      <c r="AG2669" s="23"/>
      <c r="AH2669" s="22"/>
      <c r="AJ2669" s="83">
        <f t="shared" si="925"/>
        <v>0</v>
      </c>
      <c r="AO2669" s="22" t="str">
        <f t="shared" si="926"/>
        <v/>
      </c>
      <c r="AP2669" s="22" t="str">
        <f t="shared" si="927"/>
        <v/>
      </c>
    </row>
    <row r="2670" spans="1:42" x14ac:dyDescent="0.25">
      <c r="A2670" s="10"/>
      <c r="B2670" s="10"/>
      <c r="C2670" s="10"/>
      <c r="D2670" s="10"/>
      <c r="E2670" s="10"/>
      <c r="F2670" s="10"/>
      <c r="G2670" s="10"/>
      <c r="H2670" s="17"/>
      <c r="I2670" s="10"/>
      <c r="J2670" s="10"/>
      <c r="K2670" s="16" t="str">
        <f t="shared" si="906"/>
        <v/>
      </c>
      <c r="L2670" s="23" t="str">
        <f t="shared" si="907"/>
        <v/>
      </c>
      <c r="M2670" s="22" t="str">
        <f t="shared" si="908"/>
        <v/>
      </c>
      <c r="N2670" s="72"/>
      <c r="O2670" s="16" t="str">
        <f t="shared" si="909"/>
        <v/>
      </c>
      <c r="P2670" s="16" t="str">
        <f t="shared" si="910"/>
        <v/>
      </c>
      <c r="Q2670" s="16" t="str">
        <f t="shared" si="911"/>
        <v/>
      </c>
      <c r="R2670" s="23" t="str">
        <f t="shared" si="912"/>
        <v/>
      </c>
      <c r="S2670" s="23" t="str">
        <f t="shared" si="913"/>
        <v/>
      </c>
      <c r="T2670" s="23" t="str">
        <f t="shared" si="914"/>
        <v/>
      </c>
      <c r="U2670" s="23" t="str">
        <f t="shared" si="915"/>
        <v/>
      </c>
      <c r="V2670" s="23" t="str">
        <f t="shared" si="916"/>
        <v/>
      </c>
      <c r="W2670" s="70" t="str">
        <f t="shared" si="917"/>
        <v/>
      </c>
      <c r="X2670" s="70" t="str">
        <f t="shared" si="918"/>
        <v/>
      </c>
      <c r="Y2670" s="70" t="str">
        <f>IF(AND($A2670&lt;&gt;"",$E2670&gt;0),isLaptopBag($C2670,$J2670)*$D2670,"")</f>
        <v/>
      </c>
      <c r="Z2670" s="70" t="str">
        <f t="shared" si="919"/>
        <v/>
      </c>
      <c r="AA2670" s="70" t="str">
        <f t="shared" si="920"/>
        <v/>
      </c>
      <c r="AB2670" s="70" t="str">
        <f t="shared" si="921"/>
        <v/>
      </c>
      <c r="AC2670" s="70" t="str">
        <f t="shared" si="922"/>
        <v/>
      </c>
      <c r="AD2670" s="70" t="str">
        <f t="shared" si="923"/>
        <v/>
      </c>
      <c r="AE2670" s="70" t="str">
        <f t="shared" si="924"/>
        <v/>
      </c>
      <c r="AF2670" s="16"/>
      <c r="AG2670" s="23"/>
      <c r="AH2670" s="22"/>
      <c r="AJ2670" s="83">
        <f t="shared" si="925"/>
        <v>0</v>
      </c>
      <c r="AO2670" s="22" t="str">
        <f t="shared" si="926"/>
        <v/>
      </c>
      <c r="AP2670" s="22" t="str">
        <f t="shared" si="927"/>
        <v/>
      </c>
    </row>
    <row r="2671" spans="1:42" x14ac:dyDescent="0.25">
      <c r="A2671" s="10"/>
      <c r="B2671" s="10"/>
      <c r="C2671" s="10"/>
      <c r="D2671" s="10"/>
      <c r="E2671" s="10"/>
      <c r="F2671" s="10"/>
      <c r="G2671" s="10"/>
      <c r="H2671" s="17"/>
      <c r="I2671" s="10"/>
      <c r="J2671" s="10"/>
      <c r="K2671" s="16" t="str">
        <f t="shared" si="906"/>
        <v/>
      </c>
      <c r="L2671" s="23" t="str">
        <f t="shared" si="907"/>
        <v/>
      </c>
      <c r="M2671" s="22" t="str">
        <f t="shared" si="908"/>
        <v/>
      </c>
      <c r="N2671" s="72"/>
      <c r="O2671" s="16" t="str">
        <f t="shared" si="909"/>
        <v/>
      </c>
      <c r="P2671" s="16" t="str">
        <f t="shared" si="910"/>
        <v/>
      </c>
      <c r="Q2671" s="16" t="str">
        <f t="shared" si="911"/>
        <v/>
      </c>
      <c r="R2671" s="23" t="str">
        <f t="shared" si="912"/>
        <v/>
      </c>
      <c r="S2671" s="23" t="str">
        <f t="shared" si="913"/>
        <v/>
      </c>
      <c r="T2671" s="23" t="str">
        <f t="shared" si="914"/>
        <v/>
      </c>
      <c r="U2671" s="23" t="str">
        <f t="shared" si="915"/>
        <v/>
      </c>
      <c r="V2671" s="23" t="str">
        <f t="shared" si="916"/>
        <v/>
      </c>
      <c r="W2671" s="70" t="str">
        <f t="shared" si="917"/>
        <v/>
      </c>
      <c r="X2671" s="70" t="str">
        <f t="shared" si="918"/>
        <v/>
      </c>
      <c r="Y2671" s="70" t="str">
        <f>IF(AND($A2671&lt;&gt;"",$E2671&gt;0),isLaptopBag($C2671,$J2671)*$D2671,"")</f>
        <v/>
      </c>
      <c r="Z2671" s="70" t="str">
        <f t="shared" si="919"/>
        <v/>
      </c>
      <c r="AA2671" s="70" t="str">
        <f t="shared" si="920"/>
        <v/>
      </c>
      <c r="AB2671" s="70" t="str">
        <f t="shared" si="921"/>
        <v/>
      </c>
      <c r="AC2671" s="70" t="str">
        <f t="shared" si="922"/>
        <v/>
      </c>
      <c r="AD2671" s="70" t="str">
        <f t="shared" si="923"/>
        <v/>
      </c>
      <c r="AE2671" s="70" t="str">
        <f t="shared" si="924"/>
        <v/>
      </c>
      <c r="AF2671" s="16"/>
      <c r="AG2671" s="23"/>
      <c r="AH2671" s="22"/>
      <c r="AJ2671" s="83">
        <f t="shared" si="925"/>
        <v>0</v>
      </c>
      <c r="AO2671" s="22" t="str">
        <f t="shared" si="926"/>
        <v/>
      </c>
      <c r="AP2671" s="22" t="str">
        <f t="shared" si="927"/>
        <v/>
      </c>
    </row>
    <row r="2672" spans="1:42" x14ac:dyDescent="0.25">
      <c r="A2672" s="10"/>
      <c r="B2672" s="10"/>
      <c r="C2672" s="10"/>
      <c r="D2672" s="10"/>
      <c r="E2672" s="10"/>
      <c r="F2672" s="10"/>
      <c r="G2672" s="10"/>
      <c r="H2672" s="17"/>
      <c r="I2672" s="10"/>
      <c r="J2672" s="10"/>
      <c r="K2672" s="16" t="str">
        <f t="shared" si="906"/>
        <v/>
      </c>
      <c r="L2672" s="23" t="str">
        <f t="shared" si="907"/>
        <v/>
      </c>
      <c r="M2672" s="22" t="str">
        <f t="shared" si="908"/>
        <v/>
      </c>
      <c r="N2672" s="72"/>
      <c r="O2672" s="16" t="str">
        <f t="shared" si="909"/>
        <v/>
      </c>
      <c r="P2672" s="16" t="str">
        <f t="shared" si="910"/>
        <v/>
      </c>
      <c r="Q2672" s="16" t="str">
        <f t="shared" si="911"/>
        <v/>
      </c>
      <c r="R2672" s="23" t="str">
        <f t="shared" si="912"/>
        <v/>
      </c>
      <c r="S2672" s="23" t="str">
        <f t="shared" si="913"/>
        <v/>
      </c>
      <c r="T2672" s="23" t="str">
        <f t="shared" si="914"/>
        <v/>
      </c>
      <c r="U2672" s="23" t="str">
        <f t="shared" si="915"/>
        <v/>
      </c>
      <c r="V2672" s="23" t="str">
        <f t="shared" si="916"/>
        <v/>
      </c>
      <c r="W2672" s="70" t="str">
        <f t="shared" si="917"/>
        <v/>
      </c>
      <c r="X2672" s="70" t="str">
        <f t="shared" si="918"/>
        <v/>
      </c>
      <c r="Y2672" s="70" t="str">
        <f>IF(AND($A2672&lt;&gt;"",$E2672&gt;0),isLaptopBag($C2672,$J2672)*$D2672,"")</f>
        <v/>
      </c>
      <c r="Z2672" s="70" t="str">
        <f t="shared" si="919"/>
        <v/>
      </c>
      <c r="AA2672" s="70" t="str">
        <f t="shared" si="920"/>
        <v/>
      </c>
      <c r="AB2672" s="70" t="str">
        <f t="shared" si="921"/>
        <v/>
      </c>
      <c r="AC2672" s="70" t="str">
        <f t="shared" si="922"/>
        <v/>
      </c>
      <c r="AD2672" s="70" t="str">
        <f t="shared" si="923"/>
        <v/>
      </c>
      <c r="AE2672" s="70" t="str">
        <f t="shared" si="924"/>
        <v/>
      </c>
      <c r="AF2672" s="16"/>
      <c r="AG2672" s="23"/>
      <c r="AH2672" s="22"/>
      <c r="AJ2672" s="83">
        <f t="shared" si="925"/>
        <v>0</v>
      </c>
      <c r="AO2672" s="22" t="str">
        <f t="shared" si="926"/>
        <v/>
      </c>
      <c r="AP2672" s="22" t="str">
        <f t="shared" si="927"/>
        <v/>
      </c>
    </row>
    <row r="2673" spans="1:42" x14ac:dyDescent="0.25">
      <c r="A2673" s="10"/>
      <c r="B2673" s="10"/>
      <c r="C2673" s="10"/>
      <c r="D2673" s="10"/>
      <c r="E2673" s="10"/>
      <c r="F2673" s="10"/>
      <c r="G2673" s="10"/>
      <c r="H2673" s="17"/>
      <c r="I2673" s="10"/>
      <c r="J2673" s="10"/>
      <c r="K2673" s="16" t="str">
        <f t="shared" si="906"/>
        <v/>
      </c>
      <c r="L2673" s="23" t="str">
        <f t="shared" si="907"/>
        <v/>
      </c>
      <c r="M2673" s="22" t="str">
        <f t="shared" si="908"/>
        <v/>
      </c>
      <c r="N2673" s="72"/>
      <c r="O2673" s="16" t="str">
        <f t="shared" si="909"/>
        <v/>
      </c>
      <c r="P2673" s="16" t="str">
        <f t="shared" si="910"/>
        <v/>
      </c>
      <c r="Q2673" s="16" t="str">
        <f t="shared" si="911"/>
        <v/>
      </c>
      <c r="R2673" s="23" t="str">
        <f t="shared" si="912"/>
        <v/>
      </c>
      <c r="S2673" s="23" t="str">
        <f t="shared" si="913"/>
        <v/>
      </c>
      <c r="T2673" s="23" t="str">
        <f t="shared" si="914"/>
        <v/>
      </c>
      <c r="U2673" s="23" t="str">
        <f t="shared" si="915"/>
        <v/>
      </c>
      <c r="V2673" s="23" t="str">
        <f t="shared" si="916"/>
        <v/>
      </c>
      <c r="W2673" s="70" t="str">
        <f t="shared" si="917"/>
        <v/>
      </c>
      <c r="X2673" s="70" t="str">
        <f t="shared" si="918"/>
        <v/>
      </c>
      <c r="Y2673" s="70" t="str">
        <f>IF(AND($A2673&lt;&gt;"",$E2673&gt;0),isLaptopBag($C2673,$J2673)*$D2673,"")</f>
        <v/>
      </c>
      <c r="Z2673" s="70" t="str">
        <f t="shared" si="919"/>
        <v/>
      </c>
      <c r="AA2673" s="70" t="str">
        <f t="shared" si="920"/>
        <v/>
      </c>
      <c r="AB2673" s="70" t="str">
        <f t="shared" si="921"/>
        <v/>
      </c>
      <c r="AC2673" s="70" t="str">
        <f t="shared" si="922"/>
        <v/>
      </c>
      <c r="AD2673" s="70" t="str">
        <f t="shared" si="923"/>
        <v/>
      </c>
      <c r="AE2673" s="70" t="str">
        <f t="shared" si="924"/>
        <v/>
      </c>
      <c r="AF2673" s="16"/>
      <c r="AG2673" s="23"/>
      <c r="AH2673" s="22"/>
      <c r="AJ2673" s="83">
        <f t="shared" si="925"/>
        <v>0</v>
      </c>
      <c r="AO2673" s="22" t="str">
        <f t="shared" si="926"/>
        <v/>
      </c>
      <c r="AP2673" s="22" t="str">
        <f t="shared" si="927"/>
        <v/>
      </c>
    </row>
    <row r="2674" spans="1:42" x14ac:dyDescent="0.25">
      <c r="A2674" s="10"/>
      <c r="B2674" s="10"/>
      <c r="C2674" s="10"/>
      <c r="D2674" s="10"/>
      <c r="E2674" s="10"/>
      <c r="F2674" s="10"/>
      <c r="G2674" s="10"/>
      <c r="H2674" s="17"/>
      <c r="I2674" s="10"/>
      <c r="J2674" s="10"/>
      <c r="K2674" s="16" t="str">
        <f t="shared" si="906"/>
        <v/>
      </c>
      <c r="L2674" s="23" t="str">
        <f t="shared" si="907"/>
        <v/>
      </c>
      <c r="M2674" s="22" t="str">
        <f t="shared" si="908"/>
        <v/>
      </c>
      <c r="N2674" s="72"/>
      <c r="O2674" s="16" t="str">
        <f t="shared" si="909"/>
        <v/>
      </c>
      <c r="P2674" s="16" t="str">
        <f t="shared" si="910"/>
        <v/>
      </c>
      <c r="Q2674" s="16" t="str">
        <f t="shared" si="911"/>
        <v/>
      </c>
      <c r="R2674" s="23" t="str">
        <f t="shared" si="912"/>
        <v/>
      </c>
      <c r="S2674" s="23" t="str">
        <f t="shared" si="913"/>
        <v/>
      </c>
      <c r="T2674" s="23" t="str">
        <f t="shared" si="914"/>
        <v/>
      </c>
      <c r="U2674" s="23" t="str">
        <f t="shared" si="915"/>
        <v/>
      </c>
      <c r="V2674" s="23" t="str">
        <f t="shared" si="916"/>
        <v/>
      </c>
      <c r="W2674" s="70" t="str">
        <f t="shared" si="917"/>
        <v/>
      </c>
      <c r="X2674" s="70" t="str">
        <f t="shared" si="918"/>
        <v/>
      </c>
      <c r="Y2674" s="70" t="str">
        <f>IF(AND($A2674&lt;&gt;"",$E2674&gt;0),isLaptopBag($C2674,$J2674)*$D2674,"")</f>
        <v/>
      </c>
      <c r="Z2674" s="70" t="str">
        <f t="shared" si="919"/>
        <v/>
      </c>
      <c r="AA2674" s="70" t="str">
        <f t="shared" si="920"/>
        <v/>
      </c>
      <c r="AB2674" s="70" t="str">
        <f t="shared" si="921"/>
        <v/>
      </c>
      <c r="AC2674" s="70" t="str">
        <f t="shared" si="922"/>
        <v/>
      </c>
      <c r="AD2674" s="70" t="str">
        <f t="shared" si="923"/>
        <v/>
      </c>
      <c r="AE2674" s="70" t="str">
        <f t="shared" si="924"/>
        <v/>
      </c>
      <c r="AF2674" s="16"/>
      <c r="AG2674" s="23"/>
      <c r="AH2674" s="22"/>
      <c r="AJ2674" s="83">
        <f t="shared" si="925"/>
        <v>0</v>
      </c>
      <c r="AO2674" s="22" t="str">
        <f t="shared" si="926"/>
        <v/>
      </c>
      <c r="AP2674" s="22" t="str">
        <f t="shared" si="927"/>
        <v/>
      </c>
    </row>
    <row r="2675" spans="1:42" x14ac:dyDescent="0.25">
      <c r="A2675" s="10"/>
      <c r="B2675" s="10"/>
      <c r="C2675" s="10"/>
      <c r="D2675" s="10"/>
      <c r="E2675" s="10"/>
      <c r="F2675" s="10"/>
      <c r="G2675" s="10"/>
      <c r="H2675" s="17"/>
      <c r="I2675" s="10"/>
      <c r="J2675" s="10"/>
      <c r="K2675" s="16" t="str">
        <f t="shared" si="906"/>
        <v/>
      </c>
      <c r="L2675" s="23" t="str">
        <f t="shared" si="907"/>
        <v/>
      </c>
      <c r="M2675" s="22" t="str">
        <f t="shared" si="908"/>
        <v/>
      </c>
      <c r="N2675" s="72"/>
      <c r="O2675" s="16" t="str">
        <f t="shared" si="909"/>
        <v/>
      </c>
      <c r="P2675" s="16" t="str">
        <f t="shared" si="910"/>
        <v/>
      </c>
      <c r="Q2675" s="16" t="str">
        <f t="shared" si="911"/>
        <v/>
      </c>
      <c r="R2675" s="23" t="str">
        <f t="shared" si="912"/>
        <v/>
      </c>
      <c r="S2675" s="23" t="str">
        <f t="shared" si="913"/>
        <v/>
      </c>
      <c r="T2675" s="23" t="str">
        <f t="shared" si="914"/>
        <v/>
      </c>
      <c r="U2675" s="23" t="str">
        <f t="shared" si="915"/>
        <v/>
      </c>
      <c r="V2675" s="23" t="str">
        <f t="shared" si="916"/>
        <v/>
      </c>
      <c r="W2675" s="70" t="str">
        <f t="shared" si="917"/>
        <v/>
      </c>
      <c r="X2675" s="70" t="str">
        <f t="shared" si="918"/>
        <v/>
      </c>
      <c r="Y2675" s="70" t="str">
        <f>IF(AND($A2675&lt;&gt;"",$E2675&gt;0),isLaptopBag($C2675,$J2675)*$D2675,"")</f>
        <v/>
      </c>
      <c r="Z2675" s="70" t="str">
        <f t="shared" si="919"/>
        <v/>
      </c>
      <c r="AA2675" s="70" t="str">
        <f t="shared" si="920"/>
        <v/>
      </c>
      <c r="AB2675" s="70" t="str">
        <f t="shared" si="921"/>
        <v/>
      </c>
      <c r="AC2675" s="70" t="str">
        <f t="shared" si="922"/>
        <v/>
      </c>
      <c r="AD2675" s="70" t="str">
        <f t="shared" si="923"/>
        <v/>
      </c>
      <c r="AE2675" s="70" t="str">
        <f t="shared" si="924"/>
        <v/>
      </c>
      <c r="AF2675" s="16"/>
      <c r="AG2675" s="23"/>
      <c r="AH2675" s="22"/>
      <c r="AJ2675" s="83">
        <f t="shared" si="925"/>
        <v>0</v>
      </c>
      <c r="AO2675" s="22" t="str">
        <f t="shared" si="926"/>
        <v/>
      </c>
      <c r="AP2675" s="22" t="str">
        <f t="shared" si="927"/>
        <v/>
      </c>
    </row>
    <row r="2676" spans="1:42" x14ac:dyDescent="0.25">
      <c r="A2676" s="10"/>
      <c r="B2676" s="10"/>
      <c r="C2676" s="10"/>
      <c r="D2676" s="10"/>
      <c r="E2676" s="10"/>
      <c r="F2676" s="10"/>
      <c r="G2676" s="10"/>
      <c r="H2676" s="17"/>
      <c r="I2676" s="10"/>
      <c r="J2676" s="10"/>
      <c r="K2676" s="16" t="str">
        <f t="shared" si="906"/>
        <v/>
      </c>
      <c r="L2676" s="23" t="str">
        <f t="shared" si="907"/>
        <v/>
      </c>
      <c r="M2676" s="22" t="str">
        <f t="shared" si="908"/>
        <v/>
      </c>
      <c r="N2676" s="72"/>
      <c r="O2676" s="16" t="str">
        <f t="shared" si="909"/>
        <v/>
      </c>
      <c r="P2676" s="16" t="str">
        <f t="shared" si="910"/>
        <v/>
      </c>
      <c r="Q2676" s="16" t="str">
        <f t="shared" si="911"/>
        <v/>
      </c>
      <c r="R2676" s="23" t="str">
        <f t="shared" si="912"/>
        <v/>
      </c>
      <c r="S2676" s="23" t="str">
        <f t="shared" si="913"/>
        <v/>
      </c>
      <c r="T2676" s="23" t="str">
        <f t="shared" si="914"/>
        <v/>
      </c>
      <c r="U2676" s="23" t="str">
        <f t="shared" si="915"/>
        <v/>
      </c>
      <c r="V2676" s="23" t="str">
        <f t="shared" si="916"/>
        <v/>
      </c>
      <c r="W2676" s="70" t="str">
        <f t="shared" si="917"/>
        <v/>
      </c>
      <c r="X2676" s="70" t="str">
        <f t="shared" si="918"/>
        <v/>
      </c>
      <c r="Y2676" s="70" t="str">
        <f>IF(AND($A2676&lt;&gt;"",$E2676&gt;0),isLaptopBag($C2676,$J2676)*$D2676,"")</f>
        <v/>
      </c>
      <c r="Z2676" s="70" t="str">
        <f t="shared" si="919"/>
        <v/>
      </c>
      <c r="AA2676" s="70" t="str">
        <f t="shared" si="920"/>
        <v/>
      </c>
      <c r="AB2676" s="70" t="str">
        <f t="shared" si="921"/>
        <v/>
      </c>
      <c r="AC2676" s="70" t="str">
        <f t="shared" si="922"/>
        <v/>
      </c>
      <c r="AD2676" s="70" t="str">
        <f t="shared" si="923"/>
        <v/>
      </c>
      <c r="AE2676" s="70" t="str">
        <f t="shared" si="924"/>
        <v/>
      </c>
      <c r="AF2676" s="16"/>
      <c r="AG2676" s="23"/>
      <c r="AH2676" s="22"/>
      <c r="AJ2676" s="83">
        <f t="shared" si="925"/>
        <v>0</v>
      </c>
      <c r="AO2676" s="22" t="str">
        <f t="shared" si="926"/>
        <v/>
      </c>
      <c r="AP2676" s="22" t="str">
        <f t="shared" si="927"/>
        <v/>
      </c>
    </row>
    <row r="2677" spans="1:42" x14ac:dyDescent="0.25">
      <c r="A2677" s="10"/>
      <c r="B2677" s="10"/>
      <c r="C2677" s="10"/>
      <c r="D2677" s="10"/>
      <c r="E2677" s="10"/>
      <c r="F2677" s="10"/>
      <c r="G2677" s="10"/>
      <c r="H2677" s="17"/>
      <c r="I2677" s="10"/>
      <c r="J2677" s="10"/>
      <c r="K2677" s="16" t="str">
        <f t="shared" si="906"/>
        <v/>
      </c>
      <c r="L2677" s="23" t="str">
        <f t="shared" si="907"/>
        <v/>
      </c>
      <c r="M2677" s="22" t="str">
        <f t="shared" si="908"/>
        <v/>
      </c>
      <c r="N2677" s="72"/>
      <c r="O2677" s="16" t="str">
        <f t="shared" si="909"/>
        <v/>
      </c>
      <c r="P2677" s="16" t="str">
        <f t="shared" si="910"/>
        <v/>
      </c>
      <c r="Q2677" s="16" t="str">
        <f t="shared" si="911"/>
        <v/>
      </c>
      <c r="R2677" s="23" t="str">
        <f t="shared" si="912"/>
        <v/>
      </c>
      <c r="S2677" s="23" t="str">
        <f t="shared" si="913"/>
        <v/>
      </c>
      <c r="T2677" s="23" t="str">
        <f t="shared" si="914"/>
        <v/>
      </c>
      <c r="U2677" s="23" t="str">
        <f t="shared" si="915"/>
        <v/>
      </c>
      <c r="V2677" s="23" t="str">
        <f t="shared" si="916"/>
        <v/>
      </c>
      <c r="W2677" s="70" t="str">
        <f t="shared" si="917"/>
        <v/>
      </c>
      <c r="X2677" s="70" t="str">
        <f t="shared" si="918"/>
        <v/>
      </c>
      <c r="Y2677" s="70" t="str">
        <f>IF(AND($A2677&lt;&gt;"",$E2677&gt;0),isLaptopBag($C2677,$J2677)*$D2677,"")</f>
        <v/>
      </c>
      <c r="Z2677" s="70" t="str">
        <f t="shared" si="919"/>
        <v/>
      </c>
      <c r="AA2677" s="70" t="str">
        <f t="shared" si="920"/>
        <v/>
      </c>
      <c r="AB2677" s="70" t="str">
        <f t="shared" si="921"/>
        <v/>
      </c>
      <c r="AC2677" s="70" t="str">
        <f t="shared" si="922"/>
        <v/>
      </c>
      <c r="AD2677" s="70" t="str">
        <f t="shared" si="923"/>
        <v/>
      </c>
      <c r="AE2677" s="70" t="str">
        <f t="shared" si="924"/>
        <v/>
      </c>
      <c r="AF2677" s="16"/>
      <c r="AG2677" s="23"/>
      <c r="AH2677" s="22"/>
      <c r="AJ2677" s="83">
        <f t="shared" si="925"/>
        <v>0</v>
      </c>
      <c r="AO2677" s="22" t="str">
        <f t="shared" si="926"/>
        <v/>
      </c>
      <c r="AP2677" s="22" t="str">
        <f t="shared" si="927"/>
        <v/>
      </c>
    </row>
    <row r="2678" spans="1:42" x14ac:dyDescent="0.25">
      <c r="A2678" s="10"/>
      <c r="B2678" s="10"/>
      <c r="C2678" s="10"/>
      <c r="D2678" s="10"/>
      <c r="E2678" s="10"/>
      <c r="F2678" s="10"/>
      <c r="G2678" s="10"/>
      <c r="H2678" s="17"/>
      <c r="I2678" s="10"/>
      <c r="J2678" s="10"/>
      <c r="K2678" s="16" t="str">
        <f t="shared" si="906"/>
        <v/>
      </c>
      <c r="L2678" s="23" t="str">
        <f t="shared" si="907"/>
        <v/>
      </c>
      <c r="M2678" s="22" t="str">
        <f t="shared" si="908"/>
        <v/>
      </c>
      <c r="N2678" s="72"/>
      <c r="O2678" s="16" t="str">
        <f t="shared" si="909"/>
        <v/>
      </c>
      <c r="P2678" s="16" t="str">
        <f t="shared" si="910"/>
        <v/>
      </c>
      <c r="Q2678" s="16" t="str">
        <f t="shared" si="911"/>
        <v/>
      </c>
      <c r="R2678" s="23" t="str">
        <f t="shared" si="912"/>
        <v/>
      </c>
      <c r="S2678" s="23" t="str">
        <f t="shared" si="913"/>
        <v/>
      </c>
      <c r="T2678" s="23" t="str">
        <f t="shared" si="914"/>
        <v/>
      </c>
      <c r="U2678" s="23" t="str">
        <f t="shared" si="915"/>
        <v/>
      </c>
      <c r="V2678" s="23" t="str">
        <f t="shared" si="916"/>
        <v/>
      </c>
      <c r="W2678" s="70" t="str">
        <f t="shared" si="917"/>
        <v/>
      </c>
      <c r="X2678" s="70" t="str">
        <f t="shared" si="918"/>
        <v/>
      </c>
      <c r="Y2678" s="70" t="str">
        <f>IF(AND($A2678&lt;&gt;"",$E2678&gt;0),isLaptopBag($C2678,$J2678)*$D2678,"")</f>
        <v/>
      </c>
      <c r="Z2678" s="70" t="str">
        <f t="shared" si="919"/>
        <v/>
      </c>
      <c r="AA2678" s="70" t="str">
        <f t="shared" si="920"/>
        <v/>
      </c>
      <c r="AB2678" s="70" t="str">
        <f t="shared" si="921"/>
        <v/>
      </c>
      <c r="AC2678" s="70" t="str">
        <f t="shared" si="922"/>
        <v/>
      </c>
      <c r="AD2678" s="70" t="str">
        <f t="shared" si="923"/>
        <v/>
      </c>
      <c r="AE2678" s="70" t="str">
        <f t="shared" si="924"/>
        <v/>
      </c>
      <c r="AF2678" s="16"/>
      <c r="AG2678" s="23"/>
      <c r="AH2678" s="22"/>
      <c r="AJ2678" s="83">
        <f t="shared" si="925"/>
        <v>0</v>
      </c>
      <c r="AO2678" s="22" t="str">
        <f t="shared" si="926"/>
        <v/>
      </c>
      <c r="AP2678" s="22" t="str">
        <f t="shared" si="927"/>
        <v/>
      </c>
    </row>
    <row r="2679" spans="1:42" x14ac:dyDescent="0.25">
      <c r="A2679" s="10"/>
      <c r="B2679" s="10"/>
      <c r="C2679" s="10"/>
      <c r="D2679" s="10"/>
      <c r="E2679" s="10"/>
      <c r="F2679" s="10"/>
      <c r="G2679" s="10"/>
      <c r="H2679" s="17"/>
      <c r="I2679" s="10"/>
      <c r="J2679" s="10"/>
      <c r="K2679" s="16" t="str">
        <f t="shared" si="906"/>
        <v/>
      </c>
      <c r="L2679" s="23" t="str">
        <f t="shared" si="907"/>
        <v/>
      </c>
      <c r="M2679" s="22" t="str">
        <f t="shared" si="908"/>
        <v/>
      </c>
      <c r="N2679" s="72"/>
      <c r="O2679" s="16" t="str">
        <f t="shared" si="909"/>
        <v/>
      </c>
      <c r="P2679" s="16" t="str">
        <f t="shared" si="910"/>
        <v/>
      </c>
      <c r="Q2679" s="16" t="str">
        <f t="shared" si="911"/>
        <v/>
      </c>
      <c r="R2679" s="23" t="str">
        <f t="shared" si="912"/>
        <v/>
      </c>
      <c r="S2679" s="23" t="str">
        <f t="shared" si="913"/>
        <v/>
      </c>
      <c r="T2679" s="23" t="str">
        <f t="shared" si="914"/>
        <v/>
      </c>
      <c r="U2679" s="23" t="str">
        <f t="shared" si="915"/>
        <v/>
      </c>
      <c r="V2679" s="23" t="str">
        <f t="shared" si="916"/>
        <v/>
      </c>
      <c r="W2679" s="70" t="str">
        <f t="shared" si="917"/>
        <v/>
      </c>
      <c r="X2679" s="70" t="str">
        <f t="shared" si="918"/>
        <v/>
      </c>
      <c r="Y2679" s="70" t="str">
        <f>IF(AND($A2679&lt;&gt;"",$E2679&gt;0),isLaptopBag($C2679,$J2679)*$D2679,"")</f>
        <v/>
      </c>
      <c r="Z2679" s="70" t="str">
        <f t="shared" si="919"/>
        <v/>
      </c>
      <c r="AA2679" s="70" t="str">
        <f t="shared" si="920"/>
        <v/>
      </c>
      <c r="AB2679" s="70" t="str">
        <f t="shared" si="921"/>
        <v/>
      </c>
      <c r="AC2679" s="70" t="str">
        <f t="shared" si="922"/>
        <v/>
      </c>
      <c r="AD2679" s="70" t="str">
        <f t="shared" si="923"/>
        <v/>
      </c>
      <c r="AE2679" s="70" t="str">
        <f t="shared" si="924"/>
        <v/>
      </c>
      <c r="AF2679" s="16"/>
      <c r="AG2679" s="23"/>
      <c r="AH2679" s="22"/>
      <c r="AJ2679" s="83">
        <f t="shared" si="925"/>
        <v>0</v>
      </c>
      <c r="AO2679" s="22" t="str">
        <f t="shared" si="926"/>
        <v/>
      </c>
      <c r="AP2679" s="22" t="str">
        <f t="shared" si="927"/>
        <v/>
      </c>
    </row>
    <row r="2680" spans="1:42" x14ac:dyDescent="0.25">
      <c r="A2680" s="10"/>
      <c r="B2680" s="10"/>
      <c r="C2680" s="10"/>
      <c r="D2680" s="10"/>
      <c r="E2680" s="10"/>
      <c r="F2680" s="10"/>
      <c r="G2680" s="10"/>
      <c r="H2680" s="17"/>
      <c r="I2680" s="10"/>
      <c r="J2680" s="10"/>
      <c r="K2680" s="16" t="str">
        <f t="shared" si="906"/>
        <v/>
      </c>
      <c r="L2680" s="23" t="str">
        <f t="shared" si="907"/>
        <v/>
      </c>
      <c r="M2680" s="22" t="str">
        <f t="shared" si="908"/>
        <v/>
      </c>
      <c r="N2680" s="72"/>
      <c r="O2680" s="16" t="str">
        <f t="shared" si="909"/>
        <v/>
      </c>
      <c r="P2680" s="16" t="str">
        <f t="shared" si="910"/>
        <v/>
      </c>
      <c r="Q2680" s="16" t="str">
        <f t="shared" si="911"/>
        <v/>
      </c>
      <c r="R2680" s="23" t="str">
        <f t="shared" si="912"/>
        <v/>
      </c>
      <c r="S2680" s="23" t="str">
        <f t="shared" si="913"/>
        <v/>
      </c>
      <c r="T2680" s="23" t="str">
        <f t="shared" si="914"/>
        <v/>
      </c>
      <c r="U2680" s="23" t="str">
        <f t="shared" si="915"/>
        <v/>
      </c>
      <c r="V2680" s="23" t="str">
        <f t="shared" si="916"/>
        <v/>
      </c>
      <c r="W2680" s="70" t="str">
        <f t="shared" si="917"/>
        <v/>
      </c>
      <c r="X2680" s="70" t="str">
        <f t="shared" si="918"/>
        <v/>
      </c>
      <c r="Y2680" s="70" t="str">
        <f>IF(AND($A2680&lt;&gt;"",$E2680&gt;0),isLaptopBag($C2680,$J2680)*$D2680,"")</f>
        <v/>
      </c>
      <c r="Z2680" s="70" t="str">
        <f t="shared" si="919"/>
        <v/>
      </c>
      <c r="AA2680" s="70" t="str">
        <f t="shared" si="920"/>
        <v/>
      </c>
      <c r="AB2680" s="70" t="str">
        <f t="shared" si="921"/>
        <v/>
      </c>
      <c r="AC2680" s="70" t="str">
        <f t="shared" si="922"/>
        <v/>
      </c>
      <c r="AD2680" s="70" t="str">
        <f t="shared" si="923"/>
        <v/>
      </c>
      <c r="AE2680" s="70" t="str">
        <f t="shared" si="924"/>
        <v/>
      </c>
      <c r="AF2680" s="16"/>
      <c r="AG2680" s="23"/>
      <c r="AH2680" s="22"/>
      <c r="AJ2680" s="83">
        <f t="shared" si="925"/>
        <v>0</v>
      </c>
      <c r="AO2680" s="22" t="str">
        <f t="shared" si="926"/>
        <v/>
      </c>
      <c r="AP2680" s="22" t="str">
        <f t="shared" si="927"/>
        <v/>
      </c>
    </row>
    <row r="2681" spans="1:42" x14ac:dyDescent="0.25">
      <c r="A2681" s="10"/>
      <c r="B2681" s="10"/>
      <c r="C2681" s="10"/>
      <c r="D2681" s="10"/>
      <c r="E2681" s="10"/>
      <c r="F2681" s="10"/>
      <c r="G2681" s="10"/>
      <c r="H2681" s="17"/>
      <c r="I2681" s="10"/>
      <c r="J2681" s="10"/>
      <c r="K2681" s="16" t="str">
        <f t="shared" si="906"/>
        <v/>
      </c>
      <c r="L2681" s="23" t="str">
        <f t="shared" si="907"/>
        <v/>
      </c>
      <c r="M2681" s="22" t="str">
        <f t="shared" si="908"/>
        <v/>
      </c>
      <c r="N2681" s="72"/>
      <c r="O2681" s="16" t="str">
        <f t="shared" si="909"/>
        <v/>
      </c>
      <c r="P2681" s="16" t="str">
        <f t="shared" si="910"/>
        <v/>
      </c>
      <c r="Q2681" s="16" t="str">
        <f t="shared" si="911"/>
        <v/>
      </c>
      <c r="R2681" s="23" t="str">
        <f t="shared" si="912"/>
        <v/>
      </c>
      <c r="S2681" s="23" t="str">
        <f t="shared" si="913"/>
        <v/>
      </c>
      <c r="T2681" s="23" t="str">
        <f t="shared" si="914"/>
        <v/>
      </c>
      <c r="U2681" s="23" t="str">
        <f t="shared" si="915"/>
        <v/>
      </c>
      <c r="V2681" s="23" t="str">
        <f t="shared" si="916"/>
        <v/>
      </c>
      <c r="W2681" s="70" t="str">
        <f t="shared" si="917"/>
        <v/>
      </c>
      <c r="X2681" s="70" t="str">
        <f t="shared" si="918"/>
        <v/>
      </c>
      <c r="Y2681" s="70" t="str">
        <f>IF(AND($A2681&lt;&gt;"",$E2681&gt;0),isLaptopBag($C2681,$J2681)*$D2681,"")</f>
        <v/>
      </c>
      <c r="Z2681" s="70" t="str">
        <f t="shared" si="919"/>
        <v/>
      </c>
      <c r="AA2681" s="70" t="str">
        <f t="shared" si="920"/>
        <v/>
      </c>
      <c r="AB2681" s="70" t="str">
        <f t="shared" si="921"/>
        <v/>
      </c>
      <c r="AC2681" s="70" t="str">
        <f t="shared" si="922"/>
        <v/>
      </c>
      <c r="AD2681" s="70" t="str">
        <f t="shared" si="923"/>
        <v/>
      </c>
      <c r="AE2681" s="70" t="str">
        <f t="shared" si="924"/>
        <v/>
      </c>
      <c r="AF2681" s="16"/>
      <c r="AG2681" s="23"/>
      <c r="AH2681" s="22"/>
      <c r="AJ2681" s="83">
        <f t="shared" si="925"/>
        <v>0</v>
      </c>
      <c r="AO2681" s="22" t="str">
        <f t="shared" si="926"/>
        <v/>
      </c>
      <c r="AP2681" s="22" t="str">
        <f t="shared" si="927"/>
        <v/>
      </c>
    </row>
    <row r="2682" spans="1:42" x14ac:dyDescent="0.25">
      <c r="A2682" s="10"/>
      <c r="B2682" s="10"/>
      <c r="C2682" s="10"/>
      <c r="D2682" s="10"/>
      <c r="E2682" s="10"/>
      <c r="F2682" s="10"/>
      <c r="G2682" s="10"/>
      <c r="H2682" s="17"/>
      <c r="I2682" s="10"/>
      <c r="J2682" s="10"/>
      <c r="K2682" s="16" t="str">
        <f t="shared" si="906"/>
        <v/>
      </c>
      <c r="L2682" s="23" t="str">
        <f t="shared" si="907"/>
        <v/>
      </c>
      <c r="M2682" s="22" t="str">
        <f t="shared" si="908"/>
        <v/>
      </c>
      <c r="N2682" s="72"/>
      <c r="O2682" s="16" t="str">
        <f t="shared" si="909"/>
        <v/>
      </c>
      <c r="P2682" s="16" t="str">
        <f t="shared" si="910"/>
        <v/>
      </c>
      <c r="Q2682" s="16" t="str">
        <f t="shared" si="911"/>
        <v/>
      </c>
      <c r="R2682" s="23" t="str">
        <f t="shared" si="912"/>
        <v/>
      </c>
      <c r="S2682" s="23" t="str">
        <f t="shared" si="913"/>
        <v/>
      </c>
      <c r="T2682" s="23" t="str">
        <f t="shared" si="914"/>
        <v/>
      </c>
      <c r="U2682" s="23" t="str">
        <f t="shared" si="915"/>
        <v/>
      </c>
      <c r="V2682" s="23" t="str">
        <f t="shared" si="916"/>
        <v/>
      </c>
      <c r="W2682" s="70" t="str">
        <f t="shared" si="917"/>
        <v/>
      </c>
      <c r="X2682" s="70" t="str">
        <f t="shared" si="918"/>
        <v/>
      </c>
      <c r="Y2682" s="70" t="str">
        <f>IF(AND($A2682&lt;&gt;"",$E2682&gt;0),isLaptopBag($C2682,$J2682)*$D2682,"")</f>
        <v/>
      </c>
      <c r="Z2682" s="70" t="str">
        <f t="shared" si="919"/>
        <v/>
      </c>
      <c r="AA2682" s="70" t="str">
        <f t="shared" si="920"/>
        <v/>
      </c>
      <c r="AB2682" s="70" t="str">
        <f t="shared" si="921"/>
        <v/>
      </c>
      <c r="AC2682" s="70" t="str">
        <f t="shared" si="922"/>
        <v/>
      </c>
      <c r="AD2682" s="70" t="str">
        <f t="shared" si="923"/>
        <v/>
      </c>
      <c r="AE2682" s="70" t="str">
        <f t="shared" si="924"/>
        <v/>
      </c>
      <c r="AF2682" s="16"/>
      <c r="AG2682" s="23"/>
      <c r="AH2682" s="22"/>
      <c r="AJ2682" s="83">
        <f t="shared" si="925"/>
        <v>0</v>
      </c>
      <c r="AO2682" s="22" t="str">
        <f t="shared" si="926"/>
        <v/>
      </c>
      <c r="AP2682" s="22" t="str">
        <f t="shared" si="927"/>
        <v/>
      </c>
    </row>
    <row r="2683" spans="1:42" x14ac:dyDescent="0.25">
      <c r="A2683" s="10"/>
      <c r="B2683" s="10"/>
      <c r="C2683" s="10"/>
      <c r="D2683" s="10"/>
      <c r="E2683" s="10"/>
      <c r="F2683" s="10"/>
      <c r="G2683" s="10"/>
      <c r="H2683" s="17"/>
      <c r="I2683" s="10"/>
      <c r="J2683" s="10"/>
      <c r="K2683" s="16" t="str">
        <f t="shared" si="906"/>
        <v/>
      </c>
      <c r="L2683" s="23" t="str">
        <f t="shared" si="907"/>
        <v/>
      </c>
      <c r="M2683" s="22" t="str">
        <f t="shared" si="908"/>
        <v/>
      </c>
      <c r="N2683" s="72"/>
      <c r="O2683" s="16" t="str">
        <f t="shared" si="909"/>
        <v/>
      </c>
      <c r="P2683" s="16" t="str">
        <f t="shared" si="910"/>
        <v/>
      </c>
      <c r="Q2683" s="16" t="str">
        <f t="shared" si="911"/>
        <v/>
      </c>
      <c r="R2683" s="23" t="str">
        <f t="shared" si="912"/>
        <v/>
      </c>
      <c r="S2683" s="23" t="str">
        <f t="shared" si="913"/>
        <v/>
      </c>
      <c r="T2683" s="23" t="str">
        <f t="shared" si="914"/>
        <v/>
      </c>
      <c r="U2683" s="23" t="str">
        <f t="shared" si="915"/>
        <v/>
      </c>
      <c r="V2683" s="23" t="str">
        <f t="shared" si="916"/>
        <v/>
      </c>
      <c r="W2683" s="70" t="str">
        <f t="shared" si="917"/>
        <v/>
      </c>
      <c r="X2683" s="70" t="str">
        <f t="shared" si="918"/>
        <v/>
      </c>
      <c r="Y2683" s="70" t="str">
        <f>IF(AND($A2683&lt;&gt;"",$E2683&gt;0),isLaptopBag($C2683,$J2683)*$D2683,"")</f>
        <v/>
      </c>
      <c r="Z2683" s="70" t="str">
        <f t="shared" si="919"/>
        <v/>
      </c>
      <c r="AA2683" s="70" t="str">
        <f t="shared" si="920"/>
        <v/>
      </c>
      <c r="AB2683" s="70" t="str">
        <f t="shared" si="921"/>
        <v/>
      </c>
      <c r="AC2683" s="70" t="str">
        <f t="shared" si="922"/>
        <v/>
      </c>
      <c r="AD2683" s="70" t="str">
        <f t="shared" si="923"/>
        <v/>
      </c>
      <c r="AE2683" s="70" t="str">
        <f t="shared" si="924"/>
        <v/>
      </c>
      <c r="AF2683" s="16"/>
      <c r="AG2683" s="23"/>
      <c r="AH2683" s="22"/>
      <c r="AJ2683" s="83">
        <f t="shared" si="925"/>
        <v>0</v>
      </c>
      <c r="AO2683" s="22" t="str">
        <f t="shared" si="926"/>
        <v/>
      </c>
      <c r="AP2683" s="22" t="str">
        <f t="shared" si="927"/>
        <v/>
      </c>
    </row>
    <row r="2684" spans="1:42" x14ac:dyDescent="0.25">
      <c r="A2684" s="10"/>
      <c r="B2684" s="10"/>
      <c r="C2684" s="10"/>
      <c r="D2684" s="10"/>
      <c r="E2684" s="10"/>
      <c r="F2684" s="10"/>
      <c r="G2684" s="10"/>
      <c r="H2684" s="17"/>
      <c r="I2684" s="10"/>
      <c r="J2684" s="10"/>
      <c r="K2684" s="16" t="str">
        <f t="shared" si="906"/>
        <v/>
      </c>
      <c r="L2684" s="23" t="str">
        <f t="shared" si="907"/>
        <v/>
      </c>
      <c r="M2684" s="22" t="str">
        <f t="shared" si="908"/>
        <v/>
      </c>
      <c r="N2684" s="72"/>
      <c r="O2684" s="16" t="str">
        <f t="shared" si="909"/>
        <v/>
      </c>
      <c r="P2684" s="16" t="str">
        <f t="shared" si="910"/>
        <v/>
      </c>
      <c r="Q2684" s="16" t="str">
        <f t="shared" si="911"/>
        <v/>
      </c>
      <c r="R2684" s="23" t="str">
        <f t="shared" si="912"/>
        <v/>
      </c>
      <c r="S2684" s="23" t="str">
        <f t="shared" si="913"/>
        <v/>
      </c>
      <c r="T2684" s="23" t="str">
        <f t="shared" si="914"/>
        <v/>
      </c>
      <c r="U2684" s="23" t="str">
        <f t="shared" si="915"/>
        <v/>
      </c>
      <c r="V2684" s="23" t="str">
        <f t="shared" si="916"/>
        <v/>
      </c>
      <c r="W2684" s="70" t="str">
        <f t="shared" si="917"/>
        <v/>
      </c>
      <c r="X2684" s="70" t="str">
        <f t="shared" si="918"/>
        <v/>
      </c>
      <c r="Y2684" s="70" t="str">
        <f>IF(AND($A2684&lt;&gt;"",$E2684&gt;0),isLaptopBag($C2684,$J2684)*$D2684,"")</f>
        <v/>
      </c>
      <c r="Z2684" s="70" t="str">
        <f t="shared" si="919"/>
        <v/>
      </c>
      <c r="AA2684" s="70" t="str">
        <f t="shared" si="920"/>
        <v/>
      </c>
      <c r="AB2684" s="70" t="str">
        <f t="shared" si="921"/>
        <v/>
      </c>
      <c r="AC2684" s="70" t="str">
        <f t="shared" si="922"/>
        <v/>
      </c>
      <c r="AD2684" s="70" t="str">
        <f t="shared" si="923"/>
        <v/>
      </c>
      <c r="AE2684" s="70" t="str">
        <f t="shared" si="924"/>
        <v/>
      </c>
      <c r="AF2684" s="16"/>
      <c r="AG2684" s="23"/>
      <c r="AH2684" s="22"/>
      <c r="AJ2684" s="83">
        <f t="shared" si="925"/>
        <v>0</v>
      </c>
      <c r="AO2684" s="22" t="str">
        <f t="shared" si="926"/>
        <v/>
      </c>
      <c r="AP2684" s="22" t="str">
        <f t="shared" si="927"/>
        <v/>
      </c>
    </row>
    <row r="2685" spans="1:42" x14ac:dyDescent="0.25">
      <c r="A2685" s="10"/>
      <c r="B2685" s="10"/>
      <c r="C2685" s="10"/>
      <c r="D2685" s="10"/>
      <c r="E2685" s="10"/>
      <c r="F2685" s="10"/>
      <c r="G2685" s="10"/>
      <c r="H2685" s="17"/>
      <c r="I2685" s="10"/>
      <c r="J2685" s="10"/>
      <c r="K2685" s="16" t="str">
        <f t="shared" si="906"/>
        <v/>
      </c>
      <c r="L2685" s="23" t="str">
        <f t="shared" si="907"/>
        <v/>
      </c>
      <c r="M2685" s="22" t="str">
        <f t="shared" si="908"/>
        <v/>
      </c>
      <c r="N2685" s="72"/>
      <c r="O2685" s="16" t="str">
        <f t="shared" si="909"/>
        <v/>
      </c>
      <c r="P2685" s="16" t="str">
        <f t="shared" si="910"/>
        <v/>
      </c>
      <c r="Q2685" s="16" t="str">
        <f t="shared" si="911"/>
        <v/>
      </c>
      <c r="R2685" s="23" t="str">
        <f t="shared" si="912"/>
        <v/>
      </c>
      <c r="S2685" s="23" t="str">
        <f t="shared" si="913"/>
        <v/>
      </c>
      <c r="T2685" s="23" t="str">
        <f t="shared" si="914"/>
        <v/>
      </c>
      <c r="U2685" s="23" t="str">
        <f t="shared" si="915"/>
        <v/>
      </c>
      <c r="V2685" s="23" t="str">
        <f t="shared" si="916"/>
        <v/>
      </c>
      <c r="W2685" s="70" t="str">
        <f t="shared" si="917"/>
        <v/>
      </c>
      <c r="X2685" s="70" t="str">
        <f t="shared" si="918"/>
        <v/>
      </c>
      <c r="Y2685" s="70" t="str">
        <f>IF(AND($A2685&lt;&gt;"",$E2685&gt;0),isLaptopBag($C2685,$J2685)*$D2685,"")</f>
        <v/>
      </c>
      <c r="Z2685" s="70" t="str">
        <f t="shared" si="919"/>
        <v/>
      </c>
      <c r="AA2685" s="70" t="str">
        <f t="shared" si="920"/>
        <v/>
      </c>
      <c r="AB2685" s="70" t="str">
        <f t="shared" si="921"/>
        <v/>
      </c>
      <c r="AC2685" s="70" t="str">
        <f t="shared" si="922"/>
        <v/>
      </c>
      <c r="AD2685" s="70" t="str">
        <f t="shared" si="923"/>
        <v/>
      </c>
      <c r="AE2685" s="70" t="str">
        <f t="shared" si="924"/>
        <v/>
      </c>
      <c r="AF2685" s="16"/>
      <c r="AG2685" s="23"/>
      <c r="AH2685" s="22"/>
      <c r="AJ2685" s="83">
        <f t="shared" si="925"/>
        <v>0</v>
      </c>
      <c r="AO2685" s="22" t="str">
        <f t="shared" si="926"/>
        <v/>
      </c>
      <c r="AP2685" s="22" t="str">
        <f t="shared" si="927"/>
        <v/>
      </c>
    </row>
    <row r="2686" spans="1:42" x14ac:dyDescent="0.25">
      <c r="A2686" s="10"/>
      <c r="B2686" s="10"/>
      <c r="C2686" s="10"/>
      <c r="D2686" s="10"/>
      <c r="E2686" s="10"/>
      <c r="F2686" s="10"/>
      <c r="G2686" s="10"/>
      <c r="H2686" s="17"/>
      <c r="I2686" s="10"/>
      <c r="J2686" s="10"/>
      <c r="K2686" s="16" t="str">
        <f t="shared" si="906"/>
        <v/>
      </c>
      <c r="L2686" s="23" t="str">
        <f t="shared" si="907"/>
        <v/>
      </c>
      <c r="M2686" s="22" t="str">
        <f t="shared" si="908"/>
        <v/>
      </c>
      <c r="N2686" s="72"/>
      <c r="O2686" s="16" t="str">
        <f t="shared" si="909"/>
        <v/>
      </c>
      <c r="P2686" s="16" t="str">
        <f t="shared" si="910"/>
        <v/>
      </c>
      <c r="Q2686" s="16" t="str">
        <f t="shared" si="911"/>
        <v/>
      </c>
      <c r="R2686" s="23" t="str">
        <f t="shared" si="912"/>
        <v/>
      </c>
      <c r="S2686" s="23" t="str">
        <f t="shared" si="913"/>
        <v/>
      </c>
      <c r="T2686" s="23" t="str">
        <f t="shared" si="914"/>
        <v/>
      </c>
      <c r="U2686" s="23" t="str">
        <f t="shared" si="915"/>
        <v/>
      </c>
      <c r="V2686" s="23" t="str">
        <f t="shared" si="916"/>
        <v/>
      </c>
      <c r="W2686" s="70" t="str">
        <f t="shared" si="917"/>
        <v/>
      </c>
      <c r="X2686" s="70" t="str">
        <f t="shared" si="918"/>
        <v/>
      </c>
      <c r="Y2686" s="70" t="str">
        <f>IF(AND($A2686&lt;&gt;"",$E2686&gt;0),isLaptopBag($C2686,$J2686)*$D2686,"")</f>
        <v/>
      </c>
      <c r="Z2686" s="70" t="str">
        <f t="shared" si="919"/>
        <v/>
      </c>
      <c r="AA2686" s="70" t="str">
        <f t="shared" si="920"/>
        <v/>
      </c>
      <c r="AB2686" s="70" t="str">
        <f t="shared" si="921"/>
        <v/>
      </c>
      <c r="AC2686" s="70" t="str">
        <f t="shared" si="922"/>
        <v/>
      </c>
      <c r="AD2686" s="70" t="str">
        <f t="shared" si="923"/>
        <v/>
      </c>
      <c r="AE2686" s="70" t="str">
        <f t="shared" si="924"/>
        <v/>
      </c>
      <c r="AF2686" s="16"/>
      <c r="AG2686" s="23"/>
      <c r="AH2686" s="22"/>
      <c r="AJ2686" s="83">
        <f t="shared" si="925"/>
        <v>0</v>
      </c>
      <c r="AO2686" s="22" t="str">
        <f t="shared" si="926"/>
        <v/>
      </c>
      <c r="AP2686" s="22" t="str">
        <f t="shared" si="927"/>
        <v/>
      </c>
    </row>
    <row r="2687" spans="1:42" x14ac:dyDescent="0.25">
      <c r="A2687" s="10"/>
      <c r="B2687" s="10"/>
      <c r="C2687" s="10"/>
      <c r="D2687" s="10"/>
      <c r="E2687" s="10"/>
      <c r="F2687" s="10"/>
      <c r="G2687" s="10"/>
      <c r="H2687" s="17"/>
      <c r="I2687" s="10"/>
      <c r="J2687" s="10"/>
      <c r="K2687" s="16" t="str">
        <f t="shared" si="906"/>
        <v/>
      </c>
      <c r="L2687" s="23" t="str">
        <f t="shared" si="907"/>
        <v/>
      </c>
      <c r="M2687" s="22" t="str">
        <f t="shared" si="908"/>
        <v/>
      </c>
      <c r="N2687" s="72"/>
      <c r="O2687" s="16" t="str">
        <f t="shared" si="909"/>
        <v/>
      </c>
      <c r="P2687" s="16" t="str">
        <f t="shared" si="910"/>
        <v/>
      </c>
      <c r="Q2687" s="16" t="str">
        <f t="shared" si="911"/>
        <v/>
      </c>
      <c r="R2687" s="23" t="str">
        <f t="shared" si="912"/>
        <v/>
      </c>
      <c r="S2687" s="23" t="str">
        <f t="shared" si="913"/>
        <v/>
      </c>
      <c r="T2687" s="23" t="str">
        <f t="shared" si="914"/>
        <v/>
      </c>
      <c r="U2687" s="23" t="str">
        <f t="shared" si="915"/>
        <v/>
      </c>
      <c r="V2687" s="23" t="str">
        <f t="shared" si="916"/>
        <v/>
      </c>
      <c r="W2687" s="70" t="str">
        <f t="shared" si="917"/>
        <v/>
      </c>
      <c r="X2687" s="70" t="str">
        <f t="shared" si="918"/>
        <v/>
      </c>
      <c r="Y2687" s="70" t="str">
        <f>IF(AND($A2687&lt;&gt;"",$E2687&gt;0),isLaptopBag($C2687,$J2687)*$D2687,"")</f>
        <v/>
      </c>
      <c r="Z2687" s="70" t="str">
        <f t="shared" si="919"/>
        <v/>
      </c>
      <c r="AA2687" s="70" t="str">
        <f t="shared" si="920"/>
        <v/>
      </c>
      <c r="AB2687" s="70" t="str">
        <f t="shared" si="921"/>
        <v/>
      </c>
      <c r="AC2687" s="70" t="str">
        <f t="shared" si="922"/>
        <v/>
      </c>
      <c r="AD2687" s="70" t="str">
        <f t="shared" si="923"/>
        <v/>
      </c>
      <c r="AE2687" s="70" t="str">
        <f t="shared" si="924"/>
        <v/>
      </c>
      <c r="AF2687" s="16"/>
      <c r="AG2687" s="23"/>
      <c r="AH2687" s="22"/>
      <c r="AJ2687" s="83">
        <f t="shared" si="925"/>
        <v>0</v>
      </c>
      <c r="AO2687" s="22" t="str">
        <f t="shared" si="926"/>
        <v/>
      </c>
      <c r="AP2687" s="22" t="str">
        <f t="shared" si="927"/>
        <v/>
      </c>
    </row>
    <row r="2688" spans="1:42" x14ac:dyDescent="0.25">
      <c r="A2688" s="10"/>
      <c r="B2688" s="10"/>
      <c r="C2688" s="10"/>
      <c r="D2688" s="10"/>
      <c r="E2688" s="10"/>
      <c r="F2688" s="10"/>
      <c r="G2688" s="10"/>
      <c r="H2688" s="17"/>
      <c r="I2688" s="10"/>
      <c r="J2688" s="10"/>
      <c r="K2688" s="16" t="str">
        <f t="shared" si="906"/>
        <v/>
      </c>
      <c r="L2688" s="23" t="str">
        <f t="shared" si="907"/>
        <v/>
      </c>
      <c r="M2688" s="22" t="str">
        <f t="shared" si="908"/>
        <v/>
      </c>
      <c r="N2688" s="72"/>
      <c r="O2688" s="16" t="str">
        <f t="shared" si="909"/>
        <v/>
      </c>
      <c r="P2688" s="16" t="str">
        <f t="shared" si="910"/>
        <v/>
      </c>
      <c r="Q2688" s="16" t="str">
        <f t="shared" si="911"/>
        <v/>
      </c>
      <c r="R2688" s="23" t="str">
        <f t="shared" si="912"/>
        <v/>
      </c>
      <c r="S2688" s="23" t="str">
        <f t="shared" si="913"/>
        <v/>
      </c>
      <c r="T2688" s="23" t="str">
        <f t="shared" si="914"/>
        <v/>
      </c>
      <c r="U2688" s="23" t="str">
        <f t="shared" si="915"/>
        <v/>
      </c>
      <c r="V2688" s="23" t="str">
        <f t="shared" si="916"/>
        <v/>
      </c>
      <c r="W2688" s="70" t="str">
        <f t="shared" si="917"/>
        <v/>
      </c>
      <c r="X2688" s="70" t="str">
        <f t="shared" si="918"/>
        <v/>
      </c>
      <c r="Y2688" s="70" t="str">
        <f>IF(AND($A2688&lt;&gt;"",$E2688&gt;0),isLaptopBag($C2688,$J2688)*$D2688,"")</f>
        <v/>
      </c>
      <c r="Z2688" s="70" t="str">
        <f t="shared" si="919"/>
        <v/>
      </c>
      <c r="AA2688" s="70" t="str">
        <f t="shared" si="920"/>
        <v/>
      </c>
      <c r="AB2688" s="70" t="str">
        <f t="shared" si="921"/>
        <v/>
      </c>
      <c r="AC2688" s="70" t="str">
        <f t="shared" si="922"/>
        <v/>
      </c>
      <c r="AD2688" s="70" t="str">
        <f t="shared" si="923"/>
        <v/>
      </c>
      <c r="AE2688" s="70" t="str">
        <f t="shared" si="924"/>
        <v/>
      </c>
      <c r="AF2688" s="16"/>
      <c r="AG2688" s="23"/>
      <c r="AH2688" s="22"/>
      <c r="AJ2688" s="83">
        <f t="shared" si="925"/>
        <v>0</v>
      </c>
      <c r="AO2688" s="22" t="str">
        <f t="shared" si="926"/>
        <v/>
      </c>
      <c r="AP2688" s="22" t="str">
        <f t="shared" si="927"/>
        <v/>
      </c>
    </row>
    <row r="2689" spans="1:42" x14ac:dyDescent="0.25">
      <c r="A2689" s="10"/>
      <c r="B2689" s="10"/>
      <c r="C2689" s="10"/>
      <c r="D2689" s="10"/>
      <c r="E2689" s="10"/>
      <c r="F2689" s="10"/>
      <c r="G2689" s="10"/>
      <c r="H2689" s="17"/>
      <c r="I2689" s="10"/>
      <c r="J2689" s="10"/>
      <c r="K2689" s="16" t="str">
        <f t="shared" si="906"/>
        <v/>
      </c>
      <c r="L2689" s="23" t="str">
        <f t="shared" si="907"/>
        <v/>
      </c>
      <c r="M2689" s="22" t="str">
        <f t="shared" si="908"/>
        <v/>
      </c>
      <c r="N2689" s="72"/>
      <c r="O2689" s="16" t="str">
        <f t="shared" si="909"/>
        <v/>
      </c>
      <c r="P2689" s="16" t="str">
        <f t="shared" si="910"/>
        <v/>
      </c>
      <c r="Q2689" s="16" t="str">
        <f t="shared" si="911"/>
        <v/>
      </c>
      <c r="R2689" s="23" t="str">
        <f t="shared" si="912"/>
        <v/>
      </c>
      <c r="S2689" s="23" t="str">
        <f t="shared" si="913"/>
        <v/>
      </c>
      <c r="T2689" s="23" t="str">
        <f t="shared" si="914"/>
        <v/>
      </c>
      <c r="U2689" s="23" t="str">
        <f t="shared" si="915"/>
        <v/>
      </c>
      <c r="V2689" s="23" t="str">
        <f t="shared" si="916"/>
        <v/>
      </c>
      <c r="W2689" s="70" t="str">
        <f t="shared" si="917"/>
        <v/>
      </c>
      <c r="X2689" s="70" t="str">
        <f t="shared" si="918"/>
        <v/>
      </c>
      <c r="Y2689" s="70" t="str">
        <f>IF(AND($A2689&lt;&gt;"",$E2689&gt;0),isLaptopBag($C2689,$J2689)*$D2689,"")</f>
        <v/>
      </c>
      <c r="Z2689" s="70" t="str">
        <f t="shared" si="919"/>
        <v/>
      </c>
      <c r="AA2689" s="70" t="str">
        <f t="shared" si="920"/>
        <v/>
      </c>
      <c r="AB2689" s="70" t="str">
        <f t="shared" si="921"/>
        <v/>
      </c>
      <c r="AC2689" s="70" t="str">
        <f t="shared" si="922"/>
        <v/>
      </c>
      <c r="AD2689" s="70" t="str">
        <f t="shared" si="923"/>
        <v/>
      </c>
      <c r="AE2689" s="70" t="str">
        <f t="shared" si="924"/>
        <v/>
      </c>
      <c r="AF2689" s="16"/>
      <c r="AG2689" s="23"/>
      <c r="AH2689" s="22"/>
      <c r="AJ2689" s="83">
        <f t="shared" si="925"/>
        <v>0</v>
      </c>
      <c r="AO2689" s="22" t="str">
        <f t="shared" si="926"/>
        <v/>
      </c>
      <c r="AP2689" s="22" t="str">
        <f t="shared" si="927"/>
        <v/>
      </c>
    </row>
    <row r="2690" spans="1:42" x14ac:dyDescent="0.25">
      <c r="A2690" s="10"/>
      <c r="B2690" s="10"/>
      <c r="C2690" s="10"/>
      <c r="D2690" s="10"/>
      <c r="E2690" s="10"/>
      <c r="F2690" s="10"/>
      <c r="G2690" s="10"/>
      <c r="H2690" s="17"/>
      <c r="I2690" s="10"/>
      <c r="J2690" s="10"/>
      <c r="K2690" s="16" t="str">
        <f t="shared" si="906"/>
        <v/>
      </c>
      <c r="L2690" s="23" t="str">
        <f t="shared" si="907"/>
        <v/>
      </c>
      <c r="M2690" s="22" t="str">
        <f t="shared" si="908"/>
        <v/>
      </c>
      <c r="N2690" s="72"/>
      <c r="O2690" s="16" t="str">
        <f t="shared" si="909"/>
        <v/>
      </c>
      <c r="P2690" s="16" t="str">
        <f t="shared" si="910"/>
        <v/>
      </c>
      <c r="Q2690" s="16" t="str">
        <f t="shared" si="911"/>
        <v/>
      </c>
      <c r="R2690" s="23" t="str">
        <f t="shared" si="912"/>
        <v/>
      </c>
      <c r="S2690" s="23" t="str">
        <f t="shared" si="913"/>
        <v/>
      </c>
      <c r="T2690" s="23" t="str">
        <f t="shared" si="914"/>
        <v/>
      </c>
      <c r="U2690" s="23" t="str">
        <f t="shared" si="915"/>
        <v/>
      </c>
      <c r="V2690" s="23" t="str">
        <f t="shared" si="916"/>
        <v/>
      </c>
      <c r="W2690" s="70" t="str">
        <f t="shared" si="917"/>
        <v/>
      </c>
      <c r="X2690" s="70" t="str">
        <f t="shared" si="918"/>
        <v/>
      </c>
      <c r="Y2690" s="70" t="str">
        <f>IF(AND($A2690&lt;&gt;"",$E2690&gt;0),isLaptopBag($C2690,$J2690)*$D2690,"")</f>
        <v/>
      </c>
      <c r="Z2690" s="70" t="str">
        <f t="shared" si="919"/>
        <v/>
      </c>
      <c r="AA2690" s="70" t="str">
        <f t="shared" si="920"/>
        <v/>
      </c>
      <c r="AB2690" s="70" t="str">
        <f t="shared" si="921"/>
        <v/>
      </c>
      <c r="AC2690" s="70" t="str">
        <f t="shared" si="922"/>
        <v/>
      </c>
      <c r="AD2690" s="70" t="str">
        <f t="shared" si="923"/>
        <v/>
      </c>
      <c r="AE2690" s="70" t="str">
        <f t="shared" si="924"/>
        <v/>
      </c>
      <c r="AF2690" s="16"/>
      <c r="AG2690" s="23"/>
      <c r="AH2690" s="22"/>
      <c r="AJ2690" s="83">
        <f t="shared" si="925"/>
        <v>0</v>
      </c>
      <c r="AO2690" s="22" t="str">
        <f t="shared" si="926"/>
        <v/>
      </c>
      <c r="AP2690" s="22" t="str">
        <f t="shared" si="927"/>
        <v/>
      </c>
    </row>
    <row r="2691" spans="1:42" x14ac:dyDescent="0.25">
      <c r="A2691" s="10"/>
      <c r="B2691" s="10"/>
      <c r="C2691" s="10"/>
      <c r="D2691" s="10"/>
      <c r="E2691" s="10"/>
      <c r="F2691" s="10"/>
      <c r="G2691" s="10"/>
      <c r="H2691" s="17"/>
      <c r="I2691" s="10"/>
      <c r="J2691" s="10"/>
      <c r="K2691" s="16" t="str">
        <f t="shared" si="906"/>
        <v/>
      </c>
      <c r="L2691" s="23" t="str">
        <f t="shared" si="907"/>
        <v/>
      </c>
      <c r="M2691" s="22" t="str">
        <f t="shared" si="908"/>
        <v/>
      </c>
      <c r="N2691" s="72"/>
      <c r="O2691" s="16" t="str">
        <f t="shared" si="909"/>
        <v/>
      </c>
      <c r="P2691" s="16" t="str">
        <f t="shared" si="910"/>
        <v/>
      </c>
      <c r="Q2691" s="16" t="str">
        <f t="shared" si="911"/>
        <v/>
      </c>
      <c r="R2691" s="23" t="str">
        <f t="shared" si="912"/>
        <v/>
      </c>
      <c r="S2691" s="23" t="str">
        <f t="shared" si="913"/>
        <v/>
      </c>
      <c r="T2691" s="23" t="str">
        <f t="shared" si="914"/>
        <v/>
      </c>
      <c r="U2691" s="23" t="str">
        <f t="shared" si="915"/>
        <v/>
      </c>
      <c r="V2691" s="23" t="str">
        <f t="shared" si="916"/>
        <v/>
      </c>
      <c r="W2691" s="70" t="str">
        <f t="shared" si="917"/>
        <v/>
      </c>
      <c r="X2691" s="70" t="str">
        <f t="shared" si="918"/>
        <v/>
      </c>
      <c r="Y2691" s="70" t="str">
        <f>IF(AND($A2691&lt;&gt;"",$E2691&gt;0),isLaptopBag($C2691,$J2691)*$D2691,"")</f>
        <v/>
      </c>
      <c r="Z2691" s="70" t="str">
        <f t="shared" si="919"/>
        <v/>
      </c>
      <c r="AA2691" s="70" t="str">
        <f t="shared" si="920"/>
        <v/>
      </c>
      <c r="AB2691" s="70" t="str">
        <f t="shared" si="921"/>
        <v/>
      </c>
      <c r="AC2691" s="70" t="str">
        <f t="shared" si="922"/>
        <v/>
      </c>
      <c r="AD2691" s="70" t="str">
        <f t="shared" si="923"/>
        <v/>
      </c>
      <c r="AE2691" s="70" t="str">
        <f t="shared" si="924"/>
        <v/>
      </c>
      <c r="AF2691" s="16"/>
      <c r="AG2691" s="23"/>
      <c r="AH2691" s="22"/>
      <c r="AJ2691" s="83">
        <f t="shared" si="925"/>
        <v>0</v>
      </c>
      <c r="AO2691" s="22" t="str">
        <f t="shared" si="926"/>
        <v/>
      </c>
      <c r="AP2691" s="22" t="str">
        <f t="shared" si="927"/>
        <v/>
      </c>
    </row>
    <row r="2692" spans="1:42" x14ac:dyDescent="0.25">
      <c r="A2692" s="10"/>
      <c r="B2692" s="10"/>
      <c r="C2692" s="10"/>
      <c r="D2692" s="10"/>
      <c r="E2692" s="10"/>
      <c r="F2692" s="10"/>
      <c r="G2692" s="10"/>
      <c r="H2692" s="17"/>
      <c r="I2692" s="10"/>
      <c r="J2692" s="10"/>
      <c r="K2692" s="16" t="str">
        <f t="shared" si="906"/>
        <v/>
      </c>
      <c r="L2692" s="23" t="str">
        <f t="shared" si="907"/>
        <v/>
      </c>
      <c r="M2692" s="22" t="str">
        <f t="shared" si="908"/>
        <v/>
      </c>
      <c r="N2692" s="72"/>
      <c r="O2692" s="16" t="str">
        <f t="shared" si="909"/>
        <v/>
      </c>
      <c r="P2692" s="16" t="str">
        <f t="shared" si="910"/>
        <v/>
      </c>
      <c r="Q2692" s="16" t="str">
        <f t="shared" si="911"/>
        <v/>
      </c>
      <c r="R2692" s="23" t="str">
        <f t="shared" si="912"/>
        <v/>
      </c>
      <c r="S2692" s="23" t="str">
        <f t="shared" si="913"/>
        <v/>
      </c>
      <c r="T2692" s="23" t="str">
        <f t="shared" si="914"/>
        <v/>
      </c>
      <c r="U2692" s="23" t="str">
        <f t="shared" si="915"/>
        <v/>
      </c>
      <c r="V2692" s="23" t="str">
        <f t="shared" si="916"/>
        <v/>
      </c>
      <c r="W2692" s="70" t="str">
        <f t="shared" si="917"/>
        <v/>
      </c>
      <c r="X2692" s="70" t="str">
        <f t="shared" si="918"/>
        <v/>
      </c>
      <c r="Y2692" s="70" t="str">
        <f>IF(AND($A2692&lt;&gt;"",$E2692&gt;0),isLaptopBag($C2692,$J2692)*$D2692,"")</f>
        <v/>
      </c>
      <c r="Z2692" s="70" t="str">
        <f t="shared" si="919"/>
        <v/>
      </c>
      <c r="AA2692" s="70" t="str">
        <f t="shared" si="920"/>
        <v/>
      </c>
      <c r="AB2692" s="70" t="str">
        <f t="shared" si="921"/>
        <v/>
      </c>
      <c r="AC2692" s="70" t="str">
        <f t="shared" si="922"/>
        <v/>
      </c>
      <c r="AD2692" s="70" t="str">
        <f t="shared" si="923"/>
        <v/>
      </c>
      <c r="AE2692" s="70" t="str">
        <f t="shared" si="924"/>
        <v/>
      </c>
      <c r="AF2692" s="16"/>
      <c r="AG2692" s="23"/>
      <c r="AH2692" s="22"/>
      <c r="AJ2692" s="83">
        <f t="shared" si="925"/>
        <v>0</v>
      </c>
      <c r="AO2692" s="22" t="str">
        <f t="shared" si="926"/>
        <v/>
      </c>
      <c r="AP2692" s="22" t="str">
        <f t="shared" si="927"/>
        <v/>
      </c>
    </row>
    <row r="2693" spans="1:42" x14ac:dyDescent="0.25">
      <c r="A2693" s="10"/>
      <c r="B2693" s="10"/>
      <c r="C2693" s="10"/>
      <c r="D2693" s="10"/>
      <c r="E2693" s="10"/>
      <c r="F2693" s="10"/>
      <c r="G2693" s="10"/>
      <c r="H2693" s="17"/>
      <c r="I2693" s="10"/>
      <c r="J2693" s="10"/>
      <c r="K2693" s="16" t="str">
        <f t="shared" si="906"/>
        <v/>
      </c>
      <c r="L2693" s="23" t="str">
        <f t="shared" si="907"/>
        <v/>
      </c>
      <c r="M2693" s="22" t="str">
        <f t="shared" si="908"/>
        <v/>
      </c>
      <c r="N2693" s="72"/>
      <c r="O2693" s="16" t="str">
        <f t="shared" si="909"/>
        <v/>
      </c>
      <c r="P2693" s="16" t="str">
        <f t="shared" si="910"/>
        <v/>
      </c>
      <c r="Q2693" s="16" t="str">
        <f t="shared" si="911"/>
        <v/>
      </c>
      <c r="R2693" s="23" t="str">
        <f t="shared" si="912"/>
        <v/>
      </c>
      <c r="S2693" s="23" t="str">
        <f t="shared" si="913"/>
        <v/>
      </c>
      <c r="T2693" s="23" t="str">
        <f t="shared" si="914"/>
        <v/>
      </c>
      <c r="U2693" s="23" t="str">
        <f t="shared" si="915"/>
        <v/>
      </c>
      <c r="V2693" s="23" t="str">
        <f t="shared" si="916"/>
        <v/>
      </c>
      <c r="W2693" s="70" t="str">
        <f t="shared" si="917"/>
        <v/>
      </c>
      <c r="X2693" s="70" t="str">
        <f t="shared" si="918"/>
        <v/>
      </c>
      <c r="Y2693" s="70" t="str">
        <f>IF(AND($A2693&lt;&gt;"",$E2693&gt;0),isLaptopBag($C2693,$J2693)*$D2693,"")</f>
        <v/>
      </c>
      <c r="Z2693" s="70" t="str">
        <f t="shared" si="919"/>
        <v/>
      </c>
      <c r="AA2693" s="70" t="str">
        <f t="shared" si="920"/>
        <v/>
      </c>
      <c r="AB2693" s="70" t="str">
        <f t="shared" si="921"/>
        <v/>
      </c>
      <c r="AC2693" s="70" t="str">
        <f t="shared" si="922"/>
        <v/>
      </c>
      <c r="AD2693" s="70" t="str">
        <f t="shared" si="923"/>
        <v/>
      </c>
      <c r="AE2693" s="70" t="str">
        <f t="shared" si="924"/>
        <v/>
      </c>
      <c r="AF2693" s="16"/>
      <c r="AG2693" s="23"/>
      <c r="AH2693" s="22"/>
      <c r="AJ2693" s="83">
        <f t="shared" si="925"/>
        <v>0</v>
      </c>
      <c r="AO2693" s="22" t="str">
        <f t="shared" si="926"/>
        <v/>
      </c>
      <c r="AP2693" s="22" t="str">
        <f t="shared" si="927"/>
        <v/>
      </c>
    </row>
    <row r="2694" spans="1:42" x14ac:dyDescent="0.25">
      <c r="A2694" s="10"/>
      <c r="B2694" s="10"/>
      <c r="C2694" s="10"/>
      <c r="D2694" s="10"/>
      <c r="E2694" s="10"/>
      <c r="F2694" s="10"/>
      <c r="G2694" s="10"/>
      <c r="H2694" s="17"/>
      <c r="I2694" s="10"/>
      <c r="J2694" s="10"/>
      <c r="K2694" s="16" t="str">
        <f t="shared" si="906"/>
        <v/>
      </c>
      <c r="L2694" s="23" t="str">
        <f t="shared" si="907"/>
        <v/>
      </c>
      <c r="M2694" s="22" t="str">
        <f t="shared" si="908"/>
        <v/>
      </c>
      <c r="N2694" s="72"/>
      <c r="O2694" s="16" t="str">
        <f t="shared" si="909"/>
        <v/>
      </c>
      <c r="P2694" s="16" t="str">
        <f t="shared" si="910"/>
        <v/>
      </c>
      <c r="Q2694" s="16" t="str">
        <f t="shared" si="911"/>
        <v/>
      </c>
      <c r="R2694" s="23" t="str">
        <f t="shared" si="912"/>
        <v/>
      </c>
      <c r="S2694" s="23" t="str">
        <f t="shared" si="913"/>
        <v/>
      </c>
      <c r="T2694" s="23" t="str">
        <f t="shared" si="914"/>
        <v/>
      </c>
      <c r="U2694" s="23" t="str">
        <f t="shared" si="915"/>
        <v/>
      </c>
      <c r="V2694" s="23" t="str">
        <f t="shared" si="916"/>
        <v/>
      </c>
      <c r="W2694" s="70" t="str">
        <f t="shared" si="917"/>
        <v/>
      </c>
      <c r="X2694" s="70" t="str">
        <f t="shared" si="918"/>
        <v/>
      </c>
      <c r="Y2694" s="70" t="str">
        <f>IF(AND($A2694&lt;&gt;"",$E2694&gt;0),isLaptopBag($C2694,$J2694)*$D2694,"")</f>
        <v/>
      </c>
      <c r="Z2694" s="70" t="str">
        <f t="shared" si="919"/>
        <v/>
      </c>
      <c r="AA2694" s="70" t="str">
        <f t="shared" si="920"/>
        <v/>
      </c>
      <c r="AB2694" s="70" t="str">
        <f t="shared" si="921"/>
        <v/>
      </c>
      <c r="AC2694" s="70" t="str">
        <f t="shared" si="922"/>
        <v/>
      </c>
      <c r="AD2694" s="70" t="str">
        <f t="shared" si="923"/>
        <v/>
      </c>
      <c r="AE2694" s="70" t="str">
        <f t="shared" si="924"/>
        <v/>
      </c>
      <c r="AF2694" s="16"/>
      <c r="AG2694" s="23"/>
      <c r="AH2694" s="22"/>
      <c r="AJ2694" s="83">
        <f t="shared" si="925"/>
        <v>0</v>
      </c>
      <c r="AO2694" s="22" t="str">
        <f t="shared" si="926"/>
        <v/>
      </c>
      <c r="AP2694" s="22" t="str">
        <f t="shared" si="927"/>
        <v/>
      </c>
    </row>
    <row r="2695" spans="1:42" x14ac:dyDescent="0.25">
      <c r="A2695" s="10"/>
      <c r="B2695" s="10"/>
      <c r="C2695" s="10"/>
      <c r="D2695" s="10"/>
      <c r="E2695" s="10"/>
      <c r="F2695" s="10"/>
      <c r="G2695" s="10"/>
      <c r="H2695" s="17"/>
      <c r="I2695" s="10"/>
      <c r="J2695" s="10"/>
      <c r="K2695" s="16" t="str">
        <f t="shared" si="906"/>
        <v/>
      </c>
      <c r="L2695" s="23" t="str">
        <f t="shared" si="907"/>
        <v/>
      </c>
      <c r="M2695" s="22" t="str">
        <f t="shared" si="908"/>
        <v/>
      </c>
      <c r="N2695" s="72"/>
      <c r="O2695" s="16" t="str">
        <f t="shared" si="909"/>
        <v/>
      </c>
      <c r="P2695" s="16" t="str">
        <f t="shared" si="910"/>
        <v/>
      </c>
      <c r="Q2695" s="16" t="str">
        <f t="shared" si="911"/>
        <v/>
      </c>
      <c r="R2695" s="23" t="str">
        <f t="shared" si="912"/>
        <v/>
      </c>
      <c r="S2695" s="23" t="str">
        <f t="shared" si="913"/>
        <v/>
      </c>
      <c r="T2695" s="23" t="str">
        <f t="shared" si="914"/>
        <v/>
      </c>
      <c r="U2695" s="23" t="str">
        <f t="shared" si="915"/>
        <v/>
      </c>
      <c r="V2695" s="23" t="str">
        <f t="shared" si="916"/>
        <v/>
      </c>
      <c r="W2695" s="70" t="str">
        <f t="shared" si="917"/>
        <v/>
      </c>
      <c r="X2695" s="70" t="str">
        <f t="shared" si="918"/>
        <v/>
      </c>
      <c r="Y2695" s="70" t="str">
        <f>IF(AND($A2695&lt;&gt;"",$E2695&gt;0),isLaptopBag($C2695,$J2695)*$D2695,"")</f>
        <v/>
      </c>
      <c r="Z2695" s="70" t="str">
        <f t="shared" si="919"/>
        <v/>
      </c>
      <c r="AA2695" s="70" t="str">
        <f t="shared" si="920"/>
        <v/>
      </c>
      <c r="AB2695" s="70" t="str">
        <f t="shared" si="921"/>
        <v/>
      </c>
      <c r="AC2695" s="70" t="str">
        <f t="shared" si="922"/>
        <v/>
      </c>
      <c r="AD2695" s="70" t="str">
        <f t="shared" si="923"/>
        <v/>
      </c>
      <c r="AE2695" s="70" t="str">
        <f t="shared" si="924"/>
        <v/>
      </c>
      <c r="AF2695" s="16"/>
      <c r="AG2695" s="23"/>
      <c r="AH2695" s="22"/>
      <c r="AJ2695" s="83">
        <f t="shared" si="925"/>
        <v>0</v>
      </c>
      <c r="AO2695" s="22" t="str">
        <f t="shared" si="926"/>
        <v/>
      </c>
      <c r="AP2695" s="22" t="str">
        <f t="shared" si="927"/>
        <v/>
      </c>
    </row>
    <row r="2696" spans="1:42" x14ac:dyDescent="0.25">
      <c r="A2696" s="10"/>
      <c r="B2696" s="10"/>
      <c r="C2696" s="10"/>
      <c r="D2696" s="10"/>
      <c r="E2696" s="10"/>
      <c r="F2696" s="10"/>
      <c r="G2696" s="10"/>
      <c r="H2696" s="17"/>
      <c r="I2696" s="10"/>
      <c r="J2696" s="10"/>
      <c r="K2696" s="16" t="str">
        <f t="shared" si="906"/>
        <v/>
      </c>
      <c r="L2696" s="23" t="str">
        <f t="shared" si="907"/>
        <v/>
      </c>
      <c r="M2696" s="22" t="str">
        <f t="shared" si="908"/>
        <v/>
      </c>
      <c r="N2696" s="72"/>
      <c r="O2696" s="16" t="str">
        <f t="shared" si="909"/>
        <v/>
      </c>
      <c r="P2696" s="16" t="str">
        <f t="shared" si="910"/>
        <v/>
      </c>
      <c r="Q2696" s="16" t="str">
        <f t="shared" si="911"/>
        <v/>
      </c>
      <c r="R2696" s="23" t="str">
        <f t="shared" si="912"/>
        <v/>
      </c>
      <c r="S2696" s="23" t="str">
        <f t="shared" si="913"/>
        <v/>
      </c>
      <c r="T2696" s="23" t="str">
        <f t="shared" si="914"/>
        <v/>
      </c>
      <c r="U2696" s="23" t="str">
        <f t="shared" si="915"/>
        <v/>
      </c>
      <c r="V2696" s="23" t="str">
        <f t="shared" si="916"/>
        <v/>
      </c>
      <c r="W2696" s="70" t="str">
        <f t="shared" si="917"/>
        <v/>
      </c>
      <c r="X2696" s="70" t="str">
        <f t="shared" si="918"/>
        <v/>
      </c>
      <c r="Y2696" s="70" t="str">
        <f>IF(AND($A2696&lt;&gt;"",$E2696&gt;0),isLaptopBag($C2696,$J2696)*$D2696,"")</f>
        <v/>
      </c>
      <c r="Z2696" s="70" t="str">
        <f t="shared" si="919"/>
        <v/>
      </c>
      <c r="AA2696" s="70" t="str">
        <f t="shared" si="920"/>
        <v/>
      </c>
      <c r="AB2696" s="70" t="str">
        <f t="shared" si="921"/>
        <v/>
      </c>
      <c r="AC2696" s="70" t="str">
        <f t="shared" si="922"/>
        <v/>
      </c>
      <c r="AD2696" s="70" t="str">
        <f t="shared" si="923"/>
        <v/>
      </c>
      <c r="AE2696" s="70" t="str">
        <f t="shared" si="924"/>
        <v/>
      </c>
      <c r="AF2696" s="16"/>
      <c r="AG2696" s="23"/>
      <c r="AH2696" s="22"/>
      <c r="AJ2696" s="83">
        <f t="shared" si="925"/>
        <v>0</v>
      </c>
      <c r="AO2696" s="22" t="str">
        <f t="shared" si="926"/>
        <v/>
      </c>
      <c r="AP2696" s="22" t="str">
        <f t="shared" si="927"/>
        <v/>
      </c>
    </row>
    <row r="2697" spans="1:42" x14ac:dyDescent="0.25">
      <c r="A2697" s="10"/>
      <c r="B2697" s="10"/>
      <c r="C2697" s="10"/>
      <c r="D2697" s="10"/>
      <c r="E2697" s="10"/>
      <c r="F2697" s="10"/>
      <c r="G2697" s="10"/>
      <c r="H2697" s="17"/>
      <c r="I2697" s="10"/>
      <c r="J2697" s="10"/>
      <c r="K2697" s="16" t="str">
        <f t="shared" si="906"/>
        <v/>
      </c>
      <c r="L2697" s="23" t="str">
        <f t="shared" si="907"/>
        <v/>
      </c>
      <c r="M2697" s="22" t="str">
        <f t="shared" si="908"/>
        <v/>
      </c>
      <c r="N2697" s="72"/>
      <c r="O2697" s="16" t="str">
        <f t="shared" si="909"/>
        <v/>
      </c>
      <c r="P2697" s="16" t="str">
        <f t="shared" si="910"/>
        <v/>
      </c>
      <c r="Q2697" s="16" t="str">
        <f t="shared" si="911"/>
        <v/>
      </c>
      <c r="R2697" s="23" t="str">
        <f t="shared" si="912"/>
        <v/>
      </c>
      <c r="S2697" s="23" t="str">
        <f t="shared" si="913"/>
        <v/>
      </c>
      <c r="T2697" s="23" t="str">
        <f t="shared" si="914"/>
        <v/>
      </c>
      <c r="U2697" s="23" t="str">
        <f t="shared" si="915"/>
        <v/>
      </c>
      <c r="V2697" s="23" t="str">
        <f t="shared" si="916"/>
        <v/>
      </c>
      <c r="W2697" s="70" t="str">
        <f t="shared" si="917"/>
        <v/>
      </c>
      <c r="X2697" s="70" t="str">
        <f t="shared" si="918"/>
        <v/>
      </c>
      <c r="Y2697" s="70" t="str">
        <f>IF(AND($A2697&lt;&gt;"",$E2697&gt;0),isLaptopBag($C2697,$J2697)*$D2697,"")</f>
        <v/>
      </c>
      <c r="Z2697" s="70" t="str">
        <f t="shared" si="919"/>
        <v/>
      </c>
      <c r="AA2697" s="70" t="str">
        <f t="shared" si="920"/>
        <v/>
      </c>
      <c r="AB2697" s="70" t="str">
        <f t="shared" si="921"/>
        <v/>
      </c>
      <c r="AC2697" s="70" t="str">
        <f t="shared" si="922"/>
        <v/>
      </c>
      <c r="AD2697" s="70" t="str">
        <f t="shared" si="923"/>
        <v/>
      </c>
      <c r="AE2697" s="70" t="str">
        <f t="shared" si="924"/>
        <v/>
      </c>
      <c r="AF2697" s="16"/>
      <c r="AG2697" s="23"/>
      <c r="AH2697" s="22"/>
      <c r="AJ2697" s="83">
        <f t="shared" si="925"/>
        <v>0</v>
      </c>
      <c r="AO2697" s="22" t="str">
        <f t="shared" si="926"/>
        <v/>
      </c>
      <c r="AP2697" s="22" t="str">
        <f t="shared" si="927"/>
        <v/>
      </c>
    </row>
    <row r="2698" spans="1:42" x14ac:dyDescent="0.25">
      <c r="A2698" s="10"/>
      <c r="B2698" s="10"/>
      <c r="C2698" s="10"/>
      <c r="D2698" s="10"/>
      <c r="E2698" s="10"/>
      <c r="F2698" s="10"/>
      <c r="G2698" s="10"/>
      <c r="H2698" s="17"/>
      <c r="I2698" s="10"/>
      <c r="J2698" s="10"/>
      <c r="K2698" s="16" t="str">
        <f t="shared" si="906"/>
        <v/>
      </c>
      <c r="L2698" s="23" t="str">
        <f t="shared" si="907"/>
        <v/>
      </c>
      <c r="M2698" s="22" t="str">
        <f t="shared" si="908"/>
        <v/>
      </c>
      <c r="N2698" s="72"/>
      <c r="O2698" s="16" t="str">
        <f t="shared" si="909"/>
        <v/>
      </c>
      <c r="P2698" s="16" t="str">
        <f t="shared" si="910"/>
        <v/>
      </c>
      <c r="Q2698" s="16" t="str">
        <f t="shared" si="911"/>
        <v/>
      </c>
      <c r="R2698" s="23" t="str">
        <f t="shared" si="912"/>
        <v/>
      </c>
      <c r="S2698" s="23" t="str">
        <f t="shared" si="913"/>
        <v/>
      </c>
      <c r="T2698" s="23" t="str">
        <f t="shared" si="914"/>
        <v/>
      </c>
      <c r="U2698" s="23" t="str">
        <f t="shared" si="915"/>
        <v/>
      </c>
      <c r="V2698" s="23" t="str">
        <f t="shared" si="916"/>
        <v/>
      </c>
      <c r="W2698" s="70" t="str">
        <f t="shared" si="917"/>
        <v/>
      </c>
      <c r="X2698" s="70" t="str">
        <f t="shared" si="918"/>
        <v/>
      </c>
      <c r="Y2698" s="70" t="str">
        <f>IF(AND($A2698&lt;&gt;"",$E2698&gt;0),isLaptopBag($C2698,$J2698)*$D2698,"")</f>
        <v/>
      </c>
      <c r="Z2698" s="70" t="str">
        <f t="shared" si="919"/>
        <v/>
      </c>
      <c r="AA2698" s="70" t="str">
        <f t="shared" si="920"/>
        <v/>
      </c>
      <c r="AB2698" s="70" t="str">
        <f t="shared" si="921"/>
        <v/>
      </c>
      <c r="AC2698" s="70" t="str">
        <f t="shared" si="922"/>
        <v/>
      </c>
      <c r="AD2698" s="70" t="str">
        <f t="shared" si="923"/>
        <v/>
      </c>
      <c r="AE2698" s="70" t="str">
        <f t="shared" si="924"/>
        <v/>
      </c>
      <c r="AF2698" s="16"/>
      <c r="AG2698" s="23"/>
      <c r="AH2698" s="22"/>
      <c r="AJ2698" s="83">
        <f t="shared" si="925"/>
        <v>0</v>
      </c>
      <c r="AO2698" s="22" t="str">
        <f t="shared" si="926"/>
        <v/>
      </c>
      <c r="AP2698" s="22" t="str">
        <f t="shared" si="927"/>
        <v/>
      </c>
    </row>
    <row r="2699" spans="1:42" x14ac:dyDescent="0.25">
      <c r="A2699" s="10"/>
      <c r="B2699" s="10"/>
      <c r="C2699" s="10"/>
      <c r="D2699" s="10"/>
      <c r="E2699" s="10"/>
      <c r="F2699" s="10"/>
      <c r="G2699" s="10"/>
      <c r="H2699" s="17"/>
      <c r="I2699" s="10"/>
      <c r="J2699" s="10"/>
      <c r="K2699" s="16" t="str">
        <f t="shared" si="906"/>
        <v/>
      </c>
      <c r="L2699" s="23" t="str">
        <f t="shared" si="907"/>
        <v/>
      </c>
      <c r="M2699" s="22" t="str">
        <f t="shared" si="908"/>
        <v/>
      </c>
      <c r="N2699" s="72"/>
      <c r="O2699" s="16" t="str">
        <f t="shared" si="909"/>
        <v/>
      </c>
      <c r="P2699" s="16" t="str">
        <f t="shared" si="910"/>
        <v/>
      </c>
      <c r="Q2699" s="16" t="str">
        <f t="shared" si="911"/>
        <v/>
      </c>
      <c r="R2699" s="23" t="str">
        <f t="shared" si="912"/>
        <v/>
      </c>
      <c r="S2699" s="23" t="str">
        <f t="shared" si="913"/>
        <v/>
      </c>
      <c r="T2699" s="23" t="str">
        <f t="shared" si="914"/>
        <v/>
      </c>
      <c r="U2699" s="23" t="str">
        <f t="shared" si="915"/>
        <v/>
      </c>
      <c r="V2699" s="23" t="str">
        <f t="shared" si="916"/>
        <v/>
      </c>
      <c r="W2699" s="70" t="str">
        <f t="shared" si="917"/>
        <v/>
      </c>
      <c r="X2699" s="70" t="str">
        <f t="shared" si="918"/>
        <v/>
      </c>
      <c r="Y2699" s="70" t="str">
        <f>IF(AND($A2699&lt;&gt;"",$E2699&gt;0),isLaptopBag($C2699,$J2699)*$D2699,"")</f>
        <v/>
      </c>
      <c r="Z2699" s="70" t="str">
        <f t="shared" si="919"/>
        <v/>
      </c>
      <c r="AA2699" s="70" t="str">
        <f t="shared" si="920"/>
        <v/>
      </c>
      <c r="AB2699" s="70" t="str">
        <f t="shared" si="921"/>
        <v/>
      </c>
      <c r="AC2699" s="70" t="str">
        <f t="shared" si="922"/>
        <v/>
      </c>
      <c r="AD2699" s="70" t="str">
        <f t="shared" si="923"/>
        <v/>
      </c>
      <c r="AE2699" s="70" t="str">
        <f t="shared" si="924"/>
        <v/>
      </c>
      <c r="AF2699" s="16"/>
      <c r="AG2699" s="23"/>
      <c r="AH2699" s="22"/>
      <c r="AJ2699" s="83">
        <f t="shared" si="925"/>
        <v>0</v>
      </c>
      <c r="AO2699" s="22" t="str">
        <f t="shared" si="926"/>
        <v/>
      </c>
      <c r="AP2699" s="22" t="str">
        <f t="shared" si="927"/>
        <v/>
      </c>
    </row>
    <row r="2700" spans="1:42" x14ac:dyDescent="0.25">
      <c r="A2700" s="10"/>
      <c r="B2700" s="10"/>
      <c r="C2700" s="10"/>
      <c r="D2700" s="10"/>
      <c r="E2700" s="10"/>
      <c r="F2700" s="10"/>
      <c r="G2700" s="10"/>
      <c r="H2700" s="17"/>
      <c r="I2700" s="10"/>
      <c r="J2700" s="10"/>
      <c r="K2700" s="16" t="str">
        <f t="shared" si="906"/>
        <v/>
      </c>
      <c r="L2700" s="23" t="str">
        <f t="shared" si="907"/>
        <v/>
      </c>
      <c r="M2700" s="22" t="str">
        <f t="shared" si="908"/>
        <v/>
      </c>
      <c r="N2700" s="72"/>
      <c r="O2700" s="16" t="str">
        <f t="shared" si="909"/>
        <v/>
      </c>
      <c r="P2700" s="16" t="str">
        <f t="shared" si="910"/>
        <v/>
      </c>
      <c r="Q2700" s="16" t="str">
        <f t="shared" si="911"/>
        <v/>
      </c>
      <c r="R2700" s="23" t="str">
        <f t="shared" si="912"/>
        <v/>
      </c>
      <c r="S2700" s="23" t="str">
        <f t="shared" si="913"/>
        <v/>
      </c>
      <c r="T2700" s="23" t="str">
        <f t="shared" si="914"/>
        <v/>
      </c>
      <c r="U2700" s="23" t="str">
        <f t="shared" si="915"/>
        <v/>
      </c>
      <c r="V2700" s="23" t="str">
        <f t="shared" si="916"/>
        <v/>
      </c>
      <c r="W2700" s="70" t="str">
        <f t="shared" si="917"/>
        <v/>
      </c>
      <c r="X2700" s="70" t="str">
        <f t="shared" si="918"/>
        <v/>
      </c>
      <c r="Y2700" s="70" t="str">
        <f>IF(AND($A2700&lt;&gt;"",$E2700&gt;0),isLaptopBag($C2700,$J2700)*$D2700,"")</f>
        <v/>
      </c>
      <c r="Z2700" s="70" t="str">
        <f t="shared" si="919"/>
        <v/>
      </c>
      <c r="AA2700" s="70" t="str">
        <f t="shared" si="920"/>
        <v/>
      </c>
      <c r="AB2700" s="70" t="str">
        <f t="shared" si="921"/>
        <v/>
      </c>
      <c r="AC2700" s="70" t="str">
        <f t="shared" si="922"/>
        <v/>
      </c>
      <c r="AD2700" s="70" t="str">
        <f t="shared" si="923"/>
        <v/>
      </c>
      <c r="AE2700" s="70" t="str">
        <f t="shared" si="924"/>
        <v/>
      </c>
      <c r="AF2700" s="16"/>
      <c r="AG2700" s="23"/>
      <c r="AH2700" s="22"/>
      <c r="AJ2700" s="83">
        <f t="shared" si="925"/>
        <v>0</v>
      </c>
      <c r="AO2700" s="22" t="str">
        <f t="shared" si="926"/>
        <v/>
      </c>
      <c r="AP2700" s="22" t="str">
        <f t="shared" si="927"/>
        <v/>
      </c>
    </row>
    <row r="2701" spans="1:42" x14ac:dyDescent="0.25">
      <c r="A2701" s="10"/>
      <c r="B2701" s="10"/>
      <c r="C2701" s="10"/>
      <c r="D2701" s="10"/>
      <c r="E2701" s="10"/>
      <c r="F2701" s="10"/>
      <c r="G2701" s="10"/>
      <c r="H2701" s="17"/>
      <c r="I2701" s="10"/>
      <c r="J2701" s="10"/>
      <c r="K2701" s="16" t="str">
        <f t="shared" ref="K2701:K2764" si="928">IF($AF2701&lt;&gt;"",$AF2701,IF(AND($A2701&lt;&gt;"",$E2701&gt;0),SUM($O2701:$Q2701),""))</f>
        <v/>
      </c>
      <c r="L2701" s="23" t="str">
        <f t="shared" ref="L2701:L2764" si="929">IF($AG2701&lt;&gt;"",$AG2701,IF(AND($A2701&lt;&gt;"",$E2701&gt;0),SUM($R2701:$V2701),""))</f>
        <v/>
      </c>
      <c r="M2701" s="22" t="str">
        <f t="shared" ref="M2701:M2764" si="930">IF($AH2701&lt;&gt;"",$AH2701,IF(AND($A2701&lt;&gt;"",$E2701&gt;0),SUM($W2701:$AE2701)+$AO2701+$AP2701,""))</f>
        <v/>
      </c>
      <c r="N2701" s="72"/>
      <c r="O2701" s="16" t="str">
        <f t="shared" ref="O2701:O2764" si="931">IF(AND($A2701&lt;&gt;"",$E2701&gt;0),IF(AND($J2701="SONY",200000&lt;=$E2701,$E2701&lt;1000000),5000*$D2701,0),"")</f>
        <v/>
      </c>
      <c r="P2701" s="16" t="str">
        <f t="shared" ref="P2701:P2764" si="932">IF(AND($A2701&lt;&gt;"",$E2701&gt;0),IF(AND($J2701="SONY",1000000&lt;=$E2701,$E2701&lt;2000000),10000*$D2701,0),"")</f>
        <v/>
      </c>
      <c r="Q2701" s="16" t="str">
        <f t="shared" ref="Q2701:Q2764" si="933">IF(AND($A2701&lt;&gt;"",$E2701&gt;0),IF(AND($J2701="SONY",$E2701&gt;=2000000),20000*$D2701,0),"")</f>
        <v/>
      </c>
      <c r="R2701" s="23" t="str">
        <f t="shared" ref="R2701:R2764" si="934">IF(AND($A2701&lt;&gt;"",$E2701&gt;0),IF(AND($J2701&lt;&gt;"SONY",100000&lt;=$E2701,$E2701&lt;200000),5000*$D2701,0),"")</f>
        <v/>
      </c>
      <c r="S2701" s="23" t="str">
        <f t="shared" ref="S2701:S2764" si="935">IF(AND($A2701&lt;&gt;"",$E2701&gt;0),IF(AND($J2701&lt;&gt;"SONY",200000&lt;=$E2701,$E2701&lt;500000),10000*$D2701,0),"")</f>
        <v/>
      </c>
      <c r="T2701" s="23" t="str">
        <f t="shared" ref="T2701:T2764" si="936">IF(AND($A2701&lt;&gt;"",$E2701&gt;0),IF(AND($J2701&lt;&gt;"SONY",500000&lt;=$E2701,$E2701&lt;1000000),20000*$D2701,0),"")</f>
        <v/>
      </c>
      <c r="U2701" s="23" t="str">
        <f t="shared" ref="U2701:U2764" si="937">IF(AND($A2701&lt;&gt;"",$E2701&gt;0),IF(AND($J2701&lt;&gt;"SONY",1000000&lt;=$E2701,$E2701&lt;1500000),50000*$D2701,0),"")</f>
        <v/>
      </c>
      <c r="V2701" s="23" t="str">
        <f t="shared" ref="V2701:V2764" si="938">IF(AND($A2701&lt;&gt;"",$E2701&gt;0),IF(AND($J2701&lt;&gt;"SONY",1500000&lt;=$E2701),100000*$D2701,0),"")</f>
        <v/>
      </c>
      <c r="W2701" s="70" t="str">
        <f t="shared" ref="W2701:W2764" si="939">IF(AND($E2701&gt;0,$J2701="ELECOM",$E2701&gt;=500000,ISNUMBER(SEARCH("tai nghe",$C2701))),20000*$D2701,IF($A2701&lt;&gt;"",0,""))</f>
        <v/>
      </c>
      <c r="X2701" s="70" t="str">
        <f t="shared" ref="X2701:X2764" si="940">IF(AND($E2701&gt;0,$J2701="ELECOM",ISNUMBER(SEARCH("loa",$C2701))),20000*$D2701,IF($A2701&lt;&gt;"",0,""))</f>
        <v/>
      </c>
      <c r="Y2701" s="70" t="str">
        <f>IF(AND($A2701&lt;&gt;"",$E2701&gt;0),isLaptopBag($C2701,$J2701)*$D2701,"")</f>
        <v/>
      </c>
      <c r="Z2701" s="70" t="str">
        <f t="shared" ref="Z2701:Z2764" si="941">IF(AND($E2701&gt;0,$J2701="ELECOM",ISNUMBER(SEARCH("ốp",$C2701))),20000*$D2701,IF($A2701&lt;&gt;"",0,""))</f>
        <v/>
      </c>
      <c r="AA2701" s="70" t="str">
        <f t="shared" ref="AA2701:AA2764" si="942">IF(AND($E2701&gt;0,$J2701="ELECOM",ISNUMBER(SEARCH("Bút",$C2701))),20000*$D2701,IF($A2701&lt;&gt;"",0,""))</f>
        <v/>
      </c>
      <c r="AB2701" s="70" t="str">
        <f t="shared" ref="AB2701:AB2764" si="943">IF(AND($E2701&gt;0,$J2701="ELECOM",ISNUMBER(SEARCH("Chuột bi",$C2701))),20000*$D2701,IF($A2701&lt;&gt;"",0,""))</f>
        <v/>
      </c>
      <c r="AC2701" s="70" t="str">
        <f t="shared" ref="AC2701:AC2764" si="944">IF(AND($E2701&gt;0,$J2701="ELECOM",ISNUMBER(SEARCH("Chuột trackball",$C2701))),20000*$D2701,IF($A2701&lt;&gt;"",0,""))</f>
        <v/>
      </c>
      <c r="AD2701" s="70" t="str">
        <f t="shared" ref="AD2701:AD2764" si="945">IF(AND($E2701&gt;0,$J2701="ELECOM",ISNUMBER(SEARCH("Sạc không dây",$C2701))),20000*$D2701,IF($A2701&lt;&gt;"",0,""))</f>
        <v/>
      </c>
      <c r="AE2701" s="70" t="str">
        <f t="shared" ref="AE2701:AE2764" si="946">IF(AND($E2701&gt;0,$J2701="ELECOM",ISNUMBER(SEARCH("Sạc kd",$C2701))),20000*$D2701,IF($A2701&lt;&gt;"",0,""))</f>
        <v/>
      </c>
      <c r="AF2701" s="16"/>
      <c r="AG2701" s="23"/>
      <c r="AH2701" s="22"/>
      <c r="AJ2701" s="83">
        <f t="shared" ref="AJ2701:AJ2764" si="947">DAY(H2701)</f>
        <v>0</v>
      </c>
      <c r="AO2701" s="22" t="str">
        <f t="shared" ref="AO2701:AO2764" si="948">IF(AND($E2701&gt;0,ISNUMBER(SEARCH("Sạc dự phòng Energizer",$C2701))),10000*$D2701,IF($A2701&lt;&gt;"",0,""))</f>
        <v/>
      </c>
      <c r="AP2701" s="22" t="str">
        <f t="shared" ref="AP2701:AP2764" si="949">IF(AND($E2701&gt;0,ISNUMBER(SEARCH("SDP Energizer",$C2701))),10000*$D2701,IF($A2701&lt;&gt;"",0,""))</f>
        <v/>
      </c>
    </row>
    <row r="2702" spans="1:42" x14ac:dyDescent="0.25">
      <c r="A2702" s="10"/>
      <c r="B2702" s="10"/>
      <c r="C2702" s="10"/>
      <c r="D2702" s="10"/>
      <c r="E2702" s="10"/>
      <c r="F2702" s="10"/>
      <c r="G2702" s="10"/>
      <c r="H2702" s="17"/>
      <c r="I2702" s="10"/>
      <c r="J2702" s="10"/>
      <c r="K2702" s="16" t="str">
        <f t="shared" si="928"/>
        <v/>
      </c>
      <c r="L2702" s="23" t="str">
        <f t="shared" si="929"/>
        <v/>
      </c>
      <c r="M2702" s="22" t="str">
        <f t="shared" si="930"/>
        <v/>
      </c>
      <c r="N2702" s="72"/>
      <c r="O2702" s="16" t="str">
        <f t="shared" si="931"/>
        <v/>
      </c>
      <c r="P2702" s="16" t="str">
        <f t="shared" si="932"/>
        <v/>
      </c>
      <c r="Q2702" s="16" t="str">
        <f t="shared" si="933"/>
        <v/>
      </c>
      <c r="R2702" s="23" t="str">
        <f t="shared" si="934"/>
        <v/>
      </c>
      <c r="S2702" s="23" t="str">
        <f t="shared" si="935"/>
        <v/>
      </c>
      <c r="T2702" s="23" t="str">
        <f t="shared" si="936"/>
        <v/>
      </c>
      <c r="U2702" s="23" t="str">
        <f t="shared" si="937"/>
        <v/>
      </c>
      <c r="V2702" s="23" t="str">
        <f t="shared" si="938"/>
        <v/>
      </c>
      <c r="W2702" s="70" t="str">
        <f t="shared" si="939"/>
        <v/>
      </c>
      <c r="X2702" s="70" t="str">
        <f t="shared" si="940"/>
        <v/>
      </c>
      <c r="Y2702" s="70" t="str">
        <f>IF(AND($A2702&lt;&gt;"",$E2702&gt;0),isLaptopBag($C2702,$J2702)*$D2702,"")</f>
        <v/>
      </c>
      <c r="Z2702" s="70" t="str">
        <f t="shared" si="941"/>
        <v/>
      </c>
      <c r="AA2702" s="70" t="str">
        <f t="shared" si="942"/>
        <v/>
      </c>
      <c r="AB2702" s="70" t="str">
        <f t="shared" si="943"/>
        <v/>
      </c>
      <c r="AC2702" s="70" t="str">
        <f t="shared" si="944"/>
        <v/>
      </c>
      <c r="AD2702" s="70" t="str">
        <f t="shared" si="945"/>
        <v/>
      </c>
      <c r="AE2702" s="70" t="str">
        <f t="shared" si="946"/>
        <v/>
      </c>
      <c r="AF2702" s="16"/>
      <c r="AG2702" s="23"/>
      <c r="AH2702" s="22"/>
      <c r="AJ2702" s="83">
        <f t="shared" si="947"/>
        <v>0</v>
      </c>
      <c r="AO2702" s="22" t="str">
        <f t="shared" si="948"/>
        <v/>
      </c>
      <c r="AP2702" s="22" t="str">
        <f t="shared" si="949"/>
        <v/>
      </c>
    </row>
    <row r="2703" spans="1:42" x14ac:dyDescent="0.25">
      <c r="A2703" s="10"/>
      <c r="B2703" s="10"/>
      <c r="C2703" s="10"/>
      <c r="D2703" s="10"/>
      <c r="E2703" s="10"/>
      <c r="F2703" s="10"/>
      <c r="G2703" s="10"/>
      <c r="H2703" s="17"/>
      <c r="I2703" s="10"/>
      <c r="J2703" s="10"/>
      <c r="K2703" s="16" t="str">
        <f t="shared" si="928"/>
        <v/>
      </c>
      <c r="L2703" s="23" t="str">
        <f t="shared" si="929"/>
        <v/>
      </c>
      <c r="M2703" s="22" t="str">
        <f t="shared" si="930"/>
        <v/>
      </c>
      <c r="N2703" s="72"/>
      <c r="O2703" s="16" t="str">
        <f t="shared" si="931"/>
        <v/>
      </c>
      <c r="P2703" s="16" t="str">
        <f t="shared" si="932"/>
        <v/>
      </c>
      <c r="Q2703" s="16" t="str">
        <f t="shared" si="933"/>
        <v/>
      </c>
      <c r="R2703" s="23" t="str">
        <f t="shared" si="934"/>
        <v/>
      </c>
      <c r="S2703" s="23" t="str">
        <f t="shared" si="935"/>
        <v/>
      </c>
      <c r="T2703" s="23" t="str">
        <f t="shared" si="936"/>
        <v/>
      </c>
      <c r="U2703" s="23" t="str">
        <f t="shared" si="937"/>
        <v/>
      </c>
      <c r="V2703" s="23" t="str">
        <f t="shared" si="938"/>
        <v/>
      </c>
      <c r="W2703" s="70" t="str">
        <f t="shared" si="939"/>
        <v/>
      </c>
      <c r="X2703" s="70" t="str">
        <f t="shared" si="940"/>
        <v/>
      </c>
      <c r="Y2703" s="70" t="str">
        <f>IF(AND($A2703&lt;&gt;"",$E2703&gt;0),isLaptopBag($C2703,$J2703)*$D2703,"")</f>
        <v/>
      </c>
      <c r="Z2703" s="70" t="str">
        <f t="shared" si="941"/>
        <v/>
      </c>
      <c r="AA2703" s="70" t="str">
        <f t="shared" si="942"/>
        <v/>
      </c>
      <c r="AB2703" s="70" t="str">
        <f t="shared" si="943"/>
        <v/>
      </c>
      <c r="AC2703" s="70" t="str">
        <f t="shared" si="944"/>
        <v/>
      </c>
      <c r="AD2703" s="70" t="str">
        <f t="shared" si="945"/>
        <v/>
      </c>
      <c r="AE2703" s="70" t="str">
        <f t="shared" si="946"/>
        <v/>
      </c>
      <c r="AF2703" s="16"/>
      <c r="AG2703" s="23"/>
      <c r="AH2703" s="22"/>
      <c r="AJ2703" s="83">
        <f t="shared" si="947"/>
        <v>0</v>
      </c>
      <c r="AO2703" s="22" t="str">
        <f t="shared" si="948"/>
        <v/>
      </c>
      <c r="AP2703" s="22" t="str">
        <f t="shared" si="949"/>
        <v/>
      </c>
    </row>
    <row r="2704" spans="1:42" x14ac:dyDescent="0.25">
      <c r="A2704" s="10"/>
      <c r="B2704" s="10"/>
      <c r="C2704" s="10"/>
      <c r="D2704" s="10"/>
      <c r="E2704" s="10"/>
      <c r="F2704" s="10"/>
      <c r="G2704" s="10"/>
      <c r="H2704" s="17"/>
      <c r="I2704" s="10"/>
      <c r="J2704" s="10"/>
      <c r="K2704" s="16" t="str">
        <f t="shared" si="928"/>
        <v/>
      </c>
      <c r="L2704" s="23" t="str">
        <f t="shared" si="929"/>
        <v/>
      </c>
      <c r="M2704" s="22" t="str">
        <f t="shared" si="930"/>
        <v/>
      </c>
      <c r="N2704" s="72"/>
      <c r="O2704" s="16" t="str">
        <f t="shared" si="931"/>
        <v/>
      </c>
      <c r="P2704" s="16" t="str">
        <f t="shared" si="932"/>
        <v/>
      </c>
      <c r="Q2704" s="16" t="str">
        <f t="shared" si="933"/>
        <v/>
      </c>
      <c r="R2704" s="23" t="str">
        <f t="shared" si="934"/>
        <v/>
      </c>
      <c r="S2704" s="23" t="str">
        <f t="shared" si="935"/>
        <v/>
      </c>
      <c r="T2704" s="23" t="str">
        <f t="shared" si="936"/>
        <v/>
      </c>
      <c r="U2704" s="23" t="str">
        <f t="shared" si="937"/>
        <v/>
      </c>
      <c r="V2704" s="23" t="str">
        <f t="shared" si="938"/>
        <v/>
      </c>
      <c r="W2704" s="70" t="str">
        <f t="shared" si="939"/>
        <v/>
      </c>
      <c r="X2704" s="70" t="str">
        <f t="shared" si="940"/>
        <v/>
      </c>
      <c r="Y2704" s="70" t="str">
        <f>IF(AND($A2704&lt;&gt;"",$E2704&gt;0),isLaptopBag($C2704,$J2704)*$D2704,"")</f>
        <v/>
      </c>
      <c r="Z2704" s="70" t="str">
        <f t="shared" si="941"/>
        <v/>
      </c>
      <c r="AA2704" s="70" t="str">
        <f t="shared" si="942"/>
        <v/>
      </c>
      <c r="AB2704" s="70" t="str">
        <f t="shared" si="943"/>
        <v/>
      </c>
      <c r="AC2704" s="70" t="str">
        <f t="shared" si="944"/>
        <v/>
      </c>
      <c r="AD2704" s="70" t="str">
        <f t="shared" si="945"/>
        <v/>
      </c>
      <c r="AE2704" s="70" t="str">
        <f t="shared" si="946"/>
        <v/>
      </c>
      <c r="AF2704" s="16"/>
      <c r="AG2704" s="23"/>
      <c r="AH2704" s="22"/>
      <c r="AJ2704" s="83">
        <f t="shared" si="947"/>
        <v>0</v>
      </c>
      <c r="AO2704" s="22" t="str">
        <f t="shared" si="948"/>
        <v/>
      </c>
      <c r="AP2704" s="22" t="str">
        <f t="shared" si="949"/>
        <v/>
      </c>
    </row>
    <row r="2705" spans="1:42" x14ac:dyDescent="0.25">
      <c r="A2705" s="10"/>
      <c r="B2705" s="10"/>
      <c r="C2705" s="10"/>
      <c r="D2705" s="10"/>
      <c r="E2705" s="10"/>
      <c r="F2705" s="10"/>
      <c r="G2705" s="10"/>
      <c r="H2705" s="17"/>
      <c r="I2705" s="10"/>
      <c r="J2705" s="10"/>
      <c r="K2705" s="16" t="str">
        <f t="shared" si="928"/>
        <v/>
      </c>
      <c r="L2705" s="23" t="str">
        <f t="shared" si="929"/>
        <v/>
      </c>
      <c r="M2705" s="22" t="str">
        <f t="shared" si="930"/>
        <v/>
      </c>
      <c r="N2705" s="72"/>
      <c r="O2705" s="16" t="str">
        <f t="shared" si="931"/>
        <v/>
      </c>
      <c r="P2705" s="16" t="str">
        <f t="shared" si="932"/>
        <v/>
      </c>
      <c r="Q2705" s="16" t="str">
        <f t="shared" si="933"/>
        <v/>
      </c>
      <c r="R2705" s="23" t="str">
        <f t="shared" si="934"/>
        <v/>
      </c>
      <c r="S2705" s="23" t="str">
        <f t="shared" si="935"/>
        <v/>
      </c>
      <c r="T2705" s="23" t="str">
        <f t="shared" si="936"/>
        <v/>
      </c>
      <c r="U2705" s="23" t="str">
        <f t="shared" si="937"/>
        <v/>
      </c>
      <c r="V2705" s="23" t="str">
        <f t="shared" si="938"/>
        <v/>
      </c>
      <c r="W2705" s="70" t="str">
        <f t="shared" si="939"/>
        <v/>
      </c>
      <c r="X2705" s="70" t="str">
        <f t="shared" si="940"/>
        <v/>
      </c>
      <c r="Y2705" s="70" t="str">
        <f>IF(AND($A2705&lt;&gt;"",$E2705&gt;0),isLaptopBag($C2705,$J2705)*$D2705,"")</f>
        <v/>
      </c>
      <c r="Z2705" s="70" t="str">
        <f t="shared" si="941"/>
        <v/>
      </c>
      <c r="AA2705" s="70" t="str">
        <f t="shared" si="942"/>
        <v/>
      </c>
      <c r="AB2705" s="70" t="str">
        <f t="shared" si="943"/>
        <v/>
      </c>
      <c r="AC2705" s="70" t="str">
        <f t="shared" si="944"/>
        <v/>
      </c>
      <c r="AD2705" s="70" t="str">
        <f t="shared" si="945"/>
        <v/>
      </c>
      <c r="AE2705" s="70" t="str">
        <f t="shared" si="946"/>
        <v/>
      </c>
      <c r="AF2705" s="16"/>
      <c r="AG2705" s="23"/>
      <c r="AH2705" s="22"/>
      <c r="AJ2705" s="83">
        <f t="shared" si="947"/>
        <v>0</v>
      </c>
      <c r="AO2705" s="22" t="str">
        <f t="shared" si="948"/>
        <v/>
      </c>
      <c r="AP2705" s="22" t="str">
        <f t="shared" si="949"/>
        <v/>
      </c>
    </row>
    <row r="2706" spans="1:42" x14ac:dyDescent="0.25">
      <c r="A2706" s="10"/>
      <c r="B2706" s="10"/>
      <c r="C2706" s="10"/>
      <c r="D2706" s="10"/>
      <c r="E2706" s="10"/>
      <c r="F2706" s="10"/>
      <c r="G2706" s="10"/>
      <c r="H2706" s="17"/>
      <c r="I2706" s="10"/>
      <c r="J2706" s="10"/>
      <c r="K2706" s="16" t="str">
        <f t="shared" si="928"/>
        <v/>
      </c>
      <c r="L2706" s="23" t="str">
        <f t="shared" si="929"/>
        <v/>
      </c>
      <c r="M2706" s="22" t="str">
        <f t="shared" si="930"/>
        <v/>
      </c>
      <c r="N2706" s="72"/>
      <c r="O2706" s="16" t="str">
        <f t="shared" si="931"/>
        <v/>
      </c>
      <c r="P2706" s="16" t="str">
        <f t="shared" si="932"/>
        <v/>
      </c>
      <c r="Q2706" s="16" t="str">
        <f t="shared" si="933"/>
        <v/>
      </c>
      <c r="R2706" s="23" t="str">
        <f t="shared" si="934"/>
        <v/>
      </c>
      <c r="S2706" s="23" t="str">
        <f t="shared" si="935"/>
        <v/>
      </c>
      <c r="T2706" s="23" t="str">
        <f t="shared" si="936"/>
        <v/>
      </c>
      <c r="U2706" s="23" t="str">
        <f t="shared" si="937"/>
        <v/>
      </c>
      <c r="V2706" s="23" t="str">
        <f t="shared" si="938"/>
        <v/>
      </c>
      <c r="W2706" s="70" t="str">
        <f t="shared" si="939"/>
        <v/>
      </c>
      <c r="X2706" s="70" t="str">
        <f t="shared" si="940"/>
        <v/>
      </c>
      <c r="Y2706" s="70" t="str">
        <f>IF(AND($A2706&lt;&gt;"",$E2706&gt;0),isLaptopBag($C2706,$J2706)*$D2706,"")</f>
        <v/>
      </c>
      <c r="Z2706" s="70" t="str">
        <f t="shared" si="941"/>
        <v/>
      </c>
      <c r="AA2706" s="70" t="str">
        <f t="shared" si="942"/>
        <v/>
      </c>
      <c r="AB2706" s="70" t="str">
        <f t="shared" si="943"/>
        <v/>
      </c>
      <c r="AC2706" s="70" t="str">
        <f t="shared" si="944"/>
        <v/>
      </c>
      <c r="AD2706" s="70" t="str">
        <f t="shared" si="945"/>
        <v/>
      </c>
      <c r="AE2706" s="70" t="str">
        <f t="shared" si="946"/>
        <v/>
      </c>
      <c r="AF2706" s="16"/>
      <c r="AG2706" s="23"/>
      <c r="AH2706" s="22"/>
      <c r="AJ2706" s="83">
        <f t="shared" si="947"/>
        <v>0</v>
      </c>
      <c r="AO2706" s="22" t="str">
        <f t="shared" si="948"/>
        <v/>
      </c>
      <c r="AP2706" s="22" t="str">
        <f t="shared" si="949"/>
        <v/>
      </c>
    </row>
    <row r="2707" spans="1:42" x14ac:dyDescent="0.25">
      <c r="A2707" s="10"/>
      <c r="B2707" s="10"/>
      <c r="C2707" s="10"/>
      <c r="D2707" s="10"/>
      <c r="E2707" s="10"/>
      <c r="F2707" s="10"/>
      <c r="G2707" s="10"/>
      <c r="H2707" s="17"/>
      <c r="I2707" s="10"/>
      <c r="J2707" s="10"/>
      <c r="K2707" s="16" t="str">
        <f t="shared" si="928"/>
        <v/>
      </c>
      <c r="L2707" s="23" t="str">
        <f t="shared" si="929"/>
        <v/>
      </c>
      <c r="M2707" s="22" t="str">
        <f t="shared" si="930"/>
        <v/>
      </c>
      <c r="N2707" s="72"/>
      <c r="O2707" s="16" t="str">
        <f t="shared" si="931"/>
        <v/>
      </c>
      <c r="P2707" s="16" t="str">
        <f t="shared" si="932"/>
        <v/>
      </c>
      <c r="Q2707" s="16" t="str">
        <f t="shared" si="933"/>
        <v/>
      </c>
      <c r="R2707" s="23" t="str">
        <f t="shared" si="934"/>
        <v/>
      </c>
      <c r="S2707" s="23" t="str">
        <f t="shared" si="935"/>
        <v/>
      </c>
      <c r="T2707" s="23" t="str">
        <f t="shared" si="936"/>
        <v/>
      </c>
      <c r="U2707" s="23" t="str">
        <f t="shared" si="937"/>
        <v/>
      </c>
      <c r="V2707" s="23" t="str">
        <f t="shared" si="938"/>
        <v/>
      </c>
      <c r="W2707" s="70" t="str">
        <f t="shared" si="939"/>
        <v/>
      </c>
      <c r="X2707" s="70" t="str">
        <f t="shared" si="940"/>
        <v/>
      </c>
      <c r="Y2707" s="70" t="str">
        <f>IF(AND($A2707&lt;&gt;"",$E2707&gt;0),isLaptopBag($C2707,$J2707)*$D2707,"")</f>
        <v/>
      </c>
      <c r="Z2707" s="70" t="str">
        <f t="shared" si="941"/>
        <v/>
      </c>
      <c r="AA2707" s="70" t="str">
        <f t="shared" si="942"/>
        <v/>
      </c>
      <c r="AB2707" s="70" t="str">
        <f t="shared" si="943"/>
        <v/>
      </c>
      <c r="AC2707" s="70" t="str">
        <f t="shared" si="944"/>
        <v/>
      </c>
      <c r="AD2707" s="70" t="str">
        <f t="shared" si="945"/>
        <v/>
      </c>
      <c r="AE2707" s="70" t="str">
        <f t="shared" si="946"/>
        <v/>
      </c>
      <c r="AF2707" s="16"/>
      <c r="AG2707" s="23"/>
      <c r="AH2707" s="22"/>
      <c r="AJ2707" s="83">
        <f t="shared" si="947"/>
        <v>0</v>
      </c>
      <c r="AO2707" s="22" t="str">
        <f t="shared" si="948"/>
        <v/>
      </c>
      <c r="AP2707" s="22" t="str">
        <f t="shared" si="949"/>
        <v/>
      </c>
    </row>
    <row r="2708" spans="1:42" x14ac:dyDescent="0.25">
      <c r="A2708" s="10"/>
      <c r="B2708" s="10"/>
      <c r="C2708" s="10"/>
      <c r="D2708" s="10"/>
      <c r="E2708" s="10"/>
      <c r="F2708" s="10"/>
      <c r="G2708" s="10"/>
      <c r="H2708" s="17"/>
      <c r="I2708" s="10"/>
      <c r="J2708" s="10"/>
      <c r="K2708" s="16" t="str">
        <f t="shared" si="928"/>
        <v/>
      </c>
      <c r="L2708" s="23" t="str">
        <f t="shared" si="929"/>
        <v/>
      </c>
      <c r="M2708" s="22" t="str">
        <f t="shared" si="930"/>
        <v/>
      </c>
      <c r="N2708" s="72"/>
      <c r="O2708" s="16" t="str">
        <f t="shared" si="931"/>
        <v/>
      </c>
      <c r="P2708" s="16" t="str">
        <f t="shared" si="932"/>
        <v/>
      </c>
      <c r="Q2708" s="16" t="str">
        <f t="shared" si="933"/>
        <v/>
      </c>
      <c r="R2708" s="23" t="str">
        <f t="shared" si="934"/>
        <v/>
      </c>
      <c r="S2708" s="23" t="str">
        <f t="shared" si="935"/>
        <v/>
      </c>
      <c r="T2708" s="23" t="str">
        <f t="shared" si="936"/>
        <v/>
      </c>
      <c r="U2708" s="23" t="str">
        <f t="shared" si="937"/>
        <v/>
      </c>
      <c r="V2708" s="23" t="str">
        <f t="shared" si="938"/>
        <v/>
      </c>
      <c r="W2708" s="70" t="str">
        <f t="shared" si="939"/>
        <v/>
      </c>
      <c r="X2708" s="70" t="str">
        <f t="shared" si="940"/>
        <v/>
      </c>
      <c r="Y2708" s="70" t="str">
        <f>IF(AND($A2708&lt;&gt;"",$E2708&gt;0),isLaptopBag($C2708,$J2708)*$D2708,"")</f>
        <v/>
      </c>
      <c r="Z2708" s="70" t="str">
        <f t="shared" si="941"/>
        <v/>
      </c>
      <c r="AA2708" s="70" t="str">
        <f t="shared" si="942"/>
        <v/>
      </c>
      <c r="AB2708" s="70" t="str">
        <f t="shared" si="943"/>
        <v/>
      </c>
      <c r="AC2708" s="70" t="str">
        <f t="shared" si="944"/>
        <v/>
      </c>
      <c r="AD2708" s="70" t="str">
        <f t="shared" si="945"/>
        <v/>
      </c>
      <c r="AE2708" s="70" t="str">
        <f t="shared" si="946"/>
        <v/>
      </c>
      <c r="AF2708" s="16"/>
      <c r="AG2708" s="23"/>
      <c r="AH2708" s="22"/>
      <c r="AJ2708" s="83">
        <f t="shared" si="947"/>
        <v>0</v>
      </c>
      <c r="AO2708" s="22" t="str">
        <f t="shared" si="948"/>
        <v/>
      </c>
      <c r="AP2708" s="22" t="str">
        <f t="shared" si="949"/>
        <v/>
      </c>
    </row>
    <row r="2709" spans="1:42" x14ac:dyDescent="0.25">
      <c r="A2709" s="10"/>
      <c r="B2709" s="10"/>
      <c r="C2709" s="10"/>
      <c r="D2709" s="10"/>
      <c r="E2709" s="10"/>
      <c r="F2709" s="10"/>
      <c r="G2709" s="10"/>
      <c r="H2709" s="17"/>
      <c r="I2709" s="10"/>
      <c r="J2709" s="10"/>
      <c r="K2709" s="16" t="str">
        <f t="shared" si="928"/>
        <v/>
      </c>
      <c r="L2709" s="23" t="str">
        <f t="shared" si="929"/>
        <v/>
      </c>
      <c r="M2709" s="22" t="str">
        <f t="shared" si="930"/>
        <v/>
      </c>
      <c r="N2709" s="72"/>
      <c r="O2709" s="16" t="str">
        <f t="shared" si="931"/>
        <v/>
      </c>
      <c r="P2709" s="16" t="str">
        <f t="shared" si="932"/>
        <v/>
      </c>
      <c r="Q2709" s="16" t="str">
        <f t="shared" si="933"/>
        <v/>
      </c>
      <c r="R2709" s="23" t="str">
        <f t="shared" si="934"/>
        <v/>
      </c>
      <c r="S2709" s="23" t="str">
        <f t="shared" si="935"/>
        <v/>
      </c>
      <c r="T2709" s="23" t="str">
        <f t="shared" si="936"/>
        <v/>
      </c>
      <c r="U2709" s="23" t="str">
        <f t="shared" si="937"/>
        <v/>
      </c>
      <c r="V2709" s="23" t="str">
        <f t="shared" si="938"/>
        <v/>
      </c>
      <c r="W2709" s="70" t="str">
        <f t="shared" si="939"/>
        <v/>
      </c>
      <c r="X2709" s="70" t="str">
        <f t="shared" si="940"/>
        <v/>
      </c>
      <c r="Y2709" s="70" t="str">
        <f>IF(AND($A2709&lt;&gt;"",$E2709&gt;0),isLaptopBag($C2709,$J2709)*$D2709,"")</f>
        <v/>
      </c>
      <c r="Z2709" s="70" t="str">
        <f t="shared" si="941"/>
        <v/>
      </c>
      <c r="AA2709" s="70" t="str">
        <f t="shared" si="942"/>
        <v/>
      </c>
      <c r="AB2709" s="70" t="str">
        <f t="shared" si="943"/>
        <v/>
      </c>
      <c r="AC2709" s="70" t="str">
        <f t="shared" si="944"/>
        <v/>
      </c>
      <c r="AD2709" s="70" t="str">
        <f t="shared" si="945"/>
        <v/>
      </c>
      <c r="AE2709" s="70" t="str">
        <f t="shared" si="946"/>
        <v/>
      </c>
      <c r="AF2709" s="16"/>
      <c r="AG2709" s="23"/>
      <c r="AH2709" s="22"/>
      <c r="AJ2709" s="83">
        <f t="shared" si="947"/>
        <v>0</v>
      </c>
      <c r="AO2709" s="22" t="str">
        <f t="shared" si="948"/>
        <v/>
      </c>
      <c r="AP2709" s="22" t="str">
        <f t="shared" si="949"/>
        <v/>
      </c>
    </row>
    <row r="2710" spans="1:42" x14ac:dyDescent="0.25">
      <c r="A2710" s="10"/>
      <c r="B2710" s="10"/>
      <c r="C2710" s="10"/>
      <c r="D2710" s="10"/>
      <c r="E2710" s="10"/>
      <c r="F2710" s="10"/>
      <c r="G2710" s="10"/>
      <c r="H2710" s="17"/>
      <c r="I2710" s="10"/>
      <c r="J2710" s="10"/>
      <c r="K2710" s="16" t="str">
        <f t="shared" si="928"/>
        <v/>
      </c>
      <c r="L2710" s="23" t="str">
        <f t="shared" si="929"/>
        <v/>
      </c>
      <c r="M2710" s="22" t="str">
        <f t="shared" si="930"/>
        <v/>
      </c>
      <c r="N2710" s="72"/>
      <c r="O2710" s="16" t="str">
        <f t="shared" si="931"/>
        <v/>
      </c>
      <c r="P2710" s="16" t="str">
        <f t="shared" si="932"/>
        <v/>
      </c>
      <c r="Q2710" s="16" t="str">
        <f t="shared" si="933"/>
        <v/>
      </c>
      <c r="R2710" s="23" t="str">
        <f t="shared" si="934"/>
        <v/>
      </c>
      <c r="S2710" s="23" t="str">
        <f t="shared" si="935"/>
        <v/>
      </c>
      <c r="T2710" s="23" t="str">
        <f t="shared" si="936"/>
        <v/>
      </c>
      <c r="U2710" s="23" t="str">
        <f t="shared" si="937"/>
        <v/>
      </c>
      <c r="V2710" s="23" t="str">
        <f t="shared" si="938"/>
        <v/>
      </c>
      <c r="W2710" s="70" t="str">
        <f t="shared" si="939"/>
        <v/>
      </c>
      <c r="X2710" s="70" t="str">
        <f t="shared" si="940"/>
        <v/>
      </c>
      <c r="Y2710" s="70" t="str">
        <f>IF(AND($A2710&lt;&gt;"",$E2710&gt;0),isLaptopBag($C2710,$J2710)*$D2710,"")</f>
        <v/>
      </c>
      <c r="Z2710" s="70" t="str">
        <f t="shared" si="941"/>
        <v/>
      </c>
      <c r="AA2710" s="70" t="str">
        <f t="shared" si="942"/>
        <v/>
      </c>
      <c r="AB2710" s="70" t="str">
        <f t="shared" si="943"/>
        <v/>
      </c>
      <c r="AC2710" s="70" t="str">
        <f t="shared" si="944"/>
        <v/>
      </c>
      <c r="AD2710" s="70" t="str">
        <f t="shared" si="945"/>
        <v/>
      </c>
      <c r="AE2710" s="70" t="str">
        <f t="shared" si="946"/>
        <v/>
      </c>
      <c r="AF2710" s="16"/>
      <c r="AG2710" s="23"/>
      <c r="AH2710" s="22"/>
      <c r="AJ2710" s="83">
        <f t="shared" si="947"/>
        <v>0</v>
      </c>
      <c r="AO2710" s="22" t="str">
        <f t="shared" si="948"/>
        <v/>
      </c>
      <c r="AP2710" s="22" t="str">
        <f t="shared" si="949"/>
        <v/>
      </c>
    </row>
    <row r="2711" spans="1:42" x14ac:dyDescent="0.25">
      <c r="A2711" s="10"/>
      <c r="B2711" s="10"/>
      <c r="C2711" s="10"/>
      <c r="D2711" s="10"/>
      <c r="E2711" s="10"/>
      <c r="F2711" s="10"/>
      <c r="G2711" s="10"/>
      <c r="H2711" s="17"/>
      <c r="I2711" s="10"/>
      <c r="J2711" s="10"/>
      <c r="K2711" s="16" t="str">
        <f t="shared" si="928"/>
        <v/>
      </c>
      <c r="L2711" s="23" t="str">
        <f t="shared" si="929"/>
        <v/>
      </c>
      <c r="M2711" s="22" t="str">
        <f t="shared" si="930"/>
        <v/>
      </c>
      <c r="N2711" s="72"/>
      <c r="O2711" s="16" t="str">
        <f t="shared" si="931"/>
        <v/>
      </c>
      <c r="P2711" s="16" t="str">
        <f t="shared" si="932"/>
        <v/>
      </c>
      <c r="Q2711" s="16" t="str">
        <f t="shared" si="933"/>
        <v/>
      </c>
      <c r="R2711" s="23" t="str">
        <f t="shared" si="934"/>
        <v/>
      </c>
      <c r="S2711" s="23" t="str">
        <f t="shared" si="935"/>
        <v/>
      </c>
      <c r="T2711" s="23" t="str">
        <f t="shared" si="936"/>
        <v/>
      </c>
      <c r="U2711" s="23" t="str">
        <f t="shared" si="937"/>
        <v/>
      </c>
      <c r="V2711" s="23" t="str">
        <f t="shared" si="938"/>
        <v/>
      </c>
      <c r="W2711" s="70" t="str">
        <f t="shared" si="939"/>
        <v/>
      </c>
      <c r="X2711" s="70" t="str">
        <f t="shared" si="940"/>
        <v/>
      </c>
      <c r="Y2711" s="70" t="str">
        <f>IF(AND($A2711&lt;&gt;"",$E2711&gt;0),isLaptopBag($C2711,$J2711)*$D2711,"")</f>
        <v/>
      </c>
      <c r="Z2711" s="70" t="str">
        <f t="shared" si="941"/>
        <v/>
      </c>
      <c r="AA2711" s="70" t="str">
        <f t="shared" si="942"/>
        <v/>
      </c>
      <c r="AB2711" s="70" t="str">
        <f t="shared" si="943"/>
        <v/>
      </c>
      <c r="AC2711" s="70" t="str">
        <f t="shared" si="944"/>
        <v/>
      </c>
      <c r="AD2711" s="70" t="str">
        <f t="shared" si="945"/>
        <v/>
      </c>
      <c r="AE2711" s="70" t="str">
        <f t="shared" si="946"/>
        <v/>
      </c>
      <c r="AF2711" s="16"/>
      <c r="AG2711" s="23"/>
      <c r="AH2711" s="22"/>
      <c r="AJ2711" s="83">
        <f t="shared" si="947"/>
        <v>0</v>
      </c>
      <c r="AO2711" s="22" t="str">
        <f t="shared" si="948"/>
        <v/>
      </c>
      <c r="AP2711" s="22" t="str">
        <f t="shared" si="949"/>
        <v/>
      </c>
    </row>
    <row r="2712" spans="1:42" x14ac:dyDescent="0.25">
      <c r="A2712" s="10"/>
      <c r="B2712" s="10"/>
      <c r="C2712" s="10"/>
      <c r="D2712" s="10"/>
      <c r="E2712" s="10"/>
      <c r="F2712" s="10"/>
      <c r="G2712" s="10"/>
      <c r="H2712" s="17"/>
      <c r="I2712" s="10"/>
      <c r="J2712" s="10"/>
      <c r="K2712" s="16" t="str">
        <f t="shared" si="928"/>
        <v/>
      </c>
      <c r="L2712" s="23" t="str">
        <f t="shared" si="929"/>
        <v/>
      </c>
      <c r="M2712" s="22" t="str">
        <f t="shared" si="930"/>
        <v/>
      </c>
      <c r="N2712" s="72"/>
      <c r="O2712" s="16" t="str">
        <f t="shared" si="931"/>
        <v/>
      </c>
      <c r="P2712" s="16" t="str">
        <f t="shared" si="932"/>
        <v/>
      </c>
      <c r="Q2712" s="16" t="str">
        <f t="shared" si="933"/>
        <v/>
      </c>
      <c r="R2712" s="23" t="str">
        <f t="shared" si="934"/>
        <v/>
      </c>
      <c r="S2712" s="23" t="str">
        <f t="shared" si="935"/>
        <v/>
      </c>
      <c r="T2712" s="23" t="str">
        <f t="shared" si="936"/>
        <v/>
      </c>
      <c r="U2712" s="23" t="str">
        <f t="shared" si="937"/>
        <v/>
      </c>
      <c r="V2712" s="23" t="str">
        <f t="shared" si="938"/>
        <v/>
      </c>
      <c r="W2712" s="70" t="str">
        <f t="shared" si="939"/>
        <v/>
      </c>
      <c r="X2712" s="70" t="str">
        <f t="shared" si="940"/>
        <v/>
      </c>
      <c r="Y2712" s="70" t="str">
        <f>IF(AND($A2712&lt;&gt;"",$E2712&gt;0),isLaptopBag($C2712,$J2712)*$D2712,"")</f>
        <v/>
      </c>
      <c r="Z2712" s="70" t="str">
        <f t="shared" si="941"/>
        <v/>
      </c>
      <c r="AA2712" s="70" t="str">
        <f t="shared" si="942"/>
        <v/>
      </c>
      <c r="AB2712" s="70" t="str">
        <f t="shared" si="943"/>
        <v/>
      </c>
      <c r="AC2712" s="70" t="str">
        <f t="shared" si="944"/>
        <v/>
      </c>
      <c r="AD2712" s="70" t="str">
        <f t="shared" si="945"/>
        <v/>
      </c>
      <c r="AE2712" s="70" t="str">
        <f t="shared" si="946"/>
        <v/>
      </c>
      <c r="AF2712" s="16"/>
      <c r="AG2712" s="23"/>
      <c r="AH2712" s="22"/>
      <c r="AJ2712" s="83">
        <f t="shared" si="947"/>
        <v>0</v>
      </c>
      <c r="AO2712" s="22" t="str">
        <f t="shared" si="948"/>
        <v/>
      </c>
      <c r="AP2712" s="22" t="str">
        <f t="shared" si="949"/>
        <v/>
      </c>
    </row>
    <row r="2713" spans="1:42" x14ac:dyDescent="0.25">
      <c r="A2713" s="10"/>
      <c r="B2713" s="10"/>
      <c r="C2713" s="10"/>
      <c r="D2713" s="10"/>
      <c r="E2713" s="10"/>
      <c r="F2713" s="10"/>
      <c r="G2713" s="10"/>
      <c r="H2713" s="17"/>
      <c r="I2713" s="10"/>
      <c r="J2713" s="10"/>
      <c r="K2713" s="16" t="str">
        <f t="shared" si="928"/>
        <v/>
      </c>
      <c r="L2713" s="23" t="str">
        <f t="shared" si="929"/>
        <v/>
      </c>
      <c r="M2713" s="22" t="str">
        <f t="shared" si="930"/>
        <v/>
      </c>
      <c r="N2713" s="72"/>
      <c r="O2713" s="16" t="str">
        <f t="shared" si="931"/>
        <v/>
      </c>
      <c r="P2713" s="16" t="str">
        <f t="shared" si="932"/>
        <v/>
      </c>
      <c r="Q2713" s="16" t="str">
        <f t="shared" si="933"/>
        <v/>
      </c>
      <c r="R2713" s="23" t="str">
        <f t="shared" si="934"/>
        <v/>
      </c>
      <c r="S2713" s="23" t="str">
        <f t="shared" si="935"/>
        <v/>
      </c>
      <c r="T2713" s="23" t="str">
        <f t="shared" si="936"/>
        <v/>
      </c>
      <c r="U2713" s="23" t="str">
        <f t="shared" si="937"/>
        <v/>
      </c>
      <c r="V2713" s="23" t="str">
        <f t="shared" si="938"/>
        <v/>
      </c>
      <c r="W2713" s="70" t="str">
        <f t="shared" si="939"/>
        <v/>
      </c>
      <c r="X2713" s="70" t="str">
        <f t="shared" si="940"/>
        <v/>
      </c>
      <c r="Y2713" s="70" t="str">
        <f>IF(AND($A2713&lt;&gt;"",$E2713&gt;0),isLaptopBag($C2713,$J2713)*$D2713,"")</f>
        <v/>
      </c>
      <c r="Z2713" s="70" t="str">
        <f t="shared" si="941"/>
        <v/>
      </c>
      <c r="AA2713" s="70" t="str">
        <f t="shared" si="942"/>
        <v/>
      </c>
      <c r="AB2713" s="70" t="str">
        <f t="shared" si="943"/>
        <v/>
      </c>
      <c r="AC2713" s="70" t="str">
        <f t="shared" si="944"/>
        <v/>
      </c>
      <c r="AD2713" s="70" t="str">
        <f t="shared" si="945"/>
        <v/>
      </c>
      <c r="AE2713" s="70" t="str">
        <f t="shared" si="946"/>
        <v/>
      </c>
      <c r="AF2713" s="16"/>
      <c r="AG2713" s="23"/>
      <c r="AH2713" s="22"/>
      <c r="AJ2713" s="83">
        <f t="shared" si="947"/>
        <v>0</v>
      </c>
      <c r="AO2713" s="22" t="str">
        <f t="shared" si="948"/>
        <v/>
      </c>
      <c r="AP2713" s="22" t="str">
        <f t="shared" si="949"/>
        <v/>
      </c>
    </row>
    <row r="2714" spans="1:42" x14ac:dyDescent="0.25">
      <c r="A2714" s="10"/>
      <c r="B2714" s="10"/>
      <c r="C2714" s="10"/>
      <c r="D2714" s="10"/>
      <c r="E2714" s="10"/>
      <c r="F2714" s="10"/>
      <c r="G2714" s="10"/>
      <c r="H2714" s="17"/>
      <c r="I2714" s="10"/>
      <c r="J2714" s="10"/>
      <c r="K2714" s="16" t="str">
        <f t="shared" si="928"/>
        <v/>
      </c>
      <c r="L2714" s="23" t="str">
        <f t="shared" si="929"/>
        <v/>
      </c>
      <c r="M2714" s="22" t="str">
        <f t="shared" si="930"/>
        <v/>
      </c>
      <c r="N2714" s="72"/>
      <c r="O2714" s="16" t="str">
        <f t="shared" si="931"/>
        <v/>
      </c>
      <c r="P2714" s="16" t="str">
        <f t="shared" si="932"/>
        <v/>
      </c>
      <c r="Q2714" s="16" t="str">
        <f t="shared" si="933"/>
        <v/>
      </c>
      <c r="R2714" s="23" t="str">
        <f t="shared" si="934"/>
        <v/>
      </c>
      <c r="S2714" s="23" t="str">
        <f t="shared" si="935"/>
        <v/>
      </c>
      <c r="T2714" s="23" t="str">
        <f t="shared" si="936"/>
        <v/>
      </c>
      <c r="U2714" s="23" t="str">
        <f t="shared" si="937"/>
        <v/>
      </c>
      <c r="V2714" s="23" t="str">
        <f t="shared" si="938"/>
        <v/>
      </c>
      <c r="W2714" s="70" t="str">
        <f t="shared" si="939"/>
        <v/>
      </c>
      <c r="X2714" s="70" t="str">
        <f t="shared" si="940"/>
        <v/>
      </c>
      <c r="Y2714" s="70" t="str">
        <f>IF(AND($A2714&lt;&gt;"",$E2714&gt;0),isLaptopBag($C2714,$J2714)*$D2714,"")</f>
        <v/>
      </c>
      <c r="Z2714" s="70" t="str">
        <f t="shared" si="941"/>
        <v/>
      </c>
      <c r="AA2714" s="70" t="str">
        <f t="shared" si="942"/>
        <v/>
      </c>
      <c r="AB2714" s="70" t="str">
        <f t="shared" si="943"/>
        <v/>
      </c>
      <c r="AC2714" s="70" t="str">
        <f t="shared" si="944"/>
        <v/>
      </c>
      <c r="AD2714" s="70" t="str">
        <f t="shared" si="945"/>
        <v/>
      </c>
      <c r="AE2714" s="70" t="str">
        <f t="shared" si="946"/>
        <v/>
      </c>
      <c r="AF2714" s="16"/>
      <c r="AG2714" s="23"/>
      <c r="AH2714" s="22"/>
      <c r="AJ2714" s="83">
        <f t="shared" si="947"/>
        <v>0</v>
      </c>
      <c r="AO2714" s="22" t="str">
        <f t="shared" si="948"/>
        <v/>
      </c>
      <c r="AP2714" s="22" t="str">
        <f t="shared" si="949"/>
        <v/>
      </c>
    </row>
    <row r="2715" spans="1:42" x14ac:dyDescent="0.25">
      <c r="A2715" s="10"/>
      <c r="B2715" s="10"/>
      <c r="C2715" s="10"/>
      <c r="D2715" s="10"/>
      <c r="E2715" s="10"/>
      <c r="F2715" s="10"/>
      <c r="G2715" s="10"/>
      <c r="H2715" s="17"/>
      <c r="I2715" s="10"/>
      <c r="J2715" s="10"/>
      <c r="K2715" s="16" t="str">
        <f t="shared" si="928"/>
        <v/>
      </c>
      <c r="L2715" s="23" t="str">
        <f t="shared" si="929"/>
        <v/>
      </c>
      <c r="M2715" s="22" t="str">
        <f t="shared" si="930"/>
        <v/>
      </c>
      <c r="N2715" s="72"/>
      <c r="O2715" s="16" t="str">
        <f t="shared" si="931"/>
        <v/>
      </c>
      <c r="P2715" s="16" t="str">
        <f t="shared" si="932"/>
        <v/>
      </c>
      <c r="Q2715" s="16" t="str">
        <f t="shared" si="933"/>
        <v/>
      </c>
      <c r="R2715" s="23" t="str">
        <f t="shared" si="934"/>
        <v/>
      </c>
      <c r="S2715" s="23" t="str">
        <f t="shared" si="935"/>
        <v/>
      </c>
      <c r="T2715" s="23" t="str">
        <f t="shared" si="936"/>
        <v/>
      </c>
      <c r="U2715" s="23" t="str">
        <f t="shared" si="937"/>
        <v/>
      </c>
      <c r="V2715" s="23" t="str">
        <f t="shared" si="938"/>
        <v/>
      </c>
      <c r="W2715" s="70" t="str">
        <f t="shared" si="939"/>
        <v/>
      </c>
      <c r="X2715" s="70" t="str">
        <f t="shared" si="940"/>
        <v/>
      </c>
      <c r="Y2715" s="70" t="str">
        <f>IF(AND($A2715&lt;&gt;"",$E2715&gt;0),isLaptopBag($C2715,$J2715)*$D2715,"")</f>
        <v/>
      </c>
      <c r="Z2715" s="70" t="str">
        <f t="shared" si="941"/>
        <v/>
      </c>
      <c r="AA2715" s="70" t="str">
        <f t="shared" si="942"/>
        <v/>
      </c>
      <c r="AB2715" s="70" t="str">
        <f t="shared" si="943"/>
        <v/>
      </c>
      <c r="AC2715" s="70" t="str">
        <f t="shared" si="944"/>
        <v/>
      </c>
      <c r="AD2715" s="70" t="str">
        <f t="shared" si="945"/>
        <v/>
      </c>
      <c r="AE2715" s="70" t="str">
        <f t="shared" si="946"/>
        <v/>
      </c>
      <c r="AF2715" s="16"/>
      <c r="AG2715" s="23"/>
      <c r="AH2715" s="22"/>
      <c r="AJ2715" s="83">
        <f t="shared" si="947"/>
        <v>0</v>
      </c>
      <c r="AO2715" s="22" t="str">
        <f t="shared" si="948"/>
        <v/>
      </c>
      <c r="AP2715" s="22" t="str">
        <f t="shared" si="949"/>
        <v/>
      </c>
    </row>
    <row r="2716" spans="1:42" x14ac:dyDescent="0.25">
      <c r="A2716" s="10"/>
      <c r="B2716" s="10"/>
      <c r="C2716" s="10"/>
      <c r="D2716" s="10"/>
      <c r="E2716" s="10"/>
      <c r="F2716" s="10"/>
      <c r="G2716" s="10"/>
      <c r="H2716" s="17"/>
      <c r="I2716" s="10"/>
      <c r="J2716" s="10"/>
      <c r="K2716" s="16" t="str">
        <f t="shared" si="928"/>
        <v/>
      </c>
      <c r="L2716" s="23" t="str">
        <f t="shared" si="929"/>
        <v/>
      </c>
      <c r="M2716" s="22" t="str">
        <f t="shared" si="930"/>
        <v/>
      </c>
      <c r="N2716" s="72"/>
      <c r="O2716" s="16" t="str">
        <f t="shared" si="931"/>
        <v/>
      </c>
      <c r="P2716" s="16" t="str">
        <f t="shared" si="932"/>
        <v/>
      </c>
      <c r="Q2716" s="16" t="str">
        <f t="shared" si="933"/>
        <v/>
      </c>
      <c r="R2716" s="23" t="str">
        <f t="shared" si="934"/>
        <v/>
      </c>
      <c r="S2716" s="23" t="str">
        <f t="shared" si="935"/>
        <v/>
      </c>
      <c r="T2716" s="23" t="str">
        <f t="shared" si="936"/>
        <v/>
      </c>
      <c r="U2716" s="23" t="str">
        <f t="shared" si="937"/>
        <v/>
      </c>
      <c r="V2716" s="23" t="str">
        <f t="shared" si="938"/>
        <v/>
      </c>
      <c r="W2716" s="70" t="str">
        <f t="shared" si="939"/>
        <v/>
      </c>
      <c r="X2716" s="70" t="str">
        <f t="shared" si="940"/>
        <v/>
      </c>
      <c r="Y2716" s="70" t="str">
        <f>IF(AND($A2716&lt;&gt;"",$E2716&gt;0),isLaptopBag($C2716,$J2716)*$D2716,"")</f>
        <v/>
      </c>
      <c r="Z2716" s="70" t="str">
        <f t="shared" si="941"/>
        <v/>
      </c>
      <c r="AA2716" s="70" t="str">
        <f t="shared" si="942"/>
        <v/>
      </c>
      <c r="AB2716" s="70" t="str">
        <f t="shared" si="943"/>
        <v/>
      </c>
      <c r="AC2716" s="70" t="str">
        <f t="shared" si="944"/>
        <v/>
      </c>
      <c r="AD2716" s="70" t="str">
        <f t="shared" si="945"/>
        <v/>
      </c>
      <c r="AE2716" s="70" t="str">
        <f t="shared" si="946"/>
        <v/>
      </c>
      <c r="AF2716" s="16"/>
      <c r="AG2716" s="23"/>
      <c r="AH2716" s="22"/>
      <c r="AJ2716" s="83">
        <f t="shared" si="947"/>
        <v>0</v>
      </c>
      <c r="AO2716" s="22" t="str">
        <f t="shared" si="948"/>
        <v/>
      </c>
      <c r="AP2716" s="22" t="str">
        <f t="shared" si="949"/>
        <v/>
      </c>
    </row>
    <row r="2717" spans="1:42" x14ac:dyDescent="0.25">
      <c r="A2717" s="10"/>
      <c r="B2717" s="10"/>
      <c r="C2717" s="10"/>
      <c r="D2717" s="10"/>
      <c r="E2717" s="10"/>
      <c r="F2717" s="10"/>
      <c r="G2717" s="10"/>
      <c r="H2717" s="17"/>
      <c r="I2717" s="10"/>
      <c r="J2717" s="10"/>
      <c r="K2717" s="16" t="str">
        <f t="shared" si="928"/>
        <v/>
      </c>
      <c r="L2717" s="23" t="str">
        <f t="shared" si="929"/>
        <v/>
      </c>
      <c r="M2717" s="22" t="str">
        <f t="shared" si="930"/>
        <v/>
      </c>
      <c r="N2717" s="72"/>
      <c r="O2717" s="16" t="str">
        <f t="shared" si="931"/>
        <v/>
      </c>
      <c r="P2717" s="16" t="str">
        <f t="shared" si="932"/>
        <v/>
      </c>
      <c r="Q2717" s="16" t="str">
        <f t="shared" si="933"/>
        <v/>
      </c>
      <c r="R2717" s="23" t="str">
        <f t="shared" si="934"/>
        <v/>
      </c>
      <c r="S2717" s="23" t="str">
        <f t="shared" si="935"/>
        <v/>
      </c>
      <c r="T2717" s="23" t="str">
        <f t="shared" si="936"/>
        <v/>
      </c>
      <c r="U2717" s="23" t="str">
        <f t="shared" si="937"/>
        <v/>
      </c>
      <c r="V2717" s="23" t="str">
        <f t="shared" si="938"/>
        <v/>
      </c>
      <c r="W2717" s="70" t="str">
        <f t="shared" si="939"/>
        <v/>
      </c>
      <c r="X2717" s="70" t="str">
        <f t="shared" si="940"/>
        <v/>
      </c>
      <c r="Y2717" s="70" t="str">
        <f>IF(AND($A2717&lt;&gt;"",$E2717&gt;0),isLaptopBag($C2717,$J2717)*$D2717,"")</f>
        <v/>
      </c>
      <c r="Z2717" s="70" t="str">
        <f t="shared" si="941"/>
        <v/>
      </c>
      <c r="AA2717" s="70" t="str">
        <f t="shared" si="942"/>
        <v/>
      </c>
      <c r="AB2717" s="70" t="str">
        <f t="shared" si="943"/>
        <v/>
      </c>
      <c r="AC2717" s="70" t="str">
        <f t="shared" si="944"/>
        <v/>
      </c>
      <c r="AD2717" s="70" t="str">
        <f t="shared" si="945"/>
        <v/>
      </c>
      <c r="AE2717" s="70" t="str">
        <f t="shared" si="946"/>
        <v/>
      </c>
      <c r="AF2717" s="16"/>
      <c r="AG2717" s="23"/>
      <c r="AH2717" s="22"/>
      <c r="AJ2717" s="83">
        <f t="shared" si="947"/>
        <v>0</v>
      </c>
      <c r="AO2717" s="22" t="str">
        <f t="shared" si="948"/>
        <v/>
      </c>
      <c r="AP2717" s="22" t="str">
        <f t="shared" si="949"/>
        <v/>
      </c>
    </row>
    <row r="2718" spans="1:42" x14ac:dyDescent="0.25">
      <c r="A2718" s="10"/>
      <c r="B2718" s="10"/>
      <c r="C2718" s="10"/>
      <c r="D2718" s="10"/>
      <c r="E2718" s="10"/>
      <c r="F2718" s="10"/>
      <c r="G2718" s="10"/>
      <c r="H2718" s="17"/>
      <c r="I2718" s="10"/>
      <c r="J2718" s="10"/>
      <c r="K2718" s="16" t="str">
        <f t="shared" si="928"/>
        <v/>
      </c>
      <c r="L2718" s="23" t="str">
        <f t="shared" si="929"/>
        <v/>
      </c>
      <c r="M2718" s="22" t="str">
        <f t="shared" si="930"/>
        <v/>
      </c>
      <c r="N2718" s="72"/>
      <c r="O2718" s="16" t="str">
        <f t="shared" si="931"/>
        <v/>
      </c>
      <c r="P2718" s="16" t="str">
        <f t="shared" si="932"/>
        <v/>
      </c>
      <c r="Q2718" s="16" t="str">
        <f t="shared" si="933"/>
        <v/>
      </c>
      <c r="R2718" s="23" t="str">
        <f t="shared" si="934"/>
        <v/>
      </c>
      <c r="S2718" s="23" t="str">
        <f t="shared" si="935"/>
        <v/>
      </c>
      <c r="T2718" s="23" t="str">
        <f t="shared" si="936"/>
        <v/>
      </c>
      <c r="U2718" s="23" t="str">
        <f t="shared" si="937"/>
        <v/>
      </c>
      <c r="V2718" s="23" t="str">
        <f t="shared" si="938"/>
        <v/>
      </c>
      <c r="W2718" s="70" t="str">
        <f t="shared" si="939"/>
        <v/>
      </c>
      <c r="X2718" s="70" t="str">
        <f t="shared" si="940"/>
        <v/>
      </c>
      <c r="Y2718" s="70" t="str">
        <f>IF(AND($A2718&lt;&gt;"",$E2718&gt;0),isLaptopBag($C2718,$J2718)*$D2718,"")</f>
        <v/>
      </c>
      <c r="Z2718" s="70" t="str">
        <f t="shared" si="941"/>
        <v/>
      </c>
      <c r="AA2718" s="70" t="str">
        <f t="shared" si="942"/>
        <v/>
      </c>
      <c r="AB2718" s="70" t="str">
        <f t="shared" si="943"/>
        <v/>
      </c>
      <c r="AC2718" s="70" t="str">
        <f t="shared" si="944"/>
        <v/>
      </c>
      <c r="AD2718" s="70" t="str">
        <f t="shared" si="945"/>
        <v/>
      </c>
      <c r="AE2718" s="70" t="str">
        <f t="shared" si="946"/>
        <v/>
      </c>
      <c r="AF2718" s="16"/>
      <c r="AG2718" s="23"/>
      <c r="AH2718" s="22"/>
      <c r="AJ2718" s="83">
        <f t="shared" si="947"/>
        <v>0</v>
      </c>
      <c r="AO2718" s="22" t="str">
        <f t="shared" si="948"/>
        <v/>
      </c>
      <c r="AP2718" s="22" t="str">
        <f t="shared" si="949"/>
        <v/>
      </c>
    </row>
    <row r="2719" spans="1:42" x14ac:dyDescent="0.25">
      <c r="A2719" s="10"/>
      <c r="B2719" s="10"/>
      <c r="C2719" s="10"/>
      <c r="D2719" s="10"/>
      <c r="E2719" s="10"/>
      <c r="F2719" s="10"/>
      <c r="G2719" s="10"/>
      <c r="H2719" s="17"/>
      <c r="I2719" s="10"/>
      <c r="J2719" s="10"/>
      <c r="K2719" s="16" t="str">
        <f t="shared" si="928"/>
        <v/>
      </c>
      <c r="L2719" s="23" t="str">
        <f t="shared" si="929"/>
        <v/>
      </c>
      <c r="M2719" s="22" t="str">
        <f t="shared" si="930"/>
        <v/>
      </c>
      <c r="N2719" s="72"/>
      <c r="O2719" s="16" t="str">
        <f t="shared" si="931"/>
        <v/>
      </c>
      <c r="P2719" s="16" t="str">
        <f t="shared" si="932"/>
        <v/>
      </c>
      <c r="Q2719" s="16" t="str">
        <f t="shared" si="933"/>
        <v/>
      </c>
      <c r="R2719" s="23" t="str">
        <f t="shared" si="934"/>
        <v/>
      </c>
      <c r="S2719" s="23" t="str">
        <f t="shared" si="935"/>
        <v/>
      </c>
      <c r="T2719" s="23" t="str">
        <f t="shared" si="936"/>
        <v/>
      </c>
      <c r="U2719" s="23" t="str">
        <f t="shared" si="937"/>
        <v/>
      </c>
      <c r="V2719" s="23" t="str">
        <f t="shared" si="938"/>
        <v/>
      </c>
      <c r="W2719" s="70" t="str">
        <f t="shared" si="939"/>
        <v/>
      </c>
      <c r="X2719" s="70" t="str">
        <f t="shared" si="940"/>
        <v/>
      </c>
      <c r="Y2719" s="70" t="str">
        <f>IF(AND($A2719&lt;&gt;"",$E2719&gt;0),isLaptopBag($C2719,$J2719)*$D2719,"")</f>
        <v/>
      </c>
      <c r="Z2719" s="70" t="str">
        <f t="shared" si="941"/>
        <v/>
      </c>
      <c r="AA2719" s="70" t="str">
        <f t="shared" si="942"/>
        <v/>
      </c>
      <c r="AB2719" s="70" t="str">
        <f t="shared" si="943"/>
        <v/>
      </c>
      <c r="AC2719" s="70" t="str">
        <f t="shared" si="944"/>
        <v/>
      </c>
      <c r="AD2719" s="70" t="str">
        <f t="shared" si="945"/>
        <v/>
      </c>
      <c r="AE2719" s="70" t="str">
        <f t="shared" si="946"/>
        <v/>
      </c>
      <c r="AF2719" s="16"/>
      <c r="AG2719" s="23"/>
      <c r="AH2719" s="22"/>
      <c r="AJ2719" s="83">
        <f t="shared" si="947"/>
        <v>0</v>
      </c>
      <c r="AO2719" s="22" t="str">
        <f t="shared" si="948"/>
        <v/>
      </c>
      <c r="AP2719" s="22" t="str">
        <f t="shared" si="949"/>
        <v/>
      </c>
    </row>
    <row r="2720" spans="1:42" x14ac:dyDescent="0.25">
      <c r="A2720" s="10"/>
      <c r="B2720" s="10"/>
      <c r="C2720" s="10"/>
      <c r="D2720" s="10"/>
      <c r="E2720" s="10"/>
      <c r="F2720" s="10"/>
      <c r="G2720" s="10"/>
      <c r="H2720" s="17"/>
      <c r="I2720" s="10"/>
      <c r="J2720" s="10"/>
      <c r="K2720" s="16" t="str">
        <f t="shared" si="928"/>
        <v/>
      </c>
      <c r="L2720" s="23" t="str">
        <f t="shared" si="929"/>
        <v/>
      </c>
      <c r="M2720" s="22" t="str">
        <f t="shared" si="930"/>
        <v/>
      </c>
      <c r="N2720" s="72"/>
      <c r="O2720" s="16" t="str">
        <f t="shared" si="931"/>
        <v/>
      </c>
      <c r="P2720" s="16" t="str">
        <f t="shared" si="932"/>
        <v/>
      </c>
      <c r="Q2720" s="16" t="str">
        <f t="shared" si="933"/>
        <v/>
      </c>
      <c r="R2720" s="23" t="str">
        <f t="shared" si="934"/>
        <v/>
      </c>
      <c r="S2720" s="23" t="str">
        <f t="shared" si="935"/>
        <v/>
      </c>
      <c r="T2720" s="23" t="str">
        <f t="shared" si="936"/>
        <v/>
      </c>
      <c r="U2720" s="23" t="str">
        <f t="shared" si="937"/>
        <v/>
      </c>
      <c r="V2720" s="23" t="str">
        <f t="shared" si="938"/>
        <v/>
      </c>
      <c r="W2720" s="70" t="str">
        <f t="shared" si="939"/>
        <v/>
      </c>
      <c r="X2720" s="70" t="str">
        <f t="shared" si="940"/>
        <v/>
      </c>
      <c r="Y2720" s="70" t="str">
        <f>IF(AND($A2720&lt;&gt;"",$E2720&gt;0),isLaptopBag($C2720,$J2720)*$D2720,"")</f>
        <v/>
      </c>
      <c r="Z2720" s="70" t="str">
        <f t="shared" si="941"/>
        <v/>
      </c>
      <c r="AA2720" s="70" t="str">
        <f t="shared" si="942"/>
        <v/>
      </c>
      <c r="AB2720" s="70" t="str">
        <f t="shared" si="943"/>
        <v/>
      </c>
      <c r="AC2720" s="70" t="str">
        <f t="shared" si="944"/>
        <v/>
      </c>
      <c r="AD2720" s="70" t="str">
        <f t="shared" si="945"/>
        <v/>
      </c>
      <c r="AE2720" s="70" t="str">
        <f t="shared" si="946"/>
        <v/>
      </c>
      <c r="AF2720" s="16"/>
      <c r="AG2720" s="23"/>
      <c r="AH2720" s="22"/>
      <c r="AJ2720" s="83">
        <f t="shared" si="947"/>
        <v>0</v>
      </c>
      <c r="AO2720" s="22" t="str">
        <f t="shared" si="948"/>
        <v/>
      </c>
      <c r="AP2720" s="22" t="str">
        <f t="shared" si="949"/>
        <v/>
      </c>
    </row>
    <row r="2721" spans="1:42" x14ac:dyDescent="0.25">
      <c r="A2721" s="10"/>
      <c r="B2721" s="10"/>
      <c r="C2721" s="10"/>
      <c r="D2721" s="10"/>
      <c r="E2721" s="10"/>
      <c r="F2721" s="10"/>
      <c r="G2721" s="10"/>
      <c r="H2721" s="17"/>
      <c r="I2721" s="10"/>
      <c r="J2721" s="10"/>
      <c r="K2721" s="16" t="str">
        <f t="shared" si="928"/>
        <v/>
      </c>
      <c r="L2721" s="23" t="str">
        <f t="shared" si="929"/>
        <v/>
      </c>
      <c r="M2721" s="22" t="str">
        <f t="shared" si="930"/>
        <v/>
      </c>
      <c r="N2721" s="72"/>
      <c r="O2721" s="16" t="str">
        <f t="shared" si="931"/>
        <v/>
      </c>
      <c r="P2721" s="16" t="str">
        <f t="shared" si="932"/>
        <v/>
      </c>
      <c r="Q2721" s="16" t="str">
        <f t="shared" si="933"/>
        <v/>
      </c>
      <c r="R2721" s="23" t="str">
        <f t="shared" si="934"/>
        <v/>
      </c>
      <c r="S2721" s="23" t="str">
        <f t="shared" si="935"/>
        <v/>
      </c>
      <c r="T2721" s="23" t="str">
        <f t="shared" si="936"/>
        <v/>
      </c>
      <c r="U2721" s="23" t="str">
        <f t="shared" si="937"/>
        <v/>
      </c>
      <c r="V2721" s="23" t="str">
        <f t="shared" si="938"/>
        <v/>
      </c>
      <c r="W2721" s="70" t="str">
        <f t="shared" si="939"/>
        <v/>
      </c>
      <c r="X2721" s="70" t="str">
        <f t="shared" si="940"/>
        <v/>
      </c>
      <c r="Y2721" s="70" t="str">
        <f>IF(AND($A2721&lt;&gt;"",$E2721&gt;0),isLaptopBag($C2721,$J2721)*$D2721,"")</f>
        <v/>
      </c>
      <c r="Z2721" s="70" t="str">
        <f t="shared" si="941"/>
        <v/>
      </c>
      <c r="AA2721" s="70" t="str">
        <f t="shared" si="942"/>
        <v/>
      </c>
      <c r="AB2721" s="70" t="str">
        <f t="shared" si="943"/>
        <v/>
      </c>
      <c r="AC2721" s="70" t="str">
        <f t="shared" si="944"/>
        <v/>
      </c>
      <c r="AD2721" s="70" t="str">
        <f t="shared" si="945"/>
        <v/>
      </c>
      <c r="AE2721" s="70" t="str">
        <f t="shared" si="946"/>
        <v/>
      </c>
      <c r="AF2721" s="16"/>
      <c r="AG2721" s="23"/>
      <c r="AH2721" s="22"/>
      <c r="AJ2721" s="83">
        <f t="shared" si="947"/>
        <v>0</v>
      </c>
      <c r="AO2721" s="22" t="str">
        <f t="shared" si="948"/>
        <v/>
      </c>
      <c r="AP2721" s="22" t="str">
        <f t="shared" si="949"/>
        <v/>
      </c>
    </row>
    <row r="2722" spans="1:42" x14ac:dyDescent="0.25">
      <c r="A2722" s="10"/>
      <c r="B2722" s="10"/>
      <c r="C2722" s="10"/>
      <c r="D2722" s="10"/>
      <c r="E2722" s="10"/>
      <c r="F2722" s="10"/>
      <c r="G2722" s="10"/>
      <c r="H2722" s="17"/>
      <c r="I2722" s="10"/>
      <c r="J2722" s="10"/>
      <c r="K2722" s="16" t="str">
        <f t="shared" si="928"/>
        <v/>
      </c>
      <c r="L2722" s="23" t="str">
        <f t="shared" si="929"/>
        <v/>
      </c>
      <c r="M2722" s="22" t="str">
        <f t="shared" si="930"/>
        <v/>
      </c>
      <c r="N2722" s="72"/>
      <c r="O2722" s="16" t="str">
        <f t="shared" si="931"/>
        <v/>
      </c>
      <c r="P2722" s="16" t="str">
        <f t="shared" si="932"/>
        <v/>
      </c>
      <c r="Q2722" s="16" t="str">
        <f t="shared" si="933"/>
        <v/>
      </c>
      <c r="R2722" s="23" t="str">
        <f t="shared" si="934"/>
        <v/>
      </c>
      <c r="S2722" s="23" t="str">
        <f t="shared" si="935"/>
        <v/>
      </c>
      <c r="T2722" s="23" t="str">
        <f t="shared" si="936"/>
        <v/>
      </c>
      <c r="U2722" s="23" t="str">
        <f t="shared" si="937"/>
        <v/>
      </c>
      <c r="V2722" s="23" t="str">
        <f t="shared" si="938"/>
        <v/>
      </c>
      <c r="W2722" s="70" t="str">
        <f t="shared" si="939"/>
        <v/>
      </c>
      <c r="X2722" s="70" t="str">
        <f t="shared" si="940"/>
        <v/>
      </c>
      <c r="Y2722" s="70" t="str">
        <f>IF(AND($A2722&lt;&gt;"",$E2722&gt;0),isLaptopBag($C2722,$J2722)*$D2722,"")</f>
        <v/>
      </c>
      <c r="Z2722" s="70" t="str">
        <f t="shared" si="941"/>
        <v/>
      </c>
      <c r="AA2722" s="70" t="str">
        <f t="shared" si="942"/>
        <v/>
      </c>
      <c r="AB2722" s="70" t="str">
        <f t="shared" si="943"/>
        <v/>
      </c>
      <c r="AC2722" s="70" t="str">
        <f t="shared" si="944"/>
        <v/>
      </c>
      <c r="AD2722" s="70" t="str">
        <f t="shared" si="945"/>
        <v/>
      </c>
      <c r="AE2722" s="70" t="str">
        <f t="shared" si="946"/>
        <v/>
      </c>
      <c r="AF2722" s="16"/>
      <c r="AG2722" s="23"/>
      <c r="AH2722" s="22"/>
      <c r="AJ2722" s="83">
        <f t="shared" si="947"/>
        <v>0</v>
      </c>
      <c r="AO2722" s="22" t="str">
        <f t="shared" si="948"/>
        <v/>
      </c>
      <c r="AP2722" s="22" t="str">
        <f t="shared" si="949"/>
        <v/>
      </c>
    </row>
    <row r="2723" spans="1:42" x14ac:dyDescent="0.25">
      <c r="A2723" s="10"/>
      <c r="B2723" s="10"/>
      <c r="C2723" s="10"/>
      <c r="D2723" s="10"/>
      <c r="E2723" s="10"/>
      <c r="F2723" s="10"/>
      <c r="G2723" s="10"/>
      <c r="H2723" s="17"/>
      <c r="I2723" s="10"/>
      <c r="J2723" s="10"/>
      <c r="K2723" s="16" t="str">
        <f t="shared" si="928"/>
        <v/>
      </c>
      <c r="L2723" s="23" t="str">
        <f t="shared" si="929"/>
        <v/>
      </c>
      <c r="M2723" s="22" t="str">
        <f t="shared" si="930"/>
        <v/>
      </c>
      <c r="N2723" s="72"/>
      <c r="O2723" s="16" t="str">
        <f t="shared" si="931"/>
        <v/>
      </c>
      <c r="P2723" s="16" t="str">
        <f t="shared" si="932"/>
        <v/>
      </c>
      <c r="Q2723" s="16" t="str">
        <f t="shared" si="933"/>
        <v/>
      </c>
      <c r="R2723" s="23" t="str">
        <f t="shared" si="934"/>
        <v/>
      </c>
      <c r="S2723" s="23" t="str">
        <f t="shared" si="935"/>
        <v/>
      </c>
      <c r="T2723" s="23" t="str">
        <f t="shared" si="936"/>
        <v/>
      </c>
      <c r="U2723" s="23" t="str">
        <f t="shared" si="937"/>
        <v/>
      </c>
      <c r="V2723" s="23" t="str">
        <f t="shared" si="938"/>
        <v/>
      </c>
      <c r="W2723" s="70" t="str">
        <f t="shared" si="939"/>
        <v/>
      </c>
      <c r="X2723" s="70" t="str">
        <f t="shared" si="940"/>
        <v/>
      </c>
      <c r="Y2723" s="70" t="str">
        <f>IF(AND($A2723&lt;&gt;"",$E2723&gt;0),isLaptopBag($C2723,$J2723)*$D2723,"")</f>
        <v/>
      </c>
      <c r="Z2723" s="70" t="str">
        <f t="shared" si="941"/>
        <v/>
      </c>
      <c r="AA2723" s="70" t="str">
        <f t="shared" si="942"/>
        <v/>
      </c>
      <c r="AB2723" s="70" t="str">
        <f t="shared" si="943"/>
        <v/>
      </c>
      <c r="AC2723" s="70" t="str">
        <f t="shared" si="944"/>
        <v/>
      </c>
      <c r="AD2723" s="70" t="str">
        <f t="shared" si="945"/>
        <v/>
      </c>
      <c r="AE2723" s="70" t="str">
        <f t="shared" si="946"/>
        <v/>
      </c>
      <c r="AF2723" s="16"/>
      <c r="AG2723" s="23"/>
      <c r="AH2723" s="22"/>
      <c r="AJ2723" s="83">
        <f t="shared" si="947"/>
        <v>0</v>
      </c>
      <c r="AO2723" s="22" t="str">
        <f t="shared" si="948"/>
        <v/>
      </c>
      <c r="AP2723" s="22" t="str">
        <f t="shared" si="949"/>
        <v/>
      </c>
    </row>
    <row r="2724" spans="1:42" x14ac:dyDescent="0.25">
      <c r="A2724" s="10"/>
      <c r="B2724" s="10"/>
      <c r="C2724" s="10"/>
      <c r="D2724" s="10"/>
      <c r="E2724" s="10"/>
      <c r="F2724" s="10"/>
      <c r="G2724" s="10"/>
      <c r="H2724" s="17"/>
      <c r="I2724" s="10"/>
      <c r="J2724" s="10"/>
      <c r="K2724" s="16" t="str">
        <f t="shared" si="928"/>
        <v/>
      </c>
      <c r="L2724" s="23" t="str">
        <f t="shared" si="929"/>
        <v/>
      </c>
      <c r="M2724" s="22" t="str">
        <f t="shared" si="930"/>
        <v/>
      </c>
      <c r="N2724" s="72"/>
      <c r="O2724" s="16" t="str">
        <f t="shared" si="931"/>
        <v/>
      </c>
      <c r="P2724" s="16" t="str">
        <f t="shared" si="932"/>
        <v/>
      </c>
      <c r="Q2724" s="16" t="str">
        <f t="shared" si="933"/>
        <v/>
      </c>
      <c r="R2724" s="23" t="str">
        <f t="shared" si="934"/>
        <v/>
      </c>
      <c r="S2724" s="23" t="str">
        <f t="shared" si="935"/>
        <v/>
      </c>
      <c r="T2724" s="23" t="str">
        <f t="shared" si="936"/>
        <v/>
      </c>
      <c r="U2724" s="23" t="str">
        <f t="shared" si="937"/>
        <v/>
      </c>
      <c r="V2724" s="23" t="str">
        <f t="shared" si="938"/>
        <v/>
      </c>
      <c r="W2724" s="70" t="str">
        <f t="shared" si="939"/>
        <v/>
      </c>
      <c r="X2724" s="70" t="str">
        <f t="shared" si="940"/>
        <v/>
      </c>
      <c r="Y2724" s="70" t="str">
        <f>IF(AND($A2724&lt;&gt;"",$E2724&gt;0),isLaptopBag($C2724,$J2724)*$D2724,"")</f>
        <v/>
      </c>
      <c r="Z2724" s="70" t="str">
        <f t="shared" si="941"/>
        <v/>
      </c>
      <c r="AA2724" s="70" t="str">
        <f t="shared" si="942"/>
        <v/>
      </c>
      <c r="AB2724" s="70" t="str">
        <f t="shared" si="943"/>
        <v/>
      </c>
      <c r="AC2724" s="70" t="str">
        <f t="shared" si="944"/>
        <v/>
      </c>
      <c r="AD2724" s="70" t="str">
        <f t="shared" si="945"/>
        <v/>
      </c>
      <c r="AE2724" s="70" t="str">
        <f t="shared" si="946"/>
        <v/>
      </c>
      <c r="AF2724" s="16"/>
      <c r="AG2724" s="23"/>
      <c r="AH2724" s="22"/>
      <c r="AJ2724" s="83">
        <f t="shared" si="947"/>
        <v>0</v>
      </c>
      <c r="AO2724" s="22" t="str">
        <f t="shared" si="948"/>
        <v/>
      </c>
      <c r="AP2724" s="22" t="str">
        <f t="shared" si="949"/>
        <v/>
      </c>
    </row>
    <row r="2725" spans="1:42" x14ac:dyDescent="0.25">
      <c r="A2725" s="10"/>
      <c r="B2725" s="10"/>
      <c r="C2725" s="10"/>
      <c r="D2725" s="10"/>
      <c r="E2725" s="10"/>
      <c r="F2725" s="10"/>
      <c r="G2725" s="10"/>
      <c r="H2725" s="17"/>
      <c r="I2725" s="10"/>
      <c r="J2725" s="10"/>
      <c r="K2725" s="16" t="str">
        <f t="shared" si="928"/>
        <v/>
      </c>
      <c r="L2725" s="23" t="str">
        <f t="shared" si="929"/>
        <v/>
      </c>
      <c r="M2725" s="22" t="str">
        <f t="shared" si="930"/>
        <v/>
      </c>
      <c r="N2725" s="72"/>
      <c r="O2725" s="16" t="str">
        <f t="shared" si="931"/>
        <v/>
      </c>
      <c r="P2725" s="16" t="str">
        <f t="shared" si="932"/>
        <v/>
      </c>
      <c r="Q2725" s="16" t="str">
        <f t="shared" si="933"/>
        <v/>
      </c>
      <c r="R2725" s="23" t="str">
        <f t="shared" si="934"/>
        <v/>
      </c>
      <c r="S2725" s="23" t="str">
        <f t="shared" si="935"/>
        <v/>
      </c>
      <c r="T2725" s="23" t="str">
        <f t="shared" si="936"/>
        <v/>
      </c>
      <c r="U2725" s="23" t="str">
        <f t="shared" si="937"/>
        <v/>
      </c>
      <c r="V2725" s="23" t="str">
        <f t="shared" si="938"/>
        <v/>
      </c>
      <c r="W2725" s="70" t="str">
        <f t="shared" si="939"/>
        <v/>
      </c>
      <c r="X2725" s="70" t="str">
        <f t="shared" si="940"/>
        <v/>
      </c>
      <c r="Y2725" s="70" t="str">
        <f>IF(AND($A2725&lt;&gt;"",$E2725&gt;0),isLaptopBag($C2725,$J2725)*$D2725,"")</f>
        <v/>
      </c>
      <c r="Z2725" s="70" t="str">
        <f t="shared" si="941"/>
        <v/>
      </c>
      <c r="AA2725" s="70" t="str">
        <f t="shared" si="942"/>
        <v/>
      </c>
      <c r="AB2725" s="70" t="str">
        <f t="shared" si="943"/>
        <v/>
      </c>
      <c r="AC2725" s="70" t="str">
        <f t="shared" si="944"/>
        <v/>
      </c>
      <c r="AD2725" s="70" t="str">
        <f t="shared" si="945"/>
        <v/>
      </c>
      <c r="AE2725" s="70" t="str">
        <f t="shared" si="946"/>
        <v/>
      </c>
      <c r="AF2725" s="16"/>
      <c r="AG2725" s="23"/>
      <c r="AH2725" s="22"/>
      <c r="AJ2725" s="83">
        <f t="shared" si="947"/>
        <v>0</v>
      </c>
      <c r="AO2725" s="22" t="str">
        <f t="shared" si="948"/>
        <v/>
      </c>
      <c r="AP2725" s="22" t="str">
        <f t="shared" si="949"/>
        <v/>
      </c>
    </row>
    <row r="2726" spans="1:42" x14ac:dyDescent="0.25">
      <c r="A2726" s="10"/>
      <c r="B2726" s="10"/>
      <c r="C2726" s="10"/>
      <c r="D2726" s="10"/>
      <c r="E2726" s="10"/>
      <c r="F2726" s="10"/>
      <c r="G2726" s="10"/>
      <c r="H2726" s="17"/>
      <c r="I2726" s="10"/>
      <c r="J2726" s="10"/>
      <c r="K2726" s="16" t="str">
        <f t="shared" si="928"/>
        <v/>
      </c>
      <c r="L2726" s="23" t="str">
        <f t="shared" si="929"/>
        <v/>
      </c>
      <c r="M2726" s="22" t="str">
        <f t="shared" si="930"/>
        <v/>
      </c>
      <c r="N2726" s="72"/>
      <c r="O2726" s="16" t="str">
        <f t="shared" si="931"/>
        <v/>
      </c>
      <c r="P2726" s="16" t="str">
        <f t="shared" si="932"/>
        <v/>
      </c>
      <c r="Q2726" s="16" t="str">
        <f t="shared" si="933"/>
        <v/>
      </c>
      <c r="R2726" s="23" t="str">
        <f t="shared" si="934"/>
        <v/>
      </c>
      <c r="S2726" s="23" t="str">
        <f t="shared" si="935"/>
        <v/>
      </c>
      <c r="T2726" s="23" t="str">
        <f t="shared" si="936"/>
        <v/>
      </c>
      <c r="U2726" s="23" t="str">
        <f t="shared" si="937"/>
        <v/>
      </c>
      <c r="V2726" s="23" t="str">
        <f t="shared" si="938"/>
        <v/>
      </c>
      <c r="W2726" s="70" t="str">
        <f t="shared" si="939"/>
        <v/>
      </c>
      <c r="X2726" s="70" t="str">
        <f t="shared" si="940"/>
        <v/>
      </c>
      <c r="Y2726" s="70" t="str">
        <f>IF(AND($A2726&lt;&gt;"",$E2726&gt;0),isLaptopBag($C2726,$J2726)*$D2726,"")</f>
        <v/>
      </c>
      <c r="Z2726" s="70" t="str">
        <f t="shared" si="941"/>
        <v/>
      </c>
      <c r="AA2726" s="70" t="str">
        <f t="shared" si="942"/>
        <v/>
      </c>
      <c r="AB2726" s="70" t="str">
        <f t="shared" si="943"/>
        <v/>
      </c>
      <c r="AC2726" s="70" t="str">
        <f t="shared" si="944"/>
        <v/>
      </c>
      <c r="AD2726" s="70" t="str">
        <f t="shared" si="945"/>
        <v/>
      </c>
      <c r="AE2726" s="70" t="str">
        <f t="shared" si="946"/>
        <v/>
      </c>
      <c r="AF2726" s="16"/>
      <c r="AG2726" s="23"/>
      <c r="AH2726" s="22"/>
      <c r="AJ2726" s="83">
        <f t="shared" si="947"/>
        <v>0</v>
      </c>
      <c r="AO2726" s="22" t="str">
        <f t="shared" si="948"/>
        <v/>
      </c>
      <c r="AP2726" s="22" t="str">
        <f t="shared" si="949"/>
        <v/>
      </c>
    </row>
    <row r="2727" spans="1:42" x14ac:dyDescent="0.25">
      <c r="A2727" s="10"/>
      <c r="B2727" s="10"/>
      <c r="C2727" s="10"/>
      <c r="D2727" s="10"/>
      <c r="E2727" s="10"/>
      <c r="F2727" s="10"/>
      <c r="G2727" s="10"/>
      <c r="H2727" s="17"/>
      <c r="I2727" s="10"/>
      <c r="J2727" s="10"/>
      <c r="K2727" s="16" t="str">
        <f t="shared" si="928"/>
        <v/>
      </c>
      <c r="L2727" s="23" t="str">
        <f t="shared" si="929"/>
        <v/>
      </c>
      <c r="M2727" s="22" t="str">
        <f t="shared" si="930"/>
        <v/>
      </c>
      <c r="N2727" s="72"/>
      <c r="O2727" s="16" t="str">
        <f t="shared" si="931"/>
        <v/>
      </c>
      <c r="P2727" s="16" t="str">
        <f t="shared" si="932"/>
        <v/>
      </c>
      <c r="Q2727" s="16" t="str">
        <f t="shared" si="933"/>
        <v/>
      </c>
      <c r="R2727" s="23" t="str">
        <f t="shared" si="934"/>
        <v/>
      </c>
      <c r="S2727" s="23" t="str">
        <f t="shared" si="935"/>
        <v/>
      </c>
      <c r="T2727" s="23" t="str">
        <f t="shared" si="936"/>
        <v/>
      </c>
      <c r="U2727" s="23" t="str">
        <f t="shared" si="937"/>
        <v/>
      </c>
      <c r="V2727" s="23" t="str">
        <f t="shared" si="938"/>
        <v/>
      </c>
      <c r="W2727" s="70" t="str">
        <f t="shared" si="939"/>
        <v/>
      </c>
      <c r="X2727" s="70" t="str">
        <f t="shared" si="940"/>
        <v/>
      </c>
      <c r="Y2727" s="70" t="str">
        <f>IF(AND($A2727&lt;&gt;"",$E2727&gt;0),isLaptopBag($C2727,$J2727)*$D2727,"")</f>
        <v/>
      </c>
      <c r="Z2727" s="70" t="str">
        <f t="shared" si="941"/>
        <v/>
      </c>
      <c r="AA2727" s="70" t="str">
        <f t="shared" si="942"/>
        <v/>
      </c>
      <c r="AB2727" s="70" t="str">
        <f t="shared" si="943"/>
        <v/>
      </c>
      <c r="AC2727" s="70" t="str">
        <f t="shared" si="944"/>
        <v/>
      </c>
      <c r="AD2727" s="70" t="str">
        <f t="shared" si="945"/>
        <v/>
      </c>
      <c r="AE2727" s="70" t="str">
        <f t="shared" si="946"/>
        <v/>
      </c>
      <c r="AF2727" s="16"/>
      <c r="AG2727" s="23"/>
      <c r="AH2727" s="22"/>
      <c r="AJ2727" s="83">
        <f t="shared" si="947"/>
        <v>0</v>
      </c>
      <c r="AO2727" s="22" t="str">
        <f t="shared" si="948"/>
        <v/>
      </c>
      <c r="AP2727" s="22" t="str">
        <f t="shared" si="949"/>
        <v/>
      </c>
    </row>
    <row r="2728" spans="1:42" x14ac:dyDescent="0.25">
      <c r="A2728" s="10"/>
      <c r="B2728" s="10"/>
      <c r="C2728" s="10"/>
      <c r="D2728" s="10"/>
      <c r="E2728" s="10"/>
      <c r="F2728" s="10"/>
      <c r="G2728" s="10"/>
      <c r="H2728" s="17"/>
      <c r="I2728" s="10"/>
      <c r="J2728" s="10"/>
      <c r="K2728" s="16" t="str">
        <f t="shared" si="928"/>
        <v/>
      </c>
      <c r="L2728" s="23" t="str">
        <f t="shared" si="929"/>
        <v/>
      </c>
      <c r="M2728" s="22" t="str">
        <f t="shared" si="930"/>
        <v/>
      </c>
      <c r="N2728" s="72"/>
      <c r="O2728" s="16" t="str">
        <f t="shared" si="931"/>
        <v/>
      </c>
      <c r="P2728" s="16" t="str">
        <f t="shared" si="932"/>
        <v/>
      </c>
      <c r="Q2728" s="16" t="str">
        <f t="shared" si="933"/>
        <v/>
      </c>
      <c r="R2728" s="23" t="str">
        <f t="shared" si="934"/>
        <v/>
      </c>
      <c r="S2728" s="23" t="str">
        <f t="shared" si="935"/>
        <v/>
      </c>
      <c r="T2728" s="23" t="str">
        <f t="shared" si="936"/>
        <v/>
      </c>
      <c r="U2728" s="23" t="str">
        <f t="shared" si="937"/>
        <v/>
      </c>
      <c r="V2728" s="23" t="str">
        <f t="shared" si="938"/>
        <v/>
      </c>
      <c r="W2728" s="70" t="str">
        <f t="shared" si="939"/>
        <v/>
      </c>
      <c r="X2728" s="70" t="str">
        <f t="shared" si="940"/>
        <v/>
      </c>
      <c r="Y2728" s="70" t="str">
        <f>IF(AND($A2728&lt;&gt;"",$E2728&gt;0),isLaptopBag($C2728,$J2728)*$D2728,"")</f>
        <v/>
      </c>
      <c r="Z2728" s="70" t="str">
        <f t="shared" si="941"/>
        <v/>
      </c>
      <c r="AA2728" s="70" t="str">
        <f t="shared" si="942"/>
        <v/>
      </c>
      <c r="AB2728" s="70" t="str">
        <f t="shared" si="943"/>
        <v/>
      </c>
      <c r="AC2728" s="70" t="str">
        <f t="shared" si="944"/>
        <v/>
      </c>
      <c r="AD2728" s="70" t="str">
        <f t="shared" si="945"/>
        <v/>
      </c>
      <c r="AE2728" s="70" t="str">
        <f t="shared" si="946"/>
        <v/>
      </c>
      <c r="AF2728" s="16"/>
      <c r="AG2728" s="23"/>
      <c r="AH2728" s="22"/>
      <c r="AJ2728" s="83">
        <f t="shared" si="947"/>
        <v>0</v>
      </c>
      <c r="AO2728" s="22" t="str">
        <f t="shared" si="948"/>
        <v/>
      </c>
      <c r="AP2728" s="22" t="str">
        <f t="shared" si="949"/>
        <v/>
      </c>
    </row>
    <row r="2729" spans="1:42" x14ac:dyDescent="0.25">
      <c r="A2729" s="10"/>
      <c r="B2729" s="10"/>
      <c r="C2729" s="10"/>
      <c r="D2729" s="10"/>
      <c r="E2729" s="10"/>
      <c r="F2729" s="10"/>
      <c r="G2729" s="10"/>
      <c r="H2729" s="17"/>
      <c r="I2729" s="10"/>
      <c r="J2729" s="10"/>
      <c r="K2729" s="16" t="str">
        <f t="shared" si="928"/>
        <v/>
      </c>
      <c r="L2729" s="23" t="str">
        <f t="shared" si="929"/>
        <v/>
      </c>
      <c r="M2729" s="22" t="str">
        <f t="shared" si="930"/>
        <v/>
      </c>
      <c r="N2729" s="72"/>
      <c r="O2729" s="16" t="str">
        <f t="shared" si="931"/>
        <v/>
      </c>
      <c r="P2729" s="16" t="str">
        <f t="shared" si="932"/>
        <v/>
      </c>
      <c r="Q2729" s="16" t="str">
        <f t="shared" si="933"/>
        <v/>
      </c>
      <c r="R2729" s="23" t="str">
        <f t="shared" si="934"/>
        <v/>
      </c>
      <c r="S2729" s="23" t="str">
        <f t="shared" si="935"/>
        <v/>
      </c>
      <c r="T2729" s="23" t="str">
        <f t="shared" si="936"/>
        <v/>
      </c>
      <c r="U2729" s="23" t="str">
        <f t="shared" si="937"/>
        <v/>
      </c>
      <c r="V2729" s="23" t="str">
        <f t="shared" si="938"/>
        <v/>
      </c>
      <c r="W2729" s="70" t="str">
        <f t="shared" si="939"/>
        <v/>
      </c>
      <c r="X2729" s="70" t="str">
        <f t="shared" si="940"/>
        <v/>
      </c>
      <c r="Y2729" s="70" t="str">
        <f>IF(AND($A2729&lt;&gt;"",$E2729&gt;0),isLaptopBag($C2729,$J2729)*$D2729,"")</f>
        <v/>
      </c>
      <c r="Z2729" s="70" t="str">
        <f t="shared" si="941"/>
        <v/>
      </c>
      <c r="AA2729" s="70" t="str">
        <f t="shared" si="942"/>
        <v/>
      </c>
      <c r="AB2729" s="70" t="str">
        <f t="shared" si="943"/>
        <v/>
      </c>
      <c r="AC2729" s="70" t="str">
        <f t="shared" si="944"/>
        <v/>
      </c>
      <c r="AD2729" s="70" t="str">
        <f t="shared" si="945"/>
        <v/>
      </c>
      <c r="AE2729" s="70" t="str">
        <f t="shared" si="946"/>
        <v/>
      </c>
      <c r="AF2729" s="16"/>
      <c r="AG2729" s="23"/>
      <c r="AH2729" s="22"/>
      <c r="AJ2729" s="83">
        <f t="shared" si="947"/>
        <v>0</v>
      </c>
      <c r="AO2729" s="22" t="str">
        <f t="shared" si="948"/>
        <v/>
      </c>
      <c r="AP2729" s="22" t="str">
        <f t="shared" si="949"/>
        <v/>
      </c>
    </row>
    <row r="2730" spans="1:42" x14ac:dyDescent="0.25">
      <c r="A2730" s="10"/>
      <c r="B2730" s="10"/>
      <c r="C2730" s="10"/>
      <c r="D2730" s="10"/>
      <c r="E2730" s="10"/>
      <c r="F2730" s="10"/>
      <c r="G2730" s="10"/>
      <c r="H2730" s="17"/>
      <c r="I2730" s="10"/>
      <c r="J2730" s="10"/>
      <c r="K2730" s="16" t="str">
        <f t="shared" si="928"/>
        <v/>
      </c>
      <c r="L2730" s="23" t="str">
        <f t="shared" si="929"/>
        <v/>
      </c>
      <c r="M2730" s="22" t="str">
        <f t="shared" si="930"/>
        <v/>
      </c>
      <c r="N2730" s="72"/>
      <c r="O2730" s="16" t="str">
        <f t="shared" si="931"/>
        <v/>
      </c>
      <c r="P2730" s="16" t="str">
        <f t="shared" si="932"/>
        <v/>
      </c>
      <c r="Q2730" s="16" t="str">
        <f t="shared" si="933"/>
        <v/>
      </c>
      <c r="R2730" s="23" t="str">
        <f t="shared" si="934"/>
        <v/>
      </c>
      <c r="S2730" s="23" t="str">
        <f t="shared" si="935"/>
        <v/>
      </c>
      <c r="T2730" s="23" t="str">
        <f t="shared" si="936"/>
        <v/>
      </c>
      <c r="U2730" s="23" t="str">
        <f t="shared" si="937"/>
        <v/>
      </c>
      <c r="V2730" s="23" t="str">
        <f t="shared" si="938"/>
        <v/>
      </c>
      <c r="W2730" s="70" t="str">
        <f t="shared" si="939"/>
        <v/>
      </c>
      <c r="X2730" s="70" t="str">
        <f t="shared" si="940"/>
        <v/>
      </c>
      <c r="Y2730" s="70" t="str">
        <f>IF(AND($A2730&lt;&gt;"",$E2730&gt;0),isLaptopBag($C2730,$J2730)*$D2730,"")</f>
        <v/>
      </c>
      <c r="Z2730" s="70" t="str">
        <f t="shared" si="941"/>
        <v/>
      </c>
      <c r="AA2730" s="70" t="str">
        <f t="shared" si="942"/>
        <v/>
      </c>
      <c r="AB2730" s="70" t="str">
        <f t="shared" si="943"/>
        <v/>
      </c>
      <c r="AC2730" s="70" t="str">
        <f t="shared" si="944"/>
        <v/>
      </c>
      <c r="AD2730" s="70" t="str">
        <f t="shared" si="945"/>
        <v/>
      </c>
      <c r="AE2730" s="70" t="str">
        <f t="shared" si="946"/>
        <v/>
      </c>
      <c r="AF2730" s="16"/>
      <c r="AG2730" s="23"/>
      <c r="AH2730" s="22"/>
      <c r="AJ2730" s="83">
        <f t="shared" si="947"/>
        <v>0</v>
      </c>
      <c r="AO2730" s="22" t="str">
        <f t="shared" si="948"/>
        <v/>
      </c>
      <c r="AP2730" s="22" t="str">
        <f t="shared" si="949"/>
        <v/>
      </c>
    </row>
    <row r="2731" spans="1:42" x14ac:dyDescent="0.25">
      <c r="A2731" s="10"/>
      <c r="B2731" s="10"/>
      <c r="C2731" s="10"/>
      <c r="D2731" s="10"/>
      <c r="E2731" s="10"/>
      <c r="F2731" s="10"/>
      <c r="G2731" s="10"/>
      <c r="H2731" s="17"/>
      <c r="I2731" s="10"/>
      <c r="J2731" s="10"/>
      <c r="K2731" s="16" t="str">
        <f t="shared" si="928"/>
        <v/>
      </c>
      <c r="L2731" s="23" t="str">
        <f t="shared" si="929"/>
        <v/>
      </c>
      <c r="M2731" s="22" t="str">
        <f t="shared" si="930"/>
        <v/>
      </c>
      <c r="N2731" s="72"/>
      <c r="O2731" s="16" t="str">
        <f t="shared" si="931"/>
        <v/>
      </c>
      <c r="P2731" s="16" t="str">
        <f t="shared" si="932"/>
        <v/>
      </c>
      <c r="Q2731" s="16" t="str">
        <f t="shared" si="933"/>
        <v/>
      </c>
      <c r="R2731" s="23" t="str">
        <f t="shared" si="934"/>
        <v/>
      </c>
      <c r="S2731" s="23" t="str">
        <f t="shared" si="935"/>
        <v/>
      </c>
      <c r="T2731" s="23" t="str">
        <f t="shared" si="936"/>
        <v/>
      </c>
      <c r="U2731" s="23" t="str">
        <f t="shared" si="937"/>
        <v/>
      </c>
      <c r="V2731" s="23" t="str">
        <f t="shared" si="938"/>
        <v/>
      </c>
      <c r="W2731" s="70" t="str">
        <f t="shared" si="939"/>
        <v/>
      </c>
      <c r="X2731" s="70" t="str">
        <f t="shared" si="940"/>
        <v/>
      </c>
      <c r="Y2731" s="70" t="str">
        <f>IF(AND($A2731&lt;&gt;"",$E2731&gt;0),isLaptopBag($C2731,$J2731)*$D2731,"")</f>
        <v/>
      </c>
      <c r="Z2731" s="70" t="str">
        <f t="shared" si="941"/>
        <v/>
      </c>
      <c r="AA2731" s="70" t="str">
        <f t="shared" si="942"/>
        <v/>
      </c>
      <c r="AB2731" s="70" t="str">
        <f t="shared" si="943"/>
        <v/>
      </c>
      <c r="AC2731" s="70" t="str">
        <f t="shared" si="944"/>
        <v/>
      </c>
      <c r="AD2731" s="70" t="str">
        <f t="shared" si="945"/>
        <v/>
      </c>
      <c r="AE2731" s="70" t="str">
        <f t="shared" si="946"/>
        <v/>
      </c>
      <c r="AF2731" s="16"/>
      <c r="AG2731" s="23"/>
      <c r="AH2731" s="22"/>
      <c r="AJ2731" s="83">
        <f t="shared" si="947"/>
        <v>0</v>
      </c>
      <c r="AO2731" s="22" t="str">
        <f t="shared" si="948"/>
        <v/>
      </c>
      <c r="AP2731" s="22" t="str">
        <f t="shared" si="949"/>
        <v/>
      </c>
    </row>
    <row r="2732" spans="1:42" x14ac:dyDescent="0.25">
      <c r="A2732" s="10"/>
      <c r="B2732" s="10"/>
      <c r="C2732" s="10"/>
      <c r="D2732" s="10"/>
      <c r="E2732" s="10"/>
      <c r="F2732" s="10"/>
      <c r="G2732" s="10"/>
      <c r="H2732" s="17"/>
      <c r="I2732" s="10"/>
      <c r="J2732" s="10"/>
      <c r="K2732" s="16" t="str">
        <f t="shared" si="928"/>
        <v/>
      </c>
      <c r="L2732" s="23" t="str">
        <f t="shared" si="929"/>
        <v/>
      </c>
      <c r="M2732" s="22" t="str">
        <f t="shared" si="930"/>
        <v/>
      </c>
      <c r="N2732" s="72"/>
      <c r="O2732" s="16" t="str">
        <f t="shared" si="931"/>
        <v/>
      </c>
      <c r="P2732" s="16" t="str">
        <f t="shared" si="932"/>
        <v/>
      </c>
      <c r="Q2732" s="16" t="str">
        <f t="shared" si="933"/>
        <v/>
      </c>
      <c r="R2732" s="23" t="str">
        <f t="shared" si="934"/>
        <v/>
      </c>
      <c r="S2732" s="23" t="str">
        <f t="shared" si="935"/>
        <v/>
      </c>
      <c r="T2732" s="23" t="str">
        <f t="shared" si="936"/>
        <v/>
      </c>
      <c r="U2732" s="23" t="str">
        <f t="shared" si="937"/>
        <v/>
      </c>
      <c r="V2732" s="23" t="str">
        <f t="shared" si="938"/>
        <v/>
      </c>
      <c r="W2732" s="70" t="str">
        <f t="shared" si="939"/>
        <v/>
      </c>
      <c r="X2732" s="70" t="str">
        <f t="shared" si="940"/>
        <v/>
      </c>
      <c r="Y2732" s="70" t="str">
        <f>IF(AND($A2732&lt;&gt;"",$E2732&gt;0),isLaptopBag($C2732,$J2732)*$D2732,"")</f>
        <v/>
      </c>
      <c r="Z2732" s="70" t="str">
        <f t="shared" si="941"/>
        <v/>
      </c>
      <c r="AA2732" s="70" t="str">
        <f t="shared" si="942"/>
        <v/>
      </c>
      <c r="AB2732" s="70" t="str">
        <f t="shared" si="943"/>
        <v/>
      </c>
      <c r="AC2732" s="70" t="str">
        <f t="shared" si="944"/>
        <v/>
      </c>
      <c r="AD2732" s="70" t="str">
        <f t="shared" si="945"/>
        <v/>
      </c>
      <c r="AE2732" s="70" t="str">
        <f t="shared" si="946"/>
        <v/>
      </c>
      <c r="AF2732" s="16"/>
      <c r="AG2732" s="23"/>
      <c r="AH2732" s="22"/>
      <c r="AJ2732" s="83">
        <f t="shared" si="947"/>
        <v>0</v>
      </c>
      <c r="AO2732" s="22" t="str">
        <f t="shared" si="948"/>
        <v/>
      </c>
      <c r="AP2732" s="22" t="str">
        <f t="shared" si="949"/>
        <v/>
      </c>
    </row>
    <row r="2733" spans="1:42" x14ac:dyDescent="0.25">
      <c r="A2733" s="10"/>
      <c r="B2733" s="10"/>
      <c r="C2733" s="10"/>
      <c r="D2733" s="10"/>
      <c r="E2733" s="10"/>
      <c r="F2733" s="10"/>
      <c r="G2733" s="10"/>
      <c r="H2733" s="17"/>
      <c r="I2733" s="10"/>
      <c r="J2733" s="10"/>
      <c r="K2733" s="16" t="str">
        <f t="shared" si="928"/>
        <v/>
      </c>
      <c r="L2733" s="23" t="str">
        <f t="shared" si="929"/>
        <v/>
      </c>
      <c r="M2733" s="22" t="str">
        <f t="shared" si="930"/>
        <v/>
      </c>
      <c r="N2733" s="72"/>
      <c r="O2733" s="16" t="str">
        <f t="shared" si="931"/>
        <v/>
      </c>
      <c r="P2733" s="16" t="str">
        <f t="shared" si="932"/>
        <v/>
      </c>
      <c r="Q2733" s="16" t="str">
        <f t="shared" si="933"/>
        <v/>
      </c>
      <c r="R2733" s="23" t="str">
        <f t="shared" si="934"/>
        <v/>
      </c>
      <c r="S2733" s="23" t="str">
        <f t="shared" si="935"/>
        <v/>
      </c>
      <c r="T2733" s="23" t="str">
        <f t="shared" si="936"/>
        <v/>
      </c>
      <c r="U2733" s="23" t="str">
        <f t="shared" si="937"/>
        <v/>
      </c>
      <c r="V2733" s="23" t="str">
        <f t="shared" si="938"/>
        <v/>
      </c>
      <c r="W2733" s="70" t="str">
        <f t="shared" si="939"/>
        <v/>
      </c>
      <c r="X2733" s="70" t="str">
        <f t="shared" si="940"/>
        <v/>
      </c>
      <c r="Y2733" s="70" t="str">
        <f>IF(AND($A2733&lt;&gt;"",$E2733&gt;0),isLaptopBag($C2733,$J2733)*$D2733,"")</f>
        <v/>
      </c>
      <c r="Z2733" s="70" t="str">
        <f t="shared" si="941"/>
        <v/>
      </c>
      <c r="AA2733" s="70" t="str">
        <f t="shared" si="942"/>
        <v/>
      </c>
      <c r="AB2733" s="70" t="str">
        <f t="shared" si="943"/>
        <v/>
      </c>
      <c r="AC2733" s="70" t="str">
        <f t="shared" si="944"/>
        <v/>
      </c>
      <c r="AD2733" s="70" t="str">
        <f t="shared" si="945"/>
        <v/>
      </c>
      <c r="AE2733" s="70" t="str">
        <f t="shared" si="946"/>
        <v/>
      </c>
      <c r="AF2733" s="16"/>
      <c r="AG2733" s="23"/>
      <c r="AH2733" s="22"/>
      <c r="AJ2733" s="83">
        <f t="shared" si="947"/>
        <v>0</v>
      </c>
      <c r="AO2733" s="22" t="str">
        <f t="shared" si="948"/>
        <v/>
      </c>
      <c r="AP2733" s="22" t="str">
        <f t="shared" si="949"/>
        <v/>
      </c>
    </row>
    <row r="2734" spans="1:42" x14ac:dyDescent="0.25">
      <c r="A2734" s="10"/>
      <c r="B2734" s="10"/>
      <c r="C2734" s="10"/>
      <c r="D2734" s="10"/>
      <c r="E2734" s="10"/>
      <c r="F2734" s="10"/>
      <c r="G2734" s="10"/>
      <c r="H2734" s="17"/>
      <c r="I2734" s="10"/>
      <c r="J2734" s="10"/>
      <c r="K2734" s="16" t="str">
        <f t="shared" si="928"/>
        <v/>
      </c>
      <c r="L2734" s="23" t="str">
        <f t="shared" si="929"/>
        <v/>
      </c>
      <c r="M2734" s="22" t="str">
        <f t="shared" si="930"/>
        <v/>
      </c>
      <c r="N2734" s="72"/>
      <c r="O2734" s="16" t="str">
        <f t="shared" si="931"/>
        <v/>
      </c>
      <c r="P2734" s="16" t="str">
        <f t="shared" si="932"/>
        <v/>
      </c>
      <c r="Q2734" s="16" t="str">
        <f t="shared" si="933"/>
        <v/>
      </c>
      <c r="R2734" s="23" t="str">
        <f t="shared" si="934"/>
        <v/>
      </c>
      <c r="S2734" s="23" t="str">
        <f t="shared" si="935"/>
        <v/>
      </c>
      <c r="T2734" s="23" t="str">
        <f t="shared" si="936"/>
        <v/>
      </c>
      <c r="U2734" s="23" t="str">
        <f t="shared" si="937"/>
        <v/>
      </c>
      <c r="V2734" s="23" t="str">
        <f t="shared" si="938"/>
        <v/>
      </c>
      <c r="W2734" s="70" t="str">
        <f t="shared" si="939"/>
        <v/>
      </c>
      <c r="X2734" s="70" t="str">
        <f t="shared" si="940"/>
        <v/>
      </c>
      <c r="Y2734" s="70" t="str">
        <f>IF(AND($A2734&lt;&gt;"",$E2734&gt;0),isLaptopBag($C2734,$J2734)*$D2734,"")</f>
        <v/>
      </c>
      <c r="Z2734" s="70" t="str">
        <f t="shared" si="941"/>
        <v/>
      </c>
      <c r="AA2734" s="70" t="str">
        <f t="shared" si="942"/>
        <v/>
      </c>
      <c r="AB2734" s="70" t="str">
        <f t="shared" si="943"/>
        <v/>
      </c>
      <c r="AC2734" s="70" t="str">
        <f t="shared" si="944"/>
        <v/>
      </c>
      <c r="AD2734" s="70" t="str">
        <f t="shared" si="945"/>
        <v/>
      </c>
      <c r="AE2734" s="70" t="str">
        <f t="shared" si="946"/>
        <v/>
      </c>
      <c r="AF2734" s="16"/>
      <c r="AG2734" s="23"/>
      <c r="AH2734" s="22"/>
      <c r="AJ2734" s="83">
        <f t="shared" si="947"/>
        <v>0</v>
      </c>
      <c r="AO2734" s="22" t="str">
        <f t="shared" si="948"/>
        <v/>
      </c>
      <c r="AP2734" s="22" t="str">
        <f t="shared" si="949"/>
        <v/>
      </c>
    </row>
    <row r="2735" spans="1:42" x14ac:dyDescent="0.25">
      <c r="A2735" s="10"/>
      <c r="B2735" s="10"/>
      <c r="C2735" s="10"/>
      <c r="D2735" s="10"/>
      <c r="E2735" s="10"/>
      <c r="F2735" s="10"/>
      <c r="G2735" s="10"/>
      <c r="H2735" s="17"/>
      <c r="I2735" s="10"/>
      <c r="J2735" s="10"/>
      <c r="K2735" s="16" t="str">
        <f t="shared" si="928"/>
        <v/>
      </c>
      <c r="L2735" s="23" t="str">
        <f t="shared" si="929"/>
        <v/>
      </c>
      <c r="M2735" s="22" t="str">
        <f t="shared" si="930"/>
        <v/>
      </c>
      <c r="N2735" s="72"/>
      <c r="O2735" s="16" t="str">
        <f t="shared" si="931"/>
        <v/>
      </c>
      <c r="P2735" s="16" t="str">
        <f t="shared" si="932"/>
        <v/>
      </c>
      <c r="Q2735" s="16" t="str">
        <f t="shared" si="933"/>
        <v/>
      </c>
      <c r="R2735" s="23" t="str">
        <f t="shared" si="934"/>
        <v/>
      </c>
      <c r="S2735" s="23" t="str">
        <f t="shared" si="935"/>
        <v/>
      </c>
      <c r="T2735" s="23" t="str">
        <f t="shared" si="936"/>
        <v/>
      </c>
      <c r="U2735" s="23" t="str">
        <f t="shared" si="937"/>
        <v/>
      </c>
      <c r="V2735" s="23" t="str">
        <f t="shared" si="938"/>
        <v/>
      </c>
      <c r="W2735" s="70" t="str">
        <f t="shared" si="939"/>
        <v/>
      </c>
      <c r="X2735" s="70" t="str">
        <f t="shared" si="940"/>
        <v/>
      </c>
      <c r="Y2735" s="70" t="str">
        <f>IF(AND($A2735&lt;&gt;"",$E2735&gt;0),isLaptopBag($C2735,$J2735)*$D2735,"")</f>
        <v/>
      </c>
      <c r="Z2735" s="70" t="str">
        <f t="shared" si="941"/>
        <v/>
      </c>
      <c r="AA2735" s="70" t="str">
        <f t="shared" si="942"/>
        <v/>
      </c>
      <c r="AB2735" s="70" t="str">
        <f t="shared" si="943"/>
        <v/>
      </c>
      <c r="AC2735" s="70" t="str">
        <f t="shared" si="944"/>
        <v/>
      </c>
      <c r="AD2735" s="70" t="str">
        <f t="shared" si="945"/>
        <v/>
      </c>
      <c r="AE2735" s="70" t="str">
        <f t="shared" si="946"/>
        <v/>
      </c>
      <c r="AF2735" s="16"/>
      <c r="AG2735" s="23"/>
      <c r="AH2735" s="22"/>
      <c r="AJ2735" s="83">
        <f t="shared" si="947"/>
        <v>0</v>
      </c>
      <c r="AO2735" s="22" t="str">
        <f t="shared" si="948"/>
        <v/>
      </c>
      <c r="AP2735" s="22" t="str">
        <f t="shared" si="949"/>
        <v/>
      </c>
    </row>
    <row r="2736" spans="1:42" x14ac:dyDescent="0.25">
      <c r="A2736" s="10"/>
      <c r="B2736" s="10"/>
      <c r="C2736" s="10"/>
      <c r="D2736" s="10"/>
      <c r="E2736" s="10"/>
      <c r="F2736" s="10"/>
      <c r="G2736" s="10"/>
      <c r="H2736" s="17"/>
      <c r="I2736" s="10"/>
      <c r="J2736" s="10"/>
      <c r="K2736" s="16" t="str">
        <f t="shared" si="928"/>
        <v/>
      </c>
      <c r="L2736" s="23" t="str">
        <f t="shared" si="929"/>
        <v/>
      </c>
      <c r="M2736" s="22" t="str">
        <f t="shared" si="930"/>
        <v/>
      </c>
      <c r="N2736" s="72"/>
      <c r="O2736" s="16" t="str">
        <f t="shared" si="931"/>
        <v/>
      </c>
      <c r="P2736" s="16" t="str">
        <f t="shared" si="932"/>
        <v/>
      </c>
      <c r="Q2736" s="16" t="str">
        <f t="shared" si="933"/>
        <v/>
      </c>
      <c r="R2736" s="23" t="str">
        <f t="shared" si="934"/>
        <v/>
      </c>
      <c r="S2736" s="23" t="str">
        <f t="shared" si="935"/>
        <v/>
      </c>
      <c r="T2736" s="23" t="str">
        <f t="shared" si="936"/>
        <v/>
      </c>
      <c r="U2736" s="23" t="str">
        <f t="shared" si="937"/>
        <v/>
      </c>
      <c r="V2736" s="23" t="str">
        <f t="shared" si="938"/>
        <v/>
      </c>
      <c r="W2736" s="70" t="str">
        <f t="shared" si="939"/>
        <v/>
      </c>
      <c r="X2736" s="70" t="str">
        <f t="shared" si="940"/>
        <v/>
      </c>
      <c r="Y2736" s="70" t="str">
        <f>IF(AND($A2736&lt;&gt;"",$E2736&gt;0),isLaptopBag($C2736,$J2736)*$D2736,"")</f>
        <v/>
      </c>
      <c r="Z2736" s="70" t="str">
        <f t="shared" si="941"/>
        <v/>
      </c>
      <c r="AA2736" s="70" t="str">
        <f t="shared" si="942"/>
        <v/>
      </c>
      <c r="AB2736" s="70" t="str">
        <f t="shared" si="943"/>
        <v/>
      </c>
      <c r="AC2736" s="70" t="str">
        <f t="shared" si="944"/>
        <v/>
      </c>
      <c r="AD2736" s="70" t="str">
        <f t="shared" si="945"/>
        <v/>
      </c>
      <c r="AE2736" s="70" t="str">
        <f t="shared" si="946"/>
        <v/>
      </c>
      <c r="AF2736" s="16"/>
      <c r="AG2736" s="23"/>
      <c r="AH2736" s="22"/>
      <c r="AJ2736" s="83">
        <f t="shared" si="947"/>
        <v>0</v>
      </c>
      <c r="AO2736" s="22" t="str">
        <f t="shared" si="948"/>
        <v/>
      </c>
      <c r="AP2736" s="22" t="str">
        <f t="shared" si="949"/>
        <v/>
      </c>
    </row>
    <row r="2737" spans="1:42" x14ac:dyDescent="0.25">
      <c r="A2737" s="10"/>
      <c r="B2737" s="10"/>
      <c r="C2737" s="10"/>
      <c r="D2737" s="10"/>
      <c r="E2737" s="10"/>
      <c r="F2737" s="10"/>
      <c r="G2737" s="10"/>
      <c r="H2737" s="17"/>
      <c r="I2737" s="10"/>
      <c r="J2737" s="10"/>
      <c r="K2737" s="16" t="str">
        <f t="shared" si="928"/>
        <v/>
      </c>
      <c r="L2737" s="23" t="str">
        <f t="shared" si="929"/>
        <v/>
      </c>
      <c r="M2737" s="22" t="str">
        <f t="shared" si="930"/>
        <v/>
      </c>
      <c r="N2737" s="72"/>
      <c r="O2737" s="16" t="str">
        <f t="shared" si="931"/>
        <v/>
      </c>
      <c r="P2737" s="16" t="str">
        <f t="shared" si="932"/>
        <v/>
      </c>
      <c r="Q2737" s="16" t="str">
        <f t="shared" si="933"/>
        <v/>
      </c>
      <c r="R2737" s="23" t="str">
        <f t="shared" si="934"/>
        <v/>
      </c>
      <c r="S2737" s="23" t="str">
        <f t="shared" si="935"/>
        <v/>
      </c>
      <c r="T2737" s="23" t="str">
        <f t="shared" si="936"/>
        <v/>
      </c>
      <c r="U2737" s="23" t="str">
        <f t="shared" si="937"/>
        <v/>
      </c>
      <c r="V2737" s="23" t="str">
        <f t="shared" si="938"/>
        <v/>
      </c>
      <c r="W2737" s="70" t="str">
        <f t="shared" si="939"/>
        <v/>
      </c>
      <c r="X2737" s="70" t="str">
        <f t="shared" si="940"/>
        <v/>
      </c>
      <c r="Y2737" s="70" t="str">
        <f>IF(AND($A2737&lt;&gt;"",$E2737&gt;0),isLaptopBag($C2737,$J2737)*$D2737,"")</f>
        <v/>
      </c>
      <c r="Z2737" s="70" t="str">
        <f t="shared" si="941"/>
        <v/>
      </c>
      <c r="AA2737" s="70" t="str">
        <f t="shared" si="942"/>
        <v/>
      </c>
      <c r="AB2737" s="70" t="str">
        <f t="shared" si="943"/>
        <v/>
      </c>
      <c r="AC2737" s="70" t="str">
        <f t="shared" si="944"/>
        <v/>
      </c>
      <c r="AD2737" s="70" t="str">
        <f t="shared" si="945"/>
        <v/>
      </c>
      <c r="AE2737" s="70" t="str">
        <f t="shared" si="946"/>
        <v/>
      </c>
      <c r="AF2737" s="16"/>
      <c r="AG2737" s="23"/>
      <c r="AH2737" s="22"/>
      <c r="AJ2737" s="83">
        <f t="shared" si="947"/>
        <v>0</v>
      </c>
      <c r="AO2737" s="22" t="str">
        <f t="shared" si="948"/>
        <v/>
      </c>
      <c r="AP2737" s="22" t="str">
        <f t="shared" si="949"/>
        <v/>
      </c>
    </row>
    <row r="2738" spans="1:42" x14ac:dyDescent="0.25">
      <c r="A2738" s="10"/>
      <c r="B2738" s="10"/>
      <c r="C2738" s="10"/>
      <c r="D2738" s="10"/>
      <c r="E2738" s="10"/>
      <c r="F2738" s="10"/>
      <c r="G2738" s="10"/>
      <c r="H2738" s="17"/>
      <c r="I2738" s="10"/>
      <c r="J2738" s="10"/>
      <c r="K2738" s="16" t="str">
        <f t="shared" si="928"/>
        <v/>
      </c>
      <c r="L2738" s="23" t="str">
        <f t="shared" si="929"/>
        <v/>
      </c>
      <c r="M2738" s="22" t="str">
        <f t="shared" si="930"/>
        <v/>
      </c>
      <c r="N2738" s="72"/>
      <c r="O2738" s="16" t="str">
        <f t="shared" si="931"/>
        <v/>
      </c>
      <c r="P2738" s="16" t="str">
        <f t="shared" si="932"/>
        <v/>
      </c>
      <c r="Q2738" s="16" t="str">
        <f t="shared" si="933"/>
        <v/>
      </c>
      <c r="R2738" s="23" t="str">
        <f t="shared" si="934"/>
        <v/>
      </c>
      <c r="S2738" s="23" t="str">
        <f t="shared" si="935"/>
        <v/>
      </c>
      <c r="T2738" s="23" t="str">
        <f t="shared" si="936"/>
        <v/>
      </c>
      <c r="U2738" s="23" t="str">
        <f t="shared" si="937"/>
        <v/>
      </c>
      <c r="V2738" s="23" t="str">
        <f t="shared" si="938"/>
        <v/>
      </c>
      <c r="W2738" s="70" t="str">
        <f t="shared" si="939"/>
        <v/>
      </c>
      <c r="X2738" s="70" t="str">
        <f t="shared" si="940"/>
        <v/>
      </c>
      <c r="Y2738" s="70" t="str">
        <f>IF(AND($A2738&lt;&gt;"",$E2738&gt;0),isLaptopBag($C2738,$J2738)*$D2738,"")</f>
        <v/>
      </c>
      <c r="Z2738" s="70" t="str">
        <f t="shared" si="941"/>
        <v/>
      </c>
      <c r="AA2738" s="70" t="str">
        <f t="shared" si="942"/>
        <v/>
      </c>
      <c r="AB2738" s="70" t="str">
        <f t="shared" si="943"/>
        <v/>
      </c>
      <c r="AC2738" s="70" t="str">
        <f t="shared" si="944"/>
        <v/>
      </c>
      <c r="AD2738" s="70" t="str">
        <f t="shared" si="945"/>
        <v/>
      </c>
      <c r="AE2738" s="70" t="str">
        <f t="shared" si="946"/>
        <v/>
      </c>
      <c r="AF2738" s="16"/>
      <c r="AG2738" s="23"/>
      <c r="AH2738" s="22"/>
      <c r="AJ2738" s="83">
        <f t="shared" si="947"/>
        <v>0</v>
      </c>
      <c r="AO2738" s="22" t="str">
        <f t="shared" si="948"/>
        <v/>
      </c>
      <c r="AP2738" s="22" t="str">
        <f t="shared" si="949"/>
        <v/>
      </c>
    </row>
    <row r="2739" spans="1:42" x14ac:dyDescent="0.25">
      <c r="A2739" s="10"/>
      <c r="B2739" s="10"/>
      <c r="C2739" s="10"/>
      <c r="D2739" s="10"/>
      <c r="E2739" s="10"/>
      <c r="F2739" s="10"/>
      <c r="G2739" s="10"/>
      <c r="H2739" s="17"/>
      <c r="I2739" s="10"/>
      <c r="J2739" s="10"/>
      <c r="K2739" s="16" t="str">
        <f t="shared" si="928"/>
        <v/>
      </c>
      <c r="L2739" s="23" t="str">
        <f t="shared" si="929"/>
        <v/>
      </c>
      <c r="M2739" s="22" t="str">
        <f t="shared" si="930"/>
        <v/>
      </c>
      <c r="N2739" s="72"/>
      <c r="O2739" s="16" t="str">
        <f t="shared" si="931"/>
        <v/>
      </c>
      <c r="P2739" s="16" t="str">
        <f t="shared" si="932"/>
        <v/>
      </c>
      <c r="Q2739" s="16" t="str">
        <f t="shared" si="933"/>
        <v/>
      </c>
      <c r="R2739" s="23" t="str">
        <f t="shared" si="934"/>
        <v/>
      </c>
      <c r="S2739" s="23" t="str">
        <f t="shared" si="935"/>
        <v/>
      </c>
      <c r="T2739" s="23" t="str">
        <f t="shared" si="936"/>
        <v/>
      </c>
      <c r="U2739" s="23" t="str">
        <f t="shared" si="937"/>
        <v/>
      </c>
      <c r="V2739" s="23" t="str">
        <f t="shared" si="938"/>
        <v/>
      </c>
      <c r="W2739" s="70" t="str">
        <f t="shared" si="939"/>
        <v/>
      </c>
      <c r="X2739" s="70" t="str">
        <f t="shared" si="940"/>
        <v/>
      </c>
      <c r="Y2739" s="70" t="str">
        <f>IF(AND($A2739&lt;&gt;"",$E2739&gt;0),isLaptopBag($C2739,$J2739)*$D2739,"")</f>
        <v/>
      </c>
      <c r="Z2739" s="70" t="str">
        <f t="shared" si="941"/>
        <v/>
      </c>
      <c r="AA2739" s="70" t="str">
        <f t="shared" si="942"/>
        <v/>
      </c>
      <c r="AB2739" s="70" t="str">
        <f t="shared" si="943"/>
        <v/>
      </c>
      <c r="AC2739" s="70" t="str">
        <f t="shared" si="944"/>
        <v/>
      </c>
      <c r="AD2739" s="70" t="str">
        <f t="shared" si="945"/>
        <v/>
      </c>
      <c r="AE2739" s="70" t="str">
        <f t="shared" si="946"/>
        <v/>
      </c>
      <c r="AF2739" s="16"/>
      <c r="AG2739" s="23"/>
      <c r="AH2739" s="22"/>
      <c r="AJ2739" s="83">
        <f t="shared" si="947"/>
        <v>0</v>
      </c>
      <c r="AO2739" s="22" t="str">
        <f t="shared" si="948"/>
        <v/>
      </c>
      <c r="AP2739" s="22" t="str">
        <f t="shared" si="949"/>
        <v/>
      </c>
    </row>
    <row r="2740" spans="1:42" x14ac:dyDescent="0.25">
      <c r="A2740" s="10"/>
      <c r="B2740" s="10"/>
      <c r="C2740" s="10"/>
      <c r="D2740" s="10"/>
      <c r="E2740" s="10"/>
      <c r="F2740" s="10"/>
      <c r="G2740" s="10"/>
      <c r="H2740" s="17"/>
      <c r="I2740" s="10"/>
      <c r="J2740" s="10"/>
      <c r="K2740" s="16" t="str">
        <f t="shared" si="928"/>
        <v/>
      </c>
      <c r="L2740" s="23" t="str">
        <f t="shared" si="929"/>
        <v/>
      </c>
      <c r="M2740" s="22" t="str">
        <f t="shared" si="930"/>
        <v/>
      </c>
      <c r="N2740" s="72"/>
      <c r="O2740" s="16" t="str">
        <f t="shared" si="931"/>
        <v/>
      </c>
      <c r="P2740" s="16" t="str">
        <f t="shared" si="932"/>
        <v/>
      </c>
      <c r="Q2740" s="16" t="str">
        <f t="shared" si="933"/>
        <v/>
      </c>
      <c r="R2740" s="23" t="str">
        <f t="shared" si="934"/>
        <v/>
      </c>
      <c r="S2740" s="23" t="str">
        <f t="shared" si="935"/>
        <v/>
      </c>
      <c r="T2740" s="23" t="str">
        <f t="shared" si="936"/>
        <v/>
      </c>
      <c r="U2740" s="23" t="str">
        <f t="shared" si="937"/>
        <v/>
      </c>
      <c r="V2740" s="23" t="str">
        <f t="shared" si="938"/>
        <v/>
      </c>
      <c r="W2740" s="70" t="str">
        <f t="shared" si="939"/>
        <v/>
      </c>
      <c r="X2740" s="70" t="str">
        <f t="shared" si="940"/>
        <v/>
      </c>
      <c r="Y2740" s="70" t="str">
        <f>IF(AND($A2740&lt;&gt;"",$E2740&gt;0),isLaptopBag($C2740,$J2740)*$D2740,"")</f>
        <v/>
      </c>
      <c r="Z2740" s="70" t="str">
        <f t="shared" si="941"/>
        <v/>
      </c>
      <c r="AA2740" s="70" t="str">
        <f t="shared" si="942"/>
        <v/>
      </c>
      <c r="AB2740" s="70" t="str">
        <f t="shared" si="943"/>
        <v/>
      </c>
      <c r="AC2740" s="70" t="str">
        <f t="shared" si="944"/>
        <v/>
      </c>
      <c r="AD2740" s="70" t="str">
        <f t="shared" si="945"/>
        <v/>
      </c>
      <c r="AE2740" s="70" t="str">
        <f t="shared" si="946"/>
        <v/>
      </c>
      <c r="AF2740" s="16"/>
      <c r="AG2740" s="23"/>
      <c r="AH2740" s="22"/>
      <c r="AJ2740" s="83">
        <f t="shared" si="947"/>
        <v>0</v>
      </c>
      <c r="AO2740" s="22" t="str">
        <f t="shared" si="948"/>
        <v/>
      </c>
      <c r="AP2740" s="22" t="str">
        <f t="shared" si="949"/>
        <v/>
      </c>
    </row>
    <row r="2741" spans="1:42" x14ac:dyDescent="0.25">
      <c r="A2741" s="10"/>
      <c r="B2741" s="10"/>
      <c r="C2741" s="10"/>
      <c r="D2741" s="10"/>
      <c r="E2741" s="10"/>
      <c r="F2741" s="10"/>
      <c r="G2741" s="10"/>
      <c r="H2741" s="17"/>
      <c r="I2741" s="10"/>
      <c r="J2741" s="10"/>
      <c r="K2741" s="16" t="str">
        <f t="shared" si="928"/>
        <v/>
      </c>
      <c r="L2741" s="23" t="str">
        <f t="shared" si="929"/>
        <v/>
      </c>
      <c r="M2741" s="22" t="str">
        <f t="shared" si="930"/>
        <v/>
      </c>
      <c r="N2741" s="72"/>
      <c r="O2741" s="16" t="str">
        <f t="shared" si="931"/>
        <v/>
      </c>
      <c r="P2741" s="16" t="str">
        <f t="shared" si="932"/>
        <v/>
      </c>
      <c r="Q2741" s="16" t="str">
        <f t="shared" si="933"/>
        <v/>
      </c>
      <c r="R2741" s="23" t="str">
        <f t="shared" si="934"/>
        <v/>
      </c>
      <c r="S2741" s="23" t="str">
        <f t="shared" si="935"/>
        <v/>
      </c>
      <c r="T2741" s="23" t="str">
        <f t="shared" si="936"/>
        <v/>
      </c>
      <c r="U2741" s="23" t="str">
        <f t="shared" si="937"/>
        <v/>
      </c>
      <c r="V2741" s="23" t="str">
        <f t="shared" si="938"/>
        <v/>
      </c>
      <c r="W2741" s="70" t="str">
        <f t="shared" si="939"/>
        <v/>
      </c>
      <c r="X2741" s="70" t="str">
        <f t="shared" si="940"/>
        <v/>
      </c>
      <c r="Y2741" s="70" t="str">
        <f>IF(AND($A2741&lt;&gt;"",$E2741&gt;0),isLaptopBag($C2741,$J2741)*$D2741,"")</f>
        <v/>
      </c>
      <c r="Z2741" s="70" t="str">
        <f t="shared" si="941"/>
        <v/>
      </c>
      <c r="AA2741" s="70" t="str">
        <f t="shared" si="942"/>
        <v/>
      </c>
      <c r="AB2741" s="70" t="str">
        <f t="shared" si="943"/>
        <v/>
      </c>
      <c r="AC2741" s="70" t="str">
        <f t="shared" si="944"/>
        <v/>
      </c>
      <c r="AD2741" s="70" t="str">
        <f t="shared" si="945"/>
        <v/>
      </c>
      <c r="AE2741" s="70" t="str">
        <f t="shared" si="946"/>
        <v/>
      </c>
      <c r="AF2741" s="16"/>
      <c r="AG2741" s="23"/>
      <c r="AH2741" s="22"/>
      <c r="AJ2741" s="83">
        <f t="shared" si="947"/>
        <v>0</v>
      </c>
      <c r="AO2741" s="22" t="str">
        <f t="shared" si="948"/>
        <v/>
      </c>
      <c r="AP2741" s="22" t="str">
        <f t="shared" si="949"/>
        <v/>
      </c>
    </row>
    <row r="2742" spans="1:42" x14ac:dyDescent="0.25">
      <c r="A2742" s="10"/>
      <c r="B2742" s="10"/>
      <c r="C2742" s="10"/>
      <c r="D2742" s="10"/>
      <c r="E2742" s="10"/>
      <c r="F2742" s="10"/>
      <c r="G2742" s="10"/>
      <c r="H2742" s="17"/>
      <c r="I2742" s="10"/>
      <c r="J2742" s="10"/>
      <c r="K2742" s="16" t="str">
        <f t="shared" si="928"/>
        <v/>
      </c>
      <c r="L2742" s="23" t="str">
        <f t="shared" si="929"/>
        <v/>
      </c>
      <c r="M2742" s="22" t="str">
        <f t="shared" si="930"/>
        <v/>
      </c>
      <c r="N2742" s="72"/>
      <c r="O2742" s="16" t="str">
        <f t="shared" si="931"/>
        <v/>
      </c>
      <c r="P2742" s="16" t="str">
        <f t="shared" si="932"/>
        <v/>
      </c>
      <c r="Q2742" s="16" t="str">
        <f t="shared" si="933"/>
        <v/>
      </c>
      <c r="R2742" s="23" t="str">
        <f t="shared" si="934"/>
        <v/>
      </c>
      <c r="S2742" s="23" t="str">
        <f t="shared" si="935"/>
        <v/>
      </c>
      <c r="T2742" s="23" t="str">
        <f t="shared" si="936"/>
        <v/>
      </c>
      <c r="U2742" s="23" t="str">
        <f t="shared" si="937"/>
        <v/>
      </c>
      <c r="V2742" s="23" t="str">
        <f t="shared" si="938"/>
        <v/>
      </c>
      <c r="W2742" s="70" t="str">
        <f t="shared" si="939"/>
        <v/>
      </c>
      <c r="X2742" s="70" t="str">
        <f t="shared" si="940"/>
        <v/>
      </c>
      <c r="Y2742" s="70" t="str">
        <f>IF(AND($A2742&lt;&gt;"",$E2742&gt;0),isLaptopBag($C2742,$J2742)*$D2742,"")</f>
        <v/>
      </c>
      <c r="Z2742" s="70" t="str">
        <f t="shared" si="941"/>
        <v/>
      </c>
      <c r="AA2742" s="70" t="str">
        <f t="shared" si="942"/>
        <v/>
      </c>
      <c r="AB2742" s="70" t="str">
        <f t="shared" si="943"/>
        <v/>
      </c>
      <c r="AC2742" s="70" t="str">
        <f t="shared" si="944"/>
        <v/>
      </c>
      <c r="AD2742" s="70" t="str">
        <f t="shared" si="945"/>
        <v/>
      </c>
      <c r="AE2742" s="70" t="str">
        <f t="shared" si="946"/>
        <v/>
      </c>
      <c r="AF2742" s="16"/>
      <c r="AG2742" s="23"/>
      <c r="AH2742" s="22"/>
      <c r="AJ2742" s="83">
        <f t="shared" si="947"/>
        <v>0</v>
      </c>
      <c r="AO2742" s="22" t="str">
        <f t="shared" si="948"/>
        <v/>
      </c>
      <c r="AP2742" s="22" t="str">
        <f t="shared" si="949"/>
        <v/>
      </c>
    </row>
    <row r="2743" spans="1:42" x14ac:dyDescent="0.25">
      <c r="A2743" s="10"/>
      <c r="B2743" s="10"/>
      <c r="C2743" s="10"/>
      <c r="D2743" s="10"/>
      <c r="E2743" s="10"/>
      <c r="F2743" s="10"/>
      <c r="G2743" s="10"/>
      <c r="H2743" s="17"/>
      <c r="I2743" s="10"/>
      <c r="J2743" s="10"/>
      <c r="K2743" s="16" t="str">
        <f t="shared" si="928"/>
        <v/>
      </c>
      <c r="L2743" s="23" t="str">
        <f t="shared" si="929"/>
        <v/>
      </c>
      <c r="M2743" s="22" t="str">
        <f t="shared" si="930"/>
        <v/>
      </c>
      <c r="N2743" s="72"/>
      <c r="O2743" s="16" t="str">
        <f t="shared" si="931"/>
        <v/>
      </c>
      <c r="P2743" s="16" t="str">
        <f t="shared" si="932"/>
        <v/>
      </c>
      <c r="Q2743" s="16" t="str">
        <f t="shared" si="933"/>
        <v/>
      </c>
      <c r="R2743" s="23" t="str">
        <f t="shared" si="934"/>
        <v/>
      </c>
      <c r="S2743" s="23" t="str">
        <f t="shared" si="935"/>
        <v/>
      </c>
      <c r="T2743" s="23" t="str">
        <f t="shared" si="936"/>
        <v/>
      </c>
      <c r="U2743" s="23" t="str">
        <f t="shared" si="937"/>
        <v/>
      </c>
      <c r="V2743" s="23" t="str">
        <f t="shared" si="938"/>
        <v/>
      </c>
      <c r="W2743" s="70" t="str">
        <f t="shared" si="939"/>
        <v/>
      </c>
      <c r="X2743" s="70" t="str">
        <f t="shared" si="940"/>
        <v/>
      </c>
      <c r="Y2743" s="70" t="str">
        <f>IF(AND($A2743&lt;&gt;"",$E2743&gt;0),isLaptopBag($C2743,$J2743)*$D2743,"")</f>
        <v/>
      </c>
      <c r="Z2743" s="70" t="str">
        <f t="shared" si="941"/>
        <v/>
      </c>
      <c r="AA2743" s="70" t="str">
        <f t="shared" si="942"/>
        <v/>
      </c>
      <c r="AB2743" s="70" t="str">
        <f t="shared" si="943"/>
        <v/>
      </c>
      <c r="AC2743" s="70" t="str">
        <f t="shared" si="944"/>
        <v/>
      </c>
      <c r="AD2743" s="70" t="str">
        <f t="shared" si="945"/>
        <v/>
      </c>
      <c r="AE2743" s="70" t="str">
        <f t="shared" si="946"/>
        <v/>
      </c>
      <c r="AF2743" s="16"/>
      <c r="AG2743" s="23"/>
      <c r="AH2743" s="22"/>
      <c r="AJ2743" s="83">
        <f t="shared" si="947"/>
        <v>0</v>
      </c>
      <c r="AO2743" s="22" t="str">
        <f t="shared" si="948"/>
        <v/>
      </c>
      <c r="AP2743" s="22" t="str">
        <f t="shared" si="949"/>
        <v/>
      </c>
    </row>
    <row r="2744" spans="1:42" x14ac:dyDescent="0.25">
      <c r="A2744" s="10"/>
      <c r="B2744" s="10"/>
      <c r="C2744" s="10"/>
      <c r="D2744" s="10"/>
      <c r="E2744" s="10"/>
      <c r="F2744" s="10"/>
      <c r="G2744" s="10"/>
      <c r="H2744" s="17"/>
      <c r="I2744" s="10"/>
      <c r="J2744" s="10"/>
      <c r="K2744" s="16" t="str">
        <f t="shared" si="928"/>
        <v/>
      </c>
      <c r="L2744" s="23" t="str">
        <f t="shared" si="929"/>
        <v/>
      </c>
      <c r="M2744" s="22" t="str">
        <f t="shared" si="930"/>
        <v/>
      </c>
      <c r="N2744" s="72"/>
      <c r="O2744" s="16" t="str">
        <f t="shared" si="931"/>
        <v/>
      </c>
      <c r="P2744" s="16" t="str">
        <f t="shared" si="932"/>
        <v/>
      </c>
      <c r="Q2744" s="16" t="str">
        <f t="shared" si="933"/>
        <v/>
      </c>
      <c r="R2744" s="23" t="str">
        <f t="shared" si="934"/>
        <v/>
      </c>
      <c r="S2744" s="23" t="str">
        <f t="shared" si="935"/>
        <v/>
      </c>
      <c r="T2744" s="23" t="str">
        <f t="shared" si="936"/>
        <v/>
      </c>
      <c r="U2744" s="23" t="str">
        <f t="shared" si="937"/>
        <v/>
      </c>
      <c r="V2744" s="23" t="str">
        <f t="shared" si="938"/>
        <v/>
      </c>
      <c r="W2744" s="70" t="str">
        <f t="shared" si="939"/>
        <v/>
      </c>
      <c r="X2744" s="70" t="str">
        <f t="shared" si="940"/>
        <v/>
      </c>
      <c r="Y2744" s="70" t="str">
        <f>IF(AND($A2744&lt;&gt;"",$E2744&gt;0),isLaptopBag($C2744,$J2744)*$D2744,"")</f>
        <v/>
      </c>
      <c r="Z2744" s="70" t="str">
        <f t="shared" si="941"/>
        <v/>
      </c>
      <c r="AA2744" s="70" t="str">
        <f t="shared" si="942"/>
        <v/>
      </c>
      <c r="AB2744" s="70" t="str">
        <f t="shared" si="943"/>
        <v/>
      </c>
      <c r="AC2744" s="70" t="str">
        <f t="shared" si="944"/>
        <v/>
      </c>
      <c r="AD2744" s="70" t="str">
        <f t="shared" si="945"/>
        <v/>
      </c>
      <c r="AE2744" s="70" t="str">
        <f t="shared" si="946"/>
        <v/>
      </c>
      <c r="AF2744" s="16"/>
      <c r="AG2744" s="23"/>
      <c r="AH2744" s="22"/>
      <c r="AJ2744" s="83">
        <f t="shared" si="947"/>
        <v>0</v>
      </c>
      <c r="AO2744" s="22" t="str">
        <f t="shared" si="948"/>
        <v/>
      </c>
      <c r="AP2744" s="22" t="str">
        <f t="shared" si="949"/>
        <v/>
      </c>
    </row>
    <row r="2745" spans="1:42" x14ac:dyDescent="0.25">
      <c r="A2745" s="10"/>
      <c r="B2745" s="10"/>
      <c r="C2745" s="10"/>
      <c r="D2745" s="10"/>
      <c r="E2745" s="10"/>
      <c r="F2745" s="10"/>
      <c r="G2745" s="10"/>
      <c r="H2745" s="17"/>
      <c r="I2745" s="10"/>
      <c r="J2745" s="10"/>
      <c r="K2745" s="16" t="str">
        <f t="shared" si="928"/>
        <v/>
      </c>
      <c r="L2745" s="23" t="str">
        <f t="shared" si="929"/>
        <v/>
      </c>
      <c r="M2745" s="22" t="str">
        <f t="shared" si="930"/>
        <v/>
      </c>
      <c r="N2745" s="72"/>
      <c r="O2745" s="16" t="str">
        <f t="shared" si="931"/>
        <v/>
      </c>
      <c r="P2745" s="16" t="str">
        <f t="shared" si="932"/>
        <v/>
      </c>
      <c r="Q2745" s="16" t="str">
        <f t="shared" si="933"/>
        <v/>
      </c>
      <c r="R2745" s="23" t="str">
        <f t="shared" si="934"/>
        <v/>
      </c>
      <c r="S2745" s="23" t="str">
        <f t="shared" si="935"/>
        <v/>
      </c>
      <c r="T2745" s="23" t="str">
        <f t="shared" si="936"/>
        <v/>
      </c>
      <c r="U2745" s="23" t="str">
        <f t="shared" si="937"/>
        <v/>
      </c>
      <c r="V2745" s="23" t="str">
        <f t="shared" si="938"/>
        <v/>
      </c>
      <c r="W2745" s="70" t="str">
        <f t="shared" si="939"/>
        <v/>
      </c>
      <c r="X2745" s="70" t="str">
        <f t="shared" si="940"/>
        <v/>
      </c>
      <c r="Y2745" s="70" t="str">
        <f>IF(AND($A2745&lt;&gt;"",$E2745&gt;0),isLaptopBag($C2745,$J2745)*$D2745,"")</f>
        <v/>
      </c>
      <c r="Z2745" s="70" t="str">
        <f t="shared" si="941"/>
        <v/>
      </c>
      <c r="AA2745" s="70" t="str">
        <f t="shared" si="942"/>
        <v/>
      </c>
      <c r="AB2745" s="70" t="str">
        <f t="shared" si="943"/>
        <v/>
      </c>
      <c r="AC2745" s="70" t="str">
        <f t="shared" si="944"/>
        <v/>
      </c>
      <c r="AD2745" s="70" t="str">
        <f t="shared" si="945"/>
        <v/>
      </c>
      <c r="AE2745" s="70" t="str">
        <f t="shared" si="946"/>
        <v/>
      </c>
      <c r="AF2745" s="16"/>
      <c r="AG2745" s="23"/>
      <c r="AH2745" s="22"/>
      <c r="AJ2745" s="83">
        <f t="shared" si="947"/>
        <v>0</v>
      </c>
      <c r="AO2745" s="22" t="str">
        <f t="shared" si="948"/>
        <v/>
      </c>
      <c r="AP2745" s="22" t="str">
        <f t="shared" si="949"/>
        <v/>
      </c>
    </row>
    <row r="2746" spans="1:42" x14ac:dyDescent="0.25">
      <c r="A2746" s="10"/>
      <c r="B2746" s="10"/>
      <c r="C2746" s="10"/>
      <c r="D2746" s="10"/>
      <c r="E2746" s="10"/>
      <c r="F2746" s="10"/>
      <c r="G2746" s="10"/>
      <c r="H2746" s="17"/>
      <c r="I2746" s="10"/>
      <c r="J2746" s="10"/>
      <c r="K2746" s="16" t="str">
        <f t="shared" si="928"/>
        <v/>
      </c>
      <c r="L2746" s="23" t="str">
        <f t="shared" si="929"/>
        <v/>
      </c>
      <c r="M2746" s="22" t="str">
        <f t="shared" si="930"/>
        <v/>
      </c>
      <c r="N2746" s="72"/>
      <c r="O2746" s="16" t="str">
        <f t="shared" si="931"/>
        <v/>
      </c>
      <c r="P2746" s="16" t="str">
        <f t="shared" si="932"/>
        <v/>
      </c>
      <c r="Q2746" s="16" t="str">
        <f t="shared" si="933"/>
        <v/>
      </c>
      <c r="R2746" s="23" t="str">
        <f t="shared" si="934"/>
        <v/>
      </c>
      <c r="S2746" s="23" t="str">
        <f t="shared" si="935"/>
        <v/>
      </c>
      <c r="T2746" s="23" t="str">
        <f t="shared" si="936"/>
        <v/>
      </c>
      <c r="U2746" s="23" t="str">
        <f t="shared" si="937"/>
        <v/>
      </c>
      <c r="V2746" s="23" t="str">
        <f t="shared" si="938"/>
        <v/>
      </c>
      <c r="W2746" s="70" t="str">
        <f t="shared" si="939"/>
        <v/>
      </c>
      <c r="X2746" s="70" t="str">
        <f t="shared" si="940"/>
        <v/>
      </c>
      <c r="Y2746" s="70" t="str">
        <f>IF(AND($A2746&lt;&gt;"",$E2746&gt;0),isLaptopBag($C2746,$J2746)*$D2746,"")</f>
        <v/>
      </c>
      <c r="Z2746" s="70" t="str">
        <f t="shared" si="941"/>
        <v/>
      </c>
      <c r="AA2746" s="70" t="str">
        <f t="shared" si="942"/>
        <v/>
      </c>
      <c r="AB2746" s="70" t="str">
        <f t="shared" si="943"/>
        <v/>
      </c>
      <c r="AC2746" s="70" t="str">
        <f t="shared" si="944"/>
        <v/>
      </c>
      <c r="AD2746" s="70" t="str">
        <f t="shared" si="945"/>
        <v/>
      </c>
      <c r="AE2746" s="70" t="str">
        <f t="shared" si="946"/>
        <v/>
      </c>
      <c r="AF2746" s="16"/>
      <c r="AG2746" s="23"/>
      <c r="AH2746" s="22"/>
      <c r="AJ2746" s="83">
        <f t="shared" si="947"/>
        <v>0</v>
      </c>
      <c r="AO2746" s="22" t="str">
        <f t="shared" si="948"/>
        <v/>
      </c>
      <c r="AP2746" s="22" t="str">
        <f t="shared" si="949"/>
        <v/>
      </c>
    </row>
    <row r="2747" spans="1:42" x14ac:dyDescent="0.25">
      <c r="A2747" s="10"/>
      <c r="B2747" s="10"/>
      <c r="C2747" s="10"/>
      <c r="D2747" s="10"/>
      <c r="E2747" s="10"/>
      <c r="F2747" s="10"/>
      <c r="G2747" s="10"/>
      <c r="H2747" s="17"/>
      <c r="I2747" s="10"/>
      <c r="J2747" s="10"/>
      <c r="K2747" s="16" t="str">
        <f t="shared" si="928"/>
        <v/>
      </c>
      <c r="L2747" s="23" t="str">
        <f t="shared" si="929"/>
        <v/>
      </c>
      <c r="M2747" s="22" t="str">
        <f t="shared" si="930"/>
        <v/>
      </c>
      <c r="N2747" s="72"/>
      <c r="O2747" s="16" t="str">
        <f t="shared" si="931"/>
        <v/>
      </c>
      <c r="P2747" s="16" t="str">
        <f t="shared" si="932"/>
        <v/>
      </c>
      <c r="Q2747" s="16" t="str">
        <f t="shared" si="933"/>
        <v/>
      </c>
      <c r="R2747" s="23" t="str">
        <f t="shared" si="934"/>
        <v/>
      </c>
      <c r="S2747" s="23" t="str">
        <f t="shared" si="935"/>
        <v/>
      </c>
      <c r="T2747" s="23" t="str">
        <f t="shared" si="936"/>
        <v/>
      </c>
      <c r="U2747" s="23" t="str">
        <f t="shared" si="937"/>
        <v/>
      </c>
      <c r="V2747" s="23" t="str">
        <f t="shared" si="938"/>
        <v/>
      </c>
      <c r="W2747" s="70" t="str">
        <f t="shared" si="939"/>
        <v/>
      </c>
      <c r="X2747" s="70" t="str">
        <f t="shared" si="940"/>
        <v/>
      </c>
      <c r="Y2747" s="70" t="str">
        <f>IF(AND($A2747&lt;&gt;"",$E2747&gt;0),isLaptopBag($C2747,$J2747)*$D2747,"")</f>
        <v/>
      </c>
      <c r="Z2747" s="70" t="str">
        <f t="shared" si="941"/>
        <v/>
      </c>
      <c r="AA2747" s="70" t="str">
        <f t="shared" si="942"/>
        <v/>
      </c>
      <c r="AB2747" s="70" t="str">
        <f t="shared" si="943"/>
        <v/>
      </c>
      <c r="AC2747" s="70" t="str">
        <f t="shared" si="944"/>
        <v/>
      </c>
      <c r="AD2747" s="70" t="str">
        <f t="shared" si="945"/>
        <v/>
      </c>
      <c r="AE2747" s="70" t="str">
        <f t="shared" si="946"/>
        <v/>
      </c>
      <c r="AF2747" s="16"/>
      <c r="AG2747" s="23"/>
      <c r="AH2747" s="22"/>
      <c r="AJ2747" s="83">
        <f t="shared" si="947"/>
        <v>0</v>
      </c>
      <c r="AO2747" s="22" t="str">
        <f t="shared" si="948"/>
        <v/>
      </c>
      <c r="AP2747" s="22" t="str">
        <f t="shared" si="949"/>
        <v/>
      </c>
    </row>
    <row r="2748" spans="1:42" x14ac:dyDescent="0.25">
      <c r="A2748" s="10"/>
      <c r="B2748" s="10"/>
      <c r="C2748" s="10"/>
      <c r="D2748" s="10"/>
      <c r="E2748" s="10"/>
      <c r="F2748" s="10"/>
      <c r="G2748" s="10"/>
      <c r="H2748" s="17"/>
      <c r="I2748" s="10"/>
      <c r="J2748" s="10"/>
      <c r="K2748" s="16" t="str">
        <f t="shared" si="928"/>
        <v/>
      </c>
      <c r="L2748" s="23" t="str">
        <f t="shared" si="929"/>
        <v/>
      </c>
      <c r="M2748" s="22" t="str">
        <f t="shared" si="930"/>
        <v/>
      </c>
      <c r="N2748" s="72"/>
      <c r="O2748" s="16" t="str">
        <f t="shared" si="931"/>
        <v/>
      </c>
      <c r="P2748" s="16" t="str">
        <f t="shared" si="932"/>
        <v/>
      </c>
      <c r="Q2748" s="16" t="str">
        <f t="shared" si="933"/>
        <v/>
      </c>
      <c r="R2748" s="23" t="str">
        <f t="shared" si="934"/>
        <v/>
      </c>
      <c r="S2748" s="23" t="str">
        <f t="shared" si="935"/>
        <v/>
      </c>
      <c r="T2748" s="23" t="str">
        <f t="shared" si="936"/>
        <v/>
      </c>
      <c r="U2748" s="23" t="str">
        <f t="shared" si="937"/>
        <v/>
      </c>
      <c r="V2748" s="23" t="str">
        <f t="shared" si="938"/>
        <v/>
      </c>
      <c r="W2748" s="70" t="str">
        <f t="shared" si="939"/>
        <v/>
      </c>
      <c r="X2748" s="70" t="str">
        <f t="shared" si="940"/>
        <v/>
      </c>
      <c r="Y2748" s="70" t="str">
        <f>IF(AND($A2748&lt;&gt;"",$E2748&gt;0),isLaptopBag($C2748,$J2748)*$D2748,"")</f>
        <v/>
      </c>
      <c r="Z2748" s="70" t="str">
        <f t="shared" si="941"/>
        <v/>
      </c>
      <c r="AA2748" s="70" t="str">
        <f t="shared" si="942"/>
        <v/>
      </c>
      <c r="AB2748" s="70" t="str">
        <f t="shared" si="943"/>
        <v/>
      </c>
      <c r="AC2748" s="70" t="str">
        <f t="shared" si="944"/>
        <v/>
      </c>
      <c r="AD2748" s="70" t="str">
        <f t="shared" si="945"/>
        <v/>
      </c>
      <c r="AE2748" s="70" t="str">
        <f t="shared" si="946"/>
        <v/>
      </c>
      <c r="AF2748" s="16"/>
      <c r="AG2748" s="23"/>
      <c r="AH2748" s="22"/>
      <c r="AJ2748" s="83">
        <f t="shared" si="947"/>
        <v>0</v>
      </c>
      <c r="AO2748" s="22" t="str">
        <f t="shared" si="948"/>
        <v/>
      </c>
      <c r="AP2748" s="22" t="str">
        <f t="shared" si="949"/>
        <v/>
      </c>
    </row>
    <row r="2749" spans="1:42" x14ac:dyDescent="0.25">
      <c r="A2749" s="10"/>
      <c r="B2749" s="10"/>
      <c r="C2749" s="10"/>
      <c r="D2749" s="10"/>
      <c r="E2749" s="10"/>
      <c r="F2749" s="10"/>
      <c r="G2749" s="10"/>
      <c r="H2749" s="17"/>
      <c r="I2749" s="10"/>
      <c r="J2749" s="10"/>
      <c r="K2749" s="16" t="str">
        <f t="shared" si="928"/>
        <v/>
      </c>
      <c r="L2749" s="23" t="str">
        <f t="shared" si="929"/>
        <v/>
      </c>
      <c r="M2749" s="22" t="str">
        <f t="shared" si="930"/>
        <v/>
      </c>
      <c r="N2749" s="72"/>
      <c r="O2749" s="16" t="str">
        <f t="shared" si="931"/>
        <v/>
      </c>
      <c r="P2749" s="16" t="str">
        <f t="shared" si="932"/>
        <v/>
      </c>
      <c r="Q2749" s="16" t="str">
        <f t="shared" si="933"/>
        <v/>
      </c>
      <c r="R2749" s="23" t="str">
        <f t="shared" si="934"/>
        <v/>
      </c>
      <c r="S2749" s="23" t="str">
        <f t="shared" si="935"/>
        <v/>
      </c>
      <c r="T2749" s="23" t="str">
        <f t="shared" si="936"/>
        <v/>
      </c>
      <c r="U2749" s="23" t="str">
        <f t="shared" si="937"/>
        <v/>
      </c>
      <c r="V2749" s="23" t="str">
        <f t="shared" si="938"/>
        <v/>
      </c>
      <c r="W2749" s="70" t="str">
        <f t="shared" si="939"/>
        <v/>
      </c>
      <c r="X2749" s="70" t="str">
        <f t="shared" si="940"/>
        <v/>
      </c>
      <c r="Y2749" s="70" t="str">
        <f>IF(AND($A2749&lt;&gt;"",$E2749&gt;0),isLaptopBag($C2749,$J2749)*$D2749,"")</f>
        <v/>
      </c>
      <c r="Z2749" s="70" t="str">
        <f t="shared" si="941"/>
        <v/>
      </c>
      <c r="AA2749" s="70" t="str">
        <f t="shared" si="942"/>
        <v/>
      </c>
      <c r="AB2749" s="70" t="str">
        <f t="shared" si="943"/>
        <v/>
      </c>
      <c r="AC2749" s="70" t="str">
        <f t="shared" si="944"/>
        <v/>
      </c>
      <c r="AD2749" s="70" t="str">
        <f t="shared" si="945"/>
        <v/>
      </c>
      <c r="AE2749" s="70" t="str">
        <f t="shared" si="946"/>
        <v/>
      </c>
      <c r="AF2749" s="16"/>
      <c r="AG2749" s="23"/>
      <c r="AH2749" s="22"/>
      <c r="AJ2749" s="83">
        <f t="shared" si="947"/>
        <v>0</v>
      </c>
      <c r="AO2749" s="22" t="str">
        <f t="shared" si="948"/>
        <v/>
      </c>
      <c r="AP2749" s="22" t="str">
        <f t="shared" si="949"/>
        <v/>
      </c>
    </row>
    <row r="2750" spans="1:42" x14ac:dyDescent="0.25">
      <c r="A2750" s="10"/>
      <c r="B2750" s="10"/>
      <c r="C2750" s="10"/>
      <c r="D2750" s="10"/>
      <c r="E2750" s="10"/>
      <c r="F2750" s="10"/>
      <c r="G2750" s="10"/>
      <c r="H2750" s="17"/>
      <c r="I2750" s="10"/>
      <c r="J2750" s="10"/>
      <c r="K2750" s="16" t="str">
        <f t="shared" si="928"/>
        <v/>
      </c>
      <c r="L2750" s="23" t="str">
        <f t="shared" si="929"/>
        <v/>
      </c>
      <c r="M2750" s="22" t="str">
        <f t="shared" si="930"/>
        <v/>
      </c>
      <c r="N2750" s="72"/>
      <c r="O2750" s="16" t="str">
        <f t="shared" si="931"/>
        <v/>
      </c>
      <c r="P2750" s="16" t="str">
        <f t="shared" si="932"/>
        <v/>
      </c>
      <c r="Q2750" s="16" t="str">
        <f t="shared" si="933"/>
        <v/>
      </c>
      <c r="R2750" s="23" t="str">
        <f t="shared" si="934"/>
        <v/>
      </c>
      <c r="S2750" s="23" t="str">
        <f t="shared" si="935"/>
        <v/>
      </c>
      <c r="T2750" s="23" t="str">
        <f t="shared" si="936"/>
        <v/>
      </c>
      <c r="U2750" s="23" t="str">
        <f t="shared" si="937"/>
        <v/>
      </c>
      <c r="V2750" s="23" t="str">
        <f t="shared" si="938"/>
        <v/>
      </c>
      <c r="W2750" s="70" t="str">
        <f t="shared" si="939"/>
        <v/>
      </c>
      <c r="X2750" s="70" t="str">
        <f t="shared" si="940"/>
        <v/>
      </c>
      <c r="Y2750" s="70" t="str">
        <f>IF(AND($A2750&lt;&gt;"",$E2750&gt;0),isLaptopBag($C2750,$J2750)*$D2750,"")</f>
        <v/>
      </c>
      <c r="Z2750" s="70" t="str">
        <f t="shared" si="941"/>
        <v/>
      </c>
      <c r="AA2750" s="70" t="str">
        <f t="shared" si="942"/>
        <v/>
      </c>
      <c r="AB2750" s="70" t="str">
        <f t="shared" si="943"/>
        <v/>
      </c>
      <c r="AC2750" s="70" t="str">
        <f t="shared" si="944"/>
        <v/>
      </c>
      <c r="AD2750" s="70" t="str">
        <f t="shared" si="945"/>
        <v/>
      </c>
      <c r="AE2750" s="70" t="str">
        <f t="shared" si="946"/>
        <v/>
      </c>
      <c r="AF2750" s="16"/>
      <c r="AG2750" s="23"/>
      <c r="AH2750" s="22"/>
      <c r="AJ2750" s="83">
        <f t="shared" si="947"/>
        <v>0</v>
      </c>
      <c r="AO2750" s="22" t="str">
        <f t="shared" si="948"/>
        <v/>
      </c>
      <c r="AP2750" s="22" t="str">
        <f t="shared" si="949"/>
        <v/>
      </c>
    </row>
    <row r="2751" spans="1:42" x14ac:dyDescent="0.25">
      <c r="A2751" s="10"/>
      <c r="B2751" s="10"/>
      <c r="C2751" s="10"/>
      <c r="D2751" s="10"/>
      <c r="E2751" s="10"/>
      <c r="F2751" s="10"/>
      <c r="G2751" s="10"/>
      <c r="H2751" s="17"/>
      <c r="I2751" s="10"/>
      <c r="J2751" s="10"/>
      <c r="K2751" s="16" t="str">
        <f t="shared" si="928"/>
        <v/>
      </c>
      <c r="L2751" s="23" t="str">
        <f t="shared" si="929"/>
        <v/>
      </c>
      <c r="M2751" s="22" t="str">
        <f t="shared" si="930"/>
        <v/>
      </c>
      <c r="N2751" s="72"/>
      <c r="O2751" s="16" t="str">
        <f t="shared" si="931"/>
        <v/>
      </c>
      <c r="P2751" s="16" t="str">
        <f t="shared" si="932"/>
        <v/>
      </c>
      <c r="Q2751" s="16" t="str">
        <f t="shared" si="933"/>
        <v/>
      </c>
      <c r="R2751" s="23" t="str">
        <f t="shared" si="934"/>
        <v/>
      </c>
      <c r="S2751" s="23" t="str">
        <f t="shared" si="935"/>
        <v/>
      </c>
      <c r="T2751" s="23" t="str">
        <f t="shared" si="936"/>
        <v/>
      </c>
      <c r="U2751" s="23" t="str">
        <f t="shared" si="937"/>
        <v/>
      </c>
      <c r="V2751" s="23" t="str">
        <f t="shared" si="938"/>
        <v/>
      </c>
      <c r="W2751" s="70" t="str">
        <f t="shared" si="939"/>
        <v/>
      </c>
      <c r="X2751" s="70" t="str">
        <f t="shared" si="940"/>
        <v/>
      </c>
      <c r="Y2751" s="70" t="str">
        <f>IF(AND($A2751&lt;&gt;"",$E2751&gt;0),isLaptopBag($C2751,$J2751)*$D2751,"")</f>
        <v/>
      </c>
      <c r="Z2751" s="70" t="str">
        <f t="shared" si="941"/>
        <v/>
      </c>
      <c r="AA2751" s="70" t="str">
        <f t="shared" si="942"/>
        <v/>
      </c>
      <c r="AB2751" s="70" t="str">
        <f t="shared" si="943"/>
        <v/>
      </c>
      <c r="AC2751" s="70" t="str">
        <f t="shared" si="944"/>
        <v/>
      </c>
      <c r="AD2751" s="70" t="str">
        <f t="shared" si="945"/>
        <v/>
      </c>
      <c r="AE2751" s="70" t="str">
        <f t="shared" si="946"/>
        <v/>
      </c>
      <c r="AF2751" s="16"/>
      <c r="AG2751" s="23"/>
      <c r="AH2751" s="22"/>
      <c r="AJ2751" s="83">
        <f t="shared" si="947"/>
        <v>0</v>
      </c>
      <c r="AO2751" s="22" t="str">
        <f t="shared" si="948"/>
        <v/>
      </c>
      <c r="AP2751" s="22" t="str">
        <f t="shared" si="949"/>
        <v/>
      </c>
    </row>
    <row r="2752" spans="1:42" x14ac:dyDescent="0.25">
      <c r="A2752" s="10"/>
      <c r="B2752" s="10"/>
      <c r="C2752" s="10"/>
      <c r="D2752" s="10"/>
      <c r="E2752" s="10"/>
      <c r="F2752" s="10"/>
      <c r="G2752" s="10"/>
      <c r="H2752" s="17"/>
      <c r="I2752" s="10"/>
      <c r="J2752" s="10"/>
      <c r="K2752" s="16" t="str">
        <f t="shared" si="928"/>
        <v/>
      </c>
      <c r="L2752" s="23" t="str">
        <f t="shared" si="929"/>
        <v/>
      </c>
      <c r="M2752" s="22" t="str">
        <f t="shared" si="930"/>
        <v/>
      </c>
      <c r="N2752" s="72"/>
      <c r="O2752" s="16" t="str">
        <f t="shared" si="931"/>
        <v/>
      </c>
      <c r="P2752" s="16" t="str">
        <f t="shared" si="932"/>
        <v/>
      </c>
      <c r="Q2752" s="16" t="str">
        <f t="shared" si="933"/>
        <v/>
      </c>
      <c r="R2752" s="23" t="str">
        <f t="shared" si="934"/>
        <v/>
      </c>
      <c r="S2752" s="23" t="str">
        <f t="shared" si="935"/>
        <v/>
      </c>
      <c r="T2752" s="23" t="str">
        <f t="shared" si="936"/>
        <v/>
      </c>
      <c r="U2752" s="23" t="str">
        <f t="shared" si="937"/>
        <v/>
      </c>
      <c r="V2752" s="23" t="str">
        <f t="shared" si="938"/>
        <v/>
      </c>
      <c r="W2752" s="70" t="str">
        <f t="shared" si="939"/>
        <v/>
      </c>
      <c r="X2752" s="70" t="str">
        <f t="shared" si="940"/>
        <v/>
      </c>
      <c r="Y2752" s="70" t="str">
        <f>IF(AND($A2752&lt;&gt;"",$E2752&gt;0),isLaptopBag($C2752,$J2752)*$D2752,"")</f>
        <v/>
      </c>
      <c r="Z2752" s="70" t="str">
        <f t="shared" si="941"/>
        <v/>
      </c>
      <c r="AA2752" s="70" t="str">
        <f t="shared" si="942"/>
        <v/>
      </c>
      <c r="AB2752" s="70" t="str">
        <f t="shared" si="943"/>
        <v/>
      </c>
      <c r="AC2752" s="70" t="str">
        <f t="shared" si="944"/>
        <v/>
      </c>
      <c r="AD2752" s="70" t="str">
        <f t="shared" si="945"/>
        <v/>
      </c>
      <c r="AE2752" s="70" t="str">
        <f t="shared" si="946"/>
        <v/>
      </c>
      <c r="AF2752" s="16"/>
      <c r="AG2752" s="23"/>
      <c r="AH2752" s="22"/>
      <c r="AJ2752" s="83">
        <f t="shared" si="947"/>
        <v>0</v>
      </c>
      <c r="AO2752" s="22" t="str">
        <f t="shared" si="948"/>
        <v/>
      </c>
      <c r="AP2752" s="22" t="str">
        <f t="shared" si="949"/>
        <v/>
      </c>
    </row>
    <row r="2753" spans="1:42" x14ac:dyDescent="0.25">
      <c r="A2753" s="10"/>
      <c r="B2753" s="10"/>
      <c r="C2753" s="10"/>
      <c r="D2753" s="10"/>
      <c r="E2753" s="10"/>
      <c r="F2753" s="10"/>
      <c r="G2753" s="10"/>
      <c r="H2753" s="17"/>
      <c r="I2753" s="10"/>
      <c r="J2753" s="10"/>
      <c r="K2753" s="16" t="str">
        <f t="shared" si="928"/>
        <v/>
      </c>
      <c r="L2753" s="23" t="str">
        <f t="shared" si="929"/>
        <v/>
      </c>
      <c r="M2753" s="22" t="str">
        <f t="shared" si="930"/>
        <v/>
      </c>
      <c r="N2753" s="72"/>
      <c r="O2753" s="16" t="str">
        <f t="shared" si="931"/>
        <v/>
      </c>
      <c r="P2753" s="16" t="str">
        <f t="shared" si="932"/>
        <v/>
      </c>
      <c r="Q2753" s="16" t="str">
        <f t="shared" si="933"/>
        <v/>
      </c>
      <c r="R2753" s="23" t="str">
        <f t="shared" si="934"/>
        <v/>
      </c>
      <c r="S2753" s="23" t="str">
        <f t="shared" si="935"/>
        <v/>
      </c>
      <c r="T2753" s="23" t="str">
        <f t="shared" si="936"/>
        <v/>
      </c>
      <c r="U2753" s="23" t="str">
        <f t="shared" si="937"/>
        <v/>
      </c>
      <c r="V2753" s="23" t="str">
        <f t="shared" si="938"/>
        <v/>
      </c>
      <c r="W2753" s="70" t="str">
        <f t="shared" si="939"/>
        <v/>
      </c>
      <c r="X2753" s="70" t="str">
        <f t="shared" si="940"/>
        <v/>
      </c>
      <c r="Y2753" s="70" t="str">
        <f>IF(AND($A2753&lt;&gt;"",$E2753&gt;0),isLaptopBag($C2753,$J2753)*$D2753,"")</f>
        <v/>
      </c>
      <c r="Z2753" s="70" t="str">
        <f t="shared" si="941"/>
        <v/>
      </c>
      <c r="AA2753" s="70" t="str">
        <f t="shared" si="942"/>
        <v/>
      </c>
      <c r="AB2753" s="70" t="str">
        <f t="shared" si="943"/>
        <v/>
      </c>
      <c r="AC2753" s="70" t="str">
        <f t="shared" si="944"/>
        <v/>
      </c>
      <c r="AD2753" s="70" t="str">
        <f t="shared" si="945"/>
        <v/>
      </c>
      <c r="AE2753" s="70" t="str">
        <f t="shared" si="946"/>
        <v/>
      </c>
      <c r="AF2753" s="16"/>
      <c r="AG2753" s="23"/>
      <c r="AH2753" s="22"/>
      <c r="AJ2753" s="83">
        <f t="shared" si="947"/>
        <v>0</v>
      </c>
      <c r="AO2753" s="22" t="str">
        <f t="shared" si="948"/>
        <v/>
      </c>
      <c r="AP2753" s="22" t="str">
        <f t="shared" si="949"/>
        <v/>
      </c>
    </row>
    <row r="2754" spans="1:42" x14ac:dyDescent="0.25">
      <c r="A2754" s="10"/>
      <c r="B2754" s="10"/>
      <c r="C2754" s="10"/>
      <c r="D2754" s="10"/>
      <c r="E2754" s="10"/>
      <c r="F2754" s="10"/>
      <c r="G2754" s="10"/>
      <c r="H2754" s="17"/>
      <c r="I2754" s="10"/>
      <c r="J2754" s="10"/>
      <c r="K2754" s="16" t="str">
        <f t="shared" si="928"/>
        <v/>
      </c>
      <c r="L2754" s="23" t="str">
        <f t="shared" si="929"/>
        <v/>
      </c>
      <c r="M2754" s="22" t="str">
        <f t="shared" si="930"/>
        <v/>
      </c>
      <c r="N2754" s="72"/>
      <c r="O2754" s="16" t="str">
        <f t="shared" si="931"/>
        <v/>
      </c>
      <c r="P2754" s="16" t="str">
        <f t="shared" si="932"/>
        <v/>
      </c>
      <c r="Q2754" s="16" t="str">
        <f t="shared" si="933"/>
        <v/>
      </c>
      <c r="R2754" s="23" t="str">
        <f t="shared" si="934"/>
        <v/>
      </c>
      <c r="S2754" s="23" t="str">
        <f t="shared" si="935"/>
        <v/>
      </c>
      <c r="T2754" s="23" t="str">
        <f t="shared" si="936"/>
        <v/>
      </c>
      <c r="U2754" s="23" t="str">
        <f t="shared" si="937"/>
        <v/>
      </c>
      <c r="V2754" s="23" t="str">
        <f t="shared" si="938"/>
        <v/>
      </c>
      <c r="W2754" s="70" t="str">
        <f t="shared" si="939"/>
        <v/>
      </c>
      <c r="X2754" s="70" t="str">
        <f t="shared" si="940"/>
        <v/>
      </c>
      <c r="Y2754" s="70" t="str">
        <f>IF(AND($A2754&lt;&gt;"",$E2754&gt;0),isLaptopBag($C2754,$J2754)*$D2754,"")</f>
        <v/>
      </c>
      <c r="Z2754" s="70" t="str">
        <f t="shared" si="941"/>
        <v/>
      </c>
      <c r="AA2754" s="70" t="str">
        <f t="shared" si="942"/>
        <v/>
      </c>
      <c r="AB2754" s="70" t="str">
        <f t="shared" si="943"/>
        <v/>
      </c>
      <c r="AC2754" s="70" t="str">
        <f t="shared" si="944"/>
        <v/>
      </c>
      <c r="AD2754" s="70" t="str">
        <f t="shared" si="945"/>
        <v/>
      </c>
      <c r="AE2754" s="70" t="str">
        <f t="shared" si="946"/>
        <v/>
      </c>
      <c r="AF2754" s="16"/>
      <c r="AG2754" s="23"/>
      <c r="AH2754" s="22"/>
      <c r="AJ2754" s="83">
        <f t="shared" si="947"/>
        <v>0</v>
      </c>
      <c r="AO2754" s="22" t="str">
        <f t="shared" si="948"/>
        <v/>
      </c>
      <c r="AP2754" s="22" t="str">
        <f t="shared" si="949"/>
        <v/>
      </c>
    </row>
    <row r="2755" spans="1:42" x14ac:dyDescent="0.25">
      <c r="A2755" s="10"/>
      <c r="B2755" s="10"/>
      <c r="C2755" s="10"/>
      <c r="D2755" s="10"/>
      <c r="E2755" s="10"/>
      <c r="F2755" s="10"/>
      <c r="G2755" s="10"/>
      <c r="H2755" s="17"/>
      <c r="I2755" s="10"/>
      <c r="J2755" s="10"/>
      <c r="K2755" s="16" t="str">
        <f t="shared" si="928"/>
        <v/>
      </c>
      <c r="L2755" s="23" t="str">
        <f t="shared" si="929"/>
        <v/>
      </c>
      <c r="M2755" s="22" t="str">
        <f t="shared" si="930"/>
        <v/>
      </c>
      <c r="N2755" s="72"/>
      <c r="O2755" s="16" t="str">
        <f t="shared" si="931"/>
        <v/>
      </c>
      <c r="P2755" s="16" t="str">
        <f t="shared" si="932"/>
        <v/>
      </c>
      <c r="Q2755" s="16" t="str">
        <f t="shared" si="933"/>
        <v/>
      </c>
      <c r="R2755" s="23" t="str">
        <f t="shared" si="934"/>
        <v/>
      </c>
      <c r="S2755" s="23" t="str">
        <f t="shared" si="935"/>
        <v/>
      </c>
      <c r="T2755" s="23" t="str">
        <f t="shared" si="936"/>
        <v/>
      </c>
      <c r="U2755" s="23" t="str">
        <f t="shared" si="937"/>
        <v/>
      </c>
      <c r="V2755" s="23" t="str">
        <f t="shared" si="938"/>
        <v/>
      </c>
      <c r="W2755" s="70" t="str">
        <f t="shared" si="939"/>
        <v/>
      </c>
      <c r="X2755" s="70" t="str">
        <f t="shared" si="940"/>
        <v/>
      </c>
      <c r="Y2755" s="70" t="str">
        <f>IF(AND($A2755&lt;&gt;"",$E2755&gt;0),isLaptopBag($C2755,$J2755)*$D2755,"")</f>
        <v/>
      </c>
      <c r="Z2755" s="70" t="str">
        <f t="shared" si="941"/>
        <v/>
      </c>
      <c r="AA2755" s="70" t="str">
        <f t="shared" si="942"/>
        <v/>
      </c>
      <c r="AB2755" s="70" t="str">
        <f t="shared" si="943"/>
        <v/>
      </c>
      <c r="AC2755" s="70" t="str">
        <f t="shared" si="944"/>
        <v/>
      </c>
      <c r="AD2755" s="70" t="str">
        <f t="shared" si="945"/>
        <v/>
      </c>
      <c r="AE2755" s="70" t="str">
        <f t="shared" si="946"/>
        <v/>
      </c>
      <c r="AF2755" s="16"/>
      <c r="AG2755" s="23"/>
      <c r="AH2755" s="22"/>
      <c r="AJ2755" s="83">
        <f t="shared" si="947"/>
        <v>0</v>
      </c>
      <c r="AO2755" s="22" t="str">
        <f t="shared" si="948"/>
        <v/>
      </c>
      <c r="AP2755" s="22" t="str">
        <f t="shared" si="949"/>
        <v/>
      </c>
    </row>
    <row r="2756" spans="1:42" x14ac:dyDescent="0.25">
      <c r="A2756" s="10"/>
      <c r="B2756" s="10"/>
      <c r="C2756" s="10"/>
      <c r="D2756" s="10"/>
      <c r="E2756" s="10"/>
      <c r="F2756" s="10"/>
      <c r="G2756" s="10"/>
      <c r="H2756" s="17"/>
      <c r="I2756" s="10"/>
      <c r="J2756" s="10"/>
      <c r="K2756" s="16" t="str">
        <f t="shared" si="928"/>
        <v/>
      </c>
      <c r="L2756" s="23" t="str">
        <f t="shared" si="929"/>
        <v/>
      </c>
      <c r="M2756" s="22" t="str">
        <f t="shared" si="930"/>
        <v/>
      </c>
      <c r="N2756" s="72"/>
      <c r="O2756" s="16" t="str">
        <f t="shared" si="931"/>
        <v/>
      </c>
      <c r="P2756" s="16" t="str">
        <f t="shared" si="932"/>
        <v/>
      </c>
      <c r="Q2756" s="16" t="str">
        <f t="shared" si="933"/>
        <v/>
      </c>
      <c r="R2756" s="23" t="str">
        <f t="shared" si="934"/>
        <v/>
      </c>
      <c r="S2756" s="23" t="str">
        <f t="shared" si="935"/>
        <v/>
      </c>
      <c r="T2756" s="23" t="str">
        <f t="shared" si="936"/>
        <v/>
      </c>
      <c r="U2756" s="23" t="str">
        <f t="shared" si="937"/>
        <v/>
      </c>
      <c r="V2756" s="23" t="str">
        <f t="shared" si="938"/>
        <v/>
      </c>
      <c r="W2756" s="70" t="str">
        <f t="shared" si="939"/>
        <v/>
      </c>
      <c r="X2756" s="70" t="str">
        <f t="shared" si="940"/>
        <v/>
      </c>
      <c r="Y2756" s="70" t="str">
        <f>IF(AND($A2756&lt;&gt;"",$E2756&gt;0),isLaptopBag($C2756,$J2756)*$D2756,"")</f>
        <v/>
      </c>
      <c r="Z2756" s="70" t="str">
        <f t="shared" si="941"/>
        <v/>
      </c>
      <c r="AA2756" s="70" t="str">
        <f t="shared" si="942"/>
        <v/>
      </c>
      <c r="AB2756" s="70" t="str">
        <f t="shared" si="943"/>
        <v/>
      </c>
      <c r="AC2756" s="70" t="str">
        <f t="shared" si="944"/>
        <v/>
      </c>
      <c r="AD2756" s="70" t="str">
        <f t="shared" si="945"/>
        <v/>
      </c>
      <c r="AE2756" s="70" t="str">
        <f t="shared" si="946"/>
        <v/>
      </c>
      <c r="AF2756" s="16"/>
      <c r="AG2756" s="23"/>
      <c r="AH2756" s="22"/>
      <c r="AJ2756" s="83">
        <f t="shared" si="947"/>
        <v>0</v>
      </c>
      <c r="AO2756" s="22" t="str">
        <f t="shared" si="948"/>
        <v/>
      </c>
      <c r="AP2756" s="22" t="str">
        <f t="shared" si="949"/>
        <v/>
      </c>
    </row>
    <row r="2757" spans="1:42" x14ac:dyDescent="0.25">
      <c r="A2757" s="10"/>
      <c r="B2757" s="10"/>
      <c r="C2757" s="10"/>
      <c r="D2757" s="10"/>
      <c r="E2757" s="10"/>
      <c r="F2757" s="10"/>
      <c r="G2757" s="10"/>
      <c r="H2757" s="17"/>
      <c r="I2757" s="10"/>
      <c r="J2757" s="10"/>
      <c r="K2757" s="16" t="str">
        <f t="shared" si="928"/>
        <v/>
      </c>
      <c r="L2757" s="23" t="str">
        <f t="shared" si="929"/>
        <v/>
      </c>
      <c r="M2757" s="22" t="str">
        <f t="shared" si="930"/>
        <v/>
      </c>
      <c r="N2757" s="72"/>
      <c r="O2757" s="16" t="str">
        <f t="shared" si="931"/>
        <v/>
      </c>
      <c r="P2757" s="16" t="str">
        <f t="shared" si="932"/>
        <v/>
      </c>
      <c r="Q2757" s="16" t="str">
        <f t="shared" si="933"/>
        <v/>
      </c>
      <c r="R2757" s="23" t="str">
        <f t="shared" si="934"/>
        <v/>
      </c>
      <c r="S2757" s="23" t="str">
        <f t="shared" si="935"/>
        <v/>
      </c>
      <c r="T2757" s="23" t="str">
        <f t="shared" si="936"/>
        <v/>
      </c>
      <c r="U2757" s="23" t="str">
        <f t="shared" si="937"/>
        <v/>
      </c>
      <c r="V2757" s="23" t="str">
        <f t="shared" si="938"/>
        <v/>
      </c>
      <c r="W2757" s="70" t="str">
        <f t="shared" si="939"/>
        <v/>
      </c>
      <c r="X2757" s="70" t="str">
        <f t="shared" si="940"/>
        <v/>
      </c>
      <c r="Y2757" s="70" t="str">
        <f>IF(AND($A2757&lt;&gt;"",$E2757&gt;0),isLaptopBag($C2757,$J2757)*$D2757,"")</f>
        <v/>
      </c>
      <c r="Z2757" s="70" t="str">
        <f t="shared" si="941"/>
        <v/>
      </c>
      <c r="AA2757" s="70" t="str">
        <f t="shared" si="942"/>
        <v/>
      </c>
      <c r="AB2757" s="70" t="str">
        <f t="shared" si="943"/>
        <v/>
      </c>
      <c r="AC2757" s="70" t="str">
        <f t="shared" si="944"/>
        <v/>
      </c>
      <c r="AD2757" s="70" t="str">
        <f t="shared" si="945"/>
        <v/>
      </c>
      <c r="AE2757" s="70" t="str">
        <f t="shared" si="946"/>
        <v/>
      </c>
      <c r="AF2757" s="16"/>
      <c r="AG2757" s="23"/>
      <c r="AH2757" s="22"/>
      <c r="AJ2757" s="83">
        <f t="shared" si="947"/>
        <v>0</v>
      </c>
      <c r="AO2757" s="22" t="str">
        <f t="shared" si="948"/>
        <v/>
      </c>
      <c r="AP2757" s="22" t="str">
        <f t="shared" si="949"/>
        <v/>
      </c>
    </row>
    <row r="2758" spans="1:42" x14ac:dyDescent="0.25">
      <c r="A2758" s="10"/>
      <c r="B2758" s="10"/>
      <c r="C2758" s="10"/>
      <c r="D2758" s="10"/>
      <c r="E2758" s="10"/>
      <c r="F2758" s="10"/>
      <c r="G2758" s="10"/>
      <c r="H2758" s="17"/>
      <c r="I2758" s="10"/>
      <c r="J2758" s="10"/>
      <c r="K2758" s="16" t="str">
        <f t="shared" si="928"/>
        <v/>
      </c>
      <c r="L2758" s="23" t="str">
        <f t="shared" si="929"/>
        <v/>
      </c>
      <c r="M2758" s="22" t="str">
        <f t="shared" si="930"/>
        <v/>
      </c>
      <c r="N2758" s="72"/>
      <c r="O2758" s="16" t="str">
        <f t="shared" si="931"/>
        <v/>
      </c>
      <c r="P2758" s="16" t="str">
        <f t="shared" si="932"/>
        <v/>
      </c>
      <c r="Q2758" s="16" t="str">
        <f t="shared" si="933"/>
        <v/>
      </c>
      <c r="R2758" s="23" t="str">
        <f t="shared" si="934"/>
        <v/>
      </c>
      <c r="S2758" s="23" t="str">
        <f t="shared" si="935"/>
        <v/>
      </c>
      <c r="T2758" s="23" t="str">
        <f t="shared" si="936"/>
        <v/>
      </c>
      <c r="U2758" s="23" t="str">
        <f t="shared" si="937"/>
        <v/>
      </c>
      <c r="V2758" s="23" t="str">
        <f t="shared" si="938"/>
        <v/>
      </c>
      <c r="W2758" s="70" t="str">
        <f t="shared" si="939"/>
        <v/>
      </c>
      <c r="X2758" s="70" t="str">
        <f t="shared" si="940"/>
        <v/>
      </c>
      <c r="Y2758" s="70" t="str">
        <f>IF(AND($A2758&lt;&gt;"",$E2758&gt;0),isLaptopBag($C2758,$J2758)*$D2758,"")</f>
        <v/>
      </c>
      <c r="Z2758" s="70" t="str">
        <f t="shared" si="941"/>
        <v/>
      </c>
      <c r="AA2758" s="70" t="str">
        <f t="shared" si="942"/>
        <v/>
      </c>
      <c r="AB2758" s="70" t="str">
        <f t="shared" si="943"/>
        <v/>
      </c>
      <c r="AC2758" s="70" t="str">
        <f t="shared" si="944"/>
        <v/>
      </c>
      <c r="AD2758" s="70" t="str">
        <f t="shared" si="945"/>
        <v/>
      </c>
      <c r="AE2758" s="70" t="str">
        <f t="shared" si="946"/>
        <v/>
      </c>
      <c r="AF2758" s="16"/>
      <c r="AG2758" s="23"/>
      <c r="AH2758" s="22"/>
      <c r="AJ2758" s="83">
        <f t="shared" si="947"/>
        <v>0</v>
      </c>
      <c r="AO2758" s="22" t="str">
        <f t="shared" si="948"/>
        <v/>
      </c>
      <c r="AP2758" s="22" t="str">
        <f t="shared" si="949"/>
        <v/>
      </c>
    </row>
    <row r="2759" spans="1:42" x14ac:dyDescent="0.25">
      <c r="A2759" s="10"/>
      <c r="B2759" s="10"/>
      <c r="C2759" s="10"/>
      <c r="D2759" s="10"/>
      <c r="E2759" s="10"/>
      <c r="F2759" s="10"/>
      <c r="G2759" s="10"/>
      <c r="H2759" s="17"/>
      <c r="I2759" s="10"/>
      <c r="J2759" s="10"/>
      <c r="K2759" s="16" t="str">
        <f t="shared" si="928"/>
        <v/>
      </c>
      <c r="L2759" s="23" t="str">
        <f t="shared" si="929"/>
        <v/>
      </c>
      <c r="M2759" s="22" t="str">
        <f t="shared" si="930"/>
        <v/>
      </c>
      <c r="N2759" s="72"/>
      <c r="O2759" s="16" t="str">
        <f t="shared" si="931"/>
        <v/>
      </c>
      <c r="P2759" s="16" t="str">
        <f t="shared" si="932"/>
        <v/>
      </c>
      <c r="Q2759" s="16" t="str">
        <f t="shared" si="933"/>
        <v/>
      </c>
      <c r="R2759" s="23" t="str">
        <f t="shared" si="934"/>
        <v/>
      </c>
      <c r="S2759" s="23" t="str">
        <f t="shared" si="935"/>
        <v/>
      </c>
      <c r="T2759" s="23" t="str">
        <f t="shared" si="936"/>
        <v/>
      </c>
      <c r="U2759" s="23" t="str">
        <f t="shared" si="937"/>
        <v/>
      </c>
      <c r="V2759" s="23" t="str">
        <f t="shared" si="938"/>
        <v/>
      </c>
      <c r="W2759" s="70" t="str">
        <f t="shared" si="939"/>
        <v/>
      </c>
      <c r="X2759" s="70" t="str">
        <f t="shared" si="940"/>
        <v/>
      </c>
      <c r="Y2759" s="70" t="str">
        <f>IF(AND($A2759&lt;&gt;"",$E2759&gt;0),isLaptopBag($C2759,$J2759)*$D2759,"")</f>
        <v/>
      </c>
      <c r="Z2759" s="70" t="str">
        <f t="shared" si="941"/>
        <v/>
      </c>
      <c r="AA2759" s="70" t="str">
        <f t="shared" si="942"/>
        <v/>
      </c>
      <c r="AB2759" s="70" t="str">
        <f t="shared" si="943"/>
        <v/>
      </c>
      <c r="AC2759" s="70" t="str">
        <f t="shared" si="944"/>
        <v/>
      </c>
      <c r="AD2759" s="70" t="str">
        <f t="shared" si="945"/>
        <v/>
      </c>
      <c r="AE2759" s="70" t="str">
        <f t="shared" si="946"/>
        <v/>
      </c>
      <c r="AF2759" s="16"/>
      <c r="AG2759" s="23"/>
      <c r="AH2759" s="22"/>
      <c r="AJ2759" s="83">
        <f t="shared" si="947"/>
        <v>0</v>
      </c>
      <c r="AO2759" s="22" t="str">
        <f t="shared" si="948"/>
        <v/>
      </c>
      <c r="AP2759" s="22" t="str">
        <f t="shared" si="949"/>
        <v/>
      </c>
    </row>
    <row r="2760" spans="1:42" x14ac:dyDescent="0.25">
      <c r="A2760" s="10"/>
      <c r="B2760" s="10"/>
      <c r="C2760" s="10"/>
      <c r="D2760" s="10"/>
      <c r="E2760" s="10"/>
      <c r="F2760" s="10"/>
      <c r="G2760" s="10"/>
      <c r="H2760" s="17"/>
      <c r="I2760" s="10"/>
      <c r="J2760" s="10"/>
      <c r="K2760" s="16" t="str">
        <f t="shared" si="928"/>
        <v/>
      </c>
      <c r="L2760" s="23" t="str">
        <f t="shared" si="929"/>
        <v/>
      </c>
      <c r="M2760" s="22" t="str">
        <f t="shared" si="930"/>
        <v/>
      </c>
      <c r="N2760" s="72"/>
      <c r="O2760" s="16" t="str">
        <f t="shared" si="931"/>
        <v/>
      </c>
      <c r="P2760" s="16" t="str">
        <f t="shared" si="932"/>
        <v/>
      </c>
      <c r="Q2760" s="16" t="str">
        <f t="shared" si="933"/>
        <v/>
      </c>
      <c r="R2760" s="23" t="str">
        <f t="shared" si="934"/>
        <v/>
      </c>
      <c r="S2760" s="23" t="str">
        <f t="shared" si="935"/>
        <v/>
      </c>
      <c r="T2760" s="23" t="str">
        <f t="shared" si="936"/>
        <v/>
      </c>
      <c r="U2760" s="23" t="str">
        <f t="shared" si="937"/>
        <v/>
      </c>
      <c r="V2760" s="23" t="str">
        <f t="shared" si="938"/>
        <v/>
      </c>
      <c r="W2760" s="70" t="str">
        <f t="shared" si="939"/>
        <v/>
      </c>
      <c r="X2760" s="70" t="str">
        <f t="shared" si="940"/>
        <v/>
      </c>
      <c r="Y2760" s="70" t="str">
        <f>IF(AND($A2760&lt;&gt;"",$E2760&gt;0),isLaptopBag($C2760,$J2760)*$D2760,"")</f>
        <v/>
      </c>
      <c r="Z2760" s="70" t="str">
        <f t="shared" si="941"/>
        <v/>
      </c>
      <c r="AA2760" s="70" t="str">
        <f t="shared" si="942"/>
        <v/>
      </c>
      <c r="AB2760" s="70" t="str">
        <f t="shared" si="943"/>
        <v/>
      </c>
      <c r="AC2760" s="70" t="str">
        <f t="shared" si="944"/>
        <v/>
      </c>
      <c r="AD2760" s="70" t="str">
        <f t="shared" si="945"/>
        <v/>
      </c>
      <c r="AE2760" s="70" t="str">
        <f t="shared" si="946"/>
        <v/>
      </c>
      <c r="AF2760" s="16"/>
      <c r="AG2760" s="23"/>
      <c r="AH2760" s="22"/>
      <c r="AJ2760" s="83">
        <f t="shared" si="947"/>
        <v>0</v>
      </c>
      <c r="AO2760" s="22" t="str">
        <f t="shared" si="948"/>
        <v/>
      </c>
      <c r="AP2760" s="22" t="str">
        <f t="shared" si="949"/>
        <v/>
      </c>
    </row>
    <row r="2761" spans="1:42" x14ac:dyDescent="0.25">
      <c r="A2761" s="10"/>
      <c r="B2761" s="10"/>
      <c r="C2761" s="10"/>
      <c r="D2761" s="10"/>
      <c r="E2761" s="10"/>
      <c r="F2761" s="10"/>
      <c r="G2761" s="10"/>
      <c r="H2761" s="17"/>
      <c r="I2761" s="10"/>
      <c r="J2761" s="10"/>
      <c r="K2761" s="16" t="str">
        <f t="shared" si="928"/>
        <v/>
      </c>
      <c r="L2761" s="23" t="str">
        <f t="shared" si="929"/>
        <v/>
      </c>
      <c r="M2761" s="22" t="str">
        <f t="shared" si="930"/>
        <v/>
      </c>
      <c r="N2761" s="72"/>
      <c r="O2761" s="16" t="str">
        <f t="shared" si="931"/>
        <v/>
      </c>
      <c r="P2761" s="16" t="str">
        <f t="shared" si="932"/>
        <v/>
      </c>
      <c r="Q2761" s="16" t="str">
        <f t="shared" si="933"/>
        <v/>
      </c>
      <c r="R2761" s="23" t="str">
        <f t="shared" si="934"/>
        <v/>
      </c>
      <c r="S2761" s="23" t="str">
        <f t="shared" si="935"/>
        <v/>
      </c>
      <c r="T2761" s="23" t="str">
        <f t="shared" si="936"/>
        <v/>
      </c>
      <c r="U2761" s="23" t="str">
        <f t="shared" si="937"/>
        <v/>
      </c>
      <c r="V2761" s="23" t="str">
        <f t="shared" si="938"/>
        <v/>
      </c>
      <c r="W2761" s="70" t="str">
        <f t="shared" si="939"/>
        <v/>
      </c>
      <c r="X2761" s="70" t="str">
        <f t="shared" si="940"/>
        <v/>
      </c>
      <c r="Y2761" s="70" t="str">
        <f>IF(AND($A2761&lt;&gt;"",$E2761&gt;0),isLaptopBag($C2761,$J2761)*$D2761,"")</f>
        <v/>
      </c>
      <c r="Z2761" s="70" t="str">
        <f t="shared" si="941"/>
        <v/>
      </c>
      <c r="AA2761" s="70" t="str">
        <f t="shared" si="942"/>
        <v/>
      </c>
      <c r="AB2761" s="70" t="str">
        <f t="shared" si="943"/>
        <v/>
      </c>
      <c r="AC2761" s="70" t="str">
        <f t="shared" si="944"/>
        <v/>
      </c>
      <c r="AD2761" s="70" t="str">
        <f t="shared" si="945"/>
        <v/>
      </c>
      <c r="AE2761" s="70" t="str">
        <f t="shared" si="946"/>
        <v/>
      </c>
      <c r="AF2761" s="16"/>
      <c r="AG2761" s="23"/>
      <c r="AH2761" s="22"/>
      <c r="AJ2761" s="83">
        <f t="shared" si="947"/>
        <v>0</v>
      </c>
      <c r="AO2761" s="22" t="str">
        <f t="shared" si="948"/>
        <v/>
      </c>
      <c r="AP2761" s="22" t="str">
        <f t="shared" si="949"/>
        <v/>
      </c>
    </row>
    <row r="2762" spans="1:42" x14ac:dyDescent="0.25">
      <c r="A2762" s="10"/>
      <c r="B2762" s="10"/>
      <c r="C2762" s="10"/>
      <c r="D2762" s="10"/>
      <c r="E2762" s="10"/>
      <c r="F2762" s="10"/>
      <c r="G2762" s="10"/>
      <c r="H2762" s="17"/>
      <c r="I2762" s="10"/>
      <c r="J2762" s="10"/>
      <c r="K2762" s="16" t="str">
        <f t="shared" si="928"/>
        <v/>
      </c>
      <c r="L2762" s="23" t="str">
        <f t="shared" si="929"/>
        <v/>
      </c>
      <c r="M2762" s="22" t="str">
        <f t="shared" si="930"/>
        <v/>
      </c>
      <c r="N2762" s="72"/>
      <c r="O2762" s="16" t="str">
        <f t="shared" si="931"/>
        <v/>
      </c>
      <c r="P2762" s="16" t="str">
        <f t="shared" si="932"/>
        <v/>
      </c>
      <c r="Q2762" s="16" t="str">
        <f t="shared" si="933"/>
        <v/>
      </c>
      <c r="R2762" s="23" t="str">
        <f t="shared" si="934"/>
        <v/>
      </c>
      <c r="S2762" s="23" t="str">
        <f t="shared" si="935"/>
        <v/>
      </c>
      <c r="T2762" s="23" t="str">
        <f t="shared" si="936"/>
        <v/>
      </c>
      <c r="U2762" s="23" t="str">
        <f t="shared" si="937"/>
        <v/>
      </c>
      <c r="V2762" s="23" t="str">
        <f t="shared" si="938"/>
        <v/>
      </c>
      <c r="W2762" s="70" t="str">
        <f t="shared" si="939"/>
        <v/>
      </c>
      <c r="X2762" s="70" t="str">
        <f t="shared" si="940"/>
        <v/>
      </c>
      <c r="Y2762" s="70" t="str">
        <f>IF(AND($A2762&lt;&gt;"",$E2762&gt;0),isLaptopBag($C2762,$J2762)*$D2762,"")</f>
        <v/>
      </c>
      <c r="Z2762" s="70" t="str">
        <f t="shared" si="941"/>
        <v/>
      </c>
      <c r="AA2762" s="70" t="str">
        <f t="shared" si="942"/>
        <v/>
      </c>
      <c r="AB2762" s="70" t="str">
        <f t="shared" si="943"/>
        <v/>
      </c>
      <c r="AC2762" s="70" t="str">
        <f t="shared" si="944"/>
        <v/>
      </c>
      <c r="AD2762" s="70" t="str">
        <f t="shared" si="945"/>
        <v/>
      </c>
      <c r="AE2762" s="70" t="str">
        <f t="shared" si="946"/>
        <v/>
      </c>
      <c r="AF2762" s="16"/>
      <c r="AG2762" s="23"/>
      <c r="AH2762" s="22"/>
      <c r="AJ2762" s="83">
        <f t="shared" si="947"/>
        <v>0</v>
      </c>
      <c r="AO2762" s="22" t="str">
        <f t="shared" si="948"/>
        <v/>
      </c>
      <c r="AP2762" s="22" t="str">
        <f t="shared" si="949"/>
        <v/>
      </c>
    </row>
    <row r="2763" spans="1:42" x14ac:dyDescent="0.25">
      <c r="A2763" s="10"/>
      <c r="B2763" s="10"/>
      <c r="C2763" s="10"/>
      <c r="D2763" s="10"/>
      <c r="E2763" s="10"/>
      <c r="F2763" s="10"/>
      <c r="G2763" s="10"/>
      <c r="H2763" s="17"/>
      <c r="I2763" s="10"/>
      <c r="J2763" s="10"/>
      <c r="K2763" s="16" t="str">
        <f t="shared" si="928"/>
        <v/>
      </c>
      <c r="L2763" s="23" t="str">
        <f t="shared" si="929"/>
        <v/>
      </c>
      <c r="M2763" s="22" t="str">
        <f t="shared" si="930"/>
        <v/>
      </c>
      <c r="N2763" s="72"/>
      <c r="O2763" s="16" t="str">
        <f t="shared" si="931"/>
        <v/>
      </c>
      <c r="P2763" s="16" t="str">
        <f t="shared" si="932"/>
        <v/>
      </c>
      <c r="Q2763" s="16" t="str">
        <f t="shared" si="933"/>
        <v/>
      </c>
      <c r="R2763" s="23" t="str">
        <f t="shared" si="934"/>
        <v/>
      </c>
      <c r="S2763" s="23" t="str">
        <f t="shared" si="935"/>
        <v/>
      </c>
      <c r="T2763" s="23" t="str">
        <f t="shared" si="936"/>
        <v/>
      </c>
      <c r="U2763" s="23" t="str">
        <f t="shared" si="937"/>
        <v/>
      </c>
      <c r="V2763" s="23" t="str">
        <f t="shared" si="938"/>
        <v/>
      </c>
      <c r="W2763" s="70" t="str">
        <f t="shared" si="939"/>
        <v/>
      </c>
      <c r="X2763" s="70" t="str">
        <f t="shared" si="940"/>
        <v/>
      </c>
      <c r="Y2763" s="70" t="str">
        <f>IF(AND($A2763&lt;&gt;"",$E2763&gt;0),isLaptopBag($C2763,$J2763)*$D2763,"")</f>
        <v/>
      </c>
      <c r="Z2763" s="70" t="str">
        <f t="shared" si="941"/>
        <v/>
      </c>
      <c r="AA2763" s="70" t="str">
        <f t="shared" si="942"/>
        <v/>
      </c>
      <c r="AB2763" s="70" t="str">
        <f t="shared" si="943"/>
        <v/>
      </c>
      <c r="AC2763" s="70" t="str">
        <f t="shared" si="944"/>
        <v/>
      </c>
      <c r="AD2763" s="70" t="str">
        <f t="shared" si="945"/>
        <v/>
      </c>
      <c r="AE2763" s="70" t="str">
        <f t="shared" si="946"/>
        <v/>
      </c>
      <c r="AF2763" s="16"/>
      <c r="AG2763" s="23"/>
      <c r="AH2763" s="22"/>
      <c r="AJ2763" s="83">
        <f t="shared" si="947"/>
        <v>0</v>
      </c>
      <c r="AO2763" s="22" t="str">
        <f t="shared" si="948"/>
        <v/>
      </c>
      <c r="AP2763" s="22" t="str">
        <f t="shared" si="949"/>
        <v/>
      </c>
    </row>
    <row r="2764" spans="1:42" x14ac:dyDescent="0.25">
      <c r="A2764" s="10"/>
      <c r="B2764" s="10"/>
      <c r="C2764" s="10"/>
      <c r="D2764" s="10"/>
      <c r="E2764" s="10"/>
      <c r="F2764" s="10"/>
      <c r="G2764" s="10"/>
      <c r="H2764" s="17"/>
      <c r="I2764" s="10"/>
      <c r="J2764" s="10"/>
      <c r="K2764" s="16" t="str">
        <f t="shared" si="928"/>
        <v/>
      </c>
      <c r="L2764" s="23" t="str">
        <f t="shared" si="929"/>
        <v/>
      </c>
      <c r="M2764" s="22" t="str">
        <f t="shared" si="930"/>
        <v/>
      </c>
      <c r="N2764" s="72"/>
      <c r="O2764" s="16" t="str">
        <f t="shared" si="931"/>
        <v/>
      </c>
      <c r="P2764" s="16" t="str">
        <f t="shared" si="932"/>
        <v/>
      </c>
      <c r="Q2764" s="16" t="str">
        <f t="shared" si="933"/>
        <v/>
      </c>
      <c r="R2764" s="23" t="str">
        <f t="shared" si="934"/>
        <v/>
      </c>
      <c r="S2764" s="23" t="str">
        <f t="shared" si="935"/>
        <v/>
      </c>
      <c r="T2764" s="23" t="str">
        <f t="shared" si="936"/>
        <v/>
      </c>
      <c r="U2764" s="23" t="str">
        <f t="shared" si="937"/>
        <v/>
      </c>
      <c r="V2764" s="23" t="str">
        <f t="shared" si="938"/>
        <v/>
      </c>
      <c r="W2764" s="70" t="str">
        <f t="shared" si="939"/>
        <v/>
      </c>
      <c r="X2764" s="70" t="str">
        <f t="shared" si="940"/>
        <v/>
      </c>
      <c r="Y2764" s="70" t="str">
        <f>IF(AND($A2764&lt;&gt;"",$E2764&gt;0),isLaptopBag($C2764,$J2764)*$D2764,"")</f>
        <v/>
      </c>
      <c r="Z2764" s="70" t="str">
        <f t="shared" si="941"/>
        <v/>
      </c>
      <c r="AA2764" s="70" t="str">
        <f t="shared" si="942"/>
        <v/>
      </c>
      <c r="AB2764" s="70" t="str">
        <f t="shared" si="943"/>
        <v/>
      </c>
      <c r="AC2764" s="70" t="str">
        <f t="shared" si="944"/>
        <v/>
      </c>
      <c r="AD2764" s="70" t="str">
        <f t="shared" si="945"/>
        <v/>
      </c>
      <c r="AE2764" s="70" t="str">
        <f t="shared" si="946"/>
        <v/>
      </c>
      <c r="AF2764" s="16"/>
      <c r="AG2764" s="23"/>
      <c r="AH2764" s="22"/>
      <c r="AJ2764" s="83">
        <f t="shared" si="947"/>
        <v>0</v>
      </c>
      <c r="AO2764" s="22" t="str">
        <f t="shared" si="948"/>
        <v/>
      </c>
      <c r="AP2764" s="22" t="str">
        <f t="shared" si="949"/>
        <v/>
      </c>
    </row>
    <row r="2765" spans="1:42" x14ac:dyDescent="0.25">
      <c r="A2765" s="10"/>
      <c r="B2765" s="10"/>
      <c r="C2765" s="10"/>
      <c r="D2765" s="10"/>
      <c r="E2765" s="10"/>
      <c r="F2765" s="10"/>
      <c r="G2765" s="10"/>
      <c r="H2765" s="17"/>
      <c r="I2765" s="10"/>
      <c r="J2765" s="10"/>
      <c r="K2765" s="16" t="str">
        <f t="shared" ref="K2765:K2828" si="950">IF($AF2765&lt;&gt;"",$AF2765,IF(AND($A2765&lt;&gt;"",$E2765&gt;0),SUM($O2765:$Q2765),""))</f>
        <v/>
      </c>
      <c r="L2765" s="23" t="str">
        <f t="shared" ref="L2765:L2828" si="951">IF($AG2765&lt;&gt;"",$AG2765,IF(AND($A2765&lt;&gt;"",$E2765&gt;0),SUM($R2765:$V2765),""))</f>
        <v/>
      </c>
      <c r="M2765" s="22" t="str">
        <f t="shared" ref="M2765:M2828" si="952">IF($AH2765&lt;&gt;"",$AH2765,IF(AND($A2765&lt;&gt;"",$E2765&gt;0),SUM($W2765:$AE2765)+$AO2765+$AP2765,""))</f>
        <v/>
      </c>
      <c r="N2765" s="72"/>
      <c r="O2765" s="16" t="str">
        <f t="shared" ref="O2765:O2828" si="953">IF(AND($A2765&lt;&gt;"",$E2765&gt;0),IF(AND($J2765="SONY",200000&lt;=$E2765,$E2765&lt;1000000),5000*$D2765,0),"")</f>
        <v/>
      </c>
      <c r="P2765" s="16" t="str">
        <f t="shared" ref="P2765:P2828" si="954">IF(AND($A2765&lt;&gt;"",$E2765&gt;0),IF(AND($J2765="SONY",1000000&lt;=$E2765,$E2765&lt;2000000),10000*$D2765,0),"")</f>
        <v/>
      </c>
      <c r="Q2765" s="16" t="str">
        <f t="shared" ref="Q2765:Q2828" si="955">IF(AND($A2765&lt;&gt;"",$E2765&gt;0),IF(AND($J2765="SONY",$E2765&gt;=2000000),20000*$D2765,0),"")</f>
        <v/>
      </c>
      <c r="R2765" s="23" t="str">
        <f t="shared" ref="R2765:R2828" si="956">IF(AND($A2765&lt;&gt;"",$E2765&gt;0),IF(AND($J2765&lt;&gt;"SONY",100000&lt;=$E2765,$E2765&lt;200000),5000*$D2765,0),"")</f>
        <v/>
      </c>
      <c r="S2765" s="23" t="str">
        <f t="shared" ref="S2765:S2828" si="957">IF(AND($A2765&lt;&gt;"",$E2765&gt;0),IF(AND($J2765&lt;&gt;"SONY",200000&lt;=$E2765,$E2765&lt;500000),10000*$D2765,0),"")</f>
        <v/>
      </c>
      <c r="T2765" s="23" t="str">
        <f t="shared" ref="T2765:T2828" si="958">IF(AND($A2765&lt;&gt;"",$E2765&gt;0),IF(AND($J2765&lt;&gt;"SONY",500000&lt;=$E2765,$E2765&lt;1000000),20000*$D2765,0),"")</f>
        <v/>
      </c>
      <c r="U2765" s="23" t="str">
        <f t="shared" ref="U2765:U2828" si="959">IF(AND($A2765&lt;&gt;"",$E2765&gt;0),IF(AND($J2765&lt;&gt;"SONY",1000000&lt;=$E2765,$E2765&lt;1500000),50000*$D2765,0),"")</f>
        <v/>
      </c>
      <c r="V2765" s="23" t="str">
        <f t="shared" ref="V2765:V2828" si="960">IF(AND($A2765&lt;&gt;"",$E2765&gt;0),IF(AND($J2765&lt;&gt;"SONY",1500000&lt;=$E2765),100000*$D2765,0),"")</f>
        <v/>
      </c>
      <c r="W2765" s="70" t="str">
        <f t="shared" ref="W2765:W2828" si="961">IF(AND($E2765&gt;0,$J2765="ELECOM",$E2765&gt;=500000,ISNUMBER(SEARCH("tai nghe",$C2765))),20000*$D2765,IF($A2765&lt;&gt;"",0,""))</f>
        <v/>
      </c>
      <c r="X2765" s="70" t="str">
        <f t="shared" ref="X2765:X2828" si="962">IF(AND($E2765&gt;0,$J2765="ELECOM",ISNUMBER(SEARCH("loa",$C2765))),20000*$D2765,IF($A2765&lt;&gt;"",0,""))</f>
        <v/>
      </c>
      <c r="Y2765" s="70" t="str">
        <f>IF(AND($A2765&lt;&gt;"",$E2765&gt;0),isLaptopBag($C2765,$J2765)*$D2765,"")</f>
        <v/>
      </c>
      <c r="Z2765" s="70" t="str">
        <f t="shared" ref="Z2765:Z2828" si="963">IF(AND($E2765&gt;0,$J2765="ELECOM",ISNUMBER(SEARCH("ốp",$C2765))),20000*$D2765,IF($A2765&lt;&gt;"",0,""))</f>
        <v/>
      </c>
      <c r="AA2765" s="70" t="str">
        <f t="shared" ref="AA2765:AA2828" si="964">IF(AND($E2765&gt;0,$J2765="ELECOM",ISNUMBER(SEARCH("Bút",$C2765))),20000*$D2765,IF($A2765&lt;&gt;"",0,""))</f>
        <v/>
      </c>
      <c r="AB2765" s="70" t="str">
        <f t="shared" ref="AB2765:AB2828" si="965">IF(AND($E2765&gt;0,$J2765="ELECOM",ISNUMBER(SEARCH("Chuột bi",$C2765))),20000*$D2765,IF($A2765&lt;&gt;"",0,""))</f>
        <v/>
      </c>
      <c r="AC2765" s="70" t="str">
        <f t="shared" ref="AC2765:AC2828" si="966">IF(AND($E2765&gt;0,$J2765="ELECOM",ISNUMBER(SEARCH("Chuột trackball",$C2765))),20000*$D2765,IF($A2765&lt;&gt;"",0,""))</f>
        <v/>
      </c>
      <c r="AD2765" s="70" t="str">
        <f t="shared" ref="AD2765:AD2828" si="967">IF(AND($E2765&gt;0,$J2765="ELECOM",ISNUMBER(SEARCH("Sạc không dây",$C2765))),20000*$D2765,IF($A2765&lt;&gt;"",0,""))</f>
        <v/>
      </c>
      <c r="AE2765" s="70" t="str">
        <f t="shared" ref="AE2765:AE2828" si="968">IF(AND($E2765&gt;0,$J2765="ELECOM",ISNUMBER(SEARCH("Sạc kd",$C2765))),20000*$D2765,IF($A2765&lt;&gt;"",0,""))</f>
        <v/>
      </c>
      <c r="AF2765" s="16"/>
      <c r="AG2765" s="23"/>
      <c r="AH2765" s="22"/>
      <c r="AJ2765" s="83">
        <f t="shared" ref="AJ2765:AJ2828" si="969">DAY(H2765)</f>
        <v>0</v>
      </c>
      <c r="AO2765" s="22" t="str">
        <f t="shared" ref="AO2765:AO2828" si="970">IF(AND($E2765&gt;0,ISNUMBER(SEARCH("Sạc dự phòng Energizer",$C2765))),10000*$D2765,IF($A2765&lt;&gt;"",0,""))</f>
        <v/>
      </c>
      <c r="AP2765" s="22" t="str">
        <f t="shared" ref="AP2765:AP2828" si="971">IF(AND($E2765&gt;0,ISNUMBER(SEARCH("SDP Energizer",$C2765))),10000*$D2765,IF($A2765&lt;&gt;"",0,""))</f>
        <v/>
      </c>
    </row>
    <row r="2766" spans="1:42" x14ac:dyDescent="0.25">
      <c r="A2766" s="10"/>
      <c r="B2766" s="10"/>
      <c r="C2766" s="10"/>
      <c r="D2766" s="10"/>
      <c r="E2766" s="10"/>
      <c r="F2766" s="10"/>
      <c r="G2766" s="10"/>
      <c r="H2766" s="17"/>
      <c r="I2766" s="10"/>
      <c r="J2766" s="10"/>
      <c r="K2766" s="16" t="str">
        <f t="shared" si="950"/>
        <v/>
      </c>
      <c r="L2766" s="23" t="str">
        <f t="shared" si="951"/>
        <v/>
      </c>
      <c r="M2766" s="22" t="str">
        <f t="shared" si="952"/>
        <v/>
      </c>
      <c r="N2766" s="72"/>
      <c r="O2766" s="16" t="str">
        <f t="shared" si="953"/>
        <v/>
      </c>
      <c r="P2766" s="16" t="str">
        <f t="shared" si="954"/>
        <v/>
      </c>
      <c r="Q2766" s="16" t="str">
        <f t="shared" si="955"/>
        <v/>
      </c>
      <c r="R2766" s="23" t="str">
        <f t="shared" si="956"/>
        <v/>
      </c>
      <c r="S2766" s="23" t="str">
        <f t="shared" si="957"/>
        <v/>
      </c>
      <c r="T2766" s="23" t="str">
        <f t="shared" si="958"/>
        <v/>
      </c>
      <c r="U2766" s="23" t="str">
        <f t="shared" si="959"/>
        <v/>
      </c>
      <c r="V2766" s="23" t="str">
        <f t="shared" si="960"/>
        <v/>
      </c>
      <c r="W2766" s="70" t="str">
        <f t="shared" si="961"/>
        <v/>
      </c>
      <c r="X2766" s="70" t="str">
        <f t="shared" si="962"/>
        <v/>
      </c>
      <c r="Y2766" s="70" t="str">
        <f>IF(AND($A2766&lt;&gt;"",$E2766&gt;0),isLaptopBag($C2766,$J2766)*$D2766,"")</f>
        <v/>
      </c>
      <c r="Z2766" s="70" t="str">
        <f t="shared" si="963"/>
        <v/>
      </c>
      <c r="AA2766" s="70" t="str">
        <f t="shared" si="964"/>
        <v/>
      </c>
      <c r="AB2766" s="70" t="str">
        <f t="shared" si="965"/>
        <v/>
      </c>
      <c r="AC2766" s="70" t="str">
        <f t="shared" si="966"/>
        <v/>
      </c>
      <c r="AD2766" s="70" t="str">
        <f t="shared" si="967"/>
        <v/>
      </c>
      <c r="AE2766" s="70" t="str">
        <f t="shared" si="968"/>
        <v/>
      </c>
      <c r="AF2766" s="16"/>
      <c r="AG2766" s="23"/>
      <c r="AH2766" s="22"/>
      <c r="AJ2766" s="83">
        <f t="shared" si="969"/>
        <v>0</v>
      </c>
      <c r="AO2766" s="22" t="str">
        <f t="shared" si="970"/>
        <v/>
      </c>
      <c r="AP2766" s="22" t="str">
        <f t="shared" si="971"/>
        <v/>
      </c>
    </row>
    <row r="2767" spans="1:42" x14ac:dyDescent="0.25">
      <c r="A2767" s="10"/>
      <c r="B2767" s="10"/>
      <c r="C2767" s="10"/>
      <c r="D2767" s="10"/>
      <c r="E2767" s="10"/>
      <c r="F2767" s="10"/>
      <c r="G2767" s="10"/>
      <c r="H2767" s="17"/>
      <c r="I2767" s="10"/>
      <c r="J2767" s="10"/>
      <c r="K2767" s="16" t="str">
        <f t="shared" si="950"/>
        <v/>
      </c>
      <c r="L2767" s="23" t="str">
        <f t="shared" si="951"/>
        <v/>
      </c>
      <c r="M2767" s="22" t="str">
        <f t="shared" si="952"/>
        <v/>
      </c>
      <c r="N2767" s="72"/>
      <c r="O2767" s="16" t="str">
        <f t="shared" si="953"/>
        <v/>
      </c>
      <c r="P2767" s="16" t="str">
        <f t="shared" si="954"/>
        <v/>
      </c>
      <c r="Q2767" s="16" t="str">
        <f t="shared" si="955"/>
        <v/>
      </c>
      <c r="R2767" s="23" t="str">
        <f t="shared" si="956"/>
        <v/>
      </c>
      <c r="S2767" s="23" t="str">
        <f t="shared" si="957"/>
        <v/>
      </c>
      <c r="T2767" s="23" t="str">
        <f t="shared" si="958"/>
        <v/>
      </c>
      <c r="U2767" s="23" t="str">
        <f t="shared" si="959"/>
        <v/>
      </c>
      <c r="V2767" s="23" t="str">
        <f t="shared" si="960"/>
        <v/>
      </c>
      <c r="W2767" s="70" t="str">
        <f t="shared" si="961"/>
        <v/>
      </c>
      <c r="X2767" s="70" t="str">
        <f t="shared" si="962"/>
        <v/>
      </c>
      <c r="Y2767" s="70" t="str">
        <f>IF(AND($A2767&lt;&gt;"",$E2767&gt;0),isLaptopBag($C2767,$J2767)*$D2767,"")</f>
        <v/>
      </c>
      <c r="Z2767" s="70" t="str">
        <f t="shared" si="963"/>
        <v/>
      </c>
      <c r="AA2767" s="70" t="str">
        <f t="shared" si="964"/>
        <v/>
      </c>
      <c r="AB2767" s="70" t="str">
        <f t="shared" si="965"/>
        <v/>
      </c>
      <c r="AC2767" s="70" t="str">
        <f t="shared" si="966"/>
        <v/>
      </c>
      <c r="AD2767" s="70" t="str">
        <f t="shared" si="967"/>
        <v/>
      </c>
      <c r="AE2767" s="70" t="str">
        <f t="shared" si="968"/>
        <v/>
      </c>
      <c r="AF2767" s="16"/>
      <c r="AG2767" s="23"/>
      <c r="AH2767" s="22"/>
      <c r="AJ2767" s="83">
        <f t="shared" si="969"/>
        <v>0</v>
      </c>
      <c r="AO2767" s="22" t="str">
        <f t="shared" si="970"/>
        <v/>
      </c>
      <c r="AP2767" s="22" t="str">
        <f t="shared" si="971"/>
        <v/>
      </c>
    </row>
    <row r="2768" spans="1:42" x14ac:dyDescent="0.25">
      <c r="A2768" s="10"/>
      <c r="B2768" s="10"/>
      <c r="C2768" s="10"/>
      <c r="D2768" s="10"/>
      <c r="E2768" s="10"/>
      <c r="F2768" s="10"/>
      <c r="G2768" s="10"/>
      <c r="H2768" s="17"/>
      <c r="I2768" s="10"/>
      <c r="J2768" s="10"/>
      <c r="K2768" s="16" t="str">
        <f t="shared" si="950"/>
        <v/>
      </c>
      <c r="L2768" s="23" t="str">
        <f t="shared" si="951"/>
        <v/>
      </c>
      <c r="M2768" s="22" t="str">
        <f t="shared" si="952"/>
        <v/>
      </c>
      <c r="N2768" s="72"/>
      <c r="O2768" s="16" t="str">
        <f t="shared" si="953"/>
        <v/>
      </c>
      <c r="P2768" s="16" t="str">
        <f t="shared" si="954"/>
        <v/>
      </c>
      <c r="Q2768" s="16" t="str">
        <f t="shared" si="955"/>
        <v/>
      </c>
      <c r="R2768" s="23" t="str">
        <f t="shared" si="956"/>
        <v/>
      </c>
      <c r="S2768" s="23" t="str">
        <f t="shared" si="957"/>
        <v/>
      </c>
      <c r="T2768" s="23" t="str">
        <f t="shared" si="958"/>
        <v/>
      </c>
      <c r="U2768" s="23" t="str">
        <f t="shared" si="959"/>
        <v/>
      </c>
      <c r="V2768" s="23" t="str">
        <f t="shared" si="960"/>
        <v/>
      </c>
      <c r="W2768" s="70" t="str">
        <f t="shared" si="961"/>
        <v/>
      </c>
      <c r="X2768" s="70" t="str">
        <f t="shared" si="962"/>
        <v/>
      </c>
      <c r="Y2768" s="70" t="str">
        <f>IF(AND($A2768&lt;&gt;"",$E2768&gt;0),isLaptopBag($C2768,$J2768)*$D2768,"")</f>
        <v/>
      </c>
      <c r="Z2768" s="70" t="str">
        <f t="shared" si="963"/>
        <v/>
      </c>
      <c r="AA2768" s="70" t="str">
        <f t="shared" si="964"/>
        <v/>
      </c>
      <c r="AB2768" s="70" t="str">
        <f t="shared" si="965"/>
        <v/>
      </c>
      <c r="AC2768" s="70" t="str">
        <f t="shared" si="966"/>
        <v/>
      </c>
      <c r="AD2768" s="70" t="str">
        <f t="shared" si="967"/>
        <v/>
      </c>
      <c r="AE2768" s="70" t="str">
        <f t="shared" si="968"/>
        <v/>
      </c>
      <c r="AF2768" s="16"/>
      <c r="AG2768" s="23"/>
      <c r="AH2768" s="22"/>
      <c r="AJ2768" s="83">
        <f t="shared" si="969"/>
        <v>0</v>
      </c>
      <c r="AO2768" s="22" t="str">
        <f t="shared" si="970"/>
        <v/>
      </c>
      <c r="AP2768" s="22" t="str">
        <f t="shared" si="971"/>
        <v/>
      </c>
    </row>
    <row r="2769" spans="1:42" x14ac:dyDescent="0.25">
      <c r="A2769" s="10"/>
      <c r="B2769" s="10"/>
      <c r="C2769" s="10"/>
      <c r="D2769" s="10"/>
      <c r="E2769" s="10"/>
      <c r="F2769" s="10"/>
      <c r="G2769" s="10"/>
      <c r="H2769" s="17"/>
      <c r="I2769" s="10"/>
      <c r="J2769" s="10"/>
      <c r="K2769" s="16" t="str">
        <f t="shared" si="950"/>
        <v/>
      </c>
      <c r="L2769" s="23" t="str">
        <f t="shared" si="951"/>
        <v/>
      </c>
      <c r="M2769" s="22" t="str">
        <f t="shared" si="952"/>
        <v/>
      </c>
      <c r="N2769" s="72"/>
      <c r="O2769" s="16" t="str">
        <f t="shared" si="953"/>
        <v/>
      </c>
      <c r="P2769" s="16" t="str">
        <f t="shared" si="954"/>
        <v/>
      </c>
      <c r="Q2769" s="16" t="str">
        <f t="shared" si="955"/>
        <v/>
      </c>
      <c r="R2769" s="23" t="str">
        <f t="shared" si="956"/>
        <v/>
      </c>
      <c r="S2769" s="23" t="str">
        <f t="shared" si="957"/>
        <v/>
      </c>
      <c r="T2769" s="23" t="str">
        <f t="shared" si="958"/>
        <v/>
      </c>
      <c r="U2769" s="23" t="str">
        <f t="shared" si="959"/>
        <v/>
      </c>
      <c r="V2769" s="23" t="str">
        <f t="shared" si="960"/>
        <v/>
      </c>
      <c r="W2769" s="70" t="str">
        <f t="shared" si="961"/>
        <v/>
      </c>
      <c r="X2769" s="70" t="str">
        <f t="shared" si="962"/>
        <v/>
      </c>
      <c r="Y2769" s="70" t="str">
        <f>IF(AND($A2769&lt;&gt;"",$E2769&gt;0),isLaptopBag($C2769,$J2769)*$D2769,"")</f>
        <v/>
      </c>
      <c r="Z2769" s="70" t="str">
        <f t="shared" si="963"/>
        <v/>
      </c>
      <c r="AA2769" s="70" t="str">
        <f t="shared" si="964"/>
        <v/>
      </c>
      <c r="AB2769" s="70" t="str">
        <f t="shared" si="965"/>
        <v/>
      </c>
      <c r="AC2769" s="70" t="str">
        <f t="shared" si="966"/>
        <v/>
      </c>
      <c r="AD2769" s="70" t="str">
        <f t="shared" si="967"/>
        <v/>
      </c>
      <c r="AE2769" s="70" t="str">
        <f t="shared" si="968"/>
        <v/>
      </c>
      <c r="AF2769" s="16"/>
      <c r="AG2769" s="23"/>
      <c r="AH2769" s="22"/>
      <c r="AJ2769" s="83">
        <f t="shared" si="969"/>
        <v>0</v>
      </c>
      <c r="AO2769" s="22" t="str">
        <f t="shared" si="970"/>
        <v/>
      </c>
      <c r="AP2769" s="22" t="str">
        <f t="shared" si="971"/>
        <v/>
      </c>
    </row>
    <row r="2770" spans="1:42" x14ac:dyDescent="0.25">
      <c r="A2770" s="10"/>
      <c r="B2770" s="10"/>
      <c r="C2770" s="10"/>
      <c r="D2770" s="10"/>
      <c r="E2770" s="10"/>
      <c r="F2770" s="10"/>
      <c r="G2770" s="10"/>
      <c r="H2770" s="17"/>
      <c r="I2770" s="10"/>
      <c r="J2770" s="10"/>
      <c r="K2770" s="16" t="str">
        <f t="shared" si="950"/>
        <v/>
      </c>
      <c r="L2770" s="23" t="str">
        <f t="shared" si="951"/>
        <v/>
      </c>
      <c r="M2770" s="22" t="str">
        <f t="shared" si="952"/>
        <v/>
      </c>
      <c r="N2770" s="72"/>
      <c r="O2770" s="16" t="str">
        <f t="shared" si="953"/>
        <v/>
      </c>
      <c r="P2770" s="16" t="str">
        <f t="shared" si="954"/>
        <v/>
      </c>
      <c r="Q2770" s="16" t="str">
        <f t="shared" si="955"/>
        <v/>
      </c>
      <c r="R2770" s="23" t="str">
        <f t="shared" si="956"/>
        <v/>
      </c>
      <c r="S2770" s="23" t="str">
        <f t="shared" si="957"/>
        <v/>
      </c>
      <c r="T2770" s="23" t="str">
        <f t="shared" si="958"/>
        <v/>
      </c>
      <c r="U2770" s="23" t="str">
        <f t="shared" si="959"/>
        <v/>
      </c>
      <c r="V2770" s="23" t="str">
        <f t="shared" si="960"/>
        <v/>
      </c>
      <c r="W2770" s="70" t="str">
        <f t="shared" si="961"/>
        <v/>
      </c>
      <c r="X2770" s="70" t="str">
        <f t="shared" si="962"/>
        <v/>
      </c>
      <c r="Y2770" s="70" t="str">
        <f>IF(AND($A2770&lt;&gt;"",$E2770&gt;0),isLaptopBag($C2770,$J2770)*$D2770,"")</f>
        <v/>
      </c>
      <c r="Z2770" s="70" t="str">
        <f t="shared" si="963"/>
        <v/>
      </c>
      <c r="AA2770" s="70" t="str">
        <f t="shared" si="964"/>
        <v/>
      </c>
      <c r="AB2770" s="70" t="str">
        <f t="shared" si="965"/>
        <v/>
      </c>
      <c r="AC2770" s="70" t="str">
        <f t="shared" si="966"/>
        <v/>
      </c>
      <c r="AD2770" s="70" t="str">
        <f t="shared" si="967"/>
        <v/>
      </c>
      <c r="AE2770" s="70" t="str">
        <f t="shared" si="968"/>
        <v/>
      </c>
      <c r="AF2770" s="16"/>
      <c r="AG2770" s="23"/>
      <c r="AH2770" s="22"/>
      <c r="AJ2770" s="83">
        <f t="shared" si="969"/>
        <v>0</v>
      </c>
      <c r="AO2770" s="22" t="str">
        <f t="shared" si="970"/>
        <v/>
      </c>
      <c r="AP2770" s="22" t="str">
        <f t="shared" si="971"/>
        <v/>
      </c>
    </row>
    <row r="2771" spans="1:42" x14ac:dyDescent="0.25">
      <c r="A2771" s="10"/>
      <c r="B2771" s="10"/>
      <c r="C2771" s="10"/>
      <c r="D2771" s="10"/>
      <c r="E2771" s="10"/>
      <c r="F2771" s="10"/>
      <c r="G2771" s="10"/>
      <c r="H2771" s="17"/>
      <c r="I2771" s="10"/>
      <c r="J2771" s="10"/>
      <c r="K2771" s="16" t="str">
        <f t="shared" si="950"/>
        <v/>
      </c>
      <c r="L2771" s="23" t="str">
        <f t="shared" si="951"/>
        <v/>
      </c>
      <c r="M2771" s="22" t="str">
        <f t="shared" si="952"/>
        <v/>
      </c>
      <c r="N2771" s="72"/>
      <c r="O2771" s="16" t="str">
        <f t="shared" si="953"/>
        <v/>
      </c>
      <c r="P2771" s="16" t="str">
        <f t="shared" si="954"/>
        <v/>
      </c>
      <c r="Q2771" s="16" t="str">
        <f t="shared" si="955"/>
        <v/>
      </c>
      <c r="R2771" s="23" t="str">
        <f t="shared" si="956"/>
        <v/>
      </c>
      <c r="S2771" s="23" t="str">
        <f t="shared" si="957"/>
        <v/>
      </c>
      <c r="T2771" s="23" t="str">
        <f t="shared" si="958"/>
        <v/>
      </c>
      <c r="U2771" s="23" t="str">
        <f t="shared" si="959"/>
        <v/>
      </c>
      <c r="V2771" s="23" t="str">
        <f t="shared" si="960"/>
        <v/>
      </c>
      <c r="W2771" s="70" t="str">
        <f t="shared" si="961"/>
        <v/>
      </c>
      <c r="X2771" s="70" t="str">
        <f t="shared" si="962"/>
        <v/>
      </c>
      <c r="Y2771" s="70" t="str">
        <f>IF(AND($A2771&lt;&gt;"",$E2771&gt;0),isLaptopBag($C2771,$J2771)*$D2771,"")</f>
        <v/>
      </c>
      <c r="Z2771" s="70" t="str">
        <f t="shared" si="963"/>
        <v/>
      </c>
      <c r="AA2771" s="70" t="str">
        <f t="shared" si="964"/>
        <v/>
      </c>
      <c r="AB2771" s="70" t="str">
        <f t="shared" si="965"/>
        <v/>
      </c>
      <c r="AC2771" s="70" t="str">
        <f t="shared" si="966"/>
        <v/>
      </c>
      <c r="AD2771" s="70" t="str">
        <f t="shared" si="967"/>
        <v/>
      </c>
      <c r="AE2771" s="70" t="str">
        <f t="shared" si="968"/>
        <v/>
      </c>
      <c r="AF2771" s="16"/>
      <c r="AG2771" s="23"/>
      <c r="AH2771" s="22"/>
      <c r="AJ2771" s="83">
        <f t="shared" si="969"/>
        <v>0</v>
      </c>
      <c r="AO2771" s="22" t="str">
        <f t="shared" si="970"/>
        <v/>
      </c>
      <c r="AP2771" s="22" t="str">
        <f t="shared" si="971"/>
        <v/>
      </c>
    </row>
    <row r="2772" spans="1:42" x14ac:dyDescent="0.25">
      <c r="A2772" s="10"/>
      <c r="B2772" s="10"/>
      <c r="C2772" s="10"/>
      <c r="D2772" s="10"/>
      <c r="E2772" s="10"/>
      <c r="F2772" s="10"/>
      <c r="G2772" s="10"/>
      <c r="H2772" s="17"/>
      <c r="I2772" s="10"/>
      <c r="J2772" s="10"/>
      <c r="K2772" s="16" t="str">
        <f t="shared" si="950"/>
        <v/>
      </c>
      <c r="L2772" s="23" t="str">
        <f t="shared" si="951"/>
        <v/>
      </c>
      <c r="M2772" s="22" t="str">
        <f t="shared" si="952"/>
        <v/>
      </c>
      <c r="N2772" s="72"/>
      <c r="O2772" s="16" t="str">
        <f t="shared" si="953"/>
        <v/>
      </c>
      <c r="P2772" s="16" t="str">
        <f t="shared" si="954"/>
        <v/>
      </c>
      <c r="Q2772" s="16" t="str">
        <f t="shared" si="955"/>
        <v/>
      </c>
      <c r="R2772" s="23" t="str">
        <f t="shared" si="956"/>
        <v/>
      </c>
      <c r="S2772" s="23" t="str">
        <f t="shared" si="957"/>
        <v/>
      </c>
      <c r="T2772" s="23" t="str">
        <f t="shared" si="958"/>
        <v/>
      </c>
      <c r="U2772" s="23" t="str">
        <f t="shared" si="959"/>
        <v/>
      </c>
      <c r="V2772" s="23" t="str">
        <f t="shared" si="960"/>
        <v/>
      </c>
      <c r="W2772" s="70" t="str">
        <f t="shared" si="961"/>
        <v/>
      </c>
      <c r="X2772" s="70" t="str">
        <f t="shared" si="962"/>
        <v/>
      </c>
      <c r="Y2772" s="70" t="str">
        <f>IF(AND($A2772&lt;&gt;"",$E2772&gt;0),isLaptopBag($C2772,$J2772)*$D2772,"")</f>
        <v/>
      </c>
      <c r="Z2772" s="70" t="str">
        <f t="shared" si="963"/>
        <v/>
      </c>
      <c r="AA2772" s="70" t="str">
        <f t="shared" si="964"/>
        <v/>
      </c>
      <c r="AB2772" s="70" t="str">
        <f t="shared" si="965"/>
        <v/>
      </c>
      <c r="AC2772" s="70" t="str">
        <f t="shared" si="966"/>
        <v/>
      </c>
      <c r="AD2772" s="70" t="str">
        <f t="shared" si="967"/>
        <v/>
      </c>
      <c r="AE2772" s="70" t="str">
        <f t="shared" si="968"/>
        <v/>
      </c>
      <c r="AF2772" s="16"/>
      <c r="AG2772" s="23"/>
      <c r="AH2772" s="22"/>
      <c r="AJ2772" s="83">
        <f t="shared" si="969"/>
        <v>0</v>
      </c>
      <c r="AO2772" s="22" t="str">
        <f t="shared" si="970"/>
        <v/>
      </c>
      <c r="AP2772" s="22" t="str">
        <f t="shared" si="971"/>
        <v/>
      </c>
    </row>
    <row r="2773" spans="1:42" x14ac:dyDescent="0.25">
      <c r="A2773" s="10"/>
      <c r="B2773" s="10"/>
      <c r="C2773" s="10"/>
      <c r="D2773" s="10"/>
      <c r="E2773" s="10"/>
      <c r="F2773" s="10"/>
      <c r="G2773" s="10"/>
      <c r="H2773" s="17"/>
      <c r="I2773" s="10"/>
      <c r="J2773" s="10"/>
      <c r="K2773" s="16" t="str">
        <f t="shared" si="950"/>
        <v/>
      </c>
      <c r="L2773" s="23" t="str">
        <f t="shared" si="951"/>
        <v/>
      </c>
      <c r="M2773" s="22" t="str">
        <f t="shared" si="952"/>
        <v/>
      </c>
      <c r="N2773" s="72"/>
      <c r="O2773" s="16" t="str">
        <f t="shared" si="953"/>
        <v/>
      </c>
      <c r="P2773" s="16" t="str">
        <f t="shared" si="954"/>
        <v/>
      </c>
      <c r="Q2773" s="16" t="str">
        <f t="shared" si="955"/>
        <v/>
      </c>
      <c r="R2773" s="23" t="str">
        <f t="shared" si="956"/>
        <v/>
      </c>
      <c r="S2773" s="23" t="str">
        <f t="shared" si="957"/>
        <v/>
      </c>
      <c r="T2773" s="23" t="str">
        <f t="shared" si="958"/>
        <v/>
      </c>
      <c r="U2773" s="23" t="str">
        <f t="shared" si="959"/>
        <v/>
      </c>
      <c r="V2773" s="23" t="str">
        <f t="shared" si="960"/>
        <v/>
      </c>
      <c r="W2773" s="70" t="str">
        <f t="shared" si="961"/>
        <v/>
      </c>
      <c r="X2773" s="70" t="str">
        <f t="shared" si="962"/>
        <v/>
      </c>
      <c r="Y2773" s="70" t="str">
        <f>IF(AND($A2773&lt;&gt;"",$E2773&gt;0),isLaptopBag($C2773,$J2773)*$D2773,"")</f>
        <v/>
      </c>
      <c r="Z2773" s="70" t="str">
        <f t="shared" si="963"/>
        <v/>
      </c>
      <c r="AA2773" s="70" t="str">
        <f t="shared" si="964"/>
        <v/>
      </c>
      <c r="AB2773" s="70" t="str">
        <f t="shared" si="965"/>
        <v/>
      </c>
      <c r="AC2773" s="70" t="str">
        <f t="shared" si="966"/>
        <v/>
      </c>
      <c r="AD2773" s="70" t="str">
        <f t="shared" si="967"/>
        <v/>
      </c>
      <c r="AE2773" s="70" t="str">
        <f t="shared" si="968"/>
        <v/>
      </c>
      <c r="AF2773" s="16"/>
      <c r="AG2773" s="23"/>
      <c r="AH2773" s="22"/>
      <c r="AJ2773" s="83">
        <f t="shared" si="969"/>
        <v>0</v>
      </c>
      <c r="AO2773" s="22" t="str">
        <f t="shared" si="970"/>
        <v/>
      </c>
      <c r="AP2773" s="22" t="str">
        <f t="shared" si="971"/>
        <v/>
      </c>
    </row>
    <row r="2774" spans="1:42" x14ac:dyDescent="0.25">
      <c r="A2774" s="10"/>
      <c r="B2774" s="10"/>
      <c r="C2774" s="10"/>
      <c r="D2774" s="10"/>
      <c r="E2774" s="10"/>
      <c r="F2774" s="10"/>
      <c r="G2774" s="10"/>
      <c r="H2774" s="17"/>
      <c r="I2774" s="10"/>
      <c r="J2774" s="10"/>
      <c r="K2774" s="16" t="str">
        <f t="shared" si="950"/>
        <v/>
      </c>
      <c r="L2774" s="23" t="str">
        <f t="shared" si="951"/>
        <v/>
      </c>
      <c r="M2774" s="22" t="str">
        <f t="shared" si="952"/>
        <v/>
      </c>
      <c r="N2774" s="72"/>
      <c r="O2774" s="16" t="str">
        <f t="shared" si="953"/>
        <v/>
      </c>
      <c r="P2774" s="16" t="str">
        <f t="shared" si="954"/>
        <v/>
      </c>
      <c r="Q2774" s="16" t="str">
        <f t="shared" si="955"/>
        <v/>
      </c>
      <c r="R2774" s="23" t="str">
        <f t="shared" si="956"/>
        <v/>
      </c>
      <c r="S2774" s="23" t="str">
        <f t="shared" si="957"/>
        <v/>
      </c>
      <c r="T2774" s="23" t="str">
        <f t="shared" si="958"/>
        <v/>
      </c>
      <c r="U2774" s="23" t="str">
        <f t="shared" si="959"/>
        <v/>
      </c>
      <c r="V2774" s="23" t="str">
        <f t="shared" si="960"/>
        <v/>
      </c>
      <c r="W2774" s="70" t="str">
        <f t="shared" si="961"/>
        <v/>
      </c>
      <c r="X2774" s="70" t="str">
        <f t="shared" si="962"/>
        <v/>
      </c>
      <c r="Y2774" s="70" t="str">
        <f>IF(AND($A2774&lt;&gt;"",$E2774&gt;0),isLaptopBag($C2774,$J2774)*$D2774,"")</f>
        <v/>
      </c>
      <c r="Z2774" s="70" t="str">
        <f t="shared" si="963"/>
        <v/>
      </c>
      <c r="AA2774" s="70" t="str">
        <f t="shared" si="964"/>
        <v/>
      </c>
      <c r="AB2774" s="70" t="str">
        <f t="shared" si="965"/>
        <v/>
      </c>
      <c r="AC2774" s="70" t="str">
        <f t="shared" si="966"/>
        <v/>
      </c>
      <c r="AD2774" s="70" t="str">
        <f t="shared" si="967"/>
        <v/>
      </c>
      <c r="AE2774" s="70" t="str">
        <f t="shared" si="968"/>
        <v/>
      </c>
      <c r="AF2774" s="16"/>
      <c r="AG2774" s="23"/>
      <c r="AH2774" s="22"/>
      <c r="AJ2774" s="83">
        <f t="shared" si="969"/>
        <v>0</v>
      </c>
      <c r="AO2774" s="22" t="str">
        <f t="shared" si="970"/>
        <v/>
      </c>
      <c r="AP2774" s="22" t="str">
        <f t="shared" si="971"/>
        <v/>
      </c>
    </row>
    <row r="2775" spans="1:42" x14ac:dyDescent="0.25">
      <c r="A2775" s="10"/>
      <c r="B2775" s="10"/>
      <c r="C2775" s="10"/>
      <c r="D2775" s="10"/>
      <c r="E2775" s="10"/>
      <c r="F2775" s="10"/>
      <c r="G2775" s="10"/>
      <c r="H2775" s="17"/>
      <c r="I2775" s="10"/>
      <c r="J2775" s="10"/>
      <c r="K2775" s="16" t="str">
        <f t="shared" si="950"/>
        <v/>
      </c>
      <c r="L2775" s="23" t="str">
        <f t="shared" si="951"/>
        <v/>
      </c>
      <c r="M2775" s="22" t="str">
        <f t="shared" si="952"/>
        <v/>
      </c>
      <c r="N2775" s="72"/>
      <c r="O2775" s="16" t="str">
        <f t="shared" si="953"/>
        <v/>
      </c>
      <c r="P2775" s="16" t="str">
        <f t="shared" si="954"/>
        <v/>
      </c>
      <c r="Q2775" s="16" t="str">
        <f t="shared" si="955"/>
        <v/>
      </c>
      <c r="R2775" s="23" t="str">
        <f t="shared" si="956"/>
        <v/>
      </c>
      <c r="S2775" s="23" t="str">
        <f t="shared" si="957"/>
        <v/>
      </c>
      <c r="T2775" s="23" t="str">
        <f t="shared" si="958"/>
        <v/>
      </c>
      <c r="U2775" s="23" t="str">
        <f t="shared" si="959"/>
        <v/>
      </c>
      <c r="V2775" s="23" t="str">
        <f t="shared" si="960"/>
        <v/>
      </c>
      <c r="W2775" s="70" t="str">
        <f t="shared" si="961"/>
        <v/>
      </c>
      <c r="X2775" s="70" t="str">
        <f t="shared" si="962"/>
        <v/>
      </c>
      <c r="Y2775" s="70" t="str">
        <f>IF(AND($A2775&lt;&gt;"",$E2775&gt;0),isLaptopBag($C2775,$J2775)*$D2775,"")</f>
        <v/>
      </c>
      <c r="Z2775" s="70" t="str">
        <f t="shared" si="963"/>
        <v/>
      </c>
      <c r="AA2775" s="70" t="str">
        <f t="shared" si="964"/>
        <v/>
      </c>
      <c r="AB2775" s="70" t="str">
        <f t="shared" si="965"/>
        <v/>
      </c>
      <c r="AC2775" s="70" t="str">
        <f t="shared" si="966"/>
        <v/>
      </c>
      <c r="AD2775" s="70" t="str">
        <f t="shared" si="967"/>
        <v/>
      </c>
      <c r="AE2775" s="70" t="str">
        <f t="shared" si="968"/>
        <v/>
      </c>
      <c r="AF2775" s="16"/>
      <c r="AG2775" s="23"/>
      <c r="AH2775" s="22"/>
      <c r="AJ2775" s="83">
        <f t="shared" si="969"/>
        <v>0</v>
      </c>
      <c r="AO2775" s="22" t="str">
        <f t="shared" si="970"/>
        <v/>
      </c>
      <c r="AP2775" s="22" t="str">
        <f t="shared" si="971"/>
        <v/>
      </c>
    </row>
    <row r="2776" spans="1:42" x14ac:dyDescent="0.25">
      <c r="A2776" s="10"/>
      <c r="B2776" s="10"/>
      <c r="C2776" s="10"/>
      <c r="D2776" s="10"/>
      <c r="E2776" s="10"/>
      <c r="F2776" s="10"/>
      <c r="G2776" s="10"/>
      <c r="H2776" s="17"/>
      <c r="I2776" s="10"/>
      <c r="J2776" s="10"/>
      <c r="K2776" s="16" t="str">
        <f t="shared" si="950"/>
        <v/>
      </c>
      <c r="L2776" s="23" t="str">
        <f t="shared" si="951"/>
        <v/>
      </c>
      <c r="M2776" s="22" t="str">
        <f t="shared" si="952"/>
        <v/>
      </c>
      <c r="N2776" s="72"/>
      <c r="O2776" s="16" t="str">
        <f t="shared" si="953"/>
        <v/>
      </c>
      <c r="P2776" s="16" t="str">
        <f t="shared" si="954"/>
        <v/>
      </c>
      <c r="Q2776" s="16" t="str">
        <f t="shared" si="955"/>
        <v/>
      </c>
      <c r="R2776" s="23" t="str">
        <f t="shared" si="956"/>
        <v/>
      </c>
      <c r="S2776" s="23" t="str">
        <f t="shared" si="957"/>
        <v/>
      </c>
      <c r="T2776" s="23" t="str">
        <f t="shared" si="958"/>
        <v/>
      </c>
      <c r="U2776" s="23" t="str">
        <f t="shared" si="959"/>
        <v/>
      </c>
      <c r="V2776" s="23" t="str">
        <f t="shared" si="960"/>
        <v/>
      </c>
      <c r="W2776" s="70" t="str">
        <f t="shared" si="961"/>
        <v/>
      </c>
      <c r="X2776" s="70" t="str">
        <f t="shared" si="962"/>
        <v/>
      </c>
      <c r="Y2776" s="70" t="str">
        <f>IF(AND($A2776&lt;&gt;"",$E2776&gt;0),isLaptopBag($C2776,$J2776)*$D2776,"")</f>
        <v/>
      </c>
      <c r="Z2776" s="70" t="str">
        <f t="shared" si="963"/>
        <v/>
      </c>
      <c r="AA2776" s="70" t="str">
        <f t="shared" si="964"/>
        <v/>
      </c>
      <c r="AB2776" s="70" t="str">
        <f t="shared" si="965"/>
        <v/>
      </c>
      <c r="AC2776" s="70" t="str">
        <f t="shared" si="966"/>
        <v/>
      </c>
      <c r="AD2776" s="70" t="str">
        <f t="shared" si="967"/>
        <v/>
      </c>
      <c r="AE2776" s="70" t="str">
        <f t="shared" si="968"/>
        <v/>
      </c>
      <c r="AF2776" s="16"/>
      <c r="AG2776" s="23"/>
      <c r="AH2776" s="22"/>
      <c r="AJ2776" s="83">
        <f t="shared" si="969"/>
        <v>0</v>
      </c>
      <c r="AO2776" s="22" t="str">
        <f t="shared" si="970"/>
        <v/>
      </c>
      <c r="AP2776" s="22" t="str">
        <f t="shared" si="971"/>
        <v/>
      </c>
    </row>
    <row r="2777" spans="1:42" x14ac:dyDescent="0.25">
      <c r="A2777" s="10"/>
      <c r="B2777" s="10"/>
      <c r="C2777" s="10"/>
      <c r="D2777" s="10"/>
      <c r="E2777" s="10"/>
      <c r="F2777" s="10"/>
      <c r="G2777" s="10"/>
      <c r="H2777" s="17"/>
      <c r="I2777" s="10"/>
      <c r="J2777" s="10"/>
      <c r="K2777" s="16" t="str">
        <f t="shared" si="950"/>
        <v/>
      </c>
      <c r="L2777" s="23" t="str">
        <f t="shared" si="951"/>
        <v/>
      </c>
      <c r="M2777" s="22" t="str">
        <f t="shared" si="952"/>
        <v/>
      </c>
      <c r="N2777" s="72"/>
      <c r="O2777" s="16" t="str">
        <f t="shared" si="953"/>
        <v/>
      </c>
      <c r="P2777" s="16" t="str">
        <f t="shared" si="954"/>
        <v/>
      </c>
      <c r="Q2777" s="16" t="str">
        <f t="shared" si="955"/>
        <v/>
      </c>
      <c r="R2777" s="23" t="str">
        <f t="shared" si="956"/>
        <v/>
      </c>
      <c r="S2777" s="23" t="str">
        <f t="shared" si="957"/>
        <v/>
      </c>
      <c r="T2777" s="23" t="str">
        <f t="shared" si="958"/>
        <v/>
      </c>
      <c r="U2777" s="23" t="str">
        <f t="shared" si="959"/>
        <v/>
      </c>
      <c r="V2777" s="23" t="str">
        <f t="shared" si="960"/>
        <v/>
      </c>
      <c r="W2777" s="70" t="str">
        <f t="shared" si="961"/>
        <v/>
      </c>
      <c r="X2777" s="70" t="str">
        <f t="shared" si="962"/>
        <v/>
      </c>
      <c r="Y2777" s="70" t="str">
        <f>IF(AND($A2777&lt;&gt;"",$E2777&gt;0),isLaptopBag($C2777,$J2777)*$D2777,"")</f>
        <v/>
      </c>
      <c r="Z2777" s="70" t="str">
        <f t="shared" si="963"/>
        <v/>
      </c>
      <c r="AA2777" s="70" t="str">
        <f t="shared" si="964"/>
        <v/>
      </c>
      <c r="AB2777" s="70" t="str">
        <f t="shared" si="965"/>
        <v/>
      </c>
      <c r="AC2777" s="70" t="str">
        <f t="shared" si="966"/>
        <v/>
      </c>
      <c r="AD2777" s="70" t="str">
        <f t="shared" si="967"/>
        <v/>
      </c>
      <c r="AE2777" s="70" t="str">
        <f t="shared" si="968"/>
        <v/>
      </c>
      <c r="AF2777" s="16"/>
      <c r="AG2777" s="23"/>
      <c r="AH2777" s="22"/>
      <c r="AJ2777" s="83">
        <f t="shared" si="969"/>
        <v>0</v>
      </c>
      <c r="AO2777" s="22" t="str">
        <f t="shared" si="970"/>
        <v/>
      </c>
      <c r="AP2777" s="22" t="str">
        <f t="shared" si="971"/>
        <v/>
      </c>
    </row>
    <row r="2778" spans="1:42" x14ac:dyDescent="0.25">
      <c r="A2778" s="10"/>
      <c r="B2778" s="10"/>
      <c r="C2778" s="10"/>
      <c r="D2778" s="10"/>
      <c r="E2778" s="10"/>
      <c r="F2778" s="10"/>
      <c r="G2778" s="10"/>
      <c r="H2778" s="17"/>
      <c r="I2778" s="10"/>
      <c r="J2778" s="10"/>
      <c r="K2778" s="16" t="str">
        <f t="shared" si="950"/>
        <v/>
      </c>
      <c r="L2778" s="23" t="str">
        <f t="shared" si="951"/>
        <v/>
      </c>
      <c r="M2778" s="22" t="str">
        <f t="shared" si="952"/>
        <v/>
      </c>
      <c r="N2778" s="72"/>
      <c r="O2778" s="16" t="str">
        <f t="shared" si="953"/>
        <v/>
      </c>
      <c r="P2778" s="16" t="str">
        <f t="shared" si="954"/>
        <v/>
      </c>
      <c r="Q2778" s="16" t="str">
        <f t="shared" si="955"/>
        <v/>
      </c>
      <c r="R2778" s="23" t="str">
        <f t="shared" si="956"/>
        <v/>
      </c>
      <c r="S2778" s="23" t="str">
        <f t="shared" si="957"/>
        <v/>
      </c>
      <c r="T2778" s="23" t="str">
        <f t="shared" si="958"/>
        <v/>
      </c>
      <c r="U2778" s="23" t="str">
        <f t="shared" si="959"/>
        <v/>
      </c>
      <c r="V2778" s="23" t="str">
        <f t="shared" si="960"/>
        <v/>
      </c>
      <c r="W2778" s="70" t="str">
        <f t="shared" si="961"/>
        <v/>
      </c>
      <c r="X2778" s="70" t="str">
        <f t="shared" si="962"/>
        <v/>
      </c>
      <c r="Y2778" s="70" t="str">
        <f>IF(AND($A2778&lt;&gt;"",$E2778&gt;0),isLaptopBag($C2778,$J2778)*$D2778,"")</f>
        <v/>
      </c>
      <c r="Z2778" s="70" t="str">
        <f t="shared" si="963"/>
        <v/>
      </c>
      <c r="AA2778" s="70" t="str">
        <f t="shared" si="964"/>
        <v/>
      </c>
      <c r="AB2778" s="70" t="str">
        <f t="shared" si="965"/>
        <v/>
      </c>
      <c r="AC2778" s="70" t="str">
        <f t="shared" si="966"/>
        <v/>
      </c>
      <c r="AD2778" s="70" t="str">
        <f t="shared" si="967"/>
        <v/>
      </c>
      <c r="AE2778" s="70" t="str">
        <f t="shared" si="968"/>
        <v/>
      </c>
      <c r="AF2778" s="16"/>
      <c r="AG2778" s="23"/>
      <c r="AH2778" s="22"/>
      <c r="AJ2778" s="83">
        <f t="shared" si="969"/>
        <v>0</v>
      </c>
      <c r="AO2778" s="22" t="str">
        <f t="shared" si="970"/>
        <v/>
      </c>
      <c r="AP2778" s="22" t="str">
        <f t="shared" si="971"/>
        <v/>
      </c>
    </row>
    <row r="2779" spans="1:42" x14ac:dyDescent="0.25">
      <c r="A2779" s="10"/>
      <c r="B2779" s="10"/>
      <c r="C2779" s="10"/>
      <c r="D2779" s="10"/>
      <c r="E2779" s="10"/>
      <c r="F2779" s="10"/>
      <c r="G2779" s="10"/>
      <c r="H2779" s="17"/>
      <c r="I2779" s="10"/>
      <c r="J2779" s="10"/>
      <c r="K2779" s="16" t="str">
        <f t="shared" si="950"/>
        <v/>
      </c>
      <c r="L2779" s="23" t="str">
        <f t="shared" si="951"/>
        <v/>
      </c>
      <c r="M2779" s="22" t="str">
        <f t="shared" si="952"/>
        <v/>
      </c>
      <c r="N2779" s="72"/>
      <c r="O2779" s="16" t="str">
        <f t="shared" si="953"/>
        <v/>
      </c>
      <c r="P2779" s="16" t="str">
        <f t="shared" si="954"/>
        <v/>
      </c>
      <c r="Q2779" s="16" t="str">
        <f t="shared" si="955"/>
        <v/>
      </c>
      <c r="R2779" s="23" t="str">
        <f t="shared" si="956"/>
        <v/>
      </c>
      <c r="S2779" s="23" t="str">
        <f t="shared" si="957"/>
        <v/>
      </c>
      <c r="T2779" s="23" t="str">
        <f t="shared" si="958"/>
        <v/>
      </c>
      <c r="U2779" s="23" t="str">
        <f t="shared" si="959"/>
        <v/>
      </c>
      <c r="V2779" s="23" t="str">
        <f t="shared" si="960"/>
        <v/>
      </c>
      <c r="W2779" s="70" t="str">
        <f t="shared" si="961"/>
        <v/>
      </c>
      <c r="X2779" s="70" t="str">
        <f t="shared" si="962"/>
        <v/>
      </c>
      <c r="Y2779" s="70" t="str">
        <f>IF(AND($A2779&lt;&gt;"",$E2779&gt;0),isLaptopBag($C2779,$J2779)*$D2779,"")</f>
        <v/>
      </c>
      <c r="Z2779" s="70" t="str">
        <f t="shared" si="963"/>
        <v/>
      </c>
      <c r="AA2779" s="70" t="str">
        <f t="shared" si="964"/>
        <v/>
      </c>
      <c r="AB2779" s="70" t="str">
        <f t="shared" si="965"/>
        <v/>
      </c>
      <c r="AC2779" s="70" t="str">
        <f t="shared" si="966"/>
        <v/>
      </c>
      <c r="AD2779" s="70" t="str">
        <f t="shared" si="967"/>
        <v/>
      </c>
      <c r="AE2779" s="70" t="str">
        <f t="shared" si="968"/>
        <v/>
      </c>
      <c r="AF2779" s="16"/>
      <c r="AG2779" s="23"/>
      <c r="AH2779" s="22"/>
      <c r="AJ2779" s="83">
        <f t="shared" si="969"/>
        <v>0</v>
      </c>
      <c r="AO2779" s="22" t="str">
        <f t="shared" si="970"/>
        <v/>
      </c>
      <c r="AP2779" s="22" t="str">
        <f t="shared" si="971"/>
        <v/>
      </c>
    </row>
    <row r="2780" spans="1:42" x14ac:dyDescent="0.25">
      <c r="A2780" s="10"/>
      <c r="B2780" s="10"/>
      <c r="C2780" s="10"/>
      <c r="D2780" s="10"/>
      <c r="E2780" s="10"/>
      <c r="F2780" s="10"/>
      <c r="G2780" s="10"/>
      <c r="H2780" s="17"/>
      <c r="I2780" s="10"/>
      <c r="J2780" s="10"/>
      <c r="K2780" s="16" t="str">
        <f t="shared" si="950"/>
        <v/>
      </c>
      <c r="L2780" s="23" t="str">
        <f t="shared" si="951"/>
        <v/>
      </c>
      <c r="M2780" s="22" t="str">
        <f t="shared" si="952"/>
        <v/>
      </c>
      <c r="N2780" s="72"/>
      <c r="O2780" s="16" t="str">
        <f t="shared" si="953"/>
        <v/>
      </c>
      <c r="P2780" s="16" t="str">
        <f t="shared" si="954"/>
        <v/>
      </c>
      <c r="Q2780" s="16" t="str">
        <f t="shared" si="955"/>
        <v/>
      </c>
      <c r="R2780" s="23" t="str">
        <f t="shared" si="956"/>
        <v/>
      </c>
      <c r="S2780" s="23" t="str">
        <f t="shared" si="957"/>
        <v/>
      </c>
      <c r="T2780" s="23" t="str">
        <f t="shared" si="958"/>
        <v/>
      </c>
      <c r="U2780" s="23" t="str">
        <f t="shared" si="959"/>
        <v/>
      </c>
      <c r="V2780" s="23" t="str">
        <f t="shared" si="960"/>
        <v/>
      </c>
      <c r="W2780" s="70" t="str">
        <f t="shared" si="961"/>
        <v/>
      </c>
      <c r="X2780" s="70" t="str">
        <f t="shared" si="962"/>
        <v/>
      </c>
      <c r="Y2780" s="70" t="str">
        <f>IF(AND($A2780&lt;&gt;"",$E2780&gt;0),isLaptopBag($C2780,$J2780)*$D2780,"")</f>
        <v/>
      </c>
      <c r="Z2780" s="70" t="str">
        <f t="shared" si="963"/>
        <v/>
      </c>
      <c r="AA2780" s="70" t="str">
        <f t="shared" si="964"/>
        <v/>
      </c>
      <c r="AB2780" s="70" t="str">
        <f t="shared" si="965"/>
        <v/>
      </c>
      <c r="AC2780" s="70" t="str">
        <f t="shared" si="966"/>
        <v/>
      </c>
      <c r="AD2780" s="70" t="str">
        <f t="shared" si="967"/>
        <v/>
      </c>
      <c r="AE2780" s="70" t="str">
        <f t="shared" si="968"/>
        <v/>
      </c>
      <c r="AF2780" s="16"/>
      <c r="AG2780" s="23"/>
      <c r="AH2780" s="22"/>
      <c r="AJ2780" s="83">
        <f t="shared" si="969"/>
        <v>0</v>
      </c>
      <c r="AO2780" s="22" t="str">
        <f t="shared" si="970"/>
        <v/>
      </c>
      <c r="AP2780" s="22" t="str">
        <f t="shared" si="971"/>
        <v/>
      </c>
    </row>
    <row r="2781" spans="1:42" x14ac:dyDescent="0.25">
      <c r="A2781" s="10"/>
      <c r="B2781" s="10"/>
      <c r="C2781" s="10"/>
      <c r="D2781" s="10"/>
      <c r="E2781" s="10"/>
      <c r="F2781" s="10"/>
      <c r="G2781" s="10"/>
      <c r="H2781" s="17"/>
      <c r="I2781" s="10"/>
      <c r="J2781" s="10"/>
      <c r="K2781" s="16" t="str">
        <f t="shared" si="950"/>
        <v/>
      </c>
      <c r="L2781" s="23" t="str">
        <f t="shared" si="951"/>
        <v/>
      </c>
      <c r="M2781" s="22" t="str">
        <f t="shared" si="952"/>
        <v/>
      </c>
      <c r="N2781" s="72"/>
      <c r="O2781" s="16" t="str">
        <f t="shared" si="953"/>
        <v/>
      </c>
      <c r="P2781" s="16" t="str">
        <f t="shared" si="954"/>
        <v/>
      </c>
      <c r="Q2781" s="16" t="str">
        <f t="shared" si="955"/>
        <v/>
      </c>
      <c r="R2781" s="23" t="str">
        <f t="shared" si="956"/>
        <v/>
      </c>
      <c r="S2781" s="23" t="str">
        <f t="shared" si="957"/>
        <v/>
      </c>
      <c r="T2781" s="23" t="str">
        <f t="shared" si="958"/>
        <v/>
      </c>
      <c r="U2781" s="23" t="str">
        <f t="shared" si="959"/>
        <v/>
      </c>
      <c r="V2781" s="23" t="str">
        <f t="shared" si="960"/>
        <v/>
      </c>
      <c r="W2781" s="70" t="str">
        <f t="shared" si="961"/>
        <v/>
      </c>
      <c r="X2781" s="70" t="str">
        <f t="shared" si="962"/>
        <v/>
      </c>
      <c r="Y2781" s="70" t="str">
        <f>IF(AND($A2781&lt;&gt;"",$E2781&gt;0),isLaptopBag($C2781,$J2781)*$D2781,"")</f>
        <v/>
      </c>
      <c r="Z2781" s="70" t="str">
        <f t="shared" si="963"/>
        <v/>
      </c>
      <c r="AA2781" s="70" t="str">
        <f t="shared" si="964"/>
        <v/>
      </c>
      <c r="AB2781" s="70" t="str">
        <f t="shared" si="965"/>
        <v/>
      </c>
      <c r="AC2781" s="70" t="str">
        <f t="shared" si="966"/>
        <v/>
      </c>
      <c r="AD2781" s="70" t="str">
        <f t="shared" si="967"/>
        <v/>
      </c>
      <c r="AE2781" s="70" t="str">
        <f t="shared" si="968"/>
        <v/>
      </c>
      <c r="AF2781" s="16"/>
      <c r="AG2781" s="23"/>
      <c r="AH2781" s="22"/>
      <c r="AJ2781" s="83">
        <f t="shared" si="969"/>
        <v>0</v>
      </c>
      <c r="AO2781" s="22" t="str">
        <f t="shared" si="970"/>
        <v/>
      </c>
      <c r="AP2781" s="22" t="str">
        <f t="shared" si="971"/>
        <v/>
      </c>
    </row>
    <row r="2782" spans="1:42" x14ac:dyDescent="0.25">
      <c r="A2782" s="10"/>
      <c r="B2782" s="10"/>
      <c r="C2782" s="10"/>
      <c r="D2782" s="10"/>
      <c r="E2782" s="10"/>
      <c r="F2782" s="10"/>
      <c r="G2782" s="10"/>
      <c r="H2782" s="17"/>
      <c r="I2782" s="10"/>
      <c r="J2782" s="10"/>
      <c r="K2782" s="16" t="str">
        <f t="shared" si="950"/>
        <v/>
      </c>
      <c r="L2782" s="23" t="str">
        <f t="shared" si="951"/>
        <v/>
      </c>
      <c r="M2782" s="22" t="str">
        <f t="shared" si="952"/>
        <v/>
      </c>
      <c r="N2782" s="72"/>
      <c r="O2782" s="16" t="str">
        <f t="shared" si="953"/>
        <v/>
      </c>
      <c r="P2782" s="16" t="str">
        <f t="shared" si="954"/>
        <v/>
      </c>
      <c r="Q2782" s="16" t="str">
        <f t="shared" si="955"/>
        <v/>
      </c>
      <c r="R2782" s="23" t="str">
        <f t="shared" si="956"/>
        <v/>
      </c>
      <c r="S2782" s="23" t="str">
        <f t="shared" si="957"/>
        <v/>
      </c>
      <c r="T2782" s="23" t="str">
        <f t="shared" si="958"/>
        <v/>
      </c>
      <c r="U2782" s="23" t="str">
        <f t="shared" si="959"/>
        <v/>
      </c>
      <c r="V2782" s="23" t="str">
        <f t="shared" si="960"/>
        <v/>
      </c>
      <c r="W2782" s="70" t="str">
        <f t="shared" si="961"/>
        <v/>
      </c>
      <c r="X2782" s="70" t="str">
        <f t="shared" si="962"/>
        <v/>
      </c>
      <c r="Y2782" s="70" t="str">
        <f>IF(AND($A2782&lt;&gt;"",$E2782&gt;0),isLaptopBag($C2782,$J2782)*$D2782,"")</f>
        <v/>
      </c>
      <c r="Z2782" s="70" t="str">
        <f t="shared" si="963"/>
        <v/>
      </c>
      <c r="AA2782" s="70" t="str">
        <f t="shared" si="964"/>
        <v/>
      </c>
      <c r="AB2782" s="70" t="str">
        <f t="shared" si="965"/>
        <v/>
      </c>
      <c r="AC2782" s="70" t="str">
        <f t="shared" si="966"/>
        <v/>
      </c>
      <c r="AD2782" s="70" t="str">
        <f t="shared" si="967"/>
        <v/>
      </c>
      <c r="AE2782" s="70" t="str">
        <f t="shared" si="968"/>
        <v/>
      </c>
      <c r="AF2782" s="16"/>
      <c r="AG2782" s="23"/>
      <c r="AH2782" s="22"/>
      <c r="AJ2782" s="83">
        <f t="shared" si="969"/>
        <v>0</v>
      </c>
      <c r="AO2782" s="22" t="str">
        <f t="shared" si="970"/>
        <v/>
      </c>
      <c r="AP2782" s="22" t="str">
        <f t="shared" si="971"/>
        <v/>
      </c>
    </row>
    <row r="2783" spans="1:42" x14ac:dyDescent="0.25">
      <c r="A2783" s="10"/>
      <c r="B2783" s="10"/>
      <c r="C2783" s="10"/>
      <c r="D2783" s="10"/>
      <c r="E2783" s="10"/>
      <c r="F2783" s="10"/>
      <c r="G2783" s="10"/>
      <c r="H2783" s="17"/>
      <c r="I2783" s="10"/>
      <c r="J2783" s="10"/>
      <c r="K2783" s="16" t="str">
        <f t="shared" si="950"/>
        <v/>
      </c>
      <c r="L2783" s="23" t="str">
        <f t="shared" si="951"/>
        <v/>
      </c>
      <c r="M2783" s="22" t="str">
        <f t="shared" si="952"/>
        <v/>
      </c>
      <c r="N2783" s="72"/>
      <c r="O2783" s="16" t="str">
        <f t="shared" si="953"/>
        <v/>
      </c>
      <c r="P2783" s="16" t="str">
        <f t="shared" si="954"/>
        <v/>
      </c>
      <c r="Q2783" s="16" t="str">
        <f t="shared" si="955"/>
        <v/>
      </c>
      <c r="R2783" s="23" t="str">
        <f t="shared" si="956"/>
        <v/>
      </c>
      <c r="S2783" s="23" t="str">
        <f t="shared" si="957"/>
        <v/>
      </c>
      <c r="T2783" s="23" t="str">
        <f t="shared" si="958"/>
        <v/>
      </c>
      <c r="U2783" s="23" t="str">
        <f t="shared" si="959"/>
        <v/>
      </c>
      <c r="V2783" s="23" t="str">
        <f t="shared" si="960"/>
        <v/>
      </c>
      <c r="W2783" s="70" t="str">
        <f t="shared" si="961"/>
        <v/>
      </c>
      <c r="X2783" s="70" t="str">
        <f t="shared" si="962"/>
        <v/>
      </c>
      <c r="Y2783" s="70" t="str">
        <f>IF(AND($A2783&lt;&gt;"",$E2783&gt;0),isLaptopBag($C2783,$J2783)*$D2783,"")</f>
        <v/>
      </c>
      <c r="Z2783" s="70" t="str">
        <f t="shared" si="963"/>
        <v/>
      </c>
      <c r="AA2783" s="70" t="str">
        <f t="shared" si="964"/>
        <v/>
      </c>
      <c r="AB2783" s="70" t="str">
        <f t="shared" si="965"/>
        <v/>
      </c>
      <c r="AC2783" s="70" t="str">
        <f t="shared" si="966"/>
        <v/>
      </c>
      <c r="AD2783" s="70" t="str">
        <f t="shared" si="967"/>
        <v/>
      </c>
      <c r="AE2783" s="70" t="str">
        <f t="shared" si="968"/>
        <v/>
      </c>
      <c r="AF2783" s="16"/>
      <c r="AG2783" s="23"/>
      <c r="AH2783" s="22"/>
      <c r="AJ2783" s="83">
        <f t="shared" si="969"/>
        <v>0</v>
      </c>
      <c r="AO2783" s="22" t="str">
        <f t="shared" si="970"/>
        <v/>
      </c>
      <c r="AP2783" s="22" t="str">
        <f t="shared" si="971"/>
        <v/>
      </c>
    </row>
    <row r="2784" spans="1:42" x14ac:dyDescent="0.25">
      <c r="A2784" s="10"/>
      <c r="B2784" s="10"/>
      <c r="C2784" s="10"/>
      <c r="D2784" s="10"/>
      <c r="E2784" s="10"/>
      <c r="F2784" s="10"/>
      <c r="G2784" s="10"/>
      <c r="H2784" s="17"/>
      <c r="I2784" s="10"/>
      <c r="J2784" s="10"/>
      <c r="K2784" s="16" t="str">
        <f t="shared" si="950"/>
        <v/>
      </c>
      <c r="L2784" s="23" t="str">
        <f t="shared" si="951"/>
        <v/>
      </c>
      <c r="M2784" s="22" t="str">
        <f t="shared" si="952"/>
        <v/>
      </c>
      <c r="N2784" s="72"/>
      <c r="O2784" s="16" t="str">
        <f t="shared" si="953"/>
        <v/>
      </c>
      <c r="P2784" s="16" t="str">
        <f t="shared" si="954"/>
        <v/>
      </c>
      <c r="Q2784" s="16" t="str">
        <f t="shared" si="955"/>
        <v/>
      </c>
      <c r="R2784" s="23" t="str">
        <f t="shared" si="956"/>
        <v/>
      </c>
      <c r="S2784" s="23" t="str">
        <f t="shared" si="957"/>
        <v/>
      </c>
      <c r="T2784" s="23" t="str">
        <f t="shared" si="958"/>
        <v/>
      </c>
      <c r="U2784" s="23" t="str">
        <f t="shared" si="959"/>
        <v/>
      </c>
      <c r="V2784" s="23" t="str">
        <f t="shared" si="960"/>
        <v/>
      </c>
      <c r="W2784" s="70" t="str">
        <f t="shared" si="961"/>
        <v/>
      </c>
      <c r="X2784" s="70" t="str">
        <f t="shared" si="962"/>
        <v/>
      </c>
      <c r="Y2784" s="70" t="str">
        <f>IF(AND($A2784&lt;&gt;"",$E2784&gt;0),isLaptopBag($C2784,$J2784)*$D2784,"")</f>
        <v/>
      </c>
      <c r="Z2784" s="70" t="str">
        <f t="shared" si="963"/>
        <v/>
      </c>
      <c r="AA2784" s="70" t="str">
        <f t="shared" si="964"/>
        <v/>
      </c>
      <c r="AB2784" s="70" t="str">
        <f t="shared" si="965"/>
        <v/>
      </c>
      <c r="AC2784" s="70" t="str">
        <f t="shared" si="966"/>
        <v/>
      </c>
      <c r="AD2784" s="70" t="str">
        <f t="shared" si="967"/>
        <v/>
      </c>
      <c r="AE2784" s="70" t="str">
        <f t="shared" si="968"/>
        <v/>
      </c>
      <c r="AF2784" s="16"/>
      <c r="AG2784" s="23"/>
      <c r="AH2784" s="22"/>
      <c r="AJ2784" s="83">
        <f t="shared" si="969"/>
        <v>0</v>
      </c>
      <c r="AO2784" s="22" t="str">
        <f t="shared" si="970"/>
        <v/>
      </c>
      <c r="AP2784" s="22" t="str">
        <f t="shared" si="971"/>
        <v/>
      </c>
    </row>
    <row r="2785" spans="1:42" x14ac:dyDescent="0.25">
      <c r="A2785" s="10"/>
      <c r="B2785" s="10"/>
      <c r="C2785" s="10"/>
      <c r="D2785" s="10"/>
      <c r="E2785" s="10"/>
      <c r="F2785" s="10"/>
      <c r="G2785" s="10"/>
      <c r="H2785" s="17"/>
      <c r="I2785" s="10"/>
      <c r="J2785" s="10"/>
      <c r="K2785" s="16" t="str">
        <f t="shared" si="950"/>
        <v/>
      </c>
      <c r="L2785" s="23" t="str">
        <f t="shared" si="951"/>
        <v/>
      </c>
      <c r="M2785" s="22" t="str">
        <f t="shared" si="952"/>
        <v/>
      </c>
      <c r="N2785" s="72"/>
      <c r="O2785" s="16" t="str">
        <f t="shared" si="953"/>
        <v/>
      </c>
      <c r="P2785" s="16" t="str">
        <f t="shared" si="954"/>
        <v/>
      </c>
      <c r="Q2785" s="16" t="str">
        <f t="shared" si="955"/>
        <v/>
      </c>
      <c r="R2785" s="23" t="str">
        <f t="shared" si="956"/>
        <v/>
      </c>
      <c r="S2785" s="23" t="str">
        <f t="shared" si="957"/>
        <v/>
      </c>
      <c r="T2785" s="23" t="str">
        <f t="shared" si="958"/>
        <v/>
      </c>
      <c r="U2785" s="23" t="str">
        <f t="shared" si="959"/>
        <v/>
      </c>
      <c r="V2785" s="23" t="str">
        <f t="shared" si="960"/>
        <v/>
      </c>
      <c r="W2785" s="70" t="str">
        <f t="shared" si="961"/>
        <v/>
      </c>
      <c r="X2785" s="70" t="str">
        <f t="shared" si="962"/>
        <v/>
      </c>
      <c r="Y2785" s="70" t="str">
        <f>IF(AND($A2785&lt;&gt;"",$E2785&gt;0),isLaptopBag($C2785,$J2785)*$D2785,"")</f>
        <v/>
      </c>
      <c r="Z2785" s="70" t="str">
        <f t="shared" si="963"/>
        <v/>
      </c>
      <c r="AA2785" s="70" t="str">
        <f t="shared" si="964"/>
        <v/>
      </c>
      <c r="AB2785" s="70" t="str">
        <f t="shared" si="965"/>
        <v/>
      </c>
      <c r="AC2785" s="70" t="str">
        <f t="shared" si="966"/>
        <v/>
      </c>
      <c r="AD2785" s="70" t="str">
        <f t="shared" si="967"/>
        <v/>
      </c>
      <c r="AE2785" s="70" t="str">
        <f t="shared" si="968"/>
        <v/>
      </c>
      <c r="AF2785" s="16"/>
      <c r="AG2785" s="23"/>
      <c r="AH2785" s="22"/>
      <c r="AJ2785" s="83">
        <f t="shared" si="969"/>
        <v>0</v>
      </c>
      <c r="AO2785" s="22" t="str">
        <f t="shared" si="970"/>
        <v/>
      </c>
      <c r="AP2785" s="22" t="str">
        <f t="shared" si="971"/>
        <v/>
      </c>
    </row>
    <row r="2786" spans="1:42" x14ac:dyDescent="0.25">
      <c r="A2786" s="10"/>
      <c r="B2786" s="10"/>
      <c r="C2786" s="10"/>
      <c r="D2786" s="10"/>
      <c r="E2786" s="10"/>
      <c r="F2786" s="10"/>
      <c r="G2786" s="10"/>
      <c r="H2786" s="17"/>
      <c r="I2786" s="10"/>
      <c r="J2786" s="10"/>
      <c r="K2786" s="16" t="str">
        <f t="shared" si="950"/>
        <v/>
      </c>
      <c r="L2786" s="23" t="str">
        <f t="shared" si="951"/>
        <v/>
      </c>
      <c r="M2786" s="22" t="str">
        <f t="shared" si="952"/>
        <v/>
      </c>
      <c r="N2786" s="72"/>
      <c r="O2786" s="16" t="str">
        <f t="shared" si="953"/>
        <v/>
      </c>
      <c r="P2786" s="16" t="str">
        <f t="shared" si="954"/>
        <v/>
      </c>
      <c r="Q2786" s="16" t="str">
        <f t="shared" si="955"/>
        <v/>
      </c>
      <c r="R2786" s="23" t="str">
        <f t="shared" si="956"/>
        <v/>
      </c>
      <c r="S2786" s="23" t="str">
        <f t="shared" si="957"/>
        <v/>
      </c>
      <c r="T2786" s="23" t="str">
        <f t="shared" si="958"/>
        <v/>
      </c>
      <c r="U2786" s="23" t="str">
        <f t="shared" si="959"/>
        <v/>
      </c>
      <c r="V2786" s="23" t="str">
        <f t="shared" si="960"/>
        <v/>
      </c>
      <c r="W2786" s="70" t="str">
        <f t="shared" si="961"/>
        <v/>
      </c>
      <c r="X2786" s="70" t="str">
        <f t="shared" si="962"/>
        <v/>
      </c>
      <c r="Y2786" s="70" t="str">
        <f>IF(AND($A2786&lt;&gt;"",$E2786&gt;0),isLaptopBag($C2786,$J2786)*$D2786,"")</f>
        <v/>
      </c>
      <c r="Z2786" s="70" t="str">
        <f t="shared" si="963"/>
        <v/>
      </c>
      <c r="AA2786" s="70" t="str">
        <f t="shared" si="964"/>
        <v/>
      </c>
      <c r="AB2786" s="70" t="str">
        <f t="shared" si="965"/>
        <v/>
      </c>
      <c r="AC2786" s="70" t="str">
        <f t="shared" si="966"/>
        <v/>
      </c>
      <c r="AD2786" s="70" t="str">
        <f t="shared" si="967"/>
        <v/>
      </c>
      <c r="AE2786" s="70" t="str">
        <f t="shared" si="968"/>
        <v/>
      </c>
      <c r="AF2786" s="16"/>
      <c r="AG2786" s="23"/>
      <c r="AH2786" s="22"/>
      <c r="AJ2786" s="83">
        <f t="shared" si="969"/>
        <v>0</v>
      </c>
      <c r="AO2786" s="22" t="str">
        <f t="shared" si="970"/>
        <v/>
      </c>
      <c r="AP2786" s="22" t="str">
        <f t="shared" si="971"/>
        <v/>
      </c>
    </row>
    <row r="2787" spans="1:42" x14ac:dyDescent="0.25">
      <c r="A2787" s="10"/>
      <c r="B2787" s="10"/>
      <c r="C2787" s="10"/>
      <c r="D2787" s="10"/>
      <c r="E2787" s="10"/>
      <c r="F2787" s="10"/>
      <c r="G2787" s="10"/>
      <c r="H2787" s="17"/>
      <c r="I2787" s="10"/>
      <c r="J2787" s="10"/>
      <c r="K2787" s="16" t="str">
        <f t="shared" si="950"/>
        <v/>
      </c>
      <c r="L2787" s="23" t="str">
        <f t="shared" si="951"/>
        <v/>
      </c>
      <c r="M2787" s="22" t="str">
        <f t="shared" si="952"/>
        <v/>
      </c>
      <c r="N2787" s="72"/>
      <c r="O2787" s="16" t="str">
        <f t="shared" si="953"/>
        <v/>
      </c>
      <c r="P2787" s="16" t="str">
        <f t="shared" si="954"/>
        <v/>
      </c>
      <c r="Q2787" s="16" t="str">
        <f t="shared" si="955"/>
        <v/>
      </c>
      <c r="R2787" s="23" t="str">
        <f t="shared" si="956"/>
        <v/>
      </c>
      <c r="S2787" s="23" t="str">
        <f t="shared" si="957"/>
        <v/>
      </c>
      <c r="T2787" s="23" t="str">
        <f t="shared" si="958"/>
        <v/>
      </c>
      <c r="U2787" s="23" t="str">
        <f t="shared" si="959"/>
        <v/>
      </c>
      <c r="V2787" s="23" t="str">
        <f t="shared" si="960"/>
        <v/>
      </c>
      <c r="W2787" s="70" t="str">
        <f t="shared" si="961"/>
        <v/>
      </c>
      <c r="X2787" s="70" t="str">
        <f t="shared" si="962"/>
        <v/>
      </c>
      <c r="Y2787" s="70" t="str">
        <f>IF(AND($A2787&lt;&gt;"",$E2787&gt;0),isLaptopBag($C2787,$J2787)*$D2787,"")</f>
        <v/>
      </c>
      <c r="Z2787" s="70" t="str">
        <f t="shared" si="963"/>
        <v/>
      </c>
      <c r="AA2787" s="70" t="str">
        <f t="shared" si="964"/>
        <v/>
      </c>
      <c r="AB2787" s="70" t="str">
        <f t="shared" si="965"/>
        <v/>
      </c>
      <c r="AC2787" s="70" t="str">
        <f t="shared" si="966"/>
        <v/>
      </c>
      <c r="AD2787" s="70" t="str">
        <f t="shared" si="967"/>
        <v/>
      </c>
      <c r="AE2787" s="70" t="str">
        <f t="shared" si="968"/>
        <v/>
      </c>
      <c r="AF2787" s="16"/>
      <c r="AG2787" s="23"/>
      <c r="AH2787" s="22"/>
      <c r="AJ2787" s="83">
        <f t="shared" si="969"/>
        <v>0</v>
      </c>
      <c r="AO2787" s="22" t="str">
        <f t="shared" si="970"/>
        <v/>
      </c>
      <c r="AP2787" s="22" t="str">
        <f t="shared" si="971"/>
        <v/>
      </c>
    </row>
    <row r="2788" spans="1:42" x14ac:dyDescent="0.25">
      <c r="A2788" s="10"/>
      <c r="B2788" s="10"/>
      <c r="C2788" s="10"/>
      <c r="D2788" s="10"/>
      <c r="E2788" s="10"/>
      <c r="F2788" s="10"/>
      <c r="G2788" s="10"/>
      <c r="H2788" s="17"/>
      <c r="I2788" s="10"/>
      <c r="J2788" s="10"/>
      <c r="K2788" s="16" t="str">
        <f t="shared" si="950"/>
        <v/>
      </c>
      <c r="L2788" s="23" t="str">
        <f t="shared" si="951"/>
        <v/>
      </c>
      <c r="M2788" s="22" t="str">
        <f t="shared" si="952"/>
        <v/>
      </c>
      <c r="N2788" s="72"/>
      <c r="O2788" s="16" t="str">
        <f t="shared" si="953"/>
        <v/>
      </c>
      <c r="P2788" s="16" t="str">
        <f t="shared" si="954"/>
        <v/>
      </c>
      <c r="Q2788" s="16" t="str">
        <f t="shared" si="955"/>
        <v/>
      </c>
      <c r="R2788" s="23" t="str">
        <f t="shared" si="956"/>
        <v/>
      </c>
      <c r="S2788" s="23" t="str">
        <f t="shared" si="957"/>
        <v/>
      </c>
      <c r="T2788" s="23" t="str">
        <f t="shared" si="958"/>
        <v/>
      </c>
      <c r="U2788" s="23" t="str">
        <f t="shared" si="959"/>
        <v/>
      </c>
      <c r="V2788" s="23" t="str">
        <f t="shared" si="960"/>
        <v/>
      </c>
      <c r="W2788" s="70" t="str">
        <f t="shared" si="961"/>
        <v/>
      </c>
      <c r="X2788" s="70" t="str">
        <f t="shared" si="962"/>
        <v/>
      </c>
      <c r="Y2788" s="70" t="str">
        <f>IF(AND($A2788&lt;&gt;"",$E2788&gt;0),isLaptopBag($C2788,$J2788)*$D2788,"")</f>
        <v/>
      </c>
      <c r="Z2788" s="70" t="str">
        <f t="shared" si="963"/>
        <v/>
      </c>
      <c r="AA2788" s="70" t="str">
        <f t="shared" si="964"/>
        <v/>
      </c>
      <c r="AB2788" s="70" t="str">
        <f t="shared" si="965"/>
        <v/>
      </c>
      <c r="AC2788" s="70" t="str">
        <f t="shared" si="966"/>
        <v/>
      </c>
      <c r="AD2788" s="70" t="str">
        <f t="shared" si="967"/>
        <v/>
      </c>
      <c r="AE2788" s="70" t="str">
        <f t="shared" si="968"/>
        <v/>
      </c>
      <c r="AF2788" s="16"/>
      <c r="AG2788" s="23"/>
      <c r="AH2788" s="22"/>
      <c r="AJ2788" s="83">
        <f t="shared" si="969"/>
        <v>0</v>
      </c>
      <c r="AO2788" s="22" t="str">
        <f t="shared" si="970"/>
        <v/>
      </c>
      <c r="AP2788" s="22" t="str">
        <f t="shared" si="971"/>
        <v/>
      </c>
    </row>
    <row r="2789" spans="1:42" x14ac:dyDescent="0.25">
      <c r="A2789" s="10"/>
      <c r="B2789" s="10"/>
      <c r="C2789" s="10"/>
      <c r="D2789" s="10"/>
      <c r="E2789" s="10"/>
      <c r="F2789" s="10"/>
      <c r="G2789" s="10"/>
      <c r="H2789" s="17"/>
      <c r="I2789" s="10"/>
      <c r="J2789" s="10"/>
      <c r="K2789" s="16" t="str">
        <f t="shared" si="950"/>
        <v/>
      </c>
      <c r="L2789" s="23" t="str">
        <f t="shared" si="951"/>
        <v/>
      </c>
      <c r="M2789" s="22" t="str">
        <f t="shared" si="952"/>
        <v/>
      </c>
      <c r="N2789" s="72"/>
      <c r="O2789" s="16" t="str">
        <f t="shared" si="953"/>
        <v/>
      </c>
      <c r="P2789" s="16" t="str">
        <f t="shared" si="954"/>
        <v/>
      </c>
      <c r="Q2789" s="16" t="str">
        <f t="shared" si="955"/>
        <v/>
      </c>
      <c r="R2789" s="23" t="str">
        <f t="shared" si="956"/>
        <v/>
      </c>
      <c r="S2789" s="23" t="str">
        <f t="shared" si="957"/>
        <v/>
      </c>
      <c r="T2789" s="23" t="str">
        <f t="shared" si="958"/>
        <v/>
      </c>
      <c r="U2789" s="23" t="str">
        <f t="shared" si="959"/>
        <v/>
      </c>
      <c r="V2789" s="23" t="str">
        <f t="shared" si="960"/>
        <v/>
      </c>
      <c r="W2789" s="70" t="str">
        <f t="shared" si="961"/>
        <v/>
      </c>
      <c r="X2789" s="70" t="str">
        <f t="shared" si="962"/>
        <v/>
      </c>
      <c r="Y2789" s="70" t="str">
        <f>IF(AND($A2789&lt;&gt;"",$E2789&gt;0),isLaptopBag($C2789,$J2789)*$D2789,"")</f>
        <v/>
      </c>
      <c r="Z2789" s="70" t="str">
        <f t="shared" si="963"/>
        <v/>
      </c>
      <c r="AA2789" s="70" t="str">
        <f t="shared" si="964"/>
        <v/>
      </c>
      <c r="AB2789" s="70" t="str">
        <f t="shared" si="965"/>
        <v/>
      </c>
      <c r="AC2789" s="70" t="str">
        <f t="shared" si="966"/>
        <v/>
      </c>
      <c r="AD2789" s="70" t="str">
        <f t="shared" si="967"/>
        <v/>
      </c>
      <c r="AE2789" s="70" t="str">
        <f t="shared" si="968"/>
        <v/>
      </c>
      <c r="AF2789" s="16"/>
      <c r="AG2789" s="23"/>
      <c r="AH2789" s="22"/>
      <c r="AJ2789" s="83">
        <f t="shared" si="969"/>
        <v>0</v>
      </c>
      <c r="AO2789" s="22" t="str">
        <f t="shared" si="970"/>
        <v/>
      </c>
      <c r="AP2789" s="22" t="str">
        <f t="shared" si="971"/>
        <v/>
      </c>
    </row>
    <row r="2790" spans="1:42" x14ac:dyDescent="0.25">
      <c r="A2790" s="10"/>
      <c r="B2790" s="10"/>
      <c r="C2790" s="10"/>
      <c r="D2790" s="10"/>
      <c r="E2790" s="10"/>
      <c r="F2790" s="10"/>
      <c r="G2790" s="10"/>
      <c r="H2790" s="17"/>
      <c r="I2790" s="10"/>
      <c r="J2790" s="10"/>
      <c r="K2790" s="16" t="str">
        <f t="shared" si="950"/>
        <v/>
      </c>
      <c r="L2790" s="23" t="str">
        <f t="shared" si="951"/>
        <v/>
      </c>
      <c r="M2790" s="22" t="str">
        <f t="shared" si="952"/>
        <v/>
      </c>
      <c r="N2790" s="72"/>
      <c r="O2790" s="16" t="str">
        <f t="shared" si="953"/>
        <v/>
      </c>
      <c r="P2790" s="16" t="str">
        <f t="shared" si="954"/>
        <v/>
      </c>
      <c r="Q2790" s="16" t="str">
        <f t="shared" si="955"/>
        <v/>
      </c>
      <c r="R2790" s="23" t="str">
        <f t="shared" si="956"/>
        <v/>
      </c>
      <c r="S2790" s="23" t="str">
        <f t="shared" si="957"/>
        <v/>
      </c>
      <c r="T2790" s="23" t="str">
        <f t="shared" si="958"/>
        <v/>
      </c>
      <c r="U2790" s="23" t="str">
        <f t="shared" si="959"/>
        <v/>
      </c>
      <c r="V2790" s="23" t="str">
        <f t="shared" si="960"/>
        <v/>
      </c>
      <c r="W2790" s="70" t="str">
        <f t="shared" si="961"/>
        <v/>
      </c>
      <c r="X2790" s="70" t="str">
        <f t="shared" si="962"/>
        <v/>
      </c>
      <c r="Y2790" s="70" t="str">
        <f>IF(AND($A2790&lt;&gt;"",$E2790&gt;0),isLaptopBag($C2790,$J2790)*$D2790,"")</f>
        <v/>
      </c>
      <c r="Z2790" s="70" t="str">
        <f t="shared" si="963"/>
        <v/>
      </c>
      <c r="AA2790" s="70" t="str">
        <f t="shared" si="964"/>
        <v/>
      </c>
      <c r="AB2790" s="70" t="str">
        <f t="shared" si="965"/>
        <v/>
      </c>
      <c r="AC2790" s="70" t="str">
        <f t="shared" si="966"/>
        <v/>
      </c>
      <c r="AD2790" s="70" t="str">
        <f t="shared" si="967"/>
        <v/>
      </c>
      <c r="AE2790" s="70" t="str">
        <f t="shared" si="968"/>
        <v/>
      </c>
      <c r="AF2790" s="16"/>
      <c r="AG2790" s="23"/>
      <c r="AH2790" s="22"/>
      <c r="AJ2790" s="83">
        <f t="shared" si="969"/>
        <v>0</v>
      </c>
      <c r="AO2790" s="22" t="str">
        <f t="shared" si="970"/>
        <v/>
      </c>
      <c r="AP2790" s="22" t="str">
        <f t="shared" si="971"/>
        <v/>
      </c>
    </row>
    <row r="2791" spans="1:42" x14ac:dyDescent="0.25">
      <c r="A2791" s="10"/>
      <c r="B2791" s="10"/>
      <c r="C2791" s="10"/>
      <c r="D2791" s="10"/>
      <c r="E2791" s="10"/>
      <c r="F2791" s="10"/>
      <c r="G2791" s="10"/>
      <c r="H2791" s="17"/>
      <c r="I2791" s="10"/>
      <c r="J2791" s="10"/>
      <c r="K2791" s="16" t="str">
        <f t="shared" si="950"/>
        <v/>
      </c>
      <c r="L2791" s="23" t="str">
        <f t="shared" si="951"/>
        <v/>
      </c>
      <c r="M2791" s="22" t="str">
        <f t="shared" si="952"/>
        <v/>
      </c>
      <c r="N2791" s="72"/>
      <c r="O2791" s="16" t="str">
        <f t="shared" si="953"/>
        <v/>
      </c>
      <c r="P2791" s="16" t="str">
        <f t="shared" si="954"/>
        <v/>
      </c>
      <c r="Q2791" s="16" t="str">
        <f t="shared" si="955"/>
        <v/>
      </c>
      <c r="R2791" s="23" t="str">
        <f t="shared" si="956"/>
        <v/>
      </c>
      <c r="S2791" s="23" t="str">
        <f t="shared" si="957"/>
        <v/>
      </c>
      <c r="T2791" s="23" t="str">
        <f t="shared" si="958"/>
        <v/>
      </c>
      <c r="U2791" s="23" t="str">
        <f t="shared" si="959"/>
        <v/>
      </c>
      <c r="V2791" s="23" t="str">
        <f t="shared" si="960"/>
        <v/>
      </c>
      <c r="W2791" s="70" t="str">
        <f t="shared" si="961"/>
        <v/>
      </c>
      <c r="X2791" s="70" t="str">
        <f t="shared" si="962"/>
        <v/>
      </c>
      <c r="Y2791" s="70" t="str">
        <f>IF(AND($A2791&lt;&gt;"",$E2791&gt;0),isLaptopBag($C2791,$J2791)*$D2791,"")</f>
        <v/>
      </c>
      <c r="Z2791" s="70" t="str">
        <f t="shared" si="963"/>
        <v/>
      </c>
      <c r="AA2791" s="70" t="str">
        <f t="shared" si="964"/>
        <v/>
      </c>
      <c r="AB2791" s="70" t="str">
        <f t="shared" si="965"/>
        <v/>
      </c>
      <c r="AC2791" s="70" t="str">
        <f t="shared" si="966"/>
        <v/>
      </c>
      <c r="AD2791" s="70" t="str">
        <f t="shared" si="967"/>
        <v/>
      </c>
      <c r="AE2791" s="70" t="str">
        <f t="shared" si="968"/>
        <v/>
      </c>
      <c r="AF2791" s="16"/>
      <c r="AG2791" s="23"/>
      <c r="AH2791" s="22"/>
      <c r="AJ2791" s="83">
        <f t="shared" si="969"/>
        <v>0</v>
      </c>
      <c r="AO2791" s="22" t="str">
        <f t="shared" si="970"/>
        <v/>
      </c>
      <c r="AP2791" s="22" t="str">
        <f t="shared" si="971"/>
        <v/>
      </c>
    </row>
    <row r="2792" spans="1:42" x14ac:dyDescent="0.25">
      <c r="A2792" s="10"/>
      <c r="B2792" s="10"/>
      <c r="C2792" s="10"/>
      <c r="D2792" s="10"/>
      <c r="E2792" s="10"/>
      <c r="F2792" s="10"/>
      <c r="G2792" s="10"/>
      <c r="H2792" s="17"/>
      <c r="I2792" s="10"/>
      <c r="J2792" s="10"/>
      <c r="K2792" s="16" t="str">
        <f t="shared" si="950"/>
        <v/>
      </c>
      <c r="L2792" s="23" t="str">
        <f t="shared" si="951"/>
        <v/>
      </c>
      <c r="M2792" s="22" t="str">
        <f t="shared" si="952"/>
        <v/>
      </c>
      <c r="N2792" s="72"/>
      <c r="O2792" s="16" t="str">
        <f t="shared" si="953"/>
        <v/>
      </c>
      <c r="P2792" s="16" t="str">
        <f t="shared" si="954"/>
        <v/>
      </c>
      <c r="Q2792" s="16" t="str">
        <f t="shared" si="955"/>
        <v/>
      </c>
      <c r="R2792" s="23" t="str">
        <f t="shared" si="956"/>
        <v/>
      </c>
      <c r="S2792" s="23" t="str">
        <f t="shared" si="957"/>
        <v/>
      </c>
      <c r="T2792" s="23" t="str">
        <f t="shared" si="958"/>
        <v/>
      </c>
      <c r="U2792" s="23" t="str">
        <f t="shared" si="959"/>
        <v/>
      </c>
      <c r="V2792" s="23" t="str">
        <f t="shared" si="960"/>
        <v/>
      </c>
      <c r="W2792" s="70" t="str">
        <f t="shared" si="961"/>
        <v/>
      </c>
      <c r="X2792" s="70" t="str">
        <f t="shared" si="962"/>
        <v/>
      </c>
      <c r="Y2792" s="70" t="str">
        <f>IF(AND($A2792&lt;&gt;"",$E2792&gt;0),isLaptopBag($C2792,$J2792)*$D2792,"")</f>
        <v/>
      </c>
      <c r="Z2792" s="70" t="str">
        <f t="shared" si="963"/>
        <v/>
      </c>
      <c r="AA2792" s="70" t="str">
        <f t="shared" si="964"/>
        <v/>
      </c>
      <c r="AB2792" s="70" t="str">
        <f t="shared" si="965"/>
        <v/>
      </c>
      <c r="AC2792" s="70" t="str">
        <f t="shared" si="966"/>
        <v/>
      </c>
      <c r="AD2792" s="70" t="str">
        <f t="shared" si="967"/>
        <v/>
      </c>
      <c r="AE2792" s="70" t="str">
        <f t="shared" si="968"/>
        <v/>
      </c>
      <c r="AF2792" s="16"/>
      <c r="AG2792" s="23"/>
      <c r="AH2792" s="22"/>
      <c r="AJ2792" s="83">
        <f t="shared" si="969"/>
        <v>0</v>
      </c>
      <c r="AO2792" s="22" t="str">
        <f t="shared" si="970"/>
        <v/>
      </c>
      <c r="AP2792" s="22" t="str">
        <f t="shared" si="971"/>
        <v/>
      </c>
    </row>
    <row r="2793" spans="1:42" x14ac:dyDescent="0.25">
      <c r="A2793" s="10"/>
      <c r="B2793" s="10"/>
      <c r="C2793" s="10"/>
      <c r="D2793" s="10"/>
      <c r="E2793" s="10"/>
      <c r="F2793" s="10"/>
      <c r="G2793" s="10"/>
      <c r="H2793" s="17"/>
      <c r="I2793" s="10"/>
      <c r="J2793" s="10"/>
      <c r="K2793" s="16" t="str">
        <f t="shared" si="950"/>
        <v/>
      </c>
      <c r="L2793" s="23" t="str">
        <f t="shared" si="951"/>
        <v/>
      </c>
      <c r="M2793" s="22" t="str">
        <f t="shared" si="952"/>
        <v/>
      </c>
      <c r="N2793" s="72"/>
      <c r="O2793" s="16" t="str">
        <f t="shared" si="953"/>
        <v/>
      </c>
      <c r="P2793" s="16" t="str">
        <f t="shared" si="954"/>
        <v/>
      </c>
      <c r="Q2793" s="16" t="str">
        <f t="shared" si="955"/>
        <v/>
      </c>
      <c r="R2793" s="23" t="str">
        <f t="shared" si="956"/>
        <v/>
      </c>
      <c r="S2793" s="23" t="str">
        <f t="shared" si="957"/>
        <v/>
      </c>
      <c r="T2793" s="23" t="str">
        <f t="shared" si="958"/>
        <v/>
      </c>
      <c r="U2793" s="23" t="str">
        <f t="shared" si="959"/>
        <v/>
      </c>
      <c r="V2793" s="23" t="str">
        <f t="shared" si="960"/>
        <v/>
      </c>
      <c r="W2793" s="70" t="str">
        <f t="shared" si="961"/>
        <v/>
      </c>
      <c r="X2793" s="70" t="str">
        <f t="shared" si="962"/>
        <v/>
      </c>
      <c r="Y2793" s="70" t="str">
        <f>IF(AND($A2793&lt;&gt;"",$E2793&gt;0),isLaptopBag($C2793,$J2793)*$D2793,"")</f>
        <v/>
      </c>
      <c r="Z2793" s="70" t="str">
        <f t="shared" si="963"/>
        <v/>
      </c>
      <c r="AA2793" s="70" t="str">
        <f t="shared" si="964"/>
        <v/>
      </c>
      <c r="AB2793" s="70" t="str">
        <f t="shared" si="965"/>
        <v/>
      </c>
      <c r="AC2793" s="70" t="str">
        <f t="shared" si="966"/>
        <v/>
      </c>
      <c r="AD2793" s="70" t="str">
        <f t="shared" si="967"/>
        <v/>
      </c>
      <c r="AE2793" s="70" t="str">
        <f t="shared" si="968"/>
        <v/>
      </c>
      <c r="AF2793" s="16"/>
      <c r="AG2793" s="23"/>
      <c r="AH2793" s="22"/>
      <c r="AJ2793" s="83">
        <f t="shared" si="969"/>
        <v>0</v>
      </c>
      <c r="AO2793" s="22" t="str">
        <f t="shared" si="970"/>
        <v/>
      </c>
      <c r="AP2793" s="22" t="str">
        <f t="shared" si="971"/>
        <v/>
      </c>
    </row>
    <row r="2794" spans="1:42" x14ac:dyDescent="0.25">
      <c r="A2794" s="10"/>
      <c r="B2794" s="10"/>
      <c r="C2794" s="10"/>
      <c r="D2794" s="10"/>
      <c r="E2794" s="10"/>
      <c r="F2794" s="10"/>
      <c r="G2794" s="10"/>
      <c r="H2794" s="17"/>
      <c r="I2794" s="10"/>
      <c r="J2794" s="10"/>
      <c r="K2794" s="16" t="str">
        <f t="shared" si="950"/>
        <v/>
      </c>
      <c r="L2794" s="23" t="str">
        <f t="shared" si="951"/>
        <v/>
      </c>
      <c r="M2794" s="22" t="str">
        <f t="shared" si="952"/>
        <v/>
      </c>
      <c r="N2794" s="72"/>
      <c r="O2794" s="16" t="str">
        <f t="shared" si="953"/>
        <v/>
      </c>
      <c r="P2794" s="16" t="str">
        <f t="shared" si="954"/>
        <v/>
      </c>
      <c r="Q2794" s="16" t="str">
        <f t="shared" si="955"/>
        <v/>
      </c>
      <c r="R2794" s="23" t="str">
        <f t="shared" si="956"/>
        <v/>
      </c>
      <c r="S2794" s="23" t="str">
        <f t="shared" si="957"/>
        <v/>
      </c>
      <c r="T2794" s="23" t="str">
        <f t="shared" si="958"/>
        <v/>
      </c>
      <c r="U2794" s="23" t="str">
        <f t="shared" si="959"/>
        <v/>
      </c>
      <c r="V2794" s="23" t="str">
        <f t="shared" si="960"/>
        <v/>
      </c>
      <c r="W2794" s="70" t="str">
        <f t="shared" si="961"/>
        <v/>
      </c>
      <c r="X2794" s="70" t="str">
        <f t="shared" si="962"/>
        <v/>
      </c>
      <c r="Y2794" s="70" t="str">
        <f>IF(AND($A2794&lt;&gt;"",$E2794&gt;0),isLaptopBag($C2794,$J2794)*$D2794,"")</f>
        <v/>
      </c>
      <c r="Z2794" s="70" t="str">
        <f t="shared" si="963"/>
        <v/>
      </c>
      <c r="AA2794" s="70" t="str">
        <f t="shared" si="964"/>
        <v/>
      </c>
      <c r="AB2794" s="70" t="str">
        <f t="shared" si="965"/>
        <v/>
      </c>
      <c r="AC2794" s="70" t="str">
        <f t="shared" si="966"/>
        <v/>
      </c>
      <c r="AD2794" s="70" t="str">
        <f t="shared" si="967"/>
        <v/>
      </c>
      <c r="AE2794" s="70" t="str">
        <f t="shared" si="968"/>
        <v/>
      </c>
      <c r="AF2794" s="16"/>
      <c r="AG2794" s="23"/>
      <c r="AH2794" s="22"/>
      <c r="AJ2794" s="83">
        <f t="shared" si="969"/>
        <v>0</v>
      </c>
      <c r="AO2794" s="22" t="str">
        <f t="shared" si="970"/>
        <v/>
      </c>
      <c r="AP2794" s="22" t="str">
        <f t="shared" si="971"/>
        <v/>
      </c>
    </row>
    <row r="2795" spans="1:42" x14ac:dyDescent="0.25">
      <c r="A2795" s="10"/>
      <c r="B2795" s="10"/>
      <c r="C2795" s="10"/>
      <c r="D2795" s="10"/>
      <c r="E2795" s="10"/>
      <c r="F2795" s="10"/>
      <c r="G2795" s="10"/>
      <c r="H2795" s="17"/>
      <c r="I2795" s="10"/>
      <c r="J2795" s="10"/>
      <c r="K2795" s="16" t="str">
        <f t="shared" si="950"/>
        <v/>
      </c>
      <c r="L2795" s="23" t="str">
        <f t="shared" si="951"/>
        <v/>
      </c>
      <c r="M2795" s="22" t="str">
        <f t="shared" si="952"/>
        <v/>
      </c>
      <c r="N2795" s="72"/>
      <c r="O2795" s="16" t="str">
        <f t="shared" si="953"/>
        <v/>
      </c>
      <c r="P2795" s="16" t="str">
        <f t="shared" si="954"/>
        <v/>
      </c>
      <c r="Q2795" s="16" t="str">
        <f t="shared" si="955"/>
        <v/>
      </c>
      <c r="R2795" s="23" t="str">
        <f t="shared" si="956"/>
        <v/>
      </c>
      <c r="S2795" s="23" t="str">
        <f t="shared" si="957"/>
        <v/>
      </c>
      <c r="T2795" s="23" t="str">
        <f t="shared" si="958"/>
        <v/>
      </c>
      <c r="U2795" s="23" t="str">
        <f t="shared" si="959"/>
        <v/>
      </c>
      <c r="V2795" s="23" t="str">
        <f t="shared" si="960"/>
        <v/>
      </c>
      <c r="W2795" s="70" t="str">
        <f t="shared" si="961"/>
        <v/>
      </c>
      <c r="X2795" s="70" t="str">
        <f t="shared" si="962"/>
        <v/>
      </c>
      <c r="Y2795" s="70" t="str">
        <f>IF(AND($A2795&lt;&gt;"",$E2795&gt;0),isLaptopBag($C2795,$J2795)*$D2795,"")</f>
        <v/>
      </c>
      <c r="Z2795" s="70" t="str">
        <f t="shared" si="963"/>
        <v/>
      </c>
      <c r="AA2795" s="70" t="str">
        <f t="shared" si="964"/>
        <v/>
      </c>
      <c r="AB2795" s="70" t="str">
        <f t="shared" si="965"/>
        <v/>
      </c>
      <c r="AC2795" s="70" t="str">
        <f t="shared" si="966"/>
        <v/>
      </c>
      <c r="AD2795" s="70" t="str">
        <f t="shared" si="967"/>
        <v/>
      </c>
      <c r="AE2795" s="70" t="str">
        <f t="shared" si="968"/>
        <v/>
      </c>
      <c r="AF2795" s="16"/>
      <c r="AG2795" s="23"/>
      <c r="AH2795" s="22"/>
      <c r="AJ2795" s="83">
        <f t="shared" si="969"/>
        <v>0</v>
      </c>
      <c r="AO2795" s="22" t="str">
        <f t="shared" si="970"/>
        <v/>
      </c>
      <c r="AP2795" s="22" t="str">
        <f t="shared" si="971"/>
        <v/>
      </c>
    </row>
    <row r="2796" spans="1:42" x14ac:dyDescent="0.25">
      <c r="A2796" s="10"/>
      <c r="B2796" s="10"/>
      <c r="C2796" s="10"/>
      <c r="D2796" s="10"/>
      <c r="E2796" s="10"/>
      <c r="F2796" s="10"/>
      <c r="G2796" s="10"/>
      <c r="H2796" s="17"/>
      <c r="I2796" s="10"/>
      <c r="J2796" s="10"/>
      <c r="K2796" s="16" t="str">
        <f t="shared" si="950"/>
        <v/>
      </c>
      <c r="L2796" s="23" t="str">
        <f t="shared" si="951"/>
        <v/>
      </c>
      <c r="M2796" s="22" t="str">
        <f t="shared" si="952"/>
        <v/>
      </c>
      <c r="N2796" s="72"/>
      <c r="O2796" s="16" t="str">
        <f t="shared" si="953"/>
        <v/>
      </c>
      <c r="P2796" s="16" t="str">
        <f t="shared" si="954"/>
        <v/>
      </c>
      <c r="Q2796" s="16" t="str">
        <f t="shared" si="955"/>
        <v/>
      </c>
      <c r="R2796" s="23" t="str">
        <f t="shared" si="956"/>
        <v/>
      </c>
      <c r="S2796" s="23" t="str">
        <f t="shared" si="957"/>
        <v/>
      </c>
      <c r="T2796" s="23" t="str">
        <f t="shared" si="958"/>
        <v/>
      </c>
      <c r="U2796" s="23" t="str">
        <f t="shared" si="959"/>
        <v/>
      </c>
      <c r="V2796" s="23" t="str">
        <f t="shared" si="960"/>
        <v/>
      </c>
      <c r="W2796" s="70" t="str">
        <f t="shared" si="961"/>
        <v/>
      </c>
      <c r="X2796" s="70" t="str">
        <f t="shared" si="962"/>
        <v/>
      </c>
      <c r="Y2796" s="70" t="str">
        <f>IF(AND($A2796&lt;&gt;"",$E2796&gt;0),isLaptopBag($C2796,$J2796)*$D2796,"")</f>
        <v/>
      </c>
      <c r="Z2796" s="70" t="str">
        <f t="shared" si="963"/>
        <v/>
      </c>
      <c r="AA2796" s="70" t="str">
        <f t="shared" si="964"/>
        <v/>
      </c>
      <c r="AB2796" s="70" t="str">
        <f t="shared" si="965"/>
        <v/>
      </c>
      <c r="AC2796" s="70" t="str">
        <f t="shared" si="966"/>
        <v/>
      </c>
      <c r="AD2796" s="70" t="str">
        <f t="shared" si="967"/>
        <v/>
      </c>
      <c r="AE2796" s="70" t="str">
        <f t="shared" si="968"/>
        <v/>
      </c>
      <c r="AF2796" s="16"/>
      <c r="AG2796" s="23"/>
      <c r="AH2796" s="22"/>
      <c r="AJ2796" s="83">
        <f t="shared" si="969"/>
        <v>0</v>
      </c>
      <c r="AO2796" s="22" t="str">
        <f t="shared" si="970"/>
        <v/>
      </c>
      <c r="AP2796" s="22" t="str">
        <f t="shared" si="971"/>
        <v/>
      </c>
    </row>
    <row r="2797" spans="1:42" x14ac:dyDescent="0.25">
      <c r="A2797" s="10"/>
      <c r="B2797" s="10"/>
      <c r="C2797" s="10"/>
      <c r="D2797" s="10"/>
      <c r="E2797" s="10"/>
      <c r="F2797" s="10"/>
      <c r="G2797" s="10"/>
      <c r="H2797" s="17"/>
      <c r="I2797" s="10"/>
      <c r="J2797" s="10"/>
      <c r="K2797" s="16" t="str">
        <f t="shared" si="950"/>
        <v/>
      </c>
      <c r="L2797" s="23" t="str">
        <f t="shared" si="951"/>
        <v/>
      </c>
      <c r="M2797" s="22" t="str">
        <f t="shared" si="952"/>
        <v/>
      </c>
      <c r="N2797" s="72"/>
      <c r="O2797" s="16" t="str">
        <f t="shared" si="953"/>
        <v/>
      </c>
      <c r="P2797" s="16" t="str">
        <f t="shared" si="954"/>
        <v/>
      </c>
      <c r="Q2797" s="16" t="str">
        <f t="shared" si="955"/>
        <v/>
      </c>
      <c r="R2797" s="23" t="str">
        <f t="shared" si="956"/>
        <v/>
      </c>
      <c r="S2797" s="23" t="str">
        <f t="shared" si="957"/>
        <v/>
      </c>
      <c r="T2797" s="23" t="str">
        <f t="shared" si="958"/>
        <v/>
      </c>
      <c r="U2797" s="23" t="str">
        <f t="shared" si="959"/>
        <v/>
      </c>
      <c r="V2797" s="23" t="str">
        <f t="shared" si="960"/>
        <v/>
      </c>
      <c r="W2797" s="70" t="str">
        <f t="shared" si="961"/>
        <v/>
      </c>
      <c r="X2797" s="70" t="str">
        <f t="shared" si="962"/>
        <v/>
      </c>
      <c r="Y2797" s="70" t="str">
        <f>IF(AND($A2797&lt;&gt;"",$E2797&gt;0),isLaptopBag($C2797,$J2797)*$D2797,"")</f>
        <v/>
      </c>
      <c r="Z2797" s="70" t="str">
        <f t="shared" si="963"/>
        <v/>
      </c>
      <c r="AA2797" s="70" t="str">
        <f t="shared" si="964"/>
        <v/>
      </c>
      <c r="AB2797" s="70" t="str">
        <f t="shared" si="965"/>
        <v/>
      </c>
      <c r="AC2797" s="70" t="str">
        <f t="shared" si="966"/>
        <v/>
      </c>
      <c r="AD2797" s="70" t="str">
        <f t="shared" si="967"/>
        <v/>
      </c>
      <c r="AE2797" s="70" t="str">
        <f t="shared" si="968"/>
        <v/>
      </c>
      <c r="AF2797" s="16"/>
      <c r="AG2797" s="23"/>
      <c r="AH2797" s="22"/>
      <c r="AJ2797" s="83">
        <f t="shared" si="969"/>
        <v>0</v>
      </c>
      <c r="AO2797" s="22" t="str">
        <f t="shared" si="970"/>
        <v/>
      </c>
      <c r="AP2797" s="22" t="str">
        <f t="shared" si="971"/>
        <v/>
      </c>
    </row>
    <row r="2798" spans="1:42" x14ac:dyDescent="0.25">
      <c r="A2798" s="10"/>
      <c r="B2798" s="10"/>
      <c r="C2798" s="10"/>
      <c r="D2798" s="10"/>
      <c r="E2798" s="10"/>
      <c r="F2798" s="10"/>
      <c r="G2798" s="10"/>
      <c r="H2798" s="17"/>
      <c r="I2798" s="10"/>
      <c r="J2798" s="10"/>
      <c r="K2798" s="16" t="str">
        <f t="shared" si="950"/>
        <v/>
      </c>
      <c r="L2798" s="23" t="str">
        <f t="shared" si="951"/>
        <v/>
      </c>
      <c r="M2798" s="22" t="str">
        <f t="shared" si="952"/>
        <v/>
      </c>
      <c r="N2798" s="72"/>
      <c r="O2798" s="16" t="str">
        <f t="shared" si="953"/>
        <v/>
      </c>
      <c r="P2798" s="16" t="str">
        <f t="shared" si="954"/>
        <v/>
      </c>
      <c r="Q2798" s="16" t="str">
        <f t="shared" si="955"/>
        <v/>
      </c>
      <c r="R2798" s="23" t="str">
        <f t="shared" si="956"/>
        <v/>
      </c>
      <c r="S2798" s="23" t="str">
        <f t="shared" si="957"/>
        <v/>
      </c>
      <c r="T2798" s="23" t="str">
        <f t="shared" si="958"/>
        <v/>
      </c>
      <c r="U2798" s="23" t="str">
        <f t="shared" si="959"/>
        <v/>
      </c>
      <c r="V2798" s="23" t="str">
        <f t="shared" si="960"/>
        <v/>
      </c>
      <c r="W2798" s="70" t="str">
        <f t="shared" si="961"/>
        <v/>
      </c>
      <c r="X2798" s="70" t="str">
        <f t="shared" si="962"/>
        <v/>
      </c>
      <c r="Y2798" s="70" t="str">
        <f>IF(AND($A2798&lt;&gt;"",$E2798&gt;0),isLaptopBag($C2798,$J2798)*$D2798,"")</f>
        <v/>
      </c>
      <c r="Z2798" s="70" t="str">
        <f t="shared" si="963"/>
        <v/>
      </c>
      <c r="AA2798" s="70" t="str">
        <f t="shared" si="964"/>
        <v/>
      </c>
      <c r="AB2798" s="70" t="str">
        <f t="shared" si="965"/>
        <v/>
      </c>
      <c r="AC2798" s="70" t="str">
        <f t="shared" si="966"/>
        <v/>
      </c>
      <c r="AD2798" s="70" t="str">
        <f t="shared" si="967"/>
        <v/>
      </c>
      <c r="AE2798" s="70" t="str">
        <f t="shared" si="968"/>
        <v/>
      </c>
      <c r="AF2798" s="16"/>
      <c r="AG2798" s="23"/>
      <c r="AH2798" s="22"/>
      <c r="AJ2798" s="83">
        <f t="shared" si="969"/>
        <v>0</v>
      </c>
      <c r="AO2798" s="22" t="str">
        <f t="shared" si="970"/>
        <v/>
      </c>
      <c r="AP2798" s="22" t="str">
        <f t="shared" si="971"/>
        <v/>
      </c>
    </row>
    <row r="2799" spans="1:42" x14ac:dyDescent="0.25">
      <c r="A2799" s="10"/>
      <c r="B2799" s="10"/>
      <c r="C2799" s="10"/>
      <c r="D2799" s="10"/>
      <c r="E2799" s="10"/>
      <c r="F2799" s="10"/>
      <c r="G2799" s="10"/>
      <c r="H2799" s="17"/>
      <c r="I2799" s="10"/>
      <c r="J2799" s="10"/>
      <c r="K2799" s="16" t="str">
        <f t="shared" si="950"/>
        <v/>
      </c>
      <c r="L2799" s="23" t="str">
        <f t="shared" si="951"/>
        <v/>
      </c>
      <c r="M2799" s="22" t="str">
        <f t="shared" si="952"/>
        <v/>
      </c>
      <c r="N2799" s="72"/>
      <c r="O2799" s="16" t="str">
        <f t="shared" si="953"/>
        <v/>
      </c>
      <c r="P2799" s="16" t="str">
        <f t="shared" si="954"/>
        <v/>
      </c>
      <c r="Q2799" s="16" t="str">
        <f t="shared" si="955"/>
        <v/>
      </c>
      <c r="R2799" s="23" t="str">
        <f t="shared" si="956"/>
        <v/>
      </c>
      <c r="S2799" s="23" t="str">
        <f t="shared" si="957"/>
        <v/>
      </c>
      <c r="T2799" s="23" t="str">
        <f t="shared" si="958"/>
        <v/>
      </c>
      <c r="U2799" s="23" t="str">
        <f t="shared" si="959"/>
        <v/>
      </c>
      <c r="V2799" s="23" t="str">
        <f t="shared" si="960"/>
        <v/>
      </c>
      <c r="W2799" s="70" t="str">
        <f t="shared" si="961"/>
        <v/>
      </c>
      <c r="X2799" s="70" t="str">
        <f t="shared" si="962"/>
        <v/>
      </c>
      <c r="Y2799" s="70" t="str">
        <f>IF(AND($A2799&lt;&gt;"",$E2799&gt;0),isLaptopBag($C2799,$J2799)*$D2799,"")</f>
        <v/>
      </c>
      <c r="Z2799" s="70" t="str">
        <f t="shared" si="963"/>
        <v/>
      </c>
      <c r="AA2799" s="70" t="str">
        <f t="shared" si="964"/>
        <v/>
      </c>
      <c r="AB2799" s="70" t="str">
        <f t="shared" si="965"/>
        <v/>
      </c>
      <c r="AC2799" s="70" t="str">
        <f t="shared" si="966"/>
        <v/>
      </c>
      <c r="AD2799" s="70" t="str">
        <f t="shared" si="967"/>
        <v/>
      </c>
      <c r="AE2799" s="70" t="str">
        <f t="shared" si="968"/>
        <v/>
      </c>
      <c r="AF2799" s="16"/>
      <c r="AG2799" s="23"/>
      <c r="AH2799" s="22"/>
      <c r="AJ2799" s="83">
        <f t="shared" si="969"/>
        <v>0</v>
      </c>
      <c r="AO2799" s="22" t="str">
        <f t="shared" si="970"/>
        <v/>
      </c>
      <c r="AP2799" s="22" t="str">
        <f t="shared" si="971"/>
        <v/>
      </c>
    </row>
    <row r="2800" spans="1:42" x14ac:dyDescent="0.25">
      <c r="A2800" s="10"/>
      <c r="B2800" s="10"/>
      <c r="C2800" s="10"/>
      <c r="D2800" s="10"/>
      <c r="E2800" s="10"/>
      <c r="F2800" s="10"/>
      <c r="G2800" s="10"/>
      <c r="H2800" s="17"/>
      <c r="I2800" s="10"/>
      <c r="J2800" s="10"/>
      <c r="K2800" s="16" t="str">
        <f t="shared" si="950"/>
        <v/>
      </c>
      <c r="L2800" s="23" t="str">
        <f t="shared" si="951"/>
        <v/>
      </c>
      <c r="M2800" s="22" t="str">
        <f t="shared" si="952"/>
        <v/>
      </c>
      <c r="N2800" s="72"/>
      <c r="O2800" s="16" t="str">
        <f t="shared" si="953"/>
        <v/>
      </c>
      <c r="P2800" s="16" t="str">
        <f t="shared" si="954"/>
        <v/>
      </c>
      <c r="Q2800" s="16" t="str">
        <f t="shared" si="955"/>
        <v/>
      </c>
      <c r="R2800" s="23" t="str">
        <f t="shared" si="956"/>
        <v/>
      </c>
      <c r="S2800" s="23" t="str">
        <f t="shared" si="957"/>
        <v/>
      </c>
      <c r="T2800" s="23" t="str">
        <f t="shared" si="958"/>
        <v/>
      </c>
      <c r="U2800" s="23" t="str">
        <f t="shared" si="959"/>
        <v/>
      </c>
      <c r="V2800" s="23" t="str">
        <f t="shared" si="960"/>
        <v/>
      </c>
      <c r="W2800" s="70" t="str">
        <f t="shared" si="961"/>
        <v/>
      </c>
      <c r="X2800" s="70" t="str">
        <f t="shared" si="962"/>
        <v/>
      </c>
      <c r="Y2800" s="70" t="str">
        <f>IF(AND($A2800&lt;&gt;"",$E2800&gt;0),isLaptopBag($C2800,$J2800)*$D2800,"")</f>
        <v/>
      </c>
      <c r="Z2800" s="70" t="str">
        <f t="shared" si="963"/>
        <v/>
      </c>
      <c r="AA2800" s="70" t="str">
        <f t="shared" si="964"/>
        <v/>
      </c>
      <c r="AB2800" s="70" t="str">
        <f t="shared" si="965"/>
        <v/>
      </c>
      <c r="AC2800" s="70" t="str">
        <f t="shared" si="966"/>
        <v/>
      </c>
      <c r="AD2800" s="70" t="str">
        <f t="shared" si="967"/>
        <v/>
      </c>
      <c r="AE2800" s="70" t="str">
        <f t="shared" si="968"/>
        <v/>
      </c>
      <c r="AF2800" s="16"/>
      <c r="AG2800" s="23"/>
      <c r="AH2800" s="22"/>
      <c r="AJ2800" s="83">
        <f t="shared" si="969"/>
        <v>0</v>
      </c>
      <c r="AO2800" s="22" t="str">
        <f t="shared" si="970"/>
        <v/>
      </c>
      <c r="AP2800" s="22" t="str">
        <f t="shared" si="971"/>
        <v/>
      </c>
    </row>
    <row r="2801" spans="1:42" x14ac:dyDescent="0.25">
      <c r="A2801" s="10"/>
      <c r="B2801" s="10"/>
      <c r="C2801" s="10"/>
      <c r="D2801" s="10"/>
      <c r="E2801" s="10"/>
      <c r="F2801" s="10"/>
      <c r="G2801" s="10"/>
      <c r="H2801" s="17"/>
      <c r="I2801" s="10"/>
      <c r="J2801" s="10"/>
      <c r="K2801" s="16" t="str">
        <f t="shared" si="950"/>
        <v/>
      </c>
      <c r="L2801" s="23" t="str">
        <f t="shared" si="951"/>
        <v/>
      </c>
      <c r="M2801" s="22" t="str">
        <f t="shared" si="952"/>
        <v/>
      </c>
      <c r="N2801" s="72"/>
      <c r="O2801" s="16" t="str">
        <f t="shared" si="953"/>
        <v/>
      </c>
      <c r="P2801" s="16" t="str">
        <f t="shared" si="954"/>
        <v/>
      </c>
      <c r="Q2801" s="16" t="str">
        <f t="shared" si="955"/>
        <v/>
      </c>
      <c r="R2801" s="23" t="str">
        <f t="shared" si="956"/>
        <v/>
      </c>
      <c r="S2801" s="23" t="str">
        <f t="shared" si="957"/>
        <v/>
      </c>
      <c r="T2801" s="23" t="str">
        <f t="shared" si="958"/>
        <v/>
      </c>
      <c r="U2801" s="23" t="str">
        <f t="shared" si="959"/>
        <v/>
      </c>
      <c r="V2801" s="23" t="str">
        <f t="shared" si="960"/>
        <v/>
      </c>
      <c r="W2801" s="70" t="str">
        <f t="shared" si="961"/>
        <v/>
      </c>
      <c r="X2801" s="70" t="str">
        <f t="shared" si="962"/>
        <v/>
      </c>
      <c r="Y2801" s="70" t="str">
        <f>IF(AND($A2801&lt;&gt;"",$E2801&gt;0),isLaptopBag($C2801,$J2801)*$D2801,"")</f>
        <v/>
      </c>
      <c r="Z2801" s="70" t="str">
        <f t="shared" si="963"/>
        <v/>
      </c>
      <c r="AA2801" s="70" t="str">
        <f t="shared" si="964"/>
        <v/>
      </c>
      <c r="AB2801" s="70" t="str">
        <f t="shared" si="965"/>
        <v/>
      </c>
      <c r="AC2801" s="70" t="str">
        <f t="shared" si="966"/>
        <v/>
      </c>
      <c r="AD2801" s="70" t="str">
        <f t="shared" si="967"/>
        <v/>
      </c>
      <c r="AE2801" s="70" t="str">
        <f t="shared" si="968"/>
        <v/>
      </c>
      <c r="AF2801" s="16"/>
      <c r="AG2801" s="23"/>
      <c r="AH2801" s="22"/>
      <c r="AJ2801" s="83">
        <f t="shared" si="969"/>
        <v>0</v>
      </c>
      <c r="AO2801" s="22" t="str">
        <f t="shared" si="970"/>
        <v/>
      </c>
      <c r="AP2801" s="22" t="str">
        <f t="shared" si="971"/>
        <v/>
      </c>
    </row>
    <row r="2802" spans="1:42" x14ac:dyDescent="0.25">
      <c r="A2802" s="10"/>
      <c r="B2802" s="10"/>
      <c r="C2802" s="10"/>
      <c r="D2802" s="10"/>
      <c r="E2802" s="10"/>
      <c r="F2802" s="10"/>
      <c r="G2802" s="10"/>
      <c r="H2802" s="17"/>
      <c r="I2802" s="10"/>
      <c r="J2802" s="10"/>
      <c r="K2802" s="16" t="str">
        <f t="shared" si="950"/>
        <v/>
      </c>
      <c r="L2802" s="23" t="str">
        <f t="shared" si="951"/>
        <v/>
      </c>
      <c r="M2802" s="22" t="str">
        <f t="shared" si="952"/>
        <v/>
      </c>
      <c r="N2802" s="72"/>
      <c r="O2802" s="16" t="str">
        <f t="shared" si="953"/>
        <v/>
      </c>
      <c r="P2802" s="16" t="str">
        <f t="shared" si="954"/>
        <v/>
      </c>
      <c r="Q2802" s="16" t="str">
        <f t="shared" si="955"/>
        <v/>
      </c>
      <c r="R2802" s="23" t="str">
        <f t="shared" si="956"/>
        <v/>
      </c>
      <c r="S2802" s="23" t="str">
        <f t="shared" si="957"/>
        <v/>
      </c>
      <c r="T2802" s="23" t="str">
        <f t="shared" si="958"/>
        <v/>
      </c>
      <c r="U2802" s="23" t="str">
        <f t="shared" si="959"/>
        <v/>
      </c>
      <c r="V2802" s="23" t="str">
        <f t="shared" si="960"/>
        <v/>
      </c>
      <c r="W2802" s="70" t="str">
        <f t="shared" si="961"/>
        <v/>
      </c>
      <c r="X2802" s="70" t="str">
        <f t="shared" si="962"/>
        <v/>
      </c>
      <c r="Y2802" s="70" t="str">
        <f>IF(AND($A2802&lt;&gt;"",$E2802&gt;0),isLaptopBag($C2802,$J2802)*$D2802,"")</f>
        <v/>
      </c>
      <c r="Z2802" s="70" t="str">
        <f t="shared" si="963"/>
        <v/>
      </c>
      <c r="AA2802" s="70" t="str">
        <f t="shared" si="964"/>
        <v/>
      </c>
      <c r="AB2802" s="70" t="str">
        <f t="shared" si="965"/>
        <v/>
      </c>
      <c r="AC2802" s="70" t="str">
        <f t="shared" si="966"/>
        <v/>
      </c>
      <c r="AD2802" s="70" t="str">
        <f t="shared" si="967"/>
        <v/>
      </c>
      <c r="AE2802" s="70" t="str">
        <f t="shared" si="968"/>
        <v/>
      </c>
      <c r="AF2802" s="16"/>
      <c r="AG2802" s="23"/>
      <c r="AH2802" s="22"/>
      <c r="AJ2802" s="83">
        <f t="shared" si="969"/>
        <v>0</v>
      </c>
      <c r="AO2802" s="22" t="str">
        <f t="shared" si="970"/>
        <v/>
      </c>
      <c r="AP2802" s="22" t="str">
        <f t="shared" si="971"/>
        <v/>
      </c>
    </row>
    <row r="2803" spans="1:42" x14ac:dyDescent="0.25">
      <c r="A2803" s="10"/>
      <c r="B2803" s="10"/>
      <c r="C2803" s="10"/>
      <c r="D2803" s="10"/>
      <c r="E2803" s="10"/>
      <c r="F2803" s="10"/>
      <c r="G2803" s="10"/>
      <c r="H2803" s="17"/>
      <c r="I2803" s="10"/>
      <c r="J2803" s="10"/>
      <c r="K2803" s="16" t="str">
        <f t="shared" si="950"/>
        <v/>
      </c>
      <c r="L2803" s="23" t="str">
        <f t="shared" si="951"/>
        <v/>
      </c>
      <c r="M2803" s="22" t="str">
        <f t="shared" si="952"/>
        <v/>
      </c>
      <c r="N2803" s="72"/>
      <c r="O2803" s="16" t="str">
        <f t="shared" si="953"/>
        <v/>
      </c>
      <c r="P2803" s="16" t="str">
        <f t="shared" si="954"/>
        <v/>
      </c>
      <c r="Q2803" s="16" t="str">
        <f t="shared" si="955"/>
        <v/>
      </c>
      <c r="R2803" s="23" t="str">
        <f t="shared" si="956"/>
        <v/>
      </c>
      <c r="S2803" s="23" t="str">
        <f t="shared" si="957"/>
        <v/>
      </c>
      <c r="T2803" s="23" t="str">
        <f t="shared" si="958"/>
        <v/>
      </c>
      <c r="U2803" s="23" t="str">
        <f t="shared" si="959"/>
        <v/>
      </c>
      <c r="V2803" s="23" t="str">
        <f t="shared" si="960"/>
        <v/>
      </c>
      <c r="W2803" s="70" t="str">
        <f t="shared" si="961"/>
        <v/>
      </c>
      <c r="X2803" s="70" t="str">
        <f t="shared" si="962"/>
        <v/>
      </c>
      <c r="Y2803" s="70" t="str">
        <f>IF(AND($A2803&lt;&gt;"",$E2803&gt;0),isLaptopBag($C2803,$J2803)*$D2803,"")</f>
        <v/>
      </c>
      <c r="Z2803" s="70" t="str">
        <f t="shared" si="963"/>
        <v/>
      </c>
      <c r="AA2803" s="70" t="str">
        <f t="shared" si="964"/>
        <v/>
      </c>
      <c r="AB2803" s="70" t="str">
        <f t="shared" si="965"/>
        <v/>
      </c>
      <c r="AC2803" s="70" t="str">
        <f t="shared" si="966"/>
        <v/>
      </c>
      <c r="AD2803" s="70" t="str">
        <f t="shared" si="967"/>
        <v/>
      </c>
      <c r="AE2803" s="70" t="str">
        <f t="shared" si="968"/>
        <v/>
      </c>
      <c r="AF2803" s="16"/>
      <c r="AG2803" s="23"/>
      <c r="AH2803" s="22"/>
      <c r="AJ2803" s="83">
        <f t="shared" si="969"/>
        <v>0</v>
      </c>
      <c r="AO2803" s="22" t="str">
        <f t="shared" si="970"/>
        <v/>
      </c>
      <c r="AP2803" s="22" t="str">
        <f t="shared" si="971"/>
        <v/>
      </c>
    </row>
    <row r="2804" spans="1:42" x14ac:dyDescent="0.25">
      <c r="A2804" s="10"/>
      <c r="B2804" s="10"/>
      <c r="C2804" s="10"/>
      <c r="D2804" s="10"/>
      <c r="E2804" s="10"/>
      <c r="F2804" s="10"/>
      <c r="G2804" s="10"/>
      <c r="H2804" s="17"/>
      <c r="I2804" s="10"/>
      <c r="J2804" s="10"/>
      <c r="K2804" s="16" t="str">
        <f t="shared" si="950"/>
        <v/>
      </c>
      <c r="L2804" s="23" t="str">
        <f t="shared" si="951"/>
        <v/>
      </c>
      <c r="M2804" s="22" t="str">
        <f t="shared" si="952"/>
        <v/>
      </c>
      <c r="N2804" s="72"/>
      <c r="O2804" s="16" t="str">
        <f t="shared" si="953"/>
        <v/>
      </c>
      <c r="P2804" s="16" t="str">
        <f t="shared" si="954"/>
        <v/>
      </c>
      <c r="Q2804" s="16" t="str">
        <f t="shared" si="955"/>
        <v/>
      </c>
      <c r="R2804" s="23" t="str">
        <f t="shared" si="956"/>
        <v/>
      </c>
      <c r="S2804" s="23" t="str">
        <f t="shared" si="957"/>
        <v/>
      </c>
      <c r="T2804" s="23" t="str">
        <f t="shared" si="958"/>
        <v/>
      </c>
      <c r="U2804" s="23" t="str">
        <f t="shared" si="959"/>
        <v/>
      </c>
      <c r="V2804" s="23" t="str">
        <f t="shared" si="960"/>
        <v/>
      </c>
      <c r="W2804" s="70" t="str">
        <f t="shared" si="961"/>
        <v/>
      </c>
      <c r="X2804" s="70" t="str">
        <f t="shared" si="962"/>
        <v/>
      </c>
      <c r="Y2804" s="70" t="str">
        <f>IF(AND($A2804&lt;&gt;"",$E2804&gt;0),isLaptopBag($C2804,$J2804)*$D2804,"")</f>
        <v/>
      </c>
      <c r="Z2804" s="70" t="str">
        <f t="shared" si="963"/>
        <v/>
      </c>
      <c r="AA2804" s="70" t="str">
        <f t="shared" si="964"/>
        <v/>
      </c>
      <c r="AB2804" s="70" t="str">
        <f t="shared" si="965"/>
        <v/>
      </c>
      <c r="AC2804" s="70" t="str">
        <f t="shared" si="966"/>
        <v/>
      </c>
      <c r="AD2804" s="70" t="str">
        <f t="shared" si="967"/>
        <v/>
      </c>
      <c r="AE2804" s="70" t="str">
        <f t="shared" si="968"/>
        <v/>
      </c>
      <c r="AF2804" s="16"/>
      <c r="AG2804" s="23"/>
      <c r="AH2804" s="22"/>
      <c r="AJ2804" s="83">
        <f t="shared" si="969"/>
        <v>0</v>
      </c>
      <c r="AO2804" s="22" t="str">
        <f t="shared" si="970"/>
        <v/>
      </c>
      <c r="AP2804" s="22" t="str">
        <f t="shared" si="971"/>
        <v/>
      </c>
    </row>
    <row r="2805" spans="1:42" x14ac:dyDescent="0.25">
      <c r="A2805" s="10"/>
      <c r="B2805" s="10"/>
      <c r="C2805" s="10"/>
      <c r="D2805" s="10"/>
      <c r="E2805" s="10"/>
      <c r="F2805" s="10"/>
      <c r="G2805" s="10"/>
      <c r="H2805" s="17"/>
      <c r="I2805" s="10"/>
      <c r="J2805" s="10"/>
      <c r="K2805" s="16" t="str">
        <f t="shared" si="950"/>
        <v/>
      </c>
      <c r="L2805" s="23" t="str">
        <f t="shared" si="951"/>
        <v/>
      </c>
      <c r="M2805" s="22" t="str">
        <f t="shared" si="952"/>
        <v/>
      </c>
      <c r="N2805" s="72"/>
      <c r="O2805" s="16" t="str">
        <f t="shared" si="953"/>
        <v/>
      </c>
      <c r="P2805" s="16" t="str">
        <f t="shared" si="954"/>
        <v/>
      </c>
      <c r="Q2805" s="16" t="str">
        <f t="shared" si="955"/>
        <v/>
      </c>
      <c r="R2805" s="23" t="str">
        <f t="shared" si="956"/>
        <v/>
      </c>
      <c r="S2805" s="23" t="str">
        <f t="shared" si="957"/>
        <v/>
      </c>
      <c r="T2805" s="23" t="str">
        <f t="shared" si="958"/>
        <v/>
      </c>
      <c r="U2805" s="23" t="str">
        <f t="shared" si="959"/>
        <v/>
      </c>
      <c r="V2805" s="23" t="str">
        <f t="shared" si="960"/>
        <v/>
      </c>
      <c r="W2805" s="70" t="str">
        <f t="shared" si="961"/>
        <v/>
      </c>
      <c r="X2805" s="70" t="str">
        <f t="shared" si="962"/>
        <v/>
      </c>
      <c r="Y2805" s="70" t="str">
        <f>IF(AND($A2805&lt;&gt;"",$E2805&gt;0),isLaptopBag($C2805,$J2805)*$D2805,"")</f>
        <v/>
      </c>
      <c r="Z2805" s="70" t="str">
        <f t="shared" si="963"/>
        <v/>
      </c>
      <c r="AA2805" s="70" t="str">
        <f t="shared" si="964"/>
        <v/>
      </c>
      <c r="AB2805" s="70" t="str">
        <f t="shared" si="965"/>
        <v/>
      </c>
      <c r="AC2805" s="70" t="str">
        <f t="shared" si="966"/>
        <v/>
      </c>
      <c r="AD2805" s="70" t="str">
        <f t="shared" si="967"/>
        <v/>
      </c>
      <c r="AE2805" s="70" t="str">
        <f t="shared" si="968"/>
        <v/>
      </c>
      <c r="AF2805" s="16"/>
      <c r="AG2805" s="23"/>
      <c r="AH2805" s="22"/>
      <c r="AJ2805" s="83">
        <f t="shared" si="969"/>
        <v>0</v>
      </c>
      <c r="AO2805" s="22" t="str">
        <f t="shared" si="970"/>
        <v/>
      </c>
      <c r="AP2805" s="22" t="str">
        <f t="shared" si="971"/>
        <v/>
      </c>
    </row>
    <row r="2806" spans="1:42" x14ac:dyDescent="0.25">
      <c r="A2806" s="10"/>
      <c r="B2806" s="10"/>
      <c r="C2806" s="10"/>
      <c r="D2806" s="10"/>
      <c r="E2806" s="10"/>
      <c r="F2806" s="10"/>
      <c r="G2806" s="10"/>
      <c r="H2806" s="17"/>
      <c r="I2806" s="10"/>
      <c r="J2806" s="10"/>
      <c r="K2806" s="16" t="str">
        <f t="shared" si="950"/>
        <v/>
      </c>
      <c r="L2806" s="23" t="str">
        <f t="shared" si="951"/>
        <v/>
      </c>
      <c r="M2806" s="22" t="str">
        <f t="shared" si="952"/>
        <v/>
      </c>
      <c r="N2806" s="72"/>
      <c r="O2806" s="16" t="str">
        <f t="shared" si="953"/>
        <v/>
      </c>
      <c r="P2806" s="16" t="str">
        <f t="shared" si="954"/>
        <v/>
      </c>
      <c r="Q2806" s="16" t="str">
        <f t="shared" si="955"/>
        <v/>
      </c>
      <c r="R2806" s="23" t="str">
        <f t="shared" si="956"/>
        <v/>
      </c>
      <c r="S2806" s="23" t="str">
        <f t="shared" si="957"/>
        <v/>
      </c>
      <c r="T2806" s="23" t="str">
        <f t="shared" si="958"/>
        <v/>
      </c>
      <c r="U2806" s="23" t="str">
        <f t="shared" si="959"/>
        <v/>
      </c>
      <c r="V2806" s="23" t="str">
        <f t="shared" si="960"/>
        <v/>
      </c>
      <c r="W2806" s="70" t="str">
        <f t="shared" si="961"/>
        <v/>
      </c>
      <c r="X2806" s="70" t="str">
        <f t="shared" si="962"/>
        <v/>
      </c>
      <c r="Y2806" s="70" t="str">
        <f>IF(AND($A2806&lt;&gt;"",$E2806&gt;0),isLaptopBag($C2806,$J2806)*$D2806,"")</f>
        <v/>
      </c>
      <c r="Z2806" s="70" t="str">
        <f t="shared" si="963"/>
        <v/>
      </c>
      <c r="AA2806" s="70" t="str">
        <f t="shared" si="964"/>
        <v/>
      </c>
      <c r="AB2806" s="70" t="str">
        <f t="shared" si="965"/>
        <v/>
      </c>
      <c r="AC2806" s="70" t="str">
        <f t="shared" si="966"/>
        <v/>
      </c>
      <c r="AD2806" s="70" t="str">
        <f t="shared" si="967"/>
        <v/>
      </c>
      <c r="AE2806" s="70" t="str">
        <f t="shared" si="968"/>
        <v/>
      </c>
      <c r="AF2806" s="16"/>
      <c r="AG2806" s="23"/>
      <c r="AH2806" s="22"/>
      <c r="AJ2806" s="83">
        <f t="shared" si="969"/>
        <v>0</v>
      </c>
      <c r="AO2806" s="22" t="str">
        <f t="shared" si="970"/>
        <v/>
      </c>
      <c r="AP2806" s="22" t="str">
        <f t="shared" si="971"/>
        <v/>
      </c>
    </row>
    <row r="2807" spans="1:42" x14ac:dyDescent="0.25">
      <c r="A2807" s="10"/>
      <c r="B2807" s="10"/>
      <c r="C2807" s="10"/>
      <c r="D2807" s="10"/>
      <c r="E2807" s="10"/>
      <c r="F2807" s="10"/>
      <c r="G2807" s="10"/>
      <c r="H2807" s="17"/>
      <c r="I2807" s="10"/>
      <c r="J2807" s="10"/>
      <c r="K2807" s="16" t="str">
        <f t="shared" si="950"/>
        <v/>
      </c>
      <c r="L2807" s="23" t="str">
        <f t="shared" si="951"/>
        <v/>
      </c>
      <c r="M2807" s="22" t="str">
        <f t="shared" si="952"/>
        <v/>
      </c>
      <c r="N2807" s="72"/>
      <c r="O2807" s="16" t="str">
        <f t="shared" si="953"/>
        <v/>
      </c>
      <c r="P2807" s="16" t="str">
        <f t="shared" si="954"/>
        <v/>
      </c>
      <c r="Q2807" s="16" t="str">
        <f t="shared" si="955"/>
        <v/>
      </c>
      <c r="R2807" s="23" t="str">
        <f t="shared" si="956"/>
        <v/>
      </c>
      <c r="S2807" s="23" t="str">
        <f t="shared" si="957"/>
        <v/>
      </c>
      <c r="T2807" s="23" t="str">
        <f t="shared" si="958"/>
        <v/>
      </c>
      <c r="U2807" s="23" t="str">
        <f t="shared" si="959"/>
        <v/>
      </c>
      <c r="V2807" s="23" t="str">
        <f t="shared" si="960"/>
        <v/>
      </c>
      <c r="W2807" s="70" t="str">
        <f t="shared" si="961"/>
        <v/>
      </c>
      <c r="X2807" s="70" t="str">
        <f t="shared" si="962"/>
        <v/>
      </c>
      <c r="Y2807" s="70" t="str">
        <f>IF(AND($A2807&lt;&gt;"",$E2807&gt;0),isLaptopBag($C2807,$J2807)*$D2807,"")</f>
        <v/>
      </c>
      <c r="Z2807" s="70" t="str">
        <f t="shared" si="963"/>
        <v/>
      </c>
      <c r="AA2807" s="70" t="str">
        <f t="shared" si="964"/>
        <v/>
      </c>
      <c r="AB2807" s="70" t="str">
        <f t="shared" si="965"/>
        <v/>
      </c>
      <c r="AC2807" s="70" t="str">
        <f t="shared" si="966"/>
        <v/>
      </c>
      <c r="AD2807" s="70" t="str">
        <f t="shared" si="967"/>
        <v/>
      </c>
      <c r="AE2807" s="70" t="str">
        <f t="shared" si="968"/>
        <v/>
      </c>
      <c r="AF2807" s="16"/>
      <c r="AG2807" s="23"/>
      <c r="AH2807" s="22"/>
      <c r="AJ2807" s="83">
        <f t="shared" si="969"/>
        <v>0</v>
      </c>
      <c r="AO2807" s="22" t="str">
        <f t="shared" si="970"/>
        <v/>
      </c>
      <c r="AP2807" s="22" t="str">
        <f t="shared" si="971"/>
        <v/>
      </c>
    </row>
    <row r="2808" spans="1:42" x14ac:dyDescent="0.25">
      <c r="A2808" s="10"/>
      <c r="B2808" s="10"/>
      <c r="C2808" s="10"/>
      <c r="D2808" s="10"/>
      <c r="E2808" s="10"/>
      <c r="F2808" s="10"/>
      <c r="G2808" s="10"/>
      <c r="H2808" s="17"/>
      <c r="I2808" s="10"/>
      <c r="J2808" s="10"/>
      <c r="K2808" s="16" t="str">
        <f t="shared" si="950"/>
        <v/>
      </c>
      <c r="L2808" s="23" t="str">
        <f t="shared" si="951"/>
        <v/>
      </c>
      <c r="M2808" s="22" t="str">
        <f t="shared" si="952"/>
        <v/>
      </c>
      <c r="N2808" s="72"/>
      <c r="O2808" s="16" t="str">
        <f t="shared" si="953"/>
        <v/>
      </c>
      <c r="P2808" s="16" t="str">
        <f t="shared" si="954"/>
        <v/>
      </c>
      <c r="Q2808" s="16" t="str">
        <f t="shared" si="955"/>
        <v/>
      </c>
      <c r="R2808" s="23" t="str">
        <f t="shared" si="956"/>
        <v/>
      </c>
      <c r="S2808" s="23" t="str">
        <f t="shared" si="957"/>
        <v/>
      </c>
      <c r="T2808" s="23" t="str">
        <f t="shared" si="958"/>
        <v/>
      </c>
      <c r="U2808" s="23" t="str">
        <f t="shared" si="959"/>
        <v/>
      </c>
      <c r="V2808" s="23" t="str">
        <f t="shared" si="960"/>
        <v/>
      </c>
      <c r="W2808" s="70" t="str">
        <f t="shared" si="961"/>
        <v/>
      </c>
      <c r="X2808" s="70" t="str">
        <f t="shared" si="962"/>
        <v/>
      </c>
      <c r="Y2808" s="70" t="str">
        <f>IF(AND($A2808&lt;&gt;"",$E2808&gt;0),isLaptopBag($C2808,$J2808)*$D2808,"")</f>
        <v/>
      </c>
      <c r="Z2808" s="70" t="str">
        <f t="shared" si="963"/>
        <v/>
      </c>
      <c r="AA2808" s="70" t="str">
        <f t="shared" si="964"/>
        <v/>
      </c>
      <c r="AB2808" s="70" t="str">
        <f t="shared" si="965"/>
        <v/>
      </c>
      <c r="AC2808" s="70" t="str">
        <f t="shared" si="966"/>
        <v/>
      </c>
      <c r="AD2808" s="70" t="str">
        <f t="shared" si="967"/>
        <v/>
      </c>
      <c r="AE2808" s="70" t="str">
        <f t="shared" si="968"/>
        <v/>
      </c>
      <c r="AF2808" s="16"/>
      <c r="AG2808" s="23"/>
      <c r="AH2808" s="22"/>
      <c r="AJ2808" s="83">
        <f t="shared" si="969"/>
        <v>0</v>
      </c>
      <c r="AO2808" s="22" t="str">
        <f t="shared" si="970"/>
        <v/>
      </c>
      <c r="AP2808" s="22" t="str">
        <f t="shared" si="971"/>
        <v/>
      </c>
    </row>
    <row r="2809" spans="1:42" x14ac:dyDescent="0.25">
      <c r="A2809" s="10"/>
      <c r="B2809" s="10"/>
      <c r="C2809" s="10"/>
      <c r="D2809" s="10"/>
      <c r="E2809" s="10"/>
      <c r="F2809" s="10"/>
      <c r="G2809" s="10"/>
      <c r="H2809" s="17"/>
      <c r="I2809" s="10"/>
      <c r="J2809" s="10"/>
      <c r="K2809" s="16" t="str">
        <f t="shared" si="950"/>
        <v/>
      </c>
      <c r="L2809" s="23" t="str">
        <f t="shared" si="951"/>
        <v/>
      </c>
      <c r="M2809" s="22" t="str">
        <f t="shared" si="952"/>
        <v/>
      </c>
      <c r="N2809" s="72"/>
      <c r="O2809" s="16" t="str">
        <f t="shared" si="953"/>
        <v/>
      </c>
      <c r="P2809" s="16" t="str">
        <f t="shared" si="954"/>
        <v/>
      </c>
      <c r="Q2809" s="16" t="str">
        <f t="shared" si="955"/>
        <v/>
      </c>
      <c r="R2809" s="23" t="str">
        <f t="shared" si="956"/>
        <v/>
      </c>
      <c r="S2809" s="23" t="str">
        <f t="shared" si="957"/>
        <v/>
      </c>
      <c r="T2809" s="23" t="str">
        <f t="shared" si="958"/>
        <v/>
      </c>
      <c r="U2809" s="23" t="str">
        <f t="shared" si="959"/>
        <v/>
      </c>
      <c r="V2809" s="23" t="str">
        <f t="shared" si="960"/>
        <v/>
      </c>
      <c r="W2809" s="70" t="str">
        <f t="shared" si="961"/>
        <v/>
      </c>
      <c r="X2809" s="70" t="str">
        <f t="shared" si="962"/>
        <v/>
      </c>
      <c r="Y2809" s="70" t="str">
        <f>IF(AND($A2809&lt;&gt;"",$E2809&gt;0),isLaptopBag($C2809,$J2809)*$D2809,"")</f>
        <v/>
      </c>
      <c r="Z2809" s="70" t="str">
        <f t="shared" si="963"/>
        <v/>
      </c>
      <c r="AA2809" s="70" t="str">
        <f t="shared" si="964"/>
        <v/>
      </c>
      <c r="AB2809" s="70" t="str">
        <f t="shared" si="965"/>
        <v/>
      </c>
      <c r="AC2809" s="70" t="str">
        <f t="shared" si="966"/>
        <v/>
      </c>
      <c r="AD2809" s="70" t="str">
        <f t="shared" si="967"/>
        <v/>
      </c>
      <c r="AE2809" s="70" t="str">
        <f t="shared" si="968"/>
        <v/>
      </c>
      <c r="AF2809" s="16"/>
      <c r="AG2809" s="23"/>
      <c r="AH2809" s="22"/>
      <c r="AJ2809" s="83">
        <f t="shared" si="969"/>
        <v>0</v>
      </c>
      <c r="AO2809" s="22" t="str">
        <f t="shared" si="970"/>
        <v/>
      </c>
      <c r="AP2809" s="22" t="str">
        <f t="shared" si="971"/>
        <v/>
      </c>
    </row>
    <row r="2810" spans="1:42" x14ac:dyDescent="0.25">
      <c r="A2810" s="10"/>
      <c r="B2810" s="10"/>
      <c r="C2810" s="10"/>
      <c r="D2810" s="10"/>
      <c r="E2810" s="10"/>
      <c r="F2810" s="10"/>
      <c r="G2810" s="10"/>
      <c r="H2810" s="17"/>
      <c r="I2810" s="10"/>
      <c r="J2810" s="10"/>
      <c r="K2810" s="16" t="str">
        <f t="shared" si="950"/>
        <v/>
      </c>
      <c r="L2810" s="23" t="str">
        <f t="shared" si="951"/>
        <v/>
      </c>
      <c r="M2810" s="22" t="str">
        <f t="shared" si="952"/>
        <v/>
      </c>
      <c r="N2810" s="72"/>
      <c r="O2810" s="16" t="str">
        <f t="shared" si="953"/>
        <v/>
      </c>
      <c r="P2810" s="16" t="str">
        <f t="shared" si="954"/>
        <v/>
      </c>
      <c r="Q2810" s="16" t="str">
        <f t="shared" si="955"/>
        <v/>
      </c>
      <c r="R2810" s="23" t="str">
        <f t="shared" si="956"/>
        <v/>
      </c>
      <c r="S2810" s="23" t="str">
        <f t="shared" si="957"/>
        <v/>
      </c>
      <c r="T2810" s="23" t="str">
        <f t="shared" si="958"/>
        <v/>
      </c>
      <c r="U2810" s="23" t="str">
        <f t="shared" si="959"/>
        <v/>
      </c>
      <c r="V2810" s="23" t="str">
        <f t="shared" si="960"/>
        <v/>
      </c>
      <c r="W2810" s="70" t="str">
        <f t="shared" si="961"/>
        <v/>
      </c>
      <c r="X2810" s="70" t="str">
        <f t="shared" si="962"/>
        <v/>
      </c>
      <c r="Y2810" s="70" t="str">
        <f>IF(AND($A2810&lt;&gt;"",$E2810&gt;0),isLaptopBag($C2810,$J2810)*$D2810,"")</f>
        <v/>
      </c>
      <c r="Z2810" s="70" t="str">
        <f t="shared" si="963"/>
        <v/>
      </c>
      <c r="AA2810" s="70" t="str">
        <f t="shared" si="964"/>
        <v/>
      </c>
      <c r="AB2810" s="70" t="str">
        <f t="shared" si="965"/>
        <v/>
      </c>
      <c r="AC2810" s="70" t="str">
        <f t="shared" si="966"/>
        <v/>
      </c>
      <c r="AD2810" s="70" t="str">
        <f t="shared" si="967"/>
        <v/>
      </c>
      <c r="AE2810" s="70" t="str">
        <f t="shared" si="968"/>
        <v/>
      </c>
      <c r="AF2810" s="16"/>
      <c r="AG2810" s="23"/>
      <c r="AH2810" s="22"/>
      <c r="AJ2810" s="83">
        <f t="shared" si="969"/>
        <v>0</v>
      </c>
      <c r="AO2810" s="22" t="str">
        <f t="shared" si="970"/>
        <v/>
      </c>
      <c r="AP2810" s="22" t="str">
        <f t="shared" si="971"/>
        <v/>
      </c>
    </row>
    <row r="2811" spans="1:42" x14ac:dyDescent="0.25">
      <c r="A2811" s="10"/>
      <c r="B2811" s="10"/>
      <c r="C2811" s="10"/>
      <c r="D2811" s="10"/>
      <c r="E2811" s="10"/>
      <c r="F2811" s="10"/>
      <c r="G2811" s="10"/>
      <c r="H2811" s="17"/>
      <c r="I2811" s="10"/>
      <c r="J2811" s="10"/>
      <c r="K2811" s="16" t="str">
        <f t="shared" si="950"/>
        <v/>
      </c>
      <c r="L2811" s="23" t="str">
        <f t="shared" si="951"/>
        <v/>
      </c>
      <c r="M2811" s="22" t="str">
        <f t="shared" si="952"/>
        <v/>
      </c>
      <c r="N2811" s="72"/>
      <c r="O2811" s="16" t="str">
        <f t="shared" si="953"/>
        <v/>
      </c>
      <c r="P2811" s="16" t="str">
        <f t="shared" si="954"/>
        <v/>
      </c>
      <c r="Q2811" s="16" t="str">
        <f t="shared" si="955"/>
        <v/>
      </c>
      <c r="R2811" s="23" t="str">
        <f t="shared" si="956"/>
        <v/>
      </c>
      <c r="S2811" s="23" t="str">
        <f t="shared" si="957"/>
        <v/>
      </c>
      <c r="T2811" s="23" t="str">
        <f t="shared" si="958"/>
        <v/>
      </c>
      <c r="U2811" s="23" t="str">
        <f t="shared" si="959"/>
        <v/>
      </c>
      <c r="V2811" s="23" t="str">
        <f t="shared" si="960"/>
        <v/>
      </c>
      <c r="W2811" s="70" t="str">
        <f t="shared" si="961"/>
        <v/>
      </c>
      <c r="X2811" s="70" t="str">
        <f t="shared" si="962"/>
        <v/>
      </c>
      <c r="Y2811" s="70" t="str">
        <f>IF(AND($A2811&lt;&gt;"",$E2811&gt;0),isLaptopBag($C2811,$J2811)*$D2811,"")</f>
        <v/>
      </c>
      <c r="Z2811" s="70" t="str">
        <f t="shared" si="963"/>
        <v/>
      </c>
      <c r="AA2811" s="70" t="str">
        <f t="shared" si="964"/>
        <v/>
      </c>
      <c r="AB2811" s="70" t="str">
        <f t="shared" si="965"/>
        <v/>
      </c>
      <c r="AC2811" s="70" t="str">
        <f t="shared" si="966"/>
        <v/>
      </c>
      <c r="AD2811" s="70" t="str">
        <f t="shared" si="967"/>
        <v/>
      </c>
      <c r="AE2811" s="70" t="str">
        <f t="shared" si="968"/>
        <v/>
      </c>
      <c r="AF2811" s="16"/>
      <c r="AG2811" s="23"/>
      <c r="AH2811" s="22"/>
      <c r="AJ2811" s="83">
        <f t="shared" si="969"/>
        <v>0</v>
      </c>
      <c r="AO2811" s="22" t="str">
        <f t="shared" si="970"/>
        <v/>
      </c>
      <c r="AP2811" s="22" t="str">
        <f t="shared" si="971"/>
        <v/>
      </c>
    </row>
    <row r="2812" spans="1:42" x14ac:dyDescent="0.25">
      <c r="A2812" s="10"/>
      <c r="B2812" s="10"/>
      <c r="C2812" s="10"/>
      <c r="D2812" s="10"/>
      <c r="E2812" s="10"/>
      <c r="F2812" s="10"/>
      <c r="G2812" s="10"/>
      <c r="H2812" s="17"/>
      <c r="I2812" s="10"/>
      <c r="J2812" s="10"/>
      <c r="K2812" s="16" t="str">
        <f t="shared" si="950"/>
        <v/>
      </c>
      <c r="L2812" s="23" t="str">
        <f t="shared" si="951"/>
        <v/>
      </c>
      <c r="M2812" s="22" t="str">
        <f t="shared" si="952"/>
        <v/>
      </c>
      <c r="N2812" s="72"/>
      <c r="O2812" s="16" t="str">
        <f t="shared" si="953"/>
        <v/>
      </c>
      <c r="P2812" s="16" t="str">
        <f t="shared" si="954"/>
        <v/>
      </c>
      <c r="Q2812" s="16" t="str">
        <f t="shared" si="955"/>
        <v/>
      </c>
      <c r="R2812" s="23" t="str">
        <f t="shared" si="956"/>
        <v/>
      </c>
      <c r="S2812" s="23" t="str">
        <f t="shared" si="957"/>
        <v/>
      </c>
      <c r="T2812" s="23" t="str">
        <f t="shared" si="958"/>
        <v/>
      </c>
      <c r="U2812" s="23" t="str">
        <f t="shared" si="959"/>
        <v/>
      </c>
      <c r="V2812" s="23" t="str">
        <f t="shared" si="960"/>
        <v/>
      </c>
      <c r="W2812" s="70" t="str">
        <f t="shared" si="961"/>
        <v/>
      </c>
      <c r="X2812" s="70" t="str">
        <f t="shared" si="962"/>
        <v/>
      </c>
      <c r="Y2812" s="70" t="str">
        <f>IF(AND($A2812&lt;&gt;"",$E2812&gt;0),isLaptopBag($C2812,$J2812)*$D2812,"")</f>
        <v/>
      </c>
      <c r="Z2812" s="70" t="str">
        <f t="shared" si="963"/>
        <v/>
      </c>
      <c r="AA2812" s="70" t="str">
        <f t="shared" si="964"/>
        <v/>
      </c>
      <c r="AB2812" s="70" t="str">
        <f t="shared" si="965"/>
        <v/>
      </c>
      <c r="AC2812" s="70" t="str">
        <f t="shared" si="966"/>
        <v/>
      </c>
      <c r="AD2812" s="70" t="str">
        <f t="shared" si="967"/>
        <v/>
      </c>
      <c r="AE2812" s="70" t="str">
        <f t="shared" si="968"/>
        <v/>
      </c>
      <c r="AF2812" s="16"/>
      <c r="AG2812" s="23"/>
      <c r="AH2812" s="22"/>
      <c r="AJ2812" s="83">
        <f t="shared" si="969"/>
        <v>0</v>
      </c>
      <c r="AO2812" s="22" t="str">
        <f t="shared" si="970"/>
        <v/>
      </c>
      <c r="AP2812" s="22" t="str">
        <f t="shared" si="971"/>
        <v/>
      </c>
    </row>
    <row r="2813" spans="1:42" x14ac:dyDescent="0.25">
      <c r="A2813" s="10"/>
      <c r="B2813" s="10"/>
      <c r="C2813" s="10"/>
      <c r="D2813" s="10"/>
      <c r="E2813" s="10"/>
      <c r="F2813" s="10"/>
      <c r="G2813" s="10"/>
      <c r="H2813" s="17"/>
      <c r="I2813" s="10"/>
      <c r="J2813" s="10"/>
      <c r="K2813" s="16" t="str">
        <f t="shared" si="950"/>
        <v/>
      </c>
      <c r="L2813" s="23" t="str">
        <f t="shared" si="951"/>
        <v/>
      </c>
      <c r="M2813" s="22" t="str">
        <f t="shared" si="952"/>
        <v/>
      </c>
      <c r="N2813" s="72"/>
      <c r="O2813" s="16" t="str">
        <f t="shared" si="953"/>
        <v/>
      </c>
      <c r="P2813" s="16" t="str">
        <f t="shared" si="954"/>
        <v/>
      </c>
      <c r="Q2813" s="16" t="str">
        <f t="shared" si="955"/>
        <v/>
      </c>
      <c r="R2813" s="23" t="str">
        <f t="shared" si="956"/>
        <v/>
      </c>
      <c r="S2813" s="23" t="str">
        <f t="shared" si="957"/>
        <v/>
      </c>
      <c r="T2813" s="23" t="str">
        <f t="shared" si="958"/>
        <v/>
      </c>
      <c r="U2813" s="23" t="str">
        <f t="shared" si="959"/>
        <v/>
      </c>
      <c r="V2813" s="23" t="str">
        <f t="shared" si="960"/>
        <v/>
      </c>
      <c r="W2813" s="70" t="str">
        <f t="shared" si="961"/>
        <v/>
      </c>
      <c r="X2813" s="70" t="str">
        <f t="shared" si="962"/>
        <v/>
      </c>
      <c r="Y2813" s="70" t="str">
        <f>IF(AND($A2813&lt;&gt;"",$E2813&gt;0),isLaptopBag($C2813,$J2813)*$D2813,"")</f>
        <v/>
      </c>
      <c r="Z2813" s="70" t="str">
        <f t="shared" si="963"/>
        <v/>
      </c>
      <c r="AA2813" s="70" t="str">
        <f t="shared" si="964"/>
        <v/>
      </c>
      <c r="AB2813" s="70" t="str">
        <f t="shared" si="965"/>
        <v/>
      </c>
      <c r="AC2813" s="70" t="str">
        <f t="shared" si="966"/>
        <v/>
      </c>
      <c r="AD2813" s="70" t="str">
        <f t="shared" si="967"/>
        <v/>
      </c>
      <c r="AE2813" s="70" t="str">
        <f t="shared" si="968"/>
        <v/>
      </c>
      <c r="AF2813" s="16"/>
      <c r="AG2813" s="23"/>
      <c r="AH2813" s="22"/>
      <c r="AJ2813" s="83">
        <f t="shared" si="969"/>
        <v>0</v>
      </c>
      <c r="AO2813" s="22" t="str">
        <f t="shared" si="970"/>
        <v/>
      </c>
      <c r="AP2813" s="22" t="str">
        <f t="shared" si="971"/>
        <v/>
      </c>
    </row>
    <row r="2814" spans="1:42" x14ac:dyDescent="0.25">
      <c r="A2814" s="10"/>
      <c r="B2814" s="10"/>
      <c r="C2814" s="10"/>
      <c r="D2814" s="10"/>
      <c r="E2814" s="10"/>
      <c r="F2814" s="10"/>
      <c r="G2814" s="10"/>
      <c r="H2814" s="17"/>
      <c r="I2814" s="10"/>
      <c r="J2814" s="10"/>
      <c r="K2814" s="16" t="str">
        <f t="shared" si="950"/>
        <v/>
      </c>
      <c r="L2814" s="23" t="str">
        <f t="shared" si="951"/>
        <v/>
      </c>
      <c r="M2814" s="22" t="str">
        <f t="shared" si="952"/>
        <v/>
      </c>
      <c r="N2814" s="72"/>
      <c r="O2814" s="16" t="str">
        <f t="shared" si="953"/>
        <v/>
      </c>
      <c r="P2814" s="16" t="str">
        <f t="shared" si="954"/>
        <v/>
      </c>
      <c r="Q2814" s="16" t="str">
        <f t="shared" si="955"/>
        <v/>
      </c>
      <c r="R2814" s="23" t="str">
        <f t="shared" si="956"/>
        <v/>
      </c>
      <c r="S2814" s="23" t="str">
        <f t="shared" si="957"/>
        <v/>
      </c>
      <c r="T2814" s="23" t="str">
        <f t="shared" si="958"/>
        <v/>
      </c>
      <c r="U2814" s="23" t="str">
        <f t="shared" si="959"/>
        <v/>
      </c>
      <c r="V2814" s="23" t="str">
        <f t="shared" si="960"/>
        <v/>
      </c>
      <c r="W2814" s="70" t="str">
        <f t="shared" si="961"/>
        <v/>
      </c>
      <c r="X2814" s="70" t="str">
        <f t="shared" si="962"/>
        <v/>
      </c>
      <c r="Y2814" s="70" t="str">
        <f>IF(AND($A2814&lt;&gt;"",$E2814&gt;0),isLaptopBag($C2814,$J2814)*$D2814,"")</f>
        <v/>
      </c>
      <c r="Z2814" s="70" t="str">
        <f t="shared" si="963"/>
        <v/>
      </c>
      <c r="AA2814" s="70" t="str">
        <f t="shared" si="964"/>
        <v/>
      </c>
      <c r="AB2814" s="70" t="str">
        <f t="shared" si="965"/>
        <v/>
      </c>
      <c r="AC2814" s="70" t="str">
        <f t="shared" si="966"/>
        <v/>
      </c>
      <c r="AD2814" s="70" t="str">
        <f t="shared" si="967"/>
        <v/>
      </c>
      <c r="AE2814" s="70" t="str">
        <f t="shared" si="968"/>
        <v/>
      </c>
      <c r="AF2814" s="16"/>
      <c r="AG2814" s="23"/>
      <c r="AH2814" s="22"/>
      <c r="AJ2814" s="83">
        <f t="shared" si="969"/>
        <v>0</v>
      </c>
      <c r="AO2814" s="22" t="str">
        <f t="shared" si="970"/>
        <v/>
      </c>
      <c r="AP2814" s="22" t="str">
        <f t="shared" si="971"/>
        <v/>
      </c>
    </row>
    <row r="2815" spans="1:42" x14ac:dyDescent="0.25">
      <c r="A2815" s="10"/>
      <c r="B2815" s="10"/>
      <c r="C2815" s="10"/>
      <c r="D2815" s="10"/>
      <c r="E2815" s="10"/>
      <c r="F2815" s="10"/>
      <c r="G2815" s="10"/>
      <c r="H2815" s="17"/>
      <c r="I2815" s="10"/>
      <c r="J2815" s="10"/>
      <c r="K2815" s="16" t="str">
        <f t="shared" si="950"/>
        <v/>
      </c>
      <c r="L2815" s="23" t="str">
        <f t="shared" si="951"/>
        <v/>
      </c>
      <c r="M2815" s="22" t="str">
        <f t="shared" si="952"/>
        <v/>
      </c>
      <c r="N2815" s="72"/>
      <c r="O2815" s="16" t="str">
        <f t="shared" si="953"/>
        <v/>
      </c>
      <c r="P2815" s="16" t="str">
        <f t="shared" si="954"/>
        <v/>
      </c>
      <c r="Q2815" s="16" t="str">
        <f t="shared" si="955"/>
        <v/>
      </c>
      <c r="R2815" s="23" t="str">
        <f t="shared" si="956"/>
        <v/>
      </c>
      <c r="S2815" s="23" t="str">
        <f t="shared" si="957"/>
        <v/>
      </c>
      <c r="T2815" s="23" t="str">
        <f t="shared" si="958"/>
        <v/>
      </c>
      <c r="U2815" s="23" t="str">
        <f t="shared" si="959"/>
        <v/>
      </c>
      <c r="V2815" s="23" t="str">
        <f t="shared" si="960"/>
        <v/>
      </c>
      <c r="W2815" s="70" t="str">
        <f t="shared" si="961"/>
        <v/>
      </c>
      <c r="X2815" s="70" t="str">
        <f t="shared" si="962"/>
        <v/>
      </c>
      <c r="Y2815" s="70" t="str">
        <f>IF(AND($A2815&lt;&gt;"",$E2815&gt;0),isLaptopBag($C2815,$J2815)*$D2815,"")</f>
        <v/>
      </c>
      <c r="Z2815" s="70" t="str">
        <f t="shared" si="963"/>
        <v/>
      </c>
      <c r="AA2815" s="70" t="str">
        <f t="shared" si="964"/>
        <v/>
      </c>
      <c r="AB2815" s="70" t="str">
        <f t="shared" si="965"/>
        <v/>
      </c>
      <c r="AC2815" s="70" t="str">
        <f t="shared" si="966"/>
        <v/>
      </c>
      <c r="AD2815" s="70" t="str">
        <f t="shared" si="967"/>
        <v/>
      </c>
      <c r="AE2815" s="70" t="str">
        <f t="shared" si="968"/>
        <v/>
      </c>
      <c r="AF2815" s="16"/>
      <c r="AG2815" s="23"/>
      <c r="AH2815" s="22"/>
      <c r="AJ2815" s="83">
        <f t="shared" si="969"/>
        <v>0</v>
      </c>
      <c r="AO2815" s="22" t="str">
        <f t="shared" si="970"/>
        <v/>
      </c>
      <c r="AP2815" s="22" t="str">
        <f t="shared" si="971"/>
        <v/>
      </c>
    </row>
    <row r="2816" spans="1:42" x14ac:dyDescent="0.25">
      <c r="A2816" s="10"/>
      <c r="B2816" s="10"/>
      <c r="C2816" s="10"/>
      <c r="D2816" s="10"/>
      <c r="E2816" s="10"/>
      <c r="F2816" s="10"/>
      <c r="G2816" s="10"/>
      <c r="H2816" s="17"/>
      <c r="I2816" s="10"/>
      <c r="J2816" s="10"/>
      <c r="K2816" s="16" t="str">
        <f t="shared" si="950"/>
        <v/>
      </c>
      <c r="L2816" s="23" t="str">
        <f t="shared" si="951"/>
        <v/>
      </c>
      <c r="M2816" s="22" t="str">
        <f t="shared" si="952"/>
        <v/>
      </c>
      <c r="N2816" s="72"/>
      <c r="O2816" s="16" t="str">
        <f t="shared" si="953"/>
        <v/>
      </c>
      <c r="P2816" s="16" t="str">
        <f t="shared" si="954"/>
        <v/>
      </c>
      <c r="Q2816" s="16" t="str">
        <f t="shared" si="955"/>
        <v/>
      </c>
      <c r="R2816" s="23" t="str">
        <f t="shared" si="956"/>
        <v/>
      </c>
      <c r="S2816" s="23" t="str">
        <f t="shared" si="957"/>
        <v/>
      </c>
      <c r="T2816" s="23" t="str">
        <f t="shared" si="958"/>
        <v/>
      </c>
      <c r="U2816" s="23" t="str">
        <f t="shared" si="959"/>
        <v/>
      </c>
      <c r="V2816" s="23" t="str">
        <f t="shared" si="960"/>
        <v/>
      </c>
      <c r="W2816" s="70" t="str">
        <f t="shared" si="961"/>
        <v/>
      </c>
      <c r="X2816" s="70" t="str">
        <f t="shared" si="962"/>
        <v/>
      </c>
      <c r="Y2816" s="70" t="str">
        <f>IF(AND($A2816&lt;&gt;"",$E2816&gt;0),isLaptopBag($C2816,$J2816)*$D2816,"")</f>
        <v/>
      </c>
      <c r="Z2816" s="70" t="str">
        <f t="shared" si="963"/>
        <v/>
      </c>
      <c r="AA2816" s="70" t="str">
        <f t="shared" si="964"/>
        <v/>
      </c>
      <c r="AB2816" s="70" t="str">
        <f t="shared" si="965"/>
        <v/>
      </c>
      <c r="AC2816" s="70" t="str">
        <f t="shared" si="966"/>
        <v/>
      </c>
      <c r="AD2816" s="70" t="str">
        <f t="shared" si="967"/>
        <v/>
      </c>
      <c r="AE2816" s="70" t="str">
        <f t="shared" si="968"/>
        <v/>
      </c>
      <c r="AF2816" s="16"/>
      <c r="AG2816" s="23"/>
      <c r="AH2816" s="22"/>
      <c r="AJ2816" s="83">
        <f t="shared" si="969"/>
        <v>0</v>
      </c>
      <c r="AO2816" s="22" t="str">
        <f t="shared" si="970"/>
        <v/>
      </c>
      <c r="AP2816" s="22" t="str">
        <f t="shared" si="971"/>
        <v/>
      </c>
    </row>
    <row r="2817" spans="1:42" x14ac:dyDescent="0.25">
      <c r="A2817" s="10"/>
      <c r="B2817" s="10"/>
      <c r="C2817" s="10"/>
      <c r="D2817" s="10"/>
      <c r="E2817" s="10"/>
      <c r="F2817" s="10"/>
      <c r="G2817" s="10"/>
      <c r="H2817" s="17"/>
      <c r="I2817" s="10"/>
      <c r="J2817" s="10"/>
      <c r="K2817" s="16" t="str">
        <f t="shared" si="950"/>
        <v/>
      </c>
      <c r="L2817" s="23" t="str">
        <f t="shared" si="951"/>
        <v/>
      </c>
      <c r="M2817" s="22" t="str">
        <f t="shared" si="952"/>
        <v/>
      </c>
      <c r="N2817" s="72"/>
      <c r="O2817" s="16" t="str">
        <f t="shared" si="953"/>
        <v/>
      </c>
      <c r="P2817" s="16" t="str">
        <f t="shared" si="954"/>
        <v/>
      </c>
      <c r="Q2817" s="16" t="str">
        <f t="shared" si="955"/>
        <v/>
      </c>
      <c r="R2817" s="23" t="str">
        <f t="shared" si="956"/>
        <v/>
      </c>
      <c r="S2817" s="23" t="str">
        <f t="shared" si="957"/>
        <v/>
      </c>
      <c r="T2817" s="23" t="str">
        <f t="shared" si="958"/>
        <v/>
      </c>
      <c r="U2817" s="23" t="str">
        <f t="shared" si="959"/>
        <v/>
      </c>
      <c r="V2817" s="23" t="str">
        <f t="shared" si="960"/>
        <v/>
      </c>
      <c r="W2817" s="70" t="str">
        <f t="shared" si="961"/>
        <v/>
      </c>
      <c r="X2817" s="70" t="str">
        <f t="shared" si="962"/>
        <v/>
      </c>
      <c r="Y2817" s="70" t="str">
        <f>IF(AND($A2817&lt;&gt;"",$E2817&gt;0),isLaptopBag($C2817,$J2817)*$D2817,"")</f>
        <v/>
      </c>
      <c r="Z2817" s="70" t="str">
        <f t="shared" si="963"/>
        <v/>
      </c>
      <c r="AA2817" s="70" t="str">
        <f t="shared" si="964"/>
        <v/>
      </c>
      <c r="AB2817" s="70" t="str">
        <f t="shared" si="965"/>
        <v/>
      </c>
      <c r="AC2817" s="70" t="str">
        <f t="shared" si="966"/>
        <v/>
      </c>
      <c r="AD2817" s="70" t="str">
        <f t="shared" si="967"/>
        <v/>
      </c>
      <c r="AE2817" s="70" t="str">
        <f t="shared" si="968"/>
        <v/>
      </c>
      <c r="AF2817" s="16"/>
      <c r="AG2817" s="23"/>
      <c r="AH2817" s="22"/>
      <c r="AJ2817" s="83">
        <f t="shared" si="969"/>
        <v>0</v>
      </c>
      <c r="AO2817" s="22" t="str">
        <f t="shared" si="970"/>
        <v/>
      </c>
      <c r="AP2817" s="22" t="str">
        <f t="shared" si="971"/>
        <v/>
      </c>
    </row>
    <row r="2818" spans="1:42" x14ac:dyDescent="0.25">
      <c r="A2818" s="10"/>
      <c r="B2818" s="10"/>
      <c r="C2818" s="10"/>
      <c r="D2818" s="10"/>
      <c r="E2818" s="10"/>
      <c r="F2818" s="10"/>
      <c r="G2818" s="10"/>
      <c r="H2818" s="17"/>
      <c r="I2818" s="10"/>
      <c r="J2818" s="10"/>
      <c r="K2818" s="16" t="str">
        <f t="shared" si="950"/>
        <v/>
      </c>
      <c r="L2818" s="23" t="str">
        <f t="shared" si="951"/>
        <v/>
      </c>
      <c r="M2818" s="22" t="str">
        <f t="shared" si="952"/>
        <v/>
      </c>
      <c r="N2818" s="72"/>
      <c r="O2818" s="16" t="str">
        <f t="shared" si="953"/>
        <v/>
      </c>
      <c r="P2818" s="16" t="str">
        <f t="shared" si="954"/>
        <v/>
      </c>
      <c r="Q2818" s="16" t="str">
        <f t="shared" si="955"/>
        <v/>
      </c>
      <c r="R2818" s="23" t="str">
        <f t="shared" si="956"/>
        <v/>
      </c>
      <c r="S2818" s="23" t="str">
        <f t="shared" si="957"/>
        <v/>
      </c>
      <c r="T2818" s="23" t="str">
        <f t="shared" si="958"/>
        <v/>
      </c>
      <c r="U2818" s="23" t="str">
        <f t="shared" si="959"/>
        <v/>
      </c>
      <c r="V2818" s="23" t="str">
        <f t="shared" si="960"/>
        <v/>
      </c>
      <c r="W2818" s="70" t="str">
        <f t="shared" si="961"/>
        <v/>
      </c>
      <c r="X2818" s="70" t="str">
        <f t="shared" si="962"/>
        <v/>
      </c>
      <c r="Y2818" s="70" t="str">
        <f>IF(AND($A2818&lt;&gt;"",$E2818&gt;0),isLaptopBag($C2818,$J2818)*$D2818,"")</f>
        <v/>
      </c>
      <c r="Z2818" s="70" t="str">
        <f t="shared" si="963"/>
        <v/>
      </c>
      <c r="AA2818" s="70" t="str">
        <f t="shared" si="964"/>
        <v/>
      </c>
      <c r="AB2818" s="70" t="str">
        <f t="shared" si="965"/>
        <v/>
      </c>
      <c r="AC2818" s="70" t="str">
        <f t="shared" si="966"/>
        <v/>
      </c>
      <c r="AD2818" s="70" t="str">
        <f t="shared" si="967"/>
        <v/>
      </c>
      <c r="AE2818" s="70" t="str">
        <f t="shared" si="968"/>
        <v/>
      </c>
      <c r="AF2818" s="16"/>
      <c r="AG2818" s="23"/>
      <c r="AH2818" s="22"/>
      <c r="AJ2818" s="83">
        <f t="shared" si="969"/>
        <v>0</v>
      </c>
      <c r="AO2818" s="22" t="str">
        <f t="shared" si="970"/>
        <v/>
      </c>
      <c r="AP2818" s="22" t="str">
        <f t="shared" si="971"/>
        <v/>
      </c>
    </row>
    <row r="2819" spans="1:42" x14ac:dyDescent="0.25">
      <c r="A2819" s="10"/>
      <c r="B2819" s="10"/>
      <c r="C2819" s="10"/>
      <c r="D2819" s="10"/>
      <c r="E2819" s="10"/>
      <c r="F2819" s="10"/>
      <c r="G2819" s="10"/>
      <c r="H2819" s="17"/>
      <c r="I2819" s="10"/>
      <c r="J2819" s="10"/>
      <c r="K2819" s="16" t="str">
        <f t="shared" si="950"/>
        <v/>
      </c>
      <c r="L2819" s="23" t="str">
        <f t="shared" si="951"/>
        <v/>
      </c>
      <c r="M2819" s="22" t="str">
        <f t="shared" si="952"/>
        <v/>
      </c>
      <c r="N2819" s="72"/>
      <c r="O2819" s="16" t="str">
        <f t="shared" si="953"/>
        <v/>
      </c>
      <c r="P2819" s="16" t="str">
        <f t="shared" si="954"/>
        <v/>
      </c>
      <c r="Q2819" s="16" t="str">
        <f t="shared" si="955"/>
        <v/>
      </c>
      <c r="R2819" s="23" t="str">
        <f t="shared" si="956"/>
        <v/>
      </c>
      <c r="S2819" s="23" t="str">
        <f t="shared" si="957"/>
        <v/>
      </c>
      <c r="T2819" s="23" t="str">
        <f t="shared" si="958"/>
        <v/>
      </c>
      <c r="U2819" s="23" t="str">
        <f t="shared" si="959"/>
        <v/>
      </c>
      <c r="V2819" s="23" t="str">
        <f t="shared" si="960"/>
        <v/>
      </c>
      <c r="W2819" s="70" t="str">
        <f t="shared" si="961"/>
        <v/>
      </c>
      <c r="X2819" s="70" t="str">
        <f t="shared" si="962"/>
        <v/>
      </c>
      <c r="Y2819" s="70" t="str">
        <f>IF(AND($A2819&lt;&gt;"",$E2819&gt;0),isLaptopBag($C2819,$J2819)*$D2819,"")</f>
        <v/>
      </c>
      <c r="Z2819" s="70" t="str">
        <f t="shared" si="963"/>
        <v/>
      </c>
      <c r="AA2819" s="70" t="str">
        <f t="shared" si="964"/>
        <v/>
      </c>
      <c r="AB2819" s="70" t="str">
        <f t="shared" si="965"/>
        <v/>
      </c>
      <c r="AC2819" s="70" t="str">
        <f t="shared" si="966"/>
        <v/>
      </c>
      <c r="AD2819" s="70" t="str">
        <f t="shared" si="967"/>
        <v/>
      </c>
      <c r="AE2819" s="70" t="str">
        <f t="shared" si="968"/>
        <v/>
      </c>
      <c r="AF2819" s="16"/>
      <c r="AG2819" s="23"/>
      <c r="AH2819" s="22"/>
      <c r="AJ2819" s="83">
        <f t="shared" si="969"/>
        <v>0</v>
      </c>
      <c r="AO2819" s="22" t="str">
        <f t="shared" si="970"/>
        <v/>
      </c>
      <c r="AP2819" s="22" t="str">
        <f t="shared" si="971"/>
        <v/>
      </c>
    </row>
    <row r="2820" spans="1:42" x14ac:dyDescent="0.25">
      <c r="A2820" s="10"/>
      <c r="B2820" s="10"/>
      <c r="C2820" s="10"/>
      <c r="D2820" s="10"/>
      <c r="E2820" s="10"/>
      <c r="F2820" s="10"/>
      <c r="G2820" s="10"/>
      <c r="H2820" s="17"/>
      <c r="I2820" s="10"/>
      <c r="J2820" s="10"/>
      <c r="K2820" s="16" t="str">
        <f t="shared" si="950"/>
        <v/>
      </c>
      <c r="L2820" s="23" t="str">
        <f t="shared" si="951"/>
        <v/>
      </c>
      <c r="M2820" s="22" t="str">
        <f t="shared" si="952"/>
        <v/>
      </c>
      <c r="N2820" s="72"/>
      <c r="O2820" s="16" t="str">
        <f t="shared" si="953"/>
        <v/>
      </c>
      <c r="P2820" s="16" t="str">
        <f t="shared" si="954"/>
        <v/>
      </c>
      <c r="Q2820" s="16" t="str">
        <f t="shared" si="955"/>
        <v/>
      </c>
      <c r="R2820" s="23" t="str">
        <f t="shared" si="956"/>
        <v/>
      </c>
      <c r="S2820" s="23" t="str">
        <f t="shared" si="957"/>
        <v/>
      </c>
      <c r="T2820" s="23" t="str">
        <f t="shared" si="958"/>
        <v/>
      </c>
      <c r="U2820" s="23" t="str">
        <f t="shared" si="959"/>
        <v/>
      </c>
      <c r="V2820" s="23" t="str">
        <f t="shared" si="960"/>
        <v/>
      </c>
      <c r="W2820" s="70" t="str">
        <f t="shared" si="961"/>
        <v/>
      </c>
      <c r="X2820" s="70" t="str">
        <f t="shared" si="962"/>
        <v/>
      </c>
      <c r="Y2820" s="70" t="str">
        <f>IF(AND($A2820&lt;&gt;"",$E2820&gt;0),isLaptopBag($C2820,$J2820)*$D2820,"")</f>
        <v/>
      </c>
      <c r="Z2820" s="70" t="str">
        <f t="shared" si="963"/>
        <v/>
      </c>
      <c r="AA2820" s="70" t="str">
        <f t="shared" si="964"/>
        <v/>
      </c>
      <c r="AB2820" s="70" t="str">
        <f t="shared" si="965"/>
        <v/>
      </c>
      <c r="AC2820" s="70" t="str">
        <f t="shared" si="966"/>
        <v/>
      </c>
      <c r="AD2820" s="70" t="str">
        <f t="shared" si="967"/>
        <v/>
      </c>
      <c r="AE2820" s="70" t="str">
        <f t="shared" si="968"/>
        <v/>
      </c>
      <c r="AF2820" s="16"/>
      <c r="AG2820" s="23"/>
      <c r="AH2820" s="22"/>
      <c r="AJ2820" s="83">
        <f t="shared" si="969"/>
        <v>0</v>
      </c>
      <c r="AO2820" s="22" t="str">
        <f t="shared" si="970"/>
        <v/>
      </c>
      <c r="AP2820" s="22" t="str">
        <f t="shared" si="971"/>
        <v/>
      </c>
    </row>
    <row r="2821" spans="1:42" x14ac:dyDescent="0.25">
      <c r="A2821" s="10"/>
      <c r="B2821" s="10"/>
      <c r="C2821" s="10"/>
      <c r="D2821" s="10"/>
      <c r="E2821" s="10"/>
      <c r="F2821" s="10"/>
      <c r="G2821" s="10"/>
      <c r="H2821" s="17"/>
      <c r="I2821" s="10"/>
      <c r="J2821" s="10"/>
      <c r="K2821" s="16" t="str">
        <f t="shared" si="950"/>
        <v/>
      </c>
      <c r="L2821" s="23" t="str">
        <f t="shared" si="951"/>
        <v/>
      </c>
      <c r="M2821" s="22" t="str">
        <f t="shared" si="952"/>
        <v/>
      </c>
      <c r="N2821" s="72"/>
      <c r="O2821" s="16" t="str">
        <f t="shared" si="953"/>
        <v/>
      </c>
      <c r="P2821" s="16" t="str">
        <f t="shared" si="954"/>
        <v/>
      </c>
      <c r="Q2821" s="16" t="str">
        <f t="shared" si="955"/>
        <v/>
      </c>
      <c r="R2821" s="23" t="str">
        <f t="shared" si="956"/>
        <v/>
      </c>
      <c r="S2821" s="23" t="str">
        <f t="shared" si="957"/>
        <v/>
      </c>
      <c r="T2821" s="23" t="str">
        <f t="shared" si="958"/>
        <v/>
      </c>
      <c r="U2821" s="23" t="str">
        <f t="shared" si="959"/>
        <v/>
      </c>
      <c r="V2821" s="23" t="str">
        <f t="shared" si="960"/>
        <v/>
      </c>
      <c r="W2821" s="70" t="str">
        <f t="shared" si="961"/>
        <v/>
      </c>
      <c r="X2821" s="70" t="str">
        <f t="shared" si="962"/>
        <v/>
      </c>
      <c r="Y2821" s="70" t="str">
        <f>IF(AND($A2821&lt;&gt;"",$E2821&gt;0),isLaptopBag($C2821,$J2821)*$D2821,"")</f>
        <v/>
      </c>
      <c r="Z2821" s="70" t="str">
        <f t="shared" si="963"/>
        <v/>
      </c>
      <c r="AA2821" s="70" t="str">
        <f t="shared" si="964"/>
        <v/>
      </c>
      <c r="AB2821" s="70" t="str">
        <f t="shared" si="965"/>
        <v/>
      </c>
      <c r="AC2821" s="70" t="str">
        <f t="shared" si="966"/>
        <v/>
      </c>
      <c r="AD2821" s="70" t="str">
        <f t="shared" si="967"/>
        <v/>
      </c>
      <c r="AE2821" s="70" t="str">
        <f t="shared" si="968"/>
        <v/>
      </c>
      <c r="AF2821" s="16"/>
      <c r="AG2821" s="23"/>
      <c r="AH2821" s="22"/>
      <c r="AJ2821" s="83">
        <f t="shared" si="969"/>
        <v>0</v>
      </c>
      <c r="AO2821" s="22" t="str">
        <f t="shared" si="970"/>
        <v/>
      </c>
      <c r="AP2821" s="22" t="str">
        <f t="shared" si="971"/>
        <v/>
      </c>
    </row>
    <row r="2822" spans="1:42" x14ac:dyDescent="0.25">
      <c r="A2822" s="10"/>
      <c r="B2822" s="10"/>
      <c r="C2822" s="10"/>
      <c r="D2822" s="10"/>
      <c r="E2822" s="10"/>
      <c r="F2822" s="10"/>
      <c r="G2822" s="10"/>
      <c r="H2822" s="17"/>
      <c r="I2822" s="10"/>
      <c r="J2822" s="10"/>
      <c r="K2822" s="16" t="str">
        <f t="shared" si="950"/>
        <v/>
      </c>
      <c r="L2822" s="23" t="str">
        <f t="shared" si="951"/>
        <v/>
      </c>
      <c r="M2822" s="22" t="str">
        <f t="shared" si="952"/>
        <v/>
      </c>
      <c r="N2822" s="72"/>
      <c r="O2822" s="16" t="str">
        <f t="shared" si="953"/>
        <v/>
      </c>
      <c r="P2822" s="16" t="str">
        <f t="shared" si="954"/>
        <v/>
      </c>
      <c r="Q2822" s="16" t="str">
        <f t="shared" si="955"/>
        <v/>
      </c>
      <c r="R2822" s="23" t="str">
        <f t="shared" si="956"/>
        <v/>
      </c>
      <c r="S2822" s="23" t="str">
        <f t="shared" si="957"/>
        <v/>
      </c>
      <c r="T2822" s="23" t="str">
        <f t="shared" si="958"/>
        <v/>
      </c>
      <c r="U2822" s="23" t="str">
        <f t="shared" si="959"/>
        <v/>
      </c>
      <c r="V2822" s="23" t="str">
        <f t="shared" si="960"/>
        <v/>
      </c>
      <c r="W2822" s="70" t="str">
        <f t="shared" si="961"/>
        <v/>
      </c>
      <c r="X2822" s="70" t="str">
        <f t="shared" si="962"/>
        <v/>
      </c>
      <c r="Y2822" s="70" t="str">
        <f>IF(AND($A2822&lt;&gt;"",$E2822&gt;0),isLaptopBag($C2822,$J2822)*$D2822,"")</f>
        <v/>
      </c>
      <c r="Z2822" s="70" t="str">
        <f t="shared" si="963"/>
        <v/>
      </c>
      <c r="AA2822" s="70" t="str">
        <f t="shared" si="964"/>
        <v/>
      </c>
      <c r="AB2822" s="70" t="str">
        <f t="shared" si="965"/>
        <v/>
      </c>
      <c r="AC2822" s="70" t="str">
        <f t="shared" si="966"/>
        <v/>
      </c>
      <c r="AD2822" s="70" t="str">
        <f t="shared" si="967"/>
        <v/>
      </c>
      <c r="AE2822" s="70" t="str">
        <f t="shared" si="968"/>
        <v/>
      </c>
      <c r="AF2822" s="16"/>
      <c r="AG2822" s="23"/>
      <c r="AH2822" s="22"/>
      <c r="AJ2822" s="83">
        <f t="shared" si="969"/>
        <v>0</v>
      </c>
      <c r="AO2822" s="22" t="str">
        <f t="shared" si="970"/>
        <v/>
      </c>
      <c r="AP2822" s="22" t="str">
        <f t="shared" si="971"/>
        <v/>
      </c>
    </row>
    <row r="2823" spans="1:42" x14ac:dyDescent="0.25">
      <c r="A2823" s="10"/>
      <c r="B2823" s="10"/>
      <c r="C2823" s="10"/>
      <c r="D2823" s="10"/>
      <c r="E2823" s="10"/>
      <c r="F2823" s="10"/>
      <c r="G2823" s="10"/>
      <c r="H2823" s="17"/>
      <c r="I2823" s="10"/>
      <c r="J2823" s="10"/>
      <c r="K2823" s="16" t="str">
        <f t="shared" si="950"/>
        <v/>
      </c>
      <c r="L2823" s="23" t="str">
        <f t="shared" si="951"/>
        <v/>
      </c>
      <c r="M2823" s="22" t="str">
        <f t="shared" si="952"/>
        <v/>
      </c>
      <c r="N2823" s="72"/>
      <c r="O2823" s="16" t="str">
        <f t="shared" si="953"/>
        <v/>
      </c>
      <c r="P2823" s="16" t="str">
        <f t="shared" si="954"/>
        <v/>
      </c>
      <c r="Q2823" s="16" t="str">
        <f t="shared" si="955"/>
        <v/>
      </c>
      <c r="R2823" s="23" t="str">
        <f t="shared" si="956"/>
        <v/>
      </c>
      <c r="S2823" s="23" t="str">
        <f t="shared" si="957"/>
        <v/>
      </c>
      <c r="T2823" s="23" t="str">
        <f t="shared" si="958"/>
        <v/>
      </c>
      <c r="U2823" s="23" t="str">
        <f t="shared" si="959"/>
        <v/>
      </c>
      <c r="V2823" s="23" t="str">
        <f t="shared" si="960"/>
        <v/>
      </c>
      <c r="W2823" s="70" t="str">
        <f t="shared" si="961"/>
        <v/>
      </c>
      <c r="X2823" s="70" t="str">
        <f t="shared" si="962"/>
        <v/>
      </c>
      <c r="Y2823" s="70" t="str">
        <f>IF(AND($A2823&lt;&gt;"",$E2823&gt;0),isLaptopBag($C2823,$J2823)*$D2823,"")</f>
        <v/>
      </c>
      <c r="Z2823" s="70" t="str">
        <f t="shared" si="963"/>
        <v/>
      </c>
      <c r="AA2823" s="70" t="str">
        <f t="shared" si="964"/>
        <v/>
      </c>
      <c r="AB2823" s="70" t="str">
        <f t="shared" si="965"/>
        <v/>
      </c>
      <c r="AC2823" s="70" t="str">
        <f t="shared" si="966"/>
        <v/>
      </c>
      <c r="AD2823" s="70" t="str">
        <f t="shared" si="967"/>
        <v/>
      </c>
      <c r="AE2823" s="70" t="str">
        <f t="shared" si="968"/>
        <v/>
      </c>
      <c r="AF2823" s="16"/>
      <c r="AG2823" s="23"/>
      <c r="AH2823" s="22"/>
      <c r="AJ2823" s="83">
        <f t="shared" si="969"/>
        <v>0</v>
      </c>
      <c r="AO2823" s="22" t="str">
        <f t="shared" si="970"/>
        <v/>
      </c>
      <c r="AP2823" s="22" t="str">
        <f t="shared" si="971"/>
        <v/>
      </c>
    </row>
    <row r="2824" spans="1:42" x14ac:dyDescent="0.25">
      <c r="A2824" s="10"/>
      <c r="B2824" s="10"/>
      <c r="C2824" s="10"/>
      <c r="D2824" s="10"/>
      <c r="E2824" s="10"/>
      <c r="F2824" s="10"/>
      <c r="G2824" s="10"/>
      <c r="H2824" s="17"/>
      <c r="I2824" s="10"/>
      <c r="J2824" s="10"/>
      <c r="K2824" s="16" t="str">
        <f t="shared" si="950"/>
        <v/>
      </c>
      <c r="L2824" s="23" t="str">
        <f t="shared" si="951"/>
        <v/>
      </c>
      <c r="M2824" s="22" t="str">
        <f t="shared" si="952"/>
        <v/>
      </c>
      <c r="N2824" s="72"/>
      <c r="O2824" s="16" t="str">
        <f t="shared" si="953"/>
        <v/>
      </c>
      <c r="P2824" s="16" t="str">
        <f t="shared" si="954"/>
        <v/>
      </c>
      <c r="Q2824" s="16" t="str">
        <f t="shared" si="955"/>
        <v/>
      </c>
      <c r="R2824" s="23" t="str">
        <f t="shared" si="956"/>
        <v/>
      </c>
      <c r="S2824" s="23" t="str">
        <f t="shared" si="957"/>
        <v/>
      </c>
      <c r="T2824" s="23" t="str">
        <f t="shared" si="958"/>
        <v/>
      </c>
      <c r="U2824" s="23" t="str">
        <f t="shared" si="959"/>
        <v/>
      </c>
      <c r="V2824" s="23" t="str">
        <f t="shared" si="960"/>
        <v/>
      </c>
      <c r="W2824" s="70" t="str">
        <f t="shared" si="961"/>
        <v/>
      </c>
      <c r="X2824" s="70" t="str">
        <f t="shared" si="962"/>
        <v/>
      </c>
      <c r="Y2824" s="70" t="str">
        <f>IF(AND($A2824&lt;&gt;"",$E2824&gt;0),isLaptopBag($C2824,$J2824)*$D2824,"")</f>
        <v/>
      </c>
      <c r="Z2824" s="70" t="str">
        <f t="shared" si="963"/>
        <v/>
      </c>
      <c r="AA2824" s="70" t="str">
        <f t="shared" si="964"/>
        <v/>
      </c>
      <c r="AB2824" s="70" t="str">
        <f t="shared" si="965"/>
        <v/>
      </c>
      <c r="AC2824" s="70" t="str">
        <f t="shared" si="966"/>
        <v/>
      </c>
      <c r="AD2824" s="70" t="str">
        <f t="shared" si="967"/>
        <v/>
      </c>
      <c r="AE2824" s="70" t="str">
        <f t="shared" si="968"/>
        <v/>
      </c>
      <c r="AF2824" s="16"/>
      <c r="AG2824" s="23"/>
      <c r="AH2824" s="22"/>
      <c r="AJ2824" s="83">
        <f t="shared" si="969"/>
        <v>0</v>
      </c>
      <c r="AO2824" s="22" t="str">
        <f t="shared" si="970"/>
        <v/>
      </c>
      <c r="AP2824" s="22" t="str">
        <f t="shared" si="971"/>
        <v/>
      </c>
    </row>
    <row r="2825" spans="1:42" x14ac:dyDescent="0.25">
      <c r="A2825" s="10"/>
      <c r="B2825" s="10"/>
      <c r="C2825" s="10"/>
      <c r="D2825" s="10"/>
      <c r="E2825" s="10"/>
      <c r="F2825" s="10"/>
      <c r="G2825" s="10"/>
      <c r="H2825" s="17"/>
      <c r="I2825" s="10"/>
      <c r="J2825" s="10"/>
      <c r="K2825" s="16" t="str">
        <f t="shared" si="950"/>
        <v/>
      </c>
      <c r="L2825" s="23" t="str">
        <f t="shared" si="951"/>
        <v/>
      </c>
      <c r="M2825" s="22" t="str">
        <f t="shared" si="952"/>
        <v/>
      </c>
      <c r="N2825" s="72"/>
      <c r="O2825" s="16" t="str">
        <f t="shared" si="953"/>
        <v/>
      </c>
      <c r="P2825" s="16" t="str">
        <f t="shared" si="954"/>
        <v/>
      </c>
      <c r="Q2825" s="16" t="str">
        <f t="shared" si="955"/>
        <v/>
      </c>
      <c r="R2825" s="23" t="str">
        <f t="shared" si="956"/>
        <v/>
      </c>
      <c r="S2825" s="23" t="str">
        <f t="shared" si="957"/>
        <v/>
      </c>
      <c r="T2825" s="23" t="str">
        <f t="shared" si="958"/>
        <v/>
      </c>
      <c r="U2825" s="23" t="str">
        <f t="shared" si="959"/>
        <v/>
      </c>
      <c r="V2825" s="23" t="str">
        <f t="shared" si="960"/>
        <v/>
      </c>
      <c r="W2825" s="70" t="str">
        <f t="shared" si="961"/>
        <v/>
      </c>
      <c r="X2825" s="70" t="str">
        <f t="shared" si="962"/>
        <v/>
      </c>
      <c r="Y2825" s="70" t="str">
        <f>IF(AND($A2825&lt;&gt;"",$E2825&gt;0),isLaptopBag($C2825,$J2825)*$D2825,"")</f>
        <v/>
      </c>
      <c r="Z2825" s="70" t="str">
        <f t="shared" si="963"/>
        <v/>
      </c>
      <c r="AA2825" s="70" t="str">
        <f t="shared" si="964"/>
        <v/>
      </c>
      <c r="AB2825" s="70" t="str">
        <f t="shared" si="965"/>
        <v/>
      </c>
      <c r="AC2825" s="70" t="str">
        <f t="shared" si="966"/>
        <v/>
      </c>
      <c r="AD2825" s="70" t="str">
        <f t="shared" si="967"/>
        <v/>
      </c>
      <c r="AE2825" s="70" t="str">
        <f t="shared" si="968"/>
        <v/>
      </c>
      <c r="AF2825" s="16"/>
      <c r="AG2825" s="23"/>
      <c r="AH2825" s="22"/>
      <c r="AJ2825" s="83">
        <f t="shared" si="969"/>
        <v>0</v>
      </c>
      <c r="AO2825" s="22" t="str">
        <f t="shared" si="970"/>
        <v/>
      </c>
      <c r="AP2825" s="22" t="str">
        <f t="shared" si="971"/>
        <v/>
      </c>
    </row>
    <row r="2826" spans="1:42" x14ac:dyDescent="0.25">
      <c r="A2826" s="10"/>
      <c r="B2826" s="10"/>
      <c r="C2826" s="10"/>
      <c r="D2826" s="10"/>
      <c r="E2826" s="10"/>
      <c r="F2826" s="10"/>
      <c r="G2826" s="10"/>
      <c r="H2826" s="17"/>
      <c r="I2826" s="10"/>
      <c r="J2826" s="10"/>
      <c r="K2826" s="16" t="str">
        <f t="shared" si="950"/>
        <v/>
      </c>
      <c r="L2826" s="23" t="str">
        <f t="shared" si="951"/>
        <v/>
      </c>
      <c r="M2826" s="22" t="str">
        <f t="shared" si="952"/>
        <v/>
      </c>
      <c r="N2826" s="72"/>
      <c r="O2826" s="16" t="str">
        <f t="shared" si="953"/>
        <v/>
      </c>
      <c r="P2826" s="16" t="str">
        <f t="shared" si="954"/>
        <v/>
      </c>
      <c r="Q2826" s="16" t="str">
        <f t="shared" si="955"/>
        <v/>
      </c>
      <c r="R2826" s="23" t="str">
        <f t="shared" si="956"/>
        <v/>
      </c>
      <c r="S2826" s="23" t="str">
        <f t="shared" si="957"/>
        <v/>
      </c>
      <c r="T2826" s="23" t="str">
        <f t="shared" si="958"/>
        <v/>
      </c>
      <c r="U2826" s="23" t="str">
        <f t="shared" si="959"/>
        <v/>
      </c>
      <c r="V2826" s="23" t="str">
        <f t="shared" si="960"/>
        <v/>
      </c>
      <c r="W2826" s="70" t="str">
        <f t="shared" si="961"/>
        <v/>
      </c>
      <c r="X2826" s="70" t="str">
        <f t="shared" si="962"/>
        <v/>
      </c>
      <c r="Y2826" s="70" t="str">
        <f>IF(AND($A2826&lt;&gt;"",$E2826&gt;0),isLaptopBag($C2826,$J2826)*$D2826,"")</f>
        <v/>
      </c>
      <c r="Z2826" s="70" t="str">
        <f t="shared" si="963"/>
        <v/>
      </c>
      <c r="AA2826" s="70" t="str">
        <f t="shared" si="964"/>
        <v/>
      </c>
      <c r="AB2826" s="70" t="str">
        <f t="shared" si="965"/>
        <v/>
      </c>
      <c r="AC2826" s="70" t="str">
        <f t="shared" si="966"/>
        <v/>
      </c>
      <c r="AD2826" s="70" t="str">
        <f t="shared" si="967"/>
        <v/>
      </c>
      <c r="AE2826" s="70" t="str">
        <f t="shared" si="968"/>
        <v/>
      </c>
      <c r="AF2826" s="16"/>
      <c r="AG2826" s="23"/>
      <c r="AH2826" s="22"/>
      <c r="AJ2826" s="83">
        <f t="shared" si="969"/>
        <v>0</v>
      </c>
      <c r="AO2826" s="22" t="str">
        <f t="shared" si="970"/>
        <v/>
      </c>
      <c r="AP2826" s="22" t="str">
        <f t="shared" si="971"/>
        <v/>
      </c>
    </row>
    <row r="2827" spans="1:42" x14ac:dyDescent="0.25">
      <c r="A2827" s="10"/>
      <c r="B2827" s="10"/>
      <c r="C2827" s="10"/>
      <c r="D2827" s="10"/>
      <c r="E2827" s="10"/>
      <c r="F2827" s="10"/>
      <c r="G2827" s="10"/>
      <c r="H2827" s="17"/>
      <c r="I2827" s="10"/>
      <c r="J2827" s="10"/>
      <c r="K2827" s="16" t="str">
        <f t="shared" si="950"/>
        <v/>
      </c>
      <c r="L2827" s="23" t="str">
        <f t="shared" si="951"/>
        <v/>
      </c>
      <c r="M2827" s="22" t="str">
        <f t="shared" si="952"/>
        <v/>
      </c>
      <c r="N2827" s="72"/>
      <c r="O2827" s="16" t="str">
        <f t="shared" si="953"/>
        <v/>
      </c>
      <c r="P2827" s="16" t="str">
        <f t="shared" si="954"/>
        <v/>
      </c>
      <c r="Q2827" s="16" t="str">
        <f t="shared" si="955"/>
        <v/>
      </c>
      <c r="R2827" s="23" t="str">
        <f t="shared" si="956"/>
        <v/>
      </c>
      <c r="S2827" s="23" t="str">
        <f t="shared" si="957"/>
        <v/>
      </c>
      <c r="T2827" s="23" t="str">
        <f t="shared" si="958"/>
        <v/>
      </c>
      <c r="U2827" s="23" t="str">
        <f t="shared" si="959"/>
        <v/>
      </c>
      <c r="V2827" s="23" t="str">
        <f t="shared" si="960"/>
        <v/>
      </c>
      <c r="W2827" s="70" t="str">
        <f t="shared" si="961"/>
        <v/>
      </c>
      <c r="X2827" s="70" t="str">
        <f t="shared" si="962"/>
        <v/>
      </c>
      <c r="Y2827" s="70" t="str">
        <f>IF(AND($A2827&lt;&gt;"",$E2827&gt;0),isLaptopBag($C2827,$J2827)*$D2827,"")</f>
        <v/>
      </c>
      <c r="Z2827" s="70" t="str">
        <f t="shared" si="963"/>
        <v/>
      </c>
      <c r="AA2827" s="70" t="str">
        <f t="shared" si="964"/>
        <v/>
      </c>
      <c r="AB2827" s="70" t="str">
        <f t="shared" si="965"/>
        <v/>
      </c>
      <c r="AC2827" s="70" t="str">
        <f t="shared" si="966"/>
        <v/>
      </c>
      <c r="AD2827" s="70" t="str">
        <f t="shared" si="967"/>
        <v/>
      </c>
      <c r="AE2827" s="70" t="str">
        <f t="shared" si="968"/>
        <v/>
      </c>
      <c r="AF2827" s="16"/>
      <c r="AG2827" s="23"/>
      <c r="AH2827" s="22"/>
      <c r="AJ2827" s="83">
        <f t="shared" si="969"/>
        <v>0</v>
      </c>
      <c r="AO2827" s="22" t="str">
        <f t="shared" si="970"/>
        <v/>
      </c>
      <c r="AP2827" s="22" t="str">
        <f t="shared" si="971"/>
        <v/>
      </c>
    </row>
    <row r="2828" spans="1:42" x14ac:dyDescent="0.25">
      <c r="A2828" s="10"/>
      <c r="B2828" s="10"/>
      <c r="C2828" s="10"/>
      <c r="D2828" s="10"/>
      <c r="E2828" s="10"/>
      <c r="F2828" s="10"/>
      <c r="G2828" s="10"/>
      <c r="H2828" s="17"/>
      <c r="I2828" s="10"/>
      <c r="J2828" s="10"/>
      <c r="K2828" s="16" t="str">
        <f t="shared" si="950"/>
        <v/>
      </c>
      <c r="L2828" s="23" t="str">
        <f t="shared" si="951"/>
        <v/>
      </c>
      <c r="M2828" s="22" t="str">
        <f t="shared" si="952"/>
        <v/>
      </c>
      <c r="N2828" s="72"/>
      <c r="O2828" s="16" t="str">
        <f t="shared" si="953"/>
        <v/>
      </c>
      <c r="P2828" s="16" t="str">
        <f t="shared" si="954"/>
        <v/>
      </c>
      <c r="Q2828" s="16" t="str">
        <f t="shared" si="955"/>
        <v/>
      </c>
      <c r="R2828" s="23" t="str">
        <f t="shared" si="956"/>
        <v/>
      </c>
      <c r="S2828" s="23" t="str">
        <f t="shared" si="957"/>
        <v/>
      </c>
      <c r="T2828" s="23" t="str">
        <f t="shared" si="958"/>
        <v/>
      </c>
      <c r="U2828" s="23" t="str">
        <f t="shared" si="959"/>
        <v/>
      </c>
      <c r="V2828" s="23" t="str">
        <f t="shared" si="960"/>
        <v/>
      </c>
      <c r="W2828" s="70" t="str">
        <f t="shared" si="961"/>
        <v/>
      </c>
      <c r="X2828" s="70" t="str">
        <f t="shared" si="962"/>
        <v/>
      </c>
      <c r="Y2828" s="70" t="str">
        <f>IF(AND($A2828&lt;&gt;"",$E2828&gt;0),isLaptopBag($C2828,$J2828)*$D2828,"")</f>
        <v/>
      </c>
      <c r="Z2828" s="70" t="str">
        <f t="shared" si="963"/>
        <v/>
      </c>
      <c r="AA2828" s="70" t="str">
        <f t="shared" si="964"/>
        <v/>
      </c>
      <c r="AB2828" s="70" t="str">
        <f t="shared" si="965"/>
        <v/>
      </c>
      <c r="AC2828" s="70" t="str">
        <f t="shared" si="966"/>
        <v/>
      </c>
      <c r="AD2828" s="70" t="str">
        <f t="shared" si="967"/>
        <v/>
      </c>
      <c r="AE2828" s="70" t="str">
        <f t="shared" si="968"/>
        <v/>
      </c>
      <c r="AF2828" s="16"/>
      <c r="AG2828" s="23"/>
      <c r="AH2828" s="22"/>
      <c r="AJ2828" s="83">
        <f t="shared" si="969"/>
        <v>0</v>
      </c>
      <c r="AO2828" s="22" t="str">
        <f t="shared" si="970"/>
        <v/>
      </c>
      <c r="AP2828" s="22" t="str">
        <f t="shared" si="971"/>
        <v/>
      </c>
    </row>
    <row r="2829" spans="1:42" x14ac:dyDescent="0.25">
      <c r="A2829" s="10"/>
      <c r="B2829" s="10"/>
      <c r="C2829" s="10"/>
      <c r="D2829" s="10"/>
      <c r="E2829" s="10"/>
      <c r="F2829" s="10"/>
      <c r="G2829" s="10"/>
      <c r="H2829" s="17"/>
      <c r="I2829" s="10"/>
      <c r="J2829" s="10"/>
      <c r="K2829" s="16" t="str">
        <f t="shared" ref="K2829:K2892" si="972">IF($AF2829&lt;&gt;"",$AF2829,IF(AND($A2829&lt;&gt;"",$E2829&gt;0),SUM($O2829:$Q2829),""))</f>
        <v/>
      </c>
      <c r="L2829" s="23" t="str">
        <f t="shared" ref="L2829:L2892" si="973">IF($AG2829&lt;&gt;"",$AG2829,IF(AND($A2829&lt;&gt;"",$E2829&gt;0),SUM($R2829:$V2829),""))</f>
        <v/>
      </c>
      <c r="M2829" s="22" t="str">
        <f t="shared" ref="M2829:M2892" si="974">IF($AH2829&lt;&gt;"",$AH2829,IF(AND($A2829&lt;&gt;"",$E2829&gt;0),SUM($W2829:$AE2829)+$AO2829+$AP2829,""))</f>
        <v/>
      </c>
      <c r="N2829" s="72"/>
      <c r="O2829" s="16" t="str">
        <f t="shared" ref="O2829:O2892" si="975">IF(AND($A2829&lt;&gt;"",$E2829&gt;0),IF(AND($J2829="SONY",200000&lt;=$E2829,$E2829&lt;1000000),5000*$D2829,0),"")</f>
        <v/>
      </c>
      <c r="P2829" s="16" t="str">
        <f t="shared" ref="P2829:P2892" si="976">IF(AND($A2829&lt;&gt;"",$E2829&gt;0),IF(AND($J2829="SONY",1000000&lt;=$E2829,$E2829&lt;2000000),10000*$D2829,0),"")</f>
        <v/>
      </c>
      <c r="Q2829" s="16" t="str">
        <f t="shared" ref="Q2829:Q2892" si="977">IF(AND($A2829&lt;&gt;"",$E2829&gt;0),IF(AND($J2829="SONY",$E2829&gt;=2000000),20000*$D2829,0),"")</f>
        <v/>
      </c>
      <c r="R2829" s="23" t="str">
        <f t="shared" ref="R2829:R2892" si="978">IF(AND($A2829&lt;&gt;"",$E2829&gt;0),IF(AND($J2829&lt;&gt;"SONY",100000&lt;=$E2829,$E2829&lt;200000),5000*$D2829,0),"")</f>
        <v/>
      </c>
      <c r="S2829" s="23" t="str">
        <f t="shared" ref="S2829:S2892" si="979">IF(AND($A2829&lt;&gt;"",$E2829&gt;0),IF(AND($J2829&lt;&gt;"SONY",200000&lt;=$E2829,$E2829&lt;500000),10000*$D2829,0),"")</f>
        <v/>
      </c>
      <c r="T2829" s="23" t="str">
        <f t="shared" ref="T2829:T2892" si="980">IF(AND($A2829&lt;&gt;"",$E2829&gt;0),IF(AND($J2829&lt;&gt;"SONY",500000&lt;=$E2829,$E2829&lt;1000000),20000*$D2829,0),"")</f>
        <v/>
      </c>
      <c r="U2829" s="23" t="str">
        <f t="shared" ref="U2829:U2892" si="981">IF(AND($A2829&lt;&gt;"",$E2829&gt;0),IF(AND($J2829&lt;&gt;"SONY",1000000&lt;=$E2829,$E2829&lt;1500000),50000*$D2829,0),"")</f>
        <v/>
      </c>
      <c r="V2829" s="23" t="str">
        <f t="shared" ref="V2829:V2892" si="982">IF(AND($A2829&lt;&gt;"",$E2829&gt;0),IF(AND($J2829&lt;&gt;"SONY",1500000&lt;=$E2829),100000*$D2829,0),"")</f>
        <v/>
      </c>
      <c r="W2829" s="70" t="str">
        <f t="shared" ref="W2829:W2892" si="983">IF(AND($E2829&gt;0,$J2829="ELECOM",$E2829&gt;=500000,ISNUMBER(SEARCH("tai nghe",$C2829))),20000*$D2829,IF($A2829&lt;&gt;"",0,""))</f>
        <v/>
      </c>
      <c r="X2829" s="70" t="str">
        <f t="shared" ref="X2829:X2892" si="984">IF(AND($E2829&gt;0,$J2829="ELECOM",ISNUMBER(SEARCH("loa",$C2829))),20000*$D2829,IF($A2829&lt;&gt;"",0,""))</f>
        <v/>
      </c>
      <c r="Y2829" s="70" t="str">
        <f>IF(AND($A2829&lt;&gt;"",$E2829&gt;0),isLaptopBag($C2829,$J2829)*$D2829,"")</f>
        <v/>
      </c>
      <c r="Z2829" s="70" t="str">
        <f t="shared" ref="Z2829:Z2892" si="985">IF(AND($E2829&gt;0,$J2829="ELECOM",ISNUMBER(SEARCH("ốp",$C2829))),20000*$D2829,IF($A2829&lt;&gt;"",0,""))</f>
        <v/>
      </c>
      <c r="AA2829" s="70" t="str">
        <f t="shared" ref="AA2829:AA2892" si="986">IF(AND($E2829&gt;0,$J2829="ELECOM",ISNUMBER(SEARCH("Bút",$C2829))),20000*$D2829,IF($A2829&lt;&gt;"",0,""))</f>
        <v/>
      </c>
      <c r="AB2829" s="70" t="str">
        <f t="shared" ref="AB2829:AB2892" si="987">IF(AND($E2829&gt;0,$J2829="ELECOM",ISNUMBER(SEARCH("Chuột bi",$C2829))),20000*$D2829,IF($A2829&lt;&gt;"",0,""))</f>
        <v/>
      </c>
      <c r="AC2829" s="70" t="str">
        <f t="shared" ref="AC2829:AC2892" si="988">IF(AND($E2829&gt;0,$J2829="ELECOM",ISNUMBER(SEARCH("Chuột trackball",$C2829))),20000*$D2829,IF($A2829&lt;&gt;"",0,""))</f>
        <v/>
      </c>
      <c r="AD2829" s="70" t="str">
        <f t="shared" ref="AD2829:AD2892" si="989">IF(AND($E2829&gt;0,$J2829="ELECOM",ISNUMBER(SEARCH("Sạc không dây",$C2829))),20000*$D2829,IF($A2829&lt;&gt;"",0,""))</f>
        <v/>
      </c>
      <c r="AE2829" s="70" t="str">
        <f t="shared" ref="AE2829:AE2892" si="990">IF(AND($E2829&gt;0,$J2829="ELECOM",ISNUMBER(SEARCH("Sạc kd",$C2829))),20000*$D2829,IF($A2829&lt;&gt;"",0,""))</f>
        <v/>
      </c>
      <c r="AF2829" s="16"/>
      <c r="AG2829" s="23"/>
      <c r="AH2829" s="22"/>
      <c r="AJ2829" s="83">
        <f t="shared" ref="AJ2829:AJ2892" si="991">DAY(H2829)</f>
        <v>0</v>
      </c>
      <c r="AO2829" s="22" t="str">
        <f t="shared" ref="AO2829:AO2892" si="992">IF(AND($E2829&gt;0,ISNUMBER(SEARCH("Sạc dự phòng Energizer",$C2829))),10000*$D2829,IF($A2829&lt;&gt;"",0,""))</f>
        <v/>
      </c>
      <c r="AP2829" s="22" t="str">
        <f t="shared" ref="AP2829:AP2892" si="993">IF(AND($E2829&gt;0,ISNUMBER(SEARCH("SDP Energizer",$C2829))),10000*$D2829,IF($A2829&lt;&gt;"",0,""))</f>
        <v/>
      </c>
    </row>
    <row r="2830" spans="1:42" x14ac:dyDescent="0.25">
      <c r="A2830" s="10"/>
      <c r="B2830" s="10"/>
      <c r="C2830" s="10"/>
      <c r="D2830" s="10"/>
      <c r="E2830" s="10"/>
      <c r="F2830" s="10"/>
      <c r="G2830" s="10"/>
      <c r="H2830" s="17"/>
      <c r="I2830" s="10"/>
      <c r="J2830" s="10"/>
      <c r="K2830" s="16" t="str">
        <f t="shared" si="972"/>
        <v/>
      </c>
      <c r="L2830" s="23" t="str">
        <f t="shared" si="973"/>
        <v/>
      </c>
      <c r="M2830" s="22" t="str">
        <f t="shared" si="974"/>
        <v/>
      </c>
      <c r="N2830" s="72"/>
      <c r="O2830" s="16" t="str">
        <f t="shared" si="975"/>
        <v/>
      </c>
      <c r="P2830" s="16" t="str">
        <f t="shared" si="976"/>
        <v/>
      </c>
      <c r="Q2830" s="16" t="str">
        <f t="shared" si="977"/>
        <v/>
      </c>
      <c r="R2830" s="23" t="str">
        <f t="shared" si="978"/>
        <v/>
      </c>
      <c r="S2830" s="23" t="str">
        <f t="shared" si="979"/>
        <v/>
      </c>
      <c r="T2830" s="23" t="str">
        <f t="shared" si="980"/>
        <v/>
      </c>
      <c r="U2830" s="23" t="str">
        <f t="shared" si="981"/>
        <v/>
      </c>
      <c r="V2830" s="23" t="str">
        <f t="shared" si="982"/>
        <v/>
      </c>
      <c r="W2830" s="70" t="str">
        <f t="shared" si="983"/>
        <v/>
      </c>
      <c r="X2830" s="70" t="str">
        <f t="shared" si="984"/>
        <v/>
      </c>
      <c r="Y2830" s="70" t="str">
        <f>IF(AND($A2830&lt;&gt;"",$E2830&gt;0),isLaptopBag($C2830,$J2830)*$D2830,"")</f>
        <v/>
      </c>
      <c r="Z2830" s="70" t="str">
        <f t="shared" si="985"/>
        <v/>
      </c>
      <c r="AA2830" s="70" t="str">
        <f t="shared" si="986"/>
        <v/>
      </c>
      <c r="AB2830" s="70" t="str">
        <f t="shared" si="987"/>
        <v/>
      </c>
      <c r="AC2830" s="70" t="str">
        <f t="shared" si="988"/>
        <v/>
      </c>
      <c r="AD2830" s="70" t="str">
        <f t="shared" si="989"/>
        <v/>
      </c>
      <c r="AE2830" s="70" t="str">
        <f t="shared" si="990"/>
        <v/>
      </c>
      <c r="AF2830" s="16"/>
      <c r="AG2830" s="23"/>
      <c r="AH2830" s="22"/>
      <c r="AJ2830" s="83">
        <f t="shared" si="991"/>
        <v>0</v>
      </c>
      <c r="AO2830" s="22" t="str">
        <f t="shared" si="992"/>
        <v/>
      </c>
      <c r="AP2830" s="22" t="str">
        <f t="shared" si="993"/>
        <v/>
      </c>
    </row>
    <row r="2831" spans="1:42" x14ac:dyDescent="0.25">
      <c r="A2831" s="10"/>
      <c r="B2831" s="10"/>
      <c r="C2831" s="10"/>
      <c r="D2831" s="10"/>
      <c r="E2831" s="10"/>
      <c r="F2831" s="10"/>
      <c r="G2831" s="10"/>
      <c r="H2831" s="17"/>
      <c r="I2831" s="10"/>
      <c r="J2831" s="10"/>
      <c r="K2831" s="16" t="str">
        <f t="shared" si="972"/>
        <v/>
      </c>
      <c r="L2831" s="23" t="str">
        <f t="shared" si="973"/>
        <v/>
      </c>
      <c r="M2831" s="22" t="str">
        <f t="shared" si="974"/>
        <v/>
      </c>
      <c r="N2831" s="72"/>
      <c r="O2831" s="16" t="str">
        <f t="shared" si="975"/>
        <v/>
      </c>
      <c r="P2831" s="16" t="str">
        <f t="shared" si="976"/>
        <v/>
      </c>
      <c r="Q2831" s="16" t="str">
        <f t="shared" si="977"/>
        <v/>
      </c>
      <c r="R2831" s="23" t="str">
        <f t="shared" si="978"/>
        <v/>
      </c>
      <c r="S2831" s="23" t="str">
        <f t="shared" si="979"/>
        <v/>
      </c>
      <c r="T2831" s="23" t="str">
        <f t="shared" si="980"/>
        <v/>
      </c>
      <c r="U2831" s="23" t="str">
        <f t="shared" si="981"/>
        <v/>
      </c>
      <c r="V2831" s="23" t="str">
        <f t="shared" si="982"/>
        <v/>
      </c>
      <c r="W2831" s="70" t="str">
        <f t="shared" si="983"/>
        <v/>
      </c>
      <c r="X2831" s="70" t="str">
        <f t="shared" si="984"/>
        <v/>
      </c>
      <c r="Y2831" s="70" t="str">
        <f>IF(AND($A2831&lt;&gt;"",$E2831&gt;0),isLaptopBag($C2831,$J2831)*$D2831,"")</f>
        <v/>
      </c>
      <c r="Z2831" s="70" t="str">
        <f t="shared" si="985"/>
        <v/>
      </c>
      <c r="AA2831" s="70" t="str">
        <f t="shared" si="986"/>
        <v/>
      </c>
      <c r="AB2831" s="70" t="str">
        <f t="shared" si="987"/>
        <v/>
      </c>
      <c r="AC2831" s="70" t="str">
        <f t="shared" si="988"/>
        <v/>
      </c>
      <c r="AD2831" s="70" t="str">
        <f t="shared" si="989"/>
        <v/>
      </c>
      <c r="AE2831" s="70" t="str">
        <f t="shared" si="990"/>
        <v/>
      </c>
      <c r="AF2831" s="16"/>
      <c r="AG2831" s="23"/>
      <c r="AH2831" s="22"/>
      <c r="AJ2831" s="83">
        <f t="shared" si="991"/>
        <v>0</v>
      </c>
      <c r="AO2831" s="22" t="str">
        <f t="shared" si="992"/>
        <v/>
      </c>
      <c r="AP2831" s="22" t="str">
        <f t="shared" si="993"/>
        <v/>
      </c>
    </row>
    <row r="2832" spans="1:42" x14ac:dyDescent="0.25">
      <c r="A2832" s="10"/>
      <c r="B2832" s="10"/>
      <c r="C2832" s="10"/>
      <c r="D2832" s="10"/>
      <c r="E2832" s="10"/>
      <c r="F2832" s="10"/>
      <c r="G2832" s="10"/>
      <c r="H2832" s="17"/>
      <c r="I2832" s="10"/>
      <c r="J2832" s="10"/>
      <c r="K2832" s="16" t="str">
        <f t="shared" si="972"/>
        <v/>
      </c>
      <c r="L2832" s="23" t="str">
        <f t="shared" si="973"/>
        <v/>
      </c>
      <c r="M2832" s="22" t="str">
        <f t="shared" si="974"/>
        <v/>
      </c>
      <c r="N2832" s="72"/>
      <c r="O2832" s="16" t="str">
        <f t="shared" si="975"/>
        <v/>
      </c>
      <c r="P2832" s="16" t="str">
        <f t="shared" si="976"/>
        <v/>
      </c>
      <c r="Q2832" s="16" t="str">
        <f t="shared" si="977"/>
        <v/>
      </c>
      <c r="R2832" s="23" t="str">
        <f t="shared" si="978"/>
        <v/>
      </c>
      <c r="S2832" s="23" t="str">
        <f t="shared" si="979"/>
        <v/>
      </c>
      <c r="T2832" s="23" t="str">
        <f t="shared" si="980"/>
        <v/>
      </c>
      <c r="U2832" s="23" t="str">
        <f t="shared" si="981"/>
        <v/>
      </c>
      <c r="V2832" s="23" t="str">
        <f t="shared" si="982"/>
        <v/>
      </c>
      <c r="W2832" s="70" t="str">
        <f t="shared" si="983"/>
        <v/>
      </c>
      <c r="X2832" s="70" t="str">
        <f t="shared" si="984"/>
        <v/>
      </c>
      <c r="Y2832" s="70" t="str">
        <f>IF(AND($A2832&lt;&gt;"",$E2832&gt;0),isLaptopBag($C2832,$J2832)*$D2832,"")</f>
        <v/>
      </c>
      <c r="Z2832" s="70" t="str">
        <f t="shared" si="985"/>
        <v/>
      </c>
      <c r="AA2832" s="70" t="str">
        <f t="shared" si="986"/>
        <v/>
      </c>
      <c r="AB2832" s="70" t="str">
        <f t="shared" si="987"/>
        <v/>
      </c>
      <c r="AC2832" s="70" t="str">
        <f t="shared" si="988"/>
        <v/>
      </c>
      <c r="AD2832" s="70" t="str">
        <f t="shared" si="989"/>
        <v/>
      </c>
      <c r="AE2832" s="70" t="str">
        <f t="shared" si="990"/>
        <v/>
      </c>
      <c r="AF2832" s="16"/>
      <c r="AG2832" s="23"/>
      <c r="AH2832" s="22"/>
      <c r="AJ2832" s="83">
        <f t="shared" si="991"/>
        <v>0</v>
      </c>
      <c r="AO2832" s="22" t="str">
        <f t="shared" si="992"/>
        <v/>
      </c>
      <c r="AP2832" s="22" t="str">
        <f t="shared" si="993"/>
        <v/>
      </c>
    </row>
    <row r="2833" spans="1:42" x14ac:dyDescent="0.25">
      <c r="A2833" s="10"/>
      <c r="B2833" s="10"/>
      <c r="C2833" s="10"/>
      <c r="D2833" s="10"/>
      <c r="E2833" s="10"/>
      <c r="F2833" s="10"/>
      <c r="G2833" s="10"/>
      <c r="H2833" s="17"/>
      <c r="I2833" s="10"/>
      <c r="J2833" s="10"/>
      <c r="K2833" s="16" t="str">
        <f t="shared" si="972"/>
        <v/>
      </c>
      <c r="L2833" s="23" t="str">
        <f t="shared" si="973"/>
        <v/>
      </c>
      <c r="M2833" s="22" t="str">
        <f t="shared" si="974"/>
        <v/>
      </c>
      <c r="N2833" s="72"/>
      <c r="O2833" s="16" t="str">
        <f t="shared" si="975"/>
        <v/>
      </c>
      <c r="P2833" s="16" t="str">
        <f t="shared" si="976"/>
        <v/>
      </c>
      <c r="Q2833" s="16" t="str">
        <f t="shared" si="977"/>
        <v/>
      </c>
      <c r="R2833" s="23" t="str">
        <f t="shared" si="978"/>
        <v/>
      </c>
      <c r="S2833" s="23" t="str">
        <f t="shared" si="979"/>
        <v/>
      </c>
      <c r="T2833" s="23" t="str">
        <f t="shared" si="980"/>
        <v/>
      </c>
      <c r="U2833" s="23" t="str">
        <f t="shared" si="981"/>
        <v/>
      </c>
      <c r="V2833" s="23" t="str">
        <f t="shared" si="982"/>
        <v/>
      </c>
      <c r="W2833" s="70" t="str">
        <f t="shared" si="983"/>
        <v/>
      </c>
      <c r="X2833" s="70" t="str">
        <f t="shared" si="984"/>
        <v/>
      </c>
      <c r="Y2833" s="70" t="str">
        <f>IF(AND($A2833&lt;&gt;"",$E2833&gt;0),isLaptopBag($C2833,$J2833)*$D2833,"")</f>
        <v/>
      </c>
      <c r="Z2833" s="70" t="str">
        <f t="shared" si="985"/>
        <v/>
      </c>
      <c r="AA2833" s="70" t="str">
        <f t="shared" si="986"/>
        <v/>
      </c>
      <c r="AB2833" s="70" t="str">
        <f t="shared" si="987"/>
        <v/>
      </c>
      <c r="AC2833" s="70" t="str">
        <f t="shared" si="988"/>
        <v/>
      </c>
      <c r="AD2833" s="70" t="str">
        <f t="shared" si="989"/>
        <v/>
      </c>
      <c r="AE2833" s="70" t="str">
        <f t="shared" si="990"/>
        <v/>
      </c>
      <c r="AF2833" s="16"/>
      <c r="AG2833" s="23"/>
      <c r="AH2833" s="22"/>
      <c r="AJ2833" s="83">
        <f t="shared" si="991"/>
        <v>0</v>
      </c>
      <c r="AO2833" s="22" t="str">
        <f t="shared" si="992"/>
        <v/>
      </c>
      <c r="AP2833" s="22" t="str">
        <f t="shared" si="993"/>
        <v/>
      </c>
    </row>
    <row r="2834" spans="1:42" x14ac:dyDescent="0.25">
      <c r="A2834" s="10"/>
      <c r="B2834" s="10"/>
      <c r="C2834" s="10"/>
      <c r="D2834" s="10"/>
      <c r="E2834" s="10"/>
      <c r="F2834" s="10"/>
      <c r="G2834" s="10"/>
      <c r="H2834" s="17"/>
      <c r="I2834" s="10"/>
      <c r="J2834" s="10"/>
      <c r="K2834" s="16" t="str">
        <f t="shared" si="972"/>
        <v/>
      </c>
      <c r="L2834" s="23" t="str">
        <f t="shared" si="973"/>
        <v/>
      </c>
      <c r="M2834" s="22" t="str">
        <f t="shared" si="974"/>
        <v/>
      </c>
      <c r="N2834" s="72"/>
      <c r="O2834" s="16" t="str">
        <f t="shared" si="975"/>
        <v/>
      </c>
      <c r="P2834" s="16" t="str">
        <f t="shared" si="976"/>
        <v/>
      </c>
      <c r="Q2834" s="16" t="str">
        <f t="shared" si="977"/>
        <v/>
      </c>
      <c r="R2834" s="23" t="str">
        <f t="shared" si="978"/>
        <v/>
      </c>
      <c r="S2834" s="23" t="str">
        <f t="shared" si="979"/>
        <v/>
      </c>
      <c r="T2834" s="23" t="str">
        <f t="shared" si="980"/>
        <v/>
      </c>
      <c r="U2834" s="23" t="str">
        <f t="shared" si="981"/>
        <v/>
      </c>
      <c r="V2834" s="23" t="str">
        <f t="shared" si="982"/>
        <v/>
      </c>
      <c r="W2834" s="70" t="str">
        <f t="shared" si="983"/>
        <v/>
      </c>
      <c r="X2834" s="70" t="str">
        <f t="shared" si="984"/>
        <v/>
      </c>
      <c r="Y2834" s="70" t="str">
        <f>IF(AND($A2834&lt;&gt;"",$E2834&gt;0),isLaptopBag($C2834,$J2834)*$D2834,"")</f>
        <v/>
      </c>
      <c r="Z2834" s="70" t="str">
        <f t="shared" si="985"/>
        <v/>
      </c>
      <c r="AA2834" s="70" t="str">
        <f t="shared" si="986"/>
        <v/>
      </c>
      <c r="AB2834" s="70" t="str">
        <f t="shared" si="987"/>
        <v/>
      </c>
      <c r="AC2834" s="70" t="str">
        <f t="shared" si="988"/>
        <v/>
      </c>
      <c r="AD2834" s="70" t="str">
        <f t="shared" si="989"/>
        <v/>
      </c>
      <c r="AE2834" s="70" t="str">
        <f t="shared" si="990"/>
        <v/>
      </c>
      <c r="AF2834" s="16"/>
      <c r="AG2834" s="23"/>
      <c r="AH2834" s="22"/>
      <c r="AJ2834" s="83">
        <f t="shared" si="991"/>
        <v>0</v>
      </c>
      <c r="AO2834" s="22" t="str">
        <f t="shared" si="992"/>
        <v/>
      </c>
      <c r="AP2834" s="22" t="str">
        <f t="shared" si="993"/>
        <v/>
      </c>
    </row>
    <row r="2835" spans="1:42" x14ac:dyDescent="0.25">
      <c r="A2835" s="10"/>
      <c r="B2835" s="10"/>
      <c r="C2835" s="10"/>
      <c r="D2835" s="10"/>
      <c r="E2835" s="10"/>
      <c r="F2835" s="10"/>
      <c r="G2835" s="10"/>
      <c r="H2835" s="17"/>
      <c r="I2835" s="10"/>
      <c r="J2835" s="10"/>
      <c r="K2835" s="16" t="str">
        <f t="shared" si="972"/>
        <v/>
      </c>
      <c r="L2835" s="23" t="str">
        <f t="shared" si="973"/>
        <v/>
      </c>
      <c r="M2835" s="22" t="str">
        <f t="shared" si="974"/>
        <v/>
      </c>
      <c r="N2835" s="72"/>
      <c r="O2835" s="16" t="str">
        <f t="shared" si="975"/>
        <v/>
      </c>
      <c r="P2835" s="16" t="str">
        <f t="shared" si="976"/>
        <v/>
      </c>
      <c r="Q2835" s="16" t="str">
        <f t="shared" si="977"/>
        <v/>
      </c>
      <c r="R2835" s="23" t="str">
        <f t="shared" si="978"/>
        <v/>
      </c>
      <c r="S2835" s="23" t="str">
        <f t="shared" si="979"/>
        <v/>
      </c>
      <c r="T2835" s="23" t="str">
        <f t="shared" si="980"/>
        <v/>
      </c>
      <c r="U2835" s="23" t="str">
        <f t="shared" si="981"/>
        <v/>
      </c>
      <c r="V2835" s="23" t="str">
        <f t="shared" si="982"/>
        <v/>
      </c>
      <c r="W2835" s="70" t="str">
        <f t="shared" si="983"/>
        <v/>
      </c>
      <c r="X2835" s="70" t="str">
        <f t="shared" si="984"/>
        <v/>
      </c>
      <c r="Y2835" s="70" t="str">
        <f>IF(AND($A2835&lt;&gt;"",$E2835&gt;0),isLaptopBag($C2835,$J2835)*$D2835,"")</f>
        <v/>
      </c>
      <c r="Z2835" s="70" t="str">
        <f t="shared" si="985"/>
        <v/>
      </c>
      <c r="AA2835" s="70" t="str">
        <f t="shared" si="986"/>
        <v/>
      </c>
      <c r="AB2835" s="70" t="str">
        <f t="shared" si="987"/>
        <v/>
      </c>
      <c r="AC2835" s="70" t="str">
        <f t="shared" si="988"/>
        <v/>
      </c>
      <c r="AD2835" s="70" t="str">
        <f t="shared" si="989"/>
        <v/>
      </c>
      <c r="AE2835" s="70" t="str">
        <f t="shared" si="990"/>
        <v/>
      </c>
      <c r="AF2835" s="16"/>
      <c r="AG2835" s="23"/>
      <c r="AH2835" s="22"/>
      <c r="AJ2835" s="83">
        <f t="shared" si="991"/>
        <v>0</v>
      </c>
      <c r="AO2835" s="22" t="str">
        <f t="shared" si="992"/>
        <v/>
      </c>
      <c r="AP2835" s="22" t="str">
        <f t="shared" si="993"/>
        <v/>
      </c>
    </row>
    <row r="2836" spans="1:42" x14ac:dyDescent="0.25">
      <c r="A2836" s="10"/>
      <c r="B2836" s="10"/>
      <c r="C2836" s="10"/>
      <c r="D2836" s="10"/>
      <c r="E2836" s="10"/>
      <c r="F2836" s="10"/>
      <c r="G2836" s="10"/>
      <c r="H2836" s="17"/>
      <c r="I2836" s="10"/>
      <c r="J2836" s="10"/>
      <c r="K2836" s="16" t="str">
        <f t="shared" si="972"/>
        <v/>
      </c>
      <c r="L2836" s="23" t="str">
        <f t="shared" si="973"/>
        <v/>
      </c>
      <c r="M2836" s="22" t="str">
        <f t="shared" si="974"/>
        <v/>
      </c>
      <c r="N2836" s="72"/>
      <c r="O2836" s="16" t="str">
        <f t="shared" si="975"/>
        <v/>
      </c>
      <c r="P2836" s="16" t="str">
        <f t="shared" si="976"/>
        <v/>
      </c>
      <c r="Q2836" s="16" t="str">
        <f t="shared" si="977"/>
        <v/>
      </c>
      <c r="R2836" s="23" t="str">
        <f t="shared" si="978"/>
        <v/>
      </c>
      <c r="S2836" s="23" t="str">
        <f t="shared" si="979"/>
        <v/>
      </c>
      <c r="T2836" s="23" t="str">
        <f t="shared" si="980"/>
        <v/>
      </c>
      <c r="U2836" s="23" t="str">
        <f t="shared" si="981"/>
        <v/>
      </c>
      <c r="V2836" s="23" t="str">
        <f t="shared" si="982"/>
        <v/>
      </c>
      <c r="W2836" s="70" t="str">
        <f t="shared" si="983"/>
        <v/>
      </c>
      <c r="X2836" s="70" t="str">
        <f t="shared" si="984"/>
        <v/>
      </c>
      <c r="Y2836" s="70" t="str">
        <f>IF(AND($A2836&lt;&gt;"",$E2836&gt;0),isLaptopBag($C2836,$J2836)*$D2836,"")</f>
        <v/>
      </c>
      <c r="Z2836" s="70" t="str">
        <f t="shared" si="985"/>
        <v/>
      </c>
      <c r="AA2836" s="70" t="str">
        <f t="shared" si="986"/>
        <v/>
      </c>
      <c r="AB2836" s="70" t="str">
        <f t="shared" si="987"/>
        <v/>
      </c>
      <c r="AC2836" s="70" t="str">
        <f t="shared" si="988"/>
        <v/>
      </c>
      <c r="AD2836" s="70" t="str">
        <f t="shared" si="989"/>
        <v/>
      </c>
      <c r="AE2836" s="70" t="str">
        <f t="shared" si="990"/>
        <v/>
      </c>
      <c r="AF2836" s="16"/>
      <c r="AG2836" s="23"/>
      <c r="AH2836" s="22"/>
      <c r="AJ2836" s="83">
        <f t="shared" si="991"/>
        <v>0</v>
      </c>
      <c r="AO2836" s="22" t="str">
        <f t="shared" si="992"/>
        <v/>
      </c>
      <c r="AP2836" s="22" t="str">
        <f t="shared" si="993"/>
        <v/>
      </c>
    </row>
    <row r="2837" spans="1:42" x14ac:dyDescent="0.25">
      <c r="A2837" s="10"/>
      <c r="B2837" s="10"/>
      <c r="C2837" s="10"/>
      <c r="D2837" s="10"/>
      <c r="E2837" s="10"/>
      <c r="F2837" s="10"/>
      <c r="G2837" s="10"/>
      <c r="H2837" s="17"/>
      <c r="I2837" s="10"/>
      <c r="J2837" s="10"/>
      <c r="K2837" s="16" t="str">
        <f t="shared" si="972"/>
        <v/>
      </c>
      <c r="L2837" s="23" t="str">
        <f t="shared" si="973"/>
        <v/>
      </c>
      <c r="M2837" s="22" t="str">
        <f t="shared" si="974"/>
        <v/>
      </c>
      <c r="N2837" s="72"/>
      <c r="O2837" s="16" t="str">
        <f t="shared" si="975"/>
        <v/>
      </c>
      <c r="P2837" s="16" t="str">
        <f t="shared" si="976"/>
        <v/>
      </c>
      <c r="Q2837" s="16" t="str">
        <f t="shared" si="977"/>
        <v/>
      </c>
      <c r="R2837" s="23" t="str">
        <f t="shared" si="978"/>
        <v/>
      </c>
      <c r="S2837" s="23" t="str">
        <f t="shared" si="979"/>
        <v/>
      </c>
      <c r="T2837" s="23" t="str">
        <f t="shared" si="980"/>
        <v/>
      </c>
      <c r="U2837" s="23" t="str">
        <f t="shared" si="981"/>
        <v/>
      </c>
      <c r="V2837" s="23" t="str">
        <f t="shared" si="982"/>
        <v/>
      </c>
      <c r="W2837" s="70" t="str">
        <f t="shared" si="983"/>
        <v/>
      </c>
      <c r="X2837" s="70" t="str">
        <f t="shared" si="984"/>
        <v/>
      </c>
      <c r="Y2837" s="70" t="str">
        <f>IF(AND($A2837&lt;&gt;"",$E2837&gt;0),isLaptopBag($C2837,$J2837)*$D2837,"")</f>
        <v/>
      </c>
      <c r="Z2837" s="70" t="str">
        <f t="shared" si="985"/>
        <v/>
      </c>
      <c r="AA2837" s="70" t="str">
        <f t="shared" si="986"/>
        <v/>
      </c>
      <c r="AB2837" s="70" t="str">
        <f t="shared" si="987"/>
        <v/>
      </c>
      <c r="AC2837" s="70" t="str">
        <f t="shared" si="988"/>
        <v/>
      </c>
      <c r="AD2837" s="70" t="str">
        <f t="shared" si="989"/>
        <v/>
      </c>
      <c r="AE2837" s="70" t="str">
        <f t="shared" si="990"/>
        <v/>
      </c>
      <c r="AF2837" s="16"/>
      <c r="AG2837" s="23"/>
      <c r="AH2837" s="22"/>
      <c r="AJ2837" s="83">
        <f t="shared" si="991"/>
        <v>0</v>
      </c>
      <c r="AO2837" s="22" t="str">
        <f t="shared" si="992"/>
        <v/>
      </c>
      <c r="AP2837" s="22" t="str">
        <f t="shared" si="993"/>
        <v/>
      </c>
    </row>
    <row r="2838" spans="1:42" x14ac:dyDescent="0.25">
      <c r="A2838" s="10"/>
      <c r="B2838" s="10"/>
      <c r="C2838" s="10"/>
      <c r="D2838" s="10"/>
      <c r="E2838" s="10"/>
      <c r="F2838" s="10"/>
      <c r="G2838" s="10"/>
      <c r="H2838" s="17"/>
      <c r="I2838" s="10"/>
      <c r="J2838" s="10"/>
      <c r="K2838" s="16" t="str">
        <f t="shared" si="972"/>
        <v/>
      </c>
      <c r="L2838" s="23" t="str">
        <f t="shared" si="973"/>
        <v/>
      </c>
      <c r="M2838" s="22" t="str">
        <f t="shared" si="974"/>
        <v/>
      </c>
      <c r="N2838" s="72"/>
      <c r="O2838" s="16" t="str">
        <f t="shared" si="975"/>
        <v/>
      </c>
      <c r="P2838" s="16" t="str">
        <f t="shared" si="976"/>
        <v/>
      </c>
      <c r="Q2838" s="16" t="str">
        <f t="shared" si="977"/>
        <v/>
      </c>
      <c r="R2838" s="23" t="str">
        <f t="shared" si="978"/>
        <v/>
      </c>
      <c r="S2838" s="23" t="str">
        <f t="shared" si="979"/>
        <v/>
      </c>
      <c r="T2838" s="23" t="str">
        <f t="shared" si="980"/>
        <v/>
      </c>
      <c r="U2838" s="23" t="str">
        <f t="shared" si="981"/>
        <v/>
      </c>
      <c r="V2838" s="23" t="str">
        <f t="shared" si="982"/>
        <v/>
      </c>
      <c r="W2838" s="70" t="str">
        <f t="shared" si="983"/>
        <v/>
      </c>
      <c r="X2838" s="70" t="str">
        <f t="shared" si="984"/>
        <v/>
      </c>
      <c r="Y2838" s="70" t="str">
        <f>IF(AND($A2838&lt;&gt;"",$E2838&gt;0),isLaptopBag($C2838,$J2838)*$D2838,"")</f>
        <v/>
      </c>
      <c r="Z2838" s="70" t="str">
        <f t="shared" si="985"/>
        <v/>
      </c>
      <c r="AA2838" s="70" t="str">
        <f t="shared" si="986"/>
        <v/>
      </c>
      <c r="AB2838" s="70" t="str">
        <f t="shared" si="987"/>
        <v/>
      </c>
      <c r="AC2838" s="70" t="str">
        <f t="shared" si="988"/>
        <v/>
      </c>
      <c r="AD2838" s="70" t="str">
        <f t="shared" si="989"/>
        <v/>
      </c>
      <c r="AE2838" s="70" t="str">
        <f t="shared" si="990"/>
        <v/>
      </c>
      <c r="AF2838" s="16"/>
      <c r="AG2838" s="23"/>
      <c r="AH2838" s="22"/>
      <c r="AJ2838" s="83">
        <f t="shared" si="991"/>
        <v>0</v>
      </c>
      <c r="AO2838" s="22" t="str">
        <f t="shared" si="992"/>
        <v/>
      </c>
      <c r="AP2838" s="22" t="str">
        <f t="shared" si="993"/>
        <v/>
      </c>
    </row>
    <row r="2839" spans="1:42" x14ac:dyDescent="0.25">
      <c r="A2839" s="10"/>
      <c r="B2839" s="10"/>
      <c r="C2839" s="10"/>
      <c r="D2839" s="10"/>
      <c r="E2839" s="10"/>
      <c r="F2839" s="10"/>
      <c r="G2839" s="10"/>
      <c r="H2839" s="17"/>
      <c r="I2839" s="10"/>
      <c r="J2839" s="10"/>
      <c r="K2839" s="16" t="str">
        <f t="shared" si="972"/>
        <v/>
      </c>
      <c r="L2839" s="23" t="str">
        <f t="shared" si="973"/>
        <v/>
      </c>
      <c r="M2839" s="22" t="str">
        <f t="shared" si="974"/>
        <v/>
      </c>
      <c r="N2839" s="72"/>
      <c r="O2839" s="16" t="str">
        <f t="shared" si="975"/>
        <v/>
      </c>
      <c r="P2839" s="16" t="str">
        <f t="shared" si="976"/>
        <v/>
      </c>
      <c r="Q2839" s="16" t="str">
        <f t="shared" si="977"/>
        <v/>
      </c>
      <c r="R2839" s="23" t="str">
        <f t="shared" si="978"/>
        <v/>
      </c>
      <c r="S2839" s="23" t="str">
        <f t="shared" si="979"/>
        <v/>
      </c>
      <c r="T2839" s="23" t="str">
        <f t="shared" si="980"/>
        <v/>
      </c>
      <c r="U2839" s="23" t="str">
        <f t="shared" si="981"/>
        <v/>
      </c>
      <c r="V2839" s="23" t="str">
        <f t="shared" si="982"/>
        <v/>
      </c>
      <c r="W2839" s="70" t="str">
        <f t="shared" si="983"/>
        <v/>
      </c>
      <c r="X2839" s="70" t="str">
        <f t="shared" si="984"/>
        <v/>
      </c>
      <c r="Y2839" s="70" t="str">
        <f>IF(AND($A2839&lt;&gt;"",$E2839&gt;0),isLaptopBag($C2839,$J2839)*$D2839,"")</f>
        <v/>
      </c>
      <c r="Z2839" s="70" t="str">
        <f t="shared" si="985"/>
        <v/>
      </c>
      <c r="AA2839" s="70" t="str">
        <f t="shared" si="986"/>
        <v/>
      </c>
      <c r="AB2839" s="70" t="str">
        <f t="shared" si="987"/>
        <v/>
      </c>
      <c r="AC2839" s="70" t="str">
        <f t="shared" si="988"/>
        <v/>
      </c>
      <c r="AD2839" s="70" t="str">
        <f t="shared" si="989"/>
        <v/>
      </c>
      <c r="AE2839" s="70" t="str">
        <f t="shared" si="990"/>
        <v/>
      </c>
      <c r="AF2839" s="16"/>
      <c r="AG2839" s="23"/>
      <c r="AH2839" s="22"/>
      <c r="AJ2839" s="83">
        <f t="shared" si="991"/>
        <v>0</v>
      </c>
      <c r="AO2839" s="22" t="str">
        <f t="shared" si="992"/>
        <v/>
      </c>
      <c r="AP2839" s="22" t="str">
        <f t="shared" si="993"/>
        <v/>
      </c>
    </row>
    <row r="2840" spans="1:42" x14ac:dyDescent="0.25">
      <c r="A2840" s="10"/>
      <c r="B2840" s="10"/>
      <c r="C2840" s="10"/>
      <c r="D2840" s="10"/>
      <c r="E2840" s="10"/>
      <c r="F2840" s="10"/>
      <c r="G2840" s="10"/>
      <c r="H2840" s="17"/>
      <c r="I2840" s="10"/>
      <c r="J2840" s="10"/>
      <c r="K2840" s="16" t="str">
        <f t="shared" si="972"/>
        <v/>
      </c>
      <c r="L2840" s="23" t="str">
        <f t="shared" si="973"/>
        <v/>
      </c>
      <c r="M2840" s="22" t="str">
        <f t="shared" si="974"/>
        <v/>
      </c>
      <c r="N2840" s="72"/>
      <c r="O2840" s="16" t="str">
        <f t="shared" si="975"/>
        <v/>
      </c>
      <c r="P2840" s="16" t="str">
        <f t="shared" si="976"/>
        <v/>
      </c>
      <c r="Q2840" s="16" t="str">
        <f t="shared" si="977"/>
        <v/>
      </c>
      <c r="R2840" s="23" t="str">
        <f t="shared" si="978"/>
        <v/>
      </c>
      <c r="S2840" s="23" t="str">
        <f t="shared" si="979"/>
        <v/>
      </c>
      <c r="T2840" s="23" t="str">
        <f t="shared" si="980"/>
        <v/>
      </c>
      <c r="U2840" s="23" t="str">
        <f t="shared" si="981"/>
        <v/>
      </c>
      <c r="V2840" s="23" t="str">
        <f t="shared" si="982"/>
        <v/>
      </c>
      <c r="W2840" s="70" t="str">
        <f t="shared" si="983"/>
        <v/>
      </c>
      <c r="X2840" s="70" t="str">
        <f t="shared" si="984"/>
        <v/>
      </c>
      <c r="Y2840" s="70" t="str">
        <f>IF(AND($A2840&lt;&gt;"",$E2840&gt;0),isLaptopBag($C2840,$J2840)*$D2840,"")</f>
        <v/>
      </c>
      <c r="Z2840" s="70" t="str">
        <f t="shared" si="985"/>
        <v/>
      </c>
      <c r="AA2840" s="70" t="str">
        <f t="shared" si="986"/>
        <v/>
      </c>
      <c r="AB2840" s="70" t="str">
        <f t="shared" si="987"/>
        <v/>
      </c>
      <c r="AC2840" s="70" t="str">
        <f t="shared" si="988"/>
        <v/>
      </c>
      <c r="AD2840" s="70" t="str">
        <f t="shared" si="989"/>
        <v/>
      </c>
      <c r="AE2840" s="70" t="str">
        <f t="shared" si="990"/>
        <v/>
      </c>
      <c r="AF2840" s="16"/>
      <c r="AG2840" s="23"/>
      <c r="AH2840" s="22"/>
      <c r="AJ2840" s="83">
        <f t="shared" si="991"/>
        <v>0</v>
      </c>
      <c r="AO2840" s="22" t="str">
        <f t="shared" si="992"/>
        <v/>
      </c>
      <c r="AP2840" s="22" t="str">
        <f t="shared" si="993"/>
        <v/>
      </c>
    </row>
    <row r="2841" spans="1:42" x14ac:dyDescent="0.25">
      <c r="A2841" s="10"/>
      <c r="B2841" s="10"/>
      <c r="C2841" s="10"/>
      <c r="D2841" s="10"/>
      <c r="E2841" s="10"/>
      <c r="F2841" s="10"/>
      <c r="G2841" s="10"/>
      <c r="H2841" s="17"/>
      <c r="I2841" s="10"/>
      <c r="J2841" s="10"/>
      <c r="K2841" s="16" t="str">
        <f t="shared" si="972"/>
        <v/>
      </c>
      <c r="L2841" s="23" t="str">
        <f t="shared" si="973"/>
        <v/>
      </c>
      <c r="M2841" s="22" t="str">
        <f t="shared" si="974"/>
        <v/>
      </c>
      <c r="N2841" s="72"/>
      <c r="O2841" s="16" t="str">
        <f t="shared" si="975"/>
        <v/>
      </c>
      <c r="P2841" s="16" t="str">
        <f t="shared" si="976"/>
        <v/>
      </c>
      <c r="Q2841" s="16" t="str">
        <f t="shared" si="977"/>
        <v/>
      </c>
      <c r="R2841" s="23" t="str">
        <f t="shared" si="978"/>
        <v/>
      </c>
      <c r="S2841" s="23" t="str">
        <f t="shared" si="979"/>
        <v/>
      </c>
      <c r="T2841" s="23" t="str">
        <f t="shared" si="980"/>
        <v/>
      </c>
      <c r="U2841" s="23" t="str">
        <f t="shared" si="981"/>
        <v/>
      </c>
      <c r="V2841" s="23" t="str">
        <f t="shared" si="982"/>
        <v/>
      </c>
      <c r="W2841" s="70" t="str">
        <f t="shared" si="983"/>
        <v/>
      </c>
      <c r="X2841" s="70" t="str">
        <f t="shared" si="984"/>
        <v/>
      </c>
      <c r="Y2841" s="70" t="str">
        <f>IF(AND($A2841&lt;&gt;"",$E2841&gt;0),isLaptopBag($C2841,$J2841)*$D2841,"")</f>
        <v/>
      </c>
      <c r="Z2841" s="70" t="str">
        <f t="shared" si="985"/>
        <v/>
      </c>
      <c r="AA2841" s="70" t="str">
        <f t="shared" si="986"/>
        <v/>
      </c>
      <c r="AB2841" s="70" t="str">
        <f t="shared" si="987"/>
        <v/>
      </c>
      <c r="AC2841" s="70" t="str">
        <f t="shared" si="988"/>
        <v/>
      </c>
      <c r="AD2841" s="70" t="str">
        <f t="shared" si="989"/>
        <v/>
      </c>
      <c r="AE2841" s="70" t="str">
        <f t="shared" si="990"/>
        <v/>
      </c>
      <c r="AF2841" s="16"/>
      <c r="AG2841" s="23"/>
      <c r="AH2841" s="22"/>
      <c r="AJ2841" s="83">
        <f t="shared" si="991"/>
        <v>0</v>
      </c>
      <c r="AO2841" s="22" t="str">
        <f t="shared" si="992"/>
        <v/>
      </c>
      <c r="AP2841" s="22" t="str">
        <f t="shared" si="993"/>
        <v/>
      </c>
    </row>
    <row r="2842" spans="1:42" x14ac:dyDescent="0.25">
      <c r="A2842" s="10"/>
      <c r="B2842" s="10"/>
      <c r="C2842" s="10"/>
      <c r="D2842" s="10"/>
      <c r="E2842" s="10"/>
      <c r="F2842" s="10"/>
      <c r="G2842" s="10"/>
      <c r="H2842" s="17"/>
      <c r="I2842" s="10"/>
      <c r="J2842" s="10"/>
      <c r="K2842" s="16" t="str">
        <f t="shared" si="972"/>
        <v/>
      </c>
      <c r="L2842" s="23" t="str">
        <f t="shared" si="973"/>
        <v/>
      </c>
      <c r="M2842" s="22" t="str">
        <f t="shared" si="974"/>
        <v/>
      </c>
      <c r="N2842" s="72"/>
      <c r="O2842" s="16" t="str">
        <f t="shared" si="975"/>
        <v/>
      </c>
      <c r="P2842" s="16" t="str">
        <f t="shared" si="976"/>
        <v/>
      </c>
      <c r="Q2842" s="16" t="str">
        <f t="shared" si="977"/>
        <v/>
      </c>
      <c r="R2842" s="23" t="str">
        <f t="shared" si="978"/>
        <v/>
      </c>
      <c r="S2842" s="23" t="str">
        <f t="shared" si="979"/>
        <v/>
      </c>
      <c r="T2842" s="23" t="str">
        <f t="shared" si="980"/>
        <v/>
      </c>
      <c r="U2842" s="23" t="str">
        <f t="shared" si="981"/>
        <v/>
      </c>
      <c r="V2842" s="23" t="str">
        <f t="shared" si="982"/>
        <v/>
      </c>
      <c r="W2842" s="70" t="str">
        <f t="shared" si="983"/>
        <v/>
      </c>
      <c r="X2842" s="70" t="str">
        <f t="shared" si="984"/>
        <v/>
      </c>
      <c r="Y2842" s="70" t="str">
        <f>IF(AND($A2842&lt;&gt;"",$E2842&gt;0),isLaptopBag($C2842,$J2842)*$D2842,"")</f>
        <v/>
      </c>
      <c r="Z2842" s="70" t="str">
        <f t="shared" si="985"/>
        <v/>
      </c>
      <c r="AA2842" s="70" t="str">
        <f t="shared" si="986"/>
        <v/>
      </c>
      <c r="AB2842" s="70" t="str">
        <f t="shared" si="987"/>
        <v/>
      </c>
      <c r="AC2842" s="70" t="str">
        <f t="shared" si="988"/>
        <v/>
      </c>
      <c r="AD2842" s="70" t="str">
        <f t="shared" si="989"/>
        <v/>
      </c>
      <c r="AE2842" s="70" t="str">
        <f t="shared" si="990"/>
        <v/>
      </c>
      <c r="AF2842" s="16"/>
      <c r="AG2842" s="23"/>
      <c r="AH2842" s="22"/>
      <c r="AJ2842" s="83">
        <f t="shared" si="991"/>
        <v>0</v>
      </c>
      <c r="AO2842" s="22" t="str">
        <f t="shared" si="992"/>
        <v/>
      </c>
      <c r="AP2842" s="22" t="str">
        <f t="shared" si="993"/>
        <v/>
      </c>
    </row>
    <row r="2843" spans="1:42" x14ac:dyDescent="0.25">
      <c r="A2843" s="10"/>
      <c r="B2843" s="10"/>
      <c r="C2843" s="10"/>
      <c r="D2843" s="10"/>
      <c r="E2843" s="10"/>
      <c r="F2843" s="10"/>
      <c r="G2843" s="10"/>
      <c r="H2843" s="17"/>
      <c r="I2843" s="10"/>
      <c r="J2843" s="10"/>
      <c r="K2843" s="16" t="str">
        <f t="shared" si="972"/>
        <v/>
      </c>
      <c r="L2843" s="23" t="str">
        <f t="shared" si="973"/>
        <v/>
      </c>
      <c r="M2843" s="22" t="str">
        <f t="shared" si="974"/>
        <v/>
      </c>
      <c r="N2843" s="72"/>
      <c r="O2843" s="16" t="str">
        <f t="shared" si="975"/>
        <v/>
      </c>
      <c r="P2843" s="16" t="str">
        <f t="shared" si="976"/>
        <v/>
      </c>
      <c r="Q2843" s="16" t="str">
        <f t="shared" si="977"/>
        <v/>
      </c>
      <c r="R2843" s="23" t="str">
        <f t="shared" si="978"/>
        <v/>
      </c>
      <c r="S2843" s="23" t="str">
        <f t="shared" si="979"/>
        <v/>
      </c>
      <c r="T2843" s="23" t="str">
        <f t="shared" si="980"/>
        <v/>
      </c>
      <c r="U2843" s="23" t="str">
        <f t="shared" si="981"/>
        <v/>
      </c>
      <c r="V2843" s="23" t="str">
        <f t="shared" si="982"/>
        <v/>
      </c>
      <c r="W2843" s="70" t="str">
        <f t="shared" si="983"/>
        <v/>
      </c>
      <c r="X2843" s="70" t="str">
        <f t="shared" si="984"/>
        <v/>
      </c>
      <c r="Y2843" s="70" t="str">
        <f>IF(AND($A2843&lt;&gt;"",$E2843&gt;0),isLaptopBag($C2843,$J2843)*$D2843,"")</f>
        <v/>
      </c>
      <c r="Z2843" s="70" t="str">
        <f t="shared" si="985"/>
        <v/>
      </c>
      <c r="AA2843" s="70" t="str">
        <f t="shared" si="986"/>
        <v/>
      </c>
      <c r="AB2843" s="70" t="str">
        <f t="shared" si="987"/>
        <v/>
      </c>
      <c r="AC2843" s="70" t="str">
        <f t="shared" si="988"/>
        <v/>
      </c>
      <c r="AD2843" s="70" t="str">
        <f t="shared" si="989"/>
        <v/>
      </c>
      <c r="AE2843" s="70" t="str">
        <f t="shared" si="990"/>
        <v/>
      </c>
      <c r="AF2843" s="16"/>
      <c r="AG2843" s="23"/>
      <c r="AH2843" s="22"/>
      <c r="AJ2843" s="83">
        <f t="shared" si="991"/>
        <v>0</v>
      </c>
      <c r="AO2843" s="22" t="str">
        <f t="shared" si="992"/>
        <v/>
      </c>
      <c r="AP2843" s="22" t="str">
        <f t="shared" si="993"/>
        <v/>
      </c>
    </row>
    <row r="2844" spans="1:42" x14ac:dyDescent="0.25">
      <c r="A2844" s="10"/>
      <c r="B2844" s="10"/>
      <c r="C2844" s="10"/>
      <c r="D2844" s="10"/>
      <c r="E2844" s="10"/>
      <c r="F2844" s="10"/>
      <c r="G2844" s="10"/>
      <c r="H2844" s="17"/>
      <c r="I2844" s="10"/>
      <c r="J2844" s="10"/>
      <c r="K2844" s="16" t="str">
        <f t="shared" si="972"/>
        <v/>
      </c>
      <c r="L2844" s="23" t="str">
        <f t="shared" si="973"/>
        <v/>
      </c>
      <c r="M2844" s="22" t="str">
        <f t="shared" si="974"/>
        <v/>
      </c>
      <c r="N2844" s="72"/>
      <c r="O2844" s="16" t="str">
        <f t="shared" si="975"/>
        <v/>
      </c>
      <c r="P2844" s="16" t="str">
        <f t="shared" si="976"/>
        <v/>
      </c>
      <c r="Q2844" s="16" t="str">
        <f t="shared" si="977"/>
        <v/>
      </c>
      <c r="R2844" s="23" t="str">
        <f t="shared" si="978"/>
        <v/>
      </c>
      <c r="S2844" s="23" t="str">
        <f t="shared" si="979"/>
        <v/>
      </c>
      <c r="T2844" s="23" t="str">
        <f t="shared" si="980"/>
        <v/>
      </c>
      <c r="U2844" s="23" t="str">
        <f t="shared" si="981"/>
        <v/>
      </c>
      <c r="V2844" s="23" t="str">
        <f t="shared" si="982"/>
        <v/>
      </c>
      <c r="W2844" s="70" t="str">
        <f t="shared" si="983"/>
        <v/>
      </c>
      <c r="X2844" s="70" t="str">
        <f t="shared" si="984"/>
        <v/>
      </c>
      <c r="Y2844" s="70" t="str">
        <f>IF(AND($A2844&lt;&gt;"",$E2844&gt;0),isLaptopBag($C2844,$J2844)*$D2844,"")</f>
        <v/>
      </c>
      <c r="Z2844" s="70" t="str">
        <f t="shared" si="985"/>
        <v/>
      </c>
      <c r="AA2844" s="70" t="str">
        <f t="shared" si="986"/>
        <v/>
      </c>
      <c r="AB2844" s="70" t="str">
        <f t="shared" si="987"/>
        <v/>
      </c>
      <c r="AC2844" s="70" t="str">
        <f t="shared" si="988"/>
        <v/>
      </c>
      <c r="AD2844" s="70" t="str">
        <f t="shared" si="989"/>
        <v/>
      </c>
      <c r="AE2844" s="70" t="str">
        <f t="shared" si="990"/>
        <v/>
      </c>
      <c r="AF2844" s="16"/>
      <c r="AG2844" s="23"/>
      <c r="AH2844" s="22"/>
      <c r="AJ2844" s="83">
        <f t="shared" si="991"/>
        <v>0</v>
      </c>
      <c r="AO2844" s="22" t="str">
        <f t="shared" si="992"/>
        <v/>
      </c>
      <c r="AP2844" s="22" t="str">
        <f t="shared" si="993"/>
        <v/>
      </c>
    </row>
    <row r="2845" spans="1:42" x14ac:dyDescent="0.25">
      <c r="A2845" s="10"/>
      <c r="B2845" s="10"/>
      <c r="C2845" s="10"/>
      <c r="D2845" s="10"/>
      <c r="E2845" s="10"/>
      <c r="F2845" s="10"/>
      <c r="G2845" s="10"/>
      <c r="H2845" s="17"/>
      <c r="I2845" s="10"/>
      <c r="J2845" s="10"/>
      <c r="K2845" s="16" t="str">
        <f t="shared" si="972"/>
        <v/>
      </c>
      <c r="L2845" s="23" t="str">
        <f t="shared" si="973"/>
        <v/>
      </c>
      <c r="M2845" s="22" t="str">
        <f t="shared" si="974"/>
        <v/>
      </c>
      <c r="N2845" s="72"/>
      <c r="O2845" s="16" t="str">
        <f t="shared" si="975"/>
        <v/>
      </c>
      <c r="P2845" s="16" t="str">
        <f t="shared" si="976"/>
        <v/>
      </c>
      <c r="Q2845" s="16" t="str">
        <f t="shared" si="977"/>
        <v/>
      </c>
      <c r="R2845" s="23" t="str">
        <f t="shared" si="978"/>
        <v/>
      </c>
      <c r="S2845" s="23" t="str">
        <f t="shared" si="979"/>
        <v/>
      </c>
      <c r="T2845" s="23" t="str">
        <f t="shared" si="980"/>
        <v/>
      </c>
      <c r="U2845" s="23" t="str">
        <f t="shared" si="981"/>
        <v/>
      </c>
      <c r="V2845" s="23" t="str">
        <f t="shared" si="982"/>
        <v/>
      </c>
      <c r="W2845" s="70" t="str">
        <f t="shared" si="983"/>
        <v/>
      </c>
      <c r="X2845" s="70" t="str">
        <f t="shared" si="984"/>
        <v/>
      </c>
      <c r="Y2845" s="70" t="str">
        <f>IF(AND($A2845&lt;&gt;"",$E2845&gt;0),isLaptopBag($C2845,$J2845)*$D2845,"")</f>
        <v/>
      </c>
      <c r="Z2845" s="70" t="str">
        <f t="shared" si="985"/>
        <v/>
      </c>
      <c r="AA2845" s="70" t="str">
        <f t="shared" si="986"/>
        <v/>
      </c>
      <c r="AB2845" s="70" t="str">
        <f t="shared" si="987"/>
        <v/>
      </c>
      <c r="AC2845" s="70" t="str">
        <f t="shared" si="988"/>
        <v/>
      </c>
      <c r="AD2845" s="70" t="str">
        <f t="shared" si="989"/>
        <v/>
      </c>
      <c r="AE2845" s="70" t="str">
        <f t="shared" si="990"/>
        <v/>
      </c>
      <c r="AF2845" s="16"/>
      <c r="AG2845" s="23"/>
      <c r="AH2845" s="22"/>
      <c r="AJ2845" s="83">
        <f t="shared" si="991"/>
        <v>0</v>
      </c>
      <c r="AO2845" s="22" t="str">
        <f t="shared" si="992"/>
        <v/>
      </c>
      <c r="AP2845" s="22" t="str">
        <f t="shared" si="993"/>
        <v/>
      </c>
    </row>
    <row r="2846" spans="1:42" x14ac:dyDescent="0.25">
      <c r="A2846" s="10"/>
      <c r="B2846" s="10"/>
      <c r="C2846" s="10"/>
      <c r="D2846" s="10"/>
      <c r="E2846" s="10"/>
      <c r="F2846" s="10"/>
      <c r="G2846" s="10"/>
      <c r="H2846" s="17"/>
      <c r="I2846" s="10"/>
      <c r="J2846" s="10"/>
      <c r="K2846" s="16" t="str">
        <f t="shared" si="972"/>
        <v/>
      </c>
      <c r="L2846" s="23" t="str">
        <f t="shared" si="973"/>
        <v/>
      </c>
      <c r="M2846" s="22" t="str">
        <f t="shared" si="974"/>
        <v/>
      </c>
      <c r="N2846" s="72"/>
      <c r="O2846" s="16" t="str">
        <f t="shared" si="975"/>
        <v/>
      </c>
      <c r="P2846" s="16" t="str">
        <f t="shared" si="976"/>
        <v/>
      </c>
      <c r="Q2846" s="16" t="str">
        <f t="shared" si="977"/>
        <v/>
      </c>
      <c r="R2846" s="23" t="str">
        <f t="shared" si="978"/>
        <v/>
      </c>
      <c r="S2846" s="23" t="str">
        <f t="shared" si="979"/>
        <v/>
      </c>
      <c r="T2846" s="23" t="str">
        <f t="shared" si="980"/>
        <v/>
      </c>
      <c r="U2846" s="23" t="str">
        <f t="shared" si="981"/>
        <v/>
      </c>
      <c r="V2846" s="23" t="str">
        <f t="shared" si="982"/>
        <v/>
      </c>
      <c r="W2846" s="70" t="str">
        <f t="shared" si="983"/>
        <v/>
      </c>
      <c r="X2846" s="70" t="str">
        <f t="shared" si="984"/>
        <v/>
      </c>
      <c r="Y2846" s="70" t="str">
        <f>IF(AND($A2846&lt;&gt;"",$E2846&gt;0),isLaptopBag($C2846,$J2846)*$D2846,"")</f>
        <v/>
      </c>
      <c r="Z2846" s="70" t="str">
        <f t="shared" si="985"/>
        <v/>
      </c>
      <c r="AA2846" s="70" t="str">
        <f t="shared" si="986"/>
        <v/>
      </c>
      <c r="AB2846" s="70" t="str">
        <f t="shared" si="987"/>
        <v/>
      </c>
      <c r="AC2846" s="70" t="str">
        <f t="shared" si="988"/>
        <v/>
      </c>
      <c r="AD2846" s="70" t="str">
        <f t="shared" si="989"/>
        <v/>
      </c>
      <c r="AE2846" s="70" t="str">
        <f t="shared" si="990"/>
        <v/>
      </c>
      <c r="AF2846" s="16"/>
      <c r="AG2846" s="23"/>
      <c r="AH2846" s="22"/>
      <c r="AJ2846" s="83">
        <f t="shared" si="991"/>
        <v>0</v>
      </c>
      <c r="AO2846" s="22" t="str">
        <f t="shared" si="992"/>
        <v/>
      </c>
      <c r="AP2846" s="22" t="str">
        <f t="shared" si="993"/>
        <v/>
      </c>
    </row>
    <row r="2847" spans="1:42" x14ac:dyDescent="0.25">
      <c r="A2847" s="10"/>
      <c r="B2847" s="10"/>
      <c r="C2847" s="10"/>
      <c r="D2847" s="10"/>
      <c r="E2847" s="10"/>
      <c r="F2847" s="10"/>
      <c r="G2847" s="10"/>
      <c r="H2847" s="17"/>
      <c r="I2847" s="10"/>
      <c r="J2847" s="10"/>
      <c r="K2847" s="16" t="str">
        <f t="shared" si="972"/>
        <v/>
      </c>
      <c r="L2847" s="23" t="str">
        <f t="shared" si="973"/>
        <v/>
      </c>
      <c r="M2847" s="22" t="str">
        <f t="shared" si="974"/>
        <v/>
      </c>
      <c r="N2847" s="72"/>
      <c r="O2847" s="16" t="str">
        <f t="shared" si="975"/>
        <v/>
      </c>
      <c r="P2847" s="16" t="str">
        <f t="shared" si="976"/>
        <v/>
      </c>
      <c r="Q2847" s="16" t="str">
        <f t="shared" si="977"/>
        <v/>
      </c>
      <c r="R2847" s="23" t="str">
        <f t="shared" si="978"/>
        <v/>
      </c>
      <c r="S2847" s="23" t="str">
        <f t="shared" si="979"/>
        <v/>
      </c>
      <c r="T2847" s="23" t="str">
        <f t="shared" si="980"/>
        <v/>
      </c>
      <c r="U2847" s="23" t="str">
        <f t="shared" si="981"/>
        <v/>
      </c>
      <c r="V2847" s="23" t="str">
        <f t="shared" si="982"/>
        <v/>
      </c>
      <c r="W2847" s="70" t="str">
        <f t="shared" si="983"/>
        <v/>
      </c>
      <c r="X2847" s="70" t="str">
        <f t="shared" si="984"/>
        <v/>
      </c>
      <c r="Y2847" s="70" t="str">
        <f>IF(AND($A2847&lt;&gt;"",$E2847&gt;0),isLaptopBag($C2847,$J2847)*$D2847,"")</f>
        <v/>
      </c>
      <c r="Z2847" s="70" t="str">
        <f t="shared" si="985"/>
        <v/>
      </c>
      <c r="AA2847" s="70" t="str">
        <f t="shared" si="986"/>
        <v/>
      </c>
      <c r="AB2847" s="70" t="str">
        <f t="shared" si="987"/>
        <v/>
      </c>
      <c r="AC2847" s="70" t="str">
        <f t="shared" si="988"/>
        <v/>
      </c>
      <c r="AD2847" s="70" t="str">
        <f t="shared" si="989"/>
        <v/>
      </c>
      <c r="AE2847" s="70" t="str">
        <f t="shared" si="990"/>
        <v/>
      </c>
      <c r="AF2847" s="16"/>
      <c r="AG2847" s="23"/>
      <c r="AH2847" s="22"/>
      <c r="AJ2847" s="83">
        <f t="shared" si="991"/>
        <v>0</v>
      </c>
      <c r="AO2847" s="22" t="str">
        <f t="shared" si="992"/>
        <v/>
      </c>
      <c r="AP2847" s="22" t="str">
        <f t="shared" si="993"/>
        <v/>
      </c>
    </row>
    <row r="2848" spans="1:42" x14ac:dyDescent="0.25">
      <c r="A2848" s="10"/>
      <c r="B2848" s="10"/>
      <c r="C2848" s="10"/>
      <c r="D2848" s="10"/>
      <c r="E2848" s="10"/>
      <c r="F2848" s="10"/>
      <c r="G2848" s="10"/>
      <c r="H2848" s="17"/>
      <c r="I2848" s="10"/>
      <c r="J2848" s="10"/>
      <c r="K2848" s="16" t="str">
        <f t="shared" si="972"/>
        <v/>
      </c>
      <c r="L2848" s="23" t="str">
        <f t="shared" si="973"/>
        <v/>
      </c>
      <c r="M2848" s="22" t="str">
        <f t="shared" si="974"/>
        <v/>
      </c>
      <c r="N2848" s="72"/>
      <c r="O2848" s="16" t="str">
        <f t="shared" si="975"/>
        <v/>
      </c>
      <c r="P2848" s="16" t="str">
        <f t="shared" si="976"/>
        <v/>
      </c>
      <c r="Q2848" s="16" t="str">
        <f t="shared" si="977"/>
        <v/>
      </c>
      <c r="R2848" s="23" t="str">
        <f t="shared" si="978"/>
        <v/>
      </c>
      <c r="S2848" s="23" t="str">
        <f t="shared" si="979"/>
        <v/>
      </c>
      <c r="T2848" s="23" t="str">
        <f t="shared" si="980"/>
        <v/>
      </c>
      <c r="U2848" s="23" t="str">
        <f t="shared" si="981"/>
        <v/>
      </c>
      <c r="V2848" s="23" t="str">
        <f t="shared" si="982"/>
        <v/>
      </c>
      <c r="W2848" s="70" t="str">
        <f t="shared" si="983"/>
        <v/>
      </c>
      <c r="X2848" s="70" t="str">
        <f t="shared" si="984"/>
        <v/>
      </c>
      <c r="Y2848" s="70" t="str">
        <f>IF(AND($A2848&lt;&gt;"",$E2848&gt;0),isLaptopBag($C2848,$J2848)*$D2848,"")</f>
        <v/>
      </c>
      <c r="Z2848" s="70" t="str">
        <f t="shared" si="985"/>
        <v/>
      </c>
      <c r="AA2848" s="70" t="str">
        <f t="shared" si="986"/>
        <v/>
      </c>
      <c r="AB2848" s="70" t="str">
        <f t="shared" si="987"/>
        <v/>
      </c>
      <c r="AC2848" s="70" t="str">
        <f t="shared" si="988"/>
        <v/>
      </c>
      <c r="AD2848" s="70" t="str">
        <f t="shared" si="989"/>
        <v/>
      </c>
      <c r="AE2848" s="70" t="str">
        <f t="shared" si="990"/>
        <v/>
      </c>
      <c r="AF2848" s="16"/>
      <c r="AG2848" s="23"/>
      <c r="AH2848" s="22"/>
      <c r="AJ2848" s="83">
        <f t="shared" si="991"/>
        <v>0</v>
      </c>
      <c r="AO2848" s="22" t="str">
        <f t="shared" si="992"/>
        <v/>
      </c>
      <c r="AP2848" s="22" t="str">
        <f t="shared" si="993"/>
        <v/>
      </c>
    </row>
    <row r="2849" spans="1:42" x14ac:dyDescent="0.25">
      <c r="A2849" s="10"/>
      <c r="B2849" s="10"/>
      <c r="C2849" s="10"/>
      <c r="D2849" s="10"/>
      <c r="E2849" s="10"/>
      <c r="F2849" s="10"/>
      <c r="G2849" s="10"/>
      <c r="H2849" s="17"/>
      <c r="I2849" s="10"/>
      <c r="J2849" s="10"/>
      <c r="K2849" s="16" t="str">
        <f t="shared" si="972"/>
        <v/>
      </c>
      <c r="L2849" s="23" t="str">
        <f t="shared" si="973"/>
        <v/>
      </c>
      <c r="M2849" s="22" t="str">
        <f t="shared" si="974"/>
        <v/>
      </c>
      <c r="N2849" s="72"/>
      <c r="O2849" s="16" t="str">
        <f t="shared" si="975"/>
        <v/>
      </c>
      <c r="P2849" s="16" t="str">
        <f t="shared" si="976"/>
        <v/>
      </c>
      <c r="Q2849" s="16" t="str">
        <f t="shared" si="977"/>
        <v/>
      </c>
      <c r="R2849" s="23" t="str">
        <f t="shared" si="978"/>
        <v/>
      </c>
      <c r="S2849" s="23" t="str">
        <f t="shared" si="979"/>
        <v/>
      </c>
      <c r="T2849" s="23" t="str">
        <f t="shared" si="980"/>
        <v/>
      </c>
      <c r="U2849" s="23" t="str">
        <f t="shared" si="981"/>
        <v/>
      </c>
      <c r="V2849" s="23" t="str">
        <f t="shared" si="982"/>
        <v/>
      </c>
      <c r="W2849" s="70" t="str">
        <f t="shared" si="983"/>
        <v/>
      </c>
      <c r="X2849" s="70" t="str">
        <f t="shared" si="984"/>
        <v/>
      </c>
      <c r="Y2849" s="70" t="str">
        <f>IF(AND($A2849&lt;&gt;"",$E2849&gt;0),isLaptopBag($C2849,$J2849)*$D2849,"")</f>
        <v/>
      </c>
      <c r="Z2849" s="70" t="str">
        <f t="shared" si="985"/>
        <v/>
      </c>
      <c r="AA2849" s="70" t="str">
        <f t="shared" si="986"/>
        <v/>
      </c>
      <c r="AB2849" s="70" t="str">
        <f t="shared" si="987"/>
        <v/>
      </c>
      <c r="AC2849" s="70" t="str">
        <f t="shared" si="988"/>
        <v/>
      </c>
      <c r="AD2849" s="70" t="str">
        <f t="shared" si="989"/>
        <v/>
      </c>
      <c r="AE2849" s="70" t="str">
        <f t="shared" si="990"/>
        <v/>
      </c>
      <c r="AF2849" s="16"/>
      <c r="AG2849" s="23"/>
      <c r="AH2849" s="22"/>
      <c r="AJ2849" s="83">
        <f t="shared" si="991"/>
        <v>0</v>
      </c>
      <c r="AO2849" s="22" t="str">
        <f t="shared" si="992"/>
        <v/>
      </c>
      <c r="AP2849" s="22" t="str">
        <f t="shared" si="993"/>
        <v/>
      </c>
    </row>
    <row r="2850" spans="1:42" x14ac:dyDescent="0.25">
      <c r="A2850" s="10"/>
      <c r="B2850" s="10"/>
      <c r="C2850" s="10"/>
      <c r="D2850" s="10"/>
      <c r="E2850" s="10"/>
      <c r="F2850" s="10"/>
      <c r="G2850" s="10"/>
      <c r="H2850" s="17"/>
      <c r="I2850" s="10"/>
      <c r="J2850" s="10"/>
      <c r="K2850" s="16" t="str">
        <f t="shared" si="972"/>
        <v/>
      </c>
      <c r="L2850" s="23" t="str">
        <f t="shared" si="973"/>
        <v/>
      </c>
      <c r="M2850" s="22" t="str">
        <f t="shared" si="974"/>
        <v/>
      </c>
      <c r="N2850" s="72"/>
      <c r="O2850" s="16" t="str">
        <f t="shared" si="975"/>
        <v/>
      </c>
      <c r="P2850" s="16" t="str">
        <f t="shared" si="976"/>
        <v/>
      </c>
      <c r="Q2850" s="16" t="str">
        <f t="shared" si="977"/>
        <v/>
      </c>
      <c r="R2850" s="23" t="str">
        <f t="shared" si="978"/>
        <v/>
      </c>
      <c r="S2850" s="23" t="str">
        <f t="shared" si="979"/>
        <v/>
      </c>
      <c r="T2850" s="23" t="str">
        <f t="shared" si="980"/>
        <v/>
      </c>
      <c r="U2850" s="23" t="str">
        <f t="shared" si="981"/>
        <v/>
      </c>
      <c r="V2850" s="23" t="str">
        <f t="shared" si="982"/>
        <v/>
      </c>
      <c r="W2850" s="70" t="str">
        <f t="shared" si="983"/>
        <v/>
      </c>
      <c r="X2850" s="70" t="str">
        <f t="shared" si="984"/>
        <v/>
      </c>
      <c r="Y2850" s="70" t="str">
        <f>IF(AND($A2850&lt;&gt;"",$E2850&gt;0),isLaptopBag($C2850,$J2850)*$D2850,"")</f>
        <v/>
      </c>
      <c r="Z2850" s="70" t="str">
        <f t="shared" si="985"/>
        <v/>
      </c>
      <c r="AA2850" s="70" t="str">
        <f t="shared" si="986"/>
        <v/>
      </c>
      <c r="AB2850" s="70" t="str">
        <f t="shared" si="987"/>
        <v/>
      </c>
      <c r="AC2850" s="70" t="str">
        <f t="shared" si="988"/>
        <v/>
      </c>
      <c r="AD2850" s="70" t="str">
        <f t="shared" si="989"/>
        <v/>
      </c>
      <c r="AE2850" s="70" t="str">
        <f t="shared" si="990"/>
        <v/>
      </c>
      <c r="AF2850" s="16"/>
      <c r="AG2850" s="23"/>
      <c r="AH2850" s="22"/>
      <c r="AJ2850" s="83">
        <f t="shared" si="991"/>
        <v>0</v>
      </c>
      <c r="AO2850" s="22" t="str">
        <f t="shared" si="992"/>
        <v/>
      </c>
      <c r="AP2850" s="22" t="str">
        <f t="shared" si="993"/>
        <v/>
      </c>
    </row>
    <row r="2851" spans="1:42" x14ac:dyDescent="0.25">
      <c r="A2851" s="10"/>
      <c r="B2851" s="10"/>
      <c r="C2851" s="10"/>
      <c r="D2851" s="10"/>
      <c r="E2851" s="10"/>
      <c r="F2851" s="10"/>
      <c r="G2851" s="10"/>
      <c r="H2851" s="17"/>
      <c r="I2851" s="10"/>
      <c r="J2851" s="10"/>
      <c r="K2851" s="16" t="str">
        <f t="shared" si="972"/>
        <v/>
      </c>
      <c r="L2851" s="23" t="str">
        <f t="shared" si="973"/>
        <v/>
      </c>
      <c r="M2851" s="22" t="str">
        <f t="shared" si="974"/>
        <v/>
      </c>
      <c r="N2851" s="72"/>
      <c r="O2851" s="16" t="str">
        <f t="shared" si="975"/>
        <v/>
      </c>
      <c r="P2851" s="16" t="str">
        <f t="shared" si="976"/>
        <v/>
      </c>
      <c r="Q2851" s="16" t="str">
        <f t="shared" si="977"/>
        <v/>
      </c>
      <c r="R2851" s="23" t="str">
        <f t="shared" si="978"/>
        <v/>
      </c>
      <c r="S2851" s="23" t="str">
        <f t="shared" si="979"/>
        <v/>
      </c>
      <c r="T2851" s="23" t="str">
        <f t="shared" si="980"/>
        <v/>
      </c>
      <c r="U2851" s="23" t="str">
        <f t="shared" si="981"/>
        <v/>
      </c>
      <c r="V2851" s="23" t="str">
        <f t="shared" si="982"/>
        <v/>
      </c>
      <c r="W2851" s="70" t="str">
        <f t="shared" si="983"/>
        <v/>
      </c>
      <c r="X2851" s="70" t="str">
        <f t="shared" si="984"/>
        <v/>
      </c>
      <c r="Y2851" s="70" t="str">
        <f>IF(AND($A2851&lt;&gt;"",$E2851&gt;0),isLaptopBag($C2851,$J2851)*$D2851,"")</f>
        <v/>
      </c>
      <c r="Z2851" s="70" t="str">
        <f t="shared" si="985"/>
        <v/>
      </c>
      <c r="AA2851" s="70" t="str">
        <f t="shared" si="986"/>
        <v/>
      </c>
      <c r="AB2851" s="70" t="str">
        <f t="shared" si="987"/>
        <v/>
      </c>
      <c r="AC2851" s="70" t="str">
        <f t="shared" si="988"/>
        <v/>
      </c>
      <c r="AD2851" s="70" t="str">
        <f t="shared" si="989"/>
        <v/>
      </c>
      <c r="AE2851" s="70" t="str">
        <f t="shared" si="990"/>
        <v/>
      </c>
      <c r="AF2851" s="16"/>
      <c r="AG2851" s="23"/>
      <c r="AH2851" s="22"/>
      <c r="AJ2851" s="83">
        <f t="shared" si="991"/>
        <v>0</v>
      </c>
      <c r="AO2851" s="22" t="str">
        <f t="shared" si="992"/>
        <v/>
      </c>
      <c r="AP2851" s="22" t="str">
        <f t="shared" si="993"/>
        <v/>
      </c>
    </row>
    <row r="2852" spans="1:42" x14ac:dyDescent="0.25">
      <c r="A2852" s="10"/>
      <c r="B2852" s="10"/>
      <c r="C2852" s="10"/>
      <c r="D2852" s="10"/>
      <c r="E2852" s="10"/>
      <c r="F2852" s="10"/>
      <c r="G2852" s="10"/>
      <c r="H2852" s="17"/>
      <c r="I2852" s="10"/>
      <c r="J2852" s="10"/>
      <c r="K2852" s="16" t="str">
        <f t="shared" si="972"/>
        <v/>
      </c>
      <c r="L2852" s="23" t="str">
        <f t="shared" si="973"/>
        <v/>
      </c>
      <c r="M2852" s="22" t="str">
        <f t="shared" si="974"/>
        <v/>
      </c>
      <c r="N2852" s="72"/>
      <c r="O2852" s="16" t="str">
        <f t="shared" si="975"/>
        <v/>
      </c>
      <c r="P2852" s="16" t="str">
        <f t="shared" si="976"/>
        <v/>
      </c>
      <c r="Q2852" s="16" t="str">
        <f t="shared" si="977"/>
        <v/>
      </c>
      <c r="R2852" s="23" t="str">
        <f t="shared" si="978"/>
        <v/>
      </c>
      <c r="S2852" s="23" t="str">
        <f t="shared" si="979"/>
        <v/>
      </c>
      <c r="T2852" s="23" t="str">
        <f t="shared" si="980"/>
        <v/>
      </c>
      <c r="U2852" s="23" t="str">
        <f t="shared" si="981"/>
        <v/>
      </c>
      <c r="V2852" s="23" t="str">
        <f t="shared" si="982"/>
        <v/>
      </c>
      <c r="W2852" s="70" t="str">
        <f t="shared" si="983"/>
        <v/>
      </c>
      <c r="X2852" s="70" t="str">
        <f t="shared" si="984"/>
        <v/>
      </c>
      <c r="Y2852" s="70" t="str">
        <f>IF(AND($A2852&lt;&gt;"",$E2852&gt;0),isLaptopBag($C2852,$J2852)*$D2852,"")</f>
        <v/>
      </c>
      <c r="Z2852" s="70" t="str">
        <f t="shared" si="985"/>
        <v/>
      </c>
      <c r="AA2852" s="70" t="str">
        <f t="shared" si="986"/>
        <v/>
      </c>
      <c r="AB2852" s="70" t="str">
        <f t="shared" si="987"/>
        <v/>
      </c>
      <c r="AC2852" s="70" t="str">
        <f t="shared" si="988"/>
        <v/>
      </c>
      <c r="AD2852" s="70" t="str">
        <f t="shared" si="989"/>
        <v/>
      </c>
      <c r="AE2852" s="70" t="str">
        <f t="shared" si="990"/>
        <v/>
      </c>
      <c r="AF2852" s="16"/>
      <c r="AG2852" s="23"/>
      <c r="AH2852" s="22"/>
      <c r="AJ2852" s="83">
        <f t="shared" si="991"/>
        <v>0</v>
      </c>
      <c r="AO2852" s="22" t="str">
        <f t="shared" si="992"/>
        <v/>
      </c>
      <c r="AP2852" s="22" t="str">
        <f t="shared" si="993"/>
        <v/>
      </c>
    </row>
    <row r="2853" spans="1:42" x14ac:dyDescent="0.25">
      <c r="A2853" s="10"/>
      <c r="B2853" s="10"/>
      <c r="C2853" s="10"/>
      <c r="D2853" s="10"/>
      <c r="E2853" s="10"/>
      <c r="F2853" s="10"/>
      <c r="G2853" s="10"/>
      <c r="H2853" s="17"/>
      <c r="I2853" s="10"/>
      <c r="J2853" s="10"/>
      <c r="K2853" s="16" t="str">
        <f t="shared" si="972"/>
        <v/>
      </c>
      <c r="L2853" s="23" t="str">
        <f t="shared" si="973"/>
        <v/>
      </c>
      <c r="M2853" s="22" t="str">
        <f t="shared" si="974"/>
        <v/>
      </c>
      <c r="N2853" s="72"/>
      <c r="O2853" s="16" t="str">
        <f t="shared" si="975"/>
        <v/>
      </c>
      <c r="P2853" s="16" t="str">
        <f t="shared" si="976"/>
        <v/>
      </c>
      <c r="Q2853" s="16" t="str">
        <f t="shared" si="977"/>
        <v/>
      </c>
      <c r="R2853" s="23" t="str">
        <f t="shared" si="978"/>
        <v/>
      </c>
      <c r="S2853" s="23" t="str">
        <f t="shared" si="979"/>
        <v/>
      </c>
      <c r="T2853" s="23" t="str">
        <f t="shared" si="980"/>
        <v/>
      </c>
      <c r="U2853" s="23" t="str">
        <f t="shared" si="981"/>
        <v/>
      </c>
      <c r="V2853" s="23" t="str">
        <f t="shared" si="982"/>
        <v/>
      </c>
      <c r="W2853" s="70" t="str">
        <f t="shared" si="983"/>
        <v/>
      </c>
      <c r="X2853" s="70" t="str">
        <f t="shared" si="984"/>
        <v/>
      </c>
      <c r="Y2853" s="70" t="str">
        <f>IF(AND($A2853&lt;&gt;"",$E2853&gt;0),isLaptopBag($C2853,$J2853)*$D2853,"")</f>
        <v/>
      </c>
      <c r="Z2853" s="70" t="str">
        <f t="shared" si="985"/>
        <v/>
      </c>
      <c r="AA2853" s="70" t="str">
        <f t="shared" si="986"/>
        <v/>
      </c>
      <c r="AB2853" s="70" t="str">
        <f t="shared" si="987"/>
        <v/>
      </c>
      <c r="AC2853" s="70" t="str">
        <f t="shared" si="988"/>
        <v/>
      </c>
      <c r="AD2853" s="70" t="str">
        <f t="shared" si="989"/>
        <v/>
      </c>
      <c r="AE2853" s="70" t="str">
        <f t="shared" si="990"/>
        <v/>
      </c>
      <c r="AF2853" s="16"/>
      <c r="AG2853" s="23"/>
      <c r="AH2853" s="22"/>
      <c r="AJ2853" s="83">
        <f t="shared" si="991"/>
        <v>0</v>
      </c>
      <c r="AO2853" s="22" t="str">
        <f t="shared" si="992"/>
        <v/>
      </c>
      <c r="AP2853" s="22" t="str">
        <f t="shared" si="993"/>
        <v/>
      </c>
    </row>
    <row r="2854" spans="1:42" x14ac:dyDescent="0.25">
      <c r="A2854" s="10"/>
      <c r="B2854" s="10"/>
      <c r="C2854" s="10"/>
      <c r="D2854" s="10"/>
      <c r="E2854" s="10"/>
      <c r="F2854" s="10"/>
      <c r="G2854" s="10"/>
      <c r="H2854" s="17"/>
      <c r="I2854" s="10"/>
      <c r="J2854" s="10"/>
      <c r="K2854" s="16" t="str">
        <f t="shared" si="972"/>
        <v/>
      </c>
      <c r="L2854" s="23" t="str">
        <f t="shared" si="973"/>
        <v/>
      </c>
      <c r="M2854" s="22" t="str">
        <f t="shared" si="974"/>
        <v/>
      </c>
      <c r="N2854" s="72"/>
      <c r="O2854" s="16" t="str">
        <f t="shared" si="975"/>
        <v/>
      </c>
      <c r="P2854" s="16" t="str">
        <f t="shared" si="976"/>
        <v/>
      </c>
      <c r="Q2854" s="16" t="str">
        <f t="shared" si="977"/>
        <v/>
      </c>
      <c r="R2854" s="23" t="str">
        <f t="shared" si="978"/>
        <v/>
      </c>
      <c r="S2854" s="23" t="str">
        <f t="shared" si="979"/>
        <v/>
      </c>
      <c r="T2854" s="23" t="str">
        <f t="shared" si="980"/>
        <v/>
      </c>
      <c r="U2854" s="23" t="str">
        <f t="shared" si="981"/>
        <v/>
      </c>
      <c r="V2854" s="23" t="str">
        <f t="shared" si="982"/>
        <v/>
      </c>
      <c r="W2854" s="70" t="str">
        <f t="shared" si="983"/>
        <v/>
      </c>
      <c r="X2854" s="70" t="str">
        <f t="shared" si="984"/>
        <v/>
      </c>
      <c r="Y2854" s="70" t="str">
        <f>IF(AND($A2854&lt;&gt;"",$E2854&gt;0),isLaptopBag($C2854,$J2854)*$D2854,"")</f>
        <v/>
      </c>
      <c r="Z2854" s="70" t="str">
        <f t="shared" si="985"/>
        <v/>
      </c>
      <c r="AA2854" s="70" t="str">
        <f t="shared" si="986"/>
        <v/>
      </c>
      <c r="AB2854" s="70" t="str">
        <f t="shared" si="987"/>
        <v/>
      </c>
      <c r="AC2854" s="70" t="str">
        <f t="shared" si="988"/>
        <v/>
      </c>
      <c r="AD2854" s="70" t="str">
        <f t="shared" si="989"/>
        <v/>
      </c>
      <c r="AE2854" s="70" t="str">
        <f t="shared" si="990"/>
        <v/>
      </c>
      <c r="AF2854" s="16"/>
      <c r="AG2854" s="23"/>
      <c r="AH2854" s="22"/>
      <c r="AJ2854" s="83">
        <f t="shared" si="991"/>
        <v>0</v>
      </c>
      <c r="AO2854" s="22" t="str">
        <f t="shared" si="992"/>
        <v/>
      </c>
      <c r="AP2854" s="22" t="str">
        <f t="shared" si="993"/>
        <v/>
      </c>
    </row>
    <row r="2855" spans="1:42" x14ac:dyDescent="0.25">
      <c r="A2855" s="10"/>
      <c r="B2855" s="10"/>
      <c r="C2855" s="10"/>
      <c r="D2855" s="10"/>
      <c r="E2855" s="10"/>
      <c r="F2855" s="10"/>
      <c r="G2855" s="10"/>
      <c r="H2855" s="17"/>
      <c r="I2855" s="10"/>
      <c r="J2855" s="10"/>
      <c r="K2855" s="16" t="str">
        <f t="shared" si="972"/>
        <v/>
      </c>
      <c r="L2855" s="23" t="str">
        <f t="shared" si="973"/>
        <v/>
      </c>
      <c r="M2855" s="22" t="str">
        <f t="shared" si="974"/>
        <v/>
      </c>
      <c r="N2855" s="72"/>
      <c r="O2855" s="16" t="str">
        <f t="shared" si="975"/>
        <v/>
      </c>
      <c r="P2855" s="16" t="str">
        <f t="shared" si="976"/>
        <v/>
      </c>
      <c r="Q2855" s="16" t="str">
        <f t="shared" si="977"/>
        <v/>
      </c>
      <c r="R2855" s="23" t="str">
        <f t="shared" si="978"/>
        <v/>
      </c>
      <c r="S2855" s="23" t="str">
        <f t="shared" si="979"/>
        <v/>
      </c>
      <c r="T2855" s="23" t="str">
        <f t="shared" si="980"/>
        <v/>
      </c>
      <c r="U2855" s="23" t="str">
        <f t="shared" si="981"/>
        <v/>
      </c>
      <c r="V2855" s="23" t="str">
        <f t="shared" si="982"/>
        <v/>
      </c>
      <c r="W2855" s="70" t="str">
        <f t="shared" si="983"/>
        <v/>
      </c>
      <c r="X2855" s="70" t="str">
        <f t="shared" si="984"/>
        <v/>
      </c>
      <c r="Y2855" s="70" t="str">
        <f>IF(AND($A2855&lt;&gt;"",$E2855&gt;0),isLaptopBag($C2855,$J2855)*$D2855,"")</f>
        <v/>
      </c>
      <c r="Z2855" s="70" t="str">
        <f t="shared" si="985"/>
        <v/>
      </c>
      <c r="AA2855" s="70" t="str">
        <f t="shared" si="986"/>
        <v/>
      </c>
      <c r="AB2855" s="70" t="str">
        <f t="shared" si="987"/>
        <v/>
      </c>
      <c r="AC2855" s="70" t="str">
        <f t="shared" si="988"/>
        <v/>
      </c>
      <c r="AD2855" s="70" t="str">
        <f t="shared" si="989"/>
        <v/>
      </c>
      <c r="AE2855" s="70" t="str">
        <f t="shared" si="990"/>
        <v/>
      </c>
      <c r="AF2855" s="16"/>
      <c r="AG2855" s="23"/>
      <c r="AH2855" s="22"/>
      <c r="AJ2855" s="83">
        <f t="shared" si="991"/>
        <v>0</v>
      </c>
      <c r="AO2855" s="22" t="str">
        <f t="shared" si="992"/>
        <v/>
      </c>
      <c r="AP2855" s="22" t="str">
        <f t="shared" si="993"/>
        <v/>
      </c>
    </row>
    <row r="2856" spans="1:42" x14ac:dyDescent="0.25">
      <c r="A2856" s="10"/>
      <c r="B2856" s="10"/>
      <c r="C2856" s="10"/>
      <c r="D2856" s="10"/>
      <c r="E2856" s="10"/>
      <c r="F2856" s="10"/>
      <c r="G2856" s="10"/>
      <c r="H2856" s="17"/>
      <c r="I2856" s="10"/>
      <c r="J2856" s="10"/>
      <c r="K2856" s="16" t="str">
        <f t="shared" si="972"/>
        <v/>
      </c>
      <c r="L2856" s="23" t="str">
        <f t="shared" si="973"/>
        <v/>
      </c>
      <c r="M2856" s="22" t="str">
        <f t="shared" si="974"/>
        <v/>
      </c>
      <c r="N2856" s="72"/>
      <c r="O2856" s="16" t="str">
        <f t="shared" si="975"/>
        <v/>
      </c>
      <c r="P2856" s="16" t="str">
        <f t="shared" si="976"/>
        <v/>
      </c>
      <c r="Q2856" s="16" t="str">
        <f t="shared" si="977"/>
        <v/>
      </c>
      <c r="R2856" s="23" t="str">
        <f t="shared" si="978"/>
        <v/>
      </c>
      <c r="S2856" s="23" t="str">
        <f t="shared" si="979"/>
        <v/>
      </c>
      <c r="T2856" s="23" t="str">
        <f t="shared" si="980"/>
        <v/>
      </c>
      <c r="U2856" s="23" t="str">
        <f t="shared" si="981"/>
        <v/>
      </c>
      <c r="V2856" s="23" t="str">
        <f t="shared" si="982"/>
        <v/>
      </c>
      <c r="W2856" s="70" t="str">
        <f t="shared" si="983"/>
        <v/>
      </c>
      <c r="X2856" s="70" t="str">
        <f t="shared" si="984"/>
        <v/>
      </c>
      <c r="Y2856" s="70" t="str">
        <f>IF(AND($A2856&lt;&gt;"",$E2856&gt;0),isLaptopBag($C2856,$J2856)*$D2856,"")</f>
        <v/>
      </c>
      <c r="Z2856" s="70" t="str">
        <f t="shared" si="985"/>
        <v/>
      </c>
      <c r="AA2856" s="70" t="str">
        <f t="shared" si="986"/>
        <v/>
      </c>
      <c r="AB2856" s="70" t="str">
        <f t="shared" si="987"/>
        <v/>
      </c>
      <c r="AC2856" s="70" t="str">
        <f t="shared" si="988"/>
        <v/>
      </c>
      <c r="AD2856" s="70" t="str">
        <f t="shared" si="989"/>
        <v/>
      </c>
      <c r="AE2856" s="70" t="str">
        <f t="shared" si="990"/>
        <v/>
      </c>
      <c r="AF2856" s="16"/>
      <c r="AG2856" s="23"/>
      <c r="AH2856" s="22"/>
      <c r="AJ2856" s="83">
        <f t="shared" si="991"/>
        <v>0</v>
      </c>
      <c r="AO2856" s="22" t="str">
        <f t="shared" si="992"/>
        <v/>
      </c>
      <c r="AP2856" s="22" t="str">
        <f t="shared" si="993"/>
        <v/>
      </c>
    </row>
    <row r="2857" spans="1:42" x14ac:dyDescent="0.25">
      <c r="A2857" s="10"/>
      <c r="B2857" s="10"/>
      <c r="C2857" s="10"/>
      <c r="D2857" s="10"/>
      <c r="E2857" s="10"/>
      <c r="F2857" s="10"/>
      <c r="G2857" s="10"/>
      <c r="H2857" s="17"/>
      <c r="I2857" s="10"/>
      <c r="J2857" s="10"/>
      <c r="K2857" s="16" t="str">
        <f t="shared" si="972"/>
        <v/>
      </c>
      <c r="L2857" s="23" t="str">
        <f t="shared" si="973"/>
        <v/>
      </c>
      <c r="M2857" s="22" t="str">
        <f t="shared" si="974"/>
        <v/>
      </c>
      <c r="N2857" s="72"/>
      <c r="O2857" s="16" t="str">
        <f t="shared" si="975"/>
        <v/>
      </c>
      <c r="P2857" s="16" t="str">
        <f t="shared" si="976"/>
        <v/>
      </c>
      <c r="Q2857" s="16" t="str">
        <f t="shared" si="977"/>
        <v/>
      </c>
      <c r="R2857" s="23" t="str">
        <f t="shared" si="978"/>
        <v/>
      </c>
      <c r="S2857" s="23" t="str">
        <f t="shared" si="979"/>
        <v/>
      </c>
      <c r="T2857" s="23" t="str">
        <f t="shared" si="980"/>
        <v/>
      </c>
      <c r="U2857" s="23" t="str">
        <f t="shared" si="981"/>
        <v/>
      </c>
      <c r="V2857" s="23" t="str">
        <f t="shared" si="982"/>
        <v/>
      </c>
      <c r="W2857" s="70" t="str">
        <f t="shared" si="983"/>
        <v/>
      </c>
      <c r="X2857" s="70" t="str">
        <f t="shared" si="984"/>
        <v/>
      </c>
      <c r="Y2857" s="70" t="str">
        <f>IF(AND($A2857&lt;&gt;"",$E2857&gt;0),isLaptopBag($C2857,$J2857)*$D2857,"")</f>
        <v/>
      </c>
      <c r="Z2857" s="70" t="str">
        <f t="shared" si="985"/>
        <v/>
      </c>
      <c r="AA2857" s="70" t="str">
        <f t="shared" si="986"/>
        <v/>
      </c>
      <c r="AB2857" s="70" t="str">
        <f t="shared" si="987"/>
        <v/>
      </c>
      <c r="AC2857" s="70" t="str">
        <f t="shared" si="988"/>
        <v/>
      </c>
      <c r="AD2857" s="70" t="str">
        <f t="shared" si="989"/>
        <v/>
      </c>
      <c r="AE2857" s="70" t="str">
        <f t="shared" si="990"/>
        <v/>
      </c>
      <c r="AF2857" s="16"/>
      <c r="AG2857" s="23"/>
      <c r="AH2857" s="22"/>
      <c r="AJ2857" s="83">
        <f t="shared" si="991"/>
        <v>0</v>
      </c>
      <c r="AO2857" s="22" t="str">
        <f t="shared" si="992"/>
        <v/>
      </c>
      <c r="AP2857" s="22" t="str">
        <f t="shared" si="993"/>
        <v/>
      </c>
    </row>
    <row r="2858" spans="1:42" x14ac:dyDescent="0.25">
      <c r="A2858" s="10"/>
      <c r="B2858" s="10"/>
      <c r="C2858" s="10"/>
      <c r="D2858" s="10"/>
      <c r="E2858" s="10"/>
      <c r="F2858" s="10"/>
      <c r="G2858" s="10"/>
      <c r="H2858" s="17"/>
      <c r="I2858" s="10"/>
      <c r="J2858" s="10"/>
      <c r="K2858" s="16" t="str">
        <f t="shared" si="972"/>
        <v/>
      </c>
      <c r="L2858" s="23" t="str">
        <f t="shared" si="973"/>
        <v/>
      </c>
      <c r="M2858" s="22" t="str">
        <f t="shared" si="974"/>
        <v/>
      </c>
      <c r="N2858" s="72"/>
      <c r="O2858" s="16" t="str">
        <f t="shared" si="975"/>
        <v/>
      </c>
      <c r="P2858" s="16" t="str">
        <f t="shared" si="976"/>
        <v/>
      </c>
      <c r="Q2858" s="16" t="str">
        <f t="shared" si="977"/>
        <v/>
      </c>
      <c r="R2858" s="23" t="str">
        <f t="shared" si="978"/>
        <v/>
      </c>
      <c r="S2858" s="23" t="str">
        <f t="shared" si="979"/>
        <v/>
      </c>
      <c r="T2858" s="23" t="str">
        <f t="shared" si="980"/>
        <v/>
      </c>
      <c r="U2858" s="23" t="str">
        <f t="shared" si="981"/>
        <v/>
      </c>
      <c r="V2858" s="23" t="str">
        <f t="shared" si="982"/>
        <v/>
      </c>
      <c r="W2858" s="70" t="str">
        <f t="shared" si="983"/>
        <v/>
      </c>
      <c r="X2858" s="70" t="str">
        <f t="shared" si="984"/>
        <v/>
      </c>
      <c r="Y2858" s="70" t="str">
        <f>IF(AND($A2858&lt;&gt;"",$E2858&gt;0),isLaptopBag($C2858,$J2858)*$D2858,"")</f>
        <v/>
      </c>
      <c r="Z2858" s="70" t="str">
        <f t="shared" si="985"/>
        <v/>
      </c>
      <c r="AA2858" s="70" t="str">
        <f t="shared" si="986"/>
        <v/>
      </c>
      <c r="AB2858" s="70" t="str">
        <f t="shared" si="987"/>
        <v/>
      </c>
      <c r="AC2858" s="70" t="str">
        <f t="shared" si="988"/>
        <v/>
      </c>
      <c r="AD2858" s="70" t="str">
        <f t="shared" si="989"/>
        <v/>
      </c>
      <c r="AE2858" s="70" t="str">
        <f t="shared" si="990"/>
        <v/>
      </c>
      <c r="AF2858" s="16"/>
      <c r="AG2858" s="23"/>
      <c r="AH2858" s="22"/>
      <c r="AJ2858" s="83">
        <f t="shared" si="991"/>
        <v>0</v>
      </c>
      <c r="AO2858" s="22" t="str">
        <f t="shared" si="992"/>
        <v/>
      </c>
      <c r="AP2858" s="22" t="str">
        <f t="shared" si="993"/>
        <v/>
      </c>
    </row>
    <row r="2859" spans="1:42" x14ac:dyDescent="0.25">
      <c r="A2859" s="10"/>
      <c r="B2859" s="10"/>
      <c r="C2859" s="10"/>
      <c r="D2859" s="10"/>
      <c r="E2859" s="10"/>
      <c r="F2859" s="10"/>
      <c r="G2859" s="10"/>
      <c r="H2859" s="17"/>
      <c r="I2859" s="10"/>
      <c r="J2859" s="10"/>
      <c r="K2859" s="16" t="str">
        <f t="shared" si="972"/>
        <v/>
      </c>
      <c r="L2859" s="23" t="str">
        <f t="shared" si="973"/>
        <v/>
      </c>
      <c r="M2859" s="22" t="str">
        <f t="shared" si="974"/>
        <v/>
      </c>
      <c r="N2859" s="72"/>
      <c r="O2859" s="16" t="str">
        <f t="shared" si="975"/>
        <v/>
      </c>
      <c r="P2859" s="16" t="str">
        <f t="shared" si="976"/>
        <v/>
      </c>
      <c r="Q2859" s="16" t="str">
        <f t="shared" si="977"/>
        <v/>
      </c>
      <c r="R2859" s="23" t="str">
        <f t="shared" si="978"/>
        <v/>
      </c>
      <c r="S2859" s="23" t="str">
        <f t="shared" si="979"/>
        <v/>
      </c>
      <c r="T2859" s="23" t="str">
        <f t="shared" si="980"/>
        <v/>
      </c>
      <c r="U2859" s="23" t="str">
        <f t="shared" si="981"/>
        <v/>
      </c>
      <c r="V2859" s="23" t="str">
        <f t="shared" si="982"/>
        <v/>
      </c>
      <c r="W2859" s="70" t="str">
        <f t="shared" si="983"/>
        <v/>
      </c>
      <c r="X2859" s="70" t="str">
        <f t="shared" si="984"/>
        <v/>
      </c>
      <c r="Y2859" s="70" t="str">
        <f>IF(AND($A2859&lt;&gt;"",$E2859&gt;0),isLaptopBag($C2859,$J2859)*$D2859,"")</f>
        <v/>
      </c>
      <c r="Z2859" s="70" t="str">
        <f t="shared" si="985"/>
        <v/>
      </c>
      <c r="AA2859" s="70" t="str">
        <f t="shared" si="986"/>
        <v/>
      </c>
      <c r="AB2859" s="70" t="str">
        <f t="shared" si="987"/>
        <v/>
      </c>
      <c r="AC2859" s="70" t="str">
        <f t="shared" si="988"/>
        <v/>
      </c>
      <c r="AD2859" s="70" t="str">
        <f t="shared" si="989"/>
        <v/>
      </c>
      <c r="AE2859" s="70" t="str">
        <f t="shared" si="990"/>
        <v/>
      </c>
      <c r="AF2859" s="16"/>
      <c r="AG2859" s="23"/>
      <c r="AH2859" s="22"/>
      <c r="AJ2859" s="83">
        <f t="shared" si="991"/>
        <v>0</v>
      </c>
      <c r="AO2859" s="22" t="str">
        <f t="shared" si="992"/>
        <v/>
      </c>
      <c r="AP2859" s="22" t="str">
        <f t="shared" si="993"/>
        <v/>
      </c>
    </row>
    <row r="2860" spans="1:42" x14ac:dyDescent="0.25">
      <c r="A2860" s="10"/>
      <c r="B2860" s="10"/>
      <c r="C2860" s="10"/>
      <c r="D2860" s="10"/>
      <c r="E2860" s="10"/>
      <c r="F2860" s="10"/>
      <c r="G2860" s="10"/>
      <c r="H2860" s="17"/>
      <c r="I2860" s="10"/>
      <c r="J2860" s="10"/>
      <c r="K2860" s="16" t="str">
        <f t="shared" si="972"/>
        <v/>
      </c>
      <c r="L2860" s="23" t="str">
        <f t="shared" si="973"/>
        <v/>
      </c>
      <c r="M2860" s="22" t="str">
        <f t="shared" si="974"/>
        <v/>
      </c>
      <c r="N2860" s="72"/>
      <c r="O2860" s="16" t="str">
        <f t="shared" si="975"/>
        <v/>
      </c>
      <c r="P2860" s="16" t="str">
        <f t="shared" si="976"/>
        <v/>
      </c>
      <c r="Q2860" s="16" t="str">
        <f t="shared" si="977"/>
        <v/>
      </c>
      <c r="R2860" s="23" t="str">
        <f t="shared" si="978"/>
        <v/>
      </c>
      <c r="S2860" s="23" t="str">
        <f t="shared" si="979"/>
        <v/>
      </c>
      <c r="T2860" s="23" t="str">
        <f t="shared" si="980"/>
        <v/>
      </c>
      <c r="U2860" s="23" t="str">
        <f t="shared" si="981"/>
        <v/>
      </c>
      <c r="V2860" s="23" t="str">
        <f t="shared" si="982"/>
        <v/>
      </c>
      <c r="W2860" s="70" t="str">
        <f t="shared" si="983"/>
        <v/>
      </c>
      <c r="X2860" s="70" t="str">
        <f t="shared" si="984"/>
        <v/>
      </c>
      <c r="Y2860" s="70" t="str">
        <f>IF(AND($A2860&lt;&gt;"",$E2860&gt;0),isLaptopBag($C2860,$J2860)*$D2860,"")</f>
        <v/>
      </c>
      <c r="Z2860" s="70" t="str">
        <f t="shared" si="985"/>
        <v/>
      </c>
      <c r="AA2860" s="70" t="str">
        <f t="shared" si="986"/>
        <v/>
      </c>
      <c r="AB2860" s="70" t="str">
        <f t="shared" si="987"/>
        <v/>
      </c>
      <c r="AC2860" s="70" t="str">
        <f t="shared" si="988"/>
        <v/>
      </c>
      <c r="AD2860" s="70" t="str">
        <f t="shared" si="989"/>
        <v/>
      </c>
      <c r="AE2860" s="70" t="str">
        <f t="shared" si="990"/>
        <v/>
      </c>
      <c r="AF2860" s="16"/>
      <c r="AG2860" s="23"/>
      <c r="AH2860" s="22"/>
      <c r="AJ2860" s="83">
        <f t="shared" si="991"/>
        <v>0</v>
      </c>
      <c r="AO2860" s="22" t="str">
        <f t="shared" si="992"/>
        <v/>
      </c>
      <c r="AP2860" s="22" t="str">
        <f t="shared" si="993"/>
        <v/>
      </c>
    </row>
    <row r="2861" spans="1:42" x14ac:dyDescent="0.25">
      <c r="A2861" s="10"/>
      <c r="B2861" s="10"/>
      <c r="C2861" s="10"/>
      <c r="D2861" s="10"/>
      <c r="E2861" s="10"/>
      <c r="F2861" s="10"/>
      <c r="G2861" s="10"/>
      <c r="H2861" s="17"/>
      <c r="I2861" s="10"/>
      <c r="J2861" s="10"/>
      <c r="K2861" s="16" t="str">
        <f t="shared" si="972"/>
        <v/>
      </c>
      <c r="L2861" s="23" t="str">
        <f t="shared" si="973"/>
        <v/>
      </c>
      <c r="M2861" s="22" t="str">
        <f t="shared" si="974"/>
        <v/>
      </c>
      <c r="N2861" s="72"/>
      <c r="O2861" s="16" t="str">
        <f t="shared" si="975"/>
        <v/>
      </c>
      <c r="P2861" s="16" t="str">
        <f t="shared" si="976"/>
        <v/>
      </c>
      <c r="Q2861" s="16" t="str">
        <f t="shared" si="977"/>
        <v/>
      </c>
      <c r="R2861" s="23" t="str">
        <f t="shared" si="978"/>
        <v/>
      </c>
      <c r="S2861" s="23" t="str">
        <f t="shared" si="979"/>
        <v/>
      </c>
      <c r="T2861" s="23" t="str">
        <f t="shared" si="980"/>
        <v/>
      </c>
      <c r="U2861" s="23" t="str">
        <f t="shared" si="981"/>
        <v/>
      </c>
      <c r="V2861" s="23" t="str">
        <f t="shared" si="982"/>
        <v/>
      </c>
      <c r="W2861" s="70" t="str">
        <f t="shared" si="983"/>
        <v/>
      </c>
      <c r="X2861" s="70" t="str">
        <f t="shared" si="984"/>
        <v/>
      </c>
      <c r="Y2861" s="70" t="str">
        <f>IF(AND($A2861&lt;&gt;"",$E2861&gt;0),isLaptopBag($C2861,$J2861)*$D2861,"")</f>
        <v/>
      </c>
      <c r="Z2861" s="70" t="str">
        <f t="shared" si="985"/>
        <v/>
      </c>
      <c r="AA2861" s="70" t="str">
        <f t="shared" si="986"/>
        <v/>
      </c>
      <c r="AB2861" s="70" t="str">
        <f t="shared" si="987"/>
        <v/>
      </c>
      <c r="AC2861" s="70" t="str">
        <f t="shared" si="988"/>
        <v/>
      </c>
      <c r="AD2861" s="70" t="str">
        <f t="shared" si="989"/>
        <v/>
      </c>
      <c r="AE2861" s="70" t="str">
        <f t="shared" si="990"/>
        <v/>
      </c>
      <c r="AF2861" s="16"/>
      <c r="AG2861" s="23"/>
      <c r="AH2861" s="22"/>
      <c r="AJ2861" s="83">
        <f t="shared" si="991"/>
        <v>0</v>
      </c>
      <c r="AO2861" s="22" t="str">
        <f t="shared" si="992"/>
        <v/>
      </c>
      <c r="AP2861" s="22" t="str">
        <f t="shared" si="993"/>
        <v/>
      </c>
    </row>
    <row r="2862" spans="1:42" x14ac:dyDescent="0.25">
      <c r="A2862" s="10"/>
      <c r="B2862" s="10"/>
      <c r="C2862" s="10"/>
      <c r="D2862" s="10"/>
      <c r="E2862" s="10"/>
      <c r="F2862" s="10"/>
      <c r="G2862" s="10"/>
      <c r="H2862" s="17"/>
      <c r="I2862" s="10"/>
      <c r="J2862" s="10"/>
      <c r="K2862" s="16" t="str">
        <f t="shared" si="972"/>
        <v/>
      </c>
      <c r="L2862" s="23" t="str">
        <f t="shared" si="973"/>
        <v/>
      </c>
      <c r="M2862" s="22" t="str">
        <f t="shared" si="974"/>
        <v/>
      </c>
      <c r="N2862" s="72"/>
      <c r="O2862" s="16" t="str">
        <f t="shared" si="975"/>
        <v/>
      </c>
      <c r="P2862" s="16" t="str">
        <f t="shared" si="976"/>
        <v/>
      </c>
      <c r="Q2862" s="16" t="str">
        <f t="shared" si="977"/>
        <v/>
      </c>
      <c r="R2862" s="23" t="str">
        <f t="shared" si="978"/>
        <v/>
      </c>
      <c r="S2862" s="23" t="str">
        <f t="shared" si="979"/>
        <v/>
      </c>
      <c r="T2862" s="23" t="str">
        <f t="shared" si="980"/>
        <v/>
      </c>
      <c r="U2862" s="23" t="str">
        <f t="shared" si="981"/>
        <v/>
      </c>
      <c r="V2862" s="23" t="str">
        <f t="shared" si="982"/>
        <v/>
      </c>
      <c r="W2862" s="70" t="str">
        <f t="shared" si="983"/>
        <v/>
      </c>
      <c r="X2862" s="70" t="str">
        <f t="shared" si="984"/>
        <v/>
      </c>
      <c r="Y2862" s="70" t="str">
        <f>IF(AND($A2862&lt;&gt;"",$E2862&gt;0),isLaptopBag($C2862,$J2862)*$D2862,"")</f>
        <v/>
      </c>
      <c r="Z2862" s="70" t="str">
        <f t="shared" si="985"/>
        <v/>
      </c>
      <c r="AA2862" s="70" t="str">
        <f t="shared" si="986"/>
        <v/>
      </c>
      <c r="AB2862" s="70" t="str">
        <f t="shared" si="987"/>
        <v/>
      </c>
      <c r="AC2862" s="70" t="str">
        <f t="shared" si="988"/>
        <v/>
      </c>
      <c r="AD2862" s="70" t="str">
        <f t="shared" si="989"/>
        <v/>
      </c>
      <c r="AE2862" s="70" t="str">
        <f t="shared" si="990"/>
        <v/>
      </c>
      <c r="AF2862" s="16"/>
      <c r="AG2862" s="23"/>
      <c r="AH2862" s="22"/>
      <c r="AJ2862" s="83">
        <f t="shared" si="991"/>
        <v>0</v>
      </c>
      <c r="AO2862" s="22" t="str">
        <f t="shared" si="992"/>
        <v/>
      </c>
      <c r="AP2862" s="22" t="str">
        <f t="shared" si="993"/>
        <v/>
      </c>
    </row>
    <row r="2863" spans="1:42" x14ac:dyDescent="0.25">
      <c r="A2863" s="10"/>
      <c r="B2863" s="10"/>
      <c r="C2863" s="10"/>
      <c r="D2863" s="10"/>
      <c r="E2863" s="10"/>
      <c r="F2863" s="10"/>
      <c r="G2863" s="10"/>
      <c r="H2863" s="17"/>
      <c r="I2863" s="10"/>
      <c r="J2863" s="10"/>
      <c r="K2863" s="16" t="str">
        <f t="shared" si="972"/>
        <v/>
      </c>
      <c r="L2863" s="23" t="str">
        <f t="shared" si="973"/>
        <v/>
      </c>
      <c r="M2863" s="22" t="str">
        <f t="shared" si="974"/>
        <v/>
      </c>
      <c r="N2863" s="72"/>
      <c r="O2863" s="16" t="str">
        <f t="shared" si="975"/>
        <v/>
      </c>
      <c r="P2863" s="16" t="str">
        <f t="shared" si="976"/>
        <v/>
      </c>
      <c r="Q2863" s="16" t="str">
        <f t="shared" si="977"/>
        <v/>
      </c>
      <c r="R2863" s="23" t="str">
        <f t="shared" si="978"/>
        <v/>
      </c>
      <c r="S2863" s="23" t="str">
        <f t="shared" si="979"/>
        <v/>
      </c>
      <c r="T2863" s="23" t="str">
        <f t="shared" si="980"/>
        <v/>
      </c>
      <c r="U2863" s="23" t="str">
        <f t="shared" si="981"/>
        <v/>
      </c>
      <c r="V2863" s="23" t="str">
        <f t="shared" si="982"/>
        <v/>
      </c>
      <c r="W2863" s="70" t="str">
        <f t="shared" si="983"/>
        <v/>
      </c>
      <c r="X2863" s="70" t="str">
        <f t="shared" si="984"/>
        <v/>
      </c>
      <c r="Y2863" s="70" t="str">
        <f>IF(AND($A2863&lt;&gt;"",$E2863&gt;0),isLaptopBag($C2863,$J2863)*$D2863,"")</f>
        <v/>
      </c>
      <c r="Z2863" s="70" t="str">
        <f t="shared" si="985"/>
        <v/>
      </c>
      <c r="AA2863" s="70" t="str">
        <f t="shared" si="986"/>
        <v/>
      </c>
      <c r="AB2863" s="70" t="str">
        <f t="shared" si="987"/>
        <v/>
      </c>
      <c r="AC2863" s="70" t="str">
        <f t="shared" si="988"/>
        <v/>
      </c>
      <c r="AD2863" s="70" t="str">
        <f t="shared" si="989"/>
        <v/>
      </c>
      <c r="AE2863" s="70" t="str">
        <f t="shared" si="990"/>
        <v/>
      </c>
      <c r="AF2863" s="16"/>
      <c r="AG2863" s="23"/>
      <c r="AH2863" s="22"/>
      <c r="AJ2863" s="83">
        <f t="shared" si="991"/>
        <v>0</v>
      </c>
      <c r="AO2863" s="22" t="str">
        <f t="shared" si="992"/>
        <v/>
      </c>
      <c r="AP2863" s="22" t="str">
        <f t="shared" si="993"/>
        <v/>
      </c>
    </row>
    <row r="2864" spans="1:42" x14ac:dyDescent="0.25">
      <c r="A2864" s="10"/>
      <c r="B2864" s="10"/>
      <c r="C2864" s="10"/>
      <c r="D2864" s="10"/>
      <c r="E2864" s="10"/>
      <c r="F2864" s="10"/>
      <c r="G2864" s="10"/>
      <c r="H2864" s="17"/>
      <c r="I2864" s="10"/>
      <c r="J2864" s="10"/>
      <c r="K2864" s="16" t="str">
        <f t="shared" si="972"/>
        <v/>
      </c>
      <c r="L2864" s="23" t="str">
        <f t="shared" si="973"/>
        <v/>
      </c>
      <c r="M2864" s="22" t="str">
        <f t="shared" si="974"/>
        <v/>
      </c>
      <c r="N2864" s="72"/>
      <c r="O2864" s="16" t="str">
        <f t="shared" si="975"/>
        <v/>
      </c>
      <c r="P2864" s="16" t="str">
        <f t="shared" si="976"/>
        <v/>
      </c>
      <c r="Q2864" s="16" t="str">
        <f t="shared" si="977"/>
        <v/>
      </c>
      <c r="R2864" s="23" t="str">
        <f t="shared" si="978"/>
        <v/>
      </c>
      <c r="S2864" s="23" t="str">
        <f t="shared" si="979"/>
        <v/>
      </c>
      <c r="T2864" s="23" t="str">
        <f t="shared" si="980"/>
        <v/>
      </c>
      <c r="U2864" s="23" t="str">
        <f t="shared" si="981"/>
        <v/>
      </c>
      <c r="V2864" s="23" t="str">
        <f t="shared" si="982"/>
        <v/>
      </c>
      <c r="W2864" s="70" t="str">
        <f t="shared" si="983"/>
        <v/>
      </c>
      <c r="X2864" s="70" t="str">
        <f t="shared" si="984"/>
        <v/>
      </c>
      <c r="Y2864" s="70" t="str">
        <f>IF(AND($A2864&lt;&gt;"",$E2864&gt;0),isLaptopBag($C2864,$J2864)*$D2864,"")</f>
        <v/>
      </c>
      <c r="Z2864" s="70" t="str">
        <f t="shared" si="985"/>
        <v/>
      </c>
      <c r="AA2864" s="70" t="str">
        <f t="shared" si="986"/>
        <v/>
      </c>
      <c r="AB2864" s="70" t="str">
        <f t="shared" si="987"/>
        <v/>
      </c>
      <c r="AC2864" s="70" t="str">
        <f t="shared" si="988"/>
        <v/>
      </c>
      <c r="AD2864" s="70" t="str">
        <f t="shared" si="989"/>
        <v/>
      </c>
      <c r="AE2864" s="70" t="str">
        <f t="shared" si="990"/>
        <v/>
      </c>
      <c r="AF2864" s="16"/>
      <c r="AG2864" s="23"/>
      <c r="AH2864" s="22"/>
      <c r="AJ2864" s="83">
        <f t="shared" si="991"/>
        <v>0</v>
      </c>
      <c r="AO2864" s="22" t="str">
        <f t="shared" si="992"/>
        <v/>
      </c>
      <c r="AP2864" s="22" t="str">
        <f t="shared" si="993"/>
        <v/>
      </c>
    </row>
    <row r="2865" spans="1:42" x14ac:dyDescent="0.25">
      <c r="A2865" s="10"/>
      <c r="B2865" s="10"/>
      <c r="C2865" s="10"/>
      <c r="D2865" s="10"/>
      <c r="E2865" s="10"/>
      <c r="F2865" s="10"/>
      <c r="G2865" s="10"/>
      <c r="H2865" s="17"/>
      <c r="I2865" s="10"/>
      <c r="J2865" s="10"/>
      <c r="K2865" s="16" t="str">
        <f t="shared" si="972"/>
        <v/>
      </c>
      <c r="L2865" s="23" t="str">
        <f t="shared" si="973"/>
        <v/>
      </c>
      <c r="M2865" s="22" t="str">
        <f t="shared" si="974"/>
        <v/>
      </c>
      <c r="N2865" s="72"/>
      <c r="O2865" s="16" t="str">
        <f t="shared" si="975"/>
        <v/>
      </c>
      <c r="P2865" s="16" t="str">
        <f t="shared" si="976"/>
        <v/>
      </c>
      <c r="Q2865" s="16" t="str">
        <f t="shared" si="977"/>
        <v/>
      </c>
      <c r="R2865" s="23" t="str">
        <f t="shared" si="978"/>
        <v/>
      </c>
      <c r="S2865" s="23" t="str">
        <f t="shared" si="979"/>
        <v/>
      </c>
      <c r="T2865" s="23" t="str">
        <f t="shared" si="980"/>
        <v/>
      </c>
      <c r="U2865" s="23" t="str">
        <f t="shared" si="981"/>
        <v/>
      </c>
      <c r="V2865" s="23" t="str">
        <f t="shared" si="982"/>
        <v/>
      </c>
      <c r="W2865" s="70" t="str">
        <f t="shared" si="983"/>
        <v/>
      </c>
      <c r="X2865" s="70" t="str">
        <f t="shared" si="984"/>
        <v/>
      </c>
      <c r="Y2865" s="70" t="str">
        <f>IF(AND($A2865&lt;&gt;"",$E2865&gt;0),isLaptopBag($C2865,$J2865)*$D2865,"")</f>
        <v/>
      </c>
      <c r="Z2865" s="70" t="str">
        <f t="shared" si="985"/>
        <v/>
      </c>
      <c r="AA2865" s="70" t="str">
        <f t="shared" si="986"/>
        <v/>
      </c>
      <c r="AB2865" s="70" t="str">
        <f t="shared" si="987"/>
        <v/>
      </c>
      <c r="AC2865" s="70" t="str">
        <f t="shared" si="988"/>
        <v/>
      </c>
      <c r="AD2865" s="70" t="str">
        <f t="shared" si="989"/>
        <v/>
      </c>
      <c r="AE2865" s="70" t="str">
        <f t="shared" si="990"/>
        <v/>
      </c>
      <c r="AF2865" s="16"/>
      <c r="AG2865" s="23"/>
      <c r="AH2865" s="22"/>
      <c r="AJ2865" s="83">
        <f t="shared" si="991"/>
        <v>0</v>
      </c>
      <c r="AO2865" s="22" t="str">
        <f t="shared" si="992"/>
        <v/>
      </c>
      <c r="AP2865" s="22" t="str">
        <f t="shared" si="993"/>
        <v/>
      </c>
    </row>
    <row r="2866" spans="1:42" x14ac:dyDescent="0.25">
      <c r="A2866" s="10"/>
      <c r="B2866" s="10"/>
      <c r="C2866" s="10"/>
      <c r="D2866" s="10"/>
      <c r="E2866" s="10"/>
      <c r="F2866" s="10"/>
      <c r="G2866" s="10"/>
      <c r="H2866" s="17"/>
      <c r="I2866" s="10"/>
      <c r="J2866" s="10"/>
      <c r="K2866" s="16" t="str">
        <f t="shared" si="972"/>
        <v/>
      </c>
      <c r="L2866" s="23" t="str">
        <f t="shared" si="973"/>
        <v/>
      </c>
      <c r="M2866" s="22" t="str">
        <f t="shared" si="974"/>
        <v/>
      </c>
      <c r="N2866" s="72"/>
      <c r="O2866" s="16" t="str">
        <f t="shared" si="975"/>
        <v/>
      </c>
      <c r="P2866" s="16" t="str">
        <f t="shared" si="976"/>
        <v/>
      </c>
      <c r="Q2866" s="16" t="str">
        <f t="shared" si="977"/>
        <v/>
      </c>
      <c r="R2866" s="23" t="str">
        <f t="shared" si="978"/>
        <v/>
      </c>
      <c r="S2866" s="23" t="str">
        <f t="shared" si="979"/>
        <v/>
      </c>
      <c r="T2866" s="23" t="str">
        <f t="shared" si="980"/>
        <v/>
      </c>
      <c r="U2866" s="23" t="str">
        <f t="shared" si="981"/>
        <v/>
      </c>
      <c r="V2866" s="23" t="str">
        <f t="shared" si="982"/>
        <v/>
      </c>
      <c r="W2866" s="70" t="str">
        <f t="shared" si="983"/>
        <v/>
      </c>
      <c r="X2866" s="70" t="str">
        <f t="shared" si="984"/>
        <v/>
      </c>
      <c r="Y2866" s="70" t="str">
        <f>IF(AND($A2866&lt;&gt;"",$E2866&gt;0),isLaptopBag($C2866,$J2866)*$D2866,"")</f>
        <v/>
      </c>
      <c r="Z2866" s="70" t="str">
        <f t="shared" si="985"/>
        <v/>
      </c>
      <c r="AA2866" s="70" t="str">
        <f t="shared" si="986"/>
        <v/>
      </c>
      <c r="AB2866" s="70" t="str">
        <f t="shared" si="987"/>
        <v/>
      </c>
      <c r="AC2866" s="70" t="str">
        <f t="shared" si="988"/>
        <v/>
      </c>
      <c r="AD2866" s="70" t="str">
        <f t="shared" si="989"/>
        <v/>
      </c>
      <c r="AE2866" s="70" t="str">
        <f t="shared" si="990"/>
        <v/>
      </c>
      <c r="AF2866" s="16"/>
      <c r="AG2866" s="23"/>
      <c r="AH2866" s="22"/>
      <c r="AJ2866" s="83">
        <f t="shared" si="991"/>
        <v>0</v>
      </c>
      <c r="AO2866" s="22" t="str">
        <f t="shared" si="992"/>
        <v/>
      </c>
      <c r="AP2866" s="22" t="str">
        <f t="shared" si="993"/>
        <v/>
      </c>
    </row>
    <row r="2867" spans="1:42" x14ac:dyDescent="0.25">
      <c r="A2867" s="10"/>
      <c r="B2867" s="10"/>
      <c r="C2867" s="10"/>
      <c r="D2867" s="10"/>
      <c r="E2867" s="10"/>
      <c r="F2867" s="10"/>
      <c r="G2867" s="10"/>
      <c r="H2867" s="17"/>
      <c r="I2867" s="10"/>
      <c r="J2867" s="10"/>
      <c r="K2867" s="16" t="str">
        <f t="shared" si="972"/>
        <v/>
      </c>
      <c r="L2867" s="23" t="str">
        <f t="shared" si="973"/>
        <v/>
      </c>
      <c r="M2867" s="22" t="str">
        <f t="shared" si="974"/>
        <v/>
      </c>
      <c r="N2867" s="72"/>
      <c r="O2867" s="16" t="str">
        <f t="shared" si="975"/>
        <v/>
      </c>
      <c r="P2867" s="16" t="str">
        <f t="shared" si="976"/>
        <v/>
      </c>
      <c r="Q2867" s="16" t="str">
        <f t="shared" si="977"/>
        <v/>
      </c>
      <c r="R2867" s="23" t="str">
        <f t="shared" si="978"/>
        <v/>
      </c>
      <c r="S2867" s="23" t="str">
        <f t="shared" si="979"/>
        <v/>
      </c>
      <c r="T2867" s="23" t="str">
        <f t="shared" si="980"/>
        <v/>
      </c>
      <c r="U2867" s="23" t="str">
        <f t="shared" si="981"/>
        <v/>
      </c>
      <c r="V2867" s="23" t="str">
        <f t="shared" si="982"/>
        <v/>
      </c>
      <c r="W2867" s="70" t="str">
        <f t="shared" si="983"/>
        <v/>
      </c>
      <c r="X2867" s="70" t="str">
        <f t="shared" si="984"/>
        <v/>
      </c>
      <c r="Y2867" s="70" t="str">
        <f>IF(AND($A2867&lt;&gt;"",$E2867&gt;0),isLaptopBag($C2867,$J2867)*$D2867,"")</f>
        <v/>
      </c>
      <c r="Z2867" s="70" t="str">
        <f t="shared" si="985"/>
        <v/>
      </c>
      <c r="AA2867" s="70" t="str">
        <f t="shared" si="986"/>
        <v/>
      </c>
      <c r="AB2867" s="70" t="str">
        <f t="shared" si="987"/>
        <v/>
      </c>
      <c r="AC2867" s="70" t="str">
        <f t="shared" si="988"/>
        <v/>
      </c>
      <c r="AD2867" s="70" t="str">
        <f t="shared" si="989"/>
        <v/>
      </c>
      <c r="AE2867" s="70" t="str">
        <f t="shared" si="990"/>
        <v/>
      </c>
      <c r="AF2867" s="16"/>
      <c r="AG2867" s="23"/>
      <c r="AH2867" s="22"/>
      <c r="AJ2867" s="83">
        <f t="shared" si="991"/>
        <v>0</v>
      </c>
      <c r="AO2867" s="22" t="str">
        <f t="shared" si="992"/>
        <v/>
      </c>
      <c r="AP2867" s="22" t="str">
        <f t="shared" si="993"/>
        <v/>
      </c>
    </row>
    <row r="2868" spans="1:42" x14ac:dyDescent="0.25">
      <c r="A2868" s="10"/>
      <c r="B2868" s="10"/>
      <c r="C2868" s="10"/>
      <c r="D2868" s="10"/>
      <c r="E2868" s="10"/>
      <c r="F2868" s="10"/>
      <c r="G2868" s="10"/>
      <c r="H2868" s="17"/>
      <c r="I2868" s="10"/>
      <c r="J2868" s="10"/>
      <c r="K2868" s="16" t="str">
        <f t="shared" si="972"/>
        <v/>
      </c>
      <c r="L2868" s="23" t="str">
        <f t="shared" si="973"/>
        <v/>
      </c>
      <c r="M2868" s="22" t="str">
        <f t="shared" si="974"/>
        <v/>
      </c>
      <c r="N2868" s="72"/>
      <c r="O2868" s="16" t="str">
        <f t="shared" si="975"/>
        <v/>
      </c>
      <c r="P2868" s="16" t="str">
        <f t="shared" si="976"/>
        <v/>
      </c>
      <c r="Q2868" s="16" t="str">
        <f t="shared" si="977"/>
        <v/>
      </c>
      <c r="R2868" s="23" t="str">
        <f t="shared" si="978"/>
        <v/>
      </c>
      <c r="S2868" s="23" t="str">
        <f t="shared" si="979"/>
        <v/>
      </c>
      <c r="T2868" s="23" t="str">
        <f t="shared" si="980"/>
        <v/>
      </c>
      <c r="U2868" s="23" t="str">
        <f t="shared" si="981"/>
        <v/>
      </c>
      <c r="V2868" s="23" t="str">
        <f t="shared" si="982"/>
        <v/>
      </c>
      <c r="W2868" s="70" t="str">
        <f t="shared" si="983"/>
        <v/>
      </c>
      <c r="X2868" s="70" t="str">
        <f t="shared" si="984"/>
        <v/>
      </c>
      <c r="Y2868" s="70" t="str">
        <f>IF(AND($A2868&lt;&gt;"",$E2868&gt;0),isLaptopBag($C2868,$J2868)*$D2868,"")</f>
        <v/>
      </c>
      <c r="Z2868" s="70" t="str">
        <f t="shared" si="985"/>
        <v/>
      </c>
      <c r="AA2868" s="70" t="str">
        <f t="shared" si="986"/>
        <v/>
      </c>
      <c r="AB2868" s="70" t="str">
        <f t="shared" si="987"/>
        <v/>
      </c>
      <c r="AC2868" s="70" t="str">
        <f t="shared" si="988"/>
        <v/>
      </c>
      <c r="AD2868" s="70" t="str">
        <f t="shared" si="989"/>
        <v/>
      </c>
      <c r="AE2868" s="70" t="str">
        <f t="shared" si="990"/>
        <v/>
      </c>
      <c r="AF2868" s="16"/>
      <c r="AG2868" s="23"/>
      <c r="AH2868" s="22"/>
      <c r="AJ2868" s="83">
        <f t="shared" si="991"/>
        <v>0</v>
      </c>
      <c r="AO2868" s="22" t="str">
        <f t="shared" si="992"/>
        <v/>
      </c>
      <c r="AP2868" s="22" t="str">
        <f t="shared" si="993"/>
        <v/>
      </c>
    </row>
    <row r="2869" spans="1:42" x14ac:dyDescent="0.25">
      <c r="A2869" s="10"/>
      <c r="B2869" s="10"/>
      <c r="C2869" s="10"/>
      <c r="D2869" s="10"/>
      <c r="E2869" s="10"/>
      <c r="F2869" s="10"/>
      <c r="G2869" s="10"/>
      <c r="H2869" s="17"/>
      <c r="I2869" s="10"/>
      <c r="J2869" s="10"/>
      <c r="K2869" s="16" t="str">
        <f t="shared" si="972"/>
        <v/>
      </c>
      <c r="L2869" s="23" t="str">
        <f t="shared" si="973"/>
        <v/>
      </c>
      <c r="M2869" s="22" t="str">
        <f t="shared" si="974"/>
        <v/>
      </c>
      <c r="N2869" s="72"/>
      <c r="O2869" s="16" t="str">
        <f t="shared" si="975"/>
        <v/>
      </c>
      <c r="P2869" s="16" t="str">
        <f t="shared" si="976"/>
        <v/>
      </c>
      <c r="Q2869" s="16" t="str">
        <f t="shared" si="977"/>
        <v/>
      </c>
      <c r="R2869" s="23" t="str">
        <f t="shared" si="978"/>
        <v/>
      </c>
      <c r="S2869" s="23" t="str">
        <f t="shared" si="979"/>
        <v/>
      </c>
      <c r="T2869" s="23" t="str">
        <f t="shared" si="980"/>
        <v/>
      </c>
      <c r="U2869" s="23" t="str">
        <f t="shared" si="981"/>
        <v/>
      </c>
      <c r="V2869" s="23" t="str">
        <f t="shared" si="982"/>
        <v/>
      </c>
      <c r="W2869" s="70" t="str">
        <f t="shared" si="983"/>
        <v/>
      </c>
      <c r="X2869" s="70" t="str">
        <f t="shared" si="984"/>
        <v/>
      </c>
      <c r="Y2869" s="70" t="str">
        <f>IF(AND($A2869&lt;&gt;"",$E2869&gt;0),isLaptopBag($C2869,$J2869)*$D2869,"")</f>
        <v/>
      </c>
      <c r="Z2869" s="70" t="str">
        <f t="shared" si="985"/>
        <v/>
      </c>
      <c r="AA2869" s="70" t="str">
        <f t="shared" si="986"/>
        <v/>
      </c>
      <c r="AB2869" s="70" t="str">
        <f t="shared" si="987"/>
        <v/>
      </c>
      <c r="AC2869" s="70" t="str">
        <f t="shared" si="988"/>
        <v/>
      </c>
      <c r="AD2869" s="70" t="str">
        <f t="shared" si="989"/>
        <v/>
      </c>
      <c r="AE2869" s="70" t="str">
        <f t="shared" si="990"/>
        <v/>
      </c>
      <c r="AF2869" s="16"/>
      <c r="AG2869" s="23"/>
      <c r="AH2869" s="22"/>
      <c r="AJ2869" s="83">
        <f t="shared" si="991"/>
        <v>0</v>
      </c>
      <c r="AO2869" s="22" t="str">
        <f t="shared" si="992"/>
        <v/>
      </c>
      <c r="AP2869" s="22" t="str">
        <f t="shared" si="993"/>
        <v/>
      </c>
    </row>
    <row r="2870" spans="1:42" x14ac:dyDescent="0.25">
      <c r="A2870" s="10"/>
      <c r="B2870" s="10"/>
      <c r="C2870" s="10"/>
      <c r="D2870" s="10"/>
      <c r="E2870" s="10"/>
      <c r="F2870" s="10"/>
      <c r="G2870" s="10"/>
      <c r="H2870" s="17"/>
      <c r="I2870" s="10"/>
      <c r="J2870" s="10"/>
      <c r="K2870" s="16" t="str">
        <f t="shared" si="972"/>
        <v/>
      </c>
      <c r="L2870" s="23" t="str">
        <f t="shared" si="973"/>
        <v/>
      </c>
      <c r="M2870" s="22" t="str">
        <f t="shared" si="974"/>
        <v/>
      </c>
      <c r="N2870" s="72"/>
      <c r="O2870" s="16" t="str">
        <f t="shared" si="975"/>
        <v/>
      </c>
      <c r="P2870" s="16" t="str">
        <f t="shared" si="976"/>
        <v/>
      </c>
      <c r="Q2870" s="16" t="str">
        <f t="shared" si="977"/>
        <v/>
      </c>
      <c r="R2870" s="23" t="str">
        <f t="shared" si="978"/>
        <v/>
      </c>
      <c r="S2870" s="23" t="str">
        <f t="shared" si="979"/>
        <v/>
      </c>
      <c r="T2870" s="23" t="str">
        <f t="shared" si="980"/>
        <v/>
      </c>
      <c r="U2870" s="23" t="str">
        <f t="shared" si="981"/>
        <v/>
      </c>
      <c r="V2870" s="23" t="str">
        <f t="shared" si="982"/>
        <v/>
      </c>
      <c r="W2870" s="70" t="str">
        <f t="shared" si="983"/>
        <v/>
      </c>
      <c r="X2870" s="70" t="str">
        <f t="shared" si="984"/>
        <v/>
      </c>
      <c r="Y2870" s="70" t="str">
        <f>IF(AND($A2870&lt;&gt;"",$E2870&gt;0),isLaptopBag($C2870,$J2870)*$D2870,"")</f>
        <v/>
      </c>
      <c r="Z2870" s="70" t="str">
        <f t="shared" si="985"/>
        <v/>
      </c>
      <c r="AA2870" s="70" t="str">
        <f t="shared" si="986"/>
        <v/>
      </c>
      <c r="AB2870" s="70" t="str">
        <f t="shared" si="987"/>
        <v/>
      </c>
      <c r="AC2870" s="70" t="str">
        <f t="shared" si="988"/>
        <v/>
      </c>
      <c r="AD2870" s="70" t="str">
        <f t="shared" si="989"/>
        <v/>
      </c>
      <c r="AE2870" s="70" t="str">
        <f t="shared" si="990"/>
        <v/>
      </c>
      <c r="AF2870" s="16"/>
      <c r="AG2870" s="23"/>
      <c r="AH2870" s="22"/>
      <c r="AJ2870" s="83">
        <f t="shared" si="991"/>
        <v>0</v>
      </c>
      <c r="AO2870" s="22" t="str">
        <f t="shared" si="992"/>
        <v/>
      </c>
      <c r="AP2870" s="22" t="str">
        <f t="shared" si="993"/>
        <v/>
      </c>
    </row>
    <row r="2871" spans="1:42" x14ac:dyDescent="0.25">
      <c r="A2871" s="10"/>
      <c r="B2871" s="10"/>
      <c r="C2871" s="10"/>
      <c r="D2871" s="10"/>
      <c r="E2871" s="10"/>
      <c r="F2871" s="10"/>
      <c r="G2871" s="10"/>
      <c r="H2871" s="17"/>
      <c r="I2871" s="10"/>
      <c r="J2871" s="10"/>
      <c r="K2871" s="16" t="str">
        <f t="shared" si="972"/>
        <v/>
      </c>
      <c r="L2871" s="23" t="str">
        <f t="shared" si="973"/>
        <v/>
      </c>
      <c r="M2871" s="22" t="str">
        <f t="shared" si="974"/>
        <v/>
      </c>
      <c r="N2871" s="72"/>
      <c r="O2871" s="16" t="str">
        <f t="shared" si="975"/>
        <v/>
      </c>
      <c r="P2871" s="16" t="str">
        <f t="shared" si="976"/>
        <v/>
      </c>
      <c r="Q2871" s="16" t="str">
        <f t="shared" si="977"/>
        <v/>
      </c>
      <c r="R2871" s="23" t="str">
        <f t="shared" si="978"/>
        <v/>
      </c>
      <c r="S2871" s="23" t="str">
        <f t="shared" si="979"/>
        <v/>
      </c>
      <c r="T2871" s="23" t="str">
        <f t="shared" si="980"/>
        <v/>
      </c>
      <c r="U2871" s="23" t="str">
        <f t="shared" si="981"/>
        <v/>
      </c>
      <c r="V2871" s="23" t="str">
        <f t="shared" si="982"/>
        <v/>
      </c>
      <c r="W2871" s="70" t="str">
        <f t="shared" si="983"/>
        <v/>
      </c>
      <c r="X2871" s="70" t="str">
        <f t="shared" si="984"/>
        <v/>
      </c>
      <c r="Y2871" s="70" t="str">
        <f>IF(AND($A2871&lt;&gt;"",$E2871&gt;0),isLaptopBag($C2871,$J2871)*$D2871,"")</f>
        <v/>
      </c>
      <c r="Z2871" s="70" t="str">
        <f t="shared" si="985"/>
        <v/>
      </c>
      <c r="AA2871" s="70" t="str">
        <f t="shared" si="986"/>
        <v/>
      </c>
      <c r="AB2871" s="70" t="str">
        <f t="shared" si="987"/>
        <v/>
      </c>
      <c r="AC2871" s="70" t="str">
        <f t="shared" si="988"/>
        <v/>
      </c>
      <c r="AD2871" s="70" t="str">
        <f t="shared" si="989"/>
        <v/>
      </c>
      <c r="AE2871" s="70" t="str">
        <f t="shared" si="990"/>
        <v/>
      </c>
      <c r="AF2871" s="16"/>
      <c r="AG2871" s="23"/>
      <c r="AH2871" s="22"/>
      <c r="AJ2871" s="83">
        <f t="shared" si="991"/>
        <v>0</v>
      </c>
      <c r="AO2871" s="22" t="str">
        <f t="shared" si="992"/>
        <v/>
      </c>
      <c r="AP2871" s="22" t="str">
        <f t="shared" si="993"/>
        <v/>
      </c>
    </row>
    <row r="2872" spans="1:42" x14ac:dyDescent="0.25">
      <c r="A2872" s="10"/>
      <c r="B2872" s="10"/>
      <c r="C2872" s="10"/>
      <c r="D2872" s="10"/>
      <c r="E2872" s="10"/>
      <c r="F2872" s="10"/>
      <c r="G2872" s="10"/>
      <c r="H2872" s="17"/>
      <c r="I2872" s="10"/>
      <c r="J2872" s="10"/>
      <c r="K2872" s="16" t="str">
        <f t="shared" si="972"/>
        <v/>
      </c>
      <c r="L2872" s="23" t="str">
        <f t="shared" si="973"/>
        <v/>
      </c>
      <c r="M2872" s="22" t="str">
        <f t="shared" si="974"/>
        <v/>
      </c>
      <c r="N2872" s="72"/>
      <c r="O2872" s="16" t="str">
        <f t="shared" si="975"/>
        <v/>
      </c>
      <c r="P2872" s="16" t="str">
        <f t="shared" si="976"/>
        <v/>
      </c>
      <c r="Q2872" s="16" t="str">
        <f t="shared" si="977"/>
        <v/>
      </c>
      <c r="R2872" s="23" t="str">
        <f t="shared" si="978"/>
        <v/>
      </c>
      <c r="S2872" s="23" t="str">
        <f t="shared" si="979"/>
        <v/>
      </c>
      <c r="T2872" s="23" t="str">
        <f t="shared" si="980"/>
        <v/>
      </c>
      <c r="U2872" s="23" t="str">
        <f t="shared" si="981"/>
        <v/>
      </c>
      <c r="V2872" s="23" t="str">
        <f t="shared" si="982"/>
        <v/>
      </c>
      <c r="W2872" s="70" t="str">
        <f t="shared" si="983"/>
        <v/>
      </c>
      <c r="X2872" s="70" t="str">
        <f t="shared" si="984"/>
        <v/>
      </c>
      <c r="Y2872" s="70" t="str">
        <f>IF(AND($A2872&lt;&gt;"",$E2872&gt;0),isLaptopBag($C2872,$J2872)*$D2872,"")</f>
        <v/>
      </c>
      <c r="Z2872" s="70" t="str">
        <f t="shared" si="985"/>
        <v/>
      </c>
      <c r="AA2872" s="70" t="str">
        <f t="shared" si="986"/>
        <v/>
      </c>
      <c r="AB2872" s="70" t="str">
        <f t="shared" si="987"/>
        <v/>
      </c>
      <c r="AC2872" s="70" t="str">
        <f t="shared" si="988"/>
        <v/>
      </c>
      <c r="AD2872" s="70" t="str">
        <f t="shared" si="989"/>
        <v/>
      </c>
      <c r="AE2872" s="70" t="str">
        <f t="shared" si="990"/>
        <v/>
      </c>
      <c r="AF2872" s="16"/>
      <c r="AG2872" s="23"/>
      <c r="AH2872" s="22"/>
      <c r="AJ2872" s="83">
        <f t="shared" si="991"/>
        <v>0</v>
      </c>
      <c r="AO2872" s="22" t="str">
        <f t="shared" si="992"/>
        <v/>
      </c>
      <c r="AP2872" s="22" t="str">
        <f t="shared" si="993"/>
        <v/>
      </c>
    </row>
    <row r="2873" spans="1:42" x14ac:dyDescent="0.25">
      <c r="A2873" s="10"/>
      <c r="B2873" s="10"/>
      <c r="C2873" s="10"/>
      <c r="D2873" s="10"/>
      <c r="E2873" s="10"/>
      <c r="F2873" s="10"/>
      <c r="G2873" s="10"/>
      <c r="H2873" s="17"/>
      <c r="I2873" s="10"/>
      <c r="J2873" s="10"/>
      <c r="K2873" s="16" t="str">
        <f t="shared" si="972"/>
        <v/>
      </c>
      <c r="L2873" s="23" t="str">
        <f t="shared" si="973"/>
        <v/>
      </c>
      <c r="M2873" s="22" t="str">
        <f t="shared" si="974"/>
        <v/>
      </c>
      <c r="N2873" s="72"/>
      <c r="O2873" s="16" t="str">
        <f t="shared" si="975"/>
        <v/>
      </c>
      <c r="P2873" s="16" t="str">
        <f t="shared" si="976"/>
        <v/>
      </c>
      <c r="Q2873" s="16" t="str">
        <f t="shared" si="977"/>
        <v/>
      </c>
      <c r="R2873" s="23" t="str">
        <f t="shared" si="978"/>
        <v/>
      </c>
      <c r="S2873" s="23" t="str">
        <f t="shared" si="979"/>
        <v/>
      </c>
      <c r="T2873" s="23" t="str">
        <f t="shared" si="980"/>
        <v/>
      </c>
      <c r="U2873" s="23" t="str">
        <f t="shared" si="981"/>
        <v/>
      </c>
      <c r="V2873" s="23" t="str">
        <f t="shared" si="982"/>
        <v/>
      </c>
      <c r="W2873" s="70" t="str">
        <f t="shared" si="983"/>
        <v/>
      </c>
      <c r="X2873" s="70" t="str">
        <f t="shared" si="984"/>
        <v/>
      </c>
      <c r="Y2873" s="70" t="str">
        <f>IF(AND($A2873&lt;&gt;"",$E2873&gt;0),isLaptopBag($C2873,$J2873)*$D2873,"")</f>
        <v/>
      </c>
      <c r="Z2873" s="70" t="str">
        <f t="shared" si="985"/>
        <v/>
      </c>
      <c r="AA2873" s="70" t="str">
        <f t="shared" si="986"/>
        <v/>
      </c>
      <c r="AB2873" s="70" t="str">
        <f t="shared" si="987"/>
        <v/>
      </c>
      <c r="AC2873" s="70" t="str">
        <f t="shared" si="988"/>
        <v/>
      </c>
      <c r="AD2873" s="70" t="str">
        <f t="shared" si="989"/>
        <v/>
      </c>
      <c r="AE2873" s="70" t="str">
        <f t="shared" si="990"/>
        <v/>
      </c>
      <c r="AF2873" s="16"/>
      <c r="AG2873" s="23"/>
      <c r="AH2873" s="22"/>
      <c r="AJ2873" s="83">
        <f t="shared" si="991"/>
        <v>0</v>
      </c>
      <c r="AO2873" s="22" t="str">
        <f t="shared" si="992"/>
        <v/>
      </c>
      <c r="AP2873" s="22" t="str">
        <f t="shared" si="993"/>
        <v/>
      </c>
    </row>
    <row r="2874" spans="1:42" x14ac:dyDescent="0.25">
      <c r="A2874" s="10"/>
      <c r="B2874" s="10"/>
      <c r="C2874" s="10"/>
      <c r="D2874" s="10"/>
      <c r="E2874" s="10"/>
      <c r="F2874" s="10"/>
      <c r="G2874" s="10"/>
      <c r="H2874" s="17"/>
      <c r="I2874" s="10"/>
      <c r="J2874" s="10"/>
      <c r="K2874" s="16" t="str">
        <f t="shared" si="972"/>
        <v/>
      </c>
      <c r="L2874" s="23" t="str">
        <f t="shared" si="973"/>
        <v/>
      </c>
      <c r="M2874" s="22" t="str">
        <f t="shared" si="974"/>
        <v/>
      </c>
      <c r="N2874" s="72"/>
      <c r="O2874" s="16" t="str">
        <f t="shared" si="975"/>
        <v/>
      </c>
      <c r="P2874" s="16" t="str">
        <f t="shared" si="976"/>
        <v/>
      </c>
      <c r="Q2874" s="16" t="str">
        <f t="shared" si="977"/>
        <v/>
      </c>
      <c r="R2874" s="23" t="str">
        <f t="shared" si="978"/>
        <v/>
      </c>
      <c r="S2874" s="23" t="str">
        <f t="shared" si="979"/>
        <v/>
      </c>
      <c r="T2874" s="23" t="str">
        <f t="shared" si="980"/>
        <v/>
      </c>
      <c r="U2874" s="23" t="str">
        <f t="shared" si="981"/>
        <v/>
      </c>
      <c r="V2874" s="23" t="str">
        <f t="shared" si="982"/>
        <v/>
      </c>
      <c r="W2874" s="70" t="str">
        <f t="shared" si="983"/>
        <v/>
      </c>
      <c r="X2874" s="70" t="str">
        <f t="shared" si="984"/>
        <v/>
      </c>
      <c r="Y2874" s="70" t="str">
        <f>IF(AND($A2874&lt;&gt;"",$E2874&gt;0),isLaptopBag($C2874,$J2874)*$D2874,"")</f>
        <v/>
      </c>
      <c r="Z2874" s="70" t="str">
        <f t="shared" si="985"/>
        <v/>
      </c>
      <c r="AA2874" s="70" t="str">
        <f t="shared" si="986"/>
        <v/>
      </c>
      <c r="AB2874" s="70" t="str">
        <f t="shared" si="987"/>
        <v/>
      </c>
      <c r="AC2874" s="70" t="str">
        <f t="shared" si="988"/>
        <v/>
      </c>
      <c r="AD2874" s="70" t="str">
        <f t="shared" si="989"/>
        <v/>
      </c>
      <c r="AE2874" s="70" t="str">
        <f t="shared" si="990"/>
        <v/>
      </c>
      <c r="AF2874" s="16"/>
      <c r="AG2874" s="23"/>
      <c r="AH2874" s="22"/>
      <c r="AJ2874" s="83">
        <f t="shared" si="991"/>
        <v>0</v>
      </c>
      <c r="AO2874" s="22" t="str">
        <f t="shared" si="992"/>
        <v/>
      </c>
      <c r="AP2874" s="22" t="str">
        <f t="shared" si="993"/>
        <v/>
      </c>
    </row>
    <row r="2875" spans="1:42" x14ac:dyDescent="0.25">
      <c r="A2875" s="10"/>
      <c r="B2875" s="10"/>
      <c r="C2875" s="10"/>
      <c r="D2875" s="10"/>
      <c r="E2875" s="10"/>
      <c r="F2875" s="10"/>
      <c r="G2875" s="10"/>
      <c r="H2875" s="17"/>
      <c r="I2875" s="10"/>
      <c r="J2875" s="10"/>
      <c r="K2875" s="16" t="str">
        <f t="shared" si="972"/>
        <v/>
      </c>
      <c r="L2875" s="23" t="str">
        <f t="shared" si="973"/>
        <v/>
      </c>
      <c r="M2875" s="22" t="str">
        <f t="shared" si="974"/>
        <v/>
      </c>
      <c r="N2875" s="72"/>
      <c r="O2875" s="16" t="str">
        <f t="shared" si="975"/>
        <v/>
      </c>
      <c r="P2875" s="16" t="str">
        <f t="shared" si="976"/>
        <v/>
      </c>
      <c r="Q2875" s="16" t="str">
        <f t="shared" si="977"/>
        <v/>
      </c>
      <c r="R2875" s="23" t="str">
        <f t="shared" si="978"/>
        <v/>
      </c>
      <c r="S2875" s="23" t="str">
        <f t="shared" si="979"/>
        <v/>
      </c>
      <c r="T2875" s="23" t="str">
        <f t="shared" si="980"/>
        <v/>
      </c>
      <c r="U2875" s="23" t="str">
        <f t="shared" si="981"/>
        <v/>
      </c>
      <c r="V2875" s="23" t="str">
        <f t="shared" si="982"/>
        <v/>
      </c>
      <c r="W2875" s="70" t="str">
        <f t="shared" si="983"/>
        <v/>
      </c>
      <c r="X2875" s="70" t="str">
        <f t="shared" si="984"/>
        <v/>
      </c>
      <c r="Y2875" s="70" t="str">
        <f>IF(AND($A2875&lt;&gt;"",$E2875&gt;0),isLaptopBag($C2875,$J2875)*$D2875,"")</f>
        <v/>
      </c>
      <c r="Z2875" s="70" t="str">
        <f t="shared" si="985"/>
        <v/>
      </c>
      <c r="AA2875" s="70" t="str">
        <f t="shared" si="986"/>
        <v/>
      </c>
      <c r="AB2875" s="70" t="str">
        <f t="shared" si="987"/>
        <v/>
      </c>
      <c r="AC2875" s="70" t="str">
        <f t="shared" si="988"/>
        <v/>
      </c>
      <c r="AD2875" s="70" t="str">
        <f t="shared" si="989"/>
        <v/>
      </c>
      <c r="AE2875" s="70" t="str">
        <f t="shared" si="990"/>
        <v/>
      </c>
      <c r="AF2875" s="16"/>
      <c r="AG2875" s="23"/>
      <c r="AH2875" s="22"/>
      <c r="AJ2875" s="83">
        <f t="shared" si="991"/>
        <v>0</v>
      </c>
      <c r="AO2875" s="22" t="str">
        <f t="shared" si="992"/>
        <v/>
      </c>
      <c r="AP2875" s="22" t="str">
        <f t="shared" si="993"/>
        <v/>
      </c>
    </row>
    <row r="2876" spans="1:42" x14ac:dyDescent="0.25">
      <c r="A2876" s="10"/>
      <c r="B2876" s="10"/>
      <c r="C2876" s="10"/>
      <c r="D2876" s="10"/>
      <c r="E2876" s="10"/>
      <c r="F2876" s="10"/>
      <c r="G2876" s="10"/>
      <c r="H2876" s="17"/>
      <c r="I2876" s="10"/>
      <c r="J2876" s="10"/>
      <c r="K2876" s="16" t="str">
        <f t="shared" si="972"/>
        <v/>
      </c>
      <c r="L2876" s="23" t="str">
        <f t="shared" si="973"/>
        <v/>
      </c>
      <c r="M2876" s="22" t="str">
        <f t="shared" si="974"/>
        <v/>
      </c>
      <c r="N2876" s="72"/>
      <c r="O2876" s="16" t="str">
        <f t="shared" si="975"/>
        <v/>
      </c>
      <c r="P2876" s="16" t="str">
        <f t="shared" si="976"/>
        <v/>
      </c>
      <c r="Q2876" s="16" t="str">
        <f t="shared" si="977"/>
        <v/>
      </c>
      <c r="R2876" s="23" t="str">
        <f t="shared" si="978"/>
        <v/>
      </c>
      <c r="S2876" s="23" t="str">
        <f t="shared" si="979"/>
        <v/>
      </c>
      <c r="T2876" s="23" t="str">
        <f t="shared" si="980"/>
        <v/>
      </c>
      <c r="U2876" s="23" t="str">
        <f t="shared" si="981"/>
        <v/>
      </c>
      <c r="V2876" s="23" t="str">
        <f t="shared" si="982"/>
        <v/>
      </c>
      <c r="W2876" s="70" t="str">
        <f t="shared" si="983"/>
        <v/>
      </c>
      <c r="X2876" s="70" t="str">
        <f t="shared" si="984"/>
        <v/>
      </c>
      <c r="Y2876" s="70" t="str">
        <f>IF(AND($A2876&lt;&gt;"",$E2876&gt;0),isLaptopBag($C2876,$J2876)*$D2876,"")</f>
        <v/>
      </c>
      <c r="Z2876" s="70" t="str">
        <f t="shared" si="985"/>
        <v/>
      </c>
      <c r="AA2876" s="70" t="str">
        <f t="shared" si="986"/>
        <v/>
      </c>
      <c r="AB2876" s="70" t="str">
        <f t="shared" si="987"/>
        <v/>
      </c>
      <c r="AC2876" s="70" t="str">
        <f t="shared" si="988"/>
        <v/>
      </c>
      <c r="AD2876" s="70" t="str">
        <f t="shared" si="989"/>
        <v/>
      </c>
      <c r="AE2876" s="70" t="str">
        <f t="shared" si="990"/>
        <v/>
      </c>
      <c r="AF2876" s="16"/>
      <c r="AG2876" s="23"/>
      <c r="AH2876" s="22"/>
      <c r="AJ2876" s="83">
        <f t="shared" si="991"/>
        <v>0</v>
      </c>
      <c r="AO2876" s="22" t="str">
        <f t="shared" si="992"/>
        <v/>
      </c>
      <c r="AP2876" s="22" t="str">
        <f t="shared" si="993"/>
        <v/>
      </c>
    </row>
    <row r="2877" spans="1:42" x14ac:dyDescent="0.25">
      <c r="A2877" s="10"/>
      <c r="B2877" s="10"/>
      <c r="C2877" s="10"/>
      <c r="D2877" s="10"/>
      <c r="E2877" s="10"/>
      <c r="F2877" s="10"/>
      <c r="G2877" s="10"/>
      <c r="H2877" s="17"/>
      <c r="I2877" s="10"/>
      <c r="J2877" s="10"/>
      <c r="K2877" s="16" t="str">
        <f t="shared" si="972"/>
        <v/>
      </c>
      <c r="L2877" s="23" t="str">
        <f t="shared" si="973"/>
        <v/>
      </c>
      <c r="M2877" s="22" t="str">
        <f t="shared" si="974"/>
        <v/>
      </c>
      <c r="N2877" s="72"/>
      <c r="O2877" s="16" t="str">
        <f t="shared" si="975"/>
        <v/>
      </c>
      <c r="P2877" s="16" t="str">
        <f t="shared" si="976"/>
        <v/>
      </c>
      <c r="Q2877" s="16" t="str">
        <f t="shared" si="977"/>
        <v/>
      </c>
      <c r="R2877" s="23" t="str">
        <f t="shared" si="978"/>
        <v/>
      </c>
      <c r="S2877" s="23" t="str">
        <f t="shared" si="979"/>
        <v/>
      </c>
      <c r="T2877" s="23" t="str">
        <f t="shared" si="980"/>
        <v/>
      </c>
      <c r="U2877" s="23" t="str">
        <f t="shared" si="981"/>
        <v/>
      </c>
      <c r="V2877" s="23" t="str">
        <f t="shared" si="982"/>
        <v/>
      </c>
      <c r="W2877" s="70" t="str">
        <f t="shared" si="983"/>
        <v/>
      </c>
      <c r="X2877" s="70" t="str">
        <f t="shared" si="984"/>
        <v/>
      </c>
      <c r="Y2877" s="70" t="str">
        <f>IF(AND($A2877&lt;&gt;"",$E2877&gt;0),isLaptopBag($C2877,$J2877)*$D2877,"")</f>
        <v/>
      </c>
      <c r="Z2877" s="70" t="str">
        <f t="shared" si="985"/>
        <v/>
      </c>
      <c r="AA2877" s="70" t="str">
        <f t="shared" si="986"/>
        <v/>
      </c>
      <c r="AB2877" s="70" t="str">
        <f t="shared" si="987"/>
        <v/>
      </c>
      <c r="AC2877" s="70" t="str">
        <f t="shared" si="988"/>
        <v/>
      </c>
      <c r="AD2877" s="70" t="str">
        <f t="shared" si="989"/>
        <v/>
      </c>
      <c r="AE2877" s="70" t="str">
        <f t="shared" si="990"/>
        <v/>
      </c>
      <c r="AF2877" s="16"/>
      <c r="AG2877" s="23"/>
      <c r="AH2877" s="22"/>
      <c r="AJ2877" s="83">
        <f t="shared" si="991"/>
        <v>0</v>
      </c>
      <c r="AO2877" s="22" t="str">
        <f t="shared" si="992"/>
        <v/>
      </c>
      <c r="AP2877" s="22" t="str">
        <f t="shared" si="993"/>
        <v/>
      </c>
    </row>
    <row r="2878" spans="1:42" x14ac:dyDescent="0.25">
      <c r="A2878" s="10"/>
      <c r="B2878" s="10"/>
      <c r="C2878" s="10"/>
      <c r="D2878" s="10"/>
      <c r="E2878" s="10"/>
      <c r="F2878" s="10"/>
      <c r="G2878" s="10"/>
      <c r="H2878" s="17"/>
      <c r="I2878" s="10"/>
      <c r="J2878" s="10"/>
      <c r="K2878" s="16" t="str">
        <f t="shared" si="972"/>
        <v/>
      </c>
      <c r="L2878" s="23" t="str">
        <f t="shared" si="973"/>
        <v/>
      </c>
      <c r="M2878" s="22" t="str">
        <f t="shared" si="974"/>
        <v/>
      </c>
      <c r="N2878" s="72"/>
      <c r="O2878" s="16" t="str">
        <f t="shared" si="975"/>
        <v/>
      </c>
      <c r="P2878" s="16" t="str">
        <f t="shared" si="976"/>
        <v/>
      </c>
      <c r="Q2878" s="16" t="str">
        <f t="shared" si="977"/>
        <v/>
      </c>
      <c r="R2878" s="23" t="str">
        <f t="shared" si="978"/>
        <v/>
      </c>
      <c r="S2878" s="23" t="str">
        <f t="shared" si="979"/>
        <v/>
      </c>
      <c r="T2878" s="23" t="str">
        <f t="shared" si="980"/>
        <v/>
      </c>
      <c r="U2878" s="23" t="str">
        <f t="shared" si="981"/>
        <v/>
      </c>
      <c r="V2878" s="23" t="str">
        <f t="shared" si="982"/>
        <v/>
      </c>
      <c r="W2878" s="70" t="str">
        <f t="shared" si="983"/>
        <v/>
      </c>
      <c r="X2878" s="70" t="str">
        <f t="shared" si="984"/>
        <v/>
      </c>
      <c r="Y2878" s="70" t="str">
        <f>IF(AND($A2878&lt;&gt;"",$E2878&gt;0),isLaptopBag($C2878,$J2878)*$D2878,"")</f>
        <v/>
      </c>
      <c r="Z2878" s="70" t="str">
        <f t="shared" si="985"/>
        <v/>
      </c>
      <c r="AA2878" s="70" t="str">
        <f t="shared" si="986"/>
        <v/>
      </c>
      <c r="AB2878" s="70" t="str">
        <f t="shared" si="987"/>
        <v/>
      </c>
      <c r="AC2878" s="70" t="str">
        <f t="shared" si="988"/>
        <v/>
      </c>
      <c r="AD2878" s="70" t="str">
        <f t="shared" si="989"/>
        <v/>
      </c>
      <c r="AE2878" s="70" t="str">
        <f t="shared" si="990"/>
        <v/>
      </c>
      <c r="AF2878" s="16"/>
      <c r="AG2878" s="23"/>
      <c r="AH2878" s="22"/>
      <c r="AJ2878" s="83">
        <f t="shared" si="991"/>
        <v>0</v>
      </c>
      <c r="AO2878" s="22" t="str">
        <f t="shared" si="992"/>
        <v/>
      </c>
      <c r="AP2878" s="22" t="str">
        <f t="shared" si="993"/>
        <v/>
      </c>
    </row>
    <row r="2879" spans="1:42" x14ac:dyDescent="0.25">
      <c r="A2879" s="10"/>
      <c r="B2879" s="10"/>
      <c r="C2879" s="10"/>
      <c r="D2879" s="10"/>
      <c r="E2879" s="10"/>
      <c r="F2879" s="10"/>
      <c r="G2879" s="10"/>
      <c r="H2879" s="17"/>
      <c r="I2879" s="10"/>
      <c r="J2879" s="10"/>
      <c r="K2879" s="16" t="str">
        <f t="shared" si="972"/>
        <v/>
      </c>
      <c r="L2879" s="23" t="str">
        <f t="shared" si="973"/>
        <v/>
      </c>
      <c r="M2879" s="22" t="str">
        <f t="shared" si="974"/>
        <v/>
      </c>
      <c r="N2879" s="72"/>
      <c r="O2879" s="16" t="str">
        <f t="shared" si="975"/>
        <v/>
      </c>
      <c r="P2879" s="16" t="str">
        <f t="shared" si="976"/>
        <v/>
      </c>
      <c r="Q2879" s="16" t="str">
        <f t="shared" si="977"/>
        <v/>
      </c>
      <c r="R2879" s="23" t="str">
        <f t="shared" si="978"/>
        <v/>
      </c>
      <c r="S2879" s="23" t="str">
        <f t="shared" si="979"/>
        <v/>
      </c>
      <c r="T2879" s="23" t="str">
        <f t="shared" si="980"/>
        <v/>
      </c>
      <c r="U2879" s="23" t="str">
        <f t="shared" si="981"/>
        <v/>
      </c>
      <c r="V2879" s="23" t="str">
        <f t="shared" si="982"/>
        <v/>
      </c>
      <c r="W2879" s="70" t="str">
        <f t="shared" si="983"/>
        <v/>
      </c>
      <c r="X2879" s="70" t="str">
        <f t="shared" si="984"/>
        <v/>
      </c>
      <c r="Y2879" s="70" t="str">
        <f>IF(AND($A2879&lt;&gt;"",$E2879&gt;0),isLaptopBag($C2879,$J2879)*$D2879,"")</f>
        <v/>
      </c>
      <c r="Z2879" s="70" t="str">
        <f t="shared" si="985"/>
        <v/>
      </c>
      <c r="AA2879" s="70" t="str">
        <f t="shared" si="986"/>
        <v/>
      </c>
      <c r="AB2879" s="70" t="str">
        <f t="shared" si="987"/>
        <v/>
      </c>
      <c r="AC2879" s="70" t="str">
        <f t="shared" si="988"/>
        <v/>
      </c>
      <c r="AD2879" s="70" t="str">
        <f t="shared" si="989"/>
        <v/>
      </c>
      <c r="AE2879" s="70" t="str">
        <f t="shared" si="990"/>
        <v/>
      </c>
      <c r="AF2879" s="16"/>
      <c r="AG2879" s="23"/>
      <c r="AH2879" s="22"/>
      <c r="AJ2879" s="83">
        <f t="shared" si="991"/>
        <v>0</v>
      </c>
      <c r="AO2879" s="22" t="str">
        <f t="shared" si="992"/>
        <v/>
      </c>
      <c r="AP2879" s="22" t="str">
        <f t="shared" si="993"/>
        <v/>
      </c>
    </row>
    <row r="2880" spans="1:42" x14ac:dyDescent="0.25">
      <c r="A2880" s="10"/>
      <c r="B2880" s="10"/>
      <c r="C2880" s="10"/>
      <c r="D2880" s="10"/>
      <c r="E2880" s="10"/>
      <c r="F2880" s="10"/>
      <c r="G2880" s="10"/>
      <c r="H2880" s="17"/>
      <c r="I2880" s="10"/>
      <c r="J2880" s="10"/>
      <c r="K2880" s="16" t="str">
        <f t="shared" si="972"/>
        <v/>
      </c>
      <c r="L2880" s="23" t="str">
        <f t="shared" si="973"/>
        <v/>
      </c>
      <c r="M2880" s="22" t="str">
        <f t="shared" si="974"/>
        <v/>
      </c>
      <c r="N2880" s="72"/>
      <c r="O2880" s="16" t="str">
        <f t="shared" si="975"/>
        <v/>
      </c>
      <c r="P2880" s="16" t="str">
        <f t="shared" si="976"/>
        <v/>
      </c>
      <c r="Q2880" s="16" t="str">
        <f t="shared" si="977"/>
        <v/>
      </c>
      <c r="R2880" s="23" t="str">
        <f t="shared" si="978"/>
        <v/>
      </c>
      <c r="S2880" s="23" t="str">
        <f t="shared" si="979"/>
        <v/>
      </c>
      <c r="T2880" s="23" t="str">
        <f t="shared" si="980"/>
        <v/>
      </c>
      <c r="U2880" s="23" t="str">
        <f t="shared" si="981"/>
        <v/>
      </c>
      <c r="V2880" s="23" t="str">
        <f t="shared" si="982"/>
        <v/>
      </c>
      <c r="W2880" s="70" t="str">
        <f t="shared" si="983"/>
        <v/>
      </c>
      <c r="X2880" s="70" t="str">
        <f t="shared" si="984"/>
        <v/>
      </c>
      <c r="Y2880" s="70" t="str">
        <f>IF(AND($A2880&lt;&gt;"",$E2880&gt;0),isLaptopBag($C2880,$J2880)*$D2880,"")</f>
        <v/>
      </c>
      <c r="Z2880" s="70" t="str">
        <f t="shared" si="985"/>
        <v/>
      </c>
      <c r="AA2880" s="70" t="str">
        <f t="shared" si="986"/>
        <v/>
      </c>
      <c r="AB2880" s="70" t="str">
        <f t="shared" si="987"/>
        <v/>
      </c>
      <c r="AC2880" s="70" t="str">
        <f t="shared" si="988"/>
        <v/>
      </c>
      <c r="AD2880" s="70" t="str">
        <f t="shared" si="989"/>
        <v/>
      </c>
      <c r="AE2880" s="70" t="str">
        <f t="shared" si="990"/>
        <v/>
      </c>
      <c r="AF2880" s="16"/>
      <c r="AG2880" s="23"/>
      <c r="AH2880" s="22"/>
      <c r="AJ2880" s="83">
        <f t="shared" si="991"/>
        <v>0</v>
      </c>
      <c r="AO2880" s="22" t="str">
        <f t="shared" si="992"/>
        <v/>
      </c>
      <c r="AP2880" s="22" t="str">
        <f t="shared" si="993"/>
        <v/>
      </c>
    </row>
    <row r="2881" spans="1:42" x14ac:dyDescent="0.25">
      <c r="A2881" s="10"/>
      <c r="B2881" s="10"/>
      <c r="C2881" s="10"/>
      <c r="D2881" s="10"/>
      <c r="E2881" s="10"/>
      <c r="F2881" s="10"/>
      <c r="G2881" s="10"/>
      <c r="H2881" s="17"/>
      <c r="I2881" s="10"/>
      <c r="J2881" s="10"/>
      <c r="K2881" s="16" t="str">
        <f t="shared" si="972"/>
        <v/>
      </c>
      <c r="L2881" s="23" t="str">
        <f t="shared" si="973"/>
        <v/>
      </c>
      <c r="M2881" s="22" t="str">
        <f t="shared" si="974"/>
        <v/>
      </c>
      <c r="N2881" s="72"/>
      <c r="O2881" s="16" t="str">
        <f t="shared" si="975"/>
        <v/>
      </c>
      <c r="P2881" s="16" t="str">
        <f t="shared" si="976"/>
        <v/>
      </c>
      <c r="Q2881" s="16" t="str">
        <f t="shared" si="977"/>
        <v/>
      </c>
      <c r="R2881" s="23" t="str">
        <f t="shared" si="978"/>
        <v/>
      </c>
      <c r="S2881" s="23" t="str">
        <f t="shared" si="979"/>
        <v/>
      </c>
      <c r="T2881" s="23" t="str">
        <f t="shared" si="980"/>
        <v/>
      </c>
      <c r="U2881" s="23" t="str">
        <f t="shared" si="981"/>
        <v/>
      </c>
      <c r="V2881" s="23" t="str">
        <f t="shared" si="982"/>
        <v/>
      </c>
      <c r="W2881" s="70" t="str">
        <f t="shared" si="983"/>
        <v/>
      </c>
      <c r="X2881" s="70" t="str">
        <f t="shared" si="984"/>
        <v/>
      </c>
      <c r="Y2881" s="70" t="str">
        <f>IF(AND($A2881&lt;&gt;"",$E2881&gt;0),isLaptopBag($C2881,$J2881)*$D2881,"")</f>
        <v/>
      </c>
      <c r="Z2881" s="70" t="str">
        <f t="shared" si="985"/>
        <v/>
      </c>
      <c r="AA2881" s="70" t="str">
        <f t="shared" si="986"/>
        <v/>
      </c>
      <c r="AB2881" s="70" t="str">
        <f t="shared" si="987"/>
        <v/>
      </c>
      <c r="AC2881" s="70" t="str">
        <f t="shared" si="988"/>
        <v/>
      </c>
      <c r="AD2881" s="70" t="str">
        <f t="shared" si="989"/>
        <v/>
      </c>
      <c r="AE2881" s="70" t="str">
        <f t="shared" si="990"/>
        <v/>
      </c>
      <c r="AF2881" s="16"/>
      <c r="AG2881" s="23"/>
      <c r="AH2881" s="22"/>
      <c r="AJ2881" s="83">
        <f t="shared" si="991"/>
        <v>0</v>
      </c>
      <c r="AO2881" s="22" t="str">
        <f t="shared" si="992"/>
        <v/>
      </c>
      <c r="AP2881" s="22" t="str">
        <f t="shared" si="993"/>
        <v/>
      </c>
    </row>
    <row r="2882" spans="1:42" x14ac:dyDescent="0.25">
      <c r="A2882" s="10"/>
      <c r="B2882" s="10"/>
      <c r="C2882" s="10"/>
      <c r="D2882" s="10"/>
      <c r="E2882" s="10"/>
      <c r="F2882" s="10"/>
      <c r="G2882" s="10"/>
      <c r="H2882" s="17"/>
      <c r="I2882" s="10"/>
      <c r="J2882" s="10"/>
      <c r="K2882" s="16" t="str">
        <f t="shared" si="972"/>
        <v/>
      </c>
      <c r="L2882" s="23" t="str">
        <f t="shared" si="973"/>
        <v/>
      </c>
      <c r="M2882" s="22" t="str">
        <f t="shared" si="974"/>
        <v/>
      </c>
      <c r="N2882" s="72"/>
      <c r="O2882" s="16" t="str">
        <f t="shared" si="975"/>
        <v/>
      </c>
      <c r="P2882" s="16" t="str">
        <f t="shared" si="976"/>
        <v/>
      </c>
      <c r="Q2882" s="16" t="str">
        <f t="shared" si="977"/>
        <v/>
      </c>
      <c r="R2882" s="23" t="str">
        <f t="shared" si="978"/>
        <v/>
      </c>
      <c r="S2882" s="23" t="str">
        <f t="shared" si="979"/>
        <v/>
      </c>
      <c r="T2882" s="23" t="str">
        <f t="shared" si="980"/>
        <v/>
      </c>
      <c r="U2882" s="23" t="str">
        <f t="shared" si="981"/>
        <v/>
      </c>
      <c r="V2882" s="23" t="str">
        <f t="shared" si="982"/>
        <v/>
      </c>
      <c r="W2882" s="70" t="str">
        <f t="shared" si="983"/>
        <v/>
      </c>
      <c r="X2882" s="70" t="str">
        <f t="shared" si="984"/>
        <v/>
      </c>
      <c r="Y2882" s="70" t="str">
        <f>IF(AND($A2882&lt;&gt;"",$E2882&gt;0),isLaptopBag($C2882,$J2882)*$D2882,"")</f>
        <v/>
      </c>
      <c r="Z2882" s="70" t="str">
        <f t="shared" si="985"/>
        <v/>
      </c>
      <c r="AA2882" s="70" t="str">
        <f t="shared" si="986"/>
        <v/>
      </c>
      <c r="AB2882" s="70" t="str">
        <f t="shared" si="987"/>
        <v/>
      </c>
      <c r="AC2882" s="70" t="str">
        <f t="shared" si="988"/>
        <v/>
      </c>
      <c r="AD2882" s="70" t="str">
        <f t="shared" si="989"/>
        <v/>
      </c>
      <c r="AE2882" s="70" t="str">
        <f t="shared" si="990"/>
        <v/>
      </c>
      <c r="AF2882" s="16"/>
      <c r="AG2882" s="23"/>
      <c r="AH2882" s="22"/>
      <c r="AJ2882" s="83">
        <f t="shared" si="991"/>
        <v>0</v>
      </c>
      <c r="AO2882" s="22" t="str">
        <f t="shared" si="992"/>
        <v/>
      </c>
      <c r="AP2882" s="22" t="str">
        <f t="shared" si="993"/>
        <v/>
      </c>
    </row>
    <row r="2883" spans="1:42" x14ac:dyDescent="0.25">
      <c r="A2883" s="10"/>
      <c r="B2883" s="10"/>
      <c r="C2883" s="10"/>
      <c r="D2883" s="10"/>
      <c r="E2883" s="10"/>
      <c r="F2883" s="10"/>
      <c r="G2883" s="10"/>
      <c r="H2883" s="17"/>
      <c r="I2883" s="10"/>
      <c r="J2883" s="10"/>
      <c r="K2883" s="16" t="str">
        <f t="shared" si="972"/>
        <v/>
      </c>
      <c r="L2883" s="23" t="str">
        <f t="shared" si="973"/>
        <v/>
      </c>
      <c r="M2883" s="22" t="str">
        <f t="shared" si="974"/>
        <v/>
      </c>
      <c r="N2883" s="72"/>
      <c r="O2883" s="16" t="str">
        <f t="shared" si="975"/>
        <v/>
      </c>
      <c r="P2883" s="16" t="str">
        <f t="shared" si="976"/>
        <v/>
      </c>
      <c r="Q2883" s="16" t="str">
        <f t="shared" si="977"/>
        <v/>
      </c>
      <c r="R2883" s="23" t="str">
        <f t="shared" si="978"/>
        <v/>
      </c>
      <c r="S2883" s="23" t="str">
        <f t="shared" si="979"/>
        <v/>
      </c>
      <c r="T2883" s="23" t="str">
        <f t="shared" si="980"/>
        <v/>
      </c>
      <c r="U2883" s="23" t="str">
        <f t="shared" si="981"/>
        <v/>
      </c>
      <c r="V2883" s="23" t="str">
        <f t="shared" si="982"/>
        <v/>
      </c>
      <c r="W2883" s="70" t="str">
        <f t="shared" si="983"/>
        <v/>
      </c>
      <c r="X2883" s="70" t="str">
        <f t="shared" si="984"/>
        <v/>
      </c>
      <c r="Y2883" s="70" t="str">
        <f>IF(AND($A2883&lt;&gt;"",$E2883&gt;0),isLaptopBag($C2883,$J2883)*$D2883,"")</f>
        <v/>
      </c>
      <c r="Z2883" s="70" t="str">
        <f t="shared" si="985"/>
        <v/>
      </c>
      <c r="AA2883" s="70" t="str">
        <f t="shared" si="986"/>
        <v/>
      </c>
      <c r="AB2883" s="70" t="str">
        <f t="shared" si="987"/>
        <v/>
      </c>
      <c r="AC2883" s="70" t="str">
        <f t="shared" si="988"/>
        <v/>
      </c>
      <c r="AD2883" s="70" t="str">
        <f t="shared" si="989"/>
        <v/>
      </c>
      <c r="AE2883" s="70" t="str">
        <f t="shared" si="990"/>
        <v/>
      </c>
      <c r="AF2883" s="16"/>
      <c r="AG2883" s="23"/>
      <c r="AH2883" s="22"/>
      <c r="AJ2883" s="83">
        <f t="shared" si="991"/>
        <v>0</v>
      </c>
      <c r="AO2883" s="22" t="str">
        <f t="shared" si="992"/>
        <v/>
      </c>
      <c r="AP2883" s="22" t="str">
        <f t="shared" si="993"/>
        <v/>
      </c>
    </row>
    <row r="2884" spans="1:42" x14ac:dyDescent="0.25">
      <c r="A2884" s="10"/>
      <c r="B2884" s="10"/>
      <c r="C2884" s="10"/>
      <c r="D2884" s="10"/>
      <c r="E2884" s="10"/>
      <c r="F2884" s="10"/>
      <c r="G2884" s="10"/>
      <c r="H2884" s="17"/>
      <c r="I2884" s="10"/>
      <c r="J2884" s="10"/>
      <c r="K2884" s="16" t="str">
        <f t="shared" si="972"/>
        <v/>
      </c>
      <c r="L2884" s="23" t="str">
        <f t="shared" si="973"/>
        <v/>
      </c>
      <c r="M2884" s="22" t="str">
        <f t="shared" si="974"/>
        <v/>
      </c>
      <c r="N2884" s="72"/>
      <c r="O2884" s="16" t="str">
        <f t="shared" si="975"/>
        <v/>
      </c>
      <c r="P2884" s="16" t="str">
        <f t="shared" si="976"/>
        <v/>
      </c>
      <c r="Q2884" s="16" t="str">
        <f t="shared" si="977"/>
        <v/>
      </c>
      <c r="R2884" s="23" t="str">
        <f t="shared" si="978"/>
        <v/>
      </c>
      <c r="S2884" s="23" t="str">
        <f t="shared" si="979"/>
        <v/>
      </c>
      <c r="T2884" s="23" t="str">
        <f t="shared" si="980"/>
        <v/>
      </c>
      <c r="U2884" s="23" t="str">
        <f t="shared" si="981"/>
        <v/>
      </c>
      <c r="V2884" s="23" t="str">
        <f t="shared" si="982"/>
        <v/>
      </c>
      <c r="W2884" s="70" t="str">
        <f t="shared" si="983"/>
        <v/>
      </c>
      <c r="X2884" s="70" t="str">
        <f t="shared" si="984"/>
        <v/>
      </c>
      <c r="Y2884" s="70" t="str">
        <f>IF(AND($A2884&lt;&gt;"",$E2884&gt;0),isLaptopBag($C2884,$J2884)*$D2884,"")</f>
        <v/>
      </c>
      <c r="Z2884" s="70" t="str">
        <f t="shared" si="985"/>
        <v/>
      </c>
      <c r="AA2884" s="70" t="str">
        <f t="shared" si="986"/>
        <v/>
      </c>
      <c r="AB2884" s="70" t="str">
        <f t="shared" si="987"/>
        <v/>
      </c>
      <c r="AC2884" s="70" t="str">
        <f t="shared" si="988"/>
        <v/>
      </c>
      <c r="AD2884" s="70" t="str">
        <f t="shared" si="989"/>
        <v/>
      </c>
      <c r="AE2884" s="70" t="str">
        <f t="shared" si="990"/>
        <v/>
      </c>
      <c r="AF2884" s="16"/>
      <c r="AG2884" s="23"/>
      <c r="AH2884" s="22"/>
      <c r="AJ2884" s="83">
        <f t="shared" si="991"/>
        <v>0</v>
      </c>
      <c r="AO2884" s="22" t="str">
        <f t="shared" si="992"/>
        <v/>
      </c>
      <c r="AP2884" s="22" t="str">
        <f t="shared" si="993"/>
        <v/>
      </c>
    </row>
    <row r="2885" spans="1:42" x14ac:dyDescent="0.25">
      <c r="A2885" s="10"/>
      <c r="B2885" s="10"/>
      <c r="C2885" s="10"/>
      <c r="D2885" s="10"/>
      <c r="E2885" s="10"/>
      <c r="F2885" s="10"/>
      <c r="G2885" s="10"/>
      <c r="H2885" s="17"/>
      <c r="I2885" s="10"/>
      <c r="J2885" s="10"/>
      <c r="K2885" s="16" t="str">
        <f t="shared" si="972"/>
        <v/>
      </c>
      <c r="L2885" s="23" t="str">
        <f t="shared" si="973"/>
        <v/>
      </c>
      <c r="M2885" s="22" t="str">
        <f t="shared" si="974"/>
        <v/>
      </c>
      <c r="N2885" s="72"/>
      <c r="O2885" s="16" t="str">
        <f t="shared" si="975"/>
        <v/>
      </c>
      <c r="P2885" s="16" t="str">
        <f t="shared" si="976"/>
        <v/>
      </c>
      <c r="Q2885" s="16" t="str">
        <f t="shared" si="977"/>
        <v/>
      </c>
      <c r="R2885" s="23" t="str">
        <f t="shared" si="978"/>
        <v/>
      </c>
      <c r="S2885" s="23" t="str">
        <f t="shared" si="979"/>
        <v/>
      </c>
      <c r="T2885" s="23" t="str">
        <f t="shared" si="980"/>
        <v/>
      </c>
      <c r="U2885" s="23" t="str">
        <f t="shared" si="981"/>
        <v/>
      </c>
      <c r="V2885" s="23" t="str">
        <f t="shared" si="982"/>
        <v/>
      </c>
      <c r="W2885" s="70" t="str">
        <f t="shared" si="983"/>
        <v/>
      </c>
      <c r="X2885" s="70" t="str">
        <f t="shared" si="984"/>
        <v/>
      </c>
      <c r="Y2885" s="70" t="str">
        <f>IF(AND($A2885&lt;&gt;"",$E2885&gt;0),isLaptopBag($C2885,$J2885)*$D2885,"")</f>
        <v/>
      </c>
      <c r="Z2885" s="70" t="str">
        <f t="shared" si="985"/>
        <v/>
      </c>
      <c r="AA2885" s="70" t="str">
        <f t="shared" si="986"/>
        <v/>
      </c>
      <c r="AB2885" s="70" t="str">
        <f t="shared" si="987"/>
        <v/>
      </c>
      <c r="AC2885" s="70" t="str">
        <f t="shared" si="988"/>
        <v/>
      </c>
      <c r="AD2885" s="70" t="str">
        <f t="shared" si="989"/>
        <v/>
      </c>
      <c r="AE2885" s="70" t="str">
        <f t="shared" si="990"/>
        <v/>
      </c>
      <c r="AF2885" s="16"/>
      <c r="AG2885" s="23"/>
      <c r="AH2885" s="22"/>
      <c r="AJ2885" s="83">
        <f t="shared" si="991"/>
        <v>0</v>
      </c>
      <c r="AO2885" s="22" t="str">
        <f t="shared" si="992"/>
        <v/>
      </c>
      <c r="AP2885" s="22" t="str">
        <f t="shared" si="993"/>
        <v/>
      </c>
    </row>
    <row r="2886" spans="1:42" x14ac:dyDescent="0.25">
      <c r="A2886" s="10"/>
      <c r="B2886" s="10"/>
      <c r="C2886" s="10"/>
      <c r="D2886" s="10"/>
      <c r="E2886" s="10"/>
      <c r="F2886" s="10"/>
      <c r="G2886" s="10"/>
      <c r="H2886" s="17"/>
      <c r="I2886" s="10"/>
      <c r="J2886" s="10"/>
      <c r="K2886" s="16" t="str">
        <f t="shared" si="972"/>
        <v/>
      </c>
      <c r="L2886" s="23" t="str">
        <f t="shared" si="973"/>
        <v/>
      </c>
      <c r="M2886" s="22" t="str">
        <f t="shared" si="974"/>
        <v/>
      </c>
      <c r="N2886" s="72"/>
      <c r="O2886" s="16" t="str">
        <f t="shared" si="975"/>
        <v/>
      </c>
      <c r="P2886" s="16" t="str">
        <f t="shared" si="976"/>
        <v/>
      </c>
      <c r="Q2886" s="16" t="str">
        <f t="shared" si="977"/>
        <v/>
      </c>
      <c r="R2886" s="23" t="str">
        <f t="shared" si="978"/>
        <v/>
      </c>
      <c r="S2886" s="23" t="str">
        <f t="shared" si="979"/>
        <v/>
      </c>
      <c r="T2886" s="23" t="str">
        <f t="shared" si="980"/>
        <v/>
      </c>
      <c r="U2886" s="23" t="str">
        <f t="shared" si="981"/>
        <v/>
      </c>
      <c r="V2886" s="23" t="str">
        <f t="shared" si="982"/>
        <v/>
      </c>
      <c r="W2886" s="70" t="str">
        <f t="shared" si="983"/>
        <v/>
      </c>
      <c r="X2886" s="70" t="str">
        <f t="shared" si="984"/>
        <v/>
      </c>
      <c r="Y2886" s="70" t="str">
        <f>IF(AND($A2886&lt;&gt;"",$E2886&gt;0),isLaptopBag($C2886,$J2886)*$D2886,"")</f>
        <v/>
      </c>
      <c r="Z2886" s="70" t="str">
        <f t="shared" si="985"/>
        <v/>
      </c>
      <c r="AA2886" s="70" t="str">
        <f t="shared" si="986"/>
        <v/>
      </c>
      <c r="AB2886" s="70" t="str">
        <f t="shared" si="987"/>
        <v/>
      </c>
      <c r="AC2886" s="70" t="str">
        <f t="shared" si="988"/>
        <v/>
      </c>
      <c r="AD2886" s="70" t="str">
        <f t="shared" si="989"/>
        <v/>
      </c>
      <c r="AE2886" s="70" t="str">
        <f t="shared" si="990"/>
        <v/>
      </c>
      <c r="AF2886" s="16"/>
      <c r="AG2886" s="23"/>
      <c r="AH2886" s="22"/>
      <c r="AJ2886" s="83">
        <f t="shared" si="991"/>
        <v>0</v>
      </c>
      <c r="AO2886" s="22" t="str">
        <f t="shared" si="992"/>
        <v/>
      </c>
      <c r="AP2886" s="22" t="str">
        <f t="shared" si="993"/>
        <v/>
      </c>
    </row>
    <row r="2887" spans="1:42" x14ac:dyDescent="0.25">
      <c r="A2887" s="10"/>
      <c r="B2887" s="10"/>
      <c r="C2887" s="10"/>
      <c r="D2887" s="10"/>
      <c r="E2887" s="10"/>
      <c r="F2887" s="10"/>
      <c r="G2887" s="10"/>
      <c r="H2887" s="17"/>
      <c r="I2887" s="10"/>
      <c r="J2887" s="10"/>
      <c r="K2887" s="16" t="str">
        <f t="shared" si="972"/>
        <v/>
      </c>
      <c r="L2887" s="23" t="str">
        <f t="shared" si="973"/>
        <v/>
      </c>
      <c r="M2887" s="22" t="str">
        <f t="shared" si="974"/>
        <v/>
      </c>
      <c r="N2887" s="72"/>
      <c r="O2887" s="16" t="str">
        <f t="shared" si="975"/>
        <v/>
      </c>
      <c r="P2887" s="16" t="str">
        <f t="shared" si="976"/>
        <v/>
      </c>
      <c r="Q2887" s="16" t="str">
        <f t="shared" si="977"/>
        <v/>
      </c>
      <c r="R2887" s="23" t="str">
        <f t="shared" si="978"/>
        <v/>
      </c>
      <c r="S2887" s="23" t="str">
        <f t="shared" si="979"/>
        <v/>
      </c>
      <c r="T2887" s="23" t="str">
        <f t="shared" si="980"/>
        <v/>
      </c>
      <c r="U2887" s="23" t="str">
        <f t="shared" si="981"/>
        <v/>
      </c>
      <c r="V2887" s="23" t="str">
        <f t="shared" si="982"/>
        <v/>
      </c>
      <c r="W2887" s="70" t="str">
        <f t="shared" si="983"/>
        <v/>
      </c>
      <c r="X2887" s="70" t="str">
        <f t="shared" si="984"/>
        <v/>
      </c>
      <c r="Y2887" s="70" t="str">
        <f>IF(AND($A2887&lt;&gt;"",$E2887&gt;0),isLaptopBag($C2887,$J2887)*$D2887,"")</f>
        <v/>
      </c>
      <c r="Z2887" s="70" t="str">
        <f t="shared" si="985"/>
        <v/>
      </c>
      <c r="AA2887" s="70" t="str">
        <f t="shared" si="986"/>
        <v/>
      </c>
      <c r="AB2887" s="70" t="str">
        <f t="shared" si="987"/>
        <v/>
      </c>
      <c r="AC2887" s="70" t="str">
        <f t="shared" si="988"/>
        <v/>
      </c>
      <c r="AD2887" s="70" t="str">
        <f t="shared" si="989"/>
        <v/>
      </c>
      <c r="AE2887" s="70" t="str">
        <f t="shared" si="990"/>
        <v/>
      </c>
      <c r="AF2887" s="16"/>
      <c r="AG2887" s="23"/>
      <c r="AH2887" s="22"/>
      <c r="AJ2887" s="83">
        <f t="shared" si="991"/>
        <v>0</v>
      </c>
      <c r="AO2887" s="22" t="str">
        <f t="shared" si="992"/>
        <v/>
      </c>
      <c r="AP2887" s="22" t="str">
        <f t="shared" si="993"/>
        <v/>
      </c>
    </row>
    <row r="2888" spans="1:42" x14ac:dyDescent="0.25">
      <c r="A2888" s="10"/>
      <c r="B2888" s="10"/>
      <c r="C2888" s="10"/>
      <c r="D2888" s="10"/>
      <c r="E2888" s="10"/>
      <c r="F2888" s="10"/>
      <c r="G2888" s="10"/>
      <c r="H2888" s="17"/>
      <c r="I2888" s="10"/>
      <c r="J2888" s="10"/>
      <c r="K2888" s="16" t="str">
        <f t="shared" si="972"/>
        <v/>
      </c>
      <c r="L2888" s="23" t="str">
        <f t="shared" si="973"/>
        <v/>
      </c>
      <c r="M2888" s="22" t="str">
        <f t="shared" si="974"/>
        <v/>
      </c>
      <c r="N2888" s="72"/>
      <c r="O2888" s="16" t="str">
        <f t="shared" si="975"/>
        <v/>
      </c>
      <c r="P2888" s="16" t="str">
        <f t="shared" si="976"/>
        <v/>
      </c>
      <c r="Q2888" s="16" t="str">
        <f t="shared" si="977"/>
        <v/>
      </c>
      <c r="R2888" s="23" t="str">
        <f t="shared" si="978"/>
        <v/>
      </c>
      <c r="S2888" s="23" t="str">
        <f t="shared" si="979"/>
        <v/>
      </c>
      <c r="T2888" s="23" t="str">
        <f t="shared" si="980"/>
        <v/>
      </c>
      <c r="U2888" s="23" t="str">
        <f t="shared" si="981"/>
        <v/>
      </c>
      <c r="V2888" s="23" t="str">
        <f t="shared" si="982"/>
        <v/>
      </c>
      <c r="W2888" s="70" t="str">
        <f t="shared" si="983"/>
        <v/>
      </c>
      <c r="X2888" s="70" t="str">
        <f t="shared" si="984"/>
        <v/>
      </c>
      <c r="Y2888" s="70" t="str">
        <f>IF(AND($A2888&lt;&gt;"",$E2888&gt;0),isLaptopBag($C2888,$J2888)*$D2888,"")</f>
        <v/>
      </c>
      <c r="Z2888" s="70" t="str">
        <f t="shared" si="985"/>
        <v/>
      </c>
      <c r="AA2888" s="70" t="str">
        <f t="shared" si="986"/>
        <v/>
      </c>
      <c r="AB2888" s="70" t="str">
        <f t="shared" si="987"/>
        <v/>
      </c>
      <c r="AC2888" s="70" t="str">
        <f t="shared" si="988"/>
        <v/>
      </c>
      <c r="AD2888" s="70" t="str">
        <f t="shared" si="989"/>
        <v/>
      </c>
      <c r="AE2888" s="70" t="str">
        <f t="shared" si="990"/>
        <v/>
      </c>
      <c r="AF2888" s="16"/>
      <c r="AG2888" s="23"/>
      <c r="AH2888" s="22"/>
      <c r="AJ2888" s="83">
        <f t="shared" si="991"/>
        <v>0</v>
      </c>
      <c r="AO2888" s="22" t="str">
        <f t="shared" si="992"/>
        <v/>
      </c>
      <c r="AP2888" s="22" t="str">
        <f t="shared" si="993"/>
        <v/>
      </c>
    </row>
    <row r="2889" spans="1:42" x14ac:dyDescent="0.25">
      <c r="A2889" s="10"/>
      <c r="B2889" s="10"/>
      <c r="C2889" s="10"/>
      <c r="D2889" s="10"/>
      <c r="E2889" s="10"/>
      <c r="F2889" s="10"/>
      <c r="G2889" s="10"/>
      <c r="H2889" s="17"/>
      <c r="I2889" s="10"/>
      <c r="J2889" s="10"/>
      <c r="K2889" s="16" t="str">
        <f t="shared" si="972"/>
        <v/>
      </c>
      <c r="L2889" s="23" t="str">
        <f t="shared" si="973"/>
        <v/>
      </c>
      <c r="M2889" s="22" t="str">
        <f t="shared" si="974"/>
        <v/>
      </c>
      <c r="N2889" s="72"/>
      <c r="O2889" s="16" t="str">
        <f t="shared" si="975"/>
        <v/>
      </c>
      <c r="P2889" s="16" t="str">
        <f t="shared" si="976"/>
        <v/>
      </c>
      <c r="Q2889" s="16" t="str">
        <f t="shared" si="977"/>
        <v/>
      </c>
      <c r="R2889" s="23" t="str">
        <f t="shared" si="978"/>
        <v/>
      </c>
      <c r="S2889" s="23" t="str">
        <f t="shared" si="979"/>
        <v/>
      </c>
      <c r="T2889" s="23" t="str">
        <f t="shared" si="980"/>
        <v/>
      </c>
      <c r="U2889" s="23" t="str">
        <f t="shared" si="981"/>
        <v/>
      </c>
      <c r="V2889" s="23" t="str">
        <f t="shared" si="982"/>
        <v/>
      </c>
      <c r="W2889" s="70" t="str">
        <f t="shared" si="983"/>
        <v/>
      </c>
      <c r="X2889" s="70" t="str">
        <f t="shared" si="984"/>
        <v/>
      </c>
      <c r="Y2889" s="70" t="str">
        <f>IF(AND($A2889&lt;&gt;"",$E2889&gt;0),isLaptopBag($C2889,$J2889)*$D2889,"")</f>
        <v/>
      </c>
      <c r="Z2889" s="70" t="str">
        <f t="shared" si="985"/>
        <v/>
      </c>
      <c r="AA2889" s="70" t="str">
        <f t="shared" si="986"/>
        <v/>
      </c>
      <c r="AB2889" s="70" t="str">
        <f t="shared" si="987"/>
        <v/>
      </c>
      <c r="AC2889" s="70" t="str">
        <f t="shared" si="988"/>
        <v/>
      </c>
      <c r="AD2889" s="70" t="str">
        <f t="shared" si="989"/>
        <v/>
      </c>
      <c r="AE2889" s="70" t="str">
        <f t="shared" si="990"/>
        <v/>
      </c>
      <c r="AF2889" s="16"/>
      <c r="AG2889" s="23"/>
      <c r="AH2889" s="22"/>
      <c r="AJ2889" s="83">
        <f t="shared" si="991"/>
        <v>0</v>
      </c>
      <c r="AO2889" s="22" t="str">
        <f t="shared" si="992"/>
        <v/>
      </c>
      <c r="AP2889" s="22" t="str">
        <f t="shared" si="993"/>
        <v/>
      </c>
    </row>
    <row r="2890" spans="1:42" x14ac:dyDescent="0.25">
      <c r="A2890" s="10"/>
      <c r="B2890" s="10"/>
      <c r="C2890" s="10"/>
      <c r="D2890" s="10"/>
      <c r="E2890" s="10"/>
      <c r="F2890" s="10"/>
      <c r="G2890" s="10"/>
      <c r="H2890" s="17"/>
      <c r="I2890" s="10"/>
      <c r="J2890" s="10"/>
      <c r="K2890" s="16" t="str">
        <f t="shared" si="972"/>
        <v/>
      </c>
      <c r="L2890" s="23" t="str">
        <f t="shared" si="973"/>
        <v/>
      </c>
      <c r="M2890" s="22" t="str">
        <f t="shared" si="974"/>
        <v/>
      </c>
      <c r="N2890" s="72"/>
      <c r="O2890" s="16" t="str">
        <f t="shared" si="975"/>
        <v/>
      </c>
      <c r="P2890" s="16" t="str">
        <f t="shared" si="976"/>
        <v/>
      </c>
      <c r="Q2890" s="16" t="str">
        <f t="shared" si="977"/>
        <v/>
      </c>
      <c r="R2890" s="23" t="str">
        <f t="shared" si="978"/>
        <v/>
      </c>
      <c r="S2890" s="23" t="str">
        <f t="shared" si="979"/>
        <v/>
      </c>
      <c r="T2890" s="23" t="str">
        <f t="shared" si="980"/>
        <v/>
      </c>
      <c r="U2890" s="23" t="str">
        <f t="shared" si="981"/>
        <v/>
      </c>
      <c r="V2890" s="23" t="str">
        <f t="shared" si="982"/>
        <v/>
      </c>
      <c r="W2890" s="70" t="str">
        <f t="shared" si="983"/>
        <v/>
      </c>
      <c r="X2890" s="70" t="str">
        <f t="shared" si="984"/>
        <v/>
      </c>
      <c r="Y2890" s="70" t="str">
        <f>IF(AND($A2890&lt;&gt;"",$E2890&gt;0),isLaptopBag($C2890,$J2890)*$D2890,"")</f>
        <v/>
      </c>
      <c r="Z2890" s="70" t="str">
        <f t="shared" si="985"/>
        <v/>
      </c>
      <c r="AA2890" s="70" t="str">
        <f t="shared" si="986"/>
        <v/>
      </c>
      <c r="AB2890" s="70" t="str">
        <f t="shared" si="987"/>
        <v/>
      </c>
      <c r="AC2890" s="70" t="str">
        <f t="shared" si="988"/>
        <v/>
      </c>
      <c r="AD2890" s="70" t="str">
        <f t="shared" si="989"/>
        <v/>
      </c>
      <c r="AE2890" s="70" t="str">
        <f t="shared" si="990"/>
        <v/>
      </c>
      <c r="AF2890" s="16"/>
      <c r="AG2890" s="23"/>
      <c r="AH2890" s="22"/>
      <c r="AJ2890" s="83">
        <f t="shared" si="991"/>
        <v>0</v>
      </c>
      <c r="AO2890" s="22" t="str">
        <f t="shared" si="992"/>
        <v/>
      </c>
      <c r="AP2890" s="22" t="str">
        <f t="shared" si="993"/>
        <v/>
      </c>
    </row>
    <row r="2891" spans="1:42" x14ac:dyDescent="0.25">
      <c r="A2891" s="10"/>
      <c r="B2891" s="10"/>
      <c r="C2891" s="10"/>
      <c r="D2891" s="10"/>
      <c r="E2891" s="10"/>
      <c r="F2891" s="10"/>
      <c r="G2891" s="10"/>
      <c r="H2891" s="17"/>
      <c r="I2891" s="10"/>
      <c r="J2891" s="10"/>
      <c r="K2891" s="16" t="str">
        <f t="shared" si="972"/>
        <v/>
      </c>
      <c r="L2891" s="23" t="str">
        <f t="shared" si="973"/>
        <v/>
      </c>
      <c r="M2891" s="22" t="str">
        <f t="shared" si="974"/>
        <v/>
      </c>
      <c r="N2891" s="72"/>
      <c r="O2891" s="16" t="str">
        <f t="shared" si="975"/>
        <v/>
      </c>
      <c r="P2891" s="16" t="str">
        <f t="shared" si="976"/>
        <v/>
      </c>
      <c r="Q2891" s="16" t="str">
        <f t="shared" si="977"/>
        <v/>
      </c>
      <c r="R2891" s="23" t="str">
        <f t="shared" si="978"/>
        <v/>
      </c>
      <c r="S2891" s="23" t="str">
        <f t="shared" si="979"/>
        <v/>
      </c>
      <c r="T2891" s="23" t="str">
        <f t="shared" si="980"/>
        <v/>
      </c>
      <c r="U2891" s="23" t="str">
        <f t="shared" si="981"/>
        <v/>
      </c>
      <c r="V2891" s="23" t="str">
        <f t="shared" si="982"/>
        <v/>
      </c>
      <c r="W2891" s="70" t="str">
        <f t="shared" si="983"/>
        <v/>
      </c>
      <c r="X2891" s="70" t="str">
        <f t="shared" si="984"/>
        <v/>
      </c>
      <c r="Y2891" s="70" t="str">
        <f>IF(AND($A2891&lt;&gt;"",$E2891&gt;0),isLaptopBag($C2891,$J2891)*$D2891,"")</f>
        <v/>
      </c>
      <c r="Z2891" s="70" t="str">
        <f t="shared" si="985"/>
        <v/>
      </c>
      <c r="AA2891" s="70" t="str">
        <f t="shared" si="986"/>
        <v/>
      </c>
      <c r="AB2891" s="70" t="str">
        <f t="shared" si="987"/>
        <v/>
      </c>
      <c r="AC2891" s="70" t="str">
        <f t="shared" si="988"/>
        <v/>
      </c>
      <c r="AD2891" s="70" t="str">
        <f t="shared" si="989"/>
        <v/>
      </c>
      <c r="AE2891" s="70" t="str">
        <f t="shared" si="990"/>
        <v/>
      </c>
      <c r="AF2891" s="16"/>
      <c r="AG2891" s="23"/>
      <c r="AH2891" s="22"/>
      <c r="AJ2891" s="83">
        <f t="shared" si="991"/>
        <v>0</v>
      </c>
      <c r="AO2891" s="22" t="str">
        <f t="shared" si="992"/>
        <v/>
      </c>
      <c r="AP2891" s="22" t="str">
        <f t="shared" si="993"/>
        <v/>
      </c>
    </row>
    <row r="2892" spans="1:42" x14ac:dyDescent="0.25">
      <c r="A2892" s="10"/>
      <c r="B2892" s="10"/>
      <c r="C2892" s="10"/>
      <c r="D2892" s="10"/>
      <c r="E2892" s="10"/>
      <c r="F2892" s="10"/>
      <c r="G2892" s="10"/>
      <c r="H2892" s="17"/>
      <c r="I2892" s="10"/>
      <c r="J2892" s="10"/>
      <c r="K2892" s="16" t="str">
        <f t="shared" si="972"/>
        <v/>
      </c>
      <c r="L2892" s="23" t="str">
        <f t="shared" si="973"/>
        <v/>
      </c>
      <c r="M2892" s="22" t="str">
        <f t="shared" si="974"/>
        <v/>
      </c>
      <c r="N2892" s="72"/>
      <c r="O2892" s="16" t="str">
        <f t="shared" si="975"/>
        <v/>
      </c>
      <c r="P2892" s="16" t="str">
        <f t="shared" si="976"/>
        <v/>
      </c>
      <c r="Q2892" s="16" t="str">
        <f t="shared" si="977"/>
        <v/>
      </c>
      <c r="R2892" s="23" t="str">
        <f t="shared" si="978"/>
        <v/>
      </c>
      <c r="S2892" s="23" t="str">
        <f t="shared" si="979"/>
        <v/>
      </c>
      <c r="T2892" s="23" t="str">
        <f t="shared" si="980"/>
        <v/>
      </c>
      <c r="U2892" s="23" t="str">
        <f t="shared" si="981"/>
        <v/>
      </c>
      <c r="V2892" s="23" t="str">
        <f t="shared" si="982"/>
        <v/>
      </c>
      <c r="W2892" s="70" t="str">
        <f t="shared" si="983"/>
        <v/>
      </c>
      <c r="X2892" s="70" t="str">
        <f t="shared" si="984"/>
        <v/>
      </c>
      <c r="Y2892" s="70" t="str">
        <f>IF(AND($A2892&lt;&gt;"",$E2892&gt;0),isLaptopBag($C2892,$J2892)*$D2892,"")</f>
        <v/>
      </c>
      <c r="Z2892" s="70" t="str">
        <f t="shared" si="985"/>
        <v/>
      </c>
      <c r="AA2892" s="70" t="str">
        <f t="shared" si="986"/>
        <v/>
      </c>
      <c r="AB2892" s="70" t="str">
        <f t="shared" si="987"/>
        <v/>
      </c>
      <c r="AC2892" s="70" t="str">
        <f t="shared" si="988"/>
        <v/>
      </c>
      <c r="AD2892" s="70" t="str">
        <f t="shared" si="989"/>
        <v/>
      </c>
      <c r="AE2892" s="70" t="str">
        <f t="shared" si="990"/>
        <v/>
      </c>
      <c r="AF2892" s="16"/>
      <c r="AG2892" s="23"/>
      <c r="AH2892" s="22"/>
      <c r="AJ2892" s="83">
        <f t="shared" si="991"/>
        <v>0</v>
      </c>
      <c r="AO2892" s="22" t="str">
        <f t="shared" si="992"/>
        <v/>
      </c>
      <c r="AP2892" s="22" t="str">
        <f t="shared" si="993"/>
        <v/>
      </c>
    </row>
    <row r="2893" spans="1:42" x14ac:dyDescent="0.25">
      <c r="A2893" s="10"/>
      <c r="B2893" s="10"/>
      <c r="C2893" s="10"/>
      <c r="D2893" s="10"/>
      <c r="E2893" s="10"/>
      <c r="F2893" s="10"/>
      <c r="G2893" s="10"/>
      <c r="H2893" s="17"/>
      <c r="I2893" s="10"/>
      <c r="J2893" s="10"/>
      <c r="K2893" s="16" t="str">
        <f t="shared" ref="K2893:K2956" si="994">IF($AF2893&lt;&gt;"",$AF2893,IF(AND($A2893&lt;&gt;"",$E2893&gt;0),SUM($O2893:$Q2893),""))</f>
        <v/>
      </c>
      <c r="L2893" s="23" t="str">
        <f t="shared" ref="L2893:L2956" si="995">IF($AG2893&lt;&gt;"",$AG2893,IF(AND($A2893&lt;&gt;"",$E2893&gt;0),SUM($R2893:$V2893),""))</f>
        <v/>
      </c>
      <c r="M2893" s="22" t="str">
        <f t="shared" ref="M2893:M2956" si="996">IF($AH2893&lt;&gt;"",$AH2893,IF(AND($A2893&lt;&gt;"",$E2893&gt;0),SUM($W2893:$AE2893)+$AO2893+$AP2893,""))</f>
        <v/>
      </c>
      <c r="N2893" s="72"/>
      <c r="O2893" s="16" t="str">
        <f t="shared" ref="O2893:O2956" si="997">IF(AND($A2893&lt;&gt;"",$E2893&gt;0),IF(AND($J2893="SONY",200000&lt;=$E2893,$E2893&lt;1000000),5000*$D2893,0),"")</f>
        <v/>
      </c>
      <c r="P2893" s="16" t="str">
        <f t="shared" ref="P2893:P2956" si="998">IF(AND($A2893&lt;&gt;"",$E2893&gt;0),IF(AND($J2893="SONY",1000000&lt;=$E2893,$E2893&lt;2000000),10000*$D2893,0),"")</f>
        <v/>
      </c>
      <c r="Q2893" s="16" t="str">
        <f t="shared" ref="Q2893:Q2956" si="999">IF(AND($A2893&lt;&gt;"",$E2893&gt;0),IF(AND($J2893="SONY",$E2893&gt;=2000000),20000*$D2893,0),"")</f>
        <v/>
      </c>
      <c r="R2893" s="23" t="str">
        <f t="shared" ref="R2893:R2956" si="1000">IF(AND($A2893&lt;&gt;"",$E2893&gt;0),IF(AND($J2893&lt;&gt;"SONY",100000&lt;=$E2893,$E2893&lt;200000),5000*$D2893,0),"")</f>
        <v/>
      </c>
      <c r="S2893" s="23" t="str">
        <f t="shared" ref="S2893:S2956" si="1001">IF(AND($A2893&lt;&gt;"",$E2893&gt;0),IF(AND($J2893&lt;&gt;"SONY",200000&lt;=$E2893,$E2893&lt;500000),10000*$D2893,0),"")</f>
        <v/>
      </c>
      <c r="T2893" s="23" t="str">
        <f t="shared" ref="T2893:T2956" si="1002">IF(AND($A2893&lt;&gt;"",$E2893&gt;0),IF(AND($J2893&lt;&gt;"SONY",500000&lt;=$E2893,$E2893&lt;1000000),20000*$D2893,0),"")</f>
        <v/>
      </c>
      <c r="U2893" s="23" t="str">
        <f t="shared" ref="U2893:U2956" si="1003">IF(AND($A2893&lt;&gt;"",$E2893&gt;0),IF(AND($J2893&lt;&gt;"SONY",1000000&lt;=$E2893,$E2893&lt;1500000),50000*$D2893,0),"")</f>
        <v/>
      </c>
      <c r="V2893" s="23" t="str">
        <f t="shared" ref="V2893:V2956" si="1004">IF(AND($A2893&lt;&gt;"",$E2893&gt;0),IF(AND($J2893&lt;&gt;"SONY",1500000&lt;=$E2893),100000*$D2893,0),"")</f>
        <v/>
      </c>
      <c r="W2893" s="70" t="str">
        <f t="shared" ref="W2893:W2956" si="1005">IF(AND($E2893&gt;0,$J2893="ELECOM",$E2893&gt;=500000,ISNUMBER(SEARCH("tai nghe",$C2893))),20000*$D2893,IF($A2893&lt;&gt;"",0,""))</f>
        <v/>
      </c>
      <c r="X2893" s="70" t="str">
        <f t="shared" ref="X2893:X2956" si="1006">IF(AND($E2893&gt;0,$J2893="ELECOM",ISNUMBER(SEARCH("loa",$C2893))),20000*$D2893,IF($A2893&lt;&gt;"",0,""))</f>
        <v/>
      </c>
      <c r="Y2893" s="70" t="str">
        <f>IF(AND($A2893&lt;&gt;"",$E2893&gt;0),isLaptopBag($C2893,$J2893)*$D2893,"")</f>
        <v/>
      </c>
      <c r="Z2893" s="70" t="str">
        <f t="shared" ref="Z2893:Z2956" si="1007">IF(AND($E2893&gt;0,$J2893="ELECOM",ISNUMBER(SEARCH("ốp",$C2893))),20000*$D2893,IF($A2893&lt;&gt;"",0,""))</f>
        <v/>
      </c>
      <c r="AA2893" s="70" t="str">
        <f t="shared" ref="AA2893:AA2956" si="1008">IF(AND($E2893&gt;0,$J2893="ELECOM",ISNUMBER(SEARCH("Bút",$C2893))),20000*$D2893,IF($A2893&lt;&gt;"",0,""))</f>
        <v/>
      </c>
      <c r="AB2893" s="70" t="str">
        <f t="shared" ref="AB2893:AB2956" si="1009">IF(AND($E2893&gt;0,$J2893="ELECOM",ISNUMBER(SEARCH("Chuột bi",$C2893))),20000*$D2893,IF($A2893&lt;&gt;"",0,""))</f>
        <v/>
      </c>
      <c r="AC2893" s="70" t="str">
        <f t="shared" ref="AC2893:AC2956" si="1010">IF(AND($E2893&gt;0,$J2893="ELECOM",ISNUMBER(SEARCH("Chuột trackball",$C2893))),20000*$D2893,IF($A2893&lt;&gt;"",0,""))</f>
        <v/>
      </c>
      <c r="AD2893" s="70" t="str">
        <f t="shared" ref="AD2893:AD2956" si="1011">IF(AND($E2893&gt;0,$J2893="ELECOM",ISNUMBER(SEARCH("Sạc không dây",$C2893))),20000*$D2893,IF($A2893&lt;&gt;"",0,""))</f>
        <v/>
      </c>
      <c r="AE2893" s="70" t="str">
        <f t="shared" ref="AE2893:AE2956" si="1012">IF(AND($E2893&gt;0,$J2893="ELECOM",ISNUMBER(SEARCH("Sạc kd",$C2893))),20000*$D2893,IF($A2893&lt;&gt;"",0,""))</f>
        <v/>
      </c>
      <c r="AF2893" s="16"/>
      <c r="AG2893" s="23"/>
      <c r="AH2893" s="22"/>
      <c r="AJ2893" s="83">
        <f t="shared" ref="AJ2893:AJ2956" si="1013">DAY(H2893)</f>
        <v>0</v>
      </c>
      <c r="AO2893" s="22" t="str">
        <f t="shared" ref="AO2893:AO2956" si="1014">IF(AND($E2893&gt;0,ISNUMBER(SEARCH("Sạc dự phòng Energizer",$C2893))),10000*$D2893,IF($A2893&lt;&gt;"",0,""))</f>
        <v/>
      </c>
      <c r="AP2893" s="22" t="str">
        <f t="shared" ref="AP2893:AP2956" si="1015">IF(AND($E2893&gt;0,ISNUMBER(SEARCH("SDP Energizer",$C2893))),10000*$D2893,IF($A2893&lt;&gt;"",0,""))</f>
        <v/>
      </c>
    </row>
    <row r="2894" spans="1:42" x14ac:dyDescent="0.25">
      <c r="A2894" s="10"/>
      <c r="B2894" s="10"/>
      <c r="C2894" s="10"/>
      <c r="D2894" s="10"/>
      <c r="E2894" s="10"/>
      <c r="F2894" s="10"/>
      <c r="G2894" s="10"/>
      <c r="H2894" s="17"/>
      <c r="I2894" s="10"/>
      <c r="J2894" s="10"/>
      <c r="K2894" s="16" t="str">
        <f t="shared" si="994"/>
        <v/>
      </c>
      <c r="L2894" s="23" t="str">
        <f t="shared" si="995"/>
        <v/>
      </c>
      <c r="M2894" s="22" t="str">
        <f t="shared" si="996"/>
        <v/>
      </c>
      <c r="N2894" s="72"/>
      <c r="O2894" s="16" t="str">
        <f t="shared" si="997"/>
        <v/>
      </c>
      <c r="P2894" s="16" t="str">
        <f t="shared" si="998"/>
        <v/>
      </c>
      <c r="Q2894" s="16" t="str">
        <f t="shared" si="999"/>
        <v/>
      </c>
      <c r="R2894" s="23" t="str">
        <f t="shared" si="1000"/>
        <v/>
      </c>
      <c r="S2894" s="23" t="str">
        <f t="shared" si="1001"/>
        <v/>
      </c>
      <c r="T2894" s="23" t="str">
        <f t="shared" si="1002"/>
        <v/>
      </c>
      <c r="U2894" s="23" t="str">
        <f t="shared" si="1003"/>
        <v/>
      </c>
      <c r="V2894" s="23" t="str">
        <f t="shared" si="1004"/>
        <v/>
      </c>
      <c r="W2894" s="70" t="str">
        <f t="shared" si="1005"/>
        <v/>
      </c>
      <c r="X2894" s="70" t="str">
        <f t="shared" si="1006"/>
        <v/>
      </c>
      <c r="Y2894" s="70" t="str">
        <f>IF(AND($A2894&lt;&gt;"",$E2894&gt;0),isLaptopBag($C2894,$J2894)*$D2894,"")</f>
        <v/>
      </c>
      <c r="Z2894" s="70" t="str">
        <f t="shared" si="1007"/>
        <v/>
      </c>
      <c r="AA2894" s="70" t="str">
        <f t="shared" si="1008"/>
        <v/>
      </c>
      <c r="AB2894" s="70" t="str">
        <f t="shared" si="1009"/>
        <v/>
      </c>
      <c r="AC2894" s="70" t="str">
        <f t="shared" si="1010"/>
        <v/>
      </c>
      <c r="AD2894" s="70" t="str">
        <f t="shared" si="1011"/>
        <v/>
      </c>
      <c r="AE2894" s="70" t="str">
        <f t="shared" si="1012"/>
        <v/>
      </c>
      <c r="AF2894" s="16"/>
      <c r="AG2894" s="23"/>
      <c r="AH2894" s="22"/>
      <c r="AJ2894" s="83">
        <f t="shared" si="1013"/>
        <v>0</v>
      </c>
      <c r="AO2894" s="22" t="str">
        <f t="shared" si="1014"/>
        <v/>
      </c>
      <c r="AP2894" s="22" t="str">
        <f t="shared" si="1015"/>
        <v/>
      </c>
    </row>
    <row r="2895" spans="1:42" x14ac:dyDescent="0.25">
      <c r="A2895" s="10"/>
      <c r="B2895" s="10"/>
      <c r="C2895" s="10"/>
      <c r="D2895" s="10"/>
      <c r="E2895" s="10"/>
      <c r="F2895" s="10"/>
      <c r="G2895" s="10"/>
      <c r="H2895" s="17"/>
      <c r="I2895" s="10"/>
      <c r="J2895" s="10"/>
      <c r="K2895" s="16" t="str">
        <f t="shared" si="994"/>
        <v/>
      </c>
      <c r="L2895" s="23" t="str">
        <f t="shared" si="995"/>
        <v/>
      </c>
      <c r="M2895" s="22" t="str">
        <f t="shared" si="996"/>
        <v/>
      </c>
      <c r="N2895" s="72"/>
      <c r="O2895" s="16" t="str">
        <f t="shared" si="997"/>
        <v/>
      </c>
      <c r="P2895" s="16" t="str">
        <f t="shared" si="998"/>
        <v/>
      </c>
      <c r="Q2895" s="16" t="str">
        <f t="shared" si="999"/>
        <v/>
      </c>
      <c r="R2895" s="23" t="str">
        <f t="shared" si="1000"/>
        <v/>
      </c>
      <c r="S2895" s="23" t="str">
        <f t="shared" si="1001"/>
        <v/>
      </c>
      <c r="T2895" s="23" t="str">
        <f t="shared" si="1002"/>
        <v/>
      </c>
      <c r="U2895" s="23" t="str">
        <f t="shared" si="1003"/>
        <v/>
      </c>
      <c r="V2895" s="23" t="str">
        <f t="shared" si="1004"/>
        <v/>
      </c>
      <c r="W2895" s="70" t="str">
        <f t="shared" si="1005"/>
        <v/>
      </c>
      <c r="X2895" s="70" t="str">
        <f t="shared" si="1006"/>
        <v/>
      </c>
      <c r="Y2895" s="70" t="str">
        <f>IF(AND($A2895&lt;&gt;"",$E2895&gt;0),isLaptopBag($C2895,$J2895)*$D2895,"")</f>
        <v/>
      </c>
      <c r="Z2895" s="70" t="str">
        <f t="shared" si="1007"/>
        <v/>
      </c>
      <c r="AA2895" s="70" t="str">
        <f t="shared" si="1008"/>
        <v/>
      </c>
      <c r="AB2895" s="70" t="str">
        <f t="shared" si="1009"/>
        <v/>
      </c>
      <c r="AC2895" s="70" t="str">
        <f t="shared" si="1010"/>
        <v/>
      </c>
      <c r="AD2895" s="70" t="str">
        <f t="shared" si="1011"/>
        <v/>
      </c>
      <c r="AE2895" s="70" t="str">
        <f t="shared" si="1012"/>
        <v/>
      </c>
      <c r="AF2895" s="16"/>
      <c r="AG2895" s="23"/>
      <c r="AH2895" s="22"/>
      <c r="AJ2895" s="83">
        <f t="shared" si="1013"/>
        <v>0</v>
      </c>
      <c r="AO2895" s="22" t="str">
        <f t="shared" si="1014"/>
        <v/>
      </c>
      <c r="AP2895" s="22" t="str">
        <f t="shared" si="1015"/>
        <v/>
      </c>
    </row>
    <row r="2896" spans="1:42" x14ac:dyDescent="0.25">
      <c r="A2896" s="10"/>
      <c r="B2896" s="10"/>
      <c r="C2896" s="10"/>
      <c r="D2896" s="10"/>
      <c r="E2896" s="10"/>
      <c r="F2896" s="10"/>
      <c r="G2896" s="10"/>
      <c r="H2896" s="17"/>
      <c r="I2896" s="10"/>
      <c r="J2896" s="10"/>
      <c r="K2896" s="16" t="str">
        <f t="shared" si="994"/>
        <v/>
      </c>
      <c r="L2896" s="23" t="str">
        <f t="shared" si="995"/>
        <v/>
      </c>
      <c r="M2896" s="22" t="str">
        <f t="shared" si="996"/>
        <v/>
      </c>
      <c r="N2896" s="72"/>
      <c r="O2896" s="16" t="str">
        <f t="shared" si="997"/>
        <v/>
      </c>
      <c r="P2896" s="16" t="str">
        <f t="shared" si="998"/>
        <v/>
      </c>
      <c r="Q2896" s="16" t="str">
        <f t="shared" si="999"/>
        <v/>
      </c>
      <c r="R2896" s="23" t="str">
        <f t="shared" si="1000"/>
        <v/>
      </c>
      <c r="S2896" s="23" t="str">
        <f t="shared" si="1001"/>
        <v/>
      </c>
      <c r="T2896" s="23" t="str">
        <f t="shared" si="1002"/>
        <v/>
      </c>
      <c r="U2896" s="23" t="str">
        <f t="shared" si="1003"/>
        <v/>
      </c>
      <c r="V2896" s="23" t="str">
        <f t="shared" si="1004"/>
        <v/>
      </c>
      <c r="W2896" s="70" t="str">
        <f t="shared" si="1005"/>
        <v/>
      </c>
      <c r="X2896" s="70" t="str">
        <f t="shared" si="1006"/>
        <v/>
      </c>
      <c r="Y2896" s="70" t="str">
        <f>IF(AND($A2896&lt;&gt;"",$E2896&gt;0),isLaptopBag($C2896,$J2896)*$D2896,"")</f>
        <v/>
      </c>
      <c r="Z2896" s="70" t="str">
        <f t="shared" si="1007"/>
        <v/>
      </c>
      <c r="AA2896" s="70" t="str">
        <f t="shared" si="1008"/>
        <v/>
      </c>
      <c r="AB2896" s="70" t="str">
        <f t="shared" si="1009"/>
        <v/>
      </c>
      <c r="AC2896" s="70" t="str">
        <f t="shared" si="1010"/>
        <v/>
      </c>
      <c r="AD2896" s="70" t="str">
        <f t="shared" si="1011"/>
        <v/>
      </c>
      <c r="AE2896" s="70" t="str">
        <f t="shared" si="1012"/>
        <v/>
      </c>
      <c r="AF2896" s="16"/>
      <c r="AG2896" s="23"/>
      <c r="AH2896" s="22"/>
      <c r="AJ2896" s="83">
        <f t="shared" si="1013"/>
        <v>0</v>
      </c>
      <c r="AO2896" s="22" t="str">
        <f t="shared" si="1014"/>
        <v/>
      </c>
      <c r="AP2896" s="22" t="str">
        <f t="shared" si="1015"/>
        <v/>
      </c>
    </row>
    <row r="2897" spans="1:42" x14ac:dyDescent="0.25">
      <c r="A2897" s="10"/>
      <c r="B2897" s="10"/>
      <c r="C2897" s="10"/>
      <c r="D2897" s="10"/>
      <c r="E2897" s="10"/>
      <c r="F2897" s="10"/>
      <c r="G2897" s="10"/>
      <c r="H2897" s="17"/>
      <c r="I2897" s="10"/>
      <c r="J2897" s="10"/>
      <c r="K2897" s="16" t="str">
        <f t="shared" si="994"/>
        <v/>
      </c>
      <c r="L2897" s="23" t="str">
        <f t="shared" si="995"/>
        <v/>
      </c>
      <c r="M2897" s="22" t="str">
        <f t="shared" si="996"/>
        <v/>
      </c>
      <c r="N2897" s="72"/>
      <c r="O2897" s="16" t="str">
        <f t="shared" si="997"/>
        <v/>
      </c>
      <c r="P2897" s="16" t="str">
        <f t="shared" si="998"/>
        <v/>
      </c>
      <c r="Q2897" s="16" t="str">
        <f t="shared" si="999"/>
        <v/>
      </c>
      <c r="R2897" s="23" t="str">
        <f t="shared" si="1000"/>
        <v/>
      </c>
      <c r="S2897" s="23" t="str">
        <f t="shared" si="1001"/>
        <v/>
      </c>
      <c r="T2897" s="23" t="str">
        <f t="shared" si="1002"/>
        <v/>
      </c>
      <c r="U2897" s="23" t="str">
        <f t="shared" si="1003"/>
        <v/>
      </c>
      <c r="V2897" s="23" t="str">
        <f t="shared" si="1004"/>
        <v/>
      </c>
      <c r="W2897" s="70" t="str">
        <f t="shared" si="1005"/>
        <v/>
      </c>
      <c r="X2897" s="70" t="str">
        <f t="shared" si="1006"/>
        <v/>
      </c>
      <c r="Y2897" s="70" t="str">
        <f>IF(AND($A2897&lt;&gt;"",$E2897&gt;0),isLaptopBag($C2897,$J2897)*$D2897,"")</f>
        <v/>
      </c>
      <c r="Z2897" s="70" t="str">
        <f t="shared" si="1007"/>
        <v/>
      </c>
      <c r="AA2897" s="70" t="str">
        <f t="shared" si="1008"/>
        <v/>
      </c>
      <c r="AB2897" s="70" t="str">
        <f t="shared" si="1009"/>
        <v/>
      </c>
      <c r="AC2897" s="70" t="str">
        <f t="shared" si="1010"/>
        <v/>
      </c>
      <c r="AD2897" s="70" t="str">
        <f t="shared" si="1011"/>
        <v/>
      </c>
      <c r="AE2897" s="70" t="str">
        <f t="shared" si="1012"/>
        <v/>
      </c>
      <c r="AF2897" s="16"/>
      <c r="AG2897" s="23"/>
      <c r="AH2897" s="22"/>
      <c r="AJ2897" s="83">
        <f t="shared" si="1013"/>
        <v>0</v>
      </c>
      <c r="AO2897" s="22" t="str">
        <f t="shared" si="1014"/>
        <v/>
      </c>
      <c r="AP2897" s="22" t="str">
        <f t="shared" si="1015"/>
        <v/>
      </c>
    </row>
    <row r="2898" spans="1:42" x14ac:dyDescent="0.25">
      <c r="A2898" s="10"/>
      <c r="B2898" s="10"/>
      <c r="C2898" s="10"/>
      <c r="D2898" s="10"/>
      <c r="E2898" s="10"/>
      <c r="F2898" s="10"/>
      <c r="G2898" s="10"/>
      <c r="H2898" s="17"/>
      <c r="I2898" s="10"/>
      <c r="J2898" s="10"/>
      <c r="K2898" s="16" t="str">
        <f t="shared" si="994"/>
        <v/>
      </c>
      <c r="L2898" s="23" t="str">
        <f t="shared" si="995"/>
        <v/>
      </c>
      <c r="M2898" s="22" t="str">
        <f t="shared" si="996"/>
        <v/>
      </c>
      <c r="N2898" s="72"/>
      <c r="O2898" s="16" t="str">
        <f t="shared" si="997"/>
        <v/>
      </c>
      <c r="P2898" s="16" t="str">
        <f t="shared" si="998"/>
        <v/>
      </c>
      <c r="Q2898" s="16" t="str">
        <f t="shared" si="999"/>
        <v/>
      </c>
      <c r="R2898" s="23" t="str">
        <f t="shared" si="1000"/>
        <v/>
      </c>
      <c r="S2898" s="23" t="str">
        <f t="shared" si="1001"/>
        <v/>
      </c>
      <c r="T2898" s="23" t="str">
        <f t="shared" si="1002"/>
        <v/>
      </c>
      <c r="U2898" s="23" t="str">
        <f t="shared" si="1003"/>
        <v/>
      </c>
      <c r="V2898" s="23" t="str">
        <f t="shared" si="1004"/>
        <v/>
      </c>
      <c r="W2898" s="70" t="str">
        <f t="shared" si="1005"/>
        <v/>
      </c>
      <c r="X2898" s="70" t="str">
        <f t="shared" si="1006"/>
        <v/>
      </c>
      <c r="Y2898" s="70" t="str">
        <f>IF(AND($A2898&lt;&gt;"",$E2898&gt;0),isLaptopBag($C2898,$J2898)*$D2898,"")</f>
        <v/>
      </c>
      <c r="Z2898" s="70" t="str">
        <f t="shared" si="1007"/>
        <v/>
      </c>
      <c r="AA2898" s="70" t="str">
        <f t="shared" si="1008"/>
        <v/>
      </c>
      <c r="AB2898" s="70" t="str">
        <f t="shared" si="1009"/>
        <v/>
      </c>
      <c r="AC2898" s="70" t="str">
        <f t="shared" si="1010"/>
        <v/>
      </c>
      <c r="AD2898" s="70" t="str">
        <f t="shared" si="1011"/>
        <v/>
      </c>
      <c r="AE2898" s="70" t="str">
        <f t="shared" si="1012"/>
        <v/>
      </c>
      <c r="AF2898" s="16"/>
      <c r="AG2898" s="23"/>
      <c r="AH2898" s="22"/>
      <c r="AJ2898" s="83">
        <f t="shared" si="1013"/>
        <v>0</v>
      </c>
      <c r="AO2898" s="22" t="str">
        <f t="shared" si="1014"/>
        <v/>
      </c>
      <c r="AP2898" s="22" t="str">
        <f t="shared" si="1015"/>
        <v/>
      </c>
    </row>
    <row r="2899" spans="1:42" x14ac:dyDescent="0.25">
      <c r="A2899" s="10"/>
      <c r="B2899" s="10"/>
      <c r="C2899" s="10"/>
      <c r="D2899" s="10"/>
      <c r="E2899" s="10"/>
      <c r="F2899" s="10"/>
      <c r="G2899" s="10"/>
      <c r="H2899" s="17"/>
      <c r="I2899" s="10"/>
      <c r="J2899" s="10"/>
      <c r="K2899" s="16" t="str">
        <f t="shared" si="994"/>
        <v/>
      </c>
      <c r="L2899" s="23" t="str">
        <f t="shared" si="995"/>
        <v/>
      </c>
      <c r="M2899" s="22" t="str">
        <f t="shared" si="996"/>
        <v/>
      </c>
      <c r="N2899" s="72"/>
      <c r="O2899" s="16" t="str">
        <f t="shared" si="997"/>
        <v/>
      </c>
      <c r="P2899" s="16" t="str">
        <f t="shared" si="998"/>
        <v/>
      </c>
      <c r="Q2899" s="16" t="str">
        <f t="shared" si="999"/>
        <v/>
      </c>
      <c r="R2899" s="23" t="str">
        <f t="shared" si="1000"/>
        <v/>
      </c>
      <c r="S2899" s="23" t="str">
        <f t="shared" si="1001"/>
        <v/>
      </c>
      <c r="T2899" s="23" t="str">
        <f t="shared" si="1002"/>
        <v/>
      </c>
      <c r="U2899" s="23" t="str">
        <f t="shared" si="1003"/>
        <v/>
      </c>
      <c r="V2899" s="23" t="str">
        <f t="shared" si="1004"/>
        <v/>
      </c>
      <c r="W2899" s="70" t="str">
        <f t="shared" si="1005"/>
        <v/>
      </c>
      <c r="X2899" s="70" t="str">
        <f t="shared" si="1006"/>
        <v/>
      </c>
      <c r="Y2899" s="70" t="str">
        <f>IF(AND($A2899&lt;&gt;"",$E2899&gt;0),isLaptopBag($C2899,$J2899)*$D2899,"")</f>
        <v/>
      </c>
      <c r="Z2899" s="70" t="str">
        <f t="shared" si="1007"/>
        <v/>
      </c>
      <c r="AA2899" s="70" t="str">
        <f t="shared" si="1008"/>
        <v/>
      </c>
      <c r="AB2899" s="70" t="str">
        <f t="shared" si="1009"/>
        <v/>
      </c>
      <c r="AC2899" s="70" t="str">
        <f t="shared" si="1010"/>
        <v/>
      </c>
      <c r="AD2899" s="70" t="str">
        <f t="shared" si="1011"/>
        <v/>
      </c>
      <c r="AE2899" s="70" t="str">
        <f t="shared" si="1012"/>
        <v/>
      </c>
      <c r="AF2899" s="16"/>
      <c r="AG2899" s="23"/>
      <c r="AH2899" s="22"/>
      <c r="AJ2899" s="83">
        <f t="shared" si="1013"/>
        <v>0</v>
      </c>
      <c r="AO2899" s="22" t="str">
        <f t="shared" si="1014"/>
        <v/>
      </c>
      <c r="AP2899" s="22" t="str">
        <f t="shared" si="1015"/>
        <v/>
      </c>
    </row>
    <row r="2900" spans="1:42" x14ac:dyDescent="0.25">
      <c r="A2900" s="10"/>
      <c r="B2900" s="10"/>
      <c r="C2900" s="10"/>
      <c r="D2900" s="10"/>
      <c r="E2900" s="10"/>
      <c r="F2900" s="10"/>
      <c r="G2900" s="10"/>
      <c r="H2900" s="17"/>
      <c r="I2900" s="10"/>
      <c r="J2900" s="10"/>
      <c r="K2900" s="16" t="str">
        <f t="shared" si="994"/>
        <v/>
      </c>
      <c r="L2900" s="23" t="str">
        <f t="shared" si="995"/>
        <v/>
      </c>
      <c r="M2900" s="22" t="str">
        <f t="shared" si="996"/>
        <v/>
      </c>
      <c r="N2900" s="72"/>
      <c r="O2900" s="16" t="str">
        <f t="shared" si="997"/>
        <v/>
      </c>
      <c r="P2900" s="16" t="str">
        <f t="shared" si="998"/>
        <v/>
      </c>
      <c r="Q2900" s="16" t="str">
        <f t="shared" si="999"/>
        <v/>
      </c>
      <c r="R2900" s="23" t="str">
        <f t="shared" si="1000"/>
        <v/>
      </c>
      <c r="S2900" s="23" t="str">
        <f t="shared" si="1001"/>
        <v/>
      </c>
      <c r="T2900" s="23" t="str">
        <f t="shared" si="1002"/>
        <v/>
      </c>
      <c r="U2900" s="23" t="str">
        <f t="shared" si="1003"/>
        <v/>
      </c>
      <c r="V2900" s="23" t="str">
        <f t="shared" si="1004"/>
        <v/>
      </c>
      <c r="W2900" s="70" t="str">
        <f t="shared" si="1005"/>
        <v/>
      </c>
      <c r="X2900" s="70" t="str">
        <f t="shared" si="1006"/>
        <v/>
      </c>
      <c r="Y2900" s="70" t="str">
        <f>IF(AND($A2900&lt;&gt;"",$E2900&gt;0),isLaptopBag($C2900,$J2900)*$D2900,"")</f>
        <v/>
      </c>
      <c r="Z2900" s="70" t="str">
        <f t="shared" si="1007"/>
        <v/>
      </c>
      <c r="AA2900" s="70" t="str">
        <f t="shared" si="1008"/>
        <v/>
      </c>
      <c r="AB2900" s="70" t="str">
        <f t="shared" si="1009"/>
        <v/>
      </c>
      <c r="AC2900" s="70" t="str">
        <f t="shared" si="1010"/>
        <v/>
      </c>
      <c r="AD2900" s="70" t="str">
        <f t="shared" si="1011"/>
        <v/>
      </c>
      <c r="AE2900" s="70" t="str">
        <f t="shared" si="1012"/>
        <v/>
      </c>
      <c r="AF2900" s="16"/>
      <c r="AG2900" s="23"/>
      <c r="AH2900" s="22"/>
      <c r="AJ2900" s="83">
        <f t="shared" si="1013"/>
        <v>0</v>
      </c>
      <c r="AO2900" s="22" t="str">
        <f t="shared" si="1014"/>
        <v/>
      </c>
      <c r="AP2900" s="22" t="str">
        <f t="shared" si="1015"/>
        <v/>
      </c>
    </row>
    <row r="2901" spans="1:42" x14ac:dyDescent="0.25">
      <c r="A2901" s="10"/>
      <c r="B2901" s="10"/>
      <c r="C2901" s="10"/>
      <c r="D2901" s="10"/>
      <c r="E2901" s="10"/>
      <c r="F2901" s="10"/>
      <c r="G2901" s="10"/>
      <c r="H2901" s="17"/>
      <c r="I2901" s="10"/>
      <c r="J2901" s="10"/>
      <c r="K2901" s="16" t="str">
        <f t="shared" si="994"/>
        <v/>
      </c>
      <c r="L2901" s="23" t="str">
        <f t="shared" si="995"/>
        <v/>
      </c>
      <c r="M2901" s="22" t="str">
        <f t="shared" si="996"/>
        <v/>
      </c>
      <c r="N2901" s="72"/>
      <c r="O2901" s="16" t="str">
        <f t="shared" si="997"/>
        <v/>
      </c>
      <c r="P2901" s="16" t="str">
        <f t="shared" si="998"/>
        <v/>
      </c>
      <c r="Q2901" s="16" t="str">
        <f t="shared" si="999"/>
        <v/>
      </c>
      <c r="R2901" s="23" t="str">
        <f t="shared" si="1000"/>
        <v/>
      </c>
      <c r="S2901" s="23" t="str">
        <f t="shared" si="1001"/>
        <v/>
      </c>
      <c r="T2901" s="23" t="str">
        <f t="shared" si="1002"/>
        <v/>
      </c>
      <c r="U2901" s="23" t="str">
        <f t="shared" si="1003"/>
        <v/>
      </c>
      <c r="V2901" s="23" t="str">
        <f t="shared" si="1004"/>
        <v/>
      </c>
      <c r="W2901" s="70" t="str">
        <f t="shared" si="1005"/>
        <v/>
      </c>
      <c r="X2901" s="70" t="str">
        <f t="shared" si="1006"/>
        <v/>
      </c>
      <c r="Y2901" s="70" t="str">
        <f>IF(AND($A2901&lt;&gt;"",$E2901&gt;0),isLaptopBag($C2901,$J2901)*$D2901,"")</f>
        <v/>
      </c>
      <c r="Z2901" s="70" t="str">
        <f t="shared" si="1007"/>
        <v/>
      </c>
      <c r="AA2901" s="70" t="str">
        <f t="shared" si="1008"/>
        <v/>
      </c>
      <c r="AB2901" s="70" t="str">
        <f t="shared" si="1009"/>
        <v/>
      </c>
      <c r="AC2901" s="70" t="str">
        <f t="shared" si="1010"/>
        <v/>
      </c>
      <c r="AD2901" s="70" t="str">
        <f t="shared" si="1011"/>
        <v/>
      </c>
      <c r="AE2901" s="70" t="str">
        <f t="shared" si="1012"/>
        <v/>
      </c>
      <c r="AF2901" s="16"/>
      <c r="AG2901" s="23"/>
      <c r="AH2901" s="22"/>
      <c r="AJ2901" s="83">
        <f t="shared" si="1013"/>
        <v>0</v>
      </c>
      <c r="AO2901" s="22" t="str">
        <f t="shared" si="1014"/>
        <v/>
      </c>
      <c r="AP2901" s="22" t="str">
        <f t="shared" si="1015"/>
        <v/>
      </c>
    </row>
    <row r="2902" spans="1:42" x14ac:dyDescent="0.25">
      <c r="A2902" s="10"/>
      <c r="B2902" s="10"/>
      <c r="C2902" s="10"/>
      <c r="D2902" s="10"/>
      <c r="E2902" s="10"/>
      <c r="F2902" s="10"/>
      <c r="G2902" s="10"/>
      <c r="H2902" s="17"/>
      <c r="I2902" s="10"/>
      <c r="J2902" s="10"/>
      <c r="K2902" s="16" t="str">
        <f t="shared" si="994"/>
        <v/>
      </c>
      <c r="L2902" s="23" t="str">
        <f t="shared" si="995"/>
        <v/>
      </c>
      <c r="M2902" s="22" t="str">
        <f t="shared" si="996"/>
        <v/>
      </c>
      <c r="N2902" s="72"/>
      <c r="O2902" s="16" t="str">
        <f t="shared" si="997"/>
        <v/>
      </c>
      <c r="P2902" s="16" t="str">
        <f t="shared" si="998"/>
        <v/>
      </c>
      <c r="Q2902" s="16" t="str">
        <f t="shared" si="999"/>
        <v/>
      </c>
      <c r="R2902" s="23" t="str">
        <f t="shared" si="1000"/>
        <v/>
      </c>
      <c r="S2902" s="23" t="str">
        <f t="shared" si="1001"/>
        <v/>
      </c>
      <c r="T2902" s="23" t="str">
        <f t="shared" si="1002"/>
        <v/>
      </c>
      <c r="U2902" s="23" t="str">
        <f t="shared" si="1003"/>
        <v/>
      </c>
      <c r="V2902" s="23" t="str">
        <f t="shared" si="1004"/>
        <v/>
      </c>
      <c r="W2902" s="70" t="str">
        <f t="shared" si="1005"/>
        <v/>
      </c>
      <c r="X2902" s="70" t="str">
        <f t="shared" si="1006"/>
        <v/>
      </c>
      <c r="Y2902" s="70" t="str">
        <f>IF(AND($A2902&lt;&gt;"",$E2902&gt;0),isLaptopBag($C2902,$J2902)*$D2902,"")</f>
        <v/>
      </c>
      <c r="Z2902" s="70" t="str">
        <f t="shared" si="1007"/>
        <v/>
      </c>
      <c r="AA2902" s="70" t="str">
        <f t="shared" si="1008"/>
        <v/>
      </c>
      <c r="AB2902" s="70" t="str">
        <f t="shared" si="1009"/>
        <v/>
      </c>
      <c r="AC2902" s="70" t="str">
        <f t="shared" si="1010"/>
        <v/>
      </c>
      <c r="AD2902" s="70" t="str">
        <f t="shared" si="1011"/>
        <v/>
      </c>
      <c r="AE2902" s="70" t="str">
        <f t="shared" si="1012"/>
        <v/>
      </c>
      <c r="AF2902" s="16"/>
      <c r="AG2902" s="23"/>
      <c r="AH2902" s="22"/>
      <c r="AJ2902" s="83">
        <f t="shared" si="1013"/>
        <v>0</v>
      </c>
      <c r="AO2902" s="22" t="str">
        <f t="shared" si="1014"/>
        <v/>
      </c>
      <c r="AP2902" s="22" t="str">
        <f t="shared" si="1015"/>
        <v/>
      </c>
    </row>
    <row r="2903" spans="1:42" x14ac:dyDescent="0.25">
      <c r="A2903" s="10"/>
      <c r="B2903" s="10"/>
      <c r="C2903" s="10"/>
      <c r="D2903" s="10"/>
      <c r="E2903" s="10"/>
      <c r="F2903" s="10"/>
      <c r="G2903" s="10"/>
      <c r="H2903" s="17"/>
      <c r="I2903" s="10"/>
      <c r="J2903" s="10"/>
      <c r="K2903" s="16" t="str">
        <f t="shared" si="994"/>
        <v/>
      </c>
      <c r="L2903" s="23" t="str">
        <f t="shared" si="995"/>
        <v/>
      </c>
      <c r="M2903" s="22" t="str">
        <f t="shared" si="996"/>
        <v/>
      </c>
      <c r="N2903" s="72"/>
      <c r="O2903" s="16" t="str">
        <f t="shared" si="997"/>
        <v/>
      </c>
      <c r="P2903" s="16" t="str">
        <f t="shared" si="998"/>
        <v/>
      </c>
      <c r="Q2903" s="16" t="str">
        <f t="shared" si="999"/>
        <v/>
      </c>
      <c r="R2903" s="23" t="str">
        <f t="shared" si="1000"/>
        <v/>
      </c>
      <c r="S2903" s="23" t="str">
        <f t="shared" si="1001"/>
        <v/>
      </c>
      <c r="T2903" s="23" t="str">
        <f t="shared" si="1002"/>
        <v/>
      </c>
      <c r="U2903" s="23" t="str">
        <f t="shared" si="1003"/>
        <v/>
      </c>
      <c r="V2903" s="23" t="str">
        <f t="shared" si="1004"/>
        <v/>
      </c>
      <c r="W2903" s="70" t="str">
        <f t="shared" si="1005"/>
        <v/>
      </c>
      <c r="X2903" s="70" t="str">
        <f t="shared" si="1006"/>
        <v/>
      </c>
      <c r="Y2903" s="70" t="str">
        <f>IF(AND($A2903&lt;&gt;"",$E2903&gt;0),isLaptopBag($C2903,$J2903)*$D2903,"")</f>
        <v/>
      </c>
      <c r="Z2903" s="70" t="str">
        <f t="shared" si="1007"/>
        <v/>
      </c>
      <c r="AA2903" s="70" t="str">
        <f t="shared" si="1008"/>
        <v/>
      </c>
      <c r="AB2903" s="70" t="str">
        <f t="shared" si="1009"/>
        <v/>
      </c>
      <c r="AC2903" s="70" t="str">
        <f t="shared" si="1010"/>
        <v/>
      </c>
      <c r="AD2903" s="70" t="str">
        <f t="shared" si="1011"/>
        <v/>
      </c>
      <c r="AE2903" s="70" t="str">
        <f t="shared" si="1012"/>
        <v/>
      </c>
      <c r="AF2903" s="16"/>
      <c r="AG2903" s="23"/>
      <c r="AH2903" s="22"/>
      <c r="AJ2903" s="83">
        <f t="shared" si="1013"/>
        <v>0</v>
      </c>
      <c r="AO2903" s="22" t="str">
        <f t="shared" si="1014"/>
        <v/>
      </c>
      <c r="AP2903" s="22" t="str">
        <f t="shared" si="1015"/>
        <v/>
      </c>
    </row>
    <row r="2904" spans="1:42" x14ac:dyDescent="0.25">
      <c r="A2904" s="10"/>
      <c r="B2904" s="10"/>
      <c r="C2904" s="10"/>
      <c r="D2904" s="10"/>
      <c r="E2904" s="10"/>
      <c r="F2904" s="10"/>
      <c r="G2904" s="10"/>
      <c r="H2904" s="17"/>
      <c r="I2904" s="10"/>
      <c r="J2904" s="10"/>
      <c r="K2904" s="16" t="str">
        <f t="shared" si="994"/>
        <v/>
      </c>
      <c r="L2904" s="23" t="str">
        <f t="shared" si="995"/>
        <v/>
      </c>
      <c r="M2904" s="22" t="str">
        <f t="shared" si="996"/>
        <v/>
      </c>
      <c r="N2904" s="72"/>
      <c r="O2904" s="16" t="str">
        <f t="shared" si="997"/>
        <v/>
      </c>
      <c r="P2904" s="16" t="str">
        <f t="shared" si="998"/>
        <v/>
      </c>
      <c r="Q2904" s="16" t="str">
        <f t="shared" si="999"/>
        <v/>
      </c>
      <c r="R2904" s="23" t="str">
        <f t="shared" si="1000"/>
        <v/>
      </c>
      <c r="S2904" s="23" t="str">
        <f t="shared" si="1001"/>
        <v/>
      </c>
      <c r="T2904" s="23" t="str">
        <f t="shared" si="1002"/>
        <v/>
      </c>
      <c r="U2904" s="23" t="str">
        <f t="shared" si="1003"/>
        <v/>
      </c>
      <c r="V2904" s="23" t="str">
        <f t="shared" si="1004"/>
        <v/>
      </c>
      <c r="W2904" s="70" t="str">
        <f t="shared" si="1005"/>
        <v/>
      </c>
      <c r="X2904" s="70" t="str">
        <f t="shared" si="1006"/>
        <v/>
      </c>
      <c r="Y2904" s="70" t="str">
        <f>IF(AND($A2904&lt;&gt;"",$E2904&gt;0),isLaptopBag($C2904,$J2904)*$D2904,"")</f>
        <v/>
      </c>
      <c r="Z2904" s="70" t="str">
        <f t="shared" si="1007"/>
        <v/>
      </c>
      <c r="AA2904" s="70" t="str">
        <f t="shared" si="1008"/>
        <v/>
      </c>
      <c r="AB2904" s="70" t="str">
        <f t="shared" si="1009"/>
        <v/>
      </c>
      <c r="AC2904" s="70" t="str">
        <f t="shared" si="1010"/>
        <v/>
      </c>
      <c r="AD2904" s="70" t="str">
        <f t="shared" si="1011"/>
        <v/>
      </c>
      <c r="AE2904" s="70" t="str">
        <f t="shared" si="1012"/>
        <v/>
      </c>
      <c r="AF2904" s="16"/>
      <c r="AG2904" s="23"/>
      <c r="AH2904" s="22"/>
      <c r="AJ2904" s="83">
        <f t="shared" si="1013"/>
        <v>0</v>
      </c>
      <c r="AO2904" s="22" t="str">
        <f t="shared" si="1014"/>
        <v/>
      </c>
      <c r="AP2904" s="22" t="str">
        <f t="shared" si="1015"/>
        <v/>
      </c>
    </row>
    <row r="2905" spans="1:42" x14ac:dyDescent="0.25">
      <c r="A2905" s="10"/>
      <c r="B2905" s="10"/>
      <c r="C2905" s="10"/>
      <c r="D2905" s="10"/>
      <c r="E2905" s="10"/>
      <c r="F2905" s="10"/>
      <c r="G2905" s="10"/>
      <c r="H2905" s="17"/>
      <c r="I2905" s="10"/>
      <c r="J2905" s="10"/>
      <c r="K2905" s="16" t="str">
        <f t="shared" si="994"/>
        <v/>
      </c>
      <c r="L2905" s="23" t="str">
        <f t="shared" si="995"/>
        <v/>
      </c>
      <c r="M2905" s="22" t="str">
        <f t="shared" si="996"/>
        <v/>
      </c>
      <c r="N2905" s="72"/>
      <c r="O2905" s="16" t="str">
        <f t="shared" si="997"/>
        <v/>
      </c>
      <c r="P2905" s="16" t="str">
        <f t="shared" si="998"/>
        <v/>
      </c>
      <c r="Q2905" s="16" t="str">
        <f t="shared" si="999"/>
        <v/>
      </c>
      <c r="R2905" s="23" t="str">
        <f t="shared" si="1000"/>
        <v/>
      </c>
      <c r="S2905" s="23" t="str">
        <f t="shared" si="1001"/>
        <v/>
      </c>
      <c r="T2905" s="23" t="str">
        <f t="shared" si="1002"/>
        <v/>
      </c>
      <c r="U2905" s="23" t="str">
        <f t="shared" si="1003"/>
        <v/>
      </c>
      <c r="V2905" s="23" t="str">
        <f t="shared" si="1004"/>
        <v/>
      </c>
      <c r="W2905" s="70" t="str">
        <f t="shared" si="1005"/>
        <v/>
      </c>
      <c r="X2905" s="70" t="str">
        <f t="shared" si="1006"/>
        <v/>
      </c>
      <c r="Y2905" s="70" t="str">
        <f>IF(AND($A2905&lt;&gt;"",$E2905&gt;0),isLaptopBag($C2905,$J2905)*$D2905,"")</f>
        <v/>
      </c>
      <c r="Z2905" s="70" t="str">
        <f t="shared" si="1007"/>
        <v/>
      </c>
      <c r="AA2905" s="70" t="str">
        <f t="shared" si="1008"/>
        <v/>
      </c>
      <c r="AB2905" s="70" t="str">
        <f t="shared" si="1009"/>
        <v/>
      </c>
      <c r="AC2905" s="70" t="str">
        <f t="shared" si="1010"/>
        <v/>
      </c>
      <c r="AD2905" s="70" t="str">
        <f t="shared" si="1011"/>
        <v/>
      </c>
      <c r="AE2905" s="70" t="str">
        <f t="shared" si="1012"/>
        <v/>
      </c>
      <c r="AF2905" s="16"/>
      <c r="AG2905" s="23"/>
      <c r="AH2905" s="22"/>
      <c r="AJ2905" s="83">
        <f t="shared" si="1013"/>
        <v>0</v>
      </c>
      <c r="AO2905" s="22" t="str">
        <f t="shared" si="1014"/>
        <v/>
      </c>
      <c r="AP2905" s="22" t="str">
        <f t="shared" si="1015"/>
        <v/>
      </c>
    </row>
    <row r="2906" spans="1:42" x14ac:dyDescent="0.25">
      <c r="A2906" s="10"/>
      <c r="B2906" s="10"/>
      <c r="C2906" s="10"/>
      <c r="D2906" s="10"/>
      <c r="E2906" s="10"/>
      <c r="F2906" s="10"/>
      <c r="G2906" s="10"/>
      <c r="H2906" s="17"/>
      <c r="I2906" s="10"/>
      <c r="J2906" s="10"/>
      <c r="K2906" s="16" t="str">
        <f t="shared" si="994"/>
        <v/>
      </c>
      <c r="L2906" s="23" t="str">
        <f t="shared" si="995"/>
        <v/>
      </c>
      <c r="M2906" s="22" t="str">
        <f t="shared" si="996"/>
        <v/>
      </c>
      <c r="N2906" s="72"/>
      <c r="O2906" s="16" t="str">
        <f t="shared" si="997"/>
        <v/>
      </c>
      <c r="P2906" s="16" t="str">
        <f t="shared" si="998"/>
        <v/>
      </c>
      <c r="Q2906" s="16" t="str">
        <f t="shared" si="999"/>
        <v/>
      </c>
      <c r="R2906" s="23" t="str">
        <f t="shared" si="1000"/>
        <v/>
      </c>
      <c r="S2906" s="23" t="str">
        <f t="shared" si="1001"/>
        <v/>
      </c>
      <c r="T2906" s="23" t="str">
        <f t="shared" si="1002"/>
        <v/>
      </c>
      <c r="U2906" s="23" t="str">
        <f t="shared" si="1003"/>
        <v/>
      </c>
      <c r="V2906" s="23" t="str">
        <f t="shared" si="1004"/>
        <v/>
      </c>
      <c r="W2906" s="70" t="str">
        <f t="shared" si="1005"/>
        <v/>
      </c>
      <c r="X2906" s="70" t="str">
        <f t="shared" si="1006"/>
        <v/>
      </c>
      <c r="Y2906" s="70" t="str">
        <f>IF(AND($A2906&lt;&gt;"",$E2906&gt;0),isLaptopBag($C2906,$J2906)*$D2906,"")</f>
        <v/>
      </c>
      <c r="Z2906" s="70" t="str">
        <f t="shared" si="1007"/>
        <v/>
      </c>
      <c r="AA2906" s="70" t="str">
        <f t="shared" si="1008"/>
        <v/>
      </c>
      <c r="AB2906" s="70" t="str">
        <f t="shared" si="1009"/>
        <v/>
      </c>
      <c r="AC2906" s="70" t="str">
        <f t="shared" si="1010"/>
        <v/>
      </c>
      <c r="AD2906" s="70" t="str">
        <f t="shared" si="1011"/>
        <v/>
      </c>
      <c r="AE2906" s="70" t="str">
        <f t="shared" si="1012"/>
        <v/>
      </c>
      <c r="AF2906" s="16"/>
      <c r="AG2906" s="23"/>
      <c r="AH2906" s="22"/>
      <c r="AJ2906" s="83">
        <f t="shared" si="1013"/>
        <v>0</v>
      </c>
      <c r="AO2906" s="22" t="str">
        <f t="shared" si="1014"/>
        <v/>
      </c>
      <c r="AP2906" s="22" t="str">
        <f t="shared" si="1015"/>
        <v/>
      </c>
    </row>
    <row r="2907" spans="1:42" x14ac:dyDescent="0.25">
      <c r="A2907" s="10"/>
      <c r="B2907" s="10"/>
      <c r="C2907" s="10"/>
      <c r="D2907" s="10"/>
      <c r="E2907" s="10"/>
      <c r="F2907" s="10"/>
      <c r="G2907" s="10"/>
      <c r="H2907" s="17"/>
      <c r="I2907" s="10"/>
      <c r="J2907" s="10"/>
      <c r="K2907" s="16" t="str">
        <f t="shared" si="994"/>
        <v/>
      </c>
      <c r="L2907" s="23" t="str">
        <f t="shared" si="995"/>
        <v/>
      </c>
      <c r="M2907" s="22" t="str">
        <f t="shared" si="996"/>
        <v/>
      </c>
      <c r="N2907" s="72"/>
      <c r="O2907" s="16" t="str">
        <f t="shared" si="997"/>
        <v/>
      </c>
      <c r="P2907" s="16" t="str">
        <f t="shared" si="998"/>
        <v/>
      </c>
      <c r="Q2907" s="16" t="str">
        <f t="shared" si="999"/>
        <v/>
      </c>
      <c r="R2907" s="23" t="str">
        <f t="shared" si="1000"/>
        <v/>
      </c>
      <c r="S2907" s="23" t="str">
        <f t="shared" si="1001"/>
        <v/>
      </c>
      <c r="T2907" s="23" t="str">
        <f t="shared" si="1002"/>
        <v/>
      </c>
      <c r="U2907" s="23" t="str">
        <f t="shared" si="1003"/>
        <v/>
      </c>
      <c r="V2907" s="23" t="str">
        <f t="shared" si="1004"/>
        <v/>
      </c>
      <c r="W2907" s="70" t="str">
        <f t="shared" si="1005"/>
        <v/>
      </c>
      <c r="X2907" s="70" t="str">
        <f t="shared" si="1006"/>
        <v/>
      </c>
      <c r="Y2907" s="70" t="str">
        <f>IF(AND($A2907&lt;&gt;"",$E2907&gt;0),isLaptopBag($C2907,$J2907)*$D2907,"")</f>
        <v/>
      </c>
      <c r="Z2907" s="70" t="str">
        <f t="shared" si="1007"/>
        <v/>
      </c>
      <c r="AA2907" s="70" t="str">
        <f t="shared" si="1008"/>
        <v/>
      </c>
      <c r="AB2907" s="70" t="str">
        <f t="shared" si="1009"/>
        <v/>
      </c>
      <c r="AC2907" s="70" t="str">
        <f t="shared" si="1010"/>
        <v/>
      </c>
      <c r="AD2907" s="70" t="str">
        <f t="shared" si="1011"/>
        <v/>
      </c>
      <c r="AE2907" s="70" t="str">
        <f t="shared" si="1012"/>
        <v/>
      </c>
      <c r="AF2907" s="16"/>
      <c r="AG2907" s="23"/>
      <c r="AH2907" s="22"/>
      <c r="AJ2907" s="83">
        <f t="shared" si="1013"/>
        <v>0</v>
      </c>
      <c r="AO2907" s="22" t="str">
        <f t="shared" si="1014"/>
        <v/>
      </c>
      <c r="AP2907" s="22" t="str">
        <f t="shared" si="1015"/>
        <v/>
      </c>
    </row>
    <row r="2908" spans="1:42" x14ac:dyDescent="0.25">
      <c r="A2908" s="10"/>
      <c r="B2908" s="10"/>
      <c r="C2908" s="10"/>
      <c r="D2908" s="10"/>
      <c r="E2908" s="10"/>
      <c r="F2908" s="10"/>
      <c r="G2908" s="10"/>
      <c r="H2908" s="17"/>
      <c r="I2908" s="10"/>
      <c r="J2908" s="10"/>
      <c r="K2908" s="16" t="str">
        <f t="shared" si="994"/>
        <v/>
      </c>
      <c r="L2908" s="23" t="str">
        <f t="shared" si="995"/>
        <v/>
      </c>
      <c r="M2908" s="22" t="str">
        <f t="shared" si="996"/>
        <v/>
      </c>
      <c r="N2908" s="72"/>
      <c r="O2908" s="16" t="str">
        <f t="shared" si="997"/>
        <v/>
      </c>
      <c r="P2908" s="16" t="str">
        <f t="shared" si="998"/>
        <v/>
      </c>
      <c r="Q2908" s="16" t="str">
        <f t="shared" si="999"/>
        <v/>
      </c>
      <c r="R2908" s="23" t="str">
        <f t="shared" si="1000"/>
        <v/>
      </c>
      <c r="S2908" s="23" t="str">
        <f t="shared" si="1001"/>
        <v/>
      </c>
      <c r="T2908" s="23" t="str">
        <f t="shared" si="1002"/>
        <v/>
      </c>
      <c r="U2908" s="23" t="str">
        <f t="shared" si="1003"/>
        <v/>
      </c>
      <c r="V2908" s="23" t="str">
        <f t="shared" si="1004"/>
        <v/>
      </c>
      <c r="W2908" s="70" t="str">
        <f t="shared" si="1005"/>
        <v/>
      </c>
      <c r="X2908" s="70" t="str">
        <f t="shared" si="1006"/>
        <v/>
      </c>
      <c r="Y2908" s="70" t="str">
        <f>IF(AND($A2908&lt;&gt;"",$E2908&gt;0),isLaptopBag($C2908,$J2908)*$D2908,"")</f>
        <v/>
      </c>
      <c r="Z2908" s="70" t="str">
        <f t="shared" si="1007"/>
        <v/>
      </c>
      <c r="AA2908" s="70" t="str">
        <f t="shared" si="1008"/>
        <v/>
      </c>
      <c r="AB2908" s="70" t="str">
        <f t="shared" si="1009"/>
        <v/>
      </c>
      <c r="AC2908" s="70" t="str">
        <f t="shared" si="1010"/>
        <v/>
      </c>
      <c r="AD2908" s="70" t="str">
        <f t="shared" si="1011"/>
        <v/>
      </c>
      <c r="AE2908" s="70" t="str">
        <f t="shared" si="1012"/>
        <v/>
      </c>
      <c r="AF2908" s="16"/>
      <c r="AG2908" s="23"/>
      <c r="AH2908" s="22"/>
      <c r="AJ2908" s="83">
        <f t="shared" si="1013"/>
        <v>0</v>
      </c>
      <c r="AO2908" s="22" t="str">
        <f t="shared" si="1014"/>
        <v/>
      </c>
      <c r="AP2908" s="22" t="str">
        <f t="shared" si="1015"/>
        <v/>
      </c>
    </row>
    <row r="2909" spans="1:42" x14ac:dyDescent="0.25">
      <c r="A2909" s="10"/>
      <c r="B2909" s="10"/>
      <c r="C2909" s="10"/>
      <c r="D2909" s="10"/>
      <c r="E2909" s="10"/>
      <c r="F2909" s="10"/>
      <c r="G2909" s="10"/>
      <c r="H2909" s="17"/>
      <c r="I2909" s="10"/>
      <c r="J2909" s="10"/>
      <c r="K2909" s="16" t="str">
        <f t="shared" si="994"/>
        <v/>
      </c>
      <c r="L2909" s="23" t="str">
        <f t="shared" si="995"/>
        <v/>
      </c>
      <c r="M2909" s="22" t="str">
        <f t="shared" si="996"/>
        <v/>
      </c>
      <c r="N2909" s="72"/>
      <c r="O2909" s="16" t="str">
        <f t="shared" si="997"/>
        <v/>
      </c>
      <c r="P2909" s="16" t="str">
        <f t="shared" si="998"/>
        <v/>
      </c>
      <c r="Q2909" s="16" t="str">
        <f t="shared" si="999"/>
        <v/>
      </c>
      <c r="R2909" s="23" t="str">
        <f t="shared" si="1000"/>
        <v/>
      </c>
      <c r="S2909" s="23" t="str">
        <f t="shared" si="1001"/>
        <v/>
      </c>
      <c r="T2909" s="23" t="str">
        <f t="shared" si="1002"/>
        <v/>
      </c>
      <c r="U2909" s="23" t="str">
        <f t="shared" si="1003"/>
        <v/>
      </c>
      <c r="V2909" s="23" t="str">
        <f t="shared" si="1004"/>
        <v/>
      </c>
      <c r="W2909" s="70" t="str">
        <f t="shared" si="1005"/>
        <v/>
      </c>
      <c r="X2909" s="70" t="str">
        <f t="shared" si="1006"/>
        <v/>
      </c>
      <c r="Y2909" s="70" t="str">
        <f>IF(AND($A2909&lt;&gt;"",$E2909&gt;0),isLaptopBag($C2909,$J2909)*$D2909,"")</f>
        <v/>
      </c>
      <c r="Z2909" s="70" t="str">
        <f t="shared" si="1007"/>
        <v/>
      </c>
      <c r="AA2909" s="70" t="str">
        <f t="shared" si="1008"/>
        <v/>
      </c>
      <c r="AB2909" s="70" t="str">
        <f t="shared" si="1009"/>
        <v/>
      </c>
      <c r="AC2909" s="70" t="str">
        <f t="shared" si="1010"/>
        <v/>
      </c>
      <c r="AD2909" s="70" t="str">
        <f t="shared" si="1011"/>
        <v/>
      </c>
      <c r="AE2909" s="70" t="str">
        <f t="shared" si="1012"/>
        <v/>
      </c>
      <c r="AF2909" s="16"/>
      <c r="AG2909" s="23"/>
      <c r="AH2909" s="22"/>
      <c r="AJ2909" s="83">
        <f t="shared" si="1013"/>
        <v>0</v>
      </c>
      <c r="AO2909" s="22" t="str">
        <f t="shared" si="1014"/>
        <v/>
      </c>
      <c r="AP2909" s="22" t="str">
        <f t="shared" si="1015"/>
        <v/>
      </c>
    </row>
    <row r="2910" spans="1:42" x14ac:dyDescent="0.25">
      <c r="A2910" s="10"/>
      <c r="B2910" s="10"/>
      <c r="C2910" s="10"/>
      <c r="D2910" s="10"/>
      <c r="E2910" s="10"/>
      <c r="F2910" s="10"/>
      <c r="G2910" s="10"/>
      <c r="H2910" s="17"/>
      <c r="I2910" s="10"/>
      <c r="J2910" s="10"/>
      <c r="K2910" s="16" t="str">
        <f t="shared" si="994"/>
        <v/>
      </c>
      <c r="L2910" s="23" t="str">
        <f t="shared" si="995"/>
        <v/>
      </c>
      <c r="M2910" s="22" t="str">
        <f t="shared" si="996"/>
        <v/>
      </c>
      <c r="N2910" s="72"/>
      <c r="O2910" s="16" t="str">
        <f t="shared" si="997"/>
        <v/>
      </c>
      <c r="P2910" s="16" t="str">
        <f t="shared" si="998"/>
        <v/>
      </c>
      <c r="Q2910" s="16" t="str">
        <f t="shared" si="999"/>
        <v/>
      </c>
      <c r="R2910" s="23" t="str">
        <f t="shared" si="1000"/>
        <v/>
      </c>
      <c r="S2910" s="23" t="str">
        <f t="shared" si="1001"/>
        <v/>
      </c>
      <c r="T2910" s="23" t="str">
        <f t="shared" si="1002"/>
        <v/>
      </c>
      <c r="U2910" s="23" t="str">
        <f t="shared" si="1003"/>
        <v/>
      </c>
      <c r="V2910" s="23" t="str">
        <f t="shared" si="1004"/>
        <v/>
      </c>
      <c r="W2910" s="70" t="str">
        <f t="shared" si="1005"/>
        <v/>
      </c>
      <c r="X2910" s="70" t="str">
        <f t="shared" si="1006"/>
        <v/>
      </c>
      <c r="Y2910" s="70" t="str">
        <f>IF(AND($A2910&lt;&gt;"",$E2910&gt;0),isLaptopBag($C2910,$J2910)*$D2910,"")</f>
        <v/>
      </c>
      <c r="Z2910" s="70" t="str">
        <f t="shared" si="1007"/>
        <v/>
      </c>
      <c r="AA2910" s="70" t="str">
        <f t="shared" si="1008"/>
        <v/>
      </c>
      <c r="AB2910" s="70" t="str">
        <f t="shared" si="1009"/>
        <v/>
      </c>
      <c r="AC2910" s="70" t="str">
        <f t="shared" si="1010"/>
        <v/>
      </c>
      <c r="AD2910" s="70" t="str">
        <f t="shared" si="1011"/>
        <v/>
      </c>
      <c r="AE2910" s="70" t="str">
        <f t="shared" si="1012"/>
        <v/>
      </c>
      <c r="AF2910" s="16"/>
      <c r="AG2910" s="23"/>
      <c r="AH2910" s="22"/>
      <c r="AJ2910" s="83">
        <f t="shared" si="1013"/>
        <v>0</v>
      </c>
      <c r="AO2910" s="22" t="str">
        <f t="shared" si="1014"/>
        <v/>
      </c>
      <c r="AP2910" s="22" t="str">
        <f t="shared" si="1015"/>
        <v/>
      </c>
    </row>
    <row r="2911" spans="1:42" x14ac:dyDescent="0.25">
      <c r="A2911" s="10"/>
      <c r="B2911" s="10"/>
      <c r="C2911" s="10"/>
      <c r="D2911" s="10"/>
      <c r="E2911" s="10"/>
      <c r="F2911" s="10"/>
      <c r="G2911" s="10"/>
      <c r="H2911" s="17"/>
      <c r="I2911" s="10"/>
      <c r="J2911" s="10"/>
      <c r="K2911" s="16" t="str">
        <f t="shared" si="994"/>
        <v/>
      </c>
      <c r="L2911" s="23" t="str">
        <f t="shared" si="995"/>
        <v/>
      </c>
      <c r="M2911" s="22" t="str">
        <f t="shared" si="996"/>
        <v/>
      </c>
      <c r="N2911" s="72"/>
      <c r="O2911" s="16" t="str">
        <f t="shared" si="997"/>
        <v/>
      </c>
      <c r="P2911" s="16" t="str">
        <f t="shared" si="998"/>
        <v/>
      </c>
      <c r="Q2911" s="16" t="str">
        <f t="shared" si="999"/>
        <v/>
      </c>
      <c r="R2911" s="23" t="str">
        <f t="shared" si="1000"/>
        <v/>
      </c>
      <c r="S2911" s="23" t="str">
        <f t="shared" si="1001"/>
        <v/>
      </c>
      <c r="T2911" s="23" t="str">
        <f t="shared" si="1002"/>
        <v/>
      </c>
      <c r="U2911" s="23" t="str">
        <f t="shared" si="1003"/>
        <v/>
      </c>
      <c r="V2911" s="23" t="str">
        <f t="shared" si="1004"/>
        <v/>
      </c>
      <c r="W2911" s="70" t="str">
        <f t="shared" si="1005"/>
        <v/>
      </c>
      <c r="X2911" s="70" t="str">
        <f t="shared" si="1006"/>
        <v/>
      </c>
      <c r="Y2911" s="70" t="str">
        <f>IF(AND($A2911&lt;&gt;"",$E2911&gt;0),isLaptopBag($C2911,$J2911)*$D2911,"")</f>
        <v/>
      </c>
      <c r="Z2911" s="70" t="str">
        <f t="shared" si="1007"/>
        <v/>
      </c>
      <c r="AA2911" s="70" t="str">
        <f t="shared" si="1008"/>
        <v/>
      </c>
      <c r="AB2911" s="70" t="str">
        <f t="shared" si="1009"/>
        <v/>
      </c>
      <c r="AC2911" s="70" t="str">
        <f t="shared" si="1010"/>
        <v/>
      </c>
      <c r="AD2911" s="70" t="str">
        <f t="shared" si="1011"/>
        <v/>
      </c>
      <c r="AE2911" s="70" t="str">
        <f t="shared" si="1012"/>
        <v/>
      </c>
      <c r="AF2911" s="16"/>
      <c r="AG2911" s="23"/>
      <c r="AH2911" s="22"/>
      <c r="AJ2911" s="83">
        <f t="shared" si="1013"/>
        <v>0</v>
      </c>
      <c r="AO2911" s="22" t="str">
        <f t="shared" si="1014"/>
        <v/>
      </c>
      <c r="AP2911" s="22" t="str">
        <f t="shared" si="1015"/>
        <v/>
      </c>
    </row>
    <row r="2912" spans="1:42" x14ac:dyDescent="0.25">
      <c r="A2912" s="10"/>
      <c r="B2912" s="10"/>
      <c r="C2912" s="10"/>
      <c r="D2912" s="10"/>
      <c r="E2912" s="10"/>
      <c r="F2912" s="10"/>
      <c r="G2912" s="10"/>
      <c r="H2912" s="17"/>
      <c r="I2912" s="10"/>
      <c r="J2912" s="10"/>
      <c r="K2912" s="16" t="str">
        <f t="shared" si="994"/>
        <v/>
      </c>
      <c r="L2912" s="23" t="str">
        <f t="shared" si="995"/>
        <v/>
      </c>
      <c r="M2912" s="22" t="str">
        <f t="shared" si="996"/>
        <v/>
      </c>
      <c r="N2912" s="72"/>
      <c r="O2912" s="16" t="str">
        <f t="shared" si="997"/>
        <v/>
      </c>
      <c r="P2912" s="16" t="str">
        <f t="shared" si="998"/>
        <v/>
      </c>
      <c r="Q2912" s="16" t="str">
        <f t="shared" si="999"/>
        <v/>
      </c>
      <c r="R2912" s="23" t="str">
        <f t="shared" si="1000"/>
        <v/>
      </c>
      <c r="S2912" s="23" t="str">
        <f t="shared" si="1001"/>
        <v/>
      </c>
      <c r="T2912" s="23" t="str">
        <f t="shared" si="1002"/>
        <v/>
      </c>
      <c r="U2912" s="23" t="str">
        <f t="shared" si="1003"/>
        <v/>
      </c>
      <c r="V2912" s="23" t="str">
        <f t="shared" si="1004"/>
        <v/>
      </c>
      <c r="W2912" s="70" t="str">
        <f t="shared" si="1005"/>
        <v/>
      </c>
      <c r="X2912" s="70" t="str">
        <f t="shared" si="1006"/>
        <v/>
      </c>
      <c r="Y2912" s="70" t="str">
        <f>IF(AND($A2912&lt;&gt;"",$E2912&gt;0),isLaptopBag($C2912,$J2912)*$D2912,"")</f>
        <v/>
      </c>
      <c r="Z2912" s="70" t="str">
        <f t="shared" si="1007"/>
        <v/>
      </c>
      <c r="AA2912" s="70" t="str">
        <f t="shared" si="1008"/>
        <v/>
      </c>
      <c r="AB2912" s="70" t="str">
        <f t="shared" si="1009"/>
        <v/>
      </c>
      <c r="AC2912" s="70" t="str">
        <f t="shared" si="1010"/>
        <v/>
      </c>
      <c r="AD2912" s="70" t="str">
        <f t="shared" si="1011"/>
        <v/>
      </c>
      <c r="AE2912" s="70" t="str">
        <f t="shared" si="1012"/>
        <v/>
      </c>
      <c r="AF2912" s="16"/>
      <c r="AG2912" s="23"/>
      <c r="AH2912" s="22"/>
      <c r="AJ2912" s="83">
        <f t="shared" si="1013"/>
        <v>0</v>
      </c>
      <c r="AO2912" s="22" t="str">
        <f t="shared" si="1014"/>
        <v/>
      </c>
      <c r="AP2912" s="22" t="str">
        <f t="shared" si="1015"/>
        <v/>
      </c>
    </row>
    <row r="2913" spans="1:42" x14ac:dyDescent="0.25">
      <c r="A2913" s="10"/>
      <c r="B2913" s="10"/>
      <c r="C2913" s="10"/>
      <c r="D2913" s="10"/>
      <c r="E2913" s="10"/>
      <c r="F2913" s="10"/>
      <c r="G2913" s="10"/>
      <c r="H2913" s="17"/>
      <c r="I2913" s="10"/>
      <c r="J2913" s="10"/>
      <c r="K2913" s="16" t="str">
        <f t="shared" si="994"/>
        <v/>
      </c>
      <c r="L2913" s="23" t="str">
        <f t="shared" si="995"/>
        <v/>
      </c>
      <c r="M2913" s="22" t="str">
        <f t="shared" si="996"/>
        <v/>
      </c>
      <c r="N2913" s="72"/>
      <c r="O2913" s="16" t="str">
        <f t="shared" si="997"/>
        <v/>
      </c>
      <c r="P2913" s="16" t="str">
        <f t="shared" si="998"/>
        <v/>
      </c>
      <c r="Q2913" s="16" t="str">
        <f t="shared" si="999"/>
        <v/>
      </c>
      <c r="R2913" s="23" t="str">
        <f t="shared" si="1000"/>
        <v/>
      </c>
      <c r="S2913" s="23" t="str">
        <f t="shared" si="1001"/>
        <v/>
      </c>
      <c r="T2913" s="23" t="str">
        <f t="shared" si="1002"/>
        <v/>
      </c>
      <c r="U2913" s="23" t="str">
        <f t="shared" si="1003"/>
        <v/>
      </c>
      <c r="V2913" s="23" t="str">
        <f t="shared" si="1004"/>
        <v/>
      </c>
      <c r="W2913" s="70" t="str">
        <f t="shared" si="1005"/>
        <v/>
      </c>
      <c r="X2913" s="70" t="str">
        <f t="shared" si="1006"/>
        <v/>
      </c>
      <c r="Y2913" s="70" t="str">
        <f>IF(AND($A2913&lt;&gt;"",$E2913&gt;0),isLaptopBag($C2913,$J2913)*$D2913,"")</f>
        <v/>
      </c>
      <c r="Z2913" s="70" t="str">
        <f t="shared" si="1007"/>
        <v/>
      </c>
      <c r="AA2913" s="70" t="str">
        <f t="shared" si="1008"/>
        <v/>
      </c>
      <c r="AB2913" s="70" t="str">
        <f t="shared" si="1009"/>
        <v/>
      </c>
      <c r="AC2913" s="70" t="str">
        <f t="shared" si="1010"/>
        <v/>
      </c>
      <c r="AD2913" s="70" t="str">
        <f t="shared" si="1011"/>
        <v/>
      </c>
      <c r="AE2913" s="70" t="str">
        <f t="shared" si="1012"/>
        <v/>
      </c>
      <c r="AF2913" s="16"/>
      <c r="AG2913" s="23"/>
      <c r="AH2913" s="22"/>
      <c r="AJ2913" s="83">
        <f t="shared" si="1013"/>
        <v>0</v>
      </c>
      <c r="AO2913" s="22" t="str">
        <f t="shared" si="1014"/>
        <v/>
      </c>
      <c r="AP2913" s="22" t="str">
        <f t="shared" si="1015"/>
        <v/>
      </c>
    </row>
    <row r="2914" spans="1:42" x14ac:dyDescent="0.25">
      <c r="A2914" s="10"/>
      <c r="B2914" s="10"/>
      <c r="C2914" s="10"/>
      <c r="D2914" s="10"/>
      <c r="E2914" s="10"/>
      <c r="F2914" s="10"/>
      <c r="G2914" s="10"/>
      <c r="H2914" s="17"/>
      <c r="I2914" s="10"/>
      <c r="J2914" s="10"/>
      <c r="K2914" s="16" t="str">
        <f t="shared" si="994"/>
        <v/>
      </c>
      <c r="L2914" s="23" t="str">
        <f t="shared" si="995"/>
        <v/>
      </c>
      <c r="M2914" s="22" t="str">
        <f t="shared" si="996"/>
        <v/>
      </c>
      <c r="N2914" s="72"/>
      <c r="O2914" s="16" t="str">
        <f t="shared" si="997"/>
        <v/>
      </c>
      <c r="P2914" s="16" t="str">
        <f t="shared" si="998"/>
        <v/>
      </c>
      <c r="Q2914" s="16" t="str">
        <f t="shared" si="999"/>
        <v/>
      </c>
      <c r="R2914" s="23" t="str">
        <f t="shared" si="1000"/>
        <v/>
      </c>
      <c r="S2914" s="23" t="str">
        <f t="shared" si="1001"/>
        <v/>
      </c>
      <c r="T2914" s="23" t="str">
        <f t="shared" si="1002"/>
        <v/>
      </c>
      <c r="U2914" s="23" t="str">
        <f t="shared" si="1003"/>
        <v/>
      </c>
      <c r="V2914" s="23" t="str">
        <f t="shared" si="1004"/>
        <v/>
      </c>
      <c r="W2914" s="70" t="str">
        <f t="shared" si="1005"/>
        <v/>
      </c>
      <c r="X2914" s="70" t="str">
        <f t="shared" si="1006"/>
        <v/>
      </c>
      <c r="Y2914" s="70" t="str">
        <f>IF(AND($A2914&lt;&gt;"",$E2914&gt;0),isLaptopBag($C2914,$J2914)*$D2914,"")</f>
        <v/>
      </c>
      <c r="Z2914" s="70" t="str">
        <f t="shared" si="1007"/>
        <v/>
      </c>
      <c r="AA2914" s="70" t="str">
        <f t="shared" si="1008"/>
        <v/>
      </c>
      <c r="AB2914" s="70" t="str">
        <f t="shared" si="1009"/>
        <v/>
      </c>
      <c r="AC2914" s="70" t="str">
        <f t="shared" si="1010"/>
        <v/>
      </c>
      <c r="AD2914" s="70" t="str">
        <f t="shared" si="1011"/>
        <v/>
      </c>
      <c r="AE2914" s="70" t="str">
        <f t="shared" si="1012"/>
        <v/>
      </c>
      <c r="AF2914" s="16"/>
      <c r="AG2914" s="23"/>
      <c r="AH2914" s="22"/>
      <c r="AJ2914" s="83">
        <f t="shared" si="1013"/>
        <v>0</v>
      </c>
      <c r="AO2914" s="22" t="str">
        <f t="shared" si="1014"/>
        <v/>
      </c>
      <c r="AP2914" s="22" t="str">
        <f t="shared" si="1015"/>
        <v/>
      </c>
    </row>
    <row r="2915" spans="1:42" x14ac:dyDescent="0.25">
      <c r="A2915" s="10"/>
      <c r="B2915" s="10"/>
      <c r="C2915" s="10"/>
      <c r="D2915" s="10"/>
      <c r="E2915" s="10"/>
      <c r="F2915" s="10"/>
      <c r="G2915" s="10"/>
      <c r="H2915" s="17"/>
      <c r="I2915" s="10"/>
      <c r="J2915" s="10"/>
      <c r="K2915" s="16" t="str">
        <f t="shared" si="994"/>
        <v/>
      </c>
      <c r="L2915" s="23" t="str">
        <f t="shared" si="995"/>
        <v/>
      </c>
      <c r="M2915" s="22" t="str">
        <f t="shared" si="996"/>
        <v/>
      </c>
      <c r="N2915" s="72"/>
      <c r="O2915" s="16" t="str">
        <f t="shared" si="997"/>
        <v/>
      </c>
      <c r="P2915" s="16" t="str">
        <f t="shared" si="998"/>
        <v/>
      </c>
      <c r="Q2915" s="16" t="str">
        <f t="shared" si="999"/>
        <v/>
      </c>
      <c r="R2915" s="23" t="str">
        <f t="shared" si="1000"/>
        <v/>
      </c>
      <c r="S2915" s="23" t="str">
        <f t="shared" si="1001"/>
        <v/>
      </c>
      <c r="T2915" s="23" t="str">
        <f t="shared" si="1002"/>
        <v/>
      </c>
      <c r="U2915" s="23" t="str">
        <f t="shared" si="1003"/>
        <v/>
      </c>
      <c r="V2915" s="23" t="str">
        <f t="shared" si="1004"/>
        <v/>
      </c>
      <c r="W2915" s="70" t="str">
        <f t="shared" si="1005"/>
        <v/>
      </c>
      <c r="X2915" s="70" t="str">
        <f t="shared" si="1006"/>
        <v/>
      </c>
      <c r="Y2915" s="70" t="str">
        <f>IF(AND($A2915&lt;&gt;"",$E2915&gt;0),isLaptopBag($C2915,$J2915)*$D2915,"")</f>
        <v/>
      </c>
      <c r="Z2915" s="70" t="str">
        <f t="shared" si="1007"/>
        <v/>
      </c>
      <c r="AA2915" s="70" t="str">
        <f t="shared" si="1008"/>
        <v/>
      </c>
      <c r="AB2915" s="70" t="str">
        <f t="shared" si="1009"/>
        <v/>
      </c>
      <c r="AC2915" s="70" t="str">
        <f t="shared" si="1010"/>
        <v/>
      </c>
      <c r="AD2915" s="70" t="str">
        <f t="shared" si="1011"/>
        <v/>
      </c>
      <c r="AE2915" s="70" t="str">
        <f t="shared" si="1012"/>
        <v/>
      </c>
      <c r="AF2915" s="16"/>
      <c r="AG2915" s="23"/>
      <c r="AH2915" s="22"/>
      <c r="AJ2915" s="83">
        <f t="shared" si="1013"/>
        <v>0</v>
      </c>
      <c r="AO2915" s="22" t="str">
        <f t="shared" si="1014"/>
        <v/>
      </c>
      <c r="AP2915" s="22" t="str">
        <f t="shared" si="1015"/>
        <v/>
      </c>
    </row>
    <row r="2916" spans="1:42" x14ac:dyDescent="0.25">
      <c r="A2916" s="10"/>
      <c r="B2916" s="10"/>
      <c r="C2916" s="10"/>
      <c r="D2916" s="10"/>
      <c r="E2916" s="10"/>
      <c r="F2916" s="10"/>
      <c r="G2916" s="10"/>
      <c r="H2916" s="17"/>
      <c r="I2916" s="10"/>
      <c r="J2916" s="10"/>
      <c r="K2916" s="16" t="str">
        <f t="shared" si="994"/>
        <v/>
      </c>
      <c r="L2916" s="23" t="str">
        <f t="shared" si="995"/>
        <v/>
      </c>
      <c r="M2916" s="22" t="str">
        <f t="shared" si="996"/>
        <v/>
      </c>
      <c r="N2916" s="72"/>
      <c r="O2916" s="16" t="str">
        <f t="shared" si="997"/>
        <v/>
      </c>
      <c r="P2916" s="16" t="str">
        <f t="shared" si="998"/>
        <v/>
      </c>
      <c r="Q2916" s="16" t="str">
        <f t="shared" si="999"/>
        <v/>
      </c>
      <c r="R2916" s="23" t="str">
        <f t="shared" si="1000"/>
        <v/>
      </c>
      <c r="S2916" s="23" t="str">
        <f t="shared" si="1001"/>
        <v/>
      </c>
      <c r="T2916" s="23" t="str">
        <f t="shared" si="1002"/>
        <v/>
      </c>
      <c r="U2916" s="23" t="str">
        <f t="shared" si="1003"/>
        <v/>
      </c>
      <c r="V2916" s="23" t="str">
        <f t="shared" si="1004"/>
        <v/>
      </c>
      <c r="W2916" s="70" t="str">
        <f t="shared" si="1005"/>
        <v/>
      </c>
      <c r="X2916" s="70" t="str">
        <f t="shared" si="1006"/>
        <v/>
      </c>
      <c r="Y2916" s="70" t="str">
        <f>IF(AND($A2916&lt;&gt;"",$E2916&gt;0),isLaptopBag($C2916,$J2916)*$D2916,"")</f>
        <v/>
      </c>
      <c r="Z2916" s="70" t="str">
        <f t="shared" si="1007"/>
        <v/>
      </c>
      <c r="AA2916" s="70" t="str">
        <f t="shared" si="1008"/>
        <v/>
      </c>
      <c r="AB2916" s="70" t="str">
        <f t="shared" si="1009"/>
        <v/>
      </c>
      <c r="AC2916" s="70" t="str">
        <f t="shared" si="1010"/>
        <v/>
      </c>
      <c r="AD2916" s="70" t="str">
        <f t="shared" si="1011"/>
        <v/>
      </c>
      <c r="AE2916" s="70" t="str">
        <f t="shared" si="1012"/>
        <v/>
      </c>
      <c r="AF2916" s="16"/>
      <c r="AG2916" s="23"/>
      <c r="AH2916" s="22"/>
      <c r="AJ2916" s="83">
        <f t="shared" si="1013"/>
        <v>0</v>
      </c>
      <c r="AO2916" s="22" t="str">
        <f t="shared" si="1014"/>
        <v/>
      </c>
      <c r="AP2916" s="22" t="str">
        <f t="shared" si="1015"/>
        <v/>
      </c>
    </row>
    <row r="2917" spans="1:42" x14ac:dyDescent="0.25">
      <c r="A2917" s="10"/>
      <c r="B2917" s="10"/>
      <c r="C2917" s="10"/>
      <c r="D2917" s="10"/>
      <c r="E2917" s="10"/>
      <c r="F2917" s="10"/>
      <c r="G2917" s="10"/>
      <c r="H2917" s="17"/>
      <c r="I2917" s="10"/>
      <c r="J2917" s="10"/>
      <c r="K2917" s="16" t="str">
        <f t="shared" si="994"/>
        <v/>
      </c>
      <c r="L2917" s="23" t="str">
        <f t="shared" si="995"/>
        <v/>
      </c>
      <c r="M2917" s="22" t="str">
        <f t="shared" si="996"/>
        <v/>
      </c>
      <c r="N2917" s="72"/>
      <c r="O2917" s="16" t="str">
        <f t="shared" si="997"/>
        <v/>
      </c>
      <c r="P2917" s="16" t="str">
        <f t="shared" si="998"/>
        <v/>
      </c>
      <c r="Q2917" s="16" t="str">
        <f t="shared" si="999"/>
        <v/>
      </c>
      <c r="R2917" s="23" t="str">
        <f t="shared" si="1000"/>
        <v/>
      </c>
      <c r="S2917" s="23" t="str">
        <f t="shared" si="1001"/>
        <v/>
      </c>
      <c r="T2917" s="23" t="str">
        <f t="shared" si="1002"/>
        <v/>
      </c>
      <c r="U2917" s="23" t="str">
        <f t="shared" si="1003"/>
        <v/>
      </c>
      <c r="V2917" s="23" t="str">
        <f t="shared" si="1004"/>
        <v/>
      </c>
      <c r="W2917" s="70" t="str">
        <f t="shared" si="1005"/>
        <v/>
      </c>
      <c r="X2917" s="70" t="str">
        <f t="shared" si="1006"/>
        <v/>
      </c>
      <c r="Y2917" s="70" t="str">
        <f>IF(AND($A2917&lt;&gt;"",$E2917&gt;0),isLaptopBag($C2917,$J2917)*$D2917,"")</f>
        <v/>
      </c>
      <c r="Z2917" s="70" t="str">
        <f t="shared" si="1007"/>
        <v/>
      </c>
      <c r="AA2917" s="70" t="str">
        <f t="shared" si="1008"/>
        <v/>
      </c>
      <c r="AB2917" s="70" t="str">
        <f t="shared" si="1009"/>
        <v/>
      </c>
      <c r="AC2917" s="70" t="str">
        <f t="shared" si="1010"/>
        <v/>
      </c>
      <c r="AD2917" s="70" t="str">
        <f t="shared" si="1011"/>
        <v/>
      </c>
      <c r="AE2917" s="70" t="str">
        <f t="shared" si="1012"/>
        <v/>
      </c>
      <c r="AF2917" s="16"/>
      <c r="AG2917" s="23"/>
      <c r="AH2917" s="22"/>
      <c r="AJ2917" s="83">
        <f t="shared" si="1013"/>
        <v>0</v>
      </c>
      <c r="AO2917" s="22" t="str">
        <f t="shared" si="1014"/>
        <v/>
      </c>
      <c r="AP2917" s="22" t="str">
        <f t="shared" si="1015"/>
        <v/>
      </c>
    </row>
    <row r="2918" spans="1:42" x14ac:dyDescent="0.25">
      <c r="A2918" s="10"/>
      <c r="B2918" s="10"/>
      <c r="C2918" s="10"/>
      <c r="D2918" s="10"/>
      <c r="E2918" s="10"/>
      <c r="F2918" s="10"/>
      <c r="G2918" s="10"/>
      <c r="H2918" s="17"/>
      <c r="I2918" s="10"/>
      <c r="J2918" s="10"/>
      <c r="K2918" s="16" t="str">
        <f t="shared" si="994"/>
        <v/>
      </c>
      <c r="L2918" s="23" t="str">
        <f t="shared" si="995"/>
        <v/>
      </c>
      <c r="M2918" s="22" t="str">
        <f t="shared" si="996"/>
        <v/>
      </c>
      <c r="N2918" s="72"/>
      <c r="O2918" s="16" t="str">
        <f t="shared" si="997"/>
        <v/>
      </c>
      <c r="P2918" s="16" t="str">
        <f t="shared" si="998"/>
        <v/>
      </c>
      <c r="Q2918" s="16" t="str">
        <f t="shared" si="999"/>
        <v/>
      </c>
      <c r="R2918" s="23" t="str">
        <f t="shared" si="1000"/>
        <v/>
      </c>
      <c r="S2918" s="23" t="str">
        <f t="shared" si="1001"/>
        <v/>
      </c>
      <c r="T2918" s="23" t="str">
        <f t="shared" si="1002"/>
        <v/>
      </c>
      <c r="U2918" s="23" t="str">
        <f t="shared" si="1003"/>
        <v/>
      </c>
      <c r="V2918" s="23" t="str">
        <f t="shared" si="1004"/>
        <v/>
      </c>
      <c r="W2918" s="70" t="str">
        <f t="shared" si="1005"/>
        <v/>
      </c>
      <c r="X2918" s="70" t="str">
        <f t="shared" si="1006"/>
        <v/>
      </c>
      <c r="Y2918" s="70" t="str">
        <f>IF(AND($A2918&lt;&gt;"",$E2918&gt;0),isLaptopBag($C2918,$J2918)*$D2918,"")</f>
        <v/>
      </c>
      <c r="Z2918" s="70" t="str">
        <f t="shared" si="1007"/>
        <v/>
      </c>
      <c r="AA2918" s="70" t="str">
        <f t="shared" si="1008"/>
        <v/>
      </c>
      <c r="AB2918" s="70" t="str">
        <f t="shared" si="1009"/>
        <v/>
      </c>
      <c r="AC2918" s="70" t="str">
        <f t="shared" si="1010"/>
        <v/>
      </c>
      <c r="AD2918" s="70" t="str">
        <f t="shared" si="1011"/>
        <v/>
      </c>
      <c r="AE2918" s="70" t="str">
        <f t="shared" si="1012"/>
        <v/>
      </c>
      <c r="AF2918" s="16"/>
      <c r="AG2918" s="23"/>
      <c r="AH2918" s="22"/>
      <c r="AJ2918" s="83">
        <f t="shared" si="1013"/>
        <v>0</v>
      </c>
      <c r="AO2918" s="22" t="str">
        <f t="shared" si="1014"/>
        <v/>
      </c>
      <c r="AP2918" s="22" t="str">
        <f t="shared" si="1015"/>
        <v/>
      </c>
    </row>
    <row r="2919" spans="1:42" x14ac:dyDescent="0.25">
      <c r="A2919" s="10"/>
      <c r="B2919" s="10"/>
      <c r="C2919" s="10"/>
      <c r="D2919" s="10"/>
      <c r="E2919" s="10"/>
      <c r="F2919" s="10"/>
      <c r="G2919" s="10"/>
      <c r="H2919" s="17"/>
      <c r="I2919" s="10"/>
      <c r="J2919" s="10"/>
      <c r="K2919" s="16" t="str">
        <f t="shared" si="994"/>
        <v/>
      </c>
      <c r="L2919" s="23" t="str">
        <f t="shared" si="995"/>
        <v/>
      </c>
      <c r="M2919" s="22" t="str">
        <f t="shared" si="996"/>
        <v/>
      </c>
      <c r="N2919" s="72"/>
      <c r="O2919" s="16" t="str">
        <f t="shared" si="997"/>
        <v/>
      </c>
      <c r="P2919" s="16" t="str">
        <f t="shared" si="998"/>
        <v/>
      </c>
      <c r="Q2919" s="16" t="str">
        <f t="shared" si="999"/>
        <v/>
      </c>
      <c r="R2919" s="23" t="str">
        <f t="shared" si="1000"/>
        <v/>
      </c>
      <c r="S2919" s="23" t="str">
        <f t="shared" si="1001"/>
        <v/>
      </c>
      <c r="T2919" s="23" t="str">
        <f t="shared" si="1002"/>
        <v/>
      </c>
      <c r="U2919" s="23" t="str">
        <f t="shared" si="1003"/>
        <v/>
      </c>
      <c r="V2919" s="23" t="str">
        <f t="shared" si="1004"/>
        <v/>
      </c>
      <c r="W2919" s="70" t="str">
        <f t="shared" si="1005"/>
        <v/>
      </c>
      <c r="X2919" s="70" t="str">
        <f t="shared" si="1006"/>
        <v/>
      </c>
      <c r="Y2919" s="70" t="str">
        <f>IF(AND($A2919&lt;&gt;"",$E2919&gt;0),isLaptopBag($C2919,$J2919)*$D2919,"")</f>
        <v/>
      </c>
      <c r="Z2919" s="70" t="str">
        <f t="shared" si="1007"/>
        <v/>
      </c>
      <c r="AA2919" s="70" t="str">
        <f t="shared" si="1008"/>
        <v/>
      </c>
      <c r="AB2919" s="70" t="str">
        <f t="shared" si="1009"/>
        <v/>
      </c>
      <c r="AC2919" s="70" t="str">
        <f t="shared" si="1010"/>
        <v/>
      </c>
      <c r="AD2919" s="70" t="str">
        <f t="shared" si="1011"/>
        <v/>
      </c>
      <c r="AE2919" s="70" t="str">
        <f t="shared" si="1012"/>
        <v/>
      </c>
      <c r="AF2919" s="16"/>
      <c r="AG2919" s="23"/>
      <c r="AH2919" s="22"/>
      <c r="AJ2919" s="83">
        <f t="shared" si="1013"/>
        <v>0</v>
      </c>
      <c r="AO2919" s="22" t="str">
        <f t="shared" si="1014"/>
        <v/>
      </c>
      <c r="AP2919" s="22" t="str">
        <f t="shared" si="1015"/>
        <v/>
      </c>
    </row>
    <row r="2920" spans="1:42" x14ac:dyDescent="0.25">
      <c r="A2920" s="10"/>
      <c r="B2920" s="10"/>
      <c r="C2920" s="10"/>
      <c r="D2920" s="10"/>
      <c r="E2920" s="10"/>
      <c r="F2920" s="10"/>
      <c r="G2920" s="10"/>
      <c r="H2920" s="17"/>
      <c r="I2920" s="10"/>
      <c r="J2920" s="10"/>
      <c r="K2920" s="16" t="str">
        <f t="shared" si="994"/>
        <v/>
      </c>
      <c r="L2920" s="23" t="str">
        <f t="shared" si="995"/>
        <v/>
      </c>
      <c r="M2920" s="22" t="str">
        <f t="shared" si="996"/>
        <v/>
      </c>
      <c r="N2920" s="72"/>
      <c r="O2920" s="16" t="str">
        <f t="shared" si="997"/>
        <v/>
      </c>
      <c r="P2920" s="16" t="str">
        <f t="shared" si="998"/>
        <v/>
      </c>
      <c r="Q2920" s="16" t="str">
        <f t="shared" si="999"/>
        <v/>
      </c>
      <c r="R2920" s="23" t="str">
        <f t="shared" si="1000"/>
        <v/>
      </c>
      <c r="S2920" s="23" t="str">
        <f t="shared" si="1001"/>
        <v/>
      </c>
      <c r="T2920" s="23" t="str">
        <f t="shared" si="1002"/>
        <v/>
      </c>
      <c r="U2920" s="23" t="str">
        <f t="shared" si="1003"/>
        <v/>
      </c>
      <c r="V2920" s="23" t="str">
        <f t="shared" si="1004"/>
        <v/>
      </c>
      <c r="W2920" s="70" t="str">
        <f t="shared" si="1005"/>
        <v/>
      </c>
      <c r="X2920" s="70" t="str">
        <f t="shared" si="1006"/>
        <v/>
      </c>
      <c r="Y2920" s="70" t="str">
        <f>IF(AND($A2920&lt;&gt;"",$E2920&gt;0),isLaptopBag($C2920,$J2920)*$D2920,"")</f>
        <v/>
      </c>
      <c r="Z2920" s="70" t="str">
        <f t="shared" si="1007"/>
        <v/>
      </c>
      <c r="AA2920" s="70" t="str">
        <f t="shared" si="1008"/>
        <v/>
      </c>
      <c r="AB2920" s="70" t="str">
        <f t="shared" si="1009"/>
        <v/>
      </c>
      <c r="AC2920" s="70" t="str">
        <f t="shared" si="1010"/>
        <v/>
      </c>
      <c r="AD2920" s="70" t="str">
        <f t="shared" si="1011"/>
        <v/>
      </c>
      <c r="AE2920" s="70" t="str">
        <f t="shared" si="1012"/>
        <v/>
      </c>
      <c r="AF2920" s="16"/>
      <c r="AG2920" s="23"/>
      <c r="AH2920" s="22"/>
      <c r="AJ2920" s="83">
        <f t="shared" si="1013"/>
        <v>0</v>
      </c>
      <c r="AO2920" s="22" t="str">
        <f t="shared" si="1014"/>
        <v/>
      </c>
      <c r="AP2920" s="22" t="str">
        <f t="shared" si="1015"/>
        <v/>
      </c>
    </row>
    <row r="2921" spans="1:42" x14ac:dyDescent="0.25">
      <c r="A2921" s="10"/>
      <c r="B2921" s="10"/>
      <c r="C2921" s="10"/>
      <c r="D2921" s="10"/>
      <c r="E2921" s="10"/>
      <c r="F2921" s="10"/>
      <c r="G2921" s="10"/>
      <c r="H2921" s="17"/>
      <c r="I2921" s="10"/>
      <c r="J2921" s="10"/>
      <c r="K2921" s="16" t="str">
        <f t="shared" si="994"/>
        <v/>
      </c>
      <c r="L2921" s="23" t="str">
        <f t="shared" si="995"/>
        <v/>
      </c>
      <c r="M2921" s="22" t="str">
        <f t="shared" si="996"/>
        <v/>
      </c>
      <c r="N2921" s="72"/>
      <c r="O2921" s="16" t="str">
        <f t="shared" si="997"/>
        <v/>
      </c>
      <c r="P2921" s="16" t="str">
        <f t="shared" si="998"/>
        <v/>
      </c>
      <c r="Q2921" s="16" t="str">
        <f t="shared" si="999"/>
        <v/>
      </c>
      <c r="R2921" s="23" t="str">
        <f t="shared" si="1000"/>
        <v/>
      </c>
      <c r="S2921" s="23" t="str">
        <f t="shared" si="1001"/>
        <v/>
      </c>
      <c r="T2921" s="23" t="str">
        <f t="shared" si="1002"/>
        <v/>
      </c>
      <c r="U2921" s="23" t="str">
        <f t="shared" si="1003"/>
        <v/>
      </c>
      <c r="V2921" s="23" t="str">
        <f t="shared" si="1004"/>
        <v/>
      </c>
      <c r="W2921" s="70" t="str">
        <f t="shared" si="1005"/>
        <v/>
      </c>
      <c r="X2921" s="70" t="str">
        <f t="shared" si="1006"/>
        <v/>
      </c>
      <c r="Y2921" s="70" t="str">
        <f>IF(AND($A2921&lt;&gt;"",$E2921&gt;0),isLaptopBag($C2921,$J2921)*$D2921,"")</f>
        <v/>
      </c>
      <c r="Z2921" s="70" t="str">
        <f t="shared" si="1007"/>
        <v/>
      </c>
      <c r="AA2921" s="70" t="str">
        <f t="shared" si="1008"/>
        <v/>
      </c>
      <c r="AB2921" s="70" t="str">
        <f t="shared" si="1009"/>
        <v/>
      </c>
      <c r="AC2921" s="70" t="str">
        <f t="shared" si="1010"/>
        <v/>
      </c>
      <c r="AD2921" s="70" t="str">
        <f t="shared" si="1011"/>
        <v/>
      </c>
      <c r="AE2921" s="70" t="str">
        <f t="shared" si="1012"/>
        <v/>
      </c>
      <c r="AF2921" s="16"/>
      <c r="AG2921" s="23"/>
      <c r="AH2921" s="22"/>
      <c r="AJ2921" s="83">
        <f t="shared" si="1013"/>
        <v>0</v>
      </c>
      <c r="AO2921" s="22" t="str">
        <f t="shared" si="1014"/>
        <v/>
      </c>
      <c r="AP2921" s="22" t="str">
        <f t="shared" si="1015"/>
        <v/>
      </c>
    </row>
    <row r="2922" spans="1:42" x14ac:dyDescent="0.25">
      <c r="A2922" s="10"/>
      <c r="B2922" s="10"/>
      <c r="C2922" s="10"/>
      <c r="D2922" s="10"/>
      <c r="E2922" s="10"/>
      <c r="F2922" s="10"/>
      <c r="G2922" s="10"/>
      <c r="H2922" s="17"/>
      <c r="I2922" s="10"/>
      <c r="J2922" s="10"/>
      <c r="K2922" s="16" t="str">
        <f t="shared" si="994"/>
        <v/>
      </c>
      <c r="L2922" s="23" t="str">
        <f t="shared" si="995"/>
        <v/>
      </c>
      <c r="M2922" s="22" t="str">
        <f t="shared" si="996"/>
        <v/>
      </c>
      <c r="N2922" s="72"/>
      <c r="O2922" s="16" t="str">
        <f t="shared" si="997"/>
        <v/>
      </c>
      <c r="P2922" s="16" t="str">
        <f t="shared" si="998"/>
        <v/>
      </c>
      <c r="Q2922" s="16" t="str">
        <f t="shared" si="999"/>
        <v/>
      </c>
      <c r="R2922" s="23" t="str">
        <f t="shared" si="1000"/>
        <v/>
      </c>
      <c r="S2922" s="23" t="str">
        <f t="shared" si="1001"/>
        <v/>
      </c>
      <c r="T2922" s="23" t="str">
        <f t="shared" si="1002"/>
        <v/>
      </c>
      <c r="U2922" s="23" t="str">
        <f t="shared" si="1003"/>
        <v/>
      </c>
      <c r="V2922" s="23" t="str">
        <f t="shared" si="1004"/>
        <v/>
      </c>
      <c r="W2922" s="70" t="str">
        <f t="shared" si="1005"/>
        <v/>
      </c>
      <c r="X2922" s="70" t="str">
        <f t="shared" si="1006"/>
        <v/>
      </c>
      <c r="Y2922" s="70" t="str">
        <f>IF(AND($A2922&lt;&gt;"",$E2922&gt;0),isLaptopBag($C2922,$J2922)*$D2922,"")</f>
        <v/>
      </c>
      <c r="Z2922" s="70" t="str">
        <f t="shared" si="1007"/>
        <v/>
      </c>
      <c r="AA2922" s="70" t="str">
        <f t="shared" si="1008"/>
        <v/>
      </c>
      <c r="AB2922" s="70" t="str">
        <f t="shared" si="1009"/>
        <v/>
      </c>
      <c r="AC2922" s="70" t="str">
        <f t="shared" si="1010"/>
        <v/>
      </c>
      <c r="AD2922" s="70" t="str">
        <f t="shared" si="1011"/>
        <v/>
      </c>
      <c r="AE2922" s="70" t="str">
        <f t="shared" si="1012"/>
        <v/>
      </c>
      <c r="AF2922" s="16"/>
      <c r="AG2922" s="23"/>
      <c r="AH2922" s="22"/>
      <c r="AJ2922" s="83">
        <f t="shared" si="1013"/>
        <v>0</v>
      </c>
      <c r="AO2922" s="22" t="str">
        <f t="shared" si="1014"/>
        <v/>
      </c>
      <c r="AP2922" s="22" t="str">
        <f t="shared" si="1015"/>
        <v/>
      </c>
    </row>
    <row r="2923" spans="1:42" x14ac:dyDescent="0.25">
      <c r="A2923" s="10"/>
      <c r="B2923" s="10"/>
      <c r="C2923" s="10"/>
      <c r="D2923" s="10"/>
      <c r="E2923" s="10"/>
      <c r="F2923" s="10"/>
      <c r="G2923" s="10"/>
      <c r="H2923" s="17"/>
      <c r="I2923" s="10"/>
      <c r="J2923" s="10"/>
      <c r="K2923" s="16" t="str">
        <f t="shared" si="994"/>
        <v/>
      </c>
      <c r="L2923" s="23" t="str">
        <f t="shared" si="995"/>
        <v/>
      </c>
      <c r="M2923" s="22" t="str">
        <f t="shared" si="996"/>
        <v/>
      </c>
      <c r="N2923" s="72"/>
      <c r="O2923" s="16" t="str">
        <f t="shared" si="997"/>
        <v/>
      </c>
      <c r="P2923" s="16" t="str">
        <f t="shared" si="998"/>
        <v/>
      </c>
      <c r="Q2923" s="16" t="str">
        <f t="shared" si="999"/>
        <v/>
      </c>
      <c r="R2923" s="23" t="str">
        <f t="shared" si="1000"/>
        <v/>
      </c>
      <c r="S2923" s="23" t="str">
        <f t="shared" si="1001"/>
        <v/>
      </c>
      <c r="T2923" s="23" t="str">
        <f t="shared" si="1002"/>
        <v/>
      </c>
      <c r="U2923" s="23" t="str">
        <f t="shared" si="1003"/>
        <v/>
      </c>
      <c r="V2923" s="23" t="str">
        <f t="shared" si="1004"/>
        <v/>
      </c>
      <c r="W2923" s="70" t="str">
        <f t="shared" si="1005"/>
        <v/>
      </c>
      <c r="X2923" s="70" t="str">
        <f t="shared" si="1006"/>
        <v/>
      </c>
      <c r="Y2923" s="70" t="str">
        <f>IF(AND($A2923&lt;&gt;"",$E2923&gt;0),isLaptopBag($C2923,$J2923)*$D2923,"")</f>
        <v/>
      </c>
      <c r="Z2923" s="70" t="str">
        <f t="shared" si="1007"/>
        <v/>
      </c>
      <c r="AA2923" s="70" t="str">
        <f t="shared" si="1008"/>
        <v/>
      </c>
      <c r="AB2923" s="70" t="str">
        <f t="shared" si="1009"/>
        <v/>
      </c>
      <c r="AC2923" s="70" t="str">
        <f t="shared" si="1010"/>
        <v/>
      </c>
      <c r="AD2923" s="70" t="str">
        <f t="shared" si="1011"/>
        <v/>
      </c>
      <c r="AE2923" s="70" t="str">
        <f t="shared" si="1012"/>
        <v/>
      </c>
      <c r="AF2923" s="16"/>
      <c r="AG2923" s="23"/>
      <c r="AH2923" s="22"/>
      <c r="AJ2923" s="83">
        <f t="shared" si="1013"/>
        <v>0</v>
      </c>
      <c r="AO2923" s="22" t="str">
        <f t="shared" si="1014"/>
        <v/>
      </c>
      <c r="AP2923" s="22" t="str">
        <f t="shared" si="1015"/>
        <v/>
      </c>
    </row>
    <row r="2924" spans="1:42" x14ac:dyDescent="0.25">
      <c r="A2924" s="10"/>
      <c r="B2924" s="10"/>
      <c r="C2924" s="10"/>
      <c r="D2924" s="10"/>
      <c r="E2924" s="10"/>
      <c r="F2924" s="10"/>
      <c r="G2924" s="10"/>
      <c r="H2924" s="17"/>
      <c r="I2924" s="10"/>
      <c r="J2924" s="10"/>
      <c r="K2924" s="16" t="str">
        <f t="shared" si="994"/>
        <v/>
      </c>
      <c r="L2924" s="23" t="str">
        <f t="shared" si="995"/>
        <v/>
      </c>
      <c r="M2924" s="22" t="str">
        <f t="shared" si="996"/>
        <v/>
      </c>
      <c r="N2924" s="72"/>
      <c r="O2924" s="16" t="str">
        <f t="shared" si="997"/>
        <v/>
      </c>
      <c r="P2924" s="16" t="str">
        <f t="shared" si="998"/>
        <v/>
      </c>
      <c r="Q2924" s="16" t="str">
        <f t="shared" si="999"/>
        <v/>
      </c>
      <c r="R2924" s="23" t="str">
        <f t="shared" si="1000"/>
        <v/>
      </c>
      <c r="S2924" s="23" t="str">
        <f t="shared" si="1001"/>
        <v/>
      </c>
      <c r="T2924" s="23" t="str">
        <f t="shared" si="1002"/>
        <v/>
      </c>
      <c r="U2924" s="23" t="str">
        <f t="shared" si="1003"/>
        <v/>
      </c>
      <c r="V2924" s="23" t="str">
        <f t="shared" si="1004"/>
        <v/>
      </c>
      <c r="W2924" s="70" t="str">
        <f t="shared" si="1005"/>
        <v/>
      </c>
      <c r="X2924" s="70" t="str">
        <f t="shared" si="1006"/>
        <v/>
      </c>
      <c r="Y2924" s="70" t="str">
        <f>IF(AND($A2924&lt;&gt;"",$E2924&gt;0),isLaptopBag($C2924,$J2924)*$D2924,"")</f>
        <v/>
      </c>
      <c r="Z2924" s="70" t="str">
        <f t="shared" si="1007"/>
        <v/>
      </c>
      <c r="AA2924" s="70" t="str">
        <f t="shared" si="1008"/>
        <v/>
      </c>
      <c r="AB2924" s="70" t="str">
        <f t="shared" si="1009"/>
        <v/>
      </c>
      <c r="AC2924" s="70" t="str">
        <f t="shared" si="1010"/>
        <v/>
      </c>
      <c r="AD2924" s="70" t="str">
        <f t="shared" si="1011"/>
        <v/>
      </c>
      <c r="AE2924" s="70" t="str">
        <f t="shared" si="1012"/>
        <v/>
      </c>
      <c r="AF2924" s="16"/>
      <c r="AG2924" s="23"/>
      <c r="AH2924" s="22"/>
      <c r="AJ2924" s="83">
        <f t="shared" si="1013"/>
        <v>0</v>
      </c>
      <c r="AO2924" s="22" t="str">
        <f t="shared" si="1014"/>
        <v/>
      </c>
      <c r="AP2924" s="22" t="str">
        <f t="shared" si="1015"/>
        <v/>
      </c>
    </row>
    <row r="2925" spans="1:42" x14ac:dyDescent="0.25">
      <c r="A2925" s="10"/>
      <c r="B2925" s="10"/>
      <c r="C2925" s="10"/>
      <c r="D2925" s="10"/>
      <c r="E2925" s="10"/>
      <c r="F2925" s="10"/>
      <c r="G2925" s="10"/>
      <c r="H2925" s="17"/>
      <c r="I2925" s="10"/>
      <c r="J2925" s="10"/>
      <c r="K2925" s="16" t="str">
        <f t="shared" si="994"/>
        <v/>
      </c>
      <c r="L2925" s="23" t="str">
        <f t="shared" si="995"/>
        <v/>
      </c>
      <c r="M2925" s="22" t="str">
        <f t="shared" si="996"/>
        <v/>
      </c>
      <c r="N2925" s="72"/>
      <c r="O2925" s="16" t="str">
        <f t="shared" si="997"/>
        <v/>
      </c>
      <c r="P2925" s="16" t="str">
        <f t="shared" si="998"/>
        <v/>
      </c>
      <c r="Q2925" s="16" t="str">
        <f t="shared" si="999"/>
        <v/>
      </c>
      <c r="R2925" s="23" t="str">
        <f t="shared" si="1000"/>
        <v/>
      </c>
      <c r="S2925" s="23" t="str">
        <f t="shared" si="1001"/>
        <v/>
      </c>
      <c r="T2925" s="23" t="str">
        <f t="shared" si="1002"/>
        <v/>
      </c>
      <c r="U2925" s="23" t="str">
        <f t="shared" si="1003"/>
        <v/>
      </c>
      <c r="V2925" s="23" t="str">
        <f t="shared" si="1004"/>
        <v/>
      </c>
      <c r="W2925" s="70" t="str">
        <f t="shared" si="1005"/>
        <v/>
      </c>
      <c r="X2925" s="70" t="str">
        <f t="shared" si="1006"/>
        <v/>
      </c>
      <c r="Y2925" s="70" t="str">
        <f>IF(AND($A2925&lt;&gt;"",$E2925&gt;0),isLaptopBag($C2925,$J2925)*$D2925,"")</f>
        <v/>
      </c>
      <c r="Z2925" s="70" t="str">
        <f t="shared" si="1007"/>
        <v/>
      </c>
      <c r="AA2925" s="70" t="str">
        <f t="shared" si="1008"/>
        <v/>
      </c>
      <c r="AB2925" s="70" t="str">
        <f t="shared" si="1009"/>
        <v/>
      </c>
      <c r="AC2925" s="70" t="str">
        <f t="shared" si="1010"/>
        <v/>
      </c>
      <c r="AD2925" s="70" t="str">
        <f t="shared" si="1011"/>
        <v/>
      </c>
      <c r="AE2925" s="70" t="str">
        <f t="shared" si="1012"/>
        <v/>
      </c>
      <c r="AF2925" s="16"/>
      <c r="AG2925" s="23"/>
      <c r="AH2925" s="22"/>
      <c r="AJ2925" s="83">
        <f t="shared" si="1013"/>
        <v>0</v>
      </c>
      <c r="AO2925" s="22" t="str">
        <f t="shared" si="1014"/>
        <v/>
      </c>
      <c r="AP2925" s="22" t="str">
        <f t="shared" si="1015"/>
        <v/>
      </c>
    </row>
    <row r="2926" spans="1:42" x14ac:dyDescent="0.25">
      <c r="A2926" s="10"/>
      <c r="B2926" s="10"/>
      <c r="C2926" s="10"/>
      <c r="D2926" s="10"/>
      <c r="E2926" s="10"/>
      <c r="F2926" s="10"/>
      <c r="G2926" s="10"/>
      <c r="H2926" s="17"/>
      <c r="I2926" s="10"/>
      <c r="J2926" s="10"/>
      <c r="K2926" s="16" t="str">
        <f t="shared" si="994"/>
        <v/>
      </c>
      <c r="L2926" s="23" t="str">
        <f t="shared" si="995"/>
        <v/>
      </c>
      <c r="M2926" s="22" t="str">
        <f t="shared" si="996"/>
        <v/>
      </c>
      <c r="N2926" s="72"/>
      <c r="O2926" s="16" t="str">
        <f t="shared" si="997"/>
        <v/>
      </c>
      <c r="P2926" s="16" t="str">
        <f t="shared" si="998"/>
        <v/>
      </c>
      <c r="Q2926" s="16" t="str">
        <f t="shared" si="999"/>
        <v/>
      </c>
      <c r="R2926" s="23" t="str">
        <f t="shared" si="1000"/>
        <v/>
      </c>
      <c r="S2926" s="23" t="str">
        <f t="shared" si="1001"/>
        <v/>
      </c>
      <c r="T2926" s="23" t="str">
        <f t="shared" si="1002"/>
        <v/>
      </c>
      <c r="U2926" s="23" t="str">
        <f t="shared" si="1003"/>
        <v/>
      </c>
      <c r="V2926" s="23" t="str">
        <f t="shared" si="1004"/>
        <v/>
      </c>
      <c r="W2926" s="70" t="str">
        <f t="shared" si="1005"/>
        <v/>
      </c>
      <c r="X2926" s="70" t="str">
        <f t="shared" si="1006"/>
        <v/>
      </c>
      <c r="Y2926" s="70" t="str">
        <f>IF(AND($A2926&lt;&gt;"",$E2926&gt;0),isLaptopBag($C2926,$J2926)*$D2926,"")</f>
        <v/>
      </c>
      <c r="Z2926" s="70" t="str">
        <f t="shared" si="1007"/>
        <v/>
      </c>
      <c r="AA2926" s="70" t="str">
        <f t="shared" si="1008"/>
        <v/>
      </c>
      <c r="AB2926" s="70" t="str">
        <f t="shared" si="1009"/>
        <v/>
      </c>
      <c r="AC2926" s="70" t="str">
        <f t="shared" si="1010"/>
        <v/>
      </c>
      <c r="AD2926" s="70" t="str">
        <f t="shared" si="1011"/>
        <v/>
      </c>
      <c r="AE2926" s="70" t="str">
        <f t="shared" si="1012"/>
        <v/>
      </c>
      <c r="AF2926" s="16"/>
      <c r="AG2926" s="23"/>
      <c r="AH2926" s="22"/>
      <c r="AJ2926" s="83">
        <f t="shared" si="1013"/>
        <v>0</v>
      </c>
      <c r="AO2926" s="22" t="str">
        <f t="shared" si="1014"/>
        <v/>
      </c>
      <c r="AP2926" s="22" t="str">
        <f t="shared" si="1015"/>
        <v/>
      </c>
    </row>
    <row r="2927" spans="1:42" x14ac:dyDescent="0.25">
      <c r="A2927" s="10"/>
      <c r="B2927" s="10"/>
      <c r="C2927" s="10"/>
      <c r="D2927" s="10"/>
      <c r="E2927" s="10"/>
      <c r="F2927" s="10"/>
      <c r="G2927" s="10"/>
      <c r="H2927" s="17"/>
      <c r="I2927" s="10"/>
      <c r="J2927" s="10"/>
      <c r="K2927" s="16" t="str">
        <f t="shared" si="994"/>
        <v/>
      </c>
      <c r="L2927" s="23" t="str">
        <f t="shared" si="995"/>
        <v/>
      </c>
      <c r="M2927" s="22" t="str">
        <f t="shared" si="996"/>
        <v/>
      </c>
      <c r="N2927" s="72"/>
      <c r="O2927" s="16" t="str">
        <f t="shared" si="997"/>
        <v/>
      </c>
      <c r="P2927" s="16" t="str">
        <f t="shared" si="998"/>
        <v/>
      </c>
      <c r="Q2927" s="16" t="str">
        <f t="shared" si="999"/>
        <v/>
      </c>
      <c r="R2927" s="23" t="str">
        <f t="shared" si="1000"/>
        <v/>
      </c>
      <c r="S2927" s="23" t="str">
        <f t="shared" si="1001"/>
        <v/>
      </c>
      <c r="T2927" s="23" t="str">
        <f t="shared" si="1002"/>
        <v/>
      </c>
      <c r="U2927" s="23" t="str">
        <f t="shared" si="1003"/>
        <v/>
      </c>
      <c r="V2927" s="23" t="str">
        <f t="shared" si="1004"/>
        <v/>
      </c>
      <c r="W2927" s="70" t="str">
        <f t="shared" si="1005"/>
        <v/>
      </c>
      <c r="X2927" s="70" t="str">
        <f t="shared" si="1006"/>
        <v/>
      </c>
      <c r="Y2927" s="70" t="str">
        <f>IF(AND($A2927&lt;&gt;"",$E2927&gt;0),isLaptopBag($C2927,$J2927)*$D2927,"")</f>
        <v/>
      </c>
      <c r="Z2927" s="70" t="str">
        <f t="shared" si="1007"/>
        <v/>
      </c>
      <c r="AA2927" s="70" t="str">
        <f t="shared" si="1008"/>
        <v/>
      </c>
      <c r="AB2927" s="70" t="str">
        <f t="shared" si="1009"/>
        <v/>
      </c>
      <c r="AC2927" s="70" t="str">
        <f t="shared" si="1010"/>
        <v/>
      </c>
      <c r="AD2927" s="70" t="str">
        <f t="shared" si="1011"/>
        <v/>
      </c>
      <c r="AE2927" s="70" t="str">
        <f t="shared" si="1012"/>
        <v/>
      </c>
      <c r="AF2927" s="16"/>
      <c r="AG2927" s="23"/>
      <c r="AH2927" s="22"/>
      <c r="AJ2927" s="83">
        <f t="shared" si="1013"/>
        <v>0</v>
      </c>
      <c r="AO2927" s="22" t="str">
        <f t="shared" si="1014"/>
        <v/>
      </c>
      <c r="AP2927" s="22" t="str">
        <f t="shared" si="1015"/>
        <v/>
      </c>
    </row>
    <row r="2928" spans="1:42" x14ac:dyDescent="0.25">
      <c r="A2928" s="10"/>
      <c r="B2928" s="10"/>
      <c r="C2928" s="10"/>
      <c r="D2928" s="10"/>
      <c r="E2928" s="10"/>
      <c r="F2928" s="10"/>
      <c r="G2928" s="10"/>
      <c r="H2928" s="17"/>
      <c r="I2928" s="10"/>
      <c r="J2928" s="10"/>
      <c r="K2928" s="16" t="str">
        <f t="shared" si="994"/>
        <v/>
      </c>
      <c r="L2928" s="23" t="str">
        <f t="shared" si="995"/>
        <v/>
      </c>
      <c r="M2928" s="22" t="str">
        <f t="shared" si="996"/>
        <v/>
      </c>
      <c r="N2928" s="72"/>
      <c r="O2928" s="16" t="str">
        <f t="shared" si="997"/>
        <v/>
      </c>
      <c r="P2928" s="16" t="str">
        <f t="shared" si="998"/>
        <v/>
      </c>
      <c r="Q2928" s="16" t="str">
        <f t="shared" si="999"/>
        <v/>
      </c>
      <c r="R2928" s="23" t="str">
        <f t="shared" si="1000"/>
        <v/>
      </c>
      <c r="S2928" s="23" t="str">
        <f t="shared" si="1001"/>
        <v/>
      </c>
      <c r="T2928" s="23" t="str">
        <f t="shared" si="1002"/>
        <v/>
      </c>
      <c r="U2928" s="23" t="str">
        <f t="shared" si="1003"/>
        <v/>
      </c>
      <c r="V2928" s="23" t="str">
        <f t="shared" si="1004"/>
        <v/>
      </c>
      <c r="W2928" s="70" t="str">
        <f t="shared" si="1005"/>
        <v/>
      </c>
      <c r="X2928" s="70" t="str">
        <f t="shared" si="1006"/>
        <v/>
      </c>
      <c r="Y2928" s="70" t="str">
        <f>IF(AND($A2928&lt;&gt;"",$E2928&gt;0),isLaptopBag($C2928,$J2928)*$D2928,"")</f>
        <v/>
      </c>
      <c r="Z2928" s="70" t="str">
        <f t="shared" si="1007"/>
        <v/>
      </c>
      <c r="AA2928" s="70" t="str">
        <f t="shared" si="1008"/>
        <v/>
      </c>
      <c r="AB2928" s="70" t="str">
        <f t="shared" si="1009"/>
        <v/>
      </c>
      <c r="AC2928" s="70" t="str">
        <f t="shared" si="1010"/>
        <v/>
      </c>
      <c r="AD2928" s="70" t="str">
        <f t="shared" si="1011"/>
        <v/>
      </c>
      <c r="AE2928" s="70" t="str">
        <f t="shared" si="1012"/>
        <v/>
      </c>
      <c r="AF2928" s="16"/>
      <c r="AG2928" s="23"/>
      <c r="AH2928" s="22"/>
      <c r="AJ2928" s="83">
        <f t="shared" si="1013"/>
        <v>0</v>
      </c>
      <c r="AO2928" s="22" t="str">
        <f t="shared" si="1014"/>
        <v/>
      </c>
      <c r="AP2928" s="22" t="str">
        <f t="shared" si="1015"/>
        <v/>
      </c>
    </row>
    <row r="2929" spans="1:42" x14ac:dyDescent="0.25">
      <c r="A2929" s="10"/>
      <c r="B2929" s="10"/>
      <c r="C2929" s="10"/>
      <c r="D2929" s="10"/>
      <c r="E2929" s="10"/>
      <c r="F2929" s="10"/>
      <c r="G2929" s="10"/>
      <c r="H2929" s="17"/>
      <c r="I2929" s="10"/>
      <c r="J2929" s="10"/>
      <c r="K2929" s="16" t="str">
        <f t="shared" si="994"/>
        <v/>
      </c>
      <c r="L2929" s="23" t="str">
        <f t="shared" si="995"/>
        <v/>
      </c>
      <c r="M2929" s="22" t="str">
        <f t="shared" si="996"/>
        <v/>
      </c>
      <c r="N2929" s="72"/>
      <c r="O2929" s="16" t="str">
        <f t="shared" si="997"/>
        <v/>
      </c>
      <c r="P2929" s="16" t="str">
        <f t="shared" si="998"/>
        <v/>
      </c>
      <c r="Q2929" s="16" t="str">
        <f t="shared" si="999"/>
        <v/>
      </c>
      <c r="R2929" s="23" t="str">
        <f t="shared" si="1000"/>
        <v/>
      </c>
      <c r="S2929" s="23" t="str">
        <f t="shared" si="1001"/>
        <v/>
      </c>
      <c r="T2929" s="23" t="str">
        <f t="shared" si="1002"/>
        <v/>
      </c>
      <c r="U2929" s="23" t="str">
        <f t="shared" si="1003"/>
        <v/>
      </c>
      <c r="V2929" s="23" t="str">
        <f t="shared" si="1004"/>
        <v/>
      </c>
      <c r="W2929" s="70" t="str">
        <f t="shared" si="1005"/>
        <v/>
      </c>
      <c r="X2929" s="70" t="str">
        <f t="shared" si="1006"/>
        <v/>
      </c>
      <c r="Y2929" s="70" t="str">
        <f>IF(AND($A2929&lt;&gt;"",$E2929&gt;0),isLaptopBag($C2929,$J2929)*$D2929,"")</f>
        <v/>
      </c>
      <c r="Z2929" s="70" t="str">
        <f t="shared" si="1007"/>
        <v/>
      </c>
      <c r="AA2929" s="70" t="str">
        <f t="shared" si="1008"/>
        <v/>
      </c>
      <c r="AB2929" s="70" t="str">
        <f t="shared" si="1009"/>
        <v/>
      </c>
      <c r="AC2929" s="70" t="str">
        <f t="shared" si="1010"/>
        <v/>
      </c>
      <c r="AD2929" s="70" t="str">
        <f t="shared" si="1011"/>
        <v/>
      </c>
      <c r="AE2929" s="70" t="str">
        <f t="shared" si="1012"/>
        <v/>
      </c>
      <c r="AF2929" s="16"/>
      <c r="AG2929" s="23"/>
      <c r="AH2929" s="22"/>
      <c r="AJ2929" s="83">
        <f t="shared" si="1013"/>
        <v>0</v>
      </c>
      <c r="AO2929" s="22" t="str">
        <f t="shared" si="1014"/>
        <v/>
      </c>
      <c r="AP2929" s="22" t="str">
        <f t="shared" si="1015"/>
        <v/>
      </c>
    </row>
    <row r="2930" spans="1:42" x14ac:dyDescent="0.25">
      <c r="A2930" s="10"/>
      <c r="B2930" s="10"/>
      <c r="C2930" s="10"/>
      <c r="D2930" s="10"/>
      <c r="E2930" s="10"/>
      <c r="F2930" s="10"/>
      <c r="G2930" s="10"/>
      <c r="H2930" s="17"/>
      <c r="I2930" s="10"/>
      <c r="J2930" s="10"/>
      <c r="K2930" s="16" t="str">
        <f t="shared" si="994"/>
        <v/>
      </c>
      <c r="L2930" s="23" t="str">
        <f t="shared" si="995"/>
        <v/>
      </c>
      <c r="M2930" s="22" t="str">
        <f t="shared" si="996"/>
        <v/>
      </c>
      <c r="N2930" s="72"/>
      <c r="O2930" s="16" t="str">
        <f t="shared" si="997"/>
        <v/>
      </c>
      <c r="P2930" s="16" t="str">
        <f t="shared" si="998"/>
        <v/>
      </c>
      <c r="Q2930" s="16" t="str">
        <f t="shared" si="999"/>
        <v/>
      </c>
      <c r="R2930" s="23" t="str">
        <f t="shared" si="1000"/>
        <v/>
      </c>
      <c r="S2930" s="23" t="str">
        <f t="shared" si="1001"/>
        <v/>
      </c>
      <c r="T2930" s="23" t="str">
        <f t="shared" si="1002"/>
        <v/>
      </c>
      <c r="U2930" s="23" t="str">
        <f t="shared" si="1003"/>
        <v/>
      </c>
      <c r="V2930" s="23" t="str">
        <f t="shared" si="1004"/>
        <v/>
      </c>
      <c r="W2930" s="70" t="str">
        <f t="shared" si="1005"/>
        <v/>
      </c>
      <c r="X2930" s="70" t="str">
        <f t="shared" si="1006"/>
        <v/>
      </c>
      <c r="Y2930" s="70" t="str">
        <f>IF(AND($A2930&lt;&gt;"",$E2930&gt;0),isLaptopBag($C2930,$J2930)*$D2930,"")</f>
        <v/>
      </c>
      <c r="Z2930" s="70" t="str">
        <f t="shared" si="1007"/>
        <v/>
      </c>
      <c r="AA2930" s="70" t="str">
        <f t="shared" si="1008"/>
        <v/>
      </c>
      <c r="AB2930" s="70" t="str">
        <f t="shared" si="1009"/>
        <v/>
      </c>
      <c r="AC2930" s="70" t="str">
        <f t="shared" si="1010"/>
        <v/>
      </c>
      <c r="AD2930" s="70" t="str">
        <f t="shared" si="1011"/>
        <v/>
      </c>
      <c r="AE2930" s="70" t="str">
        <f t="shared" si="1012"/>
        <v/>
      </c>
      <c r="AF2930" s="16"/>
      <c r="AG2930" s="23"/>
      <c r="AH2930" s="22"/>
      <c r="AJ2930" s="83">
        <f t="shared" si="1013"/>
        <v>0</v>
      </c>
      <c r="AO2930" s="22" t="str">
        <f t="shared" si="1014"/>
        <v/>
      </c>
      <c r="AP2930" s="22" t="str">
        <f t="shared" si="1015"/>
        <v/>
      </c>
    </row>
    <row r="2931" spans="1:42" x14ac:dyDescent="0.25">
      <c r="A2931" s="10"/>
      <c r="B2931" s="10"/>
      <c r="C2931" s="10"/>
      <c r="D2931" s="10"/>
      <c r="E2931" s="10"/>
      <c r="F2931" s="10"/>
      <c r="G2931" s="10"/>
      <c r="H2931" s="17"/>
      <c r="I2931" s="10"/>
      <c r="J2931" s="10"/>
      <c r="K2931" s="16" t="str">
        <f t="shared" si="994"/>
        <v/>
      </c>
      <c r="L2931" s="23" t="str">
        <f t="shared" si="995"/>
        <v/>
      </c>
      <c r="M2931" s="22" t="str">
        <f t="shared" si="996"/>
        <v/>
      </c>
      <c r="N2931" s="72"/>
      <c r="O2931" s="16" t="str">
        <f t="shared" si="997"/>
        <v/>
      </c>
      <c r="P2931" s="16" t="str">
        <f t="shared" si="998"/>
        <v/>
      </c>
      <c r="Q2931" s="16" t="str">
        <f t="shared" si="999"/>
        <v/>
      </c>
      <c r="R2931" s="23" t="str">
        <f t="shared" si="1000"/>
        <v/>
      </c>
      <c r="S2931" s="23" t="str">
        <f t="shared" si="1001"/>
        <v/>
      </c>
      <c r="T2931" s="23" t="str">
        <f t="shared" si="1002"/>
        <v/>
      </c>
      <c r="U2931" s="23" t="str">
        <f t="shared" si="1003"/>
        <v/>
      </c>
      <c r="V2931" s="23" t="str">
        <f t="shared" si="1004"/>
        <v/>
      </c>
      <c r="W2931" s="70" t="str">
        <f t="shared" si="1005"/>
        <v/>
      </c>
      <c r="X2931" s="70" t="str">
        <f t="shared" si="1006"/>
        <v/>
      </c>
      <c r="Y2931" s="70" t="str">
        <f>IF(AND($A2931&lt;&gt;"",$E2931&gt;0),isLaptopBag($C2931,$J2931)*$D2931,"")</f>
        <v/>
      </c>
      <c r="Z2931" s="70" t="str">
        <f t="shared" si="1007"/>
        <v/>
      </c>
      <c r="AA2931" s="70" t="str">
        <f t="shared" si="1008"/>
        <v/>
      </c>
      <c r="AB2931" s="70" t="str">
        <f t="shared" si="1009"/>
        <v/>
      </c>
      <c r="AC2931" s="70" t="str">
        <f t="shared" si="1010"/>
        <v/>
      </c>
      <c r="AD2931" s="70" t="str">
        <f t="shared" si="1011"/>
        <v/>
      </c>
      <c r="AE2931" s="70" t="str">
        <f t="shared" si="1012"/>
        <v/>
      </c>
      <c r="AF2931" s="16"/>
      <c r="AG2931" s="23"/>
      <c r="AH2931" s="22"/>
      <c r="AJ2931" s="83">
        <f t="shared" si="1013"/>
        <v>0</v>
      </c>
      <c r="AO2931" s="22" t="str">
        <f t="shared" si="1014"/>
        <v/>
      </c>
      <c r="AP2931" s="22" t="str">
        <f t="shared" si="1015"/>
        <v/>
      </c>
    </row>
    <row r="2932" spans="1:42" x14ac:dyDescent="0.25">
      <c r="A2932" s="10"/>
      <c r="B2932" s="10"/>
      <c r="C2932" s="10"/>
      <c r="D2932" s="10"/>
      <c r="E2932" s="10"/>
      <c r="F2932" s="10"/>
      <c r="G2932" s="10"/>
      <c r="H2932" s="17"/>
      <c r="I2932" s="10"/>
      <c r="J2932" s="10"/>
      <c r="K2932" s="16" t="str">
        <f t="shared" si="994"/>
        <v/>
      </c>
      <c r="L2932" s="23" t="str">
        <f t="shared" si="995"/>
        <v/>
      </c>
      <c r="M2932" s="22" t="str">
        <f t="shared" si="996"/>
        <v/>
      </c>
      <c r="N2932" s="72"/>
      <c r="O2932" s="16" t="str">
        <f t="shared" si="997"/>
        <v/>
      </c>
      <c r="P2932" s="16" t="str">
        <f t="shared" si="998"/>
        <v/>
      </c>
      <c r="Q2932" s="16" t="str">
        <f t="shared" si="999"/>
        <v/>
      </c>
      <c r="R2932" s="23" t="str">
        <f t="shared" si="1000"/>
        <v/>
      </c>
      <c r="S2932" s="23" t="str">
        <f t="shared" si="1001"/>
        <v/>
      </c>
      <c r="T2932" s="23" t="str">
        <f t="shared" si="1002"/>
        <v/>
      </c>
      <c r="U2932" s="23" t="str">
        <f t="shared" si="1003"/>
        <v/>
      </c>
      <c r="V2932" s="23" t="str">
        <f t="shared" si="1004"/>
        <v/>
      </c>
      <c r="W2932" s="70" t="str">
        <f t="shared" si="1005"/>
        <v/>
      </c>
      <c r="X2932" s="70" t="str">
        <f t="shared" si="1006"/>
        <v/>
      </c>
      <c r="Y2932" s="70" t="str">
        <f>IF(AND($A2932&lt;&gt;"",$E2932&gt;0),isLaptopBag($C2932,$J2932)*$D2932,"")</f>
        <v/>
      </c>
      <c r="Z2932" s="70" t="str">
        <f t="shared" si="1007"/>
        <v/>
      </c>
      <c r="AA2932" s="70" t="str">
        <f t="shared" si="1008"/>
        <v/>
      </c>
      <c r="AB2932" s="70" t="str">
        <f t="shared" si="1009"/>
        <v/>
      </c>
      <c r="AC2932" s="70" t="str">
        <f t="shared" si="1010"/>
        <v/>
      </c>
      <c r="AD2932" s="70" t="str">
        <f t="shared" si="1011"/>
        <v/>
      </c>
      <c r="AE2932" s="70" t="str">
        <f t="shared" si="1012"/>
        <v/>
      </c>
      <c r="AF2932" s="16"/>
      <c r="AG2932" s="23"/>
      <c r="AH2932" s="22"/>
      <c r="AJ2932" s="83">
        <f t="shared" si="1013"/>
        <v>0</v>
      </c>
      <c r="AO2932" s="22" t="str">
        <f t="shared" si="1014"/>
        <v/>
      </c>
      <c r="AP2932" s="22" t="str">
        <f t="shared" si="1015"/>
        <v/>
      </c>
    </row>
    <row r="2933" spans="1:42" x14ac:dyDescent="0.25">
      <c r="A2933" s="10"/>
      <c r="B2933" s="10"/>
      <c r="C2933" s="10"/>
      <c r="D2933" s="10"/>
      <c r="E2933" s="10"/>
      <c r="F2933" s="10"/>
      <c r="G2933" s="10"/>
      <c r="H2933" s="17"/>
      <c r="I2933" s="10"/>
      <c r="J2933" s="10"/>
      <c r="K2933" s="16" t="str">
        <f t="shared" si="994"/>
        <v/>
      </c>
      <c r="L2933" s="23" t="str">
        <f t="shared" si="995"/>
        <v/>
      </c>
      <c r="M2933" s="22" t="str">
        <f t="shared" si="996"/>
        <v/>
      </c>
      <c r="N2933" s="72"/>
      <c r="O2933" s="16" t="str">
        <f t="shared" si="997"/>
        <v/>
      </c>
      <c r="P2933" s="16" t="str">
        <f t="shared" si="998"/>
        <v/>
      </c>
      <c r="Q2933" s="16" t="str">
        <f t="shared" si="999"/>
        <v/>
      </c>
      <c r="R2933" s="23" t="str">
        <f t="shared" si="1000"/>
        <v/>
      </c>
      <c r="S2933" s="23" t="str">
        <f t="shared" si="1001"/>
        <v/>
      </c>
      <c r="T2933" s="23" t="str">
        <f t="shared" si="1002"/>
        <v/>
      </c>
      <c r="U2933" s="23" t="str">
        <f t="shared" si="1003"/>
        <v/>
      </c>
      <c r="V2933" s="23" t="str">
        <f t="shared" si="1004"/>
        <v/>
      </c>
      <c r="W2933" s="70" t="str">
        <f t="shared" si="1005"/>
        <v/>
      </c>
      <c r="X2933" s="70" t="str">
        <f t="shared" si="1006"/>
        <v/>
      </c>
      <c r="Y2933" s="70" t="str">
        <f>IF(AND($A2933&lt;&gt;"",$E2933&gt;0),isLaptopBag($C2933,$J2933)*$D2933,"")</f>
        <v/>
      </c>
      <c r="Z2933" s="70" t="str">
        <f t="shared" si="1007"/>
        <v/>
      </c>
      <c r="AA2933" s="70" t="str">
        <f t="shared" si="1008"/>
        <v/>
      </c>
      <c r="AB2933" s="70" t="str">
        <f t="shared" si="1009"/>
        <v/>
      </c>
      <c r="AC2933" s="70" t="str">
        <f t="shared" si="1010"/>
        <v/>
      </c>
      <c r="AD2933" s="70" t="str">
        <f t="shared" si="1011"/>
        <v/>
      </c>
      <c r="AE2933" s="70" t="str">
        <f t="shared" si="1012"/>
        <v/>
      </c>
      <c r="AF2933" s="16"/>
      <c r="AG2933" s="23"/>
      <c r="AH2933" s="22"/>
      <c r="AJ2933" s="83">
        <f t="shared" si="1013"/>
        <v>0</v>
      </c>
      <c r="AO2933" s="22" t="str">
        <f t="shared" si="1014"/>
        <v/>
      </c>
      <c r="AP2933" s="22" t="str">
        <f t="shared" si="1015"/>
        <v/>
      </c>
    </row>
    <row r="2934" spans="1:42" x14ac:dyDescent="0.25">
      <c r="A2934" s="10"/>
      <c r="B2934" s="10"/>
      <c r="C2934" s="10"/>
      <c r="D2934" s="10"/>
      <c r="E2934" s="10"/>
      <c r="F2934" s="10"/>
      <c r="G2934" s="10"/>
      <c r="H2934" s="17"/>
      <c r="I2934" s="10"/>
      <c r="J2934" s="10"/>
      <c r="K2934" s="16" t="str">
        <f t="shared" si="994"/>
        <v/>
      </c>
      <c r="L2934" s="23" t="str">
        <f t="shared" si="995"/>
        <v/>
      </c>
      <c r="M2934" s="22" t="str">
        <f t="shared" si="996"/>
        <v/>
      </c>
      <c r="N2934" s="72"/>
      <c r="O2934" s="16" t="str">
        <f t="shared" si="997"/>
        <v/>
      </c>
      <c r="P2934" s="16" t="str">
        <f t="shared" si="998"/>
        <v/>
      </c>
      <c r="Q2934" s="16" t="str">
        <f t="shared" si="999"/>
        <v/>
      </c>
      <c r="R2934" s="23" t="str">
        <f t="shared" si="1000"/>
        <v/>
      </c>
      <c r="S2934" s="23" t="str">
        <f t="shared" si="1001"/>
        <v/>
      </c>
      <c r="T2934" s="23" t="str">
        <f t="shared" si="1002"/>
        <v/>
      </c>
      <c r="U2934" s="23" t="str">
        <f t="shared" si="1003"/>
        <v/>
      </c>
      <c r="V2934" s="23" t="str">
        <f t="shared" si="1004"/>
        <v/>
      </c>
      <c r="W2934" s="70" t="str">
        <f t="shared" si="1005"/>
        <v/>
      </c>
      <c r="X2934" s="70" t="str">
        <f t="shared" si="1006"/>
        <v/>
      </c>
      <c r="Y2934" s="70" t="str">
        <f>IF(AND($A2934&lt;&gt;"",$E2934&gt;0),isLaptopBag($C2934,$J2934)*$D2934,"")</f>
        <v/>
      </c>
      <c r="Z2934" s="70" t="str">
        <f t="shared" si="1007"/>
        <v/>
      </c>
      <c r="AA2934" s="70" t="str">
        <f t="shared" si="1008"/>
        <v/>
      </c>
      <c r="AB2934" s="70" t="str">
        <f t="shared" si="1009"/>
        <v/>
      </c>
      <c r="AC2934" s="70" t="str">
        <f t="shared" si="1010"/>
        <v/>
      </c>
      <c r="AD2934" s="70" t="str">
        <f t="shared" si="1011"/>
        <v/>
      </c>
      <c r="AE2934" s="70" t="str">
        <f t="shared" si="1012"/>
        <v/>
      </c>
      <c r="AF2934" s="16"/>
      <c r="AG2934" s="23"/>
      <c r="AH2934" s="22"/>
      <c r="AJ2934" s="83">
        <f t="shared" si="1013"/>
        <v>0</v>
      </c>
      <c r="AO2934" s="22" t="str">
        <f t="shared" si="1014"/>
        <v/>
      </c>
      <c r="AP2934" s="22" t="str">
        <f t="shared" si="1015"/>
        <v/>
      </c>
    </row>
    <row r="2935" spans="1:42" x14ac:dyDescent="0.25">
      <c r="A2935" s="10"/>
      <c r="B2935" s="10"/>
      <c r="C2935" s="10"/>
      <c r="D2935" s="10"/>
      <c r="E2935" s="10"/>
      <c r="F2935" s="10"/>
      <c r="G2935" s="10"/>
      <c r="H2935" s="17"/>
      <c r="I2935" s="10"/>
      <c r="J2935" s="10"/>
      <c r="K2935" s="16" t="str">
        <f t="shared" si="994"/>
        <v/>
      </c>
      <c r="L2935" s="23" t="str">
        <f t="shared" si="995"/>
        <v/>
      </c>
      <c r="M2935" s="22" t="str">
        <f t="shared" si="996"/>
        <v/>
      </c>
      <c r="N2935" s="72"/>
      <c r="O2935" s="16" t="str">
        <f t="shared" si="997"/>
        <v/>
      </c>
      <c r="P2935" s="16" t="str">
        <f t="shared" si="998"/>
        <v/>
      </c>
      <c r="Q2935" s="16" t="str">
        <f t="shared" si="999"/>
        <v/>
      </c>
      <c r="R2935" s="23" t="str">
        <f t="shared" si="1000"/>
        <v/>
      </c>
      <c r="S2935" s="23" t="str">
        <f t="shared" si="1001"/>
        <v/>
      </c>
      <c r="T2935" s="23" t="str">
        <f t="shared" si="1002"/>
        <v/>
      </c>
      <c r="U2935" s="23" t="str">
        <f t="shared" si="1003"/>
        <v/>
      </c>
      <c r="V2935" s="23" t="str">
        <f t="shared" si="1004"/>
        <v/>
      </c>
      <c r="W2935" s="70" t="str">
        <f t="shared" si="1005"/>
        <v/>
      </c>
      <c r="X2935" s="70" t="str">
        <f t="shared" si="1006"/>
        <v/>
      </c>
      <c r="Y2935" s="70" t="str">
        <f>IF(AND($A2935&lt;&gt;"",$E2935&gt;0),isLaptopBag($C2935,$J2935)*$D2935,"")</f>
        <v/>
      </c>
      <c r="Z2935" s="70" t="str">
        <f t="shared" si="1007"/>
        <v/>
      </c>
      <c r="AA2935" s="70" t="str">
        <f t="shared" si="1008"/>
        <v/>
      </c>
      <c r="AB2935" s="70" t="str">
        <f t="shared" si="1009"/>
        <v/>
      </c>
      <c r="AC2935" s="70" t="str">
        <f t="shared" si="1010"/>
        <v/>
      </c>
      <c r="AD2935" s="70" t="str">
        <f t="shared" si="1011"/>
        <v/>
      </c>
      <c r="AE2935" s="70" t="str">
        <f t="shared" si="1012"/>
        <v/>
      </c>
      <c r="AF2935" s="16"/>
      <c r="AG2935" s="23"/>
      <c r="AH2935" s="22"/>
      <c r="AJ2935" s="83">
        <f t="shared" si="1013"/>
        <v>0</v>
      </c>
      <c r="AO2935" s="22" t="str">
        <f t="shared" si="1014"/>
        <v/>
      </c>
      <c r="AP2935" s="22" t="str">
        <f t="shared" si="1015"/>
        <v/>
      </c>
    </row>
    <row r="2936" spans="1:42" x14ac:dyDescent="0.25">
      <c r="A2936" s="10"/>
      <c r="B2936" s="10"/>
      <c r="C2936" s="10"/>
      <c r="D2936" s="10"/>
      <c r="E2936" s="10"/>
      <c r="F2936" s="10"/>
      <c r="G2936" s="10"/>
      <c r="H2936" s="17"/>
      <c r="I2936" s="10"/>
      <c r="J2936" s="10"/>
      <c r="K2936" s="16" t="str">
        <f t="shared" si="994"/>
        <v/>
      </c>
      <c r="L2936" s="23" t="str">
        <f t="shared" si="995"/>
        <v/>
      </c>
      <c r="M2936" s="22" t="str">
        <f t="shared" si="996"/>
        <v/>
      </c>
      <c r="N2936" s="72"/>
      <c r="O2936" s="16" t="str">
        <f t="shared" si="997"/>
        <v/>
      </c>
      <c r="P2936" s="16" t="str">
        <f t="shared" si="998"/>
        <v/>
      </c>
      <c r="Q2936" s="16" t="str">
        <f t="shared" si="999"/>
        <v/>
      </c>
      <c r="R2936" s="23" t="str">
        <f t="shared" si="1000"/>
        <v/>
      </c>
      <c r="S2936" s="23" t="str">
        <f t="shared" si="1001"/>
        <v/>
      </c>
      <c r="T2936" s="23" t="str">
        <f t="shared" si="1002"/>
        <v/>
      </c>
      <c r="U2936" s="23" t="str">
        <f t="shared" si="1003"/>
        <v/>
      </c>
      <c r="V2936" s="23" t="str">
        <f t="shared" si="1004"/>
        <v/>
      </c>
      <c r="W2936" s="70" t="str">
        <f t="shared" si="1005"/>
        <v/>
      </c>
      <c r="X2936" s="70" t="str">
        <f t="shared" si="1006"/>
        <v/>
      </c>
      <c r="Y2936" s="70" t="str">
        <f>IF(AND($A2936&lt;&gt;"",$E2936&gt;0),isLaptopBag($C2936,$J2936)*$D2936,"")</f>
        <v/>
      </c>
      <c r="Z2936" s="70" t="str">
        <f t="shared" si="1007"/>
        <v/>
      </c>
      <c r="AA2936" s="70" t="str">
        <f t="shared" si="1008"/>
        <v/>
      </c>
      <c r="AB2936" s="70" t="str">
        <f t="shared" si="1009"/>
        <v/>
      </c>
      <c r="AC2936" s="70" t="str">
        <f t="shared" si="1010"/>
        <v/>
      </c>
      <c r="AD2936" s="70" t="str">
        <f t="shared" si="1011"/>
        <v/>
      </c>
      <c r="AE2936" s="70" t="str">
        <f t="shared" si="1012"/>
        <v/>
      </c>
      <c r="AF2936" s="16"/>
      <c r="AG2936" s="23"/>
      <c r="AH2936" s="22"/>
      <c r="AJ2936" s="83">
        <f t="shared" si="1013"/>
        <v>0</v>
      </c>
      <c r="AO2936" s="22" t="str">
        <f t="shared" si="1014"/>
        <v/>
      </c>
      <c r="AP2936" s="22" t="str">
        <f t="shared" si="1015"/>
        <v/>
      </c>
    </row>
    <row r="2937" spans="1:42" x14ac:dyDescent="0.25">
      <c r="A2937" s="10"/>
      <c r="B2937" s="10"/>
      <c r="C2937" s="10"/>
      <c r="D2937" s="10"/>
      <c r="E2937" s="10"/>
      <c r="F2937" s="10"/>
      <c r="G2937" s="10"/>
      <c r="H2937" s="17"/>
      <c r="I2937" s="10"/>
      <c r="J2937" s="10"/>
      <c r="K2937" s="16" t="str">
        <f t="shared" si="994"/>
        <v/>
      </c>
      <c r="L2937" s="23" t="str">
        <f t="shared" si="995"/>
        <v/>
      </c>
      <c r="M2937" s="22" t="str">
        <f t="shared" si="996"/>
        <v/>
      </c>
      <c r="N2937" s="72"/>
      <c r="O2937" s="16" t="str">
        <f t="shared" si="997"/>
        <v/>
      </c>
      <c r="P2937" s="16" t="str">
        <f t="shared" si="998"/>
        <v/>
      </c>
      <c r="Q2937" s="16" t="str">
        <f t="shared" si="999"/>
        <v/>
      </c>
      <c r="R2937" s="23" t="str">
        <f t="shared" si="1000"/>
        <v/>
      </c>
      <c r="S2937" s="23" t="str">
        <f t="shared" si="1001"/>
        <v/>
      </c>
      <c r="T2937" s="23" t="str">
        <f t="shared" si="1002"/>
        <v/>
      </c>
      <c r="U2937" s="23" t="str">
        <f t="shared" si="1003"/>
        <v/>
      </c>
      <c r="V2937" s="23" t="str">
        <f t="shared" si="1004"/>
        <v/>
      </c>
      <c r="W2937" s="70" t="str">
        <f t="shared" si="1005"/>
        <v/>
      </c>
      <c r="X2937" s="70" t="str">
        <f t="shared" si="1006"/>
        <v/>
      </c>
      <c r="Y2937" s="70" t="str">
        <f>IF(AND($A2937&lt;&gt;"",$E2937&gt;0),isLaptopBag($C2937,$J2937)*$D2937,"")</f>
        <v/>
      </c>
      <c r="Z2937" s="70" t="str">
        <f t="shared" si="1007"/>
        <v/>
      </c>
      <c r="AA2937" s="70" t="str">
        <f t="shared" si="1008"/>
        <v/>
      </c>
      <c r="AB2937" s="70" t="str">
        <f t="shared" si="1009"/>
        <v/>
      </c>
      <c r="AC2937" s="70" t="str">
        <f t="shared" si="1010"/>
        <v/>
      </c>
      <c r="AD2937" s="70" t="str">
        <f t="shared" si="1011"/>
        <v/>
      </c>
      <c r="AE2937" s="70" t="str">
        <f t="shared" si="1012"/>
        <v/>
      </c>
      <c r="AF2937" s="16"/>
      <c r="AG2937" s="23"/>
      <c r="AH2937" s="22"/>
      <c r="AJ2937" s="83">
        <f t="shared" si="1013"/>
        <v>0</v>
      </c>
      <c r="AO2937" s="22" t="str">
        <f t="shared" si="1014"/>
        <v/>
      </c>
      <c r="AP2937" s="22" t="str">
        <f t="shared" si="1015"/>
        <v/>
      </c>
    </row>
    <row r="2938" spans="1:42" x14ac:dyDescent="0.25">
      <c r="A2938" s="10"/>
      <c r="B2938" s="10"/>
      <c r="C2938" s="10"/>
      <c r="D2938" s="10"/>
      <c r="E2938" s="10"/>
      <c r="F2938" s="10"/>
      <c r="G2938" s="10"/>
      <c r="H2938" s="17"/>
      <c r="I2938" s="10"/>
      <c r="J2938" s="10"/>
      <c r="K2938" s="16" t="str">
        <f t="shared" si="994"/>
        <v/>
      </c>
      <c r="L2938" s="23" t="str">
        <f t="shared" si="995"/>
        <v/>
      </c>
      <c r="M2938" s="22" t="str">
        <f t="shared" si="996"/>
        <v/>
      </c>
      <c r="N2938" s="72"/>
      <c r="O2938" s="16" t="str">
        <f t="shared" si="997"/>
        <v/>
      </c>
      <c r="P2938" s="16" t="str">
        <f t="shared" si="998"/>
        <v/>
      </c>
      <c r="Q2938" s="16" t="str">
        <f t="shared" si="999"/>
        <v/>
      </c>
      <c r="R2938" s="23" t="str">
        <f t="shared" si="1000"/>
        <v/>
      </c>
      <c r="S2938" s="23" t="str">
        <f t="shared" si="1001"/>
        <v/>
      </c>
      <c r="T2938" s="23" t="str">
        <f t="shared" si="1002"/>
        <v/>
      </c>
      <c r="U2938" s="23" t="str">
        <f t="shared" si="1003"/>
        <v/>
      </c>
      <c r="V2938" s="23" t="str">
        <f t="shared" si="1004"/>
        <v/>
      </c>
      <c r="W2938" s="70" t="str">
        <f t="shared" si="1005"/>
        <v/>
      </c>
      <c r="X2938" s="70" t="str">
        <f t="shared" si="1006"/>
        <v/>
      </c>
      <c r="Y2938" s="70" t="str">
        <f>IF(AND($A2938&lt;&gt;"",$E2938&gt;0),isLaptopBag($C2938,$J2938)*$D2938,"")</f>
        <v/>
      </c>
      <c r="Z2938" s="70" t="str">
        <f t="shared" si="1007"/>
        <v/>
      </c>
      <c r="AA2938" s="70" t="str">
        <f t="shared" si="1008"/>
        <v/>
      </c>
      <c r="AB2938" s="70" t="str">
        <f t="shared" si="1009"/>
        <v/>
      </c>
      <c r="AC2938" s="70" t="str">
        <f t="shared" si="1010"/>
        <v/>
      </c>
      <c r="AD2938" s="70" t="str">
        <f t="shared" si="1011"/>
        <v/>
      </c>
      <c r="AE2938" s="70" t="str">
        <f t="shared" si="1012"/>
        <v/>
      </c>
      <c r="AF2938" s="16"/>
      <c r="AG2938" s="23"/>
      <c r="AH2938" s="22"/>
      <c r="AJ2938" s="83">
        <f t="shared" si="1013"/>
        <v>0</v>
      </c>
      <c r="AO2938" s="22" t="str">
        <f t="shared" si="1014"/>
        <v/>
      </c>
      <c r="AP2938" s="22" t="str">
        <f t="shared" si="1015"/>
        <v/>
      </c>
    </row>
    <row r="2939" spans="1:42" x14ac:dyDescent="0.25">
      <c r="A2939" s="10"/>
      <c r="B2939" s="10"/>
      <c r="C2939" s="10"/>
      <c r="D2939" s="10"/>
      <c r="E2939" s="10"/>
      <c r="F2939" s="10"/>
      <c r="G2939" s="10"/>
      <c r="H2939" s="17"/>
      <c r="I2939" s="10"/>
      <c r="J2939" s="10"/>
      <c r="K2939" s="16" t="str">
        <f t="shared" si="994"/>
        <v/>
      </c>
      <c r="L2939" s="23" t="str">
        <f t="shared" si="995"/>
        <v/>
      </c>
      <c r="M2939" s="22" t="str">
        <f t="shared" si="996"/>
        <v/>
      </c>
      <c r="N2939" s="72"/>
      <c r="O2939" s="16" t="str">
        <f t="shared" si="997"/>
        <v/>
      </c>
      <c r="P2939" s="16" t="str">
        <f t="shared" si="998"/>
        <v/>
      </c>
      <c r="Q2939" s="16" t="str">
        <f t="shared" si="999"/>
        <v/>
      </c>
      <c r="R2939" s="23" t="str">
        <f t="shared" si="1000"/>
        <v/>
      </c>
      <c r="S2939" s="23" t="str">
        <f t="shared" si="1001"/>
        <v/>
      </c>
      <c r="T2939" s="23" t="str">
        <f t="shared" si="1002"/>
        <v/>
      </c>
      <c r="U2939" s="23" t="str">
        <f t="shared" si="1003"/>
        <v/>
      </c>
      <c r="V2939" s="23" t="str">
        <f t="shared" si="1004"/>
        <v/>
      </c>
      <c r="W2939" s="70" t="str">
        <f t="shared" si="1005"/>
        <v/>
      </c>
      <c r="X2939" s="70" t="str">
        <f t="shared" si="1006"/>
        <v/>
      </c>
      <c r="Y2939" s="70" t="str">
        <f>IF(AND($A2939&lt;&gt;"",$E2939&gt;0),isLaptopBag($C2939,$J2939)*$D2939,"")</f>
        <v/>
      </c>
      <c r="Z2939" s="70" t="str">
        <f t="shared" si="1007"/>
        <v/>
      </c>
      <c r="AA2939" s="70" t="str">
        <f t="shared" si="1008"/>
        <v/>
      </c>
      <c r="AB2939" s="70" t="str">
        <f t="shared" si="1009"/>
        <v/>
      </c>
      <c r="AC2939" s="70" t="str">
        <f t="shared" si="1010"/>
        <v/>
      </c>
      <c r="AD2939" s="70" t="str">
        <f t="shared" si="1011"/>
        <v/>
      </c>
      <c r="AE2939" s="70" t="str">
        <f t="shared" si="1012"/>
        <v/>
      </c>
      <c r="AF2939" s="16"/>
      <c r="AG2939" s="23"/>
      <c r="AH2939" s="22"/>
      <c r="AJ2939" s="83">
        <f t="shared" si="1013"/>
        <v>0</v>
      </c>
      <c r="AO2939" s="22" t="str">
        <f t="shared" si="1014"/>
        <v/>
      </c>
      <c r="AP2939" s="22" t="str">
        <f t="shared" si="1015"/>
        <v/>
      </c>
    </row>
    <row r="2940" spans="1:42" x14ac:dyDescent="0.25">
      <c r="A2940" s="10"/>
      <c r="B2940" s="10"/>
      <c r="C2940" s="10"/>
      <c r="D2940" s="10"/>
      <c r="E2940" s="10"/>
      <c r="F2940" s="10"/>
      <c r="G2940" s="10"/>
      <c r="H2940" s="17"/>
      <c r="I2940" s="10"/>
      <c r="J2940" s="10"/>
      <c r="K2940" s="16" t="str">
        <f t="shared" si="994"/>
        <v/>
      </c>
      <c r="L2940" s="23" t="str">
        <f t="shared" si="995"/>
        <v/>
      </c>
      <c r="M2940" s="22" t="str">
        <f t="shared" si="996"/>
        <v/>
      </c>
      <c r="N2940" s="72"/>
      <c r="O2940" s="16" t="str">
        <f t="shared" si="997"/>
        <v/>
      </c>
      <c r="P2940" s="16" t="str">
        <f t="shared" si="998"/>
        <v/>
      </c>
      <c r="Q2940" s="16" t="str">
        <f t="shared" si="999"/>
        <v/>
      </c>
      <c r="R2940" s="23" t="str">
        <f t="shared" si="1000"/>
        <v/>
      </c>
      <c r="S2940" s="23" t="str">
        <f t="shared" si="1001"/>
        <v/>
      </c>
      <c r="T2940" s="23" t="str">
        <f t="shared" si="1002"/>
        <v/>
      </c>
      <c r="U2940" s="23" t="str">
        <f t="shared" si="1003"/>
        <v/>
      </c>
      <c r="V2940" s="23" t="str">
        <f t="shared" si="1004"/>
        <v/>
      </c>
      <c r="W2940" s="70" t="str">
        <f t="shared" si="1005"/>
        <v/>
      </c>
      <c r="X2940" s="70" t="str">
        <f t="shared" si="1006"/>
        <v/>
      </c>
      <c r="Y2940" s="70" t="str">
        <f>IF(AND($A2940&lt;&gt;"",$E2940&gt;0),isLaptopBag($C2940,$J2940)*$D2940,"")</f>
        <v/>
      </c>
      <c r="Z2940" s="70" t="str">
        <f t="shared" si="1007"/>
        <v/>
      </c>
      <c r="AA2940" s="70" t="str">
        <f t="shared" si="1008"/>
        <v/>
      </c>
      <c r="AB2940" s="70" t="str">
        <f t="shared" si="1009"/>
        <v/>
      </c>
      <c r="AC2940" s="70" t="str">
        <f t="shared" si="1010"/>
        <v/>
      </c>
      <c r="AD2940" s="70" t="str">
        <f t="shared" si="1011"/>
        <v/>
      </c>
      <c r="AE2940" s="70" t="str">
        <f t="shared" si="1012"/>
        <v/>
      </c>
      <c r="AF2940" s="16"/>
      <c r="AG2940" s="23"/>
      <c r="AH2940" s="22"/>
      <c r="AJ2940" s="83">
        <f t="shared" si="1013"/>
        <v>0</v>
      </c>
      <c r="AO2940" s="22" t="str">
        <f t="shared" si="1014"/>
        <v/>
      </c>
      <c r="AP2940" s="22" t="str">
        <f t="shared" si="1015"/>
        <v/>
      </c>
    </row>
    <row r="2941" spans="1:42" x14ac:dyDescent="0.25">
      <c r="A2941" s="10"/>
      <c r="B2941" s="10"/>
      <c r="C2941" s="10"/>
      <c r="D2941" s="10"/>
      <c r="E2941" s="10"/>
      <c r="F2941" s="10"/>
      <c r="G2941" s="10"/>
      <c r="H2941" s="17"/>
      <c r="I2941" s="10"/>
      <c r="J2941" s="10"/>
      <c r="K2941" s="16" t="str">
        <f t="shared" si="994"/>
        <v/>
      </c>
      <c r="L2941" s="23" t="str">
        <f t="shared" si="995"/>
        <v/>
      </c>
      <c r="M2941" s="22" t="str">
        <f t="shared" si="996"/>
        <v/>
      </c>
      <c r="N2941" s="72"/>
      <c r="O2941" s="16" t="str">
        <f t="shared" si="997"/>
        <v/>
      </c>
      <c r="P2941" s="16" t="str">
        <f t="shared" si="998"/>
        <v/>
      </c>
      <c r="Q2941" s="16" t="str">
        <f t="shared" si="999"/>
        <v/>
      </c>
      <c r="R2941" s="23" t="str">
        <f t="shared" si="1000"/>
        <v/>
      </c>
      <c r="S2941" s="23" t="str">
        <f t="shared" si="1001"/>
        <v/>
      </c>
      <c r="T2941" s="23" t="str">
        <f t="shared" si="1002"/>
        <v/>
      </c>
      <c r="U2941" s="23" t="str">
        <f t="shared" si="1003"/>
        <v/>
      </c>
      <c r="V2941" s="23" t="str">
        <f t="shared" si="1004"/>
        <v/>
      </c>
      <c r="W2941" s="70" t="str">
        <f t="shared" si="1005"/>
        <v/>
      </c>
      <c r="X2941" s="70" t="str">
        <f t="shared" si="1006"/>
        <v/>
      </c>
      <c r="Y2941" s="70" t="str">
        <f>IF(AND($A2941&lt;&gt;"",$E2941&gt;0),isLaptopBag($C2941,$J2941)*$D2941,"")</f>
        <v/>
      </c>
      <c r="Z2941" s="70" t="str">
        <f t="shared" si="1007"/>
        <v/>
      </c>
      <c r="AA2941" s="70" t="str">
        <f t="shared" si="1008"/>
        <v/>
      </c>
      <c r="AB2941" s="70" t="str">
        <f t="shared" si="1009"/>
        <v/>
      </c>
      <c r="AC2941" s="70" t="str">
        <f t="shared" si="1010"/>
        <v/>
      </c>
      <c r="AD2941" s="70" t="str">
        <f t="shared" si="1011"/>
        <v/>
      </c>
      <c r="AE2941" s="70" t="str">
        <f t="shared" si="1012"/>
        <v/>
      </c>
      <c r="AF2941" s="16"/>
      <c r="AG2941" s="23"/>
      <c r="AH2941" s="22"/>
      <c r="AJ2941" s="83">
        <f t="shared" si="1013"/>
        <v>0</v>
      </c>
      <c r="AO2941" s="22" t="str">
        <f t="shared" si="1014"/>
        <v/>
      </c>
      <c r="AP2941" s="22" t="str">
        <f t="shared" si="1015"/>
        <v/>
      </c>
    </row>
    <row r="2942" spans="1:42" x14ac:dyDescent="0.25">
      <c r="A2942" s="10"/>
      <c r="B2942" s="10"/>
      <c r="C2942" s="10"/>
      <c r="D2942" s="10"/>
      <c r="E2942" s="10"/>
      <c r="F2942" s="10"/>
      <c r="G2942" s="10"/>
      <c r="H2942" s="17"/>
      <c r="I2942" s="10"/>
      <c r="J2942" s="10"/>
      <c r="K2942" s="16" t="str">
        <f t="shared" si="994"/>
        <v/>
      </c>
      <c r="L2942" s="23" t="str">
        <f t="shared" si="995"/>
        <v/>
      </c>
      <c r="M2942" s="22" t="str">
        <f t="shared" si="996"/>
        <v/>
      </c>
      <c r="N2942" s="72"/>
      <c r="O2942" s="16" t="str">
        <f t="shared" si="997"/>
        <v/>
      </c>
      <c r="P2942" s="16" t="str">
        <f t="shared" si="998"/>
        <v/>
      </c>
      <c r="Q2942" s="16" t="str">
        <f t="shared" si="999"/>
        <v/>
      </c>
      <c r="R2942" s="23" t="str">
        <f t="shared" si="1000"/>
        <v/>
      </c>
      <c r="S2942" s="23" t="str">
        <f t="shared" si="1001"/>
        <v/>
      </c>
      <c r="T2942" s="23" t="str">
        <f t="shared" si="1002"/>
        <v/>
      </c>
      <c r="U2942" s="23" t="str">
        <f t="shared" si="1003"/>
        <v/>
      </c>
      <c r="V2942" s="23" t="str">
        <f t="shared" si="1004"/>
        <v/>
      </c>
      <c r="W2942" s="70" t="str">
        <f t="shared" si="1005"/>
        <v/>
      </c>
      <c r="X2942" s="70" t="str">
        <f t="shared" si="1006"/>
        <v/>
      </c>
      <c r="Y2942" s="70" t="str">
        <f>IF(AND($A2942&lt;&gt;"",$E2942&gt;0),isLaptopBag($C2942,$J2942)*$D2942,"")</f>
        <v/>
      </c>
      <c r="Z2942" s="70" t="str">
        <f t="shared" si="1007"/>
        <v/>
      </c>
      <c r="AA2942" s="70" t="str">
        <f t="shared" si="1008"/>
        <v/>
      </c>
      <c r="AB2942" s="70" t="str">
        <f t="shared" si="1009"/>
        <v/>
      </c>
      <c r="AC2942" s="70" t="str">
        <f t="shared" si="1010"/>
        <v/>
      </c>
      <c r="AD2942" s="70" t="str">
        <f t="shared" si="1011"/>
        <v/>
      </c>
      <c r="AE2942" s="70" t="str">
        <f t="shared" si="1012"/>
        <v/>
      </c>
      <c r="AF2942" s="16"/>
      <c r="AG2942" s="23"/>
      <c r="AH2942" s="22"/>
      <c r="AJ2942" s="83">
        <f t="shared" si="1013"/>
        <v>0</v>
      </c>
      <c r="AO2942" s="22" t="str">
        <f t="shared" si="1014"/>
        <v/>
      </c>
      <c r="AP2942" s="22" t="str">
        <f t="shared" si="1015"/>
        <v/>
      </c>
    </row>
    <row r="2943" spans="1:42" x14ac:dyDescent="0.25">
      <c r="A2943" s="10"/>
      <c r="B2943" s="10"/>
      <c r="C2943" s="10"/>
      <c r="D2943" s="10"/>
      <c r="E2943" s="10"/>
      <c r="F2943" s="10"/>
      <c r="G2943" s="10"/>
      <c r="H2943" s="17"/>
      <c r="I2943" s="10"/>
      <c r="J2943" s="10"/>
      <c r="K2943" s="16" t="str">
        <f t="shared" si="994"/>
        <v/>
      </c>
      <c r="L2943" s="23" t="str">
        <f t="shared" si="995"/>
        <v/>
      </c>
      <c r="M2943" s="22" t="str">
        <f t="shared" si="996"/>
        <v/>
      </c>
      <c r="N2943" s="72"/>
      <c r="O2943" s="16" t="str">
        <f t="shared" si="997"/>
        <v/>
      </c>
      <c r="P2943" s="16" t="str">
        <f t="shared" si="998"/>
        <v/>
      </c>
      <c r="Q2943" s="16" t="str">
        <f t="shared" si="999"/>
        <v/>
      </c>
      <c r="R2943" s="23" t="str">
        <f t="shared" si="1000"/>
        <v/>
      </c>
      <c r="S2943" s="23" t="str">
        <f t="shared" si="1001"/>
        <v/>
      </c>
      <c r="T2943" s="23" t="str">
        <f t="shared" si="1002"/>
        <v/>
      </c>
      <c r="U2943" s="23" t="str">
        <f t="shared" si="1003"/>
        <v/>
      </c>
      <c r="V2943" s="23" t="str">
        <f t="shared" si="1004"/>
        <v/>
      </c>
      <c r="W2943" s="70" t="str">
        <f t="shared" si="1005"/>
        <v/>
      </c>
      <c r="X2943" s="70" t="str">
        <f t="shared" si="1006"/>
        <v/>
      </c>
      <c r="Y2943" s="70" t="str">
        <f>IF(AND($A2943&lt;&gt;"",$E2943&gt;0),isLaptopBag($C2943,$J2943)*$D2943,"")</f>
        <v/>
      </c>
      <c r="Z2943" s="70" t="str">
        <f t="shared" si="1007"/>
        <v/>
      </c>
      <c r="AA2943" s="70" t="str">
        <f t="shared" si="1008"/>
        <v/>
      </c>
      <c r="AB2943" s="70" t="str">
        <f t="shared" si="1009"/>
        <v/>
      </c>
      <c r="AC2943" s="70" t="str">
        <f t="shared" si="1010"/>
        <v/>
      </c>
      <c r="AD2943" s="70" t="str">
        <f t="shared" si="1011"/>
        <v/>
      </c>
      <c r="AE2943" s="70" t="str">
        <f t="shared" si="1012"/>
        <v/>
      </c>
      <c r="AF2943" s="16"/>
      <c r="AG2943" s="23"/>
      <c r="AH2943" s="22"/>
      <c r="AJ2943" s="83">
        <f t="shared" si="1013"/>
        <v>0</v>
      </c>
      <c r="AO2943" s="22" t="str">
        <f t="shared" si="1014"/>
        <v/>
      </c>
      <c r="AP2943" s="22" t="str">
        <f t="shared" si="1015"/>
        <v/>
      </c>
    </row>
    <row r="2944" spans="1:42" x14ac:dyDescent="0.25">
      <c r="A2944" s="10"/>
      <c r="B2944" s="10"/>
      <c r="C2944" s="10"/>
      <c r="D2944" s="10"/>
      <c r="E2944" s="10"/>
      <c r="F2944" s="10"/>
      <c r="G2944" s="10"/>
      <c r="H2944" s="17"/>
      <c r="I2944" s="10"/>
      <c r="J2944" s="10"/>
      <c r="K2944" s="16" t="str">
        <f t="shared" si="994"/>
        <v/>
      </c>
      <c r="L2944" s="23" t="str">
        <f t="shared" si="995"/>
        <v/>
      </c>
      <c r="M2944" s="22" t="str">
        <f t="shared" si="996"/>
        <v/>
      </c>
      <c r="N2944" s="72"/>
      <c r="O2944" s="16" t="str">
        <f t="shared" si="997"/>
        <v/>
      </c>
      <c r="P2944" s="16" t="str">
        <f t="shared" si="998"/>
        <v/>
      </c>
      <c r="Q2944" s="16" t="str">
        <f t="shared" si="999"/>
        <v/>
      </c>
      <c r="R2944" s="23" t="str">
        <f t="shared" si="1000"/>
        <v/>
      </c>
      <c r="S2944" s="23" t="str">
        <f t="shared" si="1001"/>
        <v/>
      </c>
      <c r="T2944" s="23" t="str">
        <f t="shared" si="1002"/>
        <v/>
      </c>
      <c r="U2944" s="23" t="str">
        <f t="shared" si="1003"/>
        <v/>
      </c>
      <c r="V2944" s="23" t="str">
        <f t="shared" si="1004"/>
        <v/>
      </c>
      <c r="W2944" s="70" t="str">
        <f t="shared" si="1005"/>
        <v/>
      </c>
      <c r="X2944" s="70" t="str">
        <f t="shared" si="1006"/>
        <v/>
      </c>
      <c r="Y2944" s="70" t="str">
        <f>IF(AND($A2944&lt;&gt;"",$E2944&gt;0),isLaptopBag($C2944,$J2944)*$D2944,"")</f>
        <v/>
      </c>
      <c r="Z2944" s="70" t="str">
        <f t="shared" si="1007"/>
        <v/>
      </c>
      <c r="AA2944" s="70" t="str">
        <f t="shared" si="1008"/>
        <v/>
      </c>
      <c r="AB2944" s="70" t="str">
        <f t="shared" si="1009"/>
        <v/>
      </c>
      <c r="AC2944" s="70" t="str">
        <f t="shared" si="1010"/>
        <v/>
      </c>
      <c r="AD2944" s="70" t="str">
        <f t="shared" si="1011"/>
        <v/>
      </c>
      <c r="AE2944" s="70" t="str">
        <f t="shared" si="1012"/>
        <v/>
      </c>
      <c r="AF2944" s="16"/>
      <c r="AG2944" s="23"/>
      <c r="AH2944" s="22"/>
      <c r="AJ2944" s="83">
        <f t="shared" si="1013"/>
        <v>0</v>
      </c>
      <c r="AO2944" s="22" t="str">
        <f t="shared" si="1014"/>
        <v/>
      </c>
      <c r="AP2944" s="22" t="str">
        <f t="shared" si="1015"/>
        <v/>
      </c>
    </row>
    <row r="2945" spans="1:42" x14ac:dyDescent="0.25">
      <c r="A2945" s="10"/>
      <c r="B2945" s="10"/>
      <c r="C2945" s="10"/>
      <c r="D2945" s="10"/>
      <c r="E2945" s="10"/>
      <c r="F2945" s="10"/>
      <c r="G2945" s="10"/>
      <c r="H2945" s="17"/>
      <c r="I2945" s="10"/>
      <c r="J2945" s="10"/>
      <c r="K2945" s="16" t="str">
        <f t="shared" si="994"/>
        <v/>
      </c>
      <c r="L2945" s="23" t="str">
        <f t="shared" si="995"/>
        <v/>
      </c>
      <c r="M2945" s="22" t="str">
        <f t="shared" si="996"/>
        <v/>
      </c>
      <c r="N2945" s="72"/>
      <c r="O2945" s="16" t="str">
        <f t="shared" si="997"/>
        <v/>
      </c>
      <c r="P2945" s="16" t="str">
        <f t="shared" si="998"/>
        <v/>
      </c>
      <c r="Q2945" s="16" t="str">
        <f t="shared" si="999"/>
        <v/>
      </c>
      <c r="R2945" s="23" t="str">
        <f t="shared" si="1000"/>
        <v/>
      </c>
      <c r="S2945" s="23" t="str">
        <f t="shared" si="1001"/>
        <v/>
      </c>
      <c r="T2945" s="23" t="str">
        <f t="shared" si="1002"/>
        <v/>
      </c>
      <c r="U2945" s="23" t="str">
        <f t="shared" si="1003"/>
        <v/>
      </c>
      <c r="V2945" s="23" t="str">
        <f t="shared" si="1004"/>
        <v/>
      </c>
      <c r="W2945" s="70" t="str">
        <f t="shared" si="1005"/>
        <v/>
      </c>
      <c r="X2945" s="70" t="str">
        <f t="shared" si="1006"/>
        <v/>
      </c>
      <c r="Y2945" s="70" t="str">
        <f>IF(AND($A2945&lt;&gt;"",$E2945&gt;0),isLaptopBag($C2945,$J2945)*$D2945,"")</f>
        <v/>
      </c>
      <c r="Z2945" s="70" t="str">
        <f t="shared" si="1007"/>
        <v/>
      </c>
      <c r="AA2945" s="70" t="str">
        <f t="shared" si="1008"/>
        <v/>
      </c>
      <c r="AB2945" s="70" t="str">
        <f t="shared" si="1009"/>
        <v/>
      </c>
      <c r="AC2945" s="70" t="str">
        <f t="shared" si="1010"/>
        <v/>
      </c>
      <c r="AD2945" s="70" t="str">
        <f t="shared" si="1011"/>
        <v/>
      </c>
      <c r="AE2945" s="70" t="str">
        <f t="shared" si="1012"/>
        <v/>
      </c>
      <c r="AF2945" s="16"/>
      <c r="AG2945" s="23"/>
      <c r="AH2945" s="22"/>
      <c r="AJ2945" s="83">
        <f t="shared" si="1013"/>
        <v>0</v>
      </c>
      <c r="AO2945" s="22" t="str">
        <f t="shared" si="1014"/>
        <v/>
      </c>
      <c r="AP2945" s="22" t="str">
        <f t="shared" si="1015"/>
        <v/>
      </c>
    </row>
    <row r="2946" spans="1:42" x14ac:dyDescent="0.25">
      <c r="A2946" s="10"/>
      <c r="B2946" s="10"/>
      <c r="C2946" s="10"/>
      <c r="D2946" s="10"/>
      <c r="E2946" s="10"/>
      <c r="F2946" s="10"/>
      <c r="G2946" s="10"/>
      <c r="H2946" s="17"/>
      <c r="I2946" s="10"/>
      <c r="J2946" s="10"/>
      <c r="K2946" s="16" t="str">
        <f t="shared" si="994"/>
        <v/>
      </c>
      <c r="L2946" s="23" t="str">
        <f t="shared" si="995"/>
        <v/>
      </c>
      <c r="M2946" s="22" t="str">
        <f t="shared" si="996"/>
        <v/>
      </c>
      <c r="N2946" s="72"/>
      <c r="O2946" s="16" t="str">
        <f t="shared" si="997"/>
        <v/>
      </c>
      <c r="P2946" s="16" t="str">
        <f t="shared" si="998"/>
        <v/>
      </c>
      <c r="Q2946" s="16" t="str">
        <f t="shared" si="999"/>
        <v/>
      </c>
      <c r="R2946" s="23" t="str">
        <f t="shared" si="1000"/>
        <v/>
      </c>
      <c r="S2946" s="23" t="str">
        <f t="shared" si="1001"/>
        <v/>
      </c>
      <c r="T2946" s="23" t="str">
        <f t="shared" si="1002"/>
        <v/>
      </c>
      <c r="U2946" s="23" t="str">
        <f t="shared" si="1003"/>
        <v/>
      </c>
      <c r="V2946" s="23" t="str">
        <f t="shared" si="1004"/>
        <v/>
      </c>
      <c r="W2946" s="70" t="str">
        <f t="shared" si="1005"/>
        <v/>
      </c>
      <c r="X2946" s="70" t="str">
        <f t="shared" si="1006"/>
        <v/>
      </c>
      <c r="Y2946" s="70" t="str">
        <f>IF(AND($A2946&lt;&gt;"",$E2946&gt;0),isLaptopBag($C2946,$J2946)*$D2946,"")</f>
        <v/>
      </c>
      <c r="Z2946" s="70" t="str">
        <f t="shared" si="1007"/>
        <v/>
      </c>
      <c r="AA2946" s="70" t="str">
        <f t="shared" si="1008"/>
        <v/>
      </c>
      <c r="AB2946" s="70" t="str">
        <f t="shared" si="1009"/>
        <v/>
      </c>
      <c r="AC2946" s="70" t="str">
        <f t="shared" si="1010"/>
        <v/>
      </c>
      <c r="AD2946" s="70" t="str">
        <f t="shared" si="1011"/>
        <v/>
      </c>
      <c r="AE2946" s="70" t="str">
        <f t="shared" si="1012"/>
        <v/>
      </c>
      <c r="AF2946" s="16"/>
      <c r="AG2946" s="23"/>
      <c r="AH2946" s="22"/>
      <c r="AJ2946" s="83">
        <f t="shared" si="1013"/>
        <v>0</v>
      </c>
      <c r="AO2946" s="22" t="str">
        <f t="shared" si="1014"/>
        <v/>
      </c>
      <c r="AP2946" s="22" t="str">
        <f t="shared" si="1015"/>
        <v/>
      </c>
    </row>
    <row r="2947" spans="1:42" x14ac:dyDescent="0.25">
      <c r="A2947" s="10"/>
      <c r="B2947" s="10"/>
      <c r="C2947" s="10"/>
      <c r="D2947" s="10"/>
      <c r="E2947" s="10"/>
      <c r="F2947" s="10"/>
      <c r="G2947" s="10"/>
      <c r="H2947" s="17"/>
      <c r="I2947" s="10"/>
      <c r="J2947" s="10"/>
      <c r="K2947" s="16" t="str">
        <f t="shared" si="994"/>
        <v/>
      </c>
      <c r="L2947" s="23" t="str">
        <f t="shared" si="995"/>
        <v/>
      </c>
      <c r="M2947" s="22" t="str">
        <f t="shared" si="996"/>
        <v/>
      </c>
      <c r="N2947" s="72"/>
      <c r="O2947" s="16" t="str">
        <f t="shared" si="997"/>
        <v/>
      </c>
      <c r="P2947" s="16" t="str">
        <f t="shared" si="998"/>
        <v/>
      </c>
      <c r="Q2947" s="16" t="str">
        <f t="shared" si="999"/>
        <v/>
      </c>
      <c r="R2947" s="23" t="str">
        <f t="shared" si="1000"/>
        <v/>
      </c>
      <c r="S2947" s="23" t="str">
        <f t="shared" si="1001"/>
        <v/>
      </c>
      <c r="T2947" s="23" t="str">
        <f t="shared" si="1002"/>
        <v/>
      </c>
      <c r="U2947" s="23" t="str">
        <f t="shared" si="1003"/>
        <v/>
      </c>
      <c r="V2947" s="23" t="str">
        <f t="shared" si="1004"/>
        <v/>
      </c>
      <c r="W2947" s="70" t="str">
        <f t="shared" si="1005"/>
        <v/>
      </c>
      <c r="X2947" s="70" t="str">
        <f t="shared" si="1006"/>
        <v/>
      </c>
      <c r="Y2947" s="70" t="str">
        <f>IF(AND($A2947&lt;&gt;"",$E2947&gt;0),isLaptopBag($C2947,$J2947)*$D2947,"")</f>
        <v/>
      </c>
      <c r="Z2947" s="70" t="str">
        <f t="shared" si="1007"/>
        <v/>
      </c>
      <c r="AA2947" s="70" t="str">
        <f t="shared" si="1008"/>
        <v/>
      </c>
      <c r="AB2947" s="70" t="str">
        <f t="shared" si="1009"/>
        <v/>
      </c>
      <c r="AC2947" s="70" t="str">
        <f t="shared" si="1010"/>
        <v/>
      </c>
      <c r="AD2947" s="70" t="str">
        <f t="shared" si="1011"/>
        <v/>
      </c>
      <c r="AE2947" s="70" t="str">
        <f t="shared" si="1012"/>
        <v/>
      </c>
      <c r="AF2947" s="16"/>
      <c r="AG2947" s="23"/>
      <c r="AH2947" s="22"/>
      <c r="AJ2947" s="83">
        <f t="shared" si="1013"/>
        <v>0</v>
      </c>
      <c r="AO2947" s="22" t="str">
        <f t="shared" si="1014"/>
        <v/>
      </c>
      <c r="AP2947" s="22" t="str">
        <f t="shared" si="1015"/>
        <v/>
      </c>
    </row>
    <row r="2948" spans="1:42" x14ac:dyDescent="0.25">
      <c r="A2948" s="10"/>
      <c r="B2948" s="10"/>
      <c r="C2948" s="10"/>
      <c r="D2948" s="10"/>
      <c r="E2948" s="10"/>
      <c r="F2948" s="10"/>
      <c r="G2948" s="10"/>
      <c r="H2948" s="17"/>
      <c r="I2948" s="10"/>
      <c r="J2948" s="10"/>
      <c r="K2948" s="16" t="str">
        <f t="shared" si="994"/>
        <v/>
      </c>
      <c r="L2948" s="23" t="str">
        <f t="shared" si="995"/>
        <v/>
      </c>
      <c r="M2948" s="22" t="str">
        <f t="shared" si="996"/>
        <v/>
      </c>
      <c r="N2948" s="72"/>
      <c r="O2948" s="16" t="str">
        <f t="shared" si="997"/>
        <v/>
      </c>
      <c r="P2948" s="16" t="str">
        <f t="shared" si="998"/>
        <v/>
      </c>
      <c r="Q2948" s="16" t="str">
        <f t="shared" si="999"/>
        <v/>
      </c>
      <c r="R2948" s="23" t="str">
        <f t="shared" si="1000"/>
        <v/>
      </c>
      <c r="S2948" s="23" t="str">
        <f t="shared" si="1001"/>
        <v/>
      </c>
      <c r="T2948" s="23" t="str">
        <f t="shared" si="1002"/>
        <v/>
      </c>
      <c r="U2948" s="23" t="str">
        <f t="shared" si="1003"/>
        <v/>
      </c>
      <c r="V2948" s="23" t="str">
        <f t="shared" si="1004"/>
        <v/>
      </c>
      <c r="W2948" s="70" t="str">
        <f t="shared" si="1005"/>
        <v/>
      </c>
      <c r="X2948" s="70" t="str">
        <f t="shared" si="1006"/>
        <v/>
      </c>
      <c r="Y2948" s="70" t="str">
        <f>IF(AND($A2948&lt;&gt;"",$E2948&gt;0),isLaptopBag($C2948,$J2948)*$D2948,"")</f>
        <v/>
      </c>
      <c r="Z2948" s="70" t="str">
        <f t="shared" si="1007"/>
        <v/>
      </c>
      <c r="AA2948" s="70" t="str">
        <f t="shared" si="1008"/>
        <v/>
      </c>
      <c r="AB2948" s="70" t="str">
        <f t="shared" si="1009"/>
        <v/>
      </c>
      <c r="AC2948" s="70" t="str">
        <f t="shared" si="1010"/>
        <v/>
      </c>
      <c r="AD2948" s="70" t="str">
        <f t="shared" si="1011"/>
        <v/>
      </c>
      <c r="AE2948" s="70" t="str">
        <f t="shared" si="1012"/>
        <v/>
      </c>
      <c r="AF2948" s="16"/>
      <c r="AG2948" s="23"/>
      <c r="AH2948" s="22"/>
      <c r="AJ2948" s="83">
        <f t="shared" si="1013"/>
        <v>0</v>
      </c>
      <c r="AO2948" s="22" t="str">
        <f t="shared" si="1014"/>
        <v/>
      </c>
      <c r="AP2948" s="22" t="str">
        <f t="shared" si="1015"/>
        <v/>
      </c>
    </row>
    <row r="2949" spans="1:42" x14ac:dyDescent="0.25">
      <c r="A2949" s="10"/>
      <c r="B2949" s="10"/>
      <c r="C2949" s="10"/>
      <c r="D2949" s="10"/>
      <c r="E2949" s="10"/>
      <c r="F2949" s="10"/>
      <c r="G2949" s="10"/>
      <c r="H2949" s="17"/>
      <c r="I2949" s="10"/>
      <c r="J2949" s="10"/>
      <c r="K2949" s="16" t="str">
        <f t="shared" si="994"/>
        <v/>
      </c>
      <c r="L2949" s="23" t="str">
        <f t="shared" si="995"/>
        <v/>
      </c>
      <c r="M2949" s="22" t="str">
        <f t="shared" si="996"/>
        <v/>
      </c>
      <c r="N2949" s="72"/>
      <c r="O2949" s="16" t="str">
        <f t="shared" si="997"/>
        <v/>
      </c>
      <c r="P2949" s="16" t="str">
        <f t="shared" si="998"/>
        <v/>
      </c>
      <c r="Q2949" s="16" t="str">
        <f t="shared" si="999"/>
        <v/>
      </c>
      <c r="R2949" s="23" t="str">
        <f t="shared" si="1000"/>
        <v/>
      </c>
      <c r="S2949" s="23" t="str">
        <f t="shared" si="1001"/>
        <v/>
      </c>
      <c r="T2949" s="23" t="str">
        <f t="shared" si="1002"/>
        <v/>
      </c>
      <c r="U2949" s="23" t="str">
        <f t="shared" si="1003"/>
        <v/>
      </c>
      <c r="V2949" s="23" t="str">
        <f t="shared" si="1004"/>
        <v/>
      </c>
      <c r="W2949" s="70" t="str">
        <f t="shared" si="1005"/>
        <v/>
      </c>
      <c r="X2949" s="70" t="str">
        <f t="shared" si="1006"/>
        <v/>
      </c>
      <c r="Y2949" s="70" t="str">
        <f>IF(AND($A2949&lt;&gt;"",$E2949&gt;0),isLaptopBag($C2949,$J2949)*$D2949,"")</f>
        <v/>
      </c>
      <c r="Z2949" s="70" t="str">
        <f t="shared" si="1007"/>
        <v/>
      </c>
      <c r="AA2949" s="70" t="str">
        <f t="shared" si="1008"/>
        <v/>
      </c>
      <c r="AB2949" s="70" t="str">
        <f t="shared" si="1009"/>
        <v/>
      </c>
      <c r="AC2949" s="70" t="str">
        <f t="shared" si="1010"/>
        <v/>
      </c>
      <c r="AD2949" s="70" t="str">
        <f t="shared" si="1011"/>
        <v/>
      </c>
      <c r="AE2949" s="70" t="str">
        <f t="shared" si="1012"/>
        <v/>
      </c>
      <c r="AF2949" s="16"/>
      <c r="AG2949" s="23"/>
      <c r="AH2949" s="22"/>
      <c r="AJ2949" s="83">
        <f t="shared" si="1013"/>
        <v>0</v>
      </c>
      <c r="AO2949" s="22" t="str">
        <f t="shared" si="1014"/>
        <v/>
      </c>
      <c r="AP2949" s="22" t="str">
        <f t="shared" si="1015"/>
        <v/>
      </c>
    </row>
    <row r="2950" spans="1:42" x14ac:dyDescent="0.25">
      <c r="A2950" s="10"/>
      <c r="B2950" s="10"/>
      <c r="C2950" s="10"/>
      <c r="D2950" s="10"/>
      <c r="E2950" s="10"/>
      <c r="F2950" s="10"/>
      <c r="G2950" s="10"/>
      <c r="H2950" s="17"/>
      <c r="I2950" s="10"/>
      <c r="J2950" s="10"/>
      <c r="K2950" s="16" t="str">
        <f t="shared" si="994"/>
        <v/>
      </c>
      <c r="L2950" s="23" t="str">
        <f t="shared" si="995"/>
        <v/>
      </c>
      <c r="M2950" s="22" t="str">
        <f t="shared" si="996"/>
        <v/>
      </c>
      <c r="N2950" s="72"/>
      <c r="O2950" s="16" t="str">
        <f t="shared" si="997"/>
        <v/>
      </c>
      <c r="P2950" s="16" t="str">
        <f t="shared" si="998"/>
        <v/>
      </c>
      <c r="Q2950" s="16" t="str">
        <f t="shared" si="999"/>
        <v/>
      </c>
      <c r="R2950" s="23" t="str">
        <f t="shared" si="1000"/>
        <v/>
      </c>
      <c r="S2950" s="23" t="str">
        <f t="shared" si="1001"/>
        <v/>
      </c>
      <c r="T2950" s="23" t="str">
        <f t="shared" si="1002"/>
        <v/>
      </c>
      <c r="U2950" s="23" t="str">
        <f t="shared" si="1003"/>
        <v/>
      </c>
      <c r="V2950" s="23" t="str">
        <f t="shared" si="1004"/>
        <v/>
      </c>
      <c r="W2950" s="70" t="str">
        <f t="shared" si="1005"/>
        <v/>
      </c>
      <c r="X2950" s="70" t="str">
        <f t="shared" si="1006"/>
        <v/>
      </c>
      <c r="Y2950" s="70" t="str">
        <f>IF(AND($A2950&lt;&gt;"",$E2950&gt;0),isLaptopBag($C2950,$J2950)*$D2950,"")</f>
        <v/>
      </c>
      <c r="Z2950" s="70" t="str">
        <f t="shared" si="1007"/>
        <v/>
      </c>
      <c r="AA2950" s="70" t="str">
        <f t="shared" si="1008"/>
        <v/>
      </c>
      <c r="AB2950" s="70" t="str">
        <f t="shared" si="1009"/>
        <v/>
      </c>
      <c r="AC2950" s="70" t="str">
        <f t="shared" si="1010"/>
        <v/>
      </c>
      <c r="AD2950" s="70" t="str">
        <f t="shared" si="1011"/>
        <v/>
      </c>
      <c r="AE2950" s="70" t="str">
        <f t="shared" si="1012"/>
        <v/>
      </c>
      <c r="AF2950" s="16"/>
      <c r="AG2950" s="23"/>
      <c r="AH2950" s="22"/>
      <c r="AJ2950" s="83">
        <f t="shared" si="1013"/>
        <v>0</v>
      </c>
      <c r="AO2950" s="22" t="str">
        <f t="shared" si="1014"/>
        <v/>
      </c>
      <c r="AP2950" s="22" t="str">
        <f t="shared" si="1015"/>
        <v/>
      </c>
    </row>
    <row r="2951" spans="1:42" x14ac:dyDescent="0.25">
      <c r="A2951" s="10"/>
      <c r="B2951" s="10"/>
      <c r="C2951" s="10"/>
      <c r="D2951" s="10"/>
      <c r="E2951" s="10"/>
      <c r="F2951" s="10"/>
      <c r="G2951" s="10"/>
      <c r="H2951" s="17"/>
      <c r="I2951" s="10"/>
      <c r="J2951" s="10"/>
      <c r="K2951" s="16" t="str">
        <f t="shared" si="994"/>
        <v/>
      </c>
      <c r="L2951" s="23" t="str">
        <f t="shared" si="995"/>
        <v/>
      </c>
      <c r="M2951" s="22" t="str">
        <f t="shared" si="996"/>
        <v/>
      </c>
      <c r="N2951" s="72"/>
      <c r="O2951" s="16" t="str">
        <f t="shared" si="997"/>
        <v/>
      </c>
      <c r="P2951" s="16" t="str">
        <f t="shared" si="998"/>
        <v/>
      </c>
      <c r="Q2951" s="16" t="str">
        <f t="shared" si="999"/>
        <v/>
      </c>
      <c r="R2951" s="23" t="str">
        <f t="shared" si="1000"/>
        <v/>
      </c>
      <c r="S2951" s="23" t="str">
        <f t="shared" si="1001"/>
        <v/>
      </c>
      <c r="T2951" s="23" t="str">
        <f t="shared" si="1002"/>
        <v/>
      </c>
      <c r="U2951" s="23" t="str">
        <f t="shared" si="1003"/>
        <v/>
      </c>
      <c r="V2951" s="23" t="str">
        <f t="shared" si="1004"/>
        <v/>
      </c>
      <c r="W2951" s="70" t="str">
        <f t="shared" si="1005"/>
        <v/>
      </c>
      <c r="X2951" s="70" t="str">
        <f t="shared" si="1006"/>
        <v/>
      </c>
      <c r="Y2951" s="70" t="str">
        <f>IF(AND($A2951&lt;&gt;"",$E2951&gt;0),isLaptopBag($C2951,$J2951)*$D2951,"")</f>
        <v/>
      </c>
      <c r="Z2951" s="70" t="str">
        <f t="shared" si="1007"/>
        <v/>
      </c>
      <c r="AA2951" s="70" t="str">
        <f t="shared" si="1008"/>
        <v/>
      </c>
      <c r="AB2951" s="70" t="str">
        <f t="shared" si="1009"/>
        <v/>
      </c>
      <c r="AC2951" s="70" t="str">
        <f t="shared" si="1010"/>
        <v/>
      </c>
      <c r="AD2951" s="70" t="str">
        <f t="shared" si="1011"/>
        <v/>
      </c>
      <c r="AE2951" s="70" t="str">
        <f t="shared" si="1012"/>
        <v/>
      </c>
      <c r="AF2951" s="16"/>
      <c r="AG2951" s="23"/>
      <c r="AH2951" s="22"/>
      <c r="AJ2951" s="83">
        <f t="shared" si="1013"/>
        <v>0</v>
      </c>
      <c r="AO2951" s="22" t="str">
        <f t="shared" si="1014"/>
        <v/>
      </c>
      <c r="AP2951" s="22" t="str">
        <f t="shared" si="1015"/>
        <v/>
      </c>
    </row>
    <row r="2952" spans="1:42" x14ac:dyDescent="0.25">
      <c r="A2952" s="10"/>
      <c r="B2952" s="10"/>
      <c r="C2952" s="10"/>
      <c r="D2952" s="10"/>
      <c r="E2952" s="10"/>
      <c r="F2952" s="10"/>
      <c r="G2952" s="10"/>
      <c r="H2952" s="17"/>
      <c r="I2952" s="10"/>
      <c r="J2952" s="10"/>
      <c r="K2952" s="16" t="str">
        <f t="shared" si="994"/>
        <v/>
      </c>
      <c r="L2952" s="23" t="str">
        <f t="shared" si="995"/>
        <v/>
      </c>
      <c r="M2952" s="22" t="str">
        <f t="shared" si="996"/>
        <v/>
      </c>
      <c r="N2952" s="72"/>
      <c r="O2952" s="16" t="str">
        <f t="shared" si="997"/>
        <v/>
      </c>
      <c r="P2952" s="16" t="str">
        <f t="shared" si="998"/>
        <v/>
      </c>
      <c r="Q2952" s="16" t="str">
        <f t="shared" si="999"/>
        <v/>
      </c>
      <c r="R2952" s="23" t="str">
        <f t="shared" si="1000"/>
        <v/>
      </c>
      <c r="S2952" s="23" t="str">
        <f t="shared" si="1001"/>
        <v/>
      </c>
      <c r="T2952" s="23" t="str">
        <f t="shared" si="1002"/>
        <v/>
      </c>
      <c r="U2952" s="23" t="str">
        <f t="shared" si="1003"/>
        <v/>
      </c>
      <c r="V2952" s="23" t="str">
        <f t="shared" si="1004"/>
        <v/>
      </c>
      <c r="W2952" s="70" t="str">
        <f t="shared" si="1005"/>
        <v/>
      </c>
      <c r="X2952" s="70" t="str">
        <f t="shared" si="1006"/>
        <v/>
      </c>
      <c r="Y2952" s="70" t="str">
        <f>IF(AND($A2952&lt;&gt;"",$E2952&gt;0),isLaptopBag($C2952,$J2952)*$D2952,"")</f>
        <v/>
      </c>
      <c r="Z2952" s="70" t="str">
        <f t="shared" si="1007"/>
        <v/>
      </c>
      <c r="AA2952" s="70" t="str">
        <f t="shared" si="1008"/>
        <v/>
      </c>
      <c r="AB2952" s="70" t="str">
        <f t="shared" si="1009"/>
        <v/>
      </c>
      <c r="AC2952" s="70" t="str">
        <f t="shared" si="1010"/>
        <v/>
      </c>
      <c r="AD2952" s="70" t="str">
        <f t="shared" si="1011"/>
        <v/>
      </c>
      <c r="AE2952" s="70" t="str">
        <f t="shared" si="1012"/>
        <v/>
      </c>
      <c r="AF2952" s="16"/>
      <c r="AG2952" s="23"/>
      <c r="AH2952" s="22"/>
      <c r="AJ2952" s="83">
        <f t="shared" si="1013"/>
        <v>0</v>
      </c>
      <c r="AO2952" s="22" t="str">
        <f t="shared" si="1014"/>
        <v/>
      </c>
      <c r="AP2952" s="22" t="str">
        <f t="shared" si="1015"/>
        <v/>
      </c>
    </row>
    <row r="2953" spans="1:42" x14ac:dyDescent="0.25">
      <c r="A2953" s="10"/>
      <c r="B2953" s="10"/>
      <c r="C2953" s="10"/>
      <c r="D2953" s="10"/>
      <c r="E2953" s="10"/>
      <c r="F2953" s="10"/>
      <c r="G2953" s="10"/>
      <c r="H2953" s="17"/>
      <c r="I2953" s="10"/>
      <c r="J2953" s="10"/>
      <c r="K2953" s="16" t="str">
        <f t="shared" si="994"/>
        <v/>
      </c>
      <c r="L2953" s="23" t="str">
        <f t="shared" si="995"/>
        <v/>
      </c>
      <c r="M2953" s="22" t="str">
        <f t="shared" si="996"/>
        <v/>
      </c>
      <c r="N2953" s="72"/>
      <c r="O2953" s="16" t="str">
        <f t="shared" si="997"/>
        <v/>
      </c>
      <c r="P2953" s="16" t="str">
        <f t="shared" si="998"/>
        <v/>
      </c>
      <c r="Q2953" s="16" t="str">
        <f t="shared" si="999"/>
        <v/>
      </c>
      <c r="R2953" s="23" t="str">
        <f t="shared" si="1000"/>
        <v/>
      </c>
      <c r="S2953" s="23" t="str">
        <f t="shared" si="1001"/>
        <v/>
      </c>
      <c r="T2953" s="23" t="str">
        <f t="shared" si="1002"/>
        <v/>
      </c>
      <c r="U2953" s="23" t="str">
        <f t="shared" si="1003"/>
        <v/>
      </c>
      <c r="V2953" s="23" t="str">
        <f t="shared" si="1004"/>
        <v/>
      </c>
      <c r="W2953" s="70" t="str">
        <f t="shared" si="1005"/>
        <v/>
      </c>
      <c r="X2953" s="70" t="str">
        <f t="shared" si="1006"/>
        <v/>
      </c>
      <c r="Y2953" s="70" t="str">
        <f>IF(AND($A2953&lt;&gt;"",$E2953&gt;0),isLaptopBag($C2953,$J2953)*$D2953,"")</f>
        <v/>
      </c>
      <c r="Z2953" s="70" t="str">
        <f t="shared" si="1007"/>
        <v/>
      </c>
      <c r="AA2953" s="70" t="str">
        <f t="shared" si="1008"/>
        <v/>
      </c>
      <c r="AB2953" s="70" t="str">
        <f t="shared" si="1009"/>
        <v/>
      </c>
      <c r="AC2953" s="70" t="str">
        <f t="shared" si="1010"/>
        <v/>
      </c>
      <c r="AD2953" s="70" t="str">
        <f t="shared" si="1011"/>
        <v/>
      </c>
      <c r="AE2953" s="70" t="str">
        <f t="shared" si="1012"/>
        <v/>
      </c>
      <c r="AF2953" s="16"/>
      <c r="AG2953" s="23"/>
      <c r="AH2953" s="22"/>
      <c r="AJ2953" s="83">
        <f t="shared" si="1013"/>
        <v>0</v>
      </c>
      <c r="AO2953" s="22" t="str">
        <f t="shared" si="1014"/>
        <v/>
      </c>
      <c r="AP2953" s="22" t="str">
        <f t="shared" si="1015"/>
        <v/>
      </c>
    </row>
    <row r="2954" spans="1:42" x14ac:dyDescent="0.25">
      <c r="A2954" s="10"/>
      <c r="B2954" s="10"/>
      <c r="C2954" s="10"/>
      <c r="D2954" s="10"/>
      <c r="E2954" s="10"/>
      <c r="F2954" s="10"/>
      <c r="G2954" s="10"/>
      <c r="H2954" s="17"/>
      <c r="I2954" s="10"/>
      <c r="J2954" s="10"/>
      <c r="K2954" s="16" t="str">
        <f t="shared" si="994"/>
        <v/>
      </c>
      <c r="L2954" s="23" t="str">
        <f t="shared" si="995"/>
        <v/>
      </c>
      <c r="M2954" s="22" t="str">
        <f t="shared" si="996"/>
        <v/>
      </c>
      <c r="N2954" s="72"/>
      <c r="O2954" s="16" t="str">
        <f t="shared" si="997"/>
        <v/>
      </c>
      <c r="P2954" s="16" t="str">
        <f t="shared" si="998"/>
        <v/>
      </c>
      <c r="Q2954" s="16" t="str">
        <f t="shared" si="999"/>
        <v/>
      </c>
      <c r="R2954" s="23" t="str">
        <f t="shared" si="1000"/>
        <v/>
      </c>
      <c r="S2954" s="23" t="str">
        <f t="shared" si="1001"/>
        <v/>
      </c>
      <c r="T2954" s="23" t="str">
        <f t="shared" si="1002"/>
        <v/>
      </c>
      <c r="U2954" s="23" t="str">
        <f t="shared" si="1003"/>
        <v/>
      </c>
      <c r="V2954" s="23" t="str">
        <f t="shared" si="1004"/>
        <v/>
      </c>
      <c r="W2954" s="70" t="str">
        <f t="shared" si="1005"/>
        <v/>
      </c>
      <c r="X2954" s="70" t="str">
        <f t="shared" si="1006"/>
        <v/>
      </c>
      <c r="Y2954" s="70" t="str">
        <f>IF(AND($A2954&lt;&gt;"",$E2954&gt;0),isLaptopBag($C2954,$J2954)*$D2954,"")</f>
        <v/>
      </c>
      <c r="Z2954" s="70" t="str">
        <f t="shared" si="1007"/>
        <v/>
      </c>
      <c r="AA2954" s="70" t="str">
        <f t="shared" si="1008"/>
        <v/>
      </c>
      <c r="AB2954" s="70" t="str">
        <f t="shared" si="1009"/>
        <v/>
      </c>
      <c r="AC2954" s="70" t="str">
        <f t="shared" si="1010"/>
        <v/>
      </c>
      <c r="AD2954" s="70" t="str">
        <f t="shared" si="1011"/>
        <v/>
      </c>
      <c r="AE2954" s="70" t="str">
        <f t="shared" si="1012"/>
        <v/>
      </c>
      <c r="AF2954" s="16"/>
      <c r="AG2954" s="23"/>
      <c r="AH2954" s="22"/>
      <c r="AJ2954" s="83">
        <f t="shared" si="1013"/>
        <v>0</v>
      </c>
      <c r="AO2954" s="22" t="str">
        <f t="shared" si="1014"/>
        <v/>
      </c>
      <c r="AP2954" s="22" t="str">
        <f t="shared" si="1015"/>
        <v/>
      </c>
    </row>
    <row r="2955" spans="1:42" x14ac:dyDescent="0.25">
      <c r="A2955" s="10"/>
      <c r="B2955" s="10"/>
      <c r="C2955" s="10"/>
      <c r="D2955" s="10"/>
      <c r="E2955" s="10"/>
      <c r="F2955" s="10"/>
      <c r="G2955" s="10"/>
      <c r="H2955" s="17"/>
      <c r="I2955" s="10"/>
      <c r="J2955" s="10"/>
      <c r="K2955" s="16" t="str">
        <f t="shared" si="994"/>
        <v/>
      </c>
      <c r="L2955" s="23" t="str">
        <f t="shared" si="995"/>
        <v/>
      </c>
      <c r="M2955" s="22" t="str">
        <f t="shared" si="996"/>
        <v/>
      </c>
      <c r="N2955" s="72"/>
      <c r="O2955" s="16" t="str">
        <f t="shared" si="997"/>
        <v/>
      </c>
      <c r="P2955" s="16" t="str">
        <f t="shared" si="998"/>
        <v/>
      </c>
      <c r="Q2955" s="16" t="str">
        <f t="shared" si="999"/>
        <v/>
      </c>
      <c r="R2955" s="23" t="str">
        <f t="shared" si="1000"/>
        <v/>
      </c>
      <c r="S2955" s="23" t="str">
        <f t="shared" si="1001"/>
        <v/>
      </c>
      <c r="T2955" s="23" t="str">
        <f t="shared" si="1002"/>
        <v/>
      </c>
      <c r="U2955" s="23" t="str">
        <f t="shared" si="1003"/>
        <v/>
      </c>
      <c r="V2955" s="23" t="str">
        <f t="shared" si="1004"/>
        <v/>
      </c>
      <c r="W2955" s="70" t="str">
        <f t="shared" si="1005"/>
        <v/>
      </c>
      <c r="X2955" s="70" t="str">
        <f t="shared" si="1006"/>
        <v/>
      </c>
      <c r="Y2955" s="70" t="str">
        <f>IF(AND($A2955&lt;&gt;"",$E2955&gt;0),isLaptopBag($C2955,$J2955)*$D2955,"")</f>
        <v/>
      </c>
      <c r="Z2955" s="70" t="str">
        <f t="shared" si="1007"/>
        <v/>
      </c>
      <c r="AA2955" s="70" t="str">
        <f t="shared" si="1008"/>
        <v/>
      </c>
      <c r="AB2955" s="70" t="str">
        <f t="shared" si="1009"/>
        <v/>
      </c>
      <c r="AC2955" s="70" t="str">
        <f t="shared" si="1010"/>
        <v/>
      </c>
      <c r="AD2955" s="70" t="str">
        <f t="shared" si="1011"/>
        <v/>
      </c>
      <c r="AE2955" s="70" t="str">
        <f t="shared" si="1012"/>
        <v/>
      </c>
      <c r="AF2955" s="16"/>
      <c r="AG2955" s="23"/>
      <c r="AH2955" s="22"/>
      <c r="AJ2955" s="83">
        <f t="shared" si="1013"/>
        <v>0</v>
      </c>
      <c r="AO2955" s="22" t="str">
        <f t="shared" si="1014"/>
        <v/>
      </c>
      <c r="AP2955" s="22" t="str">
        <f t="shared" si="1015"/>
        <v/>
      </c>
    </row>
    <row r="2956" spans="1:42" x14ac:dyDescent="0.25">
      <c r="A2956" s="10"/>
      <c r="B2956" s="10"/>
      <c r="C2956" s="10"/>
      <c r="D2956" s="10"/>
      <c r="E2956" s="10"/>
      <c r="F2956" s="10"/>
      <c r="G2956" s="10"/>
      <c r="H2956" s="17"/>
      <c r="I2956" s="10"/>
      <c r="J2956" s="10"/>
      <c r="K2956" s="16" t="str">
        <f t="shared" si="994"/>
        <v/>
      </c>
      <c r="L2956" s="23" t="str">
        <f t="shared" si="995"/>
        <v/>
      </c>
      <c r="M2956" s="22" t="str">
        <f t="shared" si="996"/>
        <v/>
      </c>
      <c r="N2956" s="72"/>
      <c r="O2956" s="16" t="str">
        <f t="shared" si="997"/>
        <v/>
      </c>
      <c r="P2956" s="16" t="str">
        <f t="shared" si="998"/>
        <v/>
      </c>
      <c r="Q2956" s="16" t="str">
        <f t="shared" si="999"/>
        <v/>
      </c>
      <c r="R2956" s="23" t="str">
        <f t="shared" si="1000"/>
        <v/>
      </c>
      <c r="S2956" s="23" t="str">
        <f t="shared" si="1001"/>
        <v/>
      </c>
      <c r="T2956" s="23" t="str">
        <f t="shared" si="1002"/>
        <v/>
      </c>
      <c r="U2956" s="23" t="str">
        <f t="shared" si="1003"/>
        <v/>
      </c>
      <c r="V2956" s="23" t="str">
        <f t="shared" si="1004"/>
        <v/>
      </c>
      <c r="W2956" s="70" t="str">
        <f t="shared" si="1005"/>
        <v/>
      </c>
      <c r="X2956" s="70" t="str">
        <f t="shared" si="1006"/>
        <v/>
      </c>
      <c r="Y2956" s="70" t="str">
        <f>IF(AND($A2956&lt;&gt;"",$E2956&gt;0),isLaptopBag($C2956,$J2956)*$D2956,"")</f>
        <v/>
      </c>
      <c r="Z2956" s="70" t="str">
        <f t="shared" si="1007"/>
        <v/>
      </c>
      <c r="AA2956" s="70" t="str">
        <f t="shared" si="1008"/>
        <v/>
      </c>
      <c r="AB2956" s="70" t="str">
        <f t="shared" si="1009"/>
        <v/>
      </c>
      <c r="AC2956" s="70" t="str">
        <f t="shared" si="1010"/>
        <v/>
      </c>
      <c r="AD2956" s="70" t="str">
        <f t="shared" si="1011"/>
        <v/>
      </c>
      <c r="AE2956" s="70" t="str">
        <f t="shared" si="1012"/>
        <v/>
      </c>
      <c r="AF2956" s="16"/>
      <c r="AG2956" s="23"/>
      <c r="AH2956" s="22"/>
      <c r="AJ2956" s="83">
        <f t="shared" si="1013"/>
        <v>0</v>
      </c>
      <c r="AO2956" s="22" t="str">
        <f t="shared" si="1014"/>
        <v/>
      </c>
      <c r="AP2956" s="22" t="str">
        <f t="shared" si="1015"/>
        <v/>
      </c>
    </row>
    <row r="2957" spans="1:42" x14ac:dyDescent="0.25">
      <c r="A2957" s="10"/>
      <c r="B2957" s="10"/>
      <c r="C2957" s="10"/>
      <c r="D2957" s="10"/>
      <c r="E2957" s="10"/>
      <c r="F2957" s="10"/>
      <c r="G2957" s="10"/>
      <c r="H2957" s="17"/>
      <c r="I2957" s="10"/>
      <c r="J2957" s="10"/>
      <c r="K2957" s="16" t="str">
        <f t="shared" ref="K2957:K3012" si="1016">IF($AF2957&lt;&gt;"",$AF2957,IF(AND($A2957&lt;&gt;"",$E2957&gt;0),SUM($O2957:$Q2957),""))</f>
        <v/>
      </c>
      <c r="L2957" s="23" t="str">
        <f t="shared" ref="L2957:L3012" si="1017">IF($AG2957&lt;&gt;"",$AG2957,IF(AND($A2957&lt;&gt;"",$E2957&gt;0),SUM($R2957:$V2957),""))</f>
        <v/>
      </c>
      <c r="M2957" s="22" t="str">
        <f t="shared" ref="M2957:M3012" si="1018">IF($AH2957&lt;&gt;"",$AH2957,IF(AND($A2957&lt;&gt;"",$E2957&gt;0),SUM($W2957:$AE2957)+$AO2957+$AP2957,""))</f>
        <v/>
      </c>
      <c r="N2957" s="72"/>
      <c r="O2957" s="16" t="str">
        <f t="shared" ref="O2957:O3012" si="1019">IF(AND($A2957&lt;&gt;"",$E2957&gt;0),IF(AND($J2957="SONY",200000&lt;=$E2957,$E2957&lt;1000000),5000*$D2957,0),"")</f>
        <v/>
      </c>
      <c r="P2957" s="16" t="str">
        <f t="shared" ref="P2957:P3012" si="1020">IF(AND($A2957&lt;&gt;"",$E2957&gt;0),IF(AND($J2957="SONY",1000000&lt;=$E2957,$E2957&lt;2000000),10000*$D2957,0),"")</f>
        <v/>
      </c>
      <c r="Q2957" s="16" t="str">
        <f t="shared" ref="Q2957:Q3012" si="1021">IF(AND($A2957&lt;&gt;"",$E2957&gt;0),IF(AND($J2957="SONY",$E2957&gt;=2000000),20000*$D2957,0),"")</f>
        <v/>
      </c>
      <c r="R2957" s="23" t="str">
        <f t="shared" ref="R2957:R3012" si="1022">IF(AND($A2957&lt;&gt;"",$E2957&gt;0),IF(AND($J2957&lt;&gt;"SONY",100000&lt;=$E2957,$E2957&lt;200000),5000*$D2957,0),"")</f>
        <v/>
      </c>
      <c r="S2957" s="23" t="str">
        <f t="shared" ref="S2957:S3012" si="1023">IF(AND($A2957&lt;&gt;"",$E2957&gt;0),IF(AND($J2957&lt;&gt;"SONY",200000&lt;=$E2957,$E2957&lt;500000),10000*$D2957,0),"")</f>
        <v/>
      </c>
      <c r="T2957" s="23" t="str">
        <f t="shared" ref="T2957:T3012" si="1024">IF(AND($A2957&lt;&gt;"",$E2957&gt;0),IF(AND($J2957&lt;&gt;"SONY",500000&lt;=$E2957,$E2957&lt;1000000),20000*$D2957,0),"")</f>
        <v/>
      </c>
      <c r="U2957" s="23" t="str">
        <f t="shared" ref="U2957:U3012" si="1025">IF(AND($A2957&lt;&gt;"",$E2957&gt;0),IF(AND($J2957&lt;&gt;"SONY",1000000&lt;=$E2957,$E2957&lt;1500000),50000*$D2957,0),"")</f>
        <v/>
      </c>
      <c r="V2957" s="23" t="str">
        <f t="shared" ref="V2957:V3012" si="1026">IF(AND($A2957&lt;&gt;"",$E2957&gt;0),IF(AND($J2957&lt;&gt;"SONY",1500000&lt;=$E2957),100000*$D2957,0),"")</f>
        <v/>
      </c>
      <c r="W2957" s="70" t="str">
        <f t="shared" ref="W2957:W3012" si="1027">IF(AND($E2957&gt;0,$J2957="ELECOM",$E2957&gt;=500000,ISNUMBER(SEARCH("tai nghe",$C2957))),20000*$D2957,IF($A2957&lt;&gt;"",0,""))</f>
        <v/>
      </c>
      <c r="X2957" s="70" t="str">
        <f t="shared" ref="X2957:X3012" si="1028">IF(AND($E2957&gt;0,$J2957="ELECOM",ISNUMBER(SEARCH("loa",$C2957))),20000*$D2957,IF($A2957&lt;&gt;"",0,""))</f>
        <v/>
      </c>
      <c r="Y2957" s="70" t="str">
        <f>IF(AND($A2957&lt;&gt;"",$E2957&gt;0),isLaptopBag($C2957,$J2957)*$D2957,"")</f>
        <v/>
      </c>
      <c r="Z2957" s="70" t="str">
        <f t="shared" ref="Z2957:Z3012" si="1029">IF(AND($E2957&gt;0,$J2957="ELECOM",ISNUMBER(SEARCH("ốp",$C2957))),20000*$D2957,IF($A2957&lt;&gt;"",0,""))</f>
        <v/>
      </c>
      <c r="AA2957" s="70" t="str">
        <f t="shared" ref="AA2957:AA3012" si="1030">IF(AND($E2957&gt;0,$J2957="ELECOM",ISNUMBER(SEARCH("Bút",$C2957))),20000*$D2957,IF($A2957&lt;&gt;"",0,""))</f>
        <v/>
      </c>
      <c r="AB2957" s="70" t="str">
        <f t="shared" ref="AB2957:AB3012" si="1031">IF(AND($E2957&gt;0,$J2957="ELECOM",ISNUMBER(SEARCH("Chuột bi",$C2957))),20000*$D2957,IF($A2957&lt;&gt;"",0,""))</f>
        <v/>
      </c>
      <c r="AC2957" s="70" t="str">
        <f t="shared" ref="AC2957:AC3012" si="1032">IF(AND($E2957&gt;0,$J2957="ELECOM",ISNUMBER(SEARCH("Chuột trackball",$C2957))),20000*$D2957,IF($A2957&lt;&gt;"",0,""))</f>
        <v/>
      </c>
      <c r="AD2957" s="70" t="str">
        <f t="shared" ref="AD2957:AD3012" si="1033">IF(AND($E2957&gt;0,$J2957="ELECOM",ISNUMBER(SEARCH("Sạc không dây",$C2957))),20000*$D2957,IF($A2957&lt;&gt;"",0,""))</f>
        <v/>
      </c>
      <c r="AE2957" s="70" t="str">
        <f t="shared" ref="AE2957:AE3012" si="1034">IF(AND($E2957&gt;0,$J2957="ELECOM",ISNUMBER(SEARCH("Sạc kd",$C2957))),20000*$D2957,IF($A2957&lt;&gt;"",0,""))</f>
        <v/>
      </c>
      <c r="AF2957" s="16"/>
      <c r="AG2957" s="23"/>
      <c r="AH2957" s="22"/>
      <c r="AJ2957" s="83">
        <f t="shared" ref="AJ2957:AJ3012" si="1035">DAY(H2957)</f>
        <v>0</v>
      </c>
      <c r="AO2957" s="22" t="str">
        <f t="shared" ref="AO2957:AO3012" si="1036">IF(AND($E2957&gt;0,ISNUMBER(SEARCH("Sạc dự phòng Energizer",$C2957))),10000*$D2957,IF($A2957&lt;&gt;"",0,""))</f>
        <v/>
      </c>
      <c r="AP2957" s="22" t="str">
        <f t="shared" ref="AP2957:AP3012" si="1037">IF(AND($E2957&gt;0,ISNUMBER(SEARCH("SDP Energizer",$C2957))),10000*$D2957,IF($A2957&lt;&gt;"",0,""))</f>
        <v/>
      </c>
    </row>
    <row r="2958" spans="1:42" x14ac:dyDescent="0.25">
      <c r="A2958" s="10"/>
      <c r="B2958" s="10"/>
      <c r="C2958" s="10"/>
      <c r="D2958" s="10"/>
      <c r="E2958" s="10"/>
      <c r="F2958" s="10"/>
      <c r="G2958" s="10"/>
      <c r="H2958" s="17"/>
      <c r="I2958" s="10"/>
      <c r="J2958" s="10"/>
      <c r="K2958" s="16" t="str">
        <f t="shared" si="1016"/>
        <v/>
      </c>
      <c r="L2958" s="23" t="str">
        <f t="shared" si="1017"/>
        <v/>
      </c>
      <c r="M2958" s="22" t="str">
        <f t="shared" si="1018"/>
        <v/>
      </c>
      <c r="N2958" s="72"/>
      <c r="O2958" s="16" t="str">
        <f t="shared" si="1019"/>
        <v/>
      </c>
      <c r="P2958" s="16" t="str">
        <f t="shared" si="1020"/>
        <v/>
      </c>
      <c r="Q2958" s="16" t="str">
        <f t="shared" si="1021"/>
        <v/>
      </c>
      <c r="R2958" s="23" t="str">
        <f t="shared" si="1022"/>
        <v/>
      </c>
      <c r="S2958" s="23" t="str">
        <f t="shared" si="1023"/>
        <v/>
      </c>
      <c r="T2958" s="23" t="str">
        <f t="shared" si="1024"/>
        <v/>
      </c>
      <c r="U2958" s="23" t="str">
        <f t="shared" si="1025"/>
        <v/>
      </c>
      <c r="V2958" s="23" t="str">
        <f t="shared" si="1026"/>
        <v/>
      </c>
      <c r="W2958" s="70" t="str">
        <f t="shared" si="1027"/>
        <v/>
      </c>
      <c r="X2958" s="70" t="str">
        <f t="shared" si="1028"/>
        <v/>
      </c>
      <c r="Y2958" s="70" t="str">
        <f>IF(AND($A2958&lt;&gt;"",$E2958&gt;0),isLaptopBag($C2958,$J2958)*$D2958,"")</f>
        <v/>
      </c>
      <c r="Z2958" s="70" t="str">
        <f t="shared" si="1029"/>
        <v/>
      </c>
      <c r="AA2958" s="70" t="str">
        <f t="shared" si="1030"/>
        <v/>
      </c>
      <c r="AB2958" s="70" t="str">
        <f t="shared" si="1031"/>
        <v/>
      </c>
      <c r="AC2958" s="70" t="str">
        <f t="shared" si="1032"/>
        <v/>
      </c>
      <c r="AD2958" s="70" t="str">
        <f t="shared" si="1033"/>
        <v/>
      </c>
      <c r="AE2958" s="70" t="str">
        <f t="shared" si="1034"/>
        <v/>
      </c>
      <c r="AF2958" s="16"/>
      <c r="AG2958" s="23"/>
      <c r="AH2958" s="22"/>
      <c r="AJ2958" s="83">
        <f t="shared" si="1035"/>
        <v>0</v>
      </c>
      <c r="AO2958" s="22" t="str">
        <f t="shared" si="1036"/>
        <v/>
      </c>
      <c r="AP2958" s="22" t="str">
        <f t="shared" si="1037"/>
        <v/>
      </c>
    </row>
    <row r="2959" spans="1:42" x14ac:dyDescent="0.25">
      <c r="A2959" s="10"/>
      <c r="B2959" s="10"/>
      <c r="C2959" s="10"/>
      <c r="D2959" s="10"/>
      <c r="E2959" s="10"/>
      <c r="F2959" s="10"/>
      <c r="G2959" s="10"/>
      <c r="H2959" s="17"/>
      <c r="I2959" s="10"/>
      <c r="J2959" s="10"/>
      <c r="K2959" s="16" t="str">
        <f t="shared" si="1016"/>
        <v/>
      </c>
      <c r="L2959" s="23" t="str">
        <f t="shared" si="1017"/>
        <v/>
      </c>
      <c r="M2959" s="22" t="str">
        <f t="shared" si="1018"/>
        <v/>
      </c>
      <c r="N2959" s="72"/>
      <c r="O2959" s="16" t="str">
        <f t="shared" si="1019"/>
        <v/>
      </c>
      <c r="P2959" s="16" t="str">
        <f t="shared" si="1020"/>
        <v/>
      </c>
      <c r="Q2959" s="16" t="str">
        <f t="shared" si="1021"/>
        <v/>
      </c>
      <c r="R2959" s="23" t="str">
        <f t="shared" si="1022"/>
        <v/>
      </c>
      <c r="S2959" s="23" t="str">
        <f t="shared" si="1023"/>
        <v/>
      </c>
      <c r="T2959" s="23" t="str">
        <f t="shared" si="1024"/>
        <v/>
      </c>
      <c r="U2959" s="23" t="str">
        <f t="shared" si="1025"/>
        <v/>
      </c>
      <c r="V2959" s="23" t="str">
        <f t="shared" si="1026"/>
        <v/>
      </c>
      <c r="W2959" s="70" t="str">
        <f t="shared" si="1027"/>
        <v/>
      </c>
      <c r="X2959" s="70" t="str">
        <f t="shared" si="1028"/>
        <v/>
      </c>
      <c r="Y2959" s="70" t="str">
        <f>IF(AND($A2959&lt;&gt;"",$E2959&gt;0),isLaptopBag($C2959,$J2959)*$D2959,"")</f>
        <v/>
      </c>
      <c r="Z2959" s="70" t="str">
        <f t="shared" si="1029"/>
        <v/>
      </c>
      <c r="AA2959" s="70" t="str">
        <f t="shared" si="1030"/>
        <v/>
      </c>
      <c r="AB2959" s="70" t="str">
        <f t="shared" si="1031"/>
        <v/>
      </c>
      <c r="AC2959" s="70" t="str">
        <f t="shared" si="1032"/>
        <v/>
      </c>
      <c r="AD2959" s="70" t="str">
        <f t="shared" si="1033"/>
        <v/>
      </c>
      <c r="AE2959" s="70" t="str">
        <f t="shared" si="1034"/>
        <v/>
      </c>
      <c r="AF2959" s="16"/>
      <c r="AG2959" s="23"/>
      <c r="AH2959" s="22"/>
      <c r="AJ2959" s="83">
        <f t="shared" si="1035"/>
        <v>0</v>
      </c>
      <c r="AO2959" s="22" t="str">
        <f t="shared" si="1036"/>
        <v/>
      </c>
      <c r="AP2959" s="22" t="str">
        <f t="shared" si="1037"/>
        <v/>
      </c>
    </row>
    <row r="2960" spans="1:42" x14ac:dyDescent="0.25">
      <c r="A2960" s="10"/>
      <c r="B2960" s="10"/>
      <c r="C2960" s="10"/>
      <c r="D2960" s="10"/>
      <c r="E2960" s="10"/>
      <c r="F2960" s="10"/>
      <c r="G2960" s="10"/>
      <c r="H2960" s="17"/>
      <c r="I2960" s="10"/>
      <c r="J2960" s="10"/>
      <c r="K2960" s="16" t="str">
        <f t="shared" si="1016"/>
        <v/>
      </c>
      <c r="L2960" s="23" t="str">
        <f t="shared" si="1017"/>
        <v/>
      </c>
      <c r="M2960" s="22" t="str">
        <f t="shared" si="1018"/>
        <v/>
      </c>
      <c r="N2960" s="72"/>
      <c r="O2960" s="16" t="str">
        <f t="shared" si="1019"/>
        <v/>
      </c>
      <c r="P2960" s="16" t="str">
        <f t="shared" si="1020"/>
        <v/>
      </c>
      <c r="Q2960" s="16" t="str">
        <f t="shared" si="1021"/>
        <v/>
      </c>
      <c r="R2960" s="23" t="str">
        <f t="shared" si="1022"/>
        <v/>
      </c>
      <c r="S2960" s="23" t="str">
        <f t="shared" si="1023"/>
        <v/>
      </c>
      <c r="T2960" s="23" t="str">
        <f t="shared" si="1024"/>
        <v/>
      </c>
      <c r="U2960" s="23" t="str">
        <f t="shared" si="1025"/>
        <v/>
      </c>
      <c r="V2960" s="23" t="str">
        <f t="shared" si="1026"/>
        <v/>
      </c>
      <c r="W2960" s="70" t="str">
        <f t="shared" si="1027"/>
        <v/>
      </c>
      <c r="X2960" s="70" t="str">
        <f t="shared" si="1028"/>
        <v/>
      </c>
      <c r="Y2960" s="70" t="str">
        <f>IF(AND($A2960&lt;&gt;"",$E2960&gt;0),isLaptopBag($C2960,$J2960)*$D2960,"")</f>
        <v/>
      </c>
      <c r="Z2960" s="70" t="str">
        <f t="shared" si="1029"/>
        <v/>
      </c>
      <c r="AA2960" s="70" t="str">
        <f t="shared" si="1030"/>
        <v/>
      </c>
      <c r="AB2960" s="70" t="str">
        <f t="shared" si="1031"/>
        <v/>
      </c>
      <c r="AC2960" s="70" t="str">
        <f t="shared" si="1032"/>
        <v/>
      </c>
      <c r="AD2960" s="70" t="str">
        <f t="shared" si="1033"/>
        <v/>
      </c>
      <c r="AE2960" s="70" t="str">
        <f t="shared" si="1034"/>
        <v/>
      </c>
      <c r="AF2960" s="16"/>
      <c r="AG2960" s="23"/>
      <c r="AH2960" s="22"/>
      <c r="AJ2960" s="83">
        <f t="shared" si="1035"/>
        <v>0</v>
      </c>
      <c r="AO2960" s="22" t="str">
        <f t="shared" si="1036"/>
        <v/>
      </c>
      <c r="AP2960" s="22" t="str">
        <f t="shared" si="1037"/>
        <v/>
      </c>
    </row>
    <row r="2961" spans="1:42" x14ac:dyDescent="0.25">
      <c r="A2961" s="10"/>
      <c r="B2961" s="10"/>
      <c r="C2961" s="10"/>
      <c r="D2961" s="10"/>
      <c r="E2961" s="10"/>
      <c r="F2961" s="10"/>
      <c r="G2961" s="10"/>
      <c r="H2961" s="17"/>
      <c r="I2961" s="10"/>
      <c r="J2961" s="10"/>
      <c r="K2961" s="16" t="str">
        <f t="shared" si="1016"/>
        <v/>
      </c>
      <c r="L2961" s="23" t="str">
        <f t="shared" si="1017"/>
        <v/>
      </c>
      <c r="M2961" s="22" t="str">
        <f t="shared" si="1018"/>
        <v/>
      </c>
      <c r="N2961" s="72"/>
      <c r="O2961" s="16" t="str">
        <f t="shared" si="1019"/>
        <v/>
      </c>
      <c r="P2961" s="16" t="str">
        <f t="shared" si="1020"/>
        <v/>
      </c>
      <c r="Q2961" s="16" t="str">
        <f t="shared" si="1021"/>
        <v/>
      </c>
      <c r="R2961" s="23" t="str">
        <f t="shared" si="1022"/>
        <v/>
      </c>
      <c r="S2961" s="23" t="str">
        <f t="shared" si="1023"/>
        <v/>
      </c>
      <c r="T2961" s="23" t="str">
        <f t="shared" si="1024"/>
        <v/>
      </c>
      <c r="U2961" s="23" t="str">
        <f t="shared" si="1025"/>
        <v/>
      </c>
      <c r="V2961" s="23" t="str">
        <f t="shared" si="1026"/>
        <v/>
      </c>
      <c r="W2961" s="70" t="str">
        <f t="shared" si="1027"/>
        <v/>
      </c>
      <c r="X2961" s="70" t="str">
        <f t="shared" si="1028"/>
        <v/>
      </c>
      <c r="Y2961" s="70" t="str">
        <f>IF(AND($A2961&lt;&gt;"",$E2961&gt;0),isLaptopBag($C2961,$J2961)*$D2961,"")</f>
        <v/>
      </c>
      <c r="Z2961" s="70" t="str">
        <f t="shared" si="1029"/>
        <v/>
      </c>
      <c r="AA2961" s="70" t="str">
        <f t="shared" si="1030"/>
        <v/>
      </c>
      <c r="AB2961" s="70" t="str">
        <f t="shared" si="1031"/>
        <v/>
      </c>
      <c r="AC2961" s="70" t="str">
        <f t="shared" si="1032"/>
        <v/>
      </c>
      <c r="AD2961" s="70" t="str">
        <f t="shared" si="1033"/>
        <v/>
      </c>
      <c r="AE2961" s="70" t="str">
        <f t="shared" si="1034"/>
        <v/>
      </c>
      <c r="AF2961" s="16"/>
      <c r="AG2961" s="23"/>
      <c r="AH2961" s="22"/>
      <c r="AJ2961" s="83">
        <f t="shared" si="1035"/>
        <v>0</v>
      </c>
      <c r="AO2961" s="22" t="str">
        <f t="shared" si="1036"/>
        <v/>
      </c>
      <c r="AP2961" s="22" t="str">
        <f t="shared" si="1037"/>
        <v/>
      </c>
    </row>
    <row r="2962" spans="1:42" x14ac:dyDescent="0.25">
      <c r="A2962" s="10"/>
      <c r="B2962" s="10"/>
      <c r="C2962" s="10"/>
      <c r="D2962" s="10"/>
      <c r="E2962" s="10"/>
      <c r="F2962" s="10"/>
      <c r="G2962" s="10"/>
      <c r="H2962" s="17"/>
      <c r="I2962" s="10"/>
      <c r="J2962" s="10"/>
      <c r="K2962" s="16" t="str">
        <f t="shared" si="1016"/>
        <v/>
      </c>
      <c r="L2962" s="23" t="str">
        <f t="shared" si="1017"/>
        <v/>
      </c>
      <c r="M2962" s="22" t="str">
        <f t="shared" si="1018"/>
        <v/>
      </c>
      <c r="N2962" s="72"/>
      <c r="O2962" s="16" t="str">
        <f t="shared" si="1019"/>
        <v/>
      </c>
      <c r="P2962" s="16" t="str">
        <f t="shared" si="1020"/>
        <v/>
      </c>
      <c r="Q2962" s="16" t="str">
        <f t="shared" si="1021"/>
        <v/>
      </c>
      <c r="R2962" s="23" t="str">
        <f t="shared" si="1022"/>
        <v/>
      </c>
      <c r="S2962" s="23" t="str">
        <f t="shared" si="1023"/>
        <v/>
      </c>
      <c r="T2962" s="23" t="str">
        <f t="shared" si="1024"/>
        <v/>
      </c>
      <c r="U2962" s="23" t="str">
        <f t="shared" si="1025"/>
        <v/>
      </c>
      <c r="V2962" s="23" t="str">
        <f t="shared" si="1026"/>
        <v/>
      </c>
      <c r="W2962" s="70" t="str">
        <f t="shared" si="1027"/>
        <v/>
      </c>
      <c r="X2962" s="70" t="str">
        <f t="shared" si="1028"/>
        <v/>
      </c>
      <c r="Y2962" s="70" t="str">
        <f>IF(AND($A2962&lt;&gt;"",$E2962&gt;0),isLaptopBag($C2962,$J2962)*$D2962,"")</f>
        <v/>
      </c>
      <c r="Z2962" s="70" t="str">
        <f t="shared" si="1029"/>
        <v/>
      </c>
      <c r="AA2962" s="70" t="str">
        <f t="shared" si="1030"/>
        <v/>
      </c>
      <c r="AB2962" s="70" t="str">
        <f t="shared" si="1031"/>
        <v/>
      </c>
      <c r="AC2962" s="70" t="str">
        <f t="shared" si="1032"/>
        <v/>
      </c>
      <c r="AD2962" s="70" t="str">
        <f t="shared" si="1033"/>
        <v/>
      </c>
      <c r="AE2962" s="70" t="str">
        <f t="shared" si="1034"/>
        <v/>
      </c>
      <c r="AF2962" s="16"/>
      <c r="AG2962" s="23"/>
      <c r="AH2962" s="22"/>
      <c r="AJ2962" s="83">
        <f t="shared" si="1035"/>
        <v>0</v>
      </c>
      <c r="AO2962" s="22" t="str">
        <f t="shared" si="1036"/>
        <v/>
      </c>
      <c r="AP2962" s="22" t="str">
        <f t="shared" si="1037"/>
        <v/>
      </c>
    </row>
    <row r="2963" spans="1:42" x14ac:dyDescent="0.25">
      <c r="A2963" s="10"/>
      <c r="B2963" s="10"/>
      <c r="C2963" s="10"/>
      <c r="D2963" s="10"/>
      <c r="E2963" s="10"/>
      <c r="F2963" s="10"/>
      <c r="G2963" s="10"/>
      <c r="H2963" s="17"/>
      <c r="I2963" s="10"/>
      <c r="J2963" s="10"/>
      <c r="K2963" s="16" t="str">
        <f t="shared" si="1016"/>
        <v/>
      </c>
      <c r="L2963" s="23" t="str">
        <f t="shared" si="1017"/>
        <v/>
      </c>
      <c r="M2963" s="22" t="str">
        <f t="shared" si="1018"/>
        <v/>
      </c>
      <c r="N2963" s="72"/>
      <c r="O2963" s="16" t="str">
        <f t="shared" si="1019"/>
        <v/>
      </c>
      <c r="P2963" s="16" t="str">
        <f t="shared" si="1020"/>
        <v/>
      </c>
      <c r="Q2963" s="16" t="str">
        <f t="shared" si="1021"/>
        <v/>
      </c>
      <c r="R2963" s="23" t="str">
        <f t="shared" si="1022"/>
        <v/>
      </c>
      <c r="S2963" s="23" t="str">
        <f t="shared" si="1023"/>
        <v/>
      </c>
      <c r="T2963" s="23" t="str">
        <f t="shared" si="1024"/>
        <v/>
      </c>
      <c r="U2963" s="23" t="str">
        <f t="shared" si="1025"/>
        <v/>
      </c>
      <c r="V2963" s="23" t="str">
        <f t="shared" si="1026"/>
        <v/>
      </c>
      <c r="W2963" s="70" t="str">
        <f t="shared" si="1027"/>
        <v/>
      </c>
      <c r="X2963" s="70" t="str">
        <f t="shared" si="1028"/>
        <v/>
      </c>
      <c r="Y2963" s="70" t="str">
        <f>IF(AND($A2963&lt;&gt;"",$E2963&gt;0),isLaptopBag($C2963,$J2963)*$D2963,"")</f>
        <v/>
      </c>
      <c r="Z2963" s="70" t="str">
        <f t="shared" si="1029"/>
        <v/>
      </c>
      <c r="AA2963" s="70" t="str">
        <f t="shared" si="1030"/>
        <v/>
      </c>
      <c r="AB2963" s="70" t="str">
        <f t="shared" si="1031"/>
        <v/>
      </c>
      <c r="AC2963" s="70" t="str">
        <f t="shared" si="1032"/>
        <v/>
      </c>
      <c r="AD2963" s="70" t="str">
        <f t="shared" si="1033"/>
        <v/>
      </c>
      <c r="AE2963" s="70" t="str">
        <f t="shared" si="1034"/>
        <v/>
      </c>
      <c r="AF2963" s="16"/>
      <c r="AG2963" s="23"/>
      <c r="AH2963" s="22"/>
      <c r="AJ2963" s="83">
        <f t="shared" si="1035"/>
        <v>0</v>
      </c>
      <c r="AO2963" s="22" t="str">
        <f t="shared" si="1036"/>
        <v/>
      </c>
      <c r="AP2963" s="22" t="str">
        <f t="shared" si="1037"/>
        <v/>
      </c>
    </row>
    <row r="2964" spans="1:42" x14ac:dyDescent="0.25">
      <c r="A2964" s="10"/>
      <c r="B2964" s="10"/>
      <c r="C2964" s="10"/>
      <c r="D2964" s="10"/>
      <c r="E2964" s="10"/>
      <c r="F2964" s="10"/>
      <c r="G2964" s="10"/>
      <c r="H2964" s="17"/>
      <c r="I2964" s="10"/>
      <c r="J2964" s="10"/>
      <c r="K2964" s="16" t="str">
        <f t="shared" si="1016"/>
        <v/>
      </c>
      <c r="L2964" s="23" t="str">
        <f t="shared" si="1017"/>
        <v/>
      </c>
      <c r="M2964" s="22" t="str">
        <f t="shared" si="1018"/>
        <v/>
      </c>
      <c r="N2964" s="72"/>
      <c r="O2964" s="16" t="str">
        <f t="shared" si="1019"/>
        <v/>
      </c>
      <c r="P2964" s="16" t="str">
        <f t="shared" si="1020"/>
        <v/>
      </c>
      <c r="Q2964" s="16" t="str">
        <f t="shared" si="1021"/>
        <v/>
      </c>
      <c r="R2964" s="23" t="str">
        <f t="shared" si="1022"/>
        <v/>
      </c>
      <c r="S2964" s="23" t="str">
        <f t="shared" si="1023"/>
        <v/>
      </c>
      <c r="T2964" s="23" t="str">
        <f t="shared" si="1024"/>
        <v/>
      </c>
      <c r="U2964" s="23" t="str">
        <f t="shared" si="1025"/>
        <v/>
      </c>
      <c r="V2964" s="23" t="str">
        <f t="shared" si="1026"/>
        <v/>
      </c>
      <c r="W2964" s="70" t="str">
        <f t="shared" si="1027"/>
        <v/>
      </c>
      <c r="X2964" s="70" t="str">
        <f t="shared" si="1028"/>
        <v/>
      </c>
      <c r="Y2964" s="70" t="str">
        <f>IF(AND($A2964&lt;&gt;"",$E2964&gt;0),isLaptopBag($C2964,$J2964)*$D2964,"")</f>
        <v/>
      </c>
      <c r="Z2964" s="70" t="str">
        <f t="shared" si="1029"/>
        <v/>
      </c>
      <c r="AA2964" s="70" t="str">
        <f t="shared" si="1030"/>
        <v/>
      </c>
      <c r="AB2964" s="70" t="str">
        <f t="shared" si="1031"/>
        <v/>
      </c>
      <c r="AC2964" s="70" t="str">
        <f t="shared" si="1032"/>
        <v/>
      </c>
      <c r="AD2964" s="70" t="str">
        <f t="shared" si="1033"/>
        <v/>
      </c>
      <c r="AE2964" s="70" t="str">
        <f t="shared" si="1034"/>
        <v/>
      </c>
      <c r="AF2964" s="16"/>
      <c r="AG2964" s="23"/>
      <c r="AH2964" s="22"/>
      <c r="AJ2964" s="83">
        <f t="shared" si="1035"/>
        <v>0</v>
      </c>
      <c r="AO2964" s="22" t="str">
        <f t="shared" si="1036"/>
        <v/>
      </c>
      <c r="AP2964" s="22" t="str">
        <f t="shared" si="1037"/>
        <v/>
      </c>
    </row>
    <row r="2965" spans="1:42" x14ac:dyDescent="0.25">
      <c r="A2965" s="10"/>
      <c r="B2965" s="10"/>
      <c r="C2965" s="10"/>
      <c r="D2965" s="10"/>
      <c r="E2965" s="10"/>
      <c r="F2965" s="10"/>
      <c r="G2965" s="10"/>
      <c r="H2965" s="17"/>
      <c r="I2965" s="10"/>
      <c r="J2965" s="10"/>
      <c r="K2965" s="16" t="str">
        <f t="shared" si="1016"/>
        <v/>
      </c>
      <c r="L2965" s="23" t="str">
        <f t="shared" si="1017"/>
        <v/>
      </c>
      <c r="M2965" s="22" t="str">
        <f t="shared" si="1018"/>
        <v/>
      </c>
      <c r="N2965" s="72"/>
      <c r="O2965" s="16" t="str">
        <f t="shared" si="1019"/>
        <v/>
      </c>
      <c r="P2965" s="16" t="str">
        <f t="shared" si="1020"/>
        <v/>
      </c>
      <c r="Q2965" s="16" t="str">
        <f t="shared" si="1021"/>
        <v/>
      </c>
      <c r="R2965" s="23" t="str">
        <f t="shared" si="1022"/>
        <v/>
      </c>
      <c r="S2965" s="23" t="str">
        <f t="shared" si="1023"/>
        <v/>
      </c>
      <c r="T2965" s="23" t="str">
        <f t="shared" si="1024"/>
        <v/>
      </c>
      <c r="U2965" s="23" t="str">
        <f t="shared" si="1025"/>
        <v/>
      </c>
      <c r="V2965" s="23" t="str">
        <f t="shared" si="1026"/>
        <v/>
      </c>
      <c r="W2965" s="70" t="str">
        <f t="shared" si="1027"/>
        <v/>
      </c>
      <c r="X2965" s="70" t="str">
        <f t="shared" si="1028"/>
        <v/>
      </c>
      <c r="Y2965" s="70" t="str">
        <f>IF(AND($A2965&lt;&gt;"",$E2965&gt;0),isLaptopBag($C2965,$J2965)*$D2965,"")</f>
        <v/>
      </c>
      <c r="Z2965" s="70" t="str">
        <f t="shared" si="1029"/>
        <v/>
      </c>
      <c r="AA2965" s="70" t="str">
        <f t="shared" si="1030"/>
        <v/>
      </c>
      <c r="AB2965" s="70" t="str">
        <f t="shared" si="1031"/>
        <v/>
      </c>
      <c r="AC2965" s="70" t="str">
        <f t="shared" si="1032"/>
        <v/>
      </c>
      <c r="AD2965" s="70" t="str">
        <f t="shared" si="1033"/>
        <v/>
      </c>
      <c r="AE2965" s="70" t="str">
        <f t="shared" si="1034"/>
        <v/>
      </c>
      <c r="AF2965" s="16"/>
      <c r="AG2965" s="23"/>
      <c r="AH2965" s="22"/>
      <c r="AJ2965" s="83">
        <f t="shared" si="1035"/>
        <v>0</v>
      </c>
      <c r="AO2965" s="22" t="str">
        <f t="shared" si="1036"/>
        <v/>
      </c>
      <c r="AP2965" s="22" t="str">
        <f t="shared" si="1037"/>
        <v/>
      </c>
    </row>
    <row r="2966" spans="1:42" x14ac:dyDescent="0.25">
      <c r="A2966" s="10"/>
      <c r="B2966" s="10"/>
      <c r="C2966" s="10"/>
      <c r="D2966" s="10"/>
      <c r="E2966" s="10"/>
      <c r="F2966" s="10"/>
      <c r="G2966" s="10"/>
      <c r="H2966" s="17"/>
      <c r="I2966" s="10"/>
      <c r="J2966" s="10"/>
      <c r="K2966" s="16" t="str">
        <f t="shared" si="1016"/>
        <v/>
      </c>
      <c r="L2966" s="23" t="str">
        <f t="shared" si="1017"/>
        <v/>
      </c>
      <c r="M2966" s="22" t="str">
        <f t="shared" si="1018"/>
        <v/>
      </c>
      <c r="N2966" s="72"/>
      <c r="O2966" s="16" t="str">
        <f t="shared" si="1019"/>
        <v/>
      </c>
      <c r="P2966" s="16" t="str">
        <f t="shared" si="1020"/>
        <v/>
      </c>
      <c r="Q2966" s="16" t="str">
        <f t="shared" si="1021"/>
        <v/>
      </c>
      <c r="R2966" s="23" t="str">
        <f t="shared" si="1022"/>
        <v/>
      </c>
      <c r="S2966" s="23" t="str">
        <f t="shared" si="1023"/>
        <v/>
      </c>
      <c r="T2966" s="23" t="str">
        <f t="shared" si="1024"/>
        <v/>
      </c>
      <c r="U2966" s="23" t="str">
        <f t="shared" si="1025"/>
        <v/>
      </c>
      <c r="V2966" s="23" t="str">
        <f t="shared" si="1026"/>
        <v/>
      </c>
      <c r="W2966" s="70" t="str">
        <f t="shared" si="1027"/>
        <v/>
      </c>
      <c r="X2966" s="70" t="str">
        <f t="shared" si="1028"/>
        <v/>
      </c>
      <c r="Y2966" s="70" t="str">
        <f>IF(AND($A2966&lt;&gt;"",$E2966&gt;0),isLaptopBag($C2966,$J2966)*$D2966,"")</f>
        <v/>
      </c>
      <c r="Z2966" s="70" t="str">
        <f t="shared" si="1029"/>
        <v/>
      </c>
      <c r="AA2966" s="70" t="str">
        <f t="shared" si="1030"/>
        <v/>
      </c>
      <c r="AB2966" s="70" t="str">
        <f t="shared" si="1031"/>
        <v/>
      </c>
      <c r="AC2966" s="70" t="str">
        <f t="shared" si="1032"/>
        <v/>
      </c>
      <c r="AD2966" s="70" t="str">
        <f t="shared" si="1033"/>
        <v/>
      </c>
      <c r="AE2966" s="70" t="str">
        <f t="shared" si="1034"/>
        <v/>
      </c>
      <c r="AF2966" s="16"/>
      <c r="AG2966" s="23"/>
      <c r="AH2966" s="22"/>
      <c r="AJ2966" s="83">
        <f t="shared" si="1035"/>
        <v>0</v>
      </c>
      <c r="AO2966" s="22" t="str">
        <f t="shared" si="1036"/>
        <v/>
      </c>
      <c r="AP2966" s="22" t="str">
        <f t="shared" si="1037"/>
        <v/>
      </c>
    </row>
    <row r="2967" spans="1:42" x14ac:dyDescent="0.25">
      <c r="A2967" s="10"/>
      <c r="B2967" s="10"/>
      <c r="C2967" s="10"/>
      <c r="D2967" s="10"/>
      <c r="E2967" s="10"/>
      <c r="F2967" s="10"/>
      <c r="G2967" s="10"/>
      <c r="H2967" s="17"/>
      <c r="I2967" s="10"/>
      <c r="J2967" s="10"/>
      <c r="K2967" s="16" t="str">
        <f t="shared" si="1016"/>
        <v/>
      </c>
      <c r="L2967" s="23" t="str">
        <f t="shared" si="1017"/>
        <v/>
      </c>
      <c r="M2967" s="22" t="str">
        <f t="shared" si="1018"/>
        <v/>
      </c>
      <c r="N2967" s="72"/>
      <c r="O2967" s="16" t="str">
        <f t="shared" si="1019"/>
        <v/>
      </c>
      <c r="P2967" s="16" t="str">
        <f t="shared" si="1020"/>
        <v/>
      </c>
      <c r="Q2967" s="16" t="str">
        <f t="shared" si="1021"/>
        <v/>
      </c>
      <c r="R2967" s="23" t="str">
        <f t="shared" si="1022"/>
        <v/>
      </c>
      <c r="S2967" s="23" t="str">
        <f t="shared" si="1023"/>
        <v/>
      </c>
      <c r="T2967" s="23" t="str">
        <f t="shared" si="1024"/>
        <v/>
      </c>
      <c r="U2967" s="23" t="str">
        <f t="shared" si="1025"/>
        <v/>
      </c>
      <c r="V2967" s="23" t="str">
        <f t="shared" si="1026"/>
        <v/>
      </c>
      <c r="W2967" s="70" t="str">
        <f t="shared" si="1027"/>
        <v/>
      </c>
      <c r="X2967" s="70" t="str">
        <f t="shared" si="1028"/>
        <v/>
      </c>
      <c r="Y2967" s="70" t="str">
        <f>IF(AND($A2967&lt;&gt;"",$E2967&gt;0),isLaptopBag($C2967,$J2967)*$D2967,"")</f>
        <v/>
      </c>
      <c r="Z2967" s="70" t="str">
        <f t="shared" si="1029"/>
        <v/>
      </c>
      <c r="AA2967" s="70" t="str">
        <f t="shared" si="1030"/>
        <v/>
      </c>
      <c r="AB2967" s="70" t="str">
        <f t="shared" si="1031"/>
        <v/>
      </c>
      <c r="AC2967" s="70" t="str">
        <f t="shared" si="1032"/>
        <v/>
      </c>
      <c r="AD2967" s="70" t="str">
        <f t="shared" si="1033"/>
        <v/>
      </c>
      <c r="AE2967" s="70" t="str">
        <f t="shared" si="1034"/>
        <v/>
      </c>
      <c r="AF2967" s="16"/>
      <c r="AG2967" s="23"/>
      <c r="AH2967" s="22"/>
      <c r="AJ2967" s="83">
        <f t="shared" si="1035"/>
        <v>0</v>
      </c>
      <c r="AO2967" s="22" t="str">
        <f t="shared" si="1036"/>
        <v/>
      </c>
      <c r="AP2967" s="22" t="str">
        <f t="shared" si="1037"/>
        <v/>
      </c>
    </row>
    <row r="2968" spans="1:42" x14ac:dyDescent="0.25">
      <c r="A2968" s="10"/>
      <c r="B2968" s="10"/>
      <c r="C2968" s="10"/>
      <c r="D2968" s="10"/>
      <c r="E2968" s="10"/>
      <c r="F2968" s="10"/>
      <c r="G2968" s="10"/>
      <c r="H2968" s="17"/>
      <c r="I2968" s="10"/>
      <c r="J2968" s="10"/>
      <c r="K2968" s="16" t="str">
        <f t="shared" si="1016"/>
        <v/>
      </c>
      <c r="L2968" s="23" t="str">
        <f t="shared" si="1017"/>
        <v/>
      </c>
      <c r="M2968" s="22" t="str">
        <f t="shared" si="1018"/>
        <v/>
      </c>
      <c r="N2968" s="72"/>
      <c r="O2968" s="16" t="str">
        <f t="shared" si="1019"/>
        <v/>
      </c>
      <c r="P2968" s="16" t="str">
        <f t="shared" si="1020"/>
        <v/>
      </c>
      <c r="Q2968" s="16" t="str">
        <f t="shared" si="1021"/>
        <v/>
      </c>
      <c r="R2968" s="23" t="str">
        <f t="shared" si="1022"/>
        <v/>
      </c>
      <c r="S2968" s="23" t="str">
        <f t="shared" si="1023"/>
        <v/>
      </c>
      <c r="T2968" s="23" t="str">
        <f t="shared" si="1024"/>
        <v/>
      </c>
      <c r="U2968" s="23" t="str">
        <f t="shared" si="1025"/>
        <v/>
      </c>
      <c r="V2968" s="23" t="str">
        <f t="shared" si="1026"/>
        <v/>
      </c>
      <c r="W2968" s="70" t="str">
        <f t="shared" si="1027"/>
        <v/>
      </c>
      <c r="X2968" s="70" t="str">
        <f t="shared" si="1028"/>
        <v/>
      </c>
      <c r="Y2968" s="70" t="str">
        <f>IF(AND($A2968&lt;&gt;"",$E2968&gt;0),isLaptopBag($C2968,$J2968)*$D2968,"")</f>
        <v/>
      </c>
      <c r="Z2968" s="70" t="str">
        <f t="shared" si="1029"/>
        <v/>
      </c>
      <c r="AA2968" s="70" t="str">
        <f t="shared" si="1030"/>
        <v/>
      </c>
      <c r="AB2968" s="70" t="str">
        <f t="shared" si="1031"/>
        <v/>
      </c>
      <c r="AC2968" s="70" t="str">
        <f t="shared" si="1032"/>
        <v/>
      </c>
      <c r="AD2968" s="70" t="str">
        <f t="shared" si="1033"/>
        <v/>
      </c>
      <c r="AE2968" s="70" t="str">
        <f t="shared" si="1034"/>
        <v/>
      </c>
      <c r="AF2968" s="16"/>
      <c r="AG2968" s="23"/>
      <c r="AH2968" s="22"/>
      <c r="AJ2968" s="83">
        <f t="shared" si="1035"/>
        <v>0</v>
      </c>
      <c r="AO2968" s="22" t="str">
        <f t="shared" si="1036"/>
        <v/>
      </c>
      <c r="AP2968" s="22" t="str">
        <f t="shared" si="1037"/>
        <v/>
      </c>
    </row>
    <row r="2969" spans="1:42" x14ac:dyDescent="0.25">
      <c r="A2969" s="10"/>
      <c r="B2969" s="10"/>
      <c r="C2969" s="10"/>
      <c r="D2969" s="10"/>
      <c r="E2969" s="10"/>
      <c r="F2969" s="10"/>
      <c r="G2969" s="10"/>
      <c r="H2969" s="17"/>
      <c r="I2969" s="10"/>
      <c r="J2969" s="10"/>
      <c r="K2969" s="16" t="str">
        <f t="shared" si="1016"/>
        <v/>
      </c>
      <c r="L2969" s="23" t="str">
        <f t="shared" si="1017"/>
        <v/>
      </c>
      <c r="M2969" s="22" t="str">
        <f t="shared" si="1018"/>
        <v/>
      </c>
      <c r="N2969" s="72"/>
      <c r="O2969" s="16" t="str">
        <f t="shared" si="1019"/>
        <v/>
      </c>
      <c r="P2969" s="16" t="str">
        <f t="shared" si="1020"/>
        <v/>
      </c>
      <c r="Q2969" s="16" t="str">
        <f t="shared" si="1021"/>
        <v/>
      </c>
      <c r="R2969" s="23" t="str">
        <f t="shared" si="1022"/>
        <v/>
      </c>
      <c r="S2969" s="23" t="str">
        <f t="shared" si="1023"/>
        <v/>
      </c>
      <c r="T2969" s="23" t="str">
        <f t="shared" si="1024"/>
        <v/>
      </c>
      <c r="U2969" s="23" t="str">
        <f t="shared" si="1025"/>
        <v/>
      </c>
      <c r="V2969" s="23" t="str">
        <f t="shared" si="1026"/>
        <v/>
      </c>
      <c r="W2969" s="70" t="str">
        <f t="shared" si="1027"/>
        <v/>
      </c>
      <c r="X2969" s="70" t="str">
        <f t="shared" si="1028"/>
        <v/>
      </c>
      <c r="Y2969" s="70" t="str">
        <f>IF(AND($A2969&lt;&gt;"",$E2969&gt;0),isLaptopBag($C2969,$J2969)*$D2969,"")</f>
        <v/>
      </c>
      <c r="Z2969" s="70" t="str">
        <f t="shared" si="1029"/>
        <v/>
      </c>
      <c r="AA2969" s="70" t="str">
        <f t="shared" si="1030"/>
        <v/>
      </c>
      <c r="AB2969" s="70" t="str">
        <f t="shared" si="1031"/>
        <v/>
      </c>
      <c r="AC2969" s="70" t="str">
        <f t="shared" si="1032"/>
        <v/>
      </c>
      <c r="AD2969" s="70" t="str">
        <f t="shared" si="1033"/>
        <v/>
      </c>
      <c r="AE2969" s="70" t="str">
        <f t="shared" si="1034"/>
        <v/>
      </c>
      <c r="AF2969" s="16"/>
      <c r="AG2969" s="23"/>
      <c r="AH2969" s="22"/>
      <c r="AJ2969" s="83">
        <f t="shared" si="1035"/>
        <v>0</v>
      </c>
      <c r="AO2969" s="22" t="str">
        <f t="shared" si="1036"/>
        <v/>
      </c>
      <c r="AP2969" s="22" t="str">
        <f t="shared" si="1037"/>
        <v/>
      </c>
    </row>
    <row r="2970" spans="1:42" x14ac:dyDescent="0.25">
      <c r="A2970" s="10"/>
      <c r="B2970" s="10"/>
      <c r="C2970" s="10"/>
      <c r="D2970" s="10"/>
      <c r="E2970" s="10"/>
      <c r="F2970" s="10"/>
      <c r="G2970" s="10"/>
      <c r="H2970" s="17"/>
      <c r="I2970" s="10"/>
      <c r="J2970" s="10"/>
      <c r="K2970" s="16" t="str">
        <f t="shared" si="1016"/>
        <v/>
      </c>
      <c r="L2970" s="23" t="str">
        <f t="shared" si="1017"/>
        <v/>
      </c>
      <c r="M2970" s="22" t="str">
        <f t="shared" si="1018"/>
        <v/>
      </c>
      <c r="N2970" s="72"/>
      <c r="O2970" s="16" t="str">
        <f t="shared" si="1019"/>
        <v/>
      </c>
      <c r="P2970" s="16" t="str">
        <f t="shared" si="1020"/>
        <v/>
      </c>
      <c r="Q2970" s="16" t="str">
        <f t="shared" si="1021"/>
        <v/>
      </c>
      <c r="R2970" s="23" t="str">
        <f t="shared" si="1022"/>
        <v/>
      </c>
      <c r="S2970" s="23" t="str">
        <f t="shared" si="1023"/>
        <v/>
      </c>
      <c r="T2970" s="23" t="str">
        <f t="shared" si="1024"/>
        <v/>
      </c>
      <c r="U2970" s="23" t="str">
        <f t="shared" si="1025"/>
        <v/>
      </c>
      <c r="V2970" s="23" t="str">
        <f t="shared" si="1026"/>
        <v/>
      </c>
      <c r="W2970" s="70" t="str">
        <f t="shared" si="1027"/>
        <v/>
      </c>
      <c r="X2970" s="70" t="str">
        <f t="shared" si="1028"/>
        <v/>
      </c>
      <c r="Y2970" s="70" t="str">
        <f>IF(AND($A2970&lt;&gt;"",$E2970&gt;0),isLaptopBag($C2970,$J2970)*$D2970,"")</f>
        <v/>
      </c>
      <c r="Z2970" s="70" t="str">
        <f t="shared" si="1029"/>
        <v/>
      </c>
      <c r="AA2970" s="70" t="str">
        <f t="shared" si="1030"/>
        <v/>
      </c>
      <c r="AB2970" s="70" t="str">
        <f t="shared" si="1031"/>
        <v/>
      </c>
      <c r="AC2970" s="70" t="str">
        <f t="shared" si="1032"/>
        <v/>
      </c>
      <c r="AD2970" s="70" t="str">
        <f t="shared" si="1033"/>
        <v/>
      </c>
      <c r="AE2970" s="70" t="str">
        <f t="shared" si="1034"/>
        <v/>
      </c>
      <c r="AF2970" s="16"/>
      <c r="AG2970" s="23"/>
      <c r="AH2970" s="22"/>
      <c r="AJ2970" s="83">
        <f t="shared" si="1035"/>
        <v>0</v>
      </c>
      <c r="AO2970" s="22" t="str">
        <f t="shared" si="1036"/>
        <v/>
      </c>
      <c r="AP2970" s="22" t="str">
        <f t="shared" si="1037"/>
        <v/>
      </c>
    </row>
    <row r="2971" spans="1:42" x14ac:dyDescent="0.25">
      <c r="A2971" s="10"/>
      <c r="B2971" s="10"/>
      <c r="C2971" s="10"/>
      <c r="D2971" s="10"/>
      <c r="E2971" s="10"/>
      <c r="F2971" s="10"/>
      <c r="G2971" s="10"/>
      <c r="H2971" s="17"/>
      <c r="I2971" s="10"/>
      <c r="J2971" s="10"/>
      <c r="K2971" s="16" t="str">
        <f t="shared" si="1016"/>
        <v/>
      </c>
      <c r="L2971" s="23" t="str">
        <f t="shared" si="1017"/>
        <v/>
      </c>
      <c r="M2971" s="22" t="str">
        <f t="shared" si="1018"/>
        <v/>
      </c>
      <c r="N2971" s="72"/>
      <c r="O2971" s="16" t="str">
        <f t="shared" si="1019"/>
        <v/>
      </c>
      <c r="P2971" s="16" t="str">
        <f t="shared" si="1020"/>
        <v/>
      </c>
      <c r="Q2971" s="16" t="str">
        <f t="shared" si="1021"/>
        <v/>
      </c>
      <c r="R2971" s="23" t="str">
        <f t="shared" si="1022"/>
        <v/>
      </c>
      <c r="S2971" s="23" t="str">
        <f t="shared" si="1023"/>
        <v/>
      </c>
      <c r="T2971" s="23" t="str">
        <f t="shared" si="1024"/>
        <v/>
      </c>
      <c r="U2971" s="23" t="str">
        <f t="shared" si="1025"/>
        <v/>
      </c>
      <c r="V2971" s="23" t="str">
        <f t="shared" si="1026"/>
        <v/>
      </c>
      <c r="W2971" s="70" t="str">
        <f t="shared" si="1027"/>
        <v/>
      </c>
      <c r="X2971" s="70" t="str">
        <f t="shared" si="1028"/>
        <v/>
      </c>
      <c r="Y2971" s="70" t="str">
        <f>IF(AND($A2971&lt;&gt;"",$E2971&gt;0),isLaptopBag($C2971,$J2971)*$D2971,"")</f>
        <v/>
      </c>
      <c r="Z2971" s="70" t="str">
        <f t="shared" si="1029"/>
        <v/>
      </c>
      <c r="AA2971" s="70" t="str">
        <f t="shared" si="1030"/>
        <v/>
      </c>
      <c r="AB2971" s="70" t="str">
        <f t="shared" si="1031"/>
        <v/>
      </c>
      <c r="AC2971" s="70" t="str">
        <f t="shared" si="1032"/>
        <v/>
      </c>
      <c r="AD2971" s="70" t="str">
        <f t="shared" si="1033"/>
        <v/>
      </c>
      <c r="AE2971" s="70" t="str">
        <f t="shared" si="1034"/>
        <v/>
      </c>
      <c r="AF2971" s="16"/>
      <c r="AG2971" s="23"/>
      <c r="AH2971" s="22"/>
      <c r="AJ2971" s="83">
        <f t="shared" si="1035"/>
        <v>0</v>
      </c>
      <c r="AO2971" s="22" t="str">
        <f t="shared" si="1036"/>
        <v/>
      </c>
      <c r="AP2971" s="22" t="str">
        <f t="shared" si="1037"/>
        <v/>
      </c>
    </row>
    <row r="2972" spans="1:42" x14ac:dyDescent="0.25">
      <c r="A2972" s="10"/>
      <c r="B2972" s="10"/>
      <c r="C2972" s="10"/>
      <c r="D2972" s="10"/>
      <c r="E2972" s="10"/>
      <c r="F2972" s="10"/>
      <c r="G2972" s="10"/>
      <c r="H2972" s="17"/>
      <c r="I2972" s="10"/>
      <c r="J2972" s="10"/>
      <c r="K2972" s="16" t="str">
        <f t="shared" si="1016"/>
        <v/>
      </c>
      <c r="L2972" s="23" t="str">
        <f t="shared" si="1017"/>
        <v/>
      </c>
      <c r="M2972" s="22" t="str">
        <f t="shared" si="1018"/>
        <v/>
      </c>
      <c r="N2972" s="72"/>
      <c r="O2972" s="16" t="str">
        <f t="shared" si="1019"/>
        <v/>
      </c>
      <c r="P2972" s="16" t="str">
        <f t="shared" si="1020"/>
        <v/>
      </c>
      <c r="Q2972" s="16" t="str">
        <f t="shared" si="1021"/>
        <v/>
      </c>
      <c r="R2972" s="23" t="str">
        <f t="shared" si="1022"/>
        <v/>
      </c>
      <c r="S2972" s="23" t="str">
        <f t="shared" si="1023"/>
        <v/>
      </c>
      <c r="T2972" s="23" t="str">
        <f t="shared" si="1024"/>
        <v/>
      </c>
      <c r="U2972" s="23" t="str">
        <f t="shared" si="1025"/>
        <v/>
      </c>
      <c r="V2972" s="23" t="str">
        <f t="shared" si="1026"/>
        <v/>
      </c>
      <c r="W2972" s="70" t="str">
        <f t="shared" si="1027"/>
        <v/>
      </c>
      <c r="X2972" s="70" t="str">
        <f t="shared" si="1028"/>
        <v/>
      </c>
      <c r="Y2972" s="70" t="str">
        <f>IF(AND($A2972&lt;&gt;"",$E2972&gt;0),isLaptopBag($C2972,$J2972)*$D2972,"")</f>
        <v/>
      </c>
      <c r="Z2972" s="70" t="str">
        <f t="shared" si="1029"/>
        <v/>
      </c>
      <c r="AA2972" s="70" t="str">
        <f t="shared" si="1030"/>
        <v/>
      </c>
      <c r="AB2972" s="70" t="str">
        <f t="shared" si="1031"/>
        <v/>
      </c>
      <c r="AC2972" s="70" t="str">
        <f t="shared" si="1032"/>
        <v/>
      </c>
      <c r="AD2972" s="70" t="str">
        <f t="shared" si="1033"/>
        <v/>
      </c>
      <c r="AE2972" s="70" t="str">
        <f t="shared" si="1034"/>
        <v/>
      </c>
      <c r="AF2972" s="16"/>
      <c r="AG2972" s="23"/>
      <c r="AH2972" s="22"/>
      <c r="AJ2972" s="83">
        <f t="shared" si="1035"/>
        <v>0</v>
      </c>
      <c r="AO2972" s="22" t="str">
        <f t="shared" si="1036"/>
        <v/>
      </c>
      <c r="AP2972" s="22" t="str">
        <f t="shared" si="1037"/>
        <v/>
      </c>
    </row>
    <row r="2973" spans="1:42" x14ac:dyDescent="0.25">
      <c r="A2973" s="10"/>
      <c r="B2973" s="10"/>
      <c r="C2973" s="10"/>
      <c r="D2973" s="10"/>
      <c r="E2973" s="10"/>
      <c r="F2973" s="10"/>
      <c r="G2973" s="10"/>
      <c r="H2973" s="17"/>
      <c r="I2973" s="10"/>
      <c r="J2973" s="10"/>
      <c r="K2973" s="16" t="str">
        <f t="shared" si="1016"/>
        <v/>
      </c>
      <c r="L2973" s="23" t="str">
        <f t="shared" si="1017"/>
        <v/>
      </c>
      <c r="M2973" s="22" t="str">
        <f t="shared" si="1018"/>
        <v/>
      </c>
      <c r="N2973" s="72"/>
      <c r="O2973" s="16" t="str">
        <f t="shared" si="1019"/>
        <v/>
      </c>
      <c r="P2973" s="16" t="str">
        <f t="shared" si="1020"/>
        <v/>
      </c>
      <c r="Q2973" s="16" t="str">
        <f t="shared" si="1021"/>
        <v/>
      </c>
      <c r="R2973" s="23" t="str">
        <f t="shared" si="1022"/>
        <v/>
      </c>
      <c r="S2973" s="23" t="str">
        <f t="shared" si="1023"/>
        <v/>
      </c>
      <c r="T2973" s="23" t="str">
        <f t="shared" si="1024"/>
        <v/>
      </c>
      <c r="U2973" s="23" t="str">
        <f t="shared" si="1025"/>
        <v/>
      </c>
      <c r="V2973" s="23" t="str">
        <f t="shared" si="1026"/>
        <v/>
      </c>
      <c r="W2973" s="70" t="str">
        <f t="shared" si="1027"/>
        <v/>
      </c>
      <c r="X2973" s="70" t="str">
        <f t="shared" si="1028"/>
        <v/>
      </c>
      <c r="Y2973" s="70" t="str">
        <f>IF(AND($A2973&lt;&gt;"",$E2973&gt;0),isLaptopBag($C2973,$J2973)*$D2973,"")</f>
        <v/>
      </c>
      <c r="Z2973" s="70" t="str">
        <f t="shared" si="1029"/>
        <v/>
      </c>
      <c r="AA2973" s="70" t="str">
        <f t="shared" si="1030"/>
        <v/>
      </c>
      <c r="AB2973" s="70" t="str">
        <f t="shared" si="1031"/>
        <v/>
      </c>
      <c r="AC2973" s="70" t="str">
        <f t="shared" si="1032"/>
        <v/>
      </c>
      <c r="AD2973" s="70" t="str">
        <f t="shared" si="1033"/>
        <v/>
      </c>
      <c r="AE2973" s="70" t="str">
        <f t="shared" si="1034"/>
        <v/>
      </c>
      <c r="AF2973" s="16"/>
      <c r="AG2973" s="23"/>
      <c r="AH2973" s="22"/>
      <c r="AJ2973" s="83">
        <f t="shared" si="1035"/>
        <v>0</v>
      </c>
      <c r="AO2973" s="22" t="str">
        <f t="shared" si="1036"/>
        <v/>
      </c>
      <c r="AP2973" s="22" t="str">
        <f t="shared" si="1037"/>
        <v/>
      </c>
    </row>
    <row r="2974" spans="1:42" x14ac:dyDescent="0.25">
      <c r="A2974" s="10"/>
      <c r="B2974" s="10"/>
      <c r="C2974" s="10"/>
      <c r="D2974" s="10"/>
      <c r="E2974" s="10"/>
      <c r="F2974" s="10"/>
      <c r="G2974" s="10"/>
      <c r="H2974" s="17"/>
      <c r="I2974" s="10"/>
      <c r="J2974" s="10"/>
      <c r="K2974" s="16" t="str">
        <f t="shared" si="1016"/>
        <v/>
      </c>
      <c r="L2974" s="23" t="str">
        <f t="shared" si="1017"/>
        <v/>
      </c>
      <c r="M2974" s="22" t="str">
        <f t="shared" si="1018"/>
        <v/>
      </c>
      <c r="N2974" s="72"/>
      <c r="O2974" s="16" t="str">
        <f t="shared" si="1019"/>
        <v/>
      </c>
      <c r="P2974" s="16" t="str">
        <f t="shared" si="1020"/>
        <v/>
      </c>
      <c r="Q2974" s="16" t="str">
        <f t="shared" si="1021"/>
        <v/>
      </c>
      <c r="R2974" s="23" t="str">
        <f t="shared" si="1022"/>
        <v/>
      </c>
      <c r="S2974" s="23" t="str">
        <f t="shared" si="1023"/>
        <v/>
      </c>
      <c r="T2974" s="23" t="str">
        <f t="shared" si="1024"/>
        <v/>
      </c>
      <c r="U2974" s="23" t="str">
        <f t="shared" si="1025"/>
        <v/>
      </c>
      <c r="V2974" s="23" t="str">
        <f t="shared" si="1026"/>
        <v/>
      </c>
      <c r="W2974" s="70" t="str">
        <f t="shared" si="1027"/>
        <v/>
      </c>
      <c r="X2974" s="70" t="str">
        <f t="shared" si="1028"/>
        <v/>
      </c>
      <c r="Y2974" s="70" t="str">
        <f>IF(AND($A2974&lt;&gt;"",$E2974&gt;0),isLaptopBag($C2974,$J2974)*$D2974,"")</f>
        <v/>
      </c>
      <c r="Z2974" s="70" t="str">
        <f t="shared" si="1029"/>
        <v/>
      </c>
      <c r="AA2974" s="70" t="str">
        <f t="shared" si="1030"/>
        <v/>
      </c>
      <c r="AB2974" s="70" t="str">
        <f t="shared" si="1031"/>
        <v/>
      </c>
      <c r="AC2974" s="70" t="str">
        <f t="shared" si="1032"/>
        <v/>
      </c>
      <c r="AD2974" s="70" t="str">
        <f t="shared" si="1033"/>
        <v/>
      </c>
      <c r="AE2974" s="70" t="str">
        <f t="shared" si="1034"/>
        <v/>
      </c>
      <c r="AF2974" s="16"/>
      <c r="AG2974" s="23"/>
      <c r="AH2974" s="22"/>
      <c r="AJ2974" s="83">
        <f t="shared" si="1035"/>
        <v>0</v>
      </c>
      <c r="AO2974" s="22" t="str">
        <f t="shared" si="1036"/>
        <v/>
      </c>
      <c r="AP2974" s="22" t="str">
        <f t="shared" si="1037"/>
        <v/>
      </c>
    </row>
    <row r="2975" spans="1:42" x14ac:dyDescent="0.25">
      <c r="A2975" s="10"/>
      <c r="B2975" s="10"/>
      <c r="C2975" s="10"/>
      <c r="D2975" s="10"/>
      <c r="E2975" s="10"/>
      <c r="F2975" s="10"/>
      <c r="G2975" s="10"/>
      <c r="H2975" s="17"/>
      <c r="I2975" s="10"/>
      <c r="J2975" s="10"/>
      <c r="K2975" s="16" t="str">
        <f t="shared" si="1016"/>
        <v/>
      </c>
      <c r="L2975" s="23" t="str">
        <f t="shared" si="1017"/>
        <v/>
      </c>
      <c r="M2975" s="22" t="str">
        <f t="shared" si="1018"/>
        <v/>
      </c>
      <c r="N2975" s="72"/>
      <c r="O2975" s="16" t="str">
        <f t="shared" si="1019"/>
        <v/>
      </c>
      <c r="P2975" s="16" t="str">
        <f t="shared" si="1020"/>
        <v/>
      </c>
      <c r="Q2975" s="16" t="str">
        <f t="shared" si="1021"/>
        <v/>
      </c>
      <c r="R2975" s="23" t="str">
        <f t="shared" si="1022"/>
        <v/>
      </c>
      <c r="S2975" s="23" t="str">
        <f t="shared" si="1023"/>
        <v/>
      </c>
      <c r="T2975" s="23" t="str">
        <f t="shared" si="1024"/>
        <v/>
      </c>
      <c r="U2975" s="23" t="str">
        <f t="shared" si="1025"/>
        <v/>
      </c>
      <c r="V2975" s="23" t="str">
        <f t="shared" si="1026"/>
        <v/>
      </c>
      <c r="W2975" s="70" t="str">
        <f t="shared" si="1027"/>
        <v/>
      </c>
      <c r="X2975" s="70" t="str">
        <f t="shared" si="1028"/>
        <v/>
      </c>
      <c r="Y2975" s="70" t="str">
        <f>IF(AND($A2975&lt;&gt;"",$E2975&gt;0),isLaptopBag($C2975,$J2975)*$D2975,"")</f>
        <v/>
      </c>
      <c r="Z2975" s="70" t="str">
        <f t="shared" si="1029"/>
        <v/>
      </c>
      <c r="AA2975" s="70" t="str">
        <f t="shared" si="1030"/>
        <v/>
      </c>
      <c r="AB2975" s="70" t="str">
        <f t="shared" si="1031"/>
        <v/>
      </c>
      <c r="AC2975" s="70" t="str">
        <f t="shared" si="1032"/>
        <v/>
      </c>
      <c r="AD2975" s="70" t="str">
        <f t="shared" si="1033"/>
        <v/>
      </c>
      <c r="AE2975" s="70" t="str">
        <f t="shared" si="1034"/>
        <v/>
      </c>
      <c r="AF2975" s="16"/>
      <c r="AG2975" s="23"/>
      <c r="AH2975" s="22"/>
      <c r="AJ2975" s="83">
        <f t="shared" si="1035"/>
        <v>0</v>
      </c>
      <c r="AO2975" s="22" t="str">
        <f t="shared" si="1036"/>
        <v/>
      </c>
      <c r="AP2975" s="22" t="str">
        <f t="shared" si="1037"/>
        <v/>
      </c>
    </row>
    <row r="2976" spans="1:42" x14ac:dyDescent="0.25">
      <c r="A2976" s="10"/>
      <c r="B2976" s="10"/>
      <c r="C2976" s="10"/>
      <c r="D2976" s="10"/>
      <c r="E2976" s="10"/>
      <c r="F2976" s="10"/>
      <c r="G2976" s="10"/>
      <c r="H2976" s="17"/>
      <c r="I2976" s="10"/>
      <c r="J2976" s="10"/>
      <c r="K2976" s="16" t="str">
        <f t="shared" si="1016"/>
        <v/>
      </c>
      <c r="L2976" s="23" t="str">
        <f t="shared" si="1017"/>
        <v/>
      </c>
      <c r="M2976" s="22" t="str">
        <f t="shared" si="1018"/>
        <v/>
      </c>
      <c r="N2976" s="72"/>
      <c r="O2976" s="16" t="str">
        <f t="shared" si="1019"/>
        <v/>
      </c>
      <c r="P2976" s="16" t="str">
        <f t="shared" si="1020"/>
        <v/>
      </c>
      <c r="Q2976" s="16" t="str">
        <f t="shared" si="1021"/>
        <v/>
      </c>
      <c r="R2976" s="23" t="str">
        <f t="shared" si="1022"/>
        <v/>
      </c>
      <c r="S2976" s="23" t="str">
        <f t="shared" si="1023"/>
        <v/>
      </c>
      <c r="T2976" s="23" t="str">
        <f t="shared" si="1024"/>
        <v/>
      </c>
      <c r="U2976" s="23" t="str">
        <f t="shared" si="1025"/>
        <v/>
      </c>
      <c r="V2976" s="23" t="str">
        <f t="shared" si="1026"/>
        <v/>
      </c>
      <c r="W2976" s="70" t="str">
        <f t="shared" si="1027"/>
        <v/>
      </c>
      <c r="X2976" s="70" t="str">
        <f t="shared" si="1028"/>
        <v/>
      </c>
      <c r="Y2976" s="70" t="str">
        <f>IF(AND($A2976&lt;&gt;"",$E2976&gt;0),isLaptopBag($C2976,$J2976)*$D2976,"")</f>
        <v/>
      </c>
      <c r="Z2976" s="70" t="str">
        <f t="shared" si="1029"/>
        <v/>
      </c>
      <c r="AA2976" s="70" t="str">
        <f t="shared" si="1030"/>
        <v/>
      </c>
      <c r="AB2976" s="70" t="str">
        <f t="shared" si="1031"/>
        <v/>
      </c>
      <c r="AC2976" s="70" t="str">
        <f t="shared" si="1032"/>
        <v/>
      </c>
      <c r="AD2976" s="70" t="str">
        <f t="shared" si="1033"/>
        <v/>
      </c>
      <c r="AE2976" s="70" t="str">
        <f t="shared" si="1034"/>
        <v/>
      </c>
      <c r="AF2976" s="16"/>
      <c r="AG2976" s="23"/>
      <c r="AH2976" s="22"/>
      <c r="AJ2976" s="83">
        <f t="shared" si="1035"/>
        <v>0</v>
      </c>
      <c r="AO2976" s="22" t="str">
        <f t="shared" si="1036"/>
        <v/>
      </c>
      <c r="AP2976" s="22" t="str">
        <f t="shared" si="1037"/>
        <v/>
      </c>
    </row>
    <row r="2977" spans="1:42" x14ac:dyDescent="0.25">
      <c r="A2977" s="10"/>
      <c r="B2977" s="10"/>
      <c r="C2977" s="10"/>
      <c r="D2977" s="10"/>
      <c r="E2977" s="10"/>
      <c r="F2977" s="10"/>
      <c r="G2977" s="10"/>
      <c r="H2977" s="17"/>
      <c r="I2977" s="10"/>
      <c r="J2977" s="10"/>
      <c r="K2977" s="16" t="str">
        <f t="shared" si="1016"/>
        <v/>
      </c>
      <c r="L2977" s="23" t="str">
        <f t="shared" si="1017"/>
        <v/>
      </c>
      <c r="M2977" s="22" t="str">
        <f t="shared" si="1018"/>
        <v/>
      </c>
      <c r="N2977" s="72"/>
      <c r="O2977" s="16" t="str">
        <f t="shared" si="1019"/>
        <v/>
      </c>
      <c r="P2977" s="16" t="str">
        <f t="shared" si="1020"/>
        <v/>
      </c>
      <c r="Q2977" s="16" t="str">
        <f t="shared" si="1021"/>
        <v/>
      </c>
      <c r="R2977" s="23" t="str">
        <f t="shared" si="1022"/>
        <v/>
      </c>
      <c r="S2977" s="23" t="str">
        <f t="shared" si="1023"/>
        <v/>
      </c>
      <c r="T2977" s="23" t="str">
        <f t="shared" si="1024"/>
        <v/>
      </c>
      <c r="U2977" s="23" t="str">
        <f t="shared" si="1025"/>
        <v/>
      </c>
      <c r="V2977" s="23" t="str">
        <f t="shared" si="1026"/>
        <v/>
      </c>
      <c r="W2977" s="70" t="str">
        <f t="shared" si="1027"/>
        <v/>
      </c>
      <c r="X2977" s="70" t="str">
        <f t="shared" si="1028"/>
        <v/>
      </c>
      <c r="Y2977" s="70" t="str">
        <f>IF(AND($A2977&lt;&gt;"",$E2977&gt;0),isLaptopBag($C2977,$J2977)*$D2977,"")</f>
        <v/>
      </c>
      <c r="Z2977" s="70" t="str">
        <f t="shared" si="1029"/>
        <v/>
      </c>
      <c r="AA2977" s="70" t="str">
        <f t="shared" si="1030"/>
        <v/>
      </c>
      <c r="AB2977" s="70" t="str">
        <f t="shared" si="1031"/>
        <v/>
      </c>
      <c r="AC2977" s="70" t="str">
        <f t="shared" si="1032"/>
        <v/>
      </c>
      <c r="AD2977" s="70" t="str">
        <f t="shared" si="1033"/>
        <v/>
      </c>
      <c r="AE2977" s="70" t="str">
        <f t="shared" si="1034"/>
        <v/>
      </c>
      <c r="AF2977" s="16"/>
      <c r="AG2977" s="23"/>
      <c r="AH2977" s="22"/>
      <c r="AJ2977" s="83">
        <f t="shared" si="1035"/>
        <v>0</v>
      </c>
      <c r="AO2977" s="22" t="str">
        <f t="shared" si="1036"/>
        <v/>
      </c>
      <c r="AP2977" s="22" t="str">
        <f t="shared" si="1037"/>
        <v/>
      </c>
    </row>
    <row r="2978" spans="1:42" x14ac:dyDescent="0.25">
      <c r="A2978" s="10"/>
      <c r="B2978" s="10"/>
      <c r="C2978" s="10"/>
      <c r="D2978" s="10"/>
      <c r="E2978" s="10"/>
      <c r="F2978" s="10"/>
      <c r="G2978" s="10"/>
      <c r="H2978" s="17"/>
      <c r="I2978" s="10"/>
      <c r="J2978" s="10"/>
      <c r="K2978" s="16" t="str">
        <f t="shared" si="1016"/>
        <v/>
      </c>
      <c r="L2978" s="23" t="str">
        <f t="shared" si="1017"/>
        <v/>
      </c>
      <c r="M2978" s="22" t="str">
        <f t="shared" si="1018"/>
        <v/>
      </c>
      <c r="N2978" s="72"/>
      <c r="O2978" s="16" t="str">
        <f t="shared" si="1019"/>
        <v/>
      </c>
      <c r="P2978" s="16" t="str">
        <f t="shared" si="1020"/>
        <v/>
      </c>
      <c r="Q2978" s="16" t="str">
        <f t="shared" si="1021"/>
        <v/>
      </c>
      <c r="R2978" s="23" t="str">
        <f t="shared" si="1022"/>
        <v/>
      </c>
      <c r="S2978" s="23" t="str">
        <f t="shared" si="1023"/>
        <v/>
      </c>
      <c r="T2978" s="23" t="str">
        <f t="shared" si="1024"/>
        <v/>
      </c>
      <c r="U2978" s="23" t="str">
        <f t="shared" si="1025"/>
        <v/>
      </c>
      <c r="V2978" s="23" t="str">
        <f t="shared" si="1026"/>
        <v/>
      </c>
      <c r="W2978" s="70" t="str">
        <f t="shared" si="1027"/>
        <v/>
      </c>
      <c r="X2978" s="70" t="str">
        <f t="shared" si="1028"/>
        <v/>
      </c>
      <c r="Y2978" s="70" t="str">
        <f>IF(AND($A2978&lt;&gt;"",$E2978&gt;0),isLaptopBag($C2978,$J2978)*$D2978,"")</f>
        <v/>
      </c>
      <c r="Z2978" s="70" t="str">
        <f t="shared" si="1029"/>
        <v/>
      </c>
      <c r="AA2978" s="70" t="str">
        <f t="shared" si="1030"/>
        <v/>
      </c>
      <c r="AB2978" s="70" t="str">
        <f t="shared" si="1031"/>
        <v/>
      </c>
      <c r="AC2978" s="70" t="str">
        <f t="shared" si="1032"/>
        <v/>
      </c>
      <c r="AD2978" s="70" t="str">
        <f t="shared" si="1033"/>
        <v/>
      </c>
      <c r="AE2978" s="70" t="str">
        <f t="shared" si="1034"/>
        <v/>
      </c>
      <c r="AF2978" s="16"/>
      <c r="AG2978" s="23"/>
      <c r="AH2978" s="22"/>
      <c r="AJ2978" s="83">
        <f t="shared" si="1035"/>
        <v>0</v>
      </c>
      <c r="AO2978" s="22" t="str">
        <f t="shared" si="1036"/>
        <v/>
      </c>
      <c r="AP2978" s="22" t="str">
        <f t="shared" si="1037"/>
        <v/>
      </c>
    </row>
    <row r="2979" spans="1:42" x14ac:dyDescent="0.25">
      <c r="A2979" s="10"/>
      <c r="B2979" s="10"/>
      <c r="C2979" s="10"/>
      <c r="D2979" s="10"/>
      <c r="E2979" s="10"/>
      <c r="F2979" s="10"/>
      <c r="G2979" s="10"/>
      <c r="H2979" s="17"/>
      <c r="I2979" s="10"/>
      <c r="J2979" s="10"/>
      <c r="K2979" s="16" t="str">
        <f t="shared" si="1016"/>
        <v/>
      </c>
      <c r="L2979" s="23" t="str">
        <f t="shared" si="1017"/>
        <v/>
      </c>
      <c r="M2979" s="22" t="str">
        <f t="shared" si="1018"/>
        <v/>
      </c>
      <c r="N2979" s="72"/>
      <c r="O2979" s="16" t="str">
        <f t="shared" si="1019"/>
        <v/>
      </c>
      <c r="P2979" s="16" t="str">
        <f t="shared" si="1020"/>
        <v/>
      </c>
      <c r="Q2979" s="16" t="str">
        <f t="shared" si="1021"/>
        <v/>
      </c>
      <c r="R2979" s="23" t="str">
        <f t="shared" si="1022"/>
        <v/>
      </c>
      <c r="S2979" s="23" t="str">
        <f t="shared" si="1023"/>
        <v/>
      </c>
      <c r="T2979" s="23" t="str">
        <f t="shared" si="1024"/>
        <v/>
      </c>
      <c r="U2979" s="23" t="str">
        <f t="shared" si="1025"/>
        <v/>
      </c>
      <c r="V2979" s="23" t="str">
        <f t="shared" si="1026"/>
        <v/>
      </c>
      <c r="W2979" s="70" t="str">
        <f t="shared" si="1027"/>
        <v/>
      </c>
      <c r="X2979" s="70" t="str">
        <f t="shared" si="1028"/>
        <v/>
      </c>
      <c r="Y2979" s="70" t="str">
        <f>IF(AND($A2979&lt;&gt;"",$E2979&gt;0),isLaptopBag($C2979,$J2979)*$D2979,"")</f>
        <v/>
      </c>
      <c r="Z2979" s="70" t="str">
        <f t="shared" si="1029"/>
        <v/>
      </c>
      <c r="AA2979" s="70" t="str">
        <f t="shared" si="1030"/>
        <v/>
      </c>
      <c r="AB2979" s="70" t="str">
        <f t="shared" si="1031"/>
        <v/>
      </c>
      <c r="AC2979" s="70" t="str">
        <f t="shared" si="1032"/>
        <v/>
      </c>
      <c r="AD2979" s="70" t="str">
        <f t="shared" si="1033"/>
        <v/>
      </c>
      <c r="AE2979" s="70" t="str">
        <f t="shared" si="1034"/>
        <v/>
      </c>
      <c r="AF2979" s="16"/>
      <c r="AG2979" s="23"/>
      <c r="AH2979" s="22"/>
      <c r="AJ2979" s="83">
        <f t="shared" si="1035"/>
        <v>0</v>
      </c>
      <c r="AO2979" s="22" t="str">
        <f t="shared" si="1036"/>
        <v/>
      </c>
      <c r="AP2979" s="22" t="str">
        <f t="shared" si="1037"/>
        <v/>
      </c>
    </row>
    <row r="2980" spans="1:42" x14ac:dyDescent="0.25">
      <c r="A2980" s="10"/>
      <c r="B2980" s="10"/>
      <c r="C2980" s="10"/>
      <c r="D2980" s="10"/>
      <c r="E2980" s="10"/>
      <c r="F2980" s="10"/>
      <c r="G2980" s="10"/>
      <c r="H2980" s="17"/>
      <c r="I2980" s="10"/>
      <c r="J2980" s="10"/>
      <c r="K2980" s="16" t="str">
        <f t="shared" si="1016"/>
        <v/>
      </c>
      <c r="L2980" s="23" t="str">
        <f t="shared" si="1017"/>
        <v/>
      </c>
      <c r="M2980" s="22" t="str">
        <f t="shared" si="1018"/>
        <v/>
      </c>
      <c r="N2980" s="72"/>
      <c r="O2980" s="16" t="str">
        <f t="shared" si="1019"/>
        <v/>
      </c>
      <c r="P2980" s="16" t="str">
        <f t="shared" si="1020"/>
        <v/>
      </c>
      <c r="Q2980" s="16" t="str">
        <f t="shared" si="1021"/>
        <v/>
      </c>
      <c r="R2980" s="23" t="str">
        <f t="shared" si="1022"/>
        <v/>
      </c>
      <c r="S2980" s="23" t="str">
        <f t="shared" si="1023"/>
        <v/>
      </c>
      <c r="T2980" s="23" t="str">
        <f t="shared" si="1024"/>
        <v/>
      </c>
      <c r="U2980" s="23" t="str">
        <f t="shared" si="1025"/>
        <v/>
      </c>
      <c r="V2980" s="23" t="str">
        <f t="shared" si="1026"/>
        <v/>
      </c>
      <c r="W2980" s="70" t="str">
        <f t="shared" si="1027"/>
        <v/>
      </c>
      <c r="X2980" s="70" t="str">
        <f t="shared" si="1028"/>
        <v/>
      </c>
      <c r="Y2980" s="70" t="str">
        <f>IF(AND($A2980&lt;&gt;"",$E2980&gt;0),isLaptopBag($C2980,$J2980)*$D2980,"")</f>
        <v/>
      </c>
      <c r="Z2980" s="70" t="str">
        <f t="shared" si="1029"/>
        <v/>
      </c>
      <c r="AA2980" s="70" t="str">
        <f t="shared" si="1030"/>
        <v/>
      </c>
      <c r="AB2980" s="70" t="str">
        <f t="shared" si="1031"/>
        <v/>
      </c>
      <c r="AC2980" s="70" t="str">
        <f t="shared" si="1032"/>
        <v/>
      </c>
      <c r="AD2980" s="70" t="str">
        <f t="shared" si="1033"/>
        <v/>
      </c>
      <c r="AE2980" s="70" t="str">
        <f t="shared" si="1034"/>
        <v/>
      </c>
      <c r="AF2980" s="16"/>
      <c r="AG2980" s="23"/>
      <c r="AH2980" s="22"/>
      <c r="AJ2980" s="83">
        <f t="shared" si="1035"/>
        <v>0</v>
      </c>
      <c r="AO2980" s="22" t="str">
        <f t="shared" si="1036"/>
        <v/>
      </c>
      <c r="AP2980" s="22" t="str">
        <f t="shared" si="1037"/>
        <v/>
      </c>
    </row>
    <row r="2981" spans="1:42" x14ac:dyDescent="0.25">
      <c r="A2981" s="10"/>
      <c r="B2981" s="10"/>
      <c r="C2981" s="10"/>
      <c r="D2981" s="10"/>
      <c r="E2981" s="10"/>
      <c r="F2981" s="10"/>
      <c r="G2981" s="10"/>
      <c r="H2981" s="17"/>
      <c r="I2981" s="10"/>
      <c r="J2981" s="10"/>
      <c r="K2981" s="16" t="str">
        <f t="shared" si="1016"/>
        <v/>
      </c>
      <c r="L2981" s="23" t="str">
        <f t="shared" si="1017"/>
        <v/>
      </c>
      <c r="M2981" s="22" t="str">
        <f t="shared" si="1018"/>
        <v/>
      </c>
      <c r="N2981" s="72"/>
      <c r="O2981" s="16" t="str">
        <f t="shared" si="1019"/>
        <v/>
      </c>
      <c r="P2981" s="16" t="str">
        <f t="shared" si="1020"/>
        <v/>
      </c>
      <c r="Q2981" s="16" t="str">
        <f t="shared" si="1021"/>
        <v/>
      </c>
      <c r="R2981" s="23" t="str">
        <f t="shared" si="1022"/>
        <v/>
      </c>
      <c r="S2981" s="23" t="str">
        <f t="shared" si="1023"/>
        <v/>
      </c>
      <c r="T2981" s="23" t="str">
        <f t="shared" si="1024"/>
        <v/>
      </c>
      <c r="U2981" s="23" t="str">
        <f t="shared" si="1025"/>
        <v/>
      </c>
      <c r="V2981" s="23" t="str">
        <f t="shared" si="1026"/>
        <v/>
      </c>
      <c r="W2981" s="70" t="str">
        <f t="shared" si="1027"/>
        <v/>
      </c>
      <c r="X2981" s="70" t="str">
        <f t="shared" si="1028"/>
        <v/>
      </c>
      <c r="Y2981" s="70" t="str">
        <f>IF(AND($A2981&lt;&gt;"",$E2981&gt;0),isLaptopBag($C2981,$J2981)*$D2981,"")</f>
        <v/>
      </c>
      <c r="Z2981" s="70" t="str">
        <f t="shared" si="1029"/>
        <v/>
      </c>
      <c r="AA2981" s="70" t="str">
        <f t="shared" si="1030"/>
        <v/>
      </c>
      <c r="AB2981" s="70" t="str">
        <f t="shared" si="1031"/>
        <v/>
      </c>
      <c r="AC2981" s="70" t="str">
        <f t="shared" si="1032"/>
        <v/>
      </c>
      <c r="AD2981" s="70" t="str">
        <f t="shared" si="1033"/>
        <v/>
      </c>
      <c r="AE2981" s="70" t="str">
        <f t="shared" si="1034"/>
        <v/>
      </c>
      <c r="AF2981" s="16"/>
      <c r="AG2981" s="23"/>
      <c r="AH2981" s="22"/>
      <c r="AJ2981" s="83">
        <f t="shared" si="1035"/>
        <v>0</v>
      </c>
      <c r="AO2981" s="22" t="str">
        <f t="shared" si="1036"/>
        <v/>
      </c>
      <c r="AP2981" s="22" t="str">
        <f t="shared" si="1037"/>
        <v/>
      </c>
    </row>
    <row r="2982" spans="1:42" x14ac:dyDescent="0.25">
      <c r="A2982" s="10"/>
      <c r="B2982" s="10"/>
      <c r="C2982" s="10"/>
      <c r="D2982" s="10"/>
      <c r="E2982" s="10"/>
      <c r="F2982" s="10"/>
      <c r="G2982" s="10"/>
      <c r="H2982" s="17"/>
      <c r="I2982" s="10"/>
      <c r="J2982" s="10"/>
      <c r="K2982" s="16" t="str">
        <f t="shared" si="1016"/>
        <v/>
      </c>
      <c r="L2982" s="23" t="str">
        <f t="shared" si="1017"/>
        <v/>
      </c>
      <c r="M2982" s="22" t="str">
        <f t="shared" si="1018"/>
        <v/>
      </c>
      <c r="N2982" s="72"/>
      <c r="O2982" s="16" t="str">
        <f t="shared" si="1019"/>
        <v/>
      </c>
      <c r="P2982" s="16" t="str">
        <f t="shared" si="1020"/>
        <v/>
      </c>
      <c r="Q2982" s="16" t="str">
        <f t="shared" si="1021"/>
        <v/>
      </c>
      <c r="R2982" s="23" t="str">
        <f t="shared" si="1022"/>
        <v/>
      </c>
      <c r="S2982" s="23" t="str">
        <f t="shared" si="1023"/>
        <v/>
      </c>
      <c r="T2982" s="23" t="str">
        <f t="shared" si="1024"/>
        <v/>
      </c>
      <c r="U2982" s="23" t="str">
        <f t="shared" si="1025"/>
        <v/>
      </c>
      <c r="V2982" s="23" t="str">
        <f t="shared" si="1026"/>
        <v/>
      </c>
      <c r="W2982" s="70" t="str">
        <f t="shared" si="1027"/>
        <v/>
      </c>
      <c r="X2982" s="70" t="str">
        <f t="shared" si="1028"/>
        <v/>
      </c>
      <c r="Y2982" s="70" t="str">
        <f>IF(AND($A2982&lt;&gt;"",$E2982&gt;0),isLaptopBag($C2982,$J2982)*$D2982,"")</f>
        <v/>
      </c>
      <c r="Z2982" s="70" t="str">
        <f t="shared" si="1029"/>
        <v/>
      </c>
      <c r="AA2982" s="70" t="str">
        <f t="shared" si="1030"/>
        <v/>
      </c>
      <c r="AB2982" s="70" t="str">
        <f t="shared" si="1031"/>
        <v/>
      </c>
      <c r="AC2982" s="70" t="str">
        <f t="shared" si="1032"/>
        <v/>
      </c>
      <c r="AD2982" s="70" t="str">
        <f t="shared" si="1033"/>
        <v/>
      </c>
      <c r="AE2982" s="70" t="str">
        <f t="shared" si="1034"/>
        <v/>
      </c>
      <c r="AF2982" s="16"/>
      <c r="AG2982" s="23"/>
      <c r="AH2982" s="22"/>
      <c r="AJ2982" s="83">
        <f t="shared" si="1035"/>
        <v>0</v>
      </c>
      <c r="AO2982" s="22" t="str">
        <f t="shared" si="1036"/>
        <v/>
      </c>
      <c r="AP2982" s="22" t="str">
        <f t="shared" si="1037"/>
        <v/>
      </c>
    </row>
    <row r="2983" spans="1:42" x14ac:dyDescent="0.25">
      <c r="A2983" s="10"/>
      <c r="B2983" s="10"/>
      <c r="C2983" s="10"/>
      <c r="D2983" s="10"/>
      <c r="E2983" s="10"/>
      <c r="F2983" s="10"/>
      <c r="G2983" s="10"/>
      <c r="H2983" s="17"/>
      <c r="I2983" s="10"/>
      <c r="J2983" s="10"/>
      <c r="K2983" s="16" t="str">
        <f t="shared" si="1016"/>
        <v/>
      </c>
      <c r="L2983" s="23" t="str">
        <f t="shared" si="1017"/>
        <v/>
      </c>
      <c r="M2983" s="22" t="str">
        <f t="shared" si="1018"/>
        <v/>
      </c>
      <c r="N2983" s="72"/>
      <c r="O2983" s="16" t="str">
        <f t="shared" si="1019"/>
        <v/>
      </c>
      <c r="P2983" s="16" t="str">
        <f t="shared" si="1020"/>
        <v/>
      </c>
      <c r="Q2983" s="16" t="str">
        <f t="shared" si="1021"/>
        <v/>
      </c>
      <c r="R2983" s="23" t="str">
        <f t="shared" si="1022"/>
        <v/>
      </c>
      <c r="S2983" s="23" t="str">
        <f t="shared" si="1023"/>
        <v/>
      </c>
      <c r="T2983" s="23" t="str">
        <f t="shared" si="1024"/>
        <v/>
      </c>
      <c r="U2983" s="23" t="str">
        <f t="shared" si="1025"/>
        <v/>
      </c>
      <c r="V2983" s="23" t="str">
        <f t="shared" si="1026"/>
        <v/>
      </c>
      <c r="W2983" s="70" t="str">
        <f t="shared" si="1027"/>
        <v/>
      </c>
      <c r="X2983" s="70" t="str">
        <f t="shared" si="1028"/>
        <v/>
      </c>
      <c r="Y2983" s="70" t="str">
        <f>IF(AND($A2983&lt;&gt;"",$E2983&gt;0),isLaptopBag($C2983,$J2983)*$D2983,"")</f>
        <v/>
      </c>
      <c r="Z2983" s="70" t="str">
        <f t="shared" si="1029"/>
        <v/>
      </c>
      <c r="AA2983" s="70" t="str">
        <f t="shared" si="1030"/>
        <v/>
      </c>
      <c r="AB2983" s="70" t="str">
        <f t="shared" si="1031"/>
        <v/>
      </c>
      <c r="AC2983" s="70" t="str">
        <f t="shared" si="1032"/>
        <v/>
      </c>
      <c r="AD2983" s="70" t="str">
        <f t="shared" si="1033"/>
        <v/>
      </c>
      <c r="AE2983" s="70" t="str">
        <f t="shared" si="1034"/>
        <v/>
      </c>
      <c r="AF2983" s="16"/>
      <c r="AG2983" s="23"/>
      <c r="AH2983" s="22"/>
      <c r="AJ2983" s="83">
        <f t="shared" si="1035"/>
        <v>0</v>
      </c>
      <c r="AO2983" s="22" t="str">
        <f t="shared" si="1036"/>
        <v/>
      </c>
      <c r="AP2983" s="22" t="str">
        <f t="shared" si="1037"/>
        <v/>
      </c>
    </row>
    <row r="2984" spans="1:42" x14ac:dyDescent="0.25">
      <c r="A2984" s="10"/>
      <c r="B2984" s="10"/>
      <c r="C2984" s="10"/>
      <c r="D2984" s="10"/>
      <c r="E2984" s="10"/>
      <c r="F2984" s="10"/>
      <c r="G2984" s="10"/>
      <c r="H2984" s="17"/>
      <c r="I2984" s="10"/>
      <c r="J2984" s="10"/>
      <c r="K2984" s="16" t="str">
        <f t="shared" si="1016"/>
        <v/>
      </c>
      <c r="L2984" s="23" t="str">
        <f t="shared" si="1017"/>
        <v/>
      </c>
      <c r="M2984" s="22" t="str">
        <f t="shared" si="1018"/>
        <v/>
      </c>
      <c r="N2984" s="72"/>
      <c r="O2984" s="16" t="str">
        <f t="shared" si="1019"/>
        <v/>
      </c>
      <c r="P2984" s="16" t="str">
        <f t="shared" si="1020"/>
        <v/>
      </c>
      <c r="Q2984" s="16" t="str">
        <f t="shared" si="1021"/>
        <v/>
      </c>
      <c r="R2984" s="23" t="str">
        <f t="shared" si="1022"/>
        <v/>
      </c>
      <c r="S2984" s="23" t="str">
        <f t="shared" si="1023"/>
        <v/>
      </c>
      <c r="T2984" s="23" t="str">
        <f t="shared" si="1024"/>
        <v/>
      </c>
      <c r="U2984" s="23" t="str">
        <f t="shared" si="1025"/>
        <v/>
      </c>
      <c r="V2984" s="23" t="str">
        <f t="shared" si="1026"/>
        <v/>
      </c>
      <c r="W2984" s="70" t="str">
        <f t="shared" si="1027"/>
        <v/>
      </c>
      <c r="X2984" s="70" t="str">
        <f t="shared" si="1028"/>
        <v/>
      </c>
      <c r="Y2984" s="70" t="str">
        <f>IF(AND($A2984&lt;&gt;"",$E2984&gt;0),isLaptopBag($C2984,$J2984)*$D2984,"")</f>
        <v/>
      </c>
      <c r="Z2984" s="70" t="str">
        <f t="shared" si="1029"/>
        <v/>
      </c>
      <c r="AA2984" s="70" t="str">
        <f t="shared" si="1030"/>
        <v/>
      </c>
      <c r="AB2984" s="70" t="str">
        <f t="shared" si="1031"/>
        <v/>
      </c>
      <c r="AC2984" s="70" t="str">
        <f t="shared" si="1032"/>
        <v/>
      </c>
      <c r="AD2984" s="70" t="str">
        <f t="shared" si="1033"/>
        <v/>
      </c>
      <c r="AE2984" s="70" t="str">
        <f t="shared" si="1034"/>
        <v/>
      </c>
      <c r="AF2984" s="16"/>
      <c r="AG2984" s="23"/>
      <c r="AH2984" s="22"/>
      <c r="AJ2984" s="83">
        <f t="shared" si="1035"/>
        <v>0</v>
      </c>
      <c r="AO2984" s="22" t="str">
        <f t="shared" si="1036"/>
        <v/>
      </c>
      <c r="AP2984" s="22" t="str">
        <f t="shared" si="1037"/>
        <v/>
      </c>
    </row>
    <row r="2985" spans="1:42" x14ac:dyDescent="0.25">
      <c r="A2985" s="10"/>
      <c r="B2985" s="10"/>
      <c r="C2985" s="10"/>
      <c r="D2985" s="10"/>
      <c r="E2985" s="10"/>
      <c r="F2985" s="10"/>
      <c r="G2985" s="10"/>
      <c r="H2985" s="17"/>
      <c r="I2985" s="10"/>
      <c r="J2985" s="10"/>
      <c r="K2985" s="16" t="str">
        <f t="shared" si="1016"/>
        <v/>
      </c>
      <c r="L2985" s="23" t="str">
        <f t="shared" si="1017"/>
        <v/>
      </c>
      <c r="M2985" s="22" t="str">
        <f t="shared" si="1018"/>
        <v/>
      </c>
      <c r="N2985" s="72"/>
      <c r="O2985" s="16" t="str">
        <f t="shared" si="1019"/>
        <v/>
      </c>
      <c r="P2985" s="16" t="str">
        <f t="shared" si="1020"/>
        <v/>
      </c>
      <c r="Q2985" s="16" t="str">
        <f t="shared" si="1021"/>
        <v/>
      </c>
      <c r="R2985" s="23" t="str">
        <f t="shared" si="1022"/>
        <v/>
      </c>
      <c r="S2985" s="23" t="str">
        <f t="shared" si="1023"/>
        <v/>
      </c>
      <c r="T2985" s="23" t="str">
        <f t="shared" si="1024"/>
        <v/>
      </c>
      <c r="U2985" s="23" t="str">
        <f t="shared" si="1025"/>
        <v/>
      </c>
      <c r="V2985" s="23" t="str">
        <f t="shared" si="1026"/>
        <v/>
      </c>
      <c r="W2985" s="70" t="str">
        <f t="shared" si="1027"/>
        <v/>
      </c>
      <c r="X2985" s="70" t="str">
        <f t="shared" si="1028"/>
        <v/>
      </c>
      <c r="Y2985" s="70" t="str">
        <f>IF(AND($A2985&lt;&gt;"",$E2985&gt;0),isLaptopBag($C2985,$J2985)*$D2985,"")</f>
        <v/>
      </c>
      <c r="Z2985" s="70" t="str">
        <f t="shared" si="1029"/>
        <v/>
      </c>
      <c r="AA2985" s="70" t="str">
        <f t="shared" si="1030"/>
        <v/>
      </c>
      <c r="AB2985" s="70" t="str">
        <f t="shared" si="1031"/>
        <v/>
      </c>
      <c r="AC2985" s="70" t="str">
        <f t="shared" si="1032"/>
        <v/>
      </c>
      <c r="AD2985" s="70" t="str">
        <f t="shared" si="1033"/>
        <v/>
      </c>
      <c r="AE2985" s="70" t="str">
        <f t="shared" si="1034"/>
        <v/>
      </c>
      <c r="AF2985" s="16"/>
      <c r="AG2985" s="23"/>
      <c r="AH2985" s="22"/>
      <c r="AJ2985" s="83">
        <f t="shared" si="1035"/>
        <v>0</v>
      </c>
      <c r="AO2985" s="22" t="str">
        <f t="shared" si="1036"/>
        <v/>
      </c>
      <c r="AP2985" s="22" t="str">
        <f t="shared" si="1037"/>
        <v/>
      </c>
    </row>
    <row r="2986" spans="1:42" x14ac:dyDescent="0.25">
      <c r="A2986" s="10"/>
      <c r="B2986" s="10"/>
      <c r="C2986" s="10"/>
      <c r="D2986" s="10"/>
      <c r="E2986" s="10"/>
      <c r="F2986" s="10"/>
      <c r="G2986" s="10"/>
      <c r="H2986" s="17"/>
      <c r="I2986" s="10"/>
      <c r="J2986" s="10"/>
      <c r="K2986" s="16" t="str">
        <f t="shared" si="1016"/>
        <v/>
      </c>
      <c r="L2986" s="23" t="str">
        <f t="shared" si="1017"/>
        <v/>
      </c>
      <c r="M2986" s="22" t="str">
        <f t="shared" si="1018"/>
        <v/>
      </c>
      <c r="N2986" s="72"/>
      <c r="O2986" s="16" t="str">
        <f t="shared" si="1019"/>
        <v/>
      </c>
      <c r="P2986" s="16" t="str">
        <f t="shared" si="1020"/>
        <v/>
      </c>
      <c r="Q2986" s="16" t="str">
        <f t="shared" si="1021"/>
        <v/>
      </c>
      <c r="R2986" s="23" t="str">
        <f t="shared" si="1022"/>
        <v/>
      </c>
      <c r="S2986" s="23" t="str">
        <f t="shared" si="1023"/>
        <v/>
      </c>
      <c r="T2986" s="23" t="str">
        <f t="shared" si="1024"/>
        <v/>
      </c>
      <c r="U2986" s="23" t="str">
        <f t="shared" si="1025"/>
        <v/>
      </c>
      <c r="V2986" s="23" t="str">
        <f t="shared" si="1026"/>
        <v/>
      </c>
      <c r="W2986" s="70" t="str">
        <f t="shared" si="1027"/>
        <v/>
      </c>
      <c r="X2986" s="70" t="str">
        <f t="shared" si="1028"/>
        <v/>
      </c>
      <c r="Y2986" s="70" t="str">
        <f>IF(AND($A2986&lt;&gt;"",$E2986&gt;0),isLaptopBag($C2986,$J2986)*$D2986,"")</f>
        <v/>
      </c>
      <c r="Z2986" s="70" t="str">
        <f t="shared" si="1029"/>
        <v/>
      </c>
      <c r="AA2986" s="70" t="str">
        <f t="shared" si="1030"/>
        <v/>
      </c>
      <c r="AB2986" s="70" t="str">
        <f t="shared" si="1031"/>
        <v/>
      </c>
      <c r="AC2986" s="70" t="str">
        <f t="shared" si="1032"/>
        <v/>
      </c>
      <c r="AD2986" s="70" t="str">
        <f t="shared" si="1033"/>
        <v/>
      </c>
      <c r="AE2986" s="70" t="str">
        <f t="shared" si="1034"/>
        <v/>
      </c>
      <c r="AF2986" s="16"/>
      <c r="AG2986" s="23"/>
      <c r="AH2986" s="22"/>
      <c r="AJ2986" s="83">
        <f t="shared" si="1035"/>
        <v>0</v>
      </c>
      <c r="AO2986" s="22" t="str">
        <f t="shared" si="1036"/>
        <v/>
      </c>
      <c r="AP2986" s="22" t="str">
        <f t="shared" si="1037"/>
        <v/>
      </c>
    </row>
    <row r="2987" spans="1:42" x14ac:dyDescent="0.25">
      <c r="A2987" s="10"/>
      <c r="B2987" s="10"/>
      <c r="C2987" s="10"/>
      <c r="D2987" s="10"/>
      <c r="E2987" s="10"/>
      <c r="F2987" s="10"/>
      <c r="G2987" s="10"/>
      <c r="H2987" s="17"/>
      <c r="I2987" s="10"/>
      <c r="J2987" s="10"/>
      <c r="K2987" s="16" t="str">
        <f t="shared" si="1016"/>
        <v/>
      </c>
      <c r="L2987" s="23" t="str">
        <f t="shared" si="1017"/>
        <v/>
      </c>
      <c r="M2987" s="22" t="str">
        <f t="shared" si="1018"/>
        <v/>
      </c>
      <c r="N2987" s="72"/>
      <c r="O2987" s="16" t="str">
        <f t="shared" si="1019"/>
        <v/>
      </c>
      <c r="P2987" s="16" t="str">
        <f t="shared" si="1020"/>
        <v/>
      </c>
      <c r="Q2987" s="16" t="str">
        <f t="shared" si="1021"/>
        <v/>
      </c>
      <c r="R2987" s="23" t="str">
        <f t="shared" si="1022"/>
        <v/>
      </c>
      <c r="S2987" s="23" t="str">
        <f t="shared" si="1023"/>
        <v/>
      </c>
      <c r="T2987" s="23" t="str">
        <f t="shared" si="1024"/>
        <v/>
      </c>
      <c r="U2987" s="23" t="str">
        <f t="shared" si="1025"/>
        <v/>
      </c>
      <c r="V2987" s="23" t="str">
        <f t="shared" si="1026"/>
        <v/>
      </c>
      <c r="W2987" s="70" t="str">
        <f t="shared" si="1027"/>
        <v/>
      </c>
      <c r="X2987" s="70" t="str">
        <f t="shared" si="1028"/>
        <v/>
      </c>
      <c r="Y2987" s="70" t="str">
        <f>IF(AND($A2987&lt;&gt;"",$E2987&gt;0),isLaptopBag($C2987,$J2987)*$D2987,"")</f>
        <v/>
      </c>
      <c r="Z2987" s="70" t="str">
        <f t="shared" si="1029"/>
        <v/>
      </c>
      <c r="AA2987" s="70" t="str">
        <f t="shared" si="1030"/>
        <v/>
      </c>
      <c r="AB2987" s="70" t="str">
        <f t="shared" si="1031"/>
        <v/>
      </c>
      <c r="AC2987" s="70" t="str">
        <f t="shared" si="1032"/>
        <v/>
      </c>
      <c r="AD2987" s="70" t="str">
        <f t="shared" si="1033"/>
        <v/>
      </c>
      <c r="AE2987" s="70" t="str">
        <f t="shared" si="1034"/>
        <v/>
      </c>
      <c r="AF2987" s="16"/>
      <c r="AG2987" s="23"/>
      <c r="AH2987" s="22"/>
      <c r="AJ2987" s="83">
        <f t="shared" si="1035"/>
        <v>0</v>
      </c>
      <c r="AO2987" s="22" t="str">
        <f t="shared" si="1036"/>
        <v/>
      </c>
      <c r="AP2987" s="22" t="str">
        <f t="shared" si="1037"/>
        <v/>
      </c>
    </row>
    <row r="2988" spans="1:42" x14ac:dyDescent="0.25">
      <c r="A2988" s="10"/>
      <c r="B2988" s="10"/>
      <c r="C2988" s="10"/>
      <c r="D2988" s="10"/>
      <c r="E2988" s="10"/>
      <c r="F2988" s="10"/>
      <c r="G2988" s="10"/>
      <c r="H2988" s="17"/>
      <c r="I2988" s="10"/>
      <c r="J2988" s="10"/>
      <c r="K2988" s="16" t="str">
        <f t="shared" si="1016"/>
        <v/>
      </c>
      <c r="L2988" s="23" t="str">
        <f t="shared" si="1017"/>
        <v/>
      </c>
      <c r="M2988" s="22" t="str">
        <f t="shared" si="1018"/>
        <v/>
      </c>
      <c r="N2988" s="72"/>
      <c r="O2988" s="16" t="str">
        <f t="shared" si="1019"/>
        <v/>
      </c>
      <c r="P2988" s="16" t="str">
        <f t="shared" si="1020"/>
        <v/>
      </c>
      <c r="Q2988" s="16" t="str">
        <f t="shared" si="1021"/>
        <v/>
      </c>
      <c r="R2988" s="23" t="str">
        <f t="shared" si="1022"/>
        <v/>
      </c>
      <c r="S2988" s="23" t="str">
        <f t="shared" si="1023"/>
        <v/>
      </c>
      <c r="T2988" s="23" t="str">
        <f t="shared" si="1024"/>
        <v/>
      </c>
      <c r="U2988" s="23" t="str">
        <f t="shared" si="1025"/>
        <v/>
      </c>
      <c r="V2988" s="23" t="str">
        <f t="shared" si="1026"/>
        <v/>
      </c>
      <c r="W2988" s="70" t="str">
        <f t="shared" si="1027"/>
        <v/>
      </c>
      <c r="X2988" s="70" t="str">
        <f t="shared" si="1028"/>
        <v/>
      </c>
      <c r="Y2988" s="70" t="str">
        <f>IF(AND($A2988&lt;&gt;"",$E2988&gt;0),isLaptopBag($C2988,$J2988)*$D2988,"")</f>
        <v/>
      </c>
      <c r="Z2988" s="70" t="str">
        <f t="shared" si="1029"/>
        <v/>
      </c>
      <c r="AA2988" s="70" t="str">
        <f t="shared" si="1030"/>
        <v/>
      </c>
      <c r="AB2988" s="70" t="str">
        <f t="shared" si="1031"/>
        <v/>
      </c>
      <c r="AC2988" s="70" t="str">
        <f t="shared" si="1032"/>
        <v/>
      </c>
      <c r="AD2988" s="70" t="str">
        <f t="shared" si="1033"/>
        <v/>
      </c>
      <c r="AE2988" s="70" t="str">
        <f t="shared" si="1034"/>
        <v/>
      </c>
      <c r="AF2988" s="16"/>
      <c r="AG2988" s="23"/>
      <c r="AH2988" s="22"/>
      <c r="AJ2988" s="83">
        <f t="shared" si="1035"/>
        <v>0</v>
      </c>
      <c r="AO2988" s="22" t="str">
        <f t="shared" si="1036"/>
        <v/>
      </c>
      <c r="AP2988" s="22" t="str">
        <f t="shared" si="1037"/>
        <v/>
      </c>
    </row>
    <row r="2989" spans="1:42" x14ac:dyDescent="0.25">
      <c r="A2989" s="10"/>
      <c r="B2989" s="10"/>
      <c r="C2989" s="10"/>
      <c r="D2989" s="10"/>
      <c r="E2989" s="10"/>
      <c r="F2989" s="10"/>
      <c r="G2989" s="10"/>
      <c r="H2989" s="17"/>
      <c r="I2989" s="10"/>
      <c r="J2989" s="10"/>
      <c r="K2989" s="16" t="str">
        <f t="shared" si="1016"/>
        <v/>
      </c>
      <c r="L2989" s="23" t="str">
        <f t="shared" si="1017"/>
        <v/>
      </c>
      <c r="M2989" s="22" t="str">
        <f t="shared" si="1018"/>
        <v/>
      </c>
      <c r="N2989" s="72"/>
      <c r="O2989" s="16" t="str">
        <f t="shared" si="1019"/>
        <v/>
      </c>
      <c r="P2989" s="16" t="str">
        <f t="shared" si="1020"/>
        <v/>
      </c>
      <c r="Q2989" s="16" t="str">
        <f t="shared" si="1021"/>
        <v/>
      </c>
      <c r="R2989" s="23" t="str">
        <f t="shared" si="1022"/>
        <v/>
      </c>
      <c r="S2989" s="23" t="str">
        <f t="shared" si="1023"/>
        <v/>
      </c>
      <c r="T2989" s="23" t="str">
        <f t="shared" si="1024"/>
        <v/>
      </c>
      <c r="U2989" s="23" t="str">
        <f t="shared" si="1025"/>
        <v/>
      </c>
      <c r="V2989" s="23" t="str">
        <f t="shared" si="1026"/>
        <v/>
      </c>
      <c r="W2989" s="70" t="str">
        <f t="shared" si="1027"/>
        <v/>
      </c>
      <c r="X2989" s="70" t="str">
        <f t="shared" si="1028"/>
        <v/>
      </c>
      <c r="Y2989" s="70" t="str">
        <f>IF(AND($A2989&lt;&gt;"",$E2989&gt;0),isLaptopBag($C2989,$J2989)*$D2989,"")</f>
        <v/>
      </c>
      <c r="Z2989" s="70" t="str">
        <f t="shared" si="1029"/>
        <v/>
      </c>
      <c r="AA2989" s="70" t="str">
        <f t="shared" si="1030"/>
        <v/>
      </c>
      <c r="AB2989" s="70" t="str">
        <f t="shared" si="1031"/>
        <v/>
      </c>
      <c r="AC2989" s="70" t="str">
        <f t="shared" si="1032"/>
        <v/>
      </c>
      <c r="AD2989" s="70" t="str">
        <f t="shared" si="1033"/>
        <v/>
      </c>
      <c r="AE2989" s="70" t="str">
        <f t="shared" si="1034"/>
        <v/>
      </c>
      <c r="AF2989" s="16"/>
      <c r="AG2989" s="23"/>
      <c r="AH2989" s="22"/>
      <c r="AJ2989" s="83">
        <f t="shared" si="1035"/>
        <v>0</v>
      </c>
      <c r="AO2989" s="22" t="str">
        <f t="shared" si="1036"/>
        <v/>
      </c>
      <c r="AP2989" s="22" t="str">
        <f t="shared" si="1037"/>
        <v/>
      </c>
    </row>
    <row r="2990" spans="1:42" x14ac:dyDescent="0.25">
      <c r="A2990" s="10"/>
      <c r="B2990" s="10"/>
      <c r="C2990" s="10"/>
      <c r="D2990" s="10"/>
      <c r="E2990" s="10"/>
      <c r="F2990" s="10"/>
      <c r="G2990" s="10"/>
      <c r="H2990" s="17"/>
      <c r="I2990" s="10"/>
      <c r="J2990" s="10"/>
      <c r="K2990" s="16" t="str">
        <f t="shared" si="1016"/>
        <v/>
      </c>
      <c r="L2990" s="23" t="str">
        <f t="shared" si="1017"/>
        <v/>
      </c>
      <c r="M2990" s="22" t="str">
        <f t="shared" si="1018"/>
        <v/>
      </c>
      <c r="N2990" s="72"/>
      <c r="O2990" s="16" t="str">
        <f t="shared" si="1019"/>
        <v/>
      </c>
      <c r="P2990" s="16" t="str">
        <f t="shared" si="1020"/>
        <v/>
      </c>
      <c r="Q2990" s="16" t="str">
        <f t="shared" si="1021"/>
        <v/>
      </c>
      <c r="R2990" s="23" t="str">
        <f t="shared" si="1022"/>
        <v/>
      </c>
      <c r="S2990" s="23" t="str">
        <f t="shared" si="1023"/>
        <v/>
      </c>
      <c r="T2990" s="23" t="str">
        <f t="shared" si="1024"/>
        <v/>
      </c>
      <c r="U2990" s="23" t="str">
        <f t="shared" si="1025"/>
        <v/>
      </c>
      <c r="V2990" s="23" t="str">
        <f t="shared" si="1026"/>
        <v/>
      </c>
      <c r="W2990" s="70" t="str">
        <f t="shared" si="1027"/>
        <v/>
      </c>
      <c r="X2990" s="70" t="str">
        <f t="shared" si="1028"/>
        <v/>
      </c>
      <c r="Y2990" s="70" t="str">
        <f>IF(AND($A2990&lt;&gt;"",$E2990&gt;0),isLaptopBag($C2990,$J2990)*$D2990,"")</f>
        <v/>
      </c>
      <c r="Z2990" s="70" t="str">
        <f t="shared" si="1029"/>
        <v/>
      </c>
      <c r="AA2990" s="70" t="str">
        <f t="shared" si="1030"/>
        <v/>
      </c>
      <c r="AB2990" s="70" t="str">
        <f t="shared" si="1031"/>
        <v/>
      </c>
      <c r="AC2990" s="70" t="str">
        <f t="shared" si="1032"/>
        <v/>
      </c>
      <c r="AD2990" s="70" t="str">
        <f t="shared" si="1033"/>
        <v/>
      </c>
      <c r="AE2990" s="70" t="str">
        <f t="shared" si="1034"/>
        <v/>
      </c>
      <c r="AF2990" s="16"/>
      <c r="AG2990" s="23"/>
      <c r="AH2990" s="22"/>
      <c r="AJ2990" s="83">
        <f t="shared" si="1035"/>
        <v>0</v>
      </c>
      <c r="AO2990" s="22" t="str">
        <f t="shared" si="1036"/>
        <v/>
      </c>
      <c r="AP2990" s="22" t="str">
        <f t="shared" si="1037"/>
        <v/>
      </c>
    </row>
    <row r="2991" spans="1:42" x14ac:dyDescent="0.25">
      <c r="A2991" s="10"/>
      <c r="B2991" s="10"/>
      <c r="C2991" s="10"/>
      <c r="D2991" s="10"/>
      <c r="E2991" s="10"/>
      <c r="F2991" s="10"/>
      <c r="G2991" s="10"/>
      <c r="H2991" s="17"/>
      <c r="I2991" s="10"/>
      <c r="J2991" s="10"/>
      <c r="K2991" s="16" t="str">
        <f t="shared" si="1016"/>
        <v/>
      </c>
      <c r="L2991" s="23" t="str">
        <f t="shared" si="1017"/>
        <v/>
      </c>
      <c r="M2991" s="22" t="str">
        <f t="shared" si="1018"/>
        <v/>
      </c>
      <c r="N2991" s="72"/>
      <c r="O2991" s="16" t="str">
        <f t="shared" si="1019"/>
        <v/>
      </c>
      <c r="P2991" s="16" t="str">
        <f t="shared" si="1020"/>
        <v/>
      </c>
      <c r="Q2991" s="16" t="str">
        <f t="shared" si="1021"/>
        <v/>
      </c>
      <c r="R2991" s="23" t="str">
        <f t="shared" si="1022"/>
        <v/>
      </c>
      <c r="S2991" s="23" t="str">
        <f t="shared" si="1023"/>
        <v/>
      </c>
      <c r="T2991" s="23" t="str">
        <f t="shared" si="1024"/>
        <v/>
      </c>
      <c r="U2991" s="23" t="str">
        <f t="shared" si="1025"/>
        <v/>
      </c>
      <c r="V2991" s="23" t="str">
        <f t="shared" si="1026"/>
        <v/>
      </c>
      <c r="W2991" s="70" t="str">
        <f t="shared" si="1027"/>
        <v/>
      </c>
      <c r="X2991" s="70" t="str">
        <f t="shared" si="1028"/>
        <v/>
      </c>
      <c r="Y2991" s="70" t="str">
        <f>IF(AND($A2991&lt;&gt;"",$E2991&gt;0),isLaptopBag($C2991,$J2991)*$D2991,"")</f>
        <v/>
      </c>
      <c r="Z2991" s="70" t="str">
        <f t="shared" si="1029"/>
        <v/>
      </c>
      <c r="AA2991" s="70" t="str">
        <f t="shared" si="1030"/>
        <v/>
      </c>
      <c r="AB2991" s="70" t="str">
        <f t="shared" si="1031"/>
        <v/>
      </c>
      <c r="AC2991" s="70" t="str">
        <f t="shared" si="1032"/>
        <v/>
      </c>
      <c r="AD2991" s="70" t="str">
        <f t="shared" si="1033"/>
        <v/>
      </c>
      <c r="AE2991" s="70" t="str">
        <f t="shared" si="1034"/>
        <v/>
      </c>
      <c r="AF2991" s="16"/>
      <c r="AG2991" s="23"/>
      <c r="AH2991" s="22"/>
      <c r="AJ2991" s="83">
        <f t="shared" si="1035"/>
        <v>0</v>
      </c>
      <c r="AO2991" s="22" t="str">
        <f t="shared" si="1036"/>
        <v/>
      </c>
      <c r="AP2991" s="22" t="str">
        <f t="shared" si="1037"/>
        <v/>
      </c>
    </row>
    <row r="2992" spans="1:42" x14ac:dyDescent="0.25">
      <c r="A2992" s="10"/>
      <c r="B2992" s="10"/>
      <c r="C2992" s="10"/>
      <c r="D2992" s="10"/>
      <c r="E2992" s="10"/>
      <c r="F2992" s="10"/>
      <c r="G2992" s="10"/>
      <c r="H2992" s="17"/>
      <c r="I2992" s="10"/>
      <c r="J2992" s="10"/>
      <c r="K2992" s="16" t="str">
        <f t="shared" si="1016"/>
        <v/>
      </c>
      <c r="L2992" s="23" t="str">
        <f t="shared" si="1017"/>
        <v/>
      </c>
      <c r="M2992" s="22" t="str">
        <f t="shared" si="1018"/>
        <v/>
      </c>
      <c r="N2992" s="72"/>
      <c r="O2992" s="16" t="str">
        <f t="shared" si="1019"/>
        <v/>
      </c>
      <c r="P2992" s="16" t="str">
        <f t="shared" si="1020"/>
        <v/>
      </c>
      <c r="Q2992" s="16" t="str">
        <f t="shared" si="1021"/>
        <v/>
      </c>
      <c r="R2992" s="23" t="str">
        <f t="shared" si="1022"/>
        <v/>
      </c>
      <c r="S2992" s="23" t="str">
        <f t="shared" si="1023"/>
        <v/>
      </c>
      <c r="T2992" s="23" t="str">
        <f t="shared" si="1024"/>
        <v/>
      </c>
      <c r="U2992" s="23" t="str">
        <f t="shared" si="1025"/>
        <v/>
      </c>
      <c r="V2992" s="23" t="str">
        <f t="shared" si="1026"/>
        <v/>
      </c>
      <c r="W2992" s="70" t="str">
        <f t="shared" si="1027"/>
        <v/>
      </c>
      <c r="X2992" s="70" t="str">
        <f t="shared" si="1028"/>
        <v/>
      </c>
      <c r="Y2992" s="70" t="str">
        <f>IF(AND($A2992&lt;&gt;"",$E2992&gt;0),isLaptopBag($C2992,$J2992)*$D2992,"")</f>
        <v/>
      </c>
      <c r="Z2992" s="70" t="str">
        <f t="shared" si="1029"/>
        <v/>
      </c>
      <c r="AA2992" s="70" t="str">
        <f t="shared" si="1030"/>
        <v/>
      </c>
      <c r="AB2992" s="70" t="str">
        <f t="shared" si="1031"/>
        <v/>
      </c>
      <c r="AC2992" s="70" t="str">
        <f t="shared" si="1032"/>
        <v/>
      </c>
      <c r="AD2992" s="70" t="str">
        <f t="shared" si="1033"/>
        <v/>
      </c>
      <c r="AE2992" s="70" t="str">
        <f t="shared" si="1034"/>
        <v/>
      </c>
      <c r="AF2992" s="16"/>
      <c r="AG2992" s="23"/>
      <c r="AH2992" s="22"/>
      <c r="AJ2992" s="83">
        <f t="shared" si="1035"/>
        <v>0</v>
      </c>
      <c r="AO2992" s="22" t="str">
        <f t="shared" si="1036"/>
        <v/>
      </c>
      <c r="AP2992" s="22" t="str">
        <f t="shared" si="1037"/>
        <v/>
      </c>
    </row>
    <row r="2993" spans="1:42" x14ac:dyDescent="0.25">
      <c r="A2993" s="10"/>
      <c r="B2993" s="10"/>
      <c r="C2993" s="10"/>
      <c r="D2993" s="10"/>
      <c r="E2993" s="10"/>
      <c r="F2993" s="10"/>
      <c r="G2993" s="10"/>
      <c r="H2993" s="17"/>
      <c r="I2993" s="10"/>
      <c r="J2993" s="10"/>
      <c r="K2993" s="16" t="str">
        <f t="shared" si="1016"/>
        <v/>
      </c>
      <c r="L2993" s="23" t="str">
        <f t="shared" si="1017"/>
        <v/>
      </c>
      <c r="M2993" s="22" t="str">
        <f t="shared" si="1018"/>
        <v/>
      </c>
      <c r="N2993" s="72"/>
      <c r="O2993" s="16" t="str">
        <f t="shared" si="1019"/>
        <v/>
      </c>
      <c r="P2993" s="16" t="str">
        <f t="shared" si="1020"/>
        <v/>
      </c>
      <c r="Q2993" s="16" t="str">
        <f t="shared" si="1021"/>
        <v/>
      </c>
      <c r="R2993" s="23" t="str">
        <f t="shared" si="1022"/>
        <v/>
      </c>
      <c r="S2993" s="23" t="str">
        <f t="shared" si="1023"/>
        <v/>
      </c>
      <c r="T2993" s="23" t="str">
        <f t="shared" si="1024"/>
        <v/>
      </c>
      <c r="U2993" s="23" t="str">
        <f t="shared" si="1025"/>
        <v/>
      </c>
      <c r="V2993" s="23" t="str">
        <f t="shared" si="1026"/>
        <v/>
      </c>
      <c r="W2993" s="70" t="str">
        <f t="shared" si="1027"/>
        <v/>
      </c>
      <c r="X2993" s="70" t="str">
        <f t="shared" si="1028"/>
        <v/>
      </c>
      <c r="Y2993" s="70" t="str">
        <f>IF(AND($A2993&lt;&gt;"",$E2993&gt;0),isLaptopBag($C2993,$J2993)*$D2993,"")</f>
        <v/>
      </c>
      <c r="Z2993" s="70" t="str">
        <f t="shared" si="1029"/>
        <v/>
      </c>
      <c r="AA2993" s="70" t="str">
        <f t="shared" si="1030"/>
        <v/>
      </c>
      <c r="AB2993" s="70" t="str">
        <f t="shared" si="1031"/>
        <v/>
      </c>
      <c r="AC2993" s="70" t="str">
        <f t="shared" si="1032"/>
        <v/>
      </c>
      <c r="AD2993" s="70" t="str">
        <f t="shared" si="1033"/>
        <v/>
      </c>
      <c r="AE2993" s="70" t="str">
        <f t="shared" si="1034"/>
        <v/>
      </c>
      <c r="AF2993" s="16"/>
      <c r="AG2993" s="23"/>
      <c r="AH2993" s="22"/>
      <c r="AJ2993" s="83">
        <f t="shared" si="1035"/>
        <v>0</v>
      </c>
      <c r="AO2993" s="22" t="str">
        <f t="shared" si="1036"/>
        <v/>
      </c>
      <c r="AP2993" s="22" t="str">
        <f t="shared" si="1037"/>
        <v/>
      </c>
    </row>
    <row r="2994" spans="1:42" x14ac:dyDescent="0.25">
      <c r="A2994" s="10"/>
      <c r="B2994" s="10"/>
      <c r="C2994" s="10"/>
      <c r="D2994" s="10"/>
      <c r="E2994" s="10"/>
      <c r="F2994" s="10"/>
      <c r="G2994" s="10"/>
      <c r="H2994" s="17"/>
      <c r="I2994" s="10"/>
      <c r="J2994" s="10"/>
      <c r="K2994" s="16" t="str">
        <f t="shared" si="1016"/>
        <v/>
      </c>
      <c r="L2994" s="23" t="str">
        <f t="shared" si="1017"/>
        <v/>
      </c>
      <c r="M2994" s="22" t="str">
        <f t="shared" si="1018"/>
        <v/>
      </c>
      <c r="N2994" s="72"/>
      <c r="O2994" s="16" t="str">
        <f t="shared" si="1019"/>
        <v/>
      </c>
      <c r="P2994" s="16" t="str">
        <f t="shared" si="1020"/>
        <v/>
      </c>
      <c r="Q2994" s="16" t="str">
        <f t="shared" si="1021"/>
        <v/>
      </c>
      <c r="R2994" s="23" t="str">
        <f t="shared" si="1022"/>
        <v/>
      </c>
      <c r="S2994" s="23" t="str">
        <f t="shared" si="1023"/>
        <v/>
      </c>
      <c r="T2994" s="23" t="str">
        <f t="shared" si="1024"/>
        <v/>
      </c>
      <c r="U2994" s="23" t="str">
        <f t="shared" si="1025"/>
        <v/>
      </c>
      <c r="V2994" s="23" t="str">
        <f t="shared" si="1026"/>
        <v/>
      </c>
      <c r="W2994" s="70" t="str">
        <f t="shared" si="1027"/>
        <v/>
      </c>
      <c r="X2994" s="70" t="str">
        <f t="shared" si="1028"/>
        <v/>
      </c>
      <c r="Y2994" s="70" t="str">
        <f>IF(AND($A2994&lt;&gt;"",$E2994&gt;0),isLaptopBag($C2994,$J2994)*$D2994,"")</f>
        <v/>
      </c>
      <c r="Z2994" s="70" t="str">
        <f t="shared" si="1029"/>
        <v/>
      </c>
      <c r="AA2994" s="70" t="str">
        <f t="shared" si="1030"/>
        <v/>
      </c>
      <c r="AB2994" s="70" t="str">
        <f t="shared" si="1031"/>
        <v/>
      </c>
      <c r="AC2994" s="70" t="str">
        <f t="shared" si="1032"/>
        <v/>
      </c>
      <c r="AD2994" s="70" t="str">
        <f t="shared" si="1033"/>
        <v/>
      </c>
      <c r="AE2994" s="70" t="str">
        <f t="shared" si="1034"/>
        <v/>
      </c>
      <c r="AF2994" s="16"/>
      <c r="AG2994" s="23"/>
      <c r="AH2994" s="22"/>
      <c r="AJ2994" s="83">
        <f t="shared" si="1035"/>
        <v>0</v>
      </c>
      <c r="AO2994" s="22" t="str">
        <f t="shared" si="1036"/>
        <v/>
      </c>
      <c r="AP2994" s="22" t="str">
        <f t="shared" si="1037"/>
        <v/>
      </c>
    </row>
    <row r="2995" spans="1:42" x14ac:dyDescent="0.25">
      <c r="A2995" s="10"/>
      <c r="B2995" s="10"/>
      <c r="C2995" s="10"/>
      <c r="D2995" s="10"/>
      <c r="E2995" s="10"/>
      <c r="F2995" s="10"/>
      <c r="G2995" s="10"/>
      <c r="H2995" s="17"/>
      <c r="I2995" s="10"/>
      <c r="J2995" s="10"/>
      <c r="K2995" s="16" t="str">
        <f t="shared" si="1016"/>
        <v/>
      </c>
      <c r="L2995" s="23" t="str">
        <f t="shared" si="1017"/>
        <v/>
      </c>
      <c r="M2995" s="22" t="str">
        <f t="shared" si="1018"/>
        <v/>
      </c>
      <c r="N2995" s="72"/>
      <c r="O2995" s="16" t="str">
        <f t="shared" si="1019"/>
        <v/>
      </c>
      <c r="P2995" s="16" t="str">
        <f t="shared" si="1020"/>
        <v/>
      </c>
      <c r="Q2995" s="16" t="str">
        <f t="shared" si="1021"/>
        <v/>
      </c>
      <c r="R2995" s="23" t="str">
        <f t="shared" si="1022"/>
        <v/>
      </c>
      <c r="S2995" s="23" t="str">
        <f t="shared" si="1023"/>
        <v/>
      </c>
      <c r="T2995" s="23" t="str">
        <f t="shared" si="1024"/>
        <v/>
      </c>
      <c r="U2995" s="23" t="str">
        <f t="shared" si="1025"/>
        <v/>
      </c>
      <c r="V2995" s="23" t="str">
        <f t="shared" si="1026"/>
        <v/>
      </c>
      <c r="W2995" s="70" t="str">
        <f t="shared" si="1027"/>
        <v/>
      </c>
      <c r="X2995" s="70" t="str">
        <f t="shared" si="1028"/>
        <v/>
      </c>
      <c r="Y2995" s="70" t="str">
        <f>IF(AND($A2995&lt;&gt;"",$E2995&gt;0),isLaptopBag($C2995,$J2995)*$D2995,"")</f>
        <v/>
      </c>
      <c r="Z2995" s="70" t="str">
        <f t="shared" si="1029"/>
        <v/>
      </c>
      <c r="AA2995" s="70" t="str">
        <f t="shared" si="1030"/>
        <v/>
      </c>
      <c r="AB2995" s="70" t="str">
        <f t="shared" si="1031"/>
        <v/>
      </c>
      <c r="AC2995" s="70" t="str">
        <f t="shared" si="1032"/>
        <v/>
      </c>
      <c r="AD2995" s="70" t="str">
        <f t="shared" si="1033"/>
        <v/>
      </c>
      <c r="AE2995" s="70" t="str">
        <f t="shared" si="1034"/>
        <v/>
      </c>
      <c r="AF2995" s="16"/>
      <c r="AG2995" s="23"/>
      <c r="AH2995" s="22"/>
      <c r="AJ2995" s="83">
        <f t="shared" si="1035"/>
        <v>0</v>
      </c>
      <c r="AO2995" s="22" t="str">
        <f t="shared" si="1036"/>
        <v/>
      </c>
      <c r="AP2995" s="22" t="str">
        <f t="shared" si="1037"/>
        <v/>
      </c>
    </row>
    <row r="2996" spans="1:42" x14ac:dyDescent="0.25">
      <c r="A2996" s="10"/>
      <c r="B2996" s="10"/>
      <c r="C2996" s="10"/>
      <c r="D2996" s="10"/>
      <c r="E2996" s="10"/>
      <c r="F2996" s="10"/>
      <c r="G2996" s="10"/>
      <c r="H2996" s="17"/>
      <c r="I2996" s="10"/>
      <c r="J2996" s="10"/>
      <c r="K2996" s="16" t="str">
        <f t="shared" si="1016"/>
        <v/>
      </c>
      <c r="L2996" s="23" t="str">
        <f t="shared" si="1017"/>
        <v/>
      </c>
      <c r="M2996" s="22" t="str">
        <f t="shared" si="1018"/>
        <v/>
      </c>
      <c r="N2996" s="72"/>
      <c r="O2996" s="16" t="str">
        <f t="shared" si="1019"/>
        <v/>
      </c>
      <c r="P2996" s="16" t="str">
        <f t="shared" si="1020"/>
        <v/>
      </c>
      <c r="Q2996" s="16" t="str">
        <f t="shared" si="1021"/>
        <v/>
      </c>
      <c r="R2996" s="23" t="str">
        <f t="shared" si="1022"/>
        <v/>
      </c>
      <c r="S2996" s="23" t="str">
        <f t="shared" si="1023"/>
        <v/>
      </c>
      <c r="T2996" s="23" t="str">
        <f t="shared" si="1024"/>
        <v/>
      </c>
      <c r="U2996" s="23" t="str">
        <f t="shared" si="1025"/>
        <v/>
      </c>
      <c r="V2996" s="23" t="str">
        <f t="shared" si="1026"/>
        <v/>
      </c>
      <c r="W2996" s="70" t="str">
        <f t="shared" si="1027"/>
        <v/>
      </c>
      <c r="X2996" s="70" t="str">
        <f t="shared" si="1028"/>
        <v/>
      </c>
      <c r="Y2996" s="70" t="str">
        <f>IF(AND($A2996&lt;&gt;"",$E2996&gt;0),isLaptopBag($C2996,$J2996)*$D2996,"")</f>
        <v/>
      </c>
      <c r="Z2996" s="70" t="str">
        <f t="shared" si="1029"/>
        <v/>
      </c>
      <c r="AA2996" s="70" t="str">
        <f t="shared" si="1030"/>
        <v/>
      </c>
      <c r="AB2996" s="70" t="str">
        <f t="shared" si="1031"/>
        <v/>
      </c>
      <c r="AC2996" s="70" t="str">
        <f t="shared" si="1032"/>
        <v/>
      </c>
      <c r="AD2996" s="70" t="str">
        <f t="shared" si="1033"/>
        <v/>
      </c>
      <c r="AE2996" s="70" t="str">
        <f t="shared" si="1034"/>
        <v/>
      </c>
      <c r="AF2996" s="16"/>
      <c r="AG2996" s="23"/>
      <c r="AH2996" s="22"/>
      <c r="AJ2996" s="83">
        <f t="shared" si="1035"/>
        <v>0</v>
      </c>
      <c r="AO2996" s="22" t="str">
        <f t="shared" si="1036"/>
        <v/>
      </c>
      <c r="AP2996" s="22" t="str">
        <f t="shared" si="1037"/>
        <v/>
      </c>
    </row>
    <row r="2997" spans="1:42" x14ac:dyDescent="0.25">
      <c r="A2997" s="10"/>
      <c r="B2997" s="10"/>
      <c r="C2997" s="10"/>
      <c r="D2997" s="10"/>
      <c r="E2997" s="10"/>
      <c r="F2997" s="10"/>
      <c r="G2997" s="10"/>
      <c r="H2997" s="17"/>
      <c r="I2997" s="10"/>
      <c r="J2997" s="10"/>
      <c r="K2997" s="16" t="str">
        <f t="shared" si="1016"/>
        <v/>
      </c>
      <c r="L2997" s="23" t="str">
        <f t="shared" si="1017"/>
        <v/>
      </c>
      <c r="M2997" s="22" t="str">
        <f t="shared" si="1018"/>
        <v/>
      </c>
      <c r="N2997" s="72"/>
      <c r="O2997" s="16" t="str">
        <f t="shared" si="1019"/>
        <v/>
      </c>
      <c r="P2997" s="16" t="str">
        <f t="shared" si="1020"/>
        <v/>
      </c>
      <c r="Q2997" s="16" t="str">
        <f t="shared" si="1021"/>
        <v/>
      </c>
      <c r="R2997" s="23" t="str">
        <f t="shared" si="1022"/>
        <v/>
      </c>
      <c r="S2997" s="23" t="str">
        <f t="shared" si="1023"/>
        <v/>
      </c>
      <c r="T2997" s="23" t="str">
        <f t="shared" si="1024"/>
        <v/>
      </c>
      <c r="U2997" s="23" t="str">
        <f t="shared" si="1025"/>
        <v/>
      </c>
      <c r="V2997" s="23" t="str">
        <f t="shared" si="1026"/>
        <v/>
      </c>
      <c r="W2997" s="70" t="str">
        <f t="shared" si="1027"/>
        <v/>
      </c>
      <c r="X2997" s="70" t="str">
        <f t="shared" si="1028"/>
        <v/>
      </c>
      <c r="Y2997" s="70" t="str">
        <f>IF(AND($A2997&lt;&gt;"",$E2997&gt;0),isLaptopBag($C2997,$J2997)*$D2997,"")</f>
        <v/>
      </c>
      <c r="Z2997" s="70" t="str">
        <f t="shared" si="1029"/>
        <v/>
      </c>
      <c r="AA2997" s="70" t="str">
        <f t="shared" si="1030"/>
        <v/>
      </c>
      <c r="AB2997" s="70" t="str">
        <f t="shared" si="1031"/>
        <v/>
      </c>
      <c r="AC2997" s="70" t="str">
        <f t="shared" si="1032"/>
        <v/>
      </c>
      <c r="AD2997" s="70" t="str">
        <f t="shared" si="1033"/>
        <v/>
      </c>
      <c r="AE2997" s="70" t="str">
        <f t="shared" si="1034"/>
        <v/>
      </c>
      <c r="AF2997" s="16"/>
      <c r="AG2997" s="23"/>
      <c r="AH2997" s="22"/>
      <c r="AJ2997" s="83">
        <f t="shared" si="1035"/>
        <v>0</v>
      </c>
      <c r="AO2997" s="22" t="str">
        <f t="shared" si="1036"/>
        <v/>
      </c>
      <c r="AP2997" s="22" t="str">
        <f t="shared" si="1037"/>
        <v/>
      </c>
    </row>
    <row r="2998" spans="1:42" x14ac:dyDescent="0.25">
      <c r="A2998" s="10"/>
      <c r="B2998" s="10"/>
      <c r="C2998" s="10"/>
      <c r="D2998" s="10"/>
      <c r="E2998" s="10"/>
      <c r="F2998" s="10"/>
      <c r="G2998" s="10"/>
      <c r="H2998" s="17"/>
      <c r="I2998" s="10"/>
      <c r="J2998" s="10"/>
      <c r="K2998" s="16" t="str">
        <f t="shared" si="1016"/>
        <v/>
      </c>
      <c r="L2998" s="23" t="str">
        <f t="shared" si="1017"/>
        <v/>
      </c>
      <c r="M2998" s="22" t="str">
        <f t="shared" si="1018"/>
        <v/>
      </c>
      <c r="N2998" s="72"/>
      <c r="O2998" s="16" t="str">
        <f t="shared" si="1019"/>
        <v/>
      </c>
      <c r="P2998" s="16" t="str">
        <f t="shared" si="1020"/>
        <v/>
      </c>
      <c r="Q2998" s="16" t="str">
        <f t="shared" si="1021"/>
        <v/>
      </c>
      <c r="R2998" s="23" t="str">
        <f t="shared" si="1022"/>
        <v/>
      </c>
      <c r="S2998" s="23" t="str">
        <f t="shared" si="1023"/>
        <v/>
      </c>
      <c r="T2998" s="23" t="str">
        <f t="shared" si="1024"/>
        <v/>
      </c>
      <c r="U2998" s="23" t="str">
        <f t="shared" si="1025"/>
        <v/>
      </c>
      <c r="V2998" s="23" t="str">
        <f t="shared" si="1026"/>
        <v/>
      </c>
      <c r="W2998" s="70" t="str">
        <f t="shared" si="1027"/>
        <v/>
      </c>
      <c r="X2998" s="70" t="str">
        <f t="shared" si="1028"/>
        <v/>
      </c>
      <c r="Y2998" s="70" t="str">
        <f>IF(AND($A2998&lt;&gt;"",$E2998&gt;0),isLaptopBag($C2998,$J2998)*$D2998,"")</f>
        <v/>
      </c>
      <c r="Z2998" s="70" t="str">
        <f t="shared" si="1029"/>
        <v/>
      </c>
      <c r="AA2998" s="70" t="str">
        <f t="shared" si="1030"/>
        <v/>
      </c>
      <c r="AB2998" s="70" t="str">
        <f t="shared" si="1031"/>
        <v/>
      </c>
      <c r="AC2998" s="70" t="str">
        <f t="shared" si="1032"/>
        <v/>
      </c>
      <c r="AD2998" s="70" t="str">
        <f t="shared" si="1033"/>
        <v/>
      </c>
      <c r="AE2998" s="70" t="str">
        <f t="shared" si="1034"/>
        <v/>
      </c>
      <c r="AF2998" s="16"/>
      <c r="AG2998" s="23"/>
      <c r="AH2998" s="22"/>
      <c r="AJ2998" s="83">
        <f t="shared" si="1035"/>
        <v>0</v>
      </c>
      <c r="AO2998" s="22" t="str">
        <f t="shared" si="1036"/>
        <v/>
      </c>
      <c r="AP2998" s="22" t="str">
        <f t="shared" si="1037"/>
        <v/>
      </c>
    </row>
    <row r="2999" spans="1:42" x14ac:dyDescent="0.25">
      <c r="A2999" s="10"/>
      <c r="B2999" s="10"/>
      <c r="C2999" s="10"/>
      <c r="D2999" s="10"/>
      <c r="E2999" s="10"/>
      <c r="F2999" s="10"/>
      <c r="G2999" s="10"/>
      <c r="H2999" s="17"/>
      <c r="I2999" s="10"/>
      <c r="J2999" s="10"/>
      <c r="K2999" s="16" t="str">
        <f t="shared" si="1016"/>
        <v/>
      </c>
      <c r="L2999" s="23" t="str">
        <f t="shared" si="1017"/>
        <v/>
      </c>
      <c r="M2999" s="22" t="str">
        <f t="shared" si="1018"/>
        <v/>
      </c>
      <c r="N2999" s="72"/>
      <c r="O2999" s="16" t="str">
        <f t="shared" si="1019"/>
        <v/>
      </c>
      <c r="P2999" s="16" t="str">
        <f t="shared" si="1020"/>
        <v/>
      </c>
      <c r="Q2999" s="16" t="str">
        <f t="shared" si="1021"/>
        <v/>
      </c>
      <c r="R2999" s="23" t="str">
        <f t="shared" si="1022"/>
        <v/>
      </c>
      <c r="S2999" s="23" t="str">
        <f t="shared" si="1023"/>
        <v/>
      </c>
      <c r="T2999" s="23" t="str">
        <f t="shared" si="1024"/>
        <v/>
      </c>
      <c r="U2999" s="23" t="str">
        <f t="shared" si="1025"/>
        <v/>
      </c>
      <c r="V2999" s="23" t="str">
        <f t="shared" si="1026"/>
        <v/>
      </c>
      <c r="W2999" s="70" t="str">
        <f t="shared" si="1027"/>
        <v/>
      </c>
      <c r="X2999" s="70" t="str">
        <f t="shared" si="1028"/>
        <v/>
      </c>
      <c r="Y2999" s="70" t="str">
        <f>IF(AND($A2999&lt;&gt;"",$E2999&gt;0),isLaptopBag($C2999,$J2999)*$D2999,"")</f>
        <v/>
      </c>
      <c r="Z2999" s="70" t="str">
        <f t="shared" si="1029"/>
        <v/>
      </c>
      <c r="AA2999" s="70" t="str">
        <f t="shared" si="1030"/>
        <v/>
      </c>
      <c r="AB2999" s="70" t="str">
        <f t="shared" si="1031"/>
        <v/>
      </c>
      <c r="AC2999" s="70" t="str">
        <f t="shared" si="1032"/>
        <v/>
      </c>
      <c r="AD2999" s="70" t="str">
        <f t="shared" si="1033"/>
        <v/>
      </c>
      <c r="AE2999" s="70" t="str">
        <f t="shared" si="1034"/>
        <v/>
      </c>
      <c r="AF2999" s="16"/>
      <c r="AG2999" s="23"/>
      <c r="AH2999" s="22"/>
      <c r="AJ2999" s="83">
        <f t="shared" si="1035"/>
        <v>0</v>
      </c>
      <c r="AO2999" s="22" t="str">
        <f t="shared" si="1036"/>
        <v/>
      </c>
      <c r="AP2999" s="22" t="str">
        <f t="shared" si="1037"/>
        <v/>
      </c>
    </row>
    <row r="3000" spans="1:42" x14ac:dyDescent="0.25">
      <c r="A3000" s="10"/>
      <c r="B3000" s="10"/>
      <c r="C3000" s="10"/>
      <c r="D3000" s="10"/>
      <c r="E3000" s="10"/>
      <c r="F3000" s="10"/>
      <c r="G3000" s="10"/>
      <c r="H3000" s="17"/>
      <c r="I3000" s="10"/>
      <c r="J3000" s="10"/>
      <c r="K3000" s="16" t="str">
        <f t="shared" si="1016"/>
        <v/>
      </c>
      <c r="L3000" s="23" t="str">
        <f t="shared" si="1017"/>
        <v/>
      </c>
      <c r="M3000" s="22" t="str">
        <f t="shared" si="1018"/>
        <v/>
      </c>
      <c r="N3000" s="72"/>
      <c r="O3000" s="16" t="str">
        <f t="shared" si="1019"/>
        <v/>
      </c>
      <c r="P3000" s="16" t="str">
        <f t="shared" si="1020"/>
        <v/>
      </c>
      <c r="Q3000" s="16" t="str">
        <f t="shared" si="1021"/>
        <v/>
      </c>
      <c r="R3000" s="23" t="str">
        <f t="shared" si="1022"/>
        <v/>
      </c>
      <c r="S3000" s="23" t="str">
        <f t="shared" si="1023"/>
        <v/>
      </c>
      <c r="T3000" s="23" t="str">
        <f t="shared" si="1024"/>
        <v/>
      </c>
      <c r="U3000" s="23" t="str">
        <f t="shared" si="1025"/>
        <v/>
      </c>
      <c r="V3000" s="23" t="str">
        <f t="shared" si="1026"/>
        <v/>
      </c>
      <c r="W3000" s="70" t="str">
        <f t="shared" si="1027"/>
        <v/>
      </c>
      <c r="X3000" s="70" t="str">
        <f t="shared" si="1028"/>
        <v/>
      </c>
      <c r="Y3000" s="70" t="str">
        <f>IF(AND($A3000&lt;&gt;"",$E3000&gt;0),isLaptopBag($C3000,$J3000)*$D3000,"")</f>
        <v/>
      </c>
      <c r="Z3000" s="70" t="str">
        <f t="shared" si="1029"/>
        <v/>
      </c>
      <c r="AA3000" s="70" t="str">
        <f t="shared" si="1030"/>
        <v/>
      </c>
      <c r="AB3000" s="70" t="str">
        <f t="shared" si="1031"/>
        <v/>
      </c>
      <c r="AC3000" s="70" t="str">
        <f t="shared" si="1032"/>
        <v/>
      </c>
      <c r="AD3000" s="70" t="str">
        <f t="shared" si="1033"/>
        <v/>
      </c>
      <c r="AE3000" s="70" t="str">
        <f t="shared" si="1034"/>
        <v/>
      </c>
      <c r="AF3000" s="16"/>
      <c r="AG3000" s="23"/>
      <c r="AH3000" s="22"/>
      <c r="AJ3000" s="83">
        <f t="shared" si="1035"/>
        <v>0</v>
      </c>
      <c r="AO3000" s="22" t="str">
        <f t="shared" si="1036"/>
        <v/>
      </c>
      <c r="AP3000" s="22" t="str">
        <f t="shared" si="1037"/>
        <v/>
      </c>
    </row>
    <row r="3001" spans="1:42" x14ac:dyDescent="0.25">
      <c r="A3001" s="10"/>
      <c r="B3001" s="10"/>
      <c r="C3001" s="10"/>
      <c r="D3001" s="10"/>
      <c r="E3001" s="10"/>
      <c r="F3001" s="10"/>
      <c r="G3001" s="10"/>
      <c r="H3001" s="17"/>
      <c r="I3001" s="10"/>
      <c r="J3001" s="10"/>
      <c r="K3001" s="16" t="str">
        <f t="shared" si="1016"/>
        <v/>
      </c>
      <c r="L3001" s="23" t="str">
        <f t="shared" si="1017"/>
        <v/>
      </c>
      <c r="M3001" s="22" t="str">
        <f t="shared" si="1018"/>
        <v/>
      </c>
      <c r="N3001" s="72"/>
      <c r="O3001" s="16" t="str">
        <f t="shared" si="1019"/>
        <v/>
      </c>
      <c r="P3001" s="16" t="str">
        <f t="shared" si="1020"/>
        <v/>
      </c>
      <c r="Q3001" s="16" t="str">
        <f t="shared" si="1021"/>
        <v/>
      </c>
      <c r="R3001" s="23" t="str">
        <f t="shared" si="1022"/>
        <v/>
      </c>
      <c r="S3001" s="23" t="str">
        <f t="shared" si="1023"/>
        <v/>
      </c>
      <c r="T3001" s="23" t="str">
        <f t="shared" si="1024"/>
        <v/>
      </c>
      <c r="U3001" s="23" t="str">
        <f t="shared" si="1025"/>
        <v/>
      </c>
      <c r="V3001" s="23" t="str">
        <f t="shared" si="1026"/>
        <v/>
      </c>
      <c r="W3001" s="70" t="str">
        <f t="shared" si="1027"/>
        <v/>
      </c>
      <c r="X3001" s="70" t="str">
        <f t="shared" si="1028"/>
        <v/>
      </c>
      <c r="Y3001" s="70" t="str">
        <f>IF(AND($A3001&lt;&gt;"",$E3001&gt;0),isLaptopBag($C3001,$J3001)*$D3001,"")</f>
        <v/>
      </c>
      <c r="Z3001" s="70" t="str">
        <f t="shared" si="1029"/>
        <v/>
      </c>
      <c r="AA3001" s="70" t="str">
        <f t="shared" si="1030"/>
        <v/>
      </c>
      <c r="AB3001" s="70" t="str">
        <f t="shared" si="1031"/>
        <v/>
      </c>
      <c r="AC3001" s="70" t="str">
        <f t="shared" si="1032"/>
        <v/>
      </c>
      <c r="AD3001" s="70" t="str">
        <f t="shared" si="1033"/>
        <v/>
      </c>
      <c r="AE3001" s="70" t="str">
        <f t="shared" si="1034"/>
        <v/>
      </c>
      <c r="AF3001" s="16"/>
      <c r="AG3001" s="23"/>
      <c r="AH3001" s="22"/>
      <c r="AJ3001" s="83">
        <f t="shared" si="1035"/>
        <v>0</v>
      </c>
      <c r="AO3001" s="22" t="str">
        <f t="shared" si="1036"/>
        <v/>
      </c>
      <c r="AP3001" s="22" t="str">
        <f t="shared" si="1037"/>
        <v/>
      </c>
    </row>
    <row r="3002" spans="1:42" x14ac:dyDescent="0.25">
      <c r="A3002" s="10"/>
      <c r="B3002" s="10"/>
      <c r="C3002" s="10"/>
      <c r="D3002" s="10"/>
      <c r="E3002" s="10"/>
      <c r="F3002" s="10"/>
      <c r="G3002" s="10"/>
      <c r="H3002" s="17"/>
      <c r="I3002" s="10"/>
      <c r="J3002" s="10"/>
      <c r="K3002" s="16" t="str">
        <f t="shared" si="1016"/>
        <v/>
      </c>
      <c r="L3002" s="23" t="str">
        <f t="shared" si="1017"/>
        <v/>
      </c>
      <c r="M3002" s="22" t="str">
        <f t="shared" si="1018"/>
        <v/>
      </c>
      <c r="N3002" s="72"/>
      <c r="O3002" s="16" t="str">
        <f t="shared" si="1019"/>
        <v/>
      </c>
      <c r="P3002" s="16" t="str">
        <f t="shared" si="1020"/>
        <v/>
      </c>
      <c r="Q3002" s="16" t="str">
        <f t="shared" si="1021"/>
        <v/>
      </c>
      <c r="R3002" s="23" t="str">
        <f t="shared" si="1022"/>
        <v/>
      </c>
      <c r="S3002" s="23" t="str">
        <f t="shared" si="1023"/>
        <v/>
      </c>
      <c r="T3002" s="23" t="str">
        <f t="shared" si="1024"/>
        <v/>
      </c>
      <c r="U3002" s="23" t="str">
        <f t="shared" si="1025"/>
        <v/>
      </c>
      <c r="V3002" s="23" t="str">
        <f t="shared" si="1026"/>
        <v/>
      </c>
      <c r="W3002" s="70" t="str">
        <f t="shared" si="1027"/>
        <v/>
      </c>
      <c r="X3002" s="70" t="str">
        <f t="shared" si="1028"/>
        <v/>
      </c>
      <c r="Y3002" s="70" t="str">
        <f>IF(AND($A3002&lt;&gt;"",$E3002&gt;0),isLaptopBag($C3002,$J3002)*$D3002,"")</f>
        <v/>
      </c>
      <c r="Z3002" s="70" t="str">
        <f t="shared" si="1029"/>
        <v/>
      </c>
      <c r="AA3002" s="70" t="str">
        <f t="shared" si="1030"/>
        <v/>
      </c>
      <c r="AB3002" s="70" t="str">
        <f t="shared" si="1031"/>
        <v/>
      </c>
      <c r="AC3002" s="70" t="str">
        <f t="shared" si="1032"/>
        <v/>
      </c>
      <c r="AD3002" s="70" t="str">
        <f t="shared" si="1033"/>
        <v/>
      </c>
      <c r="AE3002" s="70" t="str">
        <f t="shared" si="1034"/>
        <v/>
      </c>
      <c r="AF3002" s="16"/>
      <c r="AG3002" s="23"/>
      <c r="AH3002" s="22"/>
      <c r="AJ3002" s="83">
        <f t="shared" si="1035"/>
        <v>0</v>
      </c>
      <c r="AO3002" s="22" t="str">
        <f t="shared" si="1036"/>
        <v/>
      </c>
      <c r="AP3002" s="22" t="str">
        <f t="shared" si="1037"/>
        <v/>
      </c>
    </row>
    <row r="3003" spans="1:42" x14ac:dyDescent="0.25">
      <c r="A3003" s="10"/>
      <c r="B3003" s="10"/>
      <c r="C3003" s="10"/>
      <c r="D3003" s="10"/>
      <c r="E3003" s="10"/>
      <c r="F3003" s="10"/>
      <c r="G3003" s="10"/>
      <c r="H3003" s="17"/>
      <c r="I3003" s="10"/>
      <c r="J3003" s="10"/>
      <c r="K3003" s="16" t="str">
        <f t="shared" si="1016"/>
        <v/>
      </c>
      <c r="L3003" s="23" t="str">
        <f t="shared" si="1017"/>
        <v/>
      </c>
      <c r="M3003" s="22" t="str">
        <f t="shared" si="1018"/>
        <v/>
      </c>
      <c r="N3003" s="72"/>
      <c r="O3003" s="16" t="str">
        <f t="shared" si="1019"/>
        <v/>
      </c>
      <c r="P3003" s="16" t="str">
        <f t="shared" si="1020"/>
        <v/>
      </c>
      <c r="Q3003" s="16" t="str">
        <f t="shared" si="1021"/>
        <v/>
      </c>
      <c r="R3003" s="23" t="str">
        <f t="shared" si="1022"/>
        <v/>
      </c>
      <c r="S3003" s="23" t="str">
        <f t="shared" si="1023"/>
        <v/>
      </c>
      <c r="T3003" s="23" t="str">
        <f t="shared" si="1024"/>
        <v/>
      </c>
      <c r="U3003" s="23" t="str">
        <f t="shared" si="1025"/>
        <v/>
      </c>
      <c r="V3003" s="23" t="str">
        <f t="shared" si="1026"/>
        <v/>
      </c>
      <c r="W3003" s="70" t="str">
        <f t="shared" si="1027"/>
        <v/>
      </c>
      <c r="X3003" s="70" t="str">
        <f t="shared" si="1028"/>
        <v/>
      </c>
      <c r="Y3003" s="70" t="str">
        <f>IF(AND($A3003&lt;&gt;"",$E3003&gt;0),isLaptopBag($C3003,$J3003)*$D3003,"")</f>
        <v/>
      </c>
      <c r="Z3003" s="70" t="str">
        <f t="shared" si="1029"/>
        <v/>
      </c>
      <c r="AA3003" s="70" t="str">
        <f t="shared" si="1030"/>
        <v/>
      </c>
      <c r="AB3003" s="70" t="str">
        <f t="shared" si="1031"/>
        <v/>
      </c>
      <c r="AC3003" s="70" t="str">
        <f t="shared" si="1032"/>
        <v/>
      </c>
      <c r="AD3003" s="70" t="str">
        <f t="shared" si="1033"/>
        <v/>
      </c>
      <c r="AE3003" s="70" t="str">
        <f t="shared" si="1034"/>
        <v/>
      </c>
      <c r="AF3003" s="16"/>
      <c r="AG3003" s="23"/>
      <c r="AH3003" s="22"/>
      <c r="AJ3003" s="83">
        <f t="shared" si="1035"/>
        <v>0</v>
      </c>
      <c r="AO3003" s="22" t="str">
        <f t="shared" si="1036"/>
        <v/>
      </c>
      <c r="AP3003" s="22" t="str">
        <f t="shared" si="1037"/>
        <v/>
      </c>
    </row>
    <row r="3004" spans="1:42" x14ac:dyDescent="0.25">
      <c r="A3004" s="10"/>
      <c r="B3004" s="10"/>
      <c r="C3004" s="10"/>
      <c r="D3004" s="10"/>
      <c r="E3004" s="10"/>
      <c r="F3004" s="10"/>
      <c r="G3004" s="10"/>
      <c r="H3004" s="17"/>
      <c r="I3004" s="10"/>
      <c r="J3004" s="10"/>
      <c r="K3004" s="16" t="str">
        <f t="shared" si="1016"/>
        <v/>
      </c>
      <c r="L3004" s="23" t="str">
        <f t="shared" si="1017"/>
        <v/>
      </c>
      <c r="M3004" s="22" t="str">
        <f t="shared" si="1018"/>
        <v/>
      </c>
      <c r="N3004" s="72"/>
      <c r="O3004" s="16" t="str">
        <f t="shared" si="1019"/>
        <v/>
      </c>
      <c r="P3004" s="16" t="str">
        <f t="shared" si="1020"/>
        <v/>
      </c>
      <c r="Q3004" s="16" t="str">
        <f t="shared" si="1021"/>
        <v/>
      </c>
      <c r="R3004" s="23" t="str">
        <f t="shared" si="1022"/>
        <v/>
      </c>
      <c r="S3004" s="23" t="str">
        <f t="shared" si="1023"/>
        <v/>
      </c>
      <c r="T3004" s="23" t="str">
        <f t="shared" si="1024"/>
        <v/>
      </c>
      <c r="U3004" s="23" t="str">
        <f t="shared" si="1025"/>
        <v/>
      </c>
      <c r="V3004" s="23" t="str">
        <f t="shared" si="1026"/>
        <v/>
      </c>
      <c r="W3004" s="70" t="str">
        <f t="shared" si="1027"/>
        <v/>
      </c>
      <c r="X3004" s="70" t="str">
        <f t="shared" si="1028"/>
        <v/>
      </c>
      <c r="Y3004" s="70" t="str">
        <f>IF(AND($A3004&lt;&gt;"",$E3004&gt;0),isLaptopBag($C3004,$J3004)*$D3004,"")</f>
        <v/>
      </c>
      <c r="Z3004" s="70" t="str">
        <f t="shared" si="1029"/>
        <v/>
      </c>
      <c r="AA3004" s="70" t="str">
        <f t="shared" si="1030"/>
        <v/>
      </c>
      <c r="AB3004" s="70" t="str">
        <f t="shared" si="1031"/>
        <v/>
      </c>
      <c r="AC3004" s="70" t="str">
        <f t="shared" si="1032"/>
        <v/>
      </c>
      <c r="AD3004" s="70" t="str">
        <f t="shared" si="1033"/>
        <v/>
      </c>
      <c r="AE3004" s="70" t="str">
        <f t="shared" si="1034"/>
        <v/>
      </c>
      <c r="AF3004" s="16"/>
      <c r="AG3004" s="23"/>
      <c r="AH3004" s="22"/>
      <c r="AJ3004" s="83">
        <f t="shared" si="1035"/>
        <v>0</v>
      </c>
      <c r="AO3004" s="22" t="str">
        <f t="shared" si="1036"/>
        <v/>
      </c>
      <c r="AP3004" s="22" t="str">
        <f t="shared" si="1037"/>
        <v/>
      </c>
    </row>
    <row r="3005" spans="1:42" x14ac:dyDescent="0.25">
      <c r="A3005" s="10"/>
      <c r="B3005" s="10"/>
      <c r="C3005" s="10"/>
      <c r="D3005" s="10"/>
      <c r="E3005" s="10"/>
      <c r="F3005" s="10"/>
      <c r="G3005" s="10"/>
      <c r="H3005" s="17"/>
      <c r="I3005" s="10"/>
      <c r="J3005" s="10"/>
      <c r="K3005" s="16" t="str">
        <f t="shared" si="1016"/>
        <v/>
      </c>
      <c r="L3005" s="23" t="str">
        <f t="shared" si="1017"/>
        <v/>
      </c>
      <c r="M3005" s="22" t="str">
        <f t="shared" si="1018"/>
        <v/>
      </c>
      <c r="N3005" s="72"/>
      <c r="O3005" s="16" t="str">
        <f t="shared" si="1019"/>
        <v/>
      </c>
      <c r="P3005" s="16" t="str">
        <f t="shared" si="1020"/>
        <v/>
      </c>
      <c r="Q3005" s="16" t="str">
        <f t="shared" si="1021"/>
        <v/>
      </c>
      <c r="R3005" s="23" t="str">
        <f t="shared" si="1022"/>
        <v/>
      </c>
      <c r="S3005" s="23" t="str">
        <f t="shared" si="1023"/>
        <v/>
      </c>
      <c r="T3005" s="23" t="str">
        <f t="shared" si="1024"/>
        <v/>
      </c>
      <c r="U3005" s="23" t="str">
        <f t="shared" si="1025"/>
        <v/>
      </c>
      <c r="V3005" s="23" t="str">
        <f t="shared" si="1026"/>
        <v/>
      </c>
      <c r="W3005" s="70" t="str">
        <f t="shared" si="1027"/>
        <v/>
      </c>
      <c r="X3005" s="70" t="str">
        <f t="shared" si="1028"/>
        <v/>
      </c>
      <c r="Y3005" s="70" t="str">
        <f>IF(AND($A3005&lt;&gt;"",$E3005&gt;0),isLaptopBag($C3005,$J3005)*$D3005,"")</f>
        <v/>
      </c>
      <c r="Z3005" s="70" t="str">
        <f t="shared" si="1029"/>
        <v/>
      </c>
      <c r="AA3005" s="70" t="str">
        <f t="shared" si="1030"/>
        <v/>
      </c>
      <c r="AB3005" s="70" t="str">
        <f t="shared" si="1031"/>
        <v/>
      </c>
      <c r="AC3005" s="70" t="str">
        <f t="shared" si="1032"/>
        <v/>
      </c>
      <c r="AD3005" s="70" t="str">
        <f t="shared" si="1033"/>
        <v/>
      </c>
      <c r="AE3005" s="70" t="str">
        <f t="shared" si="1034"/>
        <v/>
      </c>
      <c r="AF3005" s="16"/>
      <c r="AG3005" s="23"/>
      <c r="AH3005" s="22"/>
      <c r="AJ3005" s="83">
        <f t="shared" si="1035"/>
        <v>0</v>
      </c>
      <c r="AO3005" s="22" t="str">
        <f t="shared" si="1036"/>
        <v/>
      </c>
      <c r="AP3005" s="22" t="str">
        <f t="shared" si="1037"/>
        <v/>
      </c>
    </row>
    <row r="3006" spans="1:42" x14ac:dyDescent="0.25">
      <c r="A3006" s="10"/>
      <c r="B3006" s="10"/>
      <c r="C3006" s="10"/>
      <c r="D3006" s="10"/>
      <c r="E3006" s="10"/>
      <c r="F3006" s="10"/>
      <c r="G3006" s="10"/>
      <c r="H3006" s="17"/>
      <c r="I3006" s="10"/>
      <c r="J3006" s="10"/>
      <c r="K3006" s="16" t="str">
        <f t="shared" si="1016"/>
        <v/>
      </c>
      <c r="L3006" s="23" t="str">
        <f t="shared" si="1017"/>
        <v/>
      </c>
      <c r="M3006" s="22" t="str">
        <f t="shared" si="1018"/>
        <v/>
      </c>
      <c r="N3006" s="72"/>
      <c r="O3006" s="16" t="str">
        <f t="shared" si="1019"/>
        <v/>
      </c>
      <c r="P3006" s="16" t="str">
        <f t="shared" si="1020"/>
        <v/>
      </c>
      <c r="Q3006" s="16" t="str">
        <f t="shared" si="1021"/>
        <v/>
      </c>
      <c r="R3006" s="23" t="str">
        <f t="shared" si="1022"/>
        <v/>
      </c>
      <c r="S3006" s="23" t="str">
        <f t="shared" si="1023"/>
        <v/>
      </c>
      <c r="T3006" s="23" t="str">
        <f t="shared" si="1024"/>
        <v/>
      </c>
      <c r="U3006" s="23" t="str">
        <f t="shared" si="1025"/>
        <v/>
      </c>
      <c r="V3006" s="23" t="str">
        <f t="shared" si="1026"/>
        <v/>
      </c>
      <c r="W3006" s="70" t="str">
        <f t="shared" si="1027"/>
        <v/>
      </c>
      <c r="X3006" s="70" t="str">
        <f t="shared" si="1028"/>
        <v/>
      </c>
      <c r="Y3006" s="70" t="str">
        <f>IF(AND($A3006&lt;&gt;"",$E3006&gt;0),isLaptopBag($C3006,$J3006)*$D3006,"")</f>
        <v/>
      </c>
      <c r="Z3006" s="70" t="str">
        <f t="shared" si="1029"/>
        <v/>
      </c>
      <c r="AA3006" s="70" t="str">
        <f t="shared" si="1030"/>
        <v/>
      </c>
      <c r="AB3006" s="70" t="str">
        <f t="shared" si="1031"/>
        <v/>
      </c>
      <c r="AC3006" s="70" t="str">
        <f t="shared" si="1032"/>
        <v/>
      </c>
      <c r="AD3006" s="70" t="str">
        <f t="shared" si="1033"/>
        <v/>
      </c>
      <c r="AE3006" s="70" t="str">
        <f t="shared" si="1034"/>
        <v/>
      </c>
      <c r="AF3006" s="16"/>
      <c r="AG3006" s="23"/>
      <c r="AH3006" s="22"/>
      <c r="AJ3006" s="83">
        <f t="shared" si="1035"/>
        <v>0</v>
      </c>
      <c r="AO3006" s="22" t="str">
        <f t="shared" si="1036"/>
        <v/>
      </c>
      <c r="AP3006" s="22" t="str">
        <f t="shared" si="1037"/>
        <v/>
      </c>
    </row>
    <row r="3007" spans="1:42" x14ac:dyDescent="0.25">
      <c r="A3007" s="10"/>
      <c r="B3007" s="10"/>
      <c r="C3007" s="10"/>
      <c r="D3007" s="10"/>
      <c r="E3007" s="10"/>
      <c r="F3007" s="10"/>
      <c r="G3007" s="10"/>
      <c r="H3007" s="17"/>
      <c r="I3007" s="10"/>
      <c r="J3007" s="10"/>
      <c r="K3007" s="16" t="str">
        <f t="shared" si="1016"/>
        <v/>
      </c>
      <c r="L3007" s="23" t="str">
        <f t="shared" si="1017"/>
        <v/>
      </c>
      <c r="M3007" s="22" t="str">
        <f t="shared" si="1018"/>
        <v/>
      </c>
      <c r="N3007" s="72"/>
      <c r="O3007" s="16" t="str">
        <f t="shared" si="1019"/>
        <v/>
      </c>
      <c r="P3007" s="16" t="str">
        <f t="shared" si="1020"/>
        <v/>
      </c>
      <c r="Q3007" s="16" t="str">
        <f t="shared" si="1021"/>
        <v/>
      </c>
      <c r="R3007" s="23" t="str">
        <f t="shared" si="1022"/>
        <v/>
      </c>
      <c r="S3007" s="23" t="str">
        <f t="shared" si="1023"/>
        <v/>
      </c>
      <c r="T3007" s="23" t="str">
        <f t="shared" si="1024"/>
        <v/>
      </c>
      <c r="U3007" s="23" t="str">
        <f t="shared" si="1025"/>
        <v/>
      </c>
      <c r="V3007" s="23" t="str">
        <f t="shared" si="1026"/>
        <v/>
      </c>
      <c r="W3007" s="70" t="str">
        <f t="shared" si="1027"/>
        <v/>
      </c>
      <c r="X3007" s="70" t="str">
        <f t="shared" si="1028"/>
        <v/>
      </c>
      <c r="Y3007" s="70" t="str">
        <f>IF(AND($A3007&lt;&gt;"",$E3007&gt;0),isLaptopBag($C3007,$J3007)*$D3007,"")</f>
        <v/>
      </c>
      <c r="Z3007" s="70" t="str">
        <f t="shared" si="1029"/>
        <v/>
      </c>
      <c r="AA3007" s="70" t="str">
        <f t="shared" si="1030"/>
        <v/>
      </c>
      <c r="AB3007" s="70" t="str">
        <f t="shared" si="1031"/>
        <v/>
      </c>
      <c r="AC3007" s="70" t="str">
        <f t="shared" si="1032"/>
        <v/>
      </c>
      <c r="AD3007" s="70" t="str">
        <f t="shared" si="1033"/>
        <v/>
      </c>
      <c r="AE3007" s="70" t="str">
        <f t="shared" si="1034"/>
        <v/>
      </c>
      <c r="AF3007" s="16"/>
      <c r="AG3007" s="23"/>
      <c r="AH3007" s="22"/>
      <c r="AJ3007" s="83">
        <f t="shared" si="1035"/>
        <v>0</v>
      </c>
      <c r="AO3007" s="22" t="str">
        <f t="shared" si="1036"/>
        <v/>
      </c>
      <c r="AP3007" s="22" t="str">
        <f t="shared" si="1037"/>
        <v/>
      </c>
    </row>
    <row r="3008" spans="1:42" x14ac:dyDescent="0.25">
      <c r="A3008" s="10"/>
      <c r="B3008" s="10"/>
      <c r="C3008" s="10"/>
      <c r="D3008" s="10"/>
      <c r="E3008" s="10"/>
      <c r="F3008" s="10"/>
      <c r="G3008" s="10"/>
      <c r="H3008" s="17"/>
      <c r="I3008" s="10"/>
      <c r="J3008" s="10"/>
      <c r="K3008" s="16" t="str">
        <f t="shared" si="1016"/>
        <v/>
      </c>
      <c r="L3008" s="23" t="str">
        <f t="shared" si="1017"/>
        <v/>
      </c>
      <c r="M3008" s="22" t="str">
        <f t="shared" si="1018"/>
        <v/>
      </c>
      <c r="N3008" s="72"/>
      <c r="O3008" s="16" t="str">
        <f t="shared" si="1019"/>
        <v/>
      </c>
      <c r="P3008" s="16" t="str">
        <f t="shared" si="1020"/>
        <v/>
      </c>
      <c r="Q3008" s="16" t="str">
        <f t="shared" si="1021"/>
        <v/>
      </c>
      <c r="R3008" s="23" t="str">
        <f t="shared" si="1022"/>
        <v/>
      </c>
      <c r="S3008" s="23" t="str">
        <f t="shared" si="1023"/>
        <v/>
      </c>
      <c r="T3008" s="23" t="str">
        <f t="shared" si="1024"/>
        <v/>
      </c>
      <c r="U3008" s="23" t="str">
        <f t="shared" si="1025"/>
        <v/>
      </c>
      <c r="V3008" s="23" t="str">
        <f t="shared" si="1026"/>
        <v/>
      </c>
      <c r="W3008" s="70" t="str">
        <f t="shared" si="1027"/>
        <v/>
      </c>
      <c r="X3008" s="70" t="str">
        <f t="shared" si="1028"/>
        <v/>
      </c>
      <c r="Y3008" s="70" t="str">
        <f>IF(AND($A3008&lt;&gt;"",$E3008&gt;0),isLaptopBag($C3008,$J3008)*$D3008,"")</f>
        <v/>
      </c>
      <c r="Z3008" s="70" t="str">
        <f t="shared" si="1029"/>
        <v/>
      </c>
      <c r="AA3008" s="70" t="str">
        <f t="shared" si="1030"/>
        <v/>
      </c>
      <c r="AB3008" s="70" t="str">
        <f t="shared" si="1031"/>
        <v/>
      </c>
      <c r="AC3008" s="70" t="str">
        <f t="shared" si="1032"/>
        <v/>
      </c>
      <c r="AD3008" s="70" t="str">
        <f t="shared" si="1033"/>
        <v/>
      </c>
      <c r="AE3008" s="70" t="str">
        <f t="shared" si="1034"/>
        <v/>
      </c>
      <c r="AF3008" s="16"/>
      <c r="AG3008" s="23"/>
      <c r="AH3008" s="22"/>
      <c r="AJ3008" s="83">
        <f t="shared" si="1035"/>
        <v>0</v>
      </c>
      <c r="AO3008" s="22" t="str">
        <f t="shared" si="1036"/>
        <v/>
      </c>
      <c r="AP3008" s="22" t="str">
        <f t="shared" si="1037"/>
        <v/>
      </c>
    </row>
    <row r="3009" spans="1:42" x14ac:dyDescent="0.25">
      <c r="A3009" s="10"/>
      <c r="B3009" s="10"/>
      <c r="C3009" s="10"/>
      <c r="D3009" s="10"/>
      <c r="E3009" s="10"/>
      <c r="F3009" s="10"/>
      <c r="G3009" s="10"/>
      <c r="H3009" s="17"/>
      <c r="I3009" s="10"/>
      <c r="J3009" s="10"/>
      <c r="K3009" s="16" t="str">
        <f t="shared" si="1016"/>
        <v/>
      </c>
      <c r="L3009" s="23" t="str">
        <f t="shared" si="1017"/>
        <v/>
      </c>
      <c r="M3009" s="22" t="str">
        <f t="shared" si="1018"/>
        <v/>
      </c>
      <c r="N3009" s="72"/>
      <c r="O3009" s="16" t="str">
        <f t="shared" si="1019"/>
        <v/>
      </c>
      <c r="P3009" s="16" t="str">
        <f t="shared" si="1020"/>
        <v/>
      </c>
      <c r="Q3009" s="16" t="str">
        <f t="shared" si="1021"/>
        <v/>
      </c>
      <c r="R3009" s="23" t="str">
        <f t="shared" si="1022"/>
        <v/>
      </c>
      <c r="S3009" s="23" t="str">
        <f t="shared" si="1023"/>
        <v/>
      </c>
      <c r="T3009" s="23" t="str">
        <f t="shared" si="1024"/>
        <v/>
      </c>
      <c r="U3009" s="23" t="str">
        <f t="shared" si="1025"/>
        <v/>
      </c>
      <c r="V3009" s="23" t="str">
        <f t="shared" si="1026"/>
        <v/>
      </c>
      <c r="W3009" s="70" t="str">
        <f t="shared" si="1027"/>
        <v/>
      </c>
      <c r="X3009" s="70" t="str">
        <f t="shared" si="1028"/>
        <v/>
      </c>
      <c r="Y3009" s="70" t="str">
        <f>IF(AND($A3009&lt;&gt;"",$E3009&gt;0),isLaptopBag($C3009,$J3009)*$D3009,"")</f>
        <v/>
      </c>
      <c r="Z3009" s="70" t="str">
        <f t="shared" si="1029"/>
        <v/>
      </c>
      <c r="AA3009" s="70" t="str">
        <f t="shared" si="1030"/>
        <v/>
      </c>
      <c r="AB3009" s="70" t="str">
        <f t="shared" si="1031"/>
        <v/>
      </c>
      <c r="AC3009" s="70" t="str">
        <f t="shared" si="1032"/>
        <v/>
      </c>
      <c r="AD3009" s="70" t="str">
        <f t="shared" si="1033"/>
        <v/>
      </c>
      <c r="AE3009" s="70" t="str">
        <f t="shared" si="1034"/>
        <v/>
      </c>
      <c r="AF3009" s="16"/>
      <c r="AG3009" s="23"/>
      <c r="AH3009" s="22"/>
      <c r="AJ3009" s="83">
        <f t="shared" si="1035"/>
        <v>0</v>
      </c>
      <c r="AO3009" s="22" t="str">
        <f t="shared" si="1036"/>
        <v/>
      </c>
      <c r="AP3009" s="22" t="str">
        <f t="shared" si="1037"/>
        <v/>
      </c>
    </row>
    <row r="3010" spans="1:42" x14ac:dyDescent="0.25">
      <c r="A3010" s="10"/>
      <c r="B3010" s="10"/>
      <c r="C3010" s="10"/>
      <c r="D3010" s="10"/>
      <c r="E3010" s="10"/>
      <c r="F3010" s="10"/>
      <c r="G3010" s="10"/>
      <c r="H3010" s="17"/>
      <c r="I3010" s="10"/>
      <c r="J3010" s="10"/>
      <c r="K3010" s="16" t="str">
        <f t="shared" si="1016"/>
        <v/>
      </c>
      <c r="L3010" s="23" t="str">
        <f t="shared" si="1017"/>
        <v/>
      </c>
      <c r="M3010" s="22" t="str">
        <f t="shared" si="1018"/>
        <v/>
      </c>
      <c r="N3010" s="72"/>
      <c r="O3010" s="16" t="str">
        <f t="shared" si="1019"/>
        <v/>
      </c>
      <c r="P3010" s="16" t="str">
        <f t="shared" si="1020"/>
        <v/>
      </c>
      <c r="Q3010" s="16" t="str">
        <f t="shared" si="1021"/>
        <v/>
      </c>
      <c r="R3010" s="23" t="str">
        <f t="shared" si="1022"/>
        <v/>
      </c>
      <c r="S3010" s="23" t="str">
        <f t="shared" si="1023"/>
        <v/>
      </c>
      <c r="T3010" s="23" t="str">
        <f t="shared" si="1024"/>
        <v/>
      </c>
      <c r="U3010" s="23" t="str">
        <f t="shared" si="1025"/>
        <v/>
      </c>
      <c r="V3010" s="23" t="str">
        <f t="shared" si="1026"/>
        <v/>
      </c>
      <c r="W3010" s="70" t="str">
        <f t="shared" si="1027"/>
        <v/>
      </c>
      <c r="X3010" s="70" t="str">
        <f t="shared" si="1028"/>
        <v/>
      </c>
      <c r="Y3010" s="70" t="str">
        <f>IF(AND($A3010&lt;&gt;"",$E3010&gt;0),isLaptopBag($C3010,$J3010)*$D3010,"")</f>
        <v/>
      </c>
      <c r="Z3010" s="70" t="str">
        <f t="shared" si="1029"/>
        <v/>
      </c>
      <c r="AA3010" s="70" t="str">
        <f t="shared" si="1030"/>
        <v/>
      </c>
      <c r="AB3010" s="70" t="str">
        <f t="shared" si="1031"/>
        <v/>
      </c>
      <c r="AC3010" s="70" t="str">
        <f t="shared" si="1032"/>
        <v/>
      </c>
      <c r="AD3010" s="70" t="str">
        <f t="shared" si="1033"/>
        <v/>
      </c>
      <c r="AE3010" s="70" t="str">
        <f t="shared" si="1034"/>
        <v/>
      </c>
      <c r="AF3010" s="16"/>
      <c r="AG3010" s="23"/>
      <c r="AH3010" s="22"/>
      <c r="AJ3010" s="83">
        <f t="shared" si="1035"/>
        <v>0</v>
      </c>
      <c r="AO3010" s="22" t="str">
        <f t="shared" si="1036"/>
        <v/>
      </c>
      <c r="AP3010" s="22" t="str">
        <f t="shared" si="1037"/>
        <v/>
      </c>
    </row>
    <row r="3011" spans="1:42" x14ac:dyDescent="0.25">
      <c r="A3011" s="10"/>
      <c r="B3011" s="10"/>
      <c r="C3011" s="10"/>
      <c r="D3011" s="10"/>
      <c r="E3011" s="10"/>
      <c r="F3011" s="10"/>
      <c r="G3011" s="10"/>
      <c r="H3011" s="17"/>
      <c r="I3011" s="10"/>
      <c r="J3011" s="10"/>
      <c r="K3011" s="16" t="str">
        <f t="shared" si="1016"/>
        <v/>
      </c>
      <c r="L3011" s="23" t="str">
        <f t="shared" si="1017"/>
        <v/>
      </c>
      <c r="M3011" s="22" t="str">
        <f t="shared" si="1018"/>
        <v/>
      </c>
      <c r="N3011" s="72"/>
      <c r="O3011" s="16" t="str">
        <f t="shared" si="1019"/>
        <v/>
      </c>
      <c r="P3011" s="16" t="str">
        <f t="shared" si="1020"/>
        <v/>
      </c>
      <c r="Q3011" s="16" t="str">
        <f t="shared" si="1021"/>
        <v/>
      </c>
      <c r="R3011" s="23" t="str">
        <f t="shared" si="1022"/>
        <v/>
      </c>
      <c r="S3011" s="23" t="str">
        <f t="shared" si="1023"/>
        <v/>
      </c>
      <c r="T3011" s="23" t="str">
        <f t="shared" si="1024"/>
        <v/>
      </c>
      <c r="U3011" s="23" t="str">
        <f t="shared" si="1025"/>
        <v/>
      </c>
      <c r="V3011" s="23" t="str">
        <f t="shared" si="1026"/>
        <v/>
      </c>
      <c r="W3011" s="70" t="str">
        <f t="shared" si="1027"/>
        <v/>
      </c>
      <c r="X3011" s="70" t="str">
        <f t="shared" si="1028"/>
        <v/>
      </c>
      <c r="Y3011" s="70" t="str">
        <f>IF(AND($A3011&lt;&gt;"",$E3011&gt;0),isLaptopBag($C3011,$J3011)*$D3011,"")</f>
        <v/>
      </c>
      <c r="Z3011" s="70" t="str">
        <f t="shared" si="1029"/>
        <v/>
      </c>
      <c r="AA3011" s="70" t="str">
        <f t="shared" si="1030"/>
        <v/>
      </c>
      <c r="AB3011" s="70" t="str">
        <f t="shared" si="1031"/>
        <v/>
      </c>
      <c r="AC3011" s="70" t="str">
        <f t="shared" si="1032"/>
        <v/>
      </c>
      <c r="AD3011" s="70" t="str">
        <f t="shared" si="1033"/>
        <v/>
      </c>
      <c r="AE3011" s="70" t="str">
        <f t="shared" si="1034"/>
        <v/>
      </c>
      <c r="AF3011" s="16"/>
      <c r="AG3011" s="23"/>
      <c r="AH3011" s="22"/>
      <c r="AJ3011" s="83">
        <f t="shared" si="1035"/>
        <v>0</v>
      </c>
      <c r="AO3011" s="22" t="str">
        <f t="shared" si="1036"/>
        <v/>
      </c>
      <c r="AP3011" s="22" t="str">
        <f t="shared" si="1037"/>
        <v/>
      </c>
    </row>
    <row r="3012" spans="1:42" x14ac:dyDescent="0.25">
      <c r="A3012" s="10"/>
      <c r="B3012" s="10"/>
      <c r="C3012" s="10"/>
      <c r="D3012" s="10"/>
      <c r="E3012" s="10"/>
      <c r="F3012" s="10"/>
      <c r="G3012" s="10"/>
      <c r="H3012" s="17"/>
      <c r="I3012" s="10"/>
      <c r="J3012" s="10"/>
      <c r="K3012" s="16" t="str">
        <f t="shared" si="1016"/>
        <v/>
      </c>
      <c r="L3012" s="23" t="str">
        <f t="shared" si="1017"/>
        <v/>
      </c>
      <c r="M3012" s="22" t="str">
        <f t="shared" si="1018"/>
        <v/>
      </c>
      <c r="N3012" s="72"/>
      <c r="O3012" s="16" t="str">
        <f t="shared" si="1019"/>
        <v/>
      </c>
      <c r="P3012" s="16" t="str">
        <f t="shared" si="1020"/>
        <v/>
      </c>
      <c r="Q3012" s="16" t="str">
        <f t="shared" si="1021"/>
        <v/>
      </c>
      <c r="R3012" s="23" t="str">
        <f t="shared" si="1022"/>
        <v/>
      </c>
      <c r="S3012" s="23" t="str">
        <f t="shared" si="1023"/>
        <v/>
      </c>
      <c r="T3012" s="23" t="str">
        <f t="shared" si="1024"/>
        <v/>
      </c>
      <c r="U3012" s="23" t="str">
        <f t="shared" si="1025"/>
        <v/>
      </c>
      <c r="V3012" s="23" t="str">
        <f t="shared" si="1026"/>
        <v/>
      </c>
      <c r="W3012" s="70" t="str">
        <f t="shared" si="1027"/>
        <v/>
      </c>
      <c r="X3012" s="70" t="str">
        <f t="shared" si="1028"/>
        <v/>
      </c>
      <c r="Y3012" s="70" t="str">
        <f>IF(AND($A3012&lt;&gt;"",$E3012&gt;0),isLaptopBag($C3012,$J3012)*$D3012,"")</f>
        <v/>
      </c>
      <c r="Z3012" s="70" t="str">
        <f t="shared" si="1029"/>
        <v/>
      </c>
      <c r="AA3012" s="70" t="str">
        <f t="shared" si="1030"/>
        <v/>
      </c>
      <c r="AB3012" s="70" t="str">
        <f t="shared" si="1031"/>
        <v/>
      </c>
      <c r="AC3012" s="70" t="str">
        <f t="shared" si="1032"/>
        <v/>
      </c>
      <c r="AD3012" s="70" t="str">
        <f t="shared" si="1033"/>
        <v/>
      </c>
      <c r="AE3012" s="70" t="str">
        <f t="shared" si="1034"/>
        <v/>
      </c>
      <c r="AF3012" s="16"/>
      <c r="AG3012" s="23"/>
      <c r="AH3012" s="22"/>
      <c r="AJ3012" s="83">
        <f t="shared" si="1035"/>
        <v>0</v>
      </c>
      <c r="AO3012" s="22" t="str">
        <f t="shared" si="1036"/>
        <v/>
      </c>
      <c r="AP3012" s="22" t="str">
        <f t="shared" si="1037"/>
        <v/>
      </c>
    </row>
    <row r="3013" spans="1:42" x14ac:dyDescent="0.25">
      <c r="O3013" s="1"/>
    </row>
    <row r="3014" spans="1:42" x14ac:dyDescent="0.25">
      <c r="O3014" s="1"/>
    </row>
    <row r="3015" spans="1:42" x14ac:dyDescent="0.25">
      <c r="O3015" s="1"/>
    </row>
    <row r="3016" spans="1:42" x14ac:dyDescent="0.25">
      <c r="O3016" s="1"/>
      <c r="Z3016" t="str">
        <f>IF(AND($A597&lt;&gt;"",$E597&gt;0),0,"")</f>
        <v/>
      </c>
    </row>
    <row r="3017" spans="1:42" x14ac:dyDescent="0.25">
      <c r="O3017" s="1"/>
    </row>
    <row r="3018" spans="1:42" x14ac:dyDescent="0.25">
      <c r="O3018" s="1"/>
      <c r="Z3018" t="b">
        <f>AND($A597&lt;&gt;"",$E597&gt;0)</f>
        <v>0</v>
      </c>
    </row>
    <row r="3019" spans="1:42" x14ac:dyDescent="0.25">
      <c r="O3019" s="1"/>
    </row>
    <row r="3020" spans="1:42" x14ac:dyDescent="0.25">
      <c r="O3020" s="1"/>
      <c r="Z3020" t="b">
        <f>$E597&gt;0</f>
        <v>0</v>
      </c>
    </row>
    <row r="3021" spans="1:42" x14ac:dyDescent="0.25">
      <c r="O3021" s="1"/>
    </row>
    <row r="3022" spans="1:42" x14ac:dyDescent="0.25">
      <c r="O3022" s="1"/>
    </row>
    <row r="3023" spans="1:42" x14ac:dyDescent="0.25">
      <c r="O3023" s="1"/>
    </row>
    <row r="3024" spans="1:42" x14ac:dyDescent="0.25">
      <c r="O3024" s="1"/>
    </row>
    <row r="3025" spans="15:15" x14ac:dyDescent="0.25">
      <c r="O3025" s="1"/>
    </row>
    <row r="3026" spans="15:15" x14ac:dyDescent="0.25">
      <c r="O3026" s="1"/>
    </row>
    <row r="3027" spans="15:15" x14ac:dyDescent="0.25">
      <c r="O3027" s="1"/>
    </row>
    <row r="3028" spans="15:15" x14ac:dyDescent="0.25">
      <c r="O3028" s="1"/>
    </row>
    <row r="3029" spans="15:15" x14ac:dyDescent="0.25">
      <c r="O3029" s="1"/>
    </row>
    <row r="3030" spans="15:15" x14ac:dyDescent="0.25">
      <c r="O3030" s="1"/>
    </row>
    <row r="3031" spans="15:15" x14ac:dyDescent="0.25">
      <c r="O3031" s="1"/>
    </row>
    <row r="3032" spans="15:15" x14ac:dyDescent="0.25">
      <c r="O3032" s="1"/>
    </row>
    <row r="3033" spans="15:15" x14ac:dyDescent="0.25">
      <c r="O3033" s="1"/>
    </row>
    <row r="3034" spans="15:15" x14ac:dyDescent="0.25">
      <c r="O3034" s="1"/>
    </row>
    <row r="3035" spans="15:15" x14ac:dyDescent="0.25">
      <c r="O3035" s="1"/>
    </row>
    <row r="3036" spans="15:15" x14ac:dyDescent="0.25">
      <c r="O3036" s="1"/>
    </row>
    <row r="3037" spans="15:15" x14ac:dyDescent="0.25">
      <c r="O3037" s="1"/>
    </row>
    <row r="3038" spans="15:15" x14ac:dyDescent="0.25">
      <c r="O3038" s="1"/>
    </row>
    <row r="3039" spans="15:15" x14ac:dyDescent="0.25">
      <c r="O3039" s="1"/>
    </row>
    <row r="3040" spans="15:15" x14ac:dyDescent="0.25">
      <c r="O3040" s="1"/>
    </row>
    <row r="3041" spans="15:15" x14ac:dyDescent="0.25">
      <c r="O3041" s="1"/>
    </row>
    <row r="3042" spans="15:15" x14ac:dyDescent="0.25">
      <c r="O3042" s="1"/>
    </row>
    <row r="3043" spans="15:15" x14ac:dyDescent="0.25">
      <c r="O3043" s="1"/>
    </row>
    <row r="3044" spans="15:15" x14ac:dyDescent="0.25">
      <c r="O3044" s="1"/>
    </row>
    <row r="3045" spans="15:15" x14ac:dyDescent="0.25">
      <c r="O3045" s="1"/>
    </row>
    <row r="3046" spans="15:15" x14ac:dyDescent="0.25">
      <c r="O3046" s="1"/>
    </row>
    <row r="3047" spans="15:15" x14ac:dyDescent="0.25">
      <c r="O3047" s="1"/>
    </row>
    <row r="3048" spans="15:15" x14ac:dyDescent="0.25">
      <c r="O3048" s="1"/>
    </row>
    <row r="3049" spans="15:15" x14ac:dyDescent="0.25">
      <c r="O3049" s="1"/>
    </row>
    <row r="3050" spans="15:15" x14ac:dyDescent="0.25">
      <c r="O3050" s="1"/>
    </row>
    <row r="3051" spans="15:15" x14ac:dyDescent="0.25">
      <c r="O3051" s="1"/>
    </row>
    <row r="3052" spans="15:15" x14ac:dyDescent="0.25">
      <c r="O3052" s="1"/>
    </row>
    <row r="3053" spans="15:15" x14ac:dyDescent="0.25">
      <c r="O3053" s="1"/>
    </row>
    <row r="3054" spans="15:15" x14ac:dyDescent="0.25">
      <c r="O3054" s="1"/>
    </row>
    <row r="3055" spans="15:15" x14ac:dyDescent="0.25">
      <c r="O3055" s="1"/>
    </row>
    <row r="3056" spans="15:15" x14ac:dyDescent="0.25">
      <c r="O3056" s="1"/>
    </row>
    <row r="3057" spans="15:15" x14ac:dyDescent="0.25">
      <c r="O3057" s="1"/>
    </row>
    <row r="3058" spans="15:15" x14ac:dyDescent="0.25">
      <c r="O3058" s="1"/>
    </row>
    <row r="3059" spans="15:15" x14ac:dyDescent="0.25">
      <c r="O3059" s="1"/>
    </row>
    <row r="3060" spans="15:15" x14ac:dyDescent="0.25">
      <c r="O3060" s="1"/>
    </row>
    <row r="3061" spans="15:15" x14ac:dyDescent="0.25">
      <c r="O3061" s="1"/>
    </row>
    <row r="3062" spans="15:15" x14ac:dyDescent="0.25">
      <c r="O3062" s="1"/>
    </row>
    <row r="3063" spans="15:15" x14ac:dyDescent="0.25">
      <c r="O3063" s="1"/>
    </row>
    <row r="3064" spans="15:15" x14ac:dyDescent="0.25">
      <c r="O3064" s="1"/>
    </row>
    <row r="3065" spans="15:15" x14ac:dyDescent="0.25">
      <c r="O3065" s="1"/>
    </row>
    <row r="3066" spans="15:15" x14ac:dyDescent="0.25">
      <c r="O3066" s="1"/>
    </row>
    <row r="3067" spans="15:15" x14ac:dyDescent="0.25">
      <c r="O3067" s="1"/>
    </row>
    <row r="3068" spans="15:15" x14ac:dyDescent="0.25">
      <c r="O3068" s="1"/>
    </row>
    <row r="3069" spans="15:15" x14ac:dyDescent="0.25">
      <c r="O3069" s="1"/>
    </row>
    <row r="3070" spans="15:15" x14ac:dyDescent="0.25">
      <c r="O3070" s="1"/>
    </row>
    <row r="3071" spans="15:15" x14ac:dyDescent="0.25">
      <c r="O3071" s="1"/>
    </row>
    <row r="3072" spans="15:15" x14ac:dyDescent="0.25">
      <c r="O3072" s="1"/>
    </row>
    <row r="3073" spans="15:15" x14ac:dyDescent="0.25">
      <c r="O3073" s="1"/>
    </row>
    <row r="3074" spans="15:15" x14ac:dyDescent="0.25">
      <c r="O3074" s="1"/>
    </row>
    <row r="3075" spans="15:15" x14ac:dyDescent="0.25">
      <c r="O3075" s="1"/>
    </row>
    <row r="3076" spans="15:15" x14ac:dyDescent="0.25">
      <c r="O3076" s="1"/>
    </row>
    <row r="3077" spans="15:15" x14ac:dyDescent="0.25">
      <c r="O3077" s="1"/>
    </row>
    <row r="3078" spans="15:15" x14ac:dyDescent="0.25">
      <c r="O3078" s="1"/>
    </row>
    <row r="3079" spans="15:15" x14ac:dyDescent="0.25">
      <c r="O3079" s="1"/>
    </row>
    <row r="3080" spans="15:15" x14ac:dyDescent="0.25">
      <c r="O3080" s="1"/>
    </row>
    <row r="3081" spans="15:15" x14ac:dyDescent="0.25">
      <c r="O3081" s="1"/>
    </row>
    <row r="3082" spans="15:15" x14ac:dyDescent="0.25">
      <c r="O3082" s="1"/>
    </row>
    <row r="3083" spans="15:15" x14ac:dyDescent="0.25">
      <c r="O3083" s="1"/>
    </row>
    <row r="3084" spans="15:15" x14ac:dyDescent="0.25">
      <c r="O3084" s="1"/>
    </row>
    <row r="3085" spans="15:15" x14ac:dyDescent="0.25">
      <c r="O3085" s="1"/>
    </row>
    <row r="3086" spans="15:15" x14ac:dyDescent="0.25">
      <c r="O3086" s="1"/>
    </row>
    <row r="3087" spans="15:15" x14ac:dyDescent="0.25">
      <c r="O3087" s="1"/>
    </row>
    <row r="3088" spans="15:15" x14ac:dyDescent="0.25">
      <c r="O3088" s="1"/>
    </row>
    <row r="3089" spans="15:15" x14ac:dyDescent="0.25">
      <c r="O3089" s="1"/>
    </row>
    <row r="3090" spans="15:15" x14ac:dyDescent="0.25">
      <c r="O3090" s="1"/>
    </row>
    <row r="3091" spans="15:15" x14ac:dyDescent="0.25">
      <c r="O3091" s="1"/>
    </row>
    <row r="3092" spans="15:15" x14ac:dyDescent="0.25">
      <c r="O3092" s="1"/>
    </row>
    <row r="3093" spans="15:15" x14ac:dyDescent="0.25">
      <c r="O3093" s="1"/>
    </row>
    <row r="3094" spans="15:15" x14ac:dyDescent="0.25">
      <c r="O3094" s="1"/>
    </row>
    <row r="3095" spans="15:15" x14ac:dyDescent="0.25">
      <c r="O3095" s="1"/>
    </row>
    <row r="3096" spans="15:15" x14ac:dyDescent="0.25">
      <c r="O3096" s="1"/>
    </row>
    <row r="3097" spans="15:15" x14ac:dyDescent="0.25">
      <c r="O3097" s="1"/>
    </row>
    <row r="3098" spans="15:15" x14ac:dyDescent="0.25">
      <c r="O3098" s="1"/>
    </row>
    <row r="3099" spans="15:15" x14ac:dyDescent="0.25">
      <c r="O3099" s="1"/>
    </row>
    <row r="3100" spans="15:15" x14ac:dyDescent="0.25">
      <c r="O3100" s="1"/>
    </row>
    <row r="3101" spans="15:15" x14ac:dyDescent="0.25">
      <c r="O3101" s="1"/>
    </row>
    <row r="3102" spans="15:15" x14ac:dyDescent="0.25">
      <c r="O3102" s="1"/>
    </row>
    <row r="3103" spans="15:15" x14ac:dyDescent="0.25">
      <c r="O3103" s="1"/>
    </row>
    <row r="3104" spans="15:15" x14ac:dyDescent="0.25">
      <c r="O3104" s="1"/>
    </row>
    <row r="3105" spans="15:15" x14ac:dyDescent="0.25">
      <c r="O3105" s="1"/>
    </row>
    <row r="3106" spans="15:15" x14ac:dyDescent="0.25">
      <c r="O3106" s="1"/>
    </row>
    <row r="3107" spans="15:15" x14ac:dyDescent="0.25">
      <c r="O3107" s="1"/>
    </row>
    <row r="3108" spans="15:15" x14ac:dyDescent="0.25">
      <c r="O3108" s="1"/>
    </row>
    <row r="3109" spans="15:15" x14ac:dyDescent="0.25">
      <c r="O3109" s="1"/>
    </row>
    <row r="3110" spans="15:15" x14ac:dyDescent="0.25">
      <c r="O3110" s="1"/>
    </row>
    <row r="3111" spans="15:15" x14ac:dyDescent="0.25">
      <c r="O3111" s="1"/>
    </row>
    <row r="3112" spans="15:15" x14ac:dyDescent="0.25">
      <c r="O3112" s="1"/>
    </row>
    <row r="3113" spans="15:15" x14ac:dyDescent="0.25">
      <c r="O3113" s="1"/>
    </row>
    <row r="3114" spans="15:15" x14ac:dyDescent="0.25">
      <c r="O3114" s="1"/>
    </row>
    <row r="3115" spans="15:15" x14ac:dyDescent="0.25">
      <c r="O3115" s="1"/>
    </row>
    <row r="3116" spans="15:15" x14ac:dyDescent="0.25">
      <c r="O3116" s="1"/>
    </row>
    <row r="3117" spans="15:15" x14ac:dyDescent="0.25">
      <c r="O3117" s="1"/>
    </row>
    <row r="3118" spans="15:15" x14ac:dyDescent="0.25">
      <c r="O3118" s="1"/>
    </row>
    <row r="3119" spans="15:15" x14ac:dyDescent="0.25">
      <c r="O3119" s="1"/>
    </row>
    <row r="3120" spans="15:15" x14ac:dyDescent="0.25">
      <c r="O3120" s="1"/>
    </row>
    <row r="3121" spans="15:15" x14ac:dyDescent="0.25">
      <c r="O3121" s="1"/>
    </row>
    <row r="3122" spans="15:15" x14ac:dyDescent="0.25">
      <c r="O3122" s="1"/>
    </row>
    <row r="3123" spans="15:15" x14ac:dyDescent="0.25">
      <c r="O3123" s="1"/>
    </row>
    <row r="3124" spans="15:15" x14ac:dyDescent="0.25">
      <c r="O3124" s="1"/>
    </row>
    <row r="3125" spans="15:15" x14ac:dyDescent="0.25">
      <c r="O3125" s="1"/>
    </row>
    <row r="3126" spans="15:15" x14ac:dyDescent="0.25">
      <c r="O3126" s="1"/>
    </row>
    <row r="3127" spans="15:15" x14ac:dyDescent="0.25">
      <c r="O3127" s="1"/>
    </row>
    <row r="3128" spans="15:15" x14ac:dyDescent="0.25">
      <c r="O3128" s="1"/>
    </row>
    <row r="3129" spans="15:15" x14ac:dyDescent="0.25">
      <c r="O3129" s="1"/>
    </row>
    <row r="3130" spans="15:15" x14ac:dyDescent="0.25">
      <c r="O3130" s="1"/>
    </row>
    <row r="3131" spans="15:15" x14ac:dyDescent="0.25">
      <c r="O3131" s="1"/>
    </row>
    <row r="3132" spans="15:15" x14ac:dyDescent="0.25">
      <c r="O3132" s="1"/>
    </row>
    <row r="3133" spans="15:15" x14ac:dyDescent="0.25">
      <c r="O3133" s="1"/>
    </row>
    <row r="3134" spans="15:15" x14ac:dyDescent="0.25">
      <c r="O3134" s="1"/>
    </row>
    <row r="3135" spans="15:15" x14ac:dyDescent="0.25">
      <c r="O3135" s="1"/>
    </row>
    <row r="3136" spans="15:15" x14ac:dyDescent="0.25">
      <c r="O3136" s="1"/>
    </row>
    <row r="3137" spans="15:15" x14ac:dyDescent="0.25">
      <c r="O3137" s="1"/>
    </row>
    <row r="3138" spans="15:15" x14ac:dyDescent="0.25">
      <c r="O3138" s="1"/>
    </row>
    <row r="3139" spans="15:15" x14ac:dyDescent="0.25">
      <c r="O3139" s="1"/>
    </row>
    <row r="3140" spans="15:15" x14ac:dyDescent="0.25">
      <c r="O3140" s="1"/>
    </row>
    <row r="3141" spans="15:15" x14ac:dyDescent="0.25">
      <c r="O3141" s="1"/>
    </row>
    <row r="3142" spans="15:15" x14ac:dyDescent="0.25">
      <c r="O3142" s="1"/>
    </row>
    <row r="3143" spans="15:15" x14ac:dyDescent="0.25">
      <c r="O3143" s="1"/>
    </row>
    <row r="3144" spans="15:15" x14ac:dyDescent="0.25">
      <c r="O3144" s="1"/>
    </row>
    <row r="3145" spans="15:15" x14ac:dyDescent="0.25">
      <c r="O3145" s="1"/>
    </row>
    <row r="3146" spans="15:15" x14ac:dyDescent="0.25">
      <c r="O3146" s="1"/>
    </row>
    <row r="3147" spans="15:15" x14ac:dyDescent="0.25">
      <c r="O3147" s="1"/>
    </row>
    <row r="3148" spans="15:15" x14ac:dyDescent="0.25">
      <c r="O3148" s="1"/>
    </row>
    <row r="3149" spans="15:15" x14ac:dyDescent="0.25">
      <c r="O3149" s="1"/>
    </row>
    <row r="3150" spans="15:15" x14ac:dyDescent="0.25">
      <c r="O3150" s="1"/>
    </row>
    <row r="3151" spans="15:15" x14ac:dyDescent="0.25">
      <c r="O3151" s="1"/>
    </row>
    <row r="3152" spans="15:15" x14ac:dyDescent="0.25">
      <c r="O3152" s="1"/>
    </row>
    <row r="3153" spans="15:15" x14ac:dyDescent="0.25">
      <c r="O3153" s="1"/>
    </row>
    <row r="3154" spans="15:15" x14ac:dyDescent="0.25">
      <c r="O3154" s="1"/>
    </row>
    <row r="3155" spans="15:15" x14ac:dyDescent="0.25">
      <c r="O3155" s="1"/>
    </row>
    <row r="3156" spans="15:15" x14ac:dyDescent="0.25">
      <c r="O3156" s="1"/>
    </row>
    <row r="3157" spans="15:15" x14ac:dyDescent="0.25">
      <c r="O3157" s="1"/>
    </row>
    <row r="3158" spans="15:15" x14ac:dyDescent="0.25">
      <c r="O3158" s="1"/>
    </row>
    <row r="3159" spans="15:15" x14ac:dyDescent="0.25">
      <c r="O3159" s="1"/>
    </row>
    <row r="3160" spans="15:15" x14ac:dyDescent="0.25">
      <c r="O3160" s="1"/>
    </row>
    <row r="3161" spans="15:15" x14ac:dyDescent="0.25">
      <c r="O3161" s="1"/>
    </row>
    <row r="3162" spans="15:15" x14ac:dyDescent="0.25">
      <c r="O3162" s="1"/>
    </row>
    <row r="3163" spans="15:15" x14ac:dyDescent="0.25">
      <c r="O3163" s="1"/>
    </row>
    <row r="3164" spans="15:15" x14ac:dyDescent="0.25">
      <c r="O3164" s="1"/>
    </row>
    <row r="3165" spans="15:15" x14ac:dyDescent="0.25">
      <c r="O3165" s="1"/>
    </row>
    <row r="3166" spans="15:15" x14ac:dyDescent="0.25">
      <c r="O3166" s="1"/>
    </row>
    <row r="3167" spans="15:15" x14ac:dyDescent="0.25">
      <c r="O3167" s="1"/>
    </row>
    <row r="3168" spans="15:15" x14ac:dyDescent="0.25">
      <c r="O3168" s="1"/>
    </row>
    <row r="3169" spans="15:15" x14ac:dyDescent="0.25">
      <c r="O3169" s="1"/>
    </row>
    <row r="3170" spans="15:15" x14ac:dyDescent="0.25">
      <c r="O3170" s="1"/>
    </row>
    <row r="3171" spans="15:15" x14ac:dyDescent="0.25">
      <c r="O3171" s="1"/>
    </row>
    <row r="3172" spans="15:15" x14ac:dyDescent="0.25">
      <c r="O3172" s="1"/>
    </row>
    <row r="3173" spans="15:15" x14ac:dyDescent="0.25">
      <c r="O3173" s="1"/>
    </row>
    <row r="3174" spans="15:15" x14ac:dyDescent="0.25">
      <c r="O3174" s="1"/>
    </row>
    <row r="3175" spans="15:15" x14ac:dyDescent="0.25">
      <c r="O3175" s="1"/>
    </row>
    <row r="3176" spans="15:15" x14ac:dyDescent="0.25">
      <c r="O3176" s="1"/>
    </row>
    <row r="3177" spans="15:15" x14ac:dyDescent="0.25">
      <c r="O3177" s="1"/>
    </row>
    <row r="3178" spans="15:15" x14ac:dyDescent="0.25">
      <c r="O3178" s="1"/>
    </row>
    <row r="3179" spans="15:15" x14ac:dyDescent="0.25">
      <c r="O3179" s="1"/>
    </row>
    <row r="3180" spans="15:15" x14ac:dyDescent="0.25">
      <c r="O3180" s="1"/>
    </row>
    <row r="3181" spans="15:15" x14ac:dyDescent="0.25">
      <c r="O3181" s="1"/>
    </row>
    <row r="3182" spans="15:15" x14ac:dyDescent="0.25">
      <c r="O3182" s="1"/>
    </row>
    <row r="3183" spans="15:15" x14ac:dyDescent="0.25">
      <c r="O3183" s="1"/>
    </row>
    <row r="3184" spans="15:15" x14ac:dyDescent="0.25">
      <c r="O3184" s="1"/>
    </row>
    <row r="3185" spans="15:15" x14ac:dyDescent="0.25">
      <c r="O3185" s="1"/>
    </row>
    <row r="3186" spans="15:15" x14ac:dyDescent="0.25">
      <c r="O3186" s="1"/>
    </row>
    <row r="3187" spans="15:15" x14ac:dyDescent="0.25">
      <c r="O3187" s="1"/>
    </row>
    <row r="3188" spans="15:15" x14ac:dyDescent="0.25">
      <c r="O3188" s="1"/>
    </row>
    <row r="3189" spans="15:15" x14ac:dyDescent="0.25">
      <c r="O3189" s="1"/>
    </row>
    <row r="3190" spans="15:15" x14ac:dyDescent="0.25">
      <c r="O3190" s="1"/>
    </row>
    <row r="3191" spans="15:15" x14ac:dyDescent="0.25">
      <c r="O3191" s="1"/>
    </row>
    <row r="3192" spans="15:15" x14ac:dyDescent="0.25">
      <c r="O3192" s="1"/>
    </row>
    <row r="3193" spans="15:15" x14ac:dyDescent="0.25">
      <c r="O3193" s="1"/>
    </row>
    <row r="3194" spans="15:15" x14ac:dyDescent="0.25">
      <c r="O3194" s="1"/>
    </row>
    <row r="3195" spans="15:15" x14ac:dyDescent="0.25">
      <c r="O3195" s="1"/>
    </row>
    <row r="3196" spans="15:15" x14ac:dyDescent="0.25">
      <c r="O3196" s="1"/>
    </row>
    <row r="3197" spans="15:15" x14ac:dyDescent="0.25">
      <c r="O3197" s="1"/>
    </row>
    <row r="3198" spans="15:15" x14ac:dyDescent="0.25">
      <c r="O3198" s="1"/>
    </row>
    <row r="3199" spans="15:15" x14ac:dyDescent="0.25">
      <c r="O3199" s="1"/>
    </row>
    <row r="3200" spans="15:15" x14ac:dyDescent="0.25">
      <c r="O3200" s="1"/>
    </row>
    <row r="3201" spans="15:15" x14ac:dyDescent="0.25">
      <c r="O3201" s="1"/>
    </row>
    <row r="3202" spans="15:15" x14ac:dyDescent="0.25">
      <c r="O3202" s="1"/>
    </row>
    <row r="3203" spans="15:15" x14ac:dyDescent="0.25">
      <c r="O3203" s="1"/>
    </row>
    <row r="3204" spans="15:15" x14ac:dyDescent="0.25">
      <c r="O3204" s="1"/>
    </row>
    <row r="3205" spans="15:15" x14ac:dyDescent="0.25">
      <c r="O3205" s="1"/>
    </row>
    <row r="3206" spans="15:15" x14ac:dyDescent="0.25">
      <c r="O3206" s="1"/>
    </row>
    <row r="3207" spans="15:15" x14ac:dyDescent="0.25">
      <c r="O3207" s="1"/>
    </row>
    <row r="3208" spans="15:15" x14ac:dyDescent="0.25">
      <c r="O3208" s="1"/>
    </row>
    <row r="3209" spans="15:15" x14ac:dyDescent="0.25">
      <c r="O3209" s="1"/>
    </row>
    <row r="3210" spans="15:15" x14ac:dyDescent="0.25">
      <c r="O3210" s="1"/>
    </row>
    <row r="3211" spans="15:15" x14ac:dyDescent="0.25">
      <c r="O3211" s="1"/>
    </row>
    <row r="3212" spans="15:15" x14ac:dyDescent="0.25">
      <c r="O3212" s="1"/>
    </row>
    <row r="3213" spans="15:15" x14ac:dyDescent="0.25">
      <c r="O3213" s="1"/>
    </row>
    <row r="3214" spans="15:15" x14ac:dyDescent="0.25">
      <c r="O3214" s="1"/>
    </row>
    <row r="3215" spans="15:15" x14ac:dyDescent="0.25">
      <c r="O3215" s="1"/>
    </row>
    <row r="3216" spans="15:15" x14ac:dyDescent="0.25">
      <c r="O3216" s="1"/>
    </row>
    <row r="3217" spans="15:15" x14ac:dyDescent="0.25">
      <c r="O3217" s="1"/>
    </row>
    <row r="3218" spans="15:15" x14ac:dyDescent="0.25">
      <c r="O3218" s="1"/>
    </row>
    <row r="3219" spans="15:15" x14ac:dyDescent="0.25">
      <c r="O3219" s="1"/>
    </row>
    <row r="3220" spans="15:15" x14ac:dyDescent="0.25">
      <c r="O3220" s="1"/>
    </row>
    <row r="3221" spans="15:15" x14ac:dyDescent="0.25">
      <c r="O3221" s="1"/>
    </row>
    <row r="3222" spans="15:15" x14ac:dyDescent="0.25">
      <c r="O3222" s="1"/>
    </row>
    <row r="3223" spans="15:15" x14ac:dyDescent="0.25">
      <c r="O3223" s="1"/>
    </row>
    <row r="3224" spans="15:15" x14ac:dyDescent="0.25">
      <c r="O3224" s="1"/>
    </row>
    <row r="3225" spans="15:15" x14ac:dyDescent="0.25">
      <c r="O3225" s="1"/>
    </row>
    <row r="3226" spans="15:15" x14ac:dyDescent="0.25">
      <c r="O3226" s="1"/>
    </row>
    <row r="3227" spans="15:15" x14ac:dyDescent="0.25">
      <c r="O3227" s="1"/>
    </row>
    <row r="3228" spans="15:15" x14ac:dyDescent="0.25">
      <c r="O3228" s="1"/>
    </row>
    <row r="3229" spans="15:15" x14ac:dyDescent="0.25">
      <c r="O3229" s="1"/>
    </row>
    <row r="3230" spans="15:15" x14ac:dyDescent="0.25">
      <c r="O3230" s="1"/>
    </row>
    <row r="3231" spans="15:15" x14ac:dyDescent="0.25">
      <c r="O3231" s="1"/>
    </row>
    <row r="3232" spans="15:15" x14ac:dyDescent="0.25">
      <c r="O3232" s="1"/>
    </row>
    <row r="3233" spans="15:15" x14ac:dyDescent="0.25">
      <c r="O3233" s="1"/>
    </row>
    <row r="3234" spans="15:15" x14ac:dyDescent="0.25">
      <c r="O3234" s="1"/>
    </row>
    <row r="3235" spans="15:15" x14ac:dyDescent="0.25">
      <c r="O3235" s="1"/>
    </row>
    <row r="3236" spans="15:15" x14ac:dyDescent="0.25">
      <c r="O3236" s="1"/>
    </row>
    <row r="3237" spans="15:15" x14ac:dyDescent="0.25">
      <c r="O3237" s="1"/>
    </row>
    <row r="3238" spans="15:15" x14ac:dyDescent="0.25">
      <c r="O3238" s="1"/>
    </row>
    <row r="3239" spans="15:15" x14ac:dyDescent="0.25">
      <c r="O3239" s="1"/>
    </row>
    <row r="3240" spans="15:15" x14ac:dyDescent="0.25">
      <c r="O3240" s="1"/>
    </row>
    <row r="3241" spans="15:15" x14ac:dyDescent="0.25">
      <c r="O3241" s="1"/>
    </row>
    <row r="3242" spans="15:15" x14ac:dyDescent="0.25">
      <c r="O3242" s="1"/>
    </row>
    <row r="3243" spans="15:15" x14ac:dyDescent="0.25">
      <c r="O3243" s="1"/>
    </row>
    <row r="3244" spans="15:15" x14ac:dyDescent="0.25">
      <c r="O3244" s="1"/>
    </row>
    <row r="3245" spans="15:15" x14ac:dyDescent="0.25">
      <c r="O3245" s="1"/>
    </row>
    <row r="3246" spans="15:15" x14ac:dyDescent="0.25">
      <c r="O3246" s="1"/>
    </row>
    <row r="3247" spans="15:15" x14ac:dyDescent="0.25">
      <c r="O3247" s="1"/>
    </row>
    <row r="3248" spans="15:15" x14ac:dyDescent="0.25">
      <c r="O3248" s="1"/>
    </row>
    <row r="3249" spans="15:15" x14ac:dyDescent="0.25">
      <c r="O3249" s="1"/>
    </row>
    <row r="3250" spans="15:15" x14ac:dyDescent="0.25">
      <c r="O3250" s="1"/>
    </row>
    <row r="3251" spans="15:15" x14ac:dyDescent="0.25">
      <c r="O3251" s="1"/>
    </row>
    <row r="3252" spans="15:15" x14ac:dyDescent="0.25">
      <c r="O3252" s="1"/>
    </row>
    <row r="3253" spans="15:15" x14ac:dyDescent="0.25">
      <c r="O3253" s="1"/>
    </row>
    <row r="3254" spans="15:15" x14ac:dyDescent="0.25">
      <c r="O3254" s="1"/>
    </row>
    <row r="3255" spans="15:15" x14ac:dyDescent="0.25">
      <c r="O3255" s="1"/>
    </row>
    <row r="3256" spans="15:15" x14ac:dyDescent="0.25">
      <c r="O3256" s="1"/>
    </row>
    <row r="3257" spans="15:15" x14ac:dyDescent="0.25">
      <c r="O3257" s="1"/>
    </row>
    <row r="3258" spans="15:15" x14ac:dyDescent="0.25">
      <c r="O3258" s="1"/>
    </row>
    <row r="3259" spans="15:15" x14ac:dyDescent="0.25">
      <c r="O3259" s="1"/>
    </row>
    <row r="3260" spans="15:15" x14ac:dyDescent="0.25">
      <c r="O3260" s="1"/>
    </row>
    <row r="3261" spans="15:15" x14ac:dyDescent="0.25">
      <c r="O3261" s="1"/>
    </row>
    <row r="3262" spans="15:15" x14ac:dyDescent="0.25">
      <c r="O3262" s="1"/>
    </row>
    <row r="3263" spans="15:15" x14ac:dyDescent="0.25">
      <c r="O3263" s="1"/>
    </row>
    <row r="3264" spans="15:15" x14ac:dyDescent="0.25">
      <c r="O3264" s="1"/>
    </row>
    <row r="3265" spans="15:15" x14ac:dyDescent="0.25">
      <c r="O3265" s="1"/>
    </row>
    <row r="3266" spans="15:15" x14ac:dyDescent="0.25">
      <c r="O3266" s="1"/>
    </row>
    <row r="3267" spans="15:15" x14ac:dyDescent="0.25">
      <c r="O3267" s="1"/>
    </row>
    <row r="3268" spans="15:15" x14ac:dyDescent="0.25">
      <c r="O3268" s="1"/>
    </row>
    <row r="3269" spans="15:15" x14ac:dyDescent="0.25">
      <c r="O3269" s="1"/>
    </row>
    <row r="3270" spans="15:15" x14ac:dyDescent="0.25">
      <c r="O3270" s="1"/>
    </row>
    <row r="3271" spans="15:15" x14ac:dyDescent="0.25">
      <c r="O3271" s="1"/>
    </row>
    <row r="3272" spans="15:15" x14ac:dyDescent="0.25">
      <c r="O3272" s="1"/>
    </row>
    <row r="3273" spans="15:15" x14ac:dyDescent="0.25">
      <c r="O3273" s="1"/>
    </row>
    <row r="3274" spans="15:15" x14ac:dyDescent="0.25">
      <c r="O3274" s="1"/>
    </row>
    <row r="3275" spans="15:15" x14ac:dyDescent="0.25">
      <c r="O3275" s="1"/>
    </row>
    <row r="3276" spans="15:15" x14ac:dyDescent="0.25">
      <c r="O3276" s="1"/>
    </row>
    <row r="3277" spans="15:15" x14ac:dyDescent="0.25">
      <c r="O3277" s="1"/>
    </row>
    <row r="3278" spans="15:15" x14ac:dyDescent="0.25">
      <c r="O3278" s="1"/>
    </row>
    <row r="3279" spans="15:15" x14ac:dyDescent="0.25">
      <c r="O3279" s="1"/>
    </row>
    <row r="3280" spans="15:15" x14ac:dyDescent="0.25">
      <c r="O3280" s="1"/>
    </row>
    <row r="3281" spans="15:15" x14ac:dyDescent="0.25">
      <c r="O3281" s="1"/>
    </row>
    <row r="3282" spans="15:15" x14ac:dyDescent="0.25">
      <c r="O3282" s="1"/>
    </row>
    <row r="3283" spans="15:15" x14ac:dyDescent="0.25">
      <c r="O3283" s="1"/>
    </row>
    <row r="3284" spans="15:15" x14ac:dyDescent="0.25">
      <c r="O3284" s="1"/>
    </row>
    <row r="3285" spans="15:15" x14ac:dyDescent="0.25">
      <c r="O3285" s="1"/>
    </row>
    <row r="3286" spans="15:15" x14ac:dyDescent="0.25">
      <c r="O3286" s="1"/>
    </row>
    <row r="3287" spans="15:15" x14ac:dyDescent="0.25">
      <c r="O3287" s="1"/>
    </row>
    <row r="3288" spans="15:15" x14ac:dyDescent="0.25">
      <c r="O3288" s="1"/>
    </row>
    <row r="3289" spans="15:15" x14ac:dyDescent="0.25">
      <c r="O3289" s="1"/>
    </row>
    <row r="3290" spans="15:15" x14ac:dyDescent="0.25">
      <c r="O3290" s="1"/>
    </row>
    <row r="3291" spans="15:15" x14ac:dyDescent="0.25">
      <c r="O3291" s="1"/>
    </row>
    <row r="3292" spans="15:15" x14ac:dyDescent="0.25">
      <c r="O3292" s="1"/>
    </row>
    <row r="3293" spans="15:15" x14ac:dyDescent="0.25">
      <c r="O3293" s="1"/>
    </row>
    <row r="3294" spans="15:15" x14ac:dyDescent="0.25">
      <c r="O3294" s="1"/>
    </row>
    <row r="3295" spans="15:15" x14ac:dyDescent="0.25">
      <c r="O3295" s="1"/>
    </row>
    <row r="3296" spans="15:15" x14ac:dyDescent="0.25">
      <c r="O3296" s="1"/>
    </row>
    <row r="3297" spans="15:15" x14ac:dyDescent="0.25">
      <c r="O3297" s="1"/>
    </row>
    <row r="3298" spans="15:15" x14ac:dyDescent="0.25">
      <c r="O3298" s="1"/>
    </row>
    <row r="3299" spans="15:15" x14ac:dyDescent="0.25">
      <c r="O3299" s="1"/>
    </row>
    <row r="3300" spans="15:15" x14ac:dyDescent="0.25">
      <c r="O3300" s="1"/>
    </row>
    <row r="3301" spans="15:15" x14ac:dyDescent="0.25">
      <c r="O3301" s="1"/>
    </row>
    <row r="3302" spans="15:15" x14ac:dyDescent="0.25">
      <c r="O3302" s="1"/>
    </row>
    <row r="3303" spans="15:15" x14ac:dyDescent="0.25">
      <c r="O3303" s="1"/>
    </row>
    <row r="3304" spans="15:15" x14ac:dyDescent="0.25">
      <c r="O3304" s="1"/>
    </row>
    <row r="3305" spans="15:15" x14ac:dyDescent="0.25">
      <c r="O3305" s="1"/>
    </row>
    <row r="3306" spans="15:15" x14ac:dyDescent="0.25">
      <c r="O3306" s="1"/>
    </row>
    <row r="3307" spans="15:15" x14ac:dyDescent="0.25">
      <c r="O3307" s="1"/>
    </row>
    <row r="3308" spans="15:15" x14ac:dyDescent="0.25">
      <c r="O3308" s="1"/>
    </row>
    <row r="3309" spans="15:15" x14ac:dyDescent="0.25">
      <c r="O3309" s="1"/>
    </row>
    <row r="3310" spans="15:15" x14ac:dyDescent="0.25">
      <c r="O3310" s="1"/>
    </row>
    <row r="3311" spans="15:15" x14ac:dyDescent="0.25">
      <c r="O3311" s="1"/>
    </row>
    <row r="3312" spans="15:15" x14ac:dyDescent="0.25">
      <c r="O3312" s="1"/>
    </row>
    <row r="3313" spans="15:15" x14ac:dyDescent="0.25">
      <c r="O3313" s="1"/>
    </row>
    <row r="3314" spans="15:15" x14ac:dyDescent="0.25">
      <c r="O3314" s="1"/>
    </row>
    <row r="3315" spans="15:15" x14ac:dyDescent="0.25">
      <c r="O3315" s="1"/>
    </row>
    <row r="3316" spans="15:15" x14ac:dyDescent="0.25">
      <c r="O3316" s="1"/>
    </row>
    <row r="3317" spans="15:15" x14ac:dyDescent="0.25">
      <c r="O3317" s="1"/>
    </row>
    <row r="3318" spans="15:15" x14ac:dyDescent="0.25">
      <c r="O3318" s="1"/>
    </row>
    <row r="3319" spans="15:15" x14ac:dyDescent="0.25">
      <c r="O3319" s="1"/>
    </row>
    <row r="3320" spans="15:15" x14ac:dyDescent="0.25">
      <c r="O3320" s="1"/>
    </row>
    <row r="3321" spans="15:15" x14ac:dyDescent="0.25">
      <c r="O3321" s="1"/>
    </row>
    <row r="3322" spans="15:15" x14ac:dyDescent="0.25">
      <c r="O3322" s="1"/>
    </row>
    <row r="3323" spans="15:15" x14ac:dyDescent="0.25">
      <c r="O3323" s="1"/>
    </row>
    <row r="3324" spans="15:15" x14ac:dyDescent="0.25">
      <c r="O3324" s="1"/>
    </row>
    <row r="3325" spans="15:15" x14ac:dyDescent="0.25">
      <c r="O3325" s="1"/>
    </row>
    <row r="3326" spans="15:15" x14ac:dyDescent="0.25">
      <c r="O3326" s="1"/>
    </row>
    <row r="3327" spans="15:15" x14ac:dyDescent="0.25">
      <c r="O3327" s="1"/>
    </row>
    <row r="3328" spans="15:15" x14ac:dyDescent="0.25">
      <c r="O3328" s="1"/>
    </row>
    <row r="3329" spans="15:15" x14ac:dyDescent="0.25">
      <c r="O3329" s="1"/>
    </row>
    <row r="3330" spans="15:15" x14ac:dyDescent="0.25">
      <c r="O3330" s="1"/>
    </row>
    <row r="3331" spans="15:15" x14ac:dyDescent="0.25">
      <c r="O3331" s="1"/>
    </row>
    <row r="3332" spans="15:15" x14ac:dyDescent="0.25">
      <c r="O3332" s="1"/>
    </row>
    <row r="3333" spans="15:15" x14ac:dyDescent="0.25">
      <c r="O3333" s="1"/>
    </row>
    <row r="3334" spans="15:15" x14ac:dyDescent="0.25">
      <c r="O3334" s="1"/>
    </row>
    <row r="3335" spans="15:15" x14ac:dyDescent="0.25">
      <c r="O3335" s="1"/>
    </row>
    <row r="3336" spans="15:15" x14ac:dyDescent="0.25">
      <c r="O3336" s="1"/>
    </row>
    <row r="3337" spans="15:15" x14ac:dyDescent="0.25">
      <c r="O3337" s="1"/>
    </row>
    <row r="3338" spans="15:15" x14ac:dyDescent="0.25">
      <c r="O3338" s="1"/>
    </row>
    <row r="3339" spans="15:15" x14ac:dyDescent="0.25">
      <c r="O3339" s="1"/>
    </row>
    <row r="3340" spans="15:15" x14ac:dyDescent="0.25">
      <c r="O3340" s="1"/>
    </row>
    <row r="3341" spans="15:15" x14ac:dyDescent="0.25">
      <c r="O3341" s="1"/>
    </row>
    <row r="3342" spans="15:15" x14ac:dyDescent="0.25">
      <c r="O3342" s="1"/>
    </row>
    <row r="3343" spans="15:15" x14ac:dyDescent="0.25">
      <c r="O3343" s="1"/>
    </row>
    <row r="3344" spans="15:15" x14ac:dyDescent="0.25">
      <c r="O3344" s="1"/>
    </row>
    <row r="3345" spans="15:15" x14ac:dyDescent="0.25">
      <c r="O3345" s="1"/>
    </row>
    <row r="3346" spans="15:15" x14ac:dyDescent="0.25">
      <c r="O3346" s="1"/>
    </row>
    <row r="3347" spans="15:15" x14ac:dyDescent="0.25">
      <c r="O3347" s="1"/>
    </row>
    <row r="3348" spans="15:15" x14ac:dyDescent="0.25">
      <c r="O3348" s="1"/>
    </row>
    <row r="3349" spans="15:15" x14ac:dyDescent="0.25">
      <c r="O3349" s="1"/>
    </row>
    <row r="3350" spans="15:15" x14ac:dyDescent="0.25">
      <c r="O3350" s="1"/>
    </row>
    <row r="3351" spans="15:15" x14ac:dyDescent="0.25">
      <c r="O3351" s="1"/>
    </row>
    <row r="3352" spans="15:15" x14ac:dyDescent="0.25">
      <c r="O3352" s="1"/>
    </row>
    <row r="3353" spans="15:15" x14ac:dyDescent="0.25">
      <c r="O3353" s="1"/>
    </row>
    <row r="3354" spans="15:15" x14ac:dyDescent="0.25">
      <c r="O3354" s="1"/>
    </row>
    <row r="3355" spans="15:15" x14ac:dyDescent="0.25">
      <c r="O3355" s="1"/>
    </row>
    <row r="3356" spans="15:15" x14ac:dyDescent="0.25">
      <c r="O3356" s="1"/>
    </row>
    <row r="3357" spans="15:15" x14ac:dyDescent="0.25">
      <c r="O3357" s="1"/>
    </row>
    <row r="3358" spans="15:15" x14ac:dyDescent="0.25">
      <c r="O3358" s="1"/>
    </row>
    <row r="3359" spans="15:15" x14ac:dyDescent="0.25">
      <c r="O3359" s="1"/>
    </row>
    <row r="3360" spans="15:15" x14ac:dyDescent="0.25">
      <c r="O3360" s="1"/>
    </row>
    <row r="3361" spans="15:15" x14ac:dyDescent="0.25">
      <c r="O3361" s="1"/>
    </row>
    <row r="3362" spans="15:15" x14ac:dyDescent="0.25">
      <c r="O3362" s="1"/>
    </row>
    <row r="3363" spans="15:15" x14ac:dyDescent="0.25">
      <c r="O3363" s="1"/>
    </row>
    <row r="3364" spans="15:15" x14ac:dyDescent="0.25">
      <c r="O3364" s="1"/>
    </row>
    <row r="3365" spans="15:15" x14ac:dyDescent="0.25">
      <c r="O3365" s="1"/>
    </row>
    <row r="3366" spans="15:15" x14ac:dyDescent="0.25">
      <c r="O3366" s="1"/>
    </row>
    <row r="3367" spans="15:15" x14ac:dyDescent="0.25">
      <c r="O3367" s="1"/>
    </row>
    <row r="3368" spans="15:15" x14ac:dyDescent="0.25">
      <c r="O3368" s="1"/>
    </row>
    <row r="3369" spans="15:15" x14ac:dyDescent="0.25">
      <c r="O3369" s="1"/>
    </row>
    <row r="3370" spans="15:15" x14ac:dyDescent="0.25">
      <c r="O3370" s="1"/>
    </row>
    <row r="3371" spans="15:15" x14ac:dyDescent="0.25">
      <c r="O3371" s="1"/>
    </row>
    <row r="3372" spans="15:15" x14ac:dyDescent="0.25">
      <c r="O3372" s="1"/>
    </row>
    <row r="3373" spans="15:15" x14ac:dyDescent="0.25">
      <c r="O3373" s="1"/>
    </row>
    <row r="3374" spans="15:15" x14ac:dyDescent="0.25">
      <c r="O3374" s="1"/>
    </row>
    <row r="3375" spans="15:15" x14ac:dyDescent="0.25">
      <c r="O3375" s="1"/>
    </row>
    <row r="3376" spans="15:15" x14ac:dyDescent="0.25">
      <c r="O3376" s="1"/>
    </row>
    <row r="3377" spans="15:15" x14ac:dyDescent="0.25">
      <c r="O3377" s="1"/>
    </row>
    <row r="3378" spans="15:15" x14ac:dyDescent="0.25">
      <c r="O3378" s="1"/>
    </row>
    <row r="3379" spans="15:15" x14ac:dyDescent="0.25">
      <c r="O3379" s="1"/>
    </row>
    <row r="3380" spans="15:15" x14ac:dyDescent="0.25">
      <c r="O3380" s="1"/>
    </row>
    <row r="3381" spans="15:15" x14ac:dyDescent="0.25">
      <c r="O3381" s="1"/>
    </row>
    <row r="3382" spans="15:15" x14ac:dyDescent="0.25">
      <c r="O3382" s="1"/>
    </row>
    <row r="3383" spans="15:15" x14ac:dyDescent="0.25">
      <c r="O3383" s="1"/>
    </row>
    <row r="3384" spans="15:15" x14ac:dyDescent="0.25">
      <c r="O3384" s="1"/>
    </row>
    <row r="3385" spans="15:15" x14ac:dyDescent="0.25">
      <c r="O3385" s="1"/>
    </row>
    <row r="3386" spans="15:15" x14ac:dyDescent="0.25">
      <c r="O3386" s="1"/>
    </row>
    <row r="3387" spans="15:15" x14ac:dyDescent="0.25">
      <c r="O3387" s="1"/>
    </row>
    <row r="3388" spans="15:15" x14ac:dyDescent="0.25">
      <c r="O3388" s="1"/>
    </row>
    <row r="3389" spans="15:15" x14ac:dyDescent="0.25">
      <c r="O3389" s="1"/>
    </row>
    <row r="3390" spans="15:15" x14ac:dyDescent="0.25">
      <c r="O3390" s="1"/>
    </row>
    <row r="3391" spans="15:15" x14ac:dyDescent="0.25">
      <c r="O3391" s="1"/>
    </row>
    <row r="3392" spans="15:15" x14ac:dyDescent="0.25">
      <c r="O3392" s="1"/>
    </row>
    <row r="3393" spans="15:15" x14ac:dyDescent="0.25">
      <c r="O3393" s="1"/>
    </row>
    <row r="3394" spans="15:15" x14ac:dyDescent="0.25">
      <c r="O3394" s="1"/>
    </row>
    <row r="3395" spans="15:15" x14ac:dyDescent="0.25">
      <c r="O3395" s="1"/>
    </row>
    <row r="3396" spans="15:15" x14ac:dyDescent="0.25">
      <c r="O3396" s="1"/>
    </row>
    <row r="3397" spans="15:15" x14ac:dyDescent="0.25">
      <c r="O3397" s="1"/>
    </row>
    <row r="3398" spans="15:15" x14ac:dyDescent="0.25">
      <c r="O3398" s="1"/>
    </row>
    <row r="3399" spans="15:15" x14ac:dyDescent="0.25">
      <c r="O3399" s="1"/>
    </row>
    <row r="3400" spans="15:15" x14ac:dyDescent="0.25">
      <c r="O3400" s="1"/>
    </row>
    <row r="3401" spans="15:15" x14ac:dyDescent="0.25">
      <c r="O3401" s="1"/>
    </row>
    <row r="3402" spans="15:15" x14ac:dyDescent="0.25">
      <c r="O3402" s="1"/>
    </row>
    <row r="3403" spans="15:15" x14ac:dyDescent="0.25">
      <c r="O3403" s="1"/>
    </row>
    <row r="3404" spans="15:15" x14ac:dyDescent="0.25">
      <c r="O3404" s="1"/>
    </row>
    <row r="3405" spans="15:15" x14ac:dyDescent="0.25">
      <c r="O3405" s="1"/>
    </row>
  </sheetData>
  <mergeCells count="6">
    <mergeCell ref="AO10:AP10"/>
    <mergeCell ref="AF8:AH8"/>
    <mergeCell ref="C2:D6"/>
    <mergeCell ref="A9:B9"/>
    <mergeCell ref="A11:C11"/>
    <mergeCell ref="W10:AE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1</xdr:col>
                    <xdr:colOff>590550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Bonus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Hoang Duy. Nguyen</dc:creator>
  <cp:lastModifiedBy>Hoang Duy. Nguyen</cp:lastModifiedBy>
  <dcterms:created xsi:type="dcterms:W3CDTF">2018-10-01T03:07:51Z</dcterms:created>
  <dcterms:modified xsi:type="dcterms:W3CDTF">2018-11-13T11:19:21Z</dcterms:modified>
</cp:coreProperties>
</file>